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ja1" sheetId="1" state="visible" r:id="rId2"/>
    <sheet name="TIPO RESIDUOS" sheetId="2" state="visible" r:id="rId3"/>
    <sheet name="certificacion" sheetId="3" state="visible" r:id="rId4"/>
    <sheet name="Tabla dinámica_Hoja1_1" sheetId="4" state="visible" r:id="rId5"/>
  </sheets>
  <definedNames>
    <definedName function="false" hidden="true" localSheetId="0" name="_xlnm._FilterDatabase" vbProcedure="false">Hoja1!$A$1:$J$488</definedName>
  </definedName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<sst xmlns="http://schemas.openxmlformats.org/spreadsheetml/2006/main" count="2075" uniqueCount="50">
  <si>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</si>
  <si>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</si>
  <si>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</si>
  <si>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</si>
  <si>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</si>
  <si>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</si>
  <si>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</si>
  <si>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</si>
  <si>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</si>
  <si>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</si>
  <si>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7542KBV</t>
  </si>
  <si>
    <t xml:space="preserve">Peñiscola </t>
  </si>
  <si>
    <t xml:space="preserve">RSU</t>
  </si>
  <si>
    <t xml:space="preserve">x</t>
  </si>
  <si>
    <t xml:space="preserve">1730KBZ</t>
  </si>
  <si>
    <t xml:space="preserve">7809JZX</t>
  </si>
  <si>
    <t xml:space="preserve">6120JZX</t>
  </si>
  <si>
    <t xml:space="preserve">7957JZS</t>
  </si>
  <si>
    <t xml:space="preserve">VOL</t>
  </si>
  <si>
    <t xml:space="preserve">1076KSZ</t>
  </si>
  <si>
    <t xml:space="preserve">1821KBZ</t>
  </si>
  <si>
    <t xml:space="preserve">0315BGK</t>
  </si>
  <si>
    <t xml:space="preserve">LIMP.PLAYA</t>
  </si>
  <si>
    <t xml:space="preserve">TETMA</t>
  </si>
  <si>
    <t xml:space="preserve">SEL.ENV</t>
  </si>
  <si>
    <t xml:space="preserve">SEL.PAP</t>
  </si>
  <si>
    <t xml:space="preserve">3686KBG</t>
  </si>
  <si>
    <t xml:space="preserve">PODA</t>
  </si>
  <si>
    <t xml:space="preserve">5313GBZ</t>
  </si>
  <si>
    <t xml:space="preserve">10.53</t>
  </si>
  <si>
    <t xml:space="preserve">- todo -</t>
  </si>
  <si>
    <t xml:space="preserve">Suma - Carga</t>
  </si>
  <si>
    <t xml:space="preserve">Total Resultado</t>
  </si>
  <si>
    <t xml:space="preserve">MATRICULA</t>
  </si>
  <si>
    <t xml:space="preserve">RUTA</t>
  </si>
  <si>
    <t xml:space="preserve">HORARIO</t>
  </si>
  <si>
    <t xml:space="preserve">CARGA</t>
  </si>
  <si>
    <t xml:space="preserve">REVISADO</t>
  </si>
  <si>
    <t xml:space="preserve">Noche</t>
  </si>
  <si>
    <t xml:space="preserve">Dia/Noche</t>
  </si>
  <si>
    <t xml:space="preserve">2-3-4-5</t>
  </si>
  <si>
    <t xml:space="preserve">Día/Noche</t>
  </si>
  <si>
    <t xml:space="preserve">Dia</t>
  </si>
  <si>
    <t xml:space="preserve">Día</t>
  </si>
  <si>
    <t xml:space="preserve">VOLUMINOSOS</t>
  </si>
  <si>
    <t xml:space="preserve">N.º OPERARIOS</t>
  </si>
  <si>
    <t xml:space="preserve">FRECUENCIA</t>
  </si>
  <si>
    <t xml:space="preserve">PAPEL</t>
  </si>
  <si>
    <t xml:space="preserve">ENVASES</t>
  </si>
  <si>
    <t xml:space="preserve">PLAYAS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</si>
</sst>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\-YY"/>
    <numFmt numFmtId="166" formatCode="H:MM"/>
    <numFmt numFmtId="167" formatCode="#,##0"/>
    <numFmt numFmtId="168" formatCode="DD/MM/YYYY"/>
    <numFmt numFmtId="169" formatCode="H:MM"/>
    <numFmt numFmtId="170" formatCode="#,##0;[RED]\-#,##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CE181E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9AE"/>
        <bgColor rgb="FFFFFFCC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</cellXfs>
  <cellStyles count="1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Campo de la tabla dinámica" xfId="20" builtinId="53" customBuiltin="true"/>
    <cellStyle name="Esquina de la tabla dinámica" xfId="21" builtinId="53" customBuiltin="true"/>
    <cellStyle name="Valor de la tabla dinámica" xfId="22" builtinId="53" customBuiltin="true"/>
    <cellStyle name="Categoría de la tabla dinámica" xfId="23" builtinId="53" customBuiltin="true"/>
    <cellStyle name="Título de la tabla dinámica" xfId="24" builtinId="53" customBuiltin="true"/>
    <cellStyle name="Resultado de la tabla dinámica" xfId="25" builtinId="53" customBuiltin="true"/>
  </cellStyle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87">
  <cacheSource type="worksheet">
    <worksheetSource ref="A1:J488" sheet="Hoja1"/>
  </cacheSource>
  <cacheFields count="10">
    <cacheField name="Fecha" numFmtId="0">
      <sharedItems count="31" containsMixedTypes="0" containsSemiMixedTypes="0" containsString="0" containsNumber="1">
        <n v="43678"/>
        <n v="43679"/>
        <n v="43680"/>
        <n v="43681"/>
        <n v="43682"/>
        <n v="43683"/>
        <n v="43684"/>
        <n v="43685"/>
        <n v="43686"/>
        <n v="43687"/>
        <n v="43688"/>
        <n v="43689"/>
        <n v="43690"/>
        <n v="43691"/>
        <n v="43692"/>
        <n v="43693"/>
        <n v="43694"/>
        <n v="43695"/>
        <n v="43696"/>
        <n v="43697"/>
        <n v="43698"/>
        <n v="43699"/>
        <n v="43700"/>
        <n v="43701"/>
        <n v="43702"/>
        <n v="43703"/>
        <n v="43704"/>
        <n v="43705"/>
        <n v="43706"/>
        <n v="43707"/>
        <n v="43708"/>
      </sharedItems>
    </cacheField>
    <cacheField name="Fecha / hora" numFmtId="0">
      <sharedItems count="354" containsMixedTypes="1" containsSemiMixedTypes="1" containsString="1" containsNumber="1">
        <n v="0.0361111111111111"/>
        <n v="0.0388888888888889"/>
        <n v="0.0395833333333333"/>
        <n v="0.0402777777777778"/>
        <n v="0.0409722222222222"/>
        <n v="0.0423611111111111"/>
        <n v="0.0430555555555556"/>
        <n v="0.04375"/>
        <n v="0.0458333333333333"/>
        <n v="0.0472222222222222"/>
        <n v="0.0486111111111111"/>
        <n v="0.05"/>
        <n v="0.0506944444444445"/>
        <n v="0.0527777777777778"/>
        <n v="0.0534722222222222"/>
        <n v="0.0548611111111111"/>
        <n v="0.0569444444444444"/>
        <n v="0.0590277777777778"/>
        <n v="0.0611111111111111"/>
        <n v="0.0618055555555556"/>
        <n v="0.0625"/>
        <n v="0.0631944444444444"/>
        <n v="0.0736111111111111"/>
        <n v="0.0777777777777778"/>
        <n v="0.0791666666666667"/>
        <n v="0.08125"/>
        <n v="0.0833333333333333"/>
        <n v="0.0854166666666667"/>
        <n v="0.0930555555555556"/>
        <n v="0.106944444444444"/>
        <n v="0.114583333333333"/>
        <n v="0.115277777777778"/>
        <n v="0.115972222222222"/>
        <n v="0.117361111111111"/>
        <n v="0.118055555555556"/>
        <n v="0.121527777777778"/>
        <n v="0.122222222222222"/>
        <n v="0.122916666666667"/>
        <n v="0.126388888888889"/>
        <n v="0.127083333333333"/>
        <n v="0.128472222222222"/>
        <n v="0.129861111111111"/>
        <n v="0.130555555555556"/>
        <n v="0.13125"/>
        <n v="0.131944444444444"/>
        <n v="0.132638888888889"/>
        <n v="0.133333333333333"/>
        <n v="0.134027777777778"/>
        <n v="0.135416666666667"/>
        <n v="0.1375"/>
        <n v="0.138194444444444"/>
        <n v="0.138888888888889"/>
        <n v="0.139583333333333"/>
        <n v="0.140277777777778"/>
        <n v="0.140972222222222"/>
        <n v="0.141666666666667"/>
        <n v="0.142361111111111"/>
        <n v="0.143055555555556"/>
        <n v="0.14375"/>
        <n v="0.145138888888889"/>
        <n v="0.147222222222222"/>
        <n v="0.147916666666667"/>
        <n v="0.148611111111111"/>
        <n v="0.149305555555556"/>
        <n v="0.15"/>
        <n v="0.150694444444444"/>
        <n v="0.151388888888889"/>
        <n v="0.152083333333333"/>
        <n v="0.152777777777778"/>
        <n v="0.153472222222222"/>
        <n v="0.154166666666667"/>
        <n v="0.154861111111111"/>
        <n v="0.15625"/>
        <n v="0.157638888888889"/>
        <n v="0.159027777777778"/>
        <n v="0.159722222222222"/>
        <n v="0.160416666666667"/>
        <n v="0.161111111111111"/>
        <n v="0.161805555555556"/>
        <n v="0.1625"/>
        <n v="0.163888888888889"/>
        <n v="0.164583333333333"/>
        <n v="0.165277777777778"/>
        <n v="0.165972222222222"/>
        <n v="0.166666666666667"/>
        <n v="0.168055555555556"/>
        <n v="0.16875"/>
        <n v="0.170138888888889"/>
        <n v="0.172916666666667"/>
        <n v="0.174305555555556"/>
        <n v="0.175"/>
        <n v="0.176388888888889"/>
        <n v="0.177083333333333"/>
        <n v="0.180555555555556"/>
        <n v="0.18125"/>
        <n v="0.182638888888889"/>
        <n v="0.186111111111111"/>
        <n v="0.186805555555556"/>
        <n v="0.188194444444444"/>
        <n v="0.189583333333333"/>
        <n v="0.190972222222222"/>
        <n v="0.192361111111111"/>
        <n v="0.195138888888889"/>
        <n v="0.196527777777778"/>
        <n v="0.197916666666667"/>
        <n v="0.198611111111111"/>
        <n v="0.2"/>
        <n v="0.200694444444444"/>
        <n v="0.207638888888889"/>
        <n v="0.210416666666667"/>
        <n v="0.213194444444444"/>
        <n v="0.214583333333333"/>
        <n v="0.216666666666667"/>
        <n v="0.218055555555556"/>
        <n v="0.21875"/>
        <n v="0.219444444444444"/>
        <n v="0.221527777777778"/>
        <n v="0.222222222222222"/>
        <n v="0.222916666666667"/>
        <n v="0.223611111111111"/>
        <n v="0.224305555555556"/>
        <n v="0.225"/>
        <n v="0.225694444444444"/>
        <n v="0.227777777777778"/>
        <n v="0.229861111111111"/>
        <n v="0.231944444444444"/>
        <n v="0.232638888888889"/>
        <n v="0.233333333333333"/>
        <n v="0.234722222222222"/>
        <n v="0.235416666666667"/>
        <n v="0.236111111111111"/>
        <n v="0.238194444444444"/>
        <n v="0.238888888888889"/>
        <n v="0.240277777777778"/>
        <n v="0.240972222222222"/>
        <n v="0.241666666666667"/>
        <n v="0.242361111111111"/>
        <n v="0.243055555555556"/>
        <n v="0.245138888888889"/>
        <n v="0.245833333333333"/>
        <n v="0.246527777777778"/>
        <n v="0.247916666666667"/>
        <n v="0.248611111111111"/>
        <n v="0.25"/>
        <n v="0.252777777777778"/>
        <n v="0.253472222222222"/>
        <n v="0.257638888888889"/>
        <n v="0.259027777777778"/>
        <n v="0.259722222222222"/>
        <n v="0.261111111111111"/>
        <n v="0.261805555555556"/>
        <n v="0.263194444444444"/>
        <n v="0.265277777777778"/>
        <n v="0.265972222222222"/>
        <n v="0.266666666666667"/>
        <n v="0.267361111111111"/>
        <n v="0.26875"/>
        <n v="0.270138888888889"/>
        <n v="0.271527777777778"/>
        <n v="0.272222222222222"/>
        <n v="0.274305555555555"/>
        <n v="0.275"/>
        <n v="0.275694444444444"/>
        <n v="0.277777777777778"/>
        <n v="0.279166666666667"/>
        <n v="0.281944444444444"/>
        <n v="0.284027777777778"/>
        <n v="0.285416666666667"/>
        <n v="0.289583333333333"/>
        <n v="0.304166666666667"/>
        <n v="0.305555555555555"/>
        <n v="0.310416666666667"/>
        <n v="0.311111111111111"/>
        <n v="0.317361111111111"/>
        <n v="0.322222222222222"/>
        <n v="0.327083333333333"/>
        <n v="0.329166666666667"/>
        <n v="0.331944444444444"/>
        <n v="0.336805555555556"/>
        <n v="0.3375"/>
        <n v="0.338888888888889"/>
        <n v="0.344444444444444"/>
        <n v="0.345833333333333"/>
        <n v="0.347222222222222"/>
        <n v="0.348611111111111"/>
        <n v="0.349305555555556"/>
        <n v="0.35"/>
        <n v="0.350694444444444"/>
        <n v="0.352777777777778"/>
        <n v="0.353472222222222"/>
        <n v="0.354861111111111"/>
        <n v="0.357638888888889"/>
        <n v="0.359722222222222"/>
        <n v="0.361805555555556"/>
        <n v="0.368055555555556"/>
        <n v="0.36875"/>
        <n v="0.374305555555555"/>
        <n v="0.384027777777778"/>
        <n v="0.385416666666667"/>
        <n v="0.386111111111111"/>
        <n v="0.388194444444444"/>
        <n v="0.390277777777778"/>
        <n v="0.391666666666667"/>
        <n v="0.393055555555556"/>
        <n v="0.39375"/>
        <n v="0.394444444444444"/>
        <n v="0.395833333333333"/>
        <n v="0.397916666666667"/>
        <n v="0.429861111111111"/>
        <n v="0.436805555555555"/>
        <n v="0.4375"/>
        <n v="0.438194444444444"/>
        <n v="0.438888888888889"/>
        <n v="0.439583333333333"/>
        <n v="0.440277777777778"/>
        <n v="0.440972222222222"/>
        <n v="0.443055555555556"/>
        <n v="0.444444444444444"/>
        <n v="0.445138888888889"/>
        <n v="0.445833333333333"/>
        <n v="0.446527777777778"/>
        <n v="0.447222222222222"/>
        <n v="0.448611111111111"/>
        <n v="0.449305555555556"/>
        <n v="0.45"/>
        <n v="0.451388888888889"/>
        <n v="0.452083333333333"/>
        <n v="0.452777777777778"/>
        <n v="0.454166666666667"/>
        <n v="0.454861111111111"/>
        <n v="0.456944444444444"/>
        <n v="0.458333333333333"/>
        <n v="0.459027777777778"/>
        <n v="0.459722222222222"/>
        <n v="0.460416666666667"/>
        <n v="0.4625"/>
        <n v="0.463194444444444"/>
        <n v="0.463888888888889"/>
        <n v="0.465972222222222"/>
        <n v="0.467361111111111"/>
        <n v="0.470138888888889"/>
        <n v="0.472222222222222"/>
        <n v="0.473611111111111"/>
        <n v="0.479166666666667"/>
        <n v="0.480555555555556"/>
        <n v="0.481944444444444"/>
        <n v="0.484722222222222"/>
        <n v="0.490277777777778"/>
        <n v="0.498611111111111"/>
        <n v="0.511111111111111"/>
        <n v="0.513194444444444"/>
        <n v="0.517361111111111"/>
        <n v="0.525694444444444"/>
        <n v="0.540277777777778"/>
        <n v="0.54375"/>
        <n v="0.55625"/>
        <n v="0.563888888888889"/>
        <n v="0.576388888888889"/>
        <n v="0.594444444444445"/>
        <n v="0.635416666666667"/>
        <n v="0.685416666666667"/>
        <n v="0.686111111111111"/>
        <n v="0.686805555555556"/>
        <n v="0.6875"/>
        <n v="0.688888888888889"/>
        <n v="0.689583333333333"/>
        <n v="0.690277777777778"/>
        <n v="0.690972222222222"/>
        <n v="0.692361111111111"/>
        <n v="0.693055555555556"/>
        <n v="0.69375"/>
        <n v="0.694444444444444"/>
        <n v="0.696527777777778"/>
        <n v="0.697222222222222"/>
        <n v="0.697916666666667"/>
        <n v="0.698611111111111"/>
        <n v="0.699305555555556"/>
        <n v="0.700694444444444"/>
        <n v="0.701388888888889"/>
        <n v="0.705555555555556"/>
        <n v="0.720833333333333"/>
        <n v="0.726388888888889"/>
        <n v="0.729166666666667"/>
        <n v="0.73125"/>
        <n v="0.735416666666667"/>
        <n v="0.738194444444444"/>
        <n v="0.738888888888889"/>
        <n v="0.740277777777778"/>
        <n v="0.740972222222222"/>
        <n v="0.741666666666667"/>
        <n v="0.743055555555555"/>
        <n v="0.74375"/>
        <n v="0.747916666666667"/>
        <n v="0.750694444444445"/>
        <n v="0.751388888888889"/>
        <n v="0.766666666666667"/>
        <n v="0.769444444444444"/>
        <n v="0.770138888888889"/>
        <n v="0.775"/>
        <n v="0.776388888888889"/>
        <n v="0.777083333333333"/>
        <n v="0.780555555555556"/>
        <n v="0.781944444444445"/>
        <n v="0.788194444444444"/>
        <n v="0.801388888888889"/>
        <n v="0.854861111111111"/>
        <n v="0.8625"/>
        <n v="0.873611111111111"/>
        <n v="0.875"/>
        <n v="0.875694444444444"/>
        <n v="0.876388888888889"/>
        <n v="0.877083333333333"/>
        <n v="0.878472222222222"/>
        <n v="0.879166666666667"/>
        <n v="0.880555555555556"/>
        <n v="0.882638888888889"/>
        <n v="0.883333333333333"/>
        <n v="0.884722222222222"/>
        <n v="0.885416666666667"/>
        <n v="0.886111111111111"/>
        <n v="0.886805555555556"/>
        <n v="0.8875"/>
        <n v="0.888194444444444"/>
        <n v="0.889583333333333"/>
        <n v="0.890277777777778"/>
        <n v="0.891666666666667"/>
        <n v="0.893055555555556"/>
        <n v="0.894444444444444"/>
        <n v="0.895833333333333"/>
        <n v="0.896527777777778"/>
        <n v="0.901388888888889"/>
        <n v="0.902083333333333"/>
        <n v="0.902777777777778"/>
        <n v="0.905555555555556"/>
        <n v="0.90625"/>
        <n v="0.906944444444444"/>
        <n v="0.907638888888889"/>
        <n v="0.909027777777778"/>
        <n v="0.914583333333333"/>
        <n v="0.916666666666667"/>
        <n v="0.917361111111111"/>
        <n v="0.918055555555556"/>
        <n v="0.91875"/>
        <n v="0.919444444444444"/>
        <n v="0.920138888888889"/>
        <n v="0.920833333333333"/>
        <n v="0.921527777777778"/>
        <n v="0.922916666666667"/>
        <n v="0.925694444444444"/>
        <n v="0.928472222222222"/>
        <n v="0.935416666666667"/>
        <n v="0.9375"/>
        <n v="533"/>
        <s v="10.53"/>
      </sharedItems>
    </cacheField>
    <cacheField name="Ticket" numFmtId="0">
      <sharedItems count="478" containsMixedTypes="1" containsSemiMixedTypes="1" containsString="1" containsNumber="1">
        <n v="11710"/>
        <n v="11909"/>
        <n v="12578"/>
        <n v="90999"/>
        <n v="91062"/>
        <n v="91236"/>
        <n v="91239"/>
        <n v="91252"/>
        <n v="91292"/>
        <n v="91358"/>
        <n v="91385"/>
        <n v="91423"/>
        <n v="91471"/>
        <n v="91502"/>
        <n v="91570"/>
        <n v="91660"/>
        <n v="91662"/>
        <n v="91713"/>
        <n v="111637"/>
        <n v="111643"/>
        <n v="111645"/>
        <n v="111647"/>
        <n v="111651"/>
        <n v="111652"/>
        <n v="111653"/>
        <n v="111669"/>
        <n v="111675"/>
        <n v="111693"/>
        <n v="111698"/>
        <n v="111702"/>
        <n v="111703"/>
        <n v="111705"/>
        <n v="111711"/>
        <n v="111713"/>
        <n v="111715"/>
        <n v="111720"/>
        <n v="111721"/>
        <n v="111722"/>
        <n v="111734"/>
        <n v="111745"/>
        <n v="111749"/>
        <n v="111763"/>
        <n v="111767"/>
        <n v="111772"/>
        <n v="111773"/>
        <n v="111775"/>
        <n v="111782"/>
        <n v="111783"/>
        <n v="111785"/>
        <n v="111786"/>
        <n v="111788"/>
        <n v="111792"/>
        <n v="111794"/>
        <n v="111802"/>
        <n v="111809"/>
        <n v="111816"/>
        <n v="111817"/>
        <n v="111818"/>
        <n v="111819"/>
        <n v="111820"/>
        <n v="111822"/>
        <n v="111830"/>
        <n v="111831"/>
        <n v="111832"/>
        <n v="111834"/>
        <n v="111835"/>
        <n v="111837"/>
        <n v="111840"/>
        <n v="111845"/>
        <n v="111846"/>
        <n v="111847"/>
        <n v="111848"/>
        <n v="111849"/>
        <n v="111850"/>
        <n v="111855"/>
        <n v="111856"/>
        <n v="111858"/>
        <n v="111860"/>
        <n v="111863"/>
        <n v="111866"/>
        <n v="111867"/>
        <n v="111879"/>
        <n v="111893"/>
        <n v="111911"/>
        <n v="111912"/>
        <n v="111913"/>
        <n v="111914"/>
        <n v="111921"/>
        <n v="111922"/>
        <n v="111924"/>
        <n v="111925"/>
        <n v="111933"/>
        <n v="111935"/>
        <n v="111936"/>
        <n v="111943"/>
        <n v="111950"/>
        <n v="111976"/>
        <n v="111980"/>
        <n v="111985"/>
        <n v="111986"/>
        <n v="111988"/>
        <n v="111993"/>
        <n v="111994"/>
        <n v="111996"/>
        <n v="111998"/>
        <n v="112000"/>
        <n v="112002"/>
        <n v="112005"/>
        <n v="112015"/>
        <n v="112017"/>
        <n v="112028"/>
        <n v="112039"/>
        <n v="112046"/>
        <n v="112048"/>
        <n v="112054"/>
        <n v="112055"/>
        <n v="112056"/>
        <n v="112057"/>
        <n v="112062"/>
        <n v="112064"/>
        <n v="112066"/>
        <n v="112071"/>
        <n v="112072"/>
        <n v="112074"/>
        <n v="112075"/>
        <n v="112088"/>
        <n v="112105"/>
        <n v="112123"/>
        <n v="112127"/>
        <n v="112129"/>
        <n v="112130"/>
        <n v="112134"/>
        <n v="112137"/>
        <n v="112138"/>
        <n v="112142"/>
        <n v="112146"/>
        <n v="112147"/>
        <n v="112148"/>
        <n v="112156"/>
        <n v="112164"/>
        <n v="112185"/>
        <n v="112195"/>
        <n v="112199"/>
        <n v="112202"/>
        <n v="112203"/>
        <n v="112205"/>
        <n v="112206"/>
        <n v="112213"/>
        <n v="112214"/>
        <n v="112216"/>
        <n v="112217"/>
        <n v="112220"/>
        <n v="112223"/>
        <n v="112225"/>
        <n v="112232"/>
        <n v="112237"/>
        <n v="112240"/>
        <n v="112247"/>
        <n v="112248"/>
        <n v="112249"/>
        <n v="112250"/>
        <n v="112251"/>
        <n v="112252"/>
        <n v="112253"/>
        <n v="112259"/>
        <n v="112261"/>
        <n v="112262"/>
        <n v="112268"/>
        <n v="112269"/>
        <n v="112270"/>
        <n v="112275"/>
        <n v="112279"/>
        <n v="112280"/>
        <n v="112281"/>
        <n v="112282"/>
        <n v="112283"/>
        <n v="112285"/>
        <n v="112287"/>
        <n v="112291"/>
        <n v="112293"/>
        <n v="112295"/>
        <n v="112301"/>
        <n v="112302"/>
        <n v="112303"/>
        <n v="112307"/>
        <n v="112314"/>
        <n v="112323"/>
        <n v="112330"/>
        <n v="112343"/>
        <n v="112347"/>
        <n v="112348"/>
        <n v="112352"/>
        <n v="112357"/>
        <n v="112360"/>
        <n v="112361"/>
        <n v="112365"/>
        <n v="112366"/>
        <n v="112369"/>
        <n v="112377"/>
        <n v="112388"/>
        <n v="112412"/>
        <n v="112416"/>
        <n v="112421"/>
        <n v="112422"/>
        <n v="112425"/>
        <n v="112430"/>
        <n v="112432"/>
        <n v="112433"/>
        <n v="112434"/>
        <n v="112440"/>
        <n v="112442"/>
        <n v="112444"/>
        <n v="112454"/>
        <n v="112459"/>
        <n v="112468"/>
        <n v="112478"/>
        <n v="112495"/>
        <n v="112498"/>
        <n v="112504"/>
        <n v="112505"/>
        <n v="112506"/>
        <n v="112507"/>
        <n v="112516"/>
        <n v="112517"/>
        <n v="112519"/>
        <n v="112524"/>
        <n v="112525"/>
        <n v="112527"/>
        <n v="112528"/>
        <n v="112542"/>
        <n v="112552"/>
        <n v="112567"/>
        <n v="112568"/>
        <n v="112575"/>
        <n v="112576"/>
        <n v="112577"/>
        <n v="112582"/>
        <n v="112585"/>
        <n v="112587"/>
        <n v="112590"/>
        <n v="112593"/>
        <n v="112594"/>
        <n v="112598"/>
        <n v="112599"/>
        <n v="112612"/>
        <n v="112648"/>
        <n v="112652"/>
        <n v="112656"/>
        <n v="112657"/>
        <n v="112660"/>
        <n v="112661"/>
        <n v="112665"/>
        <n v="112671"/>
        <n v="112672"/>
        <n v="112677"/>
        <n v="112679"/>
        <n v="112687"/>
        <n v="112691"/>
        <n v="112697"/>
        <n v="112701"/>
        <n v="112702"/>
        <n v="112703"/>
        <n v="112704"/>
        <n v="112705"/>
        <n v="112706"/>
        <n v="112711"/>
        <n v="112714"/>
        <n v="112716"/>
        <n v="112719"/>
        <n v="112720"/>
        <n v="112721"/>
        <n v="112729"/>
        <n v="112730"/>
        <n v="112731"/>
        <n v="112732"/>
        <n v="112733"/>
        <n v="112735"/>
        <n v="112737"/>
        <n v="112738"/>
        <n v="112746"/>
        <n v="112747"/>
        <n v="112748"/>
        <n v="112749"/>
        <n v="112754"/>
        <n v="112755"/>
        <n v="112773"/>
        <n v="112781"/>
        <n v="112788"/>
        <n v="112804"/>
        <n v="112811"/>
        <n v="112813"/>
        <n v="112816"/>
        <n v="112817"/>
        <n v="112821"/>
        <n v="112826"/>
        <n v="112828"/>
        <n v="112829"/>
        <n v="112830"/>
        <n v="112834"/>
        <n v="112836"/>
        <n v="112838"/>
        <n v="112850"/>
        <n v="112853"/>
        <n v="112864"/>
        <n v="112866"/>
        <n v="112868"/>
        <n v="112869"/>
        <n v="112871"/>
        <n v="112872"/>
        <n v="112878"/>
        <n v="112879"/>
        <n v="112880"/>
        <n v="112881"/>
        <n v="112886"/>
        <n v="112887"/>
        <n v="112889"/>
        <n v="112903"/>
        <n v="112910"/>
        <n v="112916"/>
        <n v="112930"/>
        <n v="112941"/>
        <n v="112943"/>
        <n v="112947"/>
        <n v="112949"/>
        <n v="112950"/>
        <n v="112951"/>
        <n v="112956"/>
        <n v="112958"/>
        <n v="112960"/>
        <n v="112964"/>
        <n v="112965"/>
        <n v="112967"/>
        <n v="112981"/>
        <n v="112993"/>
        <n v="113010"/>
        <n v="113014"/>
        <n v="113021"/>
        <n v="113022"/>
        <n v="113023"/>
        <n v="113026"/>
        <n v="113028"/>
        <n v="113030"/>
        <n v="113033"/>
        <n v="113039"/>
        <n v="113040"/>
        <n v="113042"/>
        <n v="113046"/>
        <n v="113053"/>
        <n v="113066"/>
        <n v="113072"/>
        <n v="113078"/>
        <n v="113081"/>
        <n v="113095"/>
        <n v="113101"/>
        <n v="113103"/>
        <n v="113104"/>
        <n v="113107"/>
        <n v="113114"/>
        <n v="113115"/>
        <n v="113117"/>
        <n v="113118"/>
        <n v="113121"/>
        <n v="113123"/>
        <n v="113126"/>
        <n v="113131"/>
        <n v="113139"/>
        <n v="113144"/>
        <n v="113145"/>
        <n v="113153"/>
        <n v="113154"/>
        <n v="113155"/>
        <n v="113156"/>
        <n v="113158"/>
        <n v="113159"/>
        <n v="113163"/>
        <n v="113166"/>
        <n v="113167"/>
        <n v="113168"/>
        <n v="113171"/>
        <n v="113172"/>
        <n v="113176"/>
        <n v="113181"/>
        <n v="113182"/>
        <n v="113184"/>
        <n v="113185"/>
        <n v="113186"/>
        <n v="113187"/>
        <n v="113188"/>
        <n v="113193"/>
        <n v="113196"/>
        <n v="113197"/>
        <n v="113203"/>
        <n v="113204"/>
        <n v="113205"/>
        <n v="113218"/>
        <n v="113222"/>
        <n v="113223"/>
        <n v="113229"/>
        <n v="113237"/>
        <n v="113248"/>
        <n v="113250"/>
        <n v="113251"/>
        <n v="113252"/>
        <n v="113253"/>
        <n v="113259"/>
        <n v="113262"/>
        <n v="113263"/>
        <n v="113268"/>
        <n v="113269"/>
        <n v="113271"/>
        <n v="113279"/>
        <n v="113289"/>
        <n v="113290"/>
        <n v="113294"/>
        <n v="113311"/>
        <n v="113318"/>
        <n v="113319"/>
        <n v="113320"/>
        <n v="113327"/>
        <n v="113329"/>
        <n v="113330"/>
        <n v="113331"/>
        <n v="113335"/>
        <n v="113338"/>
        <n v="113353"/>
        <n v="113358"/>
        <n v="113366"/>
        <n v="113369"/>
        <n v="113393"/>
        <n v="113395"/>
        <n v="113400"/>
        <n v="113402"/>
        <n v="113403"/>
        <n v="113412"/>
        <n v="113413"/>
        <n v="113414"/>
        <n v="113418"/>
        <n v="113419"/>
        <n v="113420"/>
        <n v="113434"/>
        <n v="113441"/>
        <n v="113446"/>
        <n v="113467"/>
        <n v="113470"/>
        <n v="113474"/>
        <n v="113475"/>
        <n v="113476"/>
        <n v="113481"/>
        <n v="113485"/>
        <n v="113486"/>
        <n v="113489"/>
        <n v="113490"/>
        <n v="113497"/>
        <n v="113508"/>
        <n v="113515"/>
        <n v="113516"/>
        <n v="113530"/>
        <n v="113543"/>
        <n v="113546"/>
        <n v="113549"/>
        <n v="113551"/>
        <n v="113554"/>
        <n v="113560"/>
        <n v="113563"/>
        <n v="113564"/>
        <n v="113565"/>
        <n v="113568"/>
        <n v="113570"/>
        <n v="113578"/>
        <n v="113579"/>
        <n v="113585"/>
        <n v="113588"/>
        <n v="113589"/>
        <n v="113590"/>
        <n v="1126690"/>
        <n v="1133143"/>
        <s v="TETMA"/>
        <m/>
      </sharedItems>
    </cacheField>
    <cacheField name="Matrícula" numFmtId="0">
      <sharedItems count="10" containsMixedTypes="0" containsSemiMixedTypes="0" containsString="1" containsNumber="0">
        <s v="0315BGK"/>
        <s v="1076KSZ"/>
        <s v="1730KBZ"/>
        <s v="1821KBZ"/>
        <s v="3686KBG"/>
        <s v="5313GBZ"/>
        <s v="6120JZX"/>
        <s v="7542KBV"/>
        <s v="7809JZX"/>
        <s v="7957JZS"/>
      </sharedItems>
    </cacheField>
    <cacheField name="Peso total" numFmtId="0">
      <sharedItems count="304" containsMixedTypes="0" containsSemiMixedTypes="0" containsString="0" containsNumber="1">
        <n v="1480"/>
        <n v="1980"/>
        <n v="2400"/>
        <n v="2420"/>
        <n v="2560"/>
        <n v="2600"/>
        <n v="2620"/>
        <n v="2660"/>
        <n v="2680"/>
        <n v="2700"/>
        <n v="2720"/>
        <n v="2780"/>
        <n v="2900"/>
        <n v="2920"/>
        <n v="2940"/>
        <n v="2960"/>
        <n v="2980"/>
        <n v="3000"/>
        <n v="3020"/>
        <n v="3040"/>
        <n v="3060"/>
        <n v="3080"/>
        <n v="3100"/>
        <n v="3120"/>
        <n v="3140"/>
        <n v="3160"/>
        <n v="3180"/>
        <n v="3200"/>
        <n v="3220"/>
        <n v="3240"/>
        <n v="3260"/>
        <n v="3280"/>
        <n v="3300"/>
        <n v="3320"/>
        <n v="3340"/>
        <n v="3360"/>
        <n v="3380"/>
        <n v="3400"/>
        <n v="3420"/>
        <n v="3440"/>
        <n v="3460"/>
        <n v="3480"/>
        <n v="3500"/>
        <n v="3520"/>
        <n v="3540"/>
        <n v="3580"/>
        <n v="3600"/>
        <n v="3620"/>
        <n v="3640"/>
        <n v="3680"/>
        <n v="3700"/>
        <n v="3720"/>
        <n v="3780"/>
        <n v="3800"/>
        <n v="3840"/>
        <n v="3860"/>
        <n v="3900"/>
        <n v="3960"/>
        <n v="4120"/>
        <n v="4140"/>
        <n v="4280"/>
        <n v="4320"/>
        <n v="4360"/>
        <n v="4380"/>
        <n v="4420"/>
        <n v="4440"/>
        <n v="4460"/>
        <n v="4480"/>
        <n v="4540"/>
        <n v="4560"/>
        <n v="4600"/>
        <n v="4620"/>
        <n v="4660"/>
        <n v="4700"/>
        <n v="4720"/>
        <n v="4740"/>
        <n v="4760"/>
        <n v="4780"/>
        <n v="4800"/>
        <n v="4820"/>
        <n v="4840"/>
        <n v="4860"/>
        <n v="4900"/>
        <n v="4920"/>
        <n v="4940"/>
        <n v="4960"/>
        <n v="4980"/>
        <n v="5000"/>
        <n v="5020"/>
        <n v="5060"/>
        <n v="5120"/>
        <n v="5820"/>
        <n v="6220"/>
        <n v="6320"/>
        <n v="6460"/>
        <n v="6540"/>
        <n v="12740"/>
        <n v="14600"/>
        <n v="14940"/>
        <n v="15000"/>
        <n v="15020"/>
        <n v="15280"/>
        <n v="15380"/>
        <n v="15480"/>
        <n v="15540"/>
        <n v="15640"/>
        <n v="15680"/>
        <n v="15720"/>
        <n v="15740"/>
        <n v="15780"/>
        <n v="15800"/>
        <n v="15880"/>
        <n v="15900"/>
        <n v="15940"/>
        <n v="15960"/>
        <n v="16020"/>
        <n v="16140"/>
        <n v="16180"/>
        <n v="16200"/>
        <n v="16300"/>
        <n v="16360"/>
        <n v="16380"/>
        <n v="16540"/>
        <n v="16620"/>
        <n v="16680"/>
        <n v="16720"/>
        <n v="16740"/>
        <n v="16840"/>
        <n v="16960"/>
        <n v="17000"/>
        <n v="17080"/>
        <n v="17120"/>
        <n v="17160"/>
        <n v="17180"/>
        <n v="17360"/>
        <n v="17400"/>
        <n v="17460"/>
        <n v="17500"/>
        <n v="17520"/>
        <n v="17540"/>
        <n v="17580"/>
        <n v="17620"/>
        <n v="17640"/>
        <n v="17660"/>
        <n v="17780"/>
        <n v="17800"/>
        <n v="17820"/>
        <n v="17840"/>
        <n v="17940"/>
        <n v="17960"/>
        <n v="18060"/>
        <n v="18080"/>
        <n v="18100"/>
        <n v="18140"/>
        <n v="18200"/>
        <n v="18280"/>
        <n v="18320"/>
        <n v="18360"/>
        <n v="18400"/>
        <n v="18440"/>
        <n v="18460"/>
        <n v="18540"/>
        <n v="18620"/>
        <n v="18680"/>
        <n v="18720"/>
        <n v="18740"/>
        <n v="18760"/>
        <n v="18840"/>
        <n v="18880"/>
        <n v="18900"/>
        <n v="19020"/>
        <n v="19080"/>
        <n v="19120"/>
        <n v="19200"/>
        <n v="19380"/>
        <n v="19480"/>
        <n v="19800"/>
        <n v="19820"/>
        <n v="20740"/>
        <n v="20820"/>
        <n v="20920"/>
        <n v="21000"/>
        <n v="21100"/>
        <n v="21200"/>
        <n v="21340"/>
        <n v="21420"/>
        <n v="21440"/>
        <n v="21500"/>
        <n v="21600"/>
        <n v="21640"/>
        <n v="21680"/>
        <n v="21760"/>
        <n v="21800"/>
        <n v="21840"/>
        <n v="21880"/>
        <n v="21900"/>
        <n v="21940"/>
        <n v="21960"/>
        <n v="22060"/>
        <n v="22080"/>
        <n v="22120"/>
        <n v="22140"/>
        <n v="22180"/>
        <n v="22200"/>
        <n v="22220"/>
        <n v="22240"/>
        <n v="22340"/>
        <n v="22400"/>
        <n v="22440"/>
        <n v="22480"/>
        <n v="22500"/>
        <n v="22560"/>
        <n v="22600"/>
        <n v="22620"/>
        <n v="22640"/>
        <n v="22680"/>
        <n v="22720"/>
        <n v="22760"/>
        <n v="22780"/>
        <n v="22800"/>
        <n v="22840"/>
        <n v="22860"/>
        <n v="22900"/>
        <n v="23020"/>
        <n v="23140"/>
        <n v="23240"/>
        <n v="23300"/>
        <n v="23340"/>
        <n v="23400"/>
        <n v="23460"/>
        <n v="23480"/>
        <n v="23520"/>
        <n v="23580"/>
        <n v="23600"/>
        <n v="23700"/>
        <n v="23800"/>
        <n v="24360"/>
        <n v="24420"/>
        <n v="24500"/>
        <n v="24520"/>
        <n v="24600"/>
        <n v="24820"/>
        <n v="24940"/>
        <n v="25020"/>
        <n v="25220"/>
        <n v="25240"/>
        <n v="25300"/>
        <n v="25380"/>
        <n v="25440"/>
        <n v="25540"/>
        <n v="25600"/>
        <n v="25640"/>
        <n v="25780"/>
        <n v="25820"/>
        <n v="25840"/>
        <n v="25860"/>
        <n v="25920"/>
        <n v="25980"/>
        <n v="26040"/>
        <n v="26120"/>
        <n v="26140"/>
        <n v="26160"/>
        <n v="26180"/>
        <n v="26220"/>
        <n v="26240"/>
        <n v="26300"/>
        <n v="26420"/>
        <n v="26480"/>
        <n v="26500"/>
        <n v="26660"/>
        <n v="26840"/>
        <n v="26880"/>
        <n v="26900"/>
        <n v="26920"/>
        <n v="27020"/>
        <n v="27040"/>
        <n v="27060"/>
        <n v="27140"/>
        <n v="27180"/>
        <n v="27200"/>
        <n v="27300"/>
        <n v="27340"/>
        <n v="27360"/>
        <n v="27400"/>
        <n v="27420"/>
        <n v="27440"/>
        <n v="27500"/>
        <n v="27520"/>
        <n v="27560"/>
        <n v="27580"/>
        <n v="27600"/>
        <n v="27620"/>
        <n v="27700"/>
        <n v="27760"/>
        <n v="27800"/>
        <n v="27820"/>
        <n v="27860"/>
        <n v="27980"/>
        <n v="28020"/>
        <n v="28300"/>
        <n v="28400"/>
        <n v="28540"/>
        <n v="28560"/>
        <n v="28760"/>
      </sharedItems>
    </cacheField>
    <cacheField name="Tara" numFmtId="0">
      <sharedItems count="118" containsMixedTypes="0" containsSemiMixedTypes="0" containsString="0" containsNumber="1">
        <n v="1180"/>
        <n v="1460"/>
        <n v="1480"/>
        <n v="2100"/>
        <n v="2280"/>
        <n v="2360"/>
        <n v="2380"/>
        <n v="2400"/>
        <n v="2420"/>
        <n v="2460"/>
        <n v="2470"/>
        <n v="2540"/>
        <n v="2560"/>
        <n v="2580"/>
        <n v="2600"/>
        <n v="2620"/>
        <n v="2660"/>
        <n v="2680"/>
        <n v="2720"/>
        <n v="2740"/>
        <n v="2760"/>
        <n v="2780"/>
        <n v="2800"/>
        <n v="2820"/>
        <n v="2840"/>
        <n v="2860"/>
        <n v="2880"/>
        <n v="2900"/>
        <n v="2920"/>
        <n v="2940"/>
        <n v="2960"/>
        <n v="2980"/>
        <n v="3020"/>
        <n v="3040"/>
        <n v="3060"/>
        <n v="3080"/>
        <n v="3480"/>
        <n v="3500"/>
        <n v="3520"/>
        <n v="3560"/>
        <n v="3580"/>
        <n v="3600"/>
        <n v="3620"/>
        <n v="3640"/>
        <n v="3660"/>
        <n v="3720"/>
        <n v="3740"/>
        <n v="3780"/>
        <n v="3800"/>
        <n v="5540"/>
        <n v="5560"/>
        <n v="5660"/>
        <n v="5820"/>
        <n v="11400"/>
        <n v="12380"/>
        <n v="12420"/>
        <n v="12440"/>
        <n v="12460"/>
        <n v="12480"/>
        <n v="12500"/>
        <n v="12520"/>
        <n v="12540"/>
        <n v="12580"/>
        <n v="12680"/>
        <n v="12700"/>
        <n v="12720"/>
        <n v="12740"/>
        <n v="12760"/>
        <n v="12780"/>
        <n v="12800"/>
        <n v="12820"/>
        <n v="12840"/>
        <n v="12860"/>
        <n v="12880"/>
        <n v="12900"/>
        <n v="12920"/>
        <n v="12940"/>
        <n v="12960"/>
        <n v="12980"/>
        <n v="13000"/>
        <n v="13020"/>
        <n v="13040"/>
        <n v="13060"/>
        <n v="13080"/>
        <n v="13100"/>
        <n v="13120"/>
        <n v="13140"/>
        <n v="13180"/>
        <n v="15200"/>
        <n v="15700"/>
        <n v="15720"/>
        <n v="15760"/>
        <n v="15780"/>
        <n v="15800"/>
        <n v="15820"/>
        <n v="15840"/>
        <n v="15860"/>
        <n v="15870"/>
        <n v="15880"/>
        <n v="15900"/>
        <n v="15920"/>
        <n v="15940"/>
        <n v="15960"/>
        <n v="15980"/>
        <n v="16000"/>
        <n v="16020"/>
        <n v="16040"/>
        <n v="16060"/>
        <n v="16080"/>
        <n v="16100"/>
        <n v="16120"/>
        <n v="16140"/>
        <n v="16180"/>
        <n v="16200"/>
        <n v="16220"/>
        <n v="16300"/>
        <n v="16320"/>
        <n v="16480"/>
      </sharedItems>
    </cacheField>
    <cacheField name="Carga" numFmtId="0">
      <sharedItems count="253" containsMixedTypes="0" containsSemiMixedTypes="0" containsString="0" containsNumber="1">
        <n v="100"/>
        <n v="120"/>
        <n v="140"/>
        <n v="160"/>
        <n v="180"/>
        <n v="200"/>
        <n v="220"/>
        <n v="23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60"/>
        <n v="580"/>
        <n v="600"/>
        <n v="620"/>
        <n v="640"/>
        <n v="660"/>
        <n v="680"/>
        <n v="700"/>
        <n v="720"/>
        <n v="740"/>
        <n v="780"/>
        <n v="800"/>
        <n v="820"/>
        <n v="840"/>
        <n v="860"/>
        <n v="880"/>
        <n v="900"/>
        <n v="920"/>
        <n v="960"/>
        <n v="980"/>
        <n v="1000"/>
        <n v="1040"/>
        <n v="1080"/>
        <n v="1120"/>
        <n v="1180"/>
        <n v="1200"/>
        <n v="1220"/>
        <n v="1240"/>
        <n v="1260"/>
        <n v="1280"/>
        <n v="1300"/>
        <n v="1320"/>
        <n v="1340"/>
        <n v="1360"/>
        <n v="1380"/>
        <n v="1400"/>
        <n v="1420"/>
        <n v="1440"/>
        <n v="1480"/>
        <n v="1520"/>
        <n v="1680"/>
        <n v="1700"/>
        <n v="1720"/>
        <n v="1820"/>
        <n v="1840"/>
        <n v="1880"/>
        <n v="1920"/>
        <n v="1960"/>
        <n v="2060"/>
        <n v="2240"/>
        <n v="2340"/>
        <n v="2440"/>
        <n v="2500"/>
        <n v="2540"/>
        <n v="2580"/>
        <n v="2640"/>
        <n v="2660"/>
        <n v="2780"/>
        <n v="2820"/>
        <n v="2840"/>
        <n v="2920"/>
        <n v="2980"/>
        <n v="3000"/>
        <n v="3020"/>
        <n v="3060"/>
        <n v="3080"/>
        <n v="3100"/>
        <n v="3120"/>
        <n v="3180"/>
        <n v="3200"/>
        <n v="3260"/>
        <n v="3340"/>
        <n v="3360"/>
        <n v="3380"/>
        <n v="3400"/>
        <n v="3440"/>
        <n v="3460"/>
        <n v="3480"/>
        <n v="3500"/>
        <n v="3560"/>
        <n v="3620"/>
        <n v="3640"/>
        <n v="3700"/>
        <n v="3780"/>
        <n v="3840"/>
        <n v="3920"/>
        <n v="3960"/>
        <n v="4220"/>
        <n v="4300"/>
        <n v="4320"/>
        <n v="4480"/>
        <n v="4520"/>
        <n v="4620"/>
        <n v="4680"/>
        <n v="4740"/>
        <n v="4840"/>
        <n v="4880"/>
        <n v="4960"/>
        <n v="4980"/>
        <n v="5060"/>
        <n v="5080"/>
        <n v="5160"/>
        <n v="5200"/>
        <n v="5280"/>
        <n v="5360"/>
        <n v="5380"/>
        <n v="5580"/>
        <n v="5600"/>
        <n v="5640"/>
        <n v="5680"/>
        <n v="6120"/>
        <n v="6680"/>
        <n v="6740"/>
        <n v="6780"/>
        <n v="6900"/>
        <n v="6940"/>
        <n v="7040"/>
        <n v="7280"/>
        <n v="7420"/>
        <n v="7540"/>
        <n v="7680"/>
        <n v="8060"/>
        <n v="8180"/>
        <n v="8240"/>
        <n v="8280"/>
        <n v="8320"/>
        <n v="8380"/>
        <n v="8460"/>
        <n v="8520"/>
        <n v="8560"/>
        <n v="8580"/>
        <n v="8640"/>
        <n v="8660"/>
        <n v="8680"/>
        <n v="8700"/>
        <n v="8720"/>
        <n v="8760"/>
        <n v="8780"/>
        <n v="8920"/>
        <n v="8980"/>
        <n v="9020"/>
        <n v="9080"/>
        <n v="9100"/>
        <n v="9120"/>
        <n v="9140"/>
        <n v="9160"/>
        <n v="9200"/>
        <n v="9260"/>
        <n v="9280"/>
        <n v="9300"/>
        <n v="9380"/>
        <n v="9400"/>
        <n v="9420"/>
        <n v="9440"/>
        <n v="9460"/>
        <n v="9480"/>
        <n v="9520"/>
        <n v="9560"/>
        <n v="9600"/>
        <n v="9620"/>
        <n v="9660"/>
        <n v="9680"/>
        <n v="9740"/>
        <n v="9760"/>
        <n v="9820"/>
        <n v="9840"/>
        <n v="9860"/>
        <n v="9880"/>
        <n v="9900"/>
        <n v="9920"/>
        <n v="9940"/>
        <n v="9960"/>
        <n v="9980"/>
        <n v="10000"/>
        <n v="10020"/>
        <n v="10040"/>
        <n v="10080"/>
        <n v="10120"/>
        <n v="10200"/>
        <n v="10220"/>
        <n v="10240"/>
        <n v="10260"/>
        <n v="10300"/>
        <n v="10340"/>
        <n v="10380"/>
        <n v="10400"/>
        <n v="10440"/>
        <n v="10460"/>
        <n v="10500"/>
        <n v="10520"/>
        <n v="10560"/>
        <n v="10600"/>
        <n v="10660"/>
        <n v="10720"/>
        <n v="10760"/>
        <n v="10820"/>
        <n v="10880"/>
        <n v="10980"/>
        <n v="11020"/>
        <n v="11060"/>
        <n v="11080"/>
        <n v="11180"/>
        <n v="11260"/>
        <n v="11280"/>
        <n v="11300"/>
        <n v="11310"/>
        <n v="11360"/>
        <n v="11380"/>
        <n v="11440"/>
        <n v="11480"/>
        <n v="11520"/>
        <n v="11540"/>
        <n v="11560"/>
        <n v="11600"/>
        <n v="11620"/>
        <n v="11640"/>
        <n v="11660"/>
        <n v="11700"/>
        <n v="11740"/>
        <n v="11840"/>
        <n v="11880"/>
        <n v="11900"/>
        <n v="12060"/>
        <n v="12200"/>
        <n v="12240"/>
        <n v="12340"/>
        <n v="12420"/>
        <n v="12560"/>
        <n v="12660"/>
      </sharedItems>
    </cacheField>
    <cacheField name="Población" numFmtId="0">
      <sharedItems count="1" containsMixedTypes="0" containsSemiMixedTypes="0" containsString="1" containsNumber="0">
        <s v="Peñiscola "/>
      </sharedItems>
    </cacheField>
    <cacheField name="Residuo" numFmtId="0">
      <sharedItems count="6" containsMixedTypes="0" containsSemiMixedTypes="0" containsString="1" containsNumber="0">
        <s v="LIMP.PLAYA"/>
        <s v="PODA"/>
        <s v="RSU"/>
        <s v="SEL.ENV"/>
        <s v="SEL.PAP"/>
        <s v="VOL"/>
      </sharedItems>
    </cacheField>
    <cacheField name="revisado" numFmtId="0">
      <sharedItems count="1" containsMixedTypes="0" containsSemiMixedTypes="0" containsString="1" containsNumber="0">
        <s v="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7">
  <r>
    <x v="0"/>
    <x v="12"/>
    <x v="18"/>
    <x v="7"/>
    <x v="208"/>
    <x v="81"/>
    <x v="175"/>
    <x v="0"/>
    <x v="2"/>
    <x v="0"/>
  </r>
  <r>
    <x v="0"/>
    <x v="50"/>
    <x v="19"/>
    <x v="2"/>
    <x v="247"/>
    <x v="94"/>
    <x v="181"/>
    <x v="0"/>
    <x v="2"/>
    <x v="0"/>
  </r>
  <r>
    <x v="0"/>
    <x v="55"/>
    <x v="20"/>
    <x v="7"/>
    <x v="176"/>
    <x v="80"/>
    <x v="137"/>
    <x v="0"/>
    <x v="2"/>
    <x v="0"/>
  </r>
  <r>
    <x v="0"/>
    <x v="84"/>
    <x v="21"/>
    <x v="8"/>
    <x v="78"/>
    <x v="41"/>
    <x v="49"/>
    <x v="0"/>
    <x v="2"/>
    <x v="0"/>
  </r>
  <r>
    <x v="0"/>
    <x v="130"/>
    <x v="22"/>
    <x v="7"/>
    <x v="134"/>
    <x v="71"/>
    <x v="115"/>
    <x v="0"/>
    <x v="2"/>
    <x v="0"/>
  </r>
  <r>
    <x v="0"/>
    <x v="133"/>
    <x v="23"/>
    <x v="2"/>
    <x v="185"/>
    <x v="92"/>
    <x v="132"/>
    <x v="0"/>
    <x v="2"/>
    <x v="0"/>
  </r>
  <r>
    <x v="0"/>
    <x v="138"/>
    <x v="24"/>
    <x v="8"/>
    <x v="70"/>
    <x v="46"/>
    <x v="38"/>
    <x v="0"/>
    <x v="2"/>
    <x v="0"/>
  </r>
  <r>
    <x v="0"/>
    <x v="233"/>
    <x v="26"/>
    <x v="6"/>
    <x v="36"/>
    <x v="26"/>
    <x v="21"/>
    <x v="0"/>
    <x v="2"/>
    <x v="0"/>
  </r>
  <r>
    <x v="0"/>
    <x v="204"/>
    <x v="25"/>
    <x v="9"/>
    <x v="91"/>
    <x v="50"/>
    <x v="9"/>
    <x v="0"/>
    <x v="5"/>
    <x v="0"/>
  </r>
  <r>
    <x v="0"/>
    <x v="265"/>
    <x v="27"/>
    <x v="7"/>
    <x v="111"/>
    <x v="69"/>
    <x v="89"/>
    <x v="0"/>
    <x v="2"/>
    <x v="0"/>
  </r>
  <r>
    <x v="0"/>
    <x v="291"/>
    <x v="28"/>
    <x v="1"/>
    <x v="18"/>
    <x v="20"/>
    <x v="9"/>
    <x v="0"/>
    <x v="2"/>
    <x v="0"/>
  </r>
  <r>
    <x v="0"/>
    <x v="310"/>
    <x v="29"/>
    <x v="6"/>
    <x v="27"/>
    <x v="33"/>
    <x v="3"/>
    <x v="0"/>
    <x v="2"/>
    <x v="0"/>
  </r>
  <r>
    <x v="0"/>
    <x v="319"/>
    <x v="30"/>
    <x v="2"/>
    <x v="241"/>
    <x v="99"/>
    <x v="162"/>
    <x v="0"/>
    <x v="2"/>
    <x v="0"/>
  </r>
  <r>
    <x v="1"/>
    <x v="35"/>
    <x v="0"/>
    <x v="3"/>
    <x v="250"/>
    <x v="100"/>
    <x v="185"/>
    <x v="0"/>
    <x v="2"/>
    <x v="0"/>
  </r>
  <r>
    <x v="1"/>
    <x v="6"/>
    <x v="31"/>
    <x v="7"/>
    <x v="186"/>
    <x v="82"/>
    <x v="150"/>
    <x v="0"/>
    <x v="2"/>
    <x v="0"/>
  </r>
  <r>
    <x v="1"/>
    <x v="38"/>
    <x v="32"/>
    <x v="6"/>
    <x v="22"/>
    <x v="25"/>
    <x v="8"/>
    <x v="0"/>
    <x v="2"/>
    <x v="0"/>
  </r>
  <r>
    <x v="1"/>
    <x v="64"/>
    <x v="33"/>
    <x v="8"/>
    <x v="75"/>
    <x v="39"/>
    <x v="48"/>
    <x v="0"/>
    <x v="2"/>
    <x v="0"/>
  </r>
  <r>
    <x v="1"/>
    <x v="82"/>
    <x v="34"/>
    <x v="7"/>
    <x v="195"/>
    <x v="69"/>
    <x v="166"/>
    <x v="0"/>
    <x v="2"/>
    <x v="0"/>
  </r>
  <r>
    <x v="1"/>
    <x v="111"/>
    <x v="35"/>
    <x v="2"/>
    <x v="250"/>
    <x v="100"/>
    <x v="185"/>
    <x v="0"/>
    <x v="2"/>
    <x v="0"/>
  </r>
  <r>
    <x v="1"/>
    <x v="132"/>
    <x v="36"/>
    <x v="8"/>
    <x v="66"/>
    <x v="39"/>
    <x v="40"/>
    <x v="0"/>
    <x v="2"/>
    <x v="0"/>
  </r>
  <r>
    <x v="1"/>
    <x v="138"/>
    <x v="37"/>
    <x v="7"/>
    <x v="116"/>
    <x v="67"/>
    <x v="97"/>
    <x v="0"/>
    <x v="2"/>
    <x v="0"/>
  </r>
  <r>
    <x v="1"/>
    <x v="177"/>
    <x v="38"/>
    <x v="6"/>
    <x v="37"/>
    <x v="28"/>
    <x v="20"/>
    <x v="0"/>
    <x v="2"/>
    <x v="0"/>
  </r>
  <r>
    <x v="1"/>
    <x v="216"/>
    <x v="39"/>
    <x v="6"/>
    <x v="30"/>
    <x v="28"/>
    <x v="13"/>
    <x v="0"/>
    <x v="2"/>
    <x v="0"/>
  </r>
  <r>
    <x v="1"/>
    <x v="276"/>
    <x v="41"/>
    <x v="7"/>
    <x v="127"/>
    <x v="73"/>
    <x v="110"/>
    <x v="0"/>
    <x v="2"/>
    <x v="0"/>
  </r>
  <r>
    <x v="1"/>
    <x v="246"/>
    <x v="40"/>
    <x v="0"/>
    <x v="161"/>
    <x v="88"/>
    <x v="95"/>
    <x v="0"/>
    <x v="0"/>
    <x v="0"/>
  </r>
  <r>
    <x v="1"/>
    <x v="293"/>
    <x v="42"/>
    <x v="1"/>
    <x v="16"/>
    <x v="18"/>
    <x v="9"/>
    <x v="0"/>
    <x v="2"/>
    <x v="0"/>
  </r>
  <r>
    <x v="1"/>
    <x v="331"/>
    <x v="43"/>
    <x v="2"/>
    <x v="245"/>
    <x v="95"/>
    <x v="175"/>
    <x v="0"/>
    <x v="2"/>
    <x v="0"/>
  </r>
  <r>
    <x v="1"/>
    <x v="340"/>
    <x v="44"/>
    <x v="6"/>
    <x v="34"/>
    <x v="33"/>
    <x v="11"/>
    <x v="0"/>
    <x v="2"/>
    <x v="0"/>
  </r>
  <r>
    <x v="1"/>
    <x v="215"/>
    <x v="476"/>
    <x v="3"/>
    <x v="166"/>
    <x v="91"/>
    <x v="86"/>
    <x v="0"/>
    <x v="3"/>
    <x v="0"/>
  </r>
  <r>
    <x v="2"/>
    <x v="229"/>
    <x v="3"/>
    <x v="3"/>
    <x v="156"/>
    <x v="98"/>
    <x v="75"/>
    <x v="0"/>
    <x v="4"/>
    <x v="0"/>
  </r>
  <r>
    <x v="2"/>
    <x v="3"/>
    <x v="45"/>
    <x v="7"/>
    <x v="192"/>
    <x v="83"/>
    <x v="159"/>
    <x v="0"/>
    <x v="2"/>
    <x v="0"/>
  </r>
  <r>
    <x v="2"/>
    <x v="38"/>
    <x v="46"/>
    <x v="3"/>
    <x v="260"/>
    <x v="101"/>
    <x v="202"/>
    <x v="0"/>
    <x v="2"/>
    <x v="0"/>
  </r>
  <r>
    <x v="2"/>
    <x v="47"/>
    <x v="47"/>
    <x v="6"/>
    <x v="17"/>
    <x v="19"/>
    <x v="9"/>
    <x v="0"/>
    <x v="2"/>
    <x v="0"/>
  </r>
  <r>
    <x v="2"/>
    <x v="75"/>
    <x v="48"/>
    <x v="7"/>
    <x v="206"/>
    <x v="72"/>
    <x v="179"/>
    <x v="0"/>
    <x v="2"/>
    <x v="0"/>
  </r>
  <r>
    <x v="2"/>
    <x v="83"/>
    <x v="49"/>
    <x v="8"/>
    <x v="80"/>
    <x v="41"/>
    <x v="51"/>
    <x v="0"/>
    <x v="2"/>
    <x v="0"/>
  </r>
  <r>
    <x v="2"/>
    <x v="222"/>
    <x v="54"/>
    <x v="6"/>
    <x v="35"/>
    <x v="25"/>
    <x v="21"/>
    <x v="0"/>
    <x v="5"/>
    <x v="0"/>
  </r>
  <r>
    <x v="2"/>
    <x v="107"/>
    <x v="50"/>
    <x v="2"/>
    <x v="278"/>
    <x v="97"/>
    <x v="229"/>
    <x v="0"/>
    <x v="2"/>
    <x v="0"/>
  </r>
  <r>
    <x v="2"/>
    <x v="128"/>
    <x v="51"/>
    <x v="7"/>
    <x v="97"/>
    <x v="68"/>
    <x v="67"/>
    <x v="0"/>
    <x v="2"/>
    <x v="0"/>
  </r>
  <r>
    <x v="2"/>
    <x v="143"/>
    <x v="52"/>
    <x v="8"/>
    <x v="78"/>
    <x v="48"/>
    <x v="44"/>
    <x v="0"/>
    <x v="2"/>
    <x v="0"/>
  </r>
  <r>
    <x v="2"/>
    <x v="174"/>
    <x v="53"/>
    <x v="6"/>
    <x v="28"/>
    <x v="26"/>
    <x v="13"/>
    <x v="0"/>
    <x v="2"/>
    <x v="0"/>
  </r>
  <r>
    <x v="2"/>
    <x v="271"/>
    <x v="55"/>
    <x v="7"/>
    <x v="113"/>
    <x v="71"/>
    <x v="90"/>
    <x v="0"/>
    <x v="2"/>
    <x v="0"/>
  </r>
  <r>
    <x v="2"/>
    <x v="301"/>
    <x v="56"/>
    <x v="1"/>
    <x v="19"/>
    <x v="23"/>
    <x v="6"/>
    <x v="0"/>
    <x v="2"/>
    <x v="0"/>
  </r>
  <r>
    <x v="2"/>
    <x v="318"/>
    <x v="57"/>
    <x v="2"/>
    <x v="277"/>
    <x v="98"/>
    <x v="226"/>
    <x v="0"/>
    <x v="2"/>
    <x v="0"/>
  </r>
  <r>
    <x v="2"/>
    <x v="349"/>
    <x v="58"/>
    <x v="6"/>
    <x v="36"/>
    <x v="34"/>
    <x v="12"/>
    <x v="0"/>
    <x v="2"/>
    <x v="0"/>
  </r>
  <r>
    <x v="3"/>
    <x v="9"/>
    <x v="59"/>
    <x v="7"/>
    <x v="221"/>
    <x v="80"/>
    <x v="189"/>
    <x v="0"/>
    <x v="2"/>
    <x v="0"/>
  </r>
  <r>
    <x v="3"/>
    <x v="28"/>
    <x v="60"/>
    <x v="1"/>
    <x v="20"/>
    <x v="17"/>
    <x v="15"/>
    <x v="0"/>
    <x v="2"/>
    <x v="0"/>
  </r>
  <r>
    <x v="3"/>
    <x v="71"/>
    <x v="61"/>
    <x v="2"/>
    <x v="284"/>
    <x v="98"/>
    <x v="235"/>
    <x v="0"/>
    <x v="2"/>
    <x v="0"/>
  </r>
  <r>
    <x v="3"/>
    <x v="86"/>
    <x v="62"/>
    <x v="1"/>
    <x v="44"/>
    <x v="17"/>
    <x v="38"/>
    <x v="0"/>
    <x v="2"/>
    <x v="0"/>
  </r>
  <r>
    <x v="3"/>
    <x v="91"/>
    <x v="63"/>
    <x v="7"/>
    <x v="235"/>
    <x v="70"/>
    <x v="221"/>
    <x v="0"/>
    <x v="2"/>
    <x v="0"/>
  </r>
  <r>
    <x v="3"/>
    <x v="123"/>
    <x v="64"/>
    <x v="1"/>
    <x v="42"/>
    <x v="16"/>
    <x v="37"/>
    <x v="0"/>
    <x v="2"/>
    <x v="0"/>
  </r>
  <r>
    <x v="3"/>
    <x v="126"/>
    <x v="65"/>
    <x v="2"/>
    <x v="180"/>
    <x v="96"/>
    <x v="123"/>
    <x v="0"/>
    <x v="2"/>
    <x v="0"/>
  </r>
  <r>
    <x v="3"/>
    <x v="155"/>
    <x v="66"/>
    <x v="7"/>
    <x v="152"/>
    <x v="70"/>
    <x v="127"/>
    <x v="0"/>
    <x v="2"/>
    <x v="0"/>
  </r>
  <r>
    <x v="3"/>
    <x v="167"/>
    <x v="67"/>
    <x v="1"/>
    <x v="48"/>
    <x v="25"/>
    <x v="34"/>
    <x v="0"/>
    <x v="2"/>
    <x v="0"/>
  </r>
  <r>
    <x v="3"/>
    <x v="195"/>
    <x v="68"/>
    <x v="6"/>
    <x v="31"/>
    <x v="21"/>
    <x v="21"/>
    <x v="0"/>
    <x v="2"/>
    <x v="0"/>
  </r>
  <r>
    <x v="3"/>
    <x v="270"/>
    <x v="69"/>
    <x v="7"/>
    <x v="106"/>
    <x v="67"/>
    <x v="84"/>
    <x v="0"/>
    <x v="2"/>
    <x v="0"/>
  </r>
  <r>
    <x v="3"/>
    <x v="289"/>
    <x v="70"/>
    <x v="1"/>
    <x v="15"/>
    <x v="22"/>
    <x v="3"/>
    <x v="0"/>
    <x v="2"/>
    <x v="0"/>
  </r>
  <r>
    <x v="3"/>
    <x v="326"/>
    <x v="71"/>
    <x v="2"/>
    <x v="264"/>
    <x v="104"/>
    <x v="204"/>
    <x v="0"/>
    <x v="2"/>
    <x v="0"/>
  </r>
  <r>
    <x v="3"/>
    <x v="347"/>
    <x v="72"/>
    <x v="6"/>
    <x v="41"/>
    <x v="33"/>
    <x v="18"/>
    <x v="0"/>
    <x v="2"/>
    <x v="0"/>
  </r>
  <r>
    <x v="4"/>
    <x v="279"/>
    <x v="1"/>
    <x v="7"/>
    <x v="121"/>
    <x v="74"/>
    <x v="101"/>
    <x v="0"/>
    <x v="2"/>
    <x v="0"/>
  </r>
  <r>
    <x v="4"/>
    <x v="5"/>
    <x v="73"/>
    <x v="7"/>
    <x v="197"/>
    <x v="73"/>
    <x v="165"/>
    <x v="0"/>
    <x v="2"/>
    <x v="0"/>
  </r>
  <r>
    <x v="4"/>
    <x v="44"/>
    <x v="74"/>
    <x v="3"/>
    <x v="299"/>
    <x v="98"/>
    <x v="250"/>
    <x v="0"/>
    <x v="2"/>
    <x v="0"/>
  </r>
  <r>
    <x v="4"/>
    <x v="49"/>
    <x v="75"/>
    <x v="6"/>
    <x v="26"/>
    <x v="20"/>
    <x v="17"/>
    <x v="0"/>
    <x v="2"/>
    <x v="0"/>
  </r>
  <r>
    <x v="4"/>
    <x v="67"/>
    <x v="76"/>
    <x v="7"/>
    <x v="209"/>
    <x v="66"/>
    <x v="186"/>
    <x v="0"/>
    <x v="2"/>
    <x v="0"/>
  </r>
  <r>
    <x v="4"/>
    <x v="72"/>
    <x v="77"/>
    <x v="8"/>
    <x v="83"/>
    <x v="40"/>
    <x v="56"/>
    <x v="0"/>
    <x v="2"/>
    <x v="0"/>
  </r>
  <r>
    <x v="4"/>
    <x v="103"/>
    <x v="78"/>
    <x v="2"/>
    <x v="276"/>
    <x v="106"/>
    <x v="222"/>
    <x v="0"/>
    <x v="2"/>
    <x v="0"/>
  </r>
  <r>
    <x v="4"/>
    <x v="120"/>
    <x v="79"/>
    <x v="8"/>
    <x v="68"/>
    <x v="45"/>
    <x v="36"/>
    <x v="0"/>
    <x v="2"/>
    <x v="0"/>
  </r>
  <r>
    <x v="4"/>
    <x v="229"/>
    <x v="476"/>
    <x v="3"/>
    <x v="158"/>
    <x v="91"/>
    <x v="79"/>
    <x v="0"/>
    <x v="3"/>
    <x v="0"/>
  </r>
  <r>
    <x v="4"/>
    <x v="130"/>
    <x v="80"/>
    <x v="7"/>
    <x v="101"/>
    <x v="64"/>
    <x v="78"/>
    <x v="0"/>
    <x v="2"/>
    <x v="0"/>
  </r>
  <r>
    <x v="4"/>
    <x v="180"/>
    <x v="81"/>
    <x v="6"/>
    <x v="50"/>
    <x v="26"/>
    <x v="36"/>
    <x v="0"/>
    <x v="5"/>
    <x v="0"/>
  </r>
  <r>
    <x v="4"/>
    <x v="232"/>
    <x v="82"/>
    <x v="6"/>
    <x v="36"/>
    <x v="26"/>
    <x v="21"/>
    <x v="0"/>
    <x v="2"/>
    <x v="0"/>
  </r>
  <r>
    <x v="4"/>
    <x v="294"/>
    <x v="83"/>
    <x v="1"/>
    <x v="13"/>
    <x v="21"/>
    <x v="2"/>
    <x v="0"/>
    <x v="2"/>
    <x v="0"/>
  </r>
  <r>
    <x v="4"/>
    <x v="317"/>
    <x v="84"/>
    <x v="6"/>
    <x v="27"/>
    <x v="32"/>
    <x v="4"/>
    <x v="0"/>
    <x v="2"/>
    <x v="0"/>
  </r>
  <r>
    <x v="4"/>
    <x v="329"/>
    <x v="85"/>
    <x v="3"/>
    <x v="265"/>
    <x v="102"/>
    <x v="207"/>
    <x v="0"/>
    <x v="2"/>
    <x v="0"/>
  </r>
  <r>
    <x v="5"/>
    <x v="7"/>
    <x v="86"/>
    <x v="7"/>
    <x v="184"/>
    <x v="84"/>
    <x v="147"/>
    <x v="0"/>
    <x v="2"/>
    <x v="0"/>
  </r>
  <r>
    <x v="5"/>
    <x v="51"/>
    <x v="87"/>
    <x v="1"/>
    <x v="18"/>
    <x v="22"/>
    <x v="6"/>
    <x v="0"/>
    <x v="2"/>
    <x v="0"/>
  </r>
  <r>
    <x v="5"/>
    <x v="53"/>
    <x v="88"/>
    <x v="7"/>
    <x v="182"/>
    <x v="75"/>
    <x v="146"/>
    <x v="0"/>
    <x v="2"/>
    <x v="0"/>
  </r>
  <r>
    <x v="5"/>
    <x v="69"/>
    <x v="89"/>
    <x v="3"/>
    <x v="268"/>
    <x v="107"/>
    <x v="210"/>
    <x v="0"/>
    <x v="2"/>
    <x v="0"/>
  </r>
  <r>
    <x v="5"/>
    <x v="75"/>
    <x v="90"/>
    <x v="8"/>
    <x v="82"/>
    <x v="40"/>
    <x v="55"/>
    <x v="0"/>
    <x v="2"/>
    <x v="0"/>
  </r>
  <r>
    <x v="5"/>
    <x v="121"/>
    <x v="91"/>
    <x v="8"/>
    <x v="65"/>
    <x v="40"/>
    <x v="38"/>
    <x v="0"/>
    <x v="2"/>
    <x v="0"/>
  </r>
  <r>
    <x v="5"/>
    <x v="214"/>
    <x v="4"/>
    <x v="3"/>
    <x v="145"/>
    <x v="95"/>
    <x v="71"/>
    <x v="0"/>
    <x v="4"/>
    <x v="0"/>
  </r>
  <r>
    <x v="5"/>
    <x v="126"/>
    <x v="92"/>
    <x v="7"/>
    <x v="154"/>
    <x v="85"/>
    <x v="124"/>
    <x v="0"/>
    <x v="2"/>
    <x v="0"/>
  </r>
  <r>
    <x v="5"/>
    <x v="141"/>
    <x v="93"/>
    <x v="3"/>
    <x v="213"/>
    <x v="101"/>
    <x v="135"/>
    <x v="0"/>
    <x v="2"/>
    <x v="0"/>
  </r>
  <r>
    <x v="5"/>
    <x v="197"/>
    <x v="95"/>
    <x v="6"/>
    <x v="37"/>
    <x v="28"/>
    <x v="20"/>
    <x v="0"/>
    <x v="2"/>
    <x v="0"/>
  </r>
  <r>
    <x v="5"/>
    <x v="267"/>
    <x v="96"/>
    <x v="7"/>
    <x v="112"/>
    <x v="70"/>
    <x v="89"/>
    <x v="0"/>
    <x v="2"/>
    <x v="0"/>
  </r>
  <r>
    <x v="5"/>
    <x v="286"/>
    <x v="97"/>
    <x v="1"/>
    <x v="17"/>
    <x v="22"/>
    <x v="5"/>
    <x v="0"/>
    <x v="2"/>
    <x v="0"/>
  </r>
  <r>
    <x v="5"/>
    <x v="172"/>
    <x v="94"/>
    <x v="6"/>
    <x v="32"/>
    <x v="28"/>
    <x v="15"/>
    <x v="0"/>
    <x v="5"/>
    <x v="0"/>
  </r>
  <r>
    <x v="5"/>
    <x v="323"/>
    <x v="98"/>
    <x v="3"/>
    <x v="257"/>
    <x v="102"/>
    <x v="198"/>
    <x v="0"/>
    <x v="2"/>
    <x v="0"/>
  </r>
  <r>
    <x v="5"/>
    <x v="351"/>
    <x v="99"/>
    <x v="6"/>
    <x v="32"/>
    <x v="30"/>
    <x v="13"/>
    <x v="0"/>
    <x v="2"/>
    <x v="0"/>
  </r>
  <r>
    <x v="6"/>
    <x v="257"/>
    <x v="111"/>
    <x v="6"/>
    <x v="31"/>
    <x v="25"/>
    <x v="17"/>
    <x v="0"/>
    <x v="5"/>
    <x v="0"/>
  </r>
  <r>
    <x v="6"/>
    <x v="193"/>
    <x v="109"/>
    <x v="6"/>
    <x v="31"/>
    <x v="27"/>
    <x v="15"/>
    <x v="0"/>
    <x v="5"/>
    <x v="0"/>
  </r>
  <r>
    <x v="6"/>
    <x v="17"/>
    <x v="100"/>
    <x v="7"/>
    <x v="178"/>
    <x v="82"/>
    <x v="144"/>
    <x v="0"/>
    <x v="2"/>
    <x v="0"/>
  </r>
  <r>
    <x v="6"/>
    <x v="176"/>
    <x v="108"/>
    <x v="6"/>
    <x v="28"/>
    <x v="27"/>
    <x v="12"/>
    <x v="0"/>
    <x v="5"/>
    <x v="0"/>
  </r>
  <r>
    <x v="6"/>
    <x v="45"/>
    <x v="101"/>
    <x v="1"/>
    <x v="12"/>
    <x v="15"/>
    <x v="10"/>
    <x v="0"/>
    <x v="2"/>
    <x v="0"/>
  </r>
  <r>
    <x v="6"/>
    <x v="48"/>
    <x v="102"/>
    <x v="3"/>
    <x v="296"/>
    <x v="102"/>
    <x v="245"/>
    <x v="0"/>
    <x v="2"/>
    <x v="0"/>
  </r>
  <r>
    <x v="6"/>
    <x v="53"/>
    <x v="103"/>
    <x v="7"/>
    <x v="214"/>
    <x v="73"/>
    <x v="187"/>
    <x v="0"/>
    <x v="2"/>
    <x v="0"/>
  </r>
  <r>
    <x v="6"/>
    <x v="81"/>
    <x v="104"/>
    <x v="8"/>
    <x v="85"/>
    <x v="41"/>
    <x v="57"/>
    <x v="0"/>
    <x v="2"/>
    <x v="0"/>
  </r>
  <r>
    <x v="6"/>
    <x v="100"/>
    <x v="105"/>
    <x v="2"/>
    <x v="296"/>
    <x v="103"/>
    <x v="244"/>
    <x v="0"/>
    <x v="2"/>
    <x v="0"/>
  </r>
  <r>
    <x v="6"/>
    <x v="122"/>
    <x v="106"/>
    <x v="7"/>
    <x v="155"/>
    <x v="74"/>
    <x v="129"/>
    <x v="0"/>
    <x v="2"/>
    <x v="0"/>
  </r>
  <r>
    <x v="6"/>
    <x v="144"/>
    <x v="107"/>
    <x v="8"/>
    <x v="72"/>
    <x v="40"/>
    <x v="46"/>
    <x v="0"/>
    <x v="2"/>
    <x v="0"/>
  </r>
  <r>
    <x v="6"/>
    <x v="226"/>
    <x v="110"/>
    <x v="6"/>
    <x v="24"/>
    <x v="23"/>
    <x v="12"/>
    <x v="0"/>
    <x v="2"/>
    <x v="0"/>
  </r>
  <r>
    <x v="6"/>
    <x v="270"/>
    <x v="112"/>
    <x v="7"/>
    <x v="118"/>
    <x v="67"/>
    <x v="99"/>
    <x v="0"/>
    <x v="2"/>
    <x v="0"/>
  </r>
  <r>
    <x v="6"/>
    <x v="288"/>
    <x v="113"/>
    <x v="1"/>
    <x v="18"/>
    <x v="20"/>
    <x v="9"/>
    <x v="0"/>
    <x v="2"/>
    <x v="0"/>
  </r>
  <r>
    <x v="6"/>
    <x v="328"/>
    <x v="114"/>
    <x v="2"/>
    <x v="261"/>
    <x v="101"/>
    <x v="203"/>
    <x v="0"/>
    <x v="2"/>
    <x v="0"/>
  </r>
  <r>
    <x v="6"/>
    <x v="345"/>
    <x v="115"/>
    <x v="6"/>
    <x v="34"/>
    <x v="33"/>
    <x v="11"/>
    <x v="0"/>
    <x v="2"/>
    <x v="0"/>
  </r>
  <r>
    <x v="7"/>
    <x v="77"/>
    <x v="116"/>
    <x v="7"/>
    <x v="191"/>
    <x v="87"/>
    <x v="154"/>
    <x v="0"/>
    <x v="2"/>
    <x v="0"/>
  </r>
  <r>
    <x v="7"/>
    <x v="23"/>
    <x v="117"/>
    <x v="1"/>
    <x v="21"/>
    <x v="16"/>
    <x v="17"/>
    <x v="0"/>
    <x v="2"/>
    <x v="0"/>
  </r>
  <r>
    <x v="7"/>
    <x v="48"/>
    <x v="118"/>
    <x v="7"/>
    <x v="189"/>
    <x v="78"/>
    <x v="156"/>
    <x v="0"/>
    <x v="2"/>
    <x v="0"/>
  </r>
  <r>
    <x v="7"/>
    <x v="63"/>
    <x v="119"/>
    <x v="1"/>
    <x v="39"/>
    <x v="16"/>
    <x v="34"/>
    <x v="0"/>
    <x v="2"/>
    <x v="0"/>
  </r>
  <r>
    <x v="7"/>
    <x v="72"/>
    <x v="120"/>
    <x v="2"/>
    <x v="273"/>
    <x v="95"/>
    <x v="224"/>
    <x v="0"/>
    <x v="2"/>
    <x v="0"/>
  </r>
  <r>
    <x v="7"/>
    <x v="113"/>
    <x v="121"/>
    <x v="1"/>
    <x v="40"/>
    <x v="16"/>
    <x v="35"/>
    <x v="0"/>
    <x v="2"/>
    <x v="0"/>
  </r>
  <r>
    <x v="7"/>
    <x v="131"/>
    <x v="122"/>
    <x v="7"/>
    <x v="171"/>
    <x v="77"/>
    <x v="134"/>
    <x v="0"/>
    <x v="2"/>
    <x v="0"/>
  </r>
  <r>
    <x v="7"/>
    <x v="152"/>
    <x v="123"/>
    <x v="1"/>
    <x v="39"/>
    <x v="25"/>
    <x v="25"/>
    <x v="0"/>
    <x v="2"/>
    <x v="0"/>
  </r>
  <r>
    <x v="7"/>
    <x v="157"/>
    <x v="124"/>
    <x v="2"/>
    <x v="224"/>
    <x v="96"/>
    <x v="141"/>
    <x v="0"/>
    <x v="2"/>
    <x v="0"/>
  </r>
  <r>
    <x v="7"/>
    <x v="187"/>
    <x v="125"/>
    <x v="6"/>
    <x v="26"/>
    <x v="24"/>
    <x v="13"/>
    <x v="0"/>
    <x v="2"/>
    <x v="0"/>
  </r>
  <r>
    <x v="7"/>
    <x v="251"/>
    <x v="126"/>
    <x v="2"/>
    <x v="163"/>
    <x v="91"/>
    <x v="84"/>
    <x v="0"/>
    <x v="2"/>
    <x v="0"/>
  </r>
  <r>
    <x v="7"/>
    <x v="289"/>
    <x v="127"/>
    <x v="1"/>
    <x v="17"/>
    <x v="20"/>
    <x v="8"/>
    <x v="0"/>
    <x v="2"/>
    <x v="0"/>
  </r>
  <r>
    <x v="7"/>
    <x v="313"/>
    <x v="128"/>
    <x v="6"/>
    <x v="36"/>
    <x v="33"/>
    <x v="13"/>
    <x v="0"/>
    <x v="2"/>
    <x v="0"/>
  </r>
  <r>
    <x v="8"/>
    <x v="4"/>
    <x v="129"/>
    <x v="7"/>
    <x v="226"/>
    <x v="83"/>
    <x v="203"/>
    <x v="0"/>
    <x v="2"/>
    <x v="0"/>
  </r>
  <r>
    <x v="8"/>
    <x v="21"/>
    <x v="130"/>
    <x v="8"/>
    <x v="54"/>
    <x v="40"/>
    <x v="9"/>
    <x v="0"/>
    <x v="2"/>
    <x v="0"/>
  </r>
  <r>
    <x v="8"/>
    <x v="29"/>
    <x v="131"/>
    <x v="6"/>
    <x v="31"/>
    <x v="21"/>
    <x v="21"/>
    <x v="0"/>
    <x v="2"/>
    <x v="0"/>
  </r>
  <r>
    <x v="8"/>
    <x v="51"/>
    <x v="132"/>
    <x v="7"/>
    <x v="190"/>
    <x v="74"/>
    <x v="161"/>
    <x v="0"/>
    <x v="2"/>
    <x v="0"/>
  </r>
  <r>
    <x v="8"/>
    <x v="58"/>
    <x v="133"/>
    <x v="2"/>
    <x v="295"/>
    <x v="103"/>
    <x v="243"/>
    <x v="0"/>
    <x v="2"/>
    <x v="0"/>
  </r>
  <r>
    <x v="8"/>
    <x v="97"/>
    <x v="134"/>
    <x v="8"/>
    <x v="82"/>
    <x v="40"/>
    <x v="55"/>
    <x v="0"/>
    <x v="2"/>
    <x v="0"/>
  </r>
  <r>
    <x v="8"/>
    <x v="139"/>
    <x v="135"/>
    <x v="8"/>
    <x v="67"/>
    <x v="39"/>
    <x v="41"/>
    <x v="0"/>
    <x v="2"/>
    <x v="0"/>
  </r>
  <r>
    <x v="8"/>
    <x v="146"/>
    <x v="136"/>
    <x v="2"/>
    <x v="290"/>
    <x v="103"/>
    <x v="238"/>
    <x v="0"/>
    <x v="2"/>
    <x v="0"/>
  </r>
  <r>
    <x v="8"/>
    <x v="155"/>
    <x v="137"/>
    <x v="7"/>
    <x v="183"/>
    <x v="73"/>
    <x v="149"/>
    <x v="0"/>
    <x v="2"/>
    <x v="0"/>
  </r>
  <r>
    <x v="8"/>
    <x v="171"/>
    <x v="138"/>
    <x v="6"/>
    <x v="23"/>
    <x v="20"/>
    <x v="14"/>
    <x v="0"/>
    <x v="2"/>
    <x v="0"/>
  </r>
  <r>
    <x v="8"/>
    <x v="201"/>
    <x v="139"/>
    <x v="6"/>
    <x v="29"/>
    <x v="20"/>
    <x v="20"/>
    <x v="0"/>
    <x v="2"/>
    <x v="0"/>
  </r>
  <r>
    <x v="8"/>
    <x v="268"/>
    <x v="141"/>
    <x v="7"/>
    <x v="129"/>
    <x v="68"/>
    <x v="111"/>
    <x v="0"/>
    <x v="2"/>
    <x v="0"/>
  </r>
  <r>
    <x v="8"/>
    <x v="287"/>
    <x v="142"/>
    <x v="1"/>
    <x v="18"/>
    <x v="23"/>
    <x v="5"/>
    <x v="0"/>
    <x v="2"/>
    <x v="0"/>
  </r>
  <r>
    <x v="8"/>
    <x v="258"/>
    <x v="140"/>
    <x v="6"/>
    <x v="35"/>
    <x v="23"/>
    <x v="23"/>
    <x v="0"/>
    <x v="5"/>
    <x v="0"/>
  </r>
  <r>
    <x v="8"/>
    <x v="335"/>
    <x v="143"/>
    <x v="3"/>
    <x v="299"/>
    <x v="102"/>
    <x v="249"/>
    <x v="0"/>
    <x v="2"/>
    <x v="0"/>
  </r>
  <r>
    <x v="8"/>
    <x v="347"/>
    <x v="144"/>
    <x v="6"/>
    <x v="37"/>
    <x v="35"/>
    <x v="12"/>
    <x v="0"/>
    <x v="2"/>
    <x v="0"/>
  </r>
  <r>
    <x v="8"/>
    <x v="243"/>
    <x v="476"/>
    <x v="2"/>
    <x v="180"/>
    <x v="91"/>
    <x v="125"/>
    <x v="0"/>
    <x v="3"/>
    <x v="0"/>
  </r>
  <r>
    <x v="9"/>
    <x v="237"/>
    <x v="6"/>
    <x v="9"/>
    <x v="93"/>
    <x v="52"/>
    <x v="21"/>
    <x v="0"/>
    <x v="4"/>
    <x v="0"/>
  </r>
  <r>
    <x v="9"/>
    <x v="9"/>
    <x v="145"/>
    <x v="7"/>
    <x v="207"/>
    <x v="85"/>
    <x v="172"/>
    <x v="0"/>
    <x v="2"/>
    <x v="0"/>
  </r>
  <r>
    <x v="9"/>
    <x v="20"/>
    <x v="146"/>
    <x v="8"/>
    <x v="54"/>
    <x v="42"/>
    <x v="6"/>
    <x v="0"/>
    <x v="2"/>
    <x v="0"/>
  </r>
  <r>
    <x v="9"/>
    <x v="64"/>
    <x v="147"/>
    <x v="6"/>
    <x v="19"/>
    <x v="21"/>
    <x v="9"/>
    <x v="0"/>
    <x v="2"/>
    <x v="0"/>
  </r>
  <r>
    <x v="9"/>
    <x v="67"/>
    <x v="148"/>
    <x v="7"/>
    <x v="205"/>
    <x v="76"/>
    <x v="173"/>
    <x v="0"/>
    <x v="2"/>
    <x v="0"/>
  </r>
  <r>
    <x v="9"/>
    <x v="77"/>
    <x v="149"/>
    <x v="3"/>
    <x v="298"/>
    <x v="111"/>
    <x v="244"/>
    <x v="0"/>
    <x v="2"/>
    <x v="0"/>
  </r>
  <r>
    <x v="9"/>
    <x v="87"/>
    <x v="150"/>
    <x v="8"/>
    <x v="86"/>
    <x v="41"/>
    <x v="58"/>
    <x v="0"/>
    <x v="2"/>
    <x v="0"/>
  </r>
  <r>
    <x v="9"/>
    <x v="118"/>
    <x v="151"/>
    <x v="2"/>
    <x v="289"/>
    <x v="103"/>
    <x v="237"/>
    <x v="0"/>
    <x v="2"/>
    <x v="0"/>
  </r>
  <r>
    <x v="9"/>
    <x v="135"/>
    <x v="152"/>
    <x v="7"/>
    <x v="136"/>
    <x v="78"/>
    <x v="114"/>
    <x v="0"/>
    <x v="2"/>
    <x v="0"/>
  </r>
  <r>
    <x v="9"/>
    <x v="146"/>
    <x v="153"/>
    <x v="8"/>
    <x v="82"/>
    <x v="47"/>
    <x v="47"/>
    <x v="0"/>
    <x v="2"/>
    <x v="0"/>
  </r>
  <r>
    <x v="9"/>
    <x v="178"/>
    <x v="154"/>
    <x v="6"/>
    <x v="37"/>
    <x v="29"/>
    <x v="19"/>
    <x v="0"/>
    <x v="2"/>
    <x v="0"/>
  </r>
  <r>
    <x v="9"/>
    <x v="203"/>
    <x v="155"/>
    <x v="7"/>
    <x v="115"/>
    <x v="61"/>
    <x v="101"/>
    <x v="0"/>
    <x v="2"/>
    <x v="0"/>
  </r>
  <r>
    <x v="9"/>
    <x v="275"/>
    <x v="157"/>
    <x v="7"/>
    <x v="132"/>
    <x v="71"/>
    <x v="113"/>
    <x v="0"/>
    <x v="2"/>
    <x v="0"/>
  </r>
  <r>
    <x v="9"/>
    <x v="296"/>
    <x v="158"/>
    <x v="1"/>
    <x v="21"/>
    <x v="23"/>
    <x v="9"/>
    <x v="0"/>
    <x v="2"/>
    <x v="0"/>
  </r>
  <r>
    <x v="9"/>
    <x v="323"/>
    <x v="159"/>
    <x v="3"/>
    <x v="300"/>
    <x v="113"/>
    <x v="247"/>
    <x v="0"/>
    <x v="2"/>
    <x v="0"/>
  </r>
  <r>
    <x v="9"/>
    <x v="339"/>
    <x v="160"/>
    <x v="6"/>
    <x v="34"/>
    <x v="33"/>
    <x v="11"/>
    <x v="0"/>
    <x v="2"/>
    <x v="0"/>
  </r>
  <r>
    <x v="9"/>
    <x v="351"/>
    <x v="161"/>
    <x v="3"/>
    <x v="137"/>
    <x v="110"/>
    <x v="58"/>
    <x v="0"/>
    <x v="2"/>
    <x v="0"/>
  </r>
  <r>
    <x v="9"/>
    <x v="234"/>
    <x v="156"/>
    <x v="6"/>
    <x v="23"/>
    <x v="24"/>
    <x v="10"/>
    <x v="0"/>
    <x v="5"/>
    <x v="0"/>
  </r>
  <r>
    <x v="10"/>
    <x v="8"/>
    <x v="162"/>
    <x v="7"/>
    <x v="231"/>
    <x v="82"/>
    <x v="211"/>
    <x v="0"/>
    <x v="2"/>
    <x v="0"/>
  </r>
  <r>
    <x v="10"/>
    <x v="27"/>
    <x v="163"/>
    <x v="8"/>
    <x v="58"/>
    <x v="41"/>
    <x v="22"/>
    <x v="0"/>
    <x v="2"/>
    <x v="0"/>
  </r>
  <r>
    <x v="10"/>
    <x v="56"/>
    <x v="164"/>
    <x v="7"/>
    <x v="183"/>
    <x v="73"/>
    <x v="149"/>
    <x v="0"/>
    <x v="2"/>
    <x v="0"/>
  </r>
  <r>
    <x v="10"/>
    <x v="70"/>
    <x v="165"/>
    <x v="2"/>
    <x v="301"/>
    <x v="103"/>
    <x v="251"/>
    <x v="0"/>
    <x v="2"/>
    <x v="0"/>
  </r>
  <r>
    <x v="10"/>
    <x v="96"/>
    <x v="166"/>
    <x v="8"/>
    <x v="87"/>
    <x v="41"/>
    <x v="59"/>
    <x v="0"/>
    <x v="2"/>
    <x v="0"/>
  </r>
  <r>
    <x v="10"/>
    <x v="156"/>
    <x v="167"/>
    <x v="2"/>
    <x v="243"/>
    <x v="106"/>
    <x v="163"/>
    <x v="0"/>
    <x v="2"/>
    <x v="0"/>
  </r>
  <r>
    <x v="10"/>
    <x v="157"/>
    <x v="168"/>
    <x v="8"/>
    <x v="80"/>
    <x v="40"/>
    <x v="52"/>
    <x v="0"/>
    <x v="2"/>
    <x v="0"/>
  </r>
  <r>
    <x v="10"/>
    <x v="161"/>
    <x v="169"/>
    <x v="7"/>
    <x v="199"/>
    <x v="82"/>
    <x v="164"/>
    <x v="0"/>
    <x v="2"/>
    <x v="0"/>
  </r>
  <r>
    <x v="10"/>
    <x v="179"/>
    <x v="170"/>
    <x v="6"/>
    <x v="35"/>
    <x v="23"/>
    <x v="23"/>
    <x v="0"/>
    <x v="2"/>
    <x v="0"/>
  </r>
  <r>
    <x v="10"/>
    <x v="229"/>
    <x v="171"/>
    <x v="6"/>
    <x v="17"/>
    <x v="23"/>
    <x v="4"/>
    <x v="0"/>
    <x v="2"/>
    <x v="0"/>
  </r>
  <r>
    <x v="10"/>
    <x v="264"/>
    <x v="172"/>
    <x v="7"/>
    <x v="114"/>
    <x v="67"/>
    <x v="93"/>
    <x v="0"/>
    <x v="2"/>
    <x v="0"/>
  </r>
  <r>
    <x v="10"/>
    <x v="298"/>
    <x v="173"/>
    <x v="1"/>
    <x v="19"/>
    <x v="23"/>
    <x v="6"/>
    <x v="0"/>
    <x v="2"/>
    <x v="0"/>
  </r>
  <r>
    <x v="10"/>
    <x v="324"/>
    <x v="174"/>
    <x v="3"/>
    <x v="275"/>
    <x v="116"/>
    <x v="217"/>
    <x v="0"/>
    <x v="2"/>
    <x v="0"/>
  </r>
  <r>
    <x v="10"/>
    <x v="346"/>
    <x v="175"/>
    <x v="6"/>
    <x v="42"/>
    <x v="32"/>
    <x v="20"/>
    <x v="0"/>
    <x v="2"/>
    <x v="0"/>
  </r>
  <r>
    <x v="11"/>
    <x v="15"/>
    <x v="176"/>
    <x v="7"/>
    <x v="225"/>
    <x v="85"/>
    <x v="201"/>
    <x v="0"/>
    <x v="2"/>
    <x v="0"/>
  </r>
  <r>
    <x v="11"/>
    <x v="24"/>
    <x v="177"/>
    <x v="1"/>
    <x v="19"/>
    <x v="17"/>
    <x v="14"/>
    <x v="0"/>
    <x v="2"/>
    <x v="0"/>
  </r>
  <r>
    <x v="11"/>
    <x v="41"/>
    <x v="178"/>
    <x v="3"/>
    <x v="301"/>
    <x v="115"/>
    <x v="248"/>
    <x v="0"/>
    <x v="2"/>
    <x v="0"/>
  </r>
  <r>
    <x v="11"/>
    <x v="62"/>
    <x v="179"/>
    <x v="1"/>
    <x v="43"/>
    <x v="17"/>
    <x v="37"/>
    <x v="0"/>
    <x v="2"/>
    <x v="0"/>
  </r>
  <r>
    <x v="11"/>
    <x v="92"/>
    <x v="180"/>
    <x v="7"/>
    <x v="221"/>
    <x v="75"/>
    <x v="194"/>
    <x v="0"/>
    <x v="2"/>
    <x v="0"/>
  </r>
  <r>
    <x v="11"/>
    <x v="113"/>
    <x v="181"/>
    <x v="1"/>
    <x v="37"/>
    <x v="16"/>
    <x v="33"/>
    <x v="0"/>
    <x v="2"/>
    <x v="0"/>
  </r>
  <r>
    <x v="11"/>
    <x v="115"/>
    <x v="182"/>
    <x v="2"/>
    <x v="294"/>
    <x v="109"/>
    <x v="241"/>
    <x v="0"/>
    <x v="2"/>
    <x v="0"/>
  </r>
  <r>
    <x v="11"/>
    <x v="124"/>
    <x v="183"/>
    <x v="7"/>
    <x v="98"/>
    <x v="73"/>
    <x v="72"/>
    <x v="0"/>
    <x v="2"/>
    <x v="0"/>
  </r>
  <r>
    <x v="11"/>
    <x v="160"/>
    <x v="184"/>
    <x v="1"/>
    <x v="50"/>
    <x v="25"/>
    <x v="37"/>
    <x v="0"/>
    <x v="2"/>
    <x v="0"/>
  </r>
  <r>
    <x v="11"/>
    <x v="204"/>
    <x v="186"/>
    <x v="7"/>
    <x v="129"/>
    <x v="58"/>
    <x v="115"/>
    <x v="0"/>
    <x v="2"/>
    <x v="0"/>
  </r>
  <r>
    <x v="11"/>
    <x v="230"/>
    <x v="187"/>
    <x v="6"/>
    <x v="44"/>
    <x v="28"/>
    <x v="27"/>
    <x v="0"/>
    <x v="2"/>
    <x v="0"/>
  </r>
  <r>
    <x v="11"/>
    <x v="280"/>
    <x v="188"/>
    <x v="7"/>
    <x v="124"/>
    <x v="71"/>
    <x v="108"/>
    <x v="0"/>
    <x v="2"/>
    <x v="0"/>
  </r>
  <r>
    <x v="11"/>
    <x v="181"/>
    <x v="185"/>
    <x v="6"/>
    <x v="33"/>
    <x v="28"/>
    <x v="16"/>
    <x v="0"/>
    <x v="5"/>
    <x v="0"/>
  </r>
  <r>
    <x v="11"/>
    <x v="346"/>
    <x v="189"/>
    <x v="3"/>
    <x v="282"/>
    <x v="103"/>
    <x v="231"/>
    <x v="0"/>
    <x v="2"/>
    <x v="0"/>
  </r>
  <r>
    <x v="11"/>
    <x v="236"/>
    <x v="476"/>
    <x v="3"/>
    <x v="167"/>
    <x v="91"/>
    <x v="89"/>
    <x v="0"/>
    <x v="3"/>
    <x v="0"/>
  </r>
  <r>
    <x v="11"/>
    <x v="319"/>
    <x v="477"/>
    <x v="6"/>
    <x v="36"/>
    <x v="34"/>
    <x v="12"/>
    <x v="0"/>
    <x v="2"/>
    <x v="0"/>
  </r>
  <r>
    <x v="11"/>
    <x v="213"/>
    <x v="7"/>
    <x v="0"/>
    <x v="144"/>
    <x v="96"/>
    <x v="70"/>
    <x v="0"/>
    <x v="4"/>
    <x v="0"/>
  </r>
  <r>
    <x v="12"/>
    <x v="18"/>
    <x v="190"/>
    <x v="7"/>
    <x v="215"/>
    <x v="75"/>
    <x v="187"/>
    <x v="0"/>
    <x v="2"/>
    <x v="0"/>
  </r>
  <r>
    <x v="12"/>
    <x v="33"/>
    <x v="191"/>
    <x v="3"/>
    <x v="228"/>
    <x v="103"/>
    <x v="142"/>
    <x v="0"/>
    <x v="2"/>
    <x v="0"/>
  </r>
  <r>
    <x v="12"/>
    <x v="73"/>
    <x v="192"/>
    <x v="8"/>
    <x v="86"/>
    <x v="41"/>
    <x v="58"/>
    <x v="0"/>
    <x v="2"/>
    <x v="0"/>
  </r>
  <r>
    <x v="12"/>
    <x v="102"/>
    <x v="193"/>
    <x v="2"/>
    <x v="302"/>
    <x v="99"/>
    <x v="252"/>
    <x v="0"/>
    <x v="2"/>
    <x v="0"/>
  </r>
  <r>
    <x v="12"/>
    <x v="106"/>
    <x v="194"/>
    <x v="7"/>
    <x v="204"/>
    <x v="71"/>
    <x v="174"/>
    <x v="0"/>
    <x v="2"/>
    <x v="0"/>
  </r>
  <r>
    <x v="12"/>
    <x v="239"/>
    <x v="8"/>
    <x v="2"/>
    <x v="142"/>
    <x v="90"/>
    <x v="70"/>
    <x v="0"/>
    <x v="4"/>
    <x v="0"/>
  </r>
  <r>
    <x v="12"/>
    <x v="134"/>
    <x v="195"/>
    <x v="8"/>
    <x v="74"/>
    <x v="41"/>
    <x v="47"/>
    <x v="0"/>
    <x v="2"/>
    <x v="0"/>
  </r>
  <r>
    <x v="12"/>
    <x v="149"/>
    <x v="196"/>
    <x v="0"/>
    <x v="170"/>
    <x v="95"/>
    <x v="92"/>
    <x v="0"/>
    <x v="2"/>
    <x v="0"/>
  </r>
  <r>
    <x v="12"/>
    <x v="173"/>
    <x v="198"/>
    <x v="6"/>
    <x v="22"/>
    <x v="20"/>
    <x v="13"/>
    <x v="0"/>
    <x v="5"/>
    <x v="0"/>
  </r>
  <r>
    <x v="12"/>
    <x v="166"/>
    <x v="197"/>
    <x v="7"/>
    <x v="143"/>
    <x v="78"/>
    <x v="117"/>
    <x v="0"/>
    <x v="2"/>
    <x v="0"/>
  </r>
  <r>
    <x v="12"/>
    <x v="210"/>
    <x v="199"/>
    <x v="6"/>
    <x v="33"/>
    <x v="19"/>
    <x v="25"/>
    <x v="0"/>
    <x v="2"/>
    <x v="0"/>
  </r>
  <r>
    <x v="12"/>
    <x v="273"/>
    <x v="200"/>
    <x v="7"/>
    <x v="120"/>
    <x v="69"/>
    <x v="103"/>
    <x v="0"/>
    <x v="2"/>
    <x v="0"/>
  </r>
  <r>
    <x v="12"/>
    <x v="290"/>
    <x v="201"/>
    <x v="1"/>
    <x v="19"/>
    <x v="21"/>
    <x v="9"/>
    <x v="0"/>
    <x v="2"/>
    <x v="0"/>
  </r>
  <r>
    <x v="12"/>
    <x v="330"/>
    <x v="202"/>
    <x v="2"/>
    <x v="255"/>
    <x v="99"/>
    <x v="195"/>
    <x v="0"/>
    <x v="2"/>
    <x v="0"/>
  </r>
  <r>
    <x v="12"/>
    <x v="344"/>
    <x v="203"/>
    <x v="6"/>
    <x v="26"/>
    <x v="24"/>
    <x v="13"/>
    <x v="0"/>
    <x v="2"/>
    <x v="0"/>
  </r>
  <r>
    <x v="13"/>
    <x v="5"/>
    <x v="204"/>
    <x v="7"/>
    <x v="194"/>
    <x v="67"/>
    <x v="167"/>
    <x v="0"/>
    <x v="2"/>
    <x v="0"/>
  </r>
  <r>
    <x v="13"/>
    <x v="54"/>
    <x v="205"/>
    <x v="6"/>
    <x v="22"/>
    <x v="19"/>
    <x v="14"/>
    <x v="0"/>
    <x v="2"/>
    <x v="0"/>
  </r>
  <r>
    <x v="13"/>
    <x v="66"/>
    <x v="206"/>
    <x v="2"/>
    <x v="282"/>
    <x v="100"/>
    <x v="232"/>
    <x v="0"/>
    <x v="2"/>
    <x v="0"/>
  </r>
  <r>
    <x v="13"/>
    <x v="70"/>
    <x v="207"/>
    <x v="7"/>
    <x v="200"/>
    <x v="63"/>
    <x v="177"/>
    <x v="0"/>
    <x v="2"/>
    <x v="0"/>
  </r>
  <r>
    <x v="13"/>
    <x v="72"/>
    <x v="208"/>
    <x v="8"/>
    <x v="83"/>
    <x v="41"/>
    <x v="55"/>
    <x v="0"/>
    <x v="2"/>
    <x v="0"/>
  </r>
  <r>
    <x v="13"/>
    <x v="141"/>
    <x v="209"/>
    <x v="7"/>
    <x v="181"/>
    <x v="65"/>
    <x v="148"/>
    <x v="0"/>
    <x v="2"/>
    <x v="0"/>
  </r>
  <r>
    <x v="13"/>
    <x v="145"/>
    <x v="210"/>
    <x v="8"/>
    <x v="83"/>
    <x v="36"/>
    <x v="61"/>
    <x v="0"/>
    <x v="2"/>
    <x v="0"/>
  </r>
  <r>
    <x v="13"/>
    <x v="158"/>
    <x v="211"/>
    <x v="2"/>
    <x v="240"/>
    <x v="99"/>
    <x v="158"/>
    <x v="0"/>
    <x v="2"/>
    <x v="0"/>
  </r>
  <r>
    <x v="13"/>
    <x v="196"/>
    <x v="213"/>
    <x v="9"/>
    <x v="92"/>
    <x v="51"/>
    <x v="24"/>
    <x v="0"/>
    <x v="5"/>
    <x v="0"/>
  </r>
  <r>
    <x v="13"/>
    <x v="185"/>
    <x v="212"/>
    <x v="6"/>
    <x v="25"/>
    <x v="27"/>
    <x v="9"/>
    <x v="0"/>
    <x v="2"/>
    <x v="0"/>
  </r>
  <r>
    <x v="13"/>
    <x v="220"/>
    <x v="214"/>
    <x v="6"/>
    <x v="13"/>
    <x v="22"/>
    <x v="1"/>
    <x v="0"/>
    <x v="2"/>
    <x v="0"/>
  </r>
  <r>
    <x v="13"/>
    <x v="260"/>
    <x v="216"/>
    <x v="7"/>
    <x v="110"/>
    <x v="63"/>
    <x v="91"/>
    <x v="0"/>
    <x v="2"/>
    <x v="0"/>
  </r>
  <r>
    <x v="13"/>
    <x v="284"/>
    <x v="217"/>
    <x v="1"/>
    <x v="15"/>
    <x v="19"/>
    <x v="6"/>
    <x v="0"/>
    <x v="2"/>
    <x v="0"/>
  </r>
  <r>
    <x v="13"/>
    <x v="248"/>
    <x v="215"/>
    <x v="9"/>
    <x v="94"/>
    <x v="50"/>
    <x v="40"/>
    <x v="0"/>
    <x v="5"/>
    <x v="0"/>
  </r>
  <r>
    <x v="13"/>
    <x v="327"/>
    <x v="218"/>
    <x v="2"/>
    <x v="287"/>
    <x v="96"/>
    <x v="240"/>
    <x v="0"/>
    <x v="2"/>
    <x v="0"/>
  </r>
  <r>
    <x v="13"/>
    <x v="342"/>
    <x v="219"/>
    <x v="6"/>
    <x v="32"/>
    <x v="27"/>
    <x v="16"/>
    <x v="0"/>
    <x v="2"/>
    <x v="0"/>
  </r>
  <r>
    <x v="14"/>
    <x v="8"/>
    <x v="220"/>
    <x v="7"/>
    <x v="202"/>
    <x v="84"/>
    <x v="165"/>
    <x v="0"/>
    <x v="2"/>
    <x v="0"/>
  </r>
  <r>
    <x v="14"/>
    <x v="24"/>
    <x v="221"/>
    <x v="8"/>
    <x v="53"/>
    <x v="40"/>
    <x v="6"/>
    <x v="0"/>
    <x v="2"/>
    <x v="0"/>
  </r>
  <r>
    <x v="14"/>
    <x v="69"/>
    <x v="222"/>
    <x v="2"/>
    <x v="285"/>
    <x v="108"/>
    <x v="230"/>
    <x v="0"/>
    <x v="2"/>
    <x v="0"/>
  </r>
  <r>
    <x v="14"/>
    <x v="88"/>
    <x v="223"/>
    <x v="7"/>
    <x v="221"/>
    <x v="75"/>
    <x v="194"/>
    <x v="0"/>
    <x v="2"/>
    <x v="0"/>
  </r>
  <r>
    <x v="14"/>
    <x v="98"/>
    <x v="224"/>
    <x v="8"/>
    <x v="89"/>
    <x v="40"/>
    <x v="62"/>
    <x v="0"/>
    <x v="2"/>
    <x v="0"/>
  </r>
  <r>
    <x v="14"/>
    <x v="147"/>
    <x v="225"/>
    <x v="2"/>
    <x v="232"/>
    <x v="106"/>
    <x v="143"/>
    <x v="0"/>
    <x v="2"/>
    <x v="0"/>
  </r>
  <r>
    <x v="14"/>
    <x v="150"/>
    <x v="226"/>
    <x v="7"/>
    <x v="150"/>
    <x v="84"/>
    <x v="121"/>
    <x v="0"/>
    <x v="2"/>
    <x v="0"/>
  </r>
  <r>
    <x v="14"/>
    <x v="153"/>
    <x v="227"/>
    <x v="8"/>
    <x v="71"/>
    <x v="40"/>
    <x v="45"/>
    <x v="0"/>
    <x v="2"/>
    <x v="0"/>
  </r>
  <r>
    <x v="14"/>
    <x v="159"/>
    <x v="228"/>
    <x v="6"/>
    <x v="27"/>
    <x v="21"/>
    <x v="17"/>
    <x v="0"/>
    <x v="2"/>
    <x v="0"/>
  </r>
  <r>
    <x v="14"/>
    <x v="194"/>
    <x v="229"/>
    <x v="6"/>
    <x v="24"/>
    <x v="21"/>
    <x v="14"/>
    <x v="0"/>
    <x v="2"/>
    <x v="0"/>
  </r>
  <r>
    <x v="14"/>
    <x v="235"/>
    <x v="230"/>
    <x v="3"/>
    <x v="142"/>
    <x v="91"/>
    <x v="69"/>
    <x v="0"/>
    <x v="2"/>
    <x v="0"/>
  </r>
  <r>
    <x v="14"/>
    <x v="271"/>
    <x v="231"/>
    <x v="7"/>
    <x v="113"/>
    <x v="71"/>
    <x v="90"/>
    <x v="0"/>
    <x v="2"/>
    <x v="0"/>
  </r>
  <r>
    <x v="14"/>
    <x v="280"/>
    <x v="232"/>
    <x v="1"/>
    <x v="15"/>
    <x v="20"/>
    <x v="5"/>
    <x v="0"/>
    <x v="2"/>
    <x v="0"/>
  </r>
  <r>
    <x v="14"/>
    <x v="330"/>
    <x v="233"/>
    <x v="6"/>
    <x v="29"/>
    <x v="30"/>
    <x v="10"/>
    <x v="0"/>
    <x v="2"/>
    <x v="0"/>
  </r>
  <r>
    <x v="14"/>
    <x v="333"/>
    <x v="234"/>
    <x v="2"/>
    <x v="285"/>
    <x v="98"/>
    <x v="236"/>
    <x v="0"/>
    <x v="2"/>
    <x v="0"/>
  </r>
  <r>
    <x v="15"/>
    <x v="8"/>
    <x v="2"/>
    <x v="7"/>
    <x v="217"/>
    <x v="68"/>
    <x v="196"/>
    <x v="0"/>
    <x v="2"/>
    <x v="0"/>
  </r>
  <r>
    <x v="15"/>
    <x v="1"/>
    <x v="235"/>
    <x v="1"/>
    <x v="17"/>
    <x v="17"/>
    <x v="12"/>
    <x v="0"/>
    <x v="2"/>
    <x v="0"/>
  </r>
  <r>
    <x v="15"/>
    <x v="34"/>
    <x v="236"/>
    <x v="3"/>
    <x v="266"/>
    <x v="100"/>
    <x v="212"/>
    <x v="0"/>
    <x v="2"/>
    <x v="0"/>
  </r>
  <r>
    <x v="15"/>
    <x v="75"/>
    <x v="237"/>
    <x v="7"/>
    <x v="220"/>
    <x v="71"/>
    <x v="197"/>
    <x v="0"/>
    <x v="2"/>
    <x v="0"/>
  </r>
  <r>
    <x v="15"/>
    <x v="79"/>
    <x v="238"/>
    <x v="1"/>
    <x v="27"/>
    <x v="17"/>
    <x v="22"/>
    <x v="0"/>
    <x v="2"/>
    <x v="0"/>
  </r>
  <r>
    <x v="15"/>
    <x v="99"/>
    <x v="239"/>
    <x v="2"/>
    <x v="297"/>
    <x v="100"/>
    <x v="246"/>
    <x v="0"/>
    <x v="2"/>
    <x v="0"/>
  </r>
  <r>
    <x v="15"/>
    <x v="124"/>
    <x v="240"/>
    <x v="1"/>
    <x v="45"/>
    <x v="17"/>
    <x v="40"/>
    <x v="0"/>
    <x v="2"/>
    <x v="0"/>
  </r>
  <r>
    <x v="15"/>
    <x v="137"/>
    <x v="241"/>
    <x v="7"/>
    <x v="159"/>
    <x v="71"/>
    <x v="131"/>
    <x v="0"/>
    <x v="2"/>
    <x v="0"/>
  </r>
  <r>
    <x v="15"/>
    <x v="163"/>
    <x v="242"/>
    <x v="7"/>
    <x v="118"/>
    <x v="59"/>
    <x v="106"/>
    <x v="0"/>
    <x v="2"/>
    <x v="0"/>
  </r>
  <r>
    <x v="15"/>
    <x v="164"/>
    <x v="243"/>
    <x v="8"/>
    <x v="86"/>
    <x v="44"/>
    <x v="55"/>
    <x v="0"/>
    <x v="2"/>
    <x v="0"/>
  </r>
  <r>
    <x v="15"/>
    <x v="191"/>
    <x v="244"/>
    <x v="6"/>
    <x v="34"/>
    <x v="24"/>
    <x v="21"/>
    <x v="0"/>
    <x v="2"/>
    <x v="0"/>
  </r>
  <r>
    <x v="15"/>
    <x v="268"/>
    <x v="245"/>
    <x v="7"/>
    <x v="122"/>
    <x v="74"/>
    <x v="105"/>
    <x v="0"/>
    <x v="2"/>
    <x v="0"/>
  </r>
  <r>
    <x v="15"/>
    <x v="297"/>
    <x v="246"/>
    <x v="1"/>
    <x v="21"/>
    <x v="22"/>
    <x v="10"/>
    <x v="0"/>
    <x v="2"/>
    <x v="0"/>
  </r>
  <r>
    <x v="15"/>
    <x v="332"/>
    <x v="247"/>
    <x v="2"/>
    <x v="294"/>
    <x v="107"/>
    <x v="242"/>
    <x v="0"/>
    <x v="2"/>
    <x v="0"/>
  </r>
  <r>
    <x v="15"/>
    <x v="347"/>
    <x v="248"/>
    <x v="6"/>
    <x v="40"/>
    <x v="34"/>
    <x v="16"/>
    <x v="0"/>
    <x v="2"/>
    <x v="0"/>
  </r>
  <r>
    <x v="15"/>
    <x v="245"/>
    <x v="9"/>
    <x v="0"/>
    <x v="139"/>
    <x v="95"/>
    <x v="65"/>
    <x v="0"/>
    <x v="4"/>
    <x v="0"/>
  </r>
  <r>
    <x v="15"/>
    <x v="217"/>
    <x v="476"/>
    <x v="3"/>
    <x v="173"/>
    <x v="91"/>
    <x v="99"/>
    <x v="0"/>
    <x v="3"/>
    <x v="0"/>
  </r>
  <r>
    <x v="16"/>
    <x v="212"/>
    <x v="10"/>
    <x v="3"/>
    <x v="142"/>
    <x v="93"/>
    <x v="68"/>
    <x v="0"/>
    <x v="4"/>
    <x v="0"/>
  </r>
  <r>
    <x v="16"/>
    <x v="8"/>
    <x v="249"/>
    <x v="7"/>
    <x v="203"/>
    <x v="82"/>
    <x v="168"/>
    <x v="0"/>
    <x v="2"/>
    <x v="0"/>
  </r>
  <r>
    <x v="16"/>
    <x v="19"/>
    <x v="250"/>
    <x v="8"/>
    <x v="51"/>
    <x v="42"/>
    <x v="0"/>
    <x v="0"/>
    <x v="2"/>
    <x v="0"/>
  </r>
  <r>
    <x v="16"/>
    <x v="48"/>
    <x v="251"/>
    <x v="3"/>
    <x v="293"/>
    <x v="98"/>
    <x v="244"/>
    <x v="0"/>
    <x v="2"/>
    <x v="0"/>
  </r>
  <r>
    <x v="16"/>
    <x v="89"/>
    <x v="252"/>
    <x v="2"/>
    <x v="270"/>
    <x v="108"/>
    <x v="218"/>
    <x v="0"/>
    <x v="2"/>
    <x v="0"/>
  </r>
  <r>
    <x v="16"/>
    <x v="92"/>
    <x v="253"/>
    <x v="8"/>
    <x v="90"/>
    <x v="41"/>
    <x v="63"/>
    <x v="0"/>
    <x v="2"/>
    <x v="0"/>
  </r>
  <r>
    <x v="16"/>
    <x v="142"/>
    <x v="254"/>
    <x v="7"/>
    <x v="151"/>
    <x v="73"/>
    <x v="126"/>
    <x v="0"/>
    <x v="2"/>
    <x v="0"/>
  </r>
  <r>
    <x v="16"/>
    <x v="152"/>
    <x v="255"/>
    <x v="8"/>
    <x v="82"/>
    <x v="41"/>
    <x v="54"/>
    <x v="0"/>
    <x v="2"/>
    <x v="0"/>
  </r>
  <r>
    <x v="16"/>
    <x v="186"/>
    <x v="256"/>
    <x v="6"/>
    <x v="52"/>
    <x v="27"/>
    <x v="39"/>
    <x v="0"/>
    <x v="2"/>
    <x v="0"/>
  </r>
  <r>
    <x v="16"/>
    <x v="198"/>
    <x v="257"/>
    <x v="7"/>
    <x v="114"/>
    <x v="62"/>
    <x v="97"/>
    <x v="0"/>
    <x v="2"/>
    <x v="0"/>
  </r>
  <r>
    <x v="16"/>
    <x v="250"/>
    <x v="258"/>
    <x v="6"/>
    <x v="26"/>
    <x v="25"/>
    <x v="12"/>
    <x v="0"/>
    <x v="2"/>
    <x v="0"/>
  </r>
  <r>
    <x v="16"/>
    <x v="267"/>
    <x v="259"/>
    <x v="7"/>
    <x v="117"/>
    <x v="75"/>
    <x v="94"/>
    <x v="0"/>
    <x v="2"/>
    <x v="0"/>
  </r>
  <r>
    <x v="16"/>
    <x v="302"/>
    <x v="260"/>
    <x v="1"/>
    <x v="25"/>
    <x v="22"/>
    <x v="14"/>
    <x v="0"/>
    <x v="2"/>
    <x v="0"/>
  </r>
  <r>
    <x v="16"/>
    <x v="329"/>
    <x v="261"/>
    <x v="2"/>
    <x v="303"/>
    <x v="113"/>
    <x v="251"/>
    <x v="0"/>
    <x v="2"/>
    <x v="0"/>
  </r>
  <r>
    <x v="16"/>
    <x v="337"/>
    <x v="262"/>
    <x v="6"/>
    <x v="32"/>
    <x v="35"/>
    <x v="6"/>
    <x v="0"/>
    <x v="2"/>
    <x v="0"/>
  </r>
  <r>
    <x v="16"/>
    <x v="71"/>
    <x v="474"/>
    <x v="7"/>
    <x v="227"/>
    <x v="74"/>
    <x v="210"/>
    <x v="0"/>
    <x v="2"/>
    <x v="0"/>
  </r>
  <r>
    <x v="17"/>
    <x v="6"/>
    <x v="263"/>
    <x v="7"/>
    <x v="226"/>
    <x v="82"/>
    <x v="204"/>
    <x v="0"/>
    <x v="2"/>
    <x v="0"/>
  </r>
  <r>
    <x v="17"/>
    <x v="25"/>
    <x v="264"/>
    <x v="8"/>
    <x v="61"/>
    <x v="41"/>
    <x v="32"/>
    <x v="0"/>
    <x v="2"/>
    <x v="0"/>
  </r>
  <r>
    <x v="17"/>
    <x v="37"/>
    <x v="265"/>
    <x v="2"/>
    <x v="274"/>
    <x v="111"/>
    <x v="220"/>
    <x v="0"/>
    <x v="2"/>
    <x v="0"/>
  </r>
  <r>
    <x v="17"/>
    <x v="68"/>
    <x v="266"/>
    <x v="7"/>
    <x v="198"/>
    <x v="74"/>
    <x v="169"/>
    <x v="0"/>
    <x v="2"/>
    <x v="0"/>
  </r>
  <r>
    <x v="17"/>
    <x v="94"/>
    <x v="267"/>
    <x v="8"/>
    <x v="87"/>
    <x v="40"/>
    <x v="60"/>
    <x v="0"/>
    <x v="2"/>
    <x v="0"/>
  </r>
  <r>
    <x v="17"/>
    <x v="150"/>
    <x v="268"/>
    <x v="2"/>
    <x v="267"/>
    <x v="109"/>
    <x v="208"/>
    <x v="0"/>
    <x v="2"/>
    <x v="0"/>
  </r>
  <r>
    <x v="17"/>
    <x v="153"/>
    <x v="269"/>
    <x v="8"/>
    <x v="73"/>
    <x v="40"/>
    <x v="47"/>
    <x v="0"/>
    <x v="2"/>
    <x v="0"/>
  </r>
  <r>
    <x v="17"/>
    <x v="155"/>
    <x v="270"/>
    <x v="7"/>
    <x v="190"/>
    <x v="81"/>
    <x v="155"/>
    <x v="0"/>
    <x v="2"/>
    <x v="0"/>
  </r>
  <r>
    <x v="17"/>
    <x v="225"/>
    <x v="271"/>
    <x v="6"/>
    <x v="44"/>
    <x v="28"/>
    <x v="27"/>
    <x v="0"/>
    <x v="2"/>
    <x v="0"/>
  </r>
  <r>
    <x v="17"/>
    <x v="227"/>
    <x v="272"/>
    <x v="1"/>
    <x v="15"/>
    <x v="20"/>
    <x v="5"/>
    <x v="0"/>
    <x v="2"/>
    <x v="0"/>
  </r>
  <r>
    <x v="17"/>
    <x v="263"/>
    <x v="273"/>
    <x v="7"/>
    <x v="102"/>
    <x v="71"/>
    <x v="77"/>
    <x v="0"/>
    <x v="2"/>
    <x v="0"/>
  </r>
  <r>
    <x v="17"/>
    <x v="295"/>
    <x v="274"/>
    <x v="1"/>
    <x v="23"/>
    <x v="21"/>
    <x v="13"/>
    <x v="0"/>
    <x v="2"/>
    <x v="0"/>
  </r>
  <r>
    <x v="17"/>
    <x v="322"/>
    <x v="275"/>
    <x v="2"/>
    <x v="292"/>
    <x v="114"/>
    <x v="233"/>
    <x v="0"/>
    <x v="2"/>
    <x v="0"/>
  </r>
  <r>
    <x v="17"/>
    <x v="348"/>
    <x v="276"/>
    <x v="6"/>
    <x v="35"/>
    <x v="34"/>
    <x v="11"/>
    <x v="0"/>
    <x v="2"/>
    <x v="0"/>
  </r>
  <r>
    <x v="18"/>
    <x v="2"/>
    <x v="277"/>
    <x v="7"/>
    <x v="208"/>
    <x v="87"/>
    <x v="171"/>
    <x v="0"/>
    <x v="2"/>
    <x v="0"/>
  </r>
  <r>
    <x v="18"/>
    <x v="19"/>
    <x v="278"/>
    <x v="8"/>
    <x v="55"/>
    <x v="41"/>
    <x v="9"/>
    <x v="0"/>
    <x v="2"/>
    <x v="0"/>
  </r>
  <r>
    <x v="18"/>
    <x v="53"/>
    <x v="279"/>
    <x v="3"/>
    <x v="288"/>
    <x v="105"/>
    <x v="235"/>
    <x v="0"/>
    <x v="2"/>
    <x v="0"/>
  </r>
  <r>
    <x v="18"/>
    <x v="57"/>
    <x v="280"/>
    <x v="7"/>
    <x v="202"/>
    <x v="78"/>
    <x v="170"/>
    <x v="0"/>
    <x v="2"/>
    <x v="0"/>
  </r>
  <r>
    <x v="18"/>
    <x v="76"/>
    <x v="281"/>
    <x v="2"/>
    <x v="255"/>
    <x v="113"/>
    <x v="184"/>
    <x v="0"/>
    <x v="2"/>
    <x v="0"/>
  </r>
  <r>
    <x v="18"/>
    <x v="81"/>
    <x v="282"/>
    <x v="8"/>
    <x v="84"/>
    <x v="41"/>
    <x v="56"/>
    <x v="0"/>
    <x v="2"/>
    <x v="0"/>
  </r>
  <r>
    <x v="18"/>
    <x v="119"/>
    <x v="283"/>
    <x v="7"/>
    <x v="164"/>
    <x v="86"/>
    <x v="130"/>
    <x v="0"/>
    <x v="2"/>
    <x v="0"/>
  </r>
  <r>
    <x v="18"/>
    <x v="127"/>
    <x v="284"/>
    <x v="8"/>
    <x v="64"/>
    <x v="41"/>
    <x v="36"/>
    <x v="0"/>
    <x v="2"/>
    <x v="0"/>
  </r>
  <r>
    <x v="18"/>
    <x v="225"/>
    <x v="476"/>
    <x v="3"/>
    <x v="172"/>
    <x v="91"/>
    <x v="96"/>
    <x v="0"/>
    <x v="3"/>
    <x v="0"/>
  </r>
  <r>
    <x v="18"/>
    <x v="259"/>
    <x v="289"/>
    <x v="6"/>
    <x v="20"/>
    <x v="19"/>
    <x v="12"/>
    <x v="0"/>
    <x v="5"/>
    <x v="0"/>
  </r>
  <r>
    <x v="18"/>
    <x v="256"/>
    <x v="288"/>
    <x v="6"/>
    <x v="33"/>
    <x v="22"/>
    <x v="22"/>
    <x v="0"/>
    <x v="5"/>
    <x v="0"/>
  </r>
  <r>
    <x v="18"/>
    <x v="207"/>
    <x v="286"/>
    <x v="7"/>
    <x v="133"/>
    <x v="56"/>
    <x v="118"/>
    <x v="0"/>
    <x v="2"/>
    <x v="0"/>
  </r>
  <r>
    <x v="18"/>
    <x v="188"/>
    <x v="285"/>
    <x v="6"/>
    <x v="46"/>
    <x v="27"/>
    <x v="31"/>
    <x v="0"/>
    <x v="5"/>
    <x v="0"/>
  </r>
  <r>
    <x v="18"/>
    <x v="223"/>
    <x v="287"/>
    <x v="6"/>
    <x v="44"/>
    <x v="27"/>
    <x v="28"/>
    <x v="0"/>
    <x v="2"/>
    <x v="0"/>
  </r>
  <r>
    <x v="18"/>
    <x v="278"/>
    <x v="290"/>
    <x v="7"/>
    <x v="126"/>
    <x v="70"/>
    <x v="109"/>
    <x v="0"/>
    <x v="2"/>
    <x v="0"/>
  </r>
  <r>
    <x v="18"/>
    <x v="304"/>
    <x v="291"/>
    <x v="1"/>
    <x v="25"/>
    <x v="21"/>
    <x v="15"/>
    <x v="0"/>
    <x v="2"/>
    <x v="0"/>
  </r>
  <r>
    <x v="18"/>
    <x v="321"/>
    <x v="292"/>
    <x v="2"/>
    <x v="254"/>
    <x v="96"/>
    <x v="196"/>
    <x v="0"/>
    <x v="2"/>
    <x v="0"/>
  </r>
  <r>
    <x v="19"/>
    <x v="0"/>
    <x v="293"/>
    <x v="7"/>
    <x v="202"/>
    <x v="84"/>
    <x v="165"/>
    <x v="0"/>
    <x v="2"/>
    <x v="0"/>
  </r>
  <r>
    <x v="19"/>
    <x v="36"/>
    <x v="294"/>
    <x v="3"/>
    <x v="238"/>
    <x v="106"/>
    <x v="151"/>
    <x v="0"/>
    <x v="2"/>
    <x v="0"/>
  </r>
  <r>
    <x v="19"/>
    <x v="39"/>
    <x v="295"/>
    <x v="1"/>
    <x v="41"/>
    <x v="17"/>
    <x v="35"/>
    <x v="0"/>
    <x v="2"/>
    <x v="0"/>
  </r>
  <r>
    <x v="19"/>
    <x v="52"/>
    <x v="296"/>
    <x v="7"/>
    <x v="218"/>
    <x v="74"/>
    <x v="191"/>
    <x v="0"/>
    <x v="2"/>
    <x v="0"/>
  </r>
  <r>
    <x v="19"/>
    <x v="63"/>
    <x v="297"/>
    <x v="2"/>
    <x v="259"/>
    <x v="96"/>
    <x v="205"/>
    <x v="0"/>
    <x v="2"/>
    <x v="0"/>
  </r>
  <r>
    <x v="19"/>
    <x v="104"/>
    <x v="298"/>
    <x v="1"/>
    <x v="38"/>
    <x v="17"/>
    <x v="33"/>
    <x v="0"/>
    <x v="2"/>
    <x v="0"/>
  </r>
  <r>
    <x v="19"/>
    <x v="112"/>
    <x v="299"/>
    <x v="7"/>
    <x v="157"/>
    <x v="78"/>
    <x v="129"/>
    <x v="0"/>
    <x v="2"/>
    <x v="0"/>
  </r>
  <r>
    <x v="19"/>
    <x v="136"/>
    <x v="300"/>
    <x v="8"/>
    <x v="59"/>
    <x v="39"/>
    <x v="25"/>
    <x v="0"/>
    <x v="2"/>
    <x v="0"/>
  </r>
  <r>
    <x v="19"/>
    <x v="206"/>
    <x v="302"/>
    <x v="6"/>
    <x v="49"/>
    <x v="25"/>
    <x v="36"/>
    <x v="0"/>
    <x v="2"/>
    <x v="0"/>
  </r>
  <r>
    <x v="19"/>
    <x v="267"/>
    <x v="303"/>
    <x v="7"/>
    <x v="119"/>
    <x v="69"/>
    <x v="102"/>
    <x v="0"/>
    <x v="2"/>
    <x v="0"/>
  </r>
  <r>
    <x v="19"/>
    <x v="303"/>
    <x v="304"/>
    <x v="1"/>
    <x v="16"/>
    <x v="23"/>
    <x v="3"/>
    <x v="0"/>
    <x v="2"/>
    <x v="0"/>
  </r>
  <r>
    <x v="19"/>
    <x v="334"/>
    <x v="305"/>
    <x v="2"/>
    <x v="256"/>
    <x v="109"/>
    <x v="188"/>
    <x v="0"/>
    <x v="2"/>
    <x v="0"/>
  </r>
  <r>
    <x v="19"/>
    <x v="343"/>
    <x v="306"/>
    <x v="6"/>
    <x v="25"/>
    <x v="31"/>
    <x v="4"/>
    <x v="0"/>
    <x v="2"/>
    <x v="0"/>
  </r>
  <r>
    <x v="19"/>
    <x v="208"/>
    <x v="11"/>
    <x v="3"/>
    <x v="160"/>
    <x v="110"/>
    <x v="74"/>
    <x v="0"/>
    <x v="4"/>
    <x v="0"/>
  </r>
  <r>
    <x v="20"/>
    <x v="0"/>
    <x v="307"/>
    <x v="7"/>
    <x v="206"/>
    <x v="83"/>
    <x v="171"/>
    <x v="0"/>
    <x v="2"/>
    <x v="0"/>
  </r>
  <r>
    <x v="20"/>
    <x v="14"/>
    <x v="308"/>
    <x v="8"/>
    <x v="57"/>
    <x v="41"/>
    <x v="14"/>
    <x v="0"/>
    <x v="2"/>
    <x v="0"/>
  </r>
  <r>
    <x v="20"/>
    <x v="40"/>
    <x v="309"/>
    <x v="6"/>
    <x v="14"/>
    <x v="20"/>
    <x v="4"/>
    <x v="0"/>
    <x v="2"/>
    <x v="0"/>
  </r>
  <r>
    <x v="20"/>
    <x v="42"/>
    <x v="310"/>
    <x v="3"/>
    <x v="271"/>
    <x v="114"/>
    <x v="216"/>
    <x v="0"/>
    <x v="2"/>
    <x v="0"/>
  </r>
  <r>
    <x v="20"/>
    <x v="48"/>
    <x v="311"/>
    <x v="7"/>
    <x v="219"/>
    <x v="76"/>
    <x v="190"/>
    <x v="0"/>
    <x v="2"/>
    <x v="0"/>
  </r>
  <r>
    <x v="20"/>
    <x v="80"/>
    <x v="312"/>
    <x v="8"/>
    <x v="81"/>
    <x v="40"/>
    <x v="53"/>
    <x v="0"/>
    <x v="2"/>
    <x v="0"/>
  </r>
  <r>
    <x v="20"/>
    <x v="116"/>
    <x v="313"/>
    <x v="2"/>
    <x v="280"/>
    <x v="117"/>
    <x v="219"/>
    <x v="0"/>
    <x v="2"/>
    <x v="0"/>
  </r>
  <r>
    <x v="20"/>
    <x v="118"/>
    <x v="314"/>
    <x v="7"/>
    <x v="158"/>
    <x v="81"/>
    <x v="128"/>
    <x v="0"/>
    <x v="2"/>
    <x v="0"/>
  </r>
  <r>
    <x v="20"/>
    <x v="352"/>
    <x v="315"/>
    <x v="8"/>
    <x v="65"/>
    <x v="36"/>
    <x v="42"/>
    <x v="0"/>
    <x v="2"/>
    <x v="0"/>
  </r>
  <r>
    <x v="20"/>
    <x v="205"/>
    <x v="317"/>
    <x v="7"/>
    <x v="128"/>
    <x v="58"/>
    <x v="114"/>
    <x v="0"/>
    <x v="2"/>
    <x v="0"/>
  </r>
  <r>
    <x v="20"/>
    <x v="238"/>
    <x v="318"/>
    <x v="6"/>
    <x v="34"/>
    <x v="19"/>
    <x v="26"/>
    <x v="0"/>
    <x v="2"/>
    <x v="0"/>
  </r>
  <r>
    <x v="20"/>
    <x v="255"/>
    <x v="319"/>
    <x v="1"/>
    <x v="51"/>
    <x v="23"/>
    <x v="40"/>
    <x v="0"/>
    <x v="2"/>
    <x v="0"/>
  </r>
  <r>
    <x v="20"/>
    <x v="187"/>
    <x v="316"/>
    <x v="6"/>
    <x v="40"/>
    <x v="20"/>
    <x v="31"/>
    <x v="0"/>
    <x v="5"/>
    <x v="0"/>
  </r>
  <r>
    <x v="20"/>
    <x v="261"/>
    <x v="320"/>
    <x v="7"/>
    <x v="118"/>
    <x v="71"/>
    <x v="96"/>
    <x v="0"/>
    <x v="2"/>
    <x v="0"/>
  </r>
  <r>
    <x v="20"/>
    <x v="283"/>
    <x v="321"/>
    <x v="1"/>
    <x v="20"/>
    <x v="20"/>
    <x v="11"/>
    <x v="0"/>
    <x v="2"/>
    <x v="0"/>
  </r>
  <r>
    <x v="20"/>
    <x v="305"/>
    <x v="322"/>
    <x v="2"/>
    <x v="290"/>
    <x v="102"/>
    <x v="239"/>
    <x v="0"/>
    <x v="2"/>
    <x v="0"/>
  </r>
  <r>
    <x v="20"/>
    <x v="339"/>
    <x v="323"/>
    <x v="6"/>
    <x v="30"/>
    <x v="28"/>
    <x v="13"/>
    <x v="0"/>
    <x v="2"/>
    <x v="0"/>
  </r>
  <r>
    <x v="21"/>
    <x v="11"/>
    <x v="324"/>
    <x v="7"/>
    <x v="211"/>
    <x v="81"/>
    <x v="180"/>
    <x v="0"/>
    <x v="2"/>
    <x v="0"/>
  </r>
  <r>
    <x v="21"/>
    <x v="22"/>
    <x v="325"/>
    <x v="8"/>
    <x v="53"/>
    <x v="36"/>
    <x v="12"/>
    <x v="0"/>
    <x v="2"/>
    <x v="0"/>
  </r>
  <r>
    <x v="21"/>
    <x v="41"/>
    <x v="326"/>
    <x v="2"/>
    <x v="264"/>
    <x v="101"/>
    <x v="206"/>
    <x v="0"/>
    <x v="2"/>
    <x v="0"/>
  </r>
  <r>
    <x v="21"/>
    <x v="59"/>
    <x v="327"/>
    <x v="7"/>
    <x v="179"/>
    <x v="67"/>
    <x v="145"/>
    <x v="0"/>
    <x v="2"/>
    <x v="0"/>
  </r>
  <r>
    <x v="21"/>
    <x v="85"/>
    <x v="328"/>
    <x v="8"/>
    <x v="77"/>
    <x v="39"/>
    <x v="50"/>
    <x v="0"/>
    <x v="2"/>
    <x v="0"/>
  </r>
  <r>
    <x v="21"/>
    <x v="126"/>
    <x v="329"/>
    <x v="7"/>
    <x v="146"/>
    <x v="76"/>
    <x v="120"/>
    <x v="0"/>
    <x v="2"/>
    <x v="0"/>
  </r>
  <r>
    <x v="21"/>
    <x v="132"/>
    <x v="330"/>
    <x v="8"/>
    <x v="63"/>
    <x v="39"/>
    <x v="36"/>
    <x v="0"/>
    <x v="2"/>
    <x v="0"/>
  </r>
  <r>
    <x v="21"/>
    <x v="143"/>
    <x v="331"/>
    <x v="2"/>
    <x v="216"/>
    <x v="103"/>
    <x v="136"/>
    <x v="0"/>
    <x v="2"/>
    <x v="0"/>
  </r>
  <r>
    <x v="21"/>
    <x v="209"/>
    <x v="12"/>
    <x v="3"/>
    <x v="141"/>
    <x v="99"/>
    <x v="66"/>
    <x v="0"/>
    <x v="4"/>
    <x v="0"/>
  </r>
  <r>
    <x v="21"/>
    <x v="221"/>
    <x v="333"/>
    <x v="6"/>
    <x v="29"/>
    <x v="21"/>
    <x v="19"/>
    <x v="0"/>
    <x v="2"/>
    <x v="0"/>
  </r>
  <r>
    <x v="21"/>
    <x v="262"/>
    <x v="334"/>
    <x v="7"/>
    <x v="125"/>
    <x v="67"/>
    <x v="110"/>
    <x v="0"/>
    <x v="2"/>
    <x v="0"/>
  </r>
  <r>
    <x v="21"/>
    <x v="320"/>
    <x v="336"/>
    <x v="2"/>
    <x v="286"/>
    <x v="113"/>
    <x v="228"/>
    <x v="0"/>
    <x v="2"/>
    <x v="0"/>
  </r>
  <r>
    <x v="21"/>
    <x v="182"/>
    <x v="332"/>
    <x v="6"/>
    <x v="21"/>
    <x v="24"/>
    <x v="8"/>
    <x v="0"/>
    <x v="5"/>
    <x v="0"/>
  </r>
  <r>
    <x v="22"/>
    <x v="0"/>
    <x v="338"/>
    <x v="7"/>
    <x v="210"/>
    <x v="74"/>
    <x v="182"/>
    <x v="0"/>
    <x v="2"/>
    <x v="0"/>
  </r>
  <r>
    <x v="22"/>
    <x v="31"/>
    <x v="339"/>
    <x v="3"/>
    <x v="246"/>
    <x v="98"/>
    <x v="176"/>
    <x v="0"/>
    <x v="2"/>
    <x v="0"/>
  </r>
  <r>
    <x v="22"/>
    <x v="42"/>
    <x v="340"/>
    <x v="6"/>
    <x v="17"/>
    <x v="20"/>
    <x v="8"/>
    <x v="0"/>
    <x v="2"/>
    <x v="0"/>
  </r>
  <r>
    <x v="22"/>
    <x v="51"/>
    <x v="341"/>
    <x v="7"/>
    <x v="190"/>
    <x v="64"/>
    <x v="163"/>
    <x v="0"/>
    <x v="2"/>
    <x v="0"/>
  </r>
  <r>
    <x v="22"/>
    <x v="141"/>
    <x v="344"/>
    <x v="2"/>
    <x v="291"/>
    <x v="109"/>
    <x v="234"/>
    <x v="0"/>
    <x v="2"/>
    <x v="0"/>
  </r>
  <r>
    <x v="22"/>
    <x v="145"/>
    <x v="345"/>
    <x v="7"/>
    <x v="175"/>
    <x v="64"/>
    <x v="137"/>
    <x v="0"/>
    <x v="2"/>
    <x v="0"/>
  </r>
  <r>
    <x v="22"/>
    <x v="170"/>
    <x v="346"/>
    <x v="7"/>
    <x v="135"/>
    <x v="55"/>
    <x v="122"/>
    <x v="0"/>
    <x v="2"/>
    <x v="0"/>
  </r>
  <r>
    <x v="22"/>
    <x v="249"/>
    <x v="13"/>
    <x v="0"/>
    <x v="140"/>
    <x v="98"/>
    <x v="65"/>
    <x v="0"/>
    <x v="4"/>
    <x v="0"/>
  </r>
  <r>
    <x v="22"/>
    <x v="220"/>
    <x v="348"/>
    <x v="6"/>
    <x v="42"/>
    <x v="23"/>
    <x v="30"/>
    <x v="0"/>
    <x v="2"/>
    <x v="0"/>
  </r>
  <r>
    <x v="22"/>
    <x v="240"/>
    <x v="349"/>
    <x v="4"/>
    <x v="9"/>
    <x v="10"/>
    <x v="7"/>
    <x v="0"/>
    <x v="2"/>
    <x v="0"/>
  </r>
  <r>
    <x v="22"/>
    <x v="277"/>
    <x v="352"/>
    <x v="7"/>
    <x v="119"/>
    <x v="69"/>
    <x v="102"/>
    <x v="0"/>
    <x v="2"/>
    <x v="0"/>
  </r>
  <r>
    <x v="22"/>
    <x v="292"/>
    <x v="353"/>
    <x v="4"/>
    <x v="0"/>
    <x v="0"/>
    <x v="11"/>
    <x v="0"/>
    <x v="2"/>
    <x v="0"/>
  </r>
  <r>
    <x v="22"/>
    <x v="313"/>
    <x v="354"/>
    <x v="2"/>
    <x v="258"/>
    <x v="94"/>
    <x v="203"/>
    <x v="0"/>
    <x v="2"/>
    <x v="0"/>
  </r>
  <r>
    <x v="22"/>
    <x v="186"/>
    <x v="347"/>
    <x v="6"/>
    <x v="37"/>
    <x v="20"/>
    <x v="28"/>
    <x v="0"/>
    <x v="5"/>
    <x v="0"/>
  </r>
  <r>
    <x v="22"/>
    <x v="341"/>
    <x v="355"/>
    <x v="6"/>
    <x v="32"/>
    <x v="29"/>
    <x v="14"/>
    <x v="0"/>
    <x v="2"/>
    <x v="0"/>
  </r>
  <r>
    <x v="22"/>
    <x v="252"/>
    <x v="350"/>
    <x v="6"/>
    <x v="15"/>
    <x v="19"/>
    <x v="6"/>
    <x v="0"/>
    <x v="5"/>
    <x v="0"/>
  </r>
  <r>
    <x v="22"/>
    <x v="229"/>
    <x v="476"/>
    <x v="3"/>
    <x v="174"/>
    <x v="91"/>
    <x v="104"/>
    <x v="0"/>
    <x v="3"/>
    <x v="0"/>
  </r>
  <r>
    <x v="22"/>
    <x v="254"/>
    <x v="351"/>
    <x v="1"/>
    <x v="24"/>
    <x v="21"/>
    <x v="14"/>
    <x v="0"/>
    <x v="1"/>
    <x v="0"/>
  </r>
  <r>
    <x v="23"/>
    <x v="16"/>
    <x v="356"/>
    <x v="7"/>
    <x v="223"/>
    <x v="78"/>
    <x v="199"/>
    <x v="0"/>
    <x v="2"/>
    <x v="0"/>
  </r>
  <r>
    <x v="23"/>
    <x v="38"/>
    <x v="357"/>
    <x v="6"/>
    <x v="15"/>
    <x v="19"/>
    <x v="6"/>
    <x v="0"/>
    <x v="2"/>
    <x v="0"/>
  </r>
  <r>
    <x v="23"/>
    <x v="46"/>
    <x v="358"/>
    <x v="3"/>
    <x v="281"/>
    <x v="107"/>
    <x v="227"/>
    <x v="0"/>
    <x v="2"/>
    <x v="0"/>
  </r>
  <r>
    <x v="23"/>
    <x v="65"/>
    <x v="359"/>
    <x v="1"/>
    <x v="40"/>
    <x v="17"/>
    <x v="34"/>
    <x v="0"/>
    <x v="2"/>
    <x v="0"/>
  </r>
  <r>
    <x v="23"/>
    <x v="93"/>
    <x v="360"/>
    <x v="7"/>
    <x v="229"/>
    <x v="74"/>
    <x v="214"/>
    <x v="0"/>
    <x v="2"/>
    <x v="0"/>
  </r>
  <r>
    <x v="23"/>
    <x v="109"/>
    <x v="361"/>
    <x v="1"/>
    <x v="40"/>
    <x v="15"/>
    <x v="37"/>
    <x v="0"/>
    <x v="2"/>
    <x v="0"/>
  </r>
  <r>
    <x v="23"/>
    <x v="114"/>
    <x v="362"/>
    <x v="2"/>
    <x v="249"/>
    <x v="100"/>
    <x v="183"/>
    <x v="0"/>
    <x v="2"/>
    <x v="0"/>
  </r>
  <r>
    <x v="23"/>
    <x v="151"/>
    <x v="363"/>
    <x v="7"/>
    <x v="130"/>
    <x v="68"/>
    <x v="112"/>
    <x v="0"/>
    <x v="2"/>
    <x v="0"/>
  </r>
  <r>
    <x v="23"/>
    <x v="165"/>
    <x v="364"/>
    <x v="1"/>
    <x v="47"/>
    <x v="21"/>
    <x v="37"/>
    <x v="0"/>
    <x v="2"/>
    <x v="0"/>
  </r>
  <r>
    <x v="23"/>
    <x v="199"/>
    <x v="365"/>
    <x v="7"/>
    <x v="114"/>
    <x v="59"/>
    <x v="100"/>
    <x v="0"/>
    <x v="2"/>
    <x v="0"/>
  </r>
  <r>
    <x v="23"/>
    <x v="226"/>
    <x v="366"/>
    <x v="6"/>
    <x v="32"/>
    <x v="24"/>
    <x v="19"/>
    <x v="0"/>
    <x v="2"/>
    <x v="0"/>
  </r>
  <r>
    <x v="23"/>
    <x v="229"/>
    <x v="367"/>
    <x v="3"/>
    <x v="147"/>
    <x v="102"/>
    <x v="69"/>
    <x v="0"/>
    <x v="2"/>
    <x v="0"/>
  </r>
  <r>
    <x v="23"/>
    <x v="266"/>
    <x v="368"/>
    <x v="7"/>
    <x v="118"/>
    <x v="69"/>
    <x v="98"/>
    <x v="0"/>
    <x v="2"/>
    <x v="0"/>
  </r>
  <r>
    <x v="23"/>
    <x v="294"/>
    <x v="369"/>
    <x v="4"/>
    <x v="3"/>
    <x v="3"/>
    <x v="12"/>
    <x v="0"/>
    <x v="2"/>
    <x v="0"/>
  </r>
  <r>
    <x v="23"/>
    <x v="306"/>
    <x v="370"/>
    <x v="2"/>
    <x v="279"/>
    <x v="100"/>
    <x v="227"/>
    <x v="0"/>
    <x v="2"/>
    <x v="0"/>
  </r>
  <r>
    <x v="23"/>
    <x v="336"/>
    <x v="371"/>
    <x v="6"/>
    <x v="33"/>
    <x v="30"/>
    <x v="14"/>
    <x v="0"/>
    <x v="2"/>
    <x v="0"/>
  </r>
  <r>
    <x v="23"/>
    <x v="219"/>
    <x v="475"/>
    <x v="4"/>
    <x v="5"/>
    <x v="5"/>
    <x v="8"/>
    <x v="0"/>
    <x v="2"/>
    <x v="0"/>
  </r>
  <r>
    <x v="24"/>
    <x v="12"/>
    <x v="372"/>
    <x v="7"/>
    <x v="230"/>
    <x v="77"/>
    <x v="213"/>
    <x v="0"/>
    <x v="2"/>
    <x v="0"/>
  </r>
  <r>
    <x v="24"/>
    <x v="26"/>
    <x v="373"/>
    <x v="8"/>
    <x v="56"/>
    <x v="37"/>
    <x v="16"/>
    <x v="0"/>
    <x v="2"/>
    <x v="0"/>
  </r>
  <r>
    <x v="24"/>
    <x v="47"/>
    <x v="374"/>
    <x v="2"/>
    <x v="272"/>
    <x v="95"/>
    <x v="223"/>
    <x v="0"/>
    <x v="2"/>
    <x v="0"/>
  </r>
  <r>
    <x v="24"/>
    <x v="87"/>
    <x v="375"/>
    <x v="7"/>
    <x v="203"/>
    <x v="67"/>
    <x v="177"/>
    <x v="0"/>
    <x v="2"/>
    <x v="0"/>
  </r>
  <r>
    <x v="24"/>
    <x v="101"/>
    <x v="376"/>
    <x v="8"/>
    <x v="82"/>
    <x v="40"/>
    <x v="55"/>
    <x v="0"/>
    <x v="2"/>
    <x v="0"/>
  </r>
  <r>
    <x v="24"/>
    <x v="141"/>
    <x v="377"/>
    <x v="2"/>
    <x v="248"/>
    <x v="103"/>
    <x v="178"/>
    <x v="0"/>
    <x v="2"/>
    <x v="0"/>
  </r>
  <r>
    <x v="24"/>
    <x v="154"/>
    <x v="378"/>
    <x v="7"/>
    <x v="177"/>
    <x v="68"/>
    <x v="140"/>
    <x v="0"/>
    <x v="2"/>
    <x v="0"/>
  </r>
  <r>
    <x v="24"/>
    <x v="162"/>
    <x v="379"/>
    <x v="8"/>
    <x v="76"/>
    <x v="40"/>
    <x v="48"/>
    <x v="0"/>
    <x v="2"/>
    <x v="0"/>
  </r>
  <r>
    <x v="24"/>
    <x v="172"/>
    <x v="380"/>
    <x v="4"/>
    <x v="7"/>
    <x v="6"/>
    <x v="10"/>
    <x v="0"/>
    <x v="2"/>
    <x v="0"/>
  </r>
  <r>
    <x v="24"/>
    <x v="228"/>
    <x v="381"/>
    <x v="4"/>
    <x v="5"/>
    <x v="7"/>
    <x v="5"/>
    <x v="0"/>
    <x v="2"/>
    <x v="0"/>
  </r>
  <r>
    <x v="24"/>
    <x v="241"/>
    <x v="382"/>
    <x v="6"/>
    <x v="36"/>
    <x v="24"/>
    <x v="23"/>
    <x v="0"/>
    <x v="2"/>
    <x v="0"/>
  </r>
  <r>
    <x v="24"/>
    <x v="265"/>
    <x v="383"/>
    <x v="7"/>
    <x v="99"/>
    <x v="67"/>
    <x v="73"/>
    <x v="0"/>
    <x v="2"/>
    <x v="0"/>
  </r>
  <r>
    <x v="24"/>
    <x v="288"/>
    <x v="384"/>
    <x v="4"/>
    <x v="2"/>
    <x v="2"/>
    <x v="41"/>
    <x v="0"/>
    <x v="2"/>
    <x v="0"/>
  </r>
  <r>
    <x v="24"/>
    <x v="307"/>
    <x v="385"/>
    <x v="2"/>
    <x v="263"/>
    <x v="102"/>
    <x v="205"/>
    <x v="0"/>
    <x v="2"/>
    <x v="0"/>
  </r>
  <r>
    <x v="24"/>
    <x v="338"/>
    <x v="386"/>
    <x v="6"/>
    <x v="33"/>
    <x v="30"/>
    <x v="14"/>
    <x v="0"/>
    <x v="2"/>
    <x v="0"/>
  </r>
  <r>
    <x v="25"/>
    <x v="43"/>
    <x v="388"/>
    <x v="3"/>
    <x v="269"/>
    <x v="107"/>
    <x v="215"/>
    <x v="0"/>
    <x v="2"/>
    <x v="0"/>
  </r>
  <r>
    <x v="25"/>
    <x v="1"/>
    <x v="387"/>
    <x v="7"/>
    <x v="188"/>
    <x v="75"/>
    <x v="157"/>
    <x v="0"/>
    <x v="2"/>
    <x v="0"/>
  </r>
  <r>
    <x v="25"/>
    <x v="52"/>
    <x v="389"/>
    <x v="7"/>
    <x v="199"/>
    <x v="68"/>
    <x v="173"/>
    <x v="0"/>
    <x v="2"/>
    <x v="0"/>
  </r>
  <r>
    <x v="25"/>
    <x v="82"/>
    <x v="390"/>
    <x v="8"/>
    <x v="80"/>
    <x v="40"/>
    <x v="52"/>
    <x v="0"/>
    <x v="2"/>
    <x v="0"/>
  </r>
  <r>
    <x v="25"/>
    <x v="117"/>
    <x v="391"/>
    <x v="2"/>
    <x v="283"/>
    <x v="105"/>
    <x v="231"/>
    <x v="0"/>
    <x v="2"/>
    <x v="0"/>
  </r>
  <r>
    <x v="25"/>
    <x v="120"/>
    <x v="392"/>
    <x v="8"/>
    <x v="69"/>
    <x v="43"/>
    <x v="41"/>
    <x v="0"/>
    <x v="2"/>
    <x v="0"/>
  </r>
  <r>
    <x v="25"/>
    <x v="123"/>
    <x v="393"/>
    <x v="7"/>
    <x v="104"/>
    <x v="65"/>
    <x v="82"/>
    <x v="0"/>
    <x v="2"/>
    <x v="0"/>
  </r>
  <r>
    <x v="25"/>
    <x v="202"/>
    <x v="395"/>
    <x v="6"/>
    <x v="26"/>
    <x v="23"/>
    <x v="14"/>
    <x v="0"/>
    <x v="2"/>
    <x v="0"/>
  </r>
  <r>
    <x v="25"/>
    <x v="206"/>
    <x v="396"/>
    <x v="7"/>
    <x v="153"/>
    <x v="57"/>
    <x v="133"/>
    <x v="0"/>
    <x v="2"/>
    <x v="0"/>
  </r>
  <r>
    <x v="25"/>
    <x v="219"/>
    <x v="397"/>
    <x v="4"/>
    <x v="8"/>
    <x v="7"/>
    <x v="10"/>
    <x v="0"/>
    <x v="2"/>
    <x v="0"/>
  </r>
  <r>
    <x v="25"/>
    <x v="274"/>
    <x v="399"/>
    <x v="7"/>
    <x v="109"/>
    <x v="72"/>
    <x v="84"/>
    <x v="0"/>
    <x v="2"/>
    <x v="0"/>
  </r>
  <r>
    <x v="25"/>
    <x v="299"/>
    <x v="400"/>
    <x v="1"/>
    <x v="23"/>
    <x v="18"/>
    <x v="16"/>
    <x v="0"/>
    <x v="2"/>
    <x v="0"/>
  </r>
  <r>
    <x v="25"/>
    <x v="314"/>
    <x v="401"/>
    <x v="2"/>
    <x v="252"/>
    <x v="96"/>
    <x v="193"/>
    <x v="0"/>
    <x v="2"/>
    <x v="0"/>
  </r>
  <r>
    <x v="25"/>
    <x v="184"/>
    <x v="394"/>
    <x v="6"/>
    <x v="37"/>
    <x v="26"/>
    <x v="22"/>
    <x v="0"/>
    <x v="5"/>
    <x v="0"/>
  </r>
  <r>
    <x v="25"/>
    <x v="247"/>
    <x v="398"/>
    <x v="6"/>
    <x v="34"/>
    <x v="29"/>
    <x v="16"/>
    <x v="0"/>
    <x v="5"/>
    <x v="0"/>
  </r>
  <r>
    <x v="25"/>
    <x v="316"/>
    <x v="402"/>
    <x v="1"/>
    <x v="21"/>
    <x v="22"/>
    <x v="10"/>
    <x v="0"/>
    <x v="2"/>
    <x v="0"/>
  </r>
  <r>
    <x v="26"/>
    <x v="1"/>
    <x v="403"/>
    <x v="7"/>
    <x v="193"/>
    <x v="82"/>
    <x v="161"/>
    <x v="0"/>
    <x v="2"/>
    <x v="0"/>
  </r>
  <r>
    <x v="26"/>
    <x v="32"/>
    <x v="404"/>
    <x v="3"/>
    <x v="212"/>
    <x v="89"/>
    <x v="138"/>
    <x v="0"/>
    <x v="2"/>
    <x v="0"/>
  </r>
  <r>
    <x v="26"/>
    <x v="69"/>
    <x v="405"/>
    <x v="7"/>
    <x v="223"/>
    <x v="74"/>
    <x v="201"/>
    <x v="0"/>
    <x v="2"/>
    <x v="0"/>
  </r>
  <r>
    <x v="26"/>
    <x v="74"/>
    <x v="406"/>
    <x v="8"/>
    <x v="87"/>
    <x v="41"/>
    <x v="59"/>
    <x v="0"/>
    <x v="2"/>
    <x v="0"/>
  </r>
  <r>
    <x v="26"/>
    <x v="108"/>
    <x v="407"/>
    <x v="8"/>
    <x v="57"/>
    <x v="38"/>
    <x v="18"/>
    <x v="0"/>
    <x v="2"/>
    <x v="0"/>
  </r>
  <r>
    <x v="26"/>
    <x v="111"/>
    <x v="408"/>
    <x v="2"/>
    <x v="262"/>
    <x v="98"/>
    <x v="206"/>
    <x v="0"/>
    <x v="2"/>
    <x v="0"/>
  </r>
  <r>
    <x v="26"/>
    <x v="129"/>
    <x v="409"/>
    <x v="7"/>
    <x v="96"/>
    <x v="53"/>
    <x v="56"/>
    <x v="0"/>
    <x v="2"/>
    <x v="0"/>
  </r>
  <r>
    <x v="25"/>
    <x v="225"/>
    <x v="476"/>
    <x v="3"/>
    <x v="161"/>
    <x v="91"/>
    <x v="81"/>
    <x v="0"/>
    <x v="3"/>
    <x v="0"/>
  </r>
  <r>
    <x v="26"/>
    <x v="211"/>
    <x v="14"/>
    <x v="3"/>
    <x v="148"/>
    <x v="98"/>
    <x v="72"/>
    <x v="0"/>
    <x v="4"/>
    <x v="0"/>
  </r>
  <r>
    <x v="26"/>
    <x v="175"/>
    <x v="410"/>
    <x v="4"/>
    <x v="11"/>
    <x v="6"/>
    <x v="16"/>
    <x v="0"/>
    <x v="2"/>
    <x v="0"/>
  </r>
  <r>
    <x v="26"/>
    <x v="220"/>
    <x v="411"/>
    <x v="4"/>
    <x v="4"/>
    <x v="4"/>
    <x v="10"/>
    <x v="0"/>
    <x v="2"/>
    <x v="0"/>
  </r>
  <r>
    <x v="26"/>
    <x v="242"/>
    <x v="413"/>
    <x v="0"/>
    <x v="201"/>
    <x v="88"/>
    <x v="139"/>
    <x v="0"/>
    <x v="0"/>
    <x v="0"/>
  </r>
  <r>
    <x v="26"/>
    <x v="223"/>
    <x v="412"/>
    <x v="1"/>
    <x v="27"/>
    <x v="13"/>
    <x v="27"/>
    <x v="0"/>
    <x v="2"/>
    <x v="0"/>
  </r>
  <r>
    <x v="26"/>
    <x v="269"/>
    <x v="414"/>
    <x v="7"/>
    <x v="107"/>
    <x v="64"/>
    <x v="87"/>
    <x v="0"/>
    <x v="2"/>
    <x v="0"/>
  </r>
  <r>
    <x v="26"/>
    <x v="307"/>
    <x v="415"/>
    <x v="2"/>
    <x v="242"/>
    <x v="112"/>
    <x v="160"/>
    <x v="0"/>
    <x v="2"/>
    <x v="0"/>
  </r>
  <r>
    <x v="26"/>
    <x v="330"/>
    <x v="416"/>
    <x v="1"/>
    <x v="25"/>
    <x v="14"/>
    <x v="24"/>
    <x v="0"/>
    <x v="2"/>
    <x v="0"/>
  </r>
  <r>
    <x v="27"/>
    <x v="10"/>
    <x v="417"/>
    <x v="7"/>
    <x v="196"/>
    <x v="72"/>
    <x v="165"/>
    <x v="0"/>
    <x v="2"/>
    <x v="0"/>
  </r>
  <r>
    <x v="27"/>
    <x v="51"/>
    <x v="418"/>
    <x v="3"/>
    <x v="239"/>
    <x v="94"/>
    <x v="158"/>
    <x v="0"/>
    <x v="2"/>
    <x v="0"/>
  </r>
  <r>
    <x v="27"/>
    <x v="60"/>
    <x v="419"/>
    <x v="1"/>
    <x v="43"/>
    <x v="11"/>
    <x v="43"/>
    <x v="0"/>
    <x v="2"/>
    <x v="0"/>
  </r>
  <r>
    <x v="27"/>
    <x v="70"/>
    <x v="420"/>
    <x v="7"/>
    <x v="217"/>
    <x v="67"/>
    <x v="197"/>
    <x v="0"/>
    <x v="2"/>
    <x v="0"/>
  </r>
  <r>
    <x v="27"/>
    <x v="90"/>
    <x v="421"/>
    <x v="2"/>
    <x v="252"/>
    <x v="102"/>
    <x v="188"/>
    <x v="0"/>
    <x v="2"/>
    <x v="0"/>
  </r>
  <r>
    <x v="27"/>
    <x v="119"/>
    <x v="422"/>
    <x v="1"/>
    <x v="37"/>
    <x v="11"/>
    <x v="38"/>
    <x v="0"/>
    <x v="2"/>
    <x v="0"/>
  </r>
  <r>
    <x v="27"/>
    <x v="140"/>
    <x v="423"/>
    <x v="7"/>
    <x v="108"/>
    <x v="63"/>
    <x v="88"/>
    <x v="0"/>
    <x v="2"/>
    <x v="0"/>
  </r>
  <r>
    <x v="27"/>
    <x v="189"/>
    <x v="424"/>
    <x v="1"/>
    <x v="43"/>
    <x v="12"/>
    <x v="42"/>
    <x v="0"/>
    <x v="5"/>
    <x v="0"/>
  </r>
  <r>
    <x v="27"/>
    <x v="200"/>
    <x v="425"/>
    <x v="7"/>
    <x v="149"/>
    <x v="54"/>
    <x v="130"/>
    <x v="0"/>
    <x v="2"/>
    <x v="0"/>
  </r>
  <r>
    <x v="27"/>
    <x v="241"/>
    <x v="427"/>
    <x v="1"/>
    <x v="30"/>
    <x v="14"/>
    <x v="29"/>
    <x v="0"/>
    <x v="5"/>
    <x v="0"/>
  </r>
  <r>
    <x v="27"/>
    <x v="228"/>
    <x v="426"/>
    <x v="4"/>
    <x v="8"/>
    <x v="5"/>
    <x v="12"/>
    <x v="0"/>
    <x v="2"/>
    <x v="0"/>
  </r>
  <r>
    <x v="27"/>
    <x v="272"/>
    <x v="428"/>
    <x v="5"/>
    <x v="100"/>
    <x v="60"/>
    <x v="76"/>
    <x v="0"/>
    <x v="2"/>
    <x v="0"/>
  </r>
  <r>
    <x v="27"/>
    <x v="281"/>
    <x v="429"/>
    <x v="4"/>
    <x v="6"/>
    <x v="6"/>
    <x v="8"/>
    <x v="0"/>
    <x v="2"/>
    <x v="0"/>
  </r>
  <r>
    <x v="27"/>
    <x v="312"/>
    <x v="430"/>
    <x v="2"/>
    <x v="244"/>
    <x v="94"/>
    <x v="175"/>
    <x v="0"/>
    <x v="2"/>
    <x v="0"/>
  </r>
  <r>
    <x v="27"/>
    <x v="342"/>
    <x v="431"/>
    <x v="4"/>
    <x v="10"/>
    <x v="9"/>
    <x v="9"/>
    <x v="0"/>
    <x v="2"/>
    <x v="0"/>
  </r>
  <r>
    <x v="28"/>
    <x v="14"/>
    <x v="432"/>
    <x v="7"/>
    <x v="231"/>
    <x v="79"/>
    <x v="213"/>
    <x v="0"/>
    <x v="2"/>
    <x v="0"/>
  </r>
  <r>
    <x v="28"/>
    <x v="76"/>
    <x v="433"/>
    <x v="1"/>
    <x v="42"/>
    <x v="14"/>
    <x v="40"/>
    <x v="0"/>
    <x v="2"/>
    <x v="0"/>
  </r>
  <r>
    <x v="28"/>
    <x v="78"/>
    <x v="434"/>
    <x v="2"/>
    <x v="274"/>
    <x v="95"/>
    <x v="225"/>
    <x v="0"/>
    <x v="2"/>
    <x v="0"/>
  </r>
  <r>
    <x v="28"/>
    <x v="81"/>
    <x v="435"/>
    <x v="7"/>
    <x v="197"/>
    <x v="70"/>
    <x v="168"/>
    <x v="0"/>
    <x v="2"/>
    <x v="0"/>
  </r>
  <r>
    <x v="28"/>
    <x v="125"/>
    <x v="436"/>
    <x v="1"/>
    <x v="37"/>
    <x v="15"/>
    <x v="34"/>
    <x v="0"/>
    <x v="2"/>
    <x v="0"/>
  </r>
  <r>
    <x v="28"/>
    <x v="126"/>
    <x v="437"/>
    <x v="2"/>
    <x v="168"/>
    <x v="89"/>
    <x v="92"/>
    <x v="0"/>
    <x v="2"/>
    <x v="0"/>
  </r>
  <r>
    <x v="28"/>
    <x v="148"/>
    <x v="438"/>
    <x v="7"/>
    <x v="123"/>
    <x v="71"/>
    <x v="107"/>
    <x v="0"/>
    <x v="2"/>
    <x v="0"/>
  </r>
  <r>
    <x v="28"/>
    <x v="183"/>
    <x v="439"/>
    <x v="6"/>
    <x v="36"/>
    <x v="24"/>
    <x v="23"/>
    <x v="0"/>
    <x v="5"/>
    <x v="0"/>
  </r>
  <r>
    <x v="28"/>
    <x v="212"/>
    <x v="440"/>
    <x v="6"/>
    <x v="38"/>
    <x v="24"/>
    <x v="25"/>
    <x v="0"/>
    <x v="2"/>
    <x v="0"/>
  </r>
  <r>
    <x v="28"/>
    <x v="232"/>
    <x v="441"/>
    <x v="4"/>
    <x v="5"/>
    <x v="7"/>
    <x v="5"/>
    <x v="0"/>
    <x v="2"/>
    <x v="0"/>
  </r>
  <r>
    <x v="28"/>
    <x v="261"/>
    <x v="442"/>
    <x v="7"/>
    <x v="105"/>
    <x v="70"/>
    <x v="82"/>
    <x v="0"/>
    <x v="2"/>
    <x v="0"/>
  </r>
  <r>
    <x v="28"/>
    <x v="285"/>
    <x v="443"/>
    <x v="4"/>
    <x v="9"/>
    <x v="8"/>
    <x v="10"/>
    <x v="0"/>
    <x v="2"/>
    <x v="0"/>
  </r>
  <r>
    <x v="28"/>
    <x v="308"/>
    <x v="444"/>
    <x v="6"/>
    <x v="26"/>
    <x v="30"/>
    <x v="6"/>
    <x v="0"/>
    <x v="2"/>
    <x v="0"/>
  </r>
  <r>
    <x v="28"/>
    <x v="309"/>
    <x v="445"/>
    <x v="2"/>
    <x v="251"/>
    <x v="99"/>
    <x v="186"/>
    <x v="0"/>
    <x v="2"/>
    <x v="0"/>
  </r>
  <r>
    <x v="28"/>
    <x v="244"/>
    <x v="16"/>
    <x v="9"/>
    <x v="95"/>
    <x v="49"/>
    <x v="44"/>
    <x v="0"/>
    <x v="4"/>
    <x v="0"/>
  </r>
  <r>
    <x v="28"/>
    <x v="219"/>
    <x v="15"/>
    <x v="3"/>
    <x v="138"/>
    <x v="95"/>
    <x v="64"/>
    <x v="0"/>
    <x v="4"/>
    <x v="0"/>
  </r>
  <r>
    <x v="29"/>
    <x v="13"/>
    <x v="446"/>
    <x v="7"/>
    <x v="222"/>
    <x v="75"/>
    <x v="196"/>
    <x v="0"/>
    <x v="2"/>
    <x v="0"/>
  </r>
  <r>
    <x v="29"/>
    <x v="30"/>
    <x v="447"/>
    <x v="3"/>
    <x v="237"/>
    <x v="99"/>
    <x v="152"/>
    <x v="0"/>
    <x v="2"/>
    <x v="0"/>
  </r>
  <r>
    <x v="29"/>
    <x v="77"/>
    <x v="448"/>
    <x v="8"/>
    <x v="80"/>
    <x v="36"/>
    <x v="57"/>
    <x v="0"/>
    <x v="2"/>
    <x v="0"/>
  </r>
  <r>
    <x v="29"/>
    <x v="91"/>
    <x v="449"/>
    <x v="2"/>
    <x v="263"/>
    <x v="94"/>
    <x v="209"/>
    <x v="0"/>
    <x v="2"/>
    <x v="0"/>
  </r>
  <r>
    <x v="29"/>
    <x v="105"/>
    <x v="450"/>
    <x v="7"/>
    <x v="234"/>
    <x v="73"/>
    <x v="219"/>
    <x v="0"/>
    <x v="2"/>
    <x v="0"/>
  </r>
  <r>
    <x v="29"/>
    <x v="110"/>
    <x v="451"/>
    <x v="8"/>
    <x v="62"/>
    <x v="44"/>
    <x v="31"/>
    <x v="0"/>
    <x v="2"/>
    <x v="0"/>
  </r>
  <r>
    <x v="29"/>
    <x v="168"/>
    <x v="452"/>
    <x v="7"/>
    <x v="131"/>
    <x v="59"/>
    <x v="116"/>
    <x v="0"/>
    <x v="2"/>
    <x v="0"/>
  </r>
  <r>
    <x v="29"/>
    <x v="231"/>
    <x v="476"/>
    <x v="3"/>
    <x v="165"/>
    <x v="91"/>
    <x v="85"/>
    <x v="0"/>
    <x v="3"/>
    <x v="0"/>
  </r>
  <r>
    <x v="29"/>
    <x v="224"/>
    <x v="454"/>
    <x v="4"/>
    <x v="8"/>
    <x v="9"/>
    <x v="6"/>
    <x v="0"/>
    <x v="2"/>
    <x v="0"/>
  </r>
  <r>
    <x v="29"/>
    <x v="353"/>
    <x v="455"/>
    <x v="6"/>
    <x v="32"/>
    <x v="22"/>
    <x v="21"/>
    <x v="0"/>
    <x v="2"/>
    <x v="0"/>
  </r>
  <r>
    <x v="29"/>
    <x v="195"/>
    <x v="453"/>
    <x v="6"/>
    <x v="34"/>
    <x v="23"/>
    <x v="22"/>
    <x v="0"/>
    <x v="5"/>
    <x v="0"/>
  </r>
  <r>
    <x v="29"/>
    <x v="253"/>
    <x v="456"/>
    <x v="1"/>
    <x v="19"/>
    <x v="22"/>
    <x v="8"/>
    <x v="0"/>
    <x v="1"/>
    <x v="0"/>
  </r>
  <r>
    <x v="29"/>
    <x v="275"/>
    <x v="457"/>
    <x v="7"/>
    <x v="120"/>
    <x v="74"/>
    <x v="100"/>
    <x v="0"/>
    <x v="2"/>
    <x v="0"/>
  </r>
  <r>
    <x v="29"/>
    <x v="296"/>
    <x v="458"/>
    <x v="4"/>
    <x v="8"/>
    <x v="7"/>
    <x v="10"/>
    <x v="0"/>
    <x v="2"/>
    <x v="0"/>
  </r>
  <r>
    <x v="29"/>
    <x v="315"/>
    <x v="459"/>
    <x v="2"/>
    <x v="253"/>
    <x v="100"/>
    <x v="192"/>
    <x v="0"/>
    <x v="2"/>
    <x v="0"/>
  </r>
  <r>
    <x v="29"/>
    <x v="350"/>
    <x v="460"/>
    <x v="6"/>
    <x v="30"/>
    <x v="29"/>
    <x v="12"/>
    <x v="0"/>
    <x v="2"/>
    <x v="0"/>
  </r>
  <r>
    <x v="30"/>
    <x v="263"/>
    <x v="457"/>
    <x v="7"/>
    <x v="103"/>
    <x v="70"/>
    <x v="80"/>
    <x v="0"/>
    <x v="2"/>
    <x v="0"/>
  </r>
  <r>
    <x v="30"/>
    <x v="16"/>
    <x v="461"/>
    <x v="7"/>
    <x v="233"/>
    <x v="79"/>
    <x v="215"/>
    <x v="0"/>
    <x v="2"/>
    <x v="0"/>
  </r>
  <r>
    <x v="30"/>
    <x v="40"/>
    <x v="462"/>
    <x v="3"/>
    <x v="242"/>
    <x v="92"/>
    <x v="169"/>
    <x v="0"/>
    <x v="2"/>
    <x v="0"/>
  </r>
  <r>
    <x v="30"/>
    <x v="61"/>
    <x v="463"/>
    <x v="7"/>
    <x v="187"/>
    <x v="76"/>
    <x v="153"/>
    <x v="0"/>
    <x v="2"/>
    <x v="0"/>
  </r>
  <r>
    <x v="30"/>
    <x v="82"/>
    <x v="464"/>
    <x v="8"/>
    <x v="79"/>
    <x v="41"/>
    <x v="50"/>
    <x v="0"/>
    <x v="2"/>
    <x v="0"/>
  </r>
  <r>
    <x v="30"/>
    <x v="95"/>
    <x v="465"/>
    <x v="2"/>
    <x v="236"/>
    <x v="93"/>
    <x v="153"/>
    <x v="0"/>
    <x v="2"/>
    <x v="0"/>
  </r>
  <r>
    <x v="30"/>
    <x v="123"/>
    <x v="466"/>
    <x v="8"/>
    <x v="60"/>
    <x v="41"/>
    <x v="30"/>
    <x v="0"/>
    <x v="2"/>
    <x v="0"/>
  </r>
  <r>
    <x v="30"/>
    <x v="125"/>
    <x v="467"/>
    <x v="7"/>
    <x v="145"/>
    <x v="77"/>
    <x v="119"/>
    <x v="0"/>
    <x v="2"/>
    <x v="0"/>
  </r>
  <r>
    <x v="30"/>
    <x v="169"/>
    <x v="468"/>
    <x v="6"/>
    <x v="42"/>
    <x v="25"/>
    <x v="28"/>
    <x v="0"/>
    <x v="5"/>
    <x v="0"/>
  </r>
  <r>
    <x v="30"/>
    <x v="192"/>
    <x v="469"/>
    <x v="6"/>
    <x v="30"/>
    <x v="25"/>
    <x v="16"/>
    <x v="0"/>
    <x v="2"/>
    <x v="0"/>
  </r>
  <r>
    <x v="30"/>
    <x v="226"/>
    <x v="470"/>
    <x v="4"/>
    <x v="7"/>
    <x v="7"/>
    <x v="9"/>
    <x v="0"/>
    <x v="2"/>
    <x v="0"/>
  </r>
  <r>
    <x v="30"/>
    <x v="300"/>
    <x v="471"/>
    <x v="4"/>
    <x v="7"/>
    <x v="7"/>
    <x v="9"/>
    <x v="0"/>
    <x v="2"/>
    <x v="0"/>
  </r>
  <r>
    <x v="30"/>
    <x v="311"/>
    <x v="472"/>
    <x v="2"/>
    <x v="257"/>
    <x v="99"/>
    <x v="200"/>
    <x v="0"/>
    <x v="2"/>
    <x v="0"/>
  </r>
  <r>
    <x v="30"/>
    <x v="332"/>
    <x v="473"/>
    <x v="6"/>
    <x v="33"/>
    <x v="31"/>
    <x v="13"/>
    <x v="0"/>
    <x v="2"/>
    <x v="0"/>
  </r>
  <r>
    <x v="30"/>
    <x v="218"/>
    <x v="17"/>
    <x v="3"/>
    <x v="132"/>
    <x v="92"/>
    <x v="58"/>
    <x v="0"/>
    <x v="4"/>
    <x v="0"/>
  </r>
  <r>
    <x v="19"/>
    <x v="190"/>
    <x v="301"/>
    <x v="0"/>
    <x v="162"/>
    <x v="92"/>
    <x v="83"/>
    <x v="0"/>
    <x v="2"/>
    <x v="0"/>
  </r>
  <r>
    <x v="21"/>
    <x v="282"/>
    <x v="335"/>
    <x v="4"/>
    <x v="1"/>
    <x v="1"/>
    <x v="22"/>
    <x v="0"/>
    <x v="2"/>
    <x v="0"/>
  </r>
  <r>
    <x v="21"/>
    <x v="325"/>
    <x v="337"/>
    <x v="6"/>
    <x v="30"/>
    <x v="33"/>
    <x v="6"/>
    <x v="0"/>
    <x v="2"/>
    <x v="0"/>
  </r>
  <r>
    <x v="22"/>
    <x v="80"/>
    <x v="342"/>
    <x v="8"/>
    <x v="88"/>
    <x v="42"/>
    <x v="59"/>
    <x v="0"/>
    <x v="2"/>
    <x v="0"/>
  </r>
  <r>
    <x v="22"/>
    <x v="139"/>
    <x v="343"/>
    <x v="8"/>
    <x v="70"/>
    <x v="42"/>
    <x v="43"/>
    <x v="0"/>
    <x v="2"/>
    <x v="0"/>
  </r>
  <r>
    <x v="9"/>
    <x v="215"/>
    <x v="5"/>
    <x v="3"/>
    <x v="169"/>
    <x v="108"/>
    <x v="82"/>
    <x v="0"/>
    <x v="4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L36" firstHeaderRow="1" firstDataRow="2" firstDataCol="1" rowPageCount="1" colPageCount="1"/>
  <pivotFields count="10">
    <pivotField axis="axisRow" showAll="0"/>
    <pivotField showAll="0"/>
    <pivotField showAll="0"/>
    <pivotField axis="axisCol" showAll="0"/>
    <pivotField showAll="0"/>
    <pivotField showAll="0"/>
    <pivotField dataField="1" showAll="0"/>
    <pivotField showAll="0"/>
    <pivotField axis="axisPage" showAll="0"/>
    <pivotField showAll="0"/>
  </pivotFields>
  <rowFields count="1">
    <field x="0"/>
  </rowFields>
  <colFields count="1">
    <field x="3"/>
  </colFields>
  <pageFields count="1">
    <pageField fld="8" hier="-1"/>
  </pageFields>
  <dataFields count="1">
    <dataField fld="6" subtotal="sum"/>
  </dataFields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H15" firstHeaderRow="1" firstDataRow="2" firstDataCol="1" rowPageCount="1" colPageCount="1"/>
  <pivotFields count="10">
    <pivotField axis="axisPage" showAll="0"/>
    <pivotField showAll="0"/>
    <pivotField showAll="0"/>
    <pivotField axis="axisRow" showAll="0"/>
    <pivotField showAll="0"/>
    <pivotField showAll="0"/>
    <pivotField dataField="1" showAll="0"/>
    <pivotField showAll="0"/>
    <pivotField axis="axisCol" showAll="0"/>
    <pivotField showAll="0"/>
  </pivotFields>
  <rowFields count="1">
    <field x="3"/>
  </rowFields>
  <colFields count="1">
    <field x="8"/>
  </colFields>
  <pageFields count="1">
    <pageField fld="0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</row>
    <row r="2" customFormat="false" ht="15" hidden="false" customHeight="false" outlineLevel="0" collapsed="false">
      <c r="A2" s="6" t="n">
        <v>43678</v>
      </c>
      <c r="B2" s="7" t="n">
        <v>0.0506944444444445</v>
      </c>
      <c r="C2" s="8" t="n">
        <v>111637</v>
      </c>
      <c r="D2" s="8" t="s">
        <v>10</v>
      </c>
      <c r="E2" s="8" t="n">
        <v>22440</v>
      </c>
      <c r="F2" s="8" t="n">
        <v>13040</v>
      </c>
      <c r="G2" s="9" t="n">
        <v>9400</v>
      </c>
      <c r="H2" s="8" t="s">
        <v>11</v>
      </c>
      <c r="I2" s="8" t="s">
        <v>12</v>
      </c>
      <c r="J2" s="0" t="s">
        <v>13</v>
      </c>
    </row>
    <row r="3" customFormat="false" ht="15" hidden="false" customHeight="false" outlineLevel="0" collapsed="false">
      <c r="A3" s="6" t="n">
        <v>43678</v>
      </c>
      <c r="B3" s="7" t="n">
        <v>0.138194444444444</v>
      </c>
      <c r="C3" s="8" t="n">
        <v>111643</v>
      </c>
      <c r="D3" s="8" t="s">
        <v>14</v>
      </c>
      <c r="E3" s="8" t="n">
        <v>25380</v>
      </c>
      <c r="F3" s="8" t="n">
        <v>15820</v>
      </c>
      <c r="G3" s="9" t="n">
        <v>9560</v>
      </c>
      <c r="H3" s="8" t="s">
        <v>11</v>
      </c>
      <c r="I3" s="8" t="s">
        <v>12</v>
      </c>
      <c r="J3" s="0" t="s">
        <v>13</v>
      </c>
    </row>
    <row r="4" customFormat="false" ht="15" hidden="false" customHeight="false" outlineLevel="0" collapsed="false">
      <c r="A4" s="6" t="n">
        <v>43678</v>
      </c>
      <c r="B4" s="7" t="n">
        <v>0.141666666666667</v>
      </c>
      <c r="C4" s="8" t="n">
        <v>111645</v>
      </c>
      <c r="D4" s="8" t="s">
        <v>10</v>
      </c>
      <c r="E4" s="8" t="n">
        <v>19800</v>
      </c>
      <c r="F4" s="8" t="n">
        <v>13020</v>
      </c>
      <c r="G4" s="9" t="n">
        <v>6780</v>
      </c>
      <c r="H4" s="8" t="s">
        <v>11</v>
      </c>
      <c r="I4" s="8" t="s">
        <v>12</v>
      </c>
      <c r="J4" s="0" t="s">
        <v>13</v>
      </c>
    </row>
    <row r="5" customFormat="false" ht="15" hidden="false" customHeight="false" outlineLevel="0" collapsed="false">
      <c r="A5" s="6" t="n">
        <v>43678</v>
      </c>
      <c r="B5" s="7" t="n">
        <v>0.166666666666667</v>
      </c>
      <c r="C5" s="8" t="n">
        <v>111647</v>
      </c>
      <c r="D5" s="8" t="s">
        <v>15</v>
      </c>
      <c r="E5" s="8" t="n">
        <v>4800</v>
      </c>
      <c r="F5" s="8" t="n">
        <v>3600</v>
      </c>
      <c r="G5" s="9" t="n">
        <v>1200</v>
      </c>
      <c r="H5" s="8" t="s">
        <v>11</v>
      </c>
      <c r="I5" s="8" t="s">
        <v>12</v>
      </c>
      <c r="J5" s="0" t="s">
        <v>13</v>
      </c>
    </row>
    <row r="6" customFormat="false" ht="15" hidden="false" customHeight="false" outlineLevel="0" collapsed="false">
      <c r="A6" s="6" t="n">
        <v>43678</v>
      </c>
      <c r="B6" s="7" t="n">
        <v>0.236111111111111</v>
      </c>
      <c r="C6" s="8" t="n">
        <v>111651</v>
      </c>
      <c r="D6" s="8" t="s">
        <v>10</v>
      </c>
      <c r="E6" s="8" t="n">
        <v>17360</v>
      </c>
      <c r="F6" s="8" t="n">
        <v>12840</v>
      </c>
      <c r="G6" s="9" t="n">
        <v>4520</v>
      </c>
      <c r="H6" s="8" t="s">
        <v>11</v>
      </c>
      <c r="I6" s="8" t="s">
        <v>12</v>
      </c>
      <c r="J6" s="0" t="s">
        <v>13</v>
      </c>
    </row>
    <row r="7" customFormat="false" ht="15" hidden="false" customHeight="false" outlineLevel="0" collapsed="false">
      <c r="A7" s="6" t="n">
        <v>43678</v>
      </c>
      <c r="B7" s="7" t="n">
        <v>0.240277777777778</v>
      </c>
      <c r="C7" s="8" t="n">
        <v>111652</v>
      </c>
      <c r="D7" s="8" t="s">
        <v>14</v>
      </c>
      <c r="E7" s="8" t="n">
        <v>21420</v>
      </c>
      <c r="F7" s="8" t="n">
        <v>15780</v>
      </c>
      <c r="G7" s="9" t="n">
        <v>5640</v>
      </c>
      <c r="H7" s="8" t="s">
        <v>11</v>
      </c>
      <c r="I7" s="8" t="s">
        <v>12</v>
      </c>
      <c r="J7" s="0" t="s">
        <v>13</v>
      </c>
    </row>
    <row r="8" customFormat="false" ht="15" hidden="false" customHeight="false" outlineLevel="0" collapsed="false">
      <c r="A8" s="6" t="n">
        <v>43678</v>
      </c>
      <c r="B8" s="7" t="n">
        <v>0.245138888888889</v>
      </c>
      <c r="C8" s="8" t="n">
        <v>111653</v>
      </c>
      <c r="D8" s="8" t="s">
        <v>15</v>
      </c>
      <c r="E8" s="8" t="n">
        <v>4600</v>
      </c>
      <c r="F8" s="8" t="n">
        <v>3740</v>
      </c>
      <c r="G8" s="9" t="n">
        <v>860</v>
      </c>
      <c r="H8" s="8" t="s">
        <v>11</v>
      </c>
      <c r="I8" s="8" t="s">
        <v>12</v>
      </c>
      <c r="J8" s="0" t="s">
        <v>13</v>
      </c>
    </row>
    <row r="9" customFormat="false" ht="15" hidden="false" customHeight="false" outlineLevel="0" collapsed="false">
      <c r="A9" s="6" t="n">
        <v>43678</v>
      </c>
      <c r="B9" s="7" t="n">
        <v>0.459722222222222</v>
      </c>
      <c r="C9" s="8" t="n">
        <v>111675</v>
      </c>
      <c r="D9" s="8" t="s">
        <v>16</v>
      </c>
      <c r="E9" s="8" t="n">
        <v>3380</v>
      </c>
      <c r="F9" s="8" t="n">
        <v>2880</v>
      </c>
      <c r="G9" s="9" t="n">
        <v>500</v>
      </c>
      <c r="H9" s="8" t="s">
        <v>11</v>
      </c>
      <c r="I9" s="8" t="s">
        <v>12</v>
      </c>
      <c r="J9" s="0" t="s">
        <v>13</v>
      </c>
    </row>
    <row r="10" customFormat="false" ht="15" hidden="false" customHeight="false" outlineLevel="0" collapsed="false">
      <c r="A10" s="6" t="n">
        <v>43678</v>
      </c>
      <c r="B10" s="7" t="n">
        <v>0.39375</v>
      </c>
      <c r="C10" s="8" t="n">
        <v>111669</v>
      </c>
      <c r="D10" s="8" t="s">
        <v>17</v>
      </c>
      <c r="E10" s="8" t="n">
        <v>5820</v>
      </c>
      <c r="F10" s="8" t="n">
        <v>5560</v>
      </c>
      <c r="G10" s="9" t="n">
        <v>260</v>
      </c>
      <c r="H10" s="8" t="s">
        <v>11</v>
      </c>
      <c r="I10" s="8" t="s">
        <v>18</v>
      </c>
      <c r="J10" s="0" t="s">
        <v>13</v>
      </c>
    </row>
    <row r="11" customFormat="false" ht="15" hidden="false" customHeight="false" outlineLevel="0" collapsed="false">
      <c r="A11" s="6" t="n">
        <v>43678</v>
      </c>
      <c r="B11" s="7" t="n">
        <v>0.689583333333333</v>
      </c>
      <c r="C11" s="8" t="n">
        <v>111693</v>
      </c>
      <c r="D11" s="8" t="s">
        <v>10</v>
      </c>
      <c r="E11" s="8" t="n">
        <v>15880</v>
      </c>
      <c r="F11" s="8" t="n">
        <v>12800</v>
      </c>
      <c r="G11" s="9" t="n">
        <v>3080</v>
      </c>
      <c r="H11" s="8" t="s">
        <v>11</v>
      </c>
      <c r="I11" s="8" t="s">
        <v>12</v>
      </c>
      <c r="J11" s="0" t="s">
        <v>13</v>
      </c>
    </row>
    <row r="12" customFormat="false" ht="15" hidden="false" customHeight="false" outlineLevel="0" collapsed="false">
      <c r="A12" s="6" t="n">
        <v>43678</v>
      </c>
      <c r="B12" s="7" t="n">
        <v>0.74375</v>
      </c>
      <c r="C12" s="8" t="n">
        <v>111698</v>
      </c>
      <c r="D12" s="8" t="s">
        <v>19</v>
      </c>
      <c r="E12" s="8" t="n">
        <v>3020</v>
      </c>
      <c r="F12" s="8" t="n">
        <v>2760</v>
      </c>
      <c r="G12" s="9" t="n">
        <v>260</v>
      </c>
      <c r="H12" s="8" t="s">
        <v>11</v>
      </c>
      <c r="I12" s="8" t="s">
        <v>12</v>
      </c>
      <c r="J12" s="0" t="s">
        <v>13</v>
      </c>
    </row>
    <row r="13" customFormat="false" ht="15" hidden="false" customHeight="false" outlineLevel="0" collapsed="false">
      <c r="A13" s="6" t="n">
        <v>43678</v>
      </c>
      <c r="B13" s="7" t="n">
        <v>0.876388888888889</v>
      </c>
      <c r="C13" s="8" t="n">
        <v>111702</v>
      </c>
      <c r="D13" s="8" t="s">
        <v>16</v>
      </c>
      <c r="E13" s="8" t="n">
        <v>3200</v>
      </c>
      <c r="F13" s="8" t="n">
        <v>3040</v>
      </c>
      <c r="G13" s="9" t="n">
        <v>160</v>
      </c>
      <c r="H13" s="8" t="s">
        <v>11</v>
      </c>
      <c r="I13" s="8" t="s">
        <v>12</v>
      </c>
      <c r="J13" s="0" t="s">
        <v>13</v>
      </c>
    </row>
    <row r="14" customFormat="false" ht="15" hidden="false" customHeight="false" outlineLevel="0" collapsed="false">
      <c r="A14" s="6" t="n">
        <v>43678</v>
      </c>
      <c r="B14" s="7" t="n">
        <v>0.886111111111111</v>
      </c>
      <c r="C14" s="8" t="n">
        <v>111703</v>
      </c>
      <c r="D14" s="8" t="s">
        <v>14</v>
      </c>
      <c r="E14" s="8" t="n">
        <v>24820</v>
      </c>
      <c r="F14" s="8" t="n">
        <v>15900</v>
      </c>
      <c r="G14" s="9" t="n">
        <v>8920</v>
      </c>
      <c r="H14" s="8" t="s">
        <v>11</v>
      </c>
      <c r="I14" s="8" t="s">
        <v>12</v>
      </c>
      <c r="J14" s="0" t="s">
        <v>13</v>
      </c>
    </row>
    <row r="15" customFormat="false" ht="13.8" hidden="false" customHeight="false" outlineLevel="0" collapsed="false">
      <c r="A15" s="6" t="n">
        <v>43679</v>
      </c>
      <c r="B15" s="7" t="n">
        <v>0.121527777777778</v>
      </c>
      <c r="C15" s="8" t="n">
        <v>11710</v>
      </c>
      <c r="D15" s="8" t="s">
        <v>20</v>
      </c>
      <c r="E15" s="8" t="n">
        <v>25600</v>
      </c>
      <c r="F15" s="8" t="n">
        <v>15920</v>
      </c>
      <c r="G15" s="9" t="n">
        <v>9680</v>
      </c>
      <c r="H15" s="8" t="s">
        <v>11</v>
      </c>
      <c r="I15" s="8" t="s">
        <v>12</v>
      </c>
      <c r="J15" s="0" t="s">
        <v>13</v>
      </c>
    </row>
    <row r="16" customFormat="false" ht="15" hidden="false" customHeight="false" outlineLevel="0" collapsed="false">
      <c r="A16" s="6" t="n">
        <v>43679</v>
      </c>
      <c r="B16" s="7" t="n">
        <v>0.0430555555555556</v>
      </c>
      <c r="C16" s="8" t="n">
        <v>111705</v>
      </c>
      <c r="D16" s="8" t="s">
        <v>10</v>
      </c>
      <c r="E16" s="8" t="n">
        <v>21440</v>
      </c>
      <c r="F16" s="8" t="n">
        <v>13060</v>
      </c>
      <c r="G16" s="9" t="n">
        <v>8380</v>
      </c>
      <c r="H16" s="8" t="s">
        <v>11</v>
      </c>
      <c r="I16" s="8" t="s">
        <v>12</v>
      </c>
      <c r="J16" s="0" t="s">
        <v>13</v>
      </c>
    </row>
    <row r="17" customFormat="false" ht="15" hidden="false" customHeight="false" outlineLevel="0" collapsed="false">
      <c r="A17" s="6" t="n">
        <v>43679</v>
      </c>
      <c r="B17" s="7" t="n">
        <v>0.126388888888889</v>
      </c>
      <c r="C17" s="8" t="n">
        <v>111711</v>
      </c>
      <c r="D17" s="8" t="s">
        <v>16</v>
      </c>
      <c r="E17" s="8" t="n">
        <v>3100</v>
      </c>
      <c r="F17" s="8" t="n">
        <v>2860</v>
      </c>
      <c r="G17" s="9" t="n">
        <v>240</v>
      </c>
      <c r="H17" s="8" t="s">
        <v>11</v>
      </c>
      <c r="I17" s="8" t="s">
        <v>12</v>
      </c>
      <c r="J17" s="0" t="s">
        <v>13</v>
      </c>
    </row>
    <row r="18" customFormat="false" ht="15" hidden="false" customHeight="false" outlineLevel="0" collapsed="false">
      <c r="A18" s="6" t="n">
        <v>43679</v>
      </c>
      <c r="B18" s="7" t="n">
        <v>0.15</v>
      </c>
      <c r="C18" s="8" t="n">
        <v>111713</v>
      </c>
      <c r="D18" s="8" t="s">
        <v>15</v>
      </c>
      <c r="E18" s="8" t="n">
        <v>4740</v>
      </c>
      <c r="F18" s="8" t="n">
        <v>3560</v>
      </c>
      <c r="G18" s="9" t="n">
        <v>1180</v>
      </c>
      <c r="H18" s="8" t="s">
        <v>11</v>
      </c>
      <c r="I18" s="8" t="s">
        <v>12</v>
      </c>
      <c r="J18" s="0" t="s">
        <v>13</v>
      </c>
    </row>
    <row r="19" customFormat="false" ht="15" hidden="false" customHeight="false" outlineLevel="0" collapsed="false">
      <c r="A19" s="6" t="n">
        <v>43679</v>
      </c>
      <c r="B19" s="7" t="n">
        <v>0.165277777777778</v>
      </c>
      <c r="C19" s="8" t="n">
        <v>111715</v>
      </c>
      <c r="D19" s="8" t="s">
        <v>10</v>
      </c>
      <c r="E19" s="8" t="n">
        <v>21900</v>
      </c>
      <c r="F19" s="8" t="n">
        <v>12800</v>
      </c>
      <c r="G19" s="9" t="n">
        <v>9100</v>
      </c>
      <c r="H19" s="8" t="s">
        <v>11</v>
      </c>
      <c r="I19" s="8" t="s">
        <v>12</v>
      </c>
      <c r="J19" s="0" t="s">
        <v>13</v>
      </c>
    </row>
    <row r="20" customFormat="false" ht="15" hidden="false" customHeight="false" outlineLevel="0" collapsed="false">
      <c r="A20" s="6" t="n">
        <v>43679</v>
      </c>
      <c r="B20" s="7" t="n">
        <v>0.214583333333333</v>
      </c>
      <c r="C20" s="8" t="n">
        <v>111720</v>
      </c>
      <c r="D20" s="8" t="s">
        <v>14</v>
      </c>
      <c r="E20" s="8" t="n">
        <v>25600</v>
      </c>
      <c r="F20" s="8" t="n">
        <v>15920</v>
      </c>
      <c r="G20" s="9" t="n">
        <v>9680</v>
      </c>
      <c r="H20" s="8" t="s">
        <v>11</v>
      </c>
      <c r="I20" s="8" t="s">
        <v>12</v>
      </c>
      <c r="J20" s="0" t="s">
        <v>13</v>
      </c>
    </row>
    <row r="21" customFormat="false" ht="15" hidden="false" customHeight="false" outlineLevel="0" collapsed="false">
      <c r="A21" s="6" t="n">
        <v>43679</v>
      </c>
      <c r="B21" s="7" t="n">
        <v>0.238888888888889</v>
      </c>
      <c r="C21" s="8" t="n">
        <v>111721</v>
      </c>
      <c r="D21" s="8" t="s">
        <v>15</v>
      </c>
      <c r="E21" s="8" t="n">
        <v>4460</v>
      </c>
      <c r="F21" s="8" t="n">
        <v>3560</v>
      </c>
      <c r="G21" s="9" t="n">
        <v>900</v>
      </c>
      <c r="H21" s="8" t="s">
        <v>11</v>
      </c>
      <c r="I21" s="8" t="s">
        <v>12</v>
      </c>
      <c r="J21" s="0" t="s">
        <v>13</v>
      </c>
    </row>
    <row r="22" customFormat="false" ht="15" hidden="false" customHeight="false" outlineLevel="0" collapsed="false">
      <c r="A22" s="6" t="n">
        <v>43679</v>
      </c>
      <c r="B22" s="7" t="n">
        <v>0.245138888888889</v>
      </c>
      <c r="C22" s="8" t="n">
        <v>111722</v>
      </c>
      <c r="D22" s="8" t="s">
        <v>10</v>
      </c>
      <c r="E22" s="8" t="n">
        <v>16140</v>
      </c>
      <c r="F22" s="8" t="n">
        <v>12760</v>
      </c>
      <c r="G22" s="9" t="n">
        <v>3380</v>
      </c>
      <c r="H22" s="8" t="s">
        <v>11</v>
      </c>
      <c r="I22" s="8" t="s">
        <v>12</v>
      </c>
      <c r="J22" s="0" t="s">
        <v>13</v>
      </c>
    </row>
    <row r="23" customFormat="false" ht="15" hidden="false" customHeight="false" outlineLevel="0" collapsed="false">
      <c r="A23" s="6" t="n">
        <v>43679</v>
      </c>
      <c r="B23" s="7" t="n">
        <v>0.331944444444444</v>
      </c>
      <c r="C23" s="8" t="n">
        <v>111734</v>
      </c>
      <c r="D23" s="8" t="s">
        <v>16</v>
      </c>
      <c r="E23" s="8" t="n">
        <v>3400</v>
      </c>
      <c r="F23" s="8" t="n">
        <v>2920</v>
      </c>
      <c r="G23" s="9" t="n">
        <v>480</v>
      </c>
      <c r="H23" s="8" t="s">
        <v>11</v>
      </c>
      <c r="I23" s="8" t="s">
        <v>12</v>
      </c>
      <c r="J23" s="0" t="s">
        <v>13</v>
      </c>
    </row>
    <row r="24" customFormat="false" ht="15" hidden="false" customHeight="false" outlineLevel="0" collapsed="false">
      <c r="A24" s="6" t="n">
        <v>43679</v>
      </c>
      <c r="B24" s="7" t="n">
        <v>0.443055555555556</v>
      </c>
      <c r="C24" s="8" t="n">
        <v>111745</v>
      </c>
      <c r="D24" s="8" t="s">
        <v>16</v>
      </c>
      <c r="E24" s="8" t="n">
        <v>3260</v>
      </c>
      <c r="F24" s="8" t="n">
        <v>2920</v>
      </c>
      <c r="G24" s="9" t="n">
        <v>340</v>
      </c>
      <c r="H24" s="8" t="s">
        <v>11</v>
      </c>
      <c r="I24" s="8" t="s">
        <v>12</v>
      </c>
      <c r="J24" s="0" t="s">
        <v>13</v>
      </c>
    </row>
    <row r="25" customFormat="false" ht="15" hidden="false" customHeight="false" outlineLevel="0" collapsed="false">
      <c r="A25" s="6" t="n">
        <v>43679</v>
      </c>
      <c r="B25" s="7" t="n">
        <v>0.699305555555556</v>
      </c>
      <c r="C25" s="8" t="n">
        <v>111763</v>
      </c>
      <c r="D25" s="8" t="s">
        <v>10</v>
      </c>
      <c r="E25" s="8" t="n">
        <v>16840</v>
      </c>
      <c r="F25" s="8" t="n">
        <v>12880</v>
      </c>
      <c r="G25" s="9" t="n">
        <v>3960</v>
      </c>
      <c r="H25" s="8" t="s">
        <v>11</v>
      </c>
      <c r="I25" s="8" t="s">
        <v>12</v>
      </c>
      <c r="J25" s="0" t="s">
        <v>13</v>
      </c>
    </row>
    <row r="26" customFormat="false" ht="15" hidden="false" customHeight="false" outlineLevel="0" collapsed="false">
      <c r="A26" s="6" t="n">
        <v>43679</v>
      </c>
      <c r="B26" s="7" t="n">
        <v>0.484722222222222</v>
      </c>
      <c r="C26" s="8" t="n">
        <v>111749</v>
      </c>
      <c r="D26" s="8" t="s">
        <v>21</v>
      </c>
      <c r="E26" s="8" t="n">
        <v>18540</v>
      </c>
      <c r="F26" s="8" t="n">
        <v>15200</v>
      </c>
      <c r="G26" s="9" t="n">
        <v>3340</v>
      </c>
      <c r="H26" s="8" t="s">
        <v>11</v>
      </c>
      <c r="I26" s="8" t="s">
        <v>22</v>
      </c>
      <c r="J26" s="0" t="s">
        <v>13</v>
      </c>
    </row>
    <row r="27" customFormat="false" ht="15" hidden="false" customHeight="false" outlineLevel="0" collapsed="false">
      <c r="A27" s="6" t="n">
        <v>43679</v>
      </c>
      <c r="B27" s="7" t="n">
        <v>0.750694444444445</v>
      </c>
      <c r="C27" s="8" t="n">
        <v>111767</v>
      </c>
      <c r="D27" s="8" t="s">
        <v>19</v>
      </c>
      <c r="E27" s="8" t="n">
        <v>2980</v>
      </c>
      <c r="F27" s="8" t="n">
        <v>2720</v>
      </c>
      <c r="G27" s="9" t="n">
        <v>260</v>
      </c>
      <c r="H27" s="8" t="s">
        <v>11</v>
      </c>
      <c r="I27" s="8" t="s">
        <v>12</v>
      </c>
      <c r="J27" s="0" t="s">
        <v>13</v>
      </c>
    </row>
    <row r="28" customFormat="false" ht="15" hidden="false" customHeight="false" outlineLevel="0" collapsed="false">
      <c r="A28" s="6" t="n">
        <v>43679</v>
      </c>
      <c r="B28" s="7" t="n">
        <v>0.902083333333333</v>
      </c>
      <c r="C28" s="8" t="n">
        <v>111772</v>
      </c>
      <c r="D28" s="8" t="s">
        <v>14</v>
      </c>
      <c r="E28" s="8" t="n">
        <v>25240</v>
      </c>
      <c r="F28" s="8" t="n">
        <v>15840</v>
      </c>
      <c r="G28" s="9" t="n">
        <v>9400</v>
      </c>
      <c r="H28" s="8" t="s">
        <v>11</v>
      </c>
      <c r="I28" s="8" t="s">
        <v>12</v>
      </c>
      <c r="J28" s="0" t="s">
        <v>13</v>
      </c>
    </row>
    <row r="29" customFormat="false" ht="15" hidden="false" customHeight="false" outlineLevel="0" collapsed="false">
      <c r="A29" s="6" t="n">
        <v>43679</v>
      </c>
      <c r="B29" s="7" t="n">
        <v>0.917361111111111</v>
      </c>
      <c r="C29" s="8" t="n">
        <v>111773</v>
      </c>
      <c r="D29" s="8" t="s">
        <v>16</v>
      </c>
      <c r="E29" s="8" t="n">
        <v>3340</v>
      </c>
      <c r="F29" s="8" t="n">
        <v>3040</v>
      </c>
      <c r="G29" s="9" t="n">
        <v>300</v>
      </c>
      <c r="H29" s="8" t="s">
        <v>11</v>
      </c>
      <c r="I29" s="8" t="s">
        <v>12</v>
      </c>
      <c r="J29" s="0" t="s">
        <v>13</v>
      </c>
    </row>
    <row r="30" customFormat="false" ht="15" hidden="false" customHeight="false" outlineLevel="0" collapsed="false">
      <c r="A30" s="6" t="n">
        <v>43679</v>
      </c>
      <c r="B30" s="7" t="n">
        <v>0.440972222222222</v>
      </c>
      <c r="C30" s="10" t="s">
        <v>23</v>
      </c>
      <c r="D30" s="8" t="s">
        <v>20</v>
      </c>
      <c r="E30" s="8" t="n">
        <v>18760</v>
      </c>
      <c r="F30" s="8" t="n">
        <v>15760</v>
      </c>
      <c r="G30" s="9" t="n">
        <v>3000</v>
      </c>
      <c r="H30" s="8" t="s">
        <v>11</v>
      </c>
      <c r="I30" s="8" t="s">
        <v>24</v>
      </c>
      <c r="J30" s="0" t="s">
        <v>13</v>
      </c>
    </row>
    <row r="31" customFormat="false" ht="15" hidden="false" customHeight="false" outlineLevel="0" collapsed="false">
      <c r="A31" s="6" t="n">
        <v>43680</v>
      </c>
      <c r="B31" s="7" t="n">
        <v>0.454861111111111</v>
      </c>
      <c r="C31" s="8" t="n">
        <v>90999</v>
      </c>
      <c r="D31" s="8" t="s">
        <v>20</v>
      </c>
      <c r="E31" s="8" t="n">
        <v>18320</v>
      </c>
      <c r="F31" s="8" t="n">
        <v>15880</v>
      </c>
      <c r="G31" s="9" t="n">
        <v>2440</v>
      </c>
      <c r="H31" s="8" t="s">
        <v>11</v>
      </c>
      <c r="I31" s="8" t="s">
        <v>25</v>
      </c>
      <c r="J31" s="0" t="s">
        <v>13</v>
      </c>
    </row>
    <row r="32" customFormat="false" ht="15" hidden="false" customHeight="false" outlineLevel="0" collapsed="false">
      <c r="A32" s="6" t="n">
        <v>43680</v>
      </c>
      <c r="B32" s="7" t="n">
        <v>0.0402777777777778</v>
      </c>
      <c r="C32" s="8" t="n">
        <v>111775</v>
      </c>
      <c r="D32" s="8" t="s">
        <v>10</v>
      </c>
      <c r="E32" s="8" t="n">
        <v>21800</v>
      </c>
      <c r="F32" s="8" t="n">
        <v>13080</v>
      </c>
      <c r="G32" s="9" t="n">
        <v>8720</v>
      </c>
      <c r="H32" s="8" t="s">
        <v>11</v>
      </c>
      <c r="I32" s="8" t="s">
        <v>12</v>
      </c>
      <c r="J32" s="0" t="s">
        <v>13</v>
      </c>
    </row>
    <row r="33" customFormat="false" ht="15" hidden="false" customHeight="false" outlineLevel="0" collapsed="false">
      <c r="A33" s="6" t="n">
        <v>43680</v>
      </c>
      <c r="B33" s="7" t="n">
        <v>0.126388888888889</v>
      </c>
      <c r="C33" s="8" t="n">
        <v>111782</v>
      </c>
      <c r="D33" s="8" t="s">
        <v>20</v>
      </c>
      <c r="E33" s="8" t="n">
        <v>26140</v>
      </c>
      <c r="F33" s="8" t="n">
        <v>15940</v>
      </c>
      <c r="G33" s="9" t="n">
        <v>10200</v>
      </c>
      <c r="H33" s="8" t="s">
        <v>11</v>
      </c>
      <c r="I33" s="8" t="s">
        <v>12</v>
      </c>
      <c r="J33" s="0" t="s">
        <v>13</v>
      </c>
    </row>
    <row r="34" customFormat="false" ht="15" hidden="false" customHeight="false" outlineLevel="0" collapsed="false">
      <c r="A34" s="6" t="n">
        <v>43680</v>
      </c>
      <c r="B34" s="7" t="n">
        <v>0.134027777777778</v>
      </c>
      <c r="C34" s="8" t="n">
        <v>111783</v>
      </c>
      <c r="D34" s="8" t="s">
        <v>16</v>
      </c>
      <c r="E34" s="8" t="n">
        <v>3000</v>
      </c>
      <c r="F34" s="8" t="n">
        <v>2740</v>
      </c>
      <c r="G34" s="9" t="n">
        <v>260</v>
      </c>
      <c r="H34" s="8" t="s">
        <v>11</v>
      </c>
      <c r="I34" s="8" t="s">
        <v>12</v>
      </c>
      <c r="J34" s="0" t="s">
        <v>13</v>
      </c>
    </row>
    <row r="35" customFormat="false" ht="15" hidden="false" customHeight="false" outlineLevel="0" collapsed="false">
      <c r="A35" s="6" t="n">
        <v>43680</v>
      </c>
      <c r="B35" s="7" t="n">
        <v>0.159722222222222</v>
      </c>
      <c r="C35" s="8" t="n">
        <v>111785</v>
      </c>
      <c r="D35" s="8" t="s">
        <v>10</v>
      </c>
      <c r="E35" s="8" t="n">
        <v>22340</v>
      </c>
      <c r="F35" s="8" t="n">
        <v>12860</v>
      </c>
      <c r="G35" s="9" t="n">
        <v>9480</v>
      </c>
      <c r="H35" s="8" t="s">
        <v>11</v>
      </c>
      <c r="I35" s="8" t="s">
        <v>12</v>
      </c>
      <c r="J35" s="0" t="s">
        <v>13</v>
      </c>
    </row>
    <row r="36" customFormat="false" ht="15" hidden="false" customHeight="false" outlineLevel="0" collapsed="false">
      <c r="A36" s="6" t="n">
        <v>43680</v>
      </c>
      <c r="B36" s="7" t="n">
        <v>0.165972222222222</v>
      </c>
      <c r="C36" s="8" t="n">
        <v>111786</v>
      </c>
      <c r="D36" s="8" t="s">
        <v>15</v>
      </c>
      <c r="E36" s="8" t="n">
        <v>4840</v>
      </c>
      <c r="F36" s="8" t="n">
        <v>3600</v>
      </c>
      <c r="G36" s="9" t="n">
        <v>1240</v>
      </c>
      <c r="H36" s="8" t="s">
        <v>11</v>
      </c>
      <c r="I36" s="8" t="s">
        <v>12</v>
      </c>
      <c r="J36" s="0" t="s">
        <v>13</v>
      </c>
    </row>
    <row r="37" customFormat="false" ht="15" hidden="false" customHeight="false" outlineLevel="0" collapsed="false">
      <c r="A37" s="6" t="n">
        <v>43680</v>
      </c>
      <c r="B37" s="7" t="n">
        <v>0.448611111111111</v>
      </c>
      <c r="C37" s="8" t="n">
        <v>111809</v>
      </c>
      <c r="D37" s="8" t="s">
        <v>16</v>
      </c>
      <c r="E37" s="8" t="n">
        <v>3360</v>
      </c>
      <c r="F37" s="8" t="n">
        <v>2860</v>
      </c>
      <c r="G37" s="9" t="n">
        <v>500</v>
      </c>
      <c r="H37" s="8" t="s">
        <v>11</v>
      </c>
      <c r="I37" s="8" t="s">
        <v>18</v>
      </c>
      <c r="J37" s="0" t="s">
        <v>13</v>
      </c>
    </row>
    <row r="38" customFormat="false" ht="15" hidden="false" customHeight="false" outlineLevel="0" collapsed="false">
      <c r="A38" s="6" t="n">
        <v>43680</v>
      </c>
      <c r="B38" s="7" t="n">
        <v>0.200694444444444</v>
      </c>
      <c r="C38" s="8" t="n">
        <v>111788</v>
      </c>
      <c r="D38" s="8" t="s">
        <v>14</v>
      </c>
      <c r="E38" s="8" t="n">
        <v>27180</v>
      </c>
      <c r="F38" s="8" t="n">
        <v>15870</v>
      </c>
      <c r="G38" s="9" t="n">
        <v>11310</v>
      </c>
      <c r="H38" s="8" t="s">
        <v>11</v>
      </c>
      <c r="I38" s="8" t="s">
        <v>12</v>
      </c>
      <c r="J38" s="0" t="s">
        <v>13</v>
      </c>
    </row>
    <row r="39" customFormat="false" ht="15" hidden="false" customHeight="false" outlineLevel="0" collapsed="false">
      <c r="A39" s="6" t="n">
        <v>43680</v>
      </c>
      <c r="B39" s="7" t="n">
        <v>0.234722222222222</v>
      </c>
      <c r="C39" s="8" t="n">
        <v>111792</v>
      </c>
      <c r="D39" s="8" t="s">
        <v>10</v>
      </c>
      <c r="E39" s="8" t="n">
        <v>14600</v>
      </c>
      <c r="F39" s="8" t="n">
        <v>12780</v>
      </c>
      <c r="G39" s="9" t="n">
        <v>1820</v>
      </c>
      <c r="H39" s="8" t="s">
        <v>11</v>
      </c>
      <c r="I39" s="8" t="s">
        <v>12</v>
      </c>
      <c r="J39" s="0" t="s">
        <v>13</v>
      </c>
    </row>
    <row r="40" customFormat="false" ht="15" hidden="false" customHeight="false" outlineLevel="0" collapsed="false">
      <c r="A40" s="6" t="n">
        <v>43680</v>
      </c>
      <c r="B40" s="7" t="n">
        <v>0.25</v>
      </c>
      <c r="C40" s="8" t="n">
        <v>111794</v>
      </c>
      <c r="D40" s="8" t="s">
        <v>15</v>
      </c>
      <c r="E40" s="8" t="n">
        <v>4800</v>
      </c>
      <c r="F40" s="8" t="n">
        <v>3800</v>
      </c>
      <c r="G40" s="9" t="n">
        <v>1000</v>
      </c>
      <c r="H40" s="8" t="s">
        <v>11</v>
      </c>
      <c r="I40" s="8" t="s">
        <v>12</v>
      </c>
      <c r="J40" s="0" t="s">
        <v>13</v>
      </c>
    </row>
    <row r="41" customFormat="false" ht="15" hidden="false" customHeight="false" outlineLevel="0" collapsed="false">
      <c r="A41" s="6" t="n">
        <v>43680</v>
      </c>
      <c r="B41" s="7" t="n">
        <v>0.322222222222222</v>
      </c>
      <c r="C41" s="8" t="n">
        <v>111802</v>
      </c>
      <c r="D41" s="8" t="s">
        <v>16</v>
      </c>
      <c r="E41" s="8" t="n">
        <v>3220</v>
      </c>
      <c r="F41" s="8" t="n">
        <v>2880</v>
      </c>
      <c r="G41" s="9" t="n">
        <v>340</v>
      </c>
      <c r="H41" s="8" t="s">
        <v>11</v>
      </c>
      <c r="I41" s="8" t="s">
        <v>12</v>
      </c>
      <c r="J41" s="0" t="s">
        <v>13</v>
      </c>
    </row>
    <row r="42" customFormat="false" ht="15" hidden="false" customHeight="false" outlineLevel="0" collapsed="false">
      <c r="A42" s="6" t="n">
        <v>43680</v>
      </c>
      <c r="B42" s="7" t="n">
        <v>0.694444444444444</v>
      </c>
      <c r="C42" s="8" t="n">
        <v>111816</v>
      </c>
      <c r="D42" s="8" t="s">
        <v>10</v>
      </c>
      <c r="E42" s="8" t="n">
        <v>15940</v>
      </c>
      <c r="F42" s="8" t="n">
        <v>12840</v>
      </c>
      <c r="G42" s="9" t="n">
        <v>3100</v>
      </c>
      <c r="H42" s="8" t="s">
        <v>11</v>
      </c>
      <c r="I42" s="8" t="s">
        <v>12</v>
      </c>
      <c r="J42" s="0" t="s">
        <v>13</v>
      </c>
    </row>
    <row r="43" customFormat="false" ht="15" hidden="false" customHeight="false" outlineLevel="0" collapsed="false">
      <c r="A43" s="6" t="n">
        <v>43680</v>
      </c>
      <c r="B43" s="7" t="n">
        <v>0.780555555555556</v>
      </c>
      <c r="C43" s="8" t="n">
        <v>111817</v>
      </c>
      <c r="D43" s="8" t="s">
        <v>19</v>
      </c>
      <c r="E43" s="8" t="n">
        <v>3040</v>
      </c>
      <c r="F43" s="8" t="n">
        <v>2820</v>
      </c>
      <c r="G43" s="9" t="n">
        <v>220</v>
      </c>
      <c r="H43" s="8" t="s">
        <v>11</v>
      </c>
      <c r="I43" s="8" t="s">
        <v>12</v>
      </c>
      <c r="J43" s="0" t="s">
        <v>13</v>
      </c>
    </row>
    <row r="44" customFormat="false" ht="15" hidden="false" customHeight="false" outlineLevel="0" collapsed="false">
      <c r="A44" s="6" t="n">
        <v>43680</v>
      </c>
      <c r="B44" s="7" t="n">
        <v>0.885416666666667</v>
      </c>
      <c r="C44" s="8" t="n">
        <v>111818</v>
      </c>
      <c r="D44" s="8" t="s">
        <v>14</v>
      </c>
      <c r="E44" s="8" t="n">
        <v>27140</v>
      </c>
      <c r="F44" s="8" t="n">
        <v>15880</v>
      </c>
      <c r="G44" s="9" t="n">
        <v>11260</v>
      </c>
      <c r="H44" s="8" t="s">
        <v>11</v>
      </c>
      <c r="I44" s="8" t="s">
        <v>12</v>
      </c>
      <c r="J44" s="0" t="s">
        <v>13</v>
      </c>
    </row>
    <row r="45" customFormat="false" ht="15" hidden="false" customHeight="false" outlineLevel="0" collapsed="false">
      <c r="A45" s="6" t="n">
        <v>43680</v>
      </c>
      <c r="B45" s="7" t="n">
        <v>0.928472222222222</v>
      </c>
      <c r="C45" s="8" t="n">
        <v>111819</v>
      </c>
      <c r="D45" s="8" t="s">
        <v>16</v>
      </c>
      <c r="E45" s="8" t="n">
        <v>3380</v>
      </c>
      <c r="F45" s="8" t="n">
        <v>3060</v>
      </c>
      <c r="G45" s="9" t="n">
        <v>320</v>
      </c>
      <c r="H45" s="8" t="s">
        <v>11</v>
      </c>
      <c r="I45" s="8" t="s">
        <v>12</v>
      </c>
      <c r="J45" s="0" t="s">
        <v>13</v>
      </c>
    </row>
    <row r="46" customFormat="false" ht="15" hidden="false" customHeight="false" outlineLevel="0" collapsed="false">
      <c r="A46" s="6" t="n">
        <v>43681</v>
      </c>
      <c r="B46" s="7" t="n">
        <v>0.0472222222222222</v>
      </c>
      <c r="C46" s="8" t="n">
        <v>111820</v>
      </c>
      <c r="D46" s="8" t="s">
        <v>10</v>
      </c>
      <c r="E46" s="8" t="n">
        <v>22860</v>
      </c>
      <c r="F46" s="8" t="n">
        <v>13020</v>
      </c>
      <c r="G46" s="9" t="n">
        <v>9840</v>
      </c>
      <c r="H46" s="8" t="s">
        <v>11</v>
      </c>
      <c r="I46" s="8" t="s">
        <v>12</v>
      </c>
      <c r="J46" s="0" t="s">
        <v>13</v>
      </c>
    </row>
    <row r="47" customFormat="false" ht="15" hidden="false" customHeight="false" outlineLevel="0" collapsed="false">
      <c r="A47" s="6" t="n">
        <v>43681</v>
      </c>
      <c r="B47" s="7" t="n">
        <v>0.0930555555555556</v>
      </c>
      <c r="C47" s="8" t="n">
        <v>111822</v>
      </c>
      <c r="D47" s="8" t="s">
        <v>19</v>
      </c>
      <c r="E47" s="8" t="n">
        <v>3060</v>
      </c>
      <c r="F47" s="8" t="n">
        <v>2680</v>
      </c>
      <c r="G47" s="9" t="n">
        <v>380</v>
      </c>
      <c r="H47" s="8" t="s">
        <v>11</v>
      </c>
      <c r="I47" s="8" t="s">
        <v>12</v>
      </c>
      <c r="J47" s="0" t="s">
        <v>13</v>
      </c>
    </row>
    <row r="48" customFormat="false" ht="15" hidden="false" customHeight="false" outlineLevel="0" collapsed="false">
      <c r="A48" s="6" t="n">
        <v>43681</v>
      </c>
      <c r="B48" s="7" t="n">
        <v>0.154861111111111</v>
      </c>
      <c r="C48" s="8" t="n">
        <v>111830</v>
      </c>
      <c r="D48" s="8" t="s">
        <v>14</v>
      </c>
      <c r="E48" s="8" t="n">
        <v>27420</v>
      </c>
      <c r="F48" s="8" t="n">
        <v>15880</v>
      </c>
      <c r="G48" s="9" t="n">
        <v>11540</v>
      </c>
      <c r="H48" s="8" t="s">
        <v>11</v>
      </c>
      <c r="I48" s="8" t="s">
        <v>12</v>
      </c>
      <c r="J48" s="0" t="s">
        <v>13</v>
      </c>
    </row>
    <row r="49" customFormat="false" ht="15" hidden="false" customHeight="false" outlineLevel="0" collapsed="false">
      <c r="A49" s="6" t="n">
        <v>43681</v>
      </c>
      <c r="B49" s="7" t="n">
        <v>0.16875</v>
      </c>
      <c r="C49" s="8" t="n">
        <v>111831</v>
      </c>
      <c r="D49" s="8" t="s">
        <v>19</v>
      </c>
      <c r="E49" s="8" t="n">
        <v>3540</v>
      </c>
      <c r="F49" s="8" t="n">
        <v>2680</v>
      </c>
      <c r="G49" s="9" t="n">
        <v>860</v>
      </c>
      <c r="H49" s="8" t="s">
        <v>11</v>
      </c>
      <c r="I49" s="8" t="s">
        <v>12</v>
      </c>
      <c r="J49" s="0" t="s">
        <v>13</v>
      </c>
    </row>
    <row r="50" customFormat="false" ht="15" hidden="false" customHeight="false" outlineLevel="0" collapsed="false">
      <c r="A50" s="6" t="n">
        <v>43681</v>
      </c>
      <c r="B50" s="7" t="n">
        <v>0.176388888888889</v>
      </c>
      <c r="C50" s="8" t="n">
        <v>111832</v>
      </c>
      <c r="D50" s="8" t="s">
        <v>10</v>
      </c>
      <c r="E50" s="8" t="n">
        <v>23800</v>
      </c>
      <c r="F50" s="8" t="n">
        <v>12820</v>
      </c>
      <c r="G50" s="9" t="n">
        <v>10980</v>
      </c>
      <c r="H50" s="8" t="s">
        <v>11</v>
      </c>
      <c r="I50" s="8" t="s">
        <v>12</v>
      </c>
      <c r="J50" s="0" t="s">
        <v>13</v>
      </c>
    </row>
    <row r="51" customFormat="false" ht="15" hidden="false" customHeight="false" outlineLevel="0" collapsed="false">
      <c r="A51" s="6" t="n">
        <v>43681</v>
      </c>
      <c r="B51" s="7" t="n">
        <v>0.227777777777778</v>
      </c>
      <c r="C51" s="8" t="n">
        <v>111834</v>
      </c>
      <c r="D51" s="8" t="s">
        <v>19</v>
      </c>
      <c r="E51" s="8" t="n">
        <v>3500</v>
      </c>
      <c r="F51" s="8" t="n">
        <v>2660</v>
      </c>
      <c r="G51" s="9" t="n">
        <v>840</v>
      </c>
      <c r="H51" s="8" t="s">
        <v>11</v>
      </c>
      <c r="I51" s="8" t="s">
        <v>12</v>
      </c>
      <c r="J51" s="0" t="s">
        <v>13</v>
      </c>
    </row>
    <row r="52" customFormat="false" ht="15" hidden="false" customHeight="false" outlineLevel="0" collapsed="false">
      <c r="A52" s="11" t="n">
        <v>43681</v>
      </c>
      <c r="B52" s="7" t="n">
        <v>0.232638888888889</v>
      </c>
      <c r="C52" s="8" t="n">
        <v>111835</v>
      </c>
      <c r="D52" s="8" t="s">
        <v>14</v>
      </c>
      <c r="E52" s="8" t="n">
        <v>20920</v>
      </c>
      <c r="F52" s="8" t="n">
        <v>15860</v>
      </c>
      <c r="G52" s="9" t="n">
        <v>5060</v>
      </c>
      <c r="H52" s="8" t="s">
        <v>11</v>
      </c>
      <c r="I52" s="8" t="s">
        <v>12</v>
      </c>
      <c r="J52" s="0" t="s">
        <v>13</v>
      </c>
    </row>
    <row r="53" customFormat="false" ht="15" hidden="false" customHeight="false" outlineLevel="0" collapsed="false">
      <c r="A53" s="6" t="n">
        <v>43681</v>
      </c>
      <c r="B53" s="7" t="n">
        <v>0.267361111111111</v>
      </c>
      <c r="C53" s="8" t="n">
        <v>111837</v>
      </c>
      <c r="D53" s="8" t="s">
        <v>10</v>
      </c>
      <c r="E53" s="8" t="n">
        <v>18100</v>
      </c>
      <c r="F53" s="8" t="n">
        <v>12820</v>
      </c>
      <c r="G53" s="9" t="n">
        <v>5280</v>
      </c>
      <c r="H53" s="8" t="s">
        <v>11</v>
      </c>
      <c r="I53" s="8" t="s">
        <v>12</v>
      </c>
      <c r="J53" s="0" t="s">
        <v>13</v>
      </c>
    </row>
    <row r="54" customFormat="false" ht="15" hidden="false" customHeight="false" outlineLevel="0" collapsed="false">
      <c r="A54" s="6" t="n">
        <v>43681</v>
      </c>
      <c r="B54" s="7" t="n">
        <v>0.285416666666667</v>
      </c>
      <c r="C54" s="8" t="n">
        <v>111840</v>
      </c>
      <c r="D54" s="8" t="s">
        <v>19</v>
      </c>
      <c r="E54" s="8" t="n">
        <v>3640</v>
      </c>
      <c r="F54" s="8" t="n">
        <v>2860</v>
      </c>
      <c r="G54" s="9" t="n">
        <v>780</v>
      </c>
      <c r="H54" s="8" t="s">
        <v>11</v>
      </c>
      <c r="I54" s="8" t="s">
        <v>12</v>
      </c>
      <c r="J54" s="0" t="s">
        <v>13</v>
      </c>
    </row>
    <row r="55" customFormat="false" ht="15" hidden="false" customHeight="false" outlineLevel="0" collapsed="false">
      <c r="A55" s="6" t="n">
        <v>43681</v>
      </c>
      <c r="B55" s="7" t="n">
        <v>0.36875</v>
      </c>
      <c r="C55" s="8" t="n">
        <v>111845</v>
      </c>
      <c r="D55" s="8" t="s">
        <v>16</v>
      </c>
      <c r="E55" s="8" t="n">
        <v>3280</v>
      </c>
      <c r="F55" s="8" t="n">
        <v>2780</v>
      </c>
      <c r="G55" s="9" t="n">
        <v>500</v>
      </c>
      <c r="H55" s="8" t="s">
        <v>11</v>
      </c>
      <c r="I55" s="8" t="s">
        <v>12</v>
      </c>
      <c r="J55" s="0" t="s">
        <v>13</v>
      </c>
    </row>
    <row r="56" customFormat="false" ht="15" hidden="false" customHeight="false" outlineLevel="0" collapsed="false">
      <c r="A56" s="6" t="n">
        <v>43681</v>
      </c>
      <c r="B56" s="7" t="n">
        <v>0.69375</v>
      </c>
      <c r="C56" s="8" t="n">
        <v>111846</v>
      </c>
      <c r="D56" s="8" t="s">
        <v>10</v>
      </c>
      <c r="E56" s="8" t="n">
        <v>15680</v>
      </c>
      <c r="F56" s="8" t="n">
        <v>12760</v>
      </c>
      <c r="G56" s="9" t="n">
        <v>2920</v>
      </c>
      <c r="H56" s="8" t="s">
        <v>11</v>
      </c>
      <c r="I56" s="8" t="s">
        <v>12</v>
      </c>
      <c r="J56" s="0" t="s">
        <v>13</v>
      </c>
    </row>
    <row r="57" customFormat="false" ht="15" hidden="false" customHeight="false" outlineLevel="0" collapsed="false">
      <c r="A57" s="6" t="n">
        <v>43681</v>
      </c>
      <c r="B57" s="7" t="n">
        <v>0.741666666666667</v>
      </c>
      <c r="C57" s="8" t="n">
        <v>111847</v>
      </c>
      <c r="D57" s="8" t="s">
        <v>19</v>
      </c>
      <c r="E57" s="8" t="n">
        <v>2960</v>
      </c>
      <c r="F57" s="8" t="n">
        <v>2800</v>
      </c>
      <c r="G57" s="9" t="n">
        <v>160</v>
      </c>
      <c r="H57" s="8" t="s">
        <v>11</v>
      </c>
      <c r="I57" s="8" t="s">
        <v>12</v>
      </c>
      <c r="J57" s="0" t="s">
        <v>13</v>
      </c>
    </row>
    <row r="58" customFormat="false" ht="15" hidden="false" customHeight="false" outlineLevel="0" collapsed="false">
      <c r="A58" s="6" t="n">
        <v>43681</v>
      </c>
      <c r="B58" s="7" t="n">
        <v>0.893055555555556</v>
      </c>
      <c r="C58" s="8" t="n">
        <v>111848</v>
      </c>
      <c r="D58" s="8" t="s">
        <v>14</v>
      </c>
      <c r="E58" s="8" t="n">
        <v>26240</v>
      </c>
      <c r="F58" s="8" t="n">
        <v>16000</v>
      </c>
      <c r="G58" s="9" t="n">
        <v>10240</v>
      </c>
      <c r="H58" s="8" t="s">
        <v>11</v>
      </c>
      <c r="I58" s="8" t="s">
        <v>12</v>
      </c>
      <c r="J58" s="0" t="s">
        <v>13</v>
      </c>
    </row>
    <row r="59" customFormat="false" ht="15" hidden="false" customHeight="false" outlineLevel="0" collapsed="false">
      <c r="A59" s="6" t="n">
        <v>43681</v>
      </c>
      <c r="B59" s="7" t="n">
        <v>0.922916666666667</v>
      </c>
      <c r="C59" s="8" t="n">
        <v>111849</v>
      </c>
      <c r="D59" s="8" t="s">
        <v>16</v>
      </c>
      <c r="E59" s="8" t="n">
        <v>3480</v>
      </c>
      <c r="F59" s="8" t="n">
        <v>3040</v>
      </c>
      <c r="G59" s="9" t="n">
        <v>440</v>
      </c>
      <c r="H59" s="8" t="s">
        <v>11</v>
      </c>
      <c r="I59" s="8" t="s">
        <v>12</v>
      </c>
      <c r="J59" s="0" t="s">
        <v>13</v>
      </c>
    </row>
    <row r="60" customFormat="false" ht="15" hidden="false" customHeight="false" outlineLevel="0" collapsed="false">
      <c r="A60" s="6" t="n">
        <v>43682</v>
      </c>
      <c r="B60" s="7" t="n">
        <v>0.705555555555556</v>
      </c>
      <c r="C60" s="8" t="n">
        <v>11909</v>
      </c>
      <c r="D60" s="8" t="s">
        <v>10</v>
      </c>
      <c r="E60" s="8" t="n">
        <v>16380</v>
      </c>
      <c r="F60" s="8" t="n">
        <v>12900</v>
      </c>
      <c r="G60" s="9" t="n">
        <v>3480</v>
      </c>
      <c r="H60" s="8" t="s">
        <v>11</v>
      </c>
      <c r="I60" s="8" t="s">
        <v>12</v>
      </c>
      <c r="J60" s="0" t="s">
        <v>13</v>
      </c>
    </row>
    <row r="61" customFormat="false" ht="15" hidden="false" customHeight="false" outlineLevel="0" collapsed="false">
      <c r="A61" s="6" t="n">
        <v>43682</v>
      </c>
      <c r="B61" s="7" t="n">
        <v>0.0423611111111111</v>
      </c>
      <c r="C61" s="8" t="n">
        <v>111850</v>
      </c>
      <c r="D61" s="8" t="s">
        <v>10</v>
      </c>
      <c r="E61" s="8" t="n">
        <v>21960</v>
      </c>
      <c r="F61" s="8" t="n">
        <v>12880</v>
      </c>
      <c r="G61" s="9" t="n">
        <v>9080</v>
      </c>
      <c r="H61" s="8" t="s">
        <v>11</v>
      </c>
      <c r="I61" s="8" t="s">
        <v>12</v>
      </c>
      <c r="J61" s="0" t="s">
        <v>13</v>
      </c>
    </row>
    <row r="62" customFormat="false" ht="15" hidden="false" customHeight="false" outlineLevel="0" collapsed="false">
      <c r="A62" s="6" t="n">
        <v>43682</v>
      </c>
      <c r="B62" s="7" t="n">
        <v>0.131944444444444</v>
      </c>
      <c r="C62" s="8" t="n">
        <v>111855</v>
      </c>
      <c r="D62" s="8" t="s">
        <v>20</v>
      </c>
      <c r="E62" s="8" t="n">
        <v>28300</v>
      </c>
      <c r="F62" s="8" t="n">
        <v>15880</v>
      </c>
      <c r="G62" s="9" t="n">
        <v>12420</v>
      </c>
      <c r="H62" s="8" t="s">
        <v>11</v>
      </c>
      <c r="I62" s="8" t="s">
        <v>12</v>
      </c>
      <c r="J62" s="0" t="s">
        <v>13</v>
      </c>
    </row>
    <row r="63" customFormat="false" ht="15" hidden="false" customHeight="false" outlineLevel="0" collapsed="false">
      <c r="A63" s="6" t="n">
        <v>43682</v>
      </c>
      <c r="B63" s="7" t="n">
        <v>0.1375</v>
      </c>
      <c r="C63" s="8" t="n">
        <v>111856</v>
      </c>
      <c r="D63" s="8" t="s">
        <v>16</v>
      </c>
      <c r="E63" s="8" t="n">
        <v>3180</v>
      </c>
      <c r="F63" s="8" t="n">
        <v>2760</v>
      </c>
      <c r="G63" s="9" t="n">
        <v>420</v>
      </c>
      <c r="H63" s="8" t="s">
        <v>11</v>
      </c>
      <c r="I63" s="8" t="s">
        <v>12</v>
      </c>
      <c r="J63" s="0" t="s">
        <v>13</v>
      </c>
    </row>
    <row r="64" customFormat="false" ht="15" hidden="false" customHeight="false" outlineLevel="0" collapsed="false">
      <c r="A64" s="6" t="n">
        <v>43682</v>
      </c>
      <c r="B64" s="7" t="n">
        <v>0.152083333333333</v>
      </c>
      <c r="C64" s="8" t="n">
        <v>111858</v>
      </c>
      <c r="D64" s="8" t="s">
        <v>10</v>
      </c>
      <c r="E64" s="8" t="n">
        <v>22480</v>
      </c>
      <c r="F64" s="8" t="n">
        <v>12740</v>
      </c>
      <c r="G64" s="9" t="n">
        <v>9740</v>
      </c>
      <c r="H64" s="8" t="s">
        <v>11</v>
      </c>
      <c r="I64" s="8" t="s">
        <v>12</v>
      </c>
      <c r="J64" s="0" t="s">
        <v>13</v>
      </c>
    </row>
    <row r="65" customFormat="false" ht="15" hidden="false" customHeight="false" outlineLevel="0" collapsed="false">
      <c r="A65" s="6" t="n">
        <v>43682</v>
      </c>
      <c r="B65" s="7" t="n">
        <v>0.15625</v>
      </c>
      <c r="C65" s="8" t="n">
        <v>111860</v>
      </c>
      <c r="D65" s="8" t="s">
        <v>15</v>
      </c>
      <c r="E65" s="8" t="n">
        <v>4920</v>
      </c>
      <c r="F65" s="8" t="n">
        <v>3580</v>
      </c>
      <c r="G65" s="9" t="n">
        <v>1340</v>
      </c>
      <c r="H65" s="8" t="s">
        <v>11</v>
      </c>
      <c r="I65" s="8" t="s">
        <v>12</v>
      </c>
      <c r="J65" s="0" t="s">
        <v>13</v>
      </c>
    </row>
    <row r="66" customFormat="false" ht="15" hidden="false" customHeight="false" outlineLevel="0" collapsed="false">
      <c r="A66" s="6" t="n">
        <v>43682</v>
      </c>
      <c r="B66" s="7" t="n">
        <v>0.196527777777778</v>
      </c>
      <c r="C66" s="8" t="n">
        <v>111863</v>
      </c>
      <c r="D66" s="8" t="s">
        <v>14</v>
      </c>
      <c r="E66" s="8" t="n">
        <v>27060</v>
      </c>
      <c r="F66" s="8" t="n">
        <v>16040</v>
      </c>
      <c r="G66" s="9" t="n">
        <v>11020</v>
      </c>
      <c r="H66" s="8" t="s">
        <v>11</v>
      </c>
      <c r="I66" s="8" t="s">
        <v>12</v>
      </c>
      <c r="J66" s="0" t="s">
        <v>13</v>
      </c>
    </row>
    <row r="67" customFormat="false" ht="15" hidden="false" customHeight="false" outlineLevel="0" collapsed="false">
      <c r="A67" s="6" t="n">
        <v>43682</v>
      </c>
      <c r="B67" s="7" t="n">
        <v>0.224305555555556</v>
      </c>
      <c r="C67" s="8" t="n">
        <v>111866</v>
      </c>
      <c r="D67" s="8" t="s">
        <v>15</v>
      </c>
      <c r="E67" s="8" t="n">
        <v>4540</v>
      </c>
      <c r="F67" s="8" t="n">
        <v>3720</v>
      </c>
      <c r="G67" s="9" t="n">
        <v>820</v>
      </c>
      <c r="H67" s="8" t="s">
        <v>11</v>
      </c>
      <c r="I67" s="8" t="s">
        <v>12</v>
      </c>
      <c r="J67" s="0" t="s">
        <v>13</v>
      </c>
    </row>
    <row r="68" customFormat="false" ht="15" hidden="false" customHeight="false" outlineLevel="0" collapsed="false">
      <c r="A68" s="6" t="n">
        <v>43682</v>
      </c>
      <c r="B68" s="7" t="n">
        <v>0.454861111111111</v>
      </c>
      <c r="C68" s="10" t="s">
        <v>23</v>
      </c>
      <c r="D68" s="8" t="s">
        <v>20</v>
      </c>
      <c r="E68" s="8" t="n">
        <v>18400</v>
      </c>
      <c r="F68" s="8" t="n">
        <v>15760</v>
      </c>
      <c r="G68" s="9" t="n">
        <v>2640</v>
      </c>
      <c r="H68" s="8" t="s">
        <v>11</v>
      </c>
      <c r="I68" s="8" t="s">
        <v>24</v>
      </c>
      <c r="J68" s="0" t="s">
        <v>13</v>
      </c>
    </row>
    <row r="69" customFormat="false" ht="15" hidden="false" customHeight="false" outlineLevel="0" collapsed="false">
      <c r="A69" s="6" t="n">
        <v>43682</v>
      </c>
      <c r="B69" s="7" t="n">
        <v>0.236111111111111</v>
      </c>
      <c r="C69" s="8" t="n">
        <v>111867</v>
      </c>
      <c r="D69" s="8" t="s">
        <v>10</v>
      </c>
      <c r="E69" s="8" t="n">
        <v>15280</v>
      </c>
      <c r="F69" s="8" t="n">
        <v>12700</v>
      </c>
      <c r="G69" s="9" t="n">
        <v>2580</v>
      </c>
      <c r="H69" s="8" t="s">
        <v>11</v>
      </c>
      <c r="I69" s="8" t="s">
        <v>12</v>
      </c>
      <c r="J69" s="0" t="s">
        <v>13</v>
      </c>
    </row>
    <row r="70" customFormat="false" ht="15" hidden="false" customHeight="false" outlineLevel="0" collapsed="false">
      <c r="A70" s="6" t="n">
        <v>43682</v>
      </c>
      <c r="B70" s="7" t="n">
        <v>0.338888888888889</v>
      </c>
      <c r="C70" s="8" t="n">
        <v>111879</v>
      </c>
      <c r="D70" s="8" t="s">
        <v>16</v>
      </c>
      <c r="E70" s="8" t="n">
        <v>3700</v>
      </c>
      <c r="F70" s="8" t="n">
        <v>2880</v>
      </c>
      <c r="G70" s="9" t="n">
        <v>820</v>
      </c>
      <c r="H70" s="8" t="s">
        <v>11</v>
      </c>
      <c r="I70" s="8" t="s">
        <v>18</v>
      </c>
      <c r="J70" s="0" t="s">
        <v>13</v>
      </c>
    </row>
    <row r="71" customFormat="false" ht="15" hidden="false" customHeight="false" outlineLevel="0" collapsed="false">
      <c r="A71" s="6" t="n">
        <v>43682</v>
      </c>
      <c r="B71" s="7" t="n">
        <v>0.459027777777778</v>
      </c>
      <c r="C71" s="8" t="n">
        <v>111893</v>
      </c>
      <c r="D71" s="8" t="s">
        <v>16</v>
      </c>
      <c r="E71" s="8" t="n">
        <v>3380</v>
      </c>
      <c r="F71" s="8" t="n">
        <v>2880</v>
      </c>
      <c r="G71" s="9" t="n">
        <v>500</v>
      </c>
      <c r="H71" s="8" t="s">
        <v>11</v>
      </c>
      <c r="I71" s="8" t="s">
        <v>12</v>
      </c>
      <c r="J71" s="0" t="s">
        <v>13</v>
      </c>
    </row>
    <row r="72" customFormat="false" ht="15" hidden="false" customHeight="false" outlineLevel="0" collapsed="false">
      <c r="A72" s="6" t="n">
        <v>43682</v>
      </c>
      <c r="B72" s="7" t="n">
        <v>0.751388888888889</v>
      </c>
      <c r="C72" s="8" t="n">
        <v>111911</v>
      </c>
      <c r="D72" s="8" t="s">
        <v>19</v>
      </c>
      <c r="E72" s="8" t="n">
        <v>2920</v>
      </c>
      <c r="F72" s="8" t="n">
        <v>2780</v>
      </c>
      <c r="G72" s="9" t="n">
        <v>140</v>
      </c>
      <c r="H72" s="8" t="s">
        <v>11</v>
      </c>
      <c r="I72" s="8" t="s">
        <v>12</v>
      </c>
      <c r="J72" s="0" t="s">
        <v>13</v>
      </c>
    </row>
    <row r="73" customFormat="false" ht="15" hidden="false" customHeight="false" outlineLevel="0" collapsed="false">
      <c r="A73" s="6" t="n">
        <v>43682</v>
      </c>
      <c r="B73" s="7" t="n">
        <v>0.884722222222222</v>
      </c>
      <c r="C73" s="8" t="n">
        <v>111912</v>
      </c>
      <c r="D73" s="8" t="s">
        <v>16</v>
      </c>
      <c r="E73" s="8" t="n">
        <v>3200</v>
      </c>
      <c r="F73" s="8" t="n">
        <v>3020</v>
      </c>
      <c r="G73" s="9" t="n">
        <v>180</v>
      </c>
      <c r="H73" s="8" t="s">
        <v>11</v>
      </c>
      <c r="I73" s="8" t="s">
        <v>12</v>
      </c>
      <c r="J73" s="0" t="s">
        <v>13</v>
      </c>
    </row>
    <row r="74" customFormat="false" ht="15" hidden="false" customHeight="false" outlineLevel="0" collapsed="false">
      <c r="A74" s="6" t="n">
        <v>43682</v>
      </c>
      <c r="B74" s="7" t="n">
        <v>0.896527777777778</v>
      </c>
      <c r="C74" s="8" t="n">
        <v>111913</v>
      </c>
      <c r="D74" s="8" t="s">
        <v>20</v>
      </c>
      <c r="E74" s="8" t="n">
        <v>26300</v>
      </c>
      <c r="F74" s="8" t="n">
        <v>15960</v>
      </c>
      <c r="G74" s="9" t="n">
        <v>10340</v>
      </c>
      <c r="H74" s="8" t="s">
        <v>11</v>
      </c>
      <c r="I74" s="8" t="s">
        <v>12</v>
      </c>
      <c r="J74" s="0" t="s">
        <v>13</v>
      </c>
    </row>
    <row r="75" customFormat="false" ht="15" hidden="false" customHeight="false" outlineLevel="0" collapsed="false">
      <c r="A75" s="6" t="n">
        <v>43683</v>
      </c>
      <c r="B75" s="7" t="n">
        <v>0.04375</v>
      </c>
      <c r="C75" s="8" t="n">
        <v>111914</v>
      </c>
      <c r="D75" s="8" t="s">
        <v>10</v>
      </c>
      <c r="E75" s="8" t="n">
        <v>21340</v>
      </c>
      <c r="F75" s="8" t="n">
        <v>13100</v>
      </c>
      <c r="G75" s="9" t="n">
        <v>8240</v>
      </c>
      <c r="H75" s="8" t="s">
        <v>11</v>
      </c>
      <c r="I75" s="8" t="s">
        <v>12</v>
      </c>
      <c r="J75" s="0" t="s">
        <v>13</v>
      </c>
    </row>
    <row r="76" customFormat="false" ht="15" hidden="false" customHeight="false" outlineLevel="0" collapsed="false">
      <c r="A76" s="6" t="n">
        <v>43683</v>
      </c>
      <c r="B76" s="7" t="n">
        <v>0.138888888888889</v>
      </c>
      <c r="C76" s="8" t="n">
        <v>111921</v>
      </c>
      <c r="D76" s="8" t="s">
        <v>19</v>
      </c>
      <c r="E76" s="8" t="n">
        <v>3020</v>
      </c>
      <c r="F76" s="8" t="n">
        <v>2800</v>
      </c>
      <c r="G76" s="9" t="n">
        <v>220</v>
      </c>
      <c r="H76" s="8" t="s">
        <v>11</v>
      </c>
      <c r="I76" s="8" t="s">
        <v>12</v>
      </c>
      <c r="J76" s="0" t="s">
        <v>13</v>
      </c>
    </row>
    <row r="77" customFormat="false" ht="15" hidden="false" customHeight="false" outlineLevel="0" collapsed="false">
      <c r="A77" s="6" t="n">
        <v>43683</v>
      </c>
      <c r="B77" s="7" t="n">
        <v>0.140277777777778</v>
      </c>
      <c r="C77" s="8" t="n">
        <v>111922</v>
      </c>
      <c r="D77" s="8" t="s">
        <v>10</v>
      </c>
      <c r="E77" s="8" t="n">
        <v>21100</v>
      </c>
      <c r="F77" s="8" t="n">
        <v>12920</v>
      </c>
      <c r="G77" s="9" t="n">
        <v>8180</v>
      </c>
      <c r="H77" s="8" t="s">
        <v>11</v>
      </c>
      <c r="I77" s="8" t="s">
        <v>12</v>
      </c>
      <c r="J77" s="0" t="s">
        <v>13</v>
      </c>
    </row>
    <row r="78" customFormat="false" ht="15" hidden="false" customHeight="false" outlineLevel="0" collapsed="false">
      <c r="A78" s="6" t="n">
        <v>43683</v>
      </c>
      <c r="B78" s="7" t="n">
        <v>0.153472222222222</v>
      </c>
      <c r="C78" s="8" t="n">
        <v>111924</v>
      </c>
      <c r="D78" s="8" t="s">
        <v>20</v>
      </c>
      <c r="E78" s="8" t="n">
        <v>26500</v>
      </c>
      <c r="F78" s="8" t="n">
        <v>16060</v>
      </c>
      <c r="G78" s="9" t="n">
        <v>10440</v>
      </c>
      <c r="H78" s="8" t="s">
        <v>11</v>
      </c>
      <c r="I78" s="8" t="s">
        <v>12</v>
      </c>
      <c r="J78" s="0" t="s">
        <v>13</v>
      </c>
    </row>
    <row r="79" customFormat="false" ht="15" hidden="false" customHeight="false" outlineLevel="0" collapsed="false">
      <c r="A79" s="6" t="n">
        <v>43683</v>
      </c>
      <c r="B79" s="7" t="n">
        <v>0.159722222222222</v>
      </c>
      <c r="C79" s="8" t="n">
        <v>111925</v>
      </c>
      <c r="D79" s="8" t="s">
        <v>15</v>
      </c>
      <c r="E79" s="8" t="n">
        <v>4900</v>
      </c>
      <c r="F79" s="8" t="n">
        <v>3580</v>
      </c>
      <c r="G79" s="9" t="n">
        <v>1320</v>
      </c>
      <c r="H79" s="8" t="s">
        <v>11</v>
      </c>
      <c r="I79" s="8" t="s">
        <v>12</v>
      </c>
      <c r="J79" s="0" t="s">
        <v>13</v>
      </c>
    </row>
    <row r="80" customFormat="false" ht="15" hidden="false" customHeight="false" outlineLevel="0" collapsed="false">
      <c r="A80" s="6" t="n">
        <v>43683</v>
      </c>
      <c r="B80" s="7" t="n">
        <v>0.225</v>
      </c>
      <c r="C80" s="8" t="n">
        <v>111933</v>
      </c>
      <c r="D80" s="8" t="s">
        <v>15</v>
      </c>
      <c r="E80" s="8" t="n">
        <v>4440</v>
      </c>
      <c r="F80" s="8" t="n">
        <v>3580</v>
      </c>
      <c r="G80" s="9" t="n">
        <v>860</v>
      </c>
      <c r="H80" s="8" t="s">
        <v>11</v>
      </c>
      <c r="I80" s="8" t="s">
        <v>12</v>
      </c>
      <c r="J80" s="0" t="s">
        <v>13</v>
      </c>
    </row>
    <row r="81" customFormat="false" ht="15" hidden="false" customHeight="false" outlineLevel="0" collapsed="false">
      <c r="A81" s="6" t="n">
        <v>43683</v>
      </c>
      <c r="B81" s="7" t="n">
        <v>0.440277777777778</v>
      </c>
      <c r="C81" s="8" t="n">
        <v>91062</v>
      </c>
      <c r="D81" s="8" t="s">
        <v>20</v>
      </c>
      <c r="E81" s="8" t="n">
        <v>17800</v>
      </c>
      <c r="F81" s="8" t="n">
        <v>15840</v>
      </c>
      <c r="G81" s="9" t="n">
        <v>1960</v>
      </c>
      <c r="H81" s="8" t="s">
        <v>11</v>
      </c>
      <c r="I81" s="8" t="s">
        <v>25</v>
      </c>
      <c r="J81" s="0" t="s">
        <v>13</v>
      </c>
    </row>
    <row r="82" customFormat="false" ht="15" hidden="false" customHeight="false" outlineLevel="0" collapsed="false">
      <c r="A82" s="6" t="n">
        <v>43683</v>
      </c>
      <c r="B82" s="7" t="n">
        <v>0.232638888888889</v>
      </c>
      <c r="C82" s="8" t="n">
        <v>111935</v>
      </c>
      <c r="D82" s="8" t="s">
        <v>10</v>
      </c>
      <c r="E82" s="8" t="n">
        <v>18200</v>
      </c>
      <c r="F82" s="8" t="n">
        <v>13120</v>
      </c>
      <c r="G82" s="9" t="n">
        <v>5080</v>
      </c>
      <c r="H82" s="8" t="s">
        <v>11</v>
      </c>
      <c r="I82" s="8" t="s">
        <v>12</v>
      </c>
      <c r="J82" s="0" t="s">
        <v>13</v>
      </c>
    </row>
    <row r="83" customFormat="false" ht="15" hidden="false" customHeight="false" outlineLevel="0" collapsed="false">
      <c r="A83" s="6" t="n">
        <v>43683</v>
      </c>
      <c r="B83" s="7" t="n">
        <v>0.247916666666667</v>
      </c>
      <c r="C83" s="8" t="n">
        <v>111936</v>
      </c>
      <c r="D83" s="8" t="s">
        <v>20</v>
      </c>
      <c r="E83" s="8" t="n">
        <v>22620</v>
      </c>
      <c r="F83" s="8" t="n">
        <v>15940</v>
      </c>
      <c r="G83" s="9" t="n">
        <v>6680</v>
      </c>
      <c r="H83" s="8" t="s">
        <v>11</v>
      </c>
      <c r="I83" s="8" t="s">
        <v>12</v>
      </c>
      <c r="J83" s="0" t="s">
        <v>13</v>
      </c>
    </row>
    <row r="84" customFormat="false" ht="15" hidden="false" customHeight="false" outlineLevel="0" collapsed="false">
      <c r="A84" s="6" t="n">
        <v>43683</v>
      </c>
      <c r="B84" s="7" t="n">
        <v>0.384027777777778</v>
      </c>
      <c r="C84" s="8" t="n">
        <v>111950</v>
      </c>
      <c r="D84" s="8" t="s">
        <v>16</v>
      </c>
      <c r="E84" s="8" t="n">
        <v>3400</v>
      </c>
      <c r="F84" s="8" t="n">
        <v>2920</v>
      </c>
      <c r="G84" s="9" t="n">
        <v>480</v>
      </c>
      <c r="H84" s="8" t="s">
        <v>11</v>
      </c>
      <c r="I84" s="8" t="s">
        <v>12</v>
      </c>
      <c r="J84" s="0" t="s">
        <v>13</v>
      </c>
    </row>
    <row r="85" customFormat="false" ht="15" hidden="false" customHeight="false" outlineLevel="0" collapsed="false">
      <c r="A85" s="6" t="n">
        <v>43683</v>
      </c>
      <c r="B85" s="7" t="n">
        <v>0.690972222222222</v>
      </c>
      <c r="C85" s="8" t="n">
        <v>111976</v>
      </c>
      <c r="D85" s="8" t="s">
        <v>10</v>
      </c>
      <c r="E85" s="8" t="n">
        <v>15900</v>
      </c>
      <c r="F85" s="8" t="n">
        <v>12820</v>
      </c>
      <c r="G85" s="9" t="n">
        <v>3080</v>
      </c>
      <c r="H85" s="8" t="s">
        <v>11</v>
      </c>
      <c r="I85" s="8" t="s">
        <v>12</v>
      </c>
      <c r="J85" s="0" t="s">
        <v>13</v>
      </c>
    </row>
    <row r="86" customFormat="false" ht="15" hidden="false" customHeight="false" outlineLevel="0" collapsed="false">
      <c r="A86" s="6" t="n">
        <v>43683</v>
      </c>
      <c r="B86" s="7" t="n">
        <v>0.738888888888889</v>
      </c>
      <c r="C86" s="8" t="n">
        <v>111980</v>
      </c>
      <c r="D86" s="8" t="s">
        <v>19</v>
      </c>
      <c r="E86" s="8" t="n">
        <v>3000</v>
      </c>
      <c r="F86" s="8" t="n">
        <v>2800</v>
      </c>
      <c r="G86" s="9" t="n">
        <v>200</v>
      </c>
      <c r="H86" s="8" t="s">
        <v>11</v>
      </c>
      <c r="I86" s="8" t="s">
        <v>12</v>
      </c>
      <c r="J86" s="0" t="s">
        <v>13</v>
      </c>
    </row>
    <row r="87" customFormat="false" ht="15" hidden="false" customHeight="false" outlineLevel="0" collapsed="false">
      <c r="A87" s="6" t="n">
        <v>43683</v>
      </c>
      <c r="B87" s="7" t="n">
        <v>0.311111111111111</v>
      </c>
      <c r="C87" s="8" t="n">
        <v>111943</v>
      </c>
      <c r="D87" s="8" t="s">
        <v>16</v>
      </c>
      <c r="E87" s="8" t="n">
        <v>3300</v>
      </c>
      <c r="F87" s="8" t="n">
        <v>2920</v>
      </c>
      <c r="G87" s="9" t="n">
        <v>380</v>
      </c>
      <c r="H87" s="8" t="s">
        <v>11</v>
      </c>
      <c r="I87" s="8" t="s">
        <v>18</v>
      </c>
      <c r="J87" s="0" t="s">
        <v>13</v>
      </c>
    </row>
    <row r="88" customFormat="false" ht="15" hidden="false" customHeight="false" outlineLevel="0" collapsed="false">
      <c r="A88" s="6" t="n">
        <v>43683</v>
      </c>
      <c r="B88" s="7" t="n">
        <v>0.889583333333333</v>
      </c>
      <c r="C88" s="8" t="n">
        <v>111985</v>
      </c>
      <c r="D88" s="8" t="s">
        <v>20</v>
      </c>
      <c r="E88" s="8" t="n">
        <v>25980</v>
      </c>
      <c r="F88" s="8" t="n">
        <v>15960</v>
      </c>
      <c r="G88" s="9" t="n">
        <v>10020</v>
      </c>
      <c r="H88" s="8" t="s">
        <v>11</v>
      </c>
      <c r="I88" s="8" t="s">
        <v>12</v>
      </c>
      <c r="J88" s="0" t="s">
        <v>13</v>
      </c>
    </row>
    <row r="89" customFormat="false" ht="15" hidden="false" customHeight="false" outlineLevel="0" collapsed="false">
      <c r="A89" s="6" t="n">
        <v>43683</v>
      </c>
      <c r="B89" s="7" t="n">
        <v>0.9375</v>
      </c>
      <c r="C89" s="8" t="n">
        <v>111986</v>
      </c>
      <c r="D89" s="8" t="s">
        <v>16</v>
      </c>
      <c r="E89" s="8" t="n">
        <v>3300</v>
      </c>
      <c r="F89" s="8" t="n">
        <v>2960</v>
      </c>
      <c r="G89" s="9" t="n">
        <v>340</v>
      </c>
      <c r="H89" s="8" t="s">
        <v>11</v>
      </c>
      <c r="I89" s="8" t="s">
        <v>12</v>
      </c>
      <c r="J89" s="0" t="s">
        <v>13</v>
      </c>
    </row>
    <row r="90" customFormat="false" ht="15" hidden="false" customHeight="false" outlineLevel="0" collapsed="false">
      <c r="A90" s="6" t="n">
        <v>43684</v>
      </c>
      <c r="B90" s="7" t="n">
        <v>0.576388888888889</v>
      </c>
      <c r="C90" s="8" t="n">
        <v>112039</v>
      </c>
      <c r="D90" s="8" t="s">
        <v>16</v>
      </c>
      <c r="E90" s="8" t="n">
        <v>3280</v>
      </c>
      <c r="F90" s="8" t="n">
        <v>2860</v>
      </c>
      <c r="G90" s="9" t="n">
        <v>420</v>
      </c>
      <c r="H90" s="8" t="s">
        <v>11</v>
      </c>
      <c r="I90" s="8" t="s">
        <v>18</v>
      </c>
      <c r="J90" s="0" t="s">
        <v>13</v>
      </c>
    </row>
    <row r="91" customFormat="false" ht="13.8" hidden="false" customHeight="false" outlineLevel="0" collapsed="false">
      <c r="A91" s="6" t="n">
        <v>43684</v>
      </c>
      <c r="B91" s="7" t="n">
        <v>0.361805555555556</v>
      </c>
      <c r="C91" s="8" t="n">
        <v>112017</v>
      </c>
      <c r="D91" s="8" t="s">
        <v>16</v>
      </c>
      <c r="E91" s="8" t="n">
        <v>3280</v>
      </c>
      <c r="F91" s="8" t="n">
        <v>2900</v>
      </c>
      <c r="G91" s="9" t="n">
        <v>380</v>
      </c>
      <c r="H91" s="8" t="s">
        <v>11</v>
      </c>
      <c r="I91" s="8" t="s">
        <v>18</v>
      </c>
      <c r="J91" s="0" t="s">
        <v>13</v>
      </c>
    </row>
    <row r="92" customFormat="false" ht="15" hidden="false" customHeight="false" outlineLevel="0" collapsed="false">
      <c r="A92" s="6" t="n">
        <v>43684</v>
      </c>
      <c r="B92" s="7" t="n">
        <v>0.0590277777777778</v>
      </c>
      <c r="C92" s="8" t="n">
        <v>111988</v>
      </c>
      <c r="D92" s="8" t="s">
        <v>10</v>
      </c>
      <c r="E92" s="8" t="n">
        <v>20740</v>
      </c>
      <c r="F92" s="8" t="n">
        <v>13060</v>
      </c>
      <c r="G92" s="9" t="n">
        <v>7680</v>
      </c>
      <c r="H92" s="8" t="s">
        <v>11</v>
      </c>
      <c r="I92" s="8" t="s">
        <v>12</v>
      </c>
      <c r="J92" s="0" t="s">
        <v>13</v>
      </c>
    </row>
    <row r="93" customFormat="false" ht="15" hidden="false" customHeight="false" outlineLevel="0" collapsed="false">
      <c r="A93" s="6" t="n">
        <v>43684</v>
      </c>
      <c r="B93" s="7" t="n">
        <v>0.329166666666667</v>
      </c>
      <c r="C93" s="8" t="n">
        <v>112015</v>
      </c>
      <c r="D93" s="8" t="s">
        <v>16</v>
      </c>
      <c r="E93" s="8" t="n">
        <v>3220</v>
      </c>
      <c r="F93" s="8" t="n">
        <v>2900</v>
      </c>
      <c r="G93" s="9" t="n">
        <v>320</v>
      </c>
      <c r="H93" s="8" t="s">
        <v>11</v>
      </c>
      <c r="I93" s="8" t="s">
        <v>18</v>
      </c>
      <c r="J93" s="0" t="s">
        <v>13</v>
      </c>
    </row>
    <row r="94" customFormat="false" ht="15" hidden="false" customHeight="false" outlineLevel="0" collapsed="false">
      <c r="A94" s="6" t="n">
        <v>43684</v>
      </c>
      <c r="B94" s="7" t="n">
        <v>0.132638888888889</v>
      </c>
      <c r="C94" s="8" t="n">
        <v>111993</v>
      </c>
      <c r="D94" s="8" t="s">
        <v>19</v>
      </c>
      <c r="E94" s="8" t="n">
        <v>2900</v>
      </c>
      <c r="F94" s="8" t="n">
        <v>2620</v>
      </c>
      <c r="G94" s="9" t="n">
        <v>280</v>
      </c>
      <c r="H94" s="8" t="s">
        <v>11</v>
      </c>
      <c r="I94" s="8" t="s">
        <v>12</v>
      </c>
      <c r="J94" s="0" t="s">
        <v>13</v>
      </c>
    </row>
    <row r="95" customFormat="false" ht="15" hidden="false" customHeight="false" outlineLevel="0" collapsed="false">
      <c r="A95" s="6" t="n">
        <v>43684</v>
      </c>
      <c r="B95" s="7" t="n">
        <v>0.135416666666667</v>
      </c>
      <c r="C95" s="8" t="n">
        <v>111994</v>
      </c>
      <c r="D95" s="8" t="s">
        <v>20</v>
      </c>
      <c r="E95" s="8" t="n">
        <v>27860</v>
      </c>
      <c r="F95" s="8" t="n">
        <v>15960</v>
      </c>
      <c r="G95" s="9" t="n">
        <v>11900</v>
      </c>
      <c r="H95" s="8" t="s">
        <v>11</v>
      </c>
      <c r="I95" s="8" t="s">
        <v>12</v>
      </c>
      <c r="J95" s="0" t="s">
        <v>13</v>
      </c>
    </row>
    <row r="96" customFormat="false" ht="15" hidden="false" customHeight="false" outlineLevel="0" collapsed="false">
      <c r="A96" s="11" t="n">
        <v>43684</v>
      </c>
      <c r="B96" s="7" t="n">
        <v>0.140277777777778</v>
      </c>
      <c r="C96" s="8" t="n">
        <v>111996</v>
      </c>
      <c r="D96" s="8" t="s">
        <v>10</v>
      </c>
      <c r="E96" s="8" t="n">
        <v>22640</v>
      </c>
      <c r="F96" s="8" t="n">
        <v>12880</v>
      </c>
      <c r="G96" s="9" t="n">
        <v>9760</v>
      </c>
      <c r="H96" s="8" t="s">
        <v>11</v>
      </c>
      <c r="I96" s="8" t="s">
        <v>12</v>
      </c>
      <c r="J96" s="0" t="s">
        <v>13</v>
      </c>
    </row>
    <row r="97" customFormat="false" ht="15" hidden="false" customHeight="false" outlineLevel="0" collapsed="false">
      <c r="A97" s="6" t="n">
        <v>43684</v>
      </c>
      <c r="B97" s="7" t="n">
        <v>0.164583333333333</v>
      </c>
      <c r="C97" s="8" t="n">
        <v>111998</v>
      </c>
      <c r="D97" s="8" t="s">
        <v>15</v>
      </c>
      <c r="E97" s="8" t="n">
        <v>4960</v>
      </c>
      <c r="F97" s="8" t="n">
        <v>3600</v>
      </c>
      <c r="G97" s="9" t="n">
        <v>1360</v>
      </c>
      <c r="H97" s="8" t="s">
        <v>11</v>
      </c>
      <c r="I97" s="8" t="s">
        <v>12</v>
      </c>
      <c r="J97" s="0" t="s">
        <v>13</v>
      </c>
    </row>
    <row r="98" customFormat="false" ht="15" hidden="false" customHeight="false" outlineLevel="0" collapsed="false">
      <c r="A98" s="6" t="n">
        <v>43684</v>
      </c>
      <c r="B98" s="7" t="n">
        <v>0.190972222222222</v>
      </c>
      <c r="C98" s="8" t="n">
        <v>112000</v>
      </c>
      <c r="D98" s="8" t="s">
        <v>14</v>
      </c>
      <c r="E98" s="8" t="n">
        <v>27860</v>
      </c>
      <c r="F98" s="8" t="n">
        <v>15980</v>
      </c>
      <c r="G98" s="9" t="n">
        <v>11880</v>
      </c>
      <c r="H98" s="8" t="s">
        <v>11</v>
      </c>
      <c r="I98" s="8" t="s">
        <v>12</v>
      </c>
      <c r="J98" s="0" t="s">
        <v>13</v>
      </c>
    </row>
    <row r="99" customFormat="false" ht="15" hidden="false" customHeight="false" outlineLevel="0" collapsed="false">
      <c r="A99" s="6" t="n">
        <v>43684</v>
      </c>
      <c r="B99" s="7" t="n">
        <v>0.225694444444444</v>
      </c>
      <c r="C99" s="8" t="n">
        <v>112002</v>
      </c>
      <c r="D99" s="8" t="s">
        <v>10</v>
      </c>
      <c r="E99" s="8" t="n">
        <v>18280</v>
      </c>
      <c r="F99" s="8" t="n">
        <v>12900</v>
      </c>
      <c r="G99" s="9" t="n">
        <v>5380</v>
      </c>
      <c r="H99" s="8" t="s">
        <v>11</v>
      </c>
      <c r="I99" s="8" t="s">
        <v>12</v>
      </c>
      <c r="J99" s="0" t="s">
        <v>13</v>
      </c>
    </row>
    <row r="100" customFormat="false" ht="15" hidden="false" customHeight="false" outlineLevel="0" collapsed="false">
      <c r="A100" s="6" t="n">
        <v>43684</v>
      </c>
      <c r="B100" s="7" t="n">
        <v>0.252777777777778</v>
      </c>
      <c r="C100" s="8" t="n">
        <v>112005</v>
      </c>
      <c r="D100" s="8" t="s">
        <v>15</v>
      </c>
      <c r="E100" s="8" t="n">
        <v>4660</v>
      </c>
      <c r="F100" s="8" t="n">
        <v>3580</v>
      </c>
      <c r="G100" s="9" t="n">
        <v>1080</v>
      </c>
      <c r="H100" s="8" t="s">
        <v>11</v>
      </c>
      <c r="I100" s="8" t="s">
        <v>12</v>
      </c>
      <c r="J100" s="0" t="s">
        <v>13</v>
      </c>
    </row>
    <row r="101" customFormat="false" ht="15" hidden="false" customHeight="false" outlineLevel="0" collapsed="false">
      <c r="A101" s="6" t="n">
        <v>43684</v>
      </c>
      <c r="B101" s="7" t="n">
        <v>0.452083333333333</v>
      </c>
      <c r="C101" s="8" t="n">
        <v>112028</v>
      </c>
      <c r="D101" s="8" t="s">
        <v>16</v>
      </c>
      <c r="E101" s="8" t="n">
        <v>3140</v>
      </c>
      <c r="F101" s="8" t="n">
        <v>2820</v>
      </c>
      <c r="G101" s="9" t="n">
        <v>320</v>
      </c>
      <c r="H101" s="8" t="s">
        <v>11</v>
      </c>
      <c r="I101" s="8" t="s">
        <v>12</v>
      </c>
      <c r="J101" s="0" t="s">
        <v>13</v>
      </c>
    </row>
    <row r="102" customFormat="false" ht="15" hidden="false" customHeight="false" outlineLevel="0" collapsed="false">
      <c r="A102" s="6" t="n">
        <v>43684</v>
      </c>
      <c r="B102" s="7" t="n">
        <v>0.69375</v>
      </c>
      <c r="C102" s="8" t="n">
        <v>112046</v>
      </c>
      <c r="D102" s="8" t="s">
        <v>10</v>
      </c>
      <c r="E102" s="8" t="n">
        <v>16200</v>
      </c>
      <c r="F102" s="8" t="n">
        <v>12760</v>
      </c>
      <c r="G102" s="9" t="n">
        <v>3440</v>
      </c>
      <c r="H102" s="8" t="s">
        <v>11</v>
      </c>
      <c r="I102" s="8" t="s">
        <v>12</v>
      </c>
      <c r="J102" s="0" t="s">
        <v>13</v>
      </c>
    </row>
    <row r="103" customFormat="false" ht="15" hidden="false" customHeight="false" outlineLevel="0" collapsed="false">
      <c r="A103" s="6" t="n">
        <v>43684</v>
      </c>
      <c r="B103" s="7" t="n">
        <v>0.740972222222222</v>
      </c>
      <c r="C103" s="8" t="n">
        <v>112048</v>
      </c>
      <c r="D103" s="8" t="s">
        <v>19</v>
      </c>
      <c r="E103" s="8" t="n">
        <v>3020</v>
      </c>
      <c r="F103" s="8" t="n">
        <v>2760</v>
      </c>
      <c r="G103" s="9" t="n">
        <v>260</v>
      </c>
      <c r="H103" s="8" t="s">
        <v>11</v>
      </c>
      <c r="I103" s="8" t="s">
        <v>12</v>
      </c>
      <c r="J103" s="0" t="s">
        <v>13</v>
      </c>
    </row>
    <row r="104" customFormat="false" ht="15" hidden="false" customHeight="false" outlineLevel="0" collapsed="false">
      <c r="A104" s="6" t="n">
        <v>43684</v>
      </c>
      <c r="B104" s="7" t="n">
        <v>0.895833333333333</v>
      </c>
      <c r="C104" s="8" t="n">
        <v>112054</v>
      </c>
      <c r="D104" s="8" t="s">
        <v>14</v>
      </c>
      <c r="E104" s="8" t="n">
        <v>26160</v>
      </c>
      <c r="F104" s="8" t="n">
        <v>15940</v>
      </c>
      <c r="G104" s="9" t="n">
        <v>10220</v>
      </c>
      <c r="H104" s="8" t="s">
        <v>11</v>
      </c>
      <c r="I104" s="8" t="s">
        <v>12</v>
      </c>
      <c r="J104" s="0" t="s">
        <v>13</v>
      </c>
    </row>
    <row r="105" customFormat="false" ht="15" hidden="false" customHeight="false" outlineLevel="0" collapsed="false">
      <c r="A105" s="6" t="n">
        <v>43684</v>
      </c>
      <c r="B105" s="7" t="n">
        <v>0.920833333333333</v>
      </c>
      <c r="C105" s="8" t="n">
        <v>112055</v>
      </c>
      <c r="D105" s="8" t="s">
        <v>16</v>
      </c>
      <c r="E105" s="8" t="n">
        <v>3340</v>
      </c>
      <c r="F105" s="8" t="n">
        <v>3040</v>
      </c>
      <c r="G105" s="9" t="n">
        <v>300</v>
      </c>
      <c r="H105" s="8" t="s">
        <v>11</v>
      </c>
      <c r="I105" s="8" t="s">
        <v>12</v>
      </c>
      <c r="J105" s="0" t="s">
        <v>13</v>
      </c>
    </row>
    <row r="106" customFormat="false" ht="15" hidden="false" customHeight="false" outlineLevel="0" collapsed="false">
      <c r="A106" s="6" t="n">
        <v>43685</v>
      </c>
      <c r="B106" s="7" t="n">
        <v>0.161111111111111</v>
      </c>
      <c r="C106" s="8" t="n">
        <v>112056</v>
      </c>
      <c r="D106" s="8" t="s">
        <v>10</v>
      </c>
      <c r="E106" s="8" t="n">
        <v>21760</v>
      </c>
      <c r="F106" s="8" t="n">
        <v>13180</v>
      </c>
      <c r="G106" s="9" t="n">
        <v>8580</v>
      </c>
      <c r="H106" s="8" t="s">
        <v>11</v>
      </c>
      <c r="I106" s="8" t="s">
        <v>12</v>
      </c>
      <c r="J106" s="0" t="s">
        <v>13</v>
      </c>
    </row>
    <row r="107" customFormat="false" ht="15" hidden="false" customHeight="false" outlineLevel="0" collapsed="false">
      <c r="A107" s="6" t="n">
        <v>43685</v>
      </c>
      <c r="B107" s="7" t="n">
        <v>0.0777777777777778</v>
      </c>
      <c r="C107" s="8" t="n">
        <v>112057</v>
      </c>
      <c r="D107" s="8" t="s">
        <v>19</v>
      </c>
      <c r="E107" s="8" t="n">
        <v>3080</v>
      </c>
      <c r="F107" s="8" t="n">
        <v>2660</v>
      </c>
      <c r="G107" s="9" t="n">
        <v>420</v>
      </c>
      <c r="H107" s="8" t="s">
        <v>11</v>
      </c>
      <c r="I107" s="8" t="s">
        <v>12</v>
      </c>
      <c r="J107" s="0" t="s">
        <v>13</v>
      </c>
    </row>
    <row r="108" customFormat="false" ht="15" hidden="false" customHeight="false" outlineLevel="0" collapsed="false">
      <c r="A108" s="6" t="n">
        <v>43685</v>
      </c>
      <c r="B108" s="7" t="n">
        <v>0.135416666666667</v>
      </c>
      <c r="C108" s="8" t="n">
        <v>112062</v>
      </c>
      <c r="D108" s="8" t="s">
        <v>10</v>
      </c>
      <c r="E108" s="8" t="n">
        <v>21640</v>
      </c>
      <c r="F108" s="8" t="n">
        <v>12980</v>
      </c>
      <c r="G108" s="9" t="n">
        <v>8660</v>
      </c>
      <c r="H108" s="8" t="s">
        <v>11</v>
      </c>
      <c r="I108" s="8" t="s">
        <v>12</v>
      </c>
      <c r="J108" s="0" t="s">
        <v>13</v>
      </c>
    </row>
    <row r="109" customFormat="false" ht="15" hidden="false" customHeight="false" outlineLevel="0" collapsed="false">
      <c r="A109" s="6" t="n">
        <v>43685</v>
      </c>
      <c r="B109" s="7" t="n">
        <v>0.149305555555556</v>
      </c>
      <c r="C109" s="8" t="n">
        <v>112064</v>
      </c>
      <c r="D109" s="8" t="s">
        <v>19</v>
      </c>
      <c r="E109" s="8" t="n">
        <v>3440</v>
      </c>
      <c r="F109" s="8" t="n">
        <v>2660</v>
      </c>
      <c r="G109" s="9" t="n">
        <v>780</v>
      </c>
      <c r="H109" s="8" t="s">
        <v>11</v>
      </c>
      <c r="I109" s="8" t="s">
        <v>12</v>
      </c>
      <c r="J109" s="0" t="s">
        <v>13</v>
      </c>
    </row>
    <row r="110" customFormat="false" ht="15" hidden="false" customHeight="false" outlineLevel="0" collapsed="false">
      <c r="A110" s="6" t="n">
        <v>43685</v>
      </c>
      <c r="B110" s="7" t="n">
        <v>0.15625</v>
      </c>
      <c r="C110" s="8" t="n">
        <v>112066</v>
      </c>
      <c r="D110" s="8" t="s">
        <v>14</v>
      </c>
      <c r="E110" s="8" t="n">
        <v>26920</v>
      </c>
      <c r="F110" s="8" t="n">
        <v>15840</v>
      </c>
      <c r="G110" s="9" t="n">
        <v>11080</v>
      </c>
      <c r="H110" s="8" t="s">
        <v>11</v>
      </c>
      <c r="I110" s="8" t="s">
        <v>12</v>
      </c>
      <c r="J110" s="0" t="s">
        <v>13</v>
      </c>
    </row>
    <row r="111" customFormat="false" ht="15" hidden="false" customHeight="false" outlineLevel="0" collapsed="false">
      <c r="A111" s="6" t="n">
        <v>43685</v>
      </c>
      <c r="B111" s="7" t="n">
        <v>0.218055555555556</v>
      </c>
      <c r="C111" s="8" t="n">
        <v>112071</v>
      </c>
      <c r="D111" s="8" t="s">
        <v>19</v>
      </c>
      <c r="E111" s="8" t="n">
        <v>3460</v>
      </c>
      <c r="F111" s="8" t="n">
        <v>2660</v>
      </c>
      <c r="G111" s="9" t="n">
        <v>800</v>
      </c>
      <c r="H111" s="8" t="s">
        <v>11</v>
      </c>
      <c r="I111" s="8" t="s">
        <v>12</v>
      </c>
      <c r="J111" s="0" t="s">
        <v>13</v>
      </c>
    </row>
    <row r="112" customFormat="false" ht="15" hidden="false" customHeight="false" outlineLevel="0" collapsed="false">
      <c r="A112" s="6" t="n">
        <v>43685</v>
      </c>
      <c r="B112" s="7" t="n">
        <v>0.238194444444444</v>
      </c>
      <c r="C112" s="8" t="n">
        <v>112072</v>
      </c>
      <c r="D112" s="8" t="s">
        <v>10</v>
      </c>
      <c r="E112" s="8" t="n">
        <v>19080</v>
      </c>
      <c r="F112" s="8" t="n">
        <v>12960</v>
      </c>
      <c r="G112" s="9" t="n">
        <v>6120</v>
      </c>
      <c r="H112" s="8" t="s">
        <v>11</v>
      </c>
      <c r="I112" s="8" t="s">
        <v>12</v>
      </c>
      <c r="J112" s="0" t="s">
        <v>13</v>
      </c>
    </row>
    <row r="113" customFormat="false" ht="15" hidden="false" customHeight="false" outlineLevel="0" collapsed="false">
      <c r="A113" s="6" t="n">
        <v>43685</v>
      </c>
      <c r="B113" s="7" t="n">
        <v>0.265277777777778</v>
      </c>
      <c r="C113" s="8" t="n">
        <v>112074</v>
      </c>
      <c r="D113" s="8" t="s">
        <v>19</v>
      </c>
      <c r="E113" s="8" t="n">
        <v>3440</v>
      </c>
      <c r="F113" s="8" t="n">
        <v>2860</v>
      </c>
      <c r="G113" s="9" t="n">
        <v>580</v>
      </c>
      <c r="H113" s="8" t="s">
        <v>11</v>
      </c>
      <c r="I113" s="8" t="s">
        <v>12</v>
      </c>
      <c r="J113" s="0" t="s">
        <v>13</v>
      </c>
    </row>
    <row r="114" customFormat="false" ht="15" hidden="false" customHeight="false" outlineLevel="0" collapsed="false">
      <c r="A114" s="6" t="n">
        <v>43685</v>
      </c>
      <c r="B114" s="7" t="n">
        <v>0.270138888888889</v>
      </c>
      <c r="C114" s="8" t="n">
        <v>112075</v>
      </c>
      <c r="D114" s="8" t="s">
        <v>14</v>
      </c>
      <c r="E114" s="8" t="n">
        <v>23140</v>
      </c>
      <c r="F114" s="8" t="n">
        <v>15860</v>
      </c>
      <c r="G114" s="9" t="n">
        <v>7280</v>
      </c>
      <c r="H114" s="8" t="s">
        <v>11</v>
      </c>
      <c r="I114" s="8" t="s">
        <v>12</v>
      </c>
      <c r="J114" s="0" t="s">
        <v>13</v>
      </c>
    </row>
    <row r="115" customFormat="false" ht="15" hidden="false" customHeight="false" outlineLevel="0" collapsed="false">
      <c r="A115" s="6" t="n">
        <v>43685</v>
      </c>
      <c r="B115" s="7" t="n">
        <v>0.350694444444444</v>
      </c>
      <c r="C115" s="8" t="n">
        <v>112088</v>
      </c>
      <c r="D115" s="8" t="s">
        <v>16</v>
      </c>
      <c r="E115" s="8" t="n">
        <v>3180</v>
      </c>
      <c r="F115" s="8" t="n">
        <v>2840</v>
      </c>
      <c r="G115" s="9" t="n">
        <v>340</v>
      </c>
      <c r="H115" s="8" t="s">
        <v>11</v>
      </c>
      <c r="I115" s="8" t="s">
        <v>12</v>
      </c>
      <c r="J115" s="0" t="s">
        <v>13</v>
      </c>
    </row>
    <row r="116" customFormat="false" ht="15" hidden="false" customHeight="false" outlineLevel="0" collapsed="false">
      <c r="A116" s="6" t="n">
        <v>43685</v>
      </c>
      <c r="B116" s="7" t="n">
        <v>0.517361111111111</v>
      </c>
      <c r="C116" s="8" t="n">
        <v>112105</v>
      </c>
      <c r="D116" s="8" t="s">
        <v>14</v>
      </c>
      <c r="E116" s="8" t="n">
        <v>18680</v>
      </c>
      <c r="F116" s="8" t="n">
        <v>15760</v>
      </c>
      <c r="G116" s="9" t="n">
        <v>2920</v>
      </c>
      <c r="H116" s="8" t="s">
        <v>11</v>
      </c>
      <c r="I116" s="8" t="s">
        <v>12</v>
      </c>
      <c r="J116" s="0" t="s">
        <v>13</v>
      </c>
    </row>
    <row r="117" customFormat="false" ht="15" hidden="false" customHeight="false" outlineLevel="0" collapsed="false">
      <c r="A117" s="6" t="n">
        <v>43685</v>
      </c>
      <c r="B117" s="7" t="n">
        <v>0.741666666666667</v>
      </c>
      <c r="C117" s="8" t="n">
        <v>112123</v>
      </c>
      <c r="D117" s="8" t="s">
        <v>19</v>
      </c>
      <c r="E117" s="8" t="n">
        <v>3000</v>
      </c>
      <c r="F117" s="8" t="n">
        <v>2760</v>
      </c>
      <c r="G117" s="9" t="n">
        <v>240</v>
      </c>
      <c r="H117" s="8" t="s">
        <v>11</v>
      </c>
      <c r="I117" s="8" t="s">
        <v>12</v>
      </c>
      <c r="J117" s="0" t="s">
        <v>13</v>
      </c>
    </row>
    <row r="118" customFormat="false" ht="15" hidden="false" customHeight="false" outlineLevel="0" collapsed="false">
      <c r="A118" s="11" t="n">
        <v>43685</v>
      </c>
      <c r="B118" s="7" t="n">
        <v>0.879166666666667</v>
      </c>
      <c r="C118" s="8" t="n">
        <v>112127</v>
      </c>
      <c r="D118" s="8" t="s">
        <v>16</v>
      </c>
      <c r="E118" s="8" t="n">
        <v>3380</v>
      </c>
      <c r="F118" s="8" t="n">
        <v>3040</v>
      </c>
      <c r="G118" s="9" t="n">
        <v>340</v>
      </c>
      <c r="H118" s="8" t="s">
        <v>11</v>
      </c>
      <c r="I118" s="8" t="s">
        <v>12</v>
      </c>
      <c r="J118" s="0" t="s">
        <v>13</v>
      </c>
    </row>
    <row r="119" customFormat="false" ht="15" hidden="false" customHeight="false" outlineLevel="0" collapsed="false">
      <c r="A119" s="6" t="n">
        <v>43686</v>
      </c>
      <c r="B119" s="12" t="n">
        <v>0.0409722222222222</v>
      </c>
      <c r="C119" s="8" t="n">
        <v>112129</v>
      </c>
      <c r="D119" s="8" t="s">
        <v>10</v>
      </c>
      <c r="E119" s="8" t="n">
        <v>23300</v>
      </c>
      <c r="F119" s="8" t="n">
        <v>13080</v>
      </c>
      <c r="G119" s="9" t="n">
        <v>10220</v>
      </c>
      <c r="H119" s="8" t="s">
        <v>11</v>
      </c>
      <c r="I119" s="8" t="s">
        <v>12</v>
      </c>
      <c r="J119" s="0" t="s">
        <v>13</v>
      </c>
    </row>
    <row r="120" customFormat="false" ht="15" hidden="false" customHeight="false" outlineLevel="0" collapsed="false">
      <c r="A120" s="6" t="n">
        <v>43686</v>
      </c>
      <c r="B120" s="7" t="n">
        <v>0.0631944444444444</v>
      </c>
      <c r="C120" s="8" t="n">
        <v>112130</v>
      </c>
      <c r="D120" s="8" t="s">
        <v>15</v>
      </c>
      <c r="E120" s="8" t="n">
        <v>3840</v>
      </c>
      <c r="F120" s="8" t="n">
        <v>3580</v>
      </c>
      <c r="G120" s="9" t="n">
        <v>260</v>
      </c>
      <c r="H120" s="8" t="s">
        <v>11</v>
      </c>
      <c r="I120" s="8" t="s">
        <v>12</v>
      </c>
      <c r="J120" s="0" t="s">
        <v>13</v>
      </c>
    </row>
    <row r="121" customFormat="false" ht="15" hidden="false" customHeight="false" outlineLevel="0" collapsed="false">
      <c r="A121" s="6" t="n">
        <v>43686</v>
      </c>
      <c r="B121" s="7" t="n">
        <v>0.106944444444444</v>
      </c>
      <c r="C121" s="8" t="n">
        <v>112134</v>
      </c>
      <c r="D121" s="8" t="s">
        <v>16</v>
      </c>
      <c r="E121" s="8" t="n">
        <v>3280</v>
      </c>
      <c r="F121" s="8" t="n">
        <v>2780</v>
      </c>
      <c r="G121" s="9" t="n">
        <v>500</v>
      </c>
      <c r="H121" s="8" t="s">
        <v>11</v>
      </c>
      <c r="I121" s="8" t="s">
        <v>12</v>
      </c>
      <c r="J121" s="0" t="s">
        <v>13</v>
      </c>
    </row>
    <row r="122" customFormat="false" ht="15" hidden="false" customHeight="false" outlineLevel="0" collapsed="false">
      <c r="A122" s="6" t="n">
        <v>43686</v>
      </c>
      <c r="B122" s="7" t="n">
        <v>0.138888888888889</v>
      </c>
      <c r="C122" s="8" t="n">
        <v>112137</v>
      </c>
      <c r="D122" s="8" t="s">
        <v>10</v>
      </c>
      <c r="E122" s="8" t="n">
        <v>21680</v>
      </c>
      <c r="F122" s="8" t="n">
        <v>12900</v>
      </c>
      <c r="G122" s="9" t="n">
        <v>8780</v>
      </c>
      <c r="H122" s="8" t="s">
        <v>11</v>
      </c>
      <c r="I122" s="8" t="s">
        <v>12</v>
      </c>
      <c r="J122" s="0" t="s">
        <v>13</v>
      </c>
    </row>
    <row r="123" customFormat="false" ht="15" hidden="false" customHeight="false" outlineLevel="0" collapsed="false">
      <c r="A123" s="6" t="n">
        <v>43686</v>
      </c>
      <c r="B123" s="7" t="n">
        <v>0.14375</v>
      </c>
      <c r="C123" s="8" t="n">
        <v>112138</v>
      </c>
      <c r="D123" s="8" t="s">
        <v>14</v>
      </c>
      <c r="E123" s="8" t="n">
        <v>27820</v>
      </c>
      <c r="F123" s="8" t="n">
        <v>15980</v>
      </c>
      <c r="G123" s="9" t="n">
        <v>11840</v>
      </c>
      <c r="H123" s="8" t="s">
        <v>11</v>
      </c>
      <c r="I123" s="8" t="s">
        <v>12</v>
      </c>
      <c r="J123" s="0" t="s">
        <v>13</v>
      </c>
    </row>
    <row r="124" customFormat="false" ht="15" hidden="false" customHeight="false" outlineLevel="0" collapsed="false">
      <c r="A124" s="6" t="n">
        <v>43686</v>
      </c>
      <c r="B124" s="7" t="n">
        <v>0.186805555555556</v>
      </c>
      <c r="C124" s="8" t="n">
        <v>112142</v>
      </c>
      <c r="D124" s="8" t="s">
        <v>15</v>
      </c>
      <c r="E124" s="8" t="n">
        <v>4900</v>
      </c>
      <c r="F124" s="8" t="n">
        <v>3580</v>
      </c>
      <c r="G124" s="9" t="n">
        <v>1320</v>
      </c>
      <c r="H124" s="8" t="s">
        <v>11</v>
      </c>
      <c r="I124" s="8" t="s">
        <v>12</v>
      </c>
      <c r="J124" s="0" t="s">
        <v>13</v>
      </c>
    </row>
    <row r="125" customFormat="false" ht="15" hidden="false" customHeight="false" outlineLevel="0" collapsed="false">
      <c r="A125" s="6" t="n">
        <v>43686</v>
      </c>
      <c r="B125" s="7" t="n">
        <v>0.245833333333333</v>
      </c>
      <c r="C125" s="8" t="n">
        <v>112146</v>
      </c>
      <c r="D125" s="8" t="s">
        <v>15</v>
      </c>
      <c r="E125" s="8" t="n">
        <v>4480</v>
      </c>
      <c r="F125" s="8" t="n">
        <v>3560</v>
      </c>
      <c r="G125" s="9" t="n">
        <v>920</v>
      </c>
      <c r="H125" s="8" t="s">
        <v>11</v>
      </c>
      <c r="I125" s="8" t="s">
        <v>12</v>
      </c>
      <c r="J125" s="0" t="s">
        <v>13</v>
      </c>
    </row>
    <row r="126" customFormat="false" ht="15" hidden="false" customHeight="false" outlineLevel="0" collapsed="false">
      <c r="A126" s="6" t="n">
        <v>43686</v>
      </c>
      <c r="B126" s="7" t="n">
        <v>0.257638888888889</v>
      </c>
      <c r="C126" s="8" t="n">
        <v>112147</v>
      </c>
      <c r="D126" s="8" t="s">
        <v>14</v>
      </c>
      <c r="E126" s="8" t="n">
        <v>27600</v>
      </c>
      <c r="F126" s="8" t="n">
        <v>15980</v>
      </c>
      <c r="G126" s="9" t="n">
        <v>11620</v>
      </c>
      <c r="H126" s="8" t="s">
        <v>11</v>
      </c>
      <c r="I126" s="8" t="s">
        <v>12</v>
      </c>
      <c r="J126" s="0" t="s">
        <v>13</v>
      </c>
    </row>
    <row r="127" customFormat="false" ht="15" hidden="false" customHeight="false" outlineLevel="0" collapsed="false">
      <c r="A127" s="6" t="n">
        <v>43686</v>
      </c>
      <c r="B127" s="7" t="n">
        <v>0.267361111111111</v>
      </c>
      <c r="C127" s="8" t="n">
        <v>112148</v>
      </c>
      <c r="D127" s="8" t="s">
        <v>10</v>
      </c>
      <c r="E127" s="8" t="n">
        <v>21200</v>
      </c>
      <c r="F127" s="8" t="n">
        <v>12880</v>
      </c>
      <c r="G127" s="9" t="n">
        <v>8320</v>
      </c>
      <c r="H127" s="8" t="s">
        <v>11</v>
      </c>
      <c r="I127" s="8" t="s">
        <v>12</v>
      </c>
      <c r="J127" s="0" t="s">
        <v>13</v>
      </c>
    </row>
    <row r="128" customFormat="false" ht="15" hidden="false" customHeight="false" outlineLevel="0" collapsed="false">
      <c r="A128" s="6" t="n">
        <v>43686</v>
      </c>
      <c r="B128" s="7" t="n">
        <v>0.310416666666667</v>
      </c>
      <c r="C128" s="8" t="n">
        <v>112156</v>
      </c>
      <c r="D128" s="8" t="s">
        <v>16</v>
      </c>
      <c r="E128" s="8" t="n">
        <v>3120</v>
      </c>
      <c r="F128" s="8" t="n">
        <v>2760</v>
      </c>
      <c r="G128" s="9" t="n">
        <v>360</v>
      </c>
      <c r="H128" s="8" t="s">
        <v>11</v>
      </c>
      <c r="I128" s="8" t="s">
        <v>12</v>
      </c>
      <c r="J128" s="0" t="s">
        <v>13</v>
      </c>
    </row>
    <row r="129" customFormat="false" ht="15" hidden="false" customHeight="false" outlineLevel="0" collapsed="false">
      <c r="A129" s="6" t="n">
        <v>43686</v>
      </c>
      <c r="B129" s="12" t="n">
        <v>0.390277777777778</v>
      </c>
      <c r="C129" s="8" t="n">
        <v>112164</v>
      </c>
      <c r="D129" s="8" t="s">
        <v>16</v>
      </c>
      <c r="E129" s="8" t="n">
        <v>3240</v>
      </c>
      <c r="F129" s="8" t="n">
        <v>2760</v>
      </c>
      <c r="G129" s="9" t="n">
        <v>480</v>
      </c>
      <c r="H129" s="8" t="s">
        <v>11</v>
      </c>
      <c r="I129" s="8" t="s">
        <v>12</v>
      </c>
      <c r="J129" s="0" t="s">
        <v>13</v>
      </c>
    </row>
    <row r="130" customFormat="false" ht="15" hidden="false" customHeight="false" outlineLevel="0" collapsed="false">
      <c r="A130" s="6" t="n">
        <v>43686</v>
      </c>
      <c r="B130" s="7" t="n">
        <v>0.692361111111111</v>
      </c>
      <c r="C130" s="8" t="n">
        <v>112195</v>
      </c>
      <c r="D130" s="8" t="s">
        <v>10</v>
      </c>
      <c r="E130" s="8" t="n">
        <v>17000</v>
      </c>
      <c r="F130" s="8" t="n">
        <v>12780</v>
      </c>
      <c r="G130" s="9" t="n">
        <v>4220</v>
      </c>
      <c r="H130" s="8" t="s">
        <v>11</v>
      </c>
      <c r="I130" s="8" t="s">
        <v>12</v>
      </c>
      <c r="J130" s="0" t="s">
        <v>13</v>
      </c>
    </row>
    <row r="131" customFormat="false" ht="15" hidden="false" customHeight="false" outlineLevel="0" collapsed="false">
      <c r="A131" s="6" t="n">
        <v>43686</v>
      </c>
      <c r="B131" s="7" t="n">
        <v>0.740277777777778</v>
      </c>
      <c r="C131" s="8" t="n">
        <v>112199</v>
      </c>
      <c r="D131" s="8" t="s">
        <v>19</v>
      </c>
      <c r="E131" s="8" t="n">
        <v>3020</v>
      </c>
      <c r="F131" s="8" t="n">
        <v>2820</v>
      </c>
      <c r="G131" s="9" t="n">
        <v>200</v>
      </c>
      <c r="H131" s="8" t="s">
        <v>11</v>
      </c>
      <c r="I131" s="8" t="s">
        <v>12</v>
      </c>
      <c r="J131" s="0" t="s">
        <v>13</v>
      </c>
    </row>
    <row r="132" customFormat="false" ht="15" hidden="false" customHeight="false" outlineLevel="0" collapsed="false">
      <c r="A132" s="6" t="n">
        <v>43686</v>
      </c>
      <c r="B132" s="7" t="n">
        <v>0.594444444444445</v>
      </c>
      <c r="C132" s="8" t="n">
        <v>112185</v>
      </c>
      <c r="D132" s="8" t="s">
        <v>16</v>
      </c>
      <c r="E132" s="8" t="n">
        <v>3360</v>
      </c>
      <c r="F132" s="8" t="n">
        <v>2820</v>
      </c>
      <c r="G132" s="9" t="n">
        <v>540</v>
      </c>
      <c r="H132" s="8" t="s">
        <v>11</v>
      </c>
      <c r="I132" s="8" t="s">
        <v>18</v>
      </c>
      <c r="J132" s="0" t="s">
        <v>13</v>
      </c>
    </row>
    <row r="133" customFormat="false" ht="15" hidden="false" customHeight="false" outlineLevel="0" collapsed="false">
      <c r="A133" s="6" t="n">
        <v>43686</v>
      </c>
      <c r="B133" s="7" t="n">
        <v>0.906944444444444</v>
      </c>
      <c r="C133" s="8" t="n">
        <v>112202</v>
      </c>
      <c r="D133" s="8" t="s">
        <v>20</v>
      </c>
      <c r="E133" s="8" t="n">
        <v>28300</v>
      </c>
      <c r="F133" s="8" t="n">
        <v>15960</v>
      </c>
      <c r="G133" s="9" t="n">
        <v>12340</v>
      </c>
      <c r="H133" s="8" t="s">
        <v>11</v>
      </c>
      <c r="I133" s="8" t="s">
        <v>12</v>
      </c>
      <c r="J133" s="0" t="s">
        <v>13</v>
      </c>
    </row>
    <row r="134" customFormat="false" ht="15" hidden="false" customHeight="false" outlineLevel="0" collapsed="false">
      <c r="A134" s="6" t="n">
        <v>43686</v>
      </c>
      <c r="B134" s="7" t="n">
        <v>0.922916666666667</v>
      </c>
      <c r="C134" s="8" t="n">
        <v>112203</v>
      </c>
      <c r="D134" s="8" t="s">
        <v>16</v>
      </c>
      <c r="E134" s="8" t="n">
        <v>3400</v>
      </c>
      <c r="F134" s="8" t="n">
        <v>3080</v>
      </c>
      <c r="G134" s="9" t="n">
        <v>320</v>
      </c>
      <c r="H134" s="8" t="s">
        <v>11</v>
      </c>
      <c r="I134" s="8" t="s">
        <v>12</v>
      </c>
      <c r="J134" s="0" t="s">
        <v>13</v>
      </c>
    </row>
    <row r="135" customFormat="false" ht="15" hidden="false" customHeight="false" outlineLevel="0" collapsed="false">
      <c r="A135" s="6" t="n">
        <v>43686</v>
      </c>
      <c r="B135" s="7" t="n">
        <v>0.479166666666667</v>
      </c>
      <c r="C135" s="10" t="s">
        <v>23</v>
      </c>
      <c r="D135" s="8" t="s">
        <v>14</v>
      </c>
      <c r="E135" s="8" t="n">
        <v>20920</v>
      </c>
      <c r="F135" s="8" t="n">
        <v>15760</v>
      </c>
      <c r="G135" s="9" t="n">
        <v>5160</v>
      </c>
      <c r="H135" s="8" t="s">
        <v>11</v>
      </c>
      <c r="I135" s="8" t="s">
        <v>24</v>
      </c>
      <c r="J135" s="0" t="s">
        <v>13</v>
      </c>
    </row>
    <row r="136" customFormat="false" ht="15" hidden="false" customHeight="false" outlineLevel="0" collapsed="false">
      <c r="A136" s="6" t="n">
        <v>43687</v>
      </c>
      <c r="B136" s="7" t="n">
        <v>0.463888888888889</v>
      </c>
      <c r="C136" s="8" t="n">
        <v>91239</v>
      </c>
      <c r="D136" s="8" t="s">
        <v>17</v>
      </c>
      <c r="E136" s="8" t="n">
        <v>6320</v>
      </c>
      <c r="F136" s="8" t="n">
        <v>5820</v>
      </c>
      <c r="G136" s="9" t="n">
        <v>500</v>
      </c>
      <c r="H136" s="8" t="s">
        <v>11</v>
      </c>
      <c r="I136" s="8" t="s">
        <v>25</v>
      </c>
      <c r="J136" s="0" t="s">
        <v>13</v>
      </c>
    </row>
    <row r="137" customFormat="false" ht="15" hidden="false" customHeight="false" outlineLevel="0" collapsed="false">
      <c r="A137" s="11" t="n">
        <v>43687</v>
      </c>
      <c r="B137" s="7" t="n">
        <v>0.0472222222222222</v>
      </c>
      <c r="C137" s="8" t="n">
        <v>112205</v>
      </c>
      <c r="D137" s="8" t="s">
        <v>10</v>
      </c>
      <c r="E137" s="8" t="n">
        <v>22400</v>
      </c>
      <c r="F137" s="8" t="n">
        <v>13120</v>
      </c>
      <c r="G137" s="9" t="n">
        <v>9280</v>
      </c>
      <c r="H137" s="8" t="s">
        <v>11</v>
      </c>
      <c r="I137" s="8" t="s">
        <v>12</v>
      </c>
      <c r="J137" s="0" t="s">
        <v>13</v>
      </c>
    </row>
    <row r="138" customFormat="false" ht="15" hidden="false" customHeight="false" outlineLevel="0" collapsed="false">
      <c r="A138" s="6" t="n">
        <v>43687</v>
      </c>
      <c r="B138" s="7" t="n">
        <v>0.0625</v>
      </c>
      <c r="C138" s="8" t="n">
        <v>112206</v>
      </c>
      <c r="D138" s="8" t="s">
        <v>15</v>
      </c>
      <c r="E138" s="8" t="n">
        <v>3840</v>
      </c>
      <c r="F138" s="8" t="n">
        <v>3620</v>
      </c>
      <c r="G138" s="9" t="n">
        <v>220</v>
      </c>
      <c r="H138" s="8" t="s">
        <v>11</v>
      </c>
      <c r="I138" s="8" t="s">
        <v>12</v>
      </c>
      <c r="J138" s="0" t="s">
        <v>13</v>
      </c>
    </row>
    <row r="139" customFormat="false" ht="15" hidden="false" customHeight="false" outlineLevel="0" collapsed="false">
      <c r="A139" s="6" t="n">
        <v>43687</v>
      </c>
      <c r="B139" s="7" t="n">
        <v>0.15</v>
      </c>
      <c r="C139" s="8" t="n">
        <v>112213</v>
      </c>
      <c r="D139" s="8" t="s">
        <v>16</v>
      </c>
      <c r="E139" s="8" t="n">
        <v>3040</v>
      </c>
      <c r="F139" s="8" t="n">
        <v>2780</v>
      </c>
      <c r="G139" s="9" t="n">
        <v>260</v>
      </c>
      <c r="H139" s="8" t="s">
        <v>11</v>
      </c>
      <c r="I139" s="8" t="s">
        <v>12</v>
      </c>
      <c r="J139" s="0" t="s">
        <v>13</v>
      </c>
    </row>
    <row r="140" customFormat="false" ht="15" hidden="false" customHeight="false" outlineLevel="0" collapsed="false">
      <c r="A140" s="6" t="n">
        <v>43687</v>
      </c>
      <c r="B140" s="7" t="n">
        <v>0.152083333333333</v>
      </c>
      <c r="C140" s="8" t="n">
        <v>112214</v>
      </c>
      <c r="D140" s="8" t="s">
        <v>10</v>
      </c>
      <c r="E140" s="8" t="n">
        <v>22240</v>
      </c>
      <c r="F140" s="8" t="n">
        <v>12940</v>
      </c>
      <c r="G140" s="9" t="n">
        <v>9300</v>
      </c>
      <c r="H140" s="8" t="s">
        <v>11</v>
      </c>
      <c r="I140" s="8" t="s">
        <v>12</v>
      </c>
      <c r="J140" s="0" t="s">
        <v>13</v>
      </c>
    </row>
    <row r="141" customFormat="false" ht="15" hidden="false" customHeight="false" outlineLevel="0" collapsed="false">
      <c r="A141" s="6" t="n">
        <v>43687</v>
      </c>
      <c r="B141" s="7" t="n">
        <v>0.161111111111111</v>
      </c>
      <c r="C141" s="8" t="n">
        <v>112216</v>
      </c>
      <c r="D141" s="8" t="s">
        <v>20</v>
      </c>
      <c r="E141" s="8" t="n">
        <v>28020</v>
      </c>
      <c r="F141" s="8" t="n">
        <v>16140</v>
      </c>
      <c r="G141" s="9" t="n">
        <v>11880</v>
      </c>
      <c r="H141" s="8" t="s">
        <v>11</v>
      </c>
      <c r="I141" s="8" t="s">
        <v>12</v>
      </c>
      <c r="J141" s="0" t="s">
        <v>13</v>
      </c>
    </row>
    <row r="142" customFormat="false" ht="15" hidden="false" customHeight="false" outlineLevel="0" collapsed="false">
      <c r="A142" s="6" t="n">
        <v>43687</v>
      </c>
      <c r="B142" s="7" t="n">
        <v>0.170138888888889</v>
      </c>
      <c r="C142" s="8" t="n">
        <v>112217</v>
      </c>
      <c r="D142" s="8" t="s">
        <v>15</v>
      </c>
      <c r="E142" s="8" t="n">
        <v>4980</v>
      </c>
      <c r="F142" s="8" t="n">
        <v>3600</v>
      </c>
      <c r="G142" s="9" t="n">
        <v>1380</v>
      </c>
      <c r="H142" s="8" t="s">
        <v>11</v>
      </c>
      <c r="I142" s="8" t="s">
        <v>12</v>
      </c>
      <c r="J142" s="0" t="s">
        <v>13</v>
      </c>
    </row>
    <row r="143" customFormat="false" ht="15" hidden="false" customHeight="false" outlineLevel="0" collapsed="false">
      <c r="A143" s="6" t="n">
        <v>43687</v>
      </c>
      <c r="B143" s="7" t="n">
        <v>0.222916666666667</v>
      </c>
      <c r="C143" s="8" t="n">
        <v>112220</v>
      </c>
      <c r="D143" s="8" t="s">
        <v>14</v>
      </c>
      <c r="E143" s="8" t="n">
        <v>27580</v>
      </c>
      <c r="F143" s="8" t="n">
        <v>15980</v>
      </c>
      <c r="G143" s="9" t="n">
        <v>11600</v>
      </c>
      <c r="H143" s="8" t="s">
        <v>11</v>
      </c>
      <c r="I143" s="8" t="s">
        <v>12</v>
      </c>
      <c r="J143" s="0" t="s">
        <v>13</v>
      </c>
    </row>
    <row r="144" customFormat="false" ht="15" hidden="false" customHeight="false" outlineLevel="0" collapsed="false">
      <c r="A144" s="6" t="n">
        <v>43687</v>
      </c>
      <c r="B144" s="7" t="n">
        <v>0.241666666666667</v>
      </c>
      <c r="C144" s="8" t="n">
        <v>112223</v>
      </c>
      <c r="D144" s="8" t="s">
        <v>10</v>
      </c>
      <c r="E144" s="8" t="n">
        <v>17460</v>
      </c>
      <c r="F144" s="8" t="n">
        <v>12980</v>
      </c>
      <c r="G144" s="9" t="n">
        <v>4480</v>
      </c>
      <c r="H144" s="8" t="s">
        <v>11</v>
      </c>
      <c r="I144" s="8" t="s">
        <v>12</v>
      </c>
      <c r="J144" s="0" t="s">
        <v>13</v>
      </c>
    </row>
    <row r="145" customFormat="false" ht="15" hidden="false" customHeight="false" outlineLevel="0" collapsed="false">
      <c r="A145" s="6" t="n">
        <v>43687</v>
      </c>
      <c r="B145" s="7" t="n">
        <v>0.257638888888889</v>
      </c>
      <c r="C145" s="8" t="n">
        <v>112225</v>
      </c>
      <c r="D145" s="8" t="s">
        <v>15</v>
      </c>
      <c r="E145" s="8" t="n">
        <v>4900</v>
      </c>
      <c r="F145" s="8" t="n">
        <v>3780</v>
      </c>
      <c r="G145" s="9" t="n">
        <v>1120</v>
      </c>
      <c r="H145" s="8" t="s">
        <v>11</v>
      </c>
      <c r="I145" s="8" t="s">
        <v>12</v>
      </c>
      <c r="J145" s="0" t="s">
        <v>13</v>
      </c>
    </row>
    <row r="146" customFormat="false" ht="15" hidden="false" customHeight="false" outlineLevel="0" collapsed="false">
      <c r="A146" s="6" t="n">
        <v>43687</v>
      </c>
      <c r="B146" s="7" t="n">
        <v>0.336805555555556</v>
      </c>
      <c r="C146" s="8" t="n">
        <v>112232</v>
      </c>
      <c r="D146" s="8" t="s">
        <v>16</v>
      </c>
      <c r="E146" s="8" t="n">
        <v>3400</v>
      </c>
      <c r="F146" s="8" t="n">
        <v>2940</v>
      </c>
      <c r="G146" s="9" t="n">
        <v>460</v>
      </c>
      <c r="H146" s="8" t="s">
        <v>11</v>
      </c>
      <c r="I146" s="8" t="s">
        <v>12</v>
      </c>
      <c r="J146" s="0" t="s">
        <v>13</v>
      </c>
    </row>
    <row r="147" customFormat="false" ht="15" hidden="false" customHeight="false" outlineLevel="0" collapsed="false">
      <c r="A147" s="6" t="n">
        <v>43687</v>
      </c>
      <c r="B147" s="7" t="n">
        <v>0.393055555555556</v>
      </c>
      <c r="C147" s="8" t="n">
        <v>112237</v>
      </c>
      <c r="D147" s="8" t="s">
        <v>10</v>
      </c>
      <c r="E147" s="8" t="n">
        <v>16020</v>
      </c>
      <c r="F147" s="8" t="n">
        <v>12540</v>
      </c>
      <c r="G147" s="9" t="n">
        <v>3480</v>
      </c>
      <c r="H147" s="8" t="s">
        <v>11</v>
      </c>
      <c r="I147" s="8" t="s">
        <v>12</v>
      </c>
      <c r="J147" s="0" t="s">
        <v>13</v>
      </c>
    </row>
    <row r="148" customFormat="false" ht="15" hidden="false" customHeight="false" outlineLevel="0" collapsed="false">
      <c r="A148" s="6" t="n">
        <v>43687</v>
      </c>
      <c r="B148" s="7" t="n">
        <v>0.698611111111111</v>
      </c>
      <c r="C148" s="8" t="n">
        <v>112247</v>
      </c>
      <c r="D148" s="8" t="s">
        <v>10</v>
      </c>
      <c r="E148" s="8" t="n">
        <v>17160</v>
      </c>
      <c r="F148" s="8" t="n">
        <v>12840</v>
      </c>
      <c r="G148" s="9" t="n">
        <v>4320</v>
      </c>
      <c r="H148" s="8" t="s">
        <v>11</v>
      </c>
      <c r="I148" s="8" t="s">
        <v>12</v>
      </c>
      <c r="J148" s="0" t="s">
        <v>13</v>
      </c>
    </row>
    <row r="149" customFormat="false" ht="15" hidden="false" customHeight="false" outlineLevel="0" collapsed="false">
      <c r="A149" s="6" t="n">
        <v>43687</v>
      </c>
      <c r="B149" s="7" t="n">
        <v>0.769444444444444</v>
      </c>
      <c r="C149" s="8" t="n">
        <v>112248</v>
      </c>
      <c r="D149" s="8" t="s">
        <v>19</v>
      </c>
      <c r="E149" s="8" t="n">
        <v>3080</v>
      </c>
      <c r="F149" s="8" t="n">
        <v>2820</v>
      </c>
      <c r="G149" s="9" t="n">
        <v>260</v>
      </c>
      <c r="H149" s="8" t="s">
        <v>11</v>
      </c>
      <c r="I149" s="8" t="s">
        <v>12</v>
      </c>
      <c r="J149" s="0" t="s">
        <v>13</v>
      </c>
    </row>
    <row r="150" customFormat="false" ht="15" hidden="false" customHeight="false" outlineLevel="0" collapsed="false">
      <c r="A150" s="6" t="n">
        <v>43687</v>
      </c>
      <c r="B150" s="7" t="n">
        <v>0.889583333333333</v>
      </c>
      <c r="C150" s="8" t="n">
        <v>112249</v>
      </c>
      <c r="D150" s="8" t="s">
        <v>20</v>
      </c>
      <c r="E150" s="8" t="n">
        <v>28400</v>
      </c>
      <c r="F150" s="8" t="n">
        <v>16200</v>
      </c>
      <c r="G150" s="9" t="n">
        <v>12200</v>
      </c>
      <c r="H150" s="8" t="s">
        <v>11</v>
      </c>
      <c r="I150" s="8" t="s">
        <v>12</v>
      </c>
      <c r="J150" s="0" t="s">
        <v>13</v>
      </c>
    </row>
    <row r="151" customFormat="false" ht="15" hidden="false" customHeight="false" outlineLevel="0" collapsed="false">
      <c r="A151" s="6" t="n">
        <v>43687</v>
      </c>
      <c r="B151" s="7" t="n">
        <v>0.916666666666667</v>
      </c>
      <c r="C151" s="8" t="n">
        <v>112250</v>
      </c>
      <c r="D151" s="8" t="s">
        <v>16</v>
      </c>
      <c r="E151" s="8" t="n">
        <v>3340</v>
      </c>
      <c r="F151" s="8" t="n">
        <v>3040</v>
      </c>
      <c r="G151" s="9" t="n">
        <v>300</v>
      </c>
      <c r="H151" s="8" t="s">
        <v>11</v>
      </c>
      <c r="I151" s="8" t="s">
        <v>12</v>
      </c>
      <c r="J151" s="0" t="s">
        <v>13</v>
      </c>
    </row>
    <row r="152" customFormat="false" ht="15" hidden="false" customHeight="false" outlineLevel="0" collapsed="false">
      <c r="A152" s="6" t="n">
        <v>43687</v>
      </c>
      <c r="B152" s="7" t="n">
        <v>0.9375</v>
      </c>
      <c r="C152" s="8" t="n">
        <v>112251</v>
      </c>
      <c r="D152" s="8" t="s">
        <v>20</v>
      </c>
      <c r="E152" s="8" t="n">
        <v>17500</v>
      </c>
      <c r="F152" s="8" t="n">
        <v>16120</v>
      </c>
      <c r="G152" s="9" t="n">
        <v>1380</v>
      </c>
      <c r="H152" s="8" t="s">
        <v>11</v>
      </c>
      <c r="I152" s="8" t="s">
        <v>12</v>
      </c>
      <c r="J152" s="0" t="s">
        <v>13</v>
      </c>
    </row>
    <row r="153" customFormat="false" ht="15" hidden="false" customHeight="false" outlineLevel="0" collapsed="false">
      <c r="A153" s="6" t="n">
        <v>43687</v>
      </c>
      <c r="B153" s="7" t="n">
        <v>0.460416666666667</v>
      </c>
      <c r="C153" s="8" t="n">
        <v>112240</v>
      </c>
      <c r="D153" s="8" t="s">
        <v>16</v>
      </c>
      <c r="E153" s="8" t="n">
        <v>3120</v>
      </c>
      <c r="F153" s="8" t="n">
        <v>2840</v>
      </c>
      <c r="G153" s="9" t="n">
        <v>280</v>
      </c>
      <c r="H153" s="8" t="s">
        <v>11</v>
      </c>
      <c r="I153" s="8" t="s">
        <v>18</v>
      </c>
      <c r="J153" s="0" t="s">
        <v>13</v>
      </c>
    </row>
    <row r="154" customFormat="false" ht="13.8" hidden="false" customHeight="false" outlineLevel="0" collapsed="false">
      <c r="A154" s="6" t="n">
        <v>43688</v>
      </c>
      <c r="B154" s="7" t="n">
        <v>0.0458333333333333</v>
      </c>
      <c r="C154" s="8" t="n">
        <v>112252</v>
      </c>
      <c r="D154" s="8" t="s">
        <v>10</v>
      </c>
      <c r="E154" s="8" t="n">
        <v>23520</v>
      </c>
      <c r="F154" s="8" t="n">
        <v>13060</v>
      </c>
      <c r="G154" s="9" t="n">
        <v>10460</v>
      </c>
      <c r="H154" s="8" t="s">
        <v>11</v>
      </c>
      <c r="I154" s="8" t="s">
        <v>12</v>
      </c>
      <c r="J154" s="0" t="s">
        <v>13</v>
      </c>
    </row>
    <row r="155" customFormat="false" ht="15" hidden="false" customHeight="false" outlineLevel="0" collapsed="false">
      <c r="A155" s="6" t="n">
        <v>43688</v>
      </c>
      <c r="B155" s="7" t="n">
        <v>0.0854166666666667</v>
      </c>
      <c r="C155" s="8" t="n">
        <v>112253</v>
      </c>
      <c r="D155" s="8" t="s">
        <v>15</v>
      </c>
      <c r="E155" s="8" t="n">
        <v>4120</v>
      </c>
      <c r="F155" s="8" t="n">
        <v>3600</v>
      </c>
      <c r="G155" s="9" t="n">
        <v>520</v>
      </c>
      <c r="H155" s="8" t="s">
        <v>11</v>
      </c>
      <c r="I155" s="8" t="s">
        <v>12</v>
      </c>
      <c r="J155" s="0" t="s">
        <v>13</v>
      </c>
    </row>
    <row r="156" customFormat="false" ht="15" hidden="false" customHeight="false" outlineLevel="0" collapsed="false">
      <c r="A156" s="6" t="n">
        <v>43688</v>
      </c>
      <c r="B156" s="7" t="n">
        <v>0.142361111111111</v>
      </c>
      <c r="C156" s="8" t="n">
        <v>112259</v>
      </c>
      <c r="D156" s="8" t="s">
        <v>10</v>
      </c>
      <c r="E156" s="8" t="n">
        <v>21200</v>
      </c>
      <c r="F156" s="8" t="n">
        <v>12880</v>
      </c>
      <c r="G156" s="9" t="n">
        <v>8320</v>
      </c>
      <c r="H156" s="8" t="s">
        <v>11</v>
      </c>
      <c r="I156" s="8" t="s">
        <v>12</v>
      </c>
      <c r="J156" s="0" t="s">
        <v>13</v>
      </c>
    </row>
    <row r="157" customFormat="false" ht="15" hidden="false" customHeight="false" outlineLevel="0" collapsed="false">
      <c r="A157" s="6" t="n">
        <v>43688</v>
      </c>
      <c r="B157" s="7" t="n">
        <v>0.154166666666667</v>
      </c>
      <c r="C157" s="8" t="n">
        <v>112261</v>
      </c>
      <c r="D157" s="8" t="s">
        <v>14</v>
      </c>
      <c r="E157" s="8" t="n">
        <v>28540</v>
      </c>
      <c r="F157" s="8" t="n">
        <v>15980</v>
      </c>
      <c r="G157" s="9" t="n">
        <v>12560</v>
      </c>
      <c r="H157" s="8" t="s">
        <v>11</v>
      </c>
      <c r="I157" s="8" t="s">
        <v>12</v>
      </c>
      <c r="J157" s="0" t="s">
        <v>13</v>
      </c>
    </row>
    <row r="158" customFormat="false" ht="15" hidden="false" customHeight="false" outlineLevel="0" collapsed="false">
      <c r="A158" s="6" t="n">
        <v>43688</v>
      </c>
      <c r="B158" s="7" t="n">
        <v>0.186111111111111</v>
      </c>
      <c r="C158" s="8" t="n">
        <v>112262</v>
      </c>
      <c r="D158" s="8" t="s">
        <v>15</v>
      </c>
      <c r="E158" s="8" t="n">
        <v>5000</v>
      </c>
      <c r="F158" s="8" t="n">
        <v>3600</v>
      </c>
      <c r="G158" s="9" t="n">
        <v>1400</v>
      </c>
      <c r="H158" s="8" t="s">
        <v>11</v>
      </c>
      <c r="I158" s="8" t="s">
        <v>12</v>
      </c>
      <c r="J158" s="0" t="s">
        <v>13</v>
      </c>
    </row>
    <row r="159" customFormat="false" ht="15" hidden="false" customHeight="false" outlineLevel="0" collapsed="false">
      <c r="A159" s="6" t="n">
        <v>43688</v>
      </c>
      <c r="B159" s="7" t="n">
        <v>0.26875</v>
      </c>
      <c r="C159" s="8" t="n">
        <v>112268</v>
      </c>
      <c r="D159" s="8" t="s">
        <v>14</v>
      </c>
      <c r="E159" s="8" t="n">
        <v>25020</v>
      </c>
      <c r="F159" s="8" t="n">
        <v>16040</v>
      </c>
      <c r="G159" s="9" t="n">
        <v>8980</v>
      </c>
      <c r="H159" s="8" t="s">
        <v>11</v>
      </c>
      <c r="I159" s="8" t="s">
        <v>12</v>
      </c>
      <c r="J159" s="0" t="s">
        <v>13</v>
      </c>
    </row>
    <row r="160" customFormat="false" ht="15" hidden="false" customHeight="false" outlineLevel="0" collapsed="false">
      <c r="A160" s="6" t="n">
        <v>43688</v>
      </c>
      <c r="B160" s="7" t="n">
        <v>0.270138888888889</v>
      </c>
      <c r="C160" s="8" t="n">
        <v>112269</v>
      </c>
      <c r="D160" s="8" t="s">
        <v>15</v>
      </c>
      <c r="E160" s="8" t="n">
        <v>4840</v>
      </c>
      <c r="F160" s="8" t="n">
        <v>3580</v>
      </c>
      <c r="G160" s="9" t="n">
        <v>1260</v>
      </c>
      <c r="H160" s="8" t="s">
        <v>11</v>
      </c>
      <c r="I160" s="8" t="s">
        <v>12</v>
      </c>
      <c r="J160" s="0" t="s">
        <v>13</v>
      </c>
    </row>
    <row r="161" customFormat="false" ht="15" hidden="false" customHeight="false" outlineLevel="0" collapsed="false">
      <c r="A161" s="6" t="n">
        <v>43688</v>
      </c>
      <c r="B161" s="12" t="n">
        <v>0.275</v>
      </c>
      <c r="C161" s="8" t="n">
        <v>112270</v>
      </c>
      <c r="D161" s="8" t="s">
        <v>10</v>
      </c>
      <c r="E161" s="8" t="n">
        <v>22080</v>
      </c>
      <c r="F161" s="8" t="n">
        <v>13060</v>
      </c>
      <c r="G161" s="9" t="n">
        <v>9020</v>
      </c>
      <c r="H161" s="8" t="s">
        <v>11</v>
      </c>
      <c r="I161" s="8" t="s">
        <v>12</v>
      </c>
      <c r="J161" s="0" t="s">
        <v>13</v>
      </c>
    </row>
    <row r="162" customFormat="false" ht="15" hidden="false" customHeight="false" outlineLevel="0" collapsed="false">
      <c r="A162" s="6" t="n">
        <v>43688</v>
      </c>
      <c r="B162" s="7" t="n">
        <v>0.3375</v>
      </c>
      <c r="C162" s="8" t="n">
        <v>112275</v>
      </c>
      <c r="D162" s="8" t="s">
        <v>16</v>
      </c>
      <c r="E162" s="8" t="n">
        <v>3360</v>
      </c>
      <c r="F162" s="8" t="n">
        <v>2820</v>
      </c>
      <c r="G162" s="9" t="n">
        <v>540</v>
      </c>
      <c r="H162" s="8" t="s">
        <v>11</v>
      </c>
      <c r="I162" s="8" t="s">
        <v>12</v>
      </c>
      <c r="J162" s="0" t="s">
        <v>13</v>
      </c>
    </row>
    <row r="163" customFormat="false" ht="15" hidden="false" customHeight="false" outlineLevel="0" collapsed="false">
      <c r="A163" s="6" t="n">
        <v>43688</v>
      </c>
      <c r="B163" s="7" t="n">
        <v>0.454861111111111</v>
      </c>
      <c r="C163" s="8" t="n">
        <v>112279</v>
      </c>
      <c r="D163" s="8" t="s">
        <v>16</v>
      </c>
      <c r="E163" s="8" t="n">
        <v>3000</v>
      </c>
      <c r="F163" s="8" t="n">
        <v>2820</v>
      </c>
      <c r="G163" s="9" t="n">
        <v>180</v>
      </c>
      <c r="H163" s="8" t="s">
        <v>11</v>
      </c>
      <c r="I163" s="8" t="s">
        <v>12</v>
      </c>
      <c r="J163" s="0" t="s">
        <v>13</v>
      </c>
    </row>
    <row r="164" customFormat="false" ht="15" hidden="false" customHeight="false" outlineLevel="0" collapsed="false">
      <c r="A164" s="6" t="n">
        <v>43688</v>
      </c>
      <c r="B164" s="7" t="n">
        <v>0.688888888888889</v>
      </c>
      <c r="C164" s="8" t="n">
        <v>112280</v>
      </c>
      <c r="D164" s="8" t="s">
        <v>10</v>
      </c>
      <c r="E164" s="8" t="n">
        <v>15960</v>
      </c>
      <c r="F164" s="8" t="n">
        <v>12760</v>
      </c>
      <c r="G164" s="9" t="n">
        <v>3200</v>
      </c>
      <c r="H164" s="8" t="s">
        <v>11</v>
      </c>
      <c r="I164" s="8" t="s">
        <v>12</v>
      </c>
      <c r="J164" s="0" t="s">
        <v>13</v>
      </c>
    </row>
    <row r="165" customFormat="false" ht="15" hidden="false" customHeight="false" outlineLevel="0" collapsed="false">
      <c r="A165" s="6" t="n">
        <v>43688</v>
      </c>
      <c r="B165" s="7" t="n">
        <v>0.775</v>
      </c>
      <c r="C165" s="8" t="n">
        <v>112281</v>
      </c>
      <c r="D165" s="8" t="s">
        <v>19</v>
      </c>
      <c r="E165" s="8" t="n">
        <v>3040</v>
      </c>
      <c r="F165" s="8" t="n">
        <v>2820</v>
      </c>
      <c r="G165" s="9" t="n">
        <v>220</v>
      </c>
      <c r="H165" s="8" t="s">
        <v>11</v>
      </c>
      <c r="I165" s="8" t="s">
        <v>12</v>
      </c>
      <c r="J165" s="0" t="s">
        <v>13</v>
      </c>
    </row>
    <row r="166" customFormat="false" ht="15" hidden="false" customHeight="false" outlineLevel="0" collapsed="false">
      <c r="A166" s="6" t="n">
        <v>43688</v>
      </c>
      <c r="B166" s="7" t="n">
        <v>0.890277777777778</v>
      </c>
      <c r="C166" s="8" t="n">
        <v>112282</v>
      </c>
      <c r="D166" s="8" t="s">
        <v>20</v>
      </c>
      <c r="E166" s="8" t="n">
        <v>27040</v>
      </c>
      <c r="F166" s="8" t="n">
        <v>16320</v>
      </c>
      <c r="G166" s="9" t="n">
        <v>10720</v>
      </c>
      <c r="H166" s="8" t="s">
        <v>11</v>
      </c>
      <c r="I166" s="8" t="s">
        <v>12</v>
      </c>
      <c r="J166" s="0" t="s">
        <v>13</v>
      </c>
    </row>
    <row r="167" customFormat="false" ht="15" hidden="false" customHeight="false" outlineLevel="0" collapsed="false">
      <c r="A167" s="6" t="n">
        <v>43688</v>
      </c>
      <c r="B167" s="7" t="n">
        <v>0.921527777777778</v>
      </c>
      <c r="C167" s="8" t="n">
        <v>112283</v>
      </c>
      <c r="D167" s="8" t="s">
        <v>16</v>
      </c>
      <c r="E167" s="8" t="n">
        <v>3500</v>
      </c>
      <c r="F167" s="8" t="n">
        <v>3020</v>
      </c>
      <c r="G167" s="9" t="n">
        <v>480</v>
      </c>
      <c r="H167" s="8" t="s">
        <v>11</v>
      </c>
      <c r="I167" s="8" t="s">
        <v>12</v>
      </c>
      <c r="J167" s="0" t="s">
        <v>13</v>
      </c>
    </row>
    <row r="168" customFormat="false" ht="15" hidden="false" customHeight="false" outlineLevel="0" collapsed="false">
      <c r="A168" s="6" t="n">
        <v>43689</v>
      </c>
      <c r="B168" s="7" t="n">
        <v>0.0548611111111111</v>
      </c>
      <c r="C168" s="8" t="n">
        <v>112285</v>
      </c>
      <c r="D168" s="8" t="s">
        <v>10</v>
      </c>
      <c r="E168" s="8" t="n">
        <v>23240</v>
      </c>
      <c r="F168" s="8" t="n">
        <v>13120</v>
      </c>
      <c r="G168" s="9" t="n">
        <v>10120</v>
      </c>
      <c r="H168" s="8" t="s">
        <v>11</v>
      </c>
      <c r="I168" s="8" t="s">
        <v>12</v>
      </c>
      <c r="J168" s="0" t="s">
        <v>13</v>
      </c>
    </row>
    <row r="169" customFormat="false" ht="15" hidden="false" customHeight="false" outlineLevel="0" collapsed="false">
      <c r="A169" s="6" t="n">
        <v>43689</v>
      </c>
      <c r="B169" s="7" t="n">
        <v>0.0791666666666667</v>
      </c>
      <c r="C169" s="8" t="n">
        <v>112287</v>
      </c>
      <c r="D169" s="8" t="s">
        <v>19</v>
      </c>
      <c r="E169" s="8" t="n">
        <v>3040</v>
      </c>
      <c r="F169" s="8" t="n">
        <v>2680</v>
      </c>
      <c r="G169" s="9" t="n">
        <v>360</v>
      </c>
      <c r="H169" s="8" t="s">
        <v>11</v>
      </c>
      <c r="I169" s="8" t="s">
        <v>12</v>
      </c>
      <c r="J169" s="0" t="s">
        <v>13</v>
      </c>
    </row>
    <row r="170" customFormat="false" ht="15" hidden="false" customHeight="false" outlineLevel="0" collapsed="false">
      <c r="A170" s="6" t="n">
        <v>43689</v>
      </c>
      <c r="B170" s="7" t="n">
        <v>0.129861111111111</v>
      </c>
      <c r="C170" s="8" t="n">
        <v>112291</v>
      </c>
      <c r="D170" s="8" t="s">
        <v>20</v>
      </c>
      <c r="E170" s="8" t="n">
        <v>28540</v>
      </c>
      <c r="F170" s="8" t="n">
        <v>16300</v>
      </c>
      <c r="G170" s="9" t="n">
        <v>12240</v>
      </c>
      <c r="H170" s="8" t="s">
        <v>11</v>
      </c>
      <c r="I170" s="8" t="s">
        <v>12</v>
      </c>
      <c r="J170" s="0" t="s">
        <v>13</v>
      </c>
    </row>
    <row r="171" customFormat="false" ht="15" hidden="false" customHeight="false" outlineLevel="0" collapsed="false">
      <c r="A171" s="6" t="n">
        <v>43689</v>
      </c>
      <c r="B171" s="7" t="n">
        <v>0.148611111111111</v>
      </c>
      <c r="C171" s="8" t="n">
        <v>112293</v>
      </c>
      <c r="D171" s="8" t="s">
        <v>19</v>
      </c>
      <c r="E171" s="8" t="n">
        <v>3520</v>
      </c>
      <c r="F171" s="8" t="n">
        <v>2680</v>
      </c>
      <c r="G171" s="9" t="n">
        <v>840</v>
      </c>
      <c r="H171" s="8" t="s">
        <v>11</v>
      </c>
      <c r="I171" s="8" t="s">
        <v>12</v>
      </c>
      <c r="J171" s="0" t="s">
        <v>13</v>
      </c>
    </row>
    <row r="172" customFormat="false" ht="15" hidden="false" customHeight="false" outlineLevel="0" collapsed="false">
      <c r="A172" s="6" t="n">
        <v>43689</v>
      </c>
      <c r="B172" s="7" t="n">
        <v>0.177083333333333</v>
      </c>
      <c r="C172" s="8" t="n">
        <v>112295</v>
      </c>
      <c r="D172" s="8" t="s">
        <v>10</v>
      </c>
      <c r="E172" s="8" t="n">
        <v>22860</v>
      </c>
      <c r="F172" s="8" t="n">
        <v>12920</v>
      </c>
      <c r="G172" s="9" t="n">
        <v>9940</v>
      </c>
      <c r="H172" s="8" t="s">
        <v>11</v>
      </c>
      <c r="I172" s="8" t="s">
        <v>12</v>
      </c>
      <c r="J172" s="0" t="s">
        <v>13</v>
      </c>
    </row>
    <row r="173" customFormat="false" ht="15" hidden="false" customHeight="false" outlineLevel="0" collapsed="false">
      <c r="A173" s="6" t="n">
        <v>43689</v>
      </c>
      <c r="B173" s="7" t="n">
        <v>0.218055555555556</v>
      </c>
      <c r="C173" s="8" t="n">
        <v>112301</v>
      </c>
      <c r="D173" s="8" t="s">
        <v>19</v>
      </c>
      <c r="E173" s="8" t="n">
        <v>3400</v>
      </c>
      <c r="F173" s="8" t="n">
        <v>2660</v>
      </c>
      <c r="G173" s="9" t="n">
        <v>740</v>
      </c>
      <c r="H173" s="8" t="s">
        <v>11</v>
      </c>
      <c r="I173" s="8" t="s">
        <v>12</v>
      </c>
      <c r="J173" s="0" t="s">
        <v>13</v>
      </c>
    </row>
    <row r="174" customFormat="false" ht="15" hidden="false" customHeight="false" outlineLevel="0" collapsed="false">
      <c r="A174" s="6" t="n">
        <v>43689</v>
      </c>
      <c r="B174" s="7" t="n">
        <v>0.219444444444444</v>
      </c>
      <c r="C174" s="8" t="n">
        <v>112302</v>
      </c>
      <c r="D174" s="8" t="s">
        <v>14</v>
      </c>
      <c r="E174" s="8" t="n">
        <v>27800</v>
      </c>
      <c r="F174" s="8" t="n">
        <v>16100</v>
      </c>
      <c r="G174" s="9" t="n">
        <v>11700</v>
      </c>
      <c r="H174" s="8" t="s">
        <v>11</v>
      </c>
      <c r="I174" s="8" t="s">
        <v>12</v>
      </c>
      <c r="J174" s="0" t="s">
        <v>13</v>
      </c>
    </row>
    <row r="175" customFormat="false" ht="15" hidden="false" customHeight="false" outlineLevel="0" collapsed="false">
      <c r="A175" s="6" t="n">
        <v>43689</v>
      </c>
      <c r="B175" s="7" t="n">
        <v>0.229861111111111</v>
      </c>
      <c r="C175" s="8" t="n">
        <v>112303</v>
      </c>
      <c r="D175" s="8" t="s">
        <v>10</v>
      </c>
      <c r="E175" s="8" t="n">
        <v>14940</v>
      </c>
      <c r="F175" s="8" t="n">
        <v>12880</v>
      </c>
      <c r="G175" s="9" t="n">
        <v>2060</v>
      </c>
      <c r="H175" s="8" t="s">
        <v>11</v>
      </c>
      <c r="I175" s="8" t="s">
        <v>12</v>
      </c>
      <c r="J175" s="0" t="s">
        <v>13</v>
      </c>
    </row>
    <row r="176" customFormat="false" ht="15" hidden="false" customHeight="false" outlineLevel="0" collapsed="false">
      <c r="A176" s="6" t="n">
        <v>43689</v>
      </c>
      <c r="B176" s="7" t="n">
        <v>0.274305555555555</v>
      </c>
      <c r="C176" s="8" t="n">
        <v>112307</v>
      </c>
      <c r="D176" s="8" t="s">
        <v>19</v>
      </c>
      <c r="E176" s="8" t="n">
        <v>3700</v>
      </c>
      <c r="F176" s="8" t="n">
        <v>2860</v>
      </c>
      <c r="G176" s="9" t="n">
        <v>840</v>
      </c>
      <c r="H176" s="8" t="s">
        <v>11</v>
      </c>
      <c r="I176" s="8" t="s">
        <v>12</v>
      </c>
      <c r="J176" s="0" t="s">
        <v>13</v>
      </c>
    </row>
    <row r="177" customFormat="false" ht="15" hidden="false" customHeight="false" outlineLevel="0" collapsed="false">
      <c r="A177" s="6" t="n">
        <v>43689</v>
      </c>
      <c r="B177" s="7" t="n">
        <v>0.39375</v>
      </c>
      <c r="C177" s="8" t="n">
        <v>112323</v>
      </c>
      <c r="D177" s="8" t="s">
        <v>10</v>
      </c>
      <c r="E177" s="8" t="n">
        <v>17000</v>
      </c>
      <c r="F177" s="8" t="n">
        <v>12480</v>
      </c>
      <c r="G177" s="9" t="n">
        <v>4520</v>
      </c>
      <c r="H177" s="8" t="s">
        <v>11</v>
      </c>
      <c r="I177" s="8" t="s">
        <v>12</v>
      </c>
      <c r="J177" s="0" t="s">
        <v>13</v>
      </c>
    </row>
    <row r="178" customFormat="false" ht="15" hidden="false" customHeight="false" outlineLevel="0" collapsed="false">
      <c r="A178" s="6" t="n">
        <v>43689</v>
      </c>
      <c r="B178" s="7" t="n">
        <v>0.456944444444444</v>
      </c>
      <c r="C178" s="8" t="n">
        <v>112330</v>
      </c>
      <c r="D178" s="8" t="s">
        <v>16</v>
      </c>
      <c r="E178" s="8" t="n">
        <v>3540</v>
      </c>
      <c r="F178" s="8" t="n">
        <v>2920</v>
      </c>
      <c r="G178" s="9" t="n">
        <v>620</v>
      </c>
      <c r="H178" s="8" t="s">
        <v>11</v>
      </c>
      <c r="I178" s="8" t="s">
        <v>12</v>
      </c>
      <c r="J178" s="0" t="s">
        <v>13</v>
      </c>
    </row>
    <row r="179" customFormat="false" ht="15" hidden="false" customHeight="false" outlineLevel="0" collapsed="false">
      <c r="A179" s="6" t="n">
        <v>43689</v>
      </c>
      <c r="B179" s="7" t="n">
        <v>0.720833333333333</v>
      </c>
      <c r="C179" s="8" t="n">
        <v>112343</v>
      </c>
      <c r="D179" s="8" t="s">
        <v>10</v>
      </c>
      <c r="E179" s="8" t="n">
        <v>16680</v>
      </c>
      <c r="F179" s="8" t="n">
        <v>12840</v>
      </c>
      <c r="G179" s="9" t="n">
        <v>3840</v>
      </c>
      <c r="H179" s="8" t="s">
        <v>11</v>
      </c>
      <c r="I179" s="8" t="s">
        <v>12</v>
      </c>
      <c r="J179" s="0" t="s">
        <v>13</v>
      </c>
    </row>
    <row r="180" customFormat="false" ht="15" hidden="false" customHeight="false" outlineLevel="0" collapsed="false">
      <c r="A180" s="6" t="n">
        <v>43689</v>
      </c>
      <c r="B180" s="7" t="n">
        <v>0.344444444444444</v>
      </c>
      <c r="C180" s="8" t="n">
        <v>112314</v>
      </c>
      <c r="D180" s="8" t="s">
        <v>16</v>
      </c>
      <c r="E180" s="8" t="n">
        <v>3320</v>
      </c>
      <c r="F180" s="8" t="n">
        <v>2920</v>
      </c>
      <c r="G180" s="9" t="n">
        <v>400</v>
      </c>
      <c r="H180" s="8" t="s">
        <v>11</v>
      </c>
      <c r="I180" s="8" t="s">
        <v>18</v>
      </c>
      <c r="J180" s="0" t="s">
        <v>13</v>
      </c>
    </row>
    <row r="181" customFormat="false" ht="15" hidden="false" customHeight="false" outlineLevel="0" collapsed="false">
      <c r="A181" s="6" t="n">
        <v>43689</v>
      </c>
      <c r="B181" s="7" t="n">
        <v>0.921527777777778</v>
      </c>
      <c r="C181" s="8" t="n">
        <v>112347</v>
      </c>
      <c r="D181" s="8" t="s">
        <v>20</v>
      </c>
      <c r="E181" s="8" t="n">
        <v>27360</v>
      </c>
      <c r="F181" s="8" t="n">
        <v>15980</v>
      </c>
      <c r="G181" s="9" t="n">
        <v>11380</v>
      </c>
      <c r="H181" s="8" t="s">
        <v>11</v>
      </c>
      <c r="I181" s="8" t="s">
        <v>12</v>
      </c>
      <c r="J181" s="0" t="s">
        <v>13</v>
      </c>
    </row>
    <row r="182" customFormat="false" ht="15" hidden="false" customHeight="false" outlineLevel="0" collapsed="false">
      <c r="A182" s="6" t="n">
        <v>43689</v>
      </c>
      <c r="B182" s="7" t="n">
        <v>0.463194444444444</v>
      </c>
      <c r="C182" s="10" t="s">
        <v>23</v>
      </c>
      <c r="D182" s="8" t="s">
        <v>20</v>
      </c>
      <c r="E182" s="8" t="n">
        <v>18840</v>
      </c>
      <c r="F182" s="8" t="n">
        <v>15760</v>
      </c>
      <c r="G182" s="9" t="n">
        <v>3080</v>
      </c>
      <c r="H182" s="8" t="s">
        <v>11</v>
      </c>
      <c r="I182" s="8" t="s">
        <v>24</v>
      </c>
      <c r="J182" s="0" t="s">
        <v>13</v>
      </c>
    </row>
    <row r="183" customFormat="false" ht="15" hidden="false" customHeight="false" outlineLevel="0" collapsed="false">
      <c r="A183" s="6" t="n">
        <v>43689</v>
      </c>
      <c r="B183" s="7" t="n">
        <v>0.886111111111111</v>
      </c>
      <c r="C183" s="8"/>
      <c r="D183" s="8" t="s">
        <v>16</v>
      </c>
      <c r="E183" s="8" t="n">
        <v>3380</v>
      </c>
      <c r="F183" s="8" t="n">
        <v>3060</v>
      </c>
      <c r="G183" s="9" t="n">
        <v>320</v>
      </c>
      <c r="H183" s="8" t="s">
        <v>11</v>
      </c>
      <c r="I183" s="8" t="s">
        <v>12</v>
      </c>
      <c r="J183" s="0" t="s">
        <v>13</v>
      </c>
    </row>
    <row r="184" customFormat="false" ht="15" hidden="false" customHeight="false" outlineLevel="0" collapsed="false">
      <c r="A184" s="6" t="n">
        <v>43689</v>
      </c>
      <c r="B184" s="7" t="n">
        <v>0.439583333333333</v>
      </c>
      <c r="C184" s="8" t="n">
        <v>91252</v>
      </c>
      <c r="D184" s="8" t="s">
        <v>21</v>
      </c>
      <c r="E184" s="8" t="n">
        <v>17780</v>
      </c>
      <c r="F184" s="8" t="n">
        <v>15860</v>
      </c>
      <c r="G184" s="9" t="n">
        <v>1920</v>
      </c>
      <c r="H184" s="8" t="s">
        <v>11</v>
      </c>
      <c r="I184" s="8" t="s">
        <v>25</v>
      </c>
      <c r="J184" s="0" t="s">
        <v>13</v>
      </c>
    </row>
    <row r="185" customFormat="false" ht="15" hidden="false" customHeight="false" outlineLevel="0" collapsed="false">
      <c r="A185" s="6" t="n">
        <v>43690</v>
      </c>
      <c r="B185" s="7" t="n">
        <v>0.0611111111111111</v>
      </c>
      <c r="C185" s="8" t="n">
        <v>112348</v>
      </c>
      <c r="D185" s="8" t="s">
        <v>10</v>
      </c>
      <c r="E185" s="8" t="n">
        <v>22680</v>
      </c>
      <c r="F185" s="8" t="n">
        <v>12920</v>
      </c>
      <c r="G185" s="9" t="n">
        <v>9760</v>
      </c>
      <c r="H185" s="8" t="s">
        <v>11</v>
      </c>
      <c r="I185" s="8" t="s">
        <v>12</v>
      </c>
      <c r="J185" s="0" t="s">
        <v>13</v>
      </c>
    </row>
    <row r="186" customFormat="false" ht="15" hidden="false" customHeight="false" outlineLevel="0" collapsed="false">
      <c r="A186" s="6" t="n">
        <v>43690</v>
      </c>
      <c r="B186" s="7" t="n">
        <v>0.117361111111111</v>
      </c>
      <c r="C186" s="8" t="n">
        <v>112352</v>
      </c>
      <c r="D186" s="8" t="s">
        <v>20</v>
      </c>
      <c r="E186" s="8" t="n">
        <v>23400</v>
      </c>
      <c r="F186" s="8" t="n">
        <v>15980</v>
      </c>
      <c r="G186" s="9" t="n">
        <v>7420</v>
      </c>
      <c r="H186" s="8" t="s">
        <v>11</v>
      </c>
      <c r="I186" s="8" t="s">
        <v>12</v>
      </c>
      <c r="J186" s="0" t="s">
        <v>13</v>
      </c>
    </row>
    <row r="187" customFormat="false" ht="15" hidden="false" customHeight="false" outlineLevel="0" collapsed="false">
      <c r="A187" s="6" t="n">
        <v>43690</v>
      </c>
      <c r="B187" s="7" t="n">
        <v>0.157638888888889</v>
      </c>
      <c r="C187" s="8" t="n">
        <v>112357</v>
      </c>
      <c r="D187" s="8" t="s">
        <v>15</v>
      </c>
      <c r="E187" s="8" t="n">
        <v>4980</v>
      </c>
      <c r="F187" s="8" t="n">
        <v>3600</v>
      </c>
      <c r="G187" s="9" t="n">
        <v>1380</v>
      </c>
      <c r="H187" s="8" t="s">
        <v>11</v>
      </c>
      <c r="I187" s="8" t="s">
        <v>12</v>
      </c>
      <c r="J187" s="0" t="s">
        <v>13</v>
      </c>
    </row>
    <row r="188" customFormat="false" ht="15" hidden="false" customHeight="false" outlineLevel="0" collapsed="false">
      <c r="A188" s="6" t="n">
        <v>43690</v>
      </c>
      <c r="B188" s="7" t="n">
        <v>0.195138888888889</v>
      </c>
      <c r="C188" s="8" t="n">
        <v>112360</v>
      </c>
      <c r="D188" s="8" t="s">
        <v>14</v>
      </c>
      <c r="E188" s="8" t="n">
        <v>28560</v>
      </c>
      <c r="F188" s="8" t="n">
        <v>15900</v>
      </c>
      <c r="G188" s="9" t="n">
        <v>12660</v>
      </c>
      <c r="H188" s="8" t="s">
        <v>11</v>
      </c>
      <c r="I188" s="8" t="s">
        <v>12</v>
      </c>
      <c r="J188" s="0" t="s">
        <v>13</v>
      </c>
    </row>
    <row r="189" customFormat="false" ht="15" hidden="false" customHeight="false" outlineLevel="0" collapsed="false">
      <c r="A189" s="6" t="n">
        <v>43690</v>
      </c>
      <c r="B189" s="7" t="n">
        <v>0.2</v>
      </c>
      <c r="C189" s="8" t="n">
        <v>112361</v>
      </c>
      <c r="D189" s="8" t="s">
        <v>10</v>
      </c>
      <c r="E189" s="8" t="n">
        <v>22220</v>
      </c>
      <c r="F189" s="8" t="n">
        <v>12840</v>
      </c>
      <c r="G189" s="9" t="n">
        <v>9380</v>
      </c>
      <c r="H189" s="8" t="s">
        <v>11</v>
      </c>
      <c r="I189" s="8" t="s">
        <v>12</v>
      </c>
      <c r="J189" s="0" t="s">
        <v>13</v>
      </c>
    </row>
    <row r="190" customFormat="false" ht="15" hidden="false" customHeight="false" outlineLevel="0" collapsed="false">
      <c r="A190" s="6" t="n">
        <v>43690</v>
      </c>
      <c r="B190" s="7" t="n">
        <v>0.467361111111111</v>
      </c>
      <c r="C190" s="8" t="n">
        <v>91292</v>
      </c>
      <c r="D190" s="8" t="s">
        <v>14</v>
      </c>
      <c r="E190" s="8" t="n">
        <v>17640</v>
      </c>
      <c r="F190" s="8" t="n">
        <v>15720</v>
      </c>
      <c r="G190" s="9" t="n">
        <v>1920</v>
      </c>
      <c r="H190" s="8" t="s">
        <v>11</v>
      </c>
      <c r="I190" s="8" t="s">
        <v>25</v>
      </c>
      <c r="J190" s="0" t="s">
        <v>13</v>
      </c>
    </row>
    <row r="191" customFormat="false" ht="15" hidden="false" customHeight="false" outlineLevel="0" collapsed="false">
      <c r="A191" s="6" t="n">
        <v>43690</v>
      </c>
      <c r="B191" s="7" t="n">
        <v>0.240972222222222</v>
      </c>
      <c r="C191" s="8" t="n">
        <v>112365</v>
      </c>
      <c r="D191" s="8" t="s">
        <v>15</v>
      </c>
      <c r="E191" s="8" t="n">
        <v>4720</v>
      </c>
      <c r="F191" s="8" t="n">
        <v>3600</v>
      </c>
      <c r="G191" s="9" t="n">
        <v>1120</v>
      </c>
      <c r="H191" s="8" t="s">
        <v>11</v>
      </c>
      <c r="I191" s="8" t="s">
        <v>12</v>
      </c>
      <c r="J191" s="0" t="s">
        <v>13</v>
      </c>
    </row>
    <row r="192" customFormat="false" ht="15" hidden="false" customHeight="false" outlineLevel="0" collapsed="false">
      <c r="A192" s="6" t="n">
        <v>43690</v>
      </c>
      <c r="B192" s="7" t="n">
        <v>0.261111111111111</v>
      </c>
      <c r="C192" s="8" t="n">
        <v>112366</v>
      </c>
      <c r="D192" s="8" t="s">
        <v>21</v>
      </c>
      <c r="E192" s="8" t="n">
        <v>19020</v>
      </c>
      <c r="F192" s="8" t="n">
        <v>15840</v>
      </c>
      <c r="G192" s="9" t="n">
        <v>3180</v>
      </c>
      <c r="H192" s="8" t="s">
        <v>11</v>
      </c>
      <c r="I192" s="8" t="s">
        <v>12</v>
      </c>
      <c r="J192" s="0" t="s">
        <v>13</v>
      </c>
    </row>
    <row r="193" customFormat="false" ht="15" hidden="false" customHeight="false" outlineLevel="0" collapsed="false">
      <c r="A193" s="6" t="n">
        <v>43690</v>
      </c>
      <c r="B193" s="7" t="n">
        <v>0.317361111111111</v>
      </c>
      <c r="C193" s="8" t="n">
        <v>112377</v>
      </c>
      <c r="D193" s="8" t="s">
        <v>16</v>
      </c>
      <c r="E193" s="8" t="n">
        <v>3100</v>
      </c>
      <c r="F193" s="8" t="n">
        <v>2760</v>
      </c>
      <c r="G193" s="9" t="n">
        <v>340</v>
      </c>
      <c r="H193" s="8" t="s">
        <v>11</v>
      </c>
      <c r="I193" s="8" t="s">
        <v>18</v>
      </c>
      <c r="J193" s="0" t="s">
        <v>13</v>
      </c>
    </row>
    <row r="194" customFormat="false" ht="15" hidden="false" customHeight="false" outlineLevel="0" collapsed="false">
      <c r="A194" s="6" t="n">
        <v>43690</v>
      </c>
      <c r="B194" s="7" t="n">
        <v>0.284027777777778</v>
      </c>
      <c r="C194" s="8" t="n">
        <v>112369</v>
      </c>
      <c r="D194" s="8" t="s">
        <v>10</v>
      </c>
      <c r="E194" s="8" t="n">
        <v>17660</v>
      </c>
      <c r="F194" s="8" t="n">
        <v>12980</v>
      </c>
      <c r="G194" s="9" t="n">
        <v>4680</v>
      </c>
      <c r="H194" s="8" t="s">
        <v>11</v>
      </c>
      <c r="I194" s="8" t="s">
        <v>12</v>
      </c>
      <c r="J194" s="0" t="s">
        <v>13</v>
      </c>
    </row>
    <row r="195" customFormat="false" ht="15" hidden="false" customHeight="false" outlineLevel="0" collapsed="false">
      <c r="A195" s="6" t="n">
        <v>43690</v>
      </c>
      <c r="B195" s="7" t="n">
        <v>0.4375</v>
      </c>
      <c r="C195" s="8" t="n">
        <v>112388</v>
      </c>
      <c r="D195" s="8" t="s">
        <v>16</v>
      </c>
      <c r="E195" s="8" t="n">
        <v>3320</v>
      </c>
      <c r="F195" s="8" t="n">
        <v>2740</v>
      </c>
      <c r="G195" s="9" t="n">
        <v>580</v>
      </c>
      <c r="H195" s="8" t="s">
        <v>11</v>
      </c>
      <c r="I195" s="8" t="s">
        <v>12</v>
      </c>
      <c r="J195" s="0" t="s">
        <v>13</v>
      </c>
    </row>
    <row r="196" customFormat="false" ht="15" hidden="false" customHeight="false" outlineLevel="0" collapsed="false">
      <c r="A196" s="6" t="n">
        <v>43690</v>
      </c>
      <c r="B196" s="7" t="n">
        <v>0.697222222222222</v>
      </c>
      <c r="C196" s="8" t="n">
        <v>112412</v>
      </c>
      <c r="D196" s="8" t="s">
        <v>10</v>
      </c>
      <c r="E196" s="8" t="n">
        <v>16360</v>
      </c>
      <c r="F196" s="8" t="n">
        <v>12800</v>
      </c>
      <c r="G196" s="9" t="n">
        <v>3560</v>
      </c>
      <c r="H196" s="8" t="s">
        <v>11</v>
      </c>
      <c r="I196" s="8" t="s">
        <v>12</v>
      </c>
      <c r="J196" s="0" t="s">
        <v>13</v>
      </c>
    </row>
    <row r="197" customFormat="false" ht="15" hidden="false" customHeight="false" outlineLevel="0" collapsed="false">
      <c r="A197" s="6" t="n">
        <v>43690</v>
      </c>
      <c r="B197" s="7" t="n">
        <v>0.743055555555555</v>
      </c>
      <c r="C197" s="8" t="n">
        <v>112416</v>
      </c>
      <c r="D197" s="8" t="s">
        <v>19</v>
      </c>
      <c r="E197" s="8" t="n">
        <v>3040</v>
      </c>
      <c r="F197" s="8" t="n">
        <v>2780</v>
      </c>
      <c r="G197" s="9" t="n">
        <v>260</v>
      </c>
      <c r="H197" s="8" t="s">
        <v>11</v>
      </c>
      <c r="I197" s="8" t="s">
        <v>12</v>
      </c>
      <c r="J197" s="0" t="s">
        <v>13</v>
      </c>
    </row>
    <row r="198" customFormat="false" ht="15" hidden="false" customHeight="false" outlineLevel="0" collapsed="false">
      <c r="A198" s="6" t="n">
        <v>43690</v>
      </c>
      <c r="B198" s="7" t="n">
        <v>0.901388888888889</v>
      </c>
      <c r="C198" s="8" t="n">
        <v>112421</v>
      </c>
      <c r="D198" s="8" t="s">
        <v>14</v>
      </c>
      <c r="E198" s="8" t="n">
        <v>25860</v>
      </c>
      <c r="F198" s="8" t="n">
        <v>15900</v>
      </c>
      <c r="G198" s="9" t="n">
        <v>9960</v>
      </c>
      <c r="H198" s="8" t="s">
        <v>11</v>
      </c>
      <c r="I198" s="8" t="s">
        <v>12</v>
      </c>
      <c r="J198" s="0" t="s">
        <v>13</v>
      </c>
    </row>
    <row r="199" customFormat="false" ht="15" hidden="false" customHeight="false" outlineLevel="0" collapsed="false">
      <c r="A199" s="6" t="n">
        <v>43690</v>
      </c>
      <c r="B199" s="7" t="n">
        <v>0.920138888888889</v>
      </c>
      <c r="C199" s="8" t="n">
        <v>112422</v>
      </c>
      <c r="D199" s="8" t="s">
        <v>16</v>
      </c>
      <c r="E199" s="8" t="n">
        <v>3180</v>
      </c>
      <c r="F199" s="8" t="n">
        <v>2840</v>
      </c>
      <c r="G199" s="9" t="n">
        <v>340</v>
      </c>
      <c r="H199" s="8" t="s">
        <v>11</v>
      </c>
      <c r="I199" s="8" t="s">
        <v>12</v>
      </c>
      <c r="J199" s="0" t="s">
        <v>13</v>
      </c>
    </row>
    <row r="200" customFormat="false" ht="15" hidden="false" customHeight="false" outlineLevel="0" collapsed="false">
      <c r="A200" s="6" t="n">
        <v>43691</v>
      </c>
      <c r="B200" s="7" t="n">
        <v>0.0423611111111111</v>
      </c>
      <c r="C200" s="8" t="n">
        <v>112425</v>
      </c>
      <c r="D200" s="8" t="s">
        <v>10</v>
      </c>
      <c r="E200" s="8" t="n">
        <v>21880</v>
      </c>
      <c r="F200" s="8" t="n">
        <v>12760</v>
      </c>
      <c r="G200" s="9" t="n">
        <v>9120</v>
      </c>
      <c r="H200" s="8" t="s">
        <v>11</v>
      </c>
      <c r="I200" s="8" t="s">
        <v>12</v>
      </c>
      <c r="J200" s="0" t="s">
        <v>13</v>
      </c>
    </row>
    <row r="201" customFormat="false" ht="15" hidden="false" customHeight="false" outlineLevel="0" collapsed="false">
      <c r="A201" s="6" t="n">
        <v>43691</v>
      </c>
      <c r="B201" s="7" t="n">
        <v>0.140972222222222</v>
      </c>
      <c r="C201" s="8" t="n">
        <v>112430</v>
      </c>
      <c r="D201" s="8" t="s">
        <v>16</v>
      </c>
      <c r="E201" s="8" t="n">
        <v>3100</v>
      </c>
      <c r="F201" s="8" t="n">
        <v>2740</v>
      </c>
      <c r="G201" s="9" t="n">
        <v>360</v>
      </c>
      <c r="H201" s="8" t="s">
        <v>11</v>
      </c>
      <c r="I201" s="8" t="s">
        <v>12</v>
      </c>
      <c r="J201" s="0" t="s">
        <v>13</v>
      </c>
    </row>
    <row r="202" customFormat="false" ht="15" hidden="false" customHeight="false" outlineLevel="0" collapsed="false">
      <c r="A202" s="6" t="n">
        <v>43691</v>
      </c>
      <c r="B202" s="7" t="n">
        <v>0.151388888888889</v>
      </c>
      <c r="C202" s="8" t="n">
        <v>112432</v>
      </c>
      <c r="D202" s="8" t="s">
        <v>14</v>
      </c>
      <c r="E202" s="8" t="n">
        <v>27360</v>
      </c>
      <c r="F202" s="8" t="n">
        <v>15920</v>
      </c>
      <c r="G202" s="9" t="n">
        <v>11440</v>
      </c>
      <c r="H202" s="8" t="s">
        <v>11</v>
      </c>
      <c r="I202" s="8" t="s">
        <v>12</v>
      </c>
      <c r="J202" s="0" t="s">
        <v>13</v>
      </c>
    </row>
    <row r="203" customFormat="false" ht="15" hidden="false" customHeight="false" outlineLevel="0" collapsed="false">
      <c r="A203" s="6" t="n">
        <v>43691</v>
      </c>
      <c r="B203" s="7" t="n">
        <v>0.154166666666667</v>
      </c>
      <c r="C203" s="8" t="n">
        <v>112433</v>
      </c>
      <c r="D203" s="8" t="s">
        <v>10</v>
      </c>
      <c r="E203" s="8" t="n">
        <v>22120</v>
      </c>
      <c r="F203" s="8" t="n">
        <v>12680</v>
      </c>
      <c r="G203" s="9" t="n">
        <v>9440</v>
      </c>
      <c r="H203" s="8" t="s">
        <v>11</v>
      </c>
      <c r="I203" s="8" t="s">
        <v>12</v>
      </c>
      <c r="J203" s="0" t="s">
        <v>13</v>
      </c>
    </row>
    <row r="204" customFormat="false" ht="15" hidden="false" customHeight="false" outlineLevel="0" collapsed="false">
      <c r="A204" s="6" t="n">
        <v>43691</v>
      </c>
      <c r="B204" s="7" t="n">
        <v>0.15625</v>
      </c>
      <c r="C204" s="8" t="n">
        <v>112434</v>
      </c>
      <c r="D204" s="8" t="s">
        <v>15</v>
      </c>
      <c r="E204" s="8" t="n">
        <v>4920</v>
      </c>
      <c r="F204" s="8" t="n">
        <v>3600</v>
      </c>
      <c r="G204" s="9" t="n">
        <v>1320</v>
      </c>
      <c r="H204" s="8" t="s">
        <v>11</v>
      </c>
      <c r="I204" s="8" t="s">
        <v>12</v>
      </c>
      <c r="J204" s="0" t="s">
        <v>13</v>
      </c>
    </row>
    <row r="205" customFormat="false" ht="15" hidden="false" customHeight="false" outlineLevel="0" collapsed="false">
      <c r="A205" s="6" t="n">
        <v>43691</v>
      </c>
      <c r="B205" s="7" t="n">
        <v>0.247916666666667</v>
      </c>
      <c r="C205" s="8" t="n">
        <v>112440</v>
      </c>
      <c r="D205" s="8" t="s">
        <v>10</v>
      </c>
      <c r="E205" s="8" t="n">
        <v>21000</v>
      </c>
      <c r="F205" s="8" t="n">
        <v>12720</v>
      </c>
      <c r="G205" s="9" t="n">
        <v>8280</v>
      </c>
      <c r="H205" s="8" t="s">
        <v>11</v>
      </c>
      <c r="I205" s="8" t="s">
        <v>12</v>
      </c>
      <c r="J205" s="0" t="s">
        <v>13</v>
      </c>
    </row>
    <row r="206" customFormat="false" ht="15" hidden="false" customHeight="false" outlineLevel="0" collapsed="false">
      <c r="A206" s="6" t="n">
        <v>43691</v>
      </c>
      <c r="B206" s="7" t="n">
        <v>0.253472222222222</v>
      </c>
      <c r="C206" s="8" t="n">
        <v>112442</v>
      </c>
      <c r="D206" s="8" t="s">
        <v>15</v>
      </c>
      <c r="E206" s="8" t="n">
        <v>4920</v>
      </c>
      <c r="F206" s="8" t="n">
        <v>3480</v>
      </c>
      <c r="G206" s="9" t="n">
        <v>1440</v>
      </c>
      <c r="H206" s="8" t="s">
        <v>11</v>
      </c>
      <c r="I206" s="8" t="s">
        <v>12</v>
      </c>
      <c r="J206" s="0" t="s">
        <v>13</v>
      </c>
    </row>
    <row r="207" customFormat="false" ht="15" hidden="false" customHeight="false" outlineLevel="0" collapsed="false">
      <c r="A207" s="6" t="n">
        <v>43691</v>
      </c>
      <c r="B207" s="7" t="n">
        <v>0.271527777777778</v>
      </c>
      <c r="C207" s="8" t="n">
        <v>112444</v>
      </c>
      <c r="D207" s="8" t="s">
        <v>14</v>
      </c>
      <c r="E207" s="8" t="n">
        <v>24600</v>
      </c>
      <c r="F207" s="8" t="n">
        <v>15900</v>
      </c>
      <c r="G207" s="9" t="n">
        <v>8700</v>
      </c>
      <c r="H207" s="8" t="s">
        <v>11</v>
      </c>
      <c r="I207" s="8" t="s">
        <v>12</v>
      </c>
      <c r="J207" s="0" t="s">
        <v>13</v>
      </c>
    </row>
    <row r="208" customFormat="false" ht="15" hidden="false" customHeight="false" outlineLevel="0" collapsed="false">
      <c r="A208" s="6" t="n">
        <v>43691</v>
      </c>
      <c r="B208" s="7" t="n">
        <v>0.374305555555555</v>
      </c>
      <c r="C208" s="8" t="n">
        <v>112459</v>
      </c>
      <c r="D208" s="8" t="s">
        <v>17</v>
      </c>
      <c r="E208" s="8" t="n">
        <v>6220</v>
      </c>
      <c r="F208" s="8" t="n">
        <v>5660</v>
      </c>
      <c r="G208" s="9" t="n">
        <v>560</v>
      </c>
      <c r="H208" s="8" t="s">
        <v>11</v>
      </c>
      <c r="I208" s="8" t="s">
        <v>18</v>
      </c>
      <c r="J208" s="0" t="s">
        <v>13</v>
      </c>
    </row>
    <row r="209" customFormat="false" ht="15" hidden="false" customHeight="false" outlineLevel="0" collapsed="false">
      <c r="A209" s="6" t="n">
        <v>43691</v>
      </c>
      <c r="B209" s="7" t="n">
        <v>0.349305555555556</v>
      </c>
      <c r="C209" s="8" t="n">
        <v>112454</v>
      </c>
      <c r="D209" s="8" t="s">
        <v>16</v>
      </c>
      <c r="E209" s="8" t="n">
        <v>3160</v>
      </c>
      <c r="F209" s="8" t="n">
        <v>2900</v>
      </c>
      <c r="G209" s="9" t="n">
        <v>260</v>
      </c>
      <c r="H209" s="8" t="s">
        <v>11</v>
      </c>
      <c r="I209" s="8" t="s">
        <v>12</v>
      </c>
      <c r="J209" s="0" t="s">
        <v>13</v>
      </c>
    </row>
    <row r="210" customFormat="false" ht="15" hidden="false" customHeight="false" outlineLevel="0" collapsed="false">
      <c r="A210" s="6" t="n">
        <v>43691</v>
      </c>
      <c r="B210" s="7" t="n">
        <v>0.446527777777778</v>
      </c>
      <c r="C210" s="8" t="n">
        <v>112468</v>
      </c>
      <c r="D210" s="8" t="s">
        <v>16</v>
      </c>
      <c r="E210" s="8" t="n">
        <v>2920</v>
      </c>
      <c r="F210" s="8" t="n">
        <v>2800</v>
      </c>
      <c r="G210" s="9" t="n">
        <v>120</v>
      </c>
      <c r="H210" s="8" t="s">
        <v>11</v>
      </c>
      <c r="I210" s="8" t="s">
        <v>12</v>
      </c>
      <c r="J210" s="0" t="s">
        <v>13</v>
      </c>
    </row>
    <row r="211" customFormat="false" ht="15" hidden="false" customHeight="false" outlineLevel="0" collapsed="false">
      <c r="A211" s="6" t="n">
        <v>43691</v>
      </c>
      <c r="B211" s="7" t="n">
        <v>0.685416666666667</v>
      </c>
      <c r="C211" s="8" t="n">
        <v>112495</v>
      </c>
      <c r="D211" s="8" t="s">
        <v>10</v>
      </c>
      <c r="E211" s="8" t="n">
        <v>15800</v>
      </c>
      <c r="F211" s="8" t="n">
        <v>12680</v>
      </c>
      <c r="G211" s="9" t="n">
        <v>3120</v>
      </c>
      <c r="H211" s="8" t="s">
        <v>11</v>
      </c>
      <c r="I211" s="8" t="s">
        <v>12</v>
      </c>
      <c r="J211" s="0" t="s">
        <v>13</v>
      </c>
    </row>
    <row r="212" customFormat="false" ht="15" hidden="false" customHeight="false" outlineLevel="0" collapsed="false">
      <c r="A212" s="6" t="n">
        <v>43691</v>
      </c>
      <c r="B212" s="7" t="n">
        <v>0.735416666666667</v>
      </c>
      <c r="C212" s="8" t="n">
        <v>112498</v>
      </c>
      <c r="D212" s="8" t="s">
        <v>19</v>
      </c>
      <c r="E212" s="8" t="n">
        <v>2960</v>
      </c>
      <c r="F212" s="8" t="n">
        <v>2740</v>
      </c>
      <c r="G212" s="9" t="n">
        <v>220</v>
      </c>
      <c r="H212" s="8" t="s">
        <v>11</v>
      </c>
      <c r="I212" s="8" t="s">
        <v>12</v>
      </c>
      <c r="J212" s="0" t="s">
        <v>13</v>
      </c>
    </row>
    <row r="213" customFormat="false" ht="15" hidden="false" customHeight="false" outlineLevel="0" collapsed="false">
      <c r="A213" s="6" t="n">
        <v>43691</v>
      </c>
      <c r="B213" s="7" t="n">
        <v>0.498611111111111</v>
      </c>
      <c r="C213" s="8" t="n">
        <v>112478</v>
      </c>
      <c r="D213" s="8" t="s">
        <v>17</v>
      </c>
      <c r="E213" s="8" t="n">
        <v>6460</v>
      </c>
      <c r="F213" s="8" t="n">
        <v>5560</v>
      </c>
      <c r="G213" s="9" t="n">
        <v>900</v>
      </c>
      <c r="H213" s="8" t="s">
        <v>11</v>
      </c>
      <c r="I213" s="8" t="s">
        <v>18</v>
      </c>
      <c r="J213" s="0" t="s">
        <v>13</v>
      </c>
    </row>
    <row r="214" customFormat="false" ht="15" hidden="false" customHeight="false" outlineLevel="0" collapsed="false">
      <c r="A214" s="6" t="n">
        <v>43691</v>
      </c>
      <c r="B214" s="7" t="n">
        <v>0.894444444444444</v>
      </c>
      <c r="C214" s="8" t="n">
        <v>112504</v>
      </c>
      <c r="D214" s="8" t="s">
        <v>14</v>
      </c>
      <c r="E214" s="8" t="n">
        <v>27520</v>
      </c>
      <c r="F214" s="8" t="n">
        <v>15860</v>
      </c>
      <c r="G214" s="9" t="n">
        <v>11660</v>
      </c>
      <c r="H214" s="8" t="s">
        <v>11</v>
      </c>
      <c r="I214" s="8" t="s">
        <v>12</v>
      </c>
      <c r="J214" s="0" t="s">
        <v>13</v>
      </c>
    </row>
    <row r="215" customFormat="false" ht="15" hidden="false" customHeight="false" outlineLevel="0" collapsed="false">
      <c r="A215" s="6" t="n">
        <v>43691</v>
      </c>
      <c r="B215" s="7" t="n">
        <v>0.91875</v>
      </c>
      <c r="C215" s="8" t="n">
        <v>112505</v>
      </c>
      <c r="D215" s="8" t="s">
        <v>16</v>
      </c>
      <c r="E215" s="8" t="n">
        <v>3300</v>
      </c>
      <c r="F215" s="8" t="n">
        <v>2900</v>
      </c>
      <c r="G215" s="9" t="n">
        <v>400</v>
      </c>
      <c r="H215" s="8" t="s">
        <v>11</v>
      </c>
      <c r="I215" s="8" t="s">
        <v>12</v>
      </c>
      <c r="J215" s="0" t="s">
        <v>13</v>
      </c>
    </row>
    <row r="216" customFormat="false" ht="15" hidden="false" customHeight="false" outlineLevel="0" collapsed="false">
      <c r="A216" s="6" t="n">
        <v>43692</v>
      </c>
      <c r="B216" s="7" t="n">
        <v>0.0458333333333333</v>
      </c>
      <c r="C216" s="8" t="n">
        <v>112506</v>
      </c>
      <c r="D216" s="8" t="s">
        <v>10</v>
      </c>
      <c r="E216" s="8" t="n">
        <v>22180</v>
      </c>
      <c r="F216" s="8" t="n">
        <v>13100</v>
      </c>
      <c r="G216" s="9" t="n">
        <v>9080</v>
      </c>
      <c r="H216" s="8" t="s">
        <v>11</v>
      </c>
      <c r="I216" s="8" t="s">
        <v>12</v>
      </c>
      <c r="J216" s="0" t="s">
        <v>13</v>
      </c>
    </row>
    <row r="217" customFormat="false" ht="15" hidden="false" customHeight="false" outlineLevel="0" collapsed="false">
      <c r="A217" s="6" t="n">
        <v>43692</v>
      </c>
      <c r="B217" s="7" t="n">
        <v>0.0791666666666667</v>
      </c>
      <c r="C217" s="8" t="n">
        <v>112507</v>
      </c>
      <c r="D217" s="8" t="s">
        <v>15</v>
      </c>
      <c r="E217" s="8" t="n">
        <v>3800</v>
      </c>
      <c r="F217" s="8" t="n">
        <v>3580</v>
      </c>
      <c r="G217" s="9" t="n">
        <v>220</v>
      </c>
      <c r="H217" s="8" t="s">
        <v>11</v>
      </c>
      <c r="I217" s="8" t="s">
        <v>12</v>
      </c>
      <c r="J217" s="0" t="s">
        <v>13</v>
      </c>
    </row>
    <row r="218" customFormat="false" ht="15" hidden="false" customHeight="false" outlineLevel="0" collapsed="false">
      <c r="A218" s="6" t="n">
        <v>43692</v>
      </c>
      <c r="B218" s="7" t="n">
        <v>0.153472222222222</v>
      </c>
      <c r="C218" s="8" t="n">
        <v>112516</v>
      </c>
      <c r="D218" s="8" t="s">
        <v>14</v>
      </c>
      <c r="E218" s="8" t="n">
        <v>27440</v>
      </c>
      <c r="F218" s="8" t="n">
        <v>16080</v>
      </c>
      <c r="G218" s="9" t="n">
        <v>11360</v>
      </c>
      <c r="H218" s="8" t="s">
        <v>11</v>
      </c>
      <c r="I218" s="8" t="s">
        <v>12</v>
      </c>
      <c r="J218" s="0" t="s">
        <v>13</v>
      </c>
    </row>
    <row r="219" customFormat="false" ht="15" hidden="false" customHeight="false" outlineLevel="0" collapsed="false">
      <c r="A219" s="6" t="n">
        <v>43692</v>
      </c>
      <c r="B219" s="7" t="n">
        <v>0.172916666666667</v>
      </c>
      <c r="C219" s="8" t="n">
        <v>112517</v>
      </c>
      <c r="D219" s="8" t="s">
        <v>10</v>
      </c>
      <c r="E219" s="8" t="n">
        <v>22860</v>
      </c>
      <c r="F219" s="8" t="n">
        <v>12920</v>
      </c>
      <c r="G219" s="9" t="n">
        <v>9940</v>
      </c>
      <c r="H219" s="8" t="s">
        <v>11</v>
      </c>
      <c r="I219" s="8" t="s">
        <v>12</v>
      </c>
      <c r="J219" s="0" t="s">
        <v>13</v>
      </c>
    </row>
    <row r="220" customFormat="false" ht="15" hidden="false" customHeight="false" outlineLevel="0" collapsed="false">
      <c r="A220" s="6" t="n">
        <v>43692</v>
      </c>
      <c r="B220" s="7" t="n">
        <v>0.188194444444444</v>
      </c>
      <c r="C220" s="8" t="n">
        <v>112519</v>
      </c>
      <c r="D220" s="8" t="s">
        <v>15</v>
      </c>
      <c r="E220" s="8" t="n">
        <v>5060</v>
      </c>
      <c r="F220" s="8" t="n">
        <v>3580</v>
      </c>
      <c r="G220" s="9" t="n">
        <v>1480</v>
      </c>
      <c r="H220" s="8" t="s">
        <v>11</v>
      </c>
      <c r="I220" s="8" t="s">
        <v>12</v>
      </c>
      <c r="J220" s="0" t="s">
        <v>13</v>
      </c>
    </row>
    <row r="221" customFormat="false" ht="15" hidden="false" customHeight="false" outlineLevel="0" collapsed="false">
      <c r="A221" s="6" t="n">
        <v>43692</v>
      </c>
      <c r="B221" s="7" t="n">
        <v>0.259027777777778</v>
      </c>
      <c r="C221" s="8" t="n">
        <v>112524</v>
      </c>
      <c r="D221" s="8" t="s">
        <v>14</v>
      </c>
      <c r="E221" s="8" t="n">
        <v>23580</v>
      </c>
      <c r="F221" s="8" t="n">
        <v>16040</v>
      </c>
      <c r="G221" s="9" t="n">
        <v>7540</v>
      </c>
      <c r="H221" s="8" t="s">
        <v>11</v>
      </c>
      <c r="I221" s="8" t="s">
        <v>12</v>
      </c>
      <c r="J221" s="0" t="s">
        <v>13</v>
      </c>
    </row>
    <row r="222" customFormat="false" ht="15" hidden="false" customHeight="false" outlineLevel="0" collapsed="false">
      <c r="A222" s="6" t="n">
        <v>43692</v>
      </c>
      <c r="B222" s="7" t="n">
        <v>0.261805555555556</v>
      </c>
      <c r="C222" s="8" t="n">
        <v>112525</v>
      </c>
      <c r="D222" s="8" t="s">
        <v>10</v>
      </c>
      <c r="E222" s="8" t="n">
        <v>18060</v>
      </c>
      <c r="F222" s="8" t="n">
        <v>13100</v>
      </c>
      <c r="G222" s="9" t="n">
        <v>4960</v>
      </c>
      <c r="H222" s="8" t="s">
        <v>11</v>
      </c>
      <c r="I222" s="8" t="s">
        <v>12</v>
      </c>
      <c r="J222" s="0" t="s">
        <v>13</v>
      </c>
    </row>
    <row r="223" customFormat="false" ht="15" hidden="false" customHeight="false" outlineLevel="0" collapsed="false">
      <c r="A223" s="6" t="n">
        <v>43692</v>
      </c>
      <c r="B223" s="7" t="n">
        <v>0.265972222222222</v>
      </c>
      <c r="C223" s="8" t="n">
        <v>112527</v>
      </c>
      <c r="D223" s="8" t="s">
        <v>15</v>
      </c>
      <c r="E223" s="8" t="n">
        <v>4620</v>
      </c>
      <c r="F223" s="8" t="n">
        <v>3580</v>
      </c>
      <c r="G223" s="9" t="n">
        <v>1040</v>
      </c>
      <c r="H223" s="8" t="s">
        <v>11</v>
      </c>
      <c r="I223" s="8" t="s">
        <v>12</v>
      </c>
      <c r="J223" s="0" t="s">
        <v>13</v>
      </c>
    </row>
    <row r="224" customFormat="false" ht="15" hidden="false" customHeight="false" outlineLevel="0" collapsed="false">
      <c r="A224" s="6" t="n">
        <v>43692</v>
      </c>
      <c r="B224" s="7" t="n">
        <v>0.272222222222222</v>
      </c>
      <c r="C224" s="8" t="n">
        <v>112528</v>
      </c>
      <c r="D224" s="8" t="s">
        <v>16</v>
      </c>
      <c r="E224" s="8" t="n">
        <v>3200</v>
      </c>
      <c r="F224" s="8" t="n">
        <v>2780</v>
      </c>
      <c r="G224" s="9" t="n">
        <v>420</v>
      </c>
      <c r="H224" s="8" t="s">
        <v>11</v>
      </c>
      <c r="I224" s="8" t="s">
        <v>12</v>
      </c>
      <c r="J224" s="0" t="s">
        <v>13</v>
      </c>
    </row>
    <row r="225" customFormat="false" ht="15" hidden="false" customHeight="false" outlineLevel="0" collapsed="false">
      <c r="A225" s="6" t="n">
        <v>43692</v>
      </c>
      <c r="B225" s="7" t="n">
        <v>0.368055555555556</v>
      </c>
      <c r="C225" s="8" t="n">
        <v>112542</v>
      </c>
      <c r="D225" s="8" t="s">
        <v>16</v>
      </c>
      <c r="E225" s="8" t="n">
        <v>3140</v>
      </c>
      <c r="F225" s="8" t="n">
        <v>2780</v>
      </c>
      <c r="G225" s="9" t="n">
        <v>360</v>
      </c>
      <c r="H225" s="8" t="s">
        <v>11</v>
      </c>
      <c r="I225" s="8" t="s">
        <v>12</v>
      </c>
      <c r="J225" s="0" t="s">
        <v>13</v>
      </c>
    </row>
    <row r="226" customFormat="false" ht="15" hidden="false" customHeight="false" outlineLevel="0" collapsed="false">
      <c r="A226" s="6" t="n">
        <v>43692</v>
      </c>
      <c r="B226" s="7" t="n">
        <v>0.4625</v>
      </c>
      <c r="C226" s="8" t="n">
        <v>112552</v>
      </c>
      <c r="D226" s="8" t="s">
        <v>20</v>
      </c>
      <c r="E226" s="8" t="n">
        <v>17640</v>
      </c>
      <c r="F226" s="8" t="n">
        <v>15760</v>
      </c>
      <c r="G226" s="9" t="n">
        <v>1880</v>
      </c>
      <c r="H226" s="8" t="s">
        <v>11</v>
      </c>
      <c r="I226" s="8" t="s">
        <v>12</v>
      </c>
      <c r="J226" s="0" t="s">
        <v>13</v>
      </c>
    </row>
    <row r="227" customFormat="false" ht="15" hidden="false" customHeight="false" outlineLevel="0" collapsed="false">
      <c r="A227" s="6" t="n">
        <v>43692</v>
      </c>
      <c r="B227" s="7" t="n">
        <v>0.694444444444444</v>
      </c>
      <c r="C227" s="8" t="n">
        <v>112567</v>
      </c>
      <c r="D227" s="8" t="s">
        <v>10</v>
      </c>
      <c r="E227" s="8" t="n">
        <v>15940</v>
      </c>
      <c r="F227" s="8" t="n">
        <v>12840</v>
      </c>
      <c r="G227" s="9" t="n">
        <v>3100</v>
      </c>
      <c r="H227" s="8" t="s">
        <v>11</v>
      </c>
      <c r="I227" s="8" t="s">
        <v>12</v>
      </c>
      <c r="J227" s="0" t="s">
        <v>13</v>
      </c>
    </row>
    <row r="228" customFormat="false" ht="15" hidden="false" customHeight="false" outlineLevel="0" collapsed="false">
      <c r="A228" s="6" t="n">
        <v>43692</v>
      </c>
      <c r="B228" s="7" t="n">
        <v>0.720833333333333</v>
      </c>
      <c r="C228" s="8" t="n">
        <v>112568</v>
      </c>
      <c r="D228" s="8" t="s">
        <v>19</v>
      </c>
      <c r="E228" s="8" t="n">
        <v>2960</v>
      </c>
      <c r="F228" s="8" t="n">
        <v>2760</v>
      </c>
      <c r="G228" s="9" t="n">
        <v>200</v>
      </c>
      <c r="H228" s="8" t="s">
        <v>11</v>
      </c>
      <c r="I228" s="8" t="s">
        <v>12</v>
      </c>
      <c r="J228" s="0" t="s">
        <v>13</v>
      </c>
    </row>
    <row r="229" customFormat="false" ht="15" hidden="false" customHeight="false" outlineLevel="0" collapsed="false">
      <c r="A229" s="6" t="n">
        <v>43692</v>
      </c>
      <c r="B229" s="7" t="n">
        <v>0.901388888888889</v>
      </c>
      <c r="C229" s="8" t="n">
        <v>112575</v>
      </c>
      <c r="D229" s="8" t="s">
        <v>16</v>
      </c>
      <c r="E229" s="8" t="n">
        <v>3240</v>
      </c>
      <c r="F229" s="8" t="n">
        <v>2960</v>
      </c>
      <c r="G229" s="9" t="n">
        <v>280</v>
      </c>
      <c r="H229" s="8" t="s">
        <v>11</v>
      </c>
      <c r="I229" s="8" t="s">
        <v>12</v>
      </c>
      <c r="J229" s="0" t="s">
        <v>13</v>
      </c>
    </row>
    <row r="230" customFormat="false" ht="15" hidden="false" customHeight="false" outlineLevel="0" collapsed="false">
      <c r="A230" s="6" t="n">
        <v>43692</v>
      </c>
      <c r="B230" s="7" t="n">
        <v>0.905555555555556</v>
      </c>
      <c r="C230" s="8" t="n">
        <v>112576</v>
      </c>
      <c r="D230" s="8" t="s">
        <v>14</v>
      </c>
      <c r="E230" s="8" t="n">
        <v>27440</v>
      </c>
      <c r="F230" s="8" t="n">
        <v>15880</v>
      </c>
      <c r="G230" s="9" t="n">
        <v>11560</v>
      </c>
      <c r="H230" s="8" t="s">
        <v>11</v>
      </c>
      <c r="I230" s="8" t="s">
        <v>12</v>
      </c>
      <c r="J230" s="0" t="s">
        <v>13</v>
      </c>
    </row>
    <row r="231" customFormat="false" ht="15" hidden="false" customHeight="false" outlineLevel="0" collapsed="false">
      <c r="A231" s="6" t="n">
        <v>43693</v>
      </c>
      <c r="B231" s="7" t="n">
        <v>0.0458333333333333</v>
      </c>
      <c r="C231" s="8" t="n">
        <v>12578</v>
      </c>
      <c r="D231" s="8" t="s">
        <v>10</v>
      </c>
      <c r="E231" s="8" t="n">
        <v>22760</v>
      </c>
      <c r="F231" s="8" t="n">
        <v>12780</v>
      </c>
      <c r="G231" s="9" t="n">
        <v>9980</v>
      </c>
      <c r="H231" s="8" t="s">
        <v>11</v>
      </c>
      <c r="I231" s="8" t="s">
        <v>12</v>
      </c>
      <c r="J231" s="0" t="s">
        <v>13</v>
      </c>
    </row>
    <row r="232" customFormat="false" ht="15" hidden="false" customHeight="false" outlineLevel="0" collapsed="false">
      <c r="A232" s="6" t="n">
        <v>43693</v>
      </c>
      <c r="B232" s="7" t="n">
        <v>0.0388888888888889</v>
      </c>
      <c r="C232" s="8" t="n">
        <v>112577</v>
      </c>
      <c r="D232" s="8" t="s">
        <v>19</v>
      </c>
      <c r="E232" s="8" t="n">
        <v>3000</v>
      </c>
      <c r="F232" s="8" t="n">
        <v>2680</v>
      </c>
      <c r="G232" s="9" t="n">
        <v>320</v>
      </c>
      <c r="H232" s="8" t="s">
        <v>11</v>
      </c>
      <c r="I232" s="8" t="s">
        <v>12</v>
      </c>
      <c r="J232" s="0" t="s">
        <v>13</v>
      </c>
    </row>
    <row r="233" customFormat="false" ht="15" hidden="false" customHeight="false" outlineLevel="0" collapsed="false">
      <c r="A233" s="6" t="n">
        <v>43693</v>
      </c>
      <c r="B233" s="7" t="n">
        <v>0.118055555555556</v>
      </c>
      <c r="C233" s="8" t="n">
        <v>112582</v>
      </c>
      <c r="D233" s="8" t="s">
        <v>20</v>
      </c>
      <c r="E233" s="8" t="n">
        <v>26420</v>
      </c>
      <c r="F233" s="8" t="n">
        <v>15920</v>
      </c>
      <c r="G233" s="9" t="n">
        <v>10500</v>
      </c>
      <c r="H233" s="8" t="s">
        <v>11</v>
      </c>
      <c r="I233" s="8" t="s">
        <v>12</v>
      </c>
      <c r="J233" s="0" t="s">
        <v>13</v>
      </c>
    </row>
    <row r="234" customFormat="false" ht="15" hidden="false" customHeight="false" outlineLevel="0" collapsed="false">
      <c r="A234" s="6" t="n">
        <v>43693</v>
      </c>
      <c r="B234" s="7" t="n">
        <v>0.159722222222222</v>
      </c>
      <c r="C234" s="8" t="n">
        <v>112585</v>
      </c>
      <c r="D234" s="8" t="s">
        <v>10</v>
      </c>
      <c r="E234" s="8" t="n">
        <v>22840</v>
      </c>
      <c r="F234" s="8" t="n">
        <v>12840</v>
      </c>
      <c r="G234" s="9" t="n">
        <v>10000</v>
      </c>
      <c r="H234" s="8" t="s">
        <v>11</v>
      </c>
      <c r="I234" s="8" t="s">
        <v>12</v>
      </c>
      <c r="J234" s="0" t="s">
        <v>13</v>
      </c>
    </row>
    <row r="235" customFormat="false" ht="15" hidden="false" customHeight="false" outlineLevel="0" collapsed="false">
      <c r="A235" s="6" t="n">
        <v>43693</v>
      </c>
      <c r="B235" s="7" t="n">
        <v>0.1625</v>
      </c>
      <c r="C235" s="8" t="n">
        <v>112587</v>
      </c>
      <c r="D235" s="8" t="s">
        <v>19</v>
      </c>
      <c r="E235" s="8" t="n">
        <v>3200</v>
      </c>
      <c r="F235" s="8" t="n">
        <v>2680</v>
      </c>
      <c r="G235" s="9" t="n">
        <v>520</v>
      </c>
      <c r="H235" s="8" t="s">
        <v>11</v>
      </c>
      <c r="I235" s="8" t="s">
        <v>12</v>
      </c>
      <c r="J235" s="0" t="s">
        <v>13</v>
      </c>
    </row>
    <row r="236" customFormat="false" ht="15" hidden="false" customHeight="false" outlineLevel="0" collapsed="false">
      <c r="A236" s="6" t="n">
        <v>43693</v>
      </c>
      <c r="B236" s="7" t="n">
        <v>0.189583333333333</v>
      </c>
      <c r="C236" s="8" t="n">
        <v>112590</v>
      </c>
      <c r="D236" s="8" t="s">
        <v>14</v>
      </c>
      <c r="E236" s="8" t="n">
        <v>27980</v>
      </c>
      <c r="F236" s="8" t="n">
        <v>15920</v>
      </c>
      <c r="G236" s="9" t="n">
        <v>12060</v>
      </c>
      <c r="H236" s="8" t="s">
        <v>11</v>
      </c>
      <c r="I236" s="8" t="s">
        <v>12</v>
      </c>
      <c r="J236" s="0" t="s">
        <v>13</v>
      </c>
    </row>
    <row r="237" customFormat="false" ht="15" hidden="false" customHeight="false" outlineLevel="0" collapsed="false">
      <c r="A237" s="6" t="n">
        <v>43693</v>
      </c>
      <c r="B237" s="7" t="n">
        <v>0.229861111111111</v>
      </c>
      <c r="C237" s="8" t="n">
        <v>112593</v>
      </c>
      <c r="D237" s="8" t="s">
        <v>19</v>
      </c>
      <c r="E237" s="8" t="n">
        <v>3580</v>
      </c>
      <c r="F237" s="8" t="n">
        <v>2680</v>
      </c>
      <c r="G237" s="9" t="n">
        <v>900</v>
      </c>
      <c r="H237" s="8" t="s">
        <v>11</v>
      </c>
      <c r="I237" s="8" t="s">
        <v>12</v>
      </c>
      <c r="J237" s="0" t="s">
        <v>13</v>
      </c>
    </row>
    <row r="238" customFormat="false" ht="15" hidden="false" customHeight="false" outlineLevel="0" collapsed="false">
      <c r="A238" s="6" t="n">
        <v>43693</v>
      </c>
      <c r="B238" s="7" t="n">
        <v>0.243055555555556</v>
      </c>
      <c r="C238" s="8" t="n">
        <v>112594</v>
      </c>
      <c r="D238" s="8" t="s">
        <v>10</v>
      </c>
      <c r="E238" s="8" t="n">
        <v>18440</v>
      </c>
      <c r="F238" s="8" t="n">
        <v>12840</v>
      </c>
      <c r="G238" s="9" t="n">
        <v>5600</v>
      </c>
      <c r="H238" s="8" t="s">
        <v>11</v>
      </c>
      <c r="I238" s="8" t="s">
        <v>12</v>
      </c>
      <c r="J238" s="0" t="s">
        <v>13</v>
      </c>
    </row>
    <row r="239" customFormat="false" ht="15" hidden="false" customHeight="false" outlineLevel="0" collapsed="false">
      <c r="A239" s="6" t="n">
        <v>43693</v>
      </c>
      <c r="B239" s="7" t="n">
        <v>0.277777777777778</v>
      </c>
      <c r="C239" s="8" t="n">
        <v>112598</v>
      </c>
      <c r="D239" s="8" t="s">
        <v>10</v>
      </c>
      <c r="E239" s="8" t="n">
        <v>16200</v>
      </c>
      <c r="F239" s="8" t="n">
        <v>12500</v>
      </c>
      <c r="G239" s="9" t="n">
        <v>3700</v>
      </c>
      <c r="H239" s="8" t="s">
        <v>11</v>
      </c>
      <c r="I239" s="8" t="s">
        <v>12</v>
      </c>
      <c r="J239" s="0" t="s">
        <v>13</v>
      </c>
    </row>
    <row r="240" customFormat="false" ht="15" hidden="false" customHeight="false" outlineLevel="0" collapsed="false">
      <c r="A240" s="6" t="n">
        <v>43693</v>
      </c>
      <c r="B240" s="7" t="n">
        <v>0.279166666666667</v>
      </c>
      <c r="C240" s="8" t="n">
        <v>112599</v>
      </c>
      <c r="D240" s="8" t="s">
        <v>15</v>
      </c>
      <c r="E240" s="8" t="n">
        <v>4980</v>
      </c>
      <c r="F240" s="8" t="n">
        <v>3660</v>
      </c>
      <c r="G240" s="9" t="n">
        <v>1320</v>
      </c>
      <c r="H240" s="8" t="s">
        <v>11</v>
      </c>
      <c r="I240" s="8" t="s">
        <v>12</v>
      </c>
      <c r="J240" s="0" t="s">
        <v>13</v>
      </c>
    </row>
    <row r="241" customFormat="false" ht="15" hidden="false" customHeight="false" outlineLevel="0" collapsed="false">
      <c r="A241" s="6" t="n">
        <v>43693</v>
      </c>
      <c r="B241" s="7" t="n">
        <v>0.357638888888889</v>
      </c>
      <c r="C241" s="8" t="n">
        <v>112612</v>
      </c>
      <c r="D241" s="8" t="s">
        <v>16</v>
      </c>
      <c r="E241" s="8" t="n">
        <v>3340</v>
      </c>
      <c r="F241" s="8" t="n">
        <v>2840</v>
      </c>
      <c r="G241" s="9" t="n">
        <v>500</v>
      </c>
      <c r="H241" s="8" t="s">
        <v>11</v>
      </c>
      <c r="I241" s="8" t="s">
        <v>12</v>
      </c>
      <c r="J241" s="0" t="s">
        <v>13</v>
      </c>
    </row>
    <row r="242" customFormat="false" ht="15" hidden="false" customHeight="false" outlineLevel="0" collapsed="false">
      <c r="A242" s="6" t="n">
        <v>43693</v>
      </c>
      <c r="B242" s="7" t="n">
        <v>0.692361111111111</v>
      </c>
      <c r="C242" s="8" t="n">
        <v>112648</v>
      </c>
      <c r="D242" s="8" t="s">
        <v>10</v>
      </c>
      <c r="E242" s="8" t="n">
        <v>16540</v>
      </c>
      <c r="F242" s="8" t="n">
        <v>12900</v>
      </c>
      <c r="G242" s="9" t="n">
        <v>3640</v>
      </c>
      <c r="H242" s="8" t="s">
        <v>11</v>
      </c>
      <c r="I242" s="8" t="s">
        <v>12</v>
      </c>
      <c r="J242" s="0" t="s">
        <v>13</v>
      </c>
    </row>
    <row r="243" customFormat="false" ht="15" hidden="false" customHeight="false" outlineLevel="0" collapsed="false">
      <c r="A243" s="6" t="n">
        <v>43693</v>
      </c>
      <c r="B243" s="7" t="n">
        <v>0.770138888888889</v>
      </c>
      <c r="C243" s="8" t="n">
        <v>112652</v>
      </c>
      <c r="D243" s="8" t="s">
        <v>19</v>
      </c>
      <c r="E243" s="8" t="n">
        <v>3080</v>
      </c>
      <c r="F243" s="8" t="n">
        <v>2800</v>
      </c>
      <c r="G243" s="9" t="n">
        <v>280</v>
      </c>
      <c r="H243" s="8" t="s">
        <v>11</v>
      </c>
      <c r="I243" s="8" t="s">
        <v>12</v>
      </c>
      <c r="J243" s="0" t="s">
        <v>13</v>
      </c>
    </row>
    <row r="244" customFormat="false" ht="15" hidden="false" customHeight="false" outlineLevel="0" collapsed="false">
      <c r="A244" s="6" t="n">
        <v>43693</v>
      </c>
      <c r="B244" s="7" t="n">
        <v>0.902777777777778</v>
      </c>
      <c r="C244" s="8" t="n">
        <v>112656</v>
      </c>
      <c r="D244" s="8" t="s">
        <v>14</v>
      </c>
      <c r="E244" s="8" t="n">
        <v>27800</v>
      </c>
      <c r="F244" s="8" t="n">
        <v>16060</v>
      </c>
      <c r="G244" s="9" t="n">
        <v>11740</v>
      </c>
      <c r="H244" s="8" t="s">
        <v>11</v>
      </c>
      <c r="I244" s="8" t="s">
        <v>12</v>
      </c>
      <c r="J244" s="0" t="s">
        <v>13</v>
      </c>
    </row>
    <row r="245" customFormat="false" ht="15" hidden="false" customHeight="false" outlineLevel="0" collapsed="false">
      <c r="A245" s="6" t="n">
        <v>43693</v>
      </c>
      <c r="B245" s="7" t="n">
        <v>0.922916666666667</v>
      </c>
      <c r="C245" s="8" t="n">
        <v>112657</v>
      </c>
      <c r="D245" s="8" t="s">
        <v>16</v>
      </c>
      <c r="E245" s="8" t="n">
        <v>3460</v>
      </c>
      <c r="F245" s="8" t="n">
        <v>3060</v>
      </c>
      <c r="G245" s="9" t="n">
        <v>400</v>
      </c>
      <c r="H245" s="8" t="s">
        <v>11</v>
      </c>
      <c r="I245" s="8" t="s">
        <v>12</v>
      </c>
      <c r="J245" s="0" t="s">
        <v>13</v>
      </c>
    </row>
    <row r="246" customFormat="false" ht="15" hidden="false" customHeight="false" outlineLevel="0" collapsed="false">
      <c r="A246" s="6" t="n">
        <v>43693</v>
      </c>
      <c r="B246" s="7" t="n">
        <v>0.481944444444444</v>
      </c>
      <c r="C246" s="8" t="n">
        <v>91358</v>
      </c>
      <c r="D246" s="8" t="s">
        <v>21</v>
      </c>
      <c r="E246" s="8" t="n">
        <v>17540</v>
      </c>
      <c r="F246" s="8" t="n">
        <v>15840</v>
      </c>
      <c r="G246" s="9" t="n">
        <v>1700</v>
      </c>
      <c r="H246" s="8" t="s">
        <v>11</v>
      </c>
      <c r="I246" s="8" t="s">
        <v>25</v>
      </c>
      <c r="J246" s="0" t="s">
        <v>13</v>
      </c>
    </row>
    <row r="247" customFormat="false" ht="15" hidden="false" customHeight="false" outlineLevel="0" collapsed="false">
      <c r="A247" s="6" t="n">
        <v>43693</v>
      </c>
      <c r="B247" s="7" t="n">
        <v>0.444444444444444</v>
      </c>
      <c r="C247" s="10" t="s">
        <v>23</v>
      </c>
      <c r="D247" s="8" t="s">
        <v>20</v>
      </c>
      <c r="E247" s="8" t="n">
        <v>19200</v>
      </c>
      <c r="F247" s="8" t="n">
        <v>15760</v>
      </c>
      <c r="G247" s="9" t="n">
        <v>3440</v>
      </c>
      <c r="H247" s="8" t="s">
        <v>11</v>
      </c>
      <c r="I247" s="8" t="s">
        <v>24</v>
      </c>
      <c r="J247" s="0" t="s">
        <v>13</v>
      </c>
    </row>
    <row r="248" customFormat="false" ht="15" hidden="false" customHeight="false" outlineLevel="0" collapsed="false">
      <c r="A248" s="6" t="n">
        <v>43694</v>
      </c>
      <c r="B248" s="7" t="n">
        <v>0.438888888888889</v>
      </c>
      <c r="C248" s="8" t="n">
        <v>91385</v>
      </c>
      <c r="D248" s="8" t="s">
        <v>20</v>
      </c>
      <c r="E248" s="8" t="n">
        <v>17640</v>
      </c>
      <c r="F248" s="8" t="n">
        <v>15800</v>
      </c>
      <c r="G248" s="9" t="n">
        <v>1840</v>
      </c>
      <c r="H248" s="8" t="s">
        <v>11</v>
      </c>
      <c r="I248" s="8" t="s">
        <v>25</v>
      </c>
      <c r="J248" s="0" t="s">
        <v>13</v>
      </c>
    </row>
    <row r="249" customFormat="false" ht="15" hidden="false" customHeight="false" outlineLevel="0" collapsed="false">
      <c r="A249" s="6" t="n">
        <v>43694</v>
      </c>
      <c r="B249" s="7" t="n">
        <v>0.0458333333333333</v>
      </c>
      <c r="C249" s="8" t="n">
        <v>112660</v>
      </c>
      <c r="D249" s="8" t="s">
        <v>10</v>
      </c>
      <c r="E249" s="8" t="n">
        <v>22200</v>
      </c>
      <c r="F249" s="8" t="n">
        <v>13060</v>
      </c>
      <c r="G249" s="9" t="n">
        <v>9140</v>
      </c>
      <c r="H249" s="8" t="s">
        <v>11</v>
      </c>
      <c r="I249" s="8" t="s">
        <v>12</v>
      </c>
      <c r="J249" s="0" t="s">
        <v>13</v>
      </c>
    </row>
    <row r="250" customFormat="false" ht="15" hidden="false" customHeight="false" outlineLevel="0" collapsed="false">
      <c r="A250" s="6" t="n">
        <v>43694</v>
      </c>
      <c r="B250" s="7" t="n">
        <v>0.0618055555555556</v>
      </c>
      <c r="C250" s="8" t="n">
        <v>112661</v>
      </c>
      <c r="D250" s="8" t="s">
        <v>15</v>
      </c>
      <c r="E250" s="8" t="n">
        <v>3720</v>
      </c>
      <c r="F250" s="8" t="n">
        <v>3620</v>
      </c>
      <c r="G250" s="9" t="n">
        <v>100</v>
      </c>
      <c r="H250" s="8" t="s">
        <v>11</v>
      </c>
      <c r="I250" s="8" t="s">
        <v>12</v>
      </c>
      <c r="J250" s="0" t="s">
        <v>13</v>
      </c>
    </row>
    <row r="251" customFormat="false" ht="15" hidden="false" customHeight="false" outlineLevel="0" collapsed="false">
      <c r="A251" s="6" t="n">
        <v>43694</v>
      </c>
      <c r="B251" s="7" t="n">
        <v>0.135416666666667</v>
      </c>
      <c r="C251" s="8" t="n">
        <v>112665</v>
      </c>
      <c r="D251" s="8" t="s">
        <v>20</v>
      </c>
      <c r="E251" s="8" t="n">
        <v>27760</v>
      </c>
      <c r="F251" s="8" t="n">
        <v>15880</v>
      </c>
      <c r="G251" s="9" t="n">
        <v>11880</v>
      </c>
      <c r="H251" s="8" t="s">
        <v>11</v>
      </c>
      <c r="I251" s="8" t="s">
        <v>12</v>
      </c>
      <c r="J251" s="0" t="s">
        <v>13</v>
      </c>
    </row>
    <row r="252" customFormat="false" ht="15" hidden="false" customHeight="false" outlineLevel="0" collapsed="false">
      <c r="A252" s="6" t="n">
        <v>43694</v>
      </c>
      <c r="B252" s="7" t="n">
        <v>0.174305555555556</v>
      </c>
      <c r="C252" s="8" t="n">
        <v>112671</v>
      </c>
      <c r="D252" s="8" t="s">
        <v>14</v>
      </c>
      <c r="E252" s="8" t="n">
        <v>26840</v>
      </c>
      <c r="F252" s="8" t="n">
        <v>16080</v>
      </c>
      <c r="G252" s="9" t="n">
        <v>10760</v>
      </c>
      <c r="H252" s="8" t="s">
        <v>11</v>
      </c>
      <c r="I252" s="8" t="s">
        <v>12</v>
      </c>
      <c r="J252" s="0" t="s">
        <v>13</v>
      </c>
    </row>
    <row r="253" customFormat="false" ht="15" hidden="false" customHeight="false" outlineLevel="0" collapsed="false">
      <c r="A253" s="6" t="n">
        <v>43694</v>
      </c>
      <c r="B253" s="7" t="n">
        <v>0.177083333333333</v>
      </c>
      <c r="C253" s="8" t="n">
        <v>112672</v>
      </c>
      <c r="D253" s="8" t="s">
        <v>15</v>
      </c>
      <c r="E253" s="8" t="n">
        <v>5120</v>
      </c>
      <c r="F253" s="8" t="n">
        <v>3600</v>
      </c>
      <c r="G253" s="9" t="n">
        <v>1520</v>
      </c>
      <c r="H253" s="8" t="s">
        <v>11</v>
      </c>
      <c r="I253" s="8" t="s">
        <v>12</v>
      </c>
      <c r="J253" s="0" t="s">
        <v>13</v>
      </c>
    </row>
    <row r="254" customFormat="false" ht="15" hidden="false" customHeight="false" outlineLevel="0" collapsed="false">
      <c r="A254" s="6" t="n">
        <v>43694</v>
      </c>
      <c r="B254" s="7" t="n">
        <v>0.248611111111111</v>
      </c>
      <c r="C254" s="8" t="n">
        <v>112677</v>
      </c>
      <c r="D254" s="8" t="s">
        <v>10</v>
      </c>
      <c r="E254" s="8" t="n">
        <v>18080</v>
      </c>
      <c r="F254" s="8" t="n">
        <v>12880</v>
      </c>
      <c r="G254" s="9" t="n">
        <v>5200</v>
      </c>
      <c r="H254" s="8" t="s">
        <v>11</v>
      </c>
      <c r="I254" s="8" t="s">
        <v>12</v>
      </c>
      <c r="J254" s="0" t="s">
        <v>13</v>
      </c>
    </row>
    <row r="255" customFormat="false" ht="15" hidden="false" customHeight="false" outlineLevel="0" collapsed="false">
      <c r="A255" s="6" t="n">
        <v>43694</v>
      </c>
      <c r="B255" s="7" t="n">
        <v>0.265277777777778</v>
      </c>
      <c r="C255" s="8" t="n">
        <v>112679</v>
      </c>
      <c r="D255" s="8" t="s">
        <v>15</v>
      </c>
      <c r="E255" s="8" t="n">
        <v>4900</v>
      </c>
      <c r="F255" s="8" t="n">
        <v>3600</v>
      </c>
      <c r="G255" s="9" t="n">
        <v>1300</v>
      </c>
      <c r="H255" s="8" t="s">
        <v>11</v>
      </c>
      <c r="I255" s="8" t="s">
        <v>12</v>
      </c>
      <c r="J255" s="0" t="s">
        <v>13</v>
      </c>
    </row>
    <row r="256" customFormat="false" ht="15" hidden="false" customHeight="false" outlineLevel="0" collapsed="false">
      <c r="A256" s="6" t="n">
        <v>43694</v>
      </c>
      <c r="B256" s="7" t="n">
        <v>0.35</v>
      </c>
      <c r="C256" s="8" t="n">
        <v>112687</v>
      </c>
      <c r="D256" s="8" t="s">
        <v>16</v>
      </c>
      <c r="E256" s="8" t="n">
        <v>3780</v>
      </c>
      <c r="F256" s="8" t="n">
        <v>2900</v>
      </c>
      <c r="G256" s="9" t="n">
        <v>880</v>
      </c>
      <c r="H256" s="8" t="s">
        <v>11</v>
      </c>
      <c r="I256" s="8" t="s">
        <v>12</v>
      </c>
      <c r="J256" s="0" t="s">
        <v>13</v>
      </c>
    </row>
    <row r="257" customFormat="false" ht="15" hidden="false" customHeight="false" outlineLevel="0" collapsed="false">
      <c r="A257" s="6" t="n">
        <v>43694</v>
      </c>
      <c r="B257" s="7" t="n">
        <v>0.385416666666667</v>
      </c>
      <c r="C257" s="8" t="n">
        <v>112691</v>
      </c>
      <c r="D257" s="8" t="s">
        <v>10</v>
      </c>
      <c r="E257" s="8" t="n">
        <v>15960</v>
      </c>
      <c r="F257" s="8" t="n">
        <v>12580</v>
      </c>
      <c r="G257" s="9" t="n">
        <v>3380</v>
      </c>
      <c r="H257" s="8" t="s">
        <v>11</v>
      </c>
      <c r="I257" s="8" t="s">
        <v>12</v>
      </c>
      <c r="J257" s="0" t="s">
        <v>13</v>
      </c>
    </row>
    <row r="258" customFormat="false" ht="15" hidden="false" customHeight="false" outlineLevel="0" collapsed="false">
      <c r="A258" s="6" t="n">
        <v>43694</v>
      </c>
      <c r="B258" s="7" t="n">
        <v>0.513194444444444</v>
      </c>
      <c r="C258" s="8" t="n">
        <v>112697</v>
      </c>
      <c r="D258" s="8" t="s">
        <v>16</v>
      </c>
      <c r="E258" s="8" t="n">
        <v>3180</v>
      </c>
      <c r="F258" s="8" t="n">
        <v>2860</v>
      </c>
      <c r="G258" s="9" t="n">
        <v>320</v>
      </c>
      <c r="H258" s="8" t="s">
        <v>11</v>
      </c>
      <c r="I258" s="8" t="s">
        <v>12</v>
      </c>
      <c r="J258" s="0" t="s">
        <v>13</v>
      </c>
    </row>
    <row r="259" customFormat="false" ht="15" hidden="false" customHeight="false" outlineLevel="0" collapsed="false">
      <c r="A259" s="6" t="n">
        <v>43694</v>
      </c>
      <c r="B259" s="7" t="n">
        <v>0.690972222222222</v>
      </c>
      <c r="C259" s="8" t="n">
        <v>112701</v>
      </c>
      <c r="D259" s="8" t="s">
        <v>10</v>
      </c>
      <c r="E259" s="8" t="n">
        <v>16180</v>
      </c>
      <c r="F259" s="8" t="n">
        <v>12920</v>
      </c>
      <c r="G259" s="9" t="n">
        <v>3260</v>
      </c>
      <c r="H259" s="8" t="s">
        <v>11</v>
      </c>
      <c r="I259" s="8" t="s">
        <v>12</v>
      </c>
      <c r="J259" s="0" t="s">
        <v>13</v>
      </c>
    </row>
    <row r="260" customFormat="false" ht="15" hidden="false" customHeight="false" outlineLevel="0" collapsed="false">
      <c r="A260" s="6" t="n">
        <v>43694</v>
      </c>
      <c r="B260" s="7" t="n">
        <v>0.781944444444445</v>
      </c>
      <c r="C260" s="8" t="n">
        <v>112702</v>
      </c>
      <c r="D260" s="8" t="s">
        <v>19</v>
      </c>
      <c r="E260" s="8" t="n">
        <v>3160</v>
      </c>
      <c r="F260" s="8" t="n">
        <v>2800</v>
      </c>
      <c r="G260" s="9" t="n">
        <v>360</v>
      </c>
      <c r="H260" s="8" t="s">
        <v>11</v>
      </c>
      <c r="I260" s="8" t="s">
        <v>12</v>
      </c>
      <c r="J260" s="0" t="s">
        <v>13</v>
      </c>
    </row>
    <row r="261" customFormat="false" ht="15" hidden="false" customHeight="false" outlineLevel="0" collapsed="false">
      <c r="A261" s="6" t="n">
        <v>43694</v>
      </c>
      <c r="B261" s="7" t="n">
        <v>0.896527777777778</v>
      </c>
      <c r="C261" s="8" t="n">
        <v>112703</v>
      </c>
      <c r="D261" s="8" t="s">
        <v>14</v>
      </c>
      <c r="E261" s="8" t="n">
        <v>28760</v>
      </c>
      <c r="F261" s="8" t="n">
        <v>16200</v>
      </c>
      <c r="G261" s="9" t="n">
        <v>12560</v>
      </c>
      <c r="H261" s="8" t="s">
        <v>11</v>
      </c>
      <c r="I261" s="8" t="s">
        <v>12</v>
      </c>
      <c r="J261" s="0" t="s">
        <v>13</v>
      </c>
    </row>
    <row r="262" customFormat="false" ht="15" hidden="false" customHeight="false" outlineLevel="0" collapsed="false">
      <c r="A262" s="6" t="n">
        <v>43694</v>
      </c>
      <c r="B262" s="7" t="n">
        <v>0.909027777777778</v>
      </c>
      <c r="C262" s="8" t="n">
        <v>112704</v>
      </c>
      <c r="D262" s="8" t="s">
        <v>16</v>
      </c>
      <c r="E262" s="8" t="n">
        <v>3300</v>
      </c>
      <c r="F262" s="8" t="n">
        <v>3080</v>
      </c>
      <c r="G262" s="9" t="n">
        <v>220</v>
      </c>
      <c r="H262" s="8" t="s">
        <v>11</v>
      </c>
      <c r="I262" s="8" t="s">
        <v>12</v>
      </c>
      <c r="J262" s="0" t="s">
        <v>13</v>
      </c>
    </row>
    <row r="263" customFormat="false" ht="15" hidden="false" customHeight="false" outlineLevel="0" collapsed="false">
      <c r="A263" s="6" t="n">
        <v>43694</v>
      </c>
      <c r="B263" s="7" t="n">
        <v>0.154861111111111</v>
      </c>
      <c r="C263" s="8" t="n">
        <v>1126690</v>
      </c>
      <c r="D263" s="8" t="s">
        <v>10</v>
      </c>
      <c r="E263" s="8" t="n">
        <v>23340</v>
      </c>
      <c r="F263" s="8" t="n">
        <v>12900</v>
      </c>
      <c r="G263" s="9" t="n">
        <v>10440</v>
      </c>
      <c r="H263" s="8" t="s">
        <v>11</v>
      </c>
      <c r="I263" s="8" t="s">
        <v>12</v>
      </c>
      <c r="J263" s="0" t="s">
        <v>13</v>
      </c>
    </row>
    <row r="264" customFormat="false" ht="15" hidden="false" customHeight="false" outlineLevel="0" collapsed="false">
      <c r="A264" s="6" t="n">
        <v>43695</v>
      </c>
      <c r="B264" s="7" t="n">
        <v>0.0430555555555556</v>
      </c>
      <c r="C264" s="8" t="n">
        <v>112705</v>
      </c>
      <c r="D264" s="8" t="s">
        <v>10</v>
      </c>
      <c r="E264" s="8" t="n">
        <v>23300</v>
      </c>
      <c r="F264" s="8" t="n">
        <v>13060</v>
      </c>
      <c r="G264" s="9" t="n">
        <v>10240</v>
      </c>
      <c r="H264" s="8" t="s">
        <v>11</v>
      </c>
      <c r="I264" s="8" t="s">
        <v>12</v>
      </c>
      <c r="J264" s="0" t="s">
        <v>13</v>
      </c>
    </row>
    <row r="265" customFormat="false" ht="15" hidden="false" customHeight="false" outlineLevel="0" collapsed="false">
      <c r="A265" s="6" t="n">
        <v>43695</v>
      </c>
      <c r="B265" s="7" t="n">
        <v>0.08125</v>
      </c>
      <c r="C265" s="8" t="n">
        <v>112706</v>
      </c>
      <c r="D265" s="8" t="s">
        <v>15</v>
      </c>
      <c r="E265" s="8" t="n">
        <v>4320</v>
      </c>
      <c r="F265" s="8" t="n">
        <v>3600</v>
      </c>
      <c r="G265" s="9" t="n">
        <v>720</v>
      </c>
      <c r="H265" s="8" t="s">
        <v>11</v>
      </c>
      <c r="I265" s="8" t="s">
        <v>12</v>
      </c>
      <c r="J265" s="0" t="s">
        <v>13</v>
      </c>
    </row>
    <row r="266" customFormat="false" ht="15" hidden="false" customHeight="false" outlineLevel="0" collapsed="false">
      <c r="A266" s="6" t="n">
        <v>43695</v>
      </c>
      <c r="B266" s="7" t="n">
        <v>0.122916666666667</v>
      </c>
      <c r="C266" s="8" t="n">
        <v>112711</v>
      </c>
      <c r="D266" s="8" t="s">
        <v>14</v>
      </c>
      <c r="E266" s="8" t="n">
        <v>27020</v>
      </c>
      <c r="F266" s="8" t="n">
        <v>16140</v>
      </c>
      <c r="G266" s="9" t="n">
        <v>10880</v>
      </c>
      <c r="H266" s="8" t="s">
        <v>11</v>
      </c>
      <c r="I266" s="8" t="s">
        <v>12</v>
      </c>
      <c r="J266" s="0" t="s">
        <v>13</v>
      </c>
    </row>
    <row r="267" customFormat="false" ht="15" hidden="false" customHeight="false" outlineLevel="0" collapsed="false">
      <c r="A267" s="6" t="n">
        <v>43695</v>
      </c>
      <c r="B267" s="7" t="n">
        <v>0.152777777777778</v>
      </c>
      <c r="C267" s="8" t="n">
        <v>112714</v>
      </c>
      <c r="D267" s="8" t="s">
        <v>10</v>
      </c>
      <c r="E267" s="8" t="n">
        <v>22060</v>
      </c>
      <c r="F267" s="8" t="n">
        <v>12900</v>
      </c>
      <c r="G267" s="9" t="n">
        <v>9160</v>
      </c>
      <c r="H267" s="8" t="s">
        <v>11</v>
      </c>
      <c r="I267" s="8" t="s">
        <v>12</v>
      </c>
      <c r="J267" s="0" t="s">
        <v>13</v>
      </c>
    </row>
    <row r="268" customFormat="false" ht="15" hidden="false" customHeight="false" outlineLevel="0" collapsed="false">
      <c r="A268" s="6" t="n">
        <v>43695</v>
      </c>
      <c r="B268" s="7" t="n">
        <v>0.18125</v>
      </c>
      <c r="C268" s="8" t="n">
        <v>112716</v>
      </c>
      <c r="D268" s="8" t="s">
        <v>15</v>
      </c>
      <c r="E268" s="8" t="n">
        <v>5000</v>
      </c>
      <c r="F268" s="8" t="n">
        <v>3580</v>
      </c>
      <c r="G268" s="9" t="n">
        <v>1420</v>
      </c>
      <c r="H268" s="8" t="s">
        <v>11</v>
      </c>
      <c r="I268" s="8" t="s">
        <v>12</v>
      </c>
      <c r="J268" s="0" t="s">
        <v>13</v>
      </c>
    </row>
    <row r="269" customFormat="false" ht="15" hidden="false" customHeight="false" outlineLevel="0" collapsed="false">
      <c r="A269" s="6" t="n">
        <v>43695</v>
      </c>
      <c r="B269" s="7" t="n">
        <v>0.261805555555556</v>
      </c>
      <c r="C269" s="8" t="n">
        <v>112719</v>
      </c>
      <c r="D269" s="8" t="s">
        <v>14</v>
      </c>
      <c r="E269" s="8" t="n">
        <v>26480</v>
      </c>
      <c r="F269" s="8" t="n">
        <v>16100</v>
      </c>
      <c r="G269" s="9" t="n">
        <v>10380</v>
      </c>
      <c r="H269" s="8" t="s">
        <v>11</v>
      </c>
      <c r="I269" s="8" t="s">
        <v>12</v>
      </c>
      <c r="J269" s="0" t="s">
        <v>13</v>
      </c>
    </row>
    <row r="270" customFormat="false" ht="15" hidden="false" customHeight="false" outlineLevel="0" collapsed="false">
      <c r="A270" s="6" t="n">
        <v>43695</v>
      </c>
      <c r="B270" s="7" t="n">
        <v>0.265972222222222</v>
      </c>
      <c r="C270" s="8" t="n">
        <v>112720</v>
      </c>
      <c r="D270" s="8" t="s">
        <v>15</v>
      </c>
      <c r="E270" s="8" t="n">
        <v>4700</v>
      </c>
      <c r="F270" s="8" t="n">
        <v>3580</v>
      </c>
      <c r="G270" s="9" t="n">
        <v>1120</v>
      </c>
      <c r="H270" s="8" t="s">
        <v>11</v>
      </c>
      <c r="I270" s="8" t="s">
        <v>12</v>
      </c>
      <c r="J270" s="0" t="s">
        <v>13</v>
      </c>
    </row>
    <row r="271" customFormat="false" ht="15" hidden="false" customHeight="false" outlineLevel="0" collapsed="false">
      <c r="A271" s="6" t="n">
        <v>43695</v>
      </c>
      <c r="B271" s="7" t="n">
        <v>0.267361111111111</v>
      </c>
      <c r="C271" s="8" t="n">
        <v>112721</v>
      </c>
      <c r="D271" s="8" t="s">
        <v>10</v>
      </c>
      <c r="E271" s="8" t="n">
        <v>21680</v>
      </c>
      <c r="F271" s="8" t="n">
        <v>13040</v>
      </c>
      <c r="G271" s="9" t="n">
        <v>8640</v>
      </c>
      <c r="H271" s="8" t="s">
        <v>11</v>
      </c>
      <c r="I271" s="8" t="s">
        <v>12</v>
      </c>
      <c r="J271" s="0" t="s">
        <v>13</v>
      </c>
    </row>
    <row r="272" customFormat="false" ht="15" hidden="false" customHeight="false" outlineLevel="0" collapsed="false">
      <c r="A272" s="6" t="n">
        <v>43695</v>
      </c>
      <c r="B272" s="7" t="n">
        <v>0.451388888888889</v>
      </c>
      <c r="C272" s="8" t="n">
        <v>112729</v>
      </c>
      <c r="D272" s="8" t="s">
        <v>16</v>
      </c>
      <c r="E272" s="8" t="n">
        <v>3540</v>
      </c>
      <c r="F272" s="8" t="n">
        <v>2920</v>
      </c>
      <c r="G272" s="9" t="n">
        <v>620</v>
      </c>
      <c r="H272" s="8" t="s">
        <v>11</v>
      </c>
      <c r="I272" s="8" t="s">
        <v>12</v>
      </c>
      <c r="J272" s="0" t="s">
        <v>13</v>
      </c>
    </row>
    <row r="273" customFormat="false" ht="15" hidden="false" customHeight="false" outlineLevel="0" collapsed="false">
      <c r="A273" s="6" t="n">
        <v>43695</v>
      </c>
      <c r="B273" s="7" t="n">
        <v>0.452777777777778</v>
      </c>
      <c r="C273" s="8" t="n">
        <v>112730</v>
      </c>
      <c r="D273" s="8" t="s">
        <v>19</v>
      </c>
      <c r="E273" s="8" t="n">
        <v>2960</v>
      </c>
      <c r="F273" s="8" t="n">
        <v>2760</v>
      </c>
      <c r="G273" s="9" t="n">
        <v>200</v>
      </c>
      <c r="H273" s="8" t="s">
        <v>11</v>
      </c>
      <c r="I273" s="8" t="s">
        <v>12</v>
      </c>
      <c r="J273" s="0" t="s">
        <v>13</v>
      </c>
    </row>
    <row r="274" customFormat="false" ht="15" hidden="false" customHeight="false" outlineLevel="0" collapsed="false">
      <c r="A274" s="6" t="n">
        <v>43695</v>
      </c>
      <c r="B274" s="7" t="n">
        <v>0.6875</v>
      </c>
      <c r="C274" s="8" t="n">
        <v>112731</v>
      </c>
      <c r="D274" s="8" t="s">
        <v>10</v>
      </c>
      <c r="E274" s="8" t="n">
        <v>15380</v>
      </c>
      <c r="F274" s="8" t="n">
        <v>12840</v>
      </c>
      <c r="G274" s="9" t="n">
        <v>2540</v>
      </c>
      <c r="H274" s="8" t="s">
        <v>11</v>
      </c>
      <c r="I274" s="8" t="s">
        <v>12</v>
      </c>
      <c r="J274" s="0" t="s">
        <v>13</v>
      </c>
    </row>
    <row r="275" customFormat="false" ht="15" hidden="false" customHeight="false" outlineLevel="0" collapsed="false">
      <c r="A275" s="6" t="n">
        <v>43695</v>
      </c>
      <c r="B275" s="7" t="n">
        <v>0.766666666666667</v>
      </c>
      <c r="C275" s="8" t="n">
        <v>112732</v>
      </c>
      <c r="D275" s="8" t="s">
        <v>19</v>
      </c>
      <c r="E275" s="8" t="n">
        <v>3120</v>
      </c>
      <c r="F275" s="8" t="n">
        <v>2780</v>
      </c>
      <c r="G275" s="9" t="n">
        <v>340</v>
      </c>
      <c r="H275" s="8" t="s">
        <v>11</v>
      </c>
      <c r="I275" s="8" t="s">
        <v>12</v>
      </c>
      <c r="J275" s="0" t="s">
        <v>13</v>
      </c>
    </row>
    <row r="276" customFormat="false" ht="15" hidden="false" customHeight="false" outlineLevel="0" collapsed="false">
      <c r="A276" s="6" t="n">
        <v>43695</v>
      </c>
      <c r="B276" s="7" t="n">
        <v>0.888194444444444</v>
      </c>
      <c r="C276" s="8" t="n">
        <v>112733</v>
      </c>
      <c r="D276" s="8" t="s">
        <v>14</v>
      </c>
      <c r="E276" s="8" t="n">
        <v>27700</v>
      </c>
      <c r="F276" s="8" t="n">
        <v>16220</v>
      </c>
      <c r="G276" s="9" t="n">
        <v>11480</v>
      </c>
      <c r="H276" s="8" t="s">
        <v>11</v>
      </c>
      <c r="I276" s="8" t="s">
        <v>12</v>
      </c>
      <c r="J276" s="0" t="s">
        <v>13</v>
      </c>
    </row>
    <row r="277" customFormat="false" ht="15" hidden="false" customHeight="false" outlineLevel="0" collapsed="false">
      <c r="A277" s="6" t="n">
        <v>43695</v>
      </c>
      <c r="B277" s="7" t="n">
        <v>0.925694444444444</v>
      </c>
      <c r="C277" s="8" t="n">
        <v>112735</v>
      </c>
      <c r="D277" s="8" t="s">
        <v>16</v>
      </c>
      <c r="E277" s="8" t="n">
        <v>3360</v>
      </c>
      <c r="F277" s="8" t="n">
        <v>3060</v>
      </c>
      <c r="G277" s="9" t="n">
        <v>300</v>
      </c>
      <c r="H277" s="8" t="s">
        <v>11</v>
      </c>
      <c r="I277" s="8" t="s">
        <v>12</v>
      </c>
      <c r="J277" s="0" t="s">
        <v>13</v>
      </c>
    </row>
    <row r="278" customFormat="false" ht="15" hidden="false" customHeight="false" outlineLevel="0" collapsed="false">
      <c r="A278" s="6" t="n">
        <v>43696</v>
      </c>
      <c r="B278" s="7" t="n">
        <v>0.0395833333333333</v>
      </c>
      <c r="C278" s="8" t="n">
        <v>112737</v>
      </c>
      <c r="D278" s="8" t="s">
        <v>10</v>
      </c>
      <c r="E278" s="8" t="n">
        <v>22440</v>
      </c>
      <c r="F278" s="8" t="n">
        <v>13180</v>
      </c>
      <c r="G278" s="9" t="n">
        <v>9260</v>
      </c>
      <c r="H278" s="8" t="s">
        <v>11</v>
      </c>
      <c r="I278" s="8" t="s">
        <v>12</v>
      </c>
      <c r="J278" s="0" t="s">
        <v>13</v>
      </c>
    </row>
    <row r="279" customFormat="false" ht="15" hidden="false" customHeight="false" outlineLevel="0" collapsed="false">
      <c r="A279" s="6" t="n">
        <v>43696</v>
      </c>
      <c r="B279" s="7" t="n">
        <v>0.0618055555555556</v>
      </c>
      <c r="C279" s="8" t="n">
        <v>112738</v>
      </c>
      <c r="D279" s="8" t="s">
        <v>15</v>
      </c>
      <c r="E279" s="8" t="n">
        <v>3860</v>
      </c>
      <c r="F279" s="8" t="n">
        <v>3600</v>
      </c>
      <c r="G279" s="9" t="n">
        <v>260</v>
      </c>
      <c r="H279" s="8" t="s">
        <v>11</v>
      </c>
      <c r="I279" s="8" t="s">
        <v>12</v>
      </c>
      <c r="J279" s="0" t="s">
        <v>13</v>
      </c>
    </row>
    <row r="280" customFormat="false" ht="15" hidden="false" customHeight="false" outlineLevel="0" collapsed="false">
      <c r="A280" s="6" t="n">
        <v>43696</v>
      </c>
      <c r="B280" s="7" t="n">
        <v>0.140277777777778</v>
      </c>
      <c r="C280" s="8" t="n">
        <v>112746</v>
      </c>
      <c r="D280" s="8" t="s">
        <v>20</v>
      </c>
      <c r="E280" s="8" t="n">
        <v>27560</v>
      </c>
      <c r="F280" s="8" t="n">
        <v>16020</v>
      </c>
      <c r="G280" s="9" t="n">
        <v>11540</v>
      </c>
      <c r="H280" s="8" t="s">
        <v>11</v>
      </c>
      <c r="I280" s="8" t="s">
        <v>12</v>
      </c>
      <c r="J280" s="0" t="s">
        <v>13</v>
      </c>
    </row>
    <row r="281" customFormat="false" ht="15" hidden="false" customHeight="false" outlineLevel="0" collapsed="false">
      <c r="A281" s="6" t="n">
        <v>43696</v>
      </c>
      <c r="B281" s="7" t="n">
        <v>0.143055555555556</v>
      </c>
      <c r="C281" s="8" t="n">
        <v>112747</v>
      </c>
      <c r="D281" s="8" t="s">
        <v>10</v>
      </c>
      <c r="E281" s="8" t="n">
        <v>22180</v>
      </c>
      <c r="F281" s="8" t="n">
        <v>12980</v>
      </c>
      <c r="G281" s="9" t="n">
        <v>9200</v>
      </c>
      <c r="H281" s="8" t="s">
        <v>11</v>
      </c>
      <c r="I281" s="8" t="s">
        <v>12</v>
      </c>
      <c r="J281" s="0" t="s">
        <v>13</v>
      </c>
    </row>
    <row r="282" customFormat="false" ht="15" hidden="false" customHeight="false" outlineLevel="0" collapsed="false">
      <c r="A282" s="6" t="n">
        <v>43696</v>
      </c>
      <c r="B282" s="7" t="n">
        <v>0.160416666666667</v>
      </c>
      <c r="C282" s="8" t="n">
        <v>112748</v>
      </c>
      <c r="D282" s="8" t="s">
        <v>14</v>
      </c>
      <c r="E282" s="8" t="n">
        <v>25860</v>
      </c>
      <c r="F282" s="8" t="n">
        <v>16200</v>
      </c>
      <c r="G282" s="9" t="n">
        <v>9660</v>
      </c>
      <c r="H282" s="8" t="s">
        <v>11</v>
      </c>
      <c r="I282" s="8" t="s">
        <v>12</v>
      </c>
      <c r="J282" s="0" t="s">
        <v>13</v>
      </c>
    </row>
    <row r="283" customFormat="false" ht="15" hidden="false" customHeight="false" outlineLevel="0" collapsed="false">
      <c r="A283" s="6" t="n">
        <v>43696</v>
      </c>
      <c r="B283" s="7" t="n">
        <v>0.164583333333333</v>
      </c>
      <c r="C283" s="8" t="n">
        <v>112749</v>
      </c>
      <c r="D283" s="8" t="s">
        <v>15</v>
      </c>
      <c r="E283" s="8" t="n">
        <v>4940</v>
      </c>
      <c r="F283" s="8" t="n">
        <v>3600</v>
      </c>
      <c r="G283" s="9" t="n">
        <v>1340</v>
      </c>
      <c r="H283" s="8" t="s">
        <v>11</v>
      </c>
      <c r="I283" s="8" t="s">
        <v>12</v>
      </c>
      <c r="J283" s="0" t="s">
        <v>13</v>
      </c>
    </row>
    <row r="284" customFormat="false" ht="15" hidden="false" customHeight="false" outlineLevel="0" collapsed="false">
      <c r="A284" s="6" t="n">
        <v>43696</v>
      </c>
      <c r="B284" s="7" t="n">
        <v>0.223611111111111</v>
      </c>
      <c r="C284" s="8" t="n">
        <v>112754</v>
      </c>
      <c r="D284" s="8" t="s">
        <v>10</v>
      </c>
      <c r="E284" s="8" t="n">
        <v>18720</v>
      </c>
      <c r="F284" s="8" t="n">
        <v>13140</v>
      </c>
      <c r="G284" s="9" t="n">
        <v>5580</v>
      </c>
      <c r="H284" s="8" t="s">
        <v>11</v>
      </c>
      <c r="I284" s="8" t="s">
        <v>12</v>
      </c>
      <c r="J284" s="0" t="s">
        <v>13</v>
      </c>
    </row>
    <row r="285" customFormat="false" ht="15" hidden="false" customHeight="false" outlineLevel="0" collapsed="false">
      <c r="A285" s="6" t="n">
        <v>43696</v>
      </c>
      <c r="B285" s="7" t="n">
        <v>0.233333333333333</v>
      </c>
      <c r="C285" s="8" t="n">
        <v>112755</v>
      </c>
      <c r="D285" s="8" t="s">
        <v>15</v>
      </c>
      <c r="E285" s="8" t="n">
        <v>4420</v>
      </c>
      <c r="F285" s="8" t="n">
        <v>3600</v>
      </c>
      <c r="G285" s="9" t="n">
        <v>820</v>
      </c>
      <c r="H285" s="8" t="s">
        <v>11</v>
      </c>
      <c r="I285" s="8" t="s">
        <v>12</v>
      </c>
      <c r="J285" s="0" t="s">
        <v>13</v>
      </c>
    </row>
    <row r="286" customFormat="false" ht="15" hidden="false" customHeight="false" outlineLevel="0" collapsed="false">
      <c r="A286" s="6" t="n">
        <v>43696</v>
      </c>
      <c r="B286" s="7" t="n">
        <v>0.451388888888889</v>
      </c>
      <c r="C286" s="10" t="s">
        <v>23</v>
      </c>
      <c r="D286" s="8" t="s">
        <v>20</v>
      </c>
      <c r="E286" s="8" t="n">
        <v>19120</v>
      </c>
      <c r="F286" s="8" t="n">
        <v>15760</v>
      </c>
      <c r="G286" s="9" t="n">
        <v>3360</v>
      </c>
      <c r="H286" s="8" t="s">
        <v>11</v>
      </c>
      <c r="I286" s="8" t="s">
        <v>24</v>
      </c>
      <c r="J286" s="0" t="s">
        <v>13</v>
      </c>
    </row>
    <row r="287" customFormat="false" ht="13.8" hidden="false" customHeight="false" outlineLevel="0" collapsed="false">
      <c r="A287" s="6" t="n">
        <v>43696</v>
      </c>
      <c r="B287" s="7" t="n">
        <v>0.635416666666667</v>
      </c>
      <c r="C287" s="8" t="n">
        <v>112811</v>
      </c>
      <c r="D287" s="8" t="s">
        <v>16</v>
      </c>
      <c r="E287" s="8" t="n">
        <v>3060</v>
      </c>
      <c r="F287" s="8" t="n">
        <v>2740</v>
      </c>
      <c r="G287" s="9" t="n">
        <v>320</v>
      </c>
      <c r="H287" s="8" t="s">
        <v>11</v>
      </c>
      <c r="I287" s="8" t="s">
        <v>18</v>
      </c>
      <c r="J287" s="0" t="s">
        <v>13</v>
      </c>
    </row>
    <row r="288" customFormat="false" ht="15" hidden="false" customHeight="false" outlineLevel="0" collapsed="false">
      <c r="A288" s="6" t="n">
        <v>43696</v>
      </c>
      <c r="B288" s="7" t="n">
        <v>0.563888888888889</v>
      </c>
      <c r="C288" s="8" t="n">
        <v>112804</v>
      </c>
      <c r="D288" s="8" t="s">
        <v>16</v>
      </c>
      <c r="E288" s="8" t="n">
        <v>3320</v>
      </c>
      <c r="F288" s="8" t="n">
        <v>2800</v>
      </c>
      <c r="G288" s="9" t="n">
        <v>520</v>
      </c>
      <c r="H288" s="8" t="s">
        <v>11</v>
      </c>
      <c r="I288" s="8" t="s">
        <v>18</v>
      </c>
      <c r="J288" s="0" t="s">
        <v>13</v>
      </c>
    </row>
    <row r="289" customFormat="false" ht="15" hidden="false" customHeight="false" outlineLevel="0" collapsed="false">
      <c r="A289" s="6" t="n">
        <v>43696</v>
      </c>
      <c r="B289" s="7" t="n">
        <v>0.397916666666667</v>
      </c>
      <c r="C289" s="8" t="n">
        <v>112781</v>
      </c>
      <c r="D289" s="8" t="s">
        <v>10</v>
      </c>
      <c r="E289" s="8" t="n">
        <v>17180</v>
      </c>
      <c r="F289" s="8" t="n">
        <v>12440</v>
      </c>
      <c r="G289" s="9" t="n">
        <v>4740</v>
      </c>
      <c r="H289" s="6" t="s">
        <v>11</v>
      </c>
      <c r="I289" s="8" t="s">
        <v>12</v>
      </c>
      <c r="J289" s="0" t="s">
        <v>13</v>
      </c>
    </row>
    <row r="290" customFormat="false" ht="15" hidden="false" customHeight="false" outlineLevel="0" collapsed="false">
      <c r="A290" s="6" t="n">
        <v>43696</v>
      </c>
      <c r="B290" s="7" t="n">
        <v>0.352777777777778</v>
      </c>
      <c r="C290" s="8" t="n">
        <v>112773</v>
      </c>
      <c r="D290" s="8" t="s">
        <v>16</v>
      </c>
      <c r="E290" s="8" t="n">
        <v>3600</v>
      </c>
      <c r="F290" s="8" t="n">
        <v>2900</v>
      </c>
      <c r="G290" s="9" t="n">
        <v>700</v>
      </c>
      <c r="H290" s="8" t="s">
        <v>11</v>
      </c>
      <c r="I290" s="8" t="s">
        <v>18</v>
      </c>
      <c r="J290" s="0" t="s">
        <v>13</v>
      </c>
    </row>
    <row r="291" customFormat="false" ht="15" hidden="false" customHeight="false" outlineLevel="0" collapsed="false">
      <c r="A291" s="6" t="n">
        <v>43696</v>
      </c>
      <c r="B291" s="7" t="n">
        <v>0.449305555555556</v>
      </c>
      <c r="C291" s="8" t="n">
        <v>112788</v>
      </c>
      <c r="D291" s="8" t="s">
        <v>16</v>
      </c>
      <c r="E291" s="8" t="n">
        <v>3540</v>
      </c>
      <c r="F291" s="8" t="n">
        <v>2900</v>
      </c>
      <c r="G291" s="9" t="n">
        <v>640</v>
      </c>
      <c r="H291" s="8" t="s">
        <v>11</v>
      </c>
      <c r="I291" s="8" t="s">
        <v>12</v>
      </c>
      <c r="J291" s="0" t="s">
        <v>13</v>
      </c>
    </row>
    <row r="292" customFormat="false" ht="15" hidden="false" customHeight="false" outlineLevel="0" collapsed="false">
      <c r="A292" s="6" t="n">
        <v>43696</v>
      </c>
      <c r="B292" s="7" t="n">
        <v>0.701388888888889</v>
      </c>
      <c r="C292" s="8" t="n">
        <v>112813</v>
      </c>
      <c r="D292" s="8" t="s">
        <v>10</v>
      </c>
      <c r="E292" s="8" t="n">
        <v>16740</v>
      </c>
      <c r="F292" s="8" t="n">
        <v>12820</v>
      </c>
      <c r="G292" s="9" t="n">
        <v>3920</v>
      </c>
      <c r="H292" s="8" t="s">
        <v>11</v>
      </c>
      <c r="I292" s="8" t="s">
        <v>12</v>
      </c>
      <c r="J292" s="0" t="s">
        <v>13</v>
      </c>
    </row>
    <row r="293" customFormat="false" ht="15" hidden="false" customHeight="false" outlineLevel="0" collapsed="false">
      <c r="A293" s="6" t="n">
        <v>43696</v>
      </c>
      <c r="B293" s="7" t="n">
        <v>0.801388888888889</v>
      </c>
      <c r="C293" s="8" t="n">
        <v>112816</v>
      </c>
      <c r="D293" s="8" t="s">
        <v>19</v>
      </c>
      <c r="E293" s="8" t="n">
        <v>3160</v>
      </c>
      <c r="F293" s="8" t="n">
        <v>2780</v>
      </c>
      <c r="G293" s="9" t="n">
        <v>380</v>
      </c>
      <c r="H293" s="8" t="s">
        <v>11</v>
      </c>
      <c r="I293" s="8" t="s">
        <v>12</v>
      </c>
      <c r="J293" s="0" t="s">
        <v>13</v>
      </c>
    </row>
    <row r="294" customFormat="false" ht="15" hidden="false" customHeight="false" outlineLevel="0" collapsed="false">
      <c r="A294" s="6" t="n">
        <v>43696</v>
      </c>
      <c r="B294" s="7" t="n">
        <v>0.8875</v>
      </c>
      <c r="C294" s="8" t="n">
        <v>112817</v>
      </c>
      <c r="D294" s="8" t="s">
        <v>14</v>
      </c>
      <c r="E294" s="8" t="n">
        <v>25840</v>
      </c>
      <c r="F294" s="8" t="n">
        <v>15860</v>
      </c>
      <c r="G294" s="9" t="n">
        <v>9980</v>
      </c>
      <c r="H294" s="8" t="s">
        <v>11</v>
      </c>
      <c r="I294" s="8" t="s">
        <v>12</v>
      </c>
      <c r="J294" s="0" t="s">
        <v>13</v>
      </c>
    </row>
    <row r="295" customFormat="false" ht="15" hidden="false" customHeight="false" outlineLevel="0" collapsed="false">
      <c r="A295" s="6" t="n">
        <v>43697</v>
      </c>
      <c r="B295" s="7" t="n">
        <v>0.0361111111111111</v>
      </c>
      <c r="C295" s="8" t="n">
        <v>112821</v>
      </c>
      <c r="D295" s="8" t="s">
        <v>10</v>
      </c>
      <c r="E295" s="8" t="n">
        <v>22180</v>
      </c>
      <c r="F295" s="8" t="n">
        <v>13100</v>
      </c>
      <c r="G295" s="9" t="n">
        <v>9080</v>
      </c>
      <c r="H295" s="8" t="s">
        <v>11</v>
      </c>
      <c r="I295" s="8" t="s">
        <v>12</v>
      </c>
      <c r="J295" s="0" t="s">
        <v>13</v>
      </c>
    </row>
    <row r="296" customFormat="false" ht="15" hidden="false" customHeight="false" outlineLevel="0" collapsed="false">
      <c r="A296" s="6" t="n">
        <v>43697</v>
      </c>
      <c r="B296" s="7" t="n">
        <v>0.122222222222222</v>
      </c>
      <c r="C296" s="8" t="n">
        <v>112826</v>
      </c>
      <c r="D296" s="8" t="s">
        <v>20</v>
      </c>
      <c r="E296" s="8" t="n">
        <v>24500</v>
      </c>
      <c r="F296" s="8" t="n">
        <v>16040</v>
      </c>
      <c r="G296" s="9" t="n">
        <v>8460</v>
      </c>
      <c r="H296" s="8" t="s">
        <v>11</v>
      </c>
      <c r="I296" s="8" t="s">
        <v>12</v>
      </c>
      <c r="J296" s="0" t="s">
        <v>13</v>
      </c>
    </row>
    <row r="297" customFormat="false" ht="15" hidden="false" customHeight="false" outlineLevel="0" collapsed="false">
      <c r="A297" s="6" t="n">
        <v>43697</v>
      </c>
      <c r="B297" s="7" t="n">
        <v>0.127083333333333</v>
      </c>
      <c r="C297" s="8" t="n">
        <v>112828</v>
      </c>
      <c r="D297" s="8" t="s">
        <v>19</v>
      </c>
      <c r="E297" s="8" t="n">
        <v>3480</v>
      </c>
      <c r="F297" s="8" t="n">
        <v>2680</v>
      </c>
      <c r="G297" s="9" t="n">
        <v>800</v>
      </c>
      <c r="H297" s="8" t="s">
        <v>11</v>
      </c>
      <c r="I297" s="8" t="s">
        <v>12</v>
      </c>
      <c r="J297" s="0" t="s">
        <v>13</v>
      </c>
    </row>
    <row r="298" customFormat="false" ht="15" hidden="false" customHeight="false" outlineLevel="0" collapsed="false">
      <c r="A298" s="6" t="n">
        <v>43697</v>
      </c>
      <c r="B298" s="7" t="n">
        <v>0.139583333333333</v>
      </c>
      <c r="C298" s="8" t="n">
        <v>112829</v>
      </c>
      <c r="D298" s="8" t="s">
        <v>10</v>
      </c>
      <c r="E298" s="8" t="n">
        <v>22780</v>
      </c>
      <c r="F298" s="8" t="n">
        <v>12900</v>
      </c>
      <c r="G298" s="9" t="n">
        <v>9880</v>
      </c>
      <c r="H298" s="8" t="s">
        <v>11</v>
      </c>
      <c r="I298" s="8" t="s">
        <v>12</v>
      </c>
      <c r="J298" s="0" t="s">
        <v>13</v>
      </c>
    </row>
    <row r="299" customFormat="false" ht="15" hidden="false" customHeight="false" outlineLevel="0" collapsed="false">
      <c r="A299" s="6" t="n">
        <v>43697</v>
      </c>
      <c r="B299" s="7" t="n">
        <v>0.149305555555556</v>
      </c>
      <c r="C299" s="8" t="n">
        <v>112830</v>
      </c>
      <c r="D299" s="8" t="s">
        <v>14</v>
      </c>
      <c r="E299" s="8" t="n">
        <v>26120</v>
      </c>
      <c r="F299" s="8" t="n">
        <v>15860</v>
      </c>
      <c r="G299" s="9" t="n">
        <v>10260</v>
      </c>
      <c r="H299" s="8" t="s">
        <v>11</v>
      </c>
      <c r="I299" s="8" t="s">
        <v>12</v>
      </c>
      <c r="J299" s="0" t="s">
        <v>13</v>
      </c>
    </row>
    <row r="300" customFormat="false" ht="15" hidden="false" customHeight="false" outlineLevel="0" collapsed="false">
      <c r="A300" s="6" t="n">
        <v>43697</v>
      </c>
      <c r="B300" s="7" t="n">
        <v>0.197916666666667</v>
      </c>
      <c r="C300" s="8" t="n">
        <v>112834</v>
      </c>
      <c r="D300" s="8" t="s">
        <v>19</v>
      </c>
      <c r="E300" s="8" t="n">
        <v>3420</v>
      </c>
      <c r="F300" s="8" t="n">
        <v>2680</v>
      </c>
      <c r="G300" s="9" t="n">
        <v>740</v>
      </c>
      <c r="H300" s="8" t="s">
        <v>11</v>
      </c>
      <c r="I300" s="8" t="s">
        <v>12</v>
      </c>
      <c r="J300" s="0" t="s">
        <v>13</v>
      </c>
    </row>
    <row r="301" customFormat="false" ht="15" hidden="false" customHeight="false" outlineLevel="0" collapsed="false">
      <c r="A301" s="6" t="n">
        <v>43697</v>
      </c>
      <c r="B301" s="7" t="n">
        <v>0.216666666666667</v>
      </c>
      <c r="C301" s="8" t="n">
        <v>112836</v>
      </c>
      <c r="D301" s="8" t="s">
        <v>10</v>
      </c>
      <c r="E301" s="8" t="n">
        <v>18360</v>
      </c>
      <c r="F301" s="8" t="n">
        <v>12980</v>
      </c>
      <c r="G301" s="9" t="n">
        <v>5380</v>
      </c>
      <c r="H301" s="8" t="s">
        <v>11</v>
      </c>
      <c r="I301" s="8" t="s">
        <v>12</v>
      </c>
      <c r="J301" s="0" t="s">
        <v>13</v>
      </c>
    </row>
    <row r="302" customFormat="false" ht="15" hidden="false" customHeight="false" outlineLevel="0" collapsed="false">
      <c r="A302" s="6" t="n">
        <v>43697</v>
      </c>
      <c r="B302" s="7" t="n">
        <v>0.242361111111111</v>
      </c>
      <c r="C302" s="8" t="n">
        <v>112838</v>
      </c>
      <c r="D302" s="8" t="s">
        <v>15</v>
      </c>
      <c r="E302" s="8" t="n">
        <v>4140</v>
      </c>
      <c r="F302" s="8" t="n">
        <v>3560</v>
      </c>
      <c r="G302" s="9" t="n">
        <v>580</v>
      </c>
      <c r="H302" s="8" t="s">
        <v>11</v>
      </c>
      <c r="I302" s="8" t="s">
        <v>12</v>
      </c>
      <c r="J302" s="0" t="s">
        <v>13</v>
      </c>
    </row>
    <row r="303" customFormat="false" ht="15" hidden="false" customHeight="false" outlineLevel="0" collapsed="false">
      <c r="A303" s="6" t="n">
        <v>43697</v>
      </c>
      <c r="B303" s="7" t="n">
        <v>0.395833333333333</v>
      </c>
      <c r="C303" s="8" t="n">
        <v>112853</v>
      </c>
      <c r="D303" s="8" t="s">
        <v>16</v>
      </c>
      <c r="E303" s="8" t="n">
        <v>3680</v>
      </c>
      <c r="F303" s="8" t="n">
        <v>2860</v>
      </c>
      <c r="G303" s="9" t="n">
        <v>820</v>
      </c>
      <c r="H303" s="8" t="s">
        <v>11</v>
      </c>
      <c r="I303" s="8" t="s">
        <v>12</v>
      </c>
      <c r="J303" s="0" t="s">
        <v>13</v>
      </c>
    </row>
    <row r="304" customFormat="false" ht="15" hidden="false" customHeight="false" outlineLevel="0" collapsed="false">
      <c r="A304" s="6" t="n">
        <v>43697</v>
      </c>
      <c r="B304" s="7" t="n">
        <v>0.690972222222222</v>
      </c>
      <c r="C304" s="8" t="n">
        <v>112864</v>
      </c>
      <c r="D304" s="8" t="s">
        <v>10</v>
      </c>
      <c r="E304" s="8" t="n">
        <v>16300</v>
      </c>
      <c r="F304" s="8" t="n">
        <v>12800</v>
      </c>
      <c r="G304" s="9" t="n">
        <v>3500</v>
      </c>
      <c r="H304" s="8" t="s">
        <v>11</v>
      </c>
      <c r="I304" s="8" t="s">
        <v>12</v>
      </c>
      <c r="J304" s="0" t="s">
        <v>13</v>
      </c>
    </row>
    <row r="305" customFormat="false" ht="15" hidden="false" customHeight="false" outlineLevel="0" collapsed="false">
      <c r="A305" s="6" t="n">
        <v>43697</v>
      </c>
      <c r="B305" s="7" t="n">
        <v>0.788194444444444</v>
      </c>
      <c r="C305" s="8" t="n">
        <v>112866</v>
      </c>
      <c r="D305" s="8" t="s">
        <v>19</v>
      </c>
      <c r="E305" s="8" t="n">
        <v>2980</v>
      </c>
      <c r="F305" s="8" t="n">
        <v>2820</v>
      </c>
      <c r="G305" s="9" t="n">
        <v>160</v>
      </c>
      <c r="H305" s="8" t="s">
        <v>11</v>
      </c>
      <c r="I305" s="8" t="s">
        <v>12</v>
      </c>
      <c r="J305" s="0" t="s">
        <v>13</v>
      </c>
    </row>
    <row r="306" customFormat="false" ht="15" hidden="false" customHeight="false" outlineLevel="0" collapsed="false">
      <c r="A306" s="6" t="n">
        <v>43697</v>
      </c>
      <c r="B306" s="7" t="n">
        <v>0.90625</v>
      </c>
      <c r="C306" s="8" t="n">
        <v>112868</v>
      </c>
      <c r="D306" s="8" t="s">
        <v>14</v>
      </c>
      <c r="E306" s="8" t="n">
        <v>25920</v>
      </c>
      <c r="F306" s="8" t="n">
        <v>16100</v>
      </c>
      <c r="G306" s="9" t="n">
        <v>9820</v>
      </c>
      <c r="H306" s="8" t="s">
        <v>11</v>
      </c>
      <c r="I306" s="8" t="s">
        <v>12</v>
      </c>
      <c r="J306" s="0" t="s">
        <v>13</v>
      </c>
    </row>
    <row r="307" customFormat="false" ht="15" hidden="false" customHeight="false" outlineLevel="0" collapsed="false">
      <c r="A307" s="6" t="n">
        <v>43697</v>
      </c>
      <c r="B307" s="7" t="n">
        <v>0.919444444444444</v>
      </c>
      <c r="C307" s="8" t="n">
        <v>112869</v>
      </c>
      <c r="D307" s="8" t="s">
        <v>16</v>
      </c>
      <c r="E307" s="8" t="n">
        <v>3160</v>
      </c>
      <c r="F307" s="8" t="n">
        <v>2980</v>
      </c>
      <c r="G307" s="9" t="n">
        <v>180</v>
      </c>
      <c r="H307" s="8" t="s">
        <v>11</v>
      </c>
      <c r="I307" s="8" t="s">
        <v>12</v>
      </c>
      <c r="J307" s="0" t="s">
        <v>13</v>
      </c>
    </row>
    <row r="308" customFormat="false" ht="15" hidden="false" customHeight="false" outlineLevel="0" collapsed="false">
      <c r="A308" s="6" t="n">
        <v>43697</v>
      </c>
      <c r="B308" s="7" t="n">
        <v>0.429861111111111</v>
      </c>
      <c r="C308" s="8" t="n">
        <v>91423</v>
      </c>
      <c r="D308" s="8" t="s">
        <v>20</v>
      </c>
      <c r="E308" s="8" t="n">
        <v>18460</v>
      </c>
      <c r="F308" s="8" t="n">
        <v>16120</v>
      </c>
      <c r="G308" s="9" t="n">
        <v>2340</v>
      </c>
      <c r="H308" s="8" t="s">
        <v>11</v>
      </c>
      <c r="I308" s="8" t="s">
        <v>25</v>
      </c>
      <c r="J308" s="0" t="s">
        <v>13</v>
      </c>
    </row>
    <row r="309" customFormat="false" ht="15" hidden="false" customHeight="false" outlineLevel="0" collapsed="false">
      <c r="A309" s="6" t="n">
        <v>43698</v>
      </c>
      <c r="B309" s="7" t="n">
        <v>0.0361111111111111</v>
      </c>
      <c r="C309" s="8" t="n">
        <v>112871</v>
      </c>
      <c r="D309" s="8" t="s">
        <v>10</v>
      </c>
      <c r="E309" s="8" t="n">
        <v>22340</v>
      </c>
      <c r="F309" s="8" t="n">
        <v>13080</v>
      </c>
      <c r="G309" s="9" t="n">
        <v>9260</v>
      </c>
      <c r="H309" s="8" t="s">
        <v>11</v>
      </c>
      <c r="I309" s="8" t="s">
        <v>12</v>
      </c>
      <c r="J309" s="0" t="s">
        <v>13</v>
      </c>
    </row>
    <row r="310" customFormat="false" ht="15" hidden="false" customHeight="false" outlineLevel="0" collapsed="false">
      <c r="A310" s="6" t="n">
        <v>43698</v>
      </c>
      <c r="B310" s="7" t="n">
        <v>0.0534722222222222</v>
      </c>
      <c r="C310" s="8" t="n">
        <v>112872</v>
      </c>
      <c r="D310" s="8" t="s">
        <v>15</v>
      </c>
      <c r="E310" s="8" t="n">
        <v>3960</v>
      </c>
      <c r="F310" s="8" t="n">
        <v>3600</v>
      </c>
      <c r="G310" s="9" t="n">
        <v>360</v>
      </c>
      <c r="H310" s="8" t="s">
        <v>11</v>
      </c>
      <c r="I310" s="8" t="s">
        <v>12</v>
      </c>
      <c r="J310" s="0" t="s">
        <v>13</v>
      </c>
    </row>
    <row r="311" customFormat="false" ht="15" hidden="false" customHeight="false" outlineLevel="0" collapsed="false">
      <c r="A311" s="6" t="n">
        <v>43698</v>
      </c>
      <c r="B311" s="7" t="n">
        <v>0.128472222222222</v>
      </c>
      <c r="C311" s="8" t="n">
        <v>112878</v>
      </c>
      <c r="D311" s="8" t="s">
        <v>16</v>
      </c>
      <c r="E311" s="8" t="n">
        <v>2940</v>
      </c>
      <c r="F311" s="8" t="n">
        <v>2760</v>
      </c>
      <c r="G311" s="9" t="n">
        <v>180</v>
      </c>
      <c r="H311" s="8" t="s">
        <v>11</v>
      </c>
      <c r="I311" s="8" t="s">
        <v>12</v>
      </c>
      <c r="J311" s="0" t="s">
        <v>13</v>
      </c>
    </row>
    <row r="312" customFormat="false" ht="15" hidden="false" customHeight="false" outlineLevel="0" collapsed="false">
      <c r="A312" s="6" t="n">
        <v>43698</v>
      </c>
      <c r="B312" s="7" t="n">
        <v>0.130555555555556</v>
      </c>
      <c r="C312" s="8" t="n">
        <v>112879</v>
      </c>
      <c r="D312" s="8" t="s">
        <v>20</v>
      </c>
      <c r="E312" s="8" t="n">
        <v>26880</v>
      </c>
      <c r="F312" s="8" t="n">
        <v>16220</v>
      </c>
      <c r="G312" s="9" t="n">
        <v>10660</v>
      </c>
      <c r="H312" s="8" t="s">
        <v>11</v>
      </c>
      <c r="I312" s="8" t="s">
        <v>12</v>
      </c>
      <c r="J312" s="0" t="s">
        <v>13</v>
      </c>
    </row>
    <row r="313" customFormat="false" ht="15" hidden="false" customHeight="false" outlineLevel="0" collapsed="false">
      <c r="A313" s="6" t="n">
        <v>43698</v>
      </c>
      <c r="B313" s="7" t="n">
        <v>0.135416666666667</v>
      </c>
      <c r="C313" s="8" t="n">
        <v>112880</v>
      </c>
      <c r="D313" s="8" t="s">
        <v>10</v>
      </c>
      <c r="E313" s="8" t="n">
        <v>22800</v>
      </c>
      <c r="F313" s="8" t="n">
        <v>12940</v>
      </c>
      <c r="G313" s="9" t="n">
        <v>9860</v>
      </c>
      <c r="H313" s="8" t="s">
        <v>11</v>
      </c>
      <c r="I313" s="8" t="s">
        <v>12</v>
      </c>
      <c r="J313" s="0" t="s">
        <v>13</v>
      </c>
    </row>
    <row r="314" customFormat="false" ht="15" hidden="false" customHeight="false" outlineLevel="0" collapsed="false">
      <c r="A314" s="6" t="n">
        <v>43698</v>
      </c>
      <c r="B314" s="7" t="n">
        <v>0.163888888888889</v>
      </c>
      <c r="C314" s="8" t="n">
        <v>112881</v>
      </c>
      <c r="D314" s="8" t="s">
        <v>15</v>
      </c>
      <c r="E314" s="8" t="n">
        <v>4860</v>
      </c>
      <c r="F314" s="8" t="n">
        <v>3580</v>
      </c>
      <c r="G314" s="9" t="n">
        <v>1280</v>
      </c>
      <c r="H314" s="8" t="s">
        <v>11</v>
      </c>
      <c r="I314" s="8" t="s">
        <v>12</v>
      </c>
      <c r="J314" s="0" t="s">
        <v>13</v>
      </c>
    </row>
    <row r="315" customFormat="false" ht="15" hidden="false" customHeight="false" outlineLevel="0" collapsed="false">
      <c r="A315" s="6" t="n">
        <v>43698</v>
      </c>
      <c r="B315" s="7" t="n">
        <v>0.221527777777778</v>
      </c>
      <c r="C315" s="8" t="n">
        <v>112886</v>
      </c>
      <c r="D315" s="8" t="s">
        <v>14</v>
      </c>
      <c r="E315" s="8" t="n">
        <v>27300</v>
      </c>
      <c r="F315" s="8" t="n">
        <v>16480</v>
      </c>
      <c r="G315" s="9" t="n">
        <v>10820</v>
      </c>
      <c r="H315" s="8" t="s">
        <v>11</v>
      </c>
      <c r="I315" s="8" t="s">
        <v>12</v>
      </c>
      <c r="J315" s="0" t="s">
        <v>13</v>
      </c>
    </row>
    <row r="316" customFormat="false" ht="15" hidden="false" customHeight="false" outlineLevel="0" collapsed="false">
      <c r="A316" s="6" t="n">
        <v>43698</v>
      </c>
      <c r="B316" s="7" t="n">
        <v>0.222916666666667</v>
      </c>
      <c r="C316" s="8" t="n">
        <v>112887</v>
      </c>
      <c r="D316" s="8" t="s">
        <v>10</v>
      </c>
      <c r="E316" s="8" t="n">
        <v>18400</v>
      </c>
      <c r="F316" s="8" t="n">
        <v>13040</v>
      </c>
      <c r="G316" s="9" t="n">
        <v>5360</v>
      </c>
      <c r="H316" s="8" t="s">
        <v>11</v>
      </c>
      <c r="I316" s="8" t="s">
        <v>12</v>
      </c>
      <c r="J316" s="0" t="s">
        <v>13</v>
      </c>
    </row>
    <row r="317" customFormat="false" ht="15" hidden="false" customHeight="false" outlineLevel="0" collapsed="false">
      <c r="A317" s="6" t="n">
        <v>43698</v>
      </c>
      <c r="B317" s="8" t="n">
        <v>533</v>
      </c>
      <c r="C317" s="8" t="n">
        <v>112889</v>
      </c>
      <c r="D317" s="8" t="s">
        <v>15</v>
      </c>
      <c r="E317" s="8" t="n">
        <v>4440</v>
      </c>
      <c r="F317" s="8" t="n">
        <v>3480</v>
      </c>
      <c r="G317" s="9" t="n">
        <v>960</v>
      </c>
      <c r="H317" s="8" t="s">
        <v>11</v>
      </c>
      <c r="I317" s="8" t="s">
        <v>12</v>
      </c>
      <c r="J317" s="0" t="s">
        <v>13</v>
      </c>
    </row>
    <row r="318" customFormat="false" ht="15" hidden="false" customHeight="false" outlineLevel="0" collapsed="false">
      <c r="A318" s="6" t="n">
        <v>43698</v>
      </c>
      <c r="B318" s="7" t="n">
        <v>0.394444444444444</v>
      </c>
      <c r="C318" s="8" t="n">
        <v>112910</v>
      </c>
      <c r="D318" s="8" t="s">
        <v>10</v>
      </c>
      <c r="E318" s="8" t="n">
        <v>16960</v>
      </c>
      <c r="F318" s="8" t="n">
        <v>12480</v>
      </c>
      <c r="G318" s="9" t="n">
        <v>4480</v>
      </c>
      <c r="H318" s="8" t="s">
        <v>11</v>
      </c>
      <c r="I318" s="8" t="s">
        <v>12</v>
      </c>
      <c r="J318" s="0" t="s">
        <v>13</v>
      </c>
    </row>
    <row r="319" customFormat="false" ht="15" hidden="false" customHeight="false" outlineLevel="0" collapsed="false">
      <c r="A319" s="6" t="n">
        <v>43698</v>
      </c>
      <c r="B319" s="7" t="n">
        <v>0.465972222222222</v>
      </c>
      <c r="C319" s="8" t="n">
        <v>112916</v>
      </c>
      <c r="D319" s="8" t="s">
        <v>16</v>
      </c>
      <c r="E319" s="8" t="n">
        <v>3340</v>
      </c>
      <c r="F319" s="8" t="n">
        <v>2740</v>
      </c>
      <c r="G319" s="9" t="n">
        <v>600</v>
      </c>
      <c r="H319" s="8" t="s">
        <v>11</v>
      </c>
      <c r="I319" s="8" t="s">
        <v>12</v>
      </c>
      <c r="J319" s="0" t="s">
        <v>13</v>
      </c>
    </row>
    <row r="320" customFormat="false" ht="13.8" hidden="false" customHeight="false" outlineLevel="0" collapsed="false">
      <c r="A320" s="6" t="n">
        <v>43698</v>
      </c>
      <c r="B320" s="7" t="n">
        <v>0.55625</v>
      </c>
      <c r="C320" s="8" t="n">
        <v>112930</v>
      </c>
      <c r="D320" s="8" t="s">
        <v>19</v>
      </c>
      <c r="E320" s="8" t="n">
        <v>3720</v>
      </c>
      <c r="F320" s="8" t="n">
        <v>2820</v>
      </c>
      <c r="G320" s="9" t="n">
        <v>900</v>
      </c>
      <c r="H320" s="8" t="s">
        <v>11</v>
      </c>
      <c r="I320" s="8" t="s">
        <v>12</v>
      </c>
      <c r="J320" s="0" t="s">
        <v>13</v>
      </c>
    </row>
    <row r="321" customFormat="false" ht="15" hidden="false" customHeight="false" outlineLevel="0" collapsed="false">
      <c r="A321" s="6" t="n">
        <v>43698</v>
      </c>
      <c r="B321" s="7" t="n">
        <v>0.350694444444444</v>
      </c>
      <c r="C321" s="8" t="n">
        <v>112903</v>
      </c>
      <c r="D321" s="8" t="s">
        <v>16</v>
      </c>
      <c r="E321" s="8" t="n">
        <v>3460</v>
      </c>
      <c r="F321" s="8" t="n">
        <v>2760</v>
      </c>
      <c r="G321" s="9" t="n">
        <v>700</v>
      </c>
      <c r="H321" s="8" t="s">
        <v>11</v>
      </c>
      <c r="I321" s="8" t="s">
        <v>18</v>
      </c>
      <c r="J321" s="0" t="s">
        <v>13</v>
      </c>
    </row>
    <row r="322" customFormat="false" ht="15" hidden="false" customHeight="false" outlineLevel="0" collapsed="false">
      <c r="A322" s="6" t="n">
        <v>43698</v>
      </c>
      <c r="B322" s="7" t="n">
        <v>0.686111111111111</v>
      </c>
      <c r="C322" s="8" t="n">
        <v>112941</v>
      </c>
      <c r="D322" s="8" t="s">
        <v>10</v>
      </c>
      <c r="E322" s="8" t="n">
        <v>16200</v>
      </c>
      <c r="F322" s="8" t="n">
        <v>12840</v>
      </c>
      <c r="G322" s="9" t="n">
        <v>3360</v>
      </c>
      <c r="H322" s="8" t="s">
        <v>11</v>
      </c>
      <c r="I322" s="8" t="s">
        <v>12</v>
      </c>
      <c r="J322" s="0" t="s">
        <v>13</v>
      </c>
    </row>
    <row r="323" customFormat="false" ht="15" hidden="false" customHeight="false" outlineLevel="0" collapsed="false">
      <c r="A323" s="6" t="n">
        <v>43698</v>
      </c>
      <c r="B323" s="7" t="n">
        <v>0.73125</v>
      </c>
      <c r="C323" s="8" t="n">
        <v>112943</v>
      </c>
      <c r="D323" s="8" t="s">
        <v>19</v>
      </c>
      <c r="E323" s="8" t="n">
        <v>3060</v>
      </c>
      <c r="F323" s="8" t="n">
        <v>2760</v>
      </c>
      <c r="G323" s="9" t="n">
        <v>300</v>
      </c>
      <c r="H323" s="8" t="s">
        <v>11</v>
      </c>
      <c r="I323" s="8" t="s">
        <v>12</v>
      </c>
      <c r="J323" s="0" t="s">
        <v>13</v>
      </c>
    </row>
    <row r="324" customFormat="false" ht="15" hidden="false" customHeight="false" outlineLevel="0" collapsed="false">
      <c r="A324" s="6" t="n">
        <v>43698</v>
      </c>
      <c r="B324" s="7" t="n">
        <v>0.854861111111111</v>
      </c>
      <c r="C324" s="8" t="n">
        <v>112947</v>
      </c>
      <c r="D324" s="8" t="s">
        <v>14</v>
      </c>
      <c r="E324" s="8" t="n">
        <v>27600</v>
      </c>
      <c r="F324" s="8" t="n">
        <v>15960</v>
      </c>
      <c r="G324" s="9" t="n">
        <v>11640</v>
      </c>
      <c r="H324" s="8" t="s">
        <v>11</v>
      </c>
      <c r="I324" s="8" t="s">
        <v>12</v>
      </c>
      <c r="J324" s="0" t="s">
        <v>13</v>
      </c>
    </row>
    <row r="325" customFormat="false" ht="15" hidden="false" customHeight="false" outlineLevel="0" collapsed="false">
      <c r="A325" s="6" t="n">
        <v>43698</v>
      </c>
      <c r="B325" s="7" t="n">
        <v>0.916666666666667</v>
      </c>
      <c r="C325" s="8" t="n">
        <v>112949</v>
      </c>
      <c r="D325" s="8" t="s">
        <v>16</v>
      </c>
      <c r="E325" s="8" t="n">
        <v>3260</v>
      </c>
      <c r="F325" s="8" t="n">
        <v>2920</v>
      </c>
      <c r="G325" s="9" t="n">
        <v>340</v>
      </c>
      <c r="H325" s="8" t="s">
        <v>11</v>
      </c>
      <c r="I325" s="8" t="s">
        <v>12</v>
      </c>
      <c r="J325" s="0" t="s">
        <v>13</v>
      </c>
    </row>
    <row r="326" customFormat="false" ht="15" hidden="false" customHeight="false" outlineLevel="0" collapsed="false">
      <c r="A326" s="6" t="n">
        <v>43699</v>
      </c>
      <c r="B326" s="7" t="n">
        <v>0.05</v>
      </c>
      <c r="C326" s="8" t="n">
        <v>112950</v>
      </c>
      <c r="D326" s="8" t="s">
        <v>10</v>
      </c>
      <c r="E326" s="8" t="n">
        <v>22560</v>
      </c>
      <c r="F326" s="8" t="n">
        <v>13040</v>
      </c>
      <c r="G326" s="9" t="n">
        <v>9520</v>
      </c>
      <c r="H326" s="8" t="s">
        <v>11</v>
      </c>
      <c r="I326" s="8" t="s">
        <v>12</v>
      </c>
      <c r="J326" s="0" t="s">
        <v>13</v>
      </c>
    </row>
    <row r="327" customFormat="false" ht="15" hidden="false" customHeight="false" outlineLevel="0" collapsed="false">
      <c r="A327" s="6" t="n">
        <v>43699</v>
      </c>
      <c r="B327" s="7" t="n">
        <v>0.0736111111111111</v>
      </c>
      <c r="C327" s="8" t="n">
        <v>112951</v>
      </c>
      <c r="D327" s="8" t="s">
        <v>15</v>
      </c>
      <c r="E327" s="8" t="n">
        <v>3800</v>
      </c>
      <c r="F327" s="8" t="n">
        <v>3480</v>
      </c>
      <c r="G327" s="9" t="n">
        <v>320</v>
      </c>
      <c r="H327" s="8" t="s">
        <v>11</v>
      </c>
      <c r="I327" s="8" t="s">
        <v>12</v>
      </c>
      <c r="J327" s="0" t="s">
        <v>13</v>
      </c>
    </row>
    <row r="328" customFormat="false" ht="15" hidden="false" customHeight="false" outlineLevel="0" collapsed="false">
      <c r="A328" s="6" t="n">
        <v>43699</v>
      </c>
      <c r="B328" s="7" t="n">
        <v>0.129861111111111</v>
      </c>
      <c r="C328" s="8" t="n">
        <v>112956</v>
      </c>
      <c r="D328" s="8" t="s">
        <v>14</v>
      </c>
      <c r="E328" s="8" t="n">
        <v>26240</v>
      </c>
      <c r="F328" s="8" t="n">
        <v>15940</v>
      </c>
      <c r="G328" s="9" t="n">
        <v>10300</v>
      </c>
      <c r="H328" s="8" t="s">
        <v>11</v>
      </c>
      <c r="I328" s="8" t="s">
        <v>12</v>
      </c>
      <c r="J328" s="0" t="s">
        <v>13</v>
      </c>
    </row>
    <row r="329" customFormat="false" ht="15" hidden="false" customHeight="false" outlineLevel="0" collapsed="false">
      <c r="A329" s="6" t="n">
        <v>43699</v>
      </c>
      <c r="B329" s="7" t="n">
        <v>0.145138888888889</v>
      </c>
      <c r="C329" s="8" t="n">
        <v>112958</v>
      </c>
      <c r="D329" s="8" t="s">
        <v>10</v>
      </c>
      <c r="E329" s="8" t="n">
        <v>20820</v>
      </c>
      <c r="F329" s="8" t="n">
        <v>12760</v>
      </c>
      <c r="G329" s="9" t="n">
        <v>8060</v>
      </c>
      <c r="H329" s="8" t="s">
        <v>11</v>
      </c>
      <c r="I329" s="8" t="s">
        <v>12</v>
      </c>
      <c r="J329" s="0" t="s">
        <v>13</v>
      </c>
    </row>
    <row r="330" customFormat="false" ht="15" hidden="false" customHeight="false" outlineLevel="0" collapsed="false">
      <c r="A330" s="6" t="n">
        <v>43699</v>
      </c>
      <c r="B330" s="7" t="n">
        <v>0.168055555555556</v>
      </c>
      <c r="C330" s="8" t="n">
        <v>112960</v>
      </c>
      <c r="D330" s="8" t="s">
        <v>15</v>
      </c>
      <c r="E330" s="8" t="n">
        <v>4780</v>
      </c>
      <c r="F330" s="8" t="n">
        <v>3560</v>
      </c>
      <c r="G330" s="9" t="n">
        <v>1220</v>
      </c>
      <c r="H330" s="8" t="s">
        <v>11</v>
      </c>
      <c r="I330" s="8" t="s">
        <v>12</v>
      </c>
      <c r="J330" s="0" t="s">
        <v>13</v>
      </c>
    </row>
    <row r="331" customFormat="false" ht="15" hidden="false" customHeight="false" outlineLevel="0" collapsed="false">
      <c r="A331" s="6" t="n">
        <v>43699</v>
      </c>
      <c r="B331" s="7" t="n">
        <v>0.232638888888889</v>
      </c>
      <c r="C331" s="8" t="n">
        <v>112964</v>
      </c>
      <c r="D331" s="8" t="s">
        <v>10</v>
      </c>
      <c r="E331" s="8" t="n">
        <v>17820</v>
      </c>
      <c r="F331" s="8" t="n">
        <v>12940</v>
      </c>
      <c r="G331" s="9" t="n">
        <v>4880</v>
      </c>
      <c r="H331" s="8" t="s">
        <v>11</v>
      </c>
      <c r="I331" s="8" t="s">
        <v>12</v>
      </c>
      <c r="J331" s="0" t="s">
        <v>13</v>
      </c>
    </row>
    <row r="332" customFormat="false" ht="15" hidden="false" customHeight="false" outlineLevel="0" collapsed="false">
      <c r="A332" s="6" t="n">
        <v>43699</v>
      </c>
      <c r="B332" s="7" t="n">
        <v>0.238888888888889</v>
      </c>
      <c r="C332" s="8" t="n">
        <v>112965</v>
      </c>
      <c r="D332" s="8" t="s">
        <v>15</v>
      </c>
      <c r="E332" s="8" t="n">
        <v>4380</v>
      </c>
      <c r="F332" s="8" t="n">
        <v>3560</v>
      </c>
      <c r="G332" s="9" t="n">
        <v>820</v>
      </c>
      <c r="H332" s="8" t="s">
        <v>11</v>
      </c>
      <c r="I332" s="8" t="s">
        <v>12</v>
      </c>
      <c r="J332" s="0" t="s">
        <v>13</v>
      </c>
    </row>
    <row r="333" customFormat="false" ht="15" hidden="false" customHeight="false" outlineLevel="0" collapsed="false">
      <c r="A333" s="6" t="n">
        <v>43699</v>
      </c>
      <c r="B333" s="7" t="n">
        <v>0.25</v>
      </c>
      <c r="C333" s="8" t="n">
        <v>112967</v>
      </c>
      <c r="D333" s="8" t="s">
        <v>14</v>
      </c>
      <c r="E333" s="8" t="n">
        <v>22720</v>
      </c>
      <c r="F333" s="8" t="n">
        <v>15980</v>
      </c>
      <c r="G333" s="9" t="n">
        <v>6740</v>
      </c>
      <c r="H333" s="8" t="s">
        <v>11</v>
      </c>
      <c r="I333" s="8" t="s">
        <v>12</v>
      </c>
      <c r="J333" s="0" t="s">
        <v>13</v>
      </c>
    </row>
    <row r="334" customFormat="false" ht="15" hidden="false" customHeight="false" outlineLevel="0" collapsed="false">
      <c r="A334" s="6" t="n">
        <v>43699</v>
      </c>
      <c r="B334" s="7" t="n">
        <v>0.436805555555555</v>
      </c>
      <c r="C334" s="8" t="n">
        <v>91471</v>
      </c>
      <c r="D334" s="8" t="s">
        <v>20</v>
      </c>
      <c r="E334" s="8" t="n">
        <v>17620</v>
      </c>
      <c r="F334" s="8" t="n">
        <v>15900</v>
      </c>
      <c r="G334" s="9" t="n">
        <v>1720</v>
      </c>
      <c r="H334" s="8" t="s">
        <v>11</v>
      </c>
      <c r="I334" s="8" t="s">
        <v>25</v>
      </c>
      <c r="J334" s="0" t="s">
        <v>13</v>
      </c>
    </row>
    <row r="335" customFormat="false" ht="15" hidden="false" customHeight="false" outlineLevel="0" collapsed="false">
      <c r="A335" s="6" t="n">
        <v>43699</v>
      </c>
      <c r="B335" s="7" t="n">
        <v>0.447222222222222</v>
      </c>
      <c r="C335" s="8" t="n">
        <v>112993</v>
      </c>
      <c r="D335" s="8" t="s">
        <v>16</v>
      </c>
      <c r="E335" s="8" t="n">
        <v>3240</v>
      </c>
      <c r="F335" s="8" t="n">
        <v>2780</v>
      </c>
      <c r="G335" s="9" t="n">
        <v>460</v>
      </c>
      <c r="H335" s="8" t="s">
        <v>11</v>
      </c>
      <c r="I335" s="8" t="s">
        <v>12</v>
      </c>
      <c r="J335" s="0" t="s">
        <v>13</v>
      </c>
    </row>
    <row r="336" customFormat="false" ht="15" hidden="false" customHeight="false" outlineLevel="0" collapsed="false">
      <c r="A336" s="6" t="n">
        <v>43699</v>
      </c>
      <c r="B336" s="7" t="n">
        <v>0.686805555555556</v>
      </c>
      <c r="C336" s="8" t="n">
        <v>113010</v>
      </c>
      <c r="D336" s="8" t="s">
        <v>10</v>
      </c>
      <c r="E336" s="8" t="n">
        <v>16720</v>
      </c>
      <c r="F336" s="8" t="n">
        <v>12760</v>
      </c>
      <c r="G336" s="9" t="n">
        <v>3960</v>
      </c>
      <c r="H336" s="8" t="s">
        <v>11</v>
      </c>
      <c r="I336" s="8" t="s">
        <v>12</v>
      </c>
      <c r="J336" s="0" t="s">
        <v>13</v>
      </c>
    </row>
    <row r="337" customFormat="false" ht="15" hidden="false" customHeight="false" outlineLevel="0" collapsed="false">
      <c r="A337" s="6" t="n">
        <v>43699</v>
      </c>
      <c r="B337" s="7" t="n">
        <v>0.886805555555556</v>
      </c>
      <c r="C337" s="8" t="n">
        <v>113021</v>
      </c>
      <c r="D337" s="8" t="s">
        <v>14</v>
      </c>
      <c r="E337" s="8" t="n">
        <v>27500</v>
      </c>
      <c r="F337" s="8" t="n">
        <v>16200</v>
      </c>
      <c r="G337" s="9" t="n">
        <v>11300</v>
      </c>
      <c r="H337" s="8" t="s">
        <v>11</v>
      </c>
      <c r="I337" s="8" t="s">
        <v>12</v>
      </c>
      <c r="J337" s="0" t="s">
        <v>13</v>
      </c>
    </row>
    <row r="338" customFormat="false" ht="15" hidden="false" customHeight="false" outlineLevel="0" collapsed="false">
      <c r="A338" s="6" t="n">
        <v>43699</v>
      </c>
      <c r="B338" s="7" t="n">
        <v>0.345833333333333</v>
      </c>
      <c r="C338" s="8" t="n">
        <v>112981</v>
      </c>
      <c r="D338" s="8" t="s">
        <v>16</v>
      </c>
      <c r="E338" s="8" t="n">
        <v>3080</v>
      </c>
      <c r="F338" s="8" t="n">
        <v>2840</v>
      </c>
      <c r="G338" s="9" t="n">
        <v>240</v>
      </c>
      <c r="H338" s="8" t="s">
        <v>11</v>
      </c>
      <c r="I338" s="8" t="s">
        <v>18</v>
      </c>
      <c r="J338" s="0" t="s">
        <v>13</v>
      </c>
    </row>
    <row r="339" customFormat="false" ht="15" hidden="false" customHeight="false" outlineLevel="0" collapsed="false">
      <c r="A339" s="6" t="n">
        <v>43700</v>
      </c>
      <c r="B339" s="7" t="n">
        <v>0.0361111111111111</v>
      </c>
      <c r="C339" s="8" t="n">
        <v>113023</v>
      </c>
      <c r="D339" s="8" t="s">
        <v>10</v>
      </c>
      <c r="E339" s="8" t="n">
        <v>22500</v>
      </c>
      <c r="F339" s="8" t="n">
        <v>12900</v>
      </c>
      <c r="G339" s="9" t="n">
        <v>9600</v>
      </c>
      <c r="H339" s="8" t="s">
        <v>11</v>
      </c>
      <c r="I339" s="8" t="s">
        <v>12</v>
      </c>
      <c r="J339" s="0" t="s">
        <v>13</v>
      </c>
    </row>
    <row r="340" customFormat="false" ht="15" hidden="false" customHeight="false" outlineLevel="0" collapsed="false">
      <c r="A340" s="6" t="n">
        <v>43700</v>
      </c>
      <c r="B340" s="7" t="n">
        <v>0.115277777777778</v>
      </c>
      <c r="C340" s="8" t="n">
        <v>113026</v>
      </c>
      <c r="D340" s="8" t="s">
        <v>20</v>
      </c>
      <c r="E340" s="8" t="n">
        <v>25300</v>
      </c>
      <c r="F340" s="8" t="n">
        <v>15880</v>
      </c>
      <c r="G340" s="9" t="n">
        <v>9420</v>
      </c>
      <c r="H340" s="8" t="s">
        <v>11</v>
      </c>
      <c r="I340" s="8" t="s">
        <v>12</v>
      </c>
      <c r="J340" s="0" t="s">
        <v>13</v>
      </c>
    </row>
    <row r="341" customFormat="false" ht="15" hidden="false" customHeight="false" outlineLevel="0" collapsed="false">
      <c r="A341" s="6" t="n">
        <v>43700</v>
      </c>
      <c r="B341" s="7" t="n">
        <v>0.130555555555556</v>
      </c>
      <c r="C341" s="8" t="n">
        <v>113028</v>
      </c>
      <c r="D341" s="8" t="s">
        <v>16</v>
      </c>
      <c r="E341" s="8" t="n">
        <v>3000</v>
      </c>
      <c r="F341" s="8" t="n">
        <v>2760</v>
      </c>
      <c r="G341" s="9" t="n">
        <v>240</v>
      </c>
      <c r="H341" s="8" t="s">
        <v>11</v>
      </c>
      <c r="I341" s="8" t="s">
        <v>12</v>
      </c>
      <c r="J341" s="0" t="s">
        <v>13</v>
      </c>
    </row>
    <row r="342" customFormat="false" ht="15" hidden="false" customHeight="false" outlineLevel="0" collapsed="false">
      <c r="A342" s="6" t="n">
        <v>43700</v>
      </c>
      <c r="B342" s="7" t="n">
        <v>0.138888888888889</v>
      </c>
      <c r="C342" s="8" t="n">
        <v>113030</v>
      </c>
      <c r="D342" s="8" t="s">
        <v>10</v>
      </c>
      <c r="E342" s="8" t="n">
        <v>21680</v>
      </c>
      <c r="F342" s="8" t="n">
        <v>12700</v>
      </c>
      <c r="G342" s="9" t="n">
        <v>8980</v>
      </c>
      <c r="H342" s="8" t="s">
        <v>11</v>
      </c>
      <c r="I342" s="8" t="s">
        <v>12</v>
      </c>
      <c r="J342" s="0" t="s">
        <v>13</v>
      </c>
    </row>
    <row r="343" customFormat="false" ht="15" hidden="false" customHeight="false" outlineLevel="0" collapsed="false">
      <c r="A343" s="6" t="n">
        <v>43700</v>
      </c>
      <c r="B343" s="7" t="n">
        <v>0.247916666666667</v>
      </c>
      <c r="C343" s="8" t="n">
        <v>113040</v>
      </c>
      <c r="D343" s="8" t="s">
        <v>14</v>
      </c>
      <c r="E343" s="8" t="n">
        <v>27620</v>
      </c>
      <c r="F343" s="8" t="n">
        <v>16100</v>
      </c>
      <c r="G343" s="9" t="n">
        <v>11520</v>
      </c>
      <c r="H343" s="8" t="s">
        <v>11</v>
      </c>
      <c r="I343" s="8" t="s">
        <v>12</v>
      </c>
      <c r="J343" s="0" t="s">
        <v>13</v>
      </c>
    </row>
    <row r="344" customFormat="false" ht="15" hidden="false" customHeight="false" outlineLevel="0" collapsed="false">
      <c r="A344" s="6" t="n">
        <v>43700</v>
      </c>
      <c r="B344" s="7" t="n">
        <v>0.253472222222222</v>
      </c>
      <c r="C344" s="8" t="n">
        <v>113042</v>
      </c>
      <c r="D344" s="8" t="s">
        <v>10</v>
      </c>
      <c r="E344" s="8" t="n">
        <v>19480</v>
      </c>
      <c r="F344" s="8" t="n">
        <v>12700</v>
      </c>
      <c r="G344" s="9" t="n">
        <v>6780</v>
      </c>
      <c r="H344" s="8" t="s">
        <v>11</v>
      </c>
      <c r="I344" s="8" t="s">
        <v>12</v>
      </c>
      <c r="J344" s="0" t="s">
        <v>13</v>
      </c>
    </row>
    <row r="345" customFormat="false" ht="15" hidden="false" customHeight="false" outlineLevel="0" collapsed="false">
      <c r="A345" s="6" t="n">
        <v>43700</v>
      </c>
      <c r="B345" s="7" t="n">
        <v>0.305555555555555</v>
      </c>
      <c r="C345" s="8" t="n">
        <v>113046</v>
      </c>
      <c r="D345" s="8" t="s">
        <v>10</v>
      </c>
      <c r="E345" s="8" t="n">
        <v>17400</v>
      </c>
      <c r="F345" s="8" t="n">
        <v>12420</v>
      </c>
      <c r="G345" s="9" t="n">
        <v>4980</v>
      </c>
      <c r="H345" s="8" t="s">
        <v>11</v>
      </c>
      <c r="I345" s="8" t="s">
        <v>12</v>
      </c>
      <c r="J345" s="0" t="s">
        <v>13</v>
      </c>
    </row>
    <row r="346" customFormat="false" ht="15" hidden="false" customHeight="false" outlineLevel="0" collapsed="false">
      <c r="A346" s="6" t="n">
        <v>43700</v>
      </c>
      <c r="B346" s="7" t="n">
        <v>0.511111111111111</v>
      </c>
      <c r="C346" s="8" t="n">
        <v>91502</v>
      </c>
      <c r="D346" s="8" t="s">
        <v>21</v>
      </c>
      <c r="E346" s="8" t="n">
        <v>17580</v>
      </c>
      <c r="F346" s="8" t="n">
        <v>15880</v>
      </c>
      <c r="G346" s="9" t="n">
        <v>1700</v>
      </c>
      <c r="H346" s="8" t="s">
        <v>11</v>
      </c>
      <c r="I346" s="8" t="s">
        <v>25</v>
      </c>
      <c r="J346" s="0" t="s">
        <v>13</v>
      </c>
    </row>
    <row r="347" customFormat="false" ht="15" hidden="false" customHeight="false" outlineLevel="0" collapsed="false">
      <c r="A347" s="6" t="n">
        <v>43700</v>
      </c>
      <c r="B347" s="7" t="n">
        <v>0.446527777777778</v>
      </c>
      <c r="C347" s="8" t="n">
        <v>113066</v>
      </c>
      <c r="D347" s="8" t="s">
        <v>16</v>
      </c>
      <c r="E347" s="8" t="n">
        <v>3500</v>
      </c>
      <c r="F347" s="8" t="n">
        <v>2820</v>
      </c>
      <c r="G347" s="9" t="n">
        <v>680</v>
      </c>
      <c r="H347" s="8" t="s">
        <v>11</v>
      </c>
      <c r="I347" s="8" t="s">
        <v>12</v>
      </c>
      <c r="J347" s="0" t="s">
        <v>13</v>
      </c>
    </row>
    <row r="348" customFormat="false" ht="15" hidden="false" customHeight="false" outlineLevel="0" collapsed="false">
      <c r="A348" s="6" t="n">
        <v>43700</v>
      </c>
      <c r="B348" s="7" t="n">
        <v>0.470138888888889</v>
      </c>
      <c r="C348" s="8" t="n">
        <v>113072</v>
      </c>
      <c r="D348" s="8" t="s">
        <v>26</v>
      </c>
      <c r="E348" s="8" t="n">
        <v>2700</v>
      </c>
      <c r="F348" s="8" t="n">
        <v>2470</v>
      </c>
      <c r="G348" s="9" t="n">
        <v>230</v>
      </c>
      <c r="H348" s="8" t="s">
        <v>11</v>
      </c>
      <c r="I348" s="8" t="s">
        <v>12</v>
      </c>
      <c r="J348" s="0" t="s">
        <v>13</v>
      </c>
    </row>
    <row r="349" customFormat="false" ht="15" hidden="false" customHeight="false" outlineLevel="0" collapsed="false">
      <c r="A349" s="6" t="n">
        <v>43700</v>
      </c>
      <c r="B349" s="7" t="n">
        <v>0.700694444444444</v>
      </c>
      <c r="C349" s="8" t="n">
        <v>113095</v>
      </c>
      <c r="D349" s="8" t="s">
        <v>10</v>
      </c>
      <c r="E349" s="8" t="n">
        <v>16300</v>
      </c>
      <c r="F349" s="8" t="n">
        <v>12800</v>
      </c>
      <c r="G349" s="9" t="n">
        <v>3500</v>
      </c>
      <c r="H349" s="8" t="s">
        <v>11</v>
      </c>
      <c r="I349" s="8" t="s">
        <v>12</v>
      </c>
      <c r="J349" s="0" t="s">
        <v>13</v>
      </c>
    </row>
    <row r="350" customFormat="false" ht="15" hidden="false" customHeight="false" outlineLevel="0" collapsed="false">
      <c r="A350" s="6" t="n">
        <v>43700</v>
      </c>
      <c r="B350" s="7" t="n">
        <v>0.747916666666667</v>
      </c>
      <c r="C350" s="8" t="n">
        <v>113101</v>
      </c>
      <c r="D350" s="8" t="s">
        <v>26</v>
      </c>
      <c r="E350" s="8" t="n">
        <v>1480</v>
      </c>
      <c r="F350" s="8" t="n">
        <v>1180</v>
      </c>
      <c r="G350" s="9" t="n">
        <v>300</v>
      </c>
      <c r="H350" s="8" t="s">
        <v>11</v>
      </c>
      <c r="I350" s="8" t="s">
        <v>12</v>
      </c>
      <c r="J350" s="0" t="s">
        <v>13</v>
      </c>
    </row>
    <row r="351" customFormat="false" ht="15" hidden="false" customHeight="false" outlineLevel="0" collapsed="false">
      <c r="A351" s="6" t="n">
        <v>43700</v>
      </c>
      <c r="B351" s="7" t="n">
        <v>0.879166666666667</v>
      </c>
      <c r="C351" s="8" t="n">
        <v>113103</v>
      </c>
      <c r="D351" s="8" t="s">
        <v>14</v>
      </c>
      <c r="E351" s="8" t="n">
        <v>26040</v>
      </c>
      <c r="F351" s="8" t="n">
        <v>15820</v>
      </c>
      <c r="G351" s="9" t="n">
        <v>10220</v>
      </c>
      <c r="H351" s="8" t="s">
        <v>11</v>
      </c>
      <c r="I351" s="8" t="s">
        <v>12</v>
      </c>
      <c r="J351" s="0" t="s">
        <v>13</v>
      </c>
    </row>
    <row r="352" customFormat="false" ht="15" hidden="false" customHeight="false" outlineLevel="0" collapsed="false">
      <c r="A352" s="6" t="n">
        <v>43700</v>
      </c>
      <c r="B352" s="7" t="n">
        <v>0.35</v>
      </c>
      <c r="C352" s="8" t="n">
        <v>113053</v>
      </c>
      <c r="D352" s="8" t="s">
        <v>16</v>
      </c>
      <c r="E352" s="8" t="n">
        <v>3400</v>
      </c>
      <c r="F352" s="8" t="n">
        <v>2760</v>
      </c>
      <c r="G352" s="9" t="n">
        <v>640</v>
      </c>
      <c r="H352" s="8" t="s">
        <v>11</v>
      </c>
      <c r="I352" s="8" t="s">
        <v>18</v>
      </c>
      <c r="J352" s="0" t="s">
        <v>13</v>
      </c>
    </row>
    <row r="353" customFormat="false" ht="15" hidden="false" customHeight="false" outlineLevel="0" collapsed="false">
      <c r="A353" s="6" t="n">
        <v>43700</v>
      </c>
      <c r="B353" s="7" t="n">
        <v>0.918055555555556</v>
      </c>
      <c r="C353" s="8" t="n">
        <v>113104</v>
      </c>
      <c r="D353" s="8" t="s">
        <v>16</v>
      </c>
      <c r="E353" s="8" t="n">
        <v>3300</v>
      </c>
      <c r="F353" s="8" t="n">
        <v>2940</v>
      </c>
      <c r="G353" s="9" t="n">
        <v>360</v>
      </c>
      <c r="H353" s="8" t="s">
        <v>11</v>
      </c>
      <c r="I353" s="8" t="s">
        <v>12</v>
      </c>
      <c r="J353" s="0" t="s">
        <v>13</v>
      </c>
    </row>
    <row r="354" customFormat="false" ht="15" hidden="false" customHeight="false" outlineLevel="0" collapsed="false">
      <c r="A354" s="6" t="n">
        <v>43700</v>
      </c>
      <c r="B354" s="7" t="n">
        <v>0.525694444444444</v>
      </c>
      <c r="C354" s="8" t="n">
        <v>113078</v>
      </c>
      <c r="D354" s="8" t="s">
        <v>16</v>
      </c>
      <c r="E354" s="8" t="n">
        <v>2960</v>
      </c>
      <c r="F354" s="8" t="n">
        <v>2740</v>
      </c>
      <c r="G354" s="9" t="n">
        <v>220</v>
      </c>
      <c r="H354" s="8" t="s">
        <v>11</v>
      </c>
      <c r="I354" s="8" t="s">
        <v>18</v>
      </c>
      <c r="J354" s="0" t="s">
        <v>13</v>
      </c>
    </row>
    <row r="355" customFormat="false" ht="15" hidden="false" customHeight="false" outlineLevel="0" collapsed="false">
      <c r="A355" s="6" t="n">
        <v>43700</v>
      </c>
      <c r="B355" s="7" t="n">
        <v>0.454861111111111</v>
      </c>
      <c r="C355" s="10" t="s">
        <v>23</v>
      </c>
      <c r="D355" s="8" t="s">
        <v>20</v>
      </c>
      <c r="E355" s="8" t="n">
        <v>19380</v>
      </c>
      <c r="F355" s="8" t="n">
        <v>15760</v>
      </c>
      <c r="G355" s="9" t="n">
        <v>3620</v>
      </c>
      <c r="H355" s="8" t="s">
        <v>11</v>
      </c>
      <c r="I355" s="8" t="s">
        <v>24</v>
      </c>
      <c r="J355" s="0" t="s">
        <v>13</v>
      </c>
    </row>
    <row r="356" customFormat="false" ht="15" hidden="false" customHeight="false" outlineLevel="0" collapsed="false">
      <c r="A356" s="6" t="n">
        <v>43700</v>
      </c>
      <c r="B356" s="7" t="n">
        <v>0.54375</v>
      </c>
      <c r="C356" s="8" t="n">
        <v>113081</v>
      </c>
      <c r="D356" s="8" t="s">
        <v>19</v>
      </c>
      <c r="E356" s="8" t="n">
        <v>3140</v>
      </c>
      <c r="F356" s="8" t="n">
        <v>2780</v>
      </c>
      <c r="G356" s="9" t="n">
        <v>360</v>
      </c>
      <c r="H356" s="8" t="s">
        <v>11</v>
      </c>
      <c r="I356" s="8" t="s">
        <v>27</v>
      </c>
      <c r="J356" s="0" t="s">
        <v>13</v>
      </c>
    </row>
    <row r="357" customFormat="false" ht="15" hidden="false" customHeight="false" outlineLevel="0" collapsed="false">
      <c r="A357" s="6" t="n">
        <v>43701</v>
      </c>
      <c r="B357" s="7" t="n">
        <v>0.0569444444444444</v>
      </c>
      <c r="C357" s="8" t="n">
        <v>113107</v>
      </c>
      <c r="D357" s="8" t="s">
        <v>10</v>
      </c>
      <c r="E357" s="8" t="n">
        <v>23020</v>
      </c>
      <c r="F357" s="8" t="n">
        <v>12980</v>
      </c>
      <c r="G357" s="9" t="n">
        <v>10040</v>
      </c>
      <c r="H357" s="8" t="s">
        <v>11</v>
      </c>
      <c r="I357" s="8" t="s">
        <v>12</v>
      </c>
      <c r="J357" s="0" t="s">
        <v>13</v>
      </c>
    </row>
    <row r="358" customFormat="false" ht="15" hidden="false" customHeight="false" outlineLevel="0" collapsed="false">
      <c r="A358" s="6" t="n">
        <v>43701</v>
      </c>
      <c r="B358" s="7" t="n">
        <v>0.126388888888889</v>
      </c>
      <c r="C358" s="8" t="n">
        <v>113114</v>
      </c>
      <c r="D358" s="8" t="s">
        <v>16</v>
      </c>
      <c r="E358" s="8" t="n">
        <v>2960</v>
      </c>
      <c r="F358" s="8" t="n">
        <v>2740</v>
      </c>
      <c r="G358" s="9" t="n">
        <v>220</v>
      </c>
      <c r="H358" s="8" t="s">
        <v>11</v>
      </c>
      <c r="I358" s="8" t="s">
        <v>12</v>
      </c>
      <c r="J358" s="0" t="s">
        <v>13</v>
      </c>
    </row>
    <row r="359" customFormat="false" ht="15" hidden="false" customHeight="false" outlineLevel="0" collapsed="false">
      <c r="A359" s="6" t="n">
        <v>43701</v>
      </c>
      <c r="B359" s="7" t="n">
        <v>0.133333333333333</v>
      </c>
      <c r="C359" s="8" t="n">
        <v>113115</v>
      </c>
      <c r="D359" s="8" t="s">
        <v>20</v>
      </c>
      <c r="E359" s="8" t="n">
        <v>27340</v>
      </c>
      <c r="F359" s="8" t="n">
        <v>16060</v>
      </c>
      <c r="G359" s="9" t="n">
        <v>11280</v>
      </c>
      <c r="H359" s="8" t="s">
        <v>11</v>
      </c>
      <c r="I359" s="8" t="s">
        <v>12</v>
      </c>
      <c r="J359" s="0" t="s">
        <v>13</v>
      </c>
    </row>
    <row r="360" customFormat="false" ht="15" hidden="false" customHeight="false" outlineLevel="0" collapsed="false">
      <c r="A360" s="6" t="n">
        <v>43701</v>
      </c>
      <c r="B360" s="7" t="n">
        <v>0.150694444444444</v>
      </c>
      <c r="C360" s="8" t="n">
        <v>113117</v>
      </c>
      <c r="D360" s="8" t="s">
        <v>19</v>
      </c>
      <c r="E360" s="8" t="n">
        <v>3460</v>
      </c>
      <c r="F360" s="8" t="n">
        <v>2680</v>
      </c>
      <c r="G360" s="9" t="n">
        <v>780</v>
      </c>
      <c r="H360" s="8" t="s">
        <v>11</v>
      </c>
      <c r="I360" s="8" t="s">
        <v>12</v>
      </c>
      <c r="J360" s="0" t="s">
        <v>13</v>
      </c>
    </row>
    <row r="361" customFormat="false" ht="15" hidden="false" customHeight="false" outlineLevel="0" collapsed="false">
      <c r="A361" s="6" t="n">
        <v>43701</v>
      </c>
      <c r="B361" s="7" t="n">
        <v>0.180555555555556</v>
      </c>
      <c r="C361" s="8" t="n">
        <v>113118</v>
      </c>
      <c r="D361" s="8" t="s">
        <v>10</v>
      </c>
      <c r="E361" s="8" t="n">
        <v>23460</v>
      </c>
      <c r="F361" s="8" t="n">
        <v>12900</v>
      </c>
      <c r="G361" s="9" t="n">
        <v>10560</v>
      </c>
      <c r="H361" s="8" t="s">
        <v>11</v>
      </c>
      <c r="I361" s="8" t="s">
        <v>12</v>
      </c>
      <c r="J361" s="0" t="s">
        <v>13</v>
      </c>
    </row>
    <row r="362" customFormat="false" ht="15" hidden="false" customHeight="false" outlineLevel="0" collapsed="false">
      <c r="A362" s="6" t="n">
        <v>43701</v>
      </c>
      <c r="B362" s="7" t="n">
        <v>0.210416666666667</v>
      </c>
      <c r="C362" s="8" t="n">
        <v>113121</v>
      </c>
      <c r="D362" s="8" t="s">
        <v>19</v>
      </c>
      <c r="E362" s="8" t="n">
        <v>3460</v>
      </c>
      <c r="F362" s="8" t="n">
        <v>2620</v>
      </c>
      <c r="G362" s="9" t="n">
        <v>840</v>
      </c>
      <c r="H362" s="8" t="s">
        <v>11</v>
      </c>
      <c r="I362" s="8" t="s">
        <v>12</v>
      </c>
      <c r="J362" s="0" t="s">
        <v>13</v>
      </c>
    </row>
    <row r="363" customFormat="false" ht="15" hidden="false" customHeight="false" outlineLevel="0" collapsed="false">
      <c r="A363" s="6" t="n">
        <v>43701</v>
      </c>
      <c r="B363" s="7" t="n">
        <v>0.21875</v>
      </c>
      <c r="C363" s="8" t="n">
        <v>113123</v>
      </c>
      <c r="D363" s="8" t="s">
        <v>14</v>
      </c>
      <c r="E363" s="8" t="n">
        <v>25540</v>
      </c>
      <c r="F363" s="8" t="n">
        <v>15920</v>
      </c>
      <c r="G363" s="9" t="n">
        <v>9620</v>
      </c>
      <c r="H363" s="8" t="s">
        <v>11</v>
      </c>
      <c r="I363" s="8" t="s">
        <v>12</v>
      </c>
      <c r="J363" s="0" t="s">
        <v>13</v>
      </c>
    </row>
    <row r="364" customFormat="false" ht="15" hidden="false" customHeight="false" outlineLevel="0" collapsed="false">
      <c r="A364" s="6" t="n">
        <v>43701</v>
      </c>
      <c r="B364" s="7" t="n">
        <v>0.263194444444444</v>
      </c>
      <c r="C364" s="8" t="n">
        <v>113126</v>
      </c>
      <c r="D364" s="8" t="s">
        <v>10</v>
      </c>
      <c r="E364" s="8" t="n">
        <v>17080</v>
      </c>
      <c r="F364" s="8" t="n">
        <v>12780</v>
      </c>
      <c r="G364" s="9" t="n">
        <v>4300</v>
      </c>
      <c r="H364" s="8" t="s">
        <v>11</v>
      </c>
      <c r="I364" s="8" t="s">
        <v>12</v>
      </c>
      <c r="J364" s="0" t="s">
        <v>13</v>
      </c>
    </row>
    <row r="365" customFormat="false" ht="15" hidden="false" customHeight="false" outlineLevel="0" collapsed="false">
      <c r="A365" s="6" t="n">
        <v>43701</v>
      </c>
      <c r="B365" s="7" t="n">
        <v>0.281944444444444</v>
      </c>
      <c r="C365" s="8" t="n">
        <v>113131</v>
      </c>
      <c r="D365" s="8" t="s">
        <v>19</v>
      </c>
      <c r="E365" s="8" t="n">
        <v>3620</v>
      </c>
      <c r="F365" s="8" t="n">
        <v>2780</v>
      </c>
      <c r="G365" s="9" t="n">
        <v>840</v>
      </c>
      <c r="H365" s="8" t="s">
        <v>11</v>
      </c>
      <c r="I365" s="8" t="s">
        <v>12</v>
      </c>
      <c r="J365" s="0" t="s">
        <v>13</v>
      </c>
    </row>
    <row r="366" customFormat="false" ht="15" hidden="false" customHeight="false" outlineLevel="0" collapsed="false">
      <c r="A366" s="6" t="n">
        <v>43701</v>
      </c>
      <c r="B366" s="7" t="n">
        <v>0.386111111111111</v>
      </c>
      <c r="C366" s="8" t="n">
        <v>113139</v>
      </c>
      <c r="D366" s="8" t="s">
        <v>10</v>
      </c>
      <c r="E366" s="8" t="n">
        <v>15960</v>
      </c>
      <c r="F366" s="8" t="n">
        <v>12500</v>
      </c>
      <c r="G366" s="9" t="n">
        <v>3460</v>
      </c>
      <c r="H366" s="8" t="s">
        <v>11</v>
      </c>
      <c r="I366" s="8" t="s">
        <v>12</v>
      </c>
      <c r="J366" s="0" t="s">
        <v>13</v>
      </c>
    </row>
    <row r="367" customFormat="false" ht="15" hidden="false" customHeight="false" outlineLevel="0" collapsed="false">
      <c r="A367" s="6" t="n">
        <v>43701</v>
      </c>
      <c r="B367" s="7" t="n">
        <v>0.452083333333333</v>
      </c>
      <c r="C367" s="8" t="n">
        <v>113144</v>
      </c>
      <c r="D367" s="8" t="s">
        <v>16</v>
      </c>
      <c r="E367" s="8" t="n">
        <v>3300</v>
      </c>
      <c r="F367" s="8" t="n">
        <v>2840</v>
      </c>
      <c r="G367" s="9" t="n">
        <v>460</v>
      </c>
      <c r="H367" s="8" t="s">
        <v>11</v>
      </c>
      <c r="I367" s="8" t="s">
        <v>12</v>
      </c>
      <c r="J367" s="0" t="s">
        <v>13</v>
      </c>
    </row>
    <row r="368" customFormat="false" ht="15" hidden="false" customHeight="false" outlineLevel="0" collapsed="false">
      <c r="A368" s="6" t="n">
        <v>43701</v>
      </c>
      <c r="B368" s="7" t="n">
        <v>0.454861111111111</v>
      </c>
      <c r="C368" s="8" t="n">
        <v>113145</v>
      </c>
      <c r="D368" s="8" t="s">
        <v>20</v>
      </c>
      <c r="E368" s="8" t="n">
        <v>17840</v>
      </c>
      <c r="F368" s="8" t="n">
        <v>15960</v>
      </c>
      <c r="G368" s="9" t="n">
        <v>1880</v>
      </c>
      <c r="H368" s="8" t="s">
        <v>11</v>
      </c>
      <c r="I368" s="8" t="s">
        <v>12</v>
      </c>
      <c r="J368" s="0" t="s">
        <v>13</v>
      </c>
    </row>
    <row r="369" customFormat="false" ht="15" hidden="false" customHeight="false" outlineLevel="0" collapsed="false">
      <c r="A369" s="6" t="n">
        <v>43701</v>
      </c>
      <c r="B369" s="7" t="n">
        <v>0.690277777777778</v>
      </c>
      <c r="C369" s="8" t="n">
        <v>113153</v>
      </c>
      <c r="D369" s="8" t="s">
        <v>10</v>
      </c>
      <c r="E369" s="8" t="n">
        <v>16200</v>
      </c>
      <c r="F369" s="8" t="n">
        <v>12800</v>
      </c>
      <c r="G369" s="9" t="n">
        <v>3400</v>
      </c>
      <c r="H369" s="8" t="s">
        <v>11</v>
      </c>
      <c r="I369" s="8" t="s">
        <v>12</v>
      </c>
      <c r="J369" s="0" t="s">
        <v>13</v>
      </c>
    </row>
    <row r="370" customFormat="false" ht="15" hidden="false" customHeight="false" outlineLevel="0" collapsed="false">
      <c r="A370" s="6" t="n">
        <v>43701</v>
      </c>
      <c r="B370" s="7" t="n">
        <v>0.751388888888889</v>
      </c>
      <c r="C370" s="8" t="n">
        <v>113154</v>
      </c>
      <c r="D370" s="8" t="s">
        <v>26</v>
      </c>
      <c r="E370" s="8" t="n">
        <v>2420</v>
      </c>
      <c r="F370" s="8" t="n">
        <v>2100</v>
      </c>
      <c r="G370" s="9" t="n">
        <v>320</v>
      </c>
      <c r="H370" s="8" t="s">
        <v>11</v>
      </c>
      <c r="I370" s="8" t="s">
        <v>12</v>
      </c>
      <c r="J370" s="0" t="s">
        <v>13</v>
      </c>
    </row>
    <row r="371" customFormat="false" ht="15" hidden="false" customHeight="false" outlineLevel="0" collapsed="false">
      <c r="A371" s="6" t="n">
        <v>43701</v>
      </c>
      <c r="B371" s="7" t="n">
        <v>0.8625</v>
      </c>
      <c r="C371" s="8" t="n">
        <v>113155</v>
      </c>
      <c r="D371" s="8" t="s">
        <v>14</v>
      </c>
      <c r="E371" s="8" t="n">
        <v>27200</v>
      </c>
      <c r="F371" s="8" t="n">
        <v>15920</v>
      </c>
      <c r="G371" s="9" t="n">
        <v>11280</v>
      </c>
      <c r="H371" s="8" t="s">
        <v>11</v>
      </c>
      <c r="I371" s="8" t="s">
        <v>12</v>
      </c>
      <c r="J371" s="0" t="s">
        <v>13</v>
      </c>
    </row>
    <row r="372" customFormat="false" ht="15" hidden="false" customHeight="false" outlineLevel="0" collapsed="false">
      <c r="A372" s="6" t="n">
        <v>43701</v>
      </c>
      <c r="B372" s="7" t="n">
        <v>0.907638888888889</v>
      </c>
      <c r="C372" s="8" t="n">
        <v>113156</v>
      </c>
      <c r="D372" s="8" t="s">
        <v>16</v>
      </c>
      <c r="E372" s="8" t="n">
        <v>3320</v>
      </c>
      <c r="F372" s="8" t="n">
        <v>2960</v>
      </c>
      <c r="G372" s="9" t="n">
        <v>360</v>
      </c>
      <c r="H372" s="8" t="s">
        <v>11</v>
      </c>
      <c r="I372" s="8" t="s">
        <v>12</v>
      </c>
      <c r="J372" s="0" t="s">
        <v>13</v>
      </c>
    </row>
    <row r="373" customFormat="false" ht="15" hidden="false" customHeight="false" outlineLevel="0" collapsed="false">
      <c r="A373" s="6" t="n">
        <v>43701</v>
      </c>
      <c r="B373" s="7" t="n">
        <v>0.445833333333333</v>
      </c>
      <c r="C373" s="8" t="n">
        <v>1133143</v>
      </c>
      <c r="D373" s="8" t="s">
        <v>26</v>
      </c>
      <c r="E373" s="8" t="n">
        <v>2600</v>
      </c>
      <c r="F373" s="8" t="n">
        <v>2360</v>
      </c>
      <c r="G373" s="9" t="n">
        <v>240</v>
      </c>
      <c r="H373" s="8" t="s">
        <v>11</v>
      </c>
      <c r="I373" s="8" t="s">
        <v>12</v>
      </c>
      <c r="J373" s="0" t="s">
        <v>13</v>
      </c>
    </row>
    <row r="374" customFormat="false" ht="15" hidden="false" customHeight="false" outlineLevel="0" collapsed="false">
      <c r="A374" s="6" t="n">
        <v>43702</v>
      </c>
      <c r="B374" s="7" t="n">
        <v>0.0506944444444445</v>
      </c>
      <c r="C374" s="8" t="n">
        <v>113158</v>
      </c>
      <c r="D374" s="8" t="s">
        <v>10</v>
      </c>
      <c r="E374" s="8" t="n">
        <v>23480</v>
      </c>
      <c r="F374" s="8" t="n">
        <v>12960</v>
      </c>
      <c r="G374" s="9" t="n">
        <v>10520</v>
      </c>
      <c r="H374" s="8" t="s">
        <v>11</v>
      </c>
      <c r="I374" s="8" t="s">
        <v>12</v>
      </c>
      <c r="J374" s="0" t="s">
        <v>13</v>
      </c>
    </row>
    <row r="375" customFormat="false" ht="15" hidden="false" customHeight="false" outlineLevel="0" collapsed="false">
      <c r="A375" s="6" t="n">
        <v>43702</v>
      </c>
      <c r="B375" s="7" t="n">
        <v>0.0833333333333333</v>
      </c>
      <c r="C375" s="8" t="n">
        <v>113159</v>
      </c>
      <c r="D375" s="8" t="s">
        <v>15</v>
      </c>
      <c r="E375" s="8" t="n">
        <v>3900</v>
      </c>
      <c r="F375" s="8" t="n">
        <v>3500</v>
      </c>
      <c r="G375" s="9" t="n">
        <v>400</v>
      </c>
      <c r="H375" s="8" t="s">
        <v>11</v>
      </c>
      <c r="I375" s="8" t="s">
        <v>12</v>
      </c>
      <c r="J375" s="0" t="s">
        <v>13</v>
      </c>
    </row>
    <row r="376" customFormat="false" ht="15" hidden="false" customHeight="false" outlineLevel="0" collapsed="false">
      <c r="A376" s="6" t="n">
        <v>43702</v>
      </c>
      <c r="B376" s="7" t="n">
        <v>0.134027777777778</v>
      </c>
      <c r="C376" s="8" t="n">
        <v>113163</v>
      </c>
      <c r="D376" s="8" t="s">
        <v>14</v>
      </c>
      <c r="E376" s="8" t="n">
        <v>26900</v>
      </c>
      <c r="F376" s="8" t="n">
        <v>15840</v>
      </c>
      <c r="G376" s="9" t="n">
        <v>11060</v>
      </c>
      <c r="H376" s="8" t="s">
        <v>11</v>
      </c>
      <c r="I376" s="8" t="s">
        <v>12</v>
      </c>
      <c r="J376" s="0" t="s">
        <v>13</v>
      </c>
    </row>
    <row r="377" customFormat="false" ht="15" hidden="false" customHeight="false" outlineLevel="0" collapsed="false">
      <c r="A377" s="6" t="n">
        <v>43702</v>
      </c>
      <c r="B377" s="7" t="n">
        <v>0.170138888888889</v>
      </c>
      <c r="C377" s="8" t="n">
        <v>113166</v>
      </c>
      <c r="D377" s="8" t="s">
        <v>10</v>
      </c>
      <c r="E377" s="8" t="n">
        <v>22200</v>
      </c>
      <c r="F377" s="8" t="n">
        <v>12760</v>
      </c>
      <c r="G377" s="9" t="n">
        <v>9440</v>
      </c>
      <c r="H377" s="8" t="s">
        <v>11</v>
      </c>
      <c r="I377" s="8" t="s">
        <v>12</v>
      </c>
      <c r="J377" s="0" t="s">
        <v>13</v>
      </c>
    </row>
    <row r="378" customFormat="false" ht="15" hidden="false" customHeight="false" outlineLevel="0" collapsed="false">
      <c r="A378" s="6" t="n">
        <v>43702</v>
      </c>
      <c r="B378" s="7" t="n">
        <v>0.192361111111111</v>
      </c>
      <c r="C378" s="8" t="n">
        <v>113167</v>
      </c>
      <c r="D378" s="8" t="s">
        <v>15</v>
      </c>
      <c r="E378" s="8" t="n">
        <v>4900</v>
      </c>
      <c r="F378" s="8" t="n">
        <v>3580</v>
      </c>
      <c r="G378" s="9" t="n">
        <v>1320</v>
      </c>
      <c r="H378" s="8" t="s">
        <v>11</v>
      </c>
      <c r="I378" s="8" t="s">
        <v>12</v>
      </c>
      <c r="J378" s="0" t="s">
        <v>13</v>
      </c>
    </row>
    <row r="379" customFormat="false" ht="15" hidden="false" customHeight="false" outlineLevel="0" collapsed="false">
      <c r="A379" s="6" t="n">
        <v>43702</v>
      </c>
      <c r="B379" s="7" t="n">
        <v>0.247916666666667</v>
      </c>
      <c r="C379" s="8" t="n">
        <v>113168</v>
      </c>
      <c r="D379" s="8" t="s">
        <v>14</v>
      </c>
      <c r="E379" s="8" t="n">
        <v>25440</v>
      </c>
      <c r="F379" s="8" t="n">
        <v>15980</v>
      </c>
      <c r="G379" s="9" t="n">
        <v>9460</v>
      </c>
      <c r="H379" s="8" t="s">
        <v>11</v>
      </c>
      <c r="I379" s="8" t="s">
        <v>12</v>
      </c>
      <c r="J379" s="0" t="s">
        <v>13</v>
      </c>
    </row>
    <row r="380" customFormat="false" ht="15" hidden="false" customHeight="false" outlineLevel="0" collapsed="false">
      <c r="A380" s="6" t="n">
        <v>43702</v>
      </c>
      <c r="B380" s="7" t="n">
        <v>0.266666666666667</v>
      </c>
      <c r="C380" s="8" t="n">
        <v>113171</v>
      </c>
      <c r="D380" s="8" t="s">
        <v>10</v>
      </c>
      <c r="E380" s="8" t="n">
        <v>19820</v>
      </c>
      <c r="F380" s="8" t="n">
        <v>12780</v>
      </c>
      <c r="G380" s="9" t="n">
        <v>7040</v>
      </c>
      <c r="H380" s="8" t="s">
        <v>11</v>
      </c>
      <c r="I380" s="8" t="s">
        <v>12</v>
      </c>
      <c r="J380" s="0" t="s">
        <v>13</v>
      </c>
    </row>
    <row r="381" customFormat="false" ht="15" hidden="false" customHeight="false" outlineLevel="0" collapsed="false">
      <c r="A381" s="6" t="n">
        <v>43702</v>
      </c>
      <c r="B381" s="7" t="n">
        <v>0.275694444444444</v>
      </c>
      <c r="C381" s="8" t="n">
        <v>113172</v>
      </c>
      <c r="D381" s="8" t="s">
        <v>15</v>
      </c>
      <c r="E381" s="8" t="n">
        <v>4760</v>
      </c>
      <c r="F381" s="8" t="n">
        <v>3580</v>
      </c>
      <c r="G381" s="9" t="n">
        <v>1180</v>
      </c>
      <c r="H381" s="8" t="s">
        <v>11</v>
      </c>
      <c r="I381" s="8" t="s">
        <v>12</v>
      </c>
      <c r="J381" s="0" t="s">
        <v>13</v>
      </c>
    </row>
    <row r="382" customFormat="false" ht="15" hidden="false" customHeight="false" outlineLevel="0" collapsed="false">
      <c r="A382" s="6" t="n">
        <v>43702</v>
      </c>
      <c r="B382" s="7" t="n">
        <v>0.311111111111111</v>
      </c>
      <c r="C382" s="8" t="n">
        <v>113176</v>
      </c>
      <c r="D382" s="8" t="s">
        <v>26</v>
      </c>
      <c r="E382" s="8" t="n">
        <v>2660</v>
      </c>
      <c r="F382" s="8" t="n">
        <v>2380</v>
      </c>
      <c r="G382" s="9" t="n">
        <v>280</v>
      </c>
      <c r="H382" s="8" t="s">
        <v>11</v>
      </c>
      <c r="I382" s="8" t="s">
        <v>12</v>
      </c>
      <c r="J382" s="0" t="s">
        <v>13</v>
      </c>
    </row>
    <row r="383" customFormat="false" ht="15" hidden="false" customHeight="false" outlineLevel="0" collapsed="false">
      <c r="A383" s="6" t="n">
        <v>43702</v>
      </c>
      <c r="B383" s="7" t="n">
        <v>0.454166666666667</v>
      </c>
      <c r="C383" s="8" t="n">
        <v>113181</v>
      </c>
      <c r="D383" s="8" t="s">
        <v>26</v>
      </c>
      <c r="E383" s="8" t="n">
        <v>2600</v>
      </c>
      <c r="F383" s="8" t="n">
        <v>2400</v>
      </c>
      <c r="G383" s="9" t="n">
        <v>200</v>
      </c>
      <c r="H383" s="8" t="s">
        <v>11</v>
      </c>
      <c r="I383" s="8" t="s">
        <v>12</v>
      </c>
      <c r="J383" s="0" t="s">
        <v>13</v>
      </c>
    </row>
    <row r="384" customFormat="false" ht="15" hidden="false" customHeight="false" outlineLevel="0" collapsed="false">
      <c r="A384" s="6" t="n">
        <v>43702</v>
      </c>
      <c r="B384" s="7" t="n">
        <v>0.472222222222222</v>
      </c>
      <c r="C384" s="8" t="n">
        <v>113182</v>
      </c>
      <c r="D384" s="8" t="s">
        <v>16</v>
      </c>
      <c r="E384" s="8" t="n">
        <v>3380</v>
      </c>
      <c r="F384" s="8" t="n">
        <v>2840</v>
      </c>
      <c r="G384" s="9" t="n">
        <v>540</v>
      </c>
      <c r="H384" s="8" t="s">
        <v>11</v>
      </c>
      <c r="I384" s="8" t="s">
        <v>12</v>
      </c>
      <c r="J384" s="0" t="s">
        <v>13</v>
      </c>
    </row>
    <row r="385" customFormat="false" ht="15" hidden="false" customHeight="false" outlineLevel="0" collapsed="false">
      <c r="A385" s="6" t="n">
        <v>43702</v>
      </c>
      <c r="B385" s="7" t="n">
        <v>0.689583333333333</v>
      </c>
      <c r="C385" s="8" t="n">
        <v>113184</v>
      </c>
      <c r="D385" s="8" t="s">
        <v>10</v>
      </c>
      <c r="E385" s="8" t="n">
        <v>15000</v>
      </c>
      <c r="F385" s="8" t="n">
        <v>12760</v>
      </c>
      <c r="G385" s="9" t="n">
        <v>2240</v>
      </c>
      <c r="H385" s="8" t="s">
        <v>11</v>
      </c>
      <c r="I385" s="8" t="s">
        <v>12</v>
      </c>
      <c r="J385" s="0" t="s">
        <v>13</v>
      </c>
    </row>
    <row r="386" customFormat="false" ht="15" hidden="false" customHeight="false" outlineLevel="0" collapsed="false">
      <c r="A386" s="6" t="n">
        <v>43702</v>
      </c>
      <c r="B386" s="7" t="n">
        <v>0.740972222222222</v>
      </c>
      <c r="C386" s="8" t="n">
        <v>113185</v>
      </c>
      <c r="D386" s="8" t="s">
        <v>26</v>
      </c>
      <c r="E386" s="8" t="n">
        <v>2400</v>
      </c>
      <c r="F386" s="8" t="n">
        <v>1480</v>
      </c>
      <c r="G386" s="9" t="n">
        <v>920</v>
      </c>
      <c r="H386" s="8" t="s">
        <v>11</v>
      </c>
      <c r="I386" s="8" t="s">
        <v>12</v>
      </c>
      <c r="J386" s="0" t="s">
        <v>13</v>
      </c>
    </row>
    <row r="387" customFormat="false" ht="15" hidden="false" customHeight="false" outlineLevel="0" collapsed="false">
      <c r="A387" s="6" t="n">
        <v>43702</v>
      </c>
      <c r="B387" s="7" t="n">
        <v>0.873611111111111</v>
      </c>
      <c r="C387" s="8" t="n">
        <v>113186</v>
      </c>
      <c r="D387" s="8" t="s">
        <v>14</v>
      </c>
      <c r="E387" s="8" t="n">
        <v>26220</v>
      </c>
      <c r="F387" s="8" t="n">
        <v>15960</v>
      </c>
      <c r="G387" s="9" t="n">
        <v>10260</v>
      </c>
      <c r="H387" s="8" t="s">
        <v>11</v>
      </c>
      <c r="I387" s="8" t="s">
        <v>12</v>
      </c>
      <c r="J387" s="0" t="s">
        <v>13</v>
      </c>
    </row>
    <row r="388" customFormat="false" ht="15" hidden="false" customHeight="false" outlineLevel="0" collapsed="false">
      <c r="A388" s="6" t="n">
        <v>43702</v>
      </c>
      <c r="B388" s="7" t="n">
        <v>0.914583333333333</v>
      </c>
      <c r="C388" s="8" t="n">
        <v>113187</v>
      </c>
      <c r="D388" s="8" t="s">
        <v>16</v>
      </c>
      <c r="E388" s="8" t="n">
        <v>3320</v>
      </c>
      <c r="F388" s="8" t="n">
        <v>2960</v>
      </c>
      <c r="G388" s="9" t="n">
        <v>360</v>
      </c>
      <c r="H388" s="8" t="s">
        <v>11</v>
      </c>
      <c r="I388" s="8" t="s">
        <v>12</v>
      </c>
      <c r="J388" s="0" t="s">
        <v>13</v>
      </c>
    </row>
    <row r="389" customFormat="false" ht="15" hidden="false" customHeight="false" outlineLevel="0" collapsed="false">
      <c r="A389" s="6" t="n">
        <v>43703</v>
      </c>
      <c r="B389" s="7" t="n">
        <v>0.13125</v>
      </c>
      <c r="C389" s="8" t="n">
        <v>113193</v>
      </c>
      <c r="D389" s="8" t="s">
        <v>20</v>
      </c>
      <c r="E389" s="8" t="n">
        <v>26660</v>
      </c>
      <c r="F389" s="8" t="n">
        <v>16060</v>
      </c>
      <c r="G389" s="9" t="n">
        <v>10600</v>
      </c>
      <c r="H389" s="8" t="s">
        <v>11</v>
      </c>
      <c r="I389" s="8" t="s">
        <v>12</v>
      </c>
      <c r="J389" s="0" t="s">
        <v>13</v>
      </c>
    </row>
    <row r="390" customFormat="false" ht="15" hidden="false" customHeight="false" outlineLevel="0" collapsed="false">
      <c r="A390" s="6" t="n">
        <v>43703</v>
      </c>
      <c r="B390" s="7" t="n">
        <v>0.0388888888888889</v>
      </c>
      <c r="C390" s="8" t="n">
        <v>113188</v>
      </c>
      <c r="D390" s="8" t="s">
        <v>10</v>
      </c>
      <c r="E390" s="8" t="n">
        <v>21600</v>
      </c>
      <c r="F390" s="8" t="n">
        <v>12920</v>
      </c>
      <c r="G390" s="9" t="n">
        <v>8680</v>
      </c>
      <c r="H390" s="8" t="s">
        <v>11</v>
      </c>
      <c r="I390" s="8" t="s">
        <v>12</v>
      </c>
      <c r="J390" s="0" t="s">
        <v>13</v>
      </c>
    </row>
    <row r="391" customFormat="false" ht="15" hidden="false" customHeight="false" outlineLevel="0" collapsed="false">
      <c r="A391" s="6" t="n">
        <v>43703</v>
      </c>
      <c r="B391" s="7" t="n">
        <v>0.139583333333333</v>
      </c>
      <c r="C391" s="8" t="n">
        <v>113196</v>
      </c>
      <c r="D391" s="8" t="s">
        <v>10</v>
      </c>
      <c r="E391" s="8" t="n">
        <v>22080</v>
      </c>
      <c r="F391" s="8" t="n">
        <v>12780</v>
      </c>
      <c r="G391" s="9" t="n">
        <v>9300</v>
      </c>
      <c r="H391" s="8" t="s">
        <v>11</v>
      </c>
      <c r="I391" s="8" t="s">
        <v>12</v>
      </c>
      <c r="J391" s="0" t="s">
        <v>13</v>
      </c>
    </row>
    <row r="392" customFormat="false" ht="15" hidden="false" customHeight="false" outlineLevel="0" collapsed="false">
      <c r="A392" s="6" t="n">
        <v>43703</v>
      </c>
      <c r="B392" s="7" t="n">
        <v>0.165277777777778</v>
      </c>
      <c r="C392" s="8" t="n">
        <v>113197</v>
      </c>
      <c r="D392" s="8" t="s">
        <v>15</v>
      </c>
      <c r="E392" s="8" t="n">
        <v>4840</v>
      </c>
      <c r="F392" s="8" t="n">
        <v>3580</v>
      </c>
      <c r="G392" s="9" t="n">
        <v>1260</v>
      </c>
      <c r="H392" s="8" t="s">
        <v>11</v>
      </c>
      <c r="I392" s="8" t="s">
        <v>12</v>
      </c>
      <c r="J392" s="0" t="s">
        <v>13</v>
      </c>
    </row>
    <row r="393" customFormat="false" ht="15" hidden="false" customHeight="false" outlineLevel="0" collapsed="false">
      <c r="A393" s="6" t="n">
        <v>43703</v>
      </c>
      <c r="B393" s="7" t="n">
        <v>0.222222222222222</v>
      </c>
      <c r="C393" s="8" t="n">
        <v>113203</v>
      </c>
      <c r="D393" s="8" t="s">
        <v>14</v>
      </c>
      <c r="E393" s="8" t="n">
        <v>27400</v>
      </c>
      <c r="F393" s="8" t="n">
        <v>16020</v>
      </c>
      <c r="G393" s="9" t="n">
        <v>11380</v>
      </c>
      <c r="H393" s="8" t="s">
        <v>11</v>
      </c>
      <c r="I393" s="8" t="s">
        <v>12</v>
      </c>
      <c r="J393" s="0" t="s">
        <v>13</v>
      </c>
    </row>
    <row r="394" customFormat="false" ht="15" hidden="false" customHeight="false" outlineLevel="0" collapsed="false">
      <c r="A394" s="6" t="n">
        <v>43703</v>
      </c>
      <c r="B394" s="7" t="n">
        <v>0.224305555555556</v>
      </c>
      <c r="C394" s="8" t="n">
        <v>113204</v>
      </c>
      <c r="D394" s="8" t="s">
        <v>15</v>
      </c>
      <c r="E394" s="8" t="n">
        <v>4560</v>
      </c>
      <c r="F394" s="8" t="n">
        <v>3640</v>
      </c>
      <c r="G394" s="9" t="n">
        <v>920</v>
      </c>
      <c r="H394" s="8" t="s">
        <v>11</v>
      </c>
      <c r="I394" s="8" t="s">
        <v>12</v>
      </c>
      <c r="J394" s="0" t="s">
        <v>13</v>
      </c>
    </row>
    <row r="395" customFormat="false" ht="15" hidden="false" customHeight="false" outlineLevel="0" collapsed="false">
      <c r="A395" s="6" t="n">
        <v>43703</v>
      </c>
      <c r="B395" s="7" t="n">
        <v>0.227777777777778</v>
      </c>
      <c r="C395" s="8" t="n">
        <v>113205</v>
      </c>
      <c r="D395" s="8" t="s">
        <v>10</v>
      </c>
      <c r="E395" s="8" t="n">
        <v>15540</v>
      </c>
      <c r="F395" s="8" t="n">
        <v>12720</v>
      </c>
      <c r="G395" s="9" t="n">
        <v>2820</v>
      </c>
      <c r="H395" s="8" t="s">
        <v>11</v>
      </c>
      <c r="I395" s="8" t="s">
        <v>12</v>
      </c>
      <c r="J395" s="0" t="s">
        <v>13</v>
      </c>
    </row>
    <row r="396" customFormat="false" ht="15" hidden="false" customHeight="false" outlineLevel="0" collapsed="false">
      <c r="A396" s="6" t="n">
        <v>43703</v>
      </c>
      <c r="B396" s="7" t="n">
        <v>0.391666666666667</v>
      </c>
      <c r="C396" s="8" t="n">
        <v>113222</v>
      </c>
      <c r="D396" s="8" t="s">
        <v>16</v>
      </c>
      <c r="E396" s="8" t="n">
        <v>3180</v>
      </c>
      <c r="F396" s="8" t="n">
        <v>2820</v>
      </c>
      <c r="G396" s="9" t="n">
        <v>360</v>
      </c>
      <c r="H396" s="8" t="s">
        <v>11</v>
      </c>
      <c r="I396" s="8" t="s">
        <v>12</v>
      </c>
      <c r="J396" s="0" t="s">
        <v>13</v>
      </c>
    </row>
    <row r="397" customFormat="false" ht="15" hidden="false" customHeight="false" outlineLevel="0" collapsed="false">
      <c r="A397" s="6" t="n">
        <v>43703</v>
      </c>
      <c r="B397" s="7" t="n">
        <v>0.395833333333333</v>
      </c>
      <c r="C397" s="8" t="n">
        <v>113223</v>
      </c>
      <c r="D397" s="8" t="s">
        <v>10</v>
      </c>
      <c r="E397" s="8" t="n">
        <v>18140</v>
      </c>
      <c r="F397" s="8" t="n">
        <v>12460</v>
      </c>
      <c r="G397" s="9" t="n">
        <v>5680</v>
      </c>
      <c r="H397" s="8" t="s">
        <v>11</v>
      </c>
      <c r="I397" s="8" t="s">
        <v>12</v>
      </c>
      <c r="J397" s="0" t="s">
        <v>13</v>
      </c>
    </row>
    <row r="398" customFormat="false" ht="15" hidden="false" customHeight="false" outlineLevel="0" collapsed="false">
      <c r="A398" s="6" t="n">
        <v>43703</v>
      </c>
      <c r="B398" s="7" t="n">
        <v>0.445833333333333</v>
      </c>
      <c r="C398" s="8" t="n">
        <v>113229</v>
      </c>
      <c r="D398" s="8" t="s">
        <v>26</v>
      </c>
      <c r="E398" s="8" t="n">
        <v>2680</v>
      </c>
      <c r="F398" s="8" t="n">
        <v>2400</v>
      </c>
      <c r="G398" s="9" t="n">
        <v>280</v>
      </c>
      <c r="H398" s="8" t="s">
        <v>11</v>
      </c>
      <c r="I398" s="8" t="s">
        <v>12</v>
      </c>
      <c r="J398" s="0" t="s">
        <v>13</v>
      </c>
    </row>
    <row r="399" customFormat="false" ht="15" hidden="false" customHeight="false" outlineLevel="0" collapsed="false">
      <c r="A399" s="6" t="n">
        <v>43703</v>
      </c>
      <c r="B399" s="7" t="n">
        <v>0.697916666666667</v>
      </c>
      <c r="C399" s="8" t="n">
        <v>113248</v>
      </c>
      <c r="D399" s="8" t="s">
        <v>10</v>
      </c>
      <c r="E399" s="8" t="n">
        <v>15780</v>
      </c>
      <c r="F399" s="8" t="n">
        <v>12860</v>
      </c>
      <c r="G399" s="9" t="n">
        <v>2920</v>
      </c>
      <c r="H399" s="8" t="s">
        <v>11</v>
      </c>
      <c r="I399" s="8" t="s">
        <v>12</v>
      </c>
      <c r="J399" s="0" t="s">
        <v>13</v>
      </c>
    </row>
    <row r="400" customFormat="false" ht="15" hidden="false" customHeight="false" outlineLevel="0" collapsed="false">
      <c r="A400" s="6" t="n">
        <v>43703</v>
      </c>
      <c r="B400" s="7" t="n">
        <v>0.776388888888889</v>
      </c>
      <c r="C400" s="8" t="n">
        <v>113250</v>
      </c>
      <c r="D400" s="8" t="s">
        <v>19</v>
      </c>
      <c r="E400" s="8" t="n">
        <v>3120</v>
      </c>
      <c r="F400" s="8" t="n">
        <v>2720</v>
      </c>
      <c r="G400" s="9" t="n">
        <v>400</v>
      </c>
      <c r="H400" s="8" t="s">
        <v>11</v>
      </c>
      <c r="I400" s="8" t="s">
        <v>12</v>
      </c>
      <c r="J400" s="0" t="s">
        <v>13</v>
      </c>
    </row>
    <row r="401" customFormat="false" ht="15" hidden="false" customHeight="false" outlineLevel="0" collapsed="false">
      <c r="A401" s="6" t="n">
        <v>43703</v>
      </c>
      <c r="B401" s="7" t="n">
        <v>0.880555555555556</v>
      </c>
      <c r="C401" s="8" t="n">
        <v>113251</v>
      </c>
      <c r="D401" s="8" t="s">
        <v>14</v>
      </c>
      <c r="E401" s="8" t="n">
        <v>25780</v>
      </c>
      <c r="F401" s="8" t="n">
        <v>15860</v>
      </c>
      <c r="G401" s="9" t="n">
        <v>9920</v>
      </c>
      <c r="H401" s="8" t="s">
        <v>11</v>
      </c>
      <c r="I401" s="8" t="s">
        <v>12</v>
      </c>
      <c r="J401" s="0" t="s">
        <v>13</v>
      </c>
    </row>
    <row r="402" customFormat="false" ht="15" hidden="false" customHeight="false" outlineLevel="0" collapsed="false">
      <c r="A402" s="6" t="n">
        <v>43703</v>
      </c>
      <c r="B402" s="7" t="n">
        <v>0.348611111111111</v>
      </c>
      <c r="C402" s="8" t="n">
        <v>113218</v>
      </c>
      <c r="D402" s="8" t="s">
        <v>16</v>
      </c>
      <c r="E402" s="8" t="n">
        <v>3400</v>
      </c>
      <c r="F402" s="8" t="n">
        <v>2880</v>
      </c>
      <c r="G402" s="9" t="n">
        <v>520</v>
      </c>
      <c r="H402" s="8" t="s">
        <v>11</v>
      </c>
      <c r="I402" s="8" t="s">
        <v>18</v>
      </c>
      <c r="J402" s="0" t="s">
        <v>13</v>
      </c>
    </row>
    <row r="403" customFormat="false" ht="15" hidden="false" customHeight="false" outlineLevel="0" collapsed="false">
      <c r="A403" s="6" t="n">
        <v>43703</v>
      </c>
      <c r="B403" s="7" t="n">
        <v>0.490277777777778</v>
      </c>
      <c r="C403" s="8" t="n">
        <v>113237</v>
      </c>
      <c r="D403" s="8" t="s">
        <v>16</v>
      </c>
      <c r="E403" s="8" t="n">
        <v>3340</v>
      </c>
      <c r="F403" s="8" t="n">
        <v>2940</v>
      </c>
      <c r="G403" s="9" t="n">
        <v>400</v>
      </c>
      <c r="H403" s="8" t="s">
        <v>11</v>
      </c>
      <c r="I403" s="8" t="s">
        <v>18</v>
      </c>
      <c r="J403" s="0" t="s">
        <v>13</v>
      </c>
    </row>
    <row r="404" customFormat="false" ht="15" hidden="false" customHeight="false" outlineLevel="0" collapsed="false">
      <c r="A404" s="6" t="n">
        <v>43703</v>
      </c>
      <c r="B404" s="7" t="n">
        <v>0.883333333333333</v>
      </c>
      <c r="C404" s="8" t="n">
        <v>113252</v>
      </c>
      <c r="D404" s="8" t="s">
        <v>19</v>
      </c>
      <c r="E404" s="8" t="n">
        <v>3080</v>
      </c>
      <c r="F404" s="8" t="n">
        <v>2800</v>
      </c>
      <c r="G404" s="9" t="n">
        <v>280</v>
      </c>
      <c r="H404" s="8" t="s">
        <v>11</v>
      </c>
      <c r="I404" s="8" t="s">
        <v>12</v>
      </c>
      <c r="J404" s="0" t="s">
        <v>13</v>
      </c>
    </row>
    <row r="405" customFormat="false" ht="15" hidden="false" customHeight="false" outlineLevel="0" collapsed="false">
      <c r="A405" s="6" t="n">
        <v>43704</v>
      </c>
      <c r="B405" s="7" t="n">
        <v>0.0388888888888889</v>
      </c>
      <c r="C405" s="8" t="n">
        <v>113253</v>
      </c>
      <c r="D405" s="8" t="s">
        <v>10</v>
      </c>
      <c r="E405" s="8" t="n">
        <v>21840</v>
      </c>
      <c r="F405" s="8" t="n">
        <v>13060</v>
      </c>
      <c r="G405" s="9" t="n">
        <v>8780</v>
      </c>
      <c r="H405" s="8" t="s">
        <v>11</v>
      </c>
      <c r="I405" s="8" t="s">
        <v>12</v>
      </c>
      <c r="J405" s="0" t="s">
        <v>13</v>
      </c>
    </row>
    <row r="406" customFormat="false" ht="15" hidden="false" customHeight="false" outlineLevel="0" collapsed="false">
      <c r="A406" s="6" t="n">
        <v>43704</v>
      </c>
      <c r="B406" s="7" t="n">
        <v>0.115972222222222</v>
      </c>
      <c r="C406" s="8" t="n">
        <v>113259</v>
      </c>
      <c r="D406" s="8" t="s">
        <v>20</v>
      </c>
      <c r="E406" s="8" t="n">
        <v>22600</v>
      </c>
      <c r="F406" s="8" t="n">
        <v>15700</v>
      </c>
      <c r="G406" s="9" t="n">
        <v>6900</v>
      </c>
      <c r="H406" s="8" t="s">
        <v>11</v>
      </c>
      <c r="I406" s="8" t="s">
        <v>12</v>
      </c>
      <c r="J406" s="0" t="s">
        <v>13</v>
      </c>
    </row>
    <row r="407" customFormat="false" ht="15" hidden="false" customHeight="false" outlineLevel="0" collapsed="false">
      <c r="A407" s="6" t="n">
        <v>43704</v>
      </c>
      <c r="B407" s="7" t="n">
        <v>0.153472222222222</v>
      </c>
      <c r="C407" s="8" t="n">
        <v>113262</v>
      </c>
      <c r="D407" s="8" t="s">
        <v>10</v>
      </c>
      <c r="E407" s="8" t="n">
        <v>23020</v>
      </c>
      <c r="F407" s="8" t="n">
        <v>12900</v>
      </c>
      <c r="G407" s="9" t="n">
        <v>10120</v>
      </c>
      <c r="H407" s="8" t="s">
        <v>11</v>
      </c>
      <c r="I407" s="8" t="s">
        <v>12</v>
      </c>
      <c r="J407" s="0" t="s">
        <v>13</v>
      </c>
    </row>
    <row r="408" customFormat="false" ht="15" hidden="false" customHeight="false" outlineLevel="0" collapsed="false">
      <c r="A408" s="6" t="n">
        <v>43704</v>
      </c>
      <c r="B408" s="7" t="n">
        <v>0.159027777777778</v>
      </c>
      <c r="C408" s="8" t="n">
        <v>113263</v>
      </c>
      <c r="D408" s="8" t="s">
        <v>15</v>
      </c>
      <c r="E408" s="8" t="n">
        <v>5000</v>
      </c>
      <c r="F408" s="8" t="n">
        <v>3600</v>
      </c>
      <c r="G408" s="9" t="n">
        <v>1400</v>
      </c>
      <c r="H408" s="8" t="s">
        <v>11</v>
      </c>
      <c r="I408" s="8" t="s">
        <v>12</v>
      </c>
      <c r="J408" s="0" t="s">
        <v>13</v>
      </c>
    </row>
    <row r="409" customFormat="false" ht="15" hidden="false" customHeight="false" outlineLevel="0" collapsed="false">
      <c r="A409" s="6" t="n">
        <v>43704</v>
      </c>
      <c r="B409" s="7" t="n">
        <v>0.207638888888889</v>
      </c>
      <c r="C409" s="8" t="n">
        <v>113268</v>
      </c>
      <c r="D409" s="8" t="s">
        <v>15</v>
      </c>
      <c r="E409" s="8" t="n">
        <v>3960</v>
      </c>
      <c r="F409" s="8" t="n">
        <v>3520</v>
      </c>
      <c r="G409" s="9" t="n">
        <v>440</v>
      </c>
      <c r="H409" s="8" t="s">
        <v>11</v>
      </c>
      <c r="I409" s="8" t="s">
        <v>12</v>
      </c>
      <c r="J409" s="0" t="s">
        <v>13</v>
      </c>
    </row>
    <row r="410" customFormat="false" ht="15" hidden="false" customHeight="false" outlineLevel="0" collapsed="false">
      <c r="A410" s="6" t="n">
        <v>43704</v>
      </c>
      <c r="B410" s="7" t="n">
        <v>0.214583333333333</v>
      </c>
      <c r="C410" s="8" t="n">
        <v>113269</v>
      </c>
      <c r="D410" s="8" t="s">
        <v>14</v>
      </c>
      <c r="E410" s="8" t="n">
        <v>26180</v>
      </c>
      <c r="F410" s="8" t="n">
        <v>15880</v>
      </c>
      <c r="G410" s="9" t="n">
        <v>10300</v>
      </c>
      <c r="H410" s="8" t="s">
        <v>11</v>
      </c>
      <c r="I410" s="8" t="s">
        <v>12</v>
      </c>
      <c r="J410" s="0" t="s">
        <v>13</v>
      </c>
    </row>
    <row r="411" customFormat="false" ht="15" hidden="false" customHeight="false" outlineLevel="0" collapsed="false">
      <c r="A411" s="6" t="n">
        <v>43704</v>
      </c>
      <c r="B411" s="7" t="n">
        <v>0.235416666666667</v>
      </c>
      <c r="C411" s="8" t="n">
        <v>113271</v>
      </c>
      <c r="D411" s="8" t="s">
        <v>10</v>
      </c>
      <c r="E411" s="8" t="n">
        <v>12740</v>
      </c>
      <c r="F411" s="8" t="n">
        <v>11400</v>
      </c>
      <c r="G411" s="9" t="n">
        <v>1340</v>
      </c>
      <c r="H411" s="8" t="s">
        <v>11</v>
      </c>
      <c r="I411" s="8" t="s">
        <v>12</v>
      </c>
      <c r="J411" s="0" t="s">
        <v>13</v>
      </c>
    </row>
    <row r="412" customFormat="false" ht="15" hidden="false" customHeight="false" outlineLevel="0" collapsed="false">
      <c r="A412" s="6" t="n">
        <v>43703</v>
      </c>
      <c r="B412" s="7" t="n">
        <v>0.451388888888889</v>
      </c>
      <c r="C412" s="10" t="s">
        <v>23</v>
      </c>
      <c r="D412" s="8" t="s">
        <v>20</v>
      </c>
      <c r="E412" s="8" t="n">
        <v>18540</v>
      </c>
      <c r="F412" s="8" t="n">
        <v>15760</v>
      </c>
      <c r="G412" s="9" t="n">
        <v>2780</v>
      </c>
      <c r="H412" s="8" t="s">
        <v>11</v>
      </c>
      <c r="I412" s="8" t="s">
        <v>24</v>
      </c>
      <c r="J412" s="0" t="s">
        <v>13</v>
      </c>
    </row>
    <row r="413" customFormat="false" ht="15" hidden="false" customHeight="false" outlineLevel="0" collapsed="false">
      <c r="A413" s="6" t="n">
        <v>43704</v>
      </c>
      <c r="B413" s="7" t="n">
        <v>0.438194444444444</v>
      </c>
      <c r="C413" s="8" t="n">
        <v>91570</v>
      </c>
      <c r="D413" s="8" t="s">
        <v>20</v>
      </c>
      <c r="E413" s="8" t="n">
        <v>17940</v>
      </c>
      <c r="F413" s="8" t="n">
        <v>15880</v>
      </c>
      <c r="G413" s="9" t="n">
        <v>2060</v>
      </c>
      <c r="H413" s="8" t="s">
        <v>11</v>
      </c>
      <c r="I413" s="8" t="s">
        <v>25</v>
      </c>
      <c r="J413" s="0" t="s">
        <v>13</v>
      </c>
    </row>
    <row r="414" customFormat="false" ht="15" hidden="false" customHeight="false" outlineLevel="0" collapsed="false">
      <c r="A414" s="6" t="n">
        <v>43704</v>
      </c>
      <c r="B414" s="7" t="n">
        <v>0.327083333333333</v>
      </c>
      <c r="C414" s="8" t="n">
        <v>113279</v>
      </c>
      <c r="D414" s="8" t="s">
        <v>26</v>
      </c>
      <c r="E414" s="8" t="n">
        <v>2780</v>
      </c>
      <c r="F414" s="8" t="n">
        <v>2380</v>
      </c>
      <c r="G414" s="9" t="n">
        <v>400</v>
      </c>
      <c r="H414" s="8" t="s">
        <v>11</v>
      </c>
      <c r="I414" s="8" t="s">
        <v>12</v>
      </c>
      <c r="J414" s="0" t="s">
        <v>13</v>
      </c>
    </row>
    <row r="415" customFormat="false" ht="15" hidden="false" customHeight="false" outlineLevel="0" collapsed="false">
      <c r="A415" s="6" t="n">
        <v>43704</v>
      </c>
      <c r="B415" s="7" t="n">
        <v>0.446527777777778</v>
      </c>
      <c r="C415" s="8" t="n">
        <v>113289</v>
      </c>
      <c r="D415" s="8" t="s">
        <v>26</v>
      </c>
      <c r="E415" s="8" t="n">
        <v>2560</v>
      </c>
      <c r="F415" s="8" t="n">
        <v>2280</v>
      </c>
      <c r="G415" s="9" t="n">
        <v>280</v>
      </c>
      <c r="H415" s="8" t="s">
        <v>11</v>
      </c>
      <c r="I415" s="8" t="s">
        <v>12</v>
      </c>
      <c r="J415" s="0" t="s">
        <v>13</v>
      </c>
    </row>
    <row r="416" customFormat="false" ht="15" hidden="false" customHeight="false" outlineLevel="0" collapsed="false">
      <c r="A416" s="6" t="n">
        <v>43704</v>
      </c>
      <c r="B416" s="7" t="n">
        <v>0.473611111111111</v>
      </c>
      <c r="C416" s="8" t="n">
        <v>113294</v>
      </c>
      <c r="D416" s="8" t="s">
        <v>21</v>
      </c>
      <c r="E416" s="8" t="n">
        <v>22140</v>
      </c>
      <c r="F416" s="8" t="n">
        <v>15200</v>
      </c>
      <c r="G416" s="9" t="n">
        <v>6940</v>
      </c>
      <c r="H416" s="8" t="s">
        <v>11</v>
      </c>
      <c r="I416" s="8" t="s">
        <v>22</v>
      </c>
      <c r="J416" s="0" t="s">
        <v>13</v>
      </c>
    </row>
    <row r="417" customFormat="false" ht="15" hidden="false" customHeight="false" outlineLevel="0" collapsed="false">
      <c r="A417" s="6" t="n">
        <v>43704</v>
      </c>
      <c r="B417" s="7" t="n">
        <v>0.449305555555556</v>
      </c>
      <c r="C417" s="8" t="n">
        <v>113290</v>
      </c>
      <c r="D417" s="8" t="s">
        <v>19</v>
      </c>
      <c r="E417" s="8" t="n">
        <v>3200</v>
      </c>
      <c r="F417" s="8" t="n">
        <v>2580</v>
      </c>
      <c r="G417" s="9" t="n">
        <v>620</v>
      </c>
      <c r="H417" s="8" t="s">
        <v>11</v>
      </c>
      <c r="I417" s="8" t="s">
        <v>12</v>
      </c>
      <c r="J417" s="0" t="s">
        <v>13</v>
      </c>
    </row>
    <row r="418" customFormat="false" ht="15" hidden="false" customHeight="false" outlineLevel="0" collapsed="false">
      <c r="A418" s="6" t="n">
        <v>43704</v>
      </c>
      <c r="B418" s="7" t="n">
        <v>0.693055555555556</v>
      </c>
      <c r="C418" s="8" t="n">
        <v>113311</v>
      </c>
      <c r="D418" s="8" t="s">
        <v>10</v>
      </c>
      <c r="E418" s="8" t="n">
        <v>15720</v>
      </c>
      <c r="F418" s="8" t="n">
        <v>12700</v>
      </c>
      <c r="G418" s="9" t="n">
        <v>3020</v>
      </c>
      <c r="H418" s="8" t="s">
        <v>11</v>
      </c>
      <c r="I418" s="8" t="s">
        <v>12</v>
      </c>
      <c r="J418" s="0" t="s">
        <v>13</v>
      </c>
    </row>
    <row r="419" customFormat="false" ht="15" hidden="false" customHeight="false" outlineLevel="0" collapsed="false">
      <c r="A419" s="6" t="n">
        <v>43704</v>
      </c>
      <c r="B419" s="7" t="n">
        <v>0.873611111111111</v>
      </c>
      <c r="C419" s="8" t="n">
        <v>113318</v>
      </c>
      <c r="D419" s="8" t="s">
        <v>14</v>
      </c>
      <c r="E419" s="8" t="n">
        <v>24940</v>
      </c>
      <c r="F419" s="8" t="n">
        <v>16180</v>
      </c>
      <c r="G419" s="9" t="n">
        <v>8760</v>
      </c>
      <c r="H419" s="8" t="s">
        <v>11</v>
      </c>
      <c r="I419" s="8" t="s">
        <v>12</v>
      </c>
      <c r="J419" s="0" t="s">
        <v>13</v>
      </c>
    </row>
    <row r="420" customFormat="false" ht="15" hidden="false" customHeight="false" outlineLevel="0" collapsed="false">
      <c r="A420" s="6" t="n">
        <v>43704</v>
      </c>
      <c r="B420" s="7" t="n">
        <v>0.901388888888889</v>
      </c>
      <c r="C420" s="8" t="n">
        <v>113319</v>
      </c>
      <c r="D420" s="8" t="s">
        <v>19</v>
      </c>
      <c r="E420" s="8" t="n">
        <v>3160</v>
      </c>
      <c r="F420" s="8" t="n">
        <v>2600</v>
      </c>
      <c r="G420" s="9" t="n">
        <v>560</v>
      </c>
      <c r="H420" s="8" t="s">
        <v>11</v>
      </c>
      <c r="I420" s="8" t="s">
        <v>12</v>
      </c>
      <c r="J420" s="0" t="s">
        <v>13</v>
      </c>
    </row>
    <row r="421" customFormat="false" ht="15" hidden="false" customHeight="false" outlineLevel="0" collapsed="false">
      <c r="A421" s="6" t="n">
        <v>43705</v>
      </c>
      <c r="B421" s="7" t="n">
        <v>0.0486111111111111</v>
      </c>
      <c r="C421" s="8" t="n">
        <v>113320</v>
      </c>
      <c r="D421" s="8" t="s">
        <v>10</v>
      </c>
      <c r="E421" s="8" t="n">
        <v>21940</v>
      </c>
      <c r="F421" s="8" t="n">
        <v>12860</v>
      </c>
      <c r="G421" s="9" t="n">
        <v>9080</v>
      </c>
      <c r="H421" s="8" t="s">
        <v>11</v>
      </c>
      <c r="I421" s="8" t="s">
        <v>12</v>
      </c>
      <c r="J421" s="0" t="s">
        <v>13</v>
      </c>
    </row>
    <row r="422" customFormat="false" ht="15" hidden="false" customHeight="false" outlineLevel="0" collapsed="false">
      <c r="A422" s="6" t="n">
        <v>43705</v>
      </c>
      <c r="B422" s="7" t="n">
        <v>0.138888888888889</v>
      </c>
      <c r="C422" s="8" t="n">
        <v>113327</v>
      </c>
      <c r="D422" s="8" t="s">
        <v>20</v>
      </c>
      <c r="E422" s="8" t="n">
        <v>24520</v>
      </c>
      <c r="F422" s="8" t="n">
        <v>15820</v>
      </c>
      <c r="G422" s="9" t="n">
        <v>8700</v>
      </c>
      <c r="H422" s="8" t="s">
        <v>11</v>
      </c>
      <c r="I422" s="8" t="s">
        <v>12</v>
      </c>
      <c r="J422" s="0" t="s">
        <v>13</v>
      </c>
    </row>
    <row r="423" customFormat="false" ht="15" hidden="false" customHeight="false" outlineLevel="0" collapsed="false">
      <c r="A423" s="6" t="n">
        <v>43705</v>
      </c>
      <c r="B423" s="7" t="n">
        <v>0.147222222222222</v>
      </c>
      <c r="C423" s="8" t="n">
        <v>113329</v>
      </c>
      <c r="D423" s="8" t="s">
        <v>19</v>
      </c>
      <c r="E423" s="8" t="n">
        <v>3520</v>
      </c>
      <c r="F423" s="8" t="n">
        <v>2540</v>
      </c>
      <c r="G423" s="9" t="n">
        <v>980</v>
      </c>
      <c r="H423" s="8" t="s">
        <v>11</v>
      </c>
      <c r="I423" s="8" t="s">
        <v>12</v>
      </c>
      <c r="J423" s="0" t="s">
        <v>13</v>
      </c>
    </row>
    <row r="424" customFormat="false" ht="15" hidden="false" customHeight="false" outlineLevel="0" collapsed="false">
      <c r="A424" s="6" t="n">
        <v>43705</v>
      </c>
      <c r="B424" s="7" t="n">
        <v>0.154166666666667</v>
      </c>
      <c r="C424" s="8" t="n">
        <v>113330</v>
      </c>
      <c r="D424" s="8" t="s">
        <v>10</v>
      </c>
      <c r="E424" s="8" t="n">
        <v>22760</v>
      </c>
      <c r="F424" s="8" t="n">
        <v>12760</v>
      </c>
      <c r="G424" s="9" t="n">
        <v>10000</v>
      </c>
      <c r="H424" s="8" t="s">
        <v>11</v>
      </c>
      <c r="I424" s="8" t="s">
        <v>12</v>
      </c>
      <c r="J424" s="0" t="s">
        <v>13</v>
      </c>
    </row>
    <row r="425" customFormat="false" ht="15" hidden="false" customHeight="false" outlineLevel="0" collapsed="false">
      <c r="A425" s="6" t="n">
        <v>43705</v>
      </c>
      <c r="B425" s="7" t="n">
        <v>0.175</v>
      </c>
      <c r="C425" s="8" t="n">
        <v>113331</v>
      </c>
      <c r="D425" s="8" t="s">
        <v>14</v>
      </c>
      <c r="E425" s="8" t="n">
        <v>25780</v>
      </c>
      <c r="F425" s="8" t="n">
        <v>15960</v>
      </c>
      <c r="G425" s="9" t="n">
        <v>9820</v>
      </c>
      <c r="H425" s="8" t="s">
        <v>11</v>
      </c>
      <c r="I425" s="8" t="s">
        <v>12</v>
      </c>
      <c r="J425" s="0" t="s">
        <v>13</v>
      </c>
    </row>
    <row r="426" customFormat="false" ht="15" hidden="false" customHeight="false" outlineLevel="0" collapsed="false">
      <c r="A426" s="6" t="n">
        <v>43705</v>
      </c>
      <c r="B426" s="7" t="n">
        <v>0.223611111111111</v>
      </c>
      <c r="C426" s="8" t="n">
        <v>113335</v>
      </c>
      <c r="D426" s="8" t="s">
        <v>19</v>
      </c>
      <c r="E426" s="8" t="n">
        <v>3400</v>
      </c>
      <c r="F426" s="8" t="n">
        <v>2540</v>
      </c>
      <c r="G426" s="9" t="n">
        <v>860</v>
      </c>
      <c r="H426" s="8" t="s">
        <v>11</v>
      </c>
      <c r="I426" s="8" t="s">
        <v>12</v>
      </c>
      <c r="J426" s="0" t="s">
        <v>13</v>
      </c>
    </row>
    <row r="427" customFormat="false" ht="15" hidden="false" customHeight="false" outlineLevel="0" collapsed="false">
      <c r="A427" s="6" t="n">
        <v>43705</v>
      </c>
      <c r="B427" s="7" t="n">
        <v>0.246527777777778</v>
      </c>
      <c r="C427" s="8" t="n">
        <v>113338</v>
      </c>
      <c r="D427" s="8" t="s">
        <v>10</v>
      </c>
      <c r="E427" s="8" t="n">
        <v>15740</v>
      </c>
      <c r="F427" s="8" t="n">
        <v>12680</v>
      </c>
      <c r="G427" s="9" t="n">
        <v>3060</v>
      </c>
      <c r="H427" s="8" t="s">
        <v>11</v>
      </c>
      <c r="I427" s="8" t="s">
        <v>12</v>
      </c>
      <c r="J427" s="0" t="s">
        <v>13</v>
      </c>
    </row>
    <row r="428" customFormat="false" ht="15" hidden="false" customHeight="false" outlineLevel="0" collapsed="false">
      <c r="A428" s="6" t="n">
        <v>43705</v>
      </c>
      <c r="B428" s="7" t="n">
        <v>0.353472222222222</v>
      </c>
      <c r="C428" s="8" t="n">
        <v>113353</v>
      </c>
      <c r="D428" s="8" t="s">
        <v>19</v>
      </c>
      <c r="E428" s="8" t="n">
        <v>3520</v>
      </c>
      <c r="F428" s="8" t="n">
        <v>2560</v>
      </c>
      <c r="G428" s="9" t="n">
        <v>960</v>
      </c>
      <c r="H428" s="8" t="s">
        <v>11</v>
      </c>
      <c r="I428" s="8" t="s">
        <v>18</v>
      </c>
      <c r="J428" s="0" t="s">
        <v>13</v>
      </c>
    </row>
    <row r="429" customFormat="false" ht="15" hidden="false" customHeight="false" outlineLevel="0" collapsed="false">
      <c r="A429" s="6" t="n">
        <v>43705</v>
      </c>
      <c r="B429" s="7" t="n">
        <v>0.388194444444444</v>
      </c>
      <c r="C429" s="8" t="n">
        <v>113358</v>
      </c>
      <c r="D429" s="8" t="s">
        <v>10</v>
      </c>
      <c r="E429" s="8" t="n">
        <v>17960</v>
      </c>
      <c r="F429" s="8" t="n">
        <v>12380</v>
      </c>
      <c r="G429" s="9" t="n">
        <v>5580</v>
      </c>
      <c r="H429" s="8" t="s">
        <v>11</v>
      </c>
      <c r="I429" s="8" t="s">
        <v>12</v>
      </c>
      <c r="J429" s="0" t="s">
        <v>13</v>
      </c>
    </row>
    <row r="430" customFormat="false" ht="15" hidden="false" customHeight="false" outlineLevel="0" collapsed="false">
      <c r="A430" s="6" t="n">
        <v>43705</v>
      </c>
      <c r="B430" s="7" t="n">
        <v>0.472222222222222</v>
      </c>
      <c r="C430" s="8" t="n">
        <v>113369</v>
      </c>
      <c r="D430" s="8" t="s">
        <v>19</v>
      </c>
      <c r="E430" s="8" t="n">
        <v>3260</v>
      </c>
      <c r="F430" s="8" t="n">
        <v>2600</v>
      </c>
      <c r="G430" s="9" t="n">
        <v>660</v>
      </c>
      <c r="H430" s="8" t="s">
        <v>11</v>
      </c>
      <c r="I430" s="8" t="s">
        <v>18</v>
      </c>
      <c r="J430" s="0" t="s">
        <v>13</v>
      </c>
    </row>
    <row r="431" customFormat="false" ht="15" hidden="false" customHeight="false" outlineLevel="0" collapsed="false">
      <c r="A431" s="6" t="n">
        <v>43705</v>
      </c>
      <c r="B431" s="7" t="n">
        <v>0.454166666666667</v>
      </c>
      <c r="C431" s="8" t="n">
        <v>113366</v>
      </c>
      <c r="D431" s="8" t="s">
        <v>26</v>
      </c>
      <c r="E431" s="8" t="n">
        <v>2680</v>
      </c>
      <c r="F431" s="8" t="n">
        <v>2360</v>
      </c>
      <c r="G431" s="9" t="n">
        <v>320</v>
      </c>
      <c r="H431" s="8" t="s">
        <v>11</v>
      </c>
      <c r="I431" s="8" t="s">
        <v>12</v>
      </c>
      <c r="J431" s="0" t="s">
        <v>13</v>
      </c>
    </row>
    <row r="432" customFormat="false" ht="15" hidden="false" customHeight="false" outlineLevel="0" collapsed="false">
      <c r="A432" s="6" t="n">
        <v>43705</v>
      </c>
      <c r="B432" s="7" t="n">
        <v>0.696527777777778</v>
      </c>
      <c r="C432" s="8" t="n">
        <v>113393</v>
      </c>
      <c r="D432" s="8" t="s">
        <v>28</v>
      </c>
      <c r="E432" s="8" t="n">
        <v>15020</v>
      </c>
      <c r="F432" s="8" t="n">
        <v>12520</v>
      </c>
      <c r="G432" s="9" t="n">
        <v>2500</v>
      </c>
      <c r="H432" s="8" t="s">
        <v>11</v>
      </c>
      <c r="I432" s="8" t="s">
        <v>12</v>
      </c>
      <c r="J432" s="0" t="s">
        <v>13</v>
      </c>
    </row>
    <row r="433" customFormat="false" ht="15" hidden="false" customHeight="false" outlineLevel="0" collapsed="false">
      <c r="A433" s="6" t="n">
        <v>43705</v>
      </c>
      <c r="B433" s="7" t="n">
        <v>0.726388888888889</v>
      </c>
      <c r="C433" s="8" t="n">
        <v>113395</v>
      </c>
      <c r="D433" s="8" t="s">
        <v>26</v>
      </c>
      <c r="E433" s="8" t="n">
        <v>2620</v>
      </c>
      <c r="F433" s="8" t="n">
        <v>2380</v>
      </c>
      <c r="G433" s="9" t="n">
        <v>240</v>
      </c>
      <c r="H433" s="8" t="s">
        <v>11</v>
      </c>
      <c r="I433" s="8" t="s">
        <v>12</v>
      </c>
      <c r="J433" s="0" t="s">
        <v>13</v>
      </c>
    </row>
    <row r="434" customFormat="false" ht="15" hidden="false" customHeight="false" outlineLevel="0" collapsed="false">
      <c r="A434" s="6" t="n">
        <v>43705</v>
      </c>
      <c r="B434" s="7" t="n">
        <v>0.878472222222222</v>
      </c>
      <c r="C434" s="8" t="n">
        <v>113400</v>
      </c>
      <c r="D434" s="8" t="s">
        <v>14</v>
      </c>
      <c r="E434" s="8" t="n">
        <v>25220</v>
      </c>
      <c r="F434" s="8" t="n">
        <v>15820</v>
      </c>
      <c r="G434" s="9" t="n">
        <v>9400</v>
      </c>
      <c r="H434" s="8" t="s">
        <v>11</v>
      </c>
      <c r="I434" s="8" t="s">
        <v>12</v>
      </c>
      <c r="J434" s="0" t="s">
        <v>13</v>
      </c>
    </row>
    <row r="435" customFormat="false" ht="15" hidden="false" customHeight="false" outlineLevel="0" collapsed="false">
      <c r="A435" s="6" t="n">
        <v>43705</v>
      </c>
      <c r="B435" s="7" t="n">
        <v>0.91875</v>
      </c>
      <c r="C435" s="8" t="n">
        <v>113402</v>
      </c>
      <c r="D435" s="8" t="s">
        <v>26</v>
      </c>
      <c r="E435" s="8" t="n">
        <v>2720</v>
      </c>
      <c r="F435" s="8" t="n">
        <v>2460</v>
      </c>
      <c r="G435" s="9" t="n">
        <v>260</v>
      </c>
      <c r="H435" s="8" t="s">
        <v>11</v>
      </c>
      <c r="I435" s="8" t="s">
        <v>12</v>
      </c>
      <c r="J435" s="0" t="s">
        <v>13</v>
      </c>
    </row>
    <row r="436" customFormat="false" ht="15" hidden="false" customHeight="false" outlineLevel="0" collapsed="false">
      <c r="A436" s="6" t="n">
        <v>43706</v>
      </c>
      <c r="B436" s="7" t="n">
        <v>0.0534722222222222</v>
      </c>
      <c r="C436" s="8" t="n">
        <v>113403</v>
      </c>
      <c r="D436" s="8" t="s">
        <v>10</v>
      </c>
      <c r="E436" s="8" t="n">
        <v>23520</v>
      </c>
      <c r="F436" s="8" t="n">
        <v>13000</v>
      </c>
      <c r="G436" s="9" t="n">
        <v>10520</v>
      </c>
      <c r="H436" s="8" t="s">
        <v>11</v>
      </c>
      <c r="I436" s="8" t="s">
        <v>12</v>
      </c>
      <c r="J436" s="0" t="s">
        <v>13</v>
      </c>
    </row>
    <row r="437" customFormat="false" ht="15" hidden="false" customHeight="false" outlineLevel="0" collapsed="false">
      <c r="A437" s="6" t="n">
        <v>43706</v>
      </c>
      <c r="B437" s="7" t="n">
        <v>0.160416666666667</v>
      </c>
      <c r="C437" s="8" t="n">
        <v>113412</v>
      </c>
      <c r="D437" s="8" t="s">
        <v>19</v>
      </c>
      <c r="E437" s="8" t="n">
        <v>3500</v>
      </c>
      <c r="F437" s="8" t="n">
        <v>2600</v>
      </c>
      <c r="G437" s="9" t="n">
        <v>900</v>
      </c>
      <c r="H437" s="8" t="s">
        <v>11</v>
      </c>
      <c r="I437" s="8" t="s">
        <v>12</v>
      </c>
      <c r="J437" s="0" t="s">
        <v>13</v>
      </c>
    </row>
    <row r="438" customFormat="false" ht="15" hidden="false" customHeight="false" outlineLevel="0" collapsed="false">
      <c r="A438" s="6" t="n">
        <v>43706</v>
      </c>
      <c r="B438" s="7" t="n">
        <v>0.161805555555556</v>
      </c>
      <c r="C438" s="8" t="n">
        <v>113413</v>
      </c>
      <c r="D438" s="8" t="s">
        <v>14</v>
      </c>
      <c r="E438" s="8" t="n">
        <v>27020</v>
      </c>
      <c r="F438" s="8" t="n">
        <v>15840</v>
      </c>
      <c r="G438" s="9" t="n">
        <v>11180</v>
      </c>
      <c r="H438" s="8" t="s">
        <v>11</v>
      </c>
      <c r="I438" s="8" t="s">
        <v>12</v>
      </c>
      <c r="J438" s="0" t="s">
        <v>13</v>
      </c>
    </row>
    <row r="439" customFormat="false" ht="15" hidden="false" customHeight="false" outlineLevel="0" collapsed="false">
      <c r="A439" s="6" t="n">
        <v>43706</v>
      </c>
      <c r="B439" s="7" t="n">
        <v>0.164583333333333</v>
      </c>
      <c r="C439" s="8" t="n">
        <v>113414</v>
      </c>
      <c r="D439" s="8" t="s">
        <v>10</v>
      </c>
      <c r="E439" s="8" t="n">
        <v>21960</v>
      </c>
      <c r="F439" s="8" t="n">
        <v>12820</v>
      </c>
      <c r="G439" s="9" t="n">
        <v>9140</v>
      </c>
      <c r="H439" s="8" t="s">
        <v>11</v>
      </c>
      <c r="I439" s="8" t="s">
        <v>12</v>
      </c>
      <c r="J439" s="0" t="s">
        <v>13</v>
      </c>
    </row>
    <row r="440" customFormat="false" ht="15" hidden="false" customHeight="false" outlineLevel="0" collapsed="false">
      <c r="A440" s="6" t="n">
        <v>43706</v>
      </c>
      <c r="B440" s="7" t="n">
        <v>0.231944444444444</v>
      </c>
      <c r="C440" s="8" t="n">
        <v>113418</v>
      </c>
      <c r="D440" s="8" t="s">
        <v>19</v>
      </c>
      <c r="E440" s="8" t="n">
        <v>3400</v>
      </c>
      <c r="F440" s="8" t="n">
        <v>2620</v>
      </c>
      <c r="G440" s="9" t="n">
        <v>780</v>
      </c>
      <c r="H440" s="8" t="s">
        <v>11</v>
      </c>
      <c r="I440" s="8" t="s">
        <v>12</v>
      </c>
      <c r="J440" s="0" t="s">
        <v>13</v>
      </c>
    </row>
    <row r="441" customFormat="false" ht="15" hidden="false" customHeight="false" outlineLevel="0" collapsed="false">
      <c r="A441" s="6" t="n">
        <v>43706</v>
      </c>
      <c r="B441" s="7" t="n">
        <v>0.232638888888889</v>
      </c>
      <c r="C441" s="8" t="n">
        <v>113419</v>
      </c>
      <c r="D441" s="8" t="s">
        <v>14</v>
      </c>
      <c r="E441" s="8" t="n">
        <v>18880</v>
      </c>
      <c r="F441" s="8" t="n">
        <v>15700</v>
      </c>
      <c r="G441" s="9" t="n">
        <v>3180</v>
      </c>
      <c r="H441" s="8" t="s">
        <v>11</v>
      </c>
      <c r="I441" s="8" t="s">
        <v>12</v>
      </c>
      <c r="J441" s="0" t="s">
        <v>13</v>
      </c>
    </row>
    <row r="442" customFormat="false" ht="15" hidden="false" customHeight="false" outlineLevel="0" collapsed="false">
      <c r="A442" s="6" t="n">
        <v>43706</v>
      </c>
      <c r="B442" s="7" t="n">
        <v>0.259722222222222</v>
      </c>
      <c r="C442" s="8" t="n">
        <v>113420</v>
      </c>
      <c r="D442" s="8" t="s">
        <v>10</v>
      </c>
      <c r="E442" s="8" t="n">
        <v>16620</v>
      </c>
      <c r="F442" s="8" t="n">
        <v>12840</v>
      </c>
      <c r="G442" s="9" t="n">
        <v>3780</v>
      </c>
      <c r="H442" s="8" t="s">
        <v>11</v>
      </c>
      <c r="I442" s="8" t="s">
        <v>12</v>
      </c>
      <c r="J442" s="0" t="s">
        <v>13</v>
      </c>
    </row>
    <row r="443" customFormat="false" ht="15" hidden="false" customHeight="false" outlineLevel="0" collapsed="false">
      <c r="A443" s="6" t="n">
        <v>43706</v>
      </c>
      <c r="B443" s="7" t="n">
        <v>0.347222222222222</v>
      </c>
      <c r="C443" s="8" t="n">
        <v>113434</v>
      </c>
      <c r="D443" s="7" t="s">
        <v>16</v>
      </c>
      <c r="E443" s="8" t="n">
        <v>3380</v>
      </c>
      <c r="F443" s="8" t="n">
        <v>2840</v>
      </c>
      <c r="G443" s="9" t="n">
        <v>540</v>
      </c>
      <c r="H443" s="8" t="s">
        <v>11</v>
      </c>
      <c r="I443" s="8" t="s">
        <v>18</v>
      </c>
      <c r="J443" s="0" t="s">
        <v>13</v>
      </c>
    </row>
    <row r="444" customFormat="false" ht="15" hidden="false" customHeight="false" outlineLevel="0" collapsed="false">
      <c r="A444" s="6" t="n">
        <v>43706</v>
      </c>
      <c r="B444" s="7" t="n">
        <v>0.438888888888889</v>
      </c>
      <c r="C444" s="8" t="n">
        <v>113441</v>
      </c>
      <c r="D444" s="8" t="s">
        <v>16</v>
      </c>
      <c r="E444" s="8" t="n">
        <v>3420</v>
      </c>
      <c r="F444" s="8" t="n">
        <v>2840</v>
      </c>
      <c r="G444" s="9" t="n">
        <v>580</v>
      </c>
      <c r="H444" s="8" t="s">
        <v>11</v>
      </c>
      <c r="I444" s="8" t="s">
        <v>12</v>
      </c>
      <c r="J444" s="0" t="s">
        <v>13</v>
      </c>
    </row>
    <row r="445" customFormat="false" ht="15" hidden="false" customHeight="false" outlineLevel="0" collapsed="false">
      <c r="A445" s="6" t="n">
        <v>43706</v>
      </c>
      <c r="B445" s="7" t="n">
        <v>0.459027777777778</v>
      </c>
      <c r="C445" s="8" t="n">
        <v>113446</v>
      </c>
      <c r="D445" s="8" t="s">
        <v>26</v>
      </c>
      <c r="E445" s="8" t="n">
        <v>2600</v>
      </c>
      <c r="F445" s="8" t="n">
        <v>2400</v>
      </c>
      <c r="G445" s="9" t="n">
        <v>200</v>
      </c>
      <c r="H445" s="8" t="s">
        <v>11</v>
      </c>
      <c r="I445" s="8" t="s">
        <v>12</v>
      </c>
      <c r="J445" s="0" t="s">
        <v>13</v>
      </c>
    </row>
    <row r="446" customFormat="false" ht="15" hidden="false" customHeight="false" outlineLevel="0" collapsed="false">
      <c r="A446" s="6" t="n">
        <v>43706</v>
      </c>
      <c r="B446" s="7" t="n">
        <v>0.686111111111111</v>
      </c>
      <c r="C446" s="8" t="n">
        <v>113467</v>
      </c>
      <c r="D446" s="8" t="s">
        <v>10</v>
      </c>
      <c r="E446" s="8" t="n">
        <v>15640</v>
      </c>
      <c r="F446" s="8" t="n">
        <v>12820</v>
      </c>
      <c r="G446" s="9" t="n">
        <v>2820</v>
      </c>
      <c r="H446" s="8" t="s">
        <v>11</v>
      </c>
      <c r="I446" s="8" t="s">
        <v>12</v>
      </c>
      <c r="J446" s="0" t="s">
        <v>13</v>
      </c>
    </row>
    <row r="447" customFormat="false" ht="15" hidden="false" customHeight="false" outlineLevel="0" collapsed="false">
      <c r="A447" s="6" t="n">
        <v>43706</v>
      </c>
      <c r="B447" s="7" t="n">
        <v>0.738194444444444</v>
      </c>
      <c r="C447" s="8" t="n">
        <v>113470</v>
      </c>
      <c r="D447" s="8" t="s">
        <v>26</v>
      </c>
      <c r="E447" s="8" t="n">
        <v>2700</v>
      </c>
      <c r="F447" s="8" t="n">
        <v>2420</v>
      </c>
      <c r="G447" s="9" t="n">
        <v>280</v>
      </c>
      <c r="H447" s="8" t="s">
        <v>11</v>
      </c>
      <c r="I447" s="8" t="s">
        <v>12</v>
      </c>
      <c r="J447" s="0" t="s">
        <v>13</v>
      </c>
    </row>
    <row r="448" customFormat="false" ht="15" hidden="false" customHeight="false" outlineLevel="0" collapsed="false">
      <c r="A448" s="6" t="n">
        <v>43706</v>
      </c>
      <c r="B448" s="7" t="n">
        <v>0.875</v>
      </c>
      <c r="C448" s="8" t="n">
        <v>113474</v>
      </c>
      <c r="D448" s="8" t="s">
        <v>16</v>
      </c>
      <c r="E448" s="8" t="n">
        <v>3180</v>
      </c>
      <c r="F448" s="8" t="n">
        <v>2960</v>
      </c>
      <c r="G448" s="9" t="n">
        <v>220</v>
      </c>
      <c r="H448" s="8" t="s">
        <v>11</v>
      </c>
      <c r="I448" s="8" t="s">
        <v>12</v>
      </c>
      <c r="J448" s="0" t="s">
        <v>13</v>
      </c>
    </row>
    <row r="449" customFormat="false" ht="15" hidden="false" customHeight="false" outlineLevel="0" collapsed="false">
      <c r="A449" s="6" t="n">
        <v>43706</v>
      </c>
      <c r="B449" s="7" t="n">
        <v>0.875694444444444</v>
      </c>
      <c r="C449" s="8" t="n">
        <v>113475</v>
      </c>
      <c r="D449" s="8" t="s">
        <v>14</v>
      </c>
      <c r="E449" s="8" t="n">
        <v>25640</v>
      </c>
      <c r="F449" s="8" t="n">
        <v>15900</v>
      </c>
      <c r="G449" s="9" t="n">
        <v>9740</v>
      </c>
      <c r="H449" s="8" t="s">
        <v>11</v>
      </c>
      <c r="I449" s="8" t="s">
        <v>12</v>
      </c>
      <c r="J449" s="0" t="s">
        <v>13</v>
      </c>
    </row>
    <row r="450" customFormat="false" ht="15" hidden="false" customHeight="false" outlineLevel="0" collapsed="false">
      <c r="A450" s="6" t="n">
        <v>43706</v>
      </c>
      <c r="B450" s="7" t="n">
        <v>0.480555555555556</v>
      </c>
      <c r="C450" s="8" t="n">
        <v>91662</v>
      </c>
      <c r="D450" s="8" t="s">
        <v>17</v>
      </c>
      <c r="E450" s="8" t="n">
        <v>6540</v>
      </c>
      <c r="F450" s="8" t="n">
        <v>5540</v>
      </c>
      <c r="G450" s="9" t="n">
        <v>1000</v>
      </c>
      <c r="H450" s="8" t="s">
        <v>11</v>
      </c>
      <c r="I450" s="8" t="s">
        <v>25</v>
      </c>
      <c r="J450" s="0" t="s">
        <v>13</v>
      </c>
    </row>
    <row r="451" customFormat="false" ht="15" hidden="false" customHeight="false" outlineLevel="0" collapsed="false">
      <c r="A451" s="6" t="n">
        <v>43706</v>
      </c>
      <c r="B451" s="7" t="n">
        <v>0.445833333333333</v>
      </c>
      <c r="C451" s="8" t="n">
        <v>91660</v>
      </c>
      <c r="D451" s="8" t="s">
        <v>20</v>
      </c>
      <c r="E451" s="8" t="n">
        <v>17520</v>
      </c>
      <c r="F451" s="8" t="n">
        <v>15840</v>
      </c>
      <c r="G451" s="9" t="n">
        <v>1680</v>
      </c>
      <c r="H451" s="8" t="s">
        <v>11</v>
      </c>
      <c r="I451" s="8" t="s">
        <v>25</v>
      </c>
      <c r="J451" s="0" t="s">
        <v>13</v>
      </c>
    </row>
    <row r="452" customFormat="false" ht="15" hidden="false" customHeight="false" outlineLevel="0" collapsed="false">
      <c r="A452" s="6" t="n">
        <v>43707</v>
      </c>
      <c r="B452" s="7" t="n">
        <v>0.0527777777777778</v>
      </c>
      <c r="C452" s="8" t="n">
        <v>113476</v>
      </c>
      <c r="D452" s="8" t="s">
        <v>10</v>
      </c>
      <c r="E452" s="8" t="n">
        <v>22900</v>
      </c>
      <c r="F452" s="8" t="n">
        <v>12920</v>
      </c>
      <c r="G452" s="9" t="n">
        <v>9980</v>
      </c>
      <c r="H452" s="8" t="s">
        <v>11</v>
      </c>
      <c r="I452" s="8" t="s">
        <v>12</v>
      </c>
      <c r="J452" s="0" t="s">
        <v>13</v>
      </c>
    </row>
    <row r="453" customFormat="false" ht="15" hidden="false" customHeight="false" outlineLevel="0" collapsed="false">
      <c r="A453" s="6" t="n">
        <v>43707</v>
      </c>
      <c r="B453" s="7" t="n">
        <v>0.114583333333333</v>
      </c>
      <c r="C453" s="8" t="n">
        <v>113481</v>
      </c>
      <c r="D453" s="8" t="s">
        <v>20</v>
      </c>
      <c r="E453" s="8" t="n">
        <v>24420</v>
      </c>
      <c r="F453" s="8" t="n">
        <v>15900</v>
      </c>
      <c r="G453" s="9" t="n">
        <v>8520</v>
      </c>
      <c r="H453" s="8" t="s">
        <v>11</v>
      </c>
      <c r="I453" s="8" t="s">
        <v>12</v>
      </c>
      <c r="J453" s="0" t="s">
        <v>13</v>
      </c>
    </row>
    <row r="454" customFormat="false" ht="15" hidden="false" customHeight="false" outlineLevel="0" collapsed="false">
      <c r="A454" s="6" t="n">
        <v>43707</v>
      </c>
      <c r="B454" s="7" t="n">
        <v>0.161111111111111</v>
      </c>
      <c r="C454" s="8" t="n">
        <v>113485</v>
      </c>
      <c r="D454" s="8" t="s">
        <v>15</v>
      </c>
      <c r="E454" s="8" t="n">
        <v>4840</v>
      </c>
      <c r="F454" s="8" t="n">
        <v>3480</v>
      </c>
      <c r="G454" s="9" t="n">
        <v>1360</v>
      </c>
      <c r="H454" s="8" t="s">
        <v>11</v>
      </c>
      <c r="I454" s="8" t="s">
        <v>12</v>
      </c>
      <c r="J454" s="0" t="s">
        <v>13</v>
      </c>
    </row>
    <row r="455" customFormat="false" ht="15" hidden="false" customHeight="false" outlineLevel="0" collapsed="false">
      <c r="A455" s="6" t="n">
        <v>43707</v>
      </c>
      <c r="B455" s="7" t="n">
        <v>0.176388888888889</v>
      </c>
      <c r="C455" s="8" t="n">
        <v>113486</v>
      </c>
      <c r="D455" s="8" t="s">
        <v>14</v>
      </c>
      <c r="E455" s="8" t="n">
        <v>26220</v>
      </c>
      <c r="F455" s="8" t="n">
        <v>15820</v>
      </c>
      <c r="G455" s="9" t="n">
        <v>10400</v>
      </c>
      <c r="H455" s="8" t="s">
        <v>11</v>
      </c>
      <c r="I455" s="8" t="s">
        <v>12</v>
      </c>
      <c r="J455" s="0" t="s">
        <v>13</v>
      </c>
    </row>
    <row r="456" customFormat="false" ht="15" hidden="false" customHeight="false" outlineLevel="0" collapsed="false">
      <c r="A456" s="6" t="n">
        <v>43707</v>
      </c>
      <c r="B456" s="7" t="n">
        <v>0.198611111111111</v>
      </c>
      <c r="C456" s="8" t="n">
        <v>113489</v>
      </c>
      <c r="D456" s="8" t="s">
        <v>10</v>
      </c>
      <c r="E456" s="8" t="n">
        <v>23700</v>
      </c>
      <c r="F456" s="8" t="n">
        <v>12880</v>
      </c>
      <c r="G456" s="9" t="n">
        <v>10820</v>
      </c>
      <c r="H456" s="8" t="s">
        <v>11</v>
      </c>
      <c r="I456" s="8" t="s">
        <v>12</v>
      </c>
      <c r="J456" s="0" t="s">
        <v>13</v>
      </c>
    </row>
    <row r="457" customFormat="false" ht="15" hidden="false" customHeight="false" outlineLevel="0" collapsed="false">
      <c r="A457" s="6" t="n">
        <v>43707</v>
      </c>
      <c r="B457" s="7" t="n">
        <v>0.213194444444444</v>
      </c>
      <c r="C457" s="8" t="n">
        <v>113490</v>
      </c>
      <c r="D457" s="8" t="s">
        <v>15</v>
      </c>
      <c r="E457" s="8" t="n">
        <v>4360</v>
      </c>
      <c r="F457" s="8" t="n">
        <v>3660</v>
      </c>
      <c r="G457" s="9" t="n">
        <v>700</v>
      </c>
      <c r="H457" s="8" t="s">
        <v>11</v>
      </c>
      <c r="I457" s="8" t="s">
        <v>12</v>
      </c>
      <c r="J457" s="0" t="s">
        <v>13</v>
      </c>
    </row>
    <row r="458" customFormat="false" ht="15" hidden="false" customHeight="false" outlineLevel="0" collapsed="false">
      <c r="A458" s="6" t="n">
        <v>43707</v>
      </c>
      <c r="B458" s="7" t="n">
        <v>0.289583333333333</v>
      </c>
      <c r="C458" s="8" t="n">
        <v>113497</v>
      </c>
      <c r="D458" s="8" t="s">
        <v>10</v>
      </c>
      <c r="E458" s="8" t="n">
        <v>17120</v>
      </c>
      <c r="F458" s="8" t="n">
        <v>12500</v>
      </c>
      <c r="G458" s="9" t="n">
        <v>4620</v>
      </c>
      <c r="H458" s="8" t="s">
        <v>11</v>
      </c>
      <c r="I458" s="8" t="s">
        <v>12</v>
      </c>
      <c r="J458" s="0" t="s">
        <v>13</v>
      </c>
    </row>
    <row r="459" customFormat="false" ht="15" hidden="false" customHeight="false" outlineLevel="0" collapsed="false">
      <c r="A459" s="6" t="n">
        <v>43707</v>
      </c>
      <c r="B459" s="7" t="n">
        <v>0.458333333333333</v>
      </c>
      <c r="C459" s="10" t="s">
        <v>23</v>
      </c>
      <c r="D459" s="8" t="s">
        <v>20</v>
      </c>
      <c r="E459" s="8" t="n">
        <v>18740</v>
      </c>
      <c r="F459" s="8" t="n">
        <v>15760</v>
      </c>
      <c r="G459" s="9" t="n">
        <v>2980</v>
      </c>
      <c r="H459" s="8" t="s">
        <v>11</v>
      </c>
      <c r="I459" s="8" t="s">
        <v>24</v>
      </c>
      <c r="J459" s="0" t="s">
        <v>13</v>
      </c>
    </row>
    <row r="460" customFormat="false" ht="15" hidden="false" customHeight="false" outlineLevel="0" collapsed="false">
      <c r="A460" s="6" t="n">
        <v>43707</v>
      </c>
      <c r="B460" s="7" t="n">
        <v>0.45</v>
      </c>
      <c r="C460" s="8" t="n">
        <v>113515</v>
      </c>
      <c r="D460" s="8" t="s">
        <v>26</v>
      </c>
      <c r="E460" s="8" t="n">
        <v>2680</v>
      </c>
      <c r="F460" s="8" t="n">
        <v>2460</v>
      </c>
      <c r="G460" s="9" t="n">
        <v>220</v>
      </c>
      <c r="H460" s="8" t="s">
        <v>11</v>
      </c>
      <c r="I460" s="8" t="s">
        <v>12</v>
      </c>
      <c r="J460" s="0" t="s">
        <v>13</v>
      </c>
    </row>
    <row r="461" customFormat="false" ht="15" hidden="false" customHeight="false" outlineLevel="0" collapsed="false">
      <c r="A461" s="6" t="n">
        <v>43707</v>
      </c>
      <c r="B461" s="10" t="s">
        <v>29</v>
      </c>
      <c r="C461" s="8" t="n">
        <v>113516</v>
      </c>
      <c r="D461" s="8" t="s">
        <v>16</v>
      </c>
      <c r="E461" s="8" t="n">
        <v>3300</v>
      </c>
      <c r="F461" s="8" t="n">
        <v>2800</v>
      </c>
      <c r="G461" s="9" t="n">
        <v>500</v>
      </c>
      <c r="H461" s="8" t="s">
        <v>11</v>
      </c>
      <c r="I461" s="8" t="s">
        <v>12</v>
      </c>
      <c r="J461" s="0" t="s">
        <v>13</v>
      </c>
    </row>
    <row r="462" customFormat="false" ht="15" hidden="false" customHeight="false" outlineLevel="0" collapsed="false">
      <c r="A462" s="6" t="n">
        <v>43707</v>
      </c>
      <c r="B462" s="7" t="n">
        <v>0.36875</v>
      </c>
      <c r="C462" s="8" t="n">
        <v>113508</v>
      </c>
      <c r="D462" s="8" t="s">
        <v>16</v>
      </c>
      <c r="E462" s="8" t="n">
        <v>3340</v>
      </c>
      <c r="F462" s="8" t="n">
        <v>2820</v>
      </c>
      <c r="G462" s="9" t="n">
        <v>520</v>
      </c>
      <c r="H462" s="8" t="s">
        <v>11</v>
      </c>
      <c r="I462" s="8" t="s">
        <v>18</v>
      </c>
      <c r="J462" s="0" t="s">
        <v>13</v>
      </c>
    </row>
    <row r="463" customFormat="false" ht="15" hidden="false" customHeight="false" outlineLevel="0" collapsed="false">
      <c r="A463" s="6" t="n">
        <v>43707</v>
      </c>
      <c r="B463" s="7" t="n">
        <v>0.540277777777778</v>
      </c>
      <c r="C463" s="8" t="n">
        <v>113530</v>
      </c>
      <c r="D463" s="8" t="s">
        <v>19</v>
      </c>
      <c r="E463" s="8" t="n">
        <v>3040</v>
      </c>
      <c r="F463" s="8" t="n">
        <v>2800</v>
      </c>
      <c r="G463" s="9" t="n">
        <v>240</v>
      </c>
      <c r="H463" s="8" t="s">
        <v>11</v>
      </c>
      <c r="I463" s="8" t="s">
        <v>27</v>
      </c>
      <c r="J463" s="0" t="s">
        <v>13</v>
      </c>
    </row>
    <row r="464" customFormat="false" ht="15" hidden="false" customHeight="false" outlineLevel="0" collapsed="false">
      <c r="A464" s="6" t="n">
        <v>43707</v>
      </c>
      <c r="B464" s="7" t="n">
        <v>0.698611111111111</v>
      </c>
      <c r="C464" s="8" t="n">
        <v>113543</v>
      </c>
      <c r="D464" s="8" t="s">
        <v>10</v>
      </c>
      <c r="E464" s="8" t="n">
        <v>16360</v>
      </c>
      <c r="F464" s="8" t="n">
        <v>12900</v>
      </c>
      <c r="G464" s="9" t="n">
        <v>3460</v>
      </c>
      <c r="H464" s="8" t="s">
        <v>11</v>
      </c>
      <c r="I464" s="8" t="s">
        <v>12</v>
      </c>
      <c r="J464" s="0" t="s">
        <v>13</v>
      </c>
    </row>
    <row r="465" customFormat="false" ht="15" hidden="false" customHeight="false" outlineLevel="0" collapsed="false">
      <c r="A465" s="6" t="n">
        <v>43707</v>
      </c>
      <c r="B465" s="7" t="n">
        <v>0.769444444444444</v>
      </c>
      <c r="C465" s="8" t="n">
        <v>113546</v>
      </c>
      <c r="D465" s="8" t="s">
        <v>26</v>
      </c>
      <c r="E465" s="8" t="n">
        <v>2680</v>
      </c>
      <c r="F465" s="8" t="n">
        <v>2400</v>
      </c>
      <c r="G465" s="9" t="n">
        <v>280</v>
      </c>
      <c r="H465" s="8" t="s">
        <v>11</v>
      </c>
      <c r="I465" s="8" t="s">
        <v>12</v>
      </c>
      <c r="J465" s="0" t="s">
        <v>13</v>
      </c>
    </row>
    <row r="466" customFormat="false" ht="15" hidden="false" customHeight="false" outlineLevel="0" collapsed="false">
      <c r="A466" s="6" t="n">
        <v>43707</v>
      </c>
      <c r="B466" s="7" t="n">
        <v>0.882638888888889</v>
      </c>
      <c r="C466" s="8" t="n">
        <v>113549</v>
      </c>
      <c r="D466" s="8" t="s">
        <v>14</v>
      </c>
      <c r="E466" s="8" t="n">
        <v>25820</v>
      </c>
      <c r="F466" s="8" t="n">
        <v>15920</v>
      </c>
      <c r="G466" s="9" t="n">
        <v>9900</v>
      </c>
      <c r="H466" s="8" t="s">
        <v>11</v>
      </c>
      <c r="I466" s="8" t="s">
        <v>12</v>
      </c>
      <c r="J466" s="0" t="s">
        <v>13</v>
      </c>
    </row>
    <row r="467" customFormat="false" ht="15" hidden="false" customHeight="false" outlineLevel="0" collapsed="false">
      <c r="A467" s="6" t="n">
        <v>43707</v>
      </c>
      <c r="B467" s="7" t="n">
        <v>0.935416666666667</v>
      </c>
      <c r="C467" s="8" t="n">
        <v>113551</v>
      </c>
      <c r="D467" s="8" t="s">
        <v>16</v>
      </c>
      <c r="E467" s="8" t="n">
        <v>3260</v>
      </c>
      <c r="F467" s="8" t="n">
        <v>2940</v>
      </c>
      <c r="G467" s="9" t="n">
        <v>320</v>
      </c>
      <c r="H467" s="8" t="s">
        <v>11</v>
      </c>
      <c r="I467" s="8" t="s">
        <v>12</v>
      </c>
      <c r="J467" s="0" t="s">
        <v>13</v>
      </c>
    </row>
    <row r="468" customFormat="false" ht="15" hidden="false" customHeight="false" outlineLevel="0" collapsed="false">
      <c r="A468" s="6" t="n">
        <v>43708</v>
      </c>
      <c r="B468" s="7" t="n">
        <v>0.6875</v>
      </c>
      <c r="C468" s="8" t="n">
        <v>113543</v>
      </c>
      <c r="D468" s="8" t="s">
        <v>10</v>
      </c>
      <c r="E468" s="8" t="n">
        <v>15480</v>
      </c>
      <c r="F468" s="8" t="n">
        <v>12820</v>
      </c>
      <c r="G468" s="9" t="n">
        <v>2660</v>
      </c>
      <c r="H468" s="8" t="s">
        <v>11</v>
      </c>
      <c r="I468" s="8" t="s">
        <v>12</v>
      </c>
      <c r="J468" s="0" t="s">
        <v>13</v>
      </c>
    </row>
    <row r="469" customFormat="false" ht="15" hidden="false" customHeight="false" outlineLevel="0" collapsed="false">
      <c r="A469" s="6" t="n">
        <v>43708</v>
      </c>
      <c r="B469" s="7" t="n">
        <v>0.0569444444444444</v>
      </c>
      <c r="C469" s="8" t="n">
        <v>113554</v>
      </c>
      <c r="D469" s="8" t="s">
        <v>10</v>
      </c>
      <c r="E469" s="8" t="n">
        <v>23600</v>
      </c>
      <c r="F469" s="8" t="n">
        <v>13000</v>
      </c>
      <c r="G469" s="9" t="n">
        <v>10600</v>
      </c>
      <c r="H469" s="8" t="s">
        <v>11</v>
      </c>
      <c r="I469" s="8" t="s">
        <v>12</v>
      </c>
      <c r="J469" s="0" t="s">
        <v>13</v>
      </c>
    </row>
    <row r="470" customFormat="false" ht="15" hidden="false" customHeight="false" outlineLevel="0" collapsed="false">
      <c r="A470" s="6" t="n">
        <v>43708</v>
      </c>
      <c r="B470" s="7" t="n">
        <v>0.128472222222222</v>
      </c>
      <c r="C470" s="8" t="n">
        <v>113560</v>
      </c>
      <c r="D470" s="8" t="s">
        <v>20</v>
      </c>
      <c r="E470" s="8" t="n">
        <v>24940</v>
      </c>
      <c r="F470" s="8" t="n">
        <v>15780</v>
      </c>
      <c r="G470" s="9" t="n">
        <v>9160</v>
      </c>
      <c r="H470" s="8" t="s">
        <v>11</v>
      </c>
      <c r="I470" s="8" t="s">
        <v>12</v>
      </c>
      <c r="J470" s="0" t="s">
        <v>13</v>
      </c>
    </row>
    <row r="471" customFormat="false" ht="15" hidden="false" customHeight="false" outlineLevel="0" collapsed="false">
      <c r="A471" s="6" t="n">
        <v>43708</v>
      </c>
      <c r="B471" s="7" t="n">
        <v>0.147916666666667</v>
      </c>
      <c r="C471" s="8" t="n">
        <v>113563</v>
      </c>
      <c r="D471" s="8" t="s">
        <v>10</v>
      </c>
      <c r="E471" s="8" t="n">
        <v>21500</v>
      </c>
      <c r="F471" s="8" t="n">
        <v>12940</v>
      </c>
      <c r="G471" s="9" t="n">
        <v>8560</v>
      </c>
      <c r="H471" s="8" t="s">
        <v>11</v>
      </c>
      <c r="I471" s="8" t="s">
        <v>12</v>
      </c>
      <c r="J471" s="0" t="s">
        <v>13</v>
      </c>
    </row>
    <row r="472" customFormat="false" ht="15" hidden="false" customHeight="false" outlineLevel="0" collapsed="false">
      <c r="A472" s="6" t="n">
        <v>43708</v>
      </c>
      <c r="B472" s="7" t="n">
        <v>0.165277777777778</v>
      </c>
      <c r="C472" s="8" t="n">
        <v>113564</v>
      </c>
      <c r="D472" s="8" t="s">
        <v>15</v>
      </c>
      <c r="E472" s="8" t="n">
        <v>4820</v>
      </c>
      <c r="F472" s="8" t="n">
        <v>3600</v>
      </c>
      <c r="G472" s="9" t="n">
        <v>1220</v>
      </c>
      <c r="H472" s="8" t="s">
        <v>11</v>
      </c>
      <c r="I472" s="8" t="s">
        <v>12</v>
      </c>
      <c r="J472" s="0" t="s">
        <v>13</v>
      </c>
    </row>
    <row r="473" customFormat="false" ht="15" hidden="false" customHeight="false" outlineLevel="0" collapsed="false">
      <c r="A473" s="6" t="n">
        <v>43708</v>
      </c>
      <c r="B473" s="7" t="n">
        <v>0.182638888888889</v>
      </c>
      <c r="C473" s="8" t="n">
        <v>113565</v>
      </c>
      <c r="D473" s="8" t="s">
        <v>14</v>
      </c>
      <c r="E473" s="8" t="n">
        <v>24360</v>
      </c>
      <c r="F473" s="8" t="n">
        <v>15800</v>
      </c>
      <c r="G473" s="9" t="n">
        <v>8560</v>
      </c>
      <c r="H473" s="8" t="s">
        <v>11</v>
      </c>
      <c r="I473" s="8" t="s">
        <v>12</v>
      </c>
      <c r="J473" s="0" t="s">
        <v>13</v>
      </c>
    </row>
    <row r="474" customFormat="false" ht="15" hidden="false" customHeight="false" outlineLevel="0" collapsed="false">
      <c r="A474" s="6" t="n">
        <v>43708</v>
      </c>
      <c r="B474" s="7" t="n">
        <v>0.227777777777778</v>
      </c>
      <c r="C474" s="8" t="n">
        <v>113568</v>
      </c>
      <c r="D474" s="8" t="s">
        <v>15</v>
      </c>
      <c r="E474" s="8" t="n">
        <v>4280</v>
      </c>
      <c r="F474" s="8" t="n">
        <v>3600</v>
      </c>
      <c r="G474" s="9" t="n">
        <v>680</v>
      </c>
      <c r="H474" s="8" t="s">
        <v>11</v>
      </c>
      <c r="I474" s="8" t="s">
        <v>12</v>
      </c>
      <c r="J474" s="0" t="s">
        <v>13</v>
      </c>
    </row>
    <row r="475" customFormat="false" ht="15" hidden="false" customHeight="false" outlineLevel="0" collapsed="false">
      <c r="A475" s="6" t="n">
        <v>43708</v>
      </c>
      <c r="B475" s="7" t="n">
        <v>0.231944444444444</v>
      </c>
      <c r="C475" s="8" t="n">
        <v>113570</v>
      </c>
      <c r="D475" s="8" t="s">
        <v>10</v>
      </c>
      <c r="E475" s="8" t="n">
        <v>17800</v>
      </c>
      <c r="F475" s="8" t="n">
        <v>12960</v>
      </c>
      <c r="G475" s="9" t="n">
        <v>4840</v>
      </c>
      <c r="H475" s="8" t="s">
        <v>11</v>
      </c>
      <c r="I475" s="8" t="s">
        <v>12</v>
      </c>
      <c r="J475" s="0" t="s">
        <v>13</v>
      </c>
    </row>
    <row r="476" customFormat="false" ht="15" hidden="false" customHeight="false" outlineLevel="0" collapsed="false">
      <c r="A476" s="6" t="n">
        <v>43708</v>
      </c>
      <c r="B476" s="7" t="n">
        <v>0.304166666666667</v>
      </c>
      <c r="C476" s="8" t="n">
        <v>113578</v>
      </c>
      <c r="D476" s="8" t="s">
        <v>16</v>
      </c>
      <c r="E476" s="8" t="n">
        <v>3500</v>
      </c>
      <c r="F476" s="8" t="n">
        <v>2860</v>
      </c>
      <c r="G476" s="9" t="n">
        <v>640</v>
      </c>
      <c r="H476" s="8" t="s">
        <v>11</v>
      </c>
      <c r="I476" s="8" t="s">
        <v>18</v>
      </c>
      <c r="J476" s="0" t="s">
        <v>13</v>
      </c>
    </row>
    <row r="477" customFormat="false" ht="15" hidden="false" customHeight="false" outlineLevel="0" collapsed="false">
      <c r="A477" s="6" t="n">
        <v>43708</v>
      </c>
      <c r="B477" s="7" t="n">
        <v>0.359722222222222</v>
      </c>
      <c r="C477" s="8" t="n">
        <v>113579</v>
      </c>
      <c r="D477" s="8" t="s">
        <v>16</v>
      </c>
      <c r="E477" s="8" t="n">
        <v>3260</v>
      </c>
      <c r="F477" s="8" t="n">
        <v>2860</v>
      </c>
      <c r="G477" s="9" t="n">
        <v>400</v>
      </c>
      <c r="H477" s="8" t="s">
        <v>11</v>
      </c>
      <c r="I477" s="8" t="s">
        <v>12</v>
      </c>
      <c r="J477" s="0" t="s">
        <v>13</v>
      </c>
    </row>
    <row r="478" customFormat="false" ht="15" hidden="false" customHeight="false" outlineLevel="0" collapsed="false">
      <c r="A478" s="6" t="n">
        <v>43708</v>
      </c>
      <c r="B478" s="7" t="n">
        <v>0.452083333333333</v>
      </c>
      <c r="C478" s="8" t="n">
        <v>113585</v>
      </c>
      <c r="D478" s="8" t="s">
        <v>26</v>
      </c>
      <c r="E478" s="8" t="n">
        <v>2660</v>
      </c>
      <c r="F478" s="8" t="n">
        <v>2400</v>
      </c>
      <c r="G478" s="9" t="n">
        <v>260</v>
      </c>
      <c r="H478" s="8" t="s">
        <v>11</v>
      </c>
      <c r="I478" s="8" t="s">
        <v>12</v>
      </c>
      <c r="J478" s="0" t="s">
        <v>13</v>
      </c>
    </row>
    <row r="479" customFormat="false" ht="15" hidden="false" customHeight="false" outlineLevel="0" collapsed="false">
      <c r="A479" s="6" t="n">
        <v>43708</v>
      </c>
      <c r="B479" s="7" t="n">
        <v>0.777083333333333</v>
      </c>
      <c r="C479" s="8" t="n">
        <v>113588</v>
      </c>
      <c r="D479" s="8" t="s">
        <v>26</v>
      </c>
      <c r="E479" s="8" t="n">
        <v>2660</v>
      </c>
      <c r="F479" s="8" t="n">
        <v>2400</v>
      </c>
      <c r="G479" s="9" t="n">
        <v>260</v>
      </c>
      <c r="H479" s="8" t="s">
        <v>11</v>
      </c>
      <c r="I479" s="8" t="s">
        <v>12</v>
      </c>
      <c r="J479" s="0" t="s">
        <v>13</v>
      </c>
    </row>
    <row r="480" customFormat="false" ht="15" hidden="false" customHeight="false" outlineLevel="0" collapsed="false">
      <c r="A480" s="6" t="n">
        <v>43708</v>
      </c>
      <c r="B480" s="7" t="n">
        <v>0.877083333333333</v>
      </c>
      <c r="C480" s="8" t="n">
        <v>113589</v>
      </c>
      <c r="D480" s="8" t="s">
        <v>14</v>
      </c>
      <c r="E480" s="8" t="n">
        <v>25980</v>
      </c>
      <c r="F480" s="8" t="n">
        <v>15900</v>
      </c>
      <c r="G480" s="9" t="n">
        <v>10080</v>
      </c>
      <c r="H480" s="8" t="s">
        <v>11</v>
      </c>
      <c r="I480" s="8" t="s">
        <v>12</v>
      </c>
      <c r="J480" s="0" t="s">
        <v>13</v>
      </c>
    </row>
    <row r="481" customFormat="false" ht="15" hidden="false" customHeight="false" outlineLevel="0" collapsed="false">
      <c r="A481" s="6" t="n">
        <v>43708</v>
      </c>
      <c r="B481" s="7" t="n">
        <v>0.902777777777778</v>
      </c>
      <c r="C481" s="8" t="n">
        <v>113590</v>
      </c>
      <c r="D481" s="8" t="s">
        <v>16</v>
      </c>
      <c r="E481" s="8" t="n">
        <v>3320</v>
      </c>
      <c r="F481" s="8" t="n">
        <v>2980</v>
      </c>
      <c r="G481" s="9" t="n">
        <v>340</v>
      </c>
      <c r="H481" s="8" t="s">
        <v>11</v>
      </c>
      <c r="I481" s="8" t="s">
        <v>12</v>
      </c>
      <c r="J481" s="0" t="s">
        <v>13</v>
      </c>
    </row>
    <row r="482" customFormat="false" ht="15" hidden="false" customHeight="false" outlineLevel="0" collapsed="false">
      <c r="A482" s="6" t="n">
        <v>43708</v>
      </c>
      <c r="B482" s="7" t="n">
        <v>0.445138888888889</v>
      </c>
      <c r="C482" s="8" t="n">
        <v>91713</v>
      </c>
      <c r="D482" s="8" t="s">
        <v>20</v>
      </c>
      <c r="E482" s="8" t="n">
        <v>17160</v>
      </c>
      <c r="F482" s="8" t="n">
        <v>15780</v>
      </c>
      <c r="G482" s="9" t="n">
        <v>1380</v>
      </c>
      <c r="H482" s="8" t="s">
        <v>11</v>
      </c>
      <c r="I482" s="8" t="s">
        <v>25</v>
      </c>
      <c r="J482" s="0" t="s">
        <v>13</v>
      </c>
    </row>
    <row r="483" customFormat="false" ht="15" hidden="false" customHeight="false" outlineLevel="0" collapsed="false">
      <c r="A483" s="6" t="n">
        <v>43697</v>
      </c>
      <c r="B483" s="7" t="n">
        <v>0.354861111111111</v>
      </c>
      <c r="C483" s="8" t="n">
        <v>112850</v>
      </c>
      <c r="D483" s="8" t="s">
        <v>21</v>
      </c>
      <c r="E483" s="8" t="n">
        <v>18620</v>
      </c>
      <c r="F483" s="8" t="n">
        <v>15780</v>
      </c>
      <c r="G483" s="9" t="n">
        <v>2840</v>
      </c>
      <c r="H483" s="8" t="s">
        <v>11</v>
      </c>
      <c r="I483" s="8" t="s">
        <v>12</v>
      </c>
      <c r="J483" s="0" t="s">
        <v>13</v>
      </c>
    </row>
    <row r="484" customFormat="false" ht="15" hidden="false" customHeight="false" outlineLevel="0" collapsed="false">
      <c r="A484" s="6" t="n">
        <v>43699</v>
      </c>
      <c r="B484" s="7" t="n">
        <v>0.729166666666667</v>
      </c>
      <c r="C484" s="8" t="n">
        <v>113014</v>
      </c>
      <c r="D484" s="8" t="s">
        <v>26</v>
      </c>
      <c r="E484" s="8" t="n">
        <v>1980</v>
      </c>
      <c r="F484" s="8" t="n">
        <v>1460</v>
      </c>
      <c r="G484" s="9" t="n">
        <v>520</v>
      </c>
      <c r="H484" s="8" t="s">
        <v>11</v>
      </c>
      <c r="I484" s="8" t="s">
        <v>12</v>
      </c>
      <c r="J484" s="0" t="s">
        <v>13</v>
      </c>
    </row>
    <row r="485" customFormat="false" ht="15" hidden="false" customHeight="false" outlineLevel="0" collapsed="false">
      <c r="A485" s="6" t="n">
        <v>43699</v>
      </c>
      <c r="B485" s="7" t="n">
        <v>0.891666666666667</v>
      </c>
      <c r="C485" s="8" t="n">
        <v>113022</v>
      </c>
      <c r="D485" s="8" t="s">
        <v>16</v>
      </c>
      <c r="E485" s="8" t="n">
        <v>3260</v>
      </c>
      <c r="F485" s="8" t="n">
        <v>3040</v>
      </c>
      <c r="G485" s="9" t="n">
        <v>220</v>
      </c>
      <c r="H485" s="8" t="s">
        <v>11</v>
      </c>
      <c r="I485" s="8" t="s">
        <v>12</v>
      </c>
      <c r="J485" s="0" t="s">
        <v>13</v>
      </c>
    </row>
    <row r="486" customFormat="false" ht="15" hidden="false" customHeight="false" outlineLevel="0" collapsed="false">
      <c r="A486" s="6" t="n">
        <v>43700</v>
      </c>
      <c r="B486" s="7" t="n">
        <v>0.163888888888889</v>
      </c>
      <c r="C486" s="8" t="n">
        <v>113033</v>
      </c>
      <c r="D486" s="8" t="s">
        <v>15</v>
      </c>
      <c r="E486" s="8" t="n">
        <v>5020</v>
      </c>
      <c r="F486" s="8" t="n">
        <v>3620</v>
      </c>
      <c r="G486" s="9" t="n">
        <v>1400</v>
      </c>
      <c r="H486" s="8" t="s">
        <v>11</v>
      </c>
      <c r="I486" s="8" t="s">
        <v>12</v>
      </c>
      <c r="J486" s="0" t="s">
        <v>13</v>
      </c>
    </row>
    <row r="487" customFormat="false" ht="15" hidden="false" customHeight="false" outlineLevel="0" collapsed="false">
      <c r="A487" s="6" t="n">
        <v>43700</v>
      </c>
      <c r="B487" s="7" t="n">
        <v>0.245833333333333</v>
      </c>
      <c r="C487" s="8" t="n">
        <v>113039</v>
      </c>
      <c r="D487" s="8" t="s">
        <v>15</v>
      </c>
      <c r="E487" s="8" t="n">
        <v>4600</v>
      </c>
      <c r="F487" s="8" t="n">
        <v>3620</v>
      </c>
      <c r="G487" s="9" t="n">
        <v>980</v>
      </c>
      <c r="H487" s="8" t="s">
        <v>11</v>
      </c>
      <c r="I487" s="8" t="s">
        <v>12</v>
      </c>
      <c r="J487" s="0" t="s">
        <v>13</v>
      </c>
    </row>
    <row r="488" customFormat="false" ht="15" hidden="false" customHeight="false" outlineLevel="0" collapsed="false">
      <c r="A488" s="6" t="n">
        <v>43687</v>
      </c>
      <c r="B488" s="7" t="n">
        <v>0.440972222222222</v>
      </c>
      <c r="C488" s="8" t="n">
        <v>91236</v>
      </c>
      <c r="D488" s="8" t="s">
        <v>20</v>
      </c>
      <c r="E488" s="8" t="n">
        <v>18900</v>
      </c>
      <c r="F488" s="8" t="n">
        <v>16080</v>
      </c>
      <c r="G488" s="9" t="n">
        <v>2820</v>
      </c>
      <c r="H488" s="8" t="s">
        <v>11</v>
      </c>
      <c r="I488" s="8" t="s">
        <v>25</v>
      </c>
      <c r="J488" s="0" t="s">
        <v>13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J488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23" activeCellId="0" sqref="E23"/>
    </sheetView>
  </sheetViews>
  <sheetFormatPr defaultRowHeight="12.8" zeroHeight="false" outlineLevelRow="0" outlineLevelCol="0"/>
  <cols>
    <col collapsed="false" customWidth="true" hidden="false" outlineLevel="0" max="7" min="1" style="0" width="10.5"/>
    <col collapsed="false" customWidth="true" hidden="false" outlineLevel="0" max="8" min="8" style="0" width="15.33"/>
    <col collapsed="false" customWidth="true" hidden="false" outlineLevel="0" max="11" min="9" style="0" width="10.5"/>
    <col collapsed="false" customWidth="true" hidden="false" outlineLevel="0" max="12" min="12" style="0" width="15.33"/>
    <col collapsed="false" customWidth="true" hidden="false" outlineLevel="0" max="1025" min="13" style="0" width="10.5"/>
  </cols>
  <sheetData>
    <row r="1" customFormat="false" ht="12.8" hidden="false" customHeight="false" outlineLevel="0" collapsed="false">
      <c r="A1" s="13" t="s">
        <v>0</v>
      </c>
      <c r="B1" s="14" t="s">
        <v>30</v>
      </c>
    </row>
    <row r="3" customFormat="false" ht="12.8" hidden="false" customHeight="false" outlineLevel="0" collapsed="false">
      <c r="A3" s="15" t="s">
        <v>31</v>
      </c>
      <c r="B3" s="16" t="s">
        <v>8</v>
      </c>
      <c r="C3" s="17"/>
      <c r="D3" s="17"/>
      <c r="E3" s="17"/>
      <c r="F3" s="17"/>
      <c r="G3" s="17"/>
      <c r="H3" s="18"/>
    </row>
    <row r="4" customFormat="false" ht="12.8" hidden="false" customHeight="false" outlineLevel="0" collapsed="false">
      <c r="A4" s="19" t="s">
        <v>3</v>
      </c>
      <c r="B4" s="20" t="s">
        <v>22</v>
      </c>
      <c r="C4" s="21" t="s">
        <v>27</v>
      </c>
      <c r="D4" s="21" t="s">
        <v>12</v>
      </c>
      <c r="E4" s="21" t="s">
        <v>24</v>
      </c>
      <c r="F4" s="21" t="s">
        <v>25</v>
      </c>
      <c r="G4" s="21" t="s">
        <v>18</v>
      </c>
      <c r="H4" s="22" t="s">
        <v>32</v>
      </c>
    </row>
    <row r="5" customFormat="false" ht="13.8" hidden="false" customHeight="false" outlineLevel="0" collapsed="false">
      <c r="A5" s="23" t="s">
        <v>21</v>
      </c>
      <c r="B5" s="24" t="n">
        <v>10280</v>
      </c>
      <c r="C5" s="25"/>
      <c r="D5" s="25" t="n">
        <v>6020</v>
      </c>
      <c r="E5" s="25"/>
      <c r="F5" s="25" t="n">
        <v>5320</v>
      </c>
      <c r="G5" s="26"/>
      <c r="H5" s="27" t="n">
        <v>21620</v>
      </c>
    </row>
    <row r="6" customFormat="false" ht="13.8" hidden="false" customHeight="false" outlineLevel="0" collapsed="false">
      <c r="A6" s="28" t="s">
        <v>19</v>
      </c>
      <c r="B6" s="29"/>
      <c r="C6" s="30" t="n">
        <v>600</v>
      </c>
      <c r="D6" s="30" t="n">
        <v>25860</v>
      </c>
      <c r="E6" s="30"/>
      <c r="F6" s="30"/>
      <c r="G6" s="31" t="n">
        <v>1620</v>
      </c>
      <c r="H6" s="32" t="n">
        <v>28080</v>
      </c>
    </row>
    <row r="7" customFormat="false" ht="13.8" hidden="false" customHeight="false" outlineLevel="0" collapsed="false">
      <c r="A7" s="28" t="s">
        <v>14</v>
      </c>
      <c r="B7" s="29"/>
      <c r="C7" s="30"/>
      <c r="D7" s="30" t="n">
        <v>666610</v>
      </c>
      <c r="E7" s="30" t="n">
        <v>5160</v>
      </c>
      <c r="F7" s="30" t="n">
        <v>1920</v>
      </c>
      <c r="G7" s="31"/>
      <c r="H7" s="32" t="n">
        <v>673690</v>
      </c>
    </row>
    <row r="8" customFormat="false" ht="13.8" hidden="false" customHeight="false" outlineLevel="0" collapsed="false">
      <c r="A8" s="28" t="s">
        <v>20</v>
      </c>
      <c r="B8" s="29"/>
      <c r="C8" s="30"/>
      <c r="D8" s="30" t="n">
        <v>282620</v>
      </c>
      <c r="E8" s="30" t="n">
        <v>24900</v>
      </c>
      <c r="F8" s="30" t="n">
        <v>18240</v>
      </c>
      <c r="G8" s="31"/>
      <c r="H8" s="32" t="n">
        <v>325760</v>
      </c>
    </row>
    <row r="9" customFormat="false" ht="13.8" hidden="false" customHeight="false" outlineLevel="0" collapsed="false">
      <c r="A9" s="28" t="s">
        <v>26</v>
      </c>
      <c r="B9" s="29"/>
      <c r="C9" s="30"/>
      <c r="D9" s="30" t="n">
        <v>6290</v>
      </c>
      <c r="E9" s="30"/>
      <c r="F9" s="30"/>
      <c r="G9" s="31"/>
      <c r="H9" s="32" t="n">
        <v>6290</v>
      </c>
    </row>
    <row r="10" customFormat="false" ht="13.8" hidden="false" customHeight="false" outlineLevel="0" collapsed="false">
      <c r="A10" s="28" t="s">
        <v>28</v>
      </c>
      <c r="B10" s="29"/>
      <c r="C10" s="30"/>
      <c r="D10" s="30" t="n">
        <v>2500</v>
      </c>
      <c r="E10" s="30"/>
      <c r="F10" s="30"/>
      <c r="G10" s="31"/>
      <c r="H10" s="32" t="n">
        <v>2500</v>
      </c>
    </row>
    <row r="11" customFormat="false" ht="13.8" hidden="false" customHeight="false" outlineLevel="0" collapsed="false">
      <c r="A11" s="28" t="s">
        <v>16</v>
      </c>
      <c r="B11" s="29"/>
      <c r="C11" s="30"/>
      <c r="D11" s="30" t="n">
        <v>27660</v>
      </c>
      <c r="E11" s="30"/>
      <c r="F11" s="30"/>
      <c r="G11" s="31" t="n">
        <v>10340</v>
      </c>
      <c r="H11" s="32" t="n">
        <v>38000</v>
      </c>
    </row>
    <row r="12" customFormat="false" ht="12.8" hidden="false" customHeight="false" outlineLevel="0" collapsed="false">
      <c r="A12" s="28" t="s">
        <v>10</v>
      </c>
      <c r="B12" s="29"/>
      <c r="C12" s="30"/>
      <c r="D12" s="30" t="n">
        <v>879340</v>
      </c>
      <c r="E12" s="30"/>
      <c r="F12" s="30"/>
      <c r="G12" s="31"/>
      <c r="H12" s="32" t="n">
        <v>879340</v>
      </c>
    </row>
    <row r="13" customFormat="false" ht="12.8" hidden="false" customHeight="false" outlineLevel="0" collapsed="false">
      <c r="A13" s="28" t="s">
        <v>15</v>
      </c>
      <c r="B13" s="29"/>
      <c r="C13" s="30"/>
      <c r="D13" s="30" t="n">
        <v>58280</v>
      </c>
      <c r="E13" s="30"/>
      <c r="F13" s="30"/>
      <c r="G13" s="31"/>
      <c r="H13" s="32" t="n">
        <v>58280</v>
      </c>
    </row>
    <row r="14" customFormat="false" ht="12.8" hidden="false" customHeight="false" outlineLevel="0" collapsed="false">
      <c r="A14" s="28" t="s">
        <v>17</v>
      </c>
      <c r="B14" s="33"/>
      <c r="C14" s="34"/>
      <c r="D14" s="34"/>
      <c r="E14" s="34"/>
      <c r="F14" s="34" t="n">
        <v>1500</v>
      </c>
      <c r="G14" s="35" t="n">
        <v>1720</v>
      </c>
      <c r="H14" s="36" t="n">
        <v>3220</v>
      </c>
    </row>
    <row r="15" customFormat="false" ht="12.8" hidden="false" customHeight="false" outlineLevel="0" collapsed="false">
      <c r="A15" s="37" t="s">
        <v>32</v>
      </c>
      <c r="B15" s="38" t="n">
        <v>10280</v>
      </c>
      <c r="C15" s="39" t="n">
        <v>600</v>
      </c>
      <c r="D15" s="39" t="n">
        <v>1955180</v>
      </c>
      <c r="E15" s="39" t="n">
        <v>30060</v>
      </c>
      <c r="F15" s="39" t="n">
        <v>26980</v>
      </c>
      <c r="G15" s="40" t="n">
        <v>13680</v>
      </c>
      <c r="H15" s="41" t="n">
        <v>2036780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41" activeCellId="0" sqref="D41"/>
    </sheetView>
  </sheetViews>
  <sheetFormatPr defaultRowHeight="13.8" zeroHeight="false" outlineLevelRow="0" outlineLevelCol="0"/>
  <cols>
    <col collapsed="false" customWidth="true" hidden="false" outlineLevel="0" max="1" min="1" style="0" width="11.69"/>
    <col collapsed="false" customWidth="true" hidden="false" outlineLevel="0" max="2" min="2" style="0" width="14.06"/>
    <col collapsed="false" customWidth="true" hidden="false" outlineLevel="0" max="3" min="3" style="0" width="12.17"/>
    <col collapsed="false" customWidth="true" hidden="false" outlineLevel="0" max="4" min="4" style="42" width="10.5"/>
    <col collapsed="false" customWidth="true" hidden="false" outlineLevel="0" max="1025" min="5" style="0" width="10.5"/>
  </cols>
  <sheetData>
    <row r="1" customFormat="false" ht="13.8" hidden="false" customHeight="false" outlineLevel="0" collapsed="false">
      <c r="A1" s="43" t="s">
        <v>12</v>
      </c>
      <c r="B1" s="43"/>
      <c r="C1" s="43"/>
      <c r="D1" s="43"/>
      <c r="E1" s="43"/>
      <c r="F1" s="43"/>
    </row>
    <row r="2" customFormat="false" ht="13.8" hidden="false" customHeight="false" outlineLevel="0" collapsed="false">
      <c r="A2" s="0" t="s">
        <v>33</v>
      </c>
      <c r="B2" s="0" t="s">
        <v>34</v>
      </c>
      <c r="C2" s="0" t="s">
        <v>35</v>
      </c>
      <c r="D2" s="42" t="s">
        <v>36</v>
      </c>
      <c r="E2" s="0" t="s">
        <v>37</v>
      </c>
    </row>
    <row r="3" customFormat="false" ht="13.8" hidden="false" customHeight="false" outlineLevel="0" collapsed="false">
      <c r="A3" s="0" t="s">
        <v>15</v>
      </c>
      <c r="B3" s="0" t="n">
        <v>1</v>
      </c>
      <c r="C3" s="0" t="s">
        <v>38</v>
      </c>
      <c r="D3" s="42" t="n">
        <v>58280</v>
      </c>
      <c r="E3" s="44" t="n">
        <f aca="false">VLOOKUP(A3,'TIPO RESIDUOS'!$A$4:$H$15,4)</f>
        <v>58280</v>
      </c>
      <c r="F3" s="45" t="str">
        <f aca="false">IF(E3-D3&gt;0,"Revisar","Bien")</f>
        <v>Bien</v>
      </c>
    </row>
    <row r="4" customFormat="false" ht="13.8" hidden="false" customHeight="false" outlineLevel="0" collapsed="false">
      <c r="A4" s="0" t="s">
        <v>16</v>
      </c>
      <c r="B4" s="0" t="n">
        <v>1</v>
      </c>
      <c r="C4" s="0" t="s">
        <v>39</v>
      </c>
      <c r="D4" s="42" t="n">
        <v>27660</v>
      </c>
      <c r="E4" s="44" t="n">
        <f aca="false">VLOOKUP(A4,'TIPO RESIDUOS'!$A$4:$H$15,4)</f>
        <v>27660</v>
      </c>
      <c r="F4" s="45" t="str">
        <f aca="false">IF(E4-D4&gt;0,"Revisar","Bien")</f>
        <v>Bien</v>
      </c>
    </row>
    <row r="5" customFormat="false" ht="13.8" hidden="false" customHeight="false" outlineLevel="0" collapsed="false">
      <c r="A5" s="0" t="s">
        <v>10</v>
      </c>
      <c r="B5" s="0" t="s">
        <v>40</v>
      </c>
      <c r="C5" s="0" t="s">
        <v>39</v>
      </c>
      <c r="D5" s="42" t="n">
        <v>879340</v>
      </c>
      <c r="E5" s="44" t="n">
        <f aca="false">VLOOKUP(A5,'TIPO RESIDUOS'!$A$4:$H$15,4)</f>
        <v>879340</v>
      </c>
      <c r="F5" s="45" t="str">
        <f aca="false">IF(E5-D5&gt;0,"Revisar","Bien")</f>
        <v>Bien</v>
      </c>
    </row>
    <row r="6" customFormat="false" ht="13.8" hidden="false" customHeight="false" outlineLevel="0" collapsed="false">
      <c r="A6" s="0" t="s">
        <v>14</v>
      </c>
      <c r="B6" s="0" t="s">
        <v>40</v>
      </c>
      <c r="C6" s="0" t="s">
        <v>39</v>
      </c>
      <c r="D6" s="42" t="n">
        <v>666610</v>
      </c>
      <c r="E6" s="44" t="n">
        <f aca="false">VLOOKUP(A6,'TIPO RESIDUOS'!$A$4:$H$15,4)</f>
        <v>666610</v>
      </c>
      <c r="F6" s="45" t="str">
        <f aca="false">IF(E6-D6&gt;0,"Revisar","Bien")</f>
        <v>Bien</v>
      </c>
      <c r="G6" s="5"/>
    </row>
    <row r="7" customFormat="false" ht="13.8" hidden="false" customHeight="false" outlineLevel="0" collapsed="false">
      <c r="A7" s="0" t="s">
        <v>20</v>
      </c>
      <c r="B7" s="0" t="s">
        <v>40</v>
      </c>
      <c r="C7" s="0" t="s">
        <v>39</v>
      </c>
      <c r="D7" s="42" t="n">
        <v>282620</v>
      </c>
      <c r="E7" s="44" t="n">
        <f aca="false">VLOOKUP(A7,'TIPO RESIDUOS'!$A$4:$H$15,4)</f>
        <v>282620</v>
      </c>
      <c r="F7" s="45" t="str">
        <f aca="false">IF(E7-D7&gt;0,"Revisar","Bien")</f>
        <v>Bien</v>
      </c>
      <c r="G7" s="5"/>
    </row>
    <row r="8" customFormat="false" ht="13.8" hidden="false" customHeight="false" outlineLevel="0" collapsed="false">
      <c r="A8" s="0" t="s">
        <v>28</v>
      </c>
      <c r="B8" s="0" t="s">
        <v>40</v>
      </c>
      <c r="C8" s="0" t="s">
        <v>41</v>
      </c>
      <c r="D8" s="42" t="n">
        <v>2500</v>
      </c>
      <c r="E8" s="44" t="n">
        <f aca="false">VLOOKUP(A8,'TIPO RESIDUOS'!$A$4:$H$15,4)</f>
        <v>2500</v>
      </c>
      <c r="F8" s="45" t="str">
        <f aca="false">IF(E8-D8&gt;0,"Revisar","Bien")</f>
        <v>Bien</v>
      </c>
      <c r="G8" s="5"/>
    </row>
    <row r="9" customFormat="false" ht="13.8" hidden="false" customHeight="false" outlineLevel="0" collapsed="false">
      <c r="A9" s="0" t="s">
        <v>26</v>
      </c>
      <c r="B9" s="0" t="s">
        <v>40</v>
      </c>
      <c r="C9" s="0" t="s">
        <v>42</v>
      </c>
      <c r="D9" s="42" t="n">
        <v>6290</v>
      </c>
      <c r="E9" s="44" t="n">
        <f aca="false">VLOOKUP(A9,'TIPO RESIDUOS'!$A$4:$H$15,4)</f>
        <v>6290</v>
      </c>
      <c r="F9" s="45" t="str">
        <f aca="false">IF(E9-D9&gt;0,"Revisar","Bien")</f>
        <v>Bien</v>
      </c>
      <c r="G9" s="5"/>
    </row>
    <row r="10" customFormat="false" ht="13.8" hidden="false" customHeight="false" outlineLevel="0" collapsed="false">
      <c r="A10" s="0" t="s">
        <v>21</v>
      </c>
      <c r="B10" s="0" t="s">
        <v>40</v>
      </c>
      <c r="C10" s="0" t="s">
        <v>43</v>
      </c>
      <c r="D10" s="42" t="n">
        <v>6020</v>
      </c>
      <c r="E10" s="44" t="n">
        <f aca="false">VLOOKUP(A10,'TIPO RESIDUOS'!$A$4:$H$15,4)</f>
        <v>6020</v>
      </c>
      <c r="F10" s="45" t="str">
        <f aca="false">IF(E10-D10&gt;0,"Revisar","Bien")</f>
        <v>Bien</v>
      </c>
      <c r="G10" s="5"/>
    </row>
    <row r="11" customFormat="false" ht="13.8" hidden="false" customHeight="false" outlineLevel="0" collapsed="false">
      <c r="A11" s="0" t="s">
        <v>19</v>
      </c>
      <c r="B11" s="0" t="n">
        <v>1</v>
      </c>
      <c r="C11" s="0" t="s">
        <v>38</v>
      </c>
      <c r="D11" s="42" t="n">
        <v>25860</v>
      </c>
      <c r="E11" s="44" t="n">
        <f aca="false">VLOOKUP(A11,'TIPO RESIDUOS'!$A$4:$H$15,4)</f>
        <v>25860</v>
      </c>
      <c r="F11" s="45" t="str">
        <f aca="false">IF(E11-D11&gt;0,"Revisar","Bien")</f>
        <v>Bien</v>
      </c>
      <c r="G11" s="5"/>
    </row>
    <row r="12" customFormat="false" ht="13.8" hidden="false" customHeight="false" outlineLevel="0" collapsed="false">
      <c r="E12" s="46" t="n">
        <f aca="false">SUM(E3:E11)</f>
        <v>1955180</v>
      </c>
      <c r="G12" s="5"/>
    </row>
    <row r="13" customFormat="false" ht="13.8" hidden="false" customHeight="false" outlineLevel="0" collapsed="false">
      <c r="A13" s="43" t="s">
        <v>44</v>
      </c>
      <c r="B13" s="43"/>
      <c r="C13" s="43"/>
      <c r="D13" s="43"/>
      <c r="E13" s="43"/>
      <c r="F13" s="43"/>
      <c r="G13" s="5"/>
    </row>
    <row r="14" customFormat="false" ht="13.8" hidden="false" customHeight="false" outlineLevel="0" collapsed="false">
      <c r="A14" s="0" t="s">
        <v>33</v>
      </c>
      <c r="B14" s="0" t="s">
        <v>45</v>
      </c>
      <c r="C14" s="0" t="s">
        <v>46</v>
      </c>
      <c r="D14" s="42" t="s">
        <v>36</v>
      </c>
      <c r="E14" s="0" t="s">
        <v>37</v>
      </c>
      <c r="G14" s="5"/>
    </row>
    <row r="15" customFormat="false" ht="13.8" hidden="false" customHeight="false" outlineLevel="0" collapsed="false">
      <c r="A15" s="0" t="s">
        <v>19</v>
      </c>
      <c r="B15" s="0" t="n">
        <v>2</v>
      </c>
      <c r="C15" s="0" t="n">
        <v>2</v>
      </c>
      <c r="D15" s="0" t="n">
        <v>1620</v>
      </c>
      <c r="E15" s="44" t="n">
        <f aca="false">VLOOKUP(A15,'TIPO RESIDUOS'!$A$4:$H$15,7)</f>
        <v>1620</v>
      </c>
      <c r="F15" s="45" t="str">
        <f aca="false">IF(E15-D15&gt;0,"Revisar","Bien")</f>
        <v>Bien</v>
      </c>
    </row>
    <row r="16" customFormat="false" ht="13.8" hidden="false" customHeight="false" outlineLevel="0" collapsed="false">
      <c r="A16" s="0" t="s">
        <v>16</v>
      </c>
      <c r="B16" s="0" t="n">
        <v>2</v>
      </c>
      <c r="C16" s="0" t="n">
        <v>22</v>
      </c>
      <c r="D16" s="0" t="n">
        <v>10340</v>
      </c>
      <c r="E16" s="44" t="n">
        <f aca="false">VLOOKUP(A16,'TIPO RESIDUOS'!$A$4:$H$15,7)</f>
        <v>10340</v>
      </c>
      <c r="F16" s="45" t="str">
        <f aca="false">IF(E16-D16&gt;0,"Revisar","Bien")</f>
        <v>Bien</v>
      </c>
      <c r="O16" s="42"/>
    </row>
    <row r="17" customFormat="false" ht="13.8" hidden="false" customHeight="false" outlineLevel="0" collapsed="false">
      <c r="A17" s="0" t="s">
        <v>17</v>
      </c>
      <c r="B17" s="0" t="n">
        <v>2</v>
      </c>
      <c r="C17" s="0" t="n">
        <v>3</v>
      </c>
      <c r="D17" s="0" t="n">
        <v>1720</v>
      </c>
      <c r="E17" s="44" t="n">
        <f aca="false">VLOOKUP(A17,'TIPO RESIDUOS'!$A$4:$H$15,7)</f>
        <v>1720</v>
      </c>
      <c r="F17" s="45" t="str">
        <f aca="false">IF(E17-D17&gt;0,"Revisar","Bien")</f>
        <v>Bien</v>
      </c>
      <c r="O17" s="42"/>
    </row>
    <row r="18" customFormat="false" ht="13.8" hidden="false" customHeight="false" outlineLevel="0" collapsed="false">
      <c r="E18" s="46" t="n">
        <f aca="false">SUM(E15:E17)</f>
        <v>13680</v>
      </c>
      <c r="O18" s="42"/>
    </row>
    <row r="19" customFormat="false" ht="13.8" hidden="false" customHeight="false" outlineLevel="0" collapsed="false">
      <c r="A19" s="43" t="s">
        <v>47</v>
      </c>
      <c r="B19" s="43"/>
      <c r="C19" s="43"/>
      <c r="D19" s="43"/>
      <c r="E19" s="43"/>
      <c r="F19" s="43"/>
      <c r="O19" s="42"/>
    </row>
    <row r="20" customFormat="false" ht="13.8" hidden="false" customHeight="false" outlineLevel="0" collapsed="false">
      <c r="A20" s="0" t="s">
        <v>33</v>
      </c>
      <c r="B20" s="0" t="s">
        <v>46</v>
      </c>
      <c r="C20" s="0" t="s">
        <v>36</v>
      </c>
      <c r="D20" s="42" t="s">
        <v>37</v>
      </c>
      <c r="O20" s="42"/>
    </row>
    <row r="21" customFormat="false" ht="13.8" hidden="false" customHeight="false" outlineLevel="0" collapsed="false">
      <c r="A21" s="0" t="s">
        <v>21</v>
      </c>
      <c r="B21" s="0" t="n">
        <v>3</v>
      </c>
      <c r="C21" s="0" t="n">
        <v>5320</v>
      </c>
      <c r="D21" s="44" t="n">
        <f aca="false">VLOOKUP(A21,'TIPO RESIDUOS'!$A$4:$H$15,6)</f>
        <v>5320</v>
      </c>
      <c r="E21" s="45" t="str">
        <f aca="false">IF(D21-C21&gt;0,"Revisar","Bien")</f>
        <v>Bien</v>
      </c>
      <c r="O21" s="42"/>
    </row>
    <row r="22" customFormat="false" ht="13.8" hidden="false" customHeight="false" outlineLevel="0" collapsed="false">
      <c r="A22" s="0" t="s">
        <v>20</v>
      </c>
      <c r="B22" s="0" t="n">
        <v>9</v>
      </c>
      <c r="C22" s="0" t="n">
        <v>18240</v>
      </c>
      <c r="D22" s="44" t="n">
        <f aca="false">VLOOKUP(A22,'TIPO RESIDUOS'!$A$4:$H$15,6)</f>
        <v>18240</v>
      </c>
      <c r="E22" s="45" t="str">
        <f aca="false">IF(D22-C22&gt;0,"Revisar","Bien")</f>
        <v>Bien</v>
      </c>
      <c r="O22" s="42"/>
    </row>
    <row r="23" customFormat="false" ht="13.8" hidden="false" customHeight="false" outlineLevel="0" collapsed="false">
      <c r="A23" s="0" t="s">
        <v>17</v>
      </c>
      <c r="B23" s="0" t="n">
        <v>2</v>
      </c>
      <c r="C23" s="0" t="n">
        <v>1500</v>
      </c>
      <c r="D23" s="44" t="n">
        <f aca="false">VLOOKUP(A23,'TIPO RESIDUOS'!$A$4:$H$15,6)</f>
        <v>1500</v>
      </c>
      <c r="E23" s="45" t="str">
        <f aca="false">IF(D23-C23&gt;0,"Revisar","Bien")</f>
        <v>Bien</v>
      </c>
      <c r="O23" s="42"/>
    </row>
    <row r="24" customFormat="false" ht="13.8" hidden="false" customHeight="false" outlineLevel="0" collapsed="false">
      <c r="A24" s="0" t="s">
        <v>14</v>
      </c>
      <c r="B24" s="0" t="n">
        <v>1</v>
      </c>
      <c r="C24" s="42" t="n">
        <v>1920</v>
      </c>
      <c r="D24" s="44" t="n">
        <f aca="false">VLOOKUP(A24,'TIPO RESIDUOS'!$A$4:$H$15,6)</f>
        <v>1920</v>
      </c>
      <c r="E24" s="45" t="str">
        <f aca="false">IF(D24-C24&gt;0,"Revisar","Bien")</f>
        <v>Bien</v>
      </c>
      <c r="O24" s="42"/>
    </row>
    <row r="25" customFormat="false" ht="13.8" hidden="false" customHeight="false" outlineLevel="0" collapsed="false">
      <c r="D25" s="46" t="n">
        <f aca="false">SUM(D21:D24)</f>
        <v>26980</v>
      </c>
    </row>
    <row r="26" customFormat="false" ht="13.8" hidden="false" customHeight="false" outlineLevel="0" collapsed="false">
      <c r="A26" s="43" t="s">
        <v>48</v>
      </c>
      <c r="B26" s="43"/>
      <c r="C26" s="43"/>
      <c r="D26" s="43"/>
      <c r="E26" s="43"/>
    </row>
    <row r="27" customFormat="false" ht="13.8" hidden="false" customHeight="false" outlineLevel="0" collapsed="false">
      <c r="A27" s="0" t="s">
        <v>33</v>
      </c>
      <c r="B27" s="0" t="s">
        <v>46</v>
      </c>
      <c r="C27" s="0" t="s">
        <v>36</v>
      </c>
      <c r="D27" s="42" t="s">
        <v>37</v>
      </c>
    </row>
    <row r="28" customFormat="false" ht="13.8" hidden="false" customHeight="false" outlineLevel="0" collapsed="false">
      <c r="A28" s="0" t="s">
        <v>14</v>
      </c>
      <c r="B28" s="0" t="n">
        <v>1</v>
      </c>
      <c r="C28" s="42" t="n">
        <v>5160</v>
      </c>
      <c r="D28" s="44" t="n">
        <f aca="false">VLOOKUP(A28,'TIPO RESIDUOS'!$A$4:$H$15,5)</f>
        <v>5160</v>
      </c>
      <c r="E28" s="45" t="str">
        <f aca="false">IF(D28-C28&gt;0,"Revisar","Bien")</f>
        <v>Bien</v>
      </c>
    </row>
    <row r="29" customFormat="false" ht="13.8" hidden="false" customHeight="false" outlineLevel="0" collapsed="false">
      <c r="A29" s="0" t="s">
        <v>20</v>
      </c>
      <c r="B29" s="0" t="n">
        <v>8</v>
      </c>
      <c r="C29" s="42" t="n">
        <v>24900</v>
      </c>
      <c r="D29" s="44" t="n">
        <f aca="false">VLOOKUP(A29,'TIPO RESIDUOS'!$A$4:$H$15,5)</f>
        <v>24900</v>
      </c>
      <c r="E29" s="45" t="str">
        <f aca="false">IF(D29-C29&gt;0,"Revisar","Bien")</f>
        <v>Bien</v>
      </c>
    </row>
    <row r="30" customFormat="false" ht="13.8" hidden="false" customHeight="false" outlineLevel="0" collapsed="false">
      <c r="D30" s="46" t="n">
        <f aca="false">SUM(D28:D29)</f>
        <v>30060</v>
      </c>
      <c r="O30" s="42"/>
    </row>
    <row r="31" customFormat="false" ht="13.8" hidden="false" customHeight="false" outlineLevel="0" collapsed="false">
      <c r="A31" s="43" t="s">
        <v>27</v>
      </c>
      <c r="B31" s="43"/>
      <c r="C31" s="43"/>
      <c r="D31" s="43"/>
      <c r="E31" s="43"/>
      <c r="O31" s="42"/>
    </row>
    <row r="32" customFormat="false" ht="13.8" hidden="false" customHeight="false" outlineLevel="0" collapsed="false">
      <c r="A32" s="0" t="s">
        <v>33</v>
      </c>
      <c r="B32" s="0" t="s">
        <v>46</v>
      </c>
      <c r="C32" s="0" t="s">
        <v>36</v>
      </c>
      <c r="D32" s="42" t="s">
        <v>37</v>
      </c>
    </row>
    <row r="33" customFormat="false" ht="13.8" hidden="false" customHeight="false" outlineLevel="0" collapsed="false">
      <c r="A33" s="0" t="s">
        <v>19</v>
      </c>
      <c r="B33" s="0" t="n">
        <v>2</v>
      </c>
      <c r="C33" s="0" t="n">
        <v>600</v>
      </c>
      <c r="D33" s="44" t="n">
        <f aca="false">VLOOKUP(A33,'TIPO RESIDUOS'!$A$4:$H$15,3)</f>
        <v>600</v>
      </c>
      <c r="E33" s="45" t="str">
        <f aca="false">IF(D33-C33&gt;0,"Revisar","Bien")</f>
        <v>Bien</v>
      </c>
    </row>
    <row r="34" customFormat="false" ht="13.8" hidden="false" customHeight="false" outlineLevel="0" collapsed="false">
      <c r="D34" s="46" t="n">
        <f aca="false">SUM(D33:D33)</f>
        <v>600</v>
      </c>
    </row>
    <row r="35" customFormat="false" ht="13.8" hidden="false" customHeight="false" outlineLevel="0" collapsed="false">
      <c r="A35" s="43" t="s">
        <v>49</v>
      </c>
      <c r="B35" s="43"/>
      <c r="C35" s="43"/>
      <c r="D35" s="43"/>
      <c r="E35" s="43"/>
    </row>
    <row r="36" customFormat="false" ht="13.8" hidden="false" customHeight="false" outlineLevel="0" collapsed="false">
      <c r="A36" s="0" t="s">
        <v>33</v>
      </c>
      <c r="B36" s="0" t="s">
        <v>46</v>
      </c>
      <c r="C36" s="0" t="s">
        <v>36</v>
      </c>
      <c r="D36" s="42" t="s">
        <v>37</v>
      </c>
    </row>
    <row r="37" customFormat="false" ht="13.8" hidden="false" customHeight="false" outlineLevel="0" collapsed="false">
      <c r="A37" s="0" t="s">
        <v>21</v>
      </c>
      <c r="B37" s="0" t="n">
        <v>2</v>
      </c>
      <c r="C37" s="42" t="n">
        <v>10280</v>
      </c>
      <c r="D37" s="44" t="n">
        <f aca="false">VLOOKUP(A37,'TIPO RESIDUOS'!$A$4:$H$15,2)</f>
        <v>10280</v>
      </c>
      <c r="E37" s="45" t="str">
        <f aca="false">IF(D37-C37&gt;0,"Revisar","Bien")</f>
        <v>Bien</v>
      </c>
    </row>
    <row r="38" customFormat="false" ht="13.8" hidden="false" customHeight="false" outlineLevel="0" collapsed="false">
      <c r="D38" s="46" t="n">
        <f aca="false">SUM(D37:D37)</f>
        <v>10280</v>
      </c>
    </row>
    <row r="41" customFormat="false" ht="13.8" hidden="false" customHeight="false" outlineLevel="0" collapsed="false">
      <c r="D41" s="42" t="n">
        <f aca="false">+E12+E18+D25+D30+D34+D38</f>
        <v>2036780</v>
      </c>
    </row>
    <row r="1048576" customFormat="false" ht="12.8" hidden="false" customHeight="false" outlineLevel="0" collapsed="false"/>
  </sheetData>
  <mergeCells count="6">
    <mergeCell ref="A1:F1"/>
    <mergeCell ref="A13:F13"/>
    <mergeCell ref="A19:F19"/>
    <mergeCell ref="A26:E26"/>
    <mergeCell ref="A31:E31"/>
    <mergeCell ref="A35:E3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M25" activeCellId="0" sqref="M25"/>
    </sheetView>
  </sheetViews>
  <sheetFormatPr defaultRowHeight="12.8" zeroHeight="false" outlineLevelRow="0" outlineLevelCol="0"/>
  <cols>
    <col collapsed="false" customWidth="true" hidden="false" outlineLevel="0" max="11" min="1" style="0" width="10.5"/>
    <col collapsed="false" customWidth="true" hidden="false" outlineLevel="0" max="12" min="12" style="0" width="15.33"/>
    <col collapsed="false" customWidth="true" hidden="false" outlineLevel="0" max="1025" min="13" style="0" width="10.5"/>
  </cols>
  <sheetData>
    <row r="1" customFormat="false" ht="12.8" hidden="false" customHeight="false" outlineLevel="0" collapsed="false">
      <c r="A1" s="13" t="s">
        <v>8</v>
      </c>
      <c r="B1" s="14" t="s">
        <v>30</v>
      </c>
    </row>
    <row r="3" customFormat="false" ht="12.8" hidden="false" customHeight="false" outlineLevel="0" collapsed="false">
      <c r="A3" s="15" t="s">
        <v>31</v>
      </c>
      <c r="B3" s="16" t="s">
        <v>3</v>
      </c>
      <c r="C3" s="17"/>
      <c r="D3" s="17"/>
      <c r="E3" s="17"/>
      <c r="F3" s="17"/>
      <c r="G3" s="17"/>
      <c r="H3" s="17"/>
      <c r="I3" s="17"/>
      <c r="J3" s="17"/>
      <c r="K3" s="17"/>
      <c r="L3" s="18"/>
    </row>
    <row r="4" customFormat="false" ht="12.8" hidden="false" customHeight="false" outlineLevel="0" collapsed="false">
      <c r="A4" s="19" t="s">
        <v>0</v>
      </c>
      <c r="B4" s="20" t="s">
        <v>21</v>
      </c>
      <c r="C4" s="21" t="s">
        <v>19</v>
      </c>
      <c r="D4" s="21" t="s">
        <v>14</v>
      </c>
      <c r="E4" s="21" t="s">
        <v>20</v>
      </c>
      <c r="F4" s="21" t="s">
        <v>26</v>
      </c>
      <c r="G4" s="21" t="s">
        <v>28</v>
      </c>
      <c r="H4" s="21" t="s">
        <v>16</v>
      </c>
      <c r="I4" s="21" t="s">
        <v>10</v>
      </c>
      <c r="J4" s="21" t="s">
        <v>15</v>
      </c>
      <c r="K4" s="21" t="s">
        <v>17</v>
      </c>
      <c r="L4" s="22" t="s">
        <v>32</v>
      </c>
    </row>
    <row r="5" customFormat="false" ht="12.8" hidden="false" customHeight="false" outlineLevel="0" collapsed="false">
      <c r="A5" s="47" t="n">
        <v>43678</v>
      </c>
      <c r="B5" s="24"/>
      <c r="C5" s="25" t="n">
        <v>260</v>
      </c>
      <c r="D5" s="25" t="n">
        <v>24120</v>
      </c>
      <c r="E5" s="25"/>
      <c r="F5" s="25"/>
      <c r="G5" s="25"/>
      <c r="H5" s="25" t="n">
        <v>660</v>
      </c>
      <c r="I5" s="25" t="n">
        <v>23780</v>
      </c>
      <c r="J5" s="25" t="n">
        <v>2060</v>
      </c>
      <c r="K5" s="26" t="n">
        <v>260</v>
      </c>
      <c r="L5" s="27" t="n">
        <v>51140</v>
      </c>
    </row>
    <row r="6" customFormat="false" ht="12.8" hidden="false" customHeight="false" outlineLevel="0" collapsed="false">
      <c r="A6" s="48" t="n">
        <v>43679</v>
      </c>
      <c r="B6" s="29" t="n">
        <v>3340</v>
      </c>
      <c r="C6" s="30" t="n">
        <v>260</v>
      </c>
      <c r="D6" s="30" t="n">
        <v>19080</v>
      </c>
      <c r="E6" s="30" t="n">
        <v>12680</v>
      </c>
      <c r="F6" s="30"/>
      <c r="G6" s="30"/>
      <c r="H6" s="30" t="n">
        <v>1360</v>
      </c>
      <c r="I6" s="30" t="n">
        <v>24820</v>
      </c>
      <c r="J6" s="30" t="n">
        <v>2080</v>
      </c>
      <c r="K6" s="31"/>
      <c r="L6" s="32" t="n">
        <v>63620</v>
      </c>
    </row>
    <row r="7" customFormat="false" ht="12.8" hidden="false" customHeight="false" outlineLevel="0" collapsed="false">
      <c r="A7" s="48" t="n">
        <v>43680</v>
      </c>
      <c r="B7" s="29"/>
      <c r="C7" s="30" t="n">
        <v>220</v>
      </c>
      <c r="D7" s="30" t="n">
        <v>22570</v>
      </c>
      <c r="E7" s="30" t="n">
        <v>12640</v>
      </c>
      <c r="F7" s="30"/>
      <c r="G7" s="30"/>
      <c r="H7" s="30" t="n">
        <v>1420</v>
      </c>
      <c r="I7" s="30" t="n">
        <v>23120</v>
      </c>
      <c r="J7" s="30" t="n">
        <v>2240</v>
      </c>
      <c r="K7" s="31"/>
      <c r="L7" s="32" t="n">
        <v>62210</v>
      </c>
    </row>
    <row r="8" customFormat="false" ht="12.8" hidden="false" customHeight="false" outlineLevel="0" collapsed="false">
      <c r="A8" s="48" t="n">
        <v>43681</v>
      </c>
      <c r="B8" s="29"/>
      <c r="C8" s="30" t="n">
        <v>3020</v>
      </c>
      <c r="D8" s="30" t="n">
        <v>26840</v>
      </c>
      <c r="E8" s="30"/>
      <c r="F8" s="30"/>
      <c r="G8" s="30"/>
      <c r="H8" s="30" t="n">
        <v>940</v>
      </c>
      <c r="I8" s="30" t="n">
        <v>29020</v>
      </c>
      <c r="J8" s="30"/>
      <c r="K8" s="31"/>
      <c r="L8" s="32" t="n">
        <v>59820</v>
      </c>
    </row>
    <row r="9" customFormat="false" ht="12.8" hidden="false" customHeight="false" outlineLevel="0" collapsed="false">
      <c r="A9" s="48" t="n">
        <v>43682</v>
      </c>
      <c r="B9" s="29"/>
      <c r="C9" s="30" t="n">
        <v>140</v>
      </c>
      <c r="D9" s="30" t="n">
        <v>11020</v>
      </c>
      <c r="E9" s="30" t="n">
        <v>25400</v>
      </c>
      <c r="F9" s="30"/>
      <c r="G9" s="30"/>
      <c r="H9" s="30" t="n">
        <v>1920</v>
      </c>
      <c r="I9" s="30" t="n">
        <v>24880</v>
      </c>
      <c r="J9" s="30" t="n">
        <v>2160</v>
      </c>
      <c r="K9" s="31"/>
      <c r="L9" s="32" t="n">
        <v>65520</v>
      </c>
    </row>
    <row r="10" customFormat="false" ht="12.8" hidden="false" customHeight="false" outlineLevel="0" collapsed="false">
      <c r="A10" s="48" t="n">
        <v>43683</v>
      </c>
      <c r="B10" s="29"/>
      <c r="C10" s="30" t="n">
        <v>420</v>
      </c>
      <c r="D10" s="30"/>
      <c r="E10" s="30" t="n">
        <v>29100</v>
      </c>
      <c r="F10" s="30"/>
      <c r="G10" s="30"/>
      <c r="H10" s="30" t="n">
        <v>1200</v>
      </c>
      <c r="I10" s="30" t="n">
        <v>24580</v>
      </c>
      <c r="J10" s="30" t="n">
        <v>2180</v>
      </c>
      <c r="K10" s="31"/>
      <c r="L10" s="32" t="n">
        <v>57480</v>
      </c>
    </row>
    <row r="11" customFormat="false" ht="12.8" hidden="false" customHeight="false" outlineLevel="0" collapsed="false">
      <c r="A11" s="48" t="n">
        <v>43684</v>
      </c>
      <c r="B11" s="29"/>
      <c r="C11" s="30" t="n">
        <v>540</v>
      </c>
      <c r="D11" s="30" t="n">
        <v>22100</v>
      </c>
      <c r="E11" s="30" t="n">
        <v>11900</v>
      </c>
      <c r="F11" s="30"/>
      <c r="G11" s="30"/>
      <c r="H11" s="30" t="n">
        <v>1740</v>
      </c>
      <c r="I11" s="30" t="n">
        <v>26260</v>
      </c>
      <c r="J11" s="30" t="n">
        <v>2440</v>
      </c>
      <c r="K11" s="31"/>
      <c r="L11" s="32" t="n">
        <v>64980</v>
      </c>
    </row>
    <row r="12" customFormat="false" ht="12.8" hidden="false" customHeight="false" outlineLevel="0" collapsed="false">
      <c r="A12" s="48" t="n">
        <v>43685</v>
      </c>
      <c r="B12" s="29"/>
      <c r="C12" s="30" t="n">
        <v>2820</v>
      </c>
      <c r="D12" s="30" t="n">
        <v>21280</v>
      </c>
      <c r="E12" s="30"/>
      <c r="F12" s="30"/>
      <c r="G12" s="30"/>
      <c r="H12" s="30" t="n">
        <v>680</v>
      </c>
      <c r="I12" s="30" t="n">
        <v>23360</v>
      </c>
      <c r="J12" s="30"/>
      <c r="K12" s="31"/>
      <c r="L12" s="32" t="n">
        <v>48140</v>
      </c>
    </row>
    <row r="13" customFormat="false" ht="12.8" hidden="false" customHeight="false" outlineLevel="0" collapsed="false">
      <c r="A13" s="48" t="n">
        <v>43686</v>
      </c>
      <c r="B13" s="29"/>
      <c r="C13" s="30" t="n">
        <v>200</v>
      </c>
      <c r="D13" s="30" t="n">
        <v>28620</v>
      </c>
      <c r="E13" s="30" t="n">
        <v>12340</v>
      </c>
      <c r="F13" s="30"/>
      <c r="G13" s="30"/>
      <c r="H13" s="30" t="n">
        <v>2200</v>
      </c>
      <c r="I13" s="30" t="n">
        <v>31540</v>
      </c>
      <c r="J13" s="30" t="n">
        <v>2500</v>
      </c>
      <c r="K13" s="31"/>
      <c r="L13" s="32" t="n">
        <v>77400</v>
      </c>
    </row>
    <row r="14" customFormat="false" ht="12.8" hidden="false" customHeight="false" outlineLevel="0" collapsed="false">
      <c r="A14" s="48" t="n">
        <v>43687</v>
      </c>
      <c r="B14" s="29"/>
      <c r="C14" s="30" t="n">
        <v>260</v>
      </c>
      <c r="D14" s="30" t="n">
        <v>11600</v>
      </c>
      <c r="E14" s="30" t="n">
        <v>28280</v>
      </c>
      <c r="F14" s="30"/>
      <c r="G14" s="30"/>
      <c r="H14" s="30" t="n">
        <v>1300</v>
      </c>
      <c r="I14" s="30" t="n">
        <v>30860</v>
      </c>
      <c r="J14" s="30" t="n">
        <v>2720</v>
      </c>
      <c r="K14" s="31" t="n">
        <v>500</v>
      </c>
      <c r="L14" s="32" t="n">
        <v>75520</v>
      </c>
    </row>
    <row r="15" customFormat="false" ht="12.8" hidden="false" customHeight="false" outlineLevel="0" collapsed="false">
      <c r="A15" s="48" t="n">
        <v>43688</v>
      </c>
      <c r="B15" s="29"/>
      <c r="C15" s="30" t="n">
        <v>220</v>
      </c>
      <c r="D15" s="30" t="n">
        <v>21540</v>
      </c>
      <c r="E15" s="30" t="n">
        <v>10720</v>
      </c>
      <c r="F15" s="30"/>
      <c r="G15" s="30"/>
      <c r="H15" s="30" t="n">
        <v>1200</v>
      </c>
      <c r="I15" s="30" t="n">
        <v>31000</v>
      </c>
      <c r="J15" s="30" t="n">
        <v>3180</v>
      </c>
      <c r="K15" s="31"/>
      <c r="L15" s="32" t="n">
        <v>67860</v>
      </c>
    </row>
    <row r="16" customFormat="false" ht="12.8" hidden="false" customHeight="false" outlineLevel="0" collapsed="false">
      <c r="A16" s="48" t="n">
        <v>43689</v>
      </c>
      <c r="B16" s="29" t="n">
        <v>1920</v>
      </c>
      <c r="C16" s="30" t="n">
        <v>2780</v>
      </c>
      <c r="D16" s="30" t="n">
        <v>11700</v>
      </c>
      <c r="E16" s="30" t="n">
        <v>26700</v>
      </c>
      <c r="F16" s="30"/>
      <c r="G16" s="30"/>
      <c r="H16" s="30" t="n">
        <v>1340</v>
      </c>
      <c r="I16" s="30" t="n">
        <v>30480</v>
      </c>
      <c r="J16" s="30"/>
      <c r="K16" s="31"/>
      <c r="L16" s="32" t="n">
        <v>74920</v>
      </c>
    </row>
    <row r="17" customFormat="false" ht="12.8" hidden="false" customHeight="false" outlineLevel="0" collapsed="false">
      <c r="A17" s="48" t="n">
        <v>43690</v>
      </c>
      <c r="B17" s="29" t="n">
        <v>3180</v>
      </c>
      <c r="C17" s="30" t="n">
        <v>260</v>
      </c>
      <c r="D17" s="30" t="n">
        <v>24540</v>
      </c>
      <c r="E17" s="30" t="n">
        <v>7420</v>
      </c>
      <c r="F17" s="30"/>
      <c r="G17" s="30"/>
      <c r="H17" s="30" t="n">
        <v>1260</v>
      </c>
      <c r="I17" s="30" t="n">
        <v>27380</v>
      </c>
      <c r="J17" s="30" t="n">
        <v>2500</v>
      </c>
      <c r="K17" s="31"/>
      <c r="L17" s="32" t="n">
        <v>66540</v>
      </c>
    </row>
    <row r="18" customFormat="false" ht="12.8" hidden="false" customHeight="false" outlineLevel="0" collapsed="false">
      <c r="A18" s="48" t="n">
        <v>43691</v>
      </c>
      <c r="B18" s="29"/>
      <c r="C18" s="30" t="n">
        <v>220</v>
      </c>
      <c r="D18" s="30" t="n">
        <v>31800</v>
      </c>
      <c r="E18" s="30"/>
      <c r="F18" s="30"/>
      <c r="G18" s="30"/>
      <c r="H18" s="30" t="n">
        <v>1140</v>
      </c>
      <c r="I18" s="30" t="n">
        <v>29960</v>
      </c>
      <c r="J18" s="30" t="n">
        <v>2760</v>
      </c>
      <c r="K18" s="31" t="n">
        <v>1460</v>
      </c>
      <c r="L18" s="32" t="n">
        <v>67340</v>
      </c>
    </row>
    <row r="19" customFormat="false" ht="12.8" hidden="false" customHeight="false" outlineLevel="0" collapsed="false">
      <c r="A19" s="48" t="n">
        <v>43692</v>
      </c>
      <c r="B19" s="29"/>
      <c r="C19" s="30" t="n">
        <v>200</v>
      </c>
      <c r="D19" s="30" t="n">
        <v>30460</v>
      </c>
      <c r="E19" s="30" t="n">
        <v>1880</v>
      </c>
      <c r="F19" s="30"/>
      <c r="G19" s="30"/>
      <c r="H19" s="30" t="n">
        <v>1060</v>
      </c>
      <c r="I19" s="30" t="n">
        <v>27080</v>
      </c>
      <c r="J19" s="30" t="n">
        <v>2740</v>
      </c>
      <c r="K19" s="31"/>
      <c r="L19" s="32" t="n">
        <v>63420</v>
      </c>
    </row>
    <row r="20" customFormat="false" ht="12.8" hidden="false" customHeight="false" outlineLevel="0" collapsed="false">
      <c r="A20" s="48" t="n">
        <v>43693</v>
      </c>
      <c r="B20" s="29" t="n">
        <v>1700</v>
      </c>
      <c r="C20" s="30" t="n">
        <v>2020</v>
      </c>
      <c r="D20" s="30" t="n">
        <v>23800</v>
      </c>
      <c r="E20" s="30" t="n">
        <v>13940</v>
      </c>
      <c r="F20" s="30"/>
      <c r="G20" s="30"/>
      <c r="H20" s="30" t="n">
        <v>900</v>
      </c>
      <c r="I20" s="30" t="n">
        <v>32920</v>
      </c>
      <c r="J20" s="30" t="n">
        <v>1320</v>
      </c>
      <c r="K20" s="31"/>
      <c r="L20" s="32" t="n">
        <v>76600</v>
      </c>
    </row>
    <row r="21" customFormat="false" ht="12.8" hidden="false" customHeight="false" outlineLevel="0" collapsed="false">
      <c r="A21" s="48" t="n">
        <v>43694</v>
      </c>
      <c r="B21" s="29"/>
      <c r="C21" s="30" t="n">
        <v>360</v>
      </c>
      <c r="D21" s="30" t="n">
        <v>23320</v>
      </c>
      <c r="E21" s="30" t="n">
        <v>13720</v>
      </c>
      <c r="F21" s="30"/>
      <c r="G21" s="30"/>
      <c r="H21" s="30" t="n">
        <v>1420</v>
      </c>
      <c r="I21" s="30" t="n">
        <v>31420</v>
      </c>
      <c r="J21" s="30" t="n">
        <v>2920</v>
      </c>
      <c r="K21" s="31"/>
      <c r="L21" s="32" t="n">
        <v>73160</v>
      </c>
    </row>
    <row r="22" customFormat="false" ht="12.8" hidden="false" customHeight="false" outlineLevel="0" collapsed="false">
      <c r="A22" s="48" t="n">
        <v>43695</v>
      </c>
      <c r="B22" s="29"/>
      <c r="C22" s="30" t="n">
        <v>540</v>
      </c>
      <c r="D22" s="30" t="n">
        <v>32740</v>
      </c>
      <c r="E22" s="30"/>
      <c r="F22" s="30"/>
      <c r="G22" s="30"/>
      <c r="H22" s="30" t="n">
        <v>920</v>
      </c>
      <c r="I22" s="30" t="n">
        <v>30580</v>
      </c>
      <c r="J22" s="30" t="n">
        <v>3260</v>
      </c>
      <c r="K22" s="31"/>
      <c r="L22" s="32" t="n">
        <v>68040</v>
      </c>
    </row>
    <row r="23" customFormat="false" ht="12.8" hidden="false" customHeight="false" outlineLevel="0" collapsed="false">
      <c r="A23" s="48" t="n">
        <v>43696</v>
      </c>
      <c r="B23" s="29"/>
      <c r="C23" s="30" t="n">
        <v>380</v>
      </c>
      <c r="D23" s="30" t="n">
        <v>19640</v>
      </c>
      <c r="E23" s="30" t="n">
        <v>14900</v>
      </c>
      <c r="F23" s="30"/>
      <c r="G23" s="30"/>
      <c r="H23" s="30" t="n">
        <v>2180</v>
      </c>
      <c r="I23" s="30" t="n">
        <v>32700</v>
      </c>
      <c r="J23" s="30" t="n">
        <v>2420</v>
      </c>
      <c r="K23" s="31"/>
      <c r="L23" s="32" t="n">
        <v>72220</v>
      </c>
    </row>
    <row r="24" customFormat="false" ht="12.8" hidden="false" customHeight="false" outlineLevel="0" collapsed="false">
      <c r="A24" s="48" t="n">
        <v>43697</v>
      </c>
      <c r="B24" s="29" t="n">
        <v>2840</v>
      </c>
      <c r="C24" s="30" t="n">
        <v>1700</v>
      </c>
      <c r="D24" s="30" t="n">
        <v>20080</v>
      </c>
      <c r="E24" s="30" t="n">
        <v>10800</v>
      </c>
      <c r="F24" s="30"/>
      <c r="G24" s="30"/>
      <c r="H24" s="30" t="n">
        <v>1000</v>
      </c>
      <c r="I24" s="30" t="n">
        <v>27840</v>
      </c>
      <c r="J24" s="30" t="n">
        <v>580</v>
      </c>
      <c r="K24" s="31"/>
      <c r="L24" s="32" t="n">
        <v>64840</v>
      </c>
    </row>
    <row r="25" customFormat="false" ht="12.8" hidden="false" customHeight="false" outlineLevel="0" collapsed="false">
      <c r="A25" s="48" t="n">
        <v>43698</v>
      </c>
      <c r="B25" s="29"/>
      <c r="C25" s="30" t="n">
        <v>1200</v>
      </c>
      <c r="D25" s="30" t="n">
        <v>22460</v>
      </c>
      <c r="E25" s="30" t="n">
        <v>10660</v>
      </c>
      <c r="F25" s="30"/>
      <c r="G25" s="30"/>
      <c r="H25" s="30" t="n">
        <v>1820</v>
      </c>
      <c r="I25" s="30" t="n">
        <v>32320</v>
      </c>
      <c r="J25" s="30" t="n">
        <v>2600</v>
      </c>
      <c r="K25" s="31"/>
      <c r="L25" s="32" t="n">
        <v>71060</v>
      </c>
    </row>
    <row r="26" customFormat="false" ht="12.8" hidden="false" customHeight="false" outlineLevel="0" collapsed="false">
      <c r="A26" s="48" t="n">
        <v>43699</v>
      </c>
      <c r="B26" s="29"/>
      <c r="C26" s="30"/>
      <c r="D26" s="30" t="n">
        <v>28340</v>
      </c>
      <c r="E26" s="30" t="n">
        <v>1720</v>
      </c>
      <c r="F26" s="30" t="n">
        <v>520</v>
      </c>
      <c r="G26" s="30"/>
      <c r="H26" s="30" t="n">
        <v>920</v>
      </c>
      <c r="I26" s="30" t="n">
        <v>26420</v>
      </c>
      <c r="J26" s="30" t="n">
        <v>2360</v>
      </c>
      <c r="K26" s="31"/>
      <c r="L26" s="32" t="n">
        <v>60280</v>
      </c>
    </row>
    <row r="27" customFormat="false" ht="12.8" hidden="false" customHeight="false" outlineLevel="0" collapsed="false">
      <c r="A27" s="48" t="n">
        <v>43700</v>
      </c>
      <c r="B27" s="29" t="n">
        <v>1700</v>
      </c>
      <c r="C27" s="30" t="n">
        <v>360</v>
      </c>
      <c r="D27" s="30" t="n">
        <v>21740</v>
      </c>
      <c r="E27" s="30" t="n">
        <v>13040</v>
      </c>
      <c r="F27" s="30" t="n">
        <v>530</v>
      </c>
      <c r="G27" s="30"/>
      <c r="H27" s="30" t="n">
        <v>2140</v>
      </c>
      <c r="I27" s="30" t="n">
        <v>33840</v>
      </c>
      <c r="J27" s="30" t="n">
        <v>2380</v>
      </c>
      <c r="K27" s="31"/>
      <c r="L27" s="32" t="n">
        <v>75730</v>
      </c>
    </row>
    <row r="28" customFormat="false" ht="12.8" hidden="false" customHeight="false" outlineLevel="0" collapsed="false">
      <c r="A28" s="48" t="n">
        <v>43701</v>
      </c>
      <c r="B28" s="29"/>
      <c r="C28" s="30" t="n">
        <v>2460</v>
      </c>
      <c r="D28" s="30" t="n">
        <v>20900</v>
      </c>
      <c r="E28" s="30" t="n">
        <v>13160</v>
      </c>
      <c r="F28" s="30" t="n">
        <v>560</v>
      </c>
      <c r="G28" s="30"/>
      <c r="H28" s="30" t="n">
        <v>1040</v>
      </c>
      <c r="I28" s="30" t="n">
        <v>31760</v>
      </c>
      <c r="J28" s="30"/>
      <c r="K28" s="31"/>
      <c r="L28" s="32" t="n">
        <v>69880</v>
      </c>
    </row>
    <row r="29" customFormat="false" ht="12.8" hidden="false" customHeight="false" outlineLevel="0" collapsed="false">
      <c r="A29" s="48" t="n">
        <v>43702</v>
      </c>
      <c r="B29" s="29"/>
      <c r="C29" s="30"/>
      <c r="D29" s="30" t="n">
        <v>30780</v>
      </c>
      <c r="E29" s="30"/>
      <c r="F29" s="30" t="n">
        <v>1400</v>
      </c>
      <c r="G29" s="30"/>
      <c r="H29" s="30" t="n">
        <v>900</v>
      </c>
      <c r="I29" s="30" t="n">
        <v>29240</v>
      </c>
      <c r="J29" s="30" t="n">
        <v>2900</v>
      </c>
      <c r="K29" s="31"/>
      <c r="L29" s="32" t="n">
        <v>65220</v>
      </c>
    </row>
    <row r="30" customFormat="false" ht="12.8" hidden="false" customHeight="false" outlineLevel="0" collapsed="false">
      <c r="A30" s="48" t="n">
        <v>43703</v>
      </c>
      <c r="B30" s="29"/>
      <c r="C30" s="30" t="n">
        <v>680</v>
      </c>
      <c r="D30" s="30" t="n">
        <v>21300</v>
      </c>
      <c r="E30" s="30" t="n">
        <v>13380</v>
      </c>
      <c r="F30" s="30" t="n">
        <v>280</v>
      </c>
      <c r="G30" s="30"/>
      <c r="H30" s="30" t="n">
        <v>1280</v>
      </c>
      <c r="I30" s="30" t="n">
        <v>29400</v>
      </c>
      <c r="J30" s="30" t="n">
        <v>2180</v>
      </c>
      <c r="K30" s="31"/>
      <c r="L30" s="32" t="n">
        <v>68500</v>
      </c>
    </row>
    <row r="31" customFormat="false" ht="12.8" hidden="false" customHeight="false" outlineLevel="0" collapsed="false">
      <c r="A31" s="48" t="n">
        <v>43704</v>
      </c>
      <c r="B31" s="29" t="n">
        <v>6940</v>
      </c>
      <c r="C31" s="30" t="n">
        <v>1180</v>
      </c>
      <c r="D31" s="30" t="n">
        <v>19060</v>
      </c>
      <c r="E31" s="30" t="n">
        <v>8960</v>
      </c>
      <c r="F31" s="30" t="n">
        <v>680</v>
      </c>
      <c r="G31" s="30"/>
      <c r="H31" s="30"/>
      <c r="I31" s="30" t="n">
        <v>23260</v>
      </c>
      <c r="J31" s="30" t="n">
        <v>1840</v>
      </c>
      <c r="K31" s="31"/>
      <c r="L31" s="32" t="n">
        <v>61920</v>
      </c>
    </row>
    <row r="32" customFormat="false" ht="12.8" hidden="false" customHeight="false" outlineLevel="0" collapsed="false">
      <c r="A32" s="48" t="n">
        <v>43705</v>
      </c>
      <c r="B32" s="29"/>
      <c r="C32" s="30" t="n">
        <v>3460</v>
      </c>
      <c r="D32" s="30" t="n">
        <v>19220</v>
      </c>
      <c r="E32" s="30" t="n">
        <v>8700</v>
      </c>
      <c r="F32" s="30" t="n">
        <v>820</v>
      </c>
      <c r="G32" s="30" t="n">
        <v>2500</v>
      </c>
      <c r="H32" s="30"/>
      <c r="I32" s="30" t="n">
        <v>27720</v>
      </c>
      <c r="J32" s="30"/>
      <c r="K32" s="31"/>
      <c r="L32" s="32" t="n">
        <v>62420</v>
      </c>
    </row>
    <row r="33" customFormat="false" ht="12.8" hidden="false" customHeight="false" outlineLevel="0" collapsed="false">
      <c r="A33" s="48" t="n">
        <v>43706</v>
      </c>
      <c r="B33" s="29"/>
      <c r="C33" s="30" t="n">
        <v>1680</v>
      </c>
      <c r="D33" s="30" t="n">
        <v>24100</v>
      </c>
      <c r="E33" s="30" t="n">
        <v>1680</v>
      </c>
      <c r="F33" s="30" t="n">
        <v>480</v>
      </c>
      <c r="G33" s="30"/>
      <c r="H33" s="30" t="n">
        <v>1340</v>
      </c>
      <c r="I33" s="30" t="n">
        <v>26260</v>
      </c>
      <c r="J33" s="30"/>
      <c r="K33" s="31" t="n">
        <v>1000</v>
      </c>
      <c r="L33" s="32" t="n">
        <v>56540</v>
      </c>
    </row>
    <row r="34" customFormat="false" ht="12.8" hidden="false" customHeight="false" outlineLevel="0" collapsed="false">
      <c r="A34" s="48" t="n">
        <v>43707</v>
      </c>
      <c r="B34" s="29"/>
      <c r="C34" s="30" t="n">
        <v>240</v>
      </c>
      <c r="D34" s="30" t="n">
        <v>20300</v>
      </c>
      <c r="E34" s="30" t="n">
        <v>11500</v>
      </c>
      <c r="F34" s="30" t="n">
        <v>500</v>
      </c>
      <c r="G34" s="30"/>
      <c r="H34" s="30" t="n">
        <v>1340</v>
      </c>
      <c r="I34" s="30" t="n">
        <v>28880</v>
      </c>
      <c r="J34" s="30" t="n">
        <v>2060</v>
      </c>
      <c r="K34" s="31"/>
      <c r="L34" s="32" t="n">
        <v>64820</v>
      </c>
    </row>
    <row r="35" customFormat="false" ht="12.8" hidden="false" customHeight="false" outlineLevel="0" collapsed="false">
      <c r="A35" s="48" t="n">
        <v>43708</v>
      </c>
      <c r="B35" s="33"/>
      <c r="C35" s="34"/>
      <c r="D35" s="34" t="n">
        <v>18640</v>
      </c>
      <c r="E35" s="34" t="n">
        <v>10540</v>
      </c>
      <c r="F35" s="34" t="n">
        <v>520</v>
      </c>
      <c r="G35" s="34"/>
      <c r="H35" s="34" t="n">
        <v>1380</v>
      </c>
      <c r="I35" s="34" t="n">
        <v>26660</v>
      </c>
      <c r="J35" s="34" t="n">
        <v>1900</v>
      </c>
      <c r="K35" s="35"/>
      <c r="L35" s="36" t="n">
        <v>59640</v>
      </c>
    </row>
    <row r="36" customFormat="false" ht="12.8" hidden="false" customHeight="false" outlineLevel="0" collapsed="false">
      <c r="A36" s="49" t="s">
        <v>32</v>
      </c>
      <c r="B36" s="38" t="n">
        <v>21620</v>
      </c>
      <c r="C36" s="39" t="n">
        <v>28080</v>
      </c>
      <c r="D36" s="39" t="n">
        <v>673690</v>
      </c>
      <c r="E36" s="39" t="n">
        <v>325760</v>
      </c>
      <c r="F36" s="39" t="n">
        <v>6290</v>
      </c>
      <c r="G36" s="39" t="n">
        <v>2500</v>
      </c>
      <c r="H36" s="39" t="n">
        <v>38000</v>
      </c>
      <c r="I36" s="39" t="n">
        <v>879340</v>
      </c>
      <c r="J36" s="39" t="n">
        <v>58280</v>
      </c>
      <c r="K36" s="40" t="n">
        <v>3220</v>
      </c>
      <c r="L36" s="41" t="n">
        <v>2036780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2019-09-16T07:03:59Z</dcterms:created>
  <dc:creator>usuario</dc:creator>
  <dc:description/>
  <dc:language>es-ES</dc:language>
  <cp:lastModifiedBy>JORGE AZUARA ROCA</cp:lastModifiedBy>
  <dcterms:modified xsi:type="dcterms:W3CDTF">2019-09-16T13:39:23Z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