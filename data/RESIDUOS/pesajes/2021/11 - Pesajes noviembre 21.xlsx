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Hoja1!$A$1:$J$156</definedName>
    <definedName function="false" hidden="false" localSheetId="0" name="_xlnm._FilterDatabase" vbProcedure="false">Hoja1!$A$1:$I$156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<sst xmlns="http://schemas.openxmlformats.org/spreadsheetml/2006/main" count="794" uniqueCount="66">
  <si>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</si>
  <si>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</si>
  <si>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</si>
  <si>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</si>
  <si>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</si>
  <si>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</si>
  <si>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</si>
  <si>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</si>
  <si>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</si>
  <si>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</si>
  <si>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7809JZX</t>
  </si>
  <si>
    <t xml:space="preserve">PEÑISCOLA </t>
  </si>
  <si>
    <t xml:space="preserve">RSU</t>
  </si>
  <si>
    <t xml:space="preserve">x</t>
  </si>
  <si>
    <t xml:space="preserve">7542KBV</t>
  </si>
  <si>
    <t xml:space="preserve">1730KBZ</t>
  </si>
  <si>
    <t xml:space="preserve">6120JZX</t>
  </si>
  <si>
    <t xml:space="preserve">7957JZS</t>
  </si>
  <si>
    <t xml:space="preserve">VOL</t>
  </si>
  <si>
    <t xml:space="preserve">SEL.PAP</t>
  </si>
  <si>
    <t xml:space="preserve">SEL.ENV</t>
  </si>
  <si>
    <t xml:space="preserve">5936GJY</t>
  </si>
  <si>
    <t xml:space="preserve">1076KSZ</t>
  </si>
  <si>
    <t xml:space="preserve">PODA</t>
  </si>
  <si>
    <t xml:space="preserve">3686KBG</t>
  </si>
  <si>
    <t xml:space="preserve">0315BGK</t>
  </si>
  <si>
    <t xml:space="preserve">7542kbv</t>
  </si>
  <si>
    <t xml:space="preserve">BARREDURÍA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</si>
  <si>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</si>
  <si>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</si>
  <si>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</si>
  <si>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</si>
  <si>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</si>
  <si>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</si>
  <si>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</si>
  <si>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</si>
  <si>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</si>
  <si>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</si>
  <si>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</si>
  <si>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</si>
  <si>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</si>
  <si>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</si>
  <si>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</si>
  <si>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</si>
  <si>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</si>
  <si>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</si>
  <si>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</si>
  <si>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Recolector 22 _ 1</t>
  </si>
  <si>
    <t xml:space="preserve">2-3-4-5</t>
  </si>
  <si>
    <t xml:space="preserve">Noche</t>
  </si>
  <si>
    <t xml:space="preserve">Recolector 22 _ 2</t>
  </si>
  <si>
    <t xml:space="preserve">1821KBZ</t>
  </si>
  <si>
    <t xml:space="preserve">volquete 4x4 LV</t>
  </si>
  <si>
    <t xml:space="preserve">Día/ Noche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</si>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</sst>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CD3C1"/>
      </patternFill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4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8" fillId="3" borderId="2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4" fillId="4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6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4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1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3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4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4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7" fillId="0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3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9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3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3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4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3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4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7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4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7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5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4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4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2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8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7" fillId="0" borderId="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  <cellStyle name="Excel Built-in Explanatory Text" xfId="26" builtinId="53" customBuiltin="true"/>
  </cellStyles>
  <dxfs count="4"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  <dxf>
      <alignment horizontal="general" vertical="bottom" textRotation="0" wrapText="false" indent="0" shrinkToFit="false" readingOrder="1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CC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5">
  <cacheSource type="worksheet">
    <worksheetSource ref="A1:I156" sheet="Hoja1"/>
  </cacheSource>
  <cacheFields count="9">
    <cacheField name="Fecha" numFmtId="0">
      <sharedItems count="30" containsMixedTypes="0" containsSemiMixedTypes="0" containsString="0" containsNumber="1">
        <n v="44501"/>
        <n v="44502"/>
        <n v="44503"/>
        <n v="44504"/>
        <n v="44505"/>
        <n v="44506"/>
        <n v="44507"/>
        <n v="44508"/>
        <n v="44509"/>
        <n v="44510"/>
        <n v="44511"/>
        <n v="44512"/>
        <n v="44513"/>
        <n v="44514"/>
        <n v="44515"/>
        <n v="44516"/>
        <n v="44517"/>
        <n v="44518"/>
        <n v="44519"/>
        <n v="44520"/>
        <n v="44521"/>
        <n v="44522"/>
        <n v="44523"/>
        <n v="44524"/>
        <n v="44525"/>
        <n v="44526"/>
        <n v="44527"/>
        <n v="44528"/>
        <n v="44529"/>
        <n v="44530"/>
      </sharedItems>
    </cacheField>
    <cacheField name="Fecha / hora" numFmtId="0">
      <sharedItems count="118" containsMixedTypes="0" containsSemiMixedTypes="0" containsString="0" containsNumber="1">
        <n v="0.0256944444444444"/>
        <n v="0.1"/>
        <n v="0.114583333333333"/>
        <n v="0.11875"/>
        <n v="0.120138888888889"/>
        <n v="0.120833333333333"/>
        <n v="0.129166666666667"/>
        <n v="0.129861111111111"/>
        <n v="0.136111111111111"/>
        <n v="0.136805555555556"/>
        <n v="0.138194444444444"/>
        <n v="0.140277777777778"/>
        <n v="0.150694444444444"/>
        <n v="0.154861111111111"/>
        <n v="0.159722222222222"/>
        <n v="0.1625"/>
        <n v="0.166666666666667"/>
        <n v="0.170138888888889"/>
        <n v="0.171527777777778"/>
        <n v="0.172222222222222"/>
        <n v="0.172916666666667"/>
        <n v="0.179861111111111"/>
        <n v="0.184722222222222"/>
        <n v="0.191666666666667"/>
        <n v="0.19375"/>
        <n v="0.195138888888889"/>
        <n v="0.196527777777778"/>
        <n v="0.197916666666667"/>
        <n v="0.198611111111111"/>
        <n v="0.209027777777778"/>
        <n v="0.210416666666667"/>
        <n v="0.211805555555556"/>
        <n v="0.213888888888889"/>
        <n v="0.216666666666667"/>
        <n v="0.217361111111111"/>
        <n v="0.21875"/>
        <n v="0.219444444444444"/>
        <n v="0.221527777777778"/>
        <n v="0.222916666666667"/>
        <n v="0.227083333333333"/>
        <n v="0.228472222222222"/>
        <n v="0.230555555555556"/>
        <n v="0.232638888888889"/>
        <n v="0.236805555555556"/>
        <n v="0.2375"/>
        <n v="0.240277777777778"/>
        <n v="0.242361111111111"/>
        <n v="0.245138888888889"/>
        <n v="0.245833333333333"/>
        <n v="0.247916666666667"/>
        <n v="0.25"/>
        <n v="0.250694444444444"/>
        <n v="0.252083333333333"/>
        <n v="0.255555555555556"/>
        <n v="0.256944444444444"/>
        <n v="0.257638888888889"/>
        <n v="0.258333333333333"/>
        <n v="0.259027777777778"/>
        <n v="0.259722222222222"/>
        <n v="0.260416666666667"/>
        <n v="0.261111111111111"/>
        <n v="0.261805555555556"/>
        <n v="0.2625"/>
        <n v="0.264583333333333"/>
        <n v="0.266666666666667"/>
        <n v="0.294444444444444"/>
        <n v="0.295833333333333"/>
        <n v="0.305555555555555"/>
        <n v="0.322916666666667"/>
        <n v="0.330555555555556"/>
        <n v="0.333333333333333"/>
        <n v="0.340972222222222"/>
        <n v="0.346527777777778"/>
        <n v="0.361805555555556"/>
        <n v="0.3625"/>
        <n v="0.434722222222222"/>
        <n v="0.4375"/>
        <n v="0.438194444444444"/>
        <n v="0.439583333333333"/>
        <n v="0.449305555555556"/>
        <n v="0.452777777777778"/>
        <n v="0.459722222222222"/>
        <n v="0.463194444444444"/>
        <n v="0.466666666666667"/>
        <n v="0.468055555555555"/>
        <n v="0.472916666666667"/>
        <n v="0.474305555555556"/>
        <n v="0.485416666666667"/>
        <n v="0.488888888888889"/>
        <n v="0.499305555555555"/>
        <n v="0.500694444444445"/>
        <n v="0.504166666666667"/>
        <n v="0.509722222222222"/>
        <n v="0.516666666666667"/>
        <n v="0.51875"/>
        <n v="0.519444444444444"/>
        <n v="0.520138888888889"/>
        <n v="0.520833333333333"/>
        <n v="0.521527777777778"/>
        <n v="0.522916666666667"/>
        <n v="0.523611111111111"/>
        <n v="0.525"/>
        <n v="0.527083333333333"/>
        <n v="0.529166666666667"/>
        <n v="0.529861111111111"/>
        <n v="0.53125"/>
        <n v="0.534027777777778"/>
        <n v="0.535416666666667"/>
        <n v="0.538888888888889"/>
        <n v="0.539583333333333"/>
        <n v="0.540277777777778"/>
        <n v="0.541666666666667"/>
        <n v="0.544444444444444"/>
        <n v="0.545138888888889"/>
        <n v="0.550694444444444"/>
        <n v="0.552083333333333"/>
        <n v="0.552777777777778"/>
        <n v="0.554166666666667"/>
      </sharedItems>
    </cacheField>
    <cacheField name="Ticket" numFmtId="0">
      <sharedItems count="155" containsMixedTypes="0" containsSemiMixedTypes="0" containsString="0" containsNumber="1">
        <n v="2259"/>
        <n v="2282"/>
        <n v="2302"/>
        <n v="2326"/>
        <n v="128579"/>
        <n v="128580"/>
        <n v="128605"/>
        <n v="128637"/>
        <n v="128680"/>
        <n v="128681"/>
        <n v="128692"/>
        <n v="128728"/>
        <n v="128729"/>
        <n v="128967"/>
        <n v="128968"/>
        <n v="128994"/>
        <n v="128995"/>
        <n v="129026"/>
        <n v="129034"/>
        <n v="129035"/>
        <n v="129176"/>
        <n v="129221"/>
        <n v="129222"/>
        <n v="129368"/>
        <n v="129382"/>
        <n v="129384"/>
        <n v="129441"/>
        <n v="129442"/>
        <n v="129446"/>
        <n v="129447"/>
        <n v="129494"/>
        <n v="129495"/>
        <n v="129519"/>
        <n v="129622"/>
        <n v="129623"/>
        <n v="129673"/>
        <n v="129716"/>
        <n v="129728"/>
        <n v="129796"/>
        <n v="129807"/>
        <n v="129893"/>
        <n v="129963"/>
        <n v="129973"/>
        <n v="130066"/>
        <n v="130067"/>
        <n v="130076"/>
        <n v="130078"/>
        <n v="130101"/>
        <n v="130150"/>
        <n v="130151"/>
        <n v="130154"/>
        <n v="130238"/>
        <n v="130239"/>
        <n v="130253"/>
        <n v="130317"/>
        <n v="145774"/>
        <n v="145780"/>
        <n v="145781"/>
        <n v="145815"/>
        <n v="145822"/>
        <n v="145823"/>
        <n v="145837"/>
        <n v="145860"/>
        <n v="145865"/>
        <n v="145866"/>
        <n v="145904"/>
        <n v="145911"/>
        <n v="145912"/>
        <n v="145943"/>
        <n v="145949"/>
        <n v="145950"/>
        <n v="145984"/>
        <n v="145985"/>
        <n v="145986"/>
        <n v="146000"/>
        <n v="146003"/>
        <n v="146004"/>
        <n v="146006"/>
        <n v="146019"/>
        <n v="146020"/>
        <n v="146051"/>
        <n v="146069"/>
        <n v="146070"/>
        <n v="146073"/>
        <n v="146111"/>
        <n v="146115"/>
        <n v="146116"/>
        <n v="146149"/>
        <n v="146151"/>
        <n v="146153"/>
        <n v="146197"/>
        <n v="146198"/>
        <n v="146201"/>
        <n v="146228"/>
        <n v="146236"/>
        <n v="146237"/>
        <n v="146249"/>
        <n v="146250"/>
        <n v="146251"/>
        <n v="146264"/>
        <n v="146269"/>
        <n v="146270"/>
        <n v="146307"/>
        <n v="146314"/>
        <n v="146315"/>
        <n v="146358"/>
        <n v="146362"/>
        <n v="146363"/>
        <n v="146403"/>
        <n v="146406"/>
        <n v="146408"/>
        <n v="146453"/>
        <n v="146456"/>
        <n v="146457"/>
        <n v="146491"/>
        <n v="146498"/>
        <n v="146499"/>
        <n v="146514"/>
        <n v="146516"/>
        <n v="146519"/>
        <n v="146522"/>
        <n v="146532"/>
        <n v="146535"/>
        <n v="146536"/>
        <n v="146557"/>
        <n v="146581"/>
        <n v="146586"/>
        <n v="146587"/>
        <n v="146623"/>
        <n v="146626"/>
        <n v="146628"/>
        <n v="146663"/>
        <n v="146678"/>
        <n v="146679"/>
        <n v="146683"/>
        <n v="146710"/>
        <n v="146715"/>
        <n v="146716"/>
        <n v="146739"/>
        <n v="146743"/>
        <n v="146747"/>
        <n v="146768"/>
        <n v="146770"/>
        <n v="146773"/>
        <n v="146778"/>
        <n v="146789"/>
        <n v="146790"/>
        <n v="146802"/>
        <n v="146807"/>
        <n v="146829"/>
        <n v="146835"/>
        <n v="146838"/>
        <n v="146843"/>
        <n v="146845"/>
        <n v="146849"/>
      </sharedItems>
    </cacheField>
    <cacheField name="Matrícula" numFmtId="0">
      <sharedItems count="9" containsMixedTypes="0" containsSemiMixedTypes="0" containsString="1" containsNumber="0">
        <s v="0315BGK"/>
        <s v="1076KSZ"/>
        <s v="1730KBZ"/>
        <s v="3686KBG"/>
        <s v="5936GJY"/>
        <s v="6120JZX"/>
        <s v="7542KBV"/>
        <s v="7809JZX"/>
        <s v="7957JZS"/>
      </sharedItems>
    </cacheField>
    <cacheField name="Peso total" numFmtId="0">
      <sharedItems count="127" containsMixedTypes="0" containsSemiMixedTypes="0" containsString="0" containsNumber="1">
        <n v="2660"/>
        <n v="2700"/>
        <n v="2720"/>
        <n v="2740"/>
        <n v="2940"/>
        <n v="2960"/>
        <n v="2980"/>
        <n v="3020"/>
        <n v="3080"/>
        <n v="3180"/>
        <n v="3200"/>
        <n v="3220"/>
        <n v="3260"/>
        <n v="3300"/>
        <n v="3320"/>
        <n v="3340"/>
        <n v="3400"/>
        <n v="3420"/>
        <n v="3440"/>
        <n v="3540"/>
        <n v="3560"/>
        <n v="3800"/>
        <n v="3860"/>
        <n v="3960"/>
        <n v="4020"/>
        <n v="4040"/>
        <n v="4060"/>
        <n v="4080"/>
        <n v="4100"/>
        <n v="4120"/>
        <n v="4140"/>
        <n v="4160"/>
        <n v="4200"/>
        <n v="4220"/>
        <n v="4240"/>
        <n v="4260"/>
        <n v="4280"/>
        <n v="4340"/>
        <n v="4380"/>
        <n v="4660"/>
        <n v="4820"/>
        <n v="6200"/>
        <n v="6300"/>
        <n v="6320"/>
        <n v="6340"/>
        <n v="6380"/>
        <n v="6400"/>
        <n v="6460"/>
        <n v="6480"/>
        <n v="6520"/>
        <n v="6540"/>
        <n v="6560"/>
        <n v="6580"/>
        <n v="6600"/>
        <n v="6620"/>
        <n v="6700"/>
        <n v="6720"/>
        <n v="7060"/>
        <n v="9680"/>
        <n v="10280"/>
        <n v="16360"/>
        <n v="16460"/>
        <n v="16480"/>
        <n v="16680"/>
        <n v="17040"/>
        <n v="17120"/>
        <n v="17160"/>
        <n v="17280"/>
        <n v="17320"/>
        <n v="17340"/>
        <n v="17380"/>
        <n v="17480"/>
        <n v="17520"/>
        <n v="17540"/>
        <n v="17600"/>
        <n v="17660"/>
        <n v="17680"/>
        <n v="17760"/>
        <n v="17780"/>
        <n v="17820"/>
        <n v="17880"/>
        <n v="17900"/>
        <n v="17940"/>
        <n v="17960"/>
        <n v="17980"/>
        <n v="18040"/>
        <n v="18100"/>
        <n v="18120"/>
        <n v="18180"/>
        <n v="18520"/>
        <n v="18540"/>
        <n v="18660"/>
        <n v="18840"/>
        <n v="19280"/>
        <n v="19600"/>
        <n v="19880"/>
        <n v="19920"/>
        <n v="21140"/>
        <n v="22160"/>
        <n v="22500"/>
        <n v="22900"/>
        <n v="23040"/>
        <n v="23080"/>
        <n v="23280"/>
        <n v="23320"/>
        <n v="23400"/>
        <n v="23440"/>
        <n v="23620"/>
        <n v="23920"/>
        <n v="23960"/>
        <n v="24060"/>
        <n v="24080"/>
        <n v="24420"/>
        <n v="24440"/>
        <n v="24520"/>
        <n v="24600"/>
        <n v="24900"/>
        <n v="25220"/>
        <n v="25240"/>
        <n v="25500"/>
        <n v="25600"/>
        <n v="25940"/>
        <n v="26140"/>
        <n v="26240"/>
        <n v="26540"/>
        <n v="26820"/>
        <n v="27860"/>
      </sharedItems>
    </cacheField>
    <cacheField name="Tara" numFmtId="0">
      <sharedItems count="79" containsMixedTypes="0" containsSemiMixedTypes="0" containsString="0" containsNumber="1">
        <n v="2360"/>
        <n v="2380"/>
        <n v="2400"/>
        <n v="2420"/>
        <n v="2680"/>
        <n v="2720"/>
        <n v="2820"/>
        <n v="2840"/>
        <n v="2860"/>
        <n v="2880"/>
        <n v="2900"/>
        <n v="3000"/>
        <n v="3020"/>
        <n v="3300"/>
        <n v="3420"/>
        <n v="3660"/>
        <n v="3700"/>
        <n v="3720"/>
        <n v="3740"/>
        <n v="3760"/>
        <n v="3780"/>
        <n v="3800"/>
        <n v="3820"/>
        <n v="5200"/>
        <n v="5500"/>
        <n v="5540"/>
        <n v="5560"/>
        <n v="5580"/>
        <n v="5600"/>
        <n v="5620"/>
        <n v="5660"/>
        <n v="6300"/>
        <n v="6320"/>
        <n v="6340"/>
        <n v="6460"/>
        <n v="6480"/>
        <n v="6520"/>
        <n v="6540"/>
        <n v="6560"/>
        <n v="6700"/>
        <n v="12640"/>
        <n v="12660"/>
        <n v="12700"/>
        <n v="12720"/>
        <n v="12740"/>
        <n v="12780"/>
        <n v="12800"/>
        <n v="12820"/>
        <n v="12840"/>
        <n v="12860"/>
        <n v="12880"/>
        <n v="12900"/>
        <n v="12940"/>
        <n v="12960"/>
        <n v="12980"/>
        <n v="13020"/>
        <n v="15300"/>
        <n v="15620"/>
        <n v="15660"/>
        <n v="15680"/>
        <n v="15700"/>
        <n v="15720"/>
        <n v="15740"/>
        <n v="15760"/>
        <n v="15780"/>
        <n v="15800"/>
        <n v="15820"/>
        <n v="15860"/>
        <n v="15880"/>
        <n v="15900"/>
        <n v="15920"/>
        <n v="15940"/>
        <n v="15980"/>
        <n v="16000"/>
        <n v="16240"/>
        <n v="16340"/>
        <n v="16540"/>
        <n v="16700"/>
        <n v="17760"/>
      </sharedItems>
    </cacheField>
    <cacheField name="Carga" numFmtId="0">
      <sharedItems count="100" containsMixedTypes="0" containsSemiMixedTypes="0" containsString="0" containsNumber="1">
        <n v="20"/>
        <n v="40"/>
        <n v="60"/>
        <n v="80"/>
        <n v="200"/>
        <n v="220"/>
        <n v="240"/>
        <n v="260"/>
        <n v="300"/>
        <n v="320"/>
        <n v="340"/>
        <n v="360"/>
        <n v="380"/>
        <n v="400"/>
        <n v="420"/>
        <n v="460"/>
        <n v="480"/>
        <n v="500"/>
        <n v="520"/>
        <n v="540"/>
        <n v="560"/>
        <n v="580"/>
        <n v="640"/>
        <n v="680"/>
        <n v="700"/>
        <n v="740"/>
        <n v="760"/>
        <n v="840"/>
        <n v="900"/>
        <n v="920"/>
        <n v="960"/>
        <n v="1000"/>
        <n v="1020"/>
        <n v="1060"/>
        <n v="1120"/>
        <n v="1160"/>
        <n v="1180"/>
        <n v="1320"/>
        <n v="1360"/>
        <n v="1400"/>
        <n v="1440"/>
        <n v="1540"/>
        <n v="1600"/>
        <n v="1680"/>
        <n v="1720"/>
        <n v="1900"/>
        <n v="1960"/>
        <n v="2040"/>
        <n v="3380"/>
        <n v="3660"/>
        <n v="3760"/>
        <n v="3780"/>
        <n v="4260"/>
        <n v="4480"/>
        <n v="4500"/>
        <n v="4780"/>
        <n v="4880"/>
        <n v="4920"/>
        <n v="4960"/>
        <n v="4980"/>
        <n v="5000"/>
        <n v="5060"/>
        <n v="5100"/>
        <n v="5280"/>
        <n v="5300"/>
        <n v="5360"/>
        <n v="5440"/>
        <n v="5560"/>
        <n v="5820"/>
        <n v="5880"/>
        <n v="5960"/>
        <n v="6400"/>
        <n v="6440"/>
        <n v="6660"/>
        <n v="7140"/>
        <n v="7160"/>
        <n v="7240"/>
        <n v="7320"/>
        <n v="7500"/>
        <n v="7520"/>
        <n v="7560"/>
        <n v="7660"/>
        <n v="7920"/>
        <n v="8140"/>
        <n v="8200"/>
        <n v="8220"/>
        <n v="8280"/>
        <n v="8540"/>
        <n v="8900"/>
        <n v="8920"/>
        <n v="9460"/>
        <n v="9520"/>
        <n v="9800"/>
        <n v="9840"/>
        <n v="10160"/>
        <n v="10320"/>
        <n v="10480"/>
        <n v="10760"/>
        <n v="10840"/>
        <n v="1204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BARREDURÍA"/>
        <s v="PODA"/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">
  <r>
    <x v="0"/>
    <x v="38"/>
    <x v="57"/>
    <x v="7"/>
    <x v="40"/>
    <x v="19"/>
    <x v="33"/>
    <x v="0"/>
    <x v="2"/>
  </r>
  <r>
    <x v="0"/>
    <x v="7"/>
    <x v="55"/>
    <x v="6"/>
    <x v="96"/>
    <x v="45"/>
    <x v="74"/>
    <x v="0"/>
    <x v="2"/>
  </r>
  <r>
    <x v="0"/>
    <x v="37"/>
    <x v="56"/>
    <x v="2"/>
    <x v="124"/>
    <x v="64"/>
    <x v="97"/>
    <x v="0"/>
    <x v="2"/>
  </r>
  <r>
    <x v="1"/>
    <x v="12"/>
    <x v="58"/>
    <x v="6"/>
    <x v="95"/>
    <x v="43"/>
    <x v="75"/>
    <x v="0"/>
    <x v="2"/>
  </r>
  <r>
    <x v="1"/>
    <x v="56"/>
    <x v="60"/>
    <x v="7"/>
    <x v="39"/>
    <x v="19"/>
    <x v="28"/>
    <x v="0"/>
    <x v="2"/>
  </r>
  <r>
    <x v="1"/>
    <x v="45"/>
    <x v="59"/>
    <x v="2"/>
    <x v="126"/>
    <x v="66"/>
    <x v="99"/>
    <x v="0"/>
    <x v="2"/>
  </r>
  <r>
    <x v="2"/>
    <x v="8"/>
    <x v="62"/>
    <x v="6"/>
    <x v="91"/>
    <x v="42"/>
    <x v="70"/>
    <x v="0"/>
    <x v="2"/>
  </r>
  <r>
    <x v="1"/>
    <x v="82"/>
    <x v="61"/>
    <x v="5"/>
    <x v="14"/>
    <x v="8"/>
    <x v="15"/>
    <x v="0"/>
    <x v="2"/>
  </r>
  <r>
    <x v="2"/>
    <x v="50"/>
    <x v="64"/>
    <x v="2"/>
    <x v="117"/>
    <x v="60"/>
    <x v="91"/>
    <x v="0"/>
    <x v="2"/>
  </r>
  <r>
    <x v="2"/>
    <x v="31"/>
    <x v="63"/>
    <x v="7"/>
    <x v="34"/>
    <x v="17"/>
    <x v="18"/>
    <x v="0"/>
    <x v="2"/>
  </r>
  <r>
    <x v="2"/>
    <x v="104"/>
    <x v="6"/>
    <x v="8"/>
    <x v="41"/>
    <x v="30"/>
    <x v="19"/>
    <x v="0"/>
    <x v="5"/>
  </r>
  <r>
    <x v="2"/>
    <x v="77"/>
    <x v="5"/>
    <x v="8"/>
    <x v="56"/>
    <x v="39"/>
    <x v="0"/>
    <x v="0"/>
    <x v="5"/>
  </r>
  <r>
    <x v="2"/>
    <x v="77"/>
    <x v="4"/>
    <x v="8"/>
    <x v="55"/>
    <x v="27"/>
    <x v="34"/>
    <x v="0"/>
    <x v="5"/>
  </r>
  <r>
    <x v="3"/>
    <x v="36"/>
    <x v="66"/>
    <x v="7"/>
    <x v="34"/>
    <x v="20"/>
    <x v="15"/>
    <x v="0"/>
    <x v="2"/>
  </r>
  <r>
    <x v="3"/>
    <x v="9"/>
    <x v="65"/>
    <x v="6"/>
    <x v="81"/>
    <x v="46"/>
    <x v="62"/>
    <x v="0"/>
    <x v="2"/>
  </r>
  <r>
    <x v="3"/>
    <x v="45"/>
    <x v="67"/>
    <x v="2"/>
    <x v="118"/>
    <x v="64"/>
    <x v="90"/>
    <x v="0"/>
    <x v="2"/>
  </r>
  <r>
    <x v="3"/>
    <x v="84"/>
    <x v="9"/>
    <x v="5"/>
    <x v="18"/>
    <x v="14"/>
    <x v="0"/>
    <x v="0"/>
    <x v="5"/>
  </r>
  <r>
    <x v="3"/>
    <x v="84"/>
    <x v="8"/>
    <x v="5"/>
    <x v="17"/>
    <x v="7"/>
    <x v="21"/>
    <x v="0"/>
    <x v="5"/>
  </r>
  <r>
    <x v="3"/>
    <x v="70"/>
    <x v="7"/>
    <x v="5"/>
    <x v="21"/>
    <x v="7"/>
    <x v="30"/>
    <x v="0"/>
    <x v="5"/>
  </r>
  <r>
    <x v="3"/>
    <x v="93"/>
    <x v="10"/>
    <x v="2"/>
    <x v="76"/>
    <x v="61"/>
    <x v="46"/>
    <x v="0"/>
    <x v="4"/>
  </r>
  <r>
    <x v="4"/>
    <x v="65"/>
    <x v="69"/>
    <x v="6"/>
    <x v="88"/>
    <x v="44"/>
    <x v="66"/>
    <x v="0"/>
    <x v="2"/>
  </r>
  <r>
    <x v="4"/>
    <x v="29"/>
    <x v="68"/>
    <x v="7"/>
    <x v="38"/>
    <x v="16"/>
    <x v="23"/>
    <x v="0"/>
    <x v="2"/>
  </r>
  <r>
    <x v="4"/>
    <x v="66"/>
    <x v="70"/>
    <x v="2"/>
    <x v="103"/>
    <x v="63"/>
    <x v="79"/>
    <x v="0"/>
    <x v="2"/>
  </r>
  <r>
    <x v="4"/>
    <x v="86"/>
    <x v="0"/>
    <x v="2"/>
    <x v="85"/>
    <x v="73"/>
    <x v="47"/>
    <x v="0"/>
    <x v="3"/>
  </r>
  <r>
    <x v="5"/>
    <x v="39"/>
    <x v="72"/>
    <x v="2"/>
    <x v="121"/>
    <x v="64"/>
    <x v="94"/>
    <x v="0"/>
    <x v="2"/>
  </r>
  <r>
    <x v="5"/>
    <x v="30"/>
    <x v="71"/>
    <x v="7"/>
    <x v="30"/>
    <x v="15"/>
    <x v="16"/>
    <x v="0"/>
    <x v="2"/>
  </r>
  <r>
    <x v="5"/>
    <x v="40"/>
    <x v="73"/>
    <x v="6"/>
    <x v="89"/>
    <x v="42"/>
    <x v="68"/>
    <x v="0"/>
    <x v="2"/>
  </r>
  <r>
    <x v="6"/>
    <x v="32"/>
    <x v="75"/>
    <x v="7"/>
    <x v="35"/>
    <x v="19"/>
    <x v="17"/>
    <x v="0"/>
    <x v="2"/>
  </r>
  <r>
    <x v="6"/>
    <x v="41"/>
    <x v="76"/>
    <x v="2"/>
    <x v="115"/>
    <x v="59"/>
    <x v="89"/>
    <x v="0"/>
    <x v="2"/>
  </r>
  <r>
    <x v="7"/>
    <x v="39"/>
    <x v="79"/>
    <x v="6"/>
    <x v="64"/>
    <x v="45"/>
    <x v="52"/>
    <x v="0"/>
    <x v="2"/>
  </r>
  <r>
    <x v="6"/>
    <x v="103"/>
    <x v="77"/>
    <x v="5"/>
    <x v="22"/>
    <x v="7"/>
    <x v="32"/>
    <x v="0"/>
    <x v="2"/>
  </r>
  <r>
    <x v="6"/>
    <x v="4"/>
    <x v="74"/>
    <x v="6"/>
    <x v="93"/>
    <x v="48"/>
    <x v="72"/>
    <x v="0"/>
    <x v="2"/>
  </r>
  <r>
    <x v="7"/>
    <x v="34"/>
    <x v="78"/>
    <x v="7"/>
    <x v="33"/>
    <x v="16"/>
    <x v="18"/>
    <x v="0"/>
    <x v="2"/>
  </r>
  <r>
    <x v="8"/>
    <x v="22"/>
    <x v="81"/>
    <x v="6"/>
    <x v="86"/>
    <x v="44"/>
    <x v="65"/>
    <x v="0"/>
    <x v="2"/>
  </r>
  <r>
    <x v="8"/>
    <x v="58"/>
    <x v="83"/>
    <x v="7"/>
    <x v="27"/>
    <x v="20"/>
    <x v="8"/>
    <x v="0"/>
    <x v="2"/>
  </r>
  <r>
    <x v="8"/>
    <x v="42"/>
    <x v="82"/>
    <x v="2"/>
    <x v="108"/>
    <x v="61"/>
    <x v="84"/>
    <x v="0"/>
    <x v="2"/>
  </r>
  <r>
    <x v="7"/>
    <x v="106"/>
    <x v="80"/>
    <x v="2"/>
    <x v="120"/>
    <x v="65"/>
    <x v="92"/>
    <x v="0"/>
    <x v="2"/>
  </r>
  <r>
    <x v="8"/>
    <x v="99"/>
    <x v="14"/>
    <x v="8"/>
    <x v="46"/>
    <x v="32"/>
    <x v="3"/>
    <x v="0"/>
    <x v="5"/>
  </r>
  <r>
    <x v="8"/>
    <x v="97"/>
    <x v="13"/>
    <x v="8"/>
    <x v="43"/>
    <x v="29"/>
    <x v="24"/>
    <x v="0"/>
    <x v="5"/>
  </r>
  <r>
    <x v="9"/>
    <x v="57"/>
    <x v="86"/>
    <x v="7"/>
    <x v="31"/>
    <x v="19"/>
    <x v="13"/>
    <x v="0"/>
    <x v="2"/>
  </r>
  <r>
    <x v="9"/>
    <x v="18"/>
    <x v="84"/>
    <x v="6"/>
    <x v="83"/>
    <x v="51"/>
    <x v="61"/>
    <x v="0"/>
    <x v="2"/>
  </r>
  <r>
    <x v="9"/>
    <x v="51"/>
    <x v="85"/>
    <x v="2"/>
    <x v="114"/>
    <x v="57"/>
    <x v="88"/>
    <x v="0"/>
    <x v="2"/>
  </r>
  <r>
    <x v="9"/>
    <x v="92"/>
    <x v="17"/>
    <x v="2"/>
    <x v="65"/>
    <x v="65"/>
    <x v="37"/>
    <x v="0"/>
    <x v="4"/>
  </r>
  <r>
    <x v="9"/>
    <x v="72"/>
    <x v="16"/>
    <x v="8"/>
    <x v="52"/>
    <x v="36"/>
    <x v="2"/>
    <x v="0"/>
    <x v="5"/>
  </r>
  <r>
    <x v="9"/>
    <x v="72"/>
    <x v="15"/>
    <x v="8"/>
    <x v="49"/>
    <x v="28"/>
    <x v="29"/>
    <x v="0"/>
    <x v="5"/>
  </r>
  <r>
    <x v="9"/>
    <x v="105"/>
    <x v="19"/>
    <x v="8"/>
    <x v="50"/>
    <x v="35"/>
    <x v="2"/>
    <x v="0"/>
    <x v="5"/>
  </r>
  <r>
    <x v="9"/>
    <x v="105"/>
    <x v="18"/>
    <x v="8"/>
    <x v="48"/>
    <x v="27"/>
    <x v="28"/>
    <x v="0"/>
    <x v="5"/>
  </r>
  <r>
    <x v="10"/>
    <x v="24"/>
    <x v="87"/>
    <x v="6"/>
    <x v="71"/>
    <x v="42"/>
    <x v="55"/>
    <x v="0"/>
    <x v="2"/>
  </r>
  <r>
    <x v="10"/>
    <x v="48"/>
    <x v="88"/>
    <x v="2"/>
    <x v="105"/>
    <x v="62"/>
    <x v="81"/>
    <x v="0"/>
    <x v="2"/>
  </r>
  <r>
    <x v="10"/>
    <x v="63"/>
    <x v="89"/>
    <x v="7"/>
    <x v="28"/>
    <x v="20"/>
    <x v="9"/>
    <x v="0"/>
    <x v="2"/>
  </r>
  <r>
    <x v="4"/>
    <x v="69"/>
    <x v="11"/>
    <x v="4"/>
    <x v="77"/>
    <x v="67"/>
    <x v="45"/>
    <x v="0"/>
    <x v="5"/>
  </r>
  <r>
    <x v="4"/>
    <x v="69"/>
    <x v="12"/>
    <x v="4"/>
    <x v="79"/>
    <x v="78"/>
    <x v="2"/>
    <x v="0"/>
    <x v="5"/>
  </r>
  <r>
    <x v="11"/>
    <x v="25"/>
    <x v="90"/>
    <x v="6"/>
    <x v="67"/>
    <x v="46"/>
    <x v="53"/>
    <x v="0"/>
    <x v="2"/>
  </r>
  <r>
    <x v="11"/>
    <x v="62"/>
    <x v="92"/>
    <x v="7"/>
    <x v="29"/>
    <x v="21"/>
    <x v="9"/>
    <x v="0"/>
    <x v="2"/>
  </r>
  <r>
    <x v="11"/>
    <x v="46"/>
    <x v="91"/>
    <x v="2"/>
    <x v="111"/>
    <x v="65"/>
    <x v="86"/>
    <x v="0"/>
    <x v="2"/>
  </r>
  <r>
    <x v="11"/>
    <x v="96"/>
    <x v="20"/>
    <x v="1"/>
    <x v="16"/>
    <x v="5"/>
    <x v="23"/>
    <x v="0"/>
    <x v="1"/>
  </r>
  <r>
    <x v="11"/>
    <x v="91"/>
    <x v="1"/>
    <x v="2"/>
    <x v="74"/>
    <x v="73"/>
    <x v="42"/>
    <x v="0"/>
    <x v="3"/>
  </r>
  <r>
    <x v="12"/>
    <x v="78"/>
    <x v="22"/>
    <x v="5"/>
    <x v="15"/>
    <x v="13"/>
    <x v="1"/>
    <x v="0"/>
    <x v="5"/>
  </r>
  <r>
    <x v="12"/>
    <x v="78"/>
    <x v="21"/>
    <x v="5"/>
    <x v="13"/>
    <x v="9"/>
    <x v="14"/>
    <x v="0"/>
    <x v="5"/>
  </r>
  <r>
    <x v="12"/>
    <x v="54"/>
    <x v="94"/>
    <x v="2"/>
    <x v="97"/>
    <x v="67"/>
    <x v="63"/>
    <x v="0"/>
    <x v="2"/>
  </r>
  <r>
    <x v="12"/>
    <x v="11"/>
    <x v="93"/>
    <x v="6"/>
    <x v="92"/>
    <x v="53"/>
    <x v="69"/>
    <x v="0"/>
    <x v="2"/>
  </r>
  <r>
    <x v="12"/>
    <x v="57"/>
    <x v="95"/>
    <x v="7"/>
    <x v="30"/>
    <x v="19"/>
    <x v="12"/>
    <x v="0"/>
    <x v="2"/>
  </r>
  <r>
    <x v="13"/>
    <x v="38"/>
    <x v="98"/>
    <x v="2"/>
    <x v="116"/>
    <x v="72"/>
    <x v="89"/>
    <x v="0"/>
    <x v="2"/>
  </r>
  <r>
    <x v="13"/>
    <x v="10"/>
    <x v="96"/>
    <x v="6"/>
    <x v="94"/>
    <x v="52"/>
    <x v="73"/>
    <x v="0"/>
    <x v="2"/>
  </r>
  <r>
    <x v="13"/>
    <x v="33"/>
    <x v="97"/>
    <x v="7"/>
    <x v="37"/>
    <x v="16"/>
    <x v="22"/>
    <x v="0"/>
    <x v="2"/>
  </r>
  <r>
    <x v="14"/>
    <x v="16"/>
    <x v="99"/>
    <x v="6"/>
    <x v="76"/>
    <x v="42"/>
    <x v="59"/>
    <x v="0"/>
    <x v="2"/>
  </r>
  <r>
    <x v="14"/>
    <x v="57"/>
    <x v="101"/>
    <x v="7"/>
    <x v="35"/>
    <x v="18"/>
    <x v="18"/>
    <x v="0"/>
    <x v="2"/>
  </r>
  <r>
    <x v="14"/>
    <x v="54"/>
    <x v="100"/>
    <x v="2"/>
    <x v="123"/>
    <x v="70"/>
    <x v="95"/>
    <x v="0"/>
    <x v="2"/>
  </r>
  <r>
    <x v="15"/>
    <x v="58"/>
    <x v="104"/>
    <x v="7"/>
    <x v="25"/>
    <x v="20"/>
    <x v="7"/>
    <x v="0"/>
    <x v="2"/>
  </r>
  <r>
    <x v="15"/>
    <x v="6"/>
    <x v="102"/>
    <x v="6"/>
    <x v="82"/>
    <x v="54"/>
    <x v="58"/>
    <x v="0"/>
    <x v="2"/>
  </r>
  <r>
    <x v="15"/>
    <x v="56"/>
    <x v="103"/>
    <x v="2"/>
    <x v="112"/>
    <x v="68"/>
    <x v="87"/>
    <x v="0"/>
    <x v="2"/>
  </r>
  <r>
    <x v="15"/>
    <x v="112"/>
    <x v="25"/>
    <x v="1"/>
    <x v="10"/>
    <x v="7"/>
    <x v="11"/>
    <x v="0"/>
    <x v="1"/>
  </r>
  <r>
    <x v="15"/>
    <x v="111"/>
    <x v="24"/>
    <x v="5"/>
    <x v="11"/>
    <x v="9"/>
    <x v="10"/>
    <x v="0"/>
    <x v="1"/>
  </r>
  <r>
    <x v="15"/>
    <x v="98"/>
    <x v="23"/>
    <x v="2"/>
    <x v="69"/>
    <x v="72"/>
    <x v="38"/>
    <x v="0"/>
    <x v="4"/>
  </r>
  <r>
    <x v="16"/>
    <x v="59"/>
    <x v="107"/>
    <x v="7"/>
    <x v="25"/>
    <x v="20"/>
    <x v="7"/>
    <x v="0"/>
    <x v="2"/>
  </r>
  <r>
    <x v="16"/>
    <x v="58"/>
    <x v="106"/>
    <x v="2"/>
    <x v="106"/>
    <x v="71"/>
    <x v="78"/>
    <x v="0"/>
    <x v="2"/>
  </r>
  <r>
    <x v="16"/>
    <x v="19"/>
    <x v="105"/>
    <x v="6"/>
    <x v="78"/>
    <x v="49"/>
    <x v="57"/>
    <x v="0"/>
    <x v="2"/>
  </r>
  <r>
    <x v="16"/>
    <x v="110"/>
    <x v="29"/>
    <x v="5"/>
    <x v="15"/>
    <x v="8"/>
    <x v="16"/>
    <x v="0"/>
    <x v="1"/>
  </r>
  <r>
    <x v="16"/>
    <x v="109"/>
    <x v="28"/>
    <x v="1"/>
    <x v="7"/>
    <x v="6"/>
    <x v="4"/>
    <x v="0"/>
    <x v="1"/>
  </r>
  <r>
    <x v="16"/>
    <x v="88"/>
    <x v="27"/>
    <x v="8"/>
    <x v="54"/>
    <x v="38"/>
    <x v="2"/>
    <x v="0"/>
    <x v="5"/>
  </r>
  <r>
    <x v="16"/>
    <x v="88"/>
    <x v="26"/>
    <x v="8"/>
    <x v="51"/>
    <x v="24"/>
    <x v="33"/>
    <x v="0"/>
    <x v="5"/>
  </r>
  <r>
    <x v="17"/>
    <x v="59"/>
    <x v="110"/>
    <x v="7"/>
    <x v="30"/>
    <x v="19"/>
    <x v="12"/>
    <x v="0"/>
    <x v="2"/>
  </r>
  <r>
    <x v="17"/>
    <x v="43"/>
    <x v="109"/>
    <x v="2"/>
    <x v="113"/>
    <x v="69"/>
    <x v="87"/>
    <x v="0"/>
    <x v="2"/>
  </r>
  <r>
    <x v="17"/>
    <x v="20"/>
    <x v="108"/>
    <x v="6"/>
    <x v="68"/>
    <x v="47"/>
    <x v="54"/>
    <x v="0"/>
    <x v="2"/>
  </r>
  <r>
    <x v="17"/>
    <x v="107"/>
    <x v="32"/>
    <x v="1"/>
    <x v="9"/>
    <x v="5"/>
    <x v="15"/>
    <x v="0"/>
    <x v="1"/>
  </r>
  <r>
    <x v="17"/>
    <x v="80"/>
    <x v="31"/>
    <x v="8"/>
    <x v="49"/>
    <x v="34"/>
    <x v="2"/>
    <x v="0"/>
    <x v="5"/>
  </r>
  <r>
    <x v="17"/>
    <x v="80"/>
    <x v="30"/>
    <x v="8"/>
    <x v="47"/>
    <x v="25"/>
    <x v="29"/>
    <x v="0"/>
    <x v="5"/>
  </r>
  <r>
    <x v="18"/>
    <x v="17"/>
    <x v="111"/>
    <x v="6"/>
    <x v="84"/>
    <x v="54"/>
    <x v="60"/>
    <x v="0"/>
    <x v="2"/>
  </r>
  <r>
    <x v="18"/>
    <x v="53"/>
    <x v="112"/>
    <x v="7"/>
    <x v="24"/>
    <x v="19"/>
    <x v="7"/>
    <x v="0"/>
    <x v="2"/>
  </r>
  <r>
    <x v="18"/>
    <x v="55"/>
    <x v="113"/>
    <x v="2"/>
    <x v="107"/>
    <x v="60"/>
    <x v="82"/>
    <x v="0"/>
    <x v="2"/>
  </r>
  <r>
    <x v="18"/>
    <x v="89"/>
    <x v="2"/>
    <x v="2"/>
    <x v="66"/>
    <x v="73"/>
    <x v="35"/>
    <x v="0"/>
    <x v="3"/>
  </r>
  <r>
    <x v="18"/>
    <x v="114"/>
    <x v="33"/>
    <x v="5"/>
    <x v="8"/>
    <x v="8"/>
    <x v="5"/>
    <x v="0"/>
    <x v="1"/>
  </r>
  <r>
    <x v="18"/>
    <x v="115"/>
    <x v="34"/>
    <x v="1"/>
    <x v="5"/>
    <x v="5"/>
    <x v="6"/>
    <x v="0"/>
    <x v="1"/>
  </r>
  <r>
    <x v="19"/>
    <x v="61"/>
    <x v="116"/>
    <x v="2"/>
    <x v="119"/>
    <x v="58"/>
    <x v="93"/>
    <x v="0"/>
    <x v="2"/>
  </r>
  <r>
    <x v="19"/>
    <x v="57"/>
    <x v="115"/>
    <x v="7"/>
    <x v="27"/>
    <x v="19"/>
    <x v="9"/>
    <x v="0"/>
    <x v="2"/>
  </r>
  <r>
    <x v="19"/>
    <x v="15"/>
    <x v="114"/>
    <x v="6"/>
    <x v="80"/>
    <x v="50"/>
    <x v="60"/>
    <x v="0"/>
    <x v="2"/>
  </r>
  <r>
    <x v="20"/>
    <x v="27"/>
    <x v="118"/>
    <x v="7"/>
    <x v="34"/>
    <x v="18"/>
    <x v="17"/>
    <x v="0"/>
    <x v="2"/>
  </r>
  <r>
    <x v="20"/>
    <x v="95"/>
    <x v="120"/>
    <x v="3"/>
    <x v="3"/>
    <x v="0"/>
    <x v="12"/>
    <x v="0"/>
    <x v="2"/>
  </r>
  <r>
    <x v="20"/>
    <x v="35"/>
    <x v="119"/>
    <x v="2"/>
    <x v="101"/>
    <x v="65"/>
    <x v="76"/>
    <x v="0"/>
    <x v="2"/>
  </r>
  <r>
    <x v="20"/>
    <x v="2"/>
    <x v="117"/>
    <x v="6"/>
    <x v="75"/>
    <x v="44"/>
    <x v="57"/>
    <x v="0"/>
    <x v="2"/>
  </r>
  <r>
    <x v="19"/>
    <x v="83"/>
    <x v="35"/>
    <x v="8"/>
    <x v="45"/>
    <x v="25"/>
    <x v="27"/>
    <x v="0"/>
    <x v="5"/>
  </r>
  <r>
    <x v="21"/>
    <x v="57"/>
    <x v="123"/>
    <x v="2"/>
    <x v="109"/>
    <x v="62"/>
    <x v="85"/>
    <x v="0"/>
    <x v="2"/>
  </r>
  <r>
    <x v="21"/>
    <x v="26"/>
    <x v="121"/>
    <x v="6"/>
    <x v="62"/>
    <x v="42"/>
    <x v="51"/>
    <x v="0"/>
    <x v="2"/>
  </r>
  <r>
    <x v="21"/>
    <x v="55"/>
    <x v="122"/>
    <x v="7"/>
    <x v="30"/>
    <x v="19"/>
    <x v="12"/>
    <x v="0"/>
    <x v="2"/>
  </r>
  <r>
    <x v="21"/>
    <x v="90"/>
    <x v="36"/>
    <x v="2"/>
    <x v="70"/>
    <x v="60"/>
    <x v="43"/>
    <x v="0"/>
    <x v="4"/>
  </r>
  <r>
    <x v="21"/>
    <x v="91"/>
    <x v="124"/>
    <x v="3"/>
    <x v="2"/>
    <x v="1"/>
    <x v="10"/>
    <x v="0"/>
    <x v="2"/>
  </r>
  <r>
    <x v="21"/>
    <x v="116"/>
    <x v="37"/>
    <x v="5"/>
    <x v="15"/>
    <x v="12"/>
    <x v="9"/>
    <x v="0"/>
    <x v="1"/>
  </r>
  <r>
    <x v="22"/>
    <x v="57"/>
    <x v="127"/>
    <x v="7"/>
    <x v="30"/>
    <x v="19"/>
    <x v="12"/>
    <x v="0"/>
    <x v="2"/>
  </r>
  <r>
    <x v="22"/>
    <x v="23"/>
    <x v="125"/>
    <x v="6"/>
    <x v="61"/>
    <x v="42"/>
    <x v="50"/>
    <x v="0"/>
    <x v="2"/>
  </r>
  <r>
    <x v="22"/>
    <x v="52"/>
    <x v="126"/>
    <x v="2"/>
    <x v="106"/>
    <x v="70"/>
    <x v="79"/>
    <x v="0"/>
    <x v="2"/>
  </r>
  <r>
    <x v="22"/>
    <x v="81"/>
    <x v="38"/>
    <x v="0"/>
    <x v="86"/>
    <x v="77"/>
    <x v="39"/>
    <x v="0"/>
    <x v="4"/>
  </r>
  <r>
    <x v="23"/>
    <x v="28"/>
    <x v="128"/>
    <x v="6"/>
    <x v="87"/>
    <x v="47"/>
    <x v="64"/>
    <x v="0"/>
    <x v="2"/>
  </r>
  <r>
    <x v="23"/>
    <x v="47"/>
    <x v="129"/>
    <x v="2"/>
    <x v="100"/>
    <x v="74"/>
    <x v="73"/>
    <x v="0"/>
    <x v="2"/>
  </r>
  <r>
    <x v="23"/>
    <x v="56"/>
    <x v="130"/>
    <x v="7"/>
    <x v="30"/>
    <x v="20"/>
    <x v="11"/>
    <x v="0"/>
    <x v="2"/>
  </r>
  <r>
    <x v="23"/>
    <x v="94"/>
    <x v="41"/>
    <x v="8"/>
    <x v="57"/>
    <x v="29"/>
    <x v="40"/>
    <x v="0"/>
    <x v="5"/>
  </r>
  <r>
    <x v="23"/>
    <x v="73"/>
    <x v="40"/>
    <x v="8"/>
    <x v="56"/>
    <x v="25"/>
    <x v="36"/>
    <x v="0"/>
    <x v="5"/>
  </r>
  <r>
    <x v="22"/>
    <x v="87"/>
    <x v="39"/>
    <x v="1"/>
    <x v="4"/>
    <x v="4"/>
    <x v="7"/>
    <x v="0"/>
    <x v="1"/>
  </r>
  <r>
    <x v="23"/>
    <x v="113"/>
    <x v="42"/>
    <x v="5"/>
    <x v="12"/>
    <x v="11"/>
    <x v="7"/>
    <x v="0"/>
    <x v="1"/>
  </r>
  <r>
    <x v="24"/>
    <x v="1"/>
    <x v="131"/>
    <x v="6"/>
    <x v="60"/>
    <x v="54"/>
    <x v="48"/>
    <x v="0"/>
    <x v="2"/>
  </r>
  <r>
    <x v="24"/>
    <x v="53"/>
    <x v="132"/>
    <x v="7"/>
    <x v="23"/>
    <x v="15"/>
    <x v="8"/>
    <x v="0"/>
    <x v="2"/>
  </r>
  <r>
    <x v="24"/>
    <x v="56"/>
    <x v="133"/>
    <x v="2"/>
    <x v="99"/>
    <x v="76"/>
    <x v="70"/>
    <x v="0"/>
    <x v="2"/>
  </r>
  <r>
    <x v="24"/>
    <x v="67"/>
    <x v="134"/>
    <x v="0"/>
    <x v="122"/>
    <x v="56"/>
    <x v="98"/>
    <x v="0"/>
    <x v="0"/>
  </r>
  <r>
    <x v="24"/>
    <x v="102"/>
    <x v="44"/>
    <x v="8"/>
    <x v="45"/>
    <x v="33"/>
    <x v="1"/>
    <x v="0"/>
    <x v="5"/>
  </r>
  <r>
    <x v="24"/>
    <x v="101"/>
    <x v="43"/>
    <x v="8"/>
    <x v="44"/>
    <x v="27"/>
    <x v="26"/>
    <x v="0"/>
    <x v="5"/>
  </r>
  <r>
    <x v="24"/>
    <x v="112"/>
    <x v="45"/>
    <x v="5"/>
    <x v="20"/>
    <x v="11"/>
    <x v="20"/>
    <x v="0"/>
    <x v="1"/>
  </r>
  <r>
    <x v="24"/>
    <x v="117"/>
    <x v="46"/>
    <x v="1"/>
    <x v="6"/>
    <x v="4"/>
    <x v="8"/>
    <x v="0"/>
    <x v="1"/>
  </r>
  <r>
    <x v="25"/>
    <x v="13"/>
    <x v="135"/>
    <x v="6"/>
    <x v="75"/>
    <x v="41"/>
    <x v="60"/>
    <x v="0"/>
    <x v="2"/>
  </r>
  <r>
    <x v="25"/>
    <x v="49"/>
    <x v="136"/>
    <x v="2"/>
    <x v="125"/>
    <x v="75"/>
    <x v="96"/>
    <x v="0"/>
    <x v="2"/>
  </r>
  <r>
    <x v="25"/>
    <x v="60"/>
    <x v="137"/>
    <x v="7"/>
    <x v="24"/>
    <x v="19"/>
    <x v="7"/>
    <x v="0"/>
    <x v="2"/>
  </r>
  <r>
    <x v="26"/>
    <x v="14"/>
    <x v="138"/>
    <x v="6"/>
    <x v="72"/>
    <x v="40"/>
    <x v="56"/>
    <x v="0"/>
    <x v="2"/>
  </r>
  <r>
    <x v="26"/>
    <x v="0"/>
    <x v="139"/>
    <x v="2"/>
    <x v="102"/>
    <x v="63"/>
    <x v="77"/>
    <x v="0"/>
    <x v="2"/>
  </r>
  <r>
    <x v="26"/>
    <x v="64"/>
    <x v="140"/>
    <x v="7"/>
    <x v="29"/>
    <x v="18"/>
    <x v="12"/>
    <x v="0"/>
    <x v="2"/>
  </r>
  <r>
    <x v="27"/>
    <x v="5"/>
    <x v="141"/>
    <x v="6"/>
    <x v="90"/>
    <x v="54"/>
    <x v="67"/>
    <x v="0"/>
    <x v="2"/>
  </r>
  <r>
    <x v="27"/>
    <x v="21"/>
    <x v="142"/>
    <x v="2"/>
    <x v="104"/>
    <x v="63"/>
    <x v="80"/>
    <x v="0"/>
    <x v="2"/>
  </r>
  <r>
    <x v="27"/>
    <x v="35"/>
    <x v="143"/>
    <x v="7"/>
    <x v="32"/>
    <x v="20"/>
    <x v="14"/>
    <x v="0"/>
    <x v="2"/>
  </r>
  <r>
    <x v="28"/>
    <x v="3"/>
    <x v="144"/>
    <x v="6"/>
    <x v="63"/>
    <x v="55"/>
    <x v="49"/>
    <x v="0"/>
    <x v="2"/>
  </r>
  <r>
    <x v="28"/>
    <x v="44"/>
    <x v="145"/>
    <x v="2"/>
    <x v="98"/>
    <x v="63"/>
    <x v="71"/>
    <x v="0"/>
    <x v="2"/>
  </r>
  <r>
    <x v="28"/>
    <x v="59"/>
    <x v="146"/>
    <x v="7"/>
    <x v="36"/>
    <x v="22"/>
    <x v="15"/>
    <x v="0"/>
    <x v="2"/>
  </r>
  <r>
    <x v="25"/>
    <x v="95"/>
    <x v="49"/>
    <x v="8"/>
    <x v="53"/>
    <x v="37"/>
    <x v="2"/>
    <x v="0"/>
    <x v="5"/>
  </r>
  <r>
    <x v="25"/>
    <x v="95"/>
    <x v="48"/>
    <x v="8"/>
    <x v="50"/>
    <x v="25"/>
    <x v="31"/>
    <x v="0"/>
    <x v="5"/>
  </r>
  <r>
    <x v="25"/>
    <x v="68"/>
    <x v="47"/>
    <x v="4"/>
    <x v="69"/>
    <x v="57"/>
    <x v="44"/>
    <x v="0"/>
    <x v="5"/>
  </r>
  <r>
    <x v="28"/>
    <x v="85"/>
    <x v="52"/>
    <x v="8"/>
    <x v="45"/>
    <x v="31"/>
    <x v="3"/>
    <x v="0"/>
    <x v="5"/>
  </r>
  <r>
    <x v="28"/>
    <x v="85"/>
    <x v="51"/>
    <x v="8"/>
    <x v="42"/>
    <x v="26"/>
    <x v="25"/>
    <x v="0"/>
    <x v="5"/>
  </r>
  <r>
    <x v="28"/>
    <x v="109"/>
    <x v="53"/>
    <x v="1"/>
    <x v="10"/>
    <x v="6"/>
    <x v="12"/>
    <x v="0"/>
    <x v="1"/>
  </r>
  <r>
    <x v="28"/>
    <x v="76"/>
    <x v="147"/>
    <x v="3"/>
    <x v="2"/>
    <x v="3"/>
    <x v="8"/>
    <x v="0"/>
    <x v="2"/>
  </r>
  <r>
    <x v="28"/>
    <x v="100"/>
    <x v="148"/>
    <x v="3"/>
    <x v="0"/>
    <x v="2"/>
    <x v="7"/>
    <x v="0"/>
    <x v="2"/>
  </r>
  <r>
    <x v="28"/>
    <x v="79"/>
    <x v="3"/>
    <x v="2"/>
    <x v="73"/>
    <x v="73"/>
    <x v="41"/>
    <x v="0"/>
    <x v="3"/>
  </r>
  <r>
    <x v="29"/>
    <x v="4"/>
    <x v="149"/>
    <x v="6"/>
    <x v="85"/>
    <x v="52"/>
    <x v="62"/>
    <x v="0"/>
    <x v="2"/>
  </r>
  <r>
    <x v="29"/>
    <x v="37"/>
    <x v="150"/>
    <x v="2"/>
    <x v="110"/>
    <x v="70"/>
    <x v="83"/>
    <x v="0"/>
    <x v="2"/>
  </r>
  <r>
    <x v="29"/>
    <x v="55"/>
    <x v="151"/>
    <x v="7"/>
    <x v="26"/>
    <x v="21"/>
    <x v="7"/>
    <x v="0"/>
    <x v="2"/>
  </r>
  <r>
    <x v="29"/>
    <x v="71"/>
    <x v="152"/>
    <x v="8"/>
    <x v="58"/>
    <x v="23"/>
    <x v="53"/>
    <x v="0"/>
    <x v="0"/>
  </r>
  <r>
    <x v="29"/>
    <x v="74"/>
    <x v="153"/>
    <x v="8"/>
    <x v="59"/>
    <x v="24"/>
    <x v="55"/>
    <x v="0"/>
    <x v="0"/>
  </r>
  <r>
    <x v="29"/>
    <x v="75"/>
    <x v="154"/>
    <x v="3"/>
    <x v="1"/>
    <x v="2"/>
    <x v="8"/>
    <x v="0"/>
    <x v="2"/>
  </r>
  <r>
    <x v="29"/>
    <x v="108"/>
    <x v="54"/>
    <x v="5"/>
    <x v="23"/>
    <x v="10"/>
    <x v="33"/>
    <x v="0"/>
    <x v="1"/>
  </r>
  <r>
    <x v="25"/>
    <x v="107"/>
    <x v="50"/>
    <x v="5"/>
    <x v="19"/>
    <x v="11"/>
    <x v="19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4" firstHeaderRow="1" firstDataRow="2" firstDataCol="1" rowPageCount="1" colPageCount="1"/>
  <pivotFields count="9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44501</v>
      </c>
      <c r="B2" s="6" t="n">
        <v>0.222916666666667</v>
      </c>
      <c r="C2" s="7" t="n">
        <v>145781</v>
      </c>
      <c r="D2" s="7" t="s">
        <v>10</v>
      </c>
      <c r="E2" s="7" t="n">
        <v>4820</v>
      </c>
      <c r="F2" s="7" t="n">
        <v>3760</v>
      </c>
      <c r="G2" s="8" t="n">
        <v>1060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44501</v>
      </c>
      <c r="B3" s="6" t="n">
        <v>0.129861111111111</v>
      </c>
      <c r="C3" s="7" t="n">
        <v>145774</v>
      </c>
      <c r="D3" s="7" t="s">
        <v>14</v>
      </c>
      <c r="E3" s="7" t="n">
        <v>19920</v>
      </c>
      <c r="F3" s="7" t="n">
        <v>12780</v>
      </c>
      <c r="G3" s="8" t="n">
        <v>7140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44501</v>
      </c>
      <c r="B4" s="6" t="n">
        <v>0.221527777777778</v>
      </c>
      <c r="C4" s="7" t="n">
        <v>145780</v>
      </c>
      <c r="D4" s="7" t="s">
        <v>15</v>
      </c>
      <c r="E4" s="7" t="n">
        <v>26540</v>
      </c>
      <c r="F4" s="7" t="n">
        <v>15780</v>
      </c>
      <c r="G4" s="8" t="n">
        <v>10760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44502</v>
      </c>
      <c r="B5" s="6" t="n">
        <v>0.150694444444444</v>
      </c>
      <c r="C5" s="7" t="n">
        <v>145815</v>
      </c>
      <c r="D5" s="7" t="s">
        <v>14</v>
      </c>
      <c r="E5" s="7" t="n">
        <v>19880</v>
      </c>
      <c r="F5" s="7" t="n">
        <v>12720</v>
      </c>
      <c r="G5" s="8" t="n">
        <v>7160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44502</v>
      </c>
      <c r="B6" s="6" t="n">
        <v>0.258333333333333</v>
      </c>
      <c r="C6" s="7" t="n">
        <v>145823</v>
      </c>
      <c r="D6" s="7" t="s">
        <v>10</v>
      </c>
      <c r="E6" s="7" t="n">
        <v>4660</v>
      </c>
      <c r="F6" s="7" t="n">
        <v>3760</v>
      </c>
      <c r="G6" s="8" t="n">
        <v>900</v>
      </c>
      <c r="H6" s="7" t="s">
        <v>11</v>
      </c>
      <c r="I6" s="7" t="s">
        <v>12</v>
      </c>
      <c r="J6" s="0" t="s">
        <v>13</v>
      </c>
    </row>
    <row r="7" customFormat="false" ht="15" hidden="false" customHeight="false" outlineLevel="0" collapsed="false">
      <c r="A7" s="5" t="n">
        <v>44502</v>
      </c>
      <c r="B7" s="6" t="n">
        <v>0.240277777777778</v>
      </c>
      <c r="C7" s="7" t="n">
        <v>145822</v>
      </c>
      <c r="D7" s="7" t="s">
        <v>15</v>
      </c>
      <c r="E7" s="7" t="n">
        <v>27860</v>
      </c>
      <c r="F7" s="7" t="n">
        <v>15820</v>
      </c>
      <c r="G7" s="8" t="n">
        <v>12040</v>
      </c>
      <c r="H7" s="7" t="s">
        <v>11</v>
      </c>
      <c r="I7" s="7" t="s">
        <v>12</v>
      </c>
      <c r="J7" s="0" t="s">
        <v>13</v>
      </c>
    </row>
    <row r="8" customFormat="false" ht="15" hidden="false" customHeight="false" outlineLevel="0" collapsed="false">
      <c r="A8" s="5" t="n">
        <v>44503</v>
      </c>
      <c r="B8" s="6" t="n">
        <v>0.136111111111111</v>
      </c>
      <c r="C8" s="7" t="n">
        <v>145860</v>
      </c>
      <c r="D8" s="7" t="s">
        <v>14</v>
      </c>
      <c r="E8" s="7" t="n">
        <v>18660</v>
      </c>
      <c r="F8" s="7" t="n">
        <v>12700</v>
      </c>
      <c r="G8" s="8" t="n">
        <v>5960</v>
      </c>
      <c r="H8" s="7" t="s">
        <v>11</v>
      </c>
      <c r="I8" s="7" t="s">
        <v>12</v>
      </c>
      <c r="J8" s="0" t="s">
        <v>13</v>
      </c>
    </row>
    <row r="9" customFormat="false" ht="15" hidden="false" customHeight="false" outlineLevel="0" collapsed="false">
      <c r="A9" s="5" t="n">
        <v>44502</v>
      </c>
      <c r="B9" s="6" t="n">
        <v>0.463194444444444</v>
      </c>
      <c r="C9" s="7" t="n">
        <v>145837</v>
      </c>
      <c r="D9" s="7" t="s">
        <v>16</v>
      </c>
      <c r="E9" s="7" t="n">
        <v>3320</v>
      </c>
      <c r="F9" s="7" t="n">
        <v>2860</v>
      </c>
      <c r="G9" s="8" t="n">
        <v>460</v>
      </c>
      <c r="H9" s="7" t="s">
        <v>11</v>
      </c>
      <c r="I9" s="7" t="s">
        <v>12</v>
      </c>
      <c r="J9" s="0" t="s">
        <v>13</v>
      </c>
    </row>
    <row r="10" customFormat="false" ht="15" hidden="false" customHeight="false" outlineLevel="0" collapsed="false">
      <c r="A10" s="5" t="n">
        <v>44503</v>
      </c>
      <c r="B10" s="6" t="n">
        <v>0.25</v>
      </c>
      <c r="C10" s="7" t="n">
        <v>145866</v>
      </c>
      <c r="D10" s="7" t="s">
        <v>15</v>
      </c>
      <c r="E10" s="7" t="n">
        <v>25220</v>
      </c>
      <c r="F10" s="7" t="n">
        <v>15700</v>
      </c>
      <c r="G10" s="8" t="n">
        <v>9520</v>
      </c>
      <c r="H10" s="7" t="s">
        <v>11</v>
      </c>
      <c r="I10" s="7" t="s">
        <v>12</v>
      </c>
      <c r="J10" s="0" t="s">
        <v>13</v>
      </c>
    </row>
    <row r="11" customFormat="false" ht="15" hidden="false" customHeight="false" outlineLevel="0" collapsed="false">
      <c r="A11" s="5" t="n">
        <v>44503</v>
      </c>
      <c r="B11" s="6" t="n">
        <v>0.211805555555556</v>
      </c>
      <c r="C11" s="7" t="n">
        <v>145865</v>
      </c>
      <c r="D11" s="7" t="s">
        <v>10</v>
      </c>
      <c r="E11" s="7" t="n">
        <v>4240</v>
      </c>
      <c r="F11" s="7" t="n">
        <v>3720</v>
      </c>
      <c r="G11" s="8" t="n">
        <v>520</v>
      </c>
      <c r="H11" s="7" t="s">
        <v>11</v>
      </c>
      <c r="I11" s="7" t="s">
        <v>12</v>
      </c>
      <c r="J11" s="0" t="s">
        <v>13</v>
      </c>
    </row>
    <row r="12" customFormat="false" ht="15" hidden="false" customHeight="false" outlineLevel="0" collapsed="false">
      <c r="A12" s="5" t="n">
        <v>44503</v>
      </c>
      <c r="B12" s="6" t="n">
        <v>0.529861111111111</v>
      </c>
      <c r="C12" s="7" t="n">
        <v>128605</v>
      </c>
      <c r="D12" s="7" t="s">
        <v>17</v>
      </c>
      <c r="E12" s="7" t="n">
        <v>6200</v>
      </c>
      <c r="F12" s="7" t="n">
        <v>5660</v>
      </c>
      <c r="G12" s="8" t="n">
        <v>540</v>
      </c>
      <c r="H12" s="7" t="s">
        <v>11</v>
      </c>
      <c r="I12" s="7" t="s">
        <v>18</v>
      </c>
      <c r="J12" s="0" t="s">
        <v>13</v>
      </c>
    </row>
    <row r="13" customFormat="false" ht="13.8" hidden="false" customHeight="false" outlineLevel="0" collapsed="false">
      <c r="A13" s="5" t="n">
        <v>44503</v>
      </c>
      <c r="B13" s="6" t="n">
        <v>0.438194444444444</v>
      </c>
      <c r="C13" s="7" t="n">
        <v>128580</v>
      </c>
      <c r="D13" s="7" t="s">
        <v>17</v>
      </c>
      <c r="E13" s="7" t="n">
        <v>6720</v>
      </c>
      <c r="F13" s="7" t="n">
        <v>6700</v>
      </c>
      <c r="G13" s="8" t="n">
        <v>20</v>
      </c>
      <c r="H13" s="7" t="s">
        <v>11</v>
      </c>
      <c r="I13" s="7" t="s">
        <v>18</v>
      </c>
      <c r="J13" s="0" t="s">
        <v>13</v>
      </c>
    </row>
    <row r="14" customFormat="false" ht="13.8" hidden="false" customHeight="false" outlineLevel="0" collapsed="false">
      <c r="A14" s="5" t="n">
        <v>44503</v>
      </c>
      <c r="B14" s="6" t="n">
        <v>0.438194444444444</v>
      </c>
      <c r="C14" s="7" t="n">
        <v>128579</v>
      </c>
      <c r="D14" s="7" t="s">
        <v>17</v>
      </c>
      <c r="E14" s="7" t="n">
        <v>6700</v>
      </c>
      <c r="F14" s="7" t="n">
        <v>5580</v>
      </c>
      <c r="G14" s="8" t="n">
        <v>1120</v>
      </c>
      <c r="H14" s="7" t="s">
        <v>11</v>
      </c>
      <c r="I14" s="7" t="s">
        <v>18</v>
      </c>
      <c r="J14" s="0" t="s">
        <v>13</v>
      </c>
    </row>
    <row r="15" customFormat="false" ht="13.8" hidden="false" customHeight="false" outlineLevel="0" collapsed="false">
      <c r="A15" s="5" t="n">
        <v>44504</v>
      </c>
      <c r="B15" s="6" t="n">
        <v>0.219444444444444</v>
      </c>
      <c r="C15" s="7" t="n">
        <v>145911</v>
      </c>
      <c r="D15" s="7" t="s">
        <v>10</v>
      </c>
      <c r="E15" s="7" t="n">
        <v>4240</v>
      </c>
      <c r="F15" s="7" t="n">
        <v>3780</v>
      </c>
      <c r="G15" s="8" t="n">
        <v>460</v>
      </c>
      <c r="H15" s="7" t="s">
        <v>11</v>
      </c>
      <c r="I15" s="7" t="s">
        <v>12</v>
      </c>
      <c r="J15" s="0" t="s">
        <v>13</v>
      </c>
    </row>
    <row r="16" customFormat="false" ht="13.8" hidden="false" customHeight="false" outlineLevel="0" collapsed="false">
      <c r="A16" s="5" t="n">
        <v>44504</v>
      </c>
      <c r="B16" s="6" t="n">
        <v>0.136805555555556</v>
      </c>
      <c r="C16" s="7" t="n">
        <v>145904</v>
      </c>
      <c r="D16" s="7" t="s">
        <v>14</v>
      </c>
      <c r="E16" s="7" t="n">
        <v>17900</v>
      </c>
      <c r="F16" s="7" t="n">
        <v>12800</v>
      </c>
      <c r="G16" s="8" t="n">
        <v>5100</v>
      </c>
      <c r="H16" s="7" t="s">
        <v>11</v>
      </c>
      <c r="I16" s="7" t="s">
        <v>12</v>
      </c>
      <c r="J16" s="0" t="s">
        <v>13</v>
      </c>
    </row>
    <row r="17" customFormat="false" ht="13.8" hidden="false" customHeight="false" outlineLevel="0" collapsed="false">
      <c r="A17" s="5" t="n">
        <v>44504</v>
      </c>
      <c r="B17" s="6" t="n">
        <v>0.240277777777778</v>
      </c>
      <c r="C17" s="7" t="n">
        <v>145912</v>
      </c>
      <c r="D17" s="7" t="s">
        <v>15</v>
      </c>
      <c r="E17" s="7" t="n">
        <v>25240</v>
      </c>
      <c r="F17" s="7" t="n">
        <v>15780</v>
      </c>
      <c r="G17" s="8" t="n">
        <v>9460</v>
      </c>
      <c r="H17" s="7" t="s">
        <v>11</v>
      </c>
      <c r="I17" s="7" t="s">
        <v>12</v>
      </c>
      <c r="J17" s="0" t="s">
        <v>13</v>
      </c>
    </row>
    <row r="18" customFormat="false" ht="13.8" hidden="false" customHeight="false" outlineLevel="0" collapsed="false">
      <c r="A18" s="5" t="n">
        <v>44504</v>
      </c>
      <c r="B18" s="6" t="n">
        <v>0.468055555555555</v>
      </c>
      <c r="C18" s="7" t="n">
        <v>128681</v>
      </c>
      <c r="D18" s="7" t="s">
        <v>16</v>
      </c>
      <c r="E18" s="7" t="n">
        <v>3440</v>
      </c>
      <c r="F18" s="7" t="n">
        <v>3420</v>
      </c>
      <c r="G18" s="8" t="n">
        <v>20</v>
      </c>
      <c r="H18" s="7" t="s">
        <v>11</v>
      </c>
      <c r="I18" s="7" t="s">
        <v>18</v>
      </c>
      <c r="J18" s="0" t="s">
        <v>13</v>
      </c>
    </row>
    <row r="19" customFormat="false" ht="13.8" hidden="false" customHeight="false" outlineLevel="0" collapsed="false">
      <c r="A19" s="5" t="n">
        <v>44504</v>
      </c>
      <c r="B19" s="6" t="n">
        <v>0.468055555555555</v>
      </c>
      <c r="C19" s="7" t="n">
        <v>128680</v>
      </c>
      <c r="D19" s="7" t="s">
        <v>16</v>
      </c>
      <c r="E19" s="7" t="n">
        <v>3420</v>
      </c>
      <c r="F19" s="7" t="n">
        <v>2840</v>
      </c>
      <c r="G19" s="8" t="n">
        <v>580</v>
      </c>
      <c r="H19" s="7" t="s">
        <v>11</v>
      </c>
      <c r="I19" s="7" t="s">
        <v>18</v>
      </c>
      <c r="J19" s="0" t="s">
        <v>13</v>
      </c>
    </row>
    <row r="20" customFormat="false" ht="13.8" hidden="false" customHeight="false" outlineLevel="0" collapsed="false">
      <c r="A20" s="5" t="n">
        <v>44504</v>
      </c>
      <c r="B20" s="6" t="n">
        <v>0.333333333333333</v>
      </c>
      <c r="C20" s="7" t="n">
        <v>128637</v>
      </c>
      <c r="D20" s="7" t="s">
        <v>16</v>
      </c>
      <c r="E20" s="7" t="n">
        <v>3800</v>
      </c>
      <c r="F20" s="7" t="n">
        <v>2840</v>
      </c>
      <c r="G20" s="8" t="n">
        <v>960</v>
      </c>
      <c r="H20" s="7" t="s">
        <v>11</v>
      </c>
      <c r="I20" s="7" t="s">
        <v>18</v>
      </c>
      <c r="J20" s="0" t="s">
        <v>13</v>
      </c>
    </row>
    <row r="21" customFormat="false" ht="13.8" hidden="false" customHeight="false" outlineLevel="0" collapsed="false">
      <c r="A21" s="5" t="n">
        <v>44504</v>
      </c>
      <c r="B21" s="6" t="n">
        <v>0.516666666666667</v>
      </c>
      <c r="C21" s="7" t="n">
        <v>128692</v>
      </c>
      <c r="D21" s="7" t="s">
        <v>15</v>
      </c>
      <c r="E21" s="7" t="n">
        <v>17680</v>
      </c>
      <c r="F21" s="7" t="n">
        <v>15720</v>
      </c>
      <c r="G21" s="8" t="n">
        <v>1960</v>
      </c>
      <c r="H21" s="7" t="s">
        <v>11</v>
      </c>
      <c r="I21" s="7" t="s">
        <v>19</v>
      </c>
      <c r="J21" s="0" t="s">
        <v>13</v>
      </c>
    </row>
    <row r="22" customFormat="false" ht="13.8" hidden="false" customHeight="false" outlineLevel="0" collapsed="false">
      <c r="A22" s="5" t="n">
        <v>44505</v>
      </c>
      <c r="B22" s="6" t="n">
        <v>0.294444444444444</v>
      </c>
      <c r="C22" s="7" t="n">
        <v>145949</v>
      </c>
      <c r="D22" s="7" t="s">
        <v>14</v>
      </c>
      <c r="E22" s="7" t="n">
        <v>18180</v>
      </c>
      <c r="F22" s="7" t="n">
        <v>12740</v>
      </c>
      <c r="G22" s="8" t="n">
        <v>5440</v>
      </c>
      <c r="H22" s="7" t="s">
        <v>11</v>
      </c>
      <c r="I22" s="7" t="s">
        <v>12</v>
      </c>
      <c r="J22" s="0" t="s">
        <v>13</v>
      </c>
    </row>
    <row r="23" customFormat="false" ht="13.8" hidden="false" customHeight="false" outlineLevel="0" collapsed="false">
      <c r="A23" s="5" t="n">
        <v>44505</v>
      </c>
      <c r="B23" s="6" t="n">
        <v>0.209027777777778</v>
      </c>
      <c r="C23" s="7" t="n">
        <v>145943</v>
      </c>
      <c r="D23" s="7" t="s">
        <v>10</v>
      </c>
      <c r="E23" s="7" t="n">
        <v>4380</v>
      </c>
      <c r="F23" s="7" t="n">
        <v>3700</v>
      </c>
      <c r="G23" s="8" t="n">
        <v>680</v>
      </c>
      <c r="H23" s="7" t="s">
        <v>11</v>
      </c>
      <c r="I23" s="7" t="s">
        <v>12</v>
      </c>
      <c r="J23" s="0" t="s">
        <v>13</v>
      </c>
    </row>
    <row r="24" customFormat="false" ht="13.8" hidden="false" customHeight="false" outlineLevel="0" collapsed="false">
      <c r="A24" s="5" t="n">
        <v>44505</v>
      </c>
      <c r="B24" s="6" t="n">
        <v>0.295833333333333</v>
      </c>
      <c r="C24" s="7" t="n">
        <v>145950</v>
      </c>
      <c r="D24" s="7" t="s">
        <v>15</v>
      </c>
      <c r="E24" s="7" t="n">
        <v>23280</v>
      </c>
      <c r="F24" s="7" t="n">
        <v>15760</v>
      </c>
      <c r="G24" s="8" t="n">
        <v>7520</v>
      </c>
      <c r="H24" s="7" t="s">
        <v>11</v>
      </c>
      <c r="I24" s="7" t="s">
        <v>12</v>
      </c>
      <c r="J24" s="0" t="s">
        <v>13</v>
      </c>
    </row>
    <row r="25" customFormat="false" ht="13.8" hidden="false" customHeight="false" outlineLevel="0" collapsed="false">
      <c r="A25" s="5" t="n">
        <v>44505</v>
      </c>
      <c r="B25" s="6" t="n">
        <v>0.474305555555556</v>
      </c>
      <c r="C25" s="7" t="n">
        <v>2259</v>
      </c>
      <c r="D25" s="7" t="s">
        <v>15</v>
      </c>
      <c r="E25" s="7" t="n">
        <v>18040</v>
      </c>
      <c r="F25" s="7" t="n">
        <v>16000</v>
      </c>
      <c r="G25" s="8" t="n">
        <v>2040</v>
      </c>
      <c r="H25" s="7" t="s">
        <v>11</v>
      </c>
      <c r="I25" s="7" t="s">
        <v>20</v>
      </c>
      <c r="J25" s="0" t="s">
        <v>13</v>
      </c>
    </row>
    <row r="26" customFormat="false" ht="13.8" hidden="false" customHeight="false" outlineLevel="0" collapsed="false">
      <c r="A26" s="5" t="n">
        <v>44506</v>
      </c>
      <c r="B26" s="6" t="n">
        <v>0.227083333333333</v>
      </c>
      <c r="C26" s="7" t="n">
        <v>145985</v>
      </c>
      <c r="D26" s="7" t="s">
        <v>15</v>
      </c>
      <c r="E26" s="7" t="n">
        <v>25940</v>
      </c>
      <c r="F26" s="7" t="n">
        <v>15780</v>
      </c>
      <c r="G26" s="8" t="n">
        <v>10160</v>
      </c>
      <c r="H26" s="7" t="s">
        <v>11</v>
      </c>
      <c r="I26" s="7" t="s">
        <v>12</v>
      </c>
      <c r="J26" s="0" t="s">
        <v>13</v>
      </c>
    </row>
    <row r="27" customFormat="false" ht="13.8" hidden="false" customHeight="false" outlineLevel="0" collapsed="false">
      <c r="A27" s="5" t="n">
        <v>44506</v>
      </c>
      <c r="B27" s="6" t="n">
        <v>0.210416666666667</v>
      </c>
      <c r="C27" s="7" t="n">
        <v>145984</v>
      </c>
      <c r="D27" s="7" t="s">
        <v>10</v>
      </c>
      <c r="E27" s="7" t="n">
        <v>4140</v>
      </c>
      <c r="F27" s="7" t="n">
        <v>3660</v>
      </c>
      <c r="G27" s="8" t="n">
        <v>480</v>
      </c>
      <c r="H27" s="7" t="s">
        <v>11</v>
      </c>
      <c r="I27" s="7" t="s">
        <v>12</v>
      </c>
      <c r="J27" s="0" t="s">
        <v>13</v>
      </c>
    </row>
    <row r="28" customFormat="false" ht="13.8" hidden="false" customHeight="false" outlineLevel="0" collapsed="false">
      <c r="A28" s="5" t="n">
        <v>44506</v>
      </c>
      <c r="B28" s="6" t="n">
        <v>0.228472222222222</v>
      </c>
      <c r="C28" s="7" t="n">
        <v>145986</v>
      </c>
      <c r="D28" s="7" t="s">
        <v>14</v>
      </c>
      <c r="E28" s="7" t="n">
        <v>18520</v>
      </c>
      <c r="F28" s="7" t="n">
        <v>12700</v>
      </c>
      <c r="G28" s="8" t="n">
        <v>5820</v>
      </c>
      <c r="H28" s="7" t="s">
        <v>11</v>
      </c>
      <c r="I28" s="7" t="s">
        <v>12</v>
      </c>
      <c r="J28" s="0" t="s">
        <v>13</v>
      </c>
    </row>
    <row r="29" customFormat="false" ht="13.8" hidden="false" customHeight="false" outlineLevel="0" collapsed="false">
      <c r="A29" s="5" t="n">
        <v>44507</v>
      </c>
      <c r="B29" s="6" t="n">
        <v>0.213888888888889</v>
      </c>
      <c r="C29" s="7" t="n">
        <v>146003</v>
      </c>
      <c r="D29" s="7" t="s">
        <v>10</v>
      </c>
      <c r="E29" s="7" t="n">
        <v>4260</v>
      </c>
      <c r="F29" s="7" t="n">
        <v>3760</v>
      </c>
      <c r="G29" s="8" t="n">
        <v>500</v>
      </c>
      <c r="H29" s="7" t="s">
        <v>11</v>
      </c>
      <c r="I29" s="7" t="s">
        <v>12</v>
      </c>
      <c r="J29" s="0" t="s">
        <v>13</v>
      </c>
    </row>
    <row r="30" customFormat="false" ht="13.8" hidden="false" customHeight="false" outlineLevel="0" collapsed="false">
      <c r="A30" s="5" t="n">
        <v>44507</v>
      </c>
      <c r="B30" s="6" t="n">
        <v>0.230555555555556</v>
      </c>
      <c r="C30" s="7" t="n">
        <v>146004</v>
      </c>
      <c r="D30" s="7" t="s">
        <v>15</v>
      </c>
      <c r="E30" s="7" t="n">
        <v>24600</v>
      </c>
      <c r="F30" s="7" t="n">
        <v>15680</v>
      </c>
      <c r="G30" s="8" t="n">
        <v>8920</v>
      </c>
      <c r="H30" s="7" t="s">
        <v>11</v>
      </c>
      <c r="I30" s="7" t="s">
        <v>12</v>
      </c>
      <c r="J30" s="0" t="s">
        <v>13</v>
      </c>
    </row>
    <row r="31" customFormat="false" ht="13.8" hidden="false" customHeight="false" outlineLevel="0" collapsed="false">
      <c r="A31" s="5" t="n">
        <v>44508</v>
      </c>
      <c r="B31" s="6" t="n">
        <v>0.227083333333333</v>
      </c>
      <c r="C31" s="7" t="n">
        <v>146020</v>
      </c>
      <c r="D31" s="7" t="s">
        <v>14</v>
      </c>
      <c r="E31" s="7" t="n">
        <v>17040</v>
      </c>
      <c r="F31" s="7" t="n">
        <v>12780</v>
      </c>
      <c r="G31" s="8" t="n">
        <v>4260</v>
      </c>
      <c r="H31" s="7" t="s">
        <v>11</v>
      </c>
      <c r="I31" s="7" t="s">
        <v>12</v>
      </c>
      <c r="J31" s="0" t="s">
        <v>13</v>
      </c>
    </row>
    <row r="32" customFormat="false" ht="13.8" hidden="false" customHeight="false" outlineLevel="0" collapsed="false">
      <c r="A32" s="5" t="n">
        <v>44507</v>
      </c>
      <c r="B32" s="6" t="n">
        <v>0.529166666666667</v>
      </c>
      <c r="C32" s="7" t="n">
        <v>146006</v>
      </c>
      <c r="D32" s="7" t="s">
        <v>16</v>
      </c>
      <c r="E32" s="7" t="n">
        <v>3860</v>
      </c>
      <c r="F32" s="7" t="n">
        <v>2840</v>
      </c>
      <c r="G32" s="8" t="n">
        <v>1020</v>
      </c>
      <c r="H32" s="7" t="s">
        <v>11</v>
      </c>
      <c r="I32" s="7" t="s">
        <v>12</v>
      </c>
      <c r="J32" s="0" t="s">
        <v>13</v>
      </c>
    </row>
    <row r="33" customFormat="false" ht="13.8" hidden="false" customHeight="false" outlineLevel="0" collapsed="false">
      <c r="A33" s="5" t="n">
        <v>44507</v>
      </c>
      <c r="B33" s="6" t="n">
        <v>0.120138888888889</v>
      </c>
      <c r="C33" s="7" t="n">
        <v>146000</v>
      </c>
      <c r="D33" s="7" t="s">
        <v>14</v>
      </c>
      <c r="E33" s="7" t="n">
        <v>19280</v>
      </c>
      <c r="F33" s="7" t="n">
        <v>12840</v>
      </c>
      <c r="G33" s="8" t="n">
        <v>6440</v>
      </c>
      <c r="H33" s="7" t="s">
        <v>11</v>
      </c>
      <c r="I33" s="7" t="s">
        <v>12</v>
      </c>
      <c r="J33" s="0" t="s">
        <v>13</v>
      </c>
    </row>
    <row r="34" customFormat="false" ht="13.8" hidden="false" customHeight="false" outlineLevel="0" collapsed="false">
      <c r="A34" s="5" t="n">
        <v>44508</v>
      </c>
      <c r="B34" s="6" t="n">
        <v>0.217361111111111</v>
      </c>
      <c r="C34" s="7" t="n">
        <v>146019</v>
      </c>
      <c r="D34" s="7" t="s">
        <v>10</v>
      </c>
      <c r="E34" s="7" t="n">
        <v>4220</v>
      </c>
      <c r="F34" s="7" t="n">
        <v>3700</v>
      </c>
      <c r="G34" s="8" t="n">
        <v>520</v>
      </c>
      <c r="H34" s="7" t="s">
        <v>11</v>
      </c>
      <c r="I34" s="7" t="s">
        <v>12</v>
      </c>
      <c r="J34" s="0" t="s">
        <v>13</v>
      </c>
    </row>
    <row r="35" customFormat="false" ht="13.8" hidden="false" customHeight="false" outlineLevel="0" collapsed="false">
      <c r="A35" s="5" t="n">
        <v>44509</v>
      </c>
      <c r="B35" s="6" t="n">
        <v>0.184722222222222</v>
      </c>
      <c r="C35" s="7" t="n">
        <v>146069</v>
      </c>
      <c r="D35" s="7" t="s">
        <v>14</v>
      </c>
      <c r="E35" s="7" t="n">
        <v>18100</v>
      </c>
      <c r="F35" s="7" t="n">
        <v>12740</v>
      </c>
      <c r="G35" s="8" t="n">
        <v>5360</v>
      </c>
      <c r="H35" s="7" t="s">
        <v>11</v>
      </c>
      <c r="I35" s="7" t="s">
        <v>12</v>
      </c>
      <c r="J35" s="0" t="s">
        <v>13</v>
      </c>
    </row>
    <row r="36" customFormat="false" ht="13.8" hidden="false" customHeight="false" outlineLevel="0" collapsed="false">
      <c r="A36" s="5" t="n">
        <v>44509</v>
      </c>
      <c r="B36" s="6" t="n">
        <v>0.259722222222222</v>
      </c>
      <c r="C36" s="7" t="n">
        <v>146073</v>
      </c>
      <c r="D36" s="7" t="s">
        <v>10</v>
      </c>
      <c r="E36" s="7" t="n">
        <v>4080</v>
      </c>
      <c r="F36" s="7" t="n">
        <v>3780</v>
      </c>
      <c r="G36" s="8" t="n">
        <v>300</v>
      </c>
      <c r="H36" s="7" t="s">
        <v>11</v>
      </c>
      <c r="I36" s="7" t="s">
        <v>12</v>
      </c>
      <c r="J36" s="0" t="s">
        <v>13</v>
      </c>
    </row>
    <row r="37" customFormat="false" ht="13.8" hidden="false" customHeight="false" outlineLevel="0" collapsed="false">
      <c r="A37" s="5" t="n">
        <v>44509</v>
      </c>
      <c r="B37" s="6" t="n">
        <v>0.232638888888889</v>
      </c>
      <c r="C37" s="7" t="n">
        <v>146070</v>
      </c>
      <c r="D37" s="7" t="s">
        <v>15</v>
      </c>
      <c r="E37" s="7" t="n">
        <v>23920</v>
      </c>
      <c r="F37" s="7" t="n">
        <v>15720</v>
      </c>
      <c r="G37" s="8" t="n">
        <v>8200</v>
      </c>
      <c r="H37" s="7" t="s">
        <v>11</v>
      </c>
      <c r="I37" s="7" t="s">
        <v>12</v>
      </c>
      <c r="J37" s="0" t="s">
        <v>13</v>
      </c>
    </row>
    <row r="38" customFormat="false" ht="13.8" hidden="false" customHeight="false" outlineLevel="0" collapsed="false">
      <c r="A38" s="5" t="n">
        <v>44508</v>
      </c>
      <c r="B38" s="6" t="n">
        <v>0.534027777777778</v>
      </c>
      <c r="C38" s="7" t="n">
        <v>146051</v>
      </c>
      <c r="D38" s="7" t="s">
        <v>15</v>
      </c>
      <c r="E38" s="7" t="n">
        <v>25600</v>
      </c>
      <c r="F38" s="7" t="n">
        <v>15800</v>
      </c>
      <c r="G38" s="8" t="n">
        <v>9800</v>
      </c>
      <c r="H38" s="7" t="s">
        <v>11</v>
      </c>
      <c r="I38" s="7" t="s">
        <v>12</v>
      </c>
      <c r="J38" s="0" t="s">
        <v>13</v>
      </c>
    </row>
    <row r="39" customFormat="false" ht="13.8" hidden="false" customHeight="false" outlineLevel="0" collapsed="false">
      <c r="A39" s="5" t="n">
        <v>44509</v>
      </c>
      <c r="B39" s="6" t="n">
        <v>0.522916666666667</v>
      </c>
      <c r="C39" s="7" t="n">
        <v>128968</v>
      </c>
      <c r="D39" s="7" t="s">
        <v>17</v>
      </c>
      <c r="E39" s="7" t="n">
        <v>6400</v>
      </c>
      <c r="F39" s="7" t="n">
        <v>6320</v>
      </c>
      <c r="G39" s="8" t="n">
        <v>80</v>
      </c>
      <c r="H39" s="7" t="s">
        <v>11</v>
      </c>
      <c r="I39" s="7" t="s">
        <v>18</v>
      </c>
      <c r="J39" s="0" t="s">
        <v>13</v>
      </c>
    </row>
    <row r="40" customFormat="false" ht="13.8" hidden="false" customHeight="false" outlineLevel="0" collapsed="false">
      <c r="A40" s="5" t="n">
        <v>44509</v>
      </c>
      <c r="B40" s="6" t="n">
        <v>0.520833333333333</v>
      </c>
      <c r="C40" s="7" t="n">
        <v>128967</v>
      </c>
      <c r="D40" s="7" t="s">
        <v>17</v>
      </c>
      <c r="E40" s="7" t="n">
        <v>6320</v>
      </c>
      <c r="F40" s="7" t="n">
        <v>5620</v>
      </c>
      <c r="G40" s="8" t="n">
        <v>700</v>
      </c>
      <c r="H40" s="7" t="s">
        <v>11</v>
      </c>
      <c r="I40" s="7" t="s">
        <v>18</v>
      </c>
      <c r="J40" s="0" t="s">
        <v>13</v>
      </c>
    </row>
    <row r="41" customFormat="false" ht="13.8" hidden="false" customHeight="false" outlineLevel="0" collapsed="false">
      <c r="A41" s="5" t="n">
        <v>44510</v>
      </c>
      <c r="B41" s="6" t="n">
        <v>0.259027777777778</v>
      </c>
      <c r="C41" s="7" t="n">
        <v>146116</v>
      </c>
      <c r="D41" s="7" t="s">
        <v>10</v>
      </c>
      <c r="E41" s="7" t="n">
        <v>4160</v>
      </c>
      <c r="F41" s="7" t="n">
        <v>3760</v>
      </c>
      <c r="G41" s="8" t="n">
        <v>400</v>
      </c>
      <c r="H41" s="7" t="s">
        <v>11</v>
      </c>
      <c r="I41" s="7" t="s">
        <v>12</v>
      </c>
      <c r="J41" s="0" t="s">
        <v>13</v>
      </c>
    </row>
    <row r="42" customFormat="false" ht="13.8" hidden="false" customHeight="false" outlineLevel="0" collapsed="false">
      <c r="A42" s="5" t="n">
        <v>44510</v>
      </c>
      <c r="B42" s="6" t="n">
        <v>0.171527777777778</v>
      </c>
      <c r="C42" s="7" t="n">
        <v>146111</v>
      </c>
      <c r="D42" s="7" t="s">
        <v>14</v>
      </c>
      <c r="E42" s="7" t="n">
        <v>17960</v>
      </c>
      <c r="F42" s="7" t="n">
        <v>12900</v>
      </c>
      <c r="G42" s="8" t="n">
        <v>5060</v>
      </c>
      <c r="H42" s="7" t="s">
        <v>11</v>
      </c>
      <c r="I42" s="7" t="s">
        <v>12</v>
      </c>
      <c r="J42" s="0" t="s">
        <v>13</v>
      </c>
    </row>
    <row r="43" customFormat="false" ht="13.8" hidden="false" customHeight="false" outlineLevel="0" collapsed="false">
      <c r="A43" s="5" t="n">
        <v>44510</v>
      </c>
      <c r="B43" s="6" t="n">
        <v>0.250694444444444</v>
      </c>
      <c r="C43" s="7" t="n">
        <v>146115</v>
      </c>
      <c r="D43" s="7" t="s">
        <v>15</v>
      </c>
      <c r="E43" s="7" t="n">
        <v>24520</v>
      </c>
      <c r="F43" s="7" t="n">
        <v>15620</v>
      </c>
      <c r="G43" s="8" t="n">
        <v>8900</v>
      </c>
      <c r="H43" s="7" t="s">
        <v>11</v>
      </c>
      <c r="I43" s="7" t="s">
        <v>12</v>
      </c>
      <c r="J43" s="0" t="s">
        <v>13</v>
      </c>
    </row>
    <row r="44" customFormat="false" ht="13.8" hidden="false" customHeight="false" outlineLevel="0" collapsed="false">
      <c r="A44" s="5" t="n">
        <v>44510</v>
      </c>
      <c r="B44" s="6" t="n">
        <v>0.509722222222222</v>
      </c>
      <c r="C44" s="7" t="n">
        <v>129026</v>
      </c>
      <c r="D44" s="7" t="s">
        <v>15</v>
      </c>
      <c r="E44" s="7" t="n">
        <v>17120</v>
      </c>
      <c r="F44" s="7" t="n">
        <v>15800</v>
      </c>
      <c r="G44" s="8" t="n">
        <v>1320</v>
      </c>
      <c r="H44" s="7" t="s">
        <v>11</v>
      </c>
      <c r="I44" s="7" t="s">
        <v>19</v>
      </c>
      <c r="J44" s="0" t="s">
        <v>13</v>
      </c>
    </row>
    <row r="45" customFormat="false" ht="13.8" hidden="false" customHeight="false" outlineLevel="0" collapsed="false">
      <c r="A45" s="5" t="n">
        <v>44510</v>
      </c>
      <c r="B45" s="6" t="n">
        <v>0.346527777777778</v>
      </c>
      <c r="C45" s="7" t="n">
        <v>128995</v>
      </c>
      <c r="D45" s="7" t="s">
        <v>17</v>
      </c>
      <c r="E45" s="7" t="n">
        <v>6580</v>
      </c>
      <c r="F45" s="7" t="n">
        <v>6520</v>
      </c>
      <c r="G45" s="8" t="n">
        <v>60</v>
      </c>
      <c r="H45" s="7" t="s">
        <v>11</v>
      </c>
      <c r="I45" s="7" t="s">
        <v>18</v>
      </c>
      <c r="J45" s="0" t="s">
        <v>13</v>
      </c>
    </row>
    <row r="46" customFormat="false" ht="13.8" hidden="false" customHeight="false" outlineLevel="0" collapsed="false">
      <c r="A46" s="5" t="n">
        <v>44510</v>
      </c>
      <c r="B46" s="6" t="n">
        <v>0.346527777777778</v>
      </c>
      <c r="C46" s="7" t="n">
        <v>128994</v>
      </c>
      <c r="D46" s="7" t="s">
        <v>17</v>
      </c>
      <c r="E46" s="7" t="n">
        <v>6520</v>
      </c>
      <c r="F46" s="7" t="n">
        <v>5600</v>
      </c>
      <c r="G46" s="8" t="n">
        <v>920</v>
      </c>
      <c r="H46" s="7" t="s">
        <v>11</v>
      </c>
      <c r="I46" s="7" t="s">
        <v>18</v>
      </c>
      <c r="J46" s="0" t="s">
        <v>13</v>
      </c>
    </row>
    <row r="47" customFormat="false" ht="13.8" hidden="false" customHeight="false" outlineLevel="0" collapsed="false">
      <c r="A47" s="5" t="n">
        <v>44510</v>
      </c>
      <c r="B47" s="6" t="n">
        <v>0.53125</v>
      </c>
      <c r="C47" s="7" t="n">
        <v>129035</v>
      </c>
      <c r="D47" s="7" t="s">
        <v>17</v>
      </c>
      <c r="E47" s="7" t="n">
        <v>6540</v>
      </c>
      <c r="F47" s="7" t="n">
        <v>6480</v>
      </c>
      <c r="G47" s="8" t="n">
        <v>60</v>
      </c>
      <c r="H47" s="7" t="s">
        <v>11</v>
      </c>
      <c r="I47" s="7" t="s">
        <v>18</v>
      </c>
      <c r="J47" s="0" t="s">
        <v>13</v>
      </c>
    </row>
    <row r="48" customFormat="false" ht="13.8" hidden="false" customHeight="false" outlineLevel="0" collapsed="false">
      <c r="A48" s="5" t="n">
        <v>44510</v>
      </c>
      <c r="B48" s="6" t="n">
        <v>0.53125</v>
      </c>
      <c r="C48" s="7" t="n">
        <v>129034</v>
      </c>
      <c r="D48" s="7" t="s">
        <v>17</v>
      </c>
      <c r="E48" s="7" t="n">
        <v>6480</v>
      </c>
      <c r="F48" s="7" t="n">
        <v>5580</v>
      </c>
      <c r="G48" s="8" t="n">
        <v>900</v>
      </c>
      <c r="H48" s="7" t="s">
        <v>11</v>
      </c>
      <c r="I48" s="7" t="s">
        <v>18</v>
      </c>
      <c r="J48" s="0" t="s">
        <v>13</v>
      </c>
    </row>
    <row r="49" customFormat="false" ht="13.8" hidden="false" customHeight="false" outlineLevel="0" collapsed="false">
      <c r="A49" s="5" t="n">
        <v>44511</v>
      </c>
      <c r="B49" s="6" t="n">
        <v>0.19375</v>
      </c>
      <c r="C49" s="7" t="n">
        <v>146149</v>
      </c>
      <c r="D49" s="7" t="s">
        <v>14</v>
      </c>
      <c r="E49" s="7" t="n">
        <v>17480</v>
      </c>
      <c r="F49" s="7" t="n">
        <v>12700</v>
      </c>
      <c r="G49" s="8" t="n">
        <v>4780</v>
      </c>
      <c r="H49" s="7" t="s">
        <v>11</v>
      </c>
      <c r="I49" s="7" t="s">
        <v>12</v>
      </c>
      <c r="J49" s="0" t="s">
        <v>13</v>
      </c>
    </row>
    <row r="50" customFormat="false" ht="13.8" hidden="false" customHeight="false" outlineLevel="0" collapsed="false">
      <c r="A50" s="5" t="n">
        <v>44511</v>
      </c>
      <c r="B50" s="6" t="n">
        <v>0.245833333333333</v>
      </c>
      <c r="C50" s="7" t="n">
        <v>146151</v>
      </c>
      <c r="D50" s="7" t="s">
        <v>15</v>
      </c>
      <c r="E50" s="7" t="n">
        <v>23400</v>
      </c>
      <c r="F50" s="7" t="n">
        <v>15740</v>
      </c>
      <c r="G50" s="8" t="n">
        <v>7660</v>
      </c>
      <c r="H50" s="7" t="s">
        <v>11</v>
      </c>
      <c r="I50" s="7" t="s">
        <v>12</v>
      </c>
      <c r="J50" s="0" t="s">
        <v>13</v>
      </c>
    </row>
    <row r="51" customFormat="false" ht="13.8" hidden="false" customHeight="false" outlineLevel="0" collapsed="false">
      <c r="A51" s="5" t="n">
        <v>44511</v>
      </c>
      <c r="B51" s="6" t="n">
        <v>0.264583333333333</v>
      </c>
      <c r="C51" s="7" t="n">
        <v>146153</v>
      </c>
      <c r="D51" s="7" t="s">
        <v>10</v>
      </c>
      <c r="E51" s="7" t="n">
        <v>4100</v>
      </c>
      <c r="F51" s="7" t="n">
        <v>3780</v>
      </c>
      <c r="G51" s="8" t="n">
        <v>320</v>
      </c>
      <c r="H51" s="7" t="s">
        <v>11</v>
      </c>
      <c r="I51" s="7" t="s">
        <v>12</v>
      </c>
      <c r="J51" s="0" t="s">
        <v>13</v>
      </c>
    </row>
    <row r="52" customFormat="false" ht="13.8" hidden="false" customHeight="false" outlineLevel="0" collapsed="false">
      <c r="A52" s="5" t="n">
        <v>44505</v>
      </c>
      <c r="B52" s="6" t="n">
        <v>0.330555555555556</v>
      </c>
      <c r="C52" s="7" t="n">
        <v>128728</v>
      </c>
      <c r="D52" s="7" t="s">
        <v>21</v>
      </c>
      <c r="E52" s="7" t="n">
        <v>17760</v>
      </c>
      <c r="F52" s="7" t="n">
        <v>15860</v>
      </c>
      <c r="G52" s="8" t="n">
        <v>1900</v>
      </c>
      <c r="H52" s="7" t="s">
        <v>11</v>
      </c>
      <c r="I52" s="7" t="s">
        <v>18</v>
      </c>
      <c r="J52" s="0" t="s">
        <v>13</v>
      </c>
    </row>
    <row r="53" customFormat="false" ht="13.8" hidden="false" customHeight="false" outlineLevel="0" collapsed="false">
      <c r="A53" s="5" t="n">
        <v>44505</v>
      </c>
      <c r="B53" s="6" t="n">
        <v>0.330555555555556</v>
      </c>
      <c r="C53" s="7" t="n">
        <v>128729</v>
      </c>
      <c r="D53" s="7" t="s">
        <v>21</v>
      </c>
      <c r="E53" s="7" t="n">
        <v>17820</v>
      </c>
      <c r="F53" s="7" t="n">
        <v>17760</v>
      </c>
      <c r="G53" s="8" t="n">
        <v>60</v>
      </c>
      <c r="H53" s="7" t="s">
        <v>11</v>
      </c>
      <c r="I53" s="7" t="s">
        <v>18</v>
      </c>
      <c r="J53" s="0" t="s">
        <v>13</v>
      </c>
    </row>
    <row r="54" customFormat="false" ht="13.8" hidden="false" customHeight="false" outlineLevel="0" collapsed="false">
      <c r="A54" s="5" t="n">
        <v>44512</v>
      </c>
      <c r="B54" s="6" t="n">
        <v>0.195138888888889</v>
      </c>
      <c r="C54" s="7" t="n">
        <v>146197</v>
      </c>
      <c r="D54" s="7" t="s">
        <v>14</v>
      </c>
      <c r="E54" s="7" t="n">
        <v>17280</v>
      </c>
      <c r="F54" s="7" t="n">
        <v>12800</v>
      </c>
      <c r="G54" s="8" t="n">
        <v>4480</v>
      </c>
      <c r="H54" s="7" t="s">
        <v>11</v>
      </c>
      <c r="I54" s="7" t="s">
        <v>12</v>
      </c>
      <c r="J54" s="0" t="s">
        <v>13</v>
      </c>
    </row>
    <row r="55" customFormat="false" ht="13.8" hidden="false" customHeight="false" outlineLevel="0" collapsed="false">
      <c r="A55" s="5" t="n">
        <v>44512</v>
      </c>
      <c r="B55" s="6" t="n">
        <v>0.2625</v>
      </c>
      <c r="C55" s="7" t="n">
        <v>146201</v>
      </c>
      <c r="D55" s="7" t="s">
        <v>10</v>
      </c>
      <c r="E55" s="7" t="n">
        <v>4120</v>
      </c>
      <c r="F55" s="7" t="n">
        <v>3800</v>
      </c>
      <c r="G55" s="8" t="n">
        <v>320</v>
      </c>
      <c r="H55" s="7" t="s">
        <v>11</v>
      </c>
      <c r="I55" s="7" t="s">
        <v>12</v>
      </c>
      <c r="J55" s="0" t="s">
        <v>13</v>
      </c>
    </row>
    <row r="56" customFormat="false" ht="13.8" hidden="false" customHeight="false" outlineLevel="0" collapsed="false">
      <c r="A56" s="5" t="n">
        <v>44512</v>
      </c>
      <c r="B56" s="6" t="n">
        <v>0.242361111111111</v>
      </c>
      <c r="C56" s="7" t="n">
        <v>146198</v>
      </c>
      <c r="D56" s="7" t="s">
        <v>15</v>
      </c>
      <c r="E56" s="7" t="n">
        <v>24080</v>
      </c>
      <c r="F56" s="7" t="n">
        <v>15800</v>
      </c>
      <c r="G56" s="8" t="n">
        <v>8280</v>
      </c>
      <c r="H56" s="7" t="s">
        <v>11</v>
      </c>
      <c r="I56" s="7" t="s">
        <v>12</v>
      </c>
      <c r="J56" s="0" t="s">
        <v>13</v>
      </c>
    </row>
    <row r="57" customFormat="false" ht="13.8" hidden="false" customHeight="false" outlineLevel="0" collapsed="false">
      <c r="A57" s="5" t="n">
        <v>44512</v>
      </c>
      <c r="B57" s="6" t="n">
        <v>0.520138888888889</v>
      </c>
      <c r="C57" s="7" t="n">
        <v>129176</v>
      </c>
      <c r="D57" s="7" t="s">
        <v>22</v>
      </c>
      <c r="E57" s="7" t="n">
        <v>3400</v>
      </c>
      <c r="F57" s="7" t="n">
        <v>2720</v>
      </c>
      <c r="G57" s="8" t="n">
        <v>680</v>
      </c>
      <c r="H57" s="7" t="s">
        <v>11</v>
      </c>
      <c r="I57" s="7" t="s">
        <v>23</v>
      </c>
      <c r="J57" s="0" t="s">
        <v>13</v>
      </c>
    </row>
    <row r="58" customFormat="false" ht="13.8" hidden="false" customHeight="false" outlineLevel="0" collapsed="false">
      <c r="A58" s="5" t="n">
        <v>44512</v>
      </c>
      <c r="B58" s="6" t="n">
        <v>0.504166666666667</v>
      </c>
      <c r="C58" s="7" t="n">
        <v>2282</v>
      </c>
      <c r="D58" s="7" t="s">
        <v>15</v>
      </c>
      <c r="E58" s="7" t="n">
        <v>17600</v>
      </c>
      <c r="F58" s="7" t="n">
        <v>16000</v>
      </c>
      <c r="G58" s="8" t="n">
        <v>1600</v>
      </c>
      <c r="H58" s="7" t="s">
        <v>11</v>
      </c>
      <c r="I58" s="7" t="s">
        <v>20</v>
      </c>
      <c r="J58" s="0" t="s">
        <v>13</v>
      </c>
    </row>
    <row r="59" customFormat="false" ht="13.8" hidden="false" customHeight="false" outlineLevel="0" collapsed="false">
      <c r="A59" s="5" t="n">
        <v>44513</v>
      </c>
      <c r="B59" s="6" t="n">
        <v>0.439583333333333</v>
      </c>
      <c r="C59" s="7" t="n">
        <v>129222</v>
      </c>
      <c r="D59" s="7" t="s">
        <v>16</v>
      </c>
      <c r="E59" s="7" t="n">
        <v>3340</v>
      </c>
      <c r="F59" s="7" t="n">
        <v>3300</v>
      </c>
      <c r="G59" s="8" t="n">
        <v>40</v>
      </c>
      <c r="H59" s="7" t="s">
        <v>11</v>
      </c>
      <c r="I59" s="7" t="s">
        <v>18</v>
      </c>
      <c r="J59" s="0" t="s">
        <v>13</v>
      </c>
    </row>
    <row r="60" customFormat="false" ht="13.8" hidden="false" customHeight="false" outlineLevel="0" collapsed="false">
      <c r="A60" s="5" t="n">
        <v>44513</v>
      </c>
      <c r="B60" s="6" t="n">
        <v>0.439583333333333</v>
      </c>
      <c r="C60" s="7" t="n">
        <v>129221</v>
      </c>
      <c r="D60" s="7" t="s">
        <v>16</v>
      </c>
      <c r="E60" s="7" t="n">
        <v>3300</v>
      </c>
      <c r="F60" s="7" t="n">
        <v>2880</v>
      </c>
      <c r="G60" s="8" t="n">
        <v>420</v>
      </c>
      <c r="H60" s="7" t="s">
        <v>11</v>
      </c>
      <c r="I60" s="7" t="s">
        <v>18</v>
      </c>
      <c r="J60" s="0" t="s">
        <v>13</v>
      </c>
    </row>
    <row r="61" customFormat="false" ht="13.8" hidden="false" customHeight="false" outlineLevel="0" collapsed="false">
      <c r="A61" s="5" t="n">
        <v>44513</v>
      </c>
      <c r="B61" s="6" t="n">
        <v>0.256944444444444</v>
      </c>
      <c r="C61" s="9" t="n">
        <v>146236</v>
      </c>
      <c r="D61" s="7" t="s">
        <v>15</v>
      </c>
      <c r="E61" s="7" t="n">
        <v>21140</v>
      </c>
      <c r="F61" s="7" t="n">
        <v>15860</v>
      </c>
      <c r="G61" s="8" t="n">
        <v>5280</v>
      </c>
      <c r="H61" s="7" t="s">
        <v>11</v>
      </c>
      <c r="I61" s="7" t="s">
        <v>12</v>
      </c>
      <c r="J61" s="0" t="s">
        <v>13</v>
      </c>
    </row>
    <row r="62" customFormat="false" ht="13.8" hidden="false" customHeight="false" outlineLevel="0" collapsed="false">
      <c r="A62" s="5" t="n">
        <v>44513</v>
      </c>
      <c r="B62" s="6" t="n">
        <v>0.140277777777778</v>
      </c>
      <c r="C62" s="7" t="n">
        <v>146228</v>
      </c>
      <c r="D62" s="7" t="s">
        <v>14</v>
      </c>
      <c r="E62" s="7" t="n">
        <v>18840</v>
      </c>
      <c r="F62" s="7" t="n">
        <v>12960</v>
      </c>
      <c r="G62" s="8" t="n">
        <v>5880</v>
      </c>
      <c r="H62" s="7" t="s">
        <v>11</v>
      </c>
      <c r="I62" s="7" t="s">
        <v>12</v>
      </c>
      <c r="J62" s="0" t="s">
        <v>13</v>
      </c>
    </row>
    <row r="63" customFormat="false" ht="13.8" hidden="false" customHeight="false" outlineLevel="0" collapsed="false">
      <c r="A63" s="5" t="n">
        <v>44513</v>
      </c>
      <c r="B63" s="6" t="n">
        <v>0.259027777777778</v>
      </c>
      <c r="C63" s="7" t="n">
        <v>146237</v>
      </c>
      <c r="D63" s="7" t="s">
        <v>10</v>
      </c>
      <c r="E63" s="7" t="n">
        <v>4140</v>
      </c>
      <c r="F63" s="7" t="n">
        <v>3760</v>
      </c>
      <c r="G63" s="8" t="n">
        <v>380</v>
      </c>
      <c r="H63" s="7" t="s">
        <v>11</v>
      </c>
      <c r="I63" s="7" t="s">
        <v>12</v>
      </c>
      <c r="J63" s="0" t="s">
        <v>13</v>
      </c>
    </row>
    <row r="64" customFormat="false" ht="13.8" hidden="false" customHeight="false" outlineLevel="0" collapsed="false">
      <c r="A64" s="5" t="n">
        <v>44514</v>
      </c>
      <c r="B64" s="6" t="n">
        <v>0.222916666666667</v>
      </c>
      <c r="C64" s="7" t="n">
        <v>146251</v>
      </c>
      <c r="D64" s="7" t="s">
        <v>15</v>
      </c>
      <c r="E64" s="7" t="n">
        <v>24900</v>
      </c>
      <c r="F64" s="7" t="n">
        <v>15980</v>
      </c>
      <c r="G64" s="8" t="n">
        <v>8920</v>
      </c>
      <c r="H64" s="7" t="s">
        <v>11</v>
      </c>
      <c r="I64" s="7" t="s">
        <v>12</v>
      </c>
      <c r="J64" s="0" t="s">
        <v>13</v>
      </c>
    </row>
    <row r="65" customFormat="false" ht="13.8" hidden="false" customHeight="false" outlineLevel="0" collapsed="false">
      <c r="A65" s="5" t="n">
        <v>44514</v>
      </c>
      <c r="B65" s="6" t="n">
        <v>0.138194444444444</v>
      </c>
      <c r="C65" s="7" t="n">
        <v>146249</v>
      </c>
      <c r="D65" s="7" t="s">
        <v>14</v>
      </c>
      <c r="E65" s="7" t="n">
        <v>19600</v>
      </c>
      <c r="F65" s="7" t="n">
        <v>12940</v>
      </c>
      <c r="G65" s="8" t="n">
        <v>6660</v>
      </c>
      <c r="H65" s="7" t="s">
        <v>11</v>
      </c>
      <c r="I65" s="7" t="s">
        <v>12</v>
      </c>
      <c r="J65" s="0" t="s">
        <v>13</v>
      </c>
    </row>
    <row r="66" customFormat="false" ht="13.8" hidden="false" customHeight="false" outlineLevel="0" collapsed="false">
      <c r="A66" s="5" t="n">
        <v>44514</v>
      </c>
      <c r="B66" s="6" t="n">
        <v>0.216666666666667</v>
      </c>
      <c r="C66" s="7" t="n">
        <v>146250</v>
      </c>
      <c r="D66" s="7" t="s">
        <v>10</v>
      </c>
      <c r="E66" s="7" t="n">
        <v>4340</v>
      </c>
      <c r="F66" s="7" t="n">
        <v>3700</v>
      </c>
      <c r="G66" s="8" t="n">
        <v>640</v>
      </c>
      <c r="H66" s="7" t="s">
        <v>11</v>
      </c>
      <c r="I66" s="7" t="s">
        <v>12</v>
      </c>
      <c r="J66" s="0" t="s">
        <v>13</v>
      </c>
    </row>
    <row r="67" customFormat="false" ht="13.8" hidden="false" customHeight="false" outlineLevel="0" collapsed="false">
      <c r="A67" s="5" t="n">
        <v>44515</v>
      </c>
      <c r="B67" s="6" t="n">
        <v>0.166666666666667</v>
      </c>
      <c r="C67" s="7" t="n">
        <v>146264</v>
      </c>
      <c r="D67" s="7" t="s">
        <v>14</v>
      </c>
      <c r="E67" s="7" t="n">
        <v>17680</v>
      </c>
      <c r="F67" s="7" t="n">
        <v>12700</v>
      </c>
      <c r="G67" s="8" t="n">
        <v>4980</v>
      </c>
      <c r="H67" s="5" t="s">
        <v>11</v>
      </c>
      <c r="I67" s="7" t="s">
        <v>12</v>
      </c>
      <c r="J67" s="0" t="s">
        <v>13</v>
      </c>
    </row>
    <row r="68" customFormat="false" ht="13.8" hidden="false" customHeight="false" outlineLevel="0" collapsed="false">
      <c r="A68" s="5" t="n">
        <v>44515</v>
      </c>
      <c r="B68" s="6" t="n">
        <v>0.259027777777778</v>
      </c>
      <c r="C68" s="7" t="n">
        <v>146270</v>
      </c>
      <c r="D68" s="7" t="s">
        <v>10</v>
      </c>
      <c r="E68" s="7" t="n">
        <v>4260</v>
      </c>
      <c r="F68" s="7" t="n">
        <v>3740</v>
      </c>
      <c r="G68" s="8" t="n">
        <v>520</v>
      </c>
      <c r="H68" s="7" t="s">
        <v>11</v>
      </c>
      <c r="I68" s="7" t="s">
        <v>12</v>
      </c>
      <c r="J68" s="0" t="s">
        <v>13</v>
      </c>
    </row>
    <row r="69" customFormat="false" ht="13.8" hidden="false" customHeight="false" outlineLevel="0" collapsed="false">
      <c r="A69" s="5" t="n">
        <v>44515</v>
      </c>
      <c r="B69" s="6" t="n">
        <v>0.256944444444444</v>
      </c>
      <c r="C69" s="7" t="n">
        <v>146269</v>
      </c>
      <c r="D69" s="7" t="s">
        <v>15</v>
      </c>
      <c r="E69" s="7" t="n">
        <v>26240</v>
      </c>
      <c r="F69" s="7" t="n">
        <v>15920</v>
      </c>
      <c r="G69" s="8" t="n">
        <v>10320</v>
      </c>
      <c r="H69" s="7" t="s">
        <v>11</v>
      </c>
      <c r="I69" s="7" t="s">
        <v>12</v>
      </c>
      <c r="J69" s="0" t="s">
        <v>13</v>
      </c>
    </row>
    <row r="70" customFormat="false" ht="13.8" hidden="false" customHeight="false" outlineLevel="0" collapsed="false">
      <c r="A70" s="5" t="n">
        <v>44516</v>
      </c>
      <c r="B70" s="6" t="n">
        <v>0.259722222222222</v>
      </c>
      <c r="C70" s="7" t="n">
        <v>146315</v>
      </c>
      <c r="D70" s="7" t="s">
        <v>10</v>
      </c>
      <c r="E70" s="7" t="n">
        <v>4040</v>
      </c>
      <c r="F70" s="7" t="n">
        <v>3780</v>
      </c>
      <c r="G70" s="8" t="n">
        <v>260</v>
      </c>
      <c r="H70" s="7" t="s">
        <v>11</v>
      </c>
      <c r="I70" s="7" t="s">
        <v>12</v>
      </c>
      <c r="J70" s="0" t="s">
        <v>13</v>
      </c>
    </row>
    <row r="71" customFormat="false" ht="13.8" hidden="false" customHeight="false" outlineLevel="0" collapsed="false">
      <c r="A71" s="5" t="n">
        <v>44516</v>
      </c>
      <c r="B71" s="6" t="n">
        <v>0.129166666666667</v>
      </c>
      <c r="C71" s="7" t="n">
        <v>146307</v>
      </c>
      <c r="D71" s="7" t="s">
        <v>14</v>
      </c>
      <c r="E71" s="7" t="n">
        <v>17940</v>
      </c>
      <c r="F71" s="7" t="n">
        <v>12980</v>
      </c>
      <c r="G71" s="8" t="n">
        <v>4960</v>
      </c>
      <c r="H71" s="7" t="s">
        <v>11</v>
      </c>
      <c r="I71" s="7" t="s">
        <v>12</v>
      </c>
      <c r="J71" s="0" t="s">
        <v>13</v>
      </c>
    </row>
    <row r="72" customFormat="false" ht="13.8" hidden="false" customHeight="false" outlineLevel="0" collapsed="false">
      <c r="A72" s="5" t="n">
        <v>44516</v>
      </c>
      <c r="B72" s="6" t="n">
        <v>0.258333333333333</v>
      </c>
      <c r="C72" s="7" t="n">
        <v>146314</v>
      </c>
      <c r="D72" s="7" t="s">
        <v>15</v>
      </c>
      <c r="E72" s="7" t="n">
        <v>24420</v>
      </c>
      <c r="F72" s="7" t="n">
        <v>15880</v>
      </c>
      <c r="G72" s="8" t="n">
        <v>8540</v>
      </c>
      <c r="H72" s="7" t="s">
        <v>11</v>
      </c>
      <c r="I72" s="7" t="s">
        <v>12</v>
      </c>
      <c r="J72" s="0" t="s">
        <v>13</v>
      </c>
    </row>
    <row r="73" customFormat="false" ht="13.8" hidden="false" customHeight="false" outlineLevel="0" collapsed="false">
      <c r="A73" s="5" t="n">
        <v>44516</v>
      </c>
      <c r="B73" s="6" t="n">
        <v>0.544444444444444</v>
      </c>
      <c r="C73" s="7" t="n">
        <v>129384</v>
      </c>
      <c r="D73" s="7" t="s">
        <v>22</v>
      </c>
      <c r="E73" s="7" t="n">
        <v>3200</v>
      </c>
      <c r="F73" s="7" t="n">
        <v>2840</v>
      </c>
      <c r="G73" s="8" t="n">
        <v>360</v>
      </c>
      <c r="H73" s="7" t="s">
        <v>11</v>
      </c>
      <c r="I73" s="7" t="s">
        <v>23</v>
      </c>
      <c r="J73" s="0" t="s">
        <v>13</v>
      </c>
    </row>
    <row r="74" customFormat="false" ht="13.8" hidden="false" customHeight="false" outlineLevel="0" collapsed="false">
      <c r="A74" s="5" t="n">
        <v>44516</v>
      </c>
      <c r="B74" s="6" t="n">
        <v>0.541666666666667</v>
      </c>
      <c r="C74" s="7" t="n">
        <v>129382</v>
      </c>
      <c r="D74" s="7" t="s">
        <v>16</v>
      </c>
      <c r="E74" s="7" t="n">
        <v>3220</v>
      </c>
      <c r="F74" s="7" t="n">
        <v>2880</v>
      </c>
      <c r="G74" s="8" t="n">
        <v>340</v>
      </c>
      <c r="H74" s="7" t="s">
        <v>11</v>
      </c>
      <c r="I74" s="7" t="s">
        <v>23</v>
      </c>
      <c r="J74" s="0" t="s">
        <v>13</v>
      </c>
    </row>
    <row r="75" customFormat="false" ht="13.8" hidden="false" customHeight="false" outlineLevel="0" collapsed="false">
      <c r="A75" s="5" t="n">
        <v>44516</v>
      </c>
      <c r="B75" s="6" t="n">
        <v>0.521527777777778</v>
      </c>
      <c r="C75" s="7" t="n">
        <v>129368</v>
      </c>
      <c r="D75" s="7" t="s">
        <v>15</v>
      </c>
      <c r="E75" s="7" t="n">
        <v>17340</v>
      </c>
      <c r="F75" s="7" t="n">
        <v>15980</v>
      </c>
      <c r="G75" s="8" t="n">
        <v>1360</v>
      </c>
      <c r="H75" s="7" t="s">
        <v>11</v>
      </c>
      <c r="I75" s="7" t="s">
        <v>19</v>
      </c>
      <c r="J75" s="0" t="s">
        <v>13</v>
      </c>
    </row>
    <row r="76" customFormat="false" ht="13.8" hidden="false" customHeight="false" outlineLevel="0" collapsed="false">
      <c r="A76" s="5" t="n">
        <v>44517</v>
      </c>
      <c r="B76" s="6" t="n">
        <v>0.260416666666667</v>
      </c>
      <c r="C76" s="7" t="n">
        <v>146363</v>
      </c>
      <c r="D76" s="7" t="s">
        <v>10</v>
      </c>
      <c r="E76" s="7" t="n">
        <v>4040</v>
      </c>
      <c r="F76" s="7" t="n">
        <v>3780</v>
      </c>
      <c r="G76" s="8" t="n">
        <v>260</v>
      </c>
      <c r="H76" s="7" t="s">
        <v>11</v>
      </c>
      <c r="I76" s="7" t="s">
        <v>12</v>
      </c>
      <c r="J76" s="0" t="s">
        <v>13</v>
      </c>
    </row>
    <row r="77" customFormat="false" ht="13.8" hidden="false" customHeight="false" outlineLevel="0" collapsed="false">
      <c r="A77" s="5" t="n">
        <v>44517</v>
      </c>
      <c r="B77" s="6" t="n">
        <v>0.259722222222222</v>
      </c>
      <c r="C77" s="7" t="n">
        <v>146362</v>
      </c>
      <c r="D77" s="7" t="s">
        <v>15</v>
      </c>
      <c r="E77" s="7" t="n">
        <v>23440</v>
      </c>
      <c r="F77" s="7" t="n">
        <v>15940</v>
      </c>
      <c r="G77" s="8" t="n">
        <v>7500</v>
      </c>
      <c r="H77" s="7" t="s">
        <v>11</v>
      </c>
      <c r="I77" s="7" t="s">
        <v>12</v>
      </c>
      <c r="J77" s="0" t="s">
        <v>13</v>
      </c>
    </row>
    <row r="78" customFormat="false" ht="13.8" hidden="false" customHeight="false" outlineLevel="0" collapsed="false">
      <c r="A78" s="5" t="n">
        <v>44517</v>
      </c>
      <c r="B78" s="6" t="n">
        <v>0.172222222222222</v>
      </c>
      <c r="C78" s="7" t="n">
        <v>146358</v>
      </c>
      <c r="D78" s="7" t="s">
        <v>14</v>
      </c>
      <c r="E78" s="7" t="n">
        <v>17780</v>
      </c>
      <c r="F78" s="7" t="n">
        <v>12860</v>
      </c>
      <c r="G78" s="8" t="n">
        <v>4920</v>
      </c>
      <c r="H78" s="7" t="s">
        <v>11</v>
      </c>
      <c r="I78" s="7" t="s">
        <v>12</v>
      </c>
      <c r="J78" s="0" t="s">
        <v>13</v>
      </c>
    </row>
    <row r="79" customFormat="false" ht="13.8" hidden="false" customHeight="false" outlineLevel="0" collapsed="false">
      <c r="A79" s="5" t="n">
        <v>44517</v>
      </c>
      <c r="B79" s="6" t="n">
        <v>0.540277777777778</v>
      </c>
      <c r="C79" s="7" t="n">
        <v>129447</v>
      </c>
      <c r="D79" s="7" t="s">
        <v>16</v>
      </c>
      <c r="E79" s="7" t="n">
        <v>3340</v>
      </c>
      <c r="F79" s="7" t="n">
        <v>2860</v>
      </c>
      <c r="G79" s="8" t="n">
        <v>480</v>
      </c>
      <c r="H79" s="7" t="s">
        <v>11</v>
      </c>
      <c r="I79" s="7" t="s">
        <v>23</v>
      </c>
      <c r="J79" s="0" t="s">
        <v>13</v>
      </c>
    </row>
    <row r="80" customFormat="false" ht="13.8" hidden="false" customHeight="false" outlineLevel="0" collapsed="false">
      <c r="A80" s="5" t="n">
        <v>44517</v>
      </c>
      <c r="B80" s="6" t="n">
        <v>0.539583333333333</v>
      </c>
      <c r="C80" s="7" t="n">
        <v>129446</v>
      </c>
      <c r="D80" s="7" t="s">
        <v>22</v>
      </c>
      <c r="E80" s="7" t="n">
        <v>3020</v>
      </c>
      <c r="F80" s="7" t="n">
        <v>2820</v>
      </c>
      <c r="G80" s="8" t="n">
        <v>200</v>
      </c>
      <c r="H80" s="7" t="s">
        <v>11</v>
      </c>
      <c r="I80" s="7" t="s">
        <v>23</v>
      </c>
      <c r="J80" s="0" t="s">
        <v>13</v>
      </c>
    </row>
    <row r="81" customFormat="false" ht="13.8" hidden="false" customHeight="false" outlineLevel="0" collapsed="false">
      <c r="A81" s="5" t="n">
        <v>44517</v>
      </c>
      <c r="B81" s="6" t="n">
        <v>0.488888888888889</v>
      </c>
      <c r="C81" s="7" t="n">
        <v>129442</v>
      </c>
      <c r="D81" s="7" t="s">
        <v>17</v>
      </c>
      <c r="E81" s="7" t="n">
        <v>6620</v>
      </c>
      <c r="F81" s="7" t="n">
        <v>6560</v>
      </c>
      <c r="G81" s="8" t="n">
        <v>60</v>
      </c>
      <c r="H81" s="7" t="s">
        <v>11</v>
      </c>
      <c r="I81" s="7" t="s">
        <v>18</v>
      </c>
      <c r="J81" s="0" t="s">
        <v>13</v>
      </c>
    </row>
    <row r="82" customFormat="false" ht="13.8" hidden="false" customHeight="false" outlineLevel="0" collapsed="false">
      <c r="A82" s="5" t="n">
        <v>44517</v>
      </c>
      <c r="B82" s="6" t="n">
        <v>0.488888888888889</v>
      </c>
      <c r="C82" s="7" t="n">
        <v>129441</v>
      </c>
      <c r="D82" s="7" t="s">
        <v>17</v>
      </c>
      <c r="E82" s="7" t="n">
        <v>6560</v>
      </c>
      <c r="F82" s="7" t="n">
        <v>5500</v>
      </c>
      <c r="G82" s="8" t="n">
        <v>1060</v>
      </c>
      <c r="H82" s="7" t="s">
        <v>11</v>
      </c>
      <c r="I82" s="7" t="s">
        <v>18</v>
      </c>
      <c r="J82" s="0" t="s">
        <v>13</v>
      </c>
    </row>
    <row r="83" customFormat="false" ht="13.8" hidden="false" customHeight="false" outlineLevel="0" collapsed="false">
      <c r="A83" s="5" t="n">
        <v>44518</v>
      </c>
      <c r="B83" s="6" t="n">
        <v>0.260416666666667</v>
      </c>
      <c r="C83" s="7" t="n">
        <v>146408</v>
      </c>
      <c r="D83" s="7" t="s">
        <v>10</v>
      </c>
      <c r="E83" s="7" t="n">
        <v>4140</v>
      </c>
      <c r="F83" s="7" t="n">
        <v>3760</v>
      </c>
      <c r="G83" s="8" t="n">
        <v>380</v>
      </c>
      <c r="H83" s="7" t="s">
        <v>11</v>
      </c>
      <c r="I83" s="7" t="s">
        <v>12</v>
      </c>
      <c r="J83" s="0" t="s">
        <v>13</v>
      </c>
    </row>
    <row r="84" customFormat="false" ht="13.8" hidden="false" customHeight="false" outlineLevel="0" collapsed="false">
      <c r="A84" s="5" t="n">
        <v>44518</v>
      </c>
      <c r="B84" s="6" t="n">
        <v>0.236805555555556</v>
      </c>
      <c r="C84" s="7" t="n">
        <v>146406</v>
      </c>
      <c r="D84" s="7" t="s">
        <v>15</v>
      </c>
      <c r="E84" s="7" t="n">
        <v>24440</v>
      </c>
      <c r="F84" s="7" t="n">
        <v>15900</v>
      </c>
      <c r="G84" s="8" t="n">
        <v>8540</v>
      </c>
      <c r="H84" s="7" t="s">
        <v>11</v>
      </c>
      <c r="I84" s="7" t="s">
        <v>12</v>
      </c>
      <c r="J84" s="0" t="s">
        <v>13</v>
      </c>
    </row>
    <row r="85" customFormat="false" ht="13.8" hidden="false" customHeight="false" outlineLevel="0" collapsed="false">
      <c r="A85" s="5" t="n">
        <v>44518</v>
      </c>
      <c r="B85" s="6" t="n">
        <v>0.172916666666667</v>
      </c>
      <c r="C85" s="7" t="n">
        <v>146403</v>
      </c>
      <c r="D85" s="7" t="s">
        <v>14</v>
      </c>
      <c r="E85" s="7" t="n">
        <v>17320</v>
      </c>
      <c r="F85" s="7" t="n">
        <v>12820</v>
      </c>
      <c r="G85" s="8" t="n">
        <v>4500</v>
      </c>
      <c r="H85" s="7" t="s">
        <v>11</v>
      </c>
      <c r="I85" s="7" t="s">
        <v>12</v>
      </c>
      <c r="J85" s="0" t="s">
        <v>13</v>
      </c>
    </row>
    <row r="86" customFormat="false" ht="13.8" hidden="false" customHeight="false" outlineLevel="0" collapsed="false">
      <c r="A86" s="5" t="n">
        <v>44518</v>
      </c>
      <c r="B86" s="6" t="n">
        <v>0.535416666666667</v>
      </c>
      <c r="C86" s="7" t="n">
        <v>129519</v>
      </c>
      <c r="D86" s="7" t="s">
        <v>22</v>
      </c>
      <c r="E86" s="7" t="n">
        <v>3180</v>
      </c>
      <c r="F86" s="7" t="n">
        <v>2720</v>
      </c>
      <c r="G86" s="8" t="n">
        <v>460</v>
      </c>
      <c r="H86" s="7" t="s">
        <v>11</v>
      </c>
      <c r="I86" s="7" t="s">
        <v>23</v>
      </c>
      <c r="J86" s="0" t="s">
        <v>13</v>
      </c>
    </row>
    <row r="87" customFormat="false" ht="13.8" hidden="false" customHeight="false" outlineLevel="0" collapsed="false">
      <c r="A87" s="5" t="n">
        <v>44518</v>
      </c>
      <c r="B87" s="6" t="n">
        <v>0.452777777777778</v>
      </c>
      <c r="C87" s="7" t="n">
        <v>129495</v>
      </c>
      <c r="D87" s="7" t="s">
        <v>17</v>
      </c>
      <c r="E87" s="7" t="n">
        <v>6520</v>
      </c>
      <c r="F87" s="7" t="n">
        <v>6460</v>
      </c>
      <c r="G87" s="8" t="n">
        <v>60</v>
      </c>
      <c r="H87" s="7" t="s">
        <v>11</v>
      </c>
      <c r="I87" s="7" t="s">
        <v>18</v>
      </c>
      <c r="J87" s="0" t="s">
        <v>13</v>
      </c>
    </row>
    <row r="88" customFormat="false" ht="13.8" hidden="false" customHeight="false" outlineLevel="0" collapsed="false">
      <c r="A88" s="5" t="n">
        <v>44518</v>
      </c>
      <c r="B88" s="6" t="n">
        <v>0.452777777777778</v>
      </c>
      <c r="C88" s="7" t="n">
        <v>129494</v>
      </c>
      <c r="D88" s="7" t="s">
        <v>17</v>
      </c>
      <c r="E88" s="7" t="n">
        <v>6460</v>
      </c>
      <c r="F88" s="7" t="n">
        <v>5540</v>
      </c>
      <c r="G88" s="8" t="n">
        <v>920</v>
      </c>
      <c r="H88" s="7" t="s">
        <v>11</v>
      </c>
      <c r="I88" s="7" t="s">
        <v>18</v>
      </c>
      <c r="J88" s="0" t="s">
        <v>13</v>
      </c>
    </row>
    <row r="89" customFormat="false" ht="13.8" hidden="false" customHeight="false" outlineLevel="0" collapsed="false">
      <c r="A89" s="5" t="n">
        <v>44519</v>
      </c>
      <c r="B89" s="6" t="n">
        <v>0.170138888888889</v>
      </c>
      <c r="C89" s="7" t="n">
        <v>146453</v>
      </c>
      <c r="D89" s="7" t="s">
        <v>14</v>
      </c>
      <c r="E89" s="7" t="n">
        <v>17980</v>
      </c>
      <c r="F89" s="7" t="n">
        <v>12980</v>
      </c>
      <c r="G89" s="8" t="n">
        <v>5000</v>
      </c>
      <c r="H89" s="7" t="s">
        <v>11</v>
      </c>
      <c r="I89" s="7" t="s">
        <v>12</v>
      </c>
      <c r="J89" s="0" t="s">
        <v>13</v>
      </c>
    </row>
    <row r="90" customFormat="false" ht="13.8" hidden="false" customHeight="false" outlineLevel="0" collapsed="false">
      <c r="A90" s="5" t="n">
        <v>44519</v>
      </c>
      <c r="B90" s="6" t="n">
        <v>0.255555555555556</v>
      </c>
      <c r="C90" s="7" t="n">
        <v>146456</v>
      </c>
      <c r="D90" s="7" t="s">
        <v>10</v>
      </c>
      <c r="E90" s="7" t="n">
        <v>4020</v>
      </c>
      <c r="F90" s="7" t="n">
        <v>3760</v>
      </c>
      <c r="G90" s="8" t="n">
        <v>260</v>
      </c>
      <c r="H90" s="7" t="s">
        <v>11</v>
      </c>
      <c r="I90" s="7" t="s">
        <v>12</v>
      </c>
      <c r="J90" s="0" t="s">
        <v>13</v>
      </c>
    </row>
    <row r="91" customFormat="false" ht="13.8" hidden="false" customHeight="false" outlineLevel="0" collapsed="false">
      <c r="A91" s="5" t="n">
        <v>44519</v>
      </c>
      <c r="B91" s="6" t="n">
        <v>0.257638888888889</v>
      </c>
      <c r="C91" s="7" t="n">
        <v>146457</v>
      </c>
      <c r="D91" s="7" t="s">
        <v>15</v>
      </c>
      <c r="E91" s="7" t="n">
        <v>23620</v>
      </c>
      <c r="F91" s="7" t="n">
        <v>15700</v>
      </c>
      <c r="G91" s="8" t="n">
        <v>7920</v>
      </c>
      <c r="H91" s="7" t="s">
        <v>11</v>
      </c>
      <c r="I91" s="7" t="s">
        <v>12</v>
      </c>
      <c r="J91" s="0" t="s">
        <v>13</v>
      </c>
    </row>
    <row r="92" customFormat="false" ht="13.8" hidden="false" customHeight="false" outlineLevel="0" collapsed="false">
      <c r="A92" s="5" t="n">
        <v>44519</v>
      </c>
      <c r="B92" s="6" t="n">
        <v>0.499305555555555</v>
      </c>
      <c r="C92" s="7" t="n">
        <v>2302</v>
      </c>
      <c r="D92" s="7" t="s">
        <v>15</v>
      </c>
      <c r="E92" s="7" t="n">
        <v>17160</v>
      </c>
      <c r="F92" s="7" t="n">
        <v>16000</v>
      </c>
      <c r="G92" s="8" t="n">
        <v>1160</v>
      </c>
      <c r="H92" s="7" t="s">
        <v>11</v>
      </c>
      <c r="I92" s="7" t="s">
        <v>20</v>
      </c>
      <c r="J92" s="0" t="s">
        <v>13</v>
      </c>
    </row>
    <row r="93" customFormat="false" ht="13.8" hidden="false" customHeight="false" outlineLevel="0" collapsed="false">
      <c r="A93" s="5" t="n">
        <v>44519</v>
      </c>
      <c r="B93" s="6" t="n">
        <v>0.550694444444444</v>
      </c>
      <c r="C93" s="7" t="n">
        <v>129622</v>
      </c>
      <c r="D93" s="7" t="s">
        <v>16</v>
      </c>
      <c r="E93" s="7" t="n">
        <v>3080</v>
      </c>
      <c r="F93" s="7" t="n">
        <v>2860</v>
      </c>
      <c r="G93" s="8" t="n">
        <v>220</v>
      </c>
      <c r="H93" s="7" t="s">
        <v>11</v>
      </c>
      <c r="I93" s="7" t="s">
        <v>23</v>
      </c>
      <c r="J93" s="0" t="s">
        <v>13</v>
      </c>
    </row>
    <row r="94" customFormat="false" ht="13.8" hidden="false" customHeight="false" outlineLevel="0" collapsed="false">
      <c r="A94" s="5" t="n">
        <v>44519</v>
      </c>
      <c r="B94" s="6" t="n">
        <v>0.552083333333333</v>
      </c>
      <c r="C94" s="7" t="n">
        <v>129623</v>
      </c>
      <c r="D94" s="7" t="s">
        <v>22</v>
      </c>
      <c r="E94" s="7" t="n">
        <v>2960</v>
      </c>
      <c r="F94" s="7" t="n">
        <v>2720</v>
      </c>
      <c r="G94" s="8" t="n">
        <v>240</v>
      </c>
      <c r="H94" s="7" t="s">
        <v>11</v>
      </c>
      <c r="I94" s="7" t="s">
        <v>23</v>
      </c>
      <c r="J94" s="0" t="s">
        <v>13</v>
      </c>
    </row>
    <row r="95" customFormat="false" ht="13.8" hidden="false" customHeight="false" outlineLevel="0" collapsed="false">
      <c r="A95" s="5" t="n">
        <v>44520</v>
      </c>
      <c r="B95" s="6" t="n">
        <v>0.261805555555556</v>
      </c>
      <c r="C95" s="7" t="n">
        <v>146499</v>
      </c>
      <c r="D95" s="7" t="s">
        <v>15</v>
      </c>
      <c r="E95" s="7" t="n">
        <v>25500</v>
      </c>
      <c r="F95" s="7" t="n">
        <v>15660</v>
      </c>
      <c r="G95" s="8" t="n">
        <v>9840</v>
      </c>
      <c r="H95" s="7" t="s">
        <v>11</v>
      </c>
      <c r="I95" s="7" t="s">
        <v>12</v>
      </c>
      <c r="J95" s="0" t="s">
        <v>13</v>
      </c>
    </row>
    <row r="96" customFormat="false" ht="13.8" hidden="false" customHeight="false" outlineLevel="0" collapsed="false">
      <c r="A96" s="5" t="n">
        <v>44520</v>
      </c>
      <c r="B96" s="6" t="n">
        <v>0.259027777777778</v>
      </c>
      <c r="C96" s="7" t="n">
        <v>146498</v>
      </c>
      <c r="D96" s="7" t="s">
        <v>10</v>
      </c>
      <c r="E96" s="7" t="n">
        <v>4080</v>
      </c>
      <c r="F96" s="7" t="n">
        <v>3760</v>
      </c>
      <c r="G96" s="8" t="n">
        <v>320</v>
      </c>
      <c r="H96" s="7" t="s">
        <v>11</v>
      </c>
      <c r="I96" s="7" t="s">
        <v>12</v>
      </c>
      <c r="J96" s="0" t="s">
        <v>13</v>
      </c>
    </row>
    <row r="97" customFormat="false" ht="13.8" hidden="false" customHeight="false" outlineLevel="0" collapsed="false">
      <c r="A97" s="5" t="n">
        <v>44520</v>
      </c>
      <c r="B97" s="6" t="n">
        <v>0.1625</v>
      </c>
      <c r="C97" s="7" t="n">
        <v>146491</v>
      </c>
      <c r="D97" s="7" t="s">
        <v>14</v>
      </c>
      <c r="E97" s="7" t="n">
        <v>17880</v>
      </c>
      <c r="F97" s="7" t="n">
        <v>12880</v>
      </c>
      <c r="G97" s="8" t="n">
        <v>5000</v>
      </c>
      <c r="H97" s="7" t="s">
        <v>11</v>
      </c>
      <c r="I97" s="7" t="s">
        <v>12</v>
      </c>
      <c r="J97" s="0" t="s">
        <v>13</v>
      </c>
    </row>
    <row r="98" customFormat="false" ht="13.8" hidden="false" customHeight="false" outlineLevel="0" collapsed="false">
      <c r="A98" s="5" t="n">
        <v>44521</v>
      </c>
      <c r="B98" s="6" t="n">
        <v>0.197916666666667</v>
      </c>
      <c r="C98" s="7" t="n">
        <v>146516</v>
      </c>
      <c r="D98" s="7" t="s">
        <v>10</v>
      </c>
      <c r="E98" s="7" t="n">
        <v>4240</v>
      </c>
      <c r="F98" s="7" t="n">
        <v>3740</v>
      </c>
      <c r="G98" s="8" t="n">
        <v>500</v>
      </c>
      <c r="H98" s="7" t="s">
        <v>11</v>
      </c>
      <c r="I98" s="7" t="s">
        <v>12</v>
      </c>
      <c r="J98" s="0" t="s">
        <v>13</v>
      </c>
    </row>
    <row r="99" customFormat="false" ht="13.8" hidden="false" customHeight="false" outlineLevel="0" collapsed="false">
      <c r="A99" s="5" t="n">
        <v>44521</v>
      </c>
      <c r="B99" s="6" t="n">
        <v>0.519444444444444</v>
      </c>
      <c r="C99" s="7" t="n">
        <v>146522</v>
      </c>
      <c r="D99" s="7" t="s">
        <v>24</v>
      </c>
      <c r="E99" s="7" t="n">
        <v>2740</v>
      </c>
      <c r="F99" s="7" t="n">
        <v>2360</v>
      </c>
      <c r="G99" s="8" t="n">
        <v>380</v>
      </c>
      <c r="H99" s="7" t="s">
        <v>11</v>
      </c>
      <c r="I99" s="7" t="s">
        <v>12</v>
      </c>
      <c r="J99" s="0" t="s">
        <v>13</v>
      </c>
    </row>
    <row r="100" customFormat="false" ht="13.8" hidden="false" customHeight="false" outlineLevel="0" collapsed="false">
      <c r="A100" s="5" t="n">
        <v>44521</v>
      </c>
      <c r="B100" s="6" t="n">
        <v>0.21875</v>
      </c>
      <c r="C100" s="7" t="n">
        <v>146519</v>
      </c>
      <c r="D100" s="7" t="s">
        <v>15</v>
      </c>
      <c r="E100" s="7" t="n">
        <v>23040</v>
      </c>
      <c r="F100" s="7" t="n">
        <v>15800</v>
      </c>
      <c r="G100" s="8" t="n">
        <v>7240</v>
      </c>
      <c r="H100" s="7" t="s">
        <v>11</v>
      </c>
      <c r="I100" s="7" t="s">
        <v>12</v>
      </c>
      <c r="J100" s="0" t="s">
        <v>13</v>
      </c>
    </row>
    <row r="101" customFormat="false" ht="13.8" hidden="false" customHeight="false" outlineLevel="0" collapsed="false">
      <c r="A101" s="5" t="n">
        <v>44521</v>
      </c>
      <c r="B101" s="6" t="n">
        <v>0.114583333333333</v>
      </c>
      <c r="C101" s="7" t="n">
        <v>146514</v>
      </c>
      <c r="D101" s="7" t="s">
        <v>14</v>
      </c>
      <c r="E101" s="7" t="n">
        <v>17660</v>
      </c>
      <c r="F101" s="7" t="n">
        <v>12740</v>
      </c>
      <c r="G101" s="8" t="n">
        <v>4920</v>
      </c>
      <c r="H101" s="7" t="s">
        <v>11</v>
      </c>
      <c r="I101" s="7" t="s">
        <v>12</v>
      </c>
      <c r="J101" s="0" t="s">
        <v>13</v>
      </c>
    </row>
    <row r="102" customFormat="false" ht="13.8" hidden="false" customHeight="false" outlineLevel="0" collapsed="false">
      <c r="A102" s="5" t="n">
        <v>44520</v>
      </c>
      <c r="B102" s="6" t="n">
        <v>0.466666666666667</v>
      </c>
      <c r="C102" s="7" t="n">
        <v>129673</v>
      </c>
      <c r="D102" s="7" t="s">
        <v>17</v>
      </c>
      <c r="E102" s="7" t="n">
        <v>6380</v>
      </c>
      <c r="F102" s="7" t="n">
        <v>5540</v>
      </c>
      <c r="G102" s="8" t="n">
        <v>840</v>
      </c>
      <c r="H102" s="7" t="s">
        <v>11</v>
      </c>
      <c r="I102" s="7" t="s">
        <v>18</v>
      </c>
      <c r="J102" s="0" t="s">
        <v>13</v>
      </c>
    </row>
    <row r="103" customFormat="false" ht="13.8" hidden="false" customHeight="false" outlineLevel="0" collapsed="false">
      <c r="A103" s="5" t="n">
        <v>44522</v>
      </c>
      <c r="B103" s="6" t="n">
        <v>0.259027777777778</v>
      </c>
      <c r="C103" s="7" t="n">
        <v>146536</v>
      </c>
      <c r="D103" s="7" t="s">
        <v>15</v>
      </c>
      <c r="E103" s="7" t="n">
        <v>23960</v>
      </c>
      <c r="F103" s="7" t="n">
        <v>15740</v>
      </c>
      <c r="G103" s="8" t="n">
        <v>8220</v>
      </c>
      <c r="H103" s="7" t="s">
        <v>11</v>
      </c>
      <c r="I103" s="7" t="s">
        <v>12</v>
      </c>
      <c r="J103" s="0" t="s">
        <v>13</v>
      </c>
    </row>
    <row r="104" customFormat="false" ht="13.8" hidden="false" customHeight="false" outlineLevel="0" collapsed="false">
      <c r="A104" s="5" t="n">
        <v>44522</v>
      </c>
      <c r="B104" s="6" t="n">
        <v>0.196527777777778</v>
      </c>
      <c r="C104" s="7" t="n">
        <v>146532</v>
      </c>
      <c r="D104" s="7" t="s">
        <v>14</v>
      </c>
      <c r="E104" s="7" t="n">
        <v>16480</v>
      </c>
      <c r="F104" s="7" t="n">
        <v>12700</v>
      </c>
      <c r="G104" s="8" t="n">
        <v>3780</v>
      </c>
      <c r="H104" s="7" t="s">
        <v>11</v>
      </c>
      <c r="I104" s="7" t="s">
        <v>12</v>
      </c>
      <c r="J104" s="0" t="s">
        <v>13</v>
      </c>
    </row>
    <row r="105" customFormat="false" ht="13.8" hidden="false" customHeight="false" outlineLevel="0" collapsed="false">
      <c r="A105" s="5" t="n">
        <v>44522</v>
      </c>
      <c r="B105" s="6" t="n">
        <v>0.257638888888889</v>
      </c>
      <c r="C105" s="9" t="n">
        <v>146535</v>
      </c>
      <c r="D105" s="7" t="s">
        <v>10</v>
      </c>
      <c r="E105" s="7" t="n">
        <v>4140</v>
      </c>
      <c r="F105" s="7" t="n">
        <v>3760</v>
      </c>
      <c r="G105" s="8" t="n">
        <v>380</v>
      </c>
      <c r="H105" s="7" t="s">
        <v>11</v>
      </c>
      <c r="I105" s="7" t="s">
        <v>12</v>
      </c>
      <c r="J105" s="0" t="s">
        <v>13</v>
      </c>
    </row>
    <row r="106" customFormat="false" ht="13.8" hidden="false" customHeight="false" outlineLevel="0" collapsed="false">
      <c r="A106" s="5" t="n">
        <v>44522</v>
      </c>
      <c r="B106" s="6" t="n">
        <v>0.500694444444445</v>
      </c>
      <c r="C106" s="7" t="n">
        <v>129716</v>
      </c>
      <c r="D106" s="7" t="s">
        <v>15</v>
      </c>
      <c r="E106" s="7" t="n">
        <v>17380</v>
      </c>
      <c r="F106" s="7" t="n">
        <v>15700</v>
      </c>
      <c r="G106" s="8" t="n">
        <v>1680</v>
      </c>
      <c r="H106" s="7" t="s">
        <v>11</v>
      </c>
      <c r="I106" s="7" t="s">
        <v>19</v>
      </c>
      <c r="J106" s="0" t="s">
        <v>13</v>
      </c>
    </row>
    <row r="107" customFormat="false" ht="13.8" hidden="false" customHeight="false" outlineLevel="0" collapsed="false">
      <c r="A107" s="5" t="n">
        <v>44522</v>
      </c>
      <c r="B107" s="6" t="n">
        <v>0.504166666666667</v>
      </c>
      <c r="C107" s="7" t="n">
        <v>146557</v>
      </c>
      <c r="D107" s="7" t="s">
        <v>24</v>
      </c>
      <c r="E107" s="7" t="n">
        <v>2720</v>
      </c>
      <c r="F107" s="7" t="n">
        <v>2380</v>
      </c>
      <c r="G107" s="8" t="n">
        <v>340</v>
      </c>
      <c r="H107" s="7" t="s">
        <v>11</v>
      </c>
      <c r="I107" s="7" t="s">
        <v>12</v>
      </c>
      <c r="J107" s="0" t="s">
        <v>13</v>
      </c>
    </row>
    <row r="108" customFormat="false" ht="13.8" hidden="false" customHeight="false" outlineLevel="0" collapsed="false">
      <c r="A108" s="5" t="n">
        <v>44522</v>
      </c>
      <c r="B108" s="6" t="n">
        <v>0.552777777777778</v>
      </c>
      <c r="C108" s="7" t="n">
        <v>129728</v>
      </c>
      <c r="D108" s="7" t="s">
        <v>16</v>
      </c>
      <c r="E108" s="7" t="n">
        <v>3340</v>
      </c>
      <c r="F108" s="7" t="n">
        <v>3020</v>
      </c>
      <c r="G108" s="8" t="n">
        <v>320</v>
      </c>
      <c r="H108" s="7" t="s">
        <v>11</v>
      </c>
      <c r="I108" s="7" t="s">
        <v>23</v>
      </c>
      <c r="J108" s="0" t="s">
        <v>13</v>
      </c>
    </row>
    <row r="109" customFormat="false" ht="13.8" hidden="false" customHeight="false" outlineLevel="0" collapsed="false">
      <c r="A109" s="5" t="n">
        <v>44523</v>
      </c>
      <c r="B109" s="6" t="n">
        <v>0.259027777777778</v>
      </c>
      <c r="C109" s="7" t="n">
        <v>146587</v>
      </c>
      <c r="D109" s="7" t="s">
        <v>10</v>
      </c>
      <c r="E109" s="7" t="n">
        <v>4140</v>
      </c>
      <c r="F109" s="7" t="n">
        <v>3760</v>
      </c>
      <c r="G109" s="8" t="n">
        <v>380</v>
      </c>
      <c r="H109" s="7" t="s">
        <v>11</v>
      </c>
      <c r="I109" s="7" t="s">
        <v>12</v>
      </c>
      <c r="J109" s="0" t="s">
        <v>13</v>
      </c>
    </row>
    <row r="110" customFormat="false" ht="13.8" hidden="false" customHeight="false" outlineLevel="0" collapsed="false">
      <c r="A110" s="5" t="n">
        <v>44523</v>
      </c>
      <c r="B110" s="6" t="n">
        <v>0.191666666666667</v>
      </c>
      <c r="C110" s="7" t="n">
        <v>146581</v>
      </c>
      <c r="D110" s="7" t="s">
        <v>14</v>
      </c>
      <c r="E110" s="7" t="n">
        <v>16460</v>
      </c>
      <c r="F110" s="7" t="n">
        <v>12700</v>
      </c>
      <c r="G110" s="8" t="n">
        <v>3760</v>
      </c>
      <c r="H110" s="7" t="s">
        <v>11</v>
      </c>
      <c r="I110" s="7" t="s">
        <v>12</v>
      </c>
      <c r="J110" s="0" t="s">
        <v>13</v>
      </c>
    </row>
    <row r="111" customFormat="false" ht="13.8" hidden="false" customHeight="false" outlineLevel="0" collapsed="false">
      <c r="A111" s="5" t="n">
        <v>44523</v>
      </c>
      <c r="B111" s="6" t="n">
        <v>0.252083333333333</v>
      </c>
      <c r="C111" s="7" t="n">
        <v>146586</v>
      </c>
      <c r="D111" s="7" t="s">
        <v>15</v>
      </c>
      <c r="E111" s="7" t="n">
        <v>23440</v>
      </c>
      <c r="F111" s="7" t="n">
        <v>15920</v>
      </c>
      <c r="G111" s="8" t="n">
        <v>7520</v>
      </c>
      <c r="H111" s="7" t="s">
        <v>11</v>
      </c>
      <c r="I111" s="7" t="s">
        <v>12</v>
      </c>
      <c r="J111" s="0" t="s">
        <v>13</v>
      </c>
    </row>
    <row r="112" customFormat="false" ht="13.8" hidden="false" customHeight="false" outlineLevel="0" collapsed="false">
      <c r="A112" s="5" t="n">
        <v>44523</v>
      </c>
      <c r="B112" s="6" t="n">
        <v>0.459722222222222</v>
      </c>
      <c r="C112" s="7" t="n">
        <v>129796</v>
      </c>
      <c r="D112" s="7" t="s">
        <v>25</v>
      </c>
      <c r="E112" s="7" t="n">
        <v>18100</v>
      </c>
      <c r="F112" s="7" t="n">
        <v>16700</v>
      </c>
      <c r="G112" s="8" t="n">
        <v>1400</v>
      </c>
      <c r="H112" s="7" t="s">
        <v>11</v>
      </c>
      <c r="I112" s="7" t="s">
        <v>19</v>
      </c>
    </row>
    <row r="113" customFormat="false" ht="13.8" hidden="false" customHeight="false" outlineLevel="0" collapsed="false">
      <c r="A113" s="5" t="n">
        <v>44524</v>
      </c>
      <c r="B113" s="6" t="n">
        <v>0.198611111111111</v>
      </c>
      <c r="C113" s="7" t="n">
        <v>146623</v>
      </c>
      <c r="D113" s="7" t="s">
        <v>26</v>
      </c>
      <c r="E113" s="7" t="n">
        <v>18120</v>
      </c>
      <c r="F113" s="7" t="n">
        <v>12820</v>
      </c>
      <c r="G113" s="8" t="n">
        <v>5300</v>
      </c>
      <c r="H113" s="7" t="s">
        <v>11</v>
      </c>
      <c r="I113" s="7" t="s">
        <v>12</v>
      </c>
      <c r="J113" s="0" t="s">
        <v>13</v>
      </c>
    </row>
    <row r="114" customFormat="false" ht="13.8" hidden="false" customHeight="false" outlineLevel="0" collapsed="false">
      <c r="A114" s="5" t="n">
        <v>44524</v>
      </c>
      <c r="B114" s="6" t="n">
        <v>0.245138888888889</v>
      </c>
      <c r="C114" s="7" t="n">
        <v>146626</v>
      </c>
      <c r="D114" s="7" t="s">
        <v>15</v>
      </c>
      <c r="E114" s="7" t="n">
        <v>22900</v>
      </c>
      <c r="F114" s="7" t="n">
        <v>16240</v>
      </c>
      <c r="G114" s="8" t="n">
        <v>6660</v>
      </c>
      <c r="H114" s="7" t="s">
        <v>11</v>
      </c>
      <c r="I114" s="7" t="s">
        <v>12</v>
      </c>
      <c r="J114" s="0" t="s">
        <v>13</v>
      </c>
    </row>
    <row r="115" customFormat="false" ht="13.8" hidden="false" customHeight="false" outlineLevel="0" collapsed="false">
      <c r="A115" s="5" t="n">
        <v>44524</v>
      </c>
      <c r="B115" s="6" t="n">
        <v>0.258333333333333</v>
      </c>
      <c r="C115" s="7" t="n">
        <v>146628</v>
      </c>
      <c r="D115" s="7" t="s">
        <v>10</v>
      </c>
      <c r="E115" s="7" t="n">
        <v>4140</v>
      </c>
      <c r="F115" s="7" t="n">
        <v>3780</v>
      </c>
      <c r="G115" s="8" t="n">
        <v>360</v>
      </c>
      <c r="H115" s="7" t="s">
        <v>11</v>
      </c>
      <c r="I115" s="7" t="s">
        <v>12</v>
      </c>
      <c r="J115" s="0" t="s">
        <v>13</v>
      </c>
    </row>
    <row r="116" customFormat="false" ht="13.8" hidden="false" customHeight="false" outlineLevel="0" collapsed="false">
      <c r="A116" s="5" t="n">
        <v>44524</v>
      </c>
      <c r="B116" s="6" t="n">
        <v>0.51875</v>
      </c>
      <c r="C116" s="7" t="n">
        <v>129963</v>
      </c>
      <c r="D116" s="7" t="s">
        <v>17</v>
      </c>
      <c r="E116" s="7" t="n">
        <v>7060</v>
      </c>
      <c r="F116" s="7" t="n">
        <v>5620</v>
      </c>
      <c r="G116" s="8" t="n">
        <v>1440</v>
      </c>
      <c r="H116" s="7" t="s">
        <v>11</v>
      </c>
      <c r="I116" s="7" t="s">
        <v>18</v>
      </c>
      <c r="J116" s="0" t="s">
        <v>13</v>
      </c>
    </row>
    <row r="117" customFormat="false" ht="13.8" hidden="false" customHeight="false" outlineLevel="0" collapsed="false">
      <c r="A117" s="5" t="n">
        <v>44524</v>
      </c>
      <c r="B117" s="6" t="n">
        <v>0.361805555555556</v>
      </c>
      <c r="C117" s="7" t="n">
        <v>129893</v>
      </c>
      <c r="D117" s="7" t="s">
        <v>17</v>
      </c>
      <c r="E117" s="7" t="n">
        <v>6720</v>
      </c>
      <c r="F117" s="7" t="n">
        <v>5540</v>
      </c>
      <c r="G117" s="8" t="n">
        <v>1180</v>
      </c>
      <c r="H117" s="7" t="s">
        <v>11</v>
      </c>
      <c r="I117" s="7" t="s">
        <v>18</v>
      </c>
      <c r="J117" s="0" t="s">
        <v>13</v>
      </c>
    </row>
    <row r="118" customFormat="false" ht="13.8" hidden="false" customHeight="false" outlineLevel="0" collapsed="false">
      <c r="A118" s="5" t="n">
        <v>44523</v>
      </c>
      <c r="B118" s="6" t="n">
        <v>0.485416666666667</v>
      </c>
      <c r="C118" s="7" t="n">
        <v>129807</v>
      </c>
      <c r="D118" s="7" t="s">
        <v>22</v>
      </c>
      <c r="E118" s="7" t="n">
        <v>2940</v>
      </c>
      <c r="F118" s="7" t="n">
        <v>2680</v>
      </c>
      <c r="G118" s="8" t="n">
        <v>260</v>
      </c>
      <c r="H118" s="7" t="s">
        <v>11</v>
      </c>
      <c r="I118" s="7" t="s">
        <v>23</v>
      </c>
      <c r="J118" s="0" t="s">
        <v>13</v>
      </c>
    </row>
    <row r="119" customFormat="false" ht="13.8" hidden="false" customHeight="false" outlineLevel="0" collapsed="false">
      <c r="A119" s="5" t="n">
        <v>44524</v>
      </c>
      <c r="B119" s="6" t="n">
        <v>0.545138888888889</v>
      </c>
      <c r="C119" s="7" t="n">
        <v>129973</v>
      </c>
      <c r="D119" s="7" t="s">
        <v>16</v>
      </c>
      <c r="E119" s="7" t="n">
        <v>3260</v>
      </c>
      <c r="F119" s="7" t="n">
        <v>3000</v>
      </c>
      <c r="G119" s="8" t="n">
        <v>260</v>
      </c>
      <c r="H119" s="7" t="s">
        <v>11</v>
      </c>
      <c r="I119" s="7" t="s">
        <v>23</v>
      </c>
      <c r="J119" s="0" t="s">
        <v>13</v>
      </c>
    </row>
    <row r="120" customFormat="false" ht="13.8" hidden="false" customHeight="false" outlineLevel="0" collapsed="false">
      <c r="A120" s="5" t="n">
        <v>44525</v>
      </c>
      <c r="B120" s="6" t="n">
        <v>0.1</v>
      </c>
      <c r="C120" s="7" t="n">
        <v>146663</v>
      </c>
      <c r="D120" s="7" t="s">
        <v>14</v>
      </c>
      <c r="E120" s="7" t="n">
        <v>16360</v>
      </c>
      <c r="F120" s="7" t="n">
        <v>12980</v>
      </c>
      <c r="G120" s="8" t="n">
        <v>3380</v>
      </c>
      <c r="H120" s="7" t="s">
        <v>11</v>
      </c>
      <c r="I120" s="7" t="s">
        <v>12</v>
      </c>
      <c r="J120" s="0" t="s">
        <v>13</v>
      </c>
    </row>
    <row r="121" customFormat="false" ht="13.8" hidden="false" customHeight="false" outlineLevel="0" collapsed="false">
      <c r="A121" s="5" t="n">
        <v>44525</v>
      </c>
      <c r="B121" s="6" t="n">
        <v>0.255555555555556</v>
      </c>
      <c r="C121" s="7" t="n">
        <v>146678</v>
      </c>
      <c r="D121" s="7" t="s">
        <v>10</v>
      </c>
      <c r="E121" s="7" t="n">
        <v>3960</v>
      </c>
      <c r="F121" s="7" t="n">
        <v>3660</v>
      </c>
      <c r="G121" s="8" t="n">
        <v>300</v>
      </c>
      <c r="H121" s="7" t="s">
        <v>11</v>
      </c>
      <c r="I121" s="7" t="s">
        <v>12</v>
      </c>
      <c r="J121" s="0" t="s">
        <v>13</v>
      </c>
    </row>
    <row r="122" customFormat="false" ht="13.8" hidden="false" customHeight="false" outlineLevel="0" collapsed="false">
      <c r="A122" s="5" t="n">
        <v>44525</v>
      </c>
      <c r="B122" s="6" t="n">
        <v>0.258333333333333</v>
      </c>
      <c r="C122" s="7" t="n">
        <v>146679</v>
      </c>
      <c r="D122" s="7" t="s">
        <v>15</v>
      </c>
      <c r="E122" s="7" t="n">
        <v>22500</v>
      </c>
      <c r="F122" s="7" t="n">
        <v>16540</v>
      </c>
      <c r="G122" s="8" t="n">
        <v>5960</v>
      </c>
      <c r="H122" s="7" t="s">
        <v>11</v>
      </c>
      <c r="I122" s="7" t="s">
        <v>12</v>
      </c>
      <c r="J122" s="0" t="s">
        <v>13</v>
      </c>
    </row>
    <row r="123" customFormat="false" ht="13.8" hidden="false" customHeight="false" outlineLevel="0" collapsed="false">
      <c r="A123" s="5" t="n">
        <v>44525</v>
      </c>
      <c r="B123" s="6" t="n">
        <v>0.305555555555555</v>
      </c>
      <c r="C123" s="7" t="n">
        <v>146683</v>
      </c>
      <c r="D123" s="7" t="s">
        <v>25</v>
      </c>
      <c r="E123" s="7" t="n">
        <v>26140</v>
      </c>
      <c r="F123" s="7" t="n">
        <v>15300</v>
      </c>
      <c r="G123" s="8" t="n">
        <v>10840</v>
      </c>
      <c r="H123" s="7" t="s">
        <v>11</v>
      </c>
      <c r="I123" s="7" t="s">
        <v>27</v>
      </c>
      <c r="J123" s="0" t="s">
        <v>13</v>
      </c>
    </row>
    <row r="124" customFormat="false" ht="13.8" hidden="false" customHeight="false" outlineLevel="0" collapsed="false">
      <c r="A124" s="5" t="n">
        <v>44525</v>
      </c>
      <c r="B124" s="6" t="n">
        <v>0.527083333333333</v>
      </c>
      <c r="C124" s="7" t="n">
        <v>130067</v>
      </c>
      <c r="D124" s="7" t="s">
        <v>17</v>
      </c>
      <c r="E124" s="7" t="n">
        <v>6380</v>
      </c>
      <c r="F124" s="7" t="n">
        <v>6340</v>
      </c>
      <c r="G124" s="8" t="n">
        <v>40</v>
      </c>
      <c r="H124" s="7" t="s">
        <v>11</v>
      </c>
      <c r="I124" s="7" t="s">
        <v>18</v>
      </c>
      <c r="J124" s="0" t="s">
        <v>13</v>
      </c>
    </row>
    <row r="125" customFormat="false" ht="13.8" hidden="false" customHeight="false" outlineLevel="0" collapsed="false">
      <c r="A125" s="5" t="n">
        <v>44525</v>
      </c>
      <c r="B125" s="6" t="n">
        <v>0.525</v>
      </c>
      <c r="C125" s="7" t="n">
        <v>130066</v>
      </c>
      <c r="D125" s="7" t="s">
        <v>17</v>
      </c>
      <c r="E125" s="7" t="n">
        <v>6340</v>
      </c>
      <c r="F125" s="7" t="n">
        <v>5580</v>
      </c>
      <c r="G125" s="8" t="n">
        <v>760</v>
      </c>
      <c r="H125" s="7" t="s">
        <v>11</v>
      </c>
      <c r="I125" s="7" t="s">
        <v>18</v>
      </c>
      <c r="J125" s="0" t="s">
        <v>13</v>
      </c>
    </row>
    <row r="126" customFormat="false" ht="13.8" hidden="false" customHeight="false" outlineLevel="0" collapsed="false">
      <c r="A126" s="5" t="n">
        <v>44525</v>
      </c>
      <c r="B126" s="6" t="n">
        <v>0.544444444444444</v>
      </c>
      <c r="C126" s="7" t="n">
        <v>130076</v>
      </c>
      <c r="D126" s="7" t="s">
        <v>16</v>
      </c>
      <c r="E126" s="7" t="n">
        <v>3560</v>
      </c>
      <c r="F126" s="7" t="n">
        <v>3000</v>
      </c>
      <c r="G126" s="8" t="n">
        <v>560</v>
      </c>
      <c r="H126" s="7" t="s">
        <v>11</v>
      </c>
      <c r="I126" s="7" t="s">
        <v>23</v>
      </c>
      <c r="J126" s="0" t="s">
        <v>13</v>
      </c>
    </row>
    <row r="127" customFormat="false" ht="13.8" hidden="false" customHeight="false" outlineLevel="0" collapsed="false">
      <c r="A127" s="5" t="n">
        <v>44525</v>
      </c>
      <c r="B127" s="6" t="n">
        <v>0.554166666666667</v>
      </c>
      <c r="C127" s="7" t="n">
        <v>130078</v>
      </c>
      <c r="D127" s="7" t="s">
        <v>22</v>
      </c>
      <c r="E127" s="7" t="n">
        <v>2980</v>
      </c>
      <c r="F127" s="7" t="n">
        <v>2680</v>
      </c>
      <c r="G127" s="8" t="n">
        <v>300</v>
      </c>
      <c r="H127" s="7" t="s">
        <v>11</v>
      </c>
      <c r="I127" s="7" t="s">
        <v>23</v>
      </c>
      <c r="J127" s="0" t="s">
        <v>13</v>
      </c>
    </row>
    <row r="128" customFormat="false" ht="13.8" hidden="false" customHeight="false" outlineLevel="0" collapsed="false">
      <c r="A128" s="5" t="n">
        <v>44526</v>
      </c>
      <c r="B128" s="6" t="n">
        <v>0.154861111111111</v>
      </c>
      <c r="C128" s="7" t="n">
        <v>146710</v>
      </c>
      <c r="D128" s="7" t="s">
        <v>14</v>
      </c>
      <c r="E128" s="7" t="n">
        <v>17660</v>
      </c>
      <c r="F128" s="7" t="n">
        <v>12660</v>
      </c>
      <c r="G128" s="8" t="n">
        <v>5000</v>
      </c>
      <c r="H128" s="7" t="s">
        <v>11</v>
      </c>
      <c r="I128" s="7" t="s">
        <v>12</v>
      </c>
      <c r="J128" s="0" t="s">
        <v>13</v>
      </c>
    </row>
    <row r="129" customFormat="false" ht="13.8" hidden="false" customHeight="false" outlineLevel="0" collapsed="false">
      <c r="A129" s="5" t="n">
        <v>44526</v>
      </c>
      <c r="B129" s="6" t="n">
        <v>0.247916666666667</v>
      </c>
      <c r="C129" s="7" t="n">
        <v>146715</v>
      </c>
      <c r="D129" s="7" t="s">
        <v>15</v>
      </c>
      <c r="E129" s="7" t="n">
        <v>26820</v>
      </c>
      <c r="F129" s="7" t="n">
        <v>16340</v>
      </c>
      <c r="G129" s="8" t="n">
        <v>10480</v>
      </c>
      <c r="H129" s="7" t="s">
        <v>11</v>
      </c>
      <c r="I129" s="7" t="s">
        <v>12</v>
      </c>
      <c r="J129" s="0" t="s">
        <v>13</v>
      </c>
    </row>
    <row r="130" customFormat="false" ht="13.8" hidden="false" customHeight="false" outlineLevel="0" collapsed="false">
      <c r="A130" s="5" t="n">
        <v>44526</v>
      </c>
      <c r="B130" s="6" t="n">
        <v>0.261111111111111</v>
      </c>
      <c r="C130" s="7" t="n">
        <v>146716</v>
      </c>
      <c r="D130" s="7" t="s">
        <v>10</v>
      </c>
      <c r="E130" s="7" t="n">
        <v>4020</v>
      </c>
      <c r="F130" s="7" t="n">
        <v>3760</v>
      </c>
      <c r="G130" s="8" t="n">
        <v>260</v>
      </c>
      <c r="H130" s="7" t="s">
        <v>11</v>
      </c>
      <c r="I130" s="7" t="s">
        <v>12</v>
      </c>
      <c r="J130" s="0" t="s">
        <v>13</v>
      </c>
    </row>
    <row r="131" customFormat="false" ht="13.8" hidden="false" customHeight="false" outlineLevel="0" collapsed="false">
      <c r="A131" s="5" t="n">
        <v>44527</v>
      </c>
      <c r="B131" s="6" t="n">
        <v>0.159722222222222</v>
      </c>
      <c r="C131" s="7" t="n">
        <v>146739</v>
      </c>
      <c r="D131" s="7" t="s">
        <v>14</v>
      </c>
      <c r="E131" s="7" t="n">
        <v>17520</v>
      </c>
      <c r="F131" s="7" t="n">
        <v>12640</v>
      </c>
      <c r="G131" s="8" t="n">
        <v>4880</v>
      </c>
      <c r="H131" s="7" t="s">
        <v>11</v>
      </c>
      <c r="I131" s="7" t="s">
        <v>12</v>
      </c>
      <c r="J131" s="0" t="s">
        <v>13</v>
      </c>
    </row>
    <row r="132" customFormat="false" ht="13.8" hidden="false" customHeight="false" outlineLevel="0" collapsed="false">
      <c r="A132" s="5" t="n">
        <v>44527</v>
      </c>
      <c r="B132" s="6" t="n">
        <v>0.0256944444444444</v>
      </c>
      <c r="C132" s="7" t="n">
        <v>146743</v>
      </c>
      <c r="D132" s="7" t="s">
        <v>15</v>
      </c>
      <c r="E132" s="7" t="n">
        <v>23080</v>
      </c>
      <c r="F132" s="7" t="n">
        <v>15760</v>
      </c>
      <c r="G132" s="8" t="n">
        <v>7320</v>
      </c>
      <c r="H132" s="7" t="s">
        <v>11</v>
      </c>
      <c r="I132" s="7" t="s">
        <v>12</v>
      </c>
      <c r="J132" s="0" t="s">
        <v>13</v>
      </c>
    </row>
    <row r="133" customFormat="false" ht="13.8" hidden="false" customHeight="false" outlineLevel="0" collapsed="false">
      <c r="A133" s="5" t="n">
        <v>44527</v>
      </c>
      <c r="B133" s="6" t="n">
        <v>0.266666666666667</v>
      </c>
      <c r="C133" s="7" t="n">
        <v>146747</v>
      </c>
      <c r="D133" s="7" t="s">
        <v>10</v>
      </c>
      <c r="E133" s="7" t="n">
        <v>4120</v>
      </c>
      <c r="F133" s="7" t="n">
        <v>3740</v>
      </c>
      <c r="G133" s="8" t="n">
        <v>380</v>
      </c>
      <c r="H133" s="7" t="s">
        <v>11</v>
      </c>
      <c r="I133" s="7" t="s">
        <v>12</v>
      </c>
      <c r="J133" s="0" t="s">
        <v>13</v>
      </c>
    </row>
    <row r="134" customFormat="false" ht="13.8" hidden="false" customHeight="false" outlineLevel="0" collapsed="false">
      <c r="A134" s="5" t="n">
        <v>44528</v>
      </c>
      <c r="B134" s="6" t="n">
        <v>0.120833333333333</v>
      </c>
      <c r="C134" s="7" t="n">
        <v>146768</v>
      </c>
      <c r="D134" s="7" t="s">
        <v>14</v>
      </c>
      <c r="E134" s="7" t="n">
        <v>18540</v>
      </c>
      <c r="F134" s="7" t="n">
        <v>12980</v>
      </c>
      <c r="G134" s="8" t="n">
        <v>5560</v>
      </c>
      <c r="H134" s="7" t="s">
        <v>11</v>
      </c>
      <c r="I134" s="7" t="s">
        <v>12</v>
      </c>
      <c r="J134" s="0" t="s">
        <v>13</v>
      </c>
    </row>
    <row r="135" customFormat="false" ht="13.8" hidden="false" customHeight="false" outlineLevel="0" collapsed="false">
      <c r="A135" s="5" t="n">
        <v>44528</v>
      </c>
      <c r="B135" s="6" t="n">
        <v>0.179861111111111</v>
      </c>
      <c r="C135" s="7" t="n">
        <v>146770</v>
      </c>
      <c r="D135" s="7" t="s">
        <v>15</v>
      </c>
      <c r="E135" s="7" t="n">
        <v>23320</v>
      </c>
      <c r="F135" s="7" t="n">
        <v>15760</v>
      </c>
      <c r="G135" s="8" t="n">
        <v>7560</v>
      </c>
      <c r="H135" s="7" t="s">
        <v>11</v>
      </c>
      <c r="I135" s="7" t="s">
        <v>12</v>
      </c>
      <c r="J135" s="0" t="s">
        <v>13</v>
      </c>
    </row>
    <row r="136" customFormat="false" ht="13.8" hidden="false" customHeight="false" outlineLevel="0" collapsed="false">
      <c r="A136" s="5" t="n">
        <v>44528</v>
      </c>
      <c r="B136" s="6" t="n">
        <v>0.21875</v>
      </c>
      <c r="C136" s="7" t="n">
        <v>146773</v>
      </c>
      <c r="D136" s="7" t="s">
        <v>10</v>
      </c>
      <c r="E136" s="7" t="n">
        <v>4200</v>
      </c>
      <c r="F136" s="7" t="n">
        <v>3780</v>
      </c>
      <c r="G136" s="8" t="n">
        <v>420</v>
      </c>
      <c r="H136" s="7" t="s">
        <v>11</v>
      </c>
      <c r="I136" s="7" t="s">
        <v>12</v>
      </c>
      <c r="J136" s="0" t="s">
        <v>13</v>
      </c>
    </row>
    <row r="137" customFormat="false" ht="13.8" hidden="false" customHeight="false" outlineLevel="0" collapsed="false">
      <c r="A137" s="5" t="n">
        <v>44529</v>
      </c>
      <c r="B137" s="6" t="n">
        <v>0.11875</v>
      </c>
      <c r="C137" s="7" t="n">
        <v>146778</v>
      </c>
      <c r="D137" s="7" t="s">
        <v>14</v>
      </c>
      <c r="E137" s="7" t="n">
        <v>16680</v>
      </c>
      <c r="F137" s="7" t="n">
        <v>13020</v>
      </c>
      <c r="G137" s="8" t="n">
        <v>3660</v>
      </c>
      <c r="H137" s="7" t="s">
        <v>11</v>
      </c>
      <c r="I137" s="7" t="s">
        <v>12</v>
      </c>
      <c r="J137" s="0" t="s">
        <v>13</v>
      </c>
    </row>
    <row r="138" customFormat="false" ht="13.8" hidden="false" customHeight="false" outlineLevel="0" collapsed="false">
      <c r="A138" s="5" t="n">
        <v>44529</v>
      </c>
      <c r="B138" s="6" t="n">
        <v>0.2375</v>
      </c>
      <c r="C138" s="7" t="n">
        <v>146789</v>
      </c>
      <c r="D138" s="7" t="s">
        <v>15</v>
      </c>
      <c r="E138" s="7" t="n">
        <v>22160</v>
      </c>
      <c r="F138" s="7" t="n">
        <v>15760</v>
      </c>
      <c r="G138" s="8" t="n">
        <v>6400</v>
      </c>
      <c r="H138" s="7" t="s">
        <v>11</v>
      </c>
      <c r="I138" s="7" t="s">
        <v>12</v>
      </c>
      <c r="J138" s="0" t="s">
        <v>13</v>
      </c>
    </row>
    <row r="139" customFormat="false" ht="13.8" hidden="false" customHeight="false" outlineLevel="0" collapsed="false">
      <c r="A139" s="5" t="n">
        <v>44529</v>
      </c>
      <c r="B139" s="6" t="n">
        <v>0.260416666666667</v>
      </c>
      <c r="C139" s="7" t="n">
        <v>146790</v>
      </c>
      <c r="D139" s="7" t="s">
        <v>10</v>
      </c>
      <c r="E139" s="7" t="n">
        <v>4280</v>
      </c>
      <c r="F139" s="7" t="n">
        <v>3820</v>
      </c>
      <c r="G139" s="8" t="n">
        <v>460</v>
      </c>
      <c r="H139" s="7" t="s">
        <v>11</v>
      </c>
      <c r="I139" s="7" t="s">
        <v>12</v>
      </c>
      <c r="J139" s="0" t="s">
        <v>13</v>
      </c>
    </row>
    <row r="140" customFormat="false" ht="13.8" hidden="false" customHeight="false" outlineLevel="0" collapsed="false">
      <c r="A140" s="5" t="n">
        <v>44526</v>
      </c>
      <c r="B140" s="6" t="n">
        <v>0.519444444444444</v>
      </c>
      <c r="C140" s="7" t="n">
        <v>130151</v>
      </c>
      <c r="D140" s="7" t="s">
        <v>17</v>
      </c>
      <c r="E140" s="7" t="n">
        <v>6600</v>
      </c>
      <c r="F140" s="7" t="n">
        <v>6540</v>
      </c>
      <c r="G140" s="8" t="n">
        <v>60</v>
      </c>
      <c r="H140" s="7" t="s">
        <v>11</v>
      </c>
      <c r="I140" s="7" t="s">
        <v>18</v>
      </c>
      <c r="J140" s="0" t="s">
        <v>13</v>
      </c>
    </row>
    <row r="141" customFormat="false" ht="13.8" hidden="false" customHeight="false" outlineLevel="0" collapsed="false">
      <c r="A141" s="5" t="n">
        <v>44526</v>
      </c>
      <c r="B141" s="6" t="n">
        <v>0.519444444444444</v>
      </c>
      <c r="C141" s="7" t="n">
        <v>130150</v>
      </c>
      <c r="D141" s="7" t="s">
        <v>17</v>
      </c>
      <c r="E141" s="7" t="n">
        <v>6540</v>
      </c>
      <c r="F141" s="7" t="n">
        <v>5540</v>
      </c>
      <c r="G141" s="8" t="n">
        <v>1000</v>
      </c>
      <c r="H141" s="7" t="s">
        <v>11</v>
      </c>
      <c r="I141" s="7" t="s">
        <v>18</v>
      </c>
      <c r="J141" s="0" t="s">
        <v>13</v>
      </c>
    </row>
    <row r="142" customFormat="false" ht="13.8" hidden="false" customHeight="false" outlineLevel="0" collapsed="false">
      <c r="A142" s="5" t="n">
        <v>44526</v>
      </c>
      <c r="B142" s="6" t="n">
        <v>0.322916666666667</v>
      </c>
      <c r="C142" s="7" t="n">
        <v>130101</v>
      </c>
      <c r="D142" s="7" t="s">
        <v>21</v>
      </c>
      <c r="E142" s="7" t="n">
        <v>17340</v>
      </c>
      <c r="F142" s="7" t="n">
        <v>15620</v>
      </c>
      <c r="G142" s="7" t="n">
        <v>1720</v>
      </c>
      <c r="H142" s="7" t="s">
        <v>11</v>
      </c>
      <c r="I142" s="7" t="s">
        <v>18</v>
      </c>
    </row>
    <row r="143" customFormat="false" ht="13.8" hidden="false" customHeight="false" outlineLevel="0" collapsed="false">
      <c r="A143" s="5" t="n">
        <v>44529</v>
      </c>
      <c r="B143" s="6" t="n">
        <v>0.472916666666667</v>
      </c>
      <c r="C143" s="7" t="n">
        <v>130239</v>
      </c>
      <c r="D143" s="7" t="s">
        <v>17</v>
      </c>
      <c r="E143" s="7" t="n">
        <v>6380</v>
      </c>
      <c r="F143" s="7" t="n">
        <v>6300</v>
      </c>
      <c r="G143" s="7" t="n">
        <v>80</v>
      </c>
      <c r="H143" s="7" t="s">
        <v>11</v>
      </c>
      <c r="I143" s="7" t="s">
        <v>18</v>
      </c>
      <c r="J143" s="0" t="s">
        <v>13</v>
      </c>
    </row>
    <row r="144" customFormat="false" ht="13.8" hidden="false" customHeight="false" outlineLevel="0" collapsed="false">
      <c r="A144" s="5" t="n">
        <v>44529</v>
      </c>
      <c r="B144" s="6" t="n">
        <v>0.472916666666667</v>
      </c>
      <c r="C144" s="7" t="n">
        <v>130238</v>
      </c>
      <c r="D144" s="7" t="s">
        <v>17</v>
      </c>
      <c r="E144" s="7" t="n">
        <v>6300</v>
      </c>
      <c r="F144" s="7" t="n">
        <v>5560</v>
      </c>
      <c r="G144" s="7" t="n">
        <v>740</v>
      </c>
      <c r="H144" s="7" t="s">
        <v>11</v>
      </c>
      <c r="I144" s="7" t="s">
        <v>18</v>
      </c>
      <c r="J144" s="0" t="s">
        <v>13</v>
      </c>
    </row>
    <row r="145" customFormat="false" ht="15" hidden="false" customHeight="false" outlineLevel="0" collapsed="false">
      <c r="A145" s="5" t="n">
        <v>44529</v>
      </c>
      <c r="B145" s="6" t="n">
        <v>0.539583333333333</v>
      </c>
      <c r="C145" s="7" t="n">
        <v>130253</v>
      </c>
      <c r="D145" s="7" t="s">
        <v>22</v>
      </c>
      <c r="E145" s="7" t="n">
        <v>3200</v>
      </c>
      <c r="F145" s="7" t="n">
        <v>2820</v>
      </c>
      <c r="G145" s="7" t="n">
        <v>380</v>
      </c>
      <c r="H145" s="7" t="s">
        <v>11</v>
      </c>
      <c r="I145" s="7" t="s">
        <v>23</v>
      </c>
      <c r="J145" s="0" t="s">
        <v>13</v>
      </c>
    </row>
    <row r="146" customFormat="false" ht="15" hidden="false" customHeight="false" outlineLevel="0" collapsed="false">
      <c r="A146" s="5" t="n">
        <v>44529</v>
      </c>
      <c r="B146" s="6" t="n">
        <v>0.4375</v>
      </c>
      <c r="C146" s="7" t="n">
        <v>146802</v>
      </c>
      <c r="D146" s="7" t="s">
        <v>24</v>
      </c>
      <c r="E146" s="7" t="n">
        <v>2720</v>
      </c>
      <c r="F146" s="7" t="n">
        <v>2420</v>
      </c>
      <c r="G146" s="7" t="n">
        <v>300</v>
      </c>
      <c r="H146" s="7" t="s">
        <v>11</v>
      </c>
      <c r="I146" s="7" t="s">
        <v>12</v>
      </c>
      <c r="J146" s="0" t="s">
        <v>13</v>
      </c>
    </row>
    <row r="147" customFormat="false" ht="15" hidden="false" customHeight="false" outlineLevel="0" collapsed="false">
      <c r="A147" s="5" t="n">
        <v>44529</v>
      </c>
      <c r="B147" s="6" t="n">
        <v>0.523611111111111</v>
      </c>
      <c r="C147" s="7" t="n">
        <v>146807</v>
      </c>
      <c r="D147" s="7" t="s">
        <v>24</v>
      </c>
      <c r="E147" s="7" t="n">
        <v>2660</v>
      </c>
      <c r="F147" s="7" t="n">
        <v>2400</v>
      </c>
      <c r="G147" s="7" t="n">
        <v>260</v>
      </c>
      <c r="H147" s="7" t="s">
        <v>11</v>
      </c>
      <c r="I147" s="7" t="s">
        <v>12</v>
      </c>
      <c r="J147" s="0" t="s">
        <v>13</v>
      </c>
    </row>
    <row r="148" customFormat="false" ht="15" hidden="false" customHeight="false" outlineLevel="0" collapsed="false">
      <c r="A148" s="5" t="n">
        <v>44529</v>
      </c>
      <c r="B148" s="6" t="n">
        <v>0.449305555555556</v>
      </c>
      <c r="C148" s="7" t="n">
        <v>2326</v>
      </c>
      <c r="D148" s="7" t="s">
        <v>15</v>
      </c>
      <c r="E148" s="7" t="n">
        <v>17540</v>
      </c>
      <c r="F148" s="7" t="n">
        <v>16000</v>
      </c>
      <c r="G148" s="7" t="n">
        <v>1540</v>
      </c>
      <c r="H148" s="7" t="s">
        <v>11</v>
      </c>
      <c r="I148" s="7" t="s">
        <v>20</v>
      </c>
      <c r="J148" s="0" t="s">
        <v>13</v>
      </c>
    </row>
    <row r="149" customFormat="false" ht="15" hidden="false" customHeight="false" outlineLevel="0" collapsed="false">
      <c r="A149" s="5" t="n">
        <v>44530</v>
      </c>
      <c r="B149" s="6" t="n">
        <v>0.120138888888889</v>
      </c>
      <c r="C149" s="7" t="n">
        <v>146829</v>
      </c>
      <c r="D149" s="7" t="s">
        <v>14</v>
      </c>
      <c r="E149" s="7" t="n">
        <v>18040</v>
      </c>
      <c r="F149" s="7" t="n">
        <v>12940</v>
      </c>
      <c r="G149" s="7" t="n">
        <v>5100</v>
      </c>
      <c r="H149" s="7" t="s">
        <v>11</v>
      </c>
      <c r="I149" s="7" t="s">
        <v>12</v>
      </c>
      <c r="J149" s="0" t="s">
        <v>13</v>
      </c>
    </row>
    <row r="150" customFormat="false" ht="15" hidden="false" customHeight="false" outlineLevel="0" collapsed="false">
      <c r="A150" s="5" t="n">
        <v>44530</v>
      </c>
      <c r="B150" s="6" t="n">
        <v>0.221527777777778</v>
      </c>
      <c r="C150" s="7" t="n">
        <v>146835</v>
      </c>
      <c r="D150" s="7" t="s">
        <v>15</v>
      </c>
      <c r="E150" s="7" t="n">
        <v>24060</v>
      </c>
      <c r="F150" s="7" t="n">
        <v>15920</v>
      </c>
      <c r="G150" s="7" t="n">
        <v>8140</v>
      </c>
      <c r="H150" s="7" t="s">
        <v>11</v>
      </c>
      <c r="I150" s="7" t="s">
        <v>12</v>
      </c>
      <c r="J150" s="0" t="s">
        <v>13</v>
      </c>
    </row>
    <row r="151" customFormat="false" ht="15" hidden="false" customHeight="false" outlineLevel="0" collapsed="false">
      <c r="A151" s="5" t="n">
        <v>44530</v>
      </c>
      <c r="B151" s="6" t="n">
        <v>0.257638888888889</v>
      </c>
      <c r="C151" s="7" t="n">
        <v>146838</v>
      </c>
      <c r="D151" s="7" t="s">
        <v>10</v>
      </c>
      <c r="E151" s="7" t="n">
        <v>4060</v>
      </c>
      <c r="F151" s="7" t="n">
        <v>3800</v>
      </c>
      <c r="G151" s="7" t="n">
        <v>260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44530</v>
      </c>
      <c r="B152" s="6" t="n">
        <v>0.340972222222222</v>
      </c>
      <c r="C152" s="7" t="n">
        <v>146843</v>
      </c>
      <c r="D152" s="7" t="s">
        <v>17</v>
      </c>
      <c r="E152" s="7" t="n">
        <v>9680</v>
      </c>
      <c r="F152" s="7" t="n">
        <v>5200</v>
      </c>
      <c r="G152" s="7" t="n">
        <v>4480</v>
      </c>
      <c r="H152" s="7" t="s">
        <v>11</v>
      </c>
      <c r="I152" s="7" t="s">
        <v>27</v>
      </c>
      <c r="J152" s="0" t="s">
        <v>13</v>
      </c>
    </row>
    <row r="153" customFormat="false" ht="15" hidden="false" customHeight="false" outlineLevel="0" collapsed="false">
      <c r="A153" s="5" t="n">
        <v>44530</v>
      </c>
      <c r="B153" s="6" t="n">
        <v>0.3625</v>
      </c>
      <c r="C153" s="7" t="n">
        <v>146845</v>
      </c>
      <c r="D153" s="7" t="s">
        <v>17</v>
      </c>
      <c r="E153" s="7" t="n">
        <v>10280</v>
      </c>
      <c r="F153" s="7" t="n">
        <v>5500</v>
      </c>
      <c r="G153" s="7" t="n">
        <v>4780</v>
      </c>
      <c r="H153" s="7" t="s">
        <v>11</v>
      </c>
      <c r="I153" s="7" t="s">
        <v>27</v>
      </c>
      <c r="J153" s="0" t="s">
        <v>13</v>
      </c>
    </row>
    <row r="154" customFormat="false" ht="15" hidden="false" customHeight="false" outlineLevel="0" collapsed="false">
      <c r="A154" s="5" t="n">
        <v>44530</v>
      </c>
      <c r="B154" s="6" t="n">
        <v>0.434722222222222</v>
      </c>
      <c r="C154" s="7" t="n">
        <v>146849</v>
      </c>
      <c r="D154" s="7" t="s">
        <v>24</v>
      </c>
      <c r="E154" s="7" t="n">
        <v>2700</v>
      </c>
      <c r="F154" s="7" t="n">
        <v>2400</v>
      </c>
      <c r="G154" s="7" t="n">
        <v>300</v>
      </c>
      <c r="H154" s="7" t="s">
        <v>11</v>
      </c>
      <c r="I154" s="7" t="s">
        <v>12</v>
      </c>
      <c r="J154" s="0" t="s">
        <v>13</v>
      </c>
    </row>
    <row r="155" customFormat="false" ht="15" hidden="false" customHeight="false" outlineLevel="0" collapsed="false">
      <c r="A155" s="5" t="n">
        <v>44530</v>
      </c>
      <c r="B155" s="6" t="n">
        <v>0.538888888888889</v>
      </c>
      <c r="C155" s="7" t="n">
        <v>130317</v>
      </c>
      <c r="D155" s="7" t="s">
        <v>16</v>
      </c>
      <c r="E155" s="7" t="n">
        <v>3960</v>
      </c>
      <c r="F155" s="7" t="n">
        <v>2900</v>
      </c>
      <c r="G155" s="7" t="n">
        <v>1060</v>
      </c>
      <c r="H155" s="7" t="s">
        <v>11</v>
      </c>
      <c r="I155" s="7" t="s">
        <v>23</v>
      </c>
      <c r="J155" s="0" t="s">
        <v>13</v>
      </c>
    </row>
    <row r="156" customFormat="false" ht="15" hidden="false" customHeight="false" outlineLevel="0" collapsed="false">
      <c r="A156" s="5" t="n">
        <v>44526</v>
      </c>
      <c r="B156" s="6" t="n">
        <v>0.535416666666667</v>
      </c>
      <c r="C156" s="7" t="n">
        <v>130154</v>
      </c>
      <c r="D156" s="7" t="s">
        <v>16</v>
      </c>
      <c r="E156" s="7" t="n">
        <v>3540</v>
      </c>
      <c r="F156" s="7" t="n">
        <v>3000</v>
      </c>
      <c r="G156" s="7" t="n">
        <v>540</v>
      </c>
      <c r="H156" s="7" t="s">
        <v>11</v>
      </c>
      <c r="I156" s="7" t="s">
        <v>23</v>
      </c>
      <c r="J156" s="0" t="s">
        <v>13</v>
      </c>
    </row>
  </sheetData>
  <autoFilter ref="A1:J156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2.91"/>
    <col collapsed="false" customWidth="true" hidden="false" outlineLevel="0" max="7" min="3" style="0" width="10.5"/>
    <col collapsed="false" customWidth="true" hidden="false" outlineLevel="0" max="8" min="8" style="0" width="15.58"/>
    <col collapsed="false" customWidth="true" hidden="false" outlineLevel="0" max="9" min="9" style="0" width="15.11"/>
    <col collapsed="false" customWidth="true" hidden="false" outlineLevel="0" max="1025" min="10" style="0" width="10.5"/>
  </cols>
  <sheetData>
    <row r="1" customFormat="false" ht="12.8" hidden="false" customHeight="false" outlineLevel="0" collapsed="false">
      <c r="A1" s="10" t="s">
        <v>0</v>
      </c>
      <c r="B1" s="11" t="s">
        <v>28</v>
      </c>
    </row>
    <row r="3" customFormat="false" ht="12.8" hidden="false" customHeight="false" outlineLevel="0" collapsed="false">
      <c r="A3" s="12" t="s">
        <v>29</v>
      </c>
      <c r="B3" s="13" t="s">
        <v>8</v>
      </c>
      <c r="C3" s="14"/>
      <c r="D3" s="14"/>
      <c r="E3" s="14"/>
      <c r="F3" s="14"/>
      <c r="G3" s="14"/>
      <c r="H3" s="15"/>
    </row>
    <row r="4" customFormat="false" ht="12.8" hidden="false" customHeight="false" outlineLevel="0" collapsed="false">
      <c r="A4" s="16" t="s">
        <v>3</v>
      </c>
      <c r="B4" s="17" t="s">
        <v>27</v>
      </c>
      <c r="C4" s="18" t="s">
        <v>23</v>
      </c>
      <c r="D4" s="18" t="s">
        <v>12</v>
      </c>
      <c r="E4" s="18" t="s">
        <v>20</v>
      </c>
      <c r="F4" s="18" t="s">
        <v>19</v>
      </c>
      <c r="G4" s="18" t="s">
        <v>18</v>
      </c>
      <c r="H4" s="19" t="s">
        <v>30</v>
      </c>
    </row>
    <row r="5" customFormat="false" ht="12.8" hidden="false" customHeight="false" outlineLevel="0" collapsed="false">
      <c r="A5" s="20" t="s">
        <v>25</v>
      </c>
      <c r="B5" s="21" t="n">
        <v>10840</v>
      </c>
      <c r="C5" s="22"/>
      <c r="D5" s="22"/>
      <c r="E5" s="22"/>
      <c r="F5" s="22" t="n">
        <v>1400</v>
      </c>
      <c r="G5" s="23"/>
      <c r="H5" s="24" t="n">
        <v>12240</v>
      </c>
    </row>
    <row r="6" customFormat="false" ht="12.8" hidden="false" customHeight="false" outlineLevel="0" collapsed="false">
      <c r="A6" s="25" t="s">
        <v>22</v>
      </c>
      <c r="B6" s="26"/>
      <c r="C6" s="27" t="n">
        <v>2880</v>
      </c>
      <c r="D6" s="27"/>
      <c r="E6" s="27"/>
      <c r="F6" s="27"/>
      <c r="G6" s="28"/>
      <c r="H6" s="29" t="n">
        <v>2880</v>
      </c>
    </row>
    <row r="7" customFormat="false" ht="12.8" hidden="false" customHeight="false" outlineLevel="0" collapsed="false">
      <c r="A7" s="25" t="s">
        <v>15</v>
      </c>
      <c r="B7" s="26"/>
      <c r="C7" s="27"/>
      <c r="D7" s="27" t="n">
        <v>253580</v>
      </c>
      <c r="E7" s="27" t="n">
        <v>6340</v>
      </c>
      <c r="F7" s="27" t="n">
        <v>6320</v>
      </c>
      <c r="G7" s="28"/>
      <c r="H7" s="29" t="n">
        <v>266240</v>
      </c>
    </row>
    <row r="8" customFormat="false" ht="12.8" hidden="false" customHeight="false" outlineLevel="0" collapsed="false">
      <c r="A8" s="25" t="s">
        <v>24</v>
      </c>
      <c r="B8" s="26"/>
      <c r="C8" s="27"/>
      <c r="D8" s="27" t="n">
        <v>1580</v>
      </c>
      <c r="E8" s="27"/>
      <c r="F8" s="27"/>
      <c r="G8" s="28"/>
      <c r="H8" s="29" t="n">
        <v>1580</v>
      </c>
    </row>
    <row r="9" customFormat="false" ht="12.8" hidden="false" customHeight="false" outlineLevel="0" collapsed="false">
      <c r="A9" s="25" t="s">
        <v>21</v>
      </c>
      <c r="B9" s="26"/>
      <c r="C9" s="27"/>
      <c r="D9" s="27"/>
      <c r="E9" s="27"/>
      <c r="F9" s="27"/>
      <c r="G9" s="28" t="n">
        <v>3680</v>
      </c>
      <c r="H9" s="29" t="n">
        <v>3680</v>
      </c>
    </row>
    <row r="10" customFormat="false" ht="12.8" hidden="false" customHeight="false" outlineLevel="0" collapsed="false">
      <c r="A10" s="25" t="s">
        <v>16</v>
      </c>
      <c r="B10" s="26"/>
      <c r="C10" s="27" t="n">
        <v>3780</v>
      </c>
      <c r="D10" s="27" t="n">
        <v>1480</v>
      </c>
      <c r="E10" s="27"/>
      <c r="F10" s="27"/>
      <c r="G10" s="28" t="n">
        <v>2020</v>
      </c>
      <c r="H10" s="29" t="n">
        <v>7280</v>
      </c>
    </row>
    <row r="11" customFormat="false" ht="12.8" hidden="false" customHeight="false" outlineLevel="0" collapsed="false">
      <c r="A11" s="25" t="s">
        <v>14</v>
      </c>
      <c r="B11" s="26"/>
      <c r="C11" s="27"/>
      <c r="D11" s="27" t="n">
        <v>154240</v>
      </c>
      <c r="E11" s="27"/>
      <c r="F11" s="27"/>
      <c r="G11" s="28"/>
      <c r="H11" s="29" t="n">
        <v>154240</v>
      </c>
    </row>
    <row r="12" customFormat="false" ht="12.8" hidden="false" customHeight="false" outlineLevel="0" collapsed="false">
      <c r="A12" s="25" t="s">
        <v>10</v>
      </c>
      <c r="B12" s="26"/>
      <c r="C12" s="27"/>
      <c r="D12" s="27" t="n">
        <v>13180</v>
      </c>
      <c r="E12" s="27"/>
      <c r="F12" s="27"/>
      <c r="G12" s="28"/>
      <c r="H12" s="29" t="n">
        <v>13180</v>
      </c>
    </row>
    <row r="13" customFormat="false" ht="12.8" hidden="false" customHeight="false" outlineLevel="0" collapsed="false">
      <c r="A13" s="25" t="s">
        <v>17</v>
      </c>
      <c r="B13" s="30" t="n">
        <v>9260</v>
      </c>
      <c r="C13" s="31"/>
      <c r="D13" s="31"/>
      <c r="E13" s="31"/>
      <c r="F13" s="31"/>
      <c r="G13" s="32" t="n">
        <v>12640</v>
      </c>
      <c r="H13" s="33" t="n">
        <v>21900</v>
      </c>
    </row>
    <row r="14" customFormat="false" ht="12.8" hidden="false" customHeight="false" outlineLevel="0" collapsed="false">
      <c r="A14" s="34" t="s">
        <v>30</v>
      </c>
      <c r="B14" s="35" t="n">
        <v>20100</v>
      </c>
      <c r="C14" s="36" t="n">
        <v>6660</v>
      </c>
      <c r="D14" s="36" t="n">
        <v>424060</v>
      </c>
      <c r="E14" s="36" t="n">
        <v>6340</v>
      </c>
      <c r="F14" s="36" t="n">
        <v>7720</v>
      </c>
      <c r="G14" s="37" t="n">
        <v>18340</v>
      </c>
      <c r="H14" s="38" t="n">
        <v>483220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F47" activeCellId="0" sqref="F47"/>
    </sheetView>
  </sheetViews>
  <sheetFormatPr defaultRowHeight="14" zeroHeight="false" outlineLevelRow="0" outlineLevelCol="0"/>
  <cols>
    <col collapsed="false" customWidth="true" hidden="false" outlineLevel="0" max="1" min="1" style="39" width="15.11"/>
    <col collapsed="false" customWidth="true" hidden="false" outlineLevel="0" max="2" min="2" style="40" width="17.73"/>
    <col collapsed="false" customWidth="true" hidden="false" outlineLevel="0" max="3" min="3" style="40" width="10.72"/>
    <col collapsed="false" customWidth="true" hidden="false" outlineLevel="0" max="4" min="4" style="39" width="13.47"/>
    <col collapsed="false" customWidth="true" hidden="false" outlineLevel="0" max="6" min="5" style="40" width="11.27"/>
    <col collapsed="false" customWidth="true" hidden="false" outlineLevel="0" max="7" min="7" style="40" width="13.47"/>
    <col collapsed="false" customWidth="true" hidden="false" outlineLevel="0" max="8" min="8" style="40" width="14.54"/>
    <col collapsed="false" customWidth="true" hidden="false" outlineLevel="0" max="9" min="9" style="40" width="15.87"/>
    <col collapsed="false" customWidth="true" hidden="false" outlineLevel="0" max="11" min="10" style="40" width="7.73"/>
    <col collapsed="false" customWidth="true" hidden="false" outlineLevel="0" max="12" min="12" style="40" width="8.18"/>
    <col collapsed="false" customWidth="true" hidden="false" outlineLevel="0" max="13" min="13" style="40" width="12.8"/>
    <col collapsed="false" customWidth="true" hidden="false" outlineLevel="0" max="14" min="14" style="40" width="7.09"/>
    <col collapsed="false" customWidth="true" hidden="false" outlineLevel="0" max="1025" min="15" style="40" width="7.73"/>
  </cols>
  <sheetData>
    <row r="1" customFormat="false" ht="13.8" hidden="false" customHeight="false" outlineLevel="0" collapsed="false">
      <c r="A1" s="39" t="n">
        <v>1</v>
      </c>
      <c r="B1" s="39" t="n">
        <v>2</v>
      </c>
      <c r="C1" s="39" t="n">
        <v>3</v>
      </c>
      <c r="D1" s="39" t="n">
        <v>4</v>
      </c>
      <c r="E1" s="39" t="n">
        <v>5</v>
      </c>
      <c r="F1" s="39" t="n">
        <v>6</v>
      </c>
      <c r="G1" s="39" t="n">
        <v>7</v>
      </c>
    </row>
    <row r="2" customFormat="false" ht="13.8" hidden="false" customHeight="false" outlineLevel="0" collapsed="false">
      <c r="A2" s="41" t="s">
        <v>3</v>
      </c>
      <c r="B2" s="42" t="s">
        <v>31</v>
      </c>
      <c r="C2" s="43" t="s">
        <v>23</v>
      </c>
      <c r="D2" s="43" t="s">
        <v>12</v>
      </c>
      <c r="E2" s="43" t="s">
        <v>20</v>
      </c>
      <c r="F2" s="43" t="s">
        <v>19</v>
      </c>
      <c r="G2" s="43" t="s">
        <v>32</v>
      </c>
      <c r="H2" s="44" t="s">
        <v>30</v>
      </c>
    </row>
    <row r="3" customFormat="false" ht="13.8" hidden="false" customHeight="false" outlineLevel="0" collapsed="false">
      <c r="A3" s="45" t="s">
        <v>25</v>
      </c>
      <c r="B3" s="46" t="n">
        <v>10840</v>
      </c>
      <c r="C3" s="47"/>
      <c r="D3" s="47"/>
      <c r="E3" s="47"/>
      <c r="F3" s="47" t="n">
        <v>1400</v>
      </c>
      <c r="G3" s="48"/>
      <c r="H3" s="49" t="n">
        <f aca="false">SUM(B3:G3)</f>
        <v>12240</v>
      </c>
    </row>
    <row r="4" customFormat="false" ht="13.8" hidden="false" customHeight="false" outlineLevel="0" collapsed="false">
      <c r="A4" s="50" t="s">
        <v>22</v>
      </c>
      <c r="B4" s="51"/>
      <c r="C4" s="52" t="n">
        <v>2880</v>
      </c>
      <c r="D4" s="52"/>
      <c r="E4" s="52"/>
      <c r="F4" s="52"/>
      <c r="G4" s="53"/>
      <c r="H4" s="49" t="n">
        <f aca="false">SUM(B4:G4)</f>
        <v>2880</v>
      </c>
    </row>
    <row r="5" customFormat="false" ht="13.8" hidden="false" customHeight="false" outlineLevel="0" collapsed="false">
      <c r="A5" s="50" t="s">
        <v>15</v>
      </c>
      <c r="B5" s="51"/>
      <c r="C5" s="52"/>
      <c r="D5" s="52" t="n">
        <v>253580</v>
      </c>
      <c r="E5" s="52" t="n">
        <v>6340</v>
      </c>
      <c r="F5" s="52" t="n">
        <v>6320</v>
      </c>
      <c r="G5" s="53"/>
      <c r="H5" s="49" t="n">
        <f aca="false">SUM(B5:G5)</f>
        <v>266240</v>
      </c>
    </row>
    <row r="6" customFormat="false" ht="13.8" hidden="false" customHeight="false" outlineLevel="0" collapsed="false">
      <c r="A6" s="50" t="s">
        <v>24</v>
      </c>
      <c r="B6" s="51"/>
      <c r="C6" s="52"/>
      <c r="D6" s="52" t="n">
        <v>1580</v>
      </c>
      <c r="E6" s="52"/>
      <c r="F6" s="52"/>
      <c r="G6" s="53"/>
      <c r="H6" s="49" t="n">
        <f aca="false">SUM(B6:G6)</f>
        <v>1580</v>
      </c>
    </row>
    <row r="7" customFormat="false" ht="13.8" hidden="false" customHeight="false" outlineLevel="0" collapsed="false">
      <c r="A7" s="50" t="s">
        <v>21</v>
      </c>
      <c r="B7" s="51"/>
      <c r="C7" s="52"/>
      <c r="D7" s="52"/>
      <c r="E7" s="52"/>
      <c r="F7" s="52"/>
      <c r="G7" s="53" t="n">
        <v>3680</v>
      </c>
      <c r="H7" s="49" t="n">
        <f aca="false">SUM(B7:G7)</f>
        <v>3680</v>
      </c>
    </row>
    <row r="8" customFormat="false" ht="13.8" hidden="false" customHeight="false" outlineLevel="0" collapsed="false">
      <c r="A8" s="50" t="s">
        <v>16</v>
      </c>
      <c r="B8" s="51"/>
      <c r="C8" s="52" t="n">
        <v>3780</v>
      </c>
      <c r="D8" s="52" t="n">
        <v>1480</v>
      </c>
      <c r="E8" s="52"/>
      <c r="F8" s="52"/>
      <c r="G8" s="53" t="n">
        <v>2020</v>
      </c>
      <c r="H8" s="49" t="n">
        <f aca="false">SUM(B8:G8)</f>
        <v>7280</v>
      </c>
    </row>
    <row r="9" customFormat="false" ht="13.8" hidden="false" customHeight="false" outlineLevel="0" collapsed="false">
      <c r="A9" s="50" t="s">
        <v>14</v>
      </c>
      <c r="B9" s="51"/>
      <c r="C9" s="52"/>
      <c r="D9" s="52" t="n">
        <v>154240</v>
      </c>
      <c r="E9" s="52"/>
      <c r="F9" s="52"/>
      <c r="G9" s="53"/>
      <c r="H9" s="49" t="n">
        <f aca="false">SUM(B9:G9)</f>
        <v>154240</v>
      </c>
    </row>
    <row r="10" customFormat="false" ht="13.8" hidden="false" customHeight="false" outlineLevel="0" collapsed="false">
      <c r="A10" s="50" t="s">
        <v>10</v>
      </c>
      <c r="B10" s="51"/>
      <c r="C10" s="52"/>
      <c r="D10" s="52" t="n">
        <v>13180</v>
      </c>
      <c r="E10" s="52"/>
      <c r="F10" s="52"/>
      <c r="G10" s="53"/>
      <c r="H10" s="49" t="n">
        <f aca="false">SUM(B10:G10)</f>
        <v>13180</v>
      </c>
    </row>
    <row r="11" customFormat="false" ht="13.8" hidden="false" customHeight="false" outlineLevel="0" collapsed="false">
      <c r="A11" s="50" t="s">
        <v>17</v>
      </c>
      <c r="B11" s="51" t="n">
        <v>9260</v>
      </c>
      <c r="C11" s="52"/>
      <c r="D11" s="52"/>
      <c r="E11" s="52"/>
      <c r="F11" s="52"/>
      <c r="G11" s="53" t="n">
        <v>12640</v>
      </c>
      <c r="H11" s="49" t="n">
        <f aca="false">SUM(B11:G11)</f>
        <v>21900</v>
      </c>
    </row>
    <row r="12" customFormat="false" ht="13.8" hidden="false" customHeight="false" outlineLevel="0" collapsed="false">
      <c r="A12" s="50"/>
      <c r="B12" s="51"/>
      <c r="C12" s="52"/>
      <c r="D12" s="52"/>
      <c r="E12" s="52"/>
      <c r="F12" s="52"/>
      <c r="G12" s="53"/>
      <c r="H12" s="49" t="n">
        <f aca="false">SUM(B12:G12)</f>
        <v>0</v>
      </c>
    </row>
    <row r="13" customFormat="false" ht="13.8" hidden="false" customHeight="false" outlineLevel="0" collapsed="false">
      <c r="A13" s="50"/>
      <c r="B13" s="54"/>
      <c r="C13" s="55"/>
      <c r="D13" s="55"/>
      <c r="E13" s="55"/>
      <c r="F13" s="55"/>
      <c r="G13" s="56"/>
      <c r="H13" s="49" t="n">
        <f aca="false">SUM(B13:G13)</f>
        <v>0</v>
      </c>
      <c r="I13" s="40" t="s">
        <v>33</v>
      </c>
    </row>
    <row r="14" s="40" customFormat="true" ht="13.8" hidden="false" customHeight="false" outlineLevel="0" collapsed="false">
      <c r="B14" s="57"/>
      <c r="C14" s="57"/>
      <c r="D14" s="57"/>
      <c r="E14" s="57"/>
      <c r="F14" s="57"/>
      <c r="G14" s="57"/>
      <c r="H14" s="49" t="n">
        <f aca="false">SUM(B14:G14)</f>
        <v>0</v>
      </c>
    </row>
    <row r="15" customFormat="false" ht="13.8" hidden="false" customHeight="false" outlineLevel="0" collapsed="false">
      <c r="A15" s="44" t="s">
        <v>30</v>
      </c>
      <c r="B15" s="58" t="n">
        <f aca="false">SUM(B3:B14)</f>
        <v>20100</v>
      </c>
      <c r="C15" s="58" t="n">
        <f aca="false">SUM(C3:C14)</f>
        <v>6660</v>
      </c>
      <c r="D15" s="58" t="n">
        <f aca="false">SUM(D3:D14)</f>
        <v>424060</v>
      </c>
      <c r="E15" s="58" t="n">
        <f aca="false">SUM(E3:E14)</f>
        <v>6340</v>
      </c>
      <c r="F15" s="58" t="n">
        <f aca="false">SUM(F3:F14)</f>
        <v>7720</v>
      </c>
      <c r="G15" s="58" t="n">
        <f aca="false">SUM(G3:G14)</f>
        <v>18340</v>
      </c>
      <c r="H15" s="59" t="n">
        <f aca="false">SUM(B15:G15)</f>
        <v>483220</v>
      </c>
    </row>
    <row r="16" customFormat="false" ht="15" hidden="false" customHeight="false" outlineLevel="0" collapsed="false">
      <c r="A16" s="60" t="s">
        <v>34</v>
      </c>
      <c r="B16" s="61" t="n">
        <f aca="false">+E79</f>
        <v>20100</v>
      </c>
      <c r="C16" s="61" t="n">
        <f aca="false">+E73</f>
        <v>6660</v>
      </c>
      <c r="D16" s="61" t="n">
        <f aca="false">+F35</f>
        <v>424060</v>
      </c>
      <c r="E16" s="61" t="n">
        <f aca="false">+E64</f>
        <v>6340</v>
      </c>
      <c r="F16" s="61" t="n">
        <f aca="false">+E56</f>
        <v>7720</v>
      </c>
      <c r="G16" s="61" t="n">
        <f aca="false">+F46</f>
        <v>18340</v>
      </c>
      <c r="H16" s="62" t="n">
        <f aca="false">SUM(B16:G16)</f>
        <v>483220</v>
      </c>
    </row>
    <row r="17" customFormat="false" ht="14.5" hidden="false" customHeight="false" outlineLevel="0" collapsed="false">
      <c r="C17" s="63"/>
      <c r="D17" s="63"/>
      <c r="E17" s="63"/>
      <c r="F17" s="63"/>
      <c r="G17" s="63"/>
      <c r="H17" s="63"/>
    </row>
    <row r="18" customFormat="false" ht="14.5" hidden="false" customHeight="false" outlineLevel="0" collapsed="false">
      <c r="C18" s="63"/>
      <c r="D18" s="63" t="s">
        <v>35</v>
      </c>
      <c r="E18" s="63" t="s">
        <v>36</v>
      </c>
      <c r="F18" s="63" t="s">
        <v>37</v>
      </c>
      <c r="G18" s="63"/>
      <c r="H18" s="63"/>
    </row>
    <row r="19" customFormat="false" ht="14.5" hidden="false" customHeight="false" outlineLevel="0" collapsed="false">
      <c r="A19" s="64" t="s">
        <v>38</v>
      </c>
      <c r="B19" s="64"/>
      <c r="C19" s="64"/>
      <c r="D19" s="65" t="n">
        <f aca="false">+F35+F46+E56+E64+E73+E79</f>
        <v>483220</v>
      </c>
      <c r="E19" s="66" t="n">
        <f aca="false">+G35+G46+F56+F64+F73+F79</f>
        <v>483220</v>
      </c>
      <c r="F19" s="65" t="n">
        <f aca="false">+E19-D19</f>
        <v>0</v>
      </c>
      <c r="G19" s="63"/>
      <c r="H19" s="63"/>
    </row>
    <row r="20" customFormat="false" ht="14.5" hidden="false" customHeight="false" outlineLevel="0" collapsed="false">
      <c r="C20" s="63"/>
      <c r="D20" s="63"/>
      <c r="E20" s="63"/>
      <c r="F20" s="63"/>
      <c r="G20" s="63"/>
      <c r="H20" s="63"/>
    </row>
    <row r="21" s="40" customFormat="true" ht="14" hidden="false" customHeight="false" outlineLevel="0" collapsed="false"/>
    <row r="22" customFormat="false" ht="14.5" hidden="false" customHeight="false" outlineLevel="0" collapsed="false">
      <c r="A22" s="63" t="s">
        <v>12</v>
      </c>
      <c r="B22" s="63"/>
      <c r="C22" s="63"/>
      <c r="D22" s="63"/>
      <c r="E22" s="63"/>
      <c r="F22" s="63"/>
      <c r="G22" s="63"/>
      <c r="H22" s="63"/>
    </row>
    <row r="23" customFormat="false" ht="14.5" hidden="false" customHeight="false" outlineLevel="0" collapsed="false">
      <c r="A23" s="39" t="s">
        <v>39</v>
      </c>
      <c r="B23" s="40" t="s">
        <v>40</v>
      </c>
      <c r="C23" s="67" t="s">
        <v>41</v>
      </c>
      <c r="D23" s="68" t="s">
        <v>42</v>
      </c>
      <c r="E23" s="67" t="s">
        <v>43</v>
      </c>
      <c r="F23" s="69" t="s">
        <v>44</v>
      </c>
      <c r="G23" s="67" t="s">
        <v>36</v>
      </c>
      <c r="H23" s="67"/>
    </row>
    <row r="24" customFormat="false" ht="14.9" hidden="false" customHeight="false" outlineLevel="0" collapsed="false">
      <c r="A24" s="70" t="n">
        <v>109</v>
      </c>
      <c r="B24" s="71" t="s">
        <v>45</v>
      </c>
      <c r="C24" s="72" t="s">
        <v>25</v>
      </c>
      <c r="D24" s="73"/>
      <c r="E24" s="72"/>
      <c r="F24" s="74"/>
      <c r="G24" s="75" t="n">
        <f aca="false">IFERROR(INDEX($B$3:$G$14,MATCH(C24,$A$3:$A$14,0),MATCH($A$22,$B$2:$G$2,0)),0)</f>
        <v>0</v>
      </c>
      <c r="H24" s="76" t="str">
        <f aca="false">IF(G24=F24,"Bien",G24-F24)</f>
        <v>Bien</v>
      </c>
    </row>
    <row r="25" customFormat="false" ht="14.9" hidden="false" customHeight="false" outlineLevel="0" collapsed="false">
      <c r="A25" s="77" t="n">
        <v>333</v>
      </c>
      <c r="B25" s="78" t="s">
        <v>46</v>
      </c>
      <c r="C25" s="79" t="s">
        <v>22</v>
      </c>
      <c r="D25" s="73"/>
      <c r="E25" s="67"/>
      <c r="F25" s="69"/>
      <c r="G25" s="80" t="n">
        <f aca="false">IFERROR(INDEX($B$3:$G$14,MATCH(C25,$A$3:$A$14,0),MATCH($A$22,$B$2:$G$2,0)),0)</f>
        <v>0</v>
      </c>
      <c r="H25" s="81" t="str">
        <f aca="false">IF(G25=F25,"Bien",G25-F25)</f>
        <v>Bien</v>
      </c>
    </row>
    <row r="26" customFormat="false" ht="14.9" hidden="false" customHeight="false" outlineLevel="0" collapsed="false">
      <c r="A26" s="82" t="n">
        <v>320</v>
      </c>
      <c r="B26" s="83" t="s">
        <v>47</v>
      </c>
      <c r="C26" s="67" t="s">
        <v>15</v>
      </c>
      <c r="D26" s="73" t="s">
        <v>48</v>
      </c>
      <c r="E26" s="67" t="s">
        <v>49</v>
      </c>
      <c r="F26" s="69" t="n">
        <v>253580</v>
      </c>
      <c r="G26" s="80" t="n">
        <f aca="false">IFERROR(INDEX($B$3:$G$14,MATCH(C26,$A$3:$A$14,0),MATCH($A$22,$B$2:$G$2,0)),0)</f>
        <v>253580</v>
      </c>
      <c r="H26" s="81" t="str">
        <f aca="false">IF(G26=F26,"Bien",G26-F26)</f>
        <v>Bien</v>
      </c>
    </row>
    <row r="27" customFormat="false" ht="14.9" hidden="false" customHeight="false" outlineLevel="0" collapsed="false">
      <c r="A27" s="82" t="n">
        <v>321</v>
      </c>
      <c r="B27" s="83" t="s">
        <v>50</v>
      </c>
      <c r="C27" s="67" t="s">
        <v>51</v>
      </c>
      <c r="D27" s="73"/>
      <c r="E27" s="67"/>
      <c r="F27" s="69"/>
      <c r="G27" s="80" t="n">
        <f aca="false">IFERROR(INDEX($B$3:$G$14,MATCH(C27,$A$3:$A$14,0),MATCH($A$22,$B$2:$G$2,0)),0)</f>
        <v>0</v>
      </c>
      <c r="H27" s="81" t="str">
        <f aca="false">IF(G27=F27,"Bien",G27-F27)</f>
        <v>Bien</v>
      </c>
    </row>
    <row r="28" customFormat="false" ht="15" hidden="false" customHeight="false" outlineLevel="0" collapsed="false">
      <c r="A28" s="77" t="n">
        <v>316</v>
      </c>
      <c r="B28" s="40" t="s">
        <v>52</v>
      </c>
      <c r="C28" s="67" t="s">
        <v>24</v>
      </c>
      <c r="D28" s="73" t="s">
        <v>48</v>
      </c>
      <c r="E28" s="67" t="s">
        <v>53</v>
      </c>
      <c r="F28" s="69" t="n">
        <v>1580</v>
      </c>
      <c r="G28" s="80" t="n">
        <f aca="false">IFERROR(INDEX($B$3:$G$14,MATCH(C28,$A$3:$A$14,0),MATCH($A$22,$B$2:$G$2,0)),0)</f>
        <v>1580</v>
      </c>
      <c r="H28" s="81" t="str">
        <f aca="false">IF(G28=F28,"Bien",G28-F28)</f>
        <v>Bien</v>
      </c>
    </row>
    <row r="29" customFormat="false" ht="14.9" hidden="false" customHeight="false" outlineLevel="0" collapsed="false">
      <c r="A29" s="82" t="n">
        <v>196</v>
      </c>
      <c r="B29" s="83" t="s">
        <v>54</v>
      </c>
      <c r="C29" s="67" t="s">
        <v>55</v>
      </c>
      <c r="D29" s="73"/>
      <c r="E29" s="67"/>
      <c r="F29" s="69"/>
      <c r="G29" s="80" t="n">
        <f aca="false">IFERROR(INDEX($B$3:$G$14,MATCH(C29,$A$3:$A$14,0),MATCH($A$22,$B$2:$G$2,0)),0)</f>
        <v>0</v>
      </c>
      <c r="H29" s="81" t="str">
        <f aca="false">IF(G29=F29,"Bien",G29-F29)</f>
        <v>Bien</v>
      </c>
      <c r="I29" s="40" t="s">
        <v>56</v>
      </c>
    </row>
    <row r="30" customFormat="false" ht="15" hidden="false" customHeight="false" outlineLevel="0" collapsed="false">
      <c r="A30" s="77" t="n">
        <v>309</v>
      </c>
      <c r="B30" s="40" t="s">
        <v>57</v>
      </c>
      <c r="C30" s="67" t="s">
        <v>16</v>
      </c>
      <c r="D30" s="73" t="s">
        <v>48</v>
      </c>
      <c r="E30" s="67" t="s">
        <v>53</v>
      </c>
      <c r="F30" s="84" t="n">
        <v>1480</v>
      </c>
      <c r="G30" s="80" t="n">
        <f aca="false">IFERROR(INDEX($B$3:$G$14,MATCH(C30,$A$3:$A$14,0),MATCH($A$22,$B$2:$G$2,0)),0)</f>
        <v>1480</v>
      </c>
      <c r="H30" s="81" t="str">
        <f aca="false">IF(G30=F30,"Bien",G30-F30)</f>
        <v>Bien</v>
      </c>
      <c r="L30" s="85"/>
      <c r="M30" s="86"/>
      <c r="N30" s="78"/>
    </row>
    <row r="31" customFormat="false" ht="15" hidden="false" customHeight="false" outlineLevel="0" collapsed="false">
      <c r="A31" s="77" t="n">
        <v>318</v>
      </c>
      <c r="B31" s="83" t="s">
        <v>54</v>
      </c>
      <c r="C31" s="67" t="s">
        <v>14</v>
      </c>
      <c r="D31" s="73" t="s">
        <v>48</v>
      </c>
      <c r="E31" s="67" t="s">
        <v>49</v>
      </c>
      <c r="F31" s="84" t="n">
        <v>154240</v>
      </c>
      <c r="G31" s="80" t="n">
        <f aca="false">IFERROR(INDEX($B$3:$G$14,MATCH(C31,$A$3:$A$14,0),MATCH($A$22,$B$2:$G$2,0)),0)</f>
        <v>154240</v>
      </c>
      <c r="H31" s="81" t="str">
        <f aca="false">IF(G31=F31,"Bien",G31-F31)</f>
        <v>Bien</v>
      </c>
      <c r="L31" s="85"/>
      <c r="M31" s="78"/>
      <c r="N31" s="78"/>
    </row>
    <row r="32" customFormat="false" ht="15" hidden="false" customHeight="false" outlineLevel="0" collapsed="false">
      <c r="A32" s="77" t="n">
        <v>310</v>
      </c>
      <c r="B32" s="83" t="s">
        <v>58</v>
      </c>
      <c r="C32" s="78" t="s">
        <v>10</v>
      </c>
      <c r="D32" s="73" t="s">
        <v>48</v>
      </c>
      <c r="E32" s="67" t="s">
        <v>49</v>
      </c>
      <c r="F32" s="87" t="n">
        <v>13180</v>
      </c>
      <c r="G32" s="80" t="n">
        <f aca="false">IFERROR(INDEX($B$3:$G$14,MATCH(C32,$A$3:$A$14,0),MATCH($A$22,$B$2:$G$2,0)),0)</f>
        <v>13180</v>
      </c>
      <c r="H32" s="81" t="str">
        <f aca="false">IF(G32=F32,"Bien",G32-F32)</f>
        <v>Bien</v>
      </c>
      <c r="N32" s="83"/>
    </row>
    <row r="33" customFormat="false" ht="14.9" hidden="false" customHeight="false" outlineLevel="0" collapsed="false">
      <c r="A33" s="77" t="n">
        <v>296</v>
      </c>
      <c r="B33" s="78" t="s">
        <v>59</v>
      </c>
      <c r="C33" s="78" t="s">
        <v>17</v>
      </c>
      <c r="D33" s="73"/>
      <c r="E33" s="67"/>
      <c r="F33" s="87"/>
      <c r="G33" s="80" t="n">
        <f aca="false">IFERROR(INDEX($B$3:$G$14,MATCH(C33,$A$3:$A$14,0),MATCH($A$22,$B$2:$G$2,0)),0)</f>
        <v>0</v>
      </c>
      <c r="H33" s="88" t="str">
        <f aca="false">IF(G33=F33,"Bien",G33-F33)</f>
        <v>Bien</v>
      </c>
      <c r="N33" s="83"/>
    </row>
    <row r="34" customFormat="false" ht="14.9" hidden="false" customHeight="false" outlineLevel="0" collapsed="false">
      <c r="A34" s="89"/>
      <c r="B34" s="90" t="s">
        <v>45</v>
      </c>
      <c r="C34" s="90" t="s">
        <v>60</v>
      </c>
      <c r="D34" s="91"/>
      <c r="E34" s="92"/>
      <c r="F34" s="93"/>
      <c r="G34" s="94" t="n">
        <f aca="false">IFERROR(INDEX($B$3:$G$14,MATCH(C34,$A$3:$A$14,0),MATCH($A$22,$B$2:$G$2,0)),0)</f>
        <v>0</v>
      </c>
      <c r="H34" s="95" t="str">
        <f aca="false">IF(G34=F34,"Bien",G34-F34)</f>
        <v>Bien</v>
      </c>
      <c r="I34" s="40" t="s">
        <v>61</v>
      </c>
      <c r="N34" s="83"/>
    </row>
    <row r="35" customFormat="false" ht="13.8" hidden="false" customHeight="false" outlineLevel="0" collapsed="false">
      <c r="C35" s="67"/>
      <c r="D35" s="68"/>
      <c r="E35" s="67"/>
      <c r="F35" s="96" t="n">
        <f aca="false">SUM(F24:F34)</f>
        <v>424060</v>
      </c>
      <c r="G35" s="97" t="n">
        <f aca="false">SUM(G24:G34)</f>
        <v>424060</v>
      </c>
      <c r="H35" s="67"/>
      <c r="I35" s="98" t="str">
        <f aca="false">IF(G35=D15,"OK","Revisar")</f>
        <v>OK</v>
      </c>
      <c r="L35" s="85"/>
      <c r="N35" s="67"/>
    </row>
    <row r="36" customFormat="false" ht="14.5" hidden="false" customHeight="false" outlineLevel="0" collapsed="false">
      <c r="A36" s="63" t="str">
        <f aca="false">+G2</f>
        <v>VOLUMINOSOS</v>
      </c>
      <c r="B36" s="63"/>
      <c r="C36" s="63"/>
      <c r="D36" s="63"/>
      <c r="E36" s="63"/>
      <c r="F36" s="63"/>
      <c r="G36" s="63"/>
      <c r="H36" s="63"/>
      <c r="L36" s="85"/>
      <c r="N36" s="67"/>
    </row>
    <row r="37" customFormat="false" ht="14.5" hidden="false" customHeight="false" outlineLevel="0" collapsed="false">
      <c r="C37" s="67" t="s">
        <v>41</v>
      </c>
      <c r="D37" s="68" t="s">
        <v>62</v>
      </c>
      <c r="E37" s="67" t="s">
        <v>63</v>
      </c>
      <c r="F37" s="84" t="s">
        <v>44</v>
      </c>
      <c r="G37" s="67" t="s">
        <v>36</v>
      </c>
      <c r="H37" s="67"/>
    </row>
    <row r="38" customFormat="false" ht="15" hidden="false" customHeight="false" outlineLevel="0" collapsed="false">
      <c r="A38" s="99" t="n">
        <v>109</v>
      </c>
      <c r="B38" s="100" t="s">
        <v>45</v>
      </c>
      <c r="C38" s="101" t="s">
        <v>25</v>
      </c>
      <c r="D38" s="102"/>
      <c r="E38" s="103"/>
      <c r="F38" s="103"/>
      <c r="G38" s="104" t="n">
        <f aca="false">IFERROR(INDEX($B$3:$G$14,MATCH(C38,$A$3:$A$14,0),MATCH($A$36,$B$2:$G$2,0)),0)</f>
        <v>0</v>
      </c>
      <c r="H38" s="105" t="str">
        <f aca="false">IF(G38=F38,"Bien",G38-F38)</f>
        <v>Bien</v>
      </c>
    </row>
    <row r="39" customFormat="false" ht="15" hidden="false" customHeight="false" outlineLevel="0" collapsed="false">
      <c r="A39" s="85" t="n">
        <v>333</v>
      </c>
      <c r="B39" s="40" t="s">
        <v>46</v>
      </c>
      <c r="C39" s="67" t="s">
        <v>22</v>
      </c>
      <c r="D39" s="106"/>
      <c r="E39" s="69"/>
      <c r="F39" s="69"/>
      <c r="G39" s="107" t="n">
        <f aca="false">IFERROR(INDEX($B$3:$G$14,MATCH(C39,$A$3:$A$14,0),MATCH($A$36,$B$2:$G$2,0)),0)</f>
        <v>0</v>
      </c>
      <c r="H39" s="108" t="str">
        <f aca="false">IF(G39=F39,"Bien",G39-F39)</f>
        <v>Bien</v>
      </c>
    </row>
    <row r="40" customFormat="false" ht="15" hidden="false" customHeight="false" outlineLevel="0" collapsed="false">
      <c r="A40" s="85" t="n">
        <v>316</v>
      </c>
      <c r="B40" s="78" t="s">
        <v>52</v>
      </c>
      <c r="C40" s="78" t="s">
        <v>24</v>
      </c>
      <c r="D40" s="106"/>
      <c r="E40" s="69"/>
      <c r="F40" s="69"/>
      <c r="G40" s="107" t="n">
        <f aca="false">IFERROR(INDEX($B$3:$G$14,MATCH(C40,$A$3:$A$14,0),MATCH($A$36,$B$2:$G$2,0)),0)</f>
        <v>0</v>
      </c>
      <c r="H40" s="108" t="str">
        <f aca="false">IF(G40=F40,"Bien",G40-F40)</f>
        <v>Bien</v>
      </c>
    </row>
    <row r="41" customFormat="false" ht="15" hidden="false" customHeight="false" outlineLevel="0" collapsed="false">
      <c r="A41" s="85" t="n">
        <v>309</v>
      </c>
      <c r="B41" s="40" t="s">
        <v>57</v>
      </c>
      <c r="C41" s="67" t="s">
        <v>16</v>
      </c>
      <c r="D41" s="106" t="n">
        <v>2</v>
      </c>
      <c r="E41" s="69" t="n">
        <v>5</v>
      </c>
      <c r="F41" s="69" t="n">
        <v>2020</v>
      </c>
      <c r="G41" s="107" t="n">
        <f aca="false">IFERROR(INDEX($B$3:$G$14,MATCH(C41,$A$3:$A$14,0),MATCH($A$36,$B$2:$G$2,0)),0)</f>
        <v>2020</v>
      </c>
      <c r="H41" s="109" t="str">
        <f aca="false">IF(G41=F41,"Bien",G41-F41)</f>
        <v>Bien</v>
      </c>
    </row>
    <row r="42" customFormat="false" ht="15" hidden="false" customHeight="false" outlineLevel="0" collapsed="false">
      <c r="A42" s="85" t="n">
        <v>296</v>
      </c>
      <c r="B42" s="78" t="s">
        <v>59</v>
      </c>
      <c r="C42" s="78" t="s">
        <v>17</v>
      </c>
      <c r="D42" s="110" t="n">
        <v>2</v>
      </c>
      <c r="E42" s="111" t="n">
        <v>22</v>
      </c>
      <c r="F42" s="111" t="n">
        <v>12640</v>
      </c>
      <c r="G42" s="107" t="n">
        <f aca="false">IFERROR(INDEX($B$3:$G$14,MATCH(C42,$A$3:$A$14,0),MATCH($A$36,$B$2:$G$2,0)),0)</f>
        <v>12640</v>
      </c>
      <c r="H42" s="109" t="str">
        <f aca="false">IF(G42=F42,"Bien",G42-F42)</f>
        <v>Bien</v>
      </c>
    </row>
    <row r="43" customFormat="false" ht="15" hidden="false" customHeight="false" outlineLevel="0" collapsed="false">
      <c r="A43" s="85"/>
      <c r="B43" s="112" t="s">
        <v>45</v>
      </c>
      <c r="C43" s="112" t="s">
        <v>60</v>
      </c>
      <c r="D43" s="110"/>
      <c r="E43" s="111"/>
      <c r="F43" s="111"/>
      <c r="G43" s="107" t="n">
        <f aca="false">IFERROR(INDEX($B$3:$G$14,MATCH(C43,$A$3:$A$14,0),MATCH($A$36,$B$2:$G$2,0)),0)</f>
        <v>0</v>
      </c>
      <c r="H43" s="108" t="str">
        <f aca="false">IF(G43=F43,"Bien",G43-F43)</f>
        <v>Bien</v>
      </c>
    </row>
    <row r="44" customFormat="false" ht="15" hidden="false" customHeight="false" outlineLevel="0" collapsed="false">
      <c r="A44" s="85"/>
      <c r="B44" s="78"/>
      <c r="C44" s="112" t="s">
        <v>64</v>
      </c>
      <c r="D44" s="110"/>
      <c r="E44" s="111"/>
      <c r="F44" s="111"/>
      <c r="G44" s="107" t="n">
        <f aca="false">IFERROR(INDEX($B$3:$G$14,MATCH(C44,$A$3:$A$14,0),MATCH($A$36,$B$2:$G$2,0)),0)</f>
        <v>0</v>
      </c>
      <c r="H44" s="108" t="str">
        <f aca="false">IF(G44=F44,"Bien",G44-F44)</f>
        <v>Bien</v>
      </c>
    </row>
    <row r="45" customFormat="false" ht="15" hidden="false" customHeight="false" outlineLevel="0" collapsed="false">
      <c r="A45" s="113"/>
      <c r="B45" s="114" t="s">
        <v>65</v>
      </c>
      <c r="C45" s="115" t="s">
        <v>21</v>
      </c>
      <c r="D45" s="116" t="n">
        <v>2</v>
      </c>
      <c r="E45" s="117" t="n">
        <v>3</v>
      </c>
      <c r="F45" s="117" t="n">
        <v>3680</v>
      </c>
      <c r="G45" s="118" t="n">
        <f aca="false">IFERROR(INDEX($B$3:$G$14,MATCH(C45,$A$3:$A$14,0),MATCH($A$36,$B$2:$G$2,0)),0)</f>
        <v>3680</v>
      </c>
      <c r="H45" s="119" t="str">
        <f aca="false">IF(G45=F45,"Bien",G45-F45)</f>
        <v>Bien</v>
      </c>
    </row>
    <row r="46" s="40" customFormat="true" ht="13.8" hidden="false" customHeight="false" outlineLevel="0" collapsed="false">
      <c r="D46" s="68"/>
      <c r="E46" s="67"/>
      <c r="F46" s="96" t="n">
        <f aca="false">SUM(F38:F45)</f>
        <v>18340</v>
      </c>
      <c r="G46" s="97" t="n">
        <f aca="false">SUM(G38:G45)</f>
        <v>18340</v>
      </c>
      <c r="H46" s="67"/>
      <c r="I46" s="98" t="str">
        <f aca="false">+IF(G46=G15,"OK","Revisar")</f>
        <v>OK</v>
      </c>
    </row>
    <row r="47" customFormat="false" ht="14.5" hidden="false" customHeight="false" outlineLevel="0" collapsed="false">
      <c r="C47" s="67"/>
      <c r="D47" s="68"/>
      <c r="E47" s="67"/>
      <c r="F47" s="84"/>
      <c r="G47" s="97"/>
      <c r="H47" s="67"/>
    </row>
    <row r="48" customFormat="false" ht="14.5" hidden="false" customHeight="false" outlineLevel="0" collapsed="false">
      <c r="A48" s="63" t="s">
        <v>19</v>
      </c>
      <c r="B48" s="63"/>
      <c r="C48" s="63"/>
      <c r="D48" s="63"/>
      <c r="E48" s="63"/>
      <c r="F48" s="63"/>
      <c r="G48" s="63"/>
      <c r="H48" s="63"/>
    </row>
    <row r="49" customFormat="false" ht="13.8" hidden="false" customHeight="false" outlineLevel="0" collapsed="false">
      <c r="C49" s="120" t="s">
        <v>41</v>
      </c>
      <c r="D49" s="121" t="s">
        <v>63</v>
      </c>
      <c r="E49" s="122" t="s">
        <v>44</v>
      </c>
      <c r="F49" s="123" t="s">
        <v>36</v>
      </c>
      <c r="G49" s="67"/>
      <c r="H49" s="67"/>
    </row>
    <row r="50" customFormat="false" ht="14.9" hidden="false" customHeight="false" outlineLevel="0" collapsed="false">
      <c r="A50" s="124" t="n">
        <v>109</v>
      </c>
      <c r="B50" s="125" t="s">
        <v>45</v>
      </c>
      <c r="C50" s="101" t="s">
        <v>25</v>
      </c>
      <c r="D50" s="126" t="n">
        <v>1</v>
      </c>
      <c r="E50" s="127" t="n">
        <v>1400</v>
      </c>
      <c r="F50" s="128" t="n">
        <f aca="false">IFERROR(INDEX($B$3:$G$14,MATCH(C50,$A$3:$A$14,0),MATCH($A$48,$B$2:$G$2,0)),0)</f>
        <v>1400</v>
      </c>
      <c r="G50" s="105" t="str">
        <f aca="false">IF(F50=E50,"Bien",F50-E50)</f>
        <v>Bien</v>
      </c>
      <c r="H50" s="67"/>
    </row>
    <row r="51" customFormat="false" ht="14.9" hidden="false" customHeight="false" outlineLevel="0" collapsed="false">
      <c r="A51" s="129" t="n">
        <v>320</v>
      </c>
      <c r="B51" s="130" t="s">
        <v>47</v>
      </c>
      <c r="C51" s="67" t="s">
        <v>15</v>
      </c>
      <c r="D51" s="131" t="n">
        <v>4</v>
      </c>
      <c r="E51" s="132" t="n">
        <v>6320</v>
      </c>
      <c r="F51" s="133" t="n">
        <f aca="false">IFERROR(INDEX($B$3:$G$14,MATCH(C51,$A$3:$A$14,0),MATCH($A$48,$B$2:$G$2,0)),0)</f>
        <v>6320</v>
      </c>
      <c r="G51" s="108" t="str">
        <f aca="false">IF(F51=E51,"Bien",F51-E51)</f>
        <v>Bien</v>
      </c>
      <c r="H51" s="67"/>
    </row>
    <row r="52" customFormat="false" ht="14.9" hidden="false" customHeight="false" outlineLevel="0" collapsed="false">
      <c r="A52" s="129" t="n">
        <v>321</v>
      </c>
      <c r="B52" s="130" t="s">
        <v>50</v>
      </c>
      <c r="C52" s="67" t="s">
        <v>51</v>
      </c>
      <c r="D52" s="131"/>
      <c r="E52" s="132"/>
      <c r="F52" s="133" t="n">
        <f aca="false">IFERROR(INDEX($B$3:$G$14,MATCH(C52,$A$3:$A$14,0),MATCH($A$48,$B$2:$G$2,0)),0)</f>
        <v>0</v>
      </c>
      <c r="G52" s="108" t="str">
        <f aca="false">IF(F52=E52,"Bien",F52-E52)</f>
        <v>Bien</v>
      </c>
      <c r="H52" s="67"/>
    </row>
    <row r="53" customFormat="false" ht="14.9" hidden="false" customHeight="false" outlineLevel="0" collapsed="false">
      <c r="A53" s="134" t="n">
        <v>296</v>
      </c>
      <c r="B53" s="135" t="s">
        <v>59</v>
      </c>
      <c r="C53" s="67" t="s">
        <v>17</v>
      </c>
      <c r="D53" s="131"/>
      <c r="E53" s="136"/>
      <c r="F53" s="133" t="n">
        <f aca="false">IFERROR(INDEX($B$3:$G$14,MATCH(C53,$A$3:$A$14,0),MATCH($A$48,$B$2:$G$2,0)),0)</f>
        <v>0</v>
      </c>
      <c r="G53" s="108" t="str">
        <f aca="false">IF(F53=E53,"Bien",F53-E53)</f>
        <v>Bien</v>
      </c>
      <c r="H53" s="67"/>
    </row>
    <row r="54" customFormat="false" ht="14.9" hidden="false" customHeight="false" outlineLevel="0" collapsed="false">
      <c r="A54" s="129"/>
      <c r="B54" s="137"/>
      <c r="C54" s="138" t="s">
        <v>64</v>
      </c>
      <c r="D54" s="139"/>
      <c r="E54" s="140"/>
      <c r="F54" s="133" t="n">
        <f aca="false">IFERROR(INDEX($B$3:$G$14,MATCH(C54,$A$3:$A$14,0),MATCH($A$48,$B$2:$G$2,0)),0)</f>
        <v>0</v>
      </c>
      <c r="G54" s="108" t="str">
        <f aca="false">IF(F54=E54,"Bien",F54-E54)</f>
        <v>Bien</v>
      </c>
      <c r="H54" s="67"/>
    </row>
    <row r="55" customFormat="false" ht="14.9" hidden="false" customHeight="false" outlineLevel="0" collapsed="false">
      <c r="A55" s="141"/>
      <c r="B55" s="142" t="s">
        <v>45</v>
      </c>
      <c r="C55" s="143" t="s">
        <v>60</v>
      </c>
      <c r="D55" s="144"/>
      <c r="E55" s="145"/>
      <c r="F55" s="146" t="n">
        <f aca="false">IFERROR(INDEX($B$3:$G$14,MATCH(C55,$A$3:$A$14,0),MATCH($A$48,$B$2:$G$2,0)),0)</f>
        <v>0</v>
      </c>
      <c r="G55" s="119" t="str">
        <f aca="false">IF(F55=E55,"Bien",F55-E55)</f>
        <v>Bien</v>
      </c>
      <c r="H55" s="67"/>
    </row>
    <row r="56" customFormat="false" ht="13.8" hidden="false" customHeight="false" outlineLevel="0" collapsed="false">
      <c r="C56" s="67"/>
      <c r="D56" s="131"/>
      <c r="E56" s="97" t="n">
        <f aca="false">SUM(E50:E55)</f>
        <v>7720</v>
      </c>
      <c r="F56" s="97" t="n">
        <f aca="false">SUM(F50:F55)</f>
        <v>7720</v>
      </c>
      <c r="G56" s="67"/>
      <c r="H56" s="67"/>
      <c r="I56" s="98" t="str">
        <f aca="false">+IF(F56=F15,"OK","Revisar")</f>
        <v>OK</v>
      </c>
    </row>
    <row r="57" customFormat="false" ht="14.5" hidden="false" customHeight="false" outlineLevel="0" collapsed="false">
      <c r="A57" s="63" t="s">
        <v>20</v>
      </c>
      <c r="B57" s="63"/>
      <c r="C57" s="63"/>
      <c r="D57" s="63"/>
      <c r="E57" s="63"/>
      <c r="F57" s="63"/>
      <c r="G57" s="63"/>
      <c r="H57" s="67"/>
    </row>
    <row r="58" customFormat="false" ht="14.5" hidden="false" customHeight="false" outlineLevel="0" collapsed="false">
      <c r="C58" s="67" t="s">
        <v>41</v>
      </c>
      <c r="D58" s="68" t="s">
        <v>63</v>
      </c>
      <c r="E58" s="67" t="s">
        <v>44</v>
      </c>
      <c r="F58" s="84" t="s">
        <v>36</v>
      </c>
      <c r="G58" s="67"/>
      <c r="H58" s="67"/>
    </row>
    <row r="59" customFormat="false" ht="14.9" hidden="false" customHeight="false" outlineLevel="0" collapsed="false">
      <c r="A59" s="70" t="n">
        <v>109</v>
      </c>
      <c r="B59" s="71" t="s">
        <v>45</v>
      </c>
      <c r="C59" s="72" t="s">
        <v>25</v>
      </c>
      <c r="D59" s="147"/>
      <c r="E59" s="148"/>
      <c r="F59" s="75" t="n">
        <f aca="false">IFERROR(INDEX($B$3:$G$14,MATCH(C59,$A$3:$A$14,0),MATCH($A$57,$B$2:$G$2,0)),0)</f>
        <v>0</v>
      </c>
      <c r="G59" s="149" t="str">
        <f aca="false">IF(F59=E59,"Bien",F59-E59)</f>
        <v>Bien</v>
      </c>
      <c r="H59" s="67"/>
    </row>
    <row r="60" customFormat="false" ht="14.9" hidden="false" customHeight="false" outlineLevel="0" collapsed="false">
      <c r="A60" s="82" t="n">
        <v>320</v>
      </c>
      <c r="B60" s="83" t="s">
        <v>47</v>
      </c>
      <c r="C60" s="67" t="s">
        <v>15</v>
      </c>
      <c r="D60" s="139" t="n">
        <v>4</v>
      </c>
      <c r="E60" s="140" t="n">
        <v>6340</v>
      </c>
      <c r="F60" s="80" t="n">
        <f aca="false">IFERROR(INDEX($B$3:$G$14,MATCH(C60,$A$3:$A$14,0),MATCH($A$57,$B$2:$G$2,0)),0)</f>
        <v>6340</v>
      </c>
      <c r="G60" s="88" t="str">
        <f aca="false">IF(F60=E60,"Bien",F60-E60)</f>
        <v>Bien</v>
      </c>
      <c r="H60" s="67"/>
    </row>
    <row r="61" customFormat="false" ht="14.9" hidden="false" customHeight="false" outlineLevel="0" collapsed="false">
      <c r="A61" s="82" t="n">
        <v>321</v>
      </c>
      <c r="B61" s="83" t="s">
        <v>50</v>
      </c>
      <c r="C61" s="67" t="s">
        <v>51</v>
      </c>
      <c r="D61" s="139"/>
      <c r="E61" s="140"/>
      <c r="F61" s="80" t="n">
        <f aca="false">IFERROR(INDEX($B$3:$G$14,MATCH(C61,$A$3:$A$14,0),MATCH($A$57,$B$2:$G$2,0)),0)</f>
        <v>0</v>
      </c>
      <c r="G61" s="88" t="str">
        <f aca="false">IF(F61=E61,"Bien",F61-E61)</f>
        <v>Bien</v>
      </c>
      <c r="H61" s="67"/>
    </row>
    <row r="62" customFormat="false" ht="14.9" hidden="false" customHeight="false" outlineLevel="0" collapsed="false">
      <c r="A62" s="77" t="n">
        <v>296</v>
      </c>
      <c r="B62" s="40" t="s">
        <v>59</v>
      </c>
      <c r="C62" s="67" t="s">
        <v>17</v>
      </c>
      <c r="D62" s="139"/>
      <c r="E62" s="140"/>
      <c r="F62" s="80" t="n">
        <f aca="false">IFERROR(INDEX($B$3:$G$14,MATCH(C62,$A$3:$A$14,0),MATCH($A$57,$B$2:$G$2,0)),0)</f>
        <v>0</v>
      </c>
      <c r="G62" s="88" t="str">
        <f aca="false">IF(F62=E62,"Bien",F62-E62)</f>
        <v>Bien</v>
      </c>
      <c r="H62" s="67"/>
    </row>
    <row r="63" customFormat="false" ht="15" hidden="false" customHeight="false" outlineLevel="0" collapsed="false">
      <c r="A63" s="150"/>
      <c r="B63" s="92"/>
      <c r="C63" s="151" t="s">
        <v>64</v>
      </c>
      <c r="D63" s="152"/>
      <c r="E63" s="153"/>
      <c r="F63" s="94" t="n">
        <f aca="false">IFERROR(INDEX($B$3:$G$14,MATCH(C63,$A$3:$A$14,0),MATCH($A$57,$B$2:$G$2,0)),0)</f>
        <v>0</v>
      </c>
      <c r="G63" s="95" t="str">
        <f aca="false">IF(F63=E63,"Bien",F63-E63)</f>
        <v>Bien</v>
      </c>
      <c r="H63" s="67"/>
    </row>
    <row r="64" customFormat="false" ht="13.8" hidden="false" customHeight="false" outlineLevel="0" collapsed="false">
      <c r="C64" s="67"/>
      <c r="D64" s="131"/>
      <c r="E64" s="97" t="n">
        <f aca="false">SUM(E59:E63)</f>
        <v>6340</v>
      </c>
      <c r="F64" s="97" t="n">
        <f aca="false">SUM(F59:F63)</f>
        <v>6340</v>
      </c>
      <c r="G64" s="67"/>
      <c r="H64" s="67"/>
      <c r="I64" s="98" t="str">
        <f aca="false">+IF(F64=E15,"OK","Revisar")</f>
        <v>OK</v>
      </c>
    </row>
    <row r="65" customFormat="false" ht="14.5" hidden="false" customHeight="false" outlineLevel="0" collapsed="false">
      <c r="A65" s="63" t="s">
        <v>23</v>
      </c>
      <c r="B65" s="63"/>
      <c r="C65" s="63"/>
      <c r="D65" s="63"/>
      <c r="E65" s="63"/>
      <c r="F65" s="63"/>
      <c r="G65" s="63"/>
      <c r="H65" s="67"/>
    </row>
    <row r="66" customFormat="false" ht="14.5" hidden="false" customHeight="false" outlineLevel="0" collapsed="false">
      <c r="C66" s="67" t="s">
        <v>41</v>
      </c>
      <c r="D66" s="68" t="s">
        <v>63</v>
      </c>
      <c r="E66" s="67" t="s">
        <v>44</v>
      </c>
      <c r="F66" s="84" t="s">
        <v>36</v>
      </c>
      <c r="G66" s="67"/>
      <c r="H66" s="67"/>
    </row>
    <row r="67" customFormat="false" ht="14.9" hidden="false" customHeight="false" outlineLevel="0" collapsed="false">
      <c r="A67" s="70" t="n">
        <v>109</v>
      </c>
      <c r="B67" s="71" t="s">
        <v>45</v>
      </c>
      <c r="C67" s="72" t="s">
        <v>25</v>
      </c>
      <c r="D67" s="154"/>
      <c r="E67" s="148"/>
      <c r="F67" s="75" t="n">
        <f aca="false">IFERROR(INDEX($B$3:$G$14,MATCH(C67,$A$3:$A$14,0),MATCH($A$65,$B$2:$G$2,0)),0)</f>
        <v>0</v>
      </c>
      <c r="G67" s="149" t="str">
        <f aca="false">IF(F67=E67,"Bien",F67-E67)</f>
        <v>Bien</v>
      </c>
      <c r="H67" s="67"/>
    </row>
    <row r="68" customFormat="false" ht="14.9" hidden="false" customHeight="false" outlineLevel="0" collapsed="false">
      <c r="A68" s="77" t="n">
        <v>333</v>
      </c>
      <c r="B68" s="78" t="s">
        <v>46</v>
      </c>
      <c r="C68" s="78" t="s">
        <v>22</v>
      </c>
      <c r="D68" s="139" t="n">
        <v>8</v>
      </c>
      <c r="E68" s="155" t="n">
        <v>2880</v>
      </c>
      <c r="F68" s="80" t="n">
        <f aca="false">IFERROR(INDEX($B$3:$G$14,MATCH(C68,$A$3:$A$14,0),MATCH($A$65,$B$2:$G$2,0)),0)</f>
        <v>2880</v>
      </c>
      <c r="G68" s="88" t="str">
        <f aca="false">IF(F68=E68,"Bien",F68-E68)</f>
        <v>Bien</v>
      </c>
      <c r="H68" s="67"/>
    </row>
    <row r="69" customFormat="false" ht="14.9" hidden="false" customHeight="false" outlineLevel="0" collapsed="false">
      <c r="A69" s="156"/>
      <c r="B69" s="40" t="s">
        <v>65</v>
      </c>
      <c r="C69" s="83" t="s">
        <v>21</v>
      </c>
      <c r="D69" s="136"/>
      <c r="E69" s="136"/>
      <c r="F69" s="80" t="n">
        <f aca="false">IFERROR(INDEX($B$3:$G$14,MATCH(C69,$A$3:$A$14,0),MATCH($A$65,$B$2:$G$2,0)),0)</f>
        <v>0</v>
      </c>
      <c r="G69" s="88" t="str">
        <f aca="false">IF(F69=E69,"Bien",F69-E69)</f>
        <v>Bien</v>
      </c>
      <c r="H69" s="67"/>
    </row>
    <row r="70" customFormat="false" ht="15" hidden="false" customHeight="false" outlineLevel="0" collapsed="false">
      <c r="A70" s="77" t="n">
        <v>316</v>
      </c>
      <c r="B70" s="40" t="s">
        <v>52</v>
      </c>
      <c r="C70" s="67" t="s">
        <v>24</v>
      </c>
      <c r="D70" s="136"/>
      <c r="E70" s="136"/>
      <c r="F70" s="80" t="n">
        <f aca="false">IFERROR(INDEX($B$3:$G$14,MATCH(C70,$A$3:$A$14,0),MATCH($A$65,$B$2:$G$2,0)),0)</f>
        <v>0</v>
      </c>
      <c r="G70" s="88" t="str">
        <f aca="false">IF(F70=E70,"Bien",F70-E70)</f>
        <v>Bien</v>
      </c>
      <c r="H70" s="67"/>
    </row>
    <row r="71" customFormat="false" ht="15" hidden="false" customHeight="false" outlineLevel="0" collapsed="false">
      <c r="A71" s="77" t="n">
        <v>309</v>
      </c>
      <c r="B71" s="40" t="s">
        <v>57</v>
      </c>
      <c r="C71" s="67" t="s">
        <v>16</v>
      </c>
      <c r="D71" s="131" t="n">
        <v>8</v>
      </c>
      <c r="E71" s="132" t="n">
        <v>3780</v>
      </c>
      <c r="F71" s="80" t="n">
        <f aca="false">IFERROR(INDEX($B$3:$G$14,MATCH(C71,$A$3:$A$14,0),MATCH($A$65,$B$2:$G$2,0)),0)</f>
        <v>3780</v>
      </c>
      <c r="G71" s="88" t="str">
        <f aca="false">IF(F71=E71,"Bien",F71-E71)</f>
        <v>Bien</v>
      </c>
      <c r="H71" s="67"/>
    </row>
    <row r="72" customFormat="false" ht="15" hidden="false" customHeight="false" outlineLevel="0" collapsed="false">
      <c r="A72" s="89" t="n">
        <v>296</v>
      </c>
      <c r="B72" s="92" t="s">
        <v>59</v>
      </c>
      <c r="C72" s="92" t="s">
        <v>17</v>
      </c>
      <c r="D72" s="152"/>
      <c r="E72" s="157"/>
      <c r="F72" s="94" t="n">
        <f aca="false">IFERROR(INDEX($B$3:$G$14,MATCH(C72,$A$3:$A$14,0),MATCH($A$65,$B$2:$G$2,0)),0)</f>
        <v>0</v>
      </c>
      <c r="G72" s="95" t="str">
        <f aca="false">IF(F72=E72,"Bien",F72-E72)</f>
        <v>Bien</v>
      </c>
      <c r="H72" s="67"/>
    </row>
    <row r="73" customFormat="false" ht="13.8" hidden="false" customHeight="false" outlineLevel="0" collapsed="false">
      <c r="C73" s="67"/>
      <c r="D73" s="131"/>
      <c r="E73" s="97" t="n">
        <f aca="false">SUM(E67:E72)</f>
        <v>6660</v>
      </c>
      <c r="F73" s="97" t="n">
        <f aca="false">SUM(F67:F72)</f>
        <v>6660</v>
      </c>
      <c r="G73" s="67"/>
      <c r="H73" s="67"/>
      <c r="I73" s="98" t="str">
        <f aca="false">+IF(F73=C15,"OK","Revisar")</f>
        <v>OK</v>
      </c>
    </row>
    <row r="74" customFormat="false" ht="14.5" hidden="false" customHeight="false" outlineLevel="0" collapsed="false">
      <c r="A74" s="63" t="s">
        <v>31</v>
      </c>
      <c r="B74" s="63"/>
      <c r="C74" s="63"/>
      <c r="D74" s="63"/>
      <c r="E74" s="63"/>
      <c r="F74" s="63"/>
      <c r="G74" s="63"/>
      <c r="H74" s="67"/>
    </row>
    <row r="75" customFormat="false" ht="14.5" hidden="false" customHeight="false" outlineLevel="0" collapsed="false">
      <c r="C75" s="67" t="s">
        <v>41</v>
      </c>
      <c r="D75" s="68" t="s">
        <v>63</v>
      </c>
      <c r="E75" s="67" t="s">
        <v>44</v>
      </c>
      <c r="F75" s="84" t="s">
        <v>36</v>
      </c>
      <c r="G75" s="67"/>
      <c r="H75" s="67"/>
    </row>
    <row r="76" customFormat="false" ht="14.9" hidden="false" customHeight="false" outlineLevel="0" collapsed="false">
      <c r="A76" s="70" t="n">
        <v>109</v>
      </c>
      <c r="B76" s="71" t="s">
        <v>45</v>
      </c>
      <c r="C76" s="72" t="s">
        <v>25</v>
      </c>
      <c r="D76" s="147" t="n">
        <v>1</v>
      </c>
      <c r="E76" s="148" t="n">
        <v>10840</v>
      </c>
      <c r="F76" s="75" t="n">
        <f aca="false">IFERROR(INDEX($B$3:$G$14,MATCH(C76,$A$3:$A$14,0),MATCH($A$74,$B$2:$G$2,0)),0)</f>
        <v>10840</v>
      </c>
      <c r="G76" s="149" t="str">
        <f aca="false">IF(F76=E76,"Bien",F76-E76)</f>
        <v>Bien</v>
      </c>
      <c r="H76" s="67"/>
    </row>
    <row r="77" customFormat="false" ht="14.9" hidden="false" customHeight="false" outlineLevel="0" collapsed="false">
      <c r="A77" s="77" t="n">
        <v>309</v>
      </c>
      <c r="B77" s="40" t="s">
        <v>57</v>
      </c>
      <c r="C77" s="67" t="s">
        <v>16</v>
      </c>
      <c r="D77" s="131"/>
      <c r="E77" s="136"/>
      <c r="F77" s="80" t="n">
        <f aca="false">IFERROR(INDEX($B$3:$G$14,MATCH(C77,$A$3:$A$14,0),MATCH($A$74,$B$2:$G$2,0)),0)</f>
        <v>0</v>
      </c>
      <c r="G77" s="88" t="str">
        <f aca="false">IF(F77=E77,"Bien",F77-E77)</f>
        <v>Bien</v>
      </c>
      <c r="H77" s="67"/>
    </row>
    <row r="78" customFormat="false" ht="15" hidden="false" customHeight="false" outlineLevel="0" collapsed="false">
      <c r="A78" s="89" t="n">
        <v>296</v>
      </c>
      <c r="B78" s="92" t="s">
        <v>59</v>
      </c>
      <c r="C78" s="92" t="s">
        <v>17</v>
      </c>
      <c r="D78" s="152" t="n">
        <v>2</v>
      </c>
      <c r="E78" s="153" t="n">
        <v>9260</v>
      </c>
      <c r="F78" s="94" t="n">
        <f aca="false">IFERROR(INDEX($B$3:$G$14,MATCH(C78,$A$3:$A$14,0),MATCH($A$74,$B$2:$G$2,0)),0)</f>
        <v>9260</v>
      </c>
      <c r="G78" s="95" t="str">
        <f aca="false">IF(F78=E78,"Bien",F78-E78)</f>
        <v>Bien</v>
      </c>
      <c r="H78" s="67"/>
    </row>
    <row r="79" customFormat="false" ht="13.8" hidden="false" customHeight="false" outlineLevel="0" collapsed="false">
      <c r="C79" s="67"/>
      <c r="D79" s="131"/>
      <c r="E79" s="97" t="n">
        <f aca="false">SUM(E76:E78)</f>
        <v>20100</v>
      </c>
      <c r="F79" s="97" t="n">
        <f aca="false">SUM(F76:F78)</f>
        <v>20100</v>
      </c>
      <c r="G79" s="67"/>
      <c r="H79" s="67"/>
      <c r="I79" s="98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5">
    <cfRule type="cellIs" priority="4" operator="notEqual" aboveAverage="0" equalAverage="0" bottom="0" percent="0" rank="0" text="" dxfId="1">
      <formula>""bien""</formula>
    </cfRule>
  </conditionalFormatting>
  <conditionalFormatting sqref="G50">
    <cfRule type="cellIs" priority="5" operator="notEqual" aboveAverage="0" equalAverage="0" bottom="0" percent="0" rank="0" text="" dxfId="1">
      <formula>""bien""</formula>
    </cfRule>
  </conditionalFormatting>
  <conditionalFormatting sqref="G51:G55">
    <cfRule type="cellIs" priority="6" operator="notEqual" aboveAverage="0" equalAverage="0" bottom="0" percent="0" rank="0" text="" dxfId="1">
      <formula>""bien""</formula>
    </cfRule>
  </conditionalFormatting>
  <conditionalFormatting sqref="G59">
    <cfRule type="cellIs" priority="7" operator="notEqual" aboveAverage="0" equalAverage="0" bottom="0" percent="0" rank="0" text="" dxfId="1">
      <formula>""bien""</formula>
    </cfRule>
  </conditionalFormatting>
  <conditionalFormatting sqref="G60:G63">
    <cfRule type="cellIs" priority="8" operator="notEqual" aboveAverage="0" equalAverage="0" bottom="0" percent="0" rank="0" text="" dxfId="2">
      <formula>""bien""</formula>
    </cfRule>
  </conditionalFormatting>
  <conditionalFormatting sqref="G67">
    <cfRule type="cellIs" priority="9" operator="notEqual" aboveAverage="0" equalAverage="0" bottom="0" percent="0" rank="0" text="" dxfId="2">
      <formula>""bien""</formula>
    </cfRule>
  </conditionalFormatting>
  <conditionalFormatting sqref="G68:G72">
    <cfRule type="cellIs" priority="10" operator="notEqual" aboveAverage="0" equalAverage="0" bottom="0" percent="0" rank="0" text="" dxfId="2">
      <formula>""bien""</formula>
    </cfRule>
  </conditionalFormatting>
  <conditionalFormatting sqref="G76">
    <cfRule type="cellIs" priority="11" operator="notEqual" aboveAverage="0" equalAverage="0" bottom="0" percent="0" rank="0" text="" dxfId="2">
      <formula>""bien""</formula>
    </cfRule>
  </conditionalFormatting>
  <conditionalFormatting sqref="G77:G78">
    <cfRule type="cellIs" priority="12" operator="notEqual" aboveAverage="0" equalAverage="0" bottom="0" percent="0" rank="0" text="" dxfId="2">
      <formula>""bien""</formula>
    </cfRule>
  </conditionalFormatting>
  <conditionalFormatting sqref="C16">
    <cfRule type="cellIs" priority="13" operator="notEqual" aboveAverage="0" equalAverage="0" bottom="0" percent="0" rank="0" text="" dxfId="3">
      <formula>#REF!</formula>
    </cfRule>
  </conditionalFormatting>
  <conditionalFormatting sqref="B16">
    <cfRule type="cellIs" priority="14" operator="notEqual" aboveAverage="0" equalAverage="0" bottom="0" percent="0" rank="0" text="" dxfId="3">
      <formula>#REF!</formula>
    </cfRule>
  </conditionalFormatting>
  <conditionalFormatting sqref="D16">
    <cfRule type="cellIs" priority="15" operator="notEqual" aboveAverage="0" equalAverage="0" bottom="0" percent="0" rank="0" text="" dxfId="3">
      <formula>#REF!</formula>
    </cfRule>
  </conditionalFormatting>
  <conditionalFormatting sqref="E16">
    <cfRule type="cellIs" priority="16" operator="notEqual" aboveAverage="0" equalAverage="0" bottom="0" percent="0" rank="0" text="" dxfId="3">
      <formula>#REF!</formula>
    </cfRule>
  </conditionalFormatting>
  <conditionalFormatting sqref="F16">
    <cfRule type="cellIs" priority="17" operator="notEqual" aboveAverage="0" equalAverage="0" bottom="0" percent="0" rank="0" text="" dxfId="3">
      <formula>#REF!</formula>
    </cfRule>
  </conditionalFormatting>
  <conditionalFormatting sqref="G16">
    <cfRule type="cellIs" priority="18" operator="notEqual" aboveAverage="0" equalAverage="0" bottom="0" percent="0" rank="0" text="" dxfId="3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2021-12-01T14:02:44Z</dcterms:created>
  <dc:creator>usuario</dc:creator>
  <dc:description/>
  <dc:language>es-ES</dc:language>
  <cp:lastModifiedBy>JORGE AZUARA ROCA</cp:lastModifiedBy>
  <dcterms:modified xsi:type="dcterms:W3CDTF">2021-12-09T13:21:59Z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0x012000D96F098ED5E78F49B4E623047188DB6F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