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oja1" sheetId="1" state="visible" r:id="rId2"/>
    <sheet name="Tabla dinámica_Hoja1_1" sheetId="2" state="visible" r:id="rId3"/>
    <sheet name="certificacion_2_2_2" sheetId="3" state="visible" r:id="rId4"/>
    <sheet name="Hoja2" sheetId="4" state="visible" r:id="rId5"/>
  </sheets>
  <definedNames>
    <definedName function="false" hidden="true" localSheetId="0" name="_xlnm._FilterDatabase" vbProcedure="false">Hoja1!$A$1:$J$253</definedName>
  </definedName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<sst xmlns="http://schemas.openxmlformats.org/spreadsheetml/2006/main" count="1187" uniqueCount="65">
  <si>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</si>
  <si>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</si>
  <si>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</si>
  <si>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</si>
  <si>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</si>
  <si>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</si>
  <si>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</si>
  <si>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</si>
  <si>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</si>
  <si>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Revisado</t>
  </si>
  <si>
    <t xml:space="preserve">1730KBZ</t>
  </si>
  <si>
    <t xml:space="preserve">PEÑISCOLA</t>
  </si>
  <si>
    <t xml:space="preserve">RSU</t>
  </si>
  <si>
    <t xml:space="preserve">x</t>
  </si>
  <si>
    <t xml:space="preserve">7542KBV</t>
  </si>
  <si>
    <t xml:space="preserve">7809JZX</t>
  </si>
  <si>
    <t xml:space="preserve">6120JZX</t>
  </si>
  <si>
    <t xml:space="preserve">3686KBG</t>
  </si>
  <si>
    <t xml:space="preserve">7957JZS</t>
  </si>
  <si>
    <t xml:space="preserve">VOL</t>
  </si>
  <si>
    <t xml:space="preserve">SEL.PAP</t>
  </si>
  <si>
    <t xml:space="preserve">0315BGK</t>
  </si>
  <si>
    <t xml:space="preserve">1076KSZ</t>
  </si>
  <si>
    <t xml:space="preserve">1821KBZ</t>
  </si>
  <si>
    <t xml:space="preserve">SEL.ENV</t>
  </si>
  <si>
    <t xml:space="preserve">PODA</t>
  </si>
  <si>
    <t xml:space="preserve">- todo -</t>
  </si>
  <si>
    <t xml:space="preserve">Suma - Carga</t>
  </si>
  <si>
    <t xml:space="preserve">Total Resultado</t>
  </si>
  <si>
    <t xml:space="preserve">LIMP. PLAYA</t>
  </si>
  <si>
    <t xml:space="preserve">VOLUMINOSOS</t>
  </si>
  <si>
    <t xml:space="preserve">sustituye 0315BGK</t>
  </si>
  <si>
    <t xml:space="preserve">Certificado</t>
  </si>
  <si>
    <t xml:space="preserve">CERTIFICADO</t>
  </si>
  <si>
    <t xml:space="preserve">REVISADO</t>
  </si>
  <si>
    <t xml:space="preserve">DIFERENCIA</t>
  </si>
  <si>
    <t xml:space="preserve">TOTAL CERTIFICACIÓN</t>
  </si>
  <si>
    <t xml:space="preserve">N.º vehículo</t>
  </si>
  <si>
    <t xml:space="preserve">Tipo</t>
  </si>
  <si>
    <t xml:space="preserve">MATRICULA</t>
  </si>
  <si>
    <t xml:space="preserve">RUTA</t>
  </si>
  <si>
    <t xml:space="preserve">HORARIO</t>
  </si>
  <si>
    <t xml:space="preserve">CARGA</t>
  </si>
  <si>
    <t xml:space="preserve">MULTILIFT GRÚA</t>
  </si>
  <si>
    <t xml:space="preserve">Volquete Jardinería</t>
  </si>
  <si>
    <t xml:space="preserve">2-3-4-5</t>
  </si>
  <si>
    <t xml:space="preserve">Día/Noche</t>
  </si>
  <si>
    <t xml:space="preserve">Recolector 22 _ 1</t>
  </si>
  <si>
    <t xml:space="preserve">Noche</t>
  </si>
  <si>
    <t xml:space="preserve">Recolector 22 _ 2</t>
  </si>
  <si>
    <t xml:space="preserve">volquete 4x4 LV</t>
  </si>
  <si>
    <t xml:space="preserve">Día </t>
  </si>
  <si>
    <t xml:space="preserve">Recolector 17</t>
  </si>
  <si>
    <t xml:space="preserve">5313GBZ</t>
  </si>
  <si>
    <t xml:space="preserve">Sustituya a 318</t>
  </si>
  <si>
    <t xml:space="preserve">volquete doble LV</t>
  </si>
  <si>
    <t xml:space="preserve">Recolector 5</t>
  </si>
  <si>
    <t xml:space="preserve">volquete</t>
  </si>
  <si>
    <t xml:space="preserve">8500BYJ</t>
  </si>
  <si>
    <t xml:space="preserve">Sustituya a 109</t>
  </si>
  <si>
    <t xml:space="preserve">N.º OPERARIOS</t>
  </si>
  <si>
    <t xml:space="preserve">FRECUENCIA</t>
  </si>
  <si>
    <t xml:space="preserve">2828CZW</t>
  </si>
  <si>
    <t xml:space="preserve">Camión FOBESA</t>
  </si>
  <si>
    <t xml:space="preserve">5936GJY</t>
  </si>
</sst>
</file>

<file path=xl/styles.xml><?xml version="1.0" encoding="utf-8"?>
<styleSheet xmlns="http://schemas.openxmlformats.org/spreadsheetml/2006/main">
  <numFmts count="8">
    <numFmt numFmtId="164" formatCode="#,##0.00\ ;[RED]\-#,##0.00\ "/>
    <numFmt numFmtId="165" formatCode="General"/>
    <numFmt numFmtId="166" formatCode="dd\-mm\-yy"/>
    <numFmt numFmtId="167" formatCode="h:mm"/>
    <numFmt numFmtId="168" formatCode="#,##0"/>
    <numFmt numFmtId="169" formatCode="dd/mm/yyyy"/>
    <numFmt numFmtId="170" formatCode="#,##0;[RED]\-#,##0"/>
    <numFmt numFmtId="171" formatCode="General"/>
  </numFmts>
  <fonts count="14">
    <font>
      <sz val="11"/>
      <color rgb="FF000000"/>
      <name val="Lato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Lato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0"/>
    </font>
    <font>
      <b val="true"/>
      <sz val="11"/>
      <name val="Calibri"/>
      <family val="2"/>
    </font>
    <font>
      <sz val="11"/>
      <color rgb="FF000000"/>
      <name val="Frutiger 45 Light"/>
      <family val="2"/>
    </font>
    <font>
      <b val="true"/>
      <sz val="11"/>
      <color rgb="FFCE181E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BCC"/>
        <bgColor rgb="FFFFF9AE"/>
      </patternFill>
    </fill>
    <fill>
      <patternFill patternType="solid">
        <fgColor rgb="FFFFF9AE"/>
        <bgColor rgb="FFFFFBCC"/>
      </patternFill>
    </fill>
    <fill>
      <patternFill patternType="solid">
        <fgColor rgb="FFFCD3C1"/>
        <bgColor rgb="FFFFCCCC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7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left" vertical="bottom" textRotation="0" wrapText="false" indent="0" shrinkToFit="false"/>
    </xf>
    <xf numFmtId="165" fontId="4" fillId="0" borderId="0" applyFont="true" applyBorder="false" applyAlignment="true" applyProtection="false">
      <alignment horizontal="left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8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6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26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27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1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8" fillId="0" borderId="2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2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8" fillId="2" borderId="2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2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9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9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29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29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2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2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3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0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2" fillId="0" borderId="0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3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31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3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32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2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3" borderId="2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33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3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34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3" borderId="34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31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70" fontId="9" fillId="0" borderId="3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35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36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3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37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38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3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39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2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29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4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34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2" fillId="0" borderId="41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8" fontId="9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4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4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4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4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0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8" fontId="9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35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9" fillId="4" borderId="43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3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44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1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2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2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2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2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6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16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7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9" fillId="0" borderId="8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8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8" fontId="9" fillId="0" borderId="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2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6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7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8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Esquina de la tabla dinámica" xfId="21"/>
    <cellStyle name="Valor de la tabla dinámica" xfId="22"/>
    <cellStyle name="Categoría de la tabla dinámica" xfId="23"/>
    <cellStyle name="Título de la tabla dinámica" xfId="24"/>
    <cellStyle name="Resultado de la tabla dinámica" xfId="25"/>
    <cellStyle name="Excel Built-in Explanatory Text" xfId="26"/>
  </cellStyles>
  <dxfs count="14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ont>
        <name val="Calibri"/>
        <family val="2"/>
        <b val="1"/>
        <color rgb="FF000000"/>
        <sz val="11"/>
      </font>
    </dxf>
    <dxf>
      <font>
        <name val="Calibri"/>
        <family val="2"/>
        <color rgb="FF000000"/>
        <sz val="11"/>
      </font>
    </dxf>
    <dxf>
      <font>
        <name val="Calibri"/>
        <family val="2"/>
        <b val="1"/>
        <color rgb="FF000000"/>
        <sz val="11"/>
      </font>
    </dxf>
    <dxf>
      <font>
        <name val="Calibri"/>
        <family val="2"/>
        <color rgb="FF000000"/>
        <sz val="11"/>
      </font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Lato"/>
        <charset val="1"/>
        <family val="2"/>
        <color rgb="FFCC0000"/>
        <sz val="11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CC"/>
      <rgbColor rgb="FFCCFFFF"/>
      <rgbColor rgb="FF660066"/>
      <rgbColor rgb="FFFF8080"/>
      <rgbColor rgb="FF0066CC"/>
      <rgbColor rgb="FFFF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99CC"/>
      <rgbColor rgb="FFCC99FF"/>
      <rgbColor rgb="FFFCD3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52" createdVersion="3">
  <cacheSource type="worksheet">
    <worksheetSource ref="A1:J253" sheet="Hoja1"/>
  </cacheSource>
  <cacheFields count="10">
    <cacheField name="Fecha" numFmtId="0">
      <sharedItems containsSemiMixedTypes="0" containsNonDate="0" containsDate="1" containsString="0" minDate="2023-05-01T00:00:00" maxDate="2023-05-31T00:00:00" count="31"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</sharedItems>
    </cacheField>
    <cacheField name="Fecha / hora" numFmtId="0">
      <sharedItems containsSemiMixedTypes="0" containsString="0" containsNumber="1" minValue="0.0555555555555556" maxValue="0.558333333333333" count="181">
        <n v="0.0555555555555556"/>
        <n v="0.08125"/>
        <n v="0.0847222222222222"/>
        <n v="0.0861111111111111"/>
        <n v="0.0868055555555556"/>
        <n v="0.0888888888888889"/>
        <n v="0.0986111111111111"/>
        <n v="0.1"/>
        <n v="0.106944444444444"/>
        <n v="0.109027777777778"/>
        <n v="0.111805555555556"/>
        <n v="0.114583333333333"/>
        <n v="0.11875"/>
        <n v="0.121527777777778"/>
        <n v="0.122222222222222"/>
        <n v="0.13125"/>
        <n v="0.131944444444444"/>
        <n v="0.133333333333333"/>
        <n v="0.134027777777778"/>
        <n v="0.136805555555556"/>
        <n v="0.138194444444444"/>
        <n v="0.138888888888889"/>
        <n v="0.139583333333333"/>
        <n v="0.142361111111111"/>
        <n v="0.14375"/>
        <n v="0.145138888888889"/>
        <n v="0.145833333333333"/>
        <n v="0.146527777777778"/>
        <n v="0.147222222222222"/>
        <n v="0.149305555555556"/>
        <n v="0.152777777777778"/>
        <n v="0.153472222222222"/>
        <n v="0.154861111111111"/>
        <n v="0.156944444444444"/>
        <n v="0.1625"/>
        <n v="0.163888888888889"/>
        <n v="0.168055555555556"/>
        <n v="0.170833333333333"/>
        <n v="0.171527777777778"/>
        <n v="0.177083333333333"/>
        <n v="0.177777777777778"/>
        <n v="0.179166666666667"/>
        <n v="0.184027777777778"/>
        <n v="0.188888888888889"/>
        <n v="0.19375"/>
        <n v="0.195833333333333"/>
        <n v="0.202083333333333"/>
        <n v="0.20625"/>
        <n v="0.211111111111111"/>
        <n v="0.215972222222222"/>
        <n v="0.218055555555556"/>
        <n v="0.220138888888889"/>
        <n v="0.225"/>
        <n v="0.225694444444444"/>
        <n v="0.226388888888889"/>
        <n v="0.227777777777778"/>
        <n v="0.228472222222222"/>
        <n v="0.229166666666667"/>
        <n v="0.230555555555556"/>
        <n v="0.231944444444444"/>
        <n v="0.235416666666667"/>
        <n v="0.236111111111111"/>
        <n v="0.236805555555556"/>
        <n v="0.2375"/>
        <n v="0.238888888888889"/>
        <n v="0.239583333333333"/>
        <n v="0.240277777777778"/>
        <n v="0.241666666666667"/>
        <n v="0.242361111111111"/>
        <n v="0.243055555555556"/>
        <n v="0.24375"/>
        <n v="0.244444444444444"/>
        <n v="0.245138888888889"/>
        <n v="0.245833333333333"/>
        <n v="0.247222222222222"/>
        <n v="0.247916666666667"/>
        <n v="0.249305555555556"/>
        <n v="0.25"/>
        <n v="0.250694444444444"/>
        <n v="0.251388888888889"/>
        <n v="0.252083333333333"/>
        <n v="0.252777777777778"/>
        <n v="0.253472222222222"/>
        <n v="0.254166666666667"/>
        <n v="0.254861111111111"/>
        <n v="0.255555555555556"/>
        <n v="0.25625"/>
        <n v="0.256944444444445"/>
        <n v="0.257638888888889"/>
        <n v="0.258333333333333"/>
        <n v="0.259027777777778"/>
        <n v="0.2625"/>
        <n v="0.263194444444444"/>
        <n v="0.294444444444444"/>
        <n v="0.308333333333333"/>
        <n v="0.316666666666667"/>
        <n v="0.329861111111111"/>
        <n v="0.332638888888889"/>
        <n v="0.335416666666667"/>
        <n v="0.347916666666667"/>
        <n v="0.349305555555556"/>
        <n v="0.357638888888889"/>
        <n v="0.359722222222222"/>
        <n v="0.360416666666667"/>
        <n v="0.361111111111111"/>
        <n v="0.3625"/>
        <n v="0.365972222222222"/>
        <n v="0.370138888888889"/>
        <n v="0.377777777777778"/>
        <n v="0.413888888888889"/>
        <n v="0.419444444444444"/>
        <n v="0.424305555555556"/>
        <n v="0.43125"/>
        <n v="0.432638888888889"/>
        <n v="0.434027777777778"/>
        <n v="0.435416666666667"/>
        <n v="0.4375"/>
        <n v="0.438888888888889"/>
        <n v="0.439583333333333"/>
        <n v="0.440972222222222"/>
        <n v="0.443055555555556"/>
        <n v="0.444444444444444"/>
        <n v="0.445138888888889"/>
        <n v="0.447222222222222"/>
        <n v="0.448611111111111"/>
        <n v="0.45625"/>
        <n v="0.456944444444444"/>
        <n v="0.461805555555556"/>
        <n v="0.470138888888889"/>
        <n v="0.471527777777778"/>
        <n v="0.472222222222222"/>
        <n v="0.475"/>
        <n v="0.475694444444444"/>
        <n v="0.481944444444444"/>
        <n v="0.485416666666667"/>
        <n v="0.486805555555556"/>
        <n v="0.4875"/>
        <n v="0.488194444444444"/>
        <n v="0.490277777777778"/>
        <n v="0.491666666666667"/>
        <n v="0.493055555555556"/>
        <n v="0.49375"/>
        <n v="0.494444444444444"/>
        <n v="0.495833333333333"/>
        <n v="0.496527777777778"/>
        <n v="0.497222222222222"/>
        <n v="0.497916666666667"/>
        <n v="0.499305555555556"/>
        <n v="0.500694444444444"/>
        <n v="0.501388888888889"/>
        <n v="0.502777777777778"/>
        <n v="0.503472222222222"/>
        <n v="0.504166666666667"/>
        <n v="0.504861111111111"/>
        <n v="0.505555555555556"/>
        <n v="0.50625"/>
        <n v="0.506944444444444"/>
        <n v="0.507638888888889"/>
        <n v="0.508333333333333"/>
        <n v="0.509027777777778"/>
        <n v="0.509722222222222"/>
        <n v="0.510416666666667"/>
        <n v="0.511805555555556"/>
        <n v="0.5125"/>
        <n v="0.513194444444444"/>
        <n v="0.513888888888889"/>
        <n v="0.514583333333333"/>
        <n v="0.515277777777778"/>
        <n v="0.517361111111111"/>
        <n v="0.518055555555556"/>
        <n v="0.521527777777778"/>
        <n v="0.523611111111111"/>
        <n v="0.525694444444445"/>
        <n v="0.534722222222222"/>
        <n v="0.540972222222222"/>
        <n v="0.550694444444445"/>
        <n v="0.552083333333333"/>
        <n v="0.553472222222222"/>
        <n v="0.554861111111111"/>
        <n v="0.55625"/>
        <n v="0.558333333333333"/>
      </sharedItems>
    </cacheField>
    <cacheField name="Ticket" numFmtId="0">
      <sharedItems containsSemiMixedTypes="0" containsString="0" containsNumber="1" containsInteger="1" minValue="4226" maxValue="157183" count="252">
        <n v="4226"/>
        <n v="4236"/>
        <n v="4251"/>
        <n v="4273"/>
        <n v="4282"/>
        <n v="21436"/>
        <n v="21441"/>
        <n v="21443"/>
        <n v="21449"/>
        <n v="21451"/>
        <n v="21453"/>
        <n v="21478"/>
        <n v="21487"/>
        <n v="21492"/>
        <n v="21501"/>
        <n v="21502"/>
        <n v="21503"/>
        <n v="21515"/>
        <n v="21527"/>
        <n v="21528"/>
        <n v="21529"/>
        <n v="21547"/>
        <n v="21548"/>
        <n v="21556"/>
        <n v="21557"/>
        <n v="21558"/>
        <n v="21566"/>
        <n v="21569"/>
        <n v="21581"/>
        <n v="21586"/>
        <n v="21587"/>
        <n v="21608"/>
        <n v="21609"/>
        <n v="21617"/>
        <n v="21619"/>
        <n v="21620"/>
        <n v="21636"/>
        <n v="21647"/>
        <n v="21648"/>
        <n v="21649"/>
        <n v="21669"/>
        <n v="21673"/>
        <n v="21678"/>
        <n v="21679"/>
        <n v="21686"/>
        <n v="21698"/>
        <n v="21714"/>
        <n v="21722"/>
        <n v="21723"/>
        <n v="21724"/>
        <n v="21730"/>
        <n v="21731"/>
        <n v="21733"/>
        <n v="21740"/>
        <n v="21744"/>
        <n v="21745"/>
        <n v="21748"/>
        <n v="21749"/>
        <n v="21753"/>
        <n v="21758"/>
        <n v="21766"/>
        <n v="21769"/>
        <n v="21770"/>
        <n v="21788"/>
        <n v="21795"/>
        <n v="21803"/>
        <n v="21804"/>
        <n v="21814"/>
        <n v="21821"/>
        <n v="21826"/>
        <n v="21827"/>
        <n v="21837"/>
        <n v="21844"/>
        <n v="21846"/>
        <n v="21848"/>
        <n v="21862"/>
        <n v="21863"/>
        <n v="21874"/>
        <n v="21879"/>
        <n v="21884"/>
        <n v="21886"/>
        <n v="21895"/>
        <n v="21896"/>
        <n v="21907"/>
        <n v="21910"/>
        <n v="21911"/>
        <n v="21912"/>
        <n v="21929"/>
        <n v="21931"/>
        <n v="21939"/>
        <n v="21940"/>
        <n v="21949"/>
        <n v="21966"/>
        <n v="21987"/>
        <n v="21990"/>
        <n v="21995"/>
        <n v="21996"/>
        <n v="21997"/>
        <n v="22015"/>
        <n v="22016"/>
        <n v="22018"/>
        <n v="22031"/>
        <n v="22034"/>
        <n v="22043"/>
        <n v="22044"/>
        <n v="22050"/>
        <n v="22051"/>
        <n v="22052"/>
        <n v="22058"/>
        <n v="22060"/>
        <n v="22065"/>
        <n v="22066"/>
        <n v="22067"/>
        <n v="22069"/>
        <n v="22072"/>
        <n v="22079"/>
        <n v="22084"/>
        <n v="22086"/>
        <n v="22087"/>
        <n v="22107"/>
        <n v="22112"/>
        <n v="22134"/>
        <n v="22135"/>
        <n v="22140"/>
        <n v="22141"/>
        <n v="22142"/>
        <n v="22163"/>
        <n v="22164"/>
        <n v="22170"/>
        <n v="22173"/>
        <n v="22191"/>
        <n v="22196"/>
        <n v="22200"/>
        <n v="22201"/>
        <n v="22217"/>
        <n v="22218"/>
        <n v="22219"/>
        <n v="22229"/>
        <n v="22230"/>
        <n v="22236"/>
        <n v="22249"/>
        <n v="22250"/>
        <n v="22259"/>
        <n v="22260"/>
        <n v="22262"/>
        <n v="22275"/>
        <n v="22284"/>
        <n v="22288"/>
        <n v="22293"/>
        <n v="22309"/>
        <n v="22312"/>
        <n v="22318"/>
        <n v="22322"/>
        <n v="22345"/>
        <n v="22350"/>
        <n v="22360"/>
        <n v="22362"/>
        <n v="22373"/>
        <n v="22374"/>
        <n v="22375"/>
        <n v="22380"/>
        <n v="22381"/>
        <n v="22382"/>
        <n v="22390"/>
        <n v="22391"/>
        <n v="22395"/>
        <n v="22396"/>
        <n v="22399"/>
        <n v="22402"/>
        <n v="22414"/>
        <n v="22415"/>
        <n v="22417"/>
        <n v="22430"/>
        <n v="22431"/>
        <n v="22434"/>
        <n v="22437"/>
        <n v="22439"/>
        <n v="22441"/>
        <n v="22450"/>
        <n v="22457"/>
        <n v="22459"/>
        <n v="22462"/>
        <n v="22471"/>
        <n v="22476"/>
        <n v="22479"/>
        <n v="22480"/>
        <n v="22481"/>
        <n v="22489"/>
        <n v="22491"/>
        <n v="22492"/>
        <n v="22499"/>
        <n v="22502"/>
        <n v="22504"/>
        <n v="22505"/>
        <n v="22512"/>
        <n v="22513"/>
        <n v="22514"/>
        <n v="22525"/>
        <n v="22530"/>
        <n v="22538"/>
        <n v="22539"/>
        <n v="22544"/>
        <n v="22545"/>
        <n v="22546"/>
        <n v="22547"/>
        <n v="22555"/>
        <n v="22558"/>
        <n v="22559"/>
        <n v="22564"/>
        <n v="22571"/>
        <n v="22573"/>
        <n v="22574"/>
        <n v="22584"/>
        <n v="22593"/>
        <n v="22594"/>
        <n v="22596"/>
        <n v="22601"/>
        <n v="22602"/>
        <n v="22603"/>
        <n v="22607"/>
        <n v="22614"/>
        <n v="22615"/>
        <n v="22618"/>
        <n v="22622"/>
        <n v="22633"/>
        <n v="22635"/>
        <n v="22653"/>
        <n v="22659"/>
        <n v="22661"/>
        <n v="22662"/>
        <n v="22663"/>
        <n v="22684"/>
        <n v="22689"/>
        <n v="22694"/>
        <n v="22698"/>
        <n v="22699"/>
        <n v="22721"/>
        <n v="22722"/>
        <n v="22742"/>
        <n v="22749"/>
        <n v="22751"/>
        <n v="22764"/>
        <n v="22768"/>
        <n v="22776"/>
        <n v="22778"/>
        <n v="155862"/>
        <n v="155904"/>
        <n v="156126"/>
        <n v="156492"/>
        <n v="156819"/>
        <n v="156918"/>
        <n v="157183"/>
      </sharedItems>
    </cacheField>
    <cacheField name="Matrícula" numFmtId="0">
      <sharedItems count="9">
        <s v="0315BGK"/>
        <s v="1076KSZ"/>
        <s v="1730KBZ"/>
        <s v="1821KBZ"/>
        <s v="3686KBG"/>
        <s v="6120JZX"/>
        <s v="7542KBV"/>
        <s v="7809JZX"/>
        <s v="7957JZS"/>
      </sharedItems>
    </cacheField>
    <cacheField name="Peso total" numFmtId="0">
      <sharedItems containsSemiMixedTypes="0" containsString="0" containsNumber="1" containsInteger="1" minValue="2520" maxValue="28300" count="190">
        <n v="2520"/>
        <n v="2540"/>
        <n v="2560"/>
        <n v="2600"/>
        <n v="2620"/>
        <n v="2640"/>
        <n v="2660"/>
        <n v="2680"/>
        <n v="2700"/>
        <n v="2740"/>
        <n v="2960"/>
        <n v="2980"/>
        <n v="3000"/>
        <n v="3020"/>
        <n v="3060"/>
        <n v="3080"/>
        <n v="3120"/>
        <n v="3140"/>
        <n v="3160"/>
        <n v="3180"/>
        <n v="3200"/>
        <n v="3240"/>
        <n v="3280"/>
        <n v="3300"/>
        <n v="3320"/>
        <n v="3340"/>
        <n v="3360"/>
        <n v="3380"/>
        <n v="3400"/>
        <n v="3420"/>
        <n v="3460"/>
        <n v="3480"/>
        <n v="3500"/>
        <n v="3520"/>
        <n v="3540"/>
        <n v="3560"/>
        <n v="3580"/>
        <n v="3600"/>
        <n v="3620"/>
        <n v="3640"/>
        <n v="3760"/>
        <n v="3920"/>
        <n v="4000"/>
        <n v="4240"/>
        <n v="4280"/>
        <n v="4300"/>
        <n v="4320"/>
        <n v="4420"/>
        <n v="4440"/>
        <n v="4460"/>
        <n v="4480"/>
        <n v="4540"/>
        <n v="4560"/>
        <n v="4580"/>
        <n v="4620"/>
        <n v="4660"/>
        <n v="4680"/>
        <n v="4700"/>
        <n v="4720"/>
        <n v="4940"/>
        <n v="5000"/>
        <n v="5140"/>
        <n v="5960"/>
        <n v="6060"/>
        <n v="6100"/>
        <n v="6140"/>
        <n v="6160"/>
        <n v="6220"/>
        <n v="6260"/>
        <n v="6280"/>
        <n v="6320"/>
        <n v="6340"/>
        <n v="6420"/>
        <n v="6560"/>
        <n v="6580"/>
        <n v="6640"/>
        <n v="6780"/>
        <n v="6800"/>
        <n v="6880"/>
        <n v="6920"/>
        <n v="8120"/>
        <n v="14400"/>
        <n v="14460"/>
        <n v="14560"/>
        <n v="14760"/>
        <n v="15160"/>
        <n v="15220"/>
        <n v="15380"/>
        <n v="15620"/>
        <n v="15640"/>
        <n v="15720"/>
        <n v="15800"/>
        <n v="15840"/>
        <n v="16300"/>
        <n v="16520"/>
        <n v="16660"/>
        <n v="16740"/>
        <n v="17040"/>
        <n v="17080"/>
        <n v="17240"/>
        <n v="17340"/>
        <n v="17420"/>
        <n v="17520"/>
        <n v="17660"/>
        <n v="17680"/>
        <n v="17720"/>
        <n v="17760"/>
        <n v="17840"/>
        <n v="17860"/>
        <n v="18000"/>
        <n v="18340"/>
        <n v="18380"/>
        <n v="18520"/>
        <n v="18560"/>
        <n v="18580"/>
        <n v="18600"/>
        <n v="18660"/>
        <n v="18780"/>
        <n v="18800"/>
        <n v="18820"/>
        <n v="18860"/>
        <n v="18880"/>
        <n v="19520"/>
        <n v="19780"/>
        <n v="19880"/>
        <n v="20120"/>
        <n v="20460"/>
        <n v="20580"/>
        <n v="20640"/>
        <n v="20740"/>
        <n v="20840"/>
        <n v="20880"/>
        <n v="20940"/>
        <n v="20960"/>
        <n v="21060"/>
        <n v="21120"/>
        <n v="21200"/>
        <n v="21280"/>
        <n v="21380"/>
        <n v="21400"/>
        <n v="21480"/>
        <n v="21600"/>
        <n v="21620"/>
        <n v="21640"/>
        <n v="21720"/>
        <n v="21820"/>
        <n v="21840"/>
        <n v="22040"/>
        <n v="22060"/>
        <n v="22180"/>
        <n v="22220"/>
        <n v="22240"/>
        <n v="22340"/>
        <n v="22380"/>
        <n v="22440"/>
        <n v="22500"/>
        <n v="22680"/>
        <n v="22720"/>
        <n v="22800"/>
        <n v="22920"/>
        <n v="23000"/>
        <n v="24040"/>
        <n v="24620"/>
        <n v="24680"/>
        <n v="24880"/>
        <n v="24940"/>
        <n v="25080"/>
        <n v="25140"/>
        <n v="25320"/>
        <n v="25400"/>
        <n v="25440"/>
        <n v="25800"/>
        <n v="25860"/>
        <n v="25960"/>
        <n v="25980"/>
        <n v="26000"/>
        <n v="26020"/>
        <n v="26080"/>
        <n v="26260"/>
        <n v="26380"/>
        <n v="26440"/>
        <n v="26560"/>
        <n v="26640"/>
        <n v="26800"/>
        <n v="26860"/>
        <n v="27240"/>
        <n v="27720"/>
        <n v="27980"/>
        <n v="28120"/>
        <n v="28300"/>
      </sharedItems>
    </cacheField>
    <cacheField name="Tara" numFmtId="0">
      <sharedItems containsSemiMixedTypes="0" containsString="0" containsNumber="1" containsInteger="1" minValue="2340" maxValue="16580" count="72">
        <n v="2340"/>
        <n v="2360"/>
        <n v="2380"/>
        <n v="2400"/>
        <n v="2480"/>
        <n v="2660"/>
        <n v="2680"/>
        <n v="2700"/>
        <n v="2760"/>
        <n v="2780"/>
        <n v="2800"/>
        <n v="2820"/>
        <n v="2840"/>
        <n v="2860"/>
        <n v="2880"/>
        <n v="2900"/>
        <n v="2960"/>
        <n v="3580"/>
        <n v="3600"/>
        <n v="3620"/>
        <n v="3660"/>
        <n v="3680"/>
        <n v="3700"/>
        <n v="3720"/>
        <n v="3740"/>
        <n v="3760"/>
        <n v="3800"/>
        <n v="3820"/>
        <n v="5540"/>
        <n v="5560"/>
        <n v="5580"/>
        <n v="5600"/>
        <n v="5620"/>
        <n v="5640"/>
        <n v="5660"/>
        <n v="5680"/>
        <n v="13100"/>
        <n v="13120"/>
        <n v="13140"/>
        <n v="13160"/>
        <n v="13180"/>
        <n v="13200"/>
        <n v="13220"/>
        <n v="13240"/>
        <n v="13260"/>
        <n v="13280"/>
        <n v="13300"/>
        <n v="13360"/>
        <n v="15760"/>
        <n v="15780"/>
        <n v="15800"/>
        <n v="15840"/>
        <n v="15860"/>
        <n v="15880"/>
        <n v="15900"/>
        <n v="15920"/>
        <n v="15940"/>
        <n v="15960"/>
        <n v="15980"/>
        <n v="16000"/>
        <n v="16020"/>
        <n v="16040"/>
        <n v="16060"/>
        <n v="16080"/>
        <n v="16100"/>
        <n v="16120"/>
        <n v="16140"/>
        <n v="16160"/>
        <n v="16180"/>
        <n v="16200"/>
        <n v="16220"/>
        <n v="16580"/>
      </sharedItems>
    </cacheField>
    <cacheField name="Carga" numFmtId="0">
      <sharedItems containsSemiMixedTypes="0" containsString="0" containsNumber="1" containsInteger="1" minValue="120" maxValue="12240" count="151">
        <n v="120"/>
        <n v="140"/>
        <n v="160"/>
        <n v="180"/>
        <n v="200"/>
        <n v="220"/>
        <n v="240"/>
        <n v="260"/>
        <n v="280"/>
        <n v="300"/>
        <n v="320"/>
        <n v="340"/>
        <n v="360"/>
        <n v="380"/>
        <n v="420"/>
        <n v="440"/>
        <n v="460"/>
        <n v="480"/>
        <n v="500"/>
        <n v="520"/>
        <n v="540"/>
        <n v="560"/>
        <n v="580"/>
        <n v="600"/>
        <n v="620"/>
        <n v="640"/>
        <n v="660"/>
        <n v="680"/>
        <n v="700"/>
        <n v="720"/>
        <n v="740"/>
        <n v="760"/>
        <n v="820"/>
        <n v="840"/>
        <n v="860"/>
        <n v="880"/>
        <n v="920"/>
        <n v="960"/>
        <n v="980"/>
        <n v="1000"/>
        <n v="1020"/>
        <n v="1040"/>
        <n v="1060"/>
        <n v="1080"/>
        <n v="1100"/>
        <n v="1140"/>
        <n v="1200"/>
        <n v="1220"/>
        <n v="1240"/>
        <n v="1280"/>
        <n v="1300"/>
        <n v="1340"/>
        <n v="1440"/>
        <n v="1460"/>
        <n v="1480"/>
        <n v="1520"/>
        <n v="1580"/>
        <n v="1660"/>
        <n v="1720"/>
        <n v="1760"/>
        <n v="1780"/>
        <n v="1920"/>
        <n v="1960"/>
        <n v="2080"/>
        <n v="2240"/>
        <n v="2420"/>
        <n v="2460"/>
        <n v="2500"/>
        <n v="2540"/>
        <n v="2580"/>
        <n v="2600"/>
        <n v="2720"/>
        <n v="2740"/>
        <n v="2800"/>
        <n v="2820"/>
        <n v="2880"/>
        <n v="2940"/>
        <n v="2960"/>
        <n v="3100"/>
        <n v="3320"/>
        <n v="3480"/>
        <n v="3500"/>
        <n v="3580"/>
        <n v="3820"/>
        <n v="3840"/>
        <n v="3960"/>
        <n v="4120"/>
        <n v="4220"/>
        <n v="4460"/>
        <n v="4560"/>
        <n v="4680"/>
        <n v="4780"/>
        <n v="4900"/>
        <n v="5520"/>
        <n v="5580"/>
        <n v="5980"/>
        <n v="6180"/>
        <n v="6680"/>
        <n v="7200"/>
        <n v="7500"/>
        <n v="7580"/>
        <n v="7680"/>
        <n v="7800"/>
        <n v="7820"/>
        <n v="7920"/>
        <n v="8040"/>
        <n v="8060"/>
        <n v="8160"/>
        <n v="8200"/>
        <n v="8280"/>
        <n v="8340"/>
        <n v="8380"/>
        <n v="8440"/>
        <n v="8520"/>
        <n v="8580"/>
        <n v="8640"/>
        <n v="8780"/>
        <n v="8920"/>
        <n v="8940"/>
        <n v="8960"/>
        <n v="8980"/>
        <n v="9040"/>
        <n v="9100"/>
        <n v="9120"/>
        <n v="9140"/>
        <n v="9160"/>
        <n v="9220"/>
        <n v="9480"/>
        <n v="9580"/>
        <n v="9620"/>
        <n v="9780"/>
        <n v="9840"/>
        <n v="9900"/>
        <n v="10000"/>
        <n v="10020"/>
        <n v="10120"/>
        <n v="10160"/>
        <n v="10180"/>
        <n v="10220"/>
        <n v="10480"/>
        <n v="10500"/>
        <n v="10580"/>
        <n v="10700"/>
        <n v="10760"/>
        <n v="10820"/>
        <n v="10920"/>
        <n v="11180"/>
        <n v="11600"/>
        <n v="11920"/>
        <n v="12220"/>
        <n v="12240"/>
      </sharedItems>
    </cacheField>
    <cacheField name="Población" numFmtId="0">
      <sharedItems count="1">
        <s v="PEÑISCOLA"/>
      </sharedItems>
    </cacheField>
    <cacheField name="Residuo" numFmtId="0">
      <sharedItems count="5">
        <s v="PODA"/>
        <s v="RSU"/>
        <s v="SEL.ENV"/>
        <s v="SEL.PAP"/>
        <s v="VOL"/>
      </sharedItems>
    </cacheField>
    <cacheField name="Revisado" numFmtId="0">
      <sharedItems count="1">
        <s v="x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2">
  <r>
    <x v="0"/>
    <x v="75"/>
    <x v="9"/>
    <x v="2"/>
    <x v="132"/>
    <x v="61"/>
    <x v="92"/>
    <x v="0"/>
    <x v="1"/>
    <x v="0"/>
  </r>
  <r>
    <x v="0"/>
    <x v="40"/>
    <x v="7"/>
    <x v="2"/>
    <x v="189"/>
    <x v="62"/>
    <x v="150"/>
    <x v="0"/>
    <x v="1"/>
    <x v="0"/>
  </r>
  <r>
    <x v="0"/>
    <x v="27"/>
    <x v="6"/>
    <x v="6"/>
    <x v="129"/>
    <x v="43"/>
    <x v="99"/>
    <x v="0"/>
    <x v="1"/>
    <x v="0"/>
  </r>
  <r>
    <x v="0"/>
    <x v="51"/>
    <x v="8"/>
    <x v="7"/>
    <x v="61"/>
    <x v="19"/>
    <x v="55"/>
    <x v="0"/>
    <x v="1"/>
    <x v="0"/>
  </r>
  <r>
    <x v="0"/>
    <x v="90"/>
    <x v="10"/>
    <x v="7"/>
    <x v="47"/>
    <x v="26"/>
    <x v="24"/>
    <x v="0"/>
    <x v="1"/>
    <x v="0"/>
  </r>
  <r>
    <x v="0"/>
    <x v="0"/>
    <x v="5"/>
    <x v="6"/>
    <x v="137"/>
    <x v="42"/>
    <x v="106"/>
    <x v="0"/>
    <x v="1"/>
    <x v="0"/>
  </r>
  <r>
    <x v="0"/>
    <x v="164"/>
    <x v="11"/>
    <x v="5"/>
    <x v="20"/>
    <x v="14"/>
    <x v="10"/>
    <x v="0"/>
    <x v="1"/>
    <x v="0"/>
  </r>
  <r>
    <x v="1"/>
    <x v="82"/>
    <x v="16"/>
    <x v="7"/>
    <x v="61"/>
    <x v="22"/>
    <x v="52"/>
    <x v="0"/>
    <x v="1"/>
    <x v="0"/>
  </r>
  <r>
    <x v="1"/>
    <x v="6"/>
    <x v="12"/>
    <x v="6"/>
    <x v="154"/>
    <x v="46"/>
    <x v="124"/>
    <x v="0"/>
    <x v="1"/>
    <x v="0"/>
  </r>
  <r>
    <x v="1"/>
    <x v="66"/>
    <x v="14"/>
    <x v="6"/>
    <x v="120"/>
    <x v="45"/>
    <x v="94"/>
    <x v="0"/>
    <x v="1"/>
    <x v="0"/>
  </r>
  <r>
    <x v="1"/>
    <x v="79"/>
    <x v="15"/>
    <x v="2"/>
    <x v="156"/>
    <x v="59"/>
    <x v="97"/>
    <x v="0"/>
    <x v="1"/>
    <x v="0"/>
  </r>
  <r>
    <x v="1"/>
    <x v="22"/>
    <x v="13"/>
    <x v="2"/>
    <x v="183"/>
    <x v="61"/>
    <x v="143"/>
    <x v="0"/>
    <x v="1"/>
    <x v="0"/>
  </r>
  <r>
    <x v="1"/>
    <x v="151"/>
    <x v="19"/>
    <x v="4"/>
    <x v="5"/>
    <x v="3"/>
    <x v="6"/>
    <x v="0"/>
    <x v="1"/>
    <x v="0"/>
  </r>
  <r>
    <x v="1"/>
    <x v="103"/>
    <x v="17"/>
    <x v="8"/>
    <x v="69"/>
    <x v="31"/>
    <x v="27"/>
    <x v="0"/>
    <x v="4"/>
    <x v="0"/>
  </r>
  <r>
    <x v="1"/>
    <x v="151"/>
    <x v="18"/>
    <x v="8"/>
    <x v="73"/>
    <x v="30"/>
    <x v="38"/>
    <x v="0"/>
    <x v="4"/>
    <x v="0"/>
  </r>
  <r>
    <x v="1"/>
    <x v="152"/>
    <x v="20"/>
    <x v="5"/>
    <x v="35"/>
    <x v="15"/>
    <x v="26"/>
    <x v="0"/>
    <x v="1"/>
    <x v="0"/>
  </r>
  <r>
    <x v="1"/>
    <x v="163"/>
    <x v="245"/>
    <x v="2"/>
    <x v="116"/>
    <x v="65"/>
    <x v="68"/>
    <x v="0"/>
    <x v="3"/>
    <x v="0"/>
  </r>
  <r>
    <x v="2"/>
    <x v="128"/>
    <x v="246"/>
    <x v="0"/>
    <x v="102"/>
    <x v="56"/>
    <x v="56"/>
    <x v="0"/>
    <x v="3"/>
    <x v="0"/>
  </r>
  <r>
    <x v="2"/>
    <x v="90"/>
    <x v="25"/>
    <x v="2"/>
    <x v="128"/>
    <x v="63"/>
    <x v="89"/>
    <x v="0"/>
    <x v="1"/>
    <x v="0"/>
  </r>
  <r>
    <x v="2"/>
    <x v="23"/>
    <x v="22"/>
    <x v="2"/>
    <x v="178"/>
    <x v="64"/>
    <x v="136"/>
    <x v="0"/>
    <x v="1"/>
    <x v="0"/>
  </r>
  <r>
    <x v="2"/>
    <x v="65"/>
    <x v="23"/>
    <x v="6"/>
    <x v="94"/>
    <x v="41"/>
    <x v="79"/>
    <x v="0"/>
    <x v="1"/>
    <x v="0"/>
  </r>
  <r>
    <x v="2"/>
    <x v="87"/>
    <x v="24"/>
    <x v="7"/>
    <x v="51"/>
    <x v="21"/>
    <x v="34"/>
    <x v="0"/>
    <x v="1"/>
    <x v="0"/>
  </r>
  <r>
    <x v="2"/>
    <x v="16"/>
    <x v="21"/>
    <x v="6"/>
    <x v="138"/>
    <x v="42"/>
    <x v="107"/>
    <x v="0"/>
    <x v="1"/>
    <x v="0"/>
  </r>
  <r>
    <x v="2"/>
    <x v="96"/>
    <x v="26"/>
    <x v="8"/>
    <x v="78"/>
    <x v="30"/>
    <x v="50"/>
    <x v="0"/>
    <x v="4"/>
    <x v="0"/>
  </r>
  <r>
    <x v="2"/>
    <x v="98"/>
    <x v="27"/>
    <x v="1"/>
    <x v="29"/>
    <x v="10"/>
    <x v="24"/>
    <x v="0"/>
    <x v="4"/>
    <x v="0"/>
  </r>
  <r>
    <x v="2"/>
    <x v="126"/>
    <x v="28"/>
    <x v="1"/>
    <x v="37"/>
    <x v="9"/>
    <x v="32"/>
    <x v="0"/>
    <x v="4"/>
    <x v="0"/>
  </r>
  <r>
    <x v="2"/>
    <x v="154"/>
    <x v="29"/>
    <x v="4"/>
    <x v="9"/>
    <x v="3"/>
    <x v="11"/>
    <x v="0"/>
    <x v="1"/>
    <x v="0"/>
  </r>
  <r>
    <x v="2"/>
    <x v="160"/>
    <x v="30"/>
    <x v="8"/>
    <x v="80"/>
    <x v="30"/>
    <x v="68"/>
    <x v="0"/>
    <x v="4"/>
    <x v="0"/>
  </r>
  <r>
    <x v="2"/>
    <x v="164"/>
    <x v="0"/>
    <x v="3"/>
    <x v="114"/>
    <x v="48"/>
    <x v="74"/>
    <x v="0"/>
    <x v="2"/>
    <x v="0"/>
  </r>
  <r>
    <x v="3"/>
    <x v="20"/>
    <x v="31"/>
    <x v="2"/>
    <x v="163"/>
    <x v="67"/>
    <x v="113"/>
    <x v="0"/>
    <x v="1"/>
    <x v="0"/>
  </r>
  <r>
    <x v="3"/>
    <x v="26"/>
    <x v="32"/>
    <x v="6"/>
    <x v="140"/>
    <x v="41"/>
    <x v="109"/>
    <x v="0"/>
    <x v="1"/>
    <x v="0"/>
  </r>
  <r>
    <x v="3"/>
    <x v="70"/>
    <x v="33"/>
    <x v="6"/>
    <x v="86"/>
    <x v="38"/>
    <x v="63"/>
    <x v="0"/>
    <x v="1"/>
    <x v="0"/>
  </r>
  <r>
    <x v="3"/>
    <x v="80"/>
    <x v="34"/>
    <x v="2"/>
    <x v="127"/>
    <x v="65"/>
    <x v="88"/>
    <x v="0"/>
    <x v="1"/>
    <x v="0"/>
  </r>
  <r>
    <x v="3"/>
    <x v="84"/>
    <x v="35"/>
    <x v="1"/>
    <x v="23"/>
    <x v="10"/>
    <x v="18"/>
    <x v="0"/>
    <x v="1"/>
    <x v="0"/>
  </r>
  <r>
    <x v="3"/>
    <x v="106"/>
    <x v="36"/>
    <x v="8"/>
    <x v="75"/>
    <x v="29"/>
    <x v="43"/>
    <x v="0"/>
    <x v="4"/>
    <x v="0"/>
  </r>
  <r>
    <x v="3"/>
    <x v="147"/>
    <x v="37"/>
    <x v="4"/>
    <x v="6"/>
    <x v="3"/>
    <x v="7"/>
    <x v="0"/>
    <x v="1"/>
    <x v="0"/>
  </r>
  <r>
    <x v="3"/>
    <x v="161"/>
    <x v="39"/>
    <x v="1"/>
    <x v="12"/>
    <x v="7"/>
    <x v="9"/>
    <x v="0"/>
    <x v="4"/>
    <x v="0"/>
  </r>
  <r>
    <x v="3"/>
    <x v="159"/>
    <x v="38"/>
    <x v="5"/>
    <x v="30"/>
    <x v="16"/>
    <x v="18"/>
    <x v="0"/>
    <x v="1"/>
    <x v="0"/>
  </r>
  <r>
    <x v="4"/>
    <x v="50"/>
    <x v="41"/>
    <x v="2"/>
    <x v="186"/>
    <x v="65"/>
    <x v="147"/>
    <x v="0"/>
    <x v="1"/>
    <x v="0"/>
  </r>
  <r>
    <x v="4"/>
    <x v="77"/>
    <x v="42"/>
    <x v="6"/>
    <x v="83"/>
    <x v="42"/>
    <x v="51"/>
    <x v="0"/>
    <x v="1"/>
    <x v="0"/>
  </r>
  <r>
    <x v="4"/>
    <x v="24"/>
    <x v="40"/>
    <x v="6"/>
    <x v="134"/>
    <x v="44"/>
    <x v="102"/>
    <x v="0"/>
    <x v="1"/>
    <x v="0"/>
  </r>
  <r>
    <x v="4"/>
    <x v="86"/>
    <x v="43"/>
    <x v="7"/>
    <x v="55"/>
    <x v="21"/>
    <x v="38"/>
    <x v="0"/>
    <x v="1"/>
    <x v="0"/>
  </r>
  <r>
    <x v="4"/>
    <x v="94"/>
    <x v="44"/>
    <x v="8"/>
    <x v="67"/>
    <x v="31"/>
    <x v="24"/>
    <x v="0"/>
    <x v="4"/>
    <x v="0"/>
  </r>
  <r>
    <x v="4"/>
    <x v="153"/>
    <x v="45"/>
    <x v="5"/>
    <x v="26"/>
    <x v="13"/>
    <x v="18"/>
    <x v="0"/>
    <x v="1"/>
    <x v="0"/>
  </r>
  <r>
    <x v="5"/>
    <x v="146"/>
    <x v="51"/>
    <x v="5"/>
    <x v="10"/>
    <x v="12"/>
    <x v="0"/>
    <x v="0"/>
    <x v="1"/>
    <x v="0"/>
  </r>
  <r>
    <x v="5"/>
    <x v="147"/>
    <x v="50"/>
    <x v="1"/>
    <x v="14"/>
    <x v="6"/>
    <x v="13"/>
    <x v="0"/>
    <x v="1"/>
    <x v="0"/>
  </r>
  <r>
    <x v="5"/>
    <x v="68"/>
    <x v="47"/>
    <x v="6"/>
    <x v="88"/>
    <x v="39"/>
    <x v="66"/>
    <x v="0"/>
    <x v="1"/>
    <x v="0"/>
  </r>
  <r>
    <x v="5"/>
    <x v="23"/>
    <x v="46"/>
    <x v="6"/>
    <x v="152"/>
    <x v="42"/>
    <x v="123"/>
    <x v="0"/>
    <x v="1"/>
    <x v="0"/>
  </r>
  <r>
    <x v="5"/>
    <x v="84"/>
    <x v="48"/>
    <x v="2"/>
    <x v="174"/>
    <x v="50"/>
    <x v="137"/>
    <x v="0"/>
    <x v="1"/>
    <x v="0"/>
  </r>
  <r>
    <x v="5"/>
    <x v="85"/>
    <x v="49"/>
    <x v="7"/>
    <x v="56"/>
    <x v="22"/>
    <x v="38"/>
    <x v="0"/>
    <x v="1"/>
    <x v="0"/>
  </r>
  <r>
    <x v="6"/>
    <x v="56"/>
    <x v="54"/>
    <x v="2"/>
    <x v="187"/>
    <x v="48"/>
    <x v="149"/>
    <x v="0"/>
    <x v="1"/>
    <x v="0"/>
  </r>
  <r>
    <x v="6"/>
    <x v="160"/>
    <x v="57"/>
    <x v="4"/>
    <x v="6"/>
    <x v="4"/>
    <x v="3"/>
    <x v="0"/>
    <x v="1"/>
    <x v="0"/>
  </r>
  <r>
    <x v="6"/>
    <x v="100"/>
    <x v="56"/>
    <x v="4"/>
    <x v="8"/>
    <x v="4"/>
    <x v="5"/>
    <x v="0"/>
    <x v="1"/>
    <x v="0"/>
  </r>
  <r>
    <x v="6"/>
    <x v="88"/>
    <x v="55"/>
    <x v="7"/>
    <x v="60"/>
    <x v="25"/>
    <x v="48"/>
    <x v="0"/>
    <x v="1"/>
    <x v="0"/>
  </r>
  <r>
    <x v="6"/>
    <x v="1"/>
    <x v="52"/>
    <x v="6"/>
    <x v="126"/>
    <x v="44"/>
    <x v="98"/>
    <x v="0"/>
    <x v="1"/>
    <x v="0"/>
  </r>
  <r>
    <x v="6"/>
    <x v="34"/>
    <x v="53"/>
    <x v="6"/>
    <x v="109"/>
    <x v="42"/>
    <x v="91"/>
    <x v="0"/>
    <x v="1"/>
    <x v="0"/>
  </r>
  <r>
    <x v="7"/>
    <x v="84"/>
    <x v="61"/>
    <x v="7"/>
    <x v="53"/>
    <x v="22"/>
    <x v="35"/>
    <x v="0"/>
    <x v="1"/>
    <x v="0"/>
  </r>
  <r>
    <x v="7"/>
    <x v="60"/>
    <x v="60"/>
    <x v="6"/>
    <x v="95"/>
    <x v="40"/>
    <x v="80"/>
    <x v="0"/>
    <x v="1"/>
    <x v="0"/>
  </r>
  <r>
    <x v="7"/>
    <x v="29"/>
    <x v="59"/>
    <x v="2"/>
    <x v="165"/>
    <x v="54"/>
    <x v="121"/>
    <x v="0"/>
    <x v="1"/>
    <x v="0"/>
  </r>
  <r>
    <x v="7"/>
    <x v="84"/>
    <x v="62"/>
    <x v="2"/>
    <x v="148"/>
    <x v="53"/>
    <x v="96"/>
    <x v="0"/>
    <x v="1"/>
    <x v="0"/>
  </r>
  <r>
    <x v="7"/>
    <x v="4"/>
    <x v="58"/>
    <x v="6"/>
    <x v="131"/>
    <x v="41"/>
    <x v="101"/>
    <x v="0"/>
    <x v="1"/>
    <x v="0"/>
  </r>
  <r>
    <x v="7"/>
    <x v="157"/>
    <x v="64"/>
    <x v="4"/>
    <x v="2"/>
    <x v="3"/>
    <x v="2"/>
    <x v="0"/>
    <x v="1"/>
    <x v="0"/>
  </r>
  <r>
    <x v="7"/>
    <x v="114"/>
    <x v="63"/>
    <x v="4"/>
    <x v="4"/>
    <x v="2"/>
    <x v="6"/>
    <x v="0"/>
    <x v="1"/>
    <x v="0"/>
  </r>
  <r>
    <x v="7"/>
    <x v="178"/>
    <x v="65"/>
    <x v="1"/>
    <x v="38"/>
    <x v="5"/>
    <x v="37"/>
    <x v="0"/>
    <x v="0"/>
    <x v="0"/>
  </r>
  <r>
    <x v="7"/>
    <x v="180"/>
    <x v="66"/>
    <x v="5"/>
    <x v="41"/>
    <x v="13"/>
    <x v="42"/>
    <x v="0"/>
    <x v="0"/>
    <x v="0"/>
  </r>
  <r>
    <x v="8"/>
    <x v="81"/>
    <x v="69"/>
    <x v="7"/>
    <x v="44"/>
    <x v="21"/>
    <x v="23"/>
    <x v="0"/>
    <x v="1"/>
    <x v="0"/>
  </r>
  <r>
    <x v="8"/>
    <x v="53"/>
    <x v="68"/>
    <x v="2"/>
    <x v="179"/>
    <x v="53"/>
    <x v="140"/>
    <x v="0"/>
    <x v="1"/>
    <x v="0"/>
  </r>
  <r>
    <x v="8"/>
    <x v="81"/>
    <x v="70"/>
    <x v="6"/>
    <x v="90"/>
    <x v="37"/>
    <x v="70"/>
    <x v="0"/>
    <x v="1"/>
    <x v="0"/>
  </r>
  <r>
    <x v="8"/>
    <x v="14"/>
    <x v="67"/>
    <x v="6"/>
    <x v="133"/>
    <x v="38"/>
    <x v="103"/>
    <x v="0"/>
    <x v="1"/>
    <x v="0"/>
  </r>
  <r>
    <x v="8"/>
    <x v="159"/>
    <x v="1"/>
    <x v="2"/>
    <x v="97"/>
    <x v="48"/>
    <x v="49"/>
    <x v="0"/>
    <x v="2"/>
    <x v="0"/>
  </r>
  <r>
    <x v="8"/>
    <x v="177"/>
    <x v="75"/>
    <x v="5"/>
    <x v="40"/>
    <x v="12"/>
    <x v="36"/>
    <x v="0"/>
    <x v="0"/>
    <x v="0"/>
  </r>
  <r>
    <x v="8"/>
    <x v="97"/>
    <x v="71"/>
    <x v="5"/>
    <x v="28"/>
    <x v="12"/>
    <x v="21"/>
    <x v="0"/>
    <x v="0"/>
    <x v="0"/>
  </r>
  <r>
    <x v="8"/>
    <x v="179"/>
    <x v="76"/>
    <x v="1"/>
    <x v="39"/>
    <x v="8"/>
    <x v="35"/>
    <x v="0"/>
    <x v="0"/>
    <x v="0"/>
  </r>
  <r>
    <x v="8"/>
    <x v="117"/>
    <x v="74"/>
    <x v="8"/>
    <x v="65"/>
    <x v="30"/>
    <x v="21"/>
    <x v="0"/>
    <x v="4"/>
    <x v="0"/>
  </r>
  <r>
    <x v="8"/>
    <x v="111"/>
    <x v="72"/>
    <x v="4"/>
    <x v="4"/>
    <x v="2"/>
    <x v="6"/>
    <x v="0"/>
    <x v="1"/>
    <x v="0"/>
  </r>
  <r>
    <x v="8"/>
    <x v="112"/>
    <x v="73"/>
    <x v="1"/>
    <x v="32"/>
    <x v="5"/>
    <x v="33"/>
    <x v="0"/>
    <x v="0"/>
    <x v="0"/>
  </r>
  <r>
    <x v="8"/>
    <x v="134"/>
    <x v="247"/>
    <x v="2"/>
    <x v="112"/>
    <x v="49"/>
    <x v="72"/>
    <x v="0"/>
    <x v="3"/>
    <x v="0"/>
  </r>
  <r>
    <x v="9"/>
    <x v="7"/>
    <x v="77"/>
    <x v="6"/>
    <x v="143"/>
    <x v="44"/>
    <x v="111"/>
    <x v="0"/>
    <x v="1"/>
    <x v="0"/>
  </r>
  <r>
    <x v="9"/>
    <x v="35"/>
    <x v="78"/>
    <x v="6"/>
    <x v="90"/>
    <x v="42"/>
    <x v="67"/>
    <x v="0"/>
    <x v="1"/>
    <x v="0"/>
  </r>
  <r>
    <x v="9"/>
    <x v="59"/>
    <x v="79"/>
    <x v="2"/>
    <x v="175"/>
    <x v="53"/>
    <x v="135"/>
    <x v="0"/>
    <x v="1"/>
    <x v="0"/>
  </r>
  <r>
    <x v="9"/>
    <x v="105"/>
    <x v="82"/>
    <x v="8"/>
    <x v="70"/>
    <x v="34"/>
    <x v="26"/>
    <x v="0"/>
    <x v="4"/>
    <x v="0"/>
  </r>
  <r>
    <x v="9"/>
    <x v="138"/>
    <x v="86"/>
    <x v="0"/>
    <x v="107"/>
    <x v="65"/>
    <x v="58"/>
    <x v="0"/>
    <x v="4"/>
    <x v="0"/>
  </r>
  <r>
    <x v="9"/>
    <x v="144"/>
    <x v="85"/>
    <x v="8"/>
    <x v="71"/>
    <x v="33"/>
    <x v="28"/>
    <x v="0"/>
    <x v="4"/>
    <x v="0"/>
  </r>
  <r>
    <x v="9"/>
    <x v="135"/>
    <x v="83"/>
    <x v="5"/>
    <x v="34"/>
    <x v="14"/>
    <x v="26"/>
    <x v="0"/>
    <x v="4"/>
    <x v="0"/>
  </r>
  <r>
    <x v="9"/>
    <x v="102"/>
    <x v="81"/>
    <x v="5"/>
    <x v="36"/>
    <x v="14"/>
    <x v="28"/>
    <x v="0"/>
    <x v="4"/>
    <x v="0"/>
  </r>
  <r>
    <x v="9"/>
    <x v="143"/>
    <x v="84"/>
    <x v="4"/>
    <x v="7"/>
    <x v="2"/>
    <x v="9"/>
    <x v="0"/>
    <x v="1"/>
    <x v="0"/>
  </r>
  <r>
    <x v="9"/>
    <x v="83"/>
    <x v="80"/>
    <x v="7"/>
    <x v="47"/>
    <x v="24"/>
    <x v="27"/>
    <x v="0"/>
    <x v="1"/>
    <x v="0"/>
  </r>
  <r>
    <x v="10"/>
    <x v="33"/>
    <x v="88"/>
    <x v="2"/>
    <x v="162"/>
    <x v="51"/>
    <x v="116"/>
    <x v="0"/>
    <x v="1"/>
    <x v="0"/>
  </r>
  <r>
    <x v="10"/>
    <x v="78"/>
    <x v="89"/>
    <x v="6"/>
    <x v="81"/>
    <x v="40"/>
    <x v="47"/>
    <x v="0"/>
    <x v="1"/>
    <x v="0"/>
  </r>
  <r>
    <x v="10"/>
    <x v="19"/>
    <x v="87"/>
    <x v="6"/>
    <x v="149"/>
    <x v="42"/>
    <x v="119"/>
    <x v="0"/>
    <x v="1"/>
    <x v="0"/>
  </r>
  <r>
    <x v="10"/>
    <x v="85"/>
    <x v="90"/>
    <x v="7"/>
    <x v="52"/>
    <x v="21"/>
    <x v="35"/>
    <x v="0"/>
    <x v="1"/>
    <x v="0"/>
  </r>
  <r>
    <x v="10"/>
    <x v="95"/>
    <x v="91"/>
    <x v="2"/>
    <x v="111"/>
    <x v="50"/>
    <x v="69"/>
    <x v="0"/>
    <x v="1"/>
    <x v="0"/>
  </r>
  <r>
    <x v="10"/>
    <x v="132"/>
    <x v="92"/>
    <x v="4"/>
    <x v="7"/>
    <x v="3"/>
    <x v="8"/>
    <x v="0"/>
    <x v="1"/>
    <x v="0"/>
  </r>
  <r>
    <x v="11"/>
    <x v="37"/>
    <x v="94"/>
    <x v="2"/>
    <x v="169"/>
    <x v="55"/>
    <x v="127"/>
    <x v="0"/>
    <x v="1"/>
    <x v="0"/>
  </r>
  <r>
    <x v="11"/>
    <x v="18"/>
    <x v="93"/>
    <x v="6"/>
    <x v="150"/>
    <x v="45"/>
    <x v="118"/>
    <x v="0"/>
    <x v="1"/>
    <x v="0"/>
  </r>
  <r>
    <x v="11"/>
    <x v="68"/>
    <x v="95"/>
    <x v="6"/>
    <x v="82"/>
    <x v="44"/>
    <x v="46"/>
    <x v="0"/>
    <x v="1"/>
    <x v="0"/>
  </r>
  <r>
    <x v="11"/>
    <x v="87"/>
    <x v="97"/>
    <x v="7"/>
    <x v="55"/>
    <x v="20"/>
    <x v="39"/>
    <x v="0"/>
    <x v="1"/>
    <x v="0"/>
  </r>
  <r>
    <x v="11"/>
    <x v="73"/>
    <x v="96"/>
    <x v="2"/>
    <x v="120"/>
    <x v="54"/>
    <x v="77"/>
    <x v="0"/>
    <x v="1"/>
    <x v="0"/>
  </r>
  <r>
    <x v="11"/>
    <x v="157"/>
    <x v="99"/>
    <x v="1"/>
    <x v="13"/>
    <x v="11"/>
    <x v="4"/>
    <x v="0"/>
    <x v="0"/>
    <x v="0"/>
  </r>
  <r>
    <x v="11"/>
    <x v="149"/>
    <x v="98"/>
    <x v="4"/>
    <x v="2"/>
    <x v="2"/>
    <x v="3"/>
    <x v="0"/>
    <x v="1"/>
    <x v="0"/>
  </r>
  <r>
    <x v="11"/>
    <x v="163"/>
    <x v="100"/>
    <x v="5"/>
    <x v="28"/>
    <x v="13"/>
    <x v="20"/>
    <x v="0"/>
    <x v="1"/>
    <x v="0"/>
  </r>
  <r>
    <x v="12"/>
    <x v="29"/>
    <x v="101"/>
    <x v="6"/>
    <x v="153"/>
    <x v="42"/>
    <x v="125"/>
    <x v="0"/>
    <x v="1"/>
    <x v="0"/>
  </r>
  <r>
    <x v="12"/>
    <x v="69"/>
    <x v="103"/>
    <x v="2"/>
    <x v="103"/>
    <x v="56"/>
    <x v="58"/>
    <x v="0"/>
    <x v="1"/>
    <x v="0"/>
  </r>
  <r>
    <x v="12"/>
    <x v="39"/>
    <x v="102"/>
    <x v="2"/>
    <x v="173"/>
    <x v="56"/>
    <x v="134"/>
    <x v="0"/>
    <x v="1"/>
    <x v="0"/>
  </r>
  <r>
    <x v="12"/>
    <x v="91"/>
    <x v="104"/>
    <x v="7"/>
    <x v="47"/>
    <x v="17"/>
    <x v="33"/>
    <x v="0"/>
    <x v="1"/>
    <x v="0"/>
  </r>
  <r>
    <x v="12"/>
    <x v="146"/>
    <x v="107"/>
    <x v="4"/>
    <x v="0"/>
    <x v="1"/>
    <x v="2"/>
    <x v="0"/>
    <x v="1"/>
    <x v="0"/>
  </r>
  <r>
    <x v="12"/>
    <x v="136"/>
    <x v="106"/>
    <x v="1"/>
    <x v="20"/>
    <x v="9"/>
    <x v="14"/>
    <x v="0"/>
    <x v="1"/>
    <x v="0"/>
  </r>
  <r>
    <x v="12"/>
    <x v="117"/>
    <x v="105"/>
    <x v="5"/>
    <x v="20"/>
    <x v="13"/>
    <x v="11"/>
    <x v="0"/>
    <x v="1"/>
    <x v="0"/>
  </r>
  <r>
    <x v="13"/>
    <x v="9"/>
    <x v="108"/>
    <x v="6"/>
    <x v="144"/>
    <x v="45"/>
    <x v="112"/>
    <x v="0"/>
    <x v="1"/>
    <x v="0"/>
  </r>
  <r>
    <x v="13"/>
    <x v="162"/>
    <x v="113"/>
    <x v="4"/>
    <x v="5"/>
    <x v="4"/>
    <x v="2"/>
    <x v="0"/>
    <x v="1"/>
    <x v="0"/>
  </r>
  <r>
    <x v="13"/>
    <x v="68"/>
    <x v="110"/>
    <x v="6"/>
    <x v="121"/>
    <x v="47"/>
    <x v="93"/>
    <x v="0"/>
    <x v="1"/>
    <x v="0"/>
  </r>
  <r>
    <x v="13"/>
    <x v="32"/>
    <x v="109"/>
    <x v="2"/>
    <x v="164"/>
    <x v="54"/>
    <x v="120"/>
    <x v="0"/>
    <x v="1"/>
    <x v="0"/>
  </r>
  <r>
    <x v="13"/>
    <x v="77"/>
    <x v="111"/>
    <x v="2"/>
    <x v="119"/>
    <x v="53"/>
    <x v="76"/>
    <x v="0"/>
    <x v="1"/>
    <x v="0"/>
  </r>
  <r>
    <x v="13"/>
    <x v="84"/>
    <x v="112"/>
    <x v="7"/>
    <x v="59"/>
    <x v="18"/>
    <x v="51"/>
    <x v="0"/>
    <x v="1"/>
    <x v="0"/>
  </r>
  <r>
    <x v="14"/>
    <x v="154"/>
    <x v="2"/>
    <x v="2"/>
    <x v="102"/>
    <x v="48"/>
    <x v="59"/>
    <x v="0"/>
    <x v="2"/>
    <x v="0"/>
  </r>
  <r>
    <x v="14"/>
    <x v="122"/>
    <x v="119"/>
    <x v="5"/>
    <x v="29"/>
    <x v="12"/>
    <x v="22"/>
    <x v="0"/>
    <x v="1"/>
    <x v="0"/>
  </r>
  <r>
    <x v="14"/>
    <x v="140"/>
    <x v="120"/>
    <x v="4"/>
    <x v="4"/>
    <x v="3"/>
    <x v="5"/>
    <x v="0"/>
    <x v="1"/>
    <x v="0"/>
  </r>
  <r>
    <x v="14"/>
    <x v="71"/>
    <x v="116"/>
    <x v="6"/>
    <x v="93"/>
    <x v="41"/>
    <x v="78"/>
    <x v="0"/>
    <x v="1"/>
    <x v="0"/>
  </r>
  <r>
    <x v="14"/>
    <x v="42"/>
    <x v="115"/>
    <x v="2"/>
    <x v="180"/>
    <x v="52"/>
    <x v="141"/>
    <x v="0"/>
    <x v="1"/>
    <x v="0"/>
  </r>
  <r>
    <x v="14"/>
    <x v="83"/>
    <x v="118"/>
    <x v="7"/>
    <x v="57"/>
    <x v="21"/>
    <x v="40"/>
    <x v="0"/>
    <x v="1"/>
    <x v="0"/>
  </r>
  <r>
    <x v="14"/>
    <x v="5"/>
    <x v="114"/>
    <x v="6"/>
    <x v="139"/>
    <x v="43"/>
    <x v="107"/>
    <x v="0"/>
    <x v="1"/>
    <x v="0"/>
  </r>
  <r>
    <x v="14"/>
    <x v="80"/>
    <x v="117"/>
    <x v="2"/>
    <x v="106"/>
    <x v="51"/>
    <x v="61"/>
    <x v="0"/>
    <x v="1"/>
    <x v="0"/>
  </r>
  <r>
    <x v="15"/>
    <x v="74"/>
    <x v="125"/>
    <x v="1"/>
    <x v="16"/>
    <x v="6"/>
    <x v="15"/>
    <x v="0"/>
    <x v="1"/>
    <x v="0"/>
  </r>
  <r>
    <x v="15"/>
    <x v="30"/>
    <x v="121"/>
    <x v="6"/>
    <x v="145"/>
    <x v="40"/>
    <x v="115"/>
    <x v="0"/>
    <x v="1"/>
    <x v="0"/>
  </r>
  <r>
    <x v="15"/>
    <x v="43"/>
    <x v="122"/>
    <x v="2"/>
    <x v="171"/>
    <x v="57"/>
    <x v="131"/>
    <x v="0"/>
    <x v="1"/>
    <x v="0"/>
  </r>
  <r>
    <x v="15"/>
    <x v="73"/>
    <x v="124"/>
    <x v="2"/>
    <x v="98"/>
    <x v="56"/>
    <x v="45"/>
    <x v="0"/>
    <x v="1"/>
    <x v="0"/>
  </r>
  <r>
    <x v="15"/>
    <x v="72"/>
    <x v="123"/>
    <x v="6"/>
    <x v="87"/>
    <x v="38"/>
    <x v="64"/>
    <x v="0"/>
    <x v="1"/>
    <x v="0"/>
  </r>
  <r>
    <x v="15"/>
    <x v="118"/>
    <x v="127"/>
    <x v="5"/>
    <x v="15"/>
    <x v="12"/>
    <x v="6"/>
    <x v="0"/>
    <x v="1"/>
    <x v="0"/>
  </r>
  <r>
    <x v="15"/>
    <x v="115"/>
    <x v="126"/>
    <x v="8"/>
    <x v="66"/>
    <x v="30"/>
    <x v="22"/>
    <x v="0"/>
    <x v="4"/>
    <x v="0"/>
  </r>
  <r>
    <x v="15"/>
    <x v="169"/>
    <x v="129"/>
    <x v="8"/>
    <x v="63"/>
    <x v="30"/>
    <x v="17"/>
    <x v="0"/>
    <x v="4"/>
    <x v="0"/>
  </r>
  <r>
    <x v="15"/>
    <x v="137"/>
    <x v="128"/>
    <x v="4"/>
    <x v="3"/>
    <x v="2"/>
    <x v="5"/>
    <x v="0"/>
    <x v="1"/>
    <x v="0"/>
  </r>
  <r>
    <x v="15"/>
    <x v="165"/>
    <x v="248"/>
    <x v="2"/>
    <x v="117"/>
    <x v="54"/>
    <x v="75"/>
    <x v="0"/>
    <x v="3"/>
    <x v="0"/>
  </r>
  <r>
    <x v="16"/>
    <x v="85"/>
    <x v="133"/>
    <x v="7"/>
    <x v="43"/>
    <x v="21"/>
    <x v="21"/>
    <x v="0"/>
    <x v="1"/>
    <x v="0"/>
  </r>
  <r>
    <x v="16"/>
    <x v="48"/>
    <x v="131"/>
    <x v="2"/>
    <x v="184"/>
    <x v="61"/>
    <x v="144"/>
    <x v="0"/>
    <x v="1"/>
    <x v="0"/>
  </r>
  <r>
    <x v="16"/>
    <x v="67"/>
    <x v="132"/>
    <x v="6"/>
    <x v="84"/>
    <x v="36"/>
    <x v="57"/>
    <x v="0"/>
    <x v="1"/>
    <x v="0"/>
  </r>
  <r>
    <x v="16"/>
    <x v="25"/>
    <x v="130"/>
    <x v="6"/>
    <x v="136"/>
    <x v="39"/>
    <x v="105"/>
    <x v="0"/>
    <x v="1"/>
    <x v="0"/>
  </r>
  <r>
    <x v="16"/>
    <x v="120"/>
    <x v="136"/>
    <x v="5"/>
    <x v="39"/>
    <x v="14"/>
    <x v="31"/>
    <x v="0"/>
    <x v="4"/>
    <x v="0"/>
  </r>
  <r>
    <x v="16"/>
    <x v="180"/>
    <x v="139"/>
    <x v="1"/>
    <x v="40"/>
    <x v="8"/>
    <x v="39"/>
    <x v="0"/>
    <x v="0"/>
    <x v="0"/>
  </r>
  <r>
    <x v="16"/>
    <x v="119"/>
    <x v="134"/>
    <x v="1"/>
    <x v="21"/>
    <x v="6"/>
    <x v="21"/>
    <x v="0"/>
    <x v="0"/>
    <x v="0"/>
  </r>
  <r>
    <x v="16"/>
    <x v="155"/>
    <x v="137"/>
    <x v="4"/>
    <x v="5"/>
    <x v="3"/>
    <x v="6"/>
    <x v="0"/>
    <x v="1"/>
    <x v="0"/>
  </r>
  <r>
    <x v="16"/>
    <x v="158"/>
    <x v="138"/>
    <x v="5"/>
    <x v="15"/>
    <x v="14"/>
    <x v="4"/>
    <x v="0"/>
    <x v="0"/>
    <x v="0"/>
  </r>
  <r>
    <x v="16"/>
    <x v="113"/>
    <x v="135"/>
    <x v="8"/>
    <x v="78"/>
    <x v="33"/>
    <x v="48"/>
    <x v="0"/>
    <x v="4"/>
    <x v="0"/>
  </r>
  <r>
    <x v="17"/>
    <x v="23"/>
    <x v="140"/>
    <x v="6"/>
    <x v="141"/>
    <x v="44"/>
    <x v="110"/>
    <x v="0"/>
    <x v="1"/>
    <x v="0"/>
  </r>
  <r>
    <x v="17"/>
    <x v="85"/>
    <x v="144"/>
    <x v="7"/>
    <x v="45"/>
    <x v="21"/>
    <x v="24"/>
    <x v="0"/>
    <x v="1"/>
    <x v="0"/>
  </r>
  <r>
    <x v="17"/>
    <x v="70"/>
    <x v="142"/>
    <x v="6"/>
    <x v="82"/>
    <x v="42"/>
    <x v="48"/>
    <x v="0"/>
    <x v="1"/>
    <x v="0"/>
  </r>
  <r>
    <x v="17"/>
    <x v="28"/>
    <x v="141"/>
    <x v="2"/>
    <x v="166"/>
    <x v="58"/>
    <x v="122"/>
    <x v="0"/>
    <x v="1"/>
    <x v="0"/>
  </r>
  <r>
    <x v="17"/>
    <x v="75"/>
    <x v="143"/>
    <x v="2"/>
    <x v="123"/>
    <x v="57"/>
    <x v="83"/>
    <x v="0"/>
    <x v="1"/>
    <x v="0"/>
  </r>
  <r>
    <x v="17"/>
    <x v="130"/>
    <x v="147"/>
    <x v="8"/>
    <x v="74"/>
    <x v="28"/>
    <x v="41"/>
    <x v="0"/>
    <x v="4"/>
    <x v="0"/>
  </r>
  <r>
    <x v="17"/>
    <x v="99"/>
    <x v="145"/>
    <x v="5"/>
    <x v="31"/>
    <x v="15"/>
    <x v="22"/>
    <x v="0"/>
    <x v="0"/>
    <x v="0"/>
  </r>
  <r>
    <x v="17"/>
    <x v="173"/>
    <x v="148"/>
    <x v="1"/>
    <x v="12"/>
    <x v="6"/>
    <x v="10"/>
    <x v="0"/>
    <x v="0"/>
    <x v="0"/>
  </r>
  <r>
    <x v="17"/>
    <x v="123"/>
    <x v="146"/>
    <x v="4"/>
    <x v="4"/>
    <x v="2"/>
    <x v="6"/>
    <x v="0"/>
    <x v="1"/>
    <x v="0"/>
  </r>
  <r>
    <x v="18"/>
    <x v="8"/>
    <x v="149"/>
    <x v="6"/>
    <x v="130"/>
    <x v="44"/>
    <x v="100"/>
    <x v="0"/>
    <x v="1"/>
    <x v="0"/>
  </r>
  <r>
    <x v="18"/>
    <x v="38"/>
    <x v="150"/>
    <x v="6"/>
    <x v="91"/>
    <x v="42"/>
    <x v="69"/>
    <x v="0"/>
    <x v="1"/>
    <x v="0"/>
  </r>
  <r>
    <x v="18"/>
    <x v="89"/>
    <x v="152"/>
    <x v="7"/>
    <x v="54"/>
    <x v="24"/>
    <x v="35"/>
    <x v="0"/>
    <x v="1"/>
    <x v="0"/>
  </r>
  <r>
    <x v="18"/>
    <x v="49"/>
    <x v="151"/>
    <x v="2"/>
    <x v="186"/>
    <x v="65"/>
    <x v="147"/>
    <x v="0"/>
    <x v="1"/>
    <x v="0"/>
  </r>
  <r>
    <x v="18"/>
    <x v="139"/>
    <x v="153"/>
    <x v="4"/>
    <x v="15"/>
    <x v="3"/>
    <x v="27"/>
    <x v="0"/>
    <x v="1"/>
    <x v="0"/>
  </r>
  <r>
    <x v="18"/>
    <x v="171"/>
    <x v="154"/>
    <x v="1"/>
    <x v="10"/>
    <x v="11"/>
    <x v="1"/>
    <x v="0"/>
    <x v="0"/>
    <x v="0"/>
  </r>
  <r>
    <x v="19"/>
    <x v="11"/>
    <x v="155"/>
    <x v="6"/>
    <x v="135"/>
    <x v="41"/>
    <x v="104"/>
    <x v="0"/>
    <x v="1"/>
    <x v="0"/>
  </r>
  <r>
    <x v="19"/>
    <x v="31"/>
    <x v="156"/>
    <x v="2"/>
    <x v="181"/>
    <x v="63"/>
    <x v="139"/>
    <x v="0"/>
    <x v="1"/>
    <x v="0"/>
  </r>
  <r>
    <x v="19"/>
    <x v="76"/>
    <x v="157"/>
    <x v="2"/>
    <x v="124"/>
    <x v="61"/>
    <x v="84"/>
    <x v="0"/>
    <x v="1"/>
    <x v="0"/>
  </r>
  <r>
    <x v="19"/>
    <x v="78"/>
    <x v="158"/>
    <x v="6"/>
    <x v="108"/>
    <x v="40"/>
    <x v="90"/>
    <x v="0"/>
    <x v="1"/>
    <x v="0"/>
  </r>
  <r>
    <x v="19"/>
    <x v="84"/>
    <x v="159"/>
    <x v="7"/>
    <x v="58"/>
    <x v="21"/>
    <x v="41"/>
    <x v="0"/>
    <x v="1"/>
    <x v="0"/>
  </r>
  <r>
    <x v="19"/>
    <x v="108"/>
    <x v="160"/>
    <x v="5"/>
    <x v="18"/>
    <x v="14"/>
    <x v="8"/>
    <x v="0"/>
    <x v="1"/>
    <x v="0"/>
  </r>
  <r>
    <x v="19"/>
    <x v="133"/>
    <x v="161"/>
    <x v="5"/>
    <x v="24"/>
    <x v="14"/>
    <x v="15"/>
    <x v="0"/>
    <x v="4"/>
    <x v="0"/>
  </r>
  <r>
    <x v="19"/>
    <x v="146"/>
    <x v="162"/>
    <x v="1"/>
    <x v="11"/>
    <x v="6"/>
    <x v="9"/>
    <x v="0"/>
    <x v="1"/>
    <x v="0"/>
  </r>
  <r>
    <x v="20"/>
    <x v="10"/>
    <x v="163"/>
    <x v="6"/>
    <x v="157"/>
    <x v="38"/>
    <x v="128"/>
    <x v="0"/>
    <x v="1"/>
    <x v="0"/>
  </r>
  <r>
    <x v="20"/>
    <x v="31"/>
    <x v="164"/>
    <x v="2"/>
    <x v="183"/>
    <x v="64"/>
    <x v="142"/>
    <x v="0"/>
    <x v="1"/>
    <x v="0"/>
  </r>
  <r>
    <x v="20"/>
    <x v="54"/>
    <x v="165"/>
    <x v="6"/>
    <x v="100"/>
    <x v="37"/>
    <x v="87"/>
    <x v="0"/>
    <x v="1"/>
    <x v="0"/>
  </r>
  <r>
    <x v="20"/>
    <x v="78"/>
    <x v="166"/>
    <x v="7"/>
    <x v="61"/>
    <x v="20"/>
    <x v="54"/>
    <x v="0"/>
    <x v="1"/>
    <x v="0"/>
  </r>
  <r>
    <x v="20"/>
    <x v="147"/>
    <x v="167"/>
    <x v="1"/>
    <x v="16"/>
    <x v="9"/>
    <x v="11"/>
    <x v="0"/>
    <x v="1"/>
    <x v="0"/>
  </r>
  <r>
    <x v="21"/>
    <x v="3"/>
    <x v="168"/>
    <x v="6"/>
    <x v="146"/>
    <x v="44"/>
    <x v="114"/>
    <x v="0"/>
    <x v="1"/>
    <x v="0"/>
  </r>
  <r>
    <x v="21"/>
    <x v="64"/>
    <x v="170"/>
    <x v="1"/>
    <x v="32"/>
    <x v="14"/>
    <x v="24"/>
    <x v="0"/>
    <x v="1"/>
    <x v="0"/>
  </r>
  <r>
    <x v="21"/>
    <x v="62"/>
    <x v="169"/>
    <x v="2"/>
    <x v="182"/>
    <x v="62"/>
    <x v="141"/>
    <x v="0"/>
    <x v="1"/>
    <x v="0"/>
  </r>
  <r>
    <x v="21"/>
    <x v="78"/>
    <x v="171"/>
    <x v="6"/>
    <x v="96"/>
    <x v="43"/>
    <x v="81"/>
    <x v="0"/>
    <x v="1"/>
    <x v="0"/>
  </r>
  <r>
    <x v="21"/>
    <x v="116"/>
    <x v="172"/>
    <x v="2"/>
    <x v="125"/>
    <x v="59"/>
    <x v="86"/>
    <x v="0"/>
    <x v="1"/>
    <x v="0"/>
  </r>
  <r>
    <x v="21"/>
    <x v="156"/>
    <x v="175"/>
    <x v="4"/>
    <x v="6"/>
    <x v="2"/>
    <x v="8"/>
    <x v="0"/>
    <x v="1"/>
    <x v="0"/>
  </r>
  <r>
    <x v="21"/>
    <x v="121"/>
    <x v="173"/>
    <x v="1"/>
    <x v="24"/>
    <x v="6"/>
    <x v="25"/>
    <x v="0"/>
    <x v="0"/>
    <x v="0"/>
  </r>
  <r>
    <x v="21"/>
    <x v="176"/>
    <x v="177"/>
    <x v="1"/>
    <x v="27"/>
    <x v="5"/>
    <x v="29"/>
    <x v="0"/>
    <x v="0"/>
    <x v="0"/>
  </r>
  <r>
    <x v="21"/>
    <x v="175"/>
    <x v="176"/>
    <x v="5"/>
    <x v="18"/>
    <x v="15"/>
    <x v="7"/>
    <x v="0"/>
    <x v="0"/>
    <x v="0"/>
  </r>
  <r>
    <x v="21"/>
    <x v="131"/>
    <x v="174"/>
    <x v="5"/>
    <x v="42"/>
    <x v="15"/>
    <x v="44"/>
    <x v="0"/>
    <x v="0"/>
    <x v="0"/>
  </r>
  <r>
    <x v="22"/>
    <x v="68"/>
    <x v="180"/>
    <x v="2"/>
    <x v="183"/>
    <x v="71"/>
    <x v="138"/>
    <x v="0"/>
    <x v="1"/>
    <x v="0"/>
  </r>
  <r>
    <x v="22"/>
    <x v="86"/>
    <x v="181"/>
    <x v="7"/>
    <x v="52"/>
    <x v="23"/>
    <x v="33"/>
    <x v="0"/>
    <x v="1"/>
    <x v="0"/>
  </r>
  <r>
    <x v="22"/>
    <x v="21"/>
    <x v="178"/>
    <x v="6"/>
    <x v="151"/>
    <x v="44"/>
    <x v="120"/>
    <x v="0"/>
    <x v="1"/>
    <x v="0"/>
  </r>
  <r>
    <x v="22"/>
    <x v="52"/>
    <x v="179"/>
    <x v="6"/>
    <x v="85"/>
    <x v="41"/>
    <x v="62"/>
    <x v="0"/>
    <x v="1"/>
    <x v="0"/>
  </r>
  <r>
    <x v="22"/>
    <x v="174"/>
    <x v="185"/>
    <x v="1"/>
    <x v="19"/>
    <x v="10"/>
    <x v="13"/>
    <x v="0"/>
    <x v="0"/>
    <x v="0"/>
  </r>
  <r>
    <x v="22"/>
    <x v="166"/>
    <x v="184"/>
    <x v="8"/>
    <x v="62"/>
    <x v="31"/>
    <x v="12"/>
    <x v="0"/>
    <x v="4"/>
    <x v="0"/>
  </r>
  <r>
    <x v="22"/>
    <x v="109"/>
    <x v="182"/>
    <x v="8"/>
    <x v="77"/>
    <x v="31"/>
    <x v="46"/>
    <x v="0"/>
    <x v="4"/>
    <x v="0"/>
  </r>
  <r>
    <x v="22"/>
    <x v="129"/>
    <x v="183"/>
    <x v="4"/>
    <x v="6"/>
    <x v="2"/>
    <x v="8"/>
    <x v="0"/>
    <x v="1"/>
    <x v="0"/>
  </r>
  <r>
    <x v="22"/>
    <x v="174"/>
    <x v="186"/>
    <x v="5"/>
    <x v="28"/>
    <x v="13"/>
    <x v="20"/>
    <x v="0"/>
    <x v="0"/>
    <x v="0"/>
  </r>
  <r>
    <x v="22"/>
    <x v="170"/>
    <x v="249"/>
    <x v="2"/>
    <x v="122"/>
    <x v="60"/>
    <x v="81"/>
    <x v="0"/>
    <x v="3"/>
    <x v="0"/>
  </r>
  <r>
    <x v="23"/>
    <x v="81"/>
    <x v="190"/>
    <x v="7"/>
    <x v="51"/>
    <x v="22"/>
    <x v="33"/>
    <x v="0"/>
    <x v="1"/>
    <x v="0"/>
  </r>
  <r>
    <x v="23"/>
    <x v="44"/>
    <x v="188"/>
    <x v="2"/>
    <x v="176"/>
    <x v="59"/>
    <x v="134"/>
    <x v="0"/>
    <x v="1"/>
    <x v="0"/>
  </r>
  <r>
    <x v="23"/>
    <x v="45"/>
    <x v="189"/>
    <x v="6"/>
    <x v="82"/>
    <x v="39"/>
    <x v="50"/>
    <x v="0"/>
    <x v="1"/>
    <x v="0"/>
  </r>
  <r>
    <x v="23"/>
    <x v="23"/>
    <x v="187"/>
    <x v="6"/>
    <x v="152"/>
    <x v="41"/>
    <x v="124"/>
    <x v="0"/>
    <x v="1"/>
    <x v="0"/>
  </r>
  <r>
    <x v="23"/>
    <x v="93"/>
    <x v="191"/>
    <x v="2"/>
    <x v="115"/>
    <x v="66"/>
    <x v="66"/>
    <x v="0"/>
    <x v="1"/>
    <x v="0"/>
  </r>
  <r>
    <x v="23"/>
    <x v="162"/>
    <x v="196"/>
    <x v="8"/>
    <x v="72"/>
    <x v="30"/>
    <x v="33"/>
    <x v="0"/>
    <x v="4"/>
    <x v="0"/>
  </r>
  <r>
    <x v="23"/>
    <x v="101"/>
    <x v="193"/>
    <x v="8"/>
    <x v="76"/>
    <x v="35"/>
    <x v="44"/>
    <x v="0"/>
    <x v="4"/>
    <x v="0"/>
  </r>
  <r>
    <x v="23"/>
    <x v="162"/>
    <x v="194"/>
    <x v="5"/>
    <x v="22"/>
    <x v="12"/>
    <x v="15"/>
    <x v="0"/>
    <x v="4"/>
    <x v="0"/>
  </r>
  <r>
    <x v="23"/>
    <x v="104"/>
    <x v="192"/>
    <x v="5"/>
    <x v="22"/>
    <x v="12"/>
    <x v="15"/>
    <x v="0"/>
    <x v="4"/>
    <x v="0"/>
  </r>
  <r>
    <x v="23"/>
    <x v="158"/>
    <x v="195"/>
    <x v="4"/>
    <x v="4"/>
    <x v="2"/>
    <x v="6"/>
    <x v="0"/>
    <x v="1"/>
    <x v="0"/>
  </r>
  <r>
    <x v="23"/>
    <x v="145"/>
    <x v="3"/>
    <x v="2"/>
    <x v="113"/>
    <x v="48"/>
    <x v="73"/>
    <x v="0"/>
    <x v="2"/>
    <x v="0"/>
  </r>
  <r>
    <x v="24"/>
    <x v="41"/>
    <x v="198"/>
    <x v="2"/>
    <x v="168"/>
    <x v="64"/>
    <x v="126"/>
    <x v="0"/>
    <x v="1"/>
    <x v="0"/>
  </r>
  <r>
    <x v="24"/>
    <x v="92"/>
    <x v="200"/>
    <x v="2"/>
    <x v="118"/>
    <x v="63"/>
    <x v="71"/>
    <x v="0"/>
    <x v="1"/>
    <x v="0"/>
  </r>
  <r>
    <x v="24"/>
    <x v="12"/>
    <x v="197"/>
    <x v="6"/>
    <x v="140"/>
    <x v="45"/>
    <x v="108"/>
    <x v="0"/>
    <x v="1"/>
    <x v="0"/>
  </r>
  <r>
    <x v="24"/>
    <x v="79"/>
    <x v="199"/>
    <x v="7"/>
    <x v="50"/>
    <x v="27"/>
    <x v="26"/>
    <x v="0"/>
    <x v="1"/>
    <x v="0"/>
  </r>
  <r>
    <x v="24"/>
    <x v="131"/>
    <x v="201"/>
    <x v="0"/>
    <x v="122"/>
    <x v="56"/>
    <x v="82"/>
    <x v="0"/>
    <x v="4"/>
    <x v="0"/>
  </r>
  <r>
    <x v="24"/>
    <x v="147"/>
    <x v="202"/>
    <x v="5"/>
    <x v="18"/>
    <x v="14"/>
    <x v="8"/>
    <x v="0"/>
    <x v="1"/>
    <x v="0"/>
  </r>
  <r>
    <x v="24"/>
    <x v="148"/>
    <x v="203"/>
    <x v="4"/>
    <x v="7"/>
    <x v="3"/>
    <x v="8"/>
    <x v="0"/>
    <x v="1"/>
    <x v="0"/>
  </r>
  <r>
    <x v="24"/>
    <x v="159"/>
    <x v="204"/>
    <x v="8"/>
    <x v="64"/>
    <x v="30"/>
    <x v="19"/>
    <x v="0"/>
    <x v="4"/>
    <x v="0"/>
  </r>
  <r>
    <x v="24"/>
    <x v="107"/>
    <x v="250"/>
    <x v="0"/>
    <x v="101"/>
    <x v="57"/>
    <x v="53"/>
    <x v="0"/>
    <x v="3"/>
    <x v="0"/>
  </r>
  <r>
    <x v="25"/>
    <x v="15"/>
    <x v="205"/>
    <x v="6"/>
    <x v="155"/>
    <x v="45"/>
    <x v="126"/>
    <x v="0"/>
    <x v="1"/>
    <x v="0"/>
  </r>
  <r>
    <x v="25"/>
    <x v="46"/>
    <x v="206"/>
    <x v="6"/>
    <x v="92"/>
    <x v="43"/>
    <x v="70"/>
    <x v="0"/>
    <x v="1"/>
    <x v="0"/>
  </r>
  <r>
    <x v="25"/>
    <x v="47"/>
    <x v="207"/>
    <x v="7"/>
    <x v="49"/>
    <x v="23"/>
    <x v="30"/>
    <x v="0"/>
    <x v="1"/>
    <x v="0"/>
  </r>
  <r>
    <x v="25"/>
    <x v="63"/>
    <x v="208"/>
    <x v="2"/>
    <x v="167"/>
    <x v="70"/>
    <x v="117"/>
    <x v="0"/>
    <x v="1"/>
    <x v="0"/>
  </r>
  <r>
    <x v="25"/>
    <x v="161"/>
    <x v="210"/>
    <x v="4"/>
    <x v="0"/>
    <x v="2"/>
    <x v="1"/>
    <x v="0"/>
    <x v="1"/>
    <x v="0"/>
  </r>
  <r>
    <x v="25"/>
    <x v="128"/>
    <x v="209"/>
    <x v="1"/>
    <x v="33"/>
    <x v="7"/>
    <x v="32"/>
    <x v="0"/>
    <x v="0"/>
    <x v="0"/>
  </r>
  <r>
    <x v="25"/>
    <x v="158"/>
    <x v="211"/>
    <x v="5"/>
    <x v="25"/>
    <x v="16"/>
    <x v="13"/>
    <x v="0"/>
    <x v="1"/>
    <x v="0"/>
  </r>
  <r>
    <x v="26"/>
    <x v="84"/>
    <x v="215"/>
    <x v="7"/>
    <x v="51"/>
    <x v="22"/>
    <x v="33"/>
    <x v="0"/>
    <x v="1"/>
    <x v="0"/>
  </r>
  <r>
    <x v="26"/>
    <x v="61"/>
    <x v="213"/>
    <x v="2"/>
    <x v="188"/>
    <x v="69"/>
    <x v="148"/>
    <x v="0"/>
    <x v="1"/>
    <x v="0"/>
  </r>
  <r>
    <x v="26"/>
    <x v="142"/>
    <x v="217"/>
    <x v="4"/>
    <x v="1"/>
    <x v="1"/>
    <x v="3"/>
    <x v="0"/>
    <x v="1"/>
    <x v="0"/>
  </r>
  <r>
    <x v="26"/>
    <x v="127"/>
    <x v="216"/>
    <x v="0"/>
    <x v="105"/>
    <x v="56"/>
    <x v="60"/>
    <x v="0"/>
    <x v="4"/>
    <x v="0"/>
  </r>
  <r>
    <x v="26"/>
    <x v="71"/>
    <x v="214"/>
    <x v="6"/>
    <x v="89"/>
    <x v="38"/>
    <x v="67"/>
    <x v="0"/>
    <x v="1"/>
    <x v="0"/>
  </r>
  <r>
    <x v="26"/>
    <x v="147"/>
    <x v="218"/>
    <x v="5"/>
    <x v="22"/>
    <x v="13"/>
    <x v="14"/>
    <x v="0"/>
    <x v="1"/>
    <x v="0"/>
  </r>
  <r>
    <x v="26"/>
    <x v="34"/>
    <x v="212"/>
    <x v="6"/>
    <x v="158"/>
    <x v="40"/>
    <x v="129"/>
    <x v="0"/>
    <x v="1"/>
    <x v="0"/>
  </r>
  <r>
    <x v="27"/>
    <x v="55"/>
    <x v="221"/>
    <x v="2"/>
    <x v="170"/>
    <x v="70"/>
    <x v="126"/>
    <x v="0"/>
    <x v="1"/>
    <x v="0"/>
  </r>
  <r>
    <x v="27"/>
    <x v="13"/>
    <x v="219"/>
    <x v="6"/>
    <x v="161"/>
    <x v="37"/>
    <x v="145"/>
    <x v="0"/>
    <x v="1"/>
    <x v="0"/>
  </r>
  <r>
    <x v="27"/>
    <x v="57"/>
    <x v="220"/>
    <x v="1"/>
    <x v="32"/>
    <x v="11"/>
    <x v="27"/>
    <x v="0"/>
    <x v="1"/>
    <x v="0"/>
  </r>
  <r>
    <x v="27"/>
    <x v="153"/>
    <x v="222"/>
    <x v="1"/>
    <x v="17"/>
    <x v="8"/>
    <x v="13"/>
    <x v="0"/>
    <x v="1"/>
    <x v="0"/>
  </r>
  <r>
    <x v="28"/>
    <x v="2"/>
    <x v="223"/>
    <x v="6"/>
    <x v="159"/>
    <x v="46"/>
    <x v="129"/>
    <x v="0"/>
    <x v="1"/>
    <x v="0"/>
  </r>
  <r>
    <x v="28"/>
    <x v="72"/>
    <x v="225"/>
    <x v="7"/>
    <x v="47"/>
    <x v="22"/>
    <x v="29"/>
    <x v="0"/>
    <x v="1"/>
    <x v="0"/>
  </r>
  <r>
    <x v="28"/>
    <x v="53"/>
    <x v="224"/>
    <x v="6"/>
    <x v="99"/>
    <x v="45"/>
    <x v="85"/>
    <x v="0"/>
    <x v="1"/>
    <x v="0"/>
  </r>
  <r>
    <x v="28"/>
    <x v="141"/>
    <x v="227"/>
    <x v="8"/>
    <x v="75"/>
    <x v="32"/>
    <x v="40"/>
    <x v="0"/>
    <x v="4"/>
    <x v="0"/>
  </r>
  <r>
    <x v="28"/>
    <x v="158"/>
    <x v="228"/>
    <x v="5"/>
    <x v="24"/>
    <x v="13"/>
    <x v="16"/>
    <x v="0"/>
    <x v="1"/>
    <x v="0"/>
  </r>
  <r>
    <x v="28"/>
    <x v="167"/>
    <x v="229"/>
    <x v="4"/>
    <x v="4"/>
    <x v="1"/>
    <x v="7"/>
    <x v="0"/>
    <x v="1"/>
    <x v="0"/>
  </r>
  <r>
    <x v="28"/>
    <x v="125"/>
    <x v="226"/>
    <x v="3"/>
    <x v="172"/>
    <x v="57"/>
    <x v="132"/>
    <x v="0"/>
    <x v="1"/>
    <x v="0"/>
  </r>
  <r>
    <x v="28"/>
    <x v="172"/>
    <x v="230"/>
    <x v="3"/>
    <x v="110"/>
    <x v="55"/>
    <x v="65"/>
    <x v="0"/>
    <x v="1"/>
    <x v="0"/>
  </r>
  <r>
    <x v="29"/>
    <x v="80"/>
    <x v="234"/>
    <x v="7"/>
    <x v="46"/>
    <x v="21"/>
    <x v="25"/>
    <x v="0"/>
    <x v="1"/>
    <x v="0"/>
  </r>
  <r>
    <x v="29"/>
    <x v="36"/>
    <x v="232"/>
    <x v="6"/>
    <x v="160"/>
    <x v="42"/>
    <x v="130"/>
    <x v="0"/>
    <x v="1"/>
    <x v="0"/>
  </r>
  <r>
    <x v="29"/>
    <x v="17"/>
    <x v="231"/>
    <x v="3"/>
    <x v="177"/>
    <x v="63"/>
    <x v="133"/>
    <x v="0"/>
    <x v="1"/>
    <x v="0"/>
  </r>
  <r>
    <x v="29"/>
    <x v="85"/>
    <x v="235"/>
    <x v="3"/>
    <x v="147"/>
    <x v="62"/>
    <x v="95"/>
    <x v="0"/>
    <x v="1"/>
    <x v="0"/>
  </r>
  <r>
    <x v="29"/>
    <x v="57"/>
    <x v="233"/>
    <x v="6"/>
    <x v="90"/>
    <x v="40"/>
    <x v="68"/>
    <x v="0"/>
    <x v="1"/>
    <x v="0"/>
  </r>
  <r>
    <x v="29"/>
    <x v="154"/>
    <x v="237"/>
    <x v="4"/>
    <x v="4"/>
    <x v="0"/>
    <x v="8"/>
    <x v="0"/>
    <x v="1"/>
    <x v="0"/>
  </r>
  <r>
    <x v="29"/>
    <x v="154"/>
    <x v="236"/>
    <x v="5"/>
    <x v="37"/>
    <x v="13"/>
    <x v="30"/>
    <x v="0"/>
    <x v="1"/>
    <x v="0"/>
  </r>
  <r>
    <x v="29"/>
    <x v="168"/>
    <x v="251"/>
    <x v="3"/>
    <x v="117"/>
    <x v="68"/>
    <x v="70"/>
    <x v="0"/>
    <x v="3"/>
    <x v="0"/>
  </r>
  <r>
    <x v="30"/>
    <x v="58"/>
    <x v="239"/>
    <x v="3"/>
    <x v="185"/>
    <x v="62"/>
    <x v="146"/>
    <x v="0"/>
    <x v="1"/>
    <x v="0"/>
  </r>
  <r>
    <x v="30"/>
    <x v="75"/>
    <x v="240"/>
    <x v="7"/>
    <x v="48"/>
    <x v="25"/>
    <x v="27"/>
    <x v="0"/>
    <x v="1"/>
    <x v="0"/>
  </r>
  <r>
    <x v="30"/>
    <x v="19"/>
    <x v="238"/>
    <x v="6"/>
    <x v="142"/>
    <x v="43"/>
    <x v="111"/>
    <x v="0"/>
    <x v="1"/>
    <x v="0"/>
  </r>
  <r>
    <x v="30"/>
    <x v="150"/>
    <x v="243"/>
    <x v="4"/>
    <x v="6"/>
    <x v="3"/>
    <x v="7"/>
    <x v="0"/>
    <x v="1"/>
    <x v="0"/>
  </r>
  <r>
    <x v="30"/>
    <x v="110"/>
    <x v="241"/>
    <x v="8"/>
    <x v="68"/>
    <x v="29"/>
    <x v="28"/>
    <x v="0"/>
    <x v="4"/>
    <x v="0"/>
  </r>
  <r>
    <x v="30"/>
    <x v="149"/>
    <x v="244"/>
    <x v="8"/>
    <x v="79"/>
    <x v="30"/>
    <x v="51"/>
    <x v="0"/>
    <x v="4"/>
    <x v="0"/>
  </r>
  <r>
    <x v="30"/>
    <x v="124"/>
    <x v="242"/>
    <x v="5"/>
    <x v="25"/>
    <x v="13"/>
    <x v="17"/>
    <x v="0"/>
    <x v="4"/>
    <x v="0"/>
  </r>
  <r>
    <x v="30"/>
    <x v="148"/>
    <x v="4"/>
    <x v="3"/>
    <x v="104"/>
    <x v="48"/>
    <x v="61"/>
    <x v="0"/>
    <x v="2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3:G14" firstHeaderRow="1" firstDataRow="2" firstDataCol="1" rowPageCount="1" colPageCount="1"/>
  <pivotFields count="10">
    <pivotField axis="axisPage" compact="0" showAll="0" defaultSubtotal="0" outline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compact="0" showAll="0"/>
    <pivotField compact="0" showAll="0"/>
    <pivotField axis="axisRow" compact="0" showAll="0" defaultSubtotal="0" outline="0">
      <items count="9">
        <item x="0"/>
        <item x="1"/>
        <item x="2"/>
        <item x="3"/>
        <item x="4"/>
        <item x="5"/>
        <item x="6"/>
        <item x="7"/>
        <item x="8"/>
      </items>
    </pivotField>
    <pivotField compact="0" showAll="0"/>
    <pivotField compact="0" showAll="0"/>
    <pivotField dataField="1" compact="0" showAll="0" outline="0"/>
    <pivotField compact="0" showAll="0"/>
    <pivotField axis="axisCol" compact="0" showAll="0" defaultSubtotal="0" outline="0">
      <items count="5">
        <item x="0"/>
        <item x="1"/>
        <item x="2"/>
        <item x="3"/>
        <item x="4"/>
      </items>
    </pivotField>
    <pivotField compact="0" showAll="0"/>
  </pivotFields>
  <rowFields count="1">
    <field x="3"/>
  </rowFields>
  <colFields count="1">
    <field x="8"/>
  </colFields>
  <pageFields count="1">
    <pageField fld="0" hier="-1"/>
  </pageFields>
  <dataFields count="1">
    <dataField name="Suma - Carga" fld="6" subtotal="sum" numFmtId="168"/>
  </dataFields>
  <pivotTableStyleInfo name="PivotStyleLight16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J2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171875" defaultRowHeight="13.8" zeroHeight="false" outlineLevelRow="0" outlineLevelCol="0"/>
  <cols>
    <col collapsed="false" customWidth="false" hidden="false" outlineLevel="0" max="10" min="10" style="1" width="10.61"/>
  </cols>
  <sheetData>
    <row r="1" customFormat="false" ht="13.8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customFormat="false" ht="13.8" hidden="false" customHeight="false" outlineLevel="0" collapsed="false">
      <c r="A2" s="6" t="n">
        <v>45047</v>
      </c>
      <c r="B2" s="7" t="n">
        <v>0.247916666666667</v>
      </c>
      <c r="C2" s="8" t="n">
        <v>21451</v>
      </c>
      <c r="D2" s="8" t="s">
        <v>10</v>
      </c>
      <c r="E2" s="8" t="n">
        <v>20940</v>
      </c>
      <c r="F2" s="8" t="n">
        <v>16040</v>
      </c>
      <c r="G2" s="8" t="n">
        <v>4900</v>
      </c>
      <c r="H2" s="8" t="s">
        <v>11</v>
      </c>
      <c r="I2" s="8" t="s">
        <v>12</v>
      </c>
      <c r="J2" s="0" t="s">
        <v>13</v>
      </c>
    </row>
    <row r="3" customFormat="false" ht="13.8" hidden="false" customHeight="false" outlineLevel="0" collapsed="false">
      <c r="A3" s="6" t="n">
        <v>45047</v>
      </c>
      <c r="B3" s="7" t="n">
        <v>0.177777777777778</v>
      </c>
      <c r="C3" s="8" t="n">
        <v>21443</v>
      </c>
      <c r="D3" s="8" t="s">
        <v>10</v>
      </c>
      <c r="E3" s="8" t="n">
        <v>28300</v>
      </c>
      <c r="F3" s="8" t="n">
        <v>16060</v>
      </c>
      <c r="G3" s="8" t="n">
        <v>12240</v>
      </c>
      <c r="H3" s="8" t="s">
        <v>11</v>
      </c>
      <c r="I3" s="8" t="s">
        <v>12</v>
      </c>
      <c r="J3" s="0" t="s">
        <v>13</v>
      </c>
    </row>
    <row r="4" customFormat="false" ht="13.8" hidden="false" customHeight="false" outlineLevel="0" collapsed="false">
      <c r="A4" s="6" t="n">
        <v>45047</v>
      </c>
      <c r="B4" s="7" t="n">
        <v>0.146527777777778</v>
      </c>
      <c r="C4" s="8" t="n">
        <v>21441</v>
      </c>
      <c r="D4" s="8" t="s">
        <v>14</v>
      </c>
      <c r="E4" s="8" t="n">
        <v>20740</v>
      </c>
      <c r="F4" s="8" t="n">
        <v>13240</v>
      </c>
      <c r="G4" s="8" t="n">
        <v>7500</v>
      </c>
      <c r="H4" s="8" t="s">
        <v>11</v>
      </c>
      <c r="I4" s="8" t="s">
        <v>12</v>
      </c>
      <c r="J4" s="0" t="s">
        <v>13</v>
      </c>
    </row>
    <row r="5" customFormat="false" ht="13.8" hidden="false" customHeight="false" outlineLevel="0" collapsed="false">
      <c r="A5" s="6" t="n">
        <v>45047</v>
      </c>
      <c r="B5" s="7" t="n">
        <v>0.220138888888889</v>
      </c>
      <c r="C5" s="8" t="n">
        <v>21449</v>
      </c>
      <c r="D5" s="8" t="s">
        <v>15</v>
      </c>
      <c r="E5" s="8" t="n">
        <v>5140</v>
      </c>
      <c r="F5" s="8" t="n">
        <v>3620</v>
      </c>
      <c r="G5" s="8" t="n">
        <v>1520</v>
      </c>
      <c r="H5" s="8" t="s">
        <v>11</v>
      </c>
      <c r="I5" s="8" t="s">
        <v>12</v>
      </c>
      <c r="J5" s="0" t="s">
        <v>13</v>
      </c>
    </row>
    <row r="6" customFormat="false" ht="13.8" hidden="false" customHeight="false" outlineLevel="0" collapsed="false">
      <c r="A6" s="6" t="n">
        <v>45047</v>
      </c>
      <c r="B6" s="7" t="n">
        <v>0.259027777777778</v>
      </c>
      <c r="C6" s="8" t="n">
        <v>21453</v>
      </c>
      <c r="D6" s="8" t="s">
        <v>15</v>
      </c>
      <c r="E6" s="8" t="n">
        <v>4420</v>
      </c>
      <c r="F6" s="8" t="n">
        <v>3800</v>
      </c>
      <c r="G6" s="8" t="n">
        <v>620</v>
      </c>
      <c r="H6" s="8" t="s">
        <v>11</v>
      </c>
      <c r="I6" s="8" t="s">
        <v>12</v>
      </c>
      <c r="J6" s="0" t="s">
        <v>13</v>
      </c>
    </row>
    <row r="7" customFormat="false" ht="13.8" hidden="false" customHeight="false" outlineLevel="0" collapsed="false">
      <c r="A7" s="6" t="n">
        <v>45047</v>
      </c>
      <c r="B7" s="7" t="n">
        <v>0.0555555555555556</v>
      </c>
      <c r="C7" s="8" t="n">
        <v>21436</v>
      </c>
      <c r="D7" s="8" t="s">
        <v>14</v>
      </c>
      <c r="E7" s="8" t="n">
        <v>21280</v>
      </c>
      <c r="F7" s="8" t="n">
        <v>13220</v>
      </c>
      <c r="G7" s="8" t="n">
        <v>8060</v>
      </c>
      <c r="H7" s="8" t="s">
        <v>11</v>
      </c>
      <c r="I7" s="8" t="s">
        <v>12</v>
      </c>
      <c r="J7" s="0" t="s">
        <v>13</v>
      </c>
    </row>
    <row r="8" customFormat="false" ht="13.8" hidden="false" customHeight="false" outlineLevel="0" collapsed="false">
      <c r="A8" s="6" t="n">
        <v>45047</v>
      </c>
      <c r="B8" s="7" t="n">
        <v>0.513194444444444</v>
      </c>
      <c r="C8" s="8" t="n">
        <v>21478</v>
      </c>
      <c r="D8" s="8" t="s">
        <v>16</v>
      </c>
      <c r="E8" s="8" t="n">
        <v>3200</v>
      </c>
      <c r="F8" s="8" t="n">
        <v>2880</v>
      </c>
      <c r="G8" s="8" t="n">
        <v>320</v>
      </c>
      <c r="H8" s="8" t="s">
        <v>11</v>
      </c>
      <c r="I8" s="8" t="s">
        <v>12</v>
      </c>
      <c r="J8" s="0" t="s">
        <v>13</v>
      </c>
    </row>
    <row r="9" customFormat="false" ht="13.8" hidden="false" customHeight="false" outlineLevel="0" collapsed="false">
      <c r="A9" s="6" t="n">
        <v>45048</v>
      </c>
      <c r="B9" s="7" t="n">
        <v>0.253472222222222</v>
      </c>
      <c r="C9" s="8" t="n">
        <v>21503</v>
      </c>
      <c r="D9" s="8" t="s">
        <v>15</v>
      </c>
      <c r="E9" s="8" t="n">
        <v>5140</v>
      </c>
      <c r="F9" s="8" t="n">
        <v>3700</v>
      </c>
      <c r="G9" s="8" t="n">
        <v>1440</v>
      </c>
      <c r="H9" s="8" t="s">
        <v>11</v>
      </c>
      <c r="I9" s="8" t="s">
        <v>12</v>
      </c>
      <c r="J9" s="0" t="s">
        <v>13</v>
      </c>
    </row>
    <row r="10" customFormat="false" ht="13.8" hidden="false" customHeight="false" outlineLevel="0" collapsed="false">
      <c r="A10" s="6" t="n">
        <v>45048</v>
      </c>
      <c r="B10" s="7" t="n">
        <v>0.0986111111111111</v>
      </c>
      <c r="C10" s="8" t="n">
        <v>21487</v>
      </c>
      <c r="D10" s="8" t="s">
        <v>14</v>
      </c>
      <c r="E10" s="8" t="n">
        <v>22440</v>
      </c>
      <c r="F10" s="8" t="n">
        <v>13300</v>
      </c>
      <c r="G10" s="8" t="n">
        <v>9140</v>
      </c>
      <c r="H10" s="8" t="s">
        <v>11</v>
      </c>
      <c r="I10" s="8" t="s">
        <v>12</v>
      </c>
      <c r="J10" s="0" t="s">
        <v>13</v>
      </c>
    </row>
    <row r="11" customFormat="false" ht="13.8" hidden="false" customHeight="false" outlineLevel="0" collapsed="false">
      <c r="A11" s="6" t="n">
        <v>45048</v>
      </c>
      <c r="B11" s="7" t="n">
        <v>0.240277777777778</v>
      </c>
      <c r="C11" s="8" t="n">
        <v>21501</v>
      </c>
      <c r="D11" s="8" t="s">
        <v>14</v>
      </c>
      <c r="E11" s="8" t="n">
        <v>18860</v>
      </c>
      <c r="F11" s="8" t="n">
        <v>13280</v>
      </c>
      <c r="G11" s="8" t="n">
        <v>5580</v>
      </c>
      <c r="H11" s="8" t="s">
        <v>11</v>
      </c>
      <c r="I11" s="8" t="s">
        <v>12</v>
      </c>
      <c r="J11" s="0" t="s">
        <v>13</v>
      </c>
    </row>
    <row r="12" customFormat="false" ht="13.8" hidden="false" customHeight="false" outlineLevel="0" collapsed="false">
      <c r="A12" s="6" t="n">
        <v>45048</v>
      </c>
      <c r="B12" s="7" t="n">
        <v>0.251388888888889</v>
      </c>
      <c r="C12" s="8" t="n">
        <v>21502</v>
      </c>
      <c r="D12" s="8" t="s">
        <v>10</v>
      </c>
      <c r="E12" s="8" t="n">
        <v>22680</v>
      </c>
      <c r="F12" s="8" t="n">
        <v>16000</v>
      </c>
      <c r="G12" s="8" t="n">
        <v>6680</v>
      </c>
      <c r="H12" s="8" t="s">
        <v>11</v>
      </c>
      <c r="I12" s="8" t="s">
        <v>12</v>
      </c>
      <c r="J12" s="0" t="s">
        <v>13</v>
      </c>
    </row>
    <row r="13" customFormat="false" ht="13.8" hidden="false" customHeight="false" outlineLevel="0" collapsed="false">
      <c r="A13" s="6" t="n">
        <v>45048</v>
      </c>
      <c r="B13" s="7" t="n">
        <v>0.139583333333333</v>
      </c>
      <c r="C13" s="8" t="n">
        <v>21492</v>
      </c>
      <c r="D13" s="8" t="s">
        <v>10</v>
      </c>
      <c r="E13" s="8" t="n">
        <v>26800</v>
      </c>
      <c r="F13" s="8" t="n">
        <v>16040</v>
      </c>
      <c r="G13" s="8" t="n">
        <v>10760</v>
      </c>
      <c r="H13" s="8" t="s">
        <v>11</v>
      </c>
      <c r="I13" s="8" t="s">
        <v>12</v>
      </c>
      <c r="J13" s="0" t="s">
        <v>13</v>
      </c>
    </row>
    <row r="14" customFormat="false" ht="13.8" hidden="false" customHeight="false" outlineLevel="0" collapsed="false">
      <c r="A14" s="6" t="n">
        <v>45048</v>
      </c>
      <c r="B14" s="7" t="n">
        <v>0.503472222222222</v>
      </c>
      <c r="C14" s="8" t="n">
        <v>21528</v>
      </c>
      <c r="D14" s="8" t="s">
        <v>17</v>
      </c>
      <c r="E14" s="8" t="n">
        <v>2640</v>
      </c>
      <c r="F14" s="8" t="n">
        <v>2400</v>
      </c>
      <c r="G14" s="8" t="n">
        <v>240</v>
      </c>
      <c r="H14" s="8" t="s">
        <v>11</v>
      </c>
      <c r="I14" s="8" t="s">
        <v>12</v>
      </c>
      <c r="J14" s="0" t="s">
        <v>13</v>
      </c>
    </row>
    <row r="15" customFormat="false" ht="13.8" hidden="false" customHeight="false" outlineLevel="0" collapsed="false">
      <c r="A15" s="6" t="n">
        <v>45048</v>
      </c>
      <c r="B15" s="7" t="n">
        <v>0.360416666666667</v>
      </c>
      <c r="C15" s="8" t="n">
        <v>21515</v>
      </c>
      <c r="D15" s="8" t="s">
        <v>18</v>
      </c>
      <c r="E15" s="8" t="n">
        <v>6280</v>
      </c>
      <c r="F15" s="8" t="n">
        <v>5600</v>
      </c>
      <c r="G15" s="8" t="n">
        <v>680</v>
      </c>
      <c r="H15" s="8" t="s">
        <v>11</v>
      </c>
      <c r="I15" s="8" t="s">
        <v>19</v>
      </c>
      <c r="J15" s="0" t="s">
        <v>13</v>
      </c>
    </row>
    <row r="16" customFormat="false" ht="13.8" hidden="false" customHeight="false" outlineLevel="0" collapsed="false">
      <c r="A16" s="6" t="n">
        <v>45048</v>
      </c>
      <c r="B16" s="7" t="n">
        <v>0.503472222222222</v>
      </c>
      <c r="C16" s="8" t="n">
        <v>21527</v>
      </c>
      <c r="D16" s="6" t="s">
        <v>18</v>
      </c>
      <c r="E16" s="8" t="n">
        <v>6560</v>
      </c>
      <c r="F16" s="8" t="n">
        <v>5580</v>
      </c>
      <c r="G16" s="8" t="n">
        <v>980</v>
      </c>
      <c r="H16" s="8" t="s">
        <v>11</v>
      </c>
      <c r="I16" s="8" t="s">
        <v>19</v>
      </c>
      <c r="J16" s="0" t="s">
        <v>13</v>
      </c>
    </row>
    <row r="17" customFormat="false" ht="13.8" hidden="false" customHeight="false" outlineLevel="0" collapsed="false">
      <c r="A17" s="6" t="n">
        <v>45048</v>
      </c>
      <c r="B17" s="7" t="n">
        <v>0.504166666666667</v>
      </c>
      <c r="C17" s="8" t="n">
        <v>21529</v>
      </c>
      <c r="D17" s="8" t="s">
        <v>16</v>
      </c>
      <c r="E17" s="8" t="n">
        <v>3560</v>
      </c>
      <c r="F17" s="8" t="n">
        <v>2900</v>
      </c>
      <c r="G17" s="9" t="n">
        <v>660</v>
      </c>
      <c r="H17" s="8" t="s">
        <v>11</v>
      </c>
      <c r="I17" s="8" t="s">
        <v>12</v>
      </c>
      <c r="J17" s="0" t="s">
        <v>13</v>
      </c>
    </row>
    <row r="18" customFormat="false" ht="13.8" hidden="true" customHeight="false" outlineLevel="0" collapsed="false">
      <c r="A18" s="6" t="n">
        <v>45048</v>
      </c>
      <c r="B18" s="7" t="n">
        <v>0.5125</v>
      </c>
      <c r="C18" s="8" t="n">
        <v>155862</v>
      </c>
      <c r="D18" s="8" t="s">
        <v>10</v>
      </c>
      <c r="E18" s="8" t="n">
        <v>18660</v>
      </c>
      <c r="F18" s="8" t="n">
        <v>16120</v>
      </c>
      <c r="G18" s="9" t="n">
        <v>2540</v>
      </c>
      <c r="H18" s="8" t="s">
        <v>11</v>
      </c>
      <c r="I18" s="8" t="s">
        <v>20</v>
      </c>
      <c r="J18" s="1" t="s">
        <v>13</v>
      </c>
    </row>
    <row r="19" customFormat="false" ht="13.8" hidden="true" customHeight="false" outlineLevel="0" collapsed="false">
      <c r="A19" s="6" t="n">
        <v>45049</v>
      </c>
      <c r="B19" s="7" t="n">
        <v>0.470138888888889</v>
      </c>
      <c r="C19" s="8" t="n">
        <v>155904</v>
      </c>
      <c r="D19" s="8" t="s">
        <v>21</v>
      </c>
      <c r="E19" s="8" t="n">
        <v>17520</v>
      </c>
      <c r="F19" s="8" t="n">
        <v>15940</v>
      </c>
      <c r="G19" s="9" t="n">
        <v>1580</v>
      </c>
      <c r="H19" s="8" t="s">
        <v>11</v>
      </c>
      <c r="I19" s="8" t="s">
        <v>20</v>
      </c>
      <c r="J19" s="1" t="s">
        <v>13</v>
      </c>
    </row>
    <row r="20" customFormat="false" ht="13.8" hidden="false" customHeight="false" outlineLevel="0" collapsed="false">
      <c r="A20" s="6" t="n">
        <v>45049</v>
      </c>
      <c r="B20" s="7" t="n">
        <v>0.259027777777778</v>
      </c>
      <c r="C20" s="8" t="n">
        <v>21558</v>
      </c>
      <c r="D20" s="8" t="s">
        <v>10</v>
      </c>
      <c r="E20" s="8" t="n">
        <v>20640</v>
      </c>
      <c r="F20" s="8" t="n">
        <v>16080</v>
      </c>
      <c r="G20" s="9" t="n">
        <v>4560</v>
      </c>
      <c r="H20" s="8" t="s">
        <v>11</v>
      </c>
      <c r="I20" s="8" t="s">
        <v>12</v>
      </c>
      <c r="J20" s="0" t="s">
        <v>13</v>
      </c>
    </row>
    <row r="21" customFormat="false" ht="13.8" hidden="false" customHeight="false" outlineLevel="0" collapsed="false">
      <c r="A21" s="6" t="n">
        <v>45049</v>
      </c>
      <c r="B21" s="7" t="n">
        <v>0.142361111111111</v>
      </c>
      <c r="C21" s="8" t="n">
        <v>21548</v>
      </c>
      <c r="D21" s="8" t="s">
        <v>10</v>
      </c>
      <c r="E21" s="8" t="n">
        <v>26260</v>
      </c>
      <c r="F21" s="8" t="n">
        <v>16100</v>
      </c>
      <c r="G21" s="9" t="n">
        <v>10160</v>
      </c>
      <c r="H21" s="8" t="s">
        <v>11</v>
      </c>
      <c r="I21" s="8" t="s">
        <v>12</v>
      </c>
      <c r="J21" s="0" t="s">
        <v>13</v>
      </c>
    </row>
    <row r="22" customFormat="false" ht="13.8" hidden="false" customHeight="false" outlineLevel="0" collapsed="false">
      <c r="A22" s="6" t="n">
        <v>45049</v>
      </c>
      <c r="B22" s="7" t="n">
        <v>0.239583333333333</v>
      </c>
      <c r="C22" s="8" t="n">
        <v>21556</v>
      </c>
      <c r="D22" s="8" t="s">
        <v>14</v>
      </c>
      <c r="E22" s="8" t="n">
        <v>16520</v>
      </c>
      <c r="F22" s="8" t="n">
        <v>13200</v>
      </c>
      <c r="G22" s="9" t="n">
        <v>3320</v>
      </c>
      <c r="H22" s="8" t="s">
        <v>11</v>
      </c>
      <c r="I22" s="8" t="s">
        <v>12</v>
      </c>
      <c r="J22" s="0" t="s">
        <v>13</v>
      </c>
    </row>
    <row r="23" customFormat="false" ht="13.8" hidden="false" customHeight="false" outlineLevel="0" collapsed="false">
      <c r="A23" s="6" t="n">
        <v>45049</v>
      </c>
      <c r="B23" s="7" t="n">
        <v>0.256944444444445</v>
      </c>
      <c r="C23" s="8" t="n">
        <v>21557</v>
      </c>
      <c r="D23" s="8" t="s">
        <v>15</v>
      </c>
      <c r="E23" s="8" t="n">
        <v>4540</v>
      </c>
      <c r="F23" s="8" t="n">
        <v>3680</v>
      </c>
      <c r="G23" s="9" t="n">
        <v>860</v>
      </c>
      <c r="H23" s="8" t="s">
        <v>11</v>
      </c>
      <c r="I23" s="8" t="s">
        <v>12</v>
      </c>
      <c r="J23" s="0" t="s">
        <v>13</v>
      </c>
    </row>
    <row r="24" customFormat="false" ht="13.8" hidden="false" customHeight="false" outlineLevel="0" collapsed="false">
      <c r="A24" s="6" t="n">
        <v>45049</v>
      </c>
      <c r="B24" s="7" t="n">
        <v>0.131944444444444</v>
      </c>
      <c r="C24" s="8" t="n">
        <v>21547</v>
      </c>
      <c r="D24" s="8" t="s">
        <v>14</v>
      </c>
      <c r="E24" s="8" t="n">
        <v>21380</v>
      </c>
      <c r="F24" s="8" t="n">
        <v>13220</v>
      </c>
      <c r="G24" s="9" t="n">
        <v>8160</v>
      </c>
      <c r="H24" s="8" t="s">
        <v>11</v>
      </c>
      <c r="I24" s="8" t="s">
        <v>12</v>
      </c>
      <c r="J24" s="0" t="s">
        <v>13</v>
      </c>
    </row>
    <row r="25" customFormat="false" ht="13.8" hidden="false" customHeight="false" outlineLevel="0" collapsed="false">
      <c r="A25" s="6" t="n">
        <v>45049</v>
      </c>
      <c r="B25" s="7" t="n">
        <v>0.329861111111111</v>
      </c>
      <c r="C25" s="8" t="n">
        <v>21566</v>
      </c>
      <c r="D25" s="8" t="s">
        <v>18</v>
      </c>
      <c r="E25" s="8" t="n">
        <v>6880</v>
      </c>
      <c r="F25" s="8" t="n">
        <v>5580</v>
      </c>
      <c r="G25" s="9" t="n">
        <v>1300</v>
      </c>
      <c r="H25" s="8" t="s">
        <v>11</v>
      </c>
      <c r="I25" s="8" t="s">
        <v>19</v>
      </c>
      <c r="J25" s="0" t="s">
        <v>13</v>
      </c>
    </row>
    <row r="26" customFormat="false" ht="13.8" hidden="false" customHeight="false" outlineLevel="0" collapsed="false">
      <c r="A26" s="6" t="n">
        <v>45049</v>
      </c>
      <c r="B26" s="7" t="n">
        <v>0.335416666666667</v>
      </c>
      <c r="C26" s="8" t="n">
        <v>21569</v>
      </c>
      <c r="D26" s="8" t="s">
        <v>22</v>
      </c>
      <c r="E26" s="8" t="n">
        <v>3420</v>
      </c>
      <c r="F26" s="8" t="n">
        <v>2800</v>
      </c>
      <c r="G26" s="9" t="n">
        <v>620</v>
      </c>
      <c r="H26" s="8" t="s">
        <v>11</v>
      </c>
      <c r="I26" s="8" t="s">
        <v>19</v>
      </c>
      <c r="J26" s="0" t="s">
        <v>13</v>
      </c>
    </row>
    <row r="27" customFormat="false" ht="13.8" hidden="false" customHeight="false" outlineLevel="0" collapsed="false">
      <c r="A27" s="6" t="n">
        <v>45049</v>
      </c>
      <c r="B27" s="7" t="n">
        <v>0.456944444444444</v>
      </c>
      <c r="C27" s="8" t="n">
        <v>21581</v>
      </c>
      <c r="D27" s="8" t="s">
        <v>22</v>
      </c>
      <c r="E27" s="8" t="n">
        <v>3600</v>
      </c>
      <c r="F27" s="8" t="n">
        <v>2780</v>
      </c>
      <c r="G27" s="9" t="n">
        <v>820</v>
      </c>
      <c r="H27" s="8" t="s">
        <v>11</v>
      </c>
      <c r="I27" s="8" t="s">
        <v>19</v>
      </c>
      <c r="J27" s="0" t="s">
        <v>13</v>
      </c>
    </row>
    <row r="28" customFormat="false" ht="13.8" hidden="false" customHeight="false" outlineLevel="0" collapsed="false">
      <c r="A28" s="6" t="n">
        <v>45049</v>
      </c>
      <c r="B28" s="7" t="n">
        <v>0.505555555555556</v>
      </c>
      <c r="C28" s="8" t="n">
        <v>21586</v>
      </c>
      <c r="D28" s="8" t="s">
        <v>17</v>
      </c>
      <c r="E28" s="8" t="n">
        <v>2740</v>
      </c>
      <c r="F28" s="8" t="n">
        <v>2400</v>
      </c>
      <c r="G28" s="9" t="n">
        <v>340</v>
      </c>
      <c r="H28" s="8" t="s">
        <v>11</v>
      </c>
      <c r="I28" s="8" t="s">
        <v>12</v>
      </c>
      <c r="J28" s="0" t="s">
        <v>13</v>
      </c>
    </row>
    <row r="29" customFormat="false" ht="13.8" hidden="false" customHeight="false" outlineLevel="0" collapsed="false">
      <c r="A29" s="6" t="n">
        <v>45049</v>
      </c>
      <c r="B29" s="7" t="n">
        <v>0.509722222222222</v>
      </c>
      <c r="C29" s="8" t="n">
        <v>21587</v>
      </c>
      <c r="D29" s="8" t="s">
        <v>18</v>
      </c>
      <c r="E29" s="8" t="n">
        <v>8120</v>
      </c>
      <c r="F29" s="8" t="n">
        <v>5580</v>
      </c>
      <c r="G29" s="9" t="n">
        <v>2540</v>
      </c>
      <c r="H29" s="8" t="s">
        <v>11</v>
      </c>
      <c r="I29" s="8" t="s">
        <v>19</v>
      </c>
      <c r="J29" s="0" t="s">
        <v>13</v>
      </c>
    </row>
    <row r="30" customFormat="false" ht="13.8" hidden="true" customHeight="false" outlineLevel="0" collapsed="false">
      <c r="A30" s="6" t="n">
        <v>45049</v>
      </c>
      <c r="B30" s="7" t="n">
        <v>0.513194444444444</v>
      </c>
      <c r="C30" s="8" t="n">
        <v>4226</v>
      </c>
      <c r="D30" s="8" t="s">
        <v>23</v>
      </c>
      <c r="E30" s="8" t="n">
        <v>18580</v>
      </c>
      <c r="F30" s="8" t="n">
        <v>15760</v>
      </c>
      <c r="G30" s="9" t="n">
        <v>2820</v>
      </c>
      <c r="H30" s="8" t="s">
        <v>11</v>
      </c>
      <c r="I30" s="8" t="s">
        <v>24</v>
      </c>
      <c r="J30" s="1" t="s">
        <v>13</v>
      </c>
    </row>
    <row r="31" customFormat="false" ht="13.8" hidden="false" customHeight="false" outlineLevel="0" collapsed="false">
      <c r="A31" s="6" t="n">
        <v>45050</v>
      </c>
      <c r="B31" s="7" t="n">
        <v>0.138194444444444</v>
      </c>
      <c r="C31" s="8" t="n">
        <v>21608</v>
      </c>
      <c r="D31" s="8" t="s">
        <v>10</v>
      </c>
      <c r="E31" s="8" t="n">
        <v>24680</v>
      </c>
      <c r="F31" s="8" t="n">
        <v>16160</v>
      </c>
      <c r="G31" s="9" t="n">
        <v>8520</v>
      </c>
      <c r="H31" s="8" t="s">
        <v>11</v>
      </c>
      <c r="I31" s="8" t="s">
        <v>12</v>
      </c>
      <c r="J31" s="0" t="s">
        <v>13</v>
      </c>
    </row>
    <row r="32" customFormat="false" ht="13.8" hidden="false" customHeight="false" outlineLevel="0" collapsed="false">
      <c r="A32" s="6" t="n">
        <v>45050</v>
      </c>
      <c r="B32" s="7" t="n">
        <v>0.145833333333333</v>
      </c>
      <c r="C32" s="8" t="n">
        <v>21609</v>
      </c>
      <c r="D32" s="8" t="s">
        <v>14</v>
      </c>
      <c r="E32" s="8" t="n">
        <v>21480</v>
      </c>
      <c r="F32" s="8" t="n">
        <v>13200</v>
      </c>
      <c r="G32" s="9" t="n">
        <v>8280</v>
      </c>
      <c r="H32" s="8" t="s">
        <v>11</v>
      </c>
      <c r="I32" s="8" t="s">
        <v>12</v>
      </c>
      <c r="J32" s="0" t="s">
        <v>13</v>
      </c>
    </row>
    <row r="33" customFormat="false" ht="13.8" hidden="false" customHeight="false" outlineLevel="0" collapsed="false">
      <c r="A33" s="6" t="n">
        <v>45050</v>
      </c>
      <c r="B33" s="7" t="n">
        <v>0.24375</v>
      </c>
      <c r="C33" s="8" t="n">
        <v>21617</v>
      </c>
      <c r="D33" s="8" t="s">
        <v>14</v>
      </c>
      <c r="E33" s="8" t="n">
        <v>15220</v>
      </c>
      <c r="F33" s="8" t="n">
        <v>13140</v>
      </c>
      <c r="G33" s="9" t="n">
        <v>2080</v>
      </c>
      <c r="H33" s="8" t="s">
        <v>11</v>
      </c>
      <c r="I33" s="8" t="s">
        <v>12</v>
      </c>
      <c r="J33" s="0" t="s">
        <v>13</v>
      </c>
    </row>
    <row r="34" customFormat="false" ht="13.8" hidden="false" customHeight="false" outlineLevel="0" collapsed="false">
      <c r="A34" s="6" t="n">
        <v>45050</v>
      </c>
      <c r="B34" s="7" t="n">
        <v>0.252083333333333</v>
      </c>
      <c r="C34" s="8" t="n">
        <v>21619</v>
      </c>
      <c r="D34" s="8" t="s">
        <v>10</v>
      </c>
      <c r="E34" s="8" t="n">
        <v>20580</v>
      </c>
      <c r="F34" s="8" t="n">
        <v>16120</v>
      </c>
      <c r="G34" s="9" t="n">
        <v>4460</v>
      </c>
      <c r="H34" s="8" t="s">
        <v>11</v>
      </c>
      <c r="I34" s="8" t="s">
        <v>12</v>
      </c>
      <c r="J34" s="0" t="s">
        <v>13</v>
      </c>
    </row>
    <row r="35" customFormat="false" ht="13.8" hidden="false" customHeight="false" outlineLevel="0" collapsed="false">
      <c r="A35" s="6" t="n">
        <v>45050</v>
      </c>
      <c r="B35" s="7" t="n">
        <v>0.254861111111111</v>
      </c>
      <c r="C35" s="8" t="n">
        <v>21620</v>
      </c>
      <c r="D35" s="8" t="s">
        <v>22</v>
      </c>
      <c r="E35" s="8" t="n">
        <v>3300</v>
      </c>
      <c r="F35" s="8" t="n">
        <v>2800</v>
      </c>
      <c r="G35" s="9" t="n">
        <v>500</v>
      </c>
      <c r="H35" s="8" t="s">
        <v>11</v>
      </c>
      <c r="I35" s="8" t="s">
        <v>12</v>
      </c>
      <c r="J35" s="0" t="s">
        <v>13</v>
      </c>
    </row>
    <row r="36" customFormat="false" ht="13.8" hidden="false" customHeight="false" outlineLevel="0" collapsed="false">
      <c r="A36" s="6" t="n">
        <v>45050</v>
      </c>
      <c r="B36" s="7" t="n">
        <v>0.365972222222222</v>
      </c>
      <c r="C36" s="8" t="n">
        <v>21636</v>
      </c>
      <c r="D36" s="8" t="s">
        <v>18</v>
      </c>
      <c r="E36" s="8" t="n">
        <v>6640</v>
      </c>
      <c r="F36" s="8" t="n">
        <v>5560</v>
      </c>
      <c r="G36" s="9" t="n">
        <v>1080</v>
      </c>
      <c r="H36" s="8" t="s">
        <v>11</v>
      </c>
      <c r="I36" s="8" t="s">
        <v>19</v>
      </c>
      <c r="J36" s="0" t="s">
        <v>13</v>
      </c>
    </row>
    <row r="37" customFormat="false" ht="13.8" hidden="false" customHeight="false" outlineLevel="0" collapsed="false">
      <c r="A37" s="6" t="n">
        <v>45050</v>
      </c>
      <c r="B37" s="7" t="n">
        <v>0.499305555555556</v>
      </c>
      <c r="C37" s="8" t="n">
        <v>21647</v>
      </c>
      <c r="D37" s="8" t="s">
        <v>17</v>
      </c>
      <c r="E37" s="8" t="n">
        <v>2660</v>
      </c>
      <c r="F37" s="8" t="n">
        <v>2400</v>
      </c>
      <c r="G37" s="9" t="n">
        <v>260</v>
      </c>
      <c r="H37" s="8" t="s">
        <v>11</v>
      </c>
      <c r="I37" s="8" t="s">
        <v>12</v>
      </c>
      <c r="J37" s="0" t="s">
        <v>13</v>
      </c>
    </row>
    <row r="38" customFormat="false" ht="13.8" hidden="false" customHeight="false" outlineLevel="0" collapsed="false">
      <c r="A38" s="6" t="n">
        <v>45050</v>
      </c>
      <c r="B38" s="7" t="n">
        <v>0.510416666666667</v>
      </c>
      <c r="C38" s="8" t="n">
        <v>21649</v>
      </c>
      <c r="D38" s="8" t="s">
        <v>22</v>
      </c>
      <c r="E38" s="8" t="n">
        <v>3000</v>
      </c>
      <c r="F38" s="8" t="n">
        <v>2700</v>
      </c>
      <c r="G38" s="9" t="n">
        <v>300</v>
      </c>
      <c r="H38" s="8" t="s">
        <v>11</v>
      </c>
      <c r="I38" s="8" t="s">
        <v>19</v>
      </c>
      <c r="J38" s="0" t="s">
        <v>13</v>
      </c>
    </row>
    <row r="39" customFormat="false" ht="13.8" hidden="false" customHeight="false" outlineLevel="0" collapsed="false">
      <c r="A39" s="6" t="n">
        <v>45050</v>
      </c>
      <c r="B39" s="7" t="n">
        <v>0.509027777777778</v>
      </c>
      <c r="C39" s="8" t="n">
        <v>21648</v>
      </c>
      <c r="D39" s="8" t="s">
        <v>16</v>
      </c>
      <c r="E39" s="8" t="n">
        <v>3460</v>
      </c>
      <c r="F39" s="8" t="n">
        <v>2960</v>
      </c>
      <c r="G39" s="9" t="n">
        <v>500</v>
      </c>
      <c r="H39" s="8" t="s">
        <v>11</v>
      </c>
      <c r="I39" s="8" t="s">
        <v>12</v>
      </c>
      <c r="J39" s="0" t="s">
        <v>13</v>
      </c>
    </row>
    <row r="40" customFormat="false" ht="13.8" hidden="false" customHeight="false" outlineLevel="0" collapsed="false">
      <c r="A40" s="6" t="n">
        <v>45051</v>
      </c>
      <c r="B40" s="7" t="n">
        <v>0.218055555555556</v>
      </c>
      <c r="C40" s="8" t="n">
        <v>21673</v>
      </c>
      <c r="D40" s="8" t="s">
        <v>10</v>
      </c>
      <c r="E40" s="8" t="n">
        <v>27720</v>
      </c>
      <c r="F40" s="8" t="n">
        <v>16120</v>
      </c>
      <c r="G40" s="9" t="n">
        <v>11600</v>
      </c>
      <c r="H40" s="8" t="s">
        <v>11</v>
      </c>
      <c r="I40" s="8" t="s">
        <v>12</v>
      </c>
      <c r="J40" s="0" t="s">
        <v>13</v>
      </c>
    </row>
    <row r="41" customFormat="false" ht="13.8" hidden="false" customHeight="false" outlineLevel="0" collapsed="false">
      <c r="A41" s="6" t="n">
        <v>45051</v>
      </c>
      <c r="B41" s="7" t="n">
        <v>0.25</v>
      </c>
      <c r="C41" s="8" t="n">
        <v>21678</v>
      </c>
      <c r="D41" s="8" t="s">
        <v>14</v>
      </c>
      <c r="E41" s="8" t="n">
        <v>14560</v>
      </c>
      <c r="F41" s="8" t="n">
        <v>13220</v>
      </c>
      <c r="G41" s="9" t="n">
        <v>1340</v>
      </c>
      <c r="H41" s="8" t="s">
        <v>11</v>
      </c>
      <c r="I41" s="8" t="s">
        <v>12</v>
      </c>
      <c r="J41" s="0" t="s">
        <v>13</v>
      </c>
    </row>
    <row r="42" customFormat="false" ht="13.8" hidden="false" customHeight="false" outlineLevel="0" collapsed="false">
      <c r="A42" s="6" t="n">
        <v>45051</v>
      </c>
      <c r="B42" s="7" t="n">
        <v>0.14375</v>
      </c>
      <c r="C42" s="8" t="n">
        <v>21669</v>
      </c>
      <c r="D42" s="8" t="s">
        <v>14</v>
      </c>
      <c r="E42" s="8" t="n">
        <v>21060</v>
      </c>
      <c r="F42" s="8" t="n">
        <v>13260</v>
      </c>
      <c r="G42" s="9" t="n">
        <v>7800</v>
      </c>
      <c r="H42" s="8" t="s">
        <v>11</v>
      </c>
      <c r="I42" s="8" t="s">
        <v>12</v>
      </c>
      <c r="J42" s="0" t="s">
        <v>13</v>
      </c>
    </row>
    <row r="43" customFormat="false" ht="13.8" hidden="false" customHeight="false" outlineLevel="0" collapsed="false">
      <c r="A43" s="6" t="n">
        <v>45051</v>
      </c>
      <c r="B43" s="7" t="n">
        <v>0.25625</v>
      </c>
      <c r="C43" s="8" t="n">
        <v>21679</v>
      </c>
      <c r="D43" s="8" t="s">
        <v>15</v>
      </c>
      <c r="E43" s="8" t="n">
        <v>4660</v>
      </c>
      <c r="F43" s="8" t="n">
        <v>3680</v>
      </c>
      <c r="G43" s="9" t="n">
        <v>980</v>
      </c>
      <c r="H43" s="8" t="s">
        <v>11</v>
      </c>
      <c r="I43" s="8" t="s">
        <v>12</v>
      </c>
      <c r="J43" s="0" t="s">
        <v>13</v>
      </c>
    </row>
    <row r="44" customFormat="false" ht="13.8" hidden="false" customHeight="false" outlineLevel="0" collapsed="false">
      <c r="A44" s="6" t="n">
        <v>45051</v>
      </c>
      <c r="B44" s="7" t="n">
        <v>0.308333333333333</v>
      </c>
      <c r="C44" s="8" t="n">
        <v>21686</v>
      </c>
      <c r="D44" s="8" t="s">
        <v>18</v>
      </c>
      <c r="E44" s="8" t="n">
        <v>6220</v>
      </c>
      <c r="F44" s="8" t="n">
        <v>5600</v>
      </c>
      <c r="G44" s="9" t="n">
        <v>620</v>
      </c>
      <c r="H44" s="8" t="s">
        <v>11</v>
      </c>
      <c r="I44" s="8" t="s">
        <v>19</v>
      </c>
      <c r="J44" s="0" t="s">
        <v>13</v>
      </c>
    </row>
    <row r="45" customFormat="false" ht="13.8" hidden="false" customHeight="false" outlineLevel="0" collapsed="false">
      <c r="A45" s="6" t="n">
        <v>45051</v>
      </c>
      <c r="B45" s="7" t="n">
        <v>0.504861111111111</v>
      </c>
      <c r="C45" s="8" t="n">
        <v>21698</v>
      </c>
      <c r="D45" s="8" t="s">
        <v>16</v>
      </c>
      <c r="E45" s="8" t="n">
        <v>3360</v>
      </c>
      <c r="F45" s="8" t="n">
        <v>2860</v>
      </c>
      <c r="G45" s="9" t="n">
        <v>500</v>
      </c>
      <c r="H45" s="8" t="s">
        <v>11</v>
      </c>
      <c r="I45" s="8" t="s">
        <v>12</v>
      </c>
      <c r="J45" s="0" t="s">
        <v>13</v>
      </c>
    </row>
    <row r="46" customFormat="false" ht="13.8" hidden="false" customHeight="false" outlineLevel="0" collapsed="false">
      <c r="A46" s="6" t="n">
        <v>45052</v>
      </c>
      <c r="B46" s="7" t="n">
        <v>0.497916666666667</v>
      </c>
      <c r="C46" s="8" t="n">
        <v>21731</v>
      </c>
      <c r="D46" s="8" t="s">
        <v>16</v>
      </c>
      <c r="E46" s="8" t="n">
        <v>2960</v>
      </c>
      <c r="F46" s="8" t="n">
        <v>2840</v>
      </c>
      <c r="G46" s="9" t="n">
        <v>120</v>
      </c>
      <c r="H46" s="8" t="s">
        <v>11</v>
      </c>
      <c r="I46" s="8" t="s">
        <v>12</v>
      </c>
      <c r="J46" s="0" t="s">
        <v>13</v>
      </c>
    </row>
    <row r="47" customFormat="false" ht="13.8" hidden="false" customHeight="false" outlineLevel="0" collapsed="false">
      <c r="A47" s="6" t="n">
        <v>45052</v>
      </c>
      <c r="B47" s="7" t="n">
        <v>0.499305555555556</v>
      </c>
      <c r="C47" s="8" t="n">
        <v>21730</v>
      </c>
      <c r="D47" s="8" t="s">
        <v>22</v>
      </c>
      <c r="E47" s="8" t="n">
        <v>3060</v>
      </c>
      <c r="F47" s="8" t="n">
        <v>2680</v>
      </c>
      <c r="G47" s="9" t="n">
        <v>380</v>
      </c>
      <c r="H47" s="8" t="s">
        <v>11</v>
      </c>
      <c r="I47" s="8" t="s">
        <v>12</v>
      </c>
      <c r="J47" s="0" t="s">
        <v>13</v>
      </c>
    </row>
    <row r="48" customFormat="false" ht="13.8" hidden="false" customHeight="false" outlineLevel="0" collapsed="false">
      <c r="A48" s="6" t="n">
        <v>45052</v>
      </c>
      <c r="B48" s="7" t="n">
        <v>0.242361111111111</v>
      </c>
      <c r="C48" s="8" t="n">
        <v>21722</v>
      </c>
      <c r="D48" s="8" t="s">
        <v>14</v>
      </c>
      <c r="E48" s="8" t="n">
        <v>15620</v>
      </c>
      <c r="F48" s="8" t="n">
        <v>13160</v>
      </c>
      <c r="G48" s="9" t="n">
        <v>2460</v>
      </c>
      <c r="H48" s="8" t="s">
        <v>11</v>
      </c>
      <c r="I48" s="8" t="s">
        <v>12</v>
      </c>
      <c r="J48" s="0" t="s">
        <v>13</v>
      </c>
    </row>
    <row r="49" customFormat="false" ht="13.8" hidden="false" customHeight="false" outlineLevel="0" collapsed="false">
      <c r="A49" s="6" t="n">
        <v>45052</v>
      </c>
      <c r="B49" s="7" t="n">
        <v>0.142361111111111</v>
      </c>
      <c r="C49" s="8" t="n">
        <v>21714</v>
      </c>
      <c r="D49" s="8" t="s">
        <v>14</v>
      </c>
      <c r="E49" s="8" t="n">
        <v>22340</v>
      </c>
      <c r="F49" s="8" t="n">
        <v>13220</v>
      </c>
      <c r="G49" s="9" t="n">
        <v>9120</v>
      </c>
      <c r="H49" s="8" t="s">
        <v>11</v>
      </c>
      <c r="I49" s="8" t="s">
        <v>12</v>
      </c>
      <c r="J49" s="0" t="s">
        <v>13</v>
      </c>
    </row>
    <row r="50" customFormat="false" ht="13.8" hidden="false" customHeight="false" outlineLevel="0" collapsed="false">
      <c r="A50" s="6" t="n">
        <v>45052</v>
      </c>
      <c r="B50" s="7" t="n">
        <v>0.254861111111111</v>
      </c>
      <c r="C50" s="8" t="n">
        <v>21723</v>
      </c>
      <c r="D50" s="8" t="s">
        <v>10</v>
      </c>
      <c r="E50" s="8" t="n">
        <v>25980</v>
      </c>
      <c r="F50" s="8" t="n">
        <v>15800</v>
      </c>
      <c r="G50" s="9" t="n">
        <v>10180</v>
      </c>
      <c r="H50" s="8" t="s">
        <v>11</v>
      </c>
      <c r="I50" s="8" t="s">
        <v>12</v>
      </c>
      <c r="J50" s="0" t="s">
        <v>13</v>
      </c>
    </row>
    <row r="51" customFormat="false" ht="13.8" hidden="false" customHeight="false" outlineLevel="0" collapsed="false">
      <c r="A51" s="6" t="n">
        <v>45052</v>
      </c>
      <c r="B51" s="7" t="n">
        <v>0.255555555555556</v>
      </c>
      <c r="C51" s="8" t="n">
        <v>21724</v>
      </c>
      <c r="D51" s="8" t="s">
        <v>15</v>
      </c>
      <c r="E51" s="8" t="n">
        <v>4680</v>
      </c>
      <c r="F51" s="8" t="n">
        <v>3700</v>
      </c>
      <c r="G51" s="9" t="n">
        <v>980</v>
      </c>
      <c r="H51" s="8" t="s">
        <v>11</v>
      </c>
      <c r="I51" s="8" t="s">
        <v>12</v>
      </c>
      <c r="J51" s="0" t="s">
        <v>13</v>
      </c>
    </row>
    <row r="52" customFormat="false" ht="13.8" hidden="false" customHeight="false" outlineLevel="0" collapsed="false">
      <c r="A52" s="6" t="n">
        <v>45053</v>
      </c>
      <c r="B52" s="7" t="n">
        <v>0.228472222222222</v>
      </c>
      <c r="C52" s="8" t="n">
        <v>21744</v>
      </c>
      <c r="D52" s="8" t="s">
        <v>10</v>
      </c>
      <c r="E52" s="8" t="n">
        <v>27980</v>
      </c>
      <c r="F52" s="8" t="n">
        <v>15760</v>
      </c>
      <c r="G52" s="9" t="n">
        <v>12220</v>
      </c>
      <c r="H52" s="8" t="s">
        <v>11</v>
      </c>
      <c r="I52" s="8" t="s">
        <v>12</v>
      </c>
      <c r="J52" s="0" t="s">
        <v>13</v>
      </c>
    </row>
    <row r="53" customFormat="false" ht="13.8" hidden="false" customHeight="false" outlineLevel="0" collapsed="false">
      <c r="A53" s="6" t="n">
        <v>45053</v>
      </c>
      <c r="B53" s="7" t="n">
        <v>0.509722222222222</v>
      </c>
      <c r="C53" s="8" t="n">
        <v>21749</v>
      </c>
      <c r="D53" s="8" t="s">
        <v>17</v>
      </c>
      <c r="E53" s="8" t="n">
        <v>2660</v>
      </c>
      <c r="F53" s="8" t="n">
        <v>2480</v>
      </c>
      <c r="G53" s="9" t="n">
        <v>180</v>
      </c>
      <c r="H53" s="8" t="s">
        <v>11</v>
      </c>
      <c r="I53" s="8" t="s">
        <v>12</v>
      </c>
      <c r="J53" s="0" t="s">
        <v>13</v>
      </c>
    </row>
    <row r="54" customFormat="false" ht="13.8" hidden="false" customHeight="false" outlineLevel="0" collapsed="false">
      <c r="A54" s="6" t="n">
        <v>45053</v>
      </c>
      <c r="B54" s="7" t="n">
        <v>0.349305555555556</v>
      </c>
      <c r="C54" s="8" t="n">
        <v>21748</v>
      </c>
      <c r="D54" s="8" t="s">
        <v>17</v>
      </c>
      <c r="E54" s="8" t="n">
        <v>2700</v>
      </c>
      <c r="F54" s="8" t="n">
        <v>2480</v>
      </c>
      <c r="G54" s="9" t="n">
        <v>220</v>
      </c>
      <c r="H54" s="8" t="s">
        <v>11</v>
      </c>
      <c r="I54" s="8" t="s">
        <v>12</v>
      </c>
      <c r="J54" s="0" t="s">
        <v>13</v>
      </c>
    </row>
    <row r="55" customFormat="false" ht="13.8" hidden="false" customHeight="false" outlineLevel="0" collapsed="false">
      <c r="A55" s="6" t="n">
        <v>45053</v>
      </c>
      <c r="B55" s="7" t="n">
        <v>0.257638888888889</v>
      </c>
      <c r="C55" s="8" t="n">
        <v>21745</v>
      </c>
      <c r="D55" s="8" t="s">
        <v>15</v>
      </c>
      <c r="E55" s="8" t="n">
        <v>5000</v>
      </c>
      <c r="F55" s="8" t="n">
        <v>3760</v>
      </c>
      <c r="G55" s="9" t="n">
        <v>1240</v>
      </c>
      <c r="H55" s="8" t="s">
        <v>11</v>
      </c>
      <c r="I55" s="8" t="s">
        <v>12</v>
      </c>
      <c r="J55" s="0" t="s">
        <v>13</v>
      </c>
    </row>
    <row r="56" customFormat="false" ht="13.8" hidden="false" customHeight="false" outlineLevel="0" collapsed="false">
      <c r="A56" s="6" t="n">
        <v>45053</v>
      </c>
      <c r="B56" s="7" t="n">
        <v>0.08125</v>
      </c>
      <c r="C56" s="8" t="n">
        <v>21733</v>
      </c>
      <c r="D56" s="8" t="s">
        <v>14</v>
      </c>
      <c r="E56" s="8" t="n">
        <v>20460</v>
      </c>
      <c r="F56" s="8" t="n">
        <v>13260</v>
      </c>
      <c r="G56" s="9" t="n">
        <v>7200</v>
      </c>
      <c r="H56" s="8" t="s">
        <v>11</v>
      </c>
      <c r="I56" s="8" t="s">
        <v>12</v>
      </c>
      <c r="J56" s="0" t="s">
        <v>13</v>
      </c>
    </row>
    <row r="57" customFormat="false" ht="13.8" hidden="false" customHeight="false" outlineLevel="0" collapsed="false">
      <c r="A57" s="6" t="n">
        <v>45053</v>
      </c>
      <c r="B57" s="7" t="n">
        <v>0.1625</v>
      </c>
      <c r="C57" s="8" t="n">
        <v>21740</v>
      </c>
      <c r="D57" s="8" t="s">
        <v>14</v>
      </c>
      <c r="E57" s="8" t="n">
        <v>18000</v>
      </c>
      <c r="F57" s="8" t="n">
        <v>13220</v>
      </c>
      <c r="G57" s="9" t="n">
        <v>4780</v>
      </c>
      <c r="H57" s="8" t="s">
        <v>11</v>
      </c>
      <c r="I57" s="8" t="s">
        <v>12</v>
      </c>
      <c r="J57" s="0" t="s">
        <v>13</v>
      </c>
    </row>
    <row r="58" customFormat="false" ht="13.8" hidden="false" customHeight="false" outlineLevel="0" collapsed="false">
      <c r="A58" s="6" t="n">
        <v>45054</v>
      </c>
      <c r="B58" s="7" t="n">
        <v>0.254861111111111</v>
      </c>
      <c r="C58" s="8" t="n">
        <v>21769</v>
      </c>
      <c r="D58" s="8" t="s">
        <v>15</v>
      </c>
      <c r="E58" s="8" t="n">
        <v>4580</v>
      </c>
      <c r="F58" s="8" t="n">
        <v>3700</v>
      </c>
      <c r="G58" s="9" t="n">
        <v>880</v>
      </c>
      <c r="H58" s="8" t="s">
        <v>11</v>
      </c>
      <c r="I58" s="8" t="s">
        <v>12</v>
      </c>
      <c r="J58" s="0" t="s">
        <v>13</v>
      </c>
    </row>
    <row r="59" customFormat="false" ht="13.8" hidden="false" customHeight="false" outlineLevel="0" collapsed="false">
      <c r="A59" s="6" t="n">
        <v>45054</v>
      </c>
      <c r="B59" s="7" t="n">
        <v>0.235416666666667</v>
      </c>
      <c r="C59" s="8" t="n">
        <v>21766</v>
      </c>
      <c r="D59" s="8" t="s">
        <v>14</v>
      </c>
      <c r="E59" s="8" t="n">
        <v>16660</v>
      </c>
      <c r="F59" s="8" t="n">
        <v>13180</v>
      </c>
      <c r="G59" s="9" t="n">
        <v>3480</v>
      </c>
      <c r="H59" s="8" t="s">
        <v>11</v>
      </c>
      <c r="I59" s="8" t="s">
        <v>12</v>
      </c>
      <c r="J59" s="0" t="s">
        <v>13</v>
      </c>
    </row>
    <row r="60" customFormat="false" ht="13.8" hidden="false" customHeight="false" outlineLevel="0" collapsed="false">
      <c r="A60" s="6" t="n">
        <v>45054</v>
      </c>
      <c r="B60" s="7" t="n">
        <v>0.149305555555556</v>
      </c>
      <c r="C60" s="8" t="n">
        <v>21758</v>
      </c>
      <c r="D60" s="8" t="s">
        <v>10</v>
      </c>
      <c r="E60" s="8" t="n">
        <v>24940</v>
      </c>
      <c r="F60" s="8" t="n">
        <v>15900</v>
      </c>
      <c r="G60" s="9" t="n">
        <v>9040</v>
      </c>
      <c r="H60" s="8" t="s">
        <v>11</v>
      </c>
      <c r="I60" s="8" t="s">
        <v>12</v>
      </c>
      <c r="J60" s="0" t="s">
        <v>13</v>
      </c>
    </row>
    <row r="61" customFormat="false" ht="13.8" hidden="false" customHeight="false" outlineLevel="0" collapsed="false">
      <c r="A61" s="6" t="n">
        <v>45054</v>
      </c>
      <c r="B61" s="7" t="n">
        <v>0.254861111111111</v>
      </c>
      <c r="C61" s="8" t="n">
        <v>21770</v>
      </c>
      <c r="D61" s="8" t="s">
        <v>10</v>
      </c>
      <c r="E61" s="8" t="n">
        <v>22060</v>
      </c>
      <c r="F61" s="8" t="n">
        <v>15880</v>
      </c>
      <c r="G61" s="9" t="n">
        <v>6180</v>
      </c>
      <c r="H61" s="8" t="s">
        <v>11</v>
      </c>
      <c r="I61" s="8" t="s">
        <v>12</v>
      </c>
      <c r="J61" s="0" t="s">
        <v>13</v>
      </c>
    </row>
    <row r="62" customFormat="false" ht="13.8" hidden="false" customHeight="false" outlineLevel="0" collapsed="false">
      <c r="A62" s="6" t="n">
        <v>45054</v>
      </c>
      <c r="B62" s="7" t="n">
        <v>0.0868055555555556</v>
      </c>
      <c r="C62" s="8" t="n">
        <v>21753</v>
      </c>
      <c r="D62" s="8" t="s">
        <v>14</v>
      </c>
      <c r="E62" s="8" t="n">
        <v>20880</v>
      </c>
      <c r="F62" s="8" t="n">
        <v>13200</v>
      </c>
      <c r="G62" s="9" t="n">
        <v>7680</v>
      </c>
      <c r="H62" s="8" t="s">
        <v>11</v>
      </c>
      <c r="I62" s="8" t="s">
        <v>12</v>
      </c>
      <c r="J62" s="0" t="s">
        <v>13</v>
      </c>
    </row>
    <row r="63" customFormat="false" ht="13.8" hidden="false" customHeight="false" outlineLevel="0" collapsed="false">
      <c r="A63" s="6" t="n">
        <v>45054</v>
      </c>
      <c r="B63" s="7" t="n">
        <v>0.507638888888889</v>
      </c>
      <c r="C63" s="8" t="n">
        <v>21795</v>
      </c>
      <c r="D63" s="8" t="s">
        <v>17</v>
      </c>
      <c r="E63" s="8" t="n">
        <v>2560</v>
      </c>
      <c r="F63" s="8" t="n">
        <v>2400</v>
      </c>
      <c r="G63" s="9" t="n">
        <v>160</v>
      </c>
      <c r="H63" s="8" t="s">
        <v>11</v>
      </c>
      <c r="I63" s="8" t="s">
        <v>12</v>
      </c>
      <c r="J63" s="0" t="s">
        <v>13</v>
      </c>
    </row>
    <row r="64" customFormat="false" ht="13.8" hidden="false" customHeight="false" outlineLevel="0" collapsed="false">
      <c r="A64" s="6" t="n">
        <v>45054</v>
      </c>
      <c r="B64" s="7" t="n">
        <v>0.434027777777778</v>
      </c>
      <c r="C64" s="8" t="n">
        <v>21788</v>
      </c>
      <c r="D64" s="8" t="s">
        <v>17</v>
      </c>
      <c r="E64" s="8" t="n">
        <v>2620</v>
      </c>
      <c r="F64" s="8" t="n">
        <v>2380</v>
      </c>
      <c r="G64" s="9" t="n">
        <v>240</v>
      </c>
      <c r="H64" s="8" t="s">
        <v>11</v>
      </c>
      <c r="I64" s="8" t="s">
        <v>12</v>
      </c>
      <c r="J64" s="0" t="s">
        <v>13</v>
      </c>
    </row>
    <row r="65" customFormat="false" ht="13.8" hidden="false" customHeight="false" outlineLevel="0" collapsed="false">
      <c r="A65" s="6" t="n">
        <v>45054</v>
      </c>
      <c r="B65" s="7" t="n">
        <v>0.554861111111111</v>
      </c>
      <c r="C65" s="8" t="n">
        <v>21803</v>
      </c>
      <c r="D65" s="8" t="s">
        <v>22</v>
      </c>
      <c r="E65" s="8" t="n">
        <v>3620</v>
      </c>
      <c r="F65" s="8" t="n">
        <v>2660</v>
      </c>
      <c r="G65" s="9" t="n">
        <v>960</v>
      </c>
      <c r="H65" s="8" t="s">
        <v>11</v>
      </c>
      <c r="I65" s="8" t="s">
        <v>25</v>
      </c>
      <c r="J65" s="0" t="s">
        <v>13</v>
      </c>
    </row>
    <row r="66" customFormat="false" ht="13.8" hidden="false" customHeight="false" outlineLevel="0" collapsed="false">
      <c r="A66" s="6" t="n">
        <v>45054</v>
      </c>
      <c r="B66" s="7" t="n">
        <v>0.558333333333333</v>
      </c>
      <c r="C66" s="7" t="n">
        <v>21804</v>
      </c>
      <c r="D66" s="8" t="s">
        <v>16</v>
      </c>
      <c r="E66" s="8" t="n">
        <v>3920</v>
      </c>
      <c r="F66" s="8" t="n">
        <v>2860</v>
      </c>
      <c r="G66" s="9" t="n">
        <v>1060</v>
      </c>
      <c r="H66" s="8" t="s">
        <v>11</v>
      </c>
      <c r="I66" s="8" t="s">
        <v>25</v>
      </c>
      <c r="J66" s="0" t="s">
        <v>13</v>
      </c>
    </row>
    <row r="67" customFormat="false" ht="13.8" hidden="false" customHeight="false" outlineLevel="0" collapsed="false">
      <c r="A67" s="6" t="n">
        <v>45055</v>
      </c>
      <c r="B67" s="7" t="n">
        <v>0.252777777777778</v>
      </c>
      <c r="C67" s="8" t="n">
        <v>21826</v>
      </c>
      <c r="D67" s="8" t="s">
        <v>15</v>
      </c>
      <c r="E67" s="8" t="n">
        <v>4280</v>
      </c>
      <c r="F67" s="8" t="n">
        <v>3680</v>
      </c>
      <c r="G67" s="9" t="n">
        <v>600</v>
      </c>
      <c r="H67" s="8" t="s">
        <v>11</v>
      </c>
      <c r="I67" s="8" t="s">
        <v>12</v>
      </c>
      <c r="J67" s="0" t="s">
        <v>13</v>
      </c>
    </row>
    <row r="68" customFormat="false" ht="13.8" hidden="false" customHeight="false" outlineLevel="0" collapsed="false">
      <c r="A68" s="6" t="n">
        <v>45055</v>
      </c>
      <c r="B68" s="7" t="n">
        <v>0.225694444444444</v>
      </c>
      <c r="C68" s="8" t="n">
        <v>21821</v>
      </c>
      <c r="D68" s="8" t="s">
        <v>10</v>
      </c>
      <c r="E68" s="8" t="n">
        <v>26380</v>
      </c>
      <c r="F68" s="8" t="n">
        <v>15880</v>
      </c>
      <c r="G68" s="9" t="n">
        <v>10500</v>
      </c>
      <c r="H68" s="8" t="s">
        <v>11</v>
      </c>
      <c r="I68" s="8" t="s">
        <v>12</v>
      </c>
      <c r="J68" s="0" t="s">
        <v>13</v>
      </c>
    </row>
    <row r="69" customFormat="false" ht="13.8" hidden="false" customHeight="false" outlineLevel="0" collapsed="false">
      <c r="A69" s="6" t="n">
        <v>45055</v>
      </c>
      <c r="B69" s="7" t="n">
        <v>0.252777777777778</v>
      </c>
      <c r="C69" s="8" t="n">
        <v>21827</v>
      </c>
      <c r="D69" s="8" t="s">
        <v>14</v>
      </c>
      <c r="E69" s="8" t="n">
        <v>15720</v>
      </c>
      <c r="F69" s="8" t="n">
        <v>13120</v>
      </c>
      <c r="G69" s="9" t="n">
        <v>2600</v>
      </c>
      <c r="H69" s="8" t="s">
        <v>11</v>
      </c>
      <c r="I69" s="8" t="s">
        <v>12</v>
      </c>
      <c r="J69" s="0" t="s">
        <v>13</v>
      </c>
    </row>
    <row r="70" customFormat="false" ht="13.8" hidden="false" customHeight="false" outlineLevel="0" collapsed="false">
      <c r="A70" s="6" t="n">
        <v>45055</v>
      </c>
      <c r="B70" s="7" t="n">
        <v>0.122222222222222</v>
      </c>
      <c r="C70" s="8" t="n">
        <v>21814</v>
      </c>
      <c r="D70" s="8" t="s">
        <v>14</v>
      </c>
      <c r="E70" s="8" t="n">
        <v>20960</v>
      </c>
      <c r="F70" s="8" t="n">
        <v>13140</v>
      </c>
      <c r="G70" s="9" t="n">
        <v>7820</v>
      </c>
      <c r="H70" s="8" t="s">
        <v>11</v>
      </c>
      <c r="I70" s="8" t="s">
        <v>12</v>
      </c>
      <c r="J70" s="0" t="s">
        <v>13</v>
      </c>
    </row>
    <row r="71" customFormat="false" ht="13.8" hidden="true" customHeight="false" outlineLevel="0" collapsed="false">
      <c r="A71" s="6" t="n">
        <v>45055</v>
      </c>
      <c r="B71" s="7" t="n">
        <v>0.509027777777778</v>
      </c>
      <c r="C71" s="8" t="n">
        <v>4236</v>
      </c>
      <c r="D71" s="8" t="s">
        <v>10</v>
      </c>
      <c r="E71" s="8" t="n">
        <v>17040</v>
      </c>
      <c r="F71" s="8" t="n">
        <v>15760</v>
      </c>
      <c r="G71" s="9" t="n">
        <v>1280</v>
      </c>
      <c r="H71" s="8" t="s">
        <v>11</v>
      </c>
      <c r="I71" s="8" t="s">
        <v>24</v>
      </c>
      <c r="J71" s="1" t="s">
        <v>13</v>
      </c>
    </row>
    <row r="72" customFormat="false" ht="13.8" hidden="false" customHeight="false" outlineLevel="0" collapsed="false">
      <c r="A72" s="6" t="n">
        <v>45055</v>
      </c>
      <c r="B72" s="7" t="n">
        <v>0.553472222222222</v>
      </c>
      <c r="C72" s="8" t="n">
        <v>21862</v>
      </c>
      <c r="D72" s="8" t="s">
        <v>16</v>
      </c>
      <c r="E72" s="8" t="n">
        <v>3760</v>
      </c>
      <c r="F72" s="8" t="n">
        <v>2840</v>
      </c>
      <c r="G72" s="9" t="n">
        <v>920</v>
      </c>
      <c r="H72" s="8" t="s">
        <v>11</v>
      </c>
      <c r="I72" s="8" t="s">
        <v>25</v>
      </c>
      <c r="J72" s="0" t="s">
        <v>13</v>
      </c>
    </row>
    <row r="73" customFormat="false" ht="13.8" hidden="false" customHeight="false" outlineLevel="0" collapsed="false">
      <c r="A73" s="6" t="n">
        <v>45055</v>
      </c>
      <c r="B73" s="7" t="n">
        <v>0.332638888888889</v>
      </c>
      <c r="C73" s="8" t="n">
        <v>21837</v>
      </c>
      <c r="D73" s="8" t="s">
        <v>16</v>
      </c>
      <c r="E73" s="8" t="n">
        <v>3400</v>
      </c>
      <c r="F73" s="8" t="n">
        <v>2840</v>
      </c>
      <c r="G73" s="9" t="n">
        <v>560</v>
      </c>
      <c r="H73" s="8" t="s">
        <v>11</v>
      </c>
      <c r="I73" s="8" t="s">
        <v>25</v>
      </c>
      <c r="J73" s="0" t="s">
        <v>13</v>
      </c>
    </row>
    <row r="74" customFormat="false" ht="13.8" hidden="false" customHeight="false" outlineLevel="0" collapsed="false">
      <c r="A74" s="6" t="n">
        <v>45055</v>
      </c>
      <c r="B74" s="7" t="n">
        <v>0.55625</v>
      </c>
      <c r="C74" s="8" t="n">
        <v>21863</v>
      </c>
      <c r="D74" s="8" t="s">
        <v>22</v>
      </c>
      <c r="E74" s="8" t="n">
        <v>3640</v>
      </c>
      <c r="F74" s="8" t="n">
        <v>2760</v>
      </c>
      <c r="G74" s="9" t="n">
        <v>880</v>
      </c>
      <c r="H74" s="8" t="s">
        <v>11</v>
      </c>
      <c r="I74" s="8" t="s">
        <v>25</v>
      </c>
      <c r="J74" s="0" t="s">
        <v>13</v>
      </c>
    </row>
    <row r="75" customFormat="false" ht="13.8" hidden="false" customHeight="false" outlineLevel="0" collapsed="false">
      <c r="A75" s="6" t="n">
        <v>45055</v>
      </c>
      <c r="B75" s="7" t="n">
        <v>0.438888888888889</v>
      </c>
      <c r="C75" s="8" t="n">
        <v>21848</v>
      </c>
      <c r="D75" s="8" t="s">
        <v>18</v>
      </c>
      <c r="E75" s="8" t="n">
        <v>6140</v>
      </c>
      <c r="F75" s="8" t="n">
        <v>5580</v>
      </c>
      <c r="G75" s="9" t="n">
        <v>560</v>
      </c>
      <c r="H75" s="8" t="s">
        <v>11</v>
      </c>
      <c r="I75" s="8" t="s">
        <v>19</v>
      </c>
      <c r="J75" s="0" t="s">
        <v>13</v>
      </c>
    </row>
    <row r="76" customFormat="false" ht="13.8" hidden="false" customHeight="false" outlineLevel="0" collapsed="false">
      <c r="A76" s="6" t="n">
        <v>45055</v>
      </c>
      <c r="B76" s="7" t="n">
        <v>0.424305555555556</v>
      </c>
      <c r="C76" s="8" t="n">
        <v>21844</v>
      </c>
      <c r="D76" s="8" t="s">
        <v>17</v>
      </c>
      <c r="E76" s="8" t="n">
        <v>2620</v>
      </c>
      <c r="F76" s="8" t="n">
        <v>2380</v>
      </c>
      <c r="G76" s="9" t="n">
        <v>240</v>
      </c>
      <c r="H76" s="8" t="s">
        <v>11</v>
      </c>
      <c r="I76" s="8" t="s">
        <v>12</v>
      </c>
      <c r="J76" s="0" t="s">
        <v>13</v>
      </c>
    </row>
    <row r="77" customFormat="false" ht="13.8" hidden="false" customHeight="false" outlineLevel="0" collapsed="false">
      <c r="A77" s="6" t="n">
        <v>45055</v>
      </c>
      <c r="B77" s="7" t="n">
        <v>0.43125</v>
      </c>
      <c r="C77" s="8" t="n">
        <v>21846</v>
      </c>
      <c r="D77" s="8" t="s">
        <v>22</v>
      </c>
      <c r="E77" s="8" t="n">
        <v>3500</v>
      </c>
      <c r="F77" s="8" t="n">
        <v>2660</v>
      </c>
      <c r="G77" s="9" t="n">
        <v>840</v>
      </c>
      <c r="H77" s="8" t="s">
        <v>11</v>
      </c>
      <c r="I77" s="8" t="s">
        <v>25</v>
      </c>
      <c r="J77" s="0" t="s">
        <v>13</v>
      </c>
    </row>
    <row r="78" customFormat="false" ht="13.8" hidden="true" customHeight="false" outlineLevel="0" collapsed="false">
      <c r="A78" s="6" t="n">
        <v>45055</v>
      </c>
      <c r="B78" s="7" t="n">
        <v>0.485416666666667</v>
      </c>
      <c r="C78" s="8" t="n">
        <v>156126</v>
      </c>
      <c r="D78" s="8" t="s">
        <v>10</v>
      </c>
      <c r="E78" s="8" t="n">
        <v>18520</v>
      </c>
      <c r="F78" s="8" t="n">
        <v>15780</v>
      </c>
      <c r="G78" s="9" t="n">
        <v>2740</v>
      </c>
      <c r="H78" s="8" t="s">
        <v>11</v>
      </c>
      <c r="I78" s="8" t="s">
        <v>20</v>
      </c>
      <c r="J78" s="1" t="s">
        <v>13</v>
      </c>
    </row>
    <row r="79" customFormat="false" ht="13.8" hidden="false" customHeight="false" outlineLevel="0" collapsed="false">
      <c r="A79" s="6" t="n">
        <v>45056</v>
      </c>
      <c r="B79" s="7" t="n">
        <v>0.1</v>
      </c>
      <c r="C79" s="8" t="n">
        <v>21874</v>
      </c>
      <c r="D79" s="8" t="s">
        <v>14</v>
      </c>
      <c r="E79" s="8" t="n">
        <v>21640</v>
      </c>
      <c r="F79" s="8" t="n">
        <v>13260</v>
      </c>
      <c r="G79" s="9" t="n">
        <v>8380</v>
      </c>
      <c r="H79" s="8" t="s">
        <v>11</v>
      </c>
      <c r="I79" s="8" t="s">
        <v>12</v>
      </c>
      <c r="J79" s="0" t="s">
        <v>13</v>
      </c>
    </row>
    <row r="80" customFormat="false" ht="13.8" hidden="false" customHeight="false" outlineLevel="0" collapsed="false">
      <c r="A80" s="6" t="n">
        <v>45056</v>
      </c>
      <c r="B80" s="7" t="n">
        <v>0.163888888888889</v>
      </c>
      <c r="C80" s="8" t="n">
        <v>21879</v>
      </c>
      <c r="D80" s="8" t="s">
        <v>14</v>
      </c>
      <c r="E80" s="8" t="n">
        <v>15720</v>
      </c>
      <c r="F80" s="8" t="n">
        <v>13220</v>
      </c>
      <c r="G80" s="9" t="n">
        <v>2500</v>
      </c>
      <c r="H80" s="8" t="s">
        <v>11</v>
      </c>
      <c r="I80" s="8" t="s">
        <v>12</v>
      </c>
      <c r="J80" s="0" t="s">
        <v>13</v>
      </c>
    </row>
    <row r="81" customFormat="false" ht="13.8" hidden="false" customHeight="false" outlineLevel="0" collapsed="false">
      <c r="A81" s="6" t="n">
        <v>45056</v>
      </c>
      <c r="B81" s="7" t="n">
        <v>0.231944444444444</v>
      </c>
      <c r="C81" s="8" t="n">
        <v>21884</v>
      </c>
      <c r="D81" s="8" t="s">
        <v>10</v>
      </c>
      <c r="E81" s="8" t="n">
        <v>26000</v>
      </c>
      <c r="F81" s="8" t="n">
        <v>15880</v>
      </c>
      <c r="G81" s="9" t="n">
        <v>10120</v>
      </c>
      <c r="H81" s="8" t="s">
        <v>11</v>
      </c>
      <c r="I81" s="8" t="s">
        <v>12</v>
      </c>
      <c r="J81" s="0" t="s">
        <v>13</v>
      </c>
    </row>
    <row r="82" customFormat="false" ht="13.8" hidden="false" customHeight="false" outlineLevel="0" collapsed="false">
      <c r="A82" s="6" t="n">
        <v>45056</v>
      </c>
      <c r="B82" s="7" t="n">
        <v>0.3625</v>
      </c>
      <c r="C82" s="8" t="n">
        <v>21896</v>
      </c>
      <c r="D82" s="8" t="s">
        <v>18</v>
      </c>
      <c r="E82" s="8" t="n">
        <v>6320</v>
      </c>
      <c r="F82" s="8" t="n">
        <v>5660</v>
      </c>
      <c r="G82" s="9" t="n">
        <v>660</v>
      </c>
      <c r="H82" s="8" t="s">
        <v>11</v>
      </c>
      <c r="I82" s="8" t="s">
        <v>19</v>
      </c>
      <c r="J82" s="0" t="s">
        <v>13</v>
      </c>
    </row>
    <row r="83" customFormat="false" ht="13.8" hidden="false" customHeight="false" outlineLevel="0" collapsed="false">
      <c r="A83" s="6" t="n">
        <v>45056</v>
      </c>
      <c r="B83" s="7" t="n">
        <v>0.490277777777778</v>
      </c>
      <c r="C83" s="8" t="n">
        <v>21912</v>
      </c>
      <c r="D83" s="8" t="s">
        <v>21</v>
      </c>
      <c r="E83" s="8" t="n">
        <v>17840</v>
      </c>
      <c r="F83" s="8" t="n">
        <v>16120</v>
      </c>
      <c r="G83" s="9" t="n">
        <v>1720</v>
      </c>
      <c r="H83" s="8" t="s">
        <v>11</v>
      </c>
      <c r="I83" s="8" t="s">
        <v>19</v>
      </c>
      <c r="J83" s="0" t="s">
        <v>13</v>
      </c>
    </row>
    <row r="84" customFormat="false" ht="13.8" hidden="false" customHeight="false" outlineLevel="0" collapsed="false">
      <c r="A84" s="6" t="n">
        <v>45056</v>
      </c>
      <c r="B84" s="7" t="n">
        <v>0.496527777777778</v>
      </c>
      <c r="C84" s="8" t="n">
        <v>21911</v>
      </c>
      <c r="D84" s="8" t="s">
        <v>18</v>
      </c>
      <c r="E84" s="8" t="n">
        <v>6340</v>
      </c>
      <c r="F84" s="8" t="n">
        <v>5640</v>
      </c>
      <c r="G84" s="9" t="n">
        <v>700</v>
      </c>
      <c r="H84" s="8" t="s">
        <v>11</v>
      </c>
      <c r="I84" s="8" t="s">
        <v>19</v>
      </c>
      <c r="J84" s="0" t="s">
        <v>13</v>
      </c>
    </row>
    <row r="85" customFormat="false" ht="13.8" hidden="false" customHeight="false" outlineLevel="0" collapsed="false">
      <c r="A85" s="6" t="n">
        <v>45056</v>
      </c>
      <c r="B85" s="7" t="n">
        <v>0.486805555555556</v>
      </c>
      <c r="C85" s="8" t="n">
        <v>21907</v>
      </c>
      <c r="D85" s="8" t="s">
        <v>16</v>
      </c>
      <c r="E85" s="8" t="n">
        <v>3540</v>
      </c>
      <c r="F85" s="8" t="n">
        <v>2880</v>
      </c>
      <c r="G85" s="9" t="n">
        <v>660</v>
      </c>
      <c r="H85" s="8" t="s">
        <v>11</v>
      </c>
      <c r="I85" s="8" t="s">
        <v>19</v>
      </c>
      <c r="J85" s="0" t="s">
        <v>13</v>
      </c>
    </row>
    <row r="86" customFormat="false" ht="13.8" hidden="false" customHeight="false" outlineLevel="0" collapsed="false">
      <c r="A86" s="6" t="n">
        <v>45056</v>
      </c>
      <c r="B86" s="7" t="n">
        <v>0.359722222222222</v>
      </c>
      <c r="C86" s="8" t="n">
        <v>21895</v>
      </c>
      <c r="D86" s="8" t="s">
        <v>16</v>
      </c>
      <c r="E86" s="8" t="n">
        <v>3580</v>
      </c>
      <c r="F86" s="8" t="n">
        <v>2880</v>
      </c>
      <c r="G86" s="9" t="n">
        <v>700</v>
      </c>
      <c r="H86" s="8" t="s">
        <v>11</v>
      </c>
      <c r="I86" s="8" t="s">
        <v>19</v>
      </c>
      <c r="J86" s="0" t="s">
        <v>13</v>
      </c>
    </row>
    <row r="87" customFormat="false" ht="13.8" hidden="false" customHeight="false" outlineLevel="0" collapsed="false">
      <c r="A87" s="6" t="n">
        <v>45056</v>
      </c>
      <c r="B87" s="7" t="n">
        <v>0.495833333333333</v>
      </c>
      <c r="C87" s="8" t="n">
        <v>21910</v>
      </c>
      <c r="D87" s="8" t="s">
        <v>17</v>
      </c>
      <c r="E87" s="8" t="n">
        <v>2680</v>
      </c>
      <c r="F87" s="8" t="n">
        <v>2380</v>
      </c>
      <c r="G87" s="9" t="n">
        <v>300</v>
      </c>
      <c r="H87" s="8" t="s">
        <v>11</v>
      </c>
      <c r="I87" s="8" t="s">
        <v>12</v>
      </c>
      <c r="J87" s="0" t="s">
        <v>13</v>
      </c>
    </row>
    <row r="88" customFormat="false" ht="13.8" hidden="false" customHeight="false" outlineLevel="0" collapsed="false">
      <c r="A88" s="6" t="n">
        <v>45056</v>
      </c>
      <c r="B88" s="7" t="n">
        <v>0.254166666666667</v>
      </c>
      <c r="C88" s="8" t="n">
        <v>21886</v>
      </c>
      <c r="D88" s="8" t="s">
        <v>15</v>
      </c>
      <c r="E88" s="8" t="n">
        <v>4420</v>
      </c>
      <c r="F88" s="8" t="n">
        <v>3740</v>
      </c>
      <c r="G88" s="9" t="n">
        <v>680</v>
      </c>
      <c r="H88" s="8" t="s">
        <v>11</v>
      </c>
      <c r="I88" s="8" t="s">
        <v>12</v>
      </c>
      <c r="J88" s="0" t="s">
        <v>13</v>
      </c>
    </row>
    <row r="89" customFormat="false" ht="13.8" hidden="false" customHeight="false" outlineLevel="0" collapsed="false">
      <c r="A89" s="6" t="n">
        <v>45057</v>
      </c>
      <c r="B89" s="7" t="n">
        <v>0.156944444444444</v>
      </c>
      <c r="C89" s="8" t="n">
        <v>21931</v>
      </c>
      <c r="D89" s="8" t="s">
        <v>10</v>
      </c>
      <c r="E89" s="8" t="n">
        <v>24620</v>
      </c>
      <c r="F89" s="8" t="n">
        <v>15840</v>
      </c>
      <c r="G89" s="9" t="n">
        <v>8780</v>
      </c>
      <c r="H89" s="8" t="s">
        <v>11</v>
      </c>
      <c r="I89" s="8" t="s">
        <v>12</v>
      </c>
      <c r="J89" s="0" t="s">
        <v>13</v>
      </c>
    </row>
    <row r="90" customFormat="false" ht="13.8" hidden="false" customHeight="false" outlineLevel="0" collapsed="false">
      <c r="A90" s="6" t="n">
        <v>45057</v>
      </c>
      <c r="B90" s="7" t="n">
        <v>0.250694444444444</v>
      </c>
      <c r="C90" s="8" t="n">
        <v>21939</v>
      </c>
      <c r="D90" s="8" t="s">
        <v>14</v>
      </c>
      <c r="E90" s="8" t="n">
        <v>14400</v>
      </c>
      <c r="F90" s="8" t="n">
        <v>13180</v>
      </c>
      <c r="G90" s="9" t="n">
        <v>1220</v>
      </c>
      <c r="H90" s="8" t="s">
        <v>11</v>
      </c>
      <c r="I90" s="8" t="s">
        <v>12</v>
      </c>
      <c r="J90" s="0" t="s">
        <v>13</v>
      </c>
    </row>
    <row r="91" customFormat="false" ht="13.8" hidden="false" customHeight="false" outlineLevel="0" collapsed="false">
      <c r="A91" s="6" t="n">
        <v>45057</v>
      </c>
      <c r="B91" s="7" t="n">
        <v>0.136805555555556</v>
      </c>
      <c r="C91" s="8" t="n">
        <v>21929</v>
      </c>
      <c r="D91" s="8" t="s">
        <v>14</v>
      </c>
      <c r="E91" s="8" t="n">
        <v>22180</v>
      </c>
      <c r="F91" s="8" t="n">
        <v>13220</v>
      </c>
      <c r="G91" s="9" t="n">
        <v>8960</v>
      </c>
      <c r="H91" s="8" t="s">
        <v>11</v>
      </c>
      <c r="I91" s="8" t="s">
        <v>12</v>
      </c>
      <c r="J91" s="0" t="s">
        <v>13</v>
      </c>
    </row>
    <row r="92" customFormat="false" ht="13.8" hidden="false" customHeight="false" outlineLevel="0" collapsed="false">
      <c r="A92" s="6" t="n">
        <v>45057</v>
      </c>
      <c r="B92" s="7" t="n">
        <v>0.255555555555556</v>
      </c>
      <c r="C92" s="8" t="n">
        <v>21940</v>
      </c>
      <c r="D92" s="8" t="s">
        <v>15</v>
      </c>
      <c r="E92" s="8" t="n">
        <v>4560</v>
      </c>
      <c r="F92" s="8" t="n">
        <v>3680</v>
      </c>
      <c r="G92" s="9" t="n">
        <v>880</v>
      </c>
      <c r="H92" s="8" t="s">
        <v>11</v>
      </c>
      <c r="I92" s="8" t="s">
        <v>12</v>
      </c>
      <c r="J92" s="0" t="s">
        <v>13</v>
      </c>
    </row>
    <row r="93" customFormat="false" ht="13.8" hidden="false" customHeight="false" outlineLevel="0" collapsed="false">
      <c r="A93" s="6" t="n">
        <v>45057</v>
      </c>
      <c r="B93" s="7" t="n">
        <v>0.316666666666667</v>
      </c>
      <c r="C93" s="8" t="n">
        <v>21949</v>
      </c>
      <c r="D93" s="8" t="s">
        <v>10</v>
      </c>
      <c r="E93" s="8" t="n">
        <v>18380</v>
      </c>
      <c r="F93" s="8" t="n">
        <v>15800</v>
      </c>
      <c r="G93" s="9" t="n">
        <v>2580</v>
      </c>
      <c r="H93" s="8" t="s">
        <v>11</v>
      </c>
      <c r="I93" s="8" t="s">
        <v>12</v>
      </c>
      <c r="J93" s="0" t="s">
        <v>13</v>
      </c>
    </row>
    <row r="94" customFormat="false" ht="13.8" hidden="false" customHeight="false" outlineLevel="0" collapsed="false">
      <c r="A94" s="6" t="n">
        <v>45057</v>
      </c>
      <c r="B94" s="7" t="n">
        <v>0.475694444444444</v>
      </c>
      <c r="C94" s="8" t="n">
        <v>21966</v>
      </c>
      <c r="D94" s="8" t="s">
        <v>17</v>
      </c>
      <c r="E94" s="8" t="n">
        <v>2680</v>
      </c>
      <c r="F94" s="8" t="n">
        <v>2400</v>
      </c>
      <c r="G94" s="9" t="n">
        <v>280</v>
      </c>
      <c r="H94" s="8" t="s">
        <v>11</v>
      </c>
      <c r="I94" s="8" t="s">
        <v>12</v>
      </c>
      <c r="J94" s="0" t="s">
        <v>13</v>
      </c>
    </row>
    <row r="95" customFormat="false" ht="13.8" hidden="false" customHeight="false" outlineLevel="0" collapsed="false">
      <c r="A95" s="6" t="n">
        <v>45058</v>
      </c>
      <c r="B95" s="7" t="n">
        <v>0.170833333333333</v>
      </c>
      <c r="C95" s="8" t="n">
        <v>21990</v>
      </c>
      <c r="D95" s="8" t="s">
        <v>10</v>
      </c>
      <c r="E95" s="8" t="n">
        <v>25400</v>
      </c>
      <c r="F95" s="8" t="n">
        <v>15920</v>
      </c>
      <c r="G95" s="9" t="n">
        <v>9480</v>
      </c>
      <c r="H95" s="8" t="s">
        <v>11</v>
      </c>
      <c r="I95" s="8" t="s">
        <v>12</v>
      </c>
      <c r="J95" s="0" t="s">
        <v>13</v>
      </c>
    </row>
    <row r="96" customFormat="false" ht="13.8" hidden="false" customHeight="false" outlineLevel="0" collapsed="false">
      <c r="A96" s="6" t="n">
        <v>45058</v>
      </c>
      <c r="B96" s="7" t="n">
        <v>0.134027777777778</v>
      </c>
      <c r="C96" s="8" t="n">
        <v>21987</v>
      </c>
      <c r="D96" s="8" t="s">
        <v>14</v>
      </c>
      <c r="E96" s="8" t="n">
        <v>22220</v>
      </c>
      <c r="F96" s="8" t="n">
        <v>13280</v>
      </c>
      <c r="G96" s="9" t="n">
        <v>8940</v>
      </c>
      <c r="H96" s="8" t="s">
        <v>11</v>
      </c>
      <c r="I96" s="8" t="s">
        <v>12</v>
      </c>
      <c r="J96" s="0" t="s">
        <v>13</v>
      </c>
    </row>
    <row r="97" customFormat="false" ht="13.8" hidden="false" customHeight="false" outlineLevel="0" collapsed="false">
      <c r="A97" s="6" t="n">
        <v>45058</v>
      </c>
      <c r="B97" s="7" t="n">
        <v>0.242361111111111</v>
      </c>
      <c r="C97" s="8" t="n">
        <v>21995</v>
      </c>
      <c r="D97" s="8" t="s">
        <v>14</v>
      </c>
      <c r="E97" s="8" t="n">
        <v>14460</v>
      </c>
      <c r="F97" s="8" t="n">
        <v>13260</v>
      </c>
      <c r="G97" s="9" t="n">
        <v>1200</v>
      </c>
      <c r="H97" s="8" t="s">
        <v>11</v>
      </c>
      <c r="I97" s="8" t="s">
        <v>12</v>
      </c>
      <c r="J97" s="0" t="s">
        <v>13</v>
      </c>
    </row>
    <row r="98" customFormat="false" ht="13.8" hidden="false" customHeight="false" outlineLevel="0" collapsed="false">
      <c r="A98" s="6" t="n">
        <v>45058</v>
      </c>
      <c r="B98" s="7" t="n">
        <v>0.256944444444445</v>
      </c>
      <c r="C98" s="8" t="n">
        <v>21997</v>
      </c>
      <c r="D98" s="8" t="s">
        <v>15</v>
      </c>
      <c r="E98" s="8" t="n">
        <v>4660</v>
      </c>
      <c r="F98" s="8" t="n">
        <v>3660</v>
      </c>
      <c r="G98" s="9" t="n">
        <v>1000</v>
      </c>
      <c r="H98" s="8" t="s">
        <v>11</v>
      </c>
      <c r="I98" s="8" t="s">
        <v>12</v>
      </c>
      <c r="J98" s="0" t="s">
        <v>13</v>
      </c>
    </row>
    <row r="99" customFormat="false" ht="13.8" hidden="false" customHeight="false" outlineLevel="0" collapsed="false">
      <c r="A99" s="6" t="n">
        <v>45058</v>
      </c>
      <c r="B99" s="7" t="n">
        <v>0.245833333333333</v>
      </c>
      <c r="C99" s="8" t="n">
        <v>21996</v>
      </c>
      <c r="D99" s="8" t="s">
        <v>10</v>
      </c>
      <c r="E99" s="8" t="n">
        <v>18860</v>
      </c>
      <c r="F99" s="8" t="n">
        <v>15900</v>
      </c>
      <c r="G99" s="9" t="n">
        <v>2960</v>
      </c>
      <c r="H99" s="8" t="s">
        <v>11</v>
      </c>
      <c r="I99" s="8" t="s">
        <v>12</v>
      </c>
      <c r="J99" s="0" t="s">
        <v>13</v>
      </c>
    </row>
    <row r="100" customFormat="false" ht="13.8" hidden="false" customHeight="false" outlineLevel="0" collapsed="false">
      <c r="A100" s="6" t="n">
        <v>45058</v>
      </c>
      <c r="B100" s="7" t="n">
        <v>0.507638888888889</v>
      </c>
      <c r="C100" s="8" t="n">
        <v>22016</v>
      </c>
      <c r="D100" s="8" t="s">
        <v>22</v>
      </c>
      <c r="E100" s="8" t="n">
        <v>3020</v>
      </c>
      <c r="F100" s="8" t="n">
        <v>2820</v>
      </c>
      <c r="G100" s="9" t="n">
        <v>200</v>
      </c>
      <c r="H100" s="8" t="s">
        <v>11</v>
      </c>
      <c r="I100" s="8" t="s">
        <v>25</v>
      </c>
      <c r="J100" s="0" t="s">
        <v>13</v>
      </c>
    </row>
    <row r="101" customFormat="false" ht="13.8" hidden="false" customHeight="false" outlineLevel="0" collapsed="false">
      <c r="A101" s="6" t="n">
        <v>45058</v>
      </c>
      <c r="B101" s="7" t="n">
        <v>0.501388888888889</v>
      </c>
      <c r="C101" s="8" t="n">
        <v>22015</v>
      </c>
      <c r="D101" s="8" t="s">
        <v>17</v>
      </c>
      <c r="E101" s="8" t="n">
        <v>2560</v>
      </c>
      <c r="F101" s="8" t="n">
        <v>2380</v>
      </c>
      <c r="G101" s="9" t="n">
        <v>180</v>
      </c>
      <c r="H101" s="8" t="s">
        <v>11</v>
      </c>
      <c r="I101" s="6" t="s">
        <v>12</v>
      </c>
      <c r="J101" s="0" t="s">
        <v>13</v>
      </c>
    </row>
    <row r="102" customFormat="false" ht="13.8" hidden="false" customHeight="false" outlineLevel="0" collapsed="false">
      <c r="A102" s="6" t="n">
        <v>45058</v>
      </c>
      <c r="B102" s="7" t="n">
        <v>0.5125</v>
      </c>
      <c r="C102" s="8" t="n">
        <v>22018</v>
      </c>
      <c r="D102" s="8" t="s">
        <v>16</v>
      </c>
      <c r="E102" s="8" t="n">
        <v>3400</v>
      </c>
      <c r="F102" s="8" t="n">
        <v>2860</v>
      </c>
      <c r="G102" s="9" t="n">
        <v>540</v>
      </c>
      <c r="H102" s="8" t="s">
        <v>11</v>
      </c>
      <c r="I102" s="8" t="s">
        <v>12</v>
      </c>
      <c r="J102" s="0" t="s">
        <v>13</v>
      </c>
    </row>
    <row r="103" customFormat="false" ht="13.8" hidden="false" customHeight="false" outlineLevel="0" collapsed="false">
      <c r="A103" s="6" t="n">
        <v>45059</v>
      </c>
      <c r="B103" s="7" t="n">
        <v>0.149305555555556</v>
      </c>
      <c r="C103" s="8" t="n">
        <v>22031</v>
      </c>
      <c r="D103" s="8" t="s">
        <v>14</v>
      </c>
      <c r="E103" s="8" t="n">
        <v>22380</v>
      </c>
      <c r="F103" s="8" t="n">
        <v>13220</v>
      </c>
      <c r="G103" s="9" t="n">
        <v>9160</v>
      </c>
      <c r="H103" s="8" t="s">
        <v>11</v>
      </c>
      <c r="I103" s="8" t="s">
        <v>12</v>
      </c>
      <c r="J103" s="0" t="s">
        <v>13</v>
      </c>
    </row>
    <row r="104" customFormat="false" ht="13.8" hidden="false" customHeight="false" outlineLevel="0" collapsed="false">
      <c r="A104" s="6" t="n">
        <v>45059</v>
      </c>
      <c r="B104" s="7" t="n">
        <v>0.243055555555556</v>
      </c>
      <c r="C104" s="8" t="n">
        <v>22043</v>
      </c>
      <c r="D104" s="8" t="s">
        <v>10</v>
      </c>
      <c r="E104" s="8" t="n">
        <v>17660</v>
      </c>
      <c r="F104" s="8" t="n">
        <v>15940</v>
      </c>
      <c r="G104" s="9" t="n">
        <v>1720</v>
      </c>
      <c r="H104" s="8" t="s">
        <v>11</v>
      </c>
      <c r="I104" s="8" t="s">
        <v>12</v>
      </c>
      <c r="J104" s="0" t="s">
        <v>13</v>
      </c>
    </row>
    <row r="105" customFormat="false" ht="13.8" hidden="false" customHeight="false" outlineLevel="0" collapsed="false">
      <c r="A105" s="6" t="n">
        <v>45059</v>
      </c>
      <c r="B105" s="7" t="n">
        <v>0.177083333333333</v>
      </c>
      <c r="C105" s="8" t="n">
        <v>22034</v>
      </c>
      <c r="D105" s="8" t="s">
        <v>10</v>
      </c>
      <c r="E105" s="8" t="n">
        <v>25960</v>
      </c>
      <c r="F105" s="8" t="n">
        <v>15940</v>
      </c>
      <c r="G105" s="9" t="n">
        <v>10020</v>
      </c>
      <c r="H105" s="8" t="s">
        <v>11</v>
      </c>
      <c r="I105" s="8" t="s">
        <v>12</v>
      </c>
      <c r="J105" s="0" t="s">
        <v>13</v>
      </c>
    </row>
    <row r="106" customFormat="false" ht="13.8" hidden="false" customHeight="false" outlineLevel="0" collapsed="false">
      <c r="A106" s="6" t="n">
        <v>45059</v>
      </c>
      <c r="B106" s="7" t="n">
        <v>0.2625</v>
      </c>
      <c r="C106" s="8" t="n">
        <v>22044</v>
      </c>
      <c r="D106" s="8" t="s">
        <v>15</v>
      </c>
      <c r="E106" s="8" t="n">
        <v>4420</v>
      </c>
      <c r="F106" s="8" t="n">
        <v>3580</v>
      </c>
      <c r="G106" s="9" t="n">
        <v>840</v>
      </c>
      <c r="H106" s="8" t="s">
        <v>11</v>
      </c>
      <c r="I106" s="8" t="s">
        <v>12</v>
      </c>
      <c r="J106" s="0" t="s">
        <v>13</v>
      </c>
    </row>
    <row r="107" customFormat="false" ht="13.8" hidden="false" customHeight="false" outlineLevel="0" collapsed="false">
      <c r="A107" s="6" t="n">
        <v>45059</v>
      </c>
      <c r="B107" s="7" t="n">
        <v>0.497916666666667</v>
      </c>
      <c r="C107" s="8" t="n">
        <v>22052</v>
      </c>
      <c r="D107" s="8" t="s">
        <v>17</v>
      </c>
      <c r="E107" s="8" t="n">
        <v>2520</v>
      </c>
      <c r="F107" s="8" t="n">
        <v>2360</v>
      </c>
      <c r="G107" s="9" t="n">
        <v>160</v>
      </c>
      <c r="H107" s="8" t="s">
        <v>11</v>
      </c>
      <c r="I107" s="8" t="s">
        <v>12</v>
      </c>
      <c r="J107" s="0" t="s">
        <v>13</v>
      </c>
    </row>
    <row r="108" customFormat="false" ht="13.8" hidden="false" customHeight="false" outlineLevel="0" collapsed="false">
      <c r="A108" s="6" t="n">
        <v>45059</v>
      </c>
      <c r="B108" s="7" t="n">
        <v>0.4875</v>
      </c>
      <c r="C108" s="8" t="n">
        <v>22051</v>
      </c>
      <c r="D108" s="8" t="s">
        <v>22</v>
      </c>
      <c r="E108" s="8" t="n">
        <v>3200</v>
      </c>
      <c r="F108" s="8" t="n">
        <v>2780</v>
      </c>
      <c r="G108" s="9" t="n">
        <v>420</v>
      </c>
      <c r="H108" s="8" t="s">
        <v>11</v>
      </c>
      <c r="I108" s="8" t="s">
        <v>12</v>
      </c>
      <c r="J108" s="0" t="s">
        <v>13</v>
      </c>
    </row>
    <row r="109" customFormat="false" ht="13.8" hidden="false" customHeight="false" outlineLevel="0" collapsed="false">
      <c r="A109" s="6" t="n">
        <v>45059</v>
      </c>
      <c r="B109" s="7" t="n">
        <v>0.438888888888889</v>
      </c>
      <c r="C109" s="8" t="n">
        <v>22050</v>
      </c>
      <c r="D109" s="8" t="s">
        <v>16</v>
      </c>
      <c r="E109" s="8" t="n">
        <v>3200</v>
      </c>
      <c r="F109" s="8" t="n">
        <v>2860</v>
      </c>
      <c r="G109" s="9" t="n">
        <v>340</v>
      </c>
      <c r="H109" s="8" t="s">
        <v>11</v>
      </c>
      <c r="I109" s="8" t="s">
        <v>12</v>
      </c>
      <c r="J109" s="0" t="s">
        <v>13</v>
      </c>
    </row>
    <row r="110" customFormat="false" ht="13.8" hidden="false" customHeight="false" outlineLevel="0" collapsed="false">
      <c r="A110" s="6" t="n">
        <v>45060</v>
      </c>
      <c r="B110" s="7" t="n">
        <v>0.109027777777778</v>
      </c>
      <c r="C110" s="8" t="n">
        <v>22058</v>
      </c>
      <c r="D110" s="8" t="s">
        <v>14</v>
      </c>
      <c r="E110" s="8" t="n">
        <v>21720</v>
      </c>
      <c r="F110" s="8" t="n">
        <v>13280</v>
      </c>
      <c r="G110" s="9" t="n">
        <v>8440</v>
      </c>
      <c r="H110" s="8" t="s">
        <v>11</v>
      </c>
      <c r="I110" s="8" t="s">
        <v>12</v>
      </c>
      <c r="J110" s="0" t="s">
        <v>13</v>
      </c>
    </row>
    <row r="111" customFormat="false" ht="13.8" hidden="false" customHeight="false" outlineLevel="0" collapsed="false">
      <c r="A111" s="6" t="n">
        <v>45060</v>
      </c>
      <c r="B111" s="7" t="n">
        <v>0.511805555555556</v>
      </c>
      <c r="C111" s="8" t="n">
        <v>22069</v>
      </c>
      <c r="D111" s="8" t="s">
        <v>17</v>
      </c>
      <c r="E111" s="8" t="n">
        <v>2640</v>
      </c>
      <c r="F111" s="8" t="n">
        <v>2480</v>
      </c>
      <c r="G111" s="9" t="n">
        <v>160</v>
      </c>
      <c r="H111" s="8" t="s">
        <v>11</v>
      </c>
      <c r="I111" s="8" t="s">
        <v>12</v>
      </c>
      <c r="J111" s="0" t="s">
        <v>13</v>
      </c>
    </row>
    <row r="112" customFormat="false" ht="13.8" hidden="false" customHeight="false" outlineLevel="0" collapsed="false">
      <c r="A112" s="6" t="n">
        <v>45060</v>
      </c>
      <c r="B112" s="7" t="n">
        <v>0.242361111111111</v>
      </c>
      <c r="C112" s="8" t="n">
        <v>22065</v>
      </c>
      <c r="D112" s="8" t="s">
        <v>14</v>
      </c>
      <c r="E112" s="8" t="n">
        <v>18880</v>
      </c>
      <c r="F112" s="8" t="n">
        <v>13360</v>
      </c>
      <c r="G112" s="9" t="n">
        <v>5520</v>
      </c>
      <c r="H112" s="8" t="s">
        <v>11</v>
      </c>
      <c r="I112" s="8" t="s">
        <v>12</v>
      </c>
      <c r="J112" s="0" t="s">
        <v>13</v>
      </c>
    </row>
    <row r="113" customFormat="false" ht="13.8" hidden="false" customHeight="false" outlineLevel="0" collapsed="false">
      <c r="A113" s="6" t="n">
        <v>45060</v>
      </c>
      <c r="B113" s="7" t="n">
        <v>0.154861111111111</v>
      </c>
      <c r="C113" s="8" t="n">
        <v>22060</v>
      </c>
      <c r="D113" s="8" t="s">
        <v>10</v>
      </c>
      <c r="E113" s="8" t="n">
        <v>24880</v>
      </c>
      <c r="F113" s="8" t="n">
        <v>15900</v>
      </c>
      <c r="G113" s="9" t="n">
        <v>8980</v>
      </c>
      <c r="H113" s="8" t="s">
        <v>11</v>
      </c>
      <c r="I113" s="8" t="s">
        <v>12</v>
      </c>
      <c r="J113" s="0" t="s">
        <v>13</v>
      </c>
    </row>
    <row r="114" customFormat="false" ht="13.8" hidden="false" customHeight="false" outlineLevel="0" collapsed="false">
      <c r="A114" s="6" t="n">
        <v>45060</v>
      </c>
      <c r="B114" s="7" t="n">
        <v>0.25</v>
      </c>
      <c r="C114" s="8" t="n">
        <v>22066</v>
      </c>
      <c r="D114" s="8" t="s">
        <v>10</v>
      </c>
      <c r="E114" s="8" t="n">
        <v>18820</v>
      </c>
      <c r="F114" s="8" t="n">
        <v>15880</v>
      </c>
      <c r="G114" s="9" t="n">
        <v>2940</v>
      </c>
      <c r="H114" s="8" t="s">
        <v>11</v>
      </c>
      <c r="I114" s="8" t="s">
        <v>12</v>
      </c>
      <c r="J114" s="0" t="s">
        <v>13</v>
      </c>
    </row>
    <row r="115" customFormat="false" ht="13.8" hidden="false" customHeight="false" outlineLevel="0" collapsed="false">
      <c r="A115" s="6" t="n">
        <v>45060</v>
      </c>
      <c r="B115" s="7" t="n">
        <v>0.254861111111111</v>
      </c>
      <c r="C115" s="8" t="n">
        <v>22067</v>
      </c>
      <c r="D115" s="8" t="s">
        <v>15</v>
      </c>
      <c r="E115" s="8" t="n">
        <v>4940</v>
      </c>
      <c r="F115" s="8" t="n">
        <v>3600</v>
      </c>
      <c r="G115" s="9" t="n">
        <v>1340</v>
      </c>
      <c r="H115" s="8" t="s">
        <v>11</v>
      </c>
      <c r="I115" s="8" t="s">
        <v>12</v>
      </c>
      <c r="J115" s="0" t="s">
        <v>13</v>
      </c>
    </row>
    <row r="116" customFormat="false" ht="13.8" hidden="true" customHeight="false" outlineLevel="0" collapsed="false">
      <c r="A116" s="6" t="n">
        <v>45061</v>
      </c>
      <c r="B116" s="7" t="n">
        <v>0.505555555555556</v>
      </c>
      <c r="C116" s="8" t="n">
        <v>4251</v>
      </c>
      <c r="D116" s="8" t="s">
        <v>10</v>
      </c>
      <c r="E116" s="8" t="n">
        <v>17520</v>
      </c>
      <c r="F116" s="8" t="n">
        <v>15760</v>
      </c>
      <c r="G116" s="9" t="n">
        <v>1760</v>
      </c>
      <c r="H116" s="8" t="s">
        <v>11</v>
      </c>
      <c r="I116" s="8" t="s">
        <v>24</v>
      </c>
      <c r="J116" s="1" t="s">
        <v>13</v>
      </c>
    </row>
    <row r="117" customFormat="false" ht="13.8" hidden="false" customHeight="false" outlineLevel="0" collapsed="false">
      <c r="A117" s="6" t="n">
        <v>45061</v>
      </c>
      <c r="B117" s="7" t="n">
        <v>0.445138888888889</v>
      </c>
      <c r="C117" s="8" t="n">
        <v>22107</v>
      </c>
      <c r="D117" s="8" t="s">
        <v>16</v>
      </c>
      <c r="E117" s="8" t="n">
        <v>3420</v>
      </c>
      <c r="F117" s="8" t="n">
        <v>2840</v>
      </c>
      <c r="G117" s="9" t="n">
        <v>580</v>
      </c>
      <c r="H117" s="8" t="s">
        <v>11</v>
      </c>
      <c r="I117" s="8" t="s">
        <v>12</v>
      </c>
      <c r="J117" s="0" t="s">
        <v>13</v>
      </c>
    </row>
    <row r="118" customFormat="false" ht="13.8" hidden="false" customHeight="false" outlineLevel="0" collapsed="false">
      <c r="A118" s="6" t="n">
        <v>45061</v>
      </c>
      <c r="B118" s="7" t="n">
        <v>0.493055555555556</v>
      </c>
      <c r="C118" s="8" t="n">
        <v>22112</v>
      </c>
      <c r="D118" s="8" t="s">
        <v>17</v>
      </c>
      <c r="E118" s="8" t="n">
        <v>2620</v>
      </c>
      <c r="F118" s="8" t="n">
        <v>2400</v>
      </c>
      <c r="G118" s="9" t="n">
        <v>220</v>
      </c>
      <c r="H118" s="8" t="s">
        <v>11</v>
      </c>
      <c r="I118" s="8" t="s">
        <v>12</v>
      </c>
      <c r="J118" s="0" t="s">
        <v>13</v>
      </c>
    </row>
    <row r="119" customFormat="false" ht="13.8" hidden="false" customHeight="false" outlineLevel="0" collapsed="false">
      <c r="A119" s="6" t="n">
        <v>45061</v>
      </c>
      <c r="B119" s="7" t="n">
        <v>0.244444444444444</v>
      </c>
      <c r="C119" s="8" t="n">
        <v>22084</v>
      </c>
      <c r="D119" s="8" t="s">
        <v>14</v>
      </c>
      <c r="E119" s="8" t="n">
        <v>16300</v>
      </c>
      <c r="F119" s="8" t="n">
        <v>13200</v>
      </c>
      <c r="G119" s="9" t="n">
        <v>3100</v>
      </c>
      <c r="H119" s="8" t="s">
        <v>11</v>
      </c>
      <c r="I119" s="8" t="s">
        <v>12</v>
      </c>
      <c r="J119" s="0" t="s">
        <v>13</v>
      </c>
    </row>
    <row r="120" customFormat="false" ht="13.8" hidden="false" customHeight="false" outlineLevel="0" collapsed="false">
      <c r="A120" s="6" t="n">
        <v>45061</v>
      </c>
      <c r="B120" s="7" t="n">
        <v>0.184027777777778</v>
      </c>
      <c r="C120" s="8" t="n">
        <v>22079</v>
      </c>
      <c r="D120" s="8" t="s">
        <v>10</v>
      </c>
      <c r="E120" s="8" t="n">
        <v>26440</v>
      </c>
      <c r="F120" s="8" t="n">
        <v>15860</v>
      </c>
      <c r="G120" s="9" t="n">
        <v>10580</v>
      </c>
      <c r="H120" s="8" t="s">
        <v>11</v>
      </c>
      <c r="I120" s="8" t="s">
        <v>12</v>
      </c>
      <c r="J120" s="0" t="s">
        <v>13</v>
      </c>
    </row>
    <row r="121" customFormat="false" ht="13.8" hidden="false" customHeight="false" outlineLevel="0" collapsed="false">
      <c r="A121" s="6" t="n">
        <v>45061</v>
      </c>
      <c r="B121" s="7" t="n">
        <v>0.254166666666667</v>
      </c>
      <c r="C121" s="8" t="n">
        <v>22087</v>
      </c>
      <c r="D121" s="8" t="s">
        <v>15</v>
      </c>
      <c r="E121" s="8" t="n">
        <v>4700</v>
      </c>
      <c r="F121" s="8" t="n">
        <v>3680</v>
      </c>
      <c r="G121" s="9" t="n">
        <v>1020</v>
      </c>
      <c r="H121" s="8" t="s">
        <v>11</v>
      </c>
      <c r="I121" s="8" t="s">
        <v>12</v>
      </c>
      <c r="J121" s="0" t="s">
        <v>13</v>
      </c>
    </row>
    <row r="122" customFormat="false" ht="13.8" hidden="false" customHeight="false" outlineLevel="0" collapsed="false">
      <c r="A122" s="6" t="n">
        <v>45061</v>
      </c>
      <c r="B122" s="7" t="n">
        <v>0.0888888888888889</v>
      </c>
      <c r="C122" s="8" t="n">
        <v>22072</v>
      </c>
      <c r="D122" s="8" t="s">
        <v>14</v>
      </c>
      <c r="E122" s="8" t="n">
        <v>21400</v>
      </c>
      <c r="F122" s="8" t="n">
        <v>13240</v>
      </c>
      <c r="G122" s="9" t="n">
        <v>8160</v>
      </c>
      <c r="H122" s="8" t="s">
        <v>11</v>
      </c>
      <c r="I122" s="8" t="s">
        <v>12</v>
      </c>
      <c r="J122" s="0" t="s">
        <v>13</v>
      </c>
    </row>
    <row r="123" customFormat="false" ht="13.8" hidden="false" customHeight="false" outlineLevel="0" collapsed="false">
      <c r="A123" s="6" t="n">
        <v>45061</v>
      </c>
      <c r="B123" s="7" t="n">
        <v>0.252083333333333</v>
      </c>
      <c r="C123" s="8" t="n">
        <v>22086</v>
      </c>
      <c r="D123" s="8" t="s">
        <v>10</v>
      </c>
      <c r="E123" s="8" t="n">
        <v>17760</v>
      </c>
      <c r="F123" s="8" t="n">
        <v>15840</v>
      </c>
      <c r="G123" s="9" t="n">
        <v>1920</v>
      </c>
      <c r="H123" s="8" t="s">
        <v>11</v>
      </c>
      <c r="I123" s="8" t="s">
        <v>12</v>
      </c>
      <c r="J123" s="0" t="s">
        <v>13</v>
      </c>
    </row>
    <row r="124" customFormat="false" ht="13.8" hidden="false" customHeight="false" outlineLevel="0" collapsed="false">
      <c r="A124" s="6" t="n">
        <v>45062</v>
      </c>
      <c r="B124" s="7" t="n">
        <v>0.247222222222222</v>
      </c>
      <c r="C124" s="8" t="n">
        <v>22142</v>
      </c>
      <c r="D124" s="8" t="s">
        <v>22</v>
      </c>
      <c r="E124" s="8" t="n">
        <v>3120</v>
      </c>
      <c r="F124" s="8" t="n">
        <v>2680</v>
      </c>
      <c r="G124" s="9" t="n">
        <v>440</v>
      </c>
      <c r="H124" s="8" t="s">
        <v>11</v>
      </c>
      <c r="I124" s="8" t="s">
        <v>12</v>
      </c>
      <c r="J124" s="0" t="s">
        <v>13</v>
      </c>
    </row>
    <row r="125" customFormat="false" ht="13.8" hidden="false" customHeight="false" outlineLevel="0" collapsed="false">
      <c r="A125" s="6" t="n">
        <v>45062</v>
      </c>
      <c r="B125" s="7" t="n">
        <v>0.152777777777778</v>
      </c>
      <c r="C125" s="8" t="n">
        <v>22134</v>
      </c>
      <c r="D125" s="8" t="s">
        <v>14</v>
      </c>
      <c r="E125" s="8" t="n">
        <v>21820</v>
      </c>
      <c r="F125" s="8" t="n">
        <v>13180</v>
      </c>
      <c r="G125" s="9" t="n">
        <v>8640</v>
      </c>
      <c r="H125" s="8" t="s">
        <v>11</v>
      </c>
      <c r="I125" s="8" t="s">
        <v>12</v>
      </c>
      <c r="J125" s="0" t="s">
        <v>13</v>
      </c>
    </row>
    <row r="126" customFormat="false" ht="13.8" hidden="false" customHeight="false" outlineLevel="0" collapsed="false">
      <c r="A126" s="6" t="n">
        <v>45062</v>
      </c>
      <c r="B126" s="7" t="n">
        <v>0.188888888888889</v>
      </c>
      <c r="C126" s="8" t="n">
        <v>22135</v>
      </c>
      <c r="D126" s="8" t="s">
        <v>10</v>
      </c>
      <c r="E126" s="8" t="n">
        <v>25800</v>
      </c>
      <c r="F126" s="8" t="n">
        <v>15960</v>
      </c>
      <c r="G126" s="9" t="n">
        <v>9840</v>
      </c>
      <c r="H126" s="8" t="s">
        <v>11</v>
      </c>
      <c r="I126" s="8" t="s">
        <v>12</v>
      </c>
      <c r="J126" s="0" t="s">
        <v>13</v>
      </c>
    </row>
    <row r="127" customFormat="false" ht="13.8" hidden="false" customHeight="false" outlineLevel="0" collapsed="false">
      <c r="A127" s="6" t="n">
        <v>45062</v>
      </c>
      <c r="B127" s="7" t="n">
        <v>0.245833333333333</v>
      </c>
      <c r="C127" s="8" t="n">
        <v>22141</v>
      </c>
      <c r="D127" s="8" t="s">
        <v>10</v>
      </c>
      <c r="E127" s="8" t="n">
        <v>17080</v>
      </c>
      <c r="F127" s="8" t="n">
        <v>15940</v>
      </c>
      <c r="G127" s="9" t="n">
        <v>1140</v>
      </c>
      <c r="H127" s="8" t="s">
        <v>11</v>
      </c>
      <c r="I127" s="8" t="s">
        <v>12</v>
      </c>
      <c r="J127" s="0" t="s">
        <v>13</v>
      </c>
    </row>
    <row r="128" customFormat="false" ht="13.8" hidden="false" customHeight="false" outlineLevel="0" collapsed="false">
      <c r="A128" s="6" t="n">
        <v>45062</v>
      </c>
      <c r="B128" s="7" t="n">
        <v>0.245138888888889</v>
      </c>
      <c r="C128" s="8" t="n">
        <v>22140</v>
      </c>
      <c r="D128" s="8" t="s">
        <v>14</v>
      </c>
      <c r="E128" s="8" t="n">
        <v>15380</v>
      </c>
      <c r="F128" s="8" t="n">
        <v>13140</v>
      </c>
      <c r="G128" s="9" t="n">
        <v>2240</v>
      </c>
      <c r="H128" s="8" t="s">
        <v>11</v>
      </c>
      <c r="I128" s="8" t="s">
        <v>12</v>
      </c>
      <c r="J128" s="0" t="s">
        <v>13</v>
      </c>
    </row>
    <row r="129" customFormat="false" ht="13.8" hidden="false" customHeight="false" outlineLevel="0" collapsed="false">
      <c r="A129" s="6" t="n">
        <v>45062</v>
      </c>
      <c r="B129" s="7" t="n">
        <v>0.439583333333333</v>
      </c>
      <c r="C129" s="8" t="n">
        <v>22164</v>
      </c>
      <c r="D129" s="8" t="s">
        <v>16</v>
      </c>
      <c r="E129" s="8" t="n">
        <v>3080</v>
      </c>
      <c r="F129" s="8" t="n">
        <v>2840</v>
      </c>
      <c r="G129" s="9" t="n">
        <v>240</v>
      </c>
      <c r="H129" s="8" t="s">
        <v>11</v>
      </c>
      <c r="I129" s="8" t="s">
        <v>12</v>
      </c>
      <c r="J129" s="0" t="s">
        <v>13</v>
      </c>
    </row>
    <row r="130" customFormat="false" ht="13.8" hidden="false" customHeight="false" outlineLevel="0" collapsed="false">
      <c r="A130" s="6" t="n">
        <v>45062</v>
      </c>
      <c r="B130" s="7" t="n">
        <v>0.435416666666667</v>
      </c>
      <c r="C130" s="8" t="n">
        <v>22163</v>
      </c>
      <c r="D130" s="8" t="s">
        <v>18</v>
      </c>
      <c r="E130" s="8" t="n">
        <v>6160</v>
      </c>
      <c r="F130" s="8" t="n">
        <v>5580</v>
      </c>
      <c r="G130" s="9" t="n">
        <v>580</v>
      </c>
      <c r="H130" s="8" t="s">
        <v>11</v>
      </c>
      <c r="I130" s="8" t="s">
        <v>19</v>
      </c>
      <c r="J130" s="0" t="s">
        <v>13</v>
      </c>
    </row>
    <row r="131" customFormat="false" ht="13.8" hidden="false" customHeight="false" outlineLevel="0" collapsed="false">
      <c r="A131" s="6" t="n">
        <v>45062</v>
      </c>
      <c r="B131" s="7" t="n">
        <v>0.518055555555556</v>
      </c>
      <c r="C131" s="8" t="n">
        <v>22173</v>
      </c>
      <c r="D131" s="8" t="s">
        <v>18</v>
      </c>
      <c r="E131" s="8" t="n">
        <v>6060</v>
      </c>
      <c r="F131" s="8" t="n">
        <v>5580</v>
      </c>
      <c r="G131" s="9" t="n">
        <v>480</v>
      </c>
      <c r="H131" s="8" t="s">
        <v>11</v>
      </c>
      <c r="I131" s="8" t="s">
        <v>19</v>
      </c>
      <c r="J131" s="0" t="s">
        <v>13</v>
      </c>
    </row>
    <row r="132" customFormat="false" ht="13.8" hidden="false" customHeight="false" outlineLevel="0" collapsed="false">
      <c r="A132" s="6" t="n">
        <v>45062</v>
      </c>
      <c r="B132" s="7" t="n">
        <v>0.488194444444444</v>
      </c>
      <c r="C132" s="8" t="n">
        <v>22170</v>
      </c>
      <c r="D132" s="8" t="s">
        <v>17</v>
      </c>
      <c r="E132" s="8" t="n">
        <v>2600</v>
      </c>
      <c r="F132" s="8" t="n">
        <v>2380</v>
      </c>
      <c r="G132" s="9" t="n">
        <v>220</v>
      </c>
      <c r="H132" s="8" t="s">
        <v>11</v>
      </c>
      <c r="I132" s="8" t="s">
        <v>12</v>
      </c>
      <c r="J132" s="0" t="s">
        <v>13</v>
      </c>
    </row>
    <row r="133" customFormat="false" ht="13.8" hidden="true" customHeight="false" outlineLevel="0" collapsed="false">
      <c r="A133" s="6" t="n">
        <v>45062</v>
      </c>
      <c r="B133" s="7" t="n">
        <v>0.513888888888889</v>
      </c>
      <c r="C133" s="8" t="n">
        <v>156492</v>
      </c>
      <c r="D133" s="8" t="s">
        <v>10</v>
      </c>
      <c r="E133" s="8" t="n">
        <v>18780</v>
      </c>
      <c r="F133" s="8" t="n">
        <v>15900</v>
      </c>
      <c r="G133" s="9" t="n">
        <v>2880</v>
      </c>
      <c r="H133" s="8" t="s">
        <v>11</v>
      </c>
      <c r="I133" s="8" t="s">
        <v>20</v>
      </c>
      <c r="J133" s="1" t="s">
        <v>13</v>
      </c>
    </row>
    <row r="134" customFormat="false" ht="13.8" hidden="false" customHeight="false" outlineLevel="0" collapsed="false">
      <c r="A134" s="6" t="n">
        <v>45063</v>
      </c>
      <c r="B134" s="7" t="n">
        <v>0.255555555555556</v>
      </c>
      <c r="C134" s="8" t="n">
        <v>22201</v>
      </c>
      <c r="D134" s="8" t="s">
        <v>15</v>
      </c>
      <c r="E134" s="8" t="n">
        <v>4240</v>
      </c>
      <c r="F134" s="8" t="n">
        <v>3680</v>
      </c>
      <c r="G134" s="9" t="n">
        <v>560</v>
      </c>
      <c r="H134" s="8" t="s">
        <v>11</v>
      </c>
      <c r="I134" s="8" t="s">
        <v>12</v>
      </c>
      <c r="J134" s="0" t="s">
        <v>13</v>
      </c>
    </row>
    <row r="135" customFormat="false" ht="13.8" hidden="false" customHeight="false" outlineLevel="0" collapsed="false">
      <c r="A135" s="6" t="n">
        <v>45063</v>
      </c>
      <c r="B135" s="7" t="n">
        <v>0.211111111111111</v>
      </c>
      <c r="C135" s="8" t="n">
        <v>22196</v>
      </c>
      <c r="D135" s="8" t="s">
        <v>10</v>
      </c>
      <c r="E135" s="8" t="n">
        <v>26860</v>
      </c>
      <c r="F135" s="8" t="n">
        <v>16040</v>
      </c>
      <c r="G135" s="9" t="n">
        <v>10820</v>
      </c>
      <c r="H135" s="8" t="s">
        <v>11</v>
      </c>
      <c r="I135" s="8" t="s">
        <v>12</v>
      </c>
      <c r="J135" s="0" t="s">
        <v>13</v>
      </c>
    </row>
    <row r="136" customFormat="false" ht="13.8" hidden="false" customHeight="false" outlineLevel="0" collapsed="false">
      <c r="A136" s="6" t="n">
        <v>45063</v>
      </c>
      <c r="B136" s="7" t="n">
        <v>0.241666666666667</v>
      </c>
      <c r="C136" s="8" t="n">
        <v>22200</v>
      </c>
      <c r="D136" s="8" t="s">
        <v>14</v>
      </c>
      <c r="E136" s="8" t="n">
        <v>14760</v>
      </c>
      <c r="F136" s="8" t="n">
        <v>13100</v>
      </c>
      <c r="G136" s="9" t="n">
        <v>1660</v>
      </c>
      <c r="H136" s="8" t="s">
        <v>11</v>
      </c>
      <c r="I136" s="8" t="s">
        <v>12</v>
      </c>
      <c r="J136" s="0" t="s">
        <v>13</v>
      </c>
    </row>
    <row r="137" customFormat="false" ht="13.8" hidden="false" customHeight="false" outlineLevel="0" collapsed="false">
      <c r="A137" s="6" t="n">
        <v>45063</v>
      </c>
      <c r="B137" s="7" t="n">
        <v>0.145138888888889</v>
      </c>
      <c r="C137" s="8" t="n">
        <v>22191</v>
      </c>
      <c r="D137" s="8" t="s">
        <v>14</v>
      </c>
      <c r="E137" s="8" t="n">
        <v>21200</v>
      </c>
      <c r="F137" s="8" t="n">
        <v>13160</v>
      </c>
      <c r="G137" s="9" t="n">
        <v>8040</v>
      </c>
      <c r="H137" s="8" t="s">
        <v>11</v>
      </c>
      <c r="I137" s="8" t="s">
        <v>12</v>
      </c>
      <c r="J137" s="0" t="s">
        <v>13</v>
      </c>
    </row>
    <row r="138" customFormat="false" ht="13.8" hidden="false" customHeight="false" outlineLevel="0" collapsed="false">
      <c r="A138" s="6" t="n">
        <v>45063</v>
      </c>
      <c r="B138" s="7" t="n">
        <v>0.443055555555556</v>
      </c>
      <c r="C138" s="8" t="n">
        <v>22219</v>
      </c>
      <c r="D138" s="8" t="s">
        <v>16</v>
      </c>
      <c r="E138" s="8" t="n">
        <v>3640</v>
      </c>
      <c r="F138" s="8" t="n">
        <v>2880</v>
      </c>
      <c r="G138" s="9" t="n">
        <v>760</v>
      </c>
      <c r="H138" s="8" t="s">
        <v>11</v>
      </c>
      <c r="I138" s="8" t="s">
        <v>19</v>
      </c>
      <c r="J138" s="0" t="s">
        <v>13</v>
      </c>
    </row>
    <row r="139" customFormat="false" ht="13.8" hidden="false" customHeight="false" outlineLevel="0" collapsed="false">
      <c r="A139" s="6" t="n">
        <v>45063</v>
      </c>
      <c r="B139" s="7" t="n">
        <v>0.558333333333333</v>
      </c>
      <c r="C139" s="8" t="n">
        <v>22236</v>
      </c>
      <c r="D139" s="8" t="s">
        <v>22</v>
      </c>
      <c r="E139" s="8" t="n">
        <v>3760</v>
      </c>
      <c r="F139" s="8" t="n">
        <v>2760</v>
      </c>
      <c r="G139" s="9" t="n">
        <v>1000</v>
      </c>
      <c r="H139" s="8" t="s">
        <v>11</v>
      </c>
      <c r="I139" s="8" t="s">
        <v>25</v>
      </c>
      <c r="J139" s="0" t="s">
        <v>13</v>
      </c>
    </row>
    <row r="140" customFormat="false" ht="13.8" hidden="false" customHeight="false" outlineLevel="0" collapsed="false">
      <c r="A140" s="6" t="n">
        <v>45063</v>
      </c>
      <c r="B140" s="7" t="n">
        <v>0.440972222222222</v>
      </c>
      <c r="C140" s="8" t="n">
        <v>22217</v>
      </c>
      <c r="D140" s="8" t="s">
        <v>22</v>
      </c>
      <c r="E140" s="8" t="n">
        <v>3240</v>
      </c>
      <c r="F140" s="8" t="n">
        <v>2680</v>
      </c>
      <c r="G140" s="9" t="n">
        <v>560</v>
      </c>
      <c r="H140" s="8" t="s">
        <v>11</v>
      </c>
      <c r="I140" s="8" t="s">
        <v>25</v>
      </c>
      <c r="J140" s="0" t="s">
        <v>13</v>
      </c>
    </row>
    <row r="141" customFormat="false" ht="13.8" hidden="false" customHeight="false" outlineLevel="0" collapsed="false">
      <c r="A141" s="6" t="n">
        <v>45063</v>
      </c>
      <c r="B141" s="7" t="n">
        <v>0.50625</v>
      </c>
      <c r="C141" s="8" t="n">
        <v>22229</v>
      </c>
      <c r="D141" s="8" t="s">
        <v>17</v>
      </c>
      <c r="E141" s="8" t="n">
        <v>2640</v>
      </c>
      <c r="F141" s="8" t="n">
        <v>2400</v>
      </c>
      <c r="G141" s="9" t="n">
        <v>240</v>
      </c>
      <c r="H141" s="8" t="s">
        <v>11</v>
      </c>
      <c r="I141" s="8" t="s">
        <v>12</v>
      </c>
      <c r="J141" s="0" t="s">
        <v>13</v>
      </c>
    </row>
    <row r="142" customFormat="false" ht="13.8" hidden="false" customHeight="false" outlineLevel="0" collapsed="false">
      <c r="A142" s="6" t="n">
        <v>45063</v>
      </c>
      <c r="B142" s="7" t="n">
        <v>0.508333333333333</v>
      </c>
      <c r="C142" s="8" t="n">
        <v>22230</v>
      </c>
      <c r="D142" s="8" t="s">
        <v>16</v>
      </c>
      <c r="E142" s="8" t="n">
        <v>3080</v>
      </c>
      <c r="F142" s="8" t="n">
        <v>2880</v>
      </c>
      <c r="G142" s="9" t="n">
        <v>200</v>
      </c>
      <c r="H142" s="8" t="s">
        <v>11</v>
      </c>
      <c r="I142" s="8" t="s">
        <v>25</v>
      </c>
      <c r="J142" s="0" t="s">
        <v>13</v>
      </c>
    </row>
    <row r="143" customFormat="false" ht="13.8" hidden="false" customHeight="false" outlineLevel="0" collapsed="false">
      <c r="A143" s="6" t="n">
        <v>45063</v>
      </c>
      <c r="B143" s="7" t="n">
        <v>0.432638888888889</v>
      </c>
      <c r="C143" s="8" t="n">
        <v>22218</v>
      </c>
      <c r="D143" s="8" t="s">
        <v>18</v>
      </c>
      <c r="E143" s="8" t="n">
        <v>6880</v>
      </c>
      <c r="F143" s="8" t="n">
        <v>5640</v>
      </c>
      <c r="G143" s="9" t="n">
        <v>1240</v>
      </c>
      <c r="H143" s="8" t="s">
        <v>11</v>
      </c>
      <c r="I143" s="8" t="s">
        <v>19</v>
      </c>
      <c r="J143" s="0" t="s">
        <v>13</v>
      </c>
    </row>
    <row r="144" customFormat="false" ht="13.8" hidden="false" customHeight="false" outlineLevel="0" collapsed="false">
      <c r="A144" s="6" t="n">
        <v>45064</v>
      </c>
      <c r="B144" s="7" t="n">
        <v>0.142361111111111</v>
      </c>
      <c r="C144" s="8" t="n">
        <v>22249</v>
      </c>
      <c r="D144" s="8" t="s">
        <v>14</v>
      </c>
      <c r="E144" s="8" t="n">
        <v>21600</v>
      </c>
      <c r="F144" s="8" t="n">
        <v>13260</v>
      </c>
      <c r="G144" s="9" t="n">
        <v>8340</v>
      </c>
      <c r="H144" s="8" t="s">
        <v>11</v>
      </c>
      <c r="I144" s="8" t="s">
        <v>12</v>
      </c>
      <c r="J144" s="0" t="s">
        <v>13</v>
      </c>
    </row>
    <row r="145" customFormat="false" ht="13.8" hidden="false" customHeight="false" outlineLevel="0" collapsed="false">
      <c r="A145" s="6" t="n">
        <v>45064</v>
      </c>
      <c r="B145" s="7" t="n">
        <v>0.255555555555556</v>
      </c>
      <c r="C145" s="8" t="n">
        <v>22262</v>
      </c>
      <c r="D145" s="8" t="s">
        <v>15</v>
      </c>
      <c r="E145" s="8" t="n">
        <v>4300</v>
      </c>
      <c r="F145" s="8" t="n">
        <v>3680</v>
      </c>
      <c r="G145" s="9" t="n">
        <v>620</v>
      </c>
      <c r="H145" s="8" t="s">
        <v>11</v>
      </c>
      <c r="I145" s="8" t="s">
        <v>12</v>
      </c>
      <c r="J145" s="0" t="s">
        <v>13</v>
      </c>
    </row>
    <row r="146" customFormat="false" ht="13.8" hidden="false" customHeight="false" outlineLevel="0" collapsed="false">
      <c r="A146" s="6" t="n">
        <v>45064</v>
      </c>
      <c r="B146" s="7" t="n">
        <v>0.24375</v>
      </c>
      <c r="C146" s="8" t="n">
        <v>22259</v>
      </c>
      <c r="D146" s="8" t="s">
        <v>14</v>
      </c>
      <c r="E146" s="8" t="n">
        <v>14460</v>
      </c>
      <c r="F146" s="8" t="n">
        <v>13220</v>
      </c>
      <c r="G146" s="9" t="n">
        <v>1240</v>
      </c>
      <c r="H146" s="8" t="s">
        <v>11</v>
      </c>
      <c r="I146" s="8" t="s">
        <v>12</v>
      </c>
      <c r="J146" s="0" t="s">
        <v>13</v>
      </c>
    </row>
    <row r="147" customFormat="false" ht="13.8" hidden="false" customHeight="false" outlineLevel="0" collapsed="false">
      <c r="A147" s="6" t="n">
        <v>45064</v>
      </c>
      <c r="B147" s="7" t="n">
        <v>0.147222222222222</v>
      </c>
      <c r="C147" s="8" t="n">
        <v>22250</v>
      </c>
      <c r="D147" s="8" t="s">
        <v>10</v>
      </c>
      <c r="E147" s="8" t="n">
        <v>25080</v>
      </c>
      <c r="F147" s="8" t="n">
        <v>15980</v>
      </c>
      <c r="G147" s="9" t="n">
        <v>9100</v>
      </c>
      <c r="H147" s="8" t="s">
        <v>11</v>
      </c>
      <c r="I147" s="8" t="s">
        <v>12</v>
      </c>
      <c r="J147" s="0" t="s">
        <v>13</v>
      </c>
    </row>
    <row r="148" customFormat="false" ht="13.8" hidden="false" customHeight="false" outlineLevel="0" collapsed="false">
      <c r="A148" s="6" t="n">
        <v>45064</v>
      </c>
      <c r="B148" s="7" t="n">
        <v>0.247916666666667</v>
      </c>
      <c r="C148" s="8" t="n">
        <v>22260</v>
      </c>
      <c r="D148" s="8" t="s">
        <v>10</v>
      </c>
      <c r="E148" s="8" t="n">
        <v>19780</v>
      </c>
      <c r="F148" s="8" t="n">
        <v>15960</v>
      </c>
      <c r="G148" s="9" t="n">
        <v>3820</v>
      </c>
      <c r="H148" s="8" t="s">
        <v>11</v>
      </c>
      <c r="I148" s="8" t="s">
        <v>12</v>
      </c>
      <c r="J148" s="0" t="s">
        <v>13</v>
      </c>
    </row>
    <row r="149" customFormat="false" ht="13.8" hidden="false" customHeight="false" outlineLevel="0" collapsed="false">
      <c r="A149" s="6" t="n">
        <v>45064</v>
      </c>
      <c r="B149" s="7" t="n">
        <v>0.472222222222222</v>
      </c>
      <c r="C149" s="8" t="n">
        <v>22288</v>
      </c>
      <c r="D149" s="8" t="s">
        <v>18</v>
      </c>
      <c r="E149" s="8" t="n">
        <v>6580</v>
      </c>
      <c r="F149" s="8" t="n">
        <v>5540</v>
      </c>
      <c r="G149" s="9" t="n">
        <v>1040</v>
      </c>
      <c r="H149" s="8" t="s">
        <v>11</v>
      </c>
      <c r="I149" s="8" t="s">
        <v>19</v>
      </c>
      <c r="J149" s="0" t="s">
        <v>13</v>
      </c>
    </row>
    <row r="150" customFormat="false" ht="13.8" hidden="false" customHeight="false" outlineLevel="0" collapsed="false">
      <c r="A150" s="6" t="n">
        <v>45064</v>
      </c>
      <c r="B150" s="7" t="n">
        <v>0.347916666666667</v>
      </c>
      <c r="C150" s="8" t="n">
        <v>22275</v>
      </c>
      <c r="D150" s="8" t="s">
        <v>16</v>
      </c>
      <c r="E150" s="8" t="n">
        <v>3480</v>
      </c>
      <c r="F150" s="8" t="n">
        <v>2900</v>
      </c>
      <c r="G150" s="9" t="n">
        <v>580</v>
      </c>
      <c r="H150" s="8" t="s">
        <v>11</v>
      </c>
      <c r="I150" s="8" t="s">
        <v>25</v>
      </c>
      <c r="J150" s="0" t="s">
        <v>13</v>
      </c>
    </row>
    <row r="151" customFormat="false" ht="13.8" hidden="false" customHeight="false" outlineLevel="0" collapsed="false">
      <c r="A151" s="6" t="n">
        <v>45064</v>
      </c>
      <c r="B151" s="7" t="n">
        <v>0.534722222222222</v>
      </c>
      <c r="C151" s="8" t="n">
        <v>22293</v>
      </c>
      <c r="D151" s="8" t="s">
        <v>22</v>
      </c>
      <c r="E151" s="8" t="n">
        <v>3000</v>
      </c>
      <c r="F151" s="8" t="n">
        <v>2680</v>
      </c>
      <c r="G151" s="9" t="n">
        <v>320</v>
      </c>
      <c r="H151" s="8" t="s">
        <v>11</v>
      </c>
      <c r="I151" s="8" t="s">
        <v>25</v>
      </c>
      <c r="J151" s="0" t="s">
        <v>13</v>
      </c>
    </row>
    <row r="152" customFormat="false" ht="13.8" hidden="false" customHeight="false" outlineLevel="0" collapsed="false">
      <c r="A152" s="6" t="n">
        <v>45064</v>
      </c>
      <c r="B152" s="7" t="n">
        <v>0.447222222222222</v>
      </c>
      <c r="C152" s="8" t="n">
        <v>22284</v>
      </c>
      <c r="D152" s="8" t="s">
        <v>17</v>
      </c>
      <c r="E152" s="8" t="n">
        <v>2620</v>
      </c>
      <c r="F152" s="8" t="n">
        <v>2380</v>
      </c>
      <c r="G152" s="9" t="n">
        <v>240</v>
      </c>
      <c r="H152" s="8" t="s">
        <v>11</v>
      </c>
      <c r="I152" s="8" t="s">
        <v>12</v>
      </c>
      <c r="J152" s="0" t="s">
        <v>13</v>
      </c>
    </row>
    <row r="153" customFormat="false" ht="13.8" hidden="false" customHeight="false" outlineLevel="0" collapsed="false">
      <c r="A153" s="6" t="n">
        <v>45065</v>
      </c>
      <c r="B153" s="7" t="n">
        <v>0.106944444444444</v>
      </c>
      <c r="C153" s="8" t="n">
        <v>22309</v>
      </c>
      <c r="D153" s="8" t="s">
        <v>14</v>
      </c>
      <c r="E153" s="8" t="n">
        <v>20840</v>
      </c>
      <c r="F153" s="8" t="n">
        <v>13260</v>
      </c>
      <c r="G153" s="9" t="n">
        <v>7580</v>
      </c>
      <c r="H153" s="8" t="s">
        <v>11</v>
      </c>
      <c r="I153" s="8" t="s">
        <v>12</v>
      </c>
      <c r="J153" s="0" t="s">
        <v>13</v>
      </c>
    </row>
    <row r="154" customFormat="false" ht="13.8" hidden="false" customHeight="false" outlineLevel="0" collapsed="false">
      <c r="A154" s="6" t="n">
        <v>45065</v>
      </c>
      <c r="B154" s="7" t="n">
        <v>0.171527777777778</v>
      </c>
      <c r="C154" s="8" t="n">
        <v>22312</v>
      </c>
      <c r="D154" s="8" t="s">
        <v>14</v>
      </c>
      <c r="E154" s="8" t="n">
        <v>15800</v>
      </c>
      <c r="F154" s="8" t="n">
        <v>13220</v>
      </c>
      <c r="G154" s="9" t="n">
        <v>2580</v>
      </c>
      <c r="H154" s="8" t="s">
        <v>11</v>
      </c>
      <c r="I154" s="8" t="s">
        <v>12</v>
      </c>
      <c r="J154" s="0" t="s">
        <v>13</v>
      </c>
    </row>
    <row r="155" customFormat="false" ht="13.8" hidden="false" customHeight="false" outlineLevel="0" collapsed="false">
      <c r="A155" s="6" t="n">
        <v>45065</v>
      </c>
      <c r="B155" s="7" t="n">
        <v>0.258333333333333</v>
      </c>
      <c r="C155" s="8" t="n">
        <v>22322</v>
      </c>
      <c r="D155" s="8" t="s">
        <v>15</v>
      </c>
      <c r="E155" s="8" t="n">
        <v>4620</v>
      </c>
      <c r="F155" s="8" t="n">
        <v>3740</v>
      </c>
      <c r="G155" s="9" t="n">
        <v>880</v>
      </c>
      <c r="H155" s="8" t="s">
        <v>11</v>
      </c>
      <c r="I155" s="8" t="s">
        <v>12</v>
      </c>
      <c r="J155" s="0" t="s">
        <v>13</v>
      </c>
    </row>
    <row r="156" customFormat="false" ht="13.8" hidden="false" customHeight="false" outlineLevel="0" collapsed="false">
      <c r="A156" s="6" t="n">
        <v>45065</v>
      </c>
      <c r="B156" s="7" t="n">
        <v>0.215972222222222</v>
      </c>
      <c r="C156" s="8" t="n">
        <v>22318</v>
      </c>
      <c r="D156" s="8" t="s">
        <v>10</v>
      </c>
      <c r="E156" s="8" t="n">
        <v>27720</v>
      </c>
      <c r="F156" s="8" t="n">
        <v>16120</v>
      </c>
      <c r="G156" s="9" t="n">
        <v>11600</v>
      </c>
      <c r="H156" s="8" t="s">
        <v>11</v>
      </c>
      <c r="I156" s="8" t="s">
        <v>12</v>
      </c>
      <c r="J156" s="0" t="s">
        <v>13</v>
      </c>
    </row>
    <row r="157" customFormat="false" ht="13.8" hidden="false" customHeight="false" outlineLevel="0" collapsed="false">
      <c r="A157" s="6" t="n">
        <v>45065</v>
      </c>
      <c r="B157" s="7" t="n">
        <v>0.491666666666667</v>
      </c>
      <c r="C157" s="8" t="n">
        <v>22345</v>
      </c>
      <c r="D157" s="8" t="s">
        <v>17</v>
      </c>
      <c r="E157" s="8" t="n">
        <v>3080</v>
      </c>
      <c r="F157" s="8" t="n">
        <v>2400</v>
      </c>
      <c r="G157" s="9" t="n">
        <v>680</v>
      </c>
      <c r="H157" s="8" t="s">
        <v>11</v>
      </c>
      <c r="I157" s="8" t="s">
        <v>12</v>
      </c>
      <c r="J157" s="0" t="s">
        <v>13</v>
      </c>
    </row>
    <row r="158" customFormat="false" ht="13.8" hidden="false" customHeight="false" outlineLevel="0" collapsed="false">
      <c r="A158" s="6" t="n">
        <v>45065</v>
      </c>
      <c r="B158" s="7" t="n">
        <v>0.523611111111111</v>
      </c>
      <c r="C158" s="8" t="n">
        <v>22350</v>
      </c>
      <c r="D158" s="8" t="s">
        <v>22</v>
      </c>
      <c r="E158" s="8" t="n">
        <v>2960</v>
      </c>
      <c r="F158" s="8" t="n">
        <v>2820</v>
      </c>
      <c r="G158" s="9" t="n">
        <v>140</v>
      </c>
      <c r="H158" s="8" t="s">
        <v>11</v>
      </c>
      <c r="I158" s="8" t="s">
        <v>25</v>
      </c>
      <c r="J158" s="0" t="s">
        <v>13</v>
      </c>
    </row>
    <row r="159" customFormat="false" ht="13.8" hidden="false" customHeight="false" outlineLevel="0" collapsed="false">
      <c r="A159" s="6" t="n">
        <v>45066</v>
      </c>
      <c r="B159" s="7" t="n">
        <v>0.114583333333333</v>
      </c>
      <c r="C159" s="8" t="n">
        <v>22360</v>
      </c>
      <c r="D159" s="8" t="s">
        <v>14</v>
      </c>
      <c r="E159" s="8" t="n">
        <v>21120</v>
      </c>
      <c r="F159" s="8" t="n">
        <v>13200</v>
      </c>
      <c r="G159" s="9" t="n">
        <v>7920</v>
      </c>
      <c r="H159" s="8" t="s">
        <v>11</v>
      </c>
      <c r="I159" s="8" t="s">
        <v>12</v>
      </c>
      <c r="J159" s="0" t="s">
        <v>13</v>
      </c>
    </row>
    <row r="160" customFormat="false" ht="13.8" hidden="false" customHeight="false" outlineLevel="0" collapsed="false">
      <c r="A160" s="6" t="n">
        <v>45066</v>
      </c>
      <c r="B160" s="7" t="n">
        <v>0.153472222222222</v>
      </c>
      <c r="C160" s="8" t="n">
        <v>22362</v>
      </c>
      <c r="D160" s="8" t="s">
        <v>10</v>
      </c>
      <c r="E160" s="8" t="n">
        <v>26560</v>
      </c>
      <c r="F160" s="8" t="n">
        <v>16080</v>
      </c>
      <c r="G160" s="9" t="n">
        <v>10480</v>
      </c>
      <c r="H160" s="8" t="s">
        <v>11</v>
      </c>
      <c r="I160" s="8" t="s">
        <v>12</v>
      </c>
      <c r="J160" s="0" t="s">
        <v>13</v>
      </c>
    </row>
    <row r="161" customFormat="false" ht="13.8" hidden="false" customHeight="false" outlineLevel="0" collapsed="false">
      <c r="A161" s="6" t="n">
        <v>45066</v>
      </c>
      <c r="B161" s="7" t="n">
        <v>0.249305555555556</v>
      </c>
      <c r="C161" s="8" t="n">
        <v>22373</v>
      </c>
      <c r="D161" s="8" t="s">
        <v>10</v>
      </c>
      <c r="E161" s="8" t="n">
        <v>19880</v>
      </c>
      <c r="F161" s="8" t="n">
        <v>16040</v>
      </c>
      <c r="G161" s="9" t="n">
        <v>3840</v>
      </c>
      <c r="H161" s="8" t="s">
        <v>11</v>
      </c>
      <c r="I161" s="8" t="s">
        <v>12</v>
      </c>
      <c r="J161" s="0" t="s">
        <v>13</v>
      </c>
    </row>
    <row r="162" customFormat="false" ht="13.8" hidden="false" customHeight="false" outlineLevel="0" collapsed="false">
      <c r="A162" s="6" t="n">
        <v>45066</v>
      </c>
      <c r="B162" s="7" t="n">
        <v>0.250694444444444</v>
      </c>
      <c r="C162" s="8" t="n">
        <v>22374</v>
      </c>
      <c r="D162" s="8" t="s">
        <v>14</v>
      </c>
      <c r="E162" s="8" t="n">
        <v>17860</v>
      </c>
      <c r="F162" s="8" t="n">
        <v>13180</v>
      </c>
      <c r="G162" s="9" t="n">
        <v>4680</v>
      </c>
      <c r="H162" s="8" t="s">
        <v>11</v>
      </c>
      <c r="I162" s="8" t="s">
        <v>12</v>
      </c>
      <c r="J162" s="0" t="s">
        <v>13</v>
      </c>
    </row>
    <row r="163" customFormat="false" ht="13.8" hidden="false" customHeight="false" outlineLevel="0" collapsed="false">
      <c r="A163" s="6" t="n">
        <v>45066</v>
      </c>
      <c r="B163" s="7" t="n">
        <v>0.254861111111111</v>
      </c>
      <c r="C163" s="8" t="n">
        <v>22375</v>
      </c>
      <c r="D163" s="8" t="s">
        <v>15</v>
      </c>
      <c r="E163" s="8" t="n">
        <v>4720</v>
      </c>
      <c r="F163" s="8" t="n">
        <v>3680</v>
      </c>
      <c r="G163" s="9" t="n">
        <v>1040</v>
      </c>
      <c r="H163" s="8" t="s">
        <v>11</v>
      </c>
      <c r="I163" s="6" t="s">
        <v>12</v>
      </c>
      <c r="J163" s="0" t="s">
        <v>13</v>
      </c>
    </row>
    <row r="164" customFormat="false" ht="13.8" hidden="false" customHeight="false" outlineLevel="0" collapsed="false">
      <c r="A164" s="6" t="n">
        <v>45066</v>
      </c>
      <c r="B164" s="7" t="n">
        <v>0.377777777777778</v>
      </c>
      <c r="C164" s="8" t="n">
        <v>22380</v>
      </c>
      <c r="D164" s="8" t="s">
        <v>16</v>
      </c>
      <c r="E164" s="8" t="n">
        <v>3160</v>
      </c>
      <c r="F164" s="8" t="n">
        <v>2880</v>
      </c>
      <c r="G164" s="9" t="n">
        <v>280</v>
      </c>
      <c r="H164" s="8" t="s">
        <v>11</v>
      </c>
      <c r="I164" s="8" t="s">
        <v>12</v>
      </c>
      <c r="J164" s="0" t="s">
        <v>13</v>
      </c>
    </row>
    <row r="165" customFormat="false" ht="13.8" hidden="false" customHeight="false" outlineLevel="0" collapsed="false">
      <c r="A165" s="6" t="n">
        <v>45066</v>
      </c>
      <c r="B165" s="7" t="n">
        <v>0.481944444444444</v>
      </c>
      <c r="C165" s="8" t="n">
        <v>22381</v>
      </c>
      <c r="D165" s="8" t="s">
        <v>16</v>
      </c>
      <c r="E165" s="8" t="n">
        <v>3320</v>
      </c>
      <c r="F165" s="8" t="n">
        <v>2880</v>
      </c>
      <c r="G165" s="9" t="n">
        <v>440</v>
      </c>
      <c r="H165" s="8" t="s">
        <v>11</v>
      </c>
      <c r="I165" s="8" t="s">
        <v>19</v>
      </c>
      <c r="J165" s="0" t="s">
        <v>13</v>
      </c>
    </row>
    <row r="166" customFormat="false" ht="13.8" hidden="false" customHeight="false" outlineLevel="0" collapsed="false">
      <c r="A166" s="6" t="n">
        <v>45066</v>
      </c>
      <c r="B166" s="7" t="n">
        <v>0.497916666666667</v>
      </c>
      <c r="C166" s="8" t="n">
        <v>22382</v>
      </c>
      <c r="D166" s="8" t="s">
        <v>22</v>
      </c>
      <c r="E166" s="8" t="n">
        <v>2980</v>
      </c>
      <c r="F166" s="8" t="n">
        <v>2680</v>
      </c>
      <c r="G166" s="9" t="n">
        <v>300</v>
      </c>
      <c r="H166" s="8" t="s">
        <v>11</v>
      </c>
      <c r="I166" s="8" t="s">
        <v>12</v>
      </c>
      <c r="J166" s="0" t="s">
        <v>13</v>
      </c>
    </row>
    <row r="167" customFormat="false" ht="13.8" hidden="false" customHeight="false" outlineLevel="0" collapsed="false">
      <c r="A167" s="6" t="n">
        <v>45067</v>
      </c>
      <c r="B167" s="7" t="n">
        <v>0.111805555555556</v>
      </c>
      <c r="C167" s="8" t="n">
        <v>22390</v>
      </c>
      <c r="D167" s="8" t="s">
        <v>14</v>
      </c>
      <c r="E167" s="8" t="n">
        <v>22720</v>
      </c>
      <c r="F167" s="8" t="n">
        <v>13140</v>
      </c>
      <c r="G167" s="9" t="n">
        <v>9580</v>
      </c>
      <c r="H167" s="8" t="s">
        <v>11</v>
      </c>
      <c r="I167" s="8" t="s">
        <v>12</v>
      </c>
      <c r="J167" s="0" t="s">
        <v>13</v>
      </c>
    </row>
    <row r="168" customFormat="false" ht="13.8" hidden="false" customHeight="false" outlineLevel="0" collapsed="false">
      <c r="A168" s="6" t="n">
        <v>45067</v>
      </c>
      <c r="B168" s="7" t="n">
        <v>0.153472222222222</v>
      </c>
      <c r="C168" s="8" t="n">
        <v>22391</v>
      </c>
      <c r="D168" s="8" t="s">
        <v>10</v>
      </c>
      <c r="E168" s="8" t="n">
        <v>26800</v>
      </c>
      <c r="F168" s="8" t="n">
        <v>16100</v>
      </c>
      <c r="G168" s="9" t="n">
        <v>10700</v>
      </c>
      <c r="H168" s="8" t="s">
        <v>11</v>
      </c>
      <c r="I168" s="8" t="s">
        <v>12</v>
      </c>
      <c r="J168" s="0" t="s">
        <v>13</v>
      </c>
    </row>
    <row r="169" customFormat="false" ht="13.8" hidden="false" customHeight="false" outlineLevel="0" collapsed="false">
      <c r="A169" s="6" t="n">
        <v>45067</v>
      </c>
      <c r="B169" s="7" t="n">
        <v>0.226388888888889</v>
      </c>
      <c r="C169" s="8" t="n">
        <v>22395</v>
      </c>
      <c r="D169" s="8" t="s">
        <v>14</v>
      </c>
      <c r="E169" s="8" t="n">
        <v>17340</v>
      </c>
      <c r="F169" s="8" t="n">
        <v>13120</v>
      </c>
      <c r="G169" s="9" t="n">
        <v>4220</v>
      </c>
      <c r="H169" s="8" t="s">
        <v>11</v>
      </c>
      <c r="I169" s="8" t="s">
        <v>12</v>
      </c>
      <c r="J169" s="0" t="s">
        <v>13</v>
      </c>
    </row>
    <row r="170" customFormat="false" ht="13.8" hidden="false" customHeight="false" outlineLevel="0" collapsed="false">
      <c r="A170" s="6" t="n">
        <v>45067</v>
      </c>
      <c r="B170" s="7" t="n">
        <v>0.250694444444444</v>
      </c>
      <c r="C170" s="8" t="n">
        <v>22396</v>
      </c>
      <c r="D170" s="8" t="s">
        <v>15</v>
      </c>
      <c r="E170" s="8" t="n">
        <v>5140</v>
      </c>
      <c r="F170" s="8" t="n">
        <v>3660</v>
      </c>
      <c r="G170" s="9" t="n">
        <v>1480</v>
      </c>
      <c r="H170" s="8" t="s">
        <v>11</v>
      </c>
      <c r="I170" s="8" t="s">
        <v>12</v>
      </c>
      <c r="J170" s="0" t="s">
        <v>13</v>
      </c>
    </row>
    <row r="171" customFormat="false" ht="13.8" hidden="false" customHeight="false" outlineLevel="0" collapsed="false">
      <c r="A171" s="6" t="n">
        <v>45067</v>
      </c>
      <c r="B171" s="7" t="n">
        <v>0.499305555555556</v>
      </c>
      <c r="C171" s="8" t="n">
        <v>22399</v>
      </c>
      <c r="D171" s="8" t="s">
        <v>22</v>
      </c>
      <c r="E171" s="8" t="n">
        <v>3120</v>
      </c>
      <c r="F171" s="8" t="n">
        <v>2780</v>
      </c>
      <c r="G171" s="9" t="n">
        <v>340</v>
      </c>
      <c r="H171" s="8" t="s">
        <v>11</v>
      </c>
      <c r="I171" s="8" t="s">
        <v>12</v>
      </c>
      <c r="J171" s="0" t="s">
        <v>13</v>
      </c>
    </row>
    <row r="172" customFormat="false" ht="13.8" hidden="false" customHeight="false" outlineLevel="0" collapsed="false">
      <c r="A172" s="6" t="n">
        <v>45068</v>
      </c>
      <c r="B172" s="7" t="n">
        <v>0.0861111111111111</v>
      </c>
      <c r="C172" s="8" t="n">
        <v>22402</v>
      </c>
      <c r="D172" s="8" t="s">
        <v>14</v>
      </c>
      <c r="E172" s="8" t="n">
        <v>21840</v>
      </c>
      <c r="F172" s="8" t="n">
        <v>13260</v>
      </c>
      <c r="G172" s="9" t="n">
        <v>8580</v>
      </c>
      <c r="H172" s="8" t="s">
        <v>11</v>
      </c>
      <c r="I172" s="8" t="s">
        <v>12</v>
      </c>
      <c r="J172" s="0" t="s">
        <v>13</v>
      </c>
    </row>
    <row r="173" customFormat="false" ht="13.8" hidden="false" customHeight="false" outlineLevel="0" collapsed="false">
      <c r="A173" s="6" t="n">
        <v>45068</v>
      </c>
      <c r="B173" s="7" t="n">
        <v>0.238888888888889</v>
      </c>
      <c r="C173" s="8" t="n">
        <v>22415</v>
      </c>
      <c r="D173" s="8" t="s">
        <v>22</v>
      </c>
      <c r="E173" s="8" t="n">
        <v>3500</v>
      </c>
      <c r="F173" s="8" t="n">
        <v>2880</v>
      </c>
      <c r="G173" s="9" t="n">
        <v>620</v>
      </c>
      <c r="H173" s="8" t="s">
        <v>11</v>
      </c>
      <c r="I173" s="8" t="s">
        <v>12</v>
      </c>
      <c r="J173" s="0" t="s">
        <v>13</v>
      </c>
    </row>
    <row r="174" customFormat="false" ht="13.8" hidden="false" customHeight="false" outlineLevel="0" collapsed="false">
      <c r="A174" s="6" t="n">
        <v>45068</v>
      </c>
      <c r="B174" s="7" t="n">
        <v>0.236805555555556</v>
      </c>
      <c r="C174" s="8" t="n">
        <v>22414</v>
      </c>
      <c r="D174" s="8" t="s">
        <v>10</v>
      </c>
      <c r="E174" s="8" t="n">
        <v>26640</v>
      </c>
      <c r="F174" s="8" t="n">
        <v>16060</v>
      </c>
      <c r="G174" s="9" t="n">
        <v>10580</v>
      </c>
      <c r="H174" s="8" t="s">
        <v>11</v>
      </c>
      <c r="I174" s="8" t="s">
        <v>12</v>
      </c>
      <c r="J174" s="0" t="s">
        <v>13</v>
      </c>
    </row>
    <row r="175" customFormat="false" ht="13.8" hidden="false" customHeight="false" outlineLevel="0" collapsed="false">
      <c r="A175" s="6" t="n">
        <v>45068</v>
      </c>
      <c r="B175" s="7" t="n">
        <v>0.250694444444444</v>
      </c>
      <c r="C175" s="8" t="n">
        <v>22417</v>
      </c>
      <c r="D175" s="8" t="s">
        <v>14</v>
      </c>
      <c r="E175" s="8" t="n">
        <v>16740</v>
      </c>
      <c r="F175" s="8" t="n">
        <v>13240</v>
      </c>
      <c r="G175" s="9" t="n">
        <v>3500</v>
      </c>
      <c r="H175" s="8" t="s">
        <v>11</v>
      </c>
      <c r="I175" s="8" t="s">
        <v>12</v>
      </c>
      <c r="J175" s="0" t="s">
        <v>13</v>
      </c>
    </row>
    <row r="176" customFormat="false" ht="13.8" hidden="false" customHeight="false" outlineLevel="0" collapsed="false">
      <c r="A176" s="6" t="n">
        <v>45068</v>
      </c>
      <c r="B176" s="7" t="n">
        <v>0.4375</v>
      </c>
      <c r="C176" s="8" t="n">
        <v>22430</v>
      </c>
      <c r="D176" s="8" t="s">
        <v>10</v>
      </c>
      <c r="E176" s="8" t="n">
        <v>20120</v>
      </c>
      <c r="F176" s="8" t="n">
        <v>16000</v>
      </c>
      <c r="G176" s="9" t="n">
        <v>4120</v>
      </c>
      <c r="H176" s="8" t="s">
        <v>11</v>
      </c>
      <c r="I176" s="8" t="s">
        <v>12</v>
      </c>
      <c r="J176" s="0" t="s">
        <v>13</v>
      </c>
    </row>
    <row r="177" customFormat="false" ht="13.8" hidden="false" customHeight="false" outlineLevel="0" collapsed="false">
      <c r="A177" s="6" t="n">
        <v>45068</v>
      </c>
      <c r="B177" s="7" t="n">
        <v>0.506944444444444</v>
      </c>
      <c r="C177" s="8" t="n">
        <v>22437</v>
      </c>
      <c r="D177" s="8" t="s">
        <v>17</v>
      </c>
      <c r="E177" s="8" t="n">
        <v>2660</v>
      </c>
      <c r="F177" s="8" t="n">
        <v>2380</v>
      </c>
      <c r="G177" s="9" t="n">
        <v>280</v>
      </c>
      <c r="H177" s="8" t="s">
        <v>11</v>
      </c>
      <c r="I177" s="8" t="s">
        <v>12</v>
      </c>
      <c r="J177" s="0" t="s">
        <v>13</v>
      </c>
    </row>
    <row r="178" customFormat="false" ht="13.8" hidden="false" customHeight="false" outlineLevel="0" collapsed="false">
      <c r="A178" s="6" t="n">
        <v>45068</v>
      </c>
      <c r="B178" s="7" t="n">
        <v>0.444444444444444</v>
      </c>
      <c r="C178" s="8" t="n">
        <v>22431</v>
      </c>
      <c r="D178" s="8" t="s">
        <v>22</v>
      </c>
      <c r="E178" s="8" t="n">
        <v>3320</v>
      </c>
      <c r="F178" s="8" t="n">
        <v>2680</v>
      </c>
      <c r="G178" s="9" t="n">
        <v>640</v>
      </c>
      <c r="H178" s="8" t="s">
        <v>11</v>
      </c>
      <c r="I178" s="8" t="s">
        <v>25</v>
      </c>
      <c r="J178" s="0" t="s">
        <v>13</v>
      </c>
    </row>
    <row r="179" customFormat="false" ht="13.8" hidden="false" customHeight="false" outlineLevel="0" collapsed="false">
      <c r="A179" s="6" t="n">
        <v>45068</v>
      </c>
      <c r="B179" s="7" t="n">
        <v>0.552083333333333</v>
      </c>
      <c r="C179" s="8" t="n">
        <v>22441</v>
      </c>
      <c r="D179" s="8" t="s">
        <v>22</v>
      </c>
      <c r="E179" s="8" t="n">
        <v>3380</v>
      </c>
      <c r="F179" s="8" t="n">
        <v>2660</v>
      </c>
      <c r="G179" s="9" t="n">
        <v>720</v>
      </c>
      <c r="H179" s="8" t="s">
        <v>11</v>
      </c>
      <c r="I179" s="8" t="s">
        <v>25</v>
      </c>
      <c r="J179" s="0" t="s">
        <v>13</v>
      </c>
    </row>
    <row r="180" customFormat="false" ht="13.8" hidden="false" customHeight="false" outlineLevel="0" collapsed="false">
      <c r="A180" s="6" t="n">
        <v>45068</v>
      </c>
      <c r="B180" s="7" t="n">
        <v>0.550694444444445</v>
      </c>
      <c r="C180" s="8" t="n">
        <v>22439</v>
      </c>
      <c r="D180" s="8" t="s">
        <v>16</v>
      </c>
      <c r="E180" s="8" t="n">
        <v>3160</v>
      </c>
      <c r="F180" s="8" t="n">
        <v>2900</v>
      </c>
      <c r="G180" s="9" t="n">
        <v>260</v>
      </c>
      <c r="H180" s="8" t="s">
        <v>11</v>
      </c>
      <c r="I180" s="8" t="s">
        <v>25</v>
      </c>
      <c r="J180" s="0" t="s">
        <v>13</v>
      </c>
    </row>
    <row r="181" customFormat="false" ht="13.8" hidden="false" customHeight="false" outlineLevel="0" collapsed="false">
      <c r="A181" s="6" t="n">
        <v>45068</v>
      </c>
      <c r="B181" s="7" t="n">
        <v>0.475</v>
      </c>
      <c r="C181" s="8" t="n">
        <v>22434</v>
      </c>
      <c r="D181" s="8" t="s">
        <v>16</v>
      </c>
      <c r="E181" s="8" t="n">
        <v>4000</v>
      </c>
      <c r="F181" s="8" t="n">
        <v>2900</v>
      </c>
      <c r="G181" s="9" t="n">
        <v>1100</v>
      </c>
      <c r="H181" s="8" t="s">
        <v>11</v>
      </c>
      <c r="I181" s="8" t="s">
        <v>25</v>
      </c>
      <c r="J181" s="0" t="s">
        <v>13</v>
      </c>
    </row>
    <row r="182" customFormat="false" ht="13.8" hidden="false" customHeight="false" outlineLevel="0" collapsed="false">
      <c r="A182" s="6" t="n">
        <v>45069</v>
      </c>
      <c r="B182" s="7" t="n">
        <v>0.242361111111111</v>
      </c>
      <c r="C182" s="8" t="n">
        <v>22459</v>
      </c>
      <c r="D182" s="8" t="s">
        <v>10</v>
      </c>
      <c r="E182" s="8" t="n">
        <v>26800</v>
      </c>
      <c r="F182" s="8" t="n">
        <v>16580</v>
      </c>
      <c r="G182" s="9" t="n">
        <v>10220</v>
      </c>
      <c r="H182" s="8" t="s">
        <v>11</v>
      </c>
      <c r="I182" s="8" t="s">
        <v>12</v>
      </c>
      <c r="J182" s="0" t="s">
        <v>13</v>
      </c>
    </row>
    <row r="183" customFormat="false" ht="13.8" hidden="false" customHeight="false" outlineLevel="0" collapsed="false">
      <c r="A183" s="6" t="n">
        <v>45069</v>
      </c>
      <c r="B183" s="7" t="n">
        <v>0.25625</v>
      </c>
      <c r="C183" s="8" t="n">
        <v>22462</v>
      </c>
      <c r="D183" s="8" t="s">
        <v>15</v>
      </c>
      <c r="E183" s="8" t="n">
        <v>4560</v>
      </c>
      <c r="F183" s="8" t="n">
        <v>3720</v>
      </c>
      <c r="G183" s="9" t="n">
        <v>840</v>
      </c>
      <c r="H183" s="8" t="s">
        <v>11</v>
      </c>
      <c r="I183" s="8" t="s">
        <v>12</v>
      </c>
      <c r="J183" s="0" t="s">
        <v>13</v>
      </c>
    </row>
    <row r="184" customFormat="false" ht="13.8" hidden="false" customHeight="false" outlineLevel="0" collapsed="false">
      <c r="A184" s="6" t="n">
        <v>45069</v>
      </c>
      <c r="B184" s="7" t="n">
        <v>0.138888888888889</v>
      </c>
      <c r="C184" s="8" t="n">
        <v>22450</v>
      </c>
      <c r="D184" s="8" t="s">
        <v>14</v>
      </c>
      <c r="E184" s="8" t="n">
        <v>22240</v>
      </c>
      <c r="F184" s="8" t="n">
        <v>13260</v>
      </c>
      <c r="G184" s="9" t="n">
        <v>8980</v>
      </c>
      <c r="H184" s="8" t="s">
        <v>11</v>
      </c>
      <c r="I184" s="6" t="s">
        <v>12</v>
      </c>
      <c r="J184" s="0" t="s">
        <v>13</v>
      </c>
    </row>
    <row r="185" customFormat="false" ht="13.8" hidden="false" customHeight="false" outlineLevel="0" collapsed="false">
      <c r="A185" s="6" t="n">
        <v>45069</v>
      </c>
      <c r="B185" s="7" t="n">
        <v>0.225</v>
      </c>
      <c r="C185" s="8" t="n">
        <v>22457</v>
      </c>
      <c r="D185" s="8" t="s">
        <v>14</v>
      </c>
      <c r="E185" s="8" t="n">
        <v>15160</v>
      </c>
      <c r="F185" s="8" t="n">
        <v>13200</v>
      </c>
      <c r="G185" s="9" t="n">
        <v>1960</v>
      </c>
      <c r="H185" s="8" t="s">
        <v>11</v>
      </c>
      <c r="I185" s="8" t="s">
        <v>12</v>
      </c>
      <c r="J185" s="0" t="s">
        <v>13</v>
      </c>
    </row>
    <row r="186" customFormat="false" ht="13.8" hidden="false" customHeight="false" outlineLevel="0" collapsed="false">
      <c r="A186" s="6" t="n">
        <v>45069</v>
      </c>
      <c r="B186" s="7" t="n">
        <v>0.540972222222222</v>
      </c>
      <c r="C186" s="8" t="n">
        <v>22480</v>
      </c>
      <c r="D186" s="8" t="s">
        <v>22</v>
      </c>
      <c r="E186" s="8" t="n">
        <v>3180</v>
      </c>
      <c r="F186" s="8" t="n">
        <v>2800</v>
      </c>
      <c r="G186" s="9" t="n">
        <v>380</v>
      </c>
      <c r="H186" s="8" t="s">
        <v>11</v>
      </c>
      <c r="I186" s="8" t="s">
        <v>25</v>
      </c>
      <c r="J186" s="0" t="s">
        <v>13</v>
      </c>
    </row>
    <row r="187" customFormat="false" ht="13.8" hidden="false" customHeight="false" outlineLevel="0" collapsed="false">
      <c r="A187" s="6" t="n">
        <v>45069</v>
      </c>
      <c r="B187" s="7" t="n">
        <v>0.514583333333333</v>
      </c>
      <c r="C187" s="8" t="n">
        <v>22479</v>
      </c>
      <c r="D187" s="8" t="s">
        <v>18</v>
      </c>
      <c r="E187" s="8" t="n">
        <v>5960</v>
      </c>
      <c r="F187" s="8" t="n">
        <v>5600</v>
      </c>
      <c r="G187" s="9" t="n">
        <v>360</v>
      </c>
      <c r="H187" s="8" t="s">
        <v>11</v>
      </c>
      <c r="I187" s="8" t="s">
        <v>19</v>
      </c>
      <c r="J187" s="0" t="s">
        <v>13</v>
      </c>
    </row>
    <row r="188" customFormat="false" ht="13.8" hidden="false" customHeight="false" outlineLevel="0" collapsed="false">
      <c r="A188" s="6" t="n">
        <v>45069</v>
      </c>
      <c r="B188" s="7" t="n">
        <v>0.413888888888889</v>
      </c>
      <c r="C188" s="8" t="n">
        <v>22471</v>
      </c>
      <c r="D188" s="8" t="s">
        <v>18</v>
      </c>
      <c r="E188" s="8" t="n">
        <v>6800</v>
      </c>
      <c r="F188" s="8" t="n">
        <v>5600</v>
      </c>
      <c r="G188" s="9" t="n">
        <v>1200</v>
      </c>
      <c r="H188" s="8" t="s">
        <v>11</v>
      </c>
      <c r="I188" s="8" t="s">
        <v>19</v>
      </c>
      <c r="J188" s="0" t="s">
        <v>13</v>
      </c>
    </row>
    <row r="189" customFormat="false" ht="13.8" hidden="false" customHeight="false" outlineLevel="0" collapsed="false">
      <c r="A189" s="6" t="n">
        <v>45069</v>
      </c>
      <c r="B189" s="7" t="n">
        <v>0.471527777777778</v>
      </c>
      <c r="C189" s="8" t="n">
        <v>22476</v>
      </c>
      <c r="D189" s="8" t="s">
        <v>17</v>
      </c>
      <c r="E189" s="8" t="n">
        <v>2660</v>
      </c>
      <c r="F189" s="8" t="n">
        <v>2380</v>
      </c>
      <c r="G189" s="9" t="n">
        <v>280</v>
      </c>
      <c r="H189" s="8" t="s">
        <v>11</v>
      </c>
      <c r="I189" s="8" t="s">
        <v>12</v>
      </c>
      <c r="J189" s="0" t="s">
        <v>13</v>
      </c>
    </row>
    <row r="190" customFormat="false" ht="13.8" hidden="false" customHeight="false" outlineLevel="0" collapsed="false">
      <c r="A190" s="6" t="n">
        <v>45069</v>
      </c>
      <c r="B190" s="7" t="n">
        <v>0.540972222222222</v>
      </c>
      <c r="C190" s="8" t="n">
        <v>22481</v>
      </c>
      <c r="D190" s="8" t="s">
        <v>16</v>
      </c>
      <c r="E190" s="8" t="n">
        <v>3400</v>
      </c>
      <c r="F190" s="8" t="n">
        <v>2860</v>
      </c>
      <c r="G190" s="9" t="n">
        <v>540</v>
      </c>
      <c r="H190" s="8" t="s">
        <v>11</v>
      </c>
      <c r="I190" s="8" t="s">
        <v>25</v>
      </c>
      <c r="J190" s="0" t="s">
        <v>13</v>
      </c>
    </row>
    <row r="191" customFormat="false" ht="13.8" hidden="true" customHeight="false" outlineLevel="0" collapsed="false">
      <c r="A191" s="6" t="n">
        <v>45069</v>
      </c>
      <c r="B191" s="7" t="n">
        <v>0.521527777777778</v>
      </c>
      <c r="C191" s="8" t="n">
        <v>156819</v>
      </c>
      <c r="D191" s="8" t="s">
        <v>10</v>
      </c>
      <c r="E191" s="8" t="n">
        <v>19520</v>
      </c>
      <c r="F191" s="8" t="n">
        <v>16020</v>
      </c>
      <c r="G191" s="9" t="n">
        <v>3500</v>
      </c>
      <c r="H191" s="8" t="s">
        <v>11</v>
      </c>
      <c r="I191" s="8" t="s">
        <v>20</v>
      </c>
      <c r="J191" s="1" t="s">
        <v>13</v>
      </c>
    </row>
    <row r="192" customFormat="false" ht="13.8" hidden="false" customHeight="false" outlineLevel="0" collapsed="false">
      <c r="A192" s="6" t="n">
        <v>45070</v>
      </c>
      <c r="B192" s="7" t="n">
        <v>0.252777777777778</v>
      </c>
      <c r="C192" s="8" t="n">
        <v>22499</v>
      </c>
      <c r="D192" s="8" t="s">
        <v>15</v>
      </c>
      <c r="E192" s="8" t="n">
        <v>4540</v>
      </c>
      <c r="F192" s="8" t="n">
        <v>3700</v>
      </c>
      <c r="G192" s="9" t="n">
        <v>840</v>
      </c>
      <c r="H192" s="8" t="s">
        <v>11</v>
      </c>
      <c r="I192" s="8" t="s">
        <v>12</v>
      </c>
      <c r="J192" s="0" t="s">
        <v>13</v>
      </c>
    </row>
    <row r="193" customFormat="false" ht="13.8" hidden="false" customHeight="false" outlineLevel="0" collapsed="false">
      <c r="A193" s="6" t="n">
        <v>45070</v>
      </c>
      <c r="B193" s="7" t="n">
        <v>0.19375</v>
      </c>
      <c r="C193" s="8" t="n">
        <v>22491</v>
      </c>
      <c r="D193" s="8" t="s">
        <v>10</v>
      </c>
      <c r="E193" s="8" t="n">
        <v>26020</v>
      </c>
      <c r="F193" s="8" t="n">
        <v>16000</v>
      </c>
      <c r="G193" s="9" t="n">
        <v>10020</v>
      </c>
      <c r="H193" s="8" t="s">
        <v>11</v>
      </c>
      <c r="I193" s="8" t="s">
        <v>12</v>
      </c>
      <c r="J193" s="0" t="s">
        <v>13</v>
      </c>
    </row>
    <row r="194" customFormat="false" ht="13.8" hidden="false" customHeight="false" outlineLevel="0" collapsed="false">
      <c r="A194" s="6" t="n">
        <v>45070</v>
      </c>
      <c r="B194" s="7" t="n">
        <v>0.195833333333333</v>
      </c>
      <c r="C194" s="8" t="n">
        <v>22492</v>
      </c>
      <c r="D194" s="8" t="s">
        <v>14</v>
      </c>
      <c r="E194" s="8" t="n">
        <v>14460</v>
      </c>
      <c r="F194" s="8" t="n">
        <v>13160</v>
      </c>
      <c r="G194" s="9" t="n">
        <v>1300</v>
      </c>
      <c r="H194" s="8" t="s">
        <v>11</v>
      </c>
      <c r="I194" s="8" t="s">
        <v>12</v>
      </c>
      <c r="J194" s="0" t="s">
        <v>13</v>
      </c>
    </row>
    <row r="195" customFormat="false" ht="13.8" hidden="false" customHeight="false" outlineLevel="0" collapsed="false">
      <c r="A195" s="6" t="n">
        <v>45070</v>
      </c>
      <c r="B195" s="7" t="n">
        <v>0.142361111111111</v>
      </c>
      <c r="C195" s="8" t="n">
        <v>22489</v>
      </c>
      <c r="D195" s="8" t="s">
        <v>14</v>
      </c>
      <c r="E195" s="8" t="n">
        <v>22340</v>
      </c>
      <c r="F195" s="8" t="n">
        <v>13200</v>
      </c>
      <c r="G195" s="9" t="n">
        <v>9140</v>
      </c>
      <c r="H195" s="8" t="s">
        <v>11</v>
      </c>
      <c r="I195" s="8" t="s">
        <v>12</v>
      </c>
      <c r="J195" s="0" t="s">
        <v>13</v>
      </c>
    </row>
    <row r="196" customFormat="false" ht="13.8" hidden="false" customHeight="false" outlineLevel="0" collapsed="false">
      <c r="A196" s="6" t="n">
        <v>45070</v>
      </c>
      <c r="B196" s="7" t="n">
        <v>0.294444444444444</v>
      </c>
      <c r="C196" s="8" t="n">
        <v>22502</v>
      </c>
      <c r="D196" s="8" t="s">
        <v>10</v>
      </c>
      <c r="E196" s="8" t="n">
        <v>18600</v>
      </c>
      <c r="F196" s="8" t="n">
        <v>16140</v>
      </c>
      <c r="G196" s="9" t="n">
        <v>2460</v>
      </c>
      <c r="H196" s="8" t="s">
        <v>11</v>
      </c>
      <c r="I196" s="8" t="s">
        <v>12</v>
      </c>
      <c r="J196" s="0" t="s">
        <v>13</v>
      </c>
    </row>
    <row r="197" customFormat="false" ht="13.8" hidden="false" customHeight="false" outlineLevel="0" collapsed="false">
      <c r="A197" s="6" t="n">
        <v>45070</v>
      </c>
      <c r="B197" s="7" t="n">
        <v>0.511805555555556</v>
      </c>
      <c r="C197" s="8" t="n">
        <v>22514</v>
      </c>
      <c r="D197" s="8" t="s">
        <v>18</v>
      </c>
      <c r="E197" s="8" t="n">
        <v>6420</v>
      </c>
      <c r="F197" s="8" t="n">
        <v>5580</v>
      </c>
      <c r="G197" s="9" t="n">
        <v>840</v>
      </c>
      <c r="H197" s="8" t="s">
        <v>11</v>
      </c>
      <c r="I197" s="8" t="s">
        <v>19</v>
      </c>
      <c r="J197" s="0" t="s">
        <v>13</v>
      </c>
    </row>
    <row r="198" customFormat="false" ht="13.8" hidden="false" customHeight="false" outlineLevel="0" collapsed="false">
      <c r="A198" s="6" t="n">
        <v>45070</v>
      </c>
      <c r="B198" s="7" t="n">
        <v>0.357638888888889</v>
      </c>
      <c r="C198" s="8" t="n">
        <v>22505</v>
      </c>
      <c r="D198" s="8" t="s">
        <v>18</v>
      </c>
      <c r="E198" s="8" t="n">
        <v>6780</v>
      </c>
      <c r="F198" s="8" t="n">
        <v>5680</v>
      </c>
      <c r="G198" s="9" t="n">
        <v>1100</v>
      </c>
      <c r="H198" s="8" t="s">
        <v>11</v>
      </c>
      <c r="I198" s="8" t="s">
        <v>19</v>
      </c>
      <c r="J198" s="0" t="s">
        <v>13</v>
      </c>
    </row>
    <row r="199" customFormat="false" ht="13.8" hidden="false" customHeight="false" outlineLevel="0" collapsed="false">
      <c r="A199" s="6" t="n">
        <v>45070</v>
      </c>
      <c r="B199" s="7" t="n">
        <v>0.511805555555556</v>
      </c>
      <c r="C199" s="8" t="n">
        <v>22512</v>
      </c>
      <c r="D199" s="8" t="s">
        <v>16</v>
      </c>
      <c r="E199" s="8" t="n">
        <v>3280</v>
      </c>
      <c r="F199" s="8" t="n">
        <v>2840</v>
      </c>
      <c r="G199" s="9" t="n">
        <v>440</v>
      </c>
      <c r="H199" s="8" t="s">
        <v>11</v>
      </c>
      <c r="I199" s="6" t="s">
        <v>19</v>
      </c>
      <c r="J199" s="0" t="s">
        <v>13</v>
      </c>
    </row>
    <row r="200" customFormat="false" ht="13.8" hidden="false" customHeight="false" outlineLevel="0" collapsed="false">
      <c r="A200" s="6" t="n">
        <v>45070</v>
      </c>
      <c r="B200" s="7" t="n">
        <v>0.361111111111111</v>
      </c>
      <c r="C200" s="8" t="n">
        <v>22504</v>
      </c>
      <c r="D200" s="8" t="s">
        <v>16</v>
      </c>
      <c r="E200" s="8" t="n">
        <v>3280</v>
      </c>
      <c r="F200" s="8" t="n">
        <v>2840</v>
      </c>
      <c r="G200" s="9" t="n">
        <v>440</v>
      </c>
      <c r="H200" s="8" t="s">
        <v>11</v>
      </c>
      <c r="I200" s="8" t="s">
        <v>19</v>
      </c>
      <c r="J200" s="0" t="s">
        <v>13</v>
      </c>
    </row>
    <row r="201" customFormat="false" ht="13.8" hidden="false" customHeight="false" outlineLevel="0" collapsed="false">
      <c r="A201" s="6" t="n">
        <v>45070</v>
      </c>
      <c r="B201" s="7" t="n">
        <v>0.508333333333333</v>
      </c>
      <c r="C201" s="8" t="n">
        <v>22513</v>
      </c>
      <c r="D201" s="8" t="s">
        <v>17</v>
      </c>
      <c r="E201" s="8" t="n">
        <v>2620</v>
      </c>
      <c r="F201" s="8" t="n">
        <v>2380</v>
      </c>
      <c r="G201" s="9" t="n">
        <v>240</v>
      </c>
      <c r="H201" s="8" t="s">
        <v>11</v>
      </c>
      <c r="I201" s="8" t="s">
        <v>12</v>
      </c>
      <c r="J201" s="0" t="s">
        <v>13</v>
      </c>
    </row>
    <row r="202" customFormat="false" ht="13.8" hidden="true" customHeight="false" outlineLevel="0" collapsed="false">
      <c r="A202" s="6" t="n">
        <v>45070</v>
      </c>
      <c r="B202" s="7" t="n">
        <v>0.497222222222222</v>
      </c>
      <c r="C202" s="8" t="n">
        <v>4273</v>
      </c>
      <c r="D202" s="8" t="s">
        <v>10</v>
      </c>
      <c r="E202" s="8" t="n">
        <v>18560</v>
      </c>
      <c r="F202" s="8" t="n">
        <v>15760</v>
      </c>
      <c r="G202" s="9" t="n">
        <v>2800</v>
      </c>
      <c r="H202" s="8" t="s">
        <v>11</v>
      </c>
      <c r="I202" s="8" t="s">
        <v>24</v>
      </c>
      <c r="J202" s="1" t="s">
        <v>13</v>
      </c>
    </row>
    <row r="203" customFormat="false" ht="13.8" hidden="false" customHeight="false" outlineLevel="0" collapsed="false">
      <c r="A203" s="6" t="n">
        <v>45071</v>
      </c>
      <c r="B203" s="7" t="n">
        <v>0.179166666666667</v>
      </c>
      <c r="C203" s="8" t="n">
        <v>22530</v>
      </c>
      <c r="D203" s="8" t="s">
        <v>10</v>
      </c>
      <c r="E203" s="8" t="n">
        <v>25320</v>
      </c>
      <c r="F203" s="8" t="n">
        <v>16100</v>
      </c>
      <c r="G203" s="9" t="n">
        <v>9220</v>
      </c>
      <c r="H203" s="8" t="s">
        <v>11</v>
      </c>
      <c r="I203" s="8" t="s">
        <v>12</v>
      </c>
      <c r="J203" s="0" t="s">
        <v>13</v>
      </c>
    </row>
    <row r="204" customFormat="false" ht="13.8" hidden="false" customHeight="false" outlineLevel="0" collapsed="false">
      <c r="A204" s="6" t="n">
        <v>45071</v>
      </c>
      <c r="B204" s="7" t="n">
        <v>0.263194444444444</v>
      </c>
      <c r="C204" s="8" t="n">
        <v>22539</v>
      </c>
      <c r="D204" s="8" t="s">
        <v>10</v>
      </c>
      <c r="E204" s="8" t="n">
        <v>18800</v>
      </c>
      <c r="F204" s="8" t="n">
        <v>16080</v>
      </c>
      <c r="G204" s="9" t="n">
        <v>2720</v>
      </c>
      <c r="H204" s="8" t="s">
        <v>11</v>
      </c>
      <c r="I204" s="8" t="s">
        <v>12</v>
      </c>
      <c r="J204" s="0" t="s">
        <v>13</v>
      </c>
    </row>
    <row r="205" customFormat="false" ht="13.8" hidden="false" customHeight="false" outlineLevel="0" collapsed="false">
      <c r="A205" s="6" t="n">
        <v>45071</v>
      </c>
      <c r="B205" s="7" t="n">
        <v>0.11875</v>
      </c>
      <c r="C205" s="8" t="n">
        <v>22525</v>
      </c>
      <c r="D205" s="8" t="s">
        <v>14</v>
      </c>
      <c r="E205" s="8" t="n">
        <v>21480</v>
      </c>
      <c r="F205" s="8" t="n">
        <v>13280</v>
      </c>
      <c r="G205" s="9" t="n">
        <v>8200</v>
      </c>
      <c r="H205" s="8" t="s">
        <v>11</v>
      </c>
      <c r="I205" s="8" t="s">
        <v>12</v>
      </c>
      <c r="J205" s="0" t="s">
        <v>13</v>
      </c>
    </row>
    <row r="206" customFormat="false" ht="13.8" hidden="false" customHeight="false" outlineLevel="0" collapsed="false">
      <c r="A206" s="6" t="n">
        <v>45071</v>
      </c>
      <c r="B206" s="7" t="n">
        <v>0.251388888888889</v>
      </c>
      <c r="C206" s="8" t="n">
        <v>22538</v>
      </c>
      <c r="D206" s="8" t="s">
        <v>15</v>
      </c>
      <c r="E206" s="8" t="n">
        <v>4480</v>
      </c>
      <c r="F206" s="8" t="n">
        <v>3820</v>
      </c>
      <c r="G206" s="9" t="n">
        <v>660</v>
      </c>
      <c r="H206" s="8" t="s">
        <v>11</v>
      </c>
      <c r="I206" s="8" t="s">
        <v>12</v>
      </c>
      <c r="J206" s="0" t="s">
        <v>13</v>
      </c>
    </row>
    <row r="207" customFormat="false" ht="13.8" hidden="false" customHeight="false" outlineLevel="0" collapsed="false">
      <c r="A207" s="6" t="n">
        <v>45071</v>
      </c>
      <c r="B207" s="7" t="n">
        <v>0.475</v>
      </c>
      <c r="C207" s="8" t="n">
        <v>22544</v>
      </c>
      <c r="D207" s="8" t="s">
        <v>21</v>
      </c>
      <c r="E207" s="8" t="n">
        <v>19520</v>
      </c>
      <c r="F207" s="8" t="n">
        <v>15940</v>
      </c>
      <c r="G207" s="9" t="n">
        <v>3580</v>
      </c>
      <c r="H207" s="8" t="s">
        <v>11</v>
      </c>
      <c r="I207" s="8" t="s">
        <v>19</v>
      </c>
      <c r="J207" s="0" t="s">
        <v>13</v>
      </c>
    </row>
    <row r="208" customFormat="false" ht="13.8" hidden="false" customHeight="false" outlineLevel="0" collapsed="false">
      <c r="A208" s="6" t="n">
        <v>45071</v>
      </c>
      <c r="B208" s="7" t="n">
        <v>0.499305555555556</v>
      </c>
      <c r="C208" s="8" t="n">
        <v>22545</v>
      </c>
      <c r="D208" s="8" t="s">
        <v>16</v>
      </c>
      <c r="E208" s="8" t="n">
        <v>3160</v>
      </c>
      <c r="F208" s="8" t="n">
        <v>2880</v>
      </c>
      <c r="G208" s="9" t="n">
        <v>280</v>
      </c>
      <c r="H208" s="8" t="s">
        <v>11</v>
      </c>
      <c r="I208" s="8" t="s">
        <v>12</v>
      </c>
      <c r="J208" s="0" t="s">
        <v>13</v>
      </c>
    </row>
    <row r="209" customFormat="false" ht="13.8" hidden="false" customHeight="false" outlineLevel="0" collapsed="false">
      <c r="A209" s="6" t="n">
        <v>45071</v>
      </c>
      <c r="B209" s="7" t="n">
        <v>0.500694444444444</v>
      </c>
      <c r="C209" s="8" t="n">
        <v>22546</v>
      </c>
      <c r="D209" s="8" t="s">
        <v>17</v>
      </c>
      <c r="E209" s="8" t="n">
        <v>2680</v>
      </c>
      <c r="F209" s="8" t="n">
        <v>2400</v>
      </c>
      <c r="G209" s="9" t="n">
        <v>280</v>
      </c>
      <c r="H209" s="8" t="s">
        <v>11</v>
      </c>
      <c r="I209" s="8" t="s">
        <v>12</v>
      </c>
      <c r="J209" s="0" t="s">
        <v>13</v>
      </c>
    </row>
    <row r="210" customFormat="false" ht="13.8" hidden="false" customHeight="false" outlineLevel="0" collapsed="false">
      <c r="A210" s="6" t="n">
        <v>45071</v>
      </c>
      <c r="B210" s="7" t="n">
        <v>0.509027777777778</v>
      </c>
      <c r="C210" s="8" t="n">
        <v>22547</v>
      </c>
      <c r="D210" s="8" t="s">
        <v>18</v>
      </c>
      <c r="E210" s="8" t="n">
        <v>6100</v>
      </c>
      <c r="F210" s="8" t="n">
        <v>5580</v>
      </c>
      <c r="G210" s="9" t="n">
        <v>520</v>
      </c>
      <c r="H210" s="8" t="s">
        <v>11</v>
      </c>
      <c r="I210" s="8" t="s">
        <v>19</v>
      </c>
      <c r="J210" s="0" t="s">
        <v>13</v>
      </c>
    </row>
    <row r="211" customFormat="false" ht="13.8" hidden="true" customHeight="false" outlineLevel="0" collapsed="false">
      <c r="A211" s="6" t="n">
        <v>45071</v>
      </c>
      <c r="B211" s="7" t="n">
        <v>0.370138888888889</v>
      </c>
      <c r="C211" s="8" t="n">
        <v>156918</v>
      </c>
      <c r="D211" s="8" t="s">
        <v>21</v>
      </c>
      <c r="E211" s="8" t="n">
        <v>17420</v>
      </c>
      <c r="F211" s="8" t="n">
        <v>15960</v>
      </c>
      <c r="G211" s="9" t="n">
        <v>1460</v>
      </c>
      <c r="H211" s="8" t="s">
        <v>11</v>
      </c>
      <c r="I211" s="8" t="s">
        <v>20</v>
      </c>
      <c r="J211" s="1" t="s">
        <v>13</v>
      </c>
    </row>
    <row r="212" customFormat="false" ht="13.8" hidden="false" customHeight="false" outlineLevel="0" collapsed="false">
      <c r="A212" s="6" t="n">
        <v>45072</v>
      </c>
      <c r="B212" s="7" t="n">
        <v>0.13125</v>
      </c>
      <c r="C212" s="8" t="n">
        <v>22555</v>
      </c>
      <c r="D212" s="8" t="s">
        <v>14</v>
      </c>
      <c r="E212" s="8" t="n">
        <v>22500</v>
      </c>
      <c r="F212" s="8" t="n">
        <v>13280</v>
      </c>
      <c r="G212" s="9" t="n">
        <v>9220</v>
      </c>
      <c r="H212" s="8" t="s">
        <v>11</v>
      </c>
      <c r="I212" s="8" t="s">
        <v>12</v>
      </c>
      <c r="J212" s="0" t="s">
        <v>13</v>
      </c>
    </row>
    <row r="213" customFormat="false" ht="13.8" hidden="false" customHeight="false" outlineLevel="0" collapsed="false">
      <c r="A213" s="6" t="n">
        <v>45072</v>
      </c>
      <c r="B213" s="7" t="n">
        <v>0.202083333333333</v>
      </c>
      <c r="C213" s="8" t="n">
        <v>22558</v>
      </c>
      <c r="D213" s="8" t="s">
        <v>14</v>
      </c>
      <c r="E213" s="8" t="n">
        <v>15840</v>
      </c>
      <c r="F213" s="8" t="n">
        <v>13240</v>
      </c>
      <c r="G213" s="9" t="n">
        <v>2600</v>
      </c>
      <c r="H213" s="8" t="s">
        <v>11</v>
      </c>
      <c r="I213" s="8" t="s">
        <v>12</v>
      </c>
      <c r="J213" s="0" t="s">
        <v>13</v>
      </c>
    </row>
    <row r="214" customFormat="false" ht="13.8" hidden="false" customHeight="false" outlineLevel="0" collapsed="false">
      <c r="A214" s="6" t="n">
        <v>45072</v>
      </c>
      <c r="B214" s="7" t="n">
        <v>0.20625</v>
      </c>
      <c r="C214" s="8" t="n">
        <v>22559</v>
      </c>
      <c r="D214" s="8" t="s">
        <v>15</v>
      </c>
      <c r="E214" s="8" t="n">
        <v>4460</v>
      </c>
      <c r="F214" s="8" t="n">
        <v>3720</v>
      </c>
      <c r="G214" s="9" t="n">
        <v>740</v>
      </c>
      <c r="H214" s="8" t="s">
        <v>11</v>
      </c>
      <c r="I214" s="8" t="s">
        <v>12</v>
      </c>
      <c r="J214" s="0" t="s">
        <v>13</v>
      </c>
    </row>
    <row r="215" customFormat="false" ht="13.8" hidden="false" customHeight="false" outlineLevel="0" collapsed="false">
      <c r="A215" s="6" t="n">
        <v>45072</v>
      </c>
      <c r="B215" s="7" t="n">
        <v>0.2375</v>
      </c>
      <c r="C215" s="8" t="n">
        <v>22564</v>
      </c>
      <c r="D215" s="8" t="s">
        <v>10</v>
      </c>
      <c r="E215" s="8" t="n">
        <v>25140</v>
      </c>
      <c r="F215" s="8" t="n">
        <v>16220</v>
      </c>
      <c r="G215" s="9" t="n">
        <v>8920</v>
      </c>
      <c r="H215" s="8" t="s">
        <v>11</v>
      </c>
      <c r="I215" s="8" t="s">
        <v>12</v>
      </c>
      <c r="J215" s="0" t="s">
        <v>13</v>
      </c>
    </row>
    <row r="216" customFormat="false" ht="13.8" hidden="false" customHeight="false" outlineLevel="0" collapsed="false">
      <c r="A216" s="6" t="n">
        <v>45072</v>
      </c>
      <c r="B216" s="7" t="n">
        <v>0.510416666666667</v>
      </c>
      <c r="C216" s="8" t="n">
        <v>22573</v>
      </c>
      <c r="D216" s="8" t="s">
        <v>17</v>
      </c>
      <c r="E216" s="8" t="n">
        <v>2520</v>
      </c>
      <c r="F216" s="8" t="n">
        <v>2380</v>
      </c>
      <c r="G216" s="9" t="n">
        <v>140</v>
      </c>
      <c r="H216" s="8" t="s">
        <v>11</v>
      </c>
      <c r="I216" s="8" t="s">
        <v>12</v>
      </c>
      <c r="J216" s="0" t="s">
        <v>13</v>
      </c>
    </row>
    <row r="217" customFormat="false" ht="13.8" hidden="false" customHeight="false" outlineLevel="0" collapsed="false">
      <c r="A217" s="6" t="n">
        <v>45072</v>
      </c>
      <c r="B217" s="7" t="n">
        <v>0.470138888888889</v>
      </c>
      <c r="C217" s="8" t="n">
        <v>22571</v>
      </c>
      <c r="D217" s="8" t="s">
        <v>22</v>
      </c>
      <c r="E217" s="8" t="n">
        <v>3520</v>
      </c>
      <c r="F217" s="8" t="n">
        <v>2700</v>
      </c>
      <c r="G217" s="9" t="n">
        <v>820</v>
      </c>
      <c r="H217" s="8" t="s">
        <v>11</v>
      </c>
      <c r="I217" s="8" t="s">
        <v>25</v>
      </c>
      <c r="J217" s="0" t="s">
        <v>13</v>
      </c>
    </row>
    <row r="218" customFormat="false" ht="13.8" hidden="false" customHeight="false" outlineLevel="0" collapsed="false">
      <c r="A218" s="6" t="n">
        <v>45072</v>
      </c>
      <c r="B218" s="7" t="n">
        <v>0.508333333333333</v>
      </c>
      <c r="C218" s="8" t="n">
        <v>22574</v>
      </c>
      <c r="D218" s="8" t="s">
        <v>16</v>
      </c>
      <c r="E218" s="8" t="n">
        <v>3340</v>
      </c>
      <c r="F218" s="8" t="n">
        <v>2960</v>
      </c>
      <c r="G218" s="9" t="n">
        <v>380</v>
      </c>
      <c r="H218" s="8" t="s">
        <v>11</v>
      </c>
      <c r="I218" s="8" t="s">
        <v>12</v>
      </c>
      <c r="J218" s="0" t="s">
        <v>13</v>
      </c>
    </row>
    <row r="219" customFormat="false" ht="13.8" hidden="false" customHeight="false" outlineLevel="0" collapsed="false">
      <c r="A219" s="6" t="n">
        <v>45073</v>
      </c>
      <c r="B219" s="7" t="n">
        <v>0.254861111111111</v>
      </c>
      <c r="C219" s="8" t="n">
        <v>22596</v>
      </c>
      <c r="D219" s="8" t="s">
        <v>15</v>
      </c>
      <c r="E219" s="8" t="n">
        <v>4540</v>
      </c>
      <c r="F219" s="8" t="n">
        <v>3700</v>
      </c>
      <c r="G219" s="9" t="n">
        <v>840</v>
      </c>
      <c r="H219" s="8" t="s">
        <v>11</v>
      </c>
      <c r="I219" s="8" t="s">
        <v>12</v>
      </c>
      <c r="J219" s="0" t="s">
        <v>13</v>
      </c>
    </row>
    <row r="220" customFormat="false" ht="13.8" hidden="false" customHeight="false" outlineLevel="0" collapsed="false">
      <c r="A220" s="6" t="n">
        <v>45073</v>
      </c>
      <c r="B220" s="7" t="n">
        <v>0.236111111111111</v>
      </c>
      <c r="C220" s="8" t="n">
        <v>22593</v>
      </c>
      <c r="D220" s="8" t="s">
        <v>10</v>
      </c>
      <c r="E220" s="8" t="n">
        <v>28120</v>
      </c>
      <c r="F220" s="8" t="n">
        <v>16200</v>
      </c>
      <c r="G220" s="9" t="n">
        <v>11920</v>
      </c>
      <c r="H220" s="8" t="s">
        <v>11</v>
      </c>
      <c r="I220" s="8" t="s">
        <v>12</v>
      </c>
      <c r="J220" s="0" t="s">
        <v>13</v>
      </c>
    </row>
    <row r="221" customFormat="false" ht="13.8" hidden="false" customHeight="false" outlineLevel="0" collapsed="false">
      <c r="A221" s="6" t="n">
        <v>45073</v>
      </c>
      <c r="B221" s="7" t="n">
        <v>0.494444444444444</v>
      </c>
      <c r="C221" s="8" t="n">
        <v>22602</v>
      </c>
      <c r="D221" s="8" t="s">
        <v>17</v>
      </c>
      <c r="E221" s="8" t="n">
        <v>2540</v>
      </c>
      <c r="F221" s="8" t="n">
        <v>2360</v>
      </c>
      <c r="G221" s="9" t="n">
        <v>180</v>
      </c>
      <c r="H221" s="8" t="s">
        <v>11</v>
      </c>
      <c r="I221" s="8" t="s">
        <v>12</v>
      </c>
      <c r="J221" s="0" t="s">
        <v>13</v>
      </c>
    </row>
    <row r="222" customFormat="false" ht="13.8" hidden="false" customHeight="false" outlineLevel="0" collapsed="false">
      <c r="A222" s="6" t="n">
        <v>45073</v>
      </c>
      <c r="B222" s="7" t="n">
        <v>0.461805555555556</v>
      </c>
      <c r="C222" s="8" t="n">
        <v>22601</v>
      </c>
      <c r="D222" s="8" t="s">
        <v>21</v>
      </c>
      <c r="E222" s="8" t="n">
        <v>17720</v>
      </c>
      <c r="F222" s="8" t="n">
        <v>15940</v>
      </c>
      <c r="G222" s="9" t="n">
        <v>1780</v>
      </c>
      <c r="H222" s="8" t="s">
        <v>11</v>
      </c>
      <c r="I222" s="8" t="s">
        <v>19</v>
      </c>
      <c r="J222" s="0" t="s">
        <v>13</v>
      </c>
    </row>
    <row r="223" customFormat="false" ht="13.8" hidden="false" customHeight="false" outlineLevel="0" collapsed="false">
      <c r="A223" s="6" t="n">
        <v>45073</v>
      </c>
      <c r="B223" s="7" t="n">
        <v>0.244444444444444</v>
      </c>
      <c r="C223" s="8" t="n">
        <v>22594</v>
      </c>
      <c r="D223" s="8" t="s">
        <v>14</v>
      </c>
      <c r="E223" s="8" t="n">
        <v>15640</v>
      </c>
      <c r="F223" s="8" t="n">
        <v>13140</v>
      </c>
      <c r="G223" s="9" t="n">
        <v>2500</v>
      </c>
      <c r="H223" s="8" t="s">
        <v>11</v>
      </c>
      <c r="I223" s="8" t="s">
        <v>12</v>
      </c>
      <c r="J223" s="0" t="s">
        <v>13</v>
      </c>
    </row>
    <row r="224" customFormat="false" ht="13.8" hidden="false" customHeight="false" outlineLevel="0" collapsed="false">
      <c r="A224" s="10" t="n">
        <v>45073</v>
      </c>
      <c r="B224" s="11" t="n">
        <v>0.499305555555556</v>
      </c>
      <c r="C224" s="12" t="n">
        <v>22603</v>
      </c>
      <c r="D224" s="12" t="s">
        <v>16</v>
      </c>
      <c r="E224" s="12" t="n">
        <v>3280</v>
      </c>
      <c r="F224" s="12" t="n">
        <v>2860</v>
      </c>
      <c r="G224" s="12" t="n">
        <v>420</v>
      </c>
      <c r="H224" s="12" t="s">
        <v>11</v>
      </c>
      <c r="I224" s="12" t="s">
        <v>12</v>
      </c>
      <c r="J224" s="0" t="s">
        <v>13</v>
      </c>
    </row>
    <row r="225" customFormat="false" ht="13.8" hidden="false" customHeight="false" outlineLevel="0" collapsed="false">
      <c r="A225" s="6" t="n">
        <v>45073</v>
      </c>
      <c r="B225" s="7" t="n">
        <v>0.1625</v>
      </c>
      <c r="C225" s="8" t="n">
        <v>22584</v>
      </c>
      <c r="D225" s="8" t="s">
        <v>14</v>
      </c>
      <c r="E225" s="8" t="n">
        <v>22800</v>
      </c>
      <c r="F225" s="8" t="n">
        <v>13180</v>
      </c>
      <c r="G225" s="9" t="n">
        <v>9620</v>
      </c>
      <c r="H225" s="8" t="s">
        <v>11</v>
      </c>
      <c r="I225" s="8" t="s">
        <v>12</v>
      </c>
      <c r="J225" s="0" t="s">
        <v>13</v>
      </c>
    </row>
    <row r="226" customFormat="false" ht="13.8" hidden="false" customHeight="false" outlineLevel="0" collapsed="false">
      <c r="A226" s="6" t="n">
        <v>45074</v>
      </c>
      <c r="B226" s="7" t="n">
        <v>0.227777777777778</v>
      </c>
      <c r="C226" s="8" t="n">
        <v>22615</v>
      </c>
      <c r="D226" s="8" t="s">
        <v>10</v>
      </c>
      <c r="E226" s="8" t="n">
        <v>25440</v>
      </c>
      <c r="F226" s="8" t="n">
        <v>16220</v>
      </c>
      <c r="G226" s="9" t="n">
        <v>9220</v>
      </c>
      <c r="H226" s="8" t="s">
        <v>11</v>
      </c>
      <c r="I226" s="8" t="s">
        <v>12</v>
      </c>
      <c r="J226" s="0" t="s">
        <v>13</v>
      </c>
    </row>
    <row r="227" customFormat="false" ht="13.8" hidden="false" customHeight="false" outlineLevel="0" collapsed="false">
      <c r="A227" s="6" t="n">
        <v>45074</v>
      </c>
      <c r="B227" s="7" t="n">
        <v>0.121527777777778</v>
      </c>
      <c r="C227" s="8" t="n">
        <v>22607</v>
      </c>
      <c r="D227" s="8" t="s">
        <v>14</v>
      </c>
      <c r="E227" s="8" t="n">
        <v>24040</v>
      </c>
      <c r="F227" s="8" t="n">
        <v>13120</v>
      </c>
      <c r="G227" s="9" t="n">
        <v>10920</v>
      </c>
      <c r="H227" s="8" t="s">
        <v>11</v>
      </c>
      <c r="I227" s="8" t="s">
        <v>12</v>
      </c>
      <c r="J227" s="0" t="s">
        <v>13</v>
      </c>
    </row>
    <row r="228" customFormat="false" ht="13.8" hidden="false" customHeight="false" outlineLevel="0" collapsed="false">
      <c r="A228" s="6" t="n">
        <v>45074</v>
      </c>
      <c r="B228" s="7" t="n">
        <v>0.229166666666667</v>
      </c>
      <c r="C228" s="8" t="n">
        <v>22614</v>
      </c>
      <c r="D228" s="8" t="s">
        <v>22</v>
      </c>
      <c r="E228" s="8" t="n">
        <v>3500</v>
      </c>
      <c r="F228" s="8" t="n">
        <v>2820</v>
      </c>
      <c r="G228" s="9" t="n">
        <v>680</v>
      </c>
      <c r="H228" s="8" t="s">
        <v>11</v>
      </c>
      <c r="I228" s="8" t="s">
        <v>12</v>
      </c>
      <c r="J228" s="0" t="s">
        <v>13</v>
      </c>
    </row>
    <row r="229" customFormat="false" ht="13.8" hidden="false" customHeight="false" outlineLevel="0" collapsed="false">
      <c r="A229" s="6" t="n">
        <v>45074</v>
      </c>
      <c r="B229" s="7" t="n">
        <v>0.504861111111111</v>
      </c>
      <c r="C229" s="8" t="n">
        <v>22618</v>
      </c>
      <c r="D229" s="8" t="s">
        <v>22</v>
      </c>
      <c r="E229" s="8" t="n">
        <v>3140</v>
      </c>
      <c r="F229" s="8" t="n">
        <v>2760</v>
      </c>
      <c r="G229" s="9" t="n">
        <v>380</v>
      </c>
      <c r="H229" s="8" t="s">
        <v>11</v>
      </c>
      <c r="I229" s="8" t="s">
        <v>12</v>
      </c>
      <c r="J229" s="0" t="s">
        <v>13</v>
      </c>
    </row>
    <row r="230" customFormat="false" ht="13.8" hidden="false" customHeight="false" outlineLevel="0" collapsed="false">
      <c r="A230" s="6" t="n">
        <v>45075</v>
      </c>
      <c r="B230" s="7" t="n">
        <v>0.0847222222222222</v>
      </c>
      <c r="C230" s="8" t="n">
        <v>22622</v>
      </c>
      <c r="D230" s="8" t="s">
        <v>14</v>
      </c>
      <c r="E230" s="8" t="n">
        <v>22920</v>
      </c>
      <c r="F230" s="8" t="n">
        <v>13300</v>
      </c>
      <c r="G230" s="9" t="n">
        <v>9620</v>
      </c>
      <c r="H230" s="8" t="s">
        <v>11</v>
      </c>
      <c r="I230" s="8" t="s">
        <v>12</v>
      </c>
      <c r="J230" s="0" t="s">
        <v>13</v>
      </c>
    </row>
    <row r="231" customFormat="false" ht="13.8" hidden="false" customHeight="false" outlineLevel="0" collapsed="false">
      <c r="A231" s="6" t="n">
        <v>45075</v>
      </c>
      <c r="B231" s="7" t="n">
        <v>0.245138888888889</v>
      </c>
      <c r="C231" s="8" t="n">
        <v>22635</v>
      </c>
      <c r="D231" s="8" t="s">
        <v>15</v>
      </c>
      <c r="E231" s="8" t="n">
        <v>4420</v>
      </c>
      <c r="F231" s="8" t="n">
        <v>3700</v>
      </c>
      <c r="G231" s="9" t="n">
        <v>720</v>
      </c>
      <c r="H231" s="8" t="s">
        <v>11</v>
      </c>
      <c r="I231" s="8" t="s">
        <v>12</v>
      </c>
      <c r="J231" s="0" t="s">
        <v>13</v>
      </c>
    </row>
    <row r="232" customFormat="false" ht="13.8" hidden="false" customHeight="false" outlineLevel="0" collapsed="false">
      <c r="A232" s="6" t="n">
        <v>45075</v>
      </c>
      <c r="B232" s="7" t="n">
        <v>0.225694444444444</v>
      </c>
      <c r="C232" s="8" t="n">
        <v>22633</v>
      </c>
      <c r="D232" s="8" t="s">
        <v>14</v>
      </c>
      <c r="E232" s="8" t="n">
        <v>17240</v>
      </c>
      <c r="F232" s="8" t="n">
        <v>13280</v>
      </c>
      <c r="G232" s="9" t="n">
        <v>3960</v>
      </c>
      <c r="H232" s="8" t="s">
        <v>11</v>
      </c>
      <c r="I232" s="8" t="s">
        <v>12</v>
      </c>
      <c r="J232" s="0" t="s">
        <v>13</v>
      </c>
    </row>
    <row r="233" customFormat="false" ht="13.8" hidden="false" customHeight="false" outlineLevel="0" collapsed="false">
      <c r="A233" s="6" t="n">
        <v>45075</v>
      </c>
      <c r="B233" s="7" t="n">
        <v>0.49375</v>
      </c>
      <c r="C233" s="8" t="n">
        <v>22659</v>
      </c>
      <c r="D233" s="8" t="s">
        <v>18</v>
      </c>
      <c r="E233" s="8" t="n">
        <v>6640</v>
      </c>
      <c r="F233" s="8" t="n">
        <v>5620</v>
      </c>
      <c r="G233" s="9" t="n">
        <v>1020</v>
      </c>
      <c r="H233" s="8" t="s">
        <v>11</v>
      </c>
      <c r="I233" s="8" t="s">
        <v>19</v>
      </c>
      <c r="J233" s="0" t="s">
        <v>13</v>
      </c>
    </row>
    <row r="234" customFormat="false" ht="13.8" hidden="false" customHeight="false" outlineLevel="0" collapsed="false">
      <c r="A234" s="6" t="n">
        <v>45075</v>
      </c>
      <c r="B234" s="7" t="n">
        <v>0.508333333333333</v>
      </c>
      <c r="C234" s="8" t="n">
        <v>22661</v>
      </c>
      <c r="D234" s="8" t="s">
        <v>16</v>
      </c>
      <c r="E234" s="8" t="n">
        <v>3320</v>
      </c>
      <c r="F234" s="8" t="n">
        <v>2860</v>
      </c>
      <c r="G234" s="9" t="n">
        <v>460</v>
      </c>
      <c r="H234" s="8" t="s">
        <v>11</v>
      </c>
      <c r="I234" s="8" t="s">
        <v>12</v>
      </c>
      <c r="J234" s="0" t="s">
        <v>13</v>
      </c>
    </row>
    <row r="235" customFormat="false" ht="13.8" hidden="false" customHeight="false" outlineLevel="0" collapsed="false">
      <c r="A235" s="6" t="n">
        <v>45075</v>
      </c>
      <c r="B235" s="7" t="n">
        <v>0.515277777777778</v>
      </c>
      <c r="C235" s="8" t="n">
        <v>22662</v>
      </c>
      <c r="D235" s="8" t="s">
        <v>17</v>
      </c>
      <c r="E235" s="8" t="n">
        <v>2620</v>
      </c>
      <c r="F235" s="8" t="n">
        <v>2360</v>
      </c>
      <c r="G235" s="9" t="n">
        <v>260</v>
      </c>
      <c r="H235" s="8" t="s">
        <v>11</v>
      </c>
      <c r="I235" s="8" t="s">
        <v>12</v>
      </c>
      <c r="J235" s="0" t="s">
        <v>13</v>
      </c>
    </row>
    <row r="236" customFormat="false" ht="13.8" hidden="false" customHeight="false" outlineLevel="0" collapsed="false">
      <c r="A236" s="6" t="n">
        <v>45075</v>
      </c>
      <c r="B236" s="7" t="n">
        <v>0.45625</v>
      </c>
      <c r="C236" s="8" t="n">
        <v>22653</v>
      </c>
      <c r="D236" s="8" t="s">
        <v>23</v>
      </c>
      <c r="E236" s="8" t="n">
        <v>25860</v>
      </c>
      <c r="F236" s="8" t="n">
        <v>15960</v>
      </c>
      <c r="G236" s="9" t="n">
        <v>9900</v>
      </c>
      <c r="H236" s="8" t="s">
        <v>11</v>
      </c>
      <c r="I236" s="8" t="s">
        <v>12</v>
      </c>
      <c r="J236" s="0" t="s">
        <v>13</v>
      </c>
    </row>
    <row r="237" customFormat="false" ht="13.8" hidden="false" customHeight="false" outlineLevel="0" collapsed="false">
      <c r="A237" s="6" t="n">
        <v>45075</v>
      </c>
      <c r="B237" s="7" t="n">
        <v>0.525694444444445</v>
      </c>
      <c r="C237" s="8" t="n">
        <v>22663</v>
      </c>
      <c r="D237" s="8" t="s">
        <v>23</v>
      </c>
      <c r="E237" s="8" t="n">
        <v>18340</v>
      </c>
      <c r="F237" s="8" t="n">
        <v>15920</v>
      </c>
      <c r="G237" s="9" t="n">
        <v>2420</v>
      </c>
      <c r="H237" s="8" t="s">
        <v>11</v>
      </c>
      <c r="I237" s="8" t="s">
        <v>12</v>
      </c>
      <c r="J237" s="0" t="s">
        <v>13</v>
      </c>
    </row>
    <row r="238" customFormat="false" ht="13.8" hidden="false" customHeight="false" outlineLevel="0" collapsed="false">
      <c r="A238" s="6" t="n">
        <v>45076</v>
      </c>
      <c r="B238" s="7" t="n">
        <v>0.252083333333333</v>
      </c>
      <c r="C238" s="8" t="n">
        <v>22698</v>
      </c>
      <c r="D238" s="8" t="s">
        <v>15</v>
      </c>
      <c r="E238" s="8" t="n">
        <v>4320</v>
      </c>
      <c r="F238" s="8" t="n">
        <v>3680</v>
      </c>
      <c r="G238" s="9" t="n">
        <v>640</v>
      </c>
      <c r="H238" s="8" t="s">
        <v>11</v>
      </c>
      <c r="I238" s="8" t="s">
        <v>12</v>
      </c>
      <c r="J238" s="0" t="s">
        <v>13</v>
      </c>
    </row>
    <row r="239" customFormat="false" ht="13.8" hidden="false" customHeight="false" outlineLevel="0" collapsed="false">
      <c r="A239" s="6" t="n">
        <v>45076</v>
      </c>
      <c r="B239" s="7" t="n">
        <v>0.168055555555556</v>
      </c>
      <c r="C239" s="8" t="n">
        <v>22689</v>
      </c>
      <c r="D239" s="8" t="s">
        <v>14</v>
      </c>
      <c r="E239" s="8" t="n">
        <v>23000</v>
      </c>
      <c r="F239" s="8" t="n">
        <v>13220</v>
      </c>
      <c r="G239" s="9" t="n">
        <v>9780</v>
      </c>
      <c r="H239" s="8" t="s">
        <v>11</v>
      </c>
      <c r="I239" s="8" t="s">
        <v>12</v>
      </c>
      <c r="J239" s="0" t="s">
        <v>13</v>
      </c>
    </row>
    <row r="240" customFormat="false" ht="13.8" hidden="false" customHeight="false" outlineLevel="0" collapsed="false">
      <c r="A240" s="6" t="n">
        <v>45076</v>
      </c>
      <c r="B240" s="7" t="n">
        <v>0.133333333333333</v>
      </c>
      <c r="C240" s="8" t="n">
        <v>22684</v>
      </c>
      <c r="D240" s="8" t="s">
        <v>23</v>
      </c>
      <c r="E240" s="8" t="n">
        <v>26080</v>
      </c>
      <c r="F240" s="8" t="n">
        <v>16080</v>
      </c>
      <c r="G240" s="9" t="n">
        <v>10000</v>
      </c>
      <c r="H240" s="8" t="s">
        <v>11</v>
      </c>
      <c r="I240" s="8" t="s">
        <v>12</v>
      </c>
      <c r="J240" s="0" t="s">
        <v>13</v>
      </c>
    </row>
    <row r="241" customFormat="false" ht="13.8" hidden="false" customHeight="false" outlineLevel="0" collapsed="false">
      <c r="A241" s="6" t="n">
        <v>45076</v>
      </c>
      <c r="B241" s="7" t="n">
        <v>0.255555555555556</v>
      </c>
      <c r="C241" s="8" t="n">
        <v>22699</v>
      </c>
      <c r="D241" s="8" t="s">
        <v>23</v>
      </c>
      <c r="E241" s="8" t="n">
        <v>22040</v>
      </c>
      <c r="F241" s="8" t="n">
        <v>16060</v>
      </c>
      <c r="G241" s="9" t="n">
        <v>5980</v>
      </c>
      <c r="H241" s="8" t="s">
        <v>11</v>
      </c>
      <c r="I241" s="8" t="s">
        <v>12</v>
      </c>
      <c r="J241" s="0" t="s">
        <v>13</v>
      </c>
    </row>
    <row r="242" customFormat="false" ht="13.8" hidden="false" customHeight="false" outlineLevel="0" collapsed="false">
      <c r="A242" s="6" t="n">
        <v>45076</v>
      </c>
      <c r="B242" s="7" t="n">
        <v>0.229166666666667</v>
      </c>
      <c r="C242" s="8" t="n">
        <v>22694</v>
      </c>
      <c r="D242" s="8" t="s">
        <v>14</v>
      </c>
      <c r="E242" s="8" t="n">
        <v>15720</v>
      </c>
      <c r="F242" s="8" t="n">
        <v>13180</v>
      </c>
      <c r="G242" s="9" t="n">
        <v>2540</v>
      </c>
      <c r="H242" s="8" t="s">
        <v>11</v>
      </c>
      <c r="I242" s="8" t="s">
        <v>12</v>
      </c>
      <c r="J242" s="0" t="s">
        <v>13</v>
      </c>
    </row>
    <row r="243" customFormat="false" ht="13.8" hidden="false" customHeight="false" outlineLevel="0" collapsed="false">
      <c r="A243" s="6" t="n">
        <v>45076</v>
      </c>
      <c r="B243" s="7" t="n">
        <v>0.505555555555556</v>
      </c>
      <c r="C243" s="8" t="n">
        <v>22722</v>
      </c>
      <c r="D243" s="8" t="s">
        <v>17</v>
      </c>
      <c r="E243" s="8" t="n">
        <v>2620</v>
      </c>
      <c r="F243" s="8" t="n">
        <v>2340</v>
      </c>
      <c r="G243" s="9" t="n">
        <v>280</v>
      </c>
      <c r="H243" s="8" t="s">
        <v>11</v>
      </c>
      <c r="I243" s="8" t="s">
        <v>12</v>
      </c>
      <c r="J243" s="0" t="s">
        <v>13</v>
      </c>
    </row>
    <row r="244" customFormat="false" ht="13.8" hidden="false" customHeight="false" outlineLevel="0" collapsed="false">
      <c r="A244" s="6" t="n">
        <v>45076</v>
      </c>
      <c r="B244" s="7" t="n">
        <v>0.505555555555556</v>
      </c>
      <c r="C244" s="8" t="n">
        <v>22721</v>
      </c>
      <c r="D244" s="8" t="s">
        <v>16</v>
      </c>
      <c r="E244" s="8" t="n">
        <v>3600</v>
      </c>
      <c r="F244" s="8" t="n">
        <v>2860</v>
      </c>
      <c r="G244" s="9" t="n">
        <v>740</v>
      </c>
      <c r="H244" s="8" t="s">
        <v>11</v>
      </c>
      <c r="I244" s="8" t="s">
        <v>12</v>
      </c>
      <c r="J244" s="0" t="s">
        <v>13</v>
      </c>
    </row>
    <row r="245" customFormat="false" ht="13.8" hidden="true" customHeight="false" outlineLevel="0" collapsed="false">
      <c r="A245" s="6" t="n">
        <v>45076</v>
      </c>
      <c r="B245" s="7" t="n">
        <v>0.517361111111111</v>
      </c>
      <c r="C245" s="8" t="n">
        <v>157183</v>
      </c>
      <c r="D245" s="8" t="s">
        <v>23</v>
      </c>
      <c r="E245" s="8" t="n">
        <v>18780</v>
      </c>
      <c r="F245" s="8" t="n">
        <v>16180</v>
      </c>
      <c r="G245" s="9" t="n">
        <v>2600</v>
      </c>
      <c r="H245" s="8" t="s">
        <v>11</v>
      </c>
      <c r="I245" s="8" t="s">
        <v>20</v>
      </c>
      <c r="J245" s="1" t="s">
        <v>13</v>
      </c>
    </row>
    <row r="246" customFormat="false" ht="13.8" hidden="false" customHeight="false" outlineLevel="0" collapsed="false">
      <c r="A246" s="6" t="n">
        <v>45077</v>
      </c>
      <c r="B246" s="7" t="n">
        <v>0.230555555555556</v>
      </c>
      <c r="C246" s="8" t="n">
        <v>22749</v>
      </c>
      <c r="D246" s="8" t="s">
        <v>23</v>
      </c>
      <c r="E246" s="8" t="n">
        <v>27240</v>
      </c>
      <c r="F246" s="8" t="n">
        <v>16060</v>
      </c>
      <c r="G246" s="9" t="n">
        <v>11180</v>
      </c>
      <c r="H246" s="8" t="s">
        <v>11</v>
      </c>
      <c r="I246" s="8" t="s">
        <v>12</v>
      </c>
      <c r="J246" s="0" t="s">
        <v>13</v>
      </c>
    </row>
    <row r="247" customFormat="false" ht="13.8" hidden="false" customHeight="false" outlineLevel="0" collapsed="false">
      <c r="A247" s="6" t="n">
        <v>45077</v>
      </c>
      <c r="B247" s="7" t="n">
        <v>0.247916666666667</v>
      </c>
      <c r="C247" s="8" t="n">
        <v>22751</v>
      </c>
      <c r="D247" s="8" t="s">
        <v>15</v>
      </c>
      <c r="E247" s="8" t="n">
        <v>4440</v>
      </c>
      <c r="F247" s="8" t="n">
        <v>3760</v>
      </c>
      <c r="G247" s="9" t="n">
        <v>680</v>
      </c>
      <c r="H247" s="8" t="s">
        <v>11</v>
      </c>
      <c r="I247" s="8" t="s">
        <v>12</v>
      </c>
      <c r="J247" s="0" t="s">
        <v>13</v>
      </c>
    </row>
    <row r="248" customFormat="false" ht="13.8" hidden="false" customHeight="false" outlineLevel="0" collapsed="false">
      <c r="A248" s="6" t="n">
        <v>45077</v>
      </c>
      <c r="B248" s="7" t="n">
        <v>0.136805555555556</v>
      </c>
      <c r="C248" s="8" t="n">
        <v>22742</v>
      </c>
      <c r="D248" s="8" t="s">
        <v>14</v>
      </c>
      <c r="E248" s="8" t="n">
        <v>21620</v>
      </c>
      <c r="F248" s="8" t="n">
        <v>13240</v>
      </c>
      <c r="G248" s="9" t="n">
        <v>8380</v>
      </c>
      <c r="H248" s="8" t="s">
        <v>11</v>
      </c>
      <c r="I248" s="8" t="s">
        <v>12</v>
      </c>
      <c r="J248" s="0" t="s">
        <v>13</v>
      </c>
    </row>
    <row r="249" customFormat="false" ht="13.8" hidden="false" customHeight="false" outlineLevel="0" collapsed="false">
      <c r="A249" s="6" t="n">
        <v>45077</v>
      </c>
      <c r="B249" s="7" t="n">
        <v>0.502777777777778</v>
      </c>
      <c r="C249" s="8" t="n">
        <v>22776</v>
      </c>
      <c r="D249" s="8" t="s">
        <v>17</v>
      </c>
      <c r="E249" s="8" t="n">
        <v>2660</v>
      </c>
      <c r="F249" s="8" t="n">
        <v>2400</v>
      </c>
      <c r="G249" s="9" t="n">
        <v>260</v>
      </c>
      <c r="H249" s="8" t="s">
        <v>11</v>
      </c>
      <c r="I249" s="8" t="s">
        <v>12</v>
      </c>
      <c r="J249" s="0" t="s">
        <v>13</v>
      </c>
    </row>
    <row r="250" customFormat="false" ht="13.8" hidden="false" customHeight="false" outlineLevel="0" collapsed="false">
      <c r="A250" s="6" t="n">
        <v>45077</v>
      </c>
      <c r="B250" s="7" t="n">
        <v>0.419444444444444</v>
      </c>
      <c r="C250" s="8" t="n">
        <v>22764</v>
      </c>
      <c r="D250" s="8" t="s">
        <v>18</v>
      </c>
      <c r="E250" s="8" t="n">
        <v>6260</v>
      </c>
      <c r="F250" s="8" t="n">
        <v>5560</v>
      </c>
      <c r="G250" s="9" t="n">
        <v>700</v>
      </c>
      <c r="H250" s="8" t="s">
        <v>11</v>
      </c>
      <c r="I250" s="8" t="s">
        <v>19</v>
      </c>
      <c r="J250" s="0" t="s">
        <v>13</v>
      </c>
    </row>
    <row r="251" customFormat="false" ht="13.8" hidden="false" customHeight="false" outlineLevel="0" collapsed="false">
      <c r="A251" s="6" t="n">
        <v>45077</v>
      </c>
      <c r="B251" s="7" t="n">
        <v>0.501388888888889</v>
      </c>
      <c r="C251" s="8" t="n">
        <v>22778</v>
      </c>
      <c r="D251" s="8" t="s">
        <v>18</v>
      </c>
      <c r="E251" s="8" t="n">
        <v>6920</v>
      </c>
      <c r="F251" s="8" t="n">
        <v>5580</v>
      </c>
      <c r="G251" s="9" t="n">
        <v>1340</v>
      </c>
      <c r="H251" s="8" t="s">
        <v>11</v>
      </c>
      <c r="I251" s="8" t="s">
        <v>19</v>
      </c>
      <c r="J251" s="0" t="s">
        <v>13</v>
      </c>
    </row>
    <row r="252" customFormat="false" ht="13.8" hidden="false" customHeight="false" outlineLevel="0" collapsed="false">
      <c r="A252" s="6" t="n">
        <v>45077</v>
      </c>
      <c r="B252" s="7" t="n">
        <v>0.448611111111111</v>
      </c>
      <c r="C252" s="8" t="n">
        <v>22768</v>
      </c>
      <c r="D252" s="8" t="s">
        <v>16</v>
      </c>
      <c r="E252" s="8" t="n">
        <v>3340</v>
      </c>
      <c r="F252" s="8" t="n">
        <v>2860</v>
      </c>
      <c r="G252" s="9" t="n">
        <v>480</v>
      </c>
      <c r="H252" s="8" t="s">
        <v>11</v>
      </c>
      <c r="I252" s="8" t="s">
        <v>19</v>
      </c>
      <c r="J252" s="0" t="s">
        <v>13</v>
      </c>
    </row>
    <row r="253" customFormat="false" ht="13.8" hidden="true" customHeight="false" outlineLevel="0" collapsed="false">
      <c r="A253" s="6" t="n">
        <v>45077</v>
      </c>
      <c r="B253" s="7" t="n">
        <v>0.500694444444444</v>
      </c>
      <c r="C253" s="8" t="n">
        <v>4282</v>
      </c>
      <c r="D253" s="8" t="s">
        <v>23</v>
      </c>
      <c r="E253" s="8" t="n">
        <v>17680</v>
      </c>
      <c r="F253" s="8" t="n">
        <v>15760</v>
      </c>
      <c r="G253" s="9" t="n">
        <v>1920</v>
      </c>
      <c r="H253" s="8" t="s">
        <v>11</v>
      </c>
      <c r="I253" s="8" t="s">
        <v>24</v>
      </c>
      <c r="J253" s="1" t="s">
        <v>13</v>
      </c>
    </row>
  </sheetData>
  <autoFilter ref="A1:J253">
    <filterColumn colId="8">
      <filters>
        <filter val="PODA"/>
        <filter val="RSU"/>
        <filter val="VOL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0.4921875" defaultRowHeight="12.8" zeroHeight="false" outlineLevelRow="0" outlineLevelCol="0"/>
  <sheetData>
    <row r="1" customFormat="false" ht="12.8" hidden="false" customHeight="false" outlineLevel="0" collapsed="false">
      <c r="A1" s="13" t="s">
        <v>0</v>
      </c>
      <c r="B1" s="14" t="s">
        <v>26</v>
      </c>
    </row>
    <row r="3" customFormat="false" ht="12.8" hidden="false" customHeight="false" outlineLevel="0" collapsed="false">
      <c r="A3" s="15" t="s">
        <v>27</v>
      </c>
      <c r="B3" s="16" t="s">
        <v>8</v>
      </c>
      <c r="C3" s="17"/>
      <c r="D3" s="17"/>
      <c r="E3" s="17"/>
      <c r="F3" s="17"/>
      <c r="G3" s="18"/>
    </row>
    <row r="4" customFormat="false" ht="12.8" hidden="false" customHeight="false" outlineLevel="0" collapsed="false">
      <c r="A4" s="19" t="s">
        <v>3</v>
      </c>
      <c r="B4" s="20" t="s">
        <v>25</v>
      </c>
      <c r="C4" s="21" t="s">
        <v>12</v>
      </c>
      <c r="D4" s="21" t="s">
        <v>24</v>
      </c>
      <c r="E4" s="21" t="s">
        <v>20</v>
      </c>
      <c r="F4" s="21" t="s">
        <v>19</v>
      </c>
      <c r="G4" s="22" t="s">
        <v>28</v>
      </c>
    </row>
    <row r="5" customFormat="false" ht="12.8" hidden="false" customHeight="false" outlineLevel="0" collapsed="false">
      <c r="A5" s="23" t="s">
        <v>21</v>
      </c>
      <c r="B5" s="24"/>
      <c r="C5" s="25"/>
      <c r="D5" s="25"/>
      <c r="E5" s="26" t="n">
        <v>3040</v>
      </c>
      <c r="F5" s="27" t="n">
        <v>7080</v>
      </c>
      <c r="G5" s="28" t="n">
        <v>10120</v>
      </c>
    </row>
    <row r="6" customFormat="false" ht="12.8" hidden="false" customHeight="false" outlineLevel="0" collapsed="false">
      <c r="A6" s="29" t="s">
        <v>22</v>
      </c>
      <c r="B6" s="30" t="n">
        <v>7460</v>
      </c>
      <c r="C6" s="31" t="n">
        <v>4060</v>
      </c>
      <c r="D6" s="32"/>
      <c r="E6" s="32"/>
      <c r="F6" s="33" t="n">
        <v>1740</v>
      </c>
      <c r="G6" s="34" t="n">
        <v>13260</v>
      </c>
    </row>
    <row r="7" customFormat="false" ht="12.8" hidden="false" customHeight="false" outlineLevel="0" collapsed="false">
      <c r="A7" s="29" t="s">
        <v>10</v>
      </c>
      <c r="B7" s="35"/>
      <c r="C7" s="31" t="n">
        <v>342820</v>
      </c>
      <c r="D7" s="31" t="n">
        <v>5840</v>
      </c>
      <c r="E7" s="31" t="n">
        <v>11660</v>
      </c>
      <c r="F7" s="36"/>
      <c r="G7" s="34" t="n">
        <v>360320</v>
      </c>
    </row>
    <row r="8" customFormat="false" ht="12.8" hidden="false" customHeight="false" outlineLevel="0" collapsed="false">
      <c r="A8" s="29" t="s">
        <v>23</v>
      </c>
      <c r="B8" s="35"/>
      <c r="C8" s="31" t="n">
        <v>39480</v>
      </c>
      <c r="D8" s="31" t="n">
        <v>4740</v>
      </c>
      <c r="E8" s="31" t="n">
        <v>2600</v>
      </c>
      <c r="F8" s="36"/>
      <c r="G8" s="34" t="n">
        <v>46820</v>
      </c>
    </row>
    <row r="9" customFormat="false" ht="12.8" hidden="false" customHeight="false" outlineLevel="0" collapsed="false">
      <c r="A9" s="29" t="s">
        <v>17</v>
      </c>
      <c r="B9" s="35"/>
      <c r="C9" s="31" t="n">
        <v>6760</v>
      </c>
      <c r="D9" s="32"/>
      <c r="E9" s="32"/>
      <c r="F9" s="36"/>
      <c r="G9" s="34" t="n">
        <v>6760</v>
      </c>
    </row>
    <row r="10" customFormat="false" ht="12.8" hidden="false" customHeight="false" outlineLevel="0" collapsed="false">
      <c r="A10" s="29" t="s">
        <v>16</v>
      </c>
      <c r="B10" s="30" t="n">
        <v>5220</v>
      </c>
      <c r="C10" s="31" t="n">
        <v>6360</v>
      </c>
      <c r="D10" s="32"/>
      <c r="E10" s="32"/>
      <c r="F10" s="33" t="n">
        <v>3920</v>
      </c>
      <c r="G10" s="34" t="n">
        <v>15500</v>
      </c>
    </row>
    <row r="11" customFormat="false" ht="12.8" hidden="false" customHeight="false" outlineLevel="0" collapsed="false">
      <c r="A11" s="29" t="s">
        <v>14</v>
      </c>
      <c r="B11" s="35"/>
      <c r="C11" s="31" t="n">
        <v>349500</v>
      </c>
      <c r="D11" s="32"/>
      <c r="E11" s="32"/>
      <c r="F11" s="36"/>
      <c r="G11" s="34" t="n">
        <v>349500</v>
      </c>
    </row>
    <row r="12" customFormat="false" ht="12.8" hidden="false" customHeight="false" outlineLevel="0" collapsed="false">
      <c r="A12" s="29" t="s">
        <v>15</v>
      </c>
      <c r="B12" s="35"/>
      <c r="C12" s="31" t="n">
        <v>25420</v>
      </c>
      <c r="D12" s="32"/>
      <c r="E12" s="32"/>
      <c r="F12" s="36"/>
      <c r="G12" s="34" t="n">
        <v>25420</v>
      </c>
    </row>
    <row r="13" customFormat="false" ht="12.8" hidden="false" customHeight="false" outlineLevel="0" collapsed="false">
      <c r="A13" s="29" t="s">
        <v>18</v>
      </c>
      <c r="B13" s="37"/>
      <c r="C13" s="38"/>
      <c r="D13" s="38"/>
      <c r="E13" s="38"/>
      <c r="F13" s="39" t="n">
        <v>19540</v>
      </c>
      <c r="G13" s="40" t="n">
        <v>19540</v>
      </c>
    </row>
    <row r="14" customFormat="false" ht="12.8" hidden="false" customHeight="false" outlineLevel="0" collapsed="false">
      <c r="A14" s="41" t="s">
        <v>28</v>
      </c>
      <c r="B14" s="42" t="n">
        <v>12680</v>
      </c>
      <c r="C14" s="43" t="n">
        <v>774400</v>
      </c>
      <c r="D14" s="43" t="n">
        <v>10580</v>
      </c>
      <c r="E14" s="43" t="n">
        <v>17300</v>
      </c>
      <c r="F14" s="44" t="n">
        <v>32280</v>
      </c>
      <c r="G14" s="45" t="n">
        <v>847240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9"/>
  <sheetViews>
    <sheetView showFormulas="false" showGridLines="true" showRowColHeaders="true" showZeros="true" rightToLeft="false" tabSelected="true" showOutlineSymbols="true" defaultGridColor="true" view="normal" topLeftCell="A46" colorId="64" zoomScale="100" zoomScaleNormal="100" zoomScalePageLayoutView="100" workbookViewId="0">
      <selection pane="topLeft" activeCell="D72" activeCellId="0" sqref="D72"/>
    </sheetView>
  </sheetViews>
  <sheetFormatPr defaultColWidth="10.4921875" defaultRowHeight="14" zeroHeight="false" outlineLevelRow="0" outlineLevelCol="0"/>
  <cols>
    <col collapsed="false" customWidth="true" hidden="false" outlineLevel="0" max="1" min="1" style="46" width="15.1"/>
    <col collapsed="false" customWidth="true" hidden="false" outlineLevel="0" max="2" min="2" style="47" width="17.71"/>
    <col collapsed="false" customWidth="true" hidden="false" outlineLevel="0" max="3" min="3" style="47" width="10.71"/>
    <col collapsed="false" customWidth="true" hidden="false" outlineLevel="0" max="4" min="4" style="46" width="13.46"/>
    <col collapsed="false" customWidth="true" hidden="false" outlineLevel="0" max="6" min="5" style="47" width="11.26"/>
    <col collapsed="false" customWidth="true" hidden="false" outlineLevel="0" max="7" min="7" style="47" width="13.46"/>
    <col collapsed="false" customWidth="true" hidden="false" outlineLevel="0" max="8" min="8" style="47" width="14.53"/>
    <col collapsed="false" customWidth="true" hidden="false" outlineLevel="0" max="9" min="9" style="47" width="15.85"/>
    <col collapsed="false" customWidth="true" hidden="false" outlineLevel="0" max="11" min="10" style="47" width="7.72"/>
    <col collapsed="false" customWidth="true" hidden="false" outlineLevel="0" max="12" min="12" style="47" width="8.17"/>
    <col collapsed="false" customWidth="true" hidden="false" outlineLevel="0" max="13" min="13" style="47" width="12.79"/>
    <col collapsed="false" customWidth="true" hidden="false" outlineLevel="0" max="14" min="14" style="47" width="7.08"/>
    <col collapsed="false" customWidth="true" hidden="false" outlineLevel="0" max="1024" min="15" style="0" width="7.72"/>
  </cols>
  <sheetData>
    <row r="1" customFormat="false" ht="13.8" hidden="false" customHeight="false" outlineLevel="0" collapsed="false">
      <c r="A1" s="46" t="n">
        <v>1</v>
      </c>
      <c r="B1" s="46" t="n">
        <v>2</v>
      </c>
      <c r="C1" s="46" t="n">
        <v>3</v>
      </c>
      <c r="D1" s="46" t="n">
        <v>4</v>
      </c>
      <c r="E1" s="46" t="n">
        <v>5</v>
      </c>
      <c r="F1" s="46" t="n">
        <v>6</v>
      </c>
      <c r="G1" s="46" t="n">
        <v>7</v>
      </c>
    </row>
    <row r="2" customFormat="false" ht="13.8" hidden="false" customHeight="false" outlineLevel="0" collapsed="false">
      <c r="A2" s="48" t="s">
        <v>3</v>
      </c>
      <c r="B2" s="49" t="s">
        <v>29</v>
      </c>
      <c r="C2" s="50" t="s">
        <v>25</v>
      </c>
      <c r="D2" s="50" t="s">
        <v>12</v>
      </c>
      <c r="E2" s="50" t="s">
        <v>24</v>
      </c>
      <c r="F2" s="50" t="s">
        <v>20</v>
      </c>
      <c r="G2" s="50" t="s">
        <v>30</v>
      </c>
      <c r="H2" s="51" t="s">
        <v>28</v>
      </c>
    </row>
    <row r="3" customFormat="false" ht="13.8" hidden="false" customHeight="false" outlineLevel="0" collapsed="false">
      <c r="A3" s="52" t="s">
        <v>21</v>
      </c>
      <c r="B3" s="0"/>
      <c r="C3" s="53"/>
      <c r="D3" s="54"/>
      <c r="E3" s="54"/>
      <c r="F3" s="54" t="n">
        <v>3040</v>
      </c>
      <c r="G3" s="54" t="n">
        <v>7080</v>
      </c>
      <c r="H3" s="55" t="n">
        <f aca="false">SUM(B3:G3)</f>
        <v>10120</v>
      </c>
    </row>
    <row r="4" customFormat="false" ht="13.8" hidden="false" customHeight="false" outlineLevel="0" collapsed="false">
      <c r="A4" s="56" t="s">
        <v>22</v>
      </c>
      <c r="B4" s="0"/>
      <c r="C4" s="57" t="n">
        <v>7460</v>
      </c>
      <c r="D4" s="58" t="n">
        <v>4060</v>
      </c>
      <c r="E4" s="58"/>
      <c r="F4" s="58"/>
      <c r="G4" s="58" t="n">
        <v>1740</v>
      </c>
      <c r="H4" s="55" t="n">
        <f aca="false">SUM(B4:G4)</f>
        <v>13260</v>
      </c>
    </row>
    <row r="5" customFormat="false" ht="13.8" hidden="false" customHeight="false" outlineLevel="0" collapsed="false">
      <c r="A5" s="56" t="s">
        <v>10</v>
      </c>
      <c r="B5" s="0"/>
      <c r="C5" s="57"/>
      <c r="D5" s="58" t="n">
        <v>342820</v>
      </c>
      <c r="E5" s="58" t="n">
        <v>5840</v>
      </c>
      <c r="F5" s="58" t="n">
        <v>11660</v>
      </c>
      <c r="G5" s="58"/>
      <c r="H5" s="55" t="n">
        <f aca="false">SUM(B5:G5)</f>
        <v>360320</v>
      </c>
    </row>
    <row r="6" customFormat="false" ht="13.8" hidden="false" customHeight="false" outlineLevel="0" collapsed="false">
      <c r="A6" s="56" t="s">
        <v>23</v>
      </c>
      <c r="B6" s="0"/>
      <c r="C6" s="57"/>
      <c r="D6" s="58" t="n">
        <v>39480</v>
      </c>
      <c r="E6" s="58" t="n">
        <v>4740</v>
      </c>
      <c r="F6" s="58" t="n">
        <v>2600</v>
      </c>
      <c r="G6" s="58"/>
      <c r="H6" s="55" t="n">
        <f aca="false">SUM(B6:G6)</f>
        <v>46820</v>
      </c>
    </row>
    <row r="7" customFormat="false" ht="13.8" hidden="false" customHeight="false" outlineLevel="0" collapsed="false">
      <c r="A7" s="56" t="s">
        <v>17</v>
      </c>
      <c r="B7" s="0"/>
      <c r="C7" s="57"/>
      <c r="D7" s="58" t="n">
        <v>6760</v>
      </c>
      <c r="E7" s="58"/>
      <c r="F7" s="58"/>
      <c r="G7" s="58"/>
      <c r="H7" s="55" t="n">
        <f aca="false">SUM(B7:G7)</f>
        <v>6760</v>
      </c>
    </row>
    <row r="8" customFormat="false" ht="13.8" hidden="false" customHeight="false" outlineLevel="0" collapsed="false">
      <c r="A8" s="56" t="s">
        <v>16</v>
      </c>
      <c r="B8" s="0"/>
      <c r="C8" s="57" t="n">
        <v>5220</v>
      </c>
      <c r="D8" s="58" t="n">
        <v>6360</v>
      </c>
      <c r="E8" s="58"/>
      <c r="F8" s="58"/>
      <c r="G8" s="58" t="n">
        <v>3920</v>
      </c>
      <c r="H8" s="55" t="n">
        <f aca="false">SUM(B8:G8)</f>
        <v>15500</v>
      </c>
    </row>
    <row r="9" customFormat="false" ht="13.8" hidden="false" customHeight="false" outlineLevel="0" collapsed="false">
      <c r="A9" s="56" t="s">
        <v>14</v>
      </c>
      <c r="B9" s="0"/>
      <c r="C9" s="57"/>
      <c r="D9" s="58" t="n">
        <v>349500</v>
      </c>
      <c r="E9" s="58"/>
      <c r="F9" s="58"/>
      <c r="G9" s="58"/>
      <c r="H9" s="55" t="n">
        <f aca="false">SUM(B9:G9)</f>
        <v>349500</v>
      </c>
    </row>
    <row r="10" customFormat="false" ht="13.8" hidden="false" customHeight="false" outlineLevel="0" collapsed="false">
      <c r="A10" s="56" t="s">
        <v>15</v>
      </c>
      <c r="B10" s="0"/>
      <c r="C10" s="57"/>
      <c r="D10" s="58" t="n">
        <v>25420</v>
      </c>
      <c r="E10" s="58"/>
      <c r="F10" s="58"/>
      <c r="G10" s="58"/>
      <c r="H10" s="55" t="n">
        <f aca="false">SUM(B10:G10)</f>
        <v>25420</v>
      </c>
    </row>
    <row r="11" customFormat="false" ht="13.8" hidden="false" customHeight="false" outlineLevel="0" collapsed="false">
      <c r="A11" s="56" t="s">
        <v>18</v>
      </c>
      <c r="B11" s="0"/>
      <c r="C11" s="57"/>
      <c r="D11" s="58"/>
      <c r="E11" s="58"/>
      <c r="F11" s="58"/>
      <c r="G11" s="58" t="n">
        <v>19540</v>
      </c>
      <c r="H11" s="55" t="n">
        <f aca="false">SUM(B11:G11)</f>
        <v>19540</v>
      </c>
    </row>
    <row r="12" customFormat="false" ht="13.8" hidden="false" customHeight="false" outlineLevel="0" collapsed="false">
      <c r="A12" s="56"/>
      <c r="B12" s="57"/>
      <c r="C12" s="58"/>
      <c r="D12" s="58"/>
      <c r="E12" s="58"/>
      <c r="F12" s="58"/>
      <c r="G12" s="59"/>
      <c r="H12" s="55" t="n">
        <f aca="false">SUM(B12:G12)</f>
        <v>0</v>
      </c>
    </row>
    <row r="13" customFormat="false" ht="13.8" hidden="false" customHeight="false" outlineLevel="0" collapsed="false">
      <c r="A13" s="56"/>
      <c r="B13" s="60"/>
      <c r="C13" s="61"/>
      <c r="D13" s="61"/>
      <c r="E13" s="61"/>
      <c r="F13" s="61"/>
      <c r="G13" s="62"/>
      <c r="H13" s="55" t="n">
        <f aca="false">SUM(B13:G13)</f>
        <v>0</v>
      </c>
      <c r="I13" s="47" t="s">
        <v>31</v>
      </c>
    </row>
    <row r="14" customFormat="false" ht="13.8" hidden="false" customHeight="false" outlineLevel="0" collapsed="false">
      <c r="A14" s="47"/>
      <c r="B14" s="63"/>
      <c r="C14" s="63"/>
      <c r="D14" s="63"/>
      <c r="E14" s="63"/>
      <c r="F14" s="63"/>
      <c r="G14" s="63"/>
      <c r="H14" s="55" t="n">
        <f aca="false">SUM(B14:G14)</f>
        <v>0</v>
      </c>
    </row>
    <row r="15" customFormat="false" ht="13.8" hidden="false" customHeight="false" outlineLevel="0" collapsed="false">
      <c r="A15" s="51" t="s">
        <v>28</v>
      </c>
      <c r="B15" s="64" t="n">
        <f aca="false">SUM(B3:B14)</f>
        <v>0</v>
      </c>
      <c r="C15" s="64" t="n">
        <f aca="false">SUM(C3:C14)</f>
        <v>12680</v>
      </c>
      <c r="D15" s="64" t="n">
        <f aca="false">SUM(D3:D14)</f>
        <v>774400</v>
      </c>
      <c r="E15" s="64" t="n">
        <f aca="false">SUM(E3:E14)</f>
        <v>10580</v>
      </c>
      <c r="F15" s="64" t="n">
        <f aca="false">SUM(F3:F14)</f>
        <v>17300</v>
      </c>
      <c r="G15" s="64" t="n">
        <f aca="false">SUM(G3:G14)</f>
        <v>32280</v>
      </c>
      <c r="H15" s="65" t="n">
        <f aca="false">SUM(B15:G15)</f>
        <v>847240</v>
      </c>
    </row>
    <row r="16" customFormat="false" ht="13.8" hidden="false" customHeight="false" outlineLevel="0" collapsed="false">
      <c r="A16" s="66" t="s">
        <v>32</v>
      </c>
      <c r="B16" s="67" t="n">
        <f aca="false">+E79</f>
        <v>0</v>
      </c>
      <c r="C16" s="67" t="n">
        <f aca="false">+E73</f>
        <v>12680</v>
      </c>
      <c r="D16" s="67" t="n">
        <f aca="false">+F35</f>
        <v>774400</v>
      </c>
      <c r="E16" s="67" t="n">
        <f aca="false">+E64</f>
        <v>10580</v>
      </c>
      <c r="F16" s="67" t="n">
        <f aca="false">+E56</f>
        <v>17300</v>
      </c>
      <c r="G16" s="67" t="n">
        <f aca="false">+F46</f>
        <v>32280</v>
      </c>
      <c r="H16" s="68" t="n">
        <f aca="false">SUM(B16:G16)</f>
        <v>847240</v>
      </c>
    </row>
    <row r="17" customFormat="false" ht="13.8" hidden="false" customHeight="false" outlineLevel="0" collapsed="false">
      <c r="C17" s="69"/>
      <c r="D17" s="69"/>
      <c r="E17" s="69"/>
      <c r="F17" s="69"/>
      <c r="G17" s="69"/>
      <c r="H17" s="69"/>
    </row>
    <row r="18" customFormat="false" ht="13.8" hidden="false" customHeight="false" outlineLevel="0" collapsed="false">
      <c r="C18" s="69"/>
      <c r="D18" s="69" t="s">
        <v>33</v>
      </c>
      <c r="E18" s="69" t="s">
        <v>34</v>
      </c>
      <c r="F18" s="69" t="s">
        <v>35</v>
      </c>
      <c r="G18" s="69"/>
      <c r="H18" s="69"/>
    </row>
    <row r="19" customFormat="false" ht="13.8" hidden="false" customHeight="false" outlineLevel="0" collapsed="false">
      <c r="A19" s="70" t="s">
        <v>36</v>
      </c>
      <c r="B19" s="70"/>
      <c r="C19" s="70"/>
      <c r="D19" s="71" t="n">
        <f aca="false">+F35+F46+E56+E64+E73+E79</f>
        <v>847240</v>
      </c>
      <c r="E19" s="72" t="n">
        <f aca="false">+G35+G46+F56+F64+F73+F79</f>
        <v>847240</v>
      </c>
      <c r="F19" s="71" t="n">
        <f aca="false">+E19-D19</f>
        <v>0</v>
      </c>
      <c r="G19" s="69"/>
      <c r="H19" s="69"/>
    </row>
    <row r="20" customFormat="false" ht="13.8" hidden="false" customHeight="false" outlineLevel="0" collapsed="false">
      <c r="C20" s="69"/>
      <c r="D20" s="69"/>
      <c r="E20" s="69"/>
      <c r="F20" s="69"/>
      <c r="G20" s="69"/>
      <c r="H20" s="69"/>
    </row>
    <row r="21" customFormat="false" ht="13.8" hidden="false" customHeight="false" outlineLevel="0" collapsed="false">
      <c r="A21" s="47"/>
      <c r="D21" s="47"/>
    </row>
    <row r="22" customFormat="false" ht="13.8" hidden="false" customHeight="false" outlineLevel="0" collapsed="false">
      <c r="A22" s="69" t="s">
        <v>12</v>
      </c>
      <c r="B22" s="69"/>
      <c r="C22" s="69"/>
      <c r="D22" s="69"/>
      <c r="E22" s="69"/>
      <c r="F22" s="69"/>
      <c r="G22" s="69"/>
      <c r="H22" s="69"/>
    </row>
    <row r="23" customFormat="false" ht="13.8" hidden="false" customHeight="false" outlineLevel="0" collapsed="false">
      <c r="A23" s="46" t="s">
        <v>37</v>
      </c>
      <c r="B23" s="47" t="s">
        <v>38</v>
      </c>
      <c r="C23" s="73" t="s">
        <v>39</v>
      </c>
      <c r="D23" s="74" t="s">
        <v>40</v>
      </c>
      <c r="E23" s="73" t="s">
        <v>41</v>
      </c>
      <c r="F23" s="75" t="s">
        <v>42</v>
      </c>
      <c r="G23" s="73" t="s">
        <v>34</v>
      </c>
      <c r="H23" s="73"/>
    </row>
    <row r="24" customFormat="false" ht="13.8" hidden="false" customHeight="false" outlineLevel="0" collapsed="false">
      <c r="A24" s="76" t="n">
        <v>109</v>
      </c>
      <c r="B24" s="77" t="s">
        <v>43</v>
      </c>
      <c r="C24" s="78" t="s">
        <v>21</v>
      </c>
      <c r="D24" s="79"/>
      <c r="E24" s="78"/>
      <c r="F24" s="80"/>
      <c r="G24" s="81" t="n">
        <f aca="false">IFERROR(INDEX($B$3:$G$14,MATCH(C24,$A$3:$A$14,0),MATCH($A$22,$B$2:$G$2,0)),0)</f>
        <v>0</v>
      </c>
      <c r="H24" s="82" t="str">
        <f aca="false">IF(G24=F24,"Bien",G24-F24)</f>
        <v>Bien</v>
      </c>
    </row>
    <row r="25" customFormat="false" ht="13.8" hidden="false" customHeight="false" outlineLevel="0" collapsed="false">
      <c r="A25" s="83" t="n">
        <v>333</v>
      </c>
      <c r="B25" s="84" t="s">
        <v>44</v>
      </c>
      <c r="C25" s="85" t="s">
        <v>22</v>
      </c>
      <c r="D25" s="86" t="s">
        <v>45</v>
      </c>
      <c r="E25" s="73" t="s">
        <v>46</v>
      </c>
      <c r="F25" s="75" t="n">
        <v>4060</v>
      </c>
      <c r="G25" s="87" t="n">
        <f aca="false">IFERROR(INDEX($B$3:$G$14,MATCH(C25,$A$3:$A$14,0),MATCH($A$22,$B$2:$G$2,0)),0)</f>
        <v>4060</v>
      </c>
      <c r="H25" s="88" t="str">
        <f aca="false">IF(G25=F25,"Bien",G25-F25)</f>
        <v>Bien</v>
      </c>
    </row>
    <row r="26" customFormat="false" ht="14.9" hidden="false" customHeight="false" outlineLevel="0" collapsed="false">
      <c r="A26" s="89" t="n">
        <v>320</v>
      </c>
      <c r="B26" s="90" t="s">
        <v>47</v>
      </c>
      <c r="C26" s="73" t="s">
        <v>10</v>
      </c>
      <c r="D26" s="86" t="s">
        <v>45</v>
      </c>
      <c r="E26" s="73" t="s">
        <v>48</v>
      </c>
      <c r="F26" s="75" t="n">
        <v>342820</v>
      </c>
      <c r="G26" s="87" t="n">
        <f aca="false">IFERROR(INDEX($B$3:$G$14,MATCH(C26,$A$3:$A$14,0),MATCH($A$22,$B$2:$G$2,0)),0)</f>
        <v>342820</v>
      </c>
      <c r="H26" s="88" t="str">
        <f aca="false">IF(G26=F26,"Bien",G26-F26)</f>
        <v>Bien</v>
      </c>
    </row>
    <row r="27" customFormat="false" ht="14.9" hidden="false" customHeight="false" outlineLevel="0" collapsed="false">
      <c r="A27" s="89" t="n">
        <v>321</v>
      </c>
      <c r="B27" s="90" t="s">
        <v>49</v>
      </c>
      <c r="C27" s="73" t="s">
        <v>23</v>
      </c>
      <c r="D27" s="86" t="s">
        <v>45</v>
      </c>
      <c r="E27" s="73" t="s">
        <v>48</v>
      </c>
      <c r="F27" s="75" t="n">
        <v>39480</v>
      </c>
      <c r="G27" s="87" t="n">
        <f aca="false">IFERROR(INDEX($B$3:$G$14,MATCH(C27,$A$3:$A$14,0),MATCH($A$22,$B$2:$G$2,0)),0)</f>
        <v>39480</v>
      </c>
      <c r="H27" s="88" t="str">
        <f aca="false">IF(G27=F27,"Bien",G27-F27)</f>
        <v>Bien</v>
      </c>
    </row>
    <row r="28" customFormat="false" ht="13.8" hidden="false" customHeight="false" outlineLevel="0" collapsed="false">
      <c r="A28" s="83" t="n">
        <v>316</v>
      </c>
      <c r="B28" s="47" t="s">
        <v>50</v>
      </c>
      <c r="C28" s="73" t="s">
        <v>17</v>
      </c>
      <c r="D28" s="86" t="s">
        <v>45</v>
      </c>
      <c r="E28" s="73" t="s">
        <v>51</v>
      </c>
      <c r="F28" s="0" t="n">
        <v>6760</v>
      </c>
      <c r="G28" s="87" t="n">
        <f aca="false">IFERROR(INDEX($B$3:$G$14,MATCH(C28,$A$3:$A$14,0),MATCH($A$22,$B$2:$G$2,0)),0)</f>
        <v>6760</v>
      </c>
      <c r="H28" s="88" t="str">
        <f aca="false">IF(G28=F28,"Bien",G28-F28)</f>
        <v>Bien</v>
      </c>
    </row>
    <row r="29" customFormat="false" ht="14.9" hidden="false" customHeight="false" outlineLevel="0" collapsed="false">
      <c r="A29" s="89" t="n">
        <v>196</v>
      </c>
      <c r="B29" s="90" t="s">
        <v>52</v>
      </c>
      <c r="C29" s="73" t="s">
        <v>53</v>
      </c>
      <c r="D29" s="86"/>
      <c r="E29" s="73"/>
      <c r="F29" s="0"/>
      <c r="G29" s="87" t="n">
        <f aca="false">IFERROR(INDEX($B$3:$G$14,MATCH(C29,$A$3:$A$14,0),MATCH($A$22,$B$2:$G$2,0)),0)</f>
        <v>0</v>
      </c>
      <c r="H29" s="88" t="str">
        <f aca="false">IF(G29=F29,"Bien",G29-F29)</f>
        <v>Bien</v>
      </c>
      <c r="I29" s="47" t="s">
        <v>54</v>
      </c>
    </row>
    <row r="30" customFormat="false" ht="13.8" hidden="false" customHeight="false" outlineLevel="0" collapsed="false">
      <c r="A30" s="83" t="n">
        <v>309</v>
      </c>
      <c r="B30" s="47" t="s">
        <v>55</v>
      </c>
      <c r="C30" s="73" t="s">
        <v>16</v>
      </c>
      <c r="D30" s="86" t="s">
        <v>45</v>
      </c>
      <c r="E30" s="73" t="s">
        <v>48</v>
      </c>
      <c r="F30" s="0" t="n">
        <v>6360</v>
      </c>
      <c r="G30" s="87" t="n">
        <f aca="false">IFERROR(INDEX($B$3:$G$14,MATCH(C30,$A$3:$A$14,0),MATCH($A$22,$B$2:$G$2,0)),0)</f>
        <v>6360</v>
      </c>
      <c r="H30" s="88" t="str">
        <f aca="false">IF(G30=F30,"Bien",G30-F30)</f>
        <v>Bien</v>
      </c>
      <c r="L30" s="91"/>
      <c r="M30" s="92"/>
      <c r="N30" s="93"/>
    </row>
    <row r="31" customFormat="false" ht="14.9" hidden="false" customHeight="false" outlineLevel="0" collapsed="false">
      <c r="A31" s="83" t="n">
        <v>318</v>
      </c>
      <c r="B31" s="90" t="s">
        <v>52</v>
      </c>
      <c r="C31" s="73" t="s">
        <v>14</v>
      </c>
      <c r="D31" s="86" t="s">
        <v>45</v>
      </c>
      <c r="E31" s="73" t="s">
        <v>46</v>
      </c>
      <c r="F31" s="0" t="n">
        <v>349500</v>
      </c>
      <c r="G31" s="87" t="n">
        <f aca="false">IFERROR(INDEX($B$3:$G$14,MATCH(C31,$A$3:$A$14,0),MATCH($A$22,$B$2:$G$2,0)),0)</f>
        <v>349500</v>
      </c>
      <c r="H31" s="88" t="str">
        <f aca="false">IF(G31=F31,"Bien",G31-F31)</f>
        <v>Bien</v>
      </c>
      <c r="L31" s="91"/>
      <c r="M31" s="84"/>
      <c r="N31" s="93"/>
    </row>
    <row r="32" customFormat="false" ht="14.9" hidden="false" customHeight="false" outlineLevel="0" collapsed="false">
      <c r="A32" s="83" t="n">
        <v>310</v>
      </c>
      <c r="B32" s="90" t="s">
        <v>56</v>
      </c>
      <c r="C32" s="84" t="s">
        <v>15</v>
      </c>
      <c r="D32" s="86" t="s">
        <v>45</v>
      </c>
      <c r="E32" s="73" t="s">
        <v>48</v>
      </c>
      <c r="F32" s="0" t="n">
        <v>25420</v>
      </c>
      <c r="G32" s="87" t="n">
        <f aca="false">IFERROR(INDEX($B$3:$G$14,MATCH(C32,$A$3:$A$14,0),MATCH($A$22,$B$2:$G$2,0)),0)</f>
        <v>25420</v>
      </c>
      <c r="H32" s="88" t="str">
        <f aca="false">IF(G32=F32,"Bien",G32-F32)</f>
        <v>Bien</v>
      </c>
      <c r="N32" s="90"/>
    </row>
    <row r="33" customFormat="false" ht="13.8" hidden="false" customHeight="false" outlineLevel="0" collapsed="false">
      <c r="A33" s="83" t="n">
        <v>296</v>
      </c>
      <c r="B33" s="84" t="s">
        <v>57</v>
      </c>
      <c r="C33" s="84" t="s">
        <v>18</v>
      </c>
      <c r="D33" s="86"/>
      <c r="E33" s="73"/>
      <c r="F33" s="94"/>
      <c r="G33" s="87" t="n">
        <f aca="false">IFERROR(INDEX($B$3:$G$14,MATCH(C33,$A$3:$A$14,0),MATCH($A$22,$B$2:$G$2,0)),0)</f>
        <v>0</v>
      </c>
      <c r="H33" s="95" t="str">
        <f aca="false">IF(G33=F33,"Bien",G33-F33)</f>
        <v>Bien</v>
      </c>
      <c r="N33" s="90"/>
    </row>
    <row r="34" customFormat="false" ht="13.8" hidden="false" customHeight="false" outlineLevel="0" collapsed="false">
      <c r="A34" s="96"/>
      <c r="B34" s="97" t="s">
        <v>43</v>
      </c>
      <c r="C34" s="97" t="s">
        <v>58</v>
      </c>
      <c r="D34" s="98"/>
      <c r="E34" s="99"/>
      <c r="F34" s="100"/>
      <c r="G34" s="101" t="n">
        <f aca="false">IFERROR(INDEX($B$3:$G$14,MATCH(C34,$A$3:$A$14,0),MATCH($A$22,$B$2:$G$2,0)),0)</f>
        <v>0</v>
      </c>
      <c r="H34" s="102" t="str">
        <f aca="false">IF(G34=F34,"Bien",G34-F34)</f>
        <v>Bien</v>
      </c>
      <c r="I34" s="47" t="s">
        <v>59</v>
      </c>
      <c r="N34" s="90"/>
    </row>
    <row r="35" customFormat="false" ht="13.8" hidden="false" customHeight="false" outlineLevel="0" collapsed="false">
      <c r="C35" s="73"/>
      <c r="D35" s="74"/>
      <c r="E35" s="73"/>
      <c r="F35" s="103" t="n">
        <f aca="false">SUM(F24:F34)</f>
        <v>774400</v>
      </c>
      <c r="G35" s="104" t="n">
        <f aca="false">SUM(G24:G34)</f>
        <v>774400</v>
      </c>
      <c r="H35" s="73"/>
      <c r="I35" s="105" t="str">
        <f aca="false">IF(G35=D15,"OK","Revisar")</f>
        <v>OK</v>
      </c>
      <c r="L35" s="91"/>
      <c r="N35" s="73"/>
    </row>
    <row r="36" customFormat="false" ht="13.8" hidden="false" customHeight="false" outlineLevel="0" collapsed="false">
      <c r="A36" s="69" t="str">
        <f aca="false">+G2</f>
        <v>VOLUMINOSOS</v>
      </c>
      <c r="B36" s="69"/>
      <c r="C36" s="69"/>
      <c r="D36" s="69"/>
      <c r="E36" s="69"/>
      <c r="F36" s="69"/>
      <c r="G36" s="69"/>
      <c r="H36" s="69"/>
      <c r="L36" s="91"/>
      <c r="N36" s="73"/>
    </row>
    <row r="37" customFormat="false" ht="13.8" hidden="false" customHeight="false" outlineLevel="0" collapsed="false">
      <c r="C37" s="73" t="s">
        <v>39</v>
      </c>
      <c r="D37" s="74" t="s">
        <v>60</v>
      </c>
      <c r="E37" s="73" t="s">
        <v>61</v>
      </c>
      <c r="F37" s="103" t="s">
        <v>42</v>
      </c>
      <c r="G37" s="73" t="s">
        <v>34</v>
      </c>
      <c r="H37" s="73"/>
    </row>
    <row r="38" customFormat="false" ht="13.8" hidden="false" customHeight="false" outlineLevel="0" collapsed="false">
      <c r="A38" s="76" t="n">
        <v>109</v>
      </c>
      <c r="B38" s="77" t="s">
        <v>43</v>
      </c>
      <c r="C38" s="78" t="s">
        <v>21</v>
      </c>
      <c r="D38" s="106" t="n">
        <v>2</v>
      </c>
      <c r="E38" s="80" t="n">
        <v>3</v>
      </c>
      <c r="F38" s="80" t="n">
        <v>7080</v>
      </c>
      <c r="G38" s="107" t="n">
        <f aca="false">IFERROR(INDEX($B$3:$G$14,MATCH(C38,$A$3:$A$14,0),MATCH($A$36,$B$2:$G$2,0)),0)</f>
        <v>7080</v>
      </c>
      <c r="H38" s="108" t="str">
        <f aca="false">IF(G38=F38,"Bien",G38-F38)</f>
        <v>Bien</v>
      </c>
    </row>
    <row r="39" customFormat="false" ht="13.8" hidden="false" customHeight="false" outlineLevel="0" collapsed="false">
      <c r="A39" s="83" t="n">
        <v>333</v>
      </c>
      <c r="B39" s="47" t="s">
        <v>44</v>
      </c>
      <c r="C39" s="73" t="s">
        <v>22</v>
      </c>
      <c r="D39" s="109" t="n">
        <v>2</v>
      </c>
      <c r="E39" s="75" t="n">
        <v>3</v>
      </c>
      <c r="F39" s="75" t="n">
        <v>1740</v>
      </c>
      <c r="G39" s="110" t="n">
        <f aca="false">IFERROR(INDEX($B$3:$G$14,MATCH(C39,$A$3:$A$14,0),MATCH($A$36,$B$2:$G$2,0)),0)</f>
        <v>1740</v>
      </c>
      <c r="H39" s="111" t="str">
        <f aca="false">IF(G39=F39,"Bien",G39-F39)</f>
        <v>Bien</v>
      </c>
    </row>
    <row r="40" customFormat="false" ht="13.8" hidden="false" customHeight="false" outlineLevel="0" collapsed="false">
      <c r="A40" s="83" t="n">
        <v>316</v>
      </c>
      <c r="B40" s="84" t="s">
        <v>50</v>
      </c>
      <c r="C40" s="84" t="s">
        <v>17</v>
      </c>
      <c r="D40" s="109"/>
      <c r="E40" s="75"/>
      <c r="F40" s="75"/>
      <c r="G40" s="110" t="n">
        <f aca="false">IFERROR(INDEX($B$3:$G$14,MATCH(C40,$A$3:$A$14,0),MATCH($A$36,$B$2:$G$2,0)),0)</f>
        <v>0</v>
      </c>
      <c r="H40" s="111" t="str">
        <f aca="false">IF(G40=F40,"Bien",G40-F40)</f>
        <v>Bien</v>
      </c>
    </row>
    <row r="41" customFormat="false" ht="13.8" hidden="false" customHeight="false" outlineLevel="0" collapsed="false">
      <c r="A41" s="83" t="n">
        <v>309</v>
      </c>
      <c r="B41" s="47" t="s">
        <v>55</v>
      </c>
      <c r="C41" s="73" t="s">
        <v>16</v>
      </c>
      <c r="D41" s="109" t="n">
        <v>2</v>
      </c>
      <c r="E41" s="75" t="n">
        <v>7</v>
      </c>
      <c r="F41" s="75" t="n">
        <v>3920</v>
      </c>
      <c r="G41" s="110" t="n">
        <f aca="false">IFERROR(INDEX($B$3:$G$14,MATCH(C41,$A$3:$A$14,0),MATCH($A$36,$B$2:$G$2,0)),0)</f>
        <v>3920</v>
      </c>
      <c r="H41" s="112" t="str">
        <f aca="false">IF(G41=F41,"Bien",G41-F41)</f>
        <v>Bien</v>
      </c>
    </row>
    <row r="42" customFormat="false" ht="13.8" hidden="false" customHeight="false" outlineLevel="0" collapsed="false">
      <c r="A42" s="83" t="n">
        <v>296</v>
      </c>
      <c r="B42" s="84" t="s">
        <v>57</v>
      </c>
      <c r="C42" s="84" t="s">
        <v>18</v>
      </c>
      <c r="D42" s="113" t="n">
        <v>2</v>
      </c>
      <c r="E42" s="114" t="n">
        <v>21</v>
      </c>
      <c r="F42" s="114" t="n">
        <v>19540</v>
      </c>
      <c r="G42" s="110" t="n">
        <f aca="false">IFERROR(INDEX($B$3:$G$14,MATCH(C42,$A$3:$A$14,0),MATCH($A$36,$B$2:$G$2,0)),0)</f>
        <v>19540</v>
      </c>
      <c r="H42" s="112" t="str">
        <f aca="false">IF(G42=F42,"Bien",G42-F42)</f>
        <v>Bien</v>
      </c>
    </row>
    <row r="43" customFormat="false" ht="13.8" hidden="false" customHeight="false" outlineLevel="0" collapsed="false">
      <c r="A43" s="83"/>
      <c r="B43" s="115" t="s">
        <v>43</v>
      </c>
      <c r="C43" s="115" t="s">
        <v>58</v>
      </c>
      <c r="D43" s="113"/>
      <c r="E43" s="114"/>
      <c r="F43" s="114"/>
      <c r="G43" s="110" t="n">
        <f aca="false">IFERROR(INDEX($B$3:$G$14,MATCH(C43,$A$3:$A$14,0),MATCH($A$36,$B$2:$G$2,0)),0)</f>
        <v>0</v>
      </c>
      <c r="H43" s="111" t="str">
        <f aca="false">IF(G43=F43,"Bien",G43-F43)</f>
        <v>Bien</v>
      </c>
    </row>
    <row r="44" customFormat="false" ht="13.8" hidden="false" customHeight="false" outlineLevel="0" collapsed="false">
      <c r="A44" s="83"/>
      <c r="B44" s="84"/>
      <c r="C44" s="115" t="s">
        <v>62</v>
      </c>
      <c r="D44" s="113"/>
      <c r="E44" s="114"/>
      <c r="F44" s="114"/>
      <c r="G44" s="110" t="n">
        <f aca="false">IFERROR(INDEX($B$3:$G$14,MATCH(C44,$A$3:$A$14,0),MATCH($A$36,$B$2:$G$2,0)),0)</f>
        <v>0</v>
      </c>
      <c r="H44" s="111" t="str">
        <f aca="false">IF(G44=F44,"Bien",G44-F44)</f>
        <v>Bien</v>
      </c>
    </row>
    <row r="45" customFormat="false" ht="14.9" hidden="false" customHeight="false" outlineLevel="0" collapsed="false">
      <c r="A45" s="96"/>
      <c r="B45" s="116" t="s">
        <v>63</v>
      </c>
      <c r="C45" s="117" t="s">
        <v>64</v>
      </c>
      <c r="D45" s="118"/>
      <c r="E45" s="119"/>
      <c r="F45" s="119"/>
      <c r="G45" s="120" t="n">
        <f aca="false">IFERROR(INDEX($B$3:$G$14,MATCH(C45,$A$3:$A$14,0),MATCH($A$36,$B$2:$G$2,0)),0)</f>
        <v>0</v>
      </c>
      <c r="H45" s="121" t="str">
        <f aca="false">IF(G45=F45,"Bien",G45-F45)</f>
        <v>Bien</v>
      </c>
    </row>
    <row r="46" customFormat="false" ht="13.8" hidden="false" customHeight="false" outlineLevel="0" collapsed="false">
      <c r="A46" s="47"/>
      <c r="D46" s="74"/>
      <c r="E46" s="73"/>
      <c r="F46" s="103" t="n">
        <f aca="false">SUM(F38:F45)</f>
        <v>32280</v>
      </c>
      <c r="G46" s="104" t="n">
        <f aca="false">SUM(G38:G45)</f>
        <v>32280</v>
      </c>
      <c r="H46" s="73"/>
      <c r="I46" s="105" t="str">
        <f aca="false">+IF(G46=G15,"OK","Revisar")</f>
        <v>OK</v>
      </c>
    </row>
    <row r="47" customFormat="false" ht="13.8" hidden="false" customHeight="false" outlineLevel="0" collapsed="false">
      <c r="C47" s="73"/>
      <c r="D47" s="74"/>
      <c r="E47" s="73"/>
      <c r="F47" s="103"/>
      <c r="G47" s="104"/>
      <c r="H47" s="73"/>
    </row>
    <row r="48" customFormat="false" ht="13.8" hidden="false" customHeight="false" outlineLevel="0" collapsed="false">
      <c r="A48" s="69" t="s">
        <v>20</v>
      </c>
      <c r="B48" s="69"/>
      <c r="C48" s="69"/>
      <c r="D48" s="69"/>
      <c r="E48" s="69"/>
      <c r="F48" s="69"/>
      <c r="G48" s="69"/>
      <c r="H48" s="69"/>
    </row>
    <row r="49" customFormat="false" ht="13.8" hidden="false" customHeight="false" outlineLevel="0" collapsed="false">
      <c r="C49" s="122" t="s">
        <v>39</v>
      </c>
      <c r="D49" s="123" t="s">
        <v>61</v>
      </c>
      <c r="E49" s="124" t="s">
        <v>42</v>
      </c>
      <c r="F49" s="125" t="s">
        <v>34</v>
      </c>
      <c r="G49" s="73"/>
      <c r="H49" s="73"/>
    </row>
    <row r="50" customFormat="false" ht="13.8" hidden="false" customHeight="false" outlineLevel="0" collapsed="false">
      <c r="A50" s="126" t="n">
        <v>109</v>
      </c>
      <c r="B50" s="127" t="s">
        <v>43</v>
      </c>
      <c r="C50" s="78" t="s">
        <v>21</v>
      </c>
      <c r="D50" s="128" t="n">
        <v>2</v>
      </c>
      <c r="E50" s="129" t="n">
        <v>3040</v>
      </c>
      <c r="F50" s="130" t="n">
        <f aca="false">IFERROR(INDEX($B$3:$G$14,MATCH(C50,$A$3:$A$14,0),MATCH($A$48,$B$2:$G$2,0)),0)</f>
        <v>3040</v>
      </c>
      <c r="G50" s="108" t="str">
        <f aca="false">IF(F50=E50,"Bien",F50-E50)</f>
        <v>Bien</v>
      </c>
      <c r="H50" s="73"/>
    </row>
    <row r="51" customFormat="false" ht="14.9" hidden="false" customHeight="false" outlineLevel="0" collapsed="false">
      <c r="A51" s="131" t="n">
        <v>320</v>
      </c>
      <c r="B51" s="132" t="s">
        <v>47</v>
      </c>
      <c r="C51" s="73" t="s">
        <v>10</v>
      </c>
      <c r="D51" s="133" t="n">
        <v>4</v>
      </c>
      <c r="E51" s="134" t="n">
        <v>11660</v>
      </c>
      <c r="F51" s="135" t="n">
        <f aca="false">IFERROR(INDEX($B$3:$G$14,MATCH(C51,$A$3:$A$14,0),MATCH($A$48,$B$2:$G$2,0)),0)</f>
        <v>11660</v>
      </c>
      <c r="G51" s="111" t="str">
        <f aca="false">IF(F51=E51,"Bien",F51-E51)</f>
        <v>Bien</v>
      </c>
      <c r="H51" s="73"/>
    </row>
    <row r="52" customFormat="false" ht="14.9" hidden="false" customHeight="false" outlineLevel="0" collapsed="false">
      <c r="A52" s="131" t="n">
        <v>321</v>
      </c>
      <c r="B52" s="132" t="s">
        <v>49</v>
      </c>
      <c r="C52" s="73" t="s">
        <v>23</v>
      </c>
      <c r="D52" s="133" t="n">
        <v>1</v>
      </c>
      <c r="E52" s="134" t="n">
        <v>2600</v>
      </c>
      <c r="F52" s="135" t="n">
        <f aca="false">IFERROR(INDEX($B$3:$G$14,MATCH(C52,$A$3:$A$14,0),MATCH($A$48,$B$2:$G$2,0)),0)</f>
        <v>2600</v>
      </c>
      <c r="G52" s="111" t="str">
        <f aca="false">IF(F52=E52,"Bien",F52-E52)</f>
        <v>Bien</v>
      </c>
      <c r="H52" s="73"/>
    </row>
    <row r="53" customFormat="false" ht="13.8" hidden="false" customHeight="false" outlineLevel="0" collapsed="false">
      <c r="A53" s="136" t="n">
        <v>296</v>
      </c>
      <c r="B53" s="137" t="s">
        <v>57</v>
      </c>
      <c r="C53" s="73" t="s">
        <v>18</v>
      </c>
      <c r="D53" s="133"/>
      <c r="E53" s="138"/>
      <c r="F53" s="135" t="n">
        <f aca="false">IFERROR(INDEX($B$3:$G$14,MATCH(C53,$A$3:$A$14,0),MATCH($A$48,$B$2:$G$2,0)),0)</f>
        <v>0</v>
      </c>
      <c r="G53" s="111" t="str">
        <f aca="false">IF(F53=E53,"Bien",F53-E53)</f>
        <v>Bien</v>
      </c>
      <c r="H53" s="73"/>
    </row>
    <row r="54" customFormat="false" ht="14.9" hidden="false" customHeight="false" outlineLevel="0" collapsed="false">
      <c r="A54" s="131"/>
      <c r="B54" s="139"/>
      <c r="C54" s="140" t="s">
        <v>62</v>
      </c>
      <c r="D54" s="141"/>
      <c r="E54" s="142"/>
      <c r="F54" s="135" t="n">
        <f aca="false">IFERROR(INDEX($B$3:$G$14,MATCH(C54,$A$3:$A$14,0),MATCH($A$48,$B$2:$G$2,0)),0)</f>
        <v>0</v>
      </c>
      <c r="G54" s="111" t="str">
        <f aca="false">IF(F54=E54,"Bien",F54-E54)</f>
        <v>Bien</v>
      </c>
      <c r="H54" s="73"/>
    </row>
    <row r="55" customFormat="false" ht="13.8" hidden="false" customHeight="false" outlineLevel="0" collapsed="false">
      <c r="A55" s="143"/>
      <c r="B55" s="144" t="s">
        <v>43</v>
      </c>
      <c r="C55" s="97" t="s">
        <v>58</v>
      </c>
      <c r="D55" s="145"/>
      <c r="E55" s="146"/>
      <c r="F55" s="147" t="n">
        <f aca="false">IFERROR(INDEX($B$3:$G$14,MATCH(C55,$A$3:$A$14,0),MATCH($A$48,$B$2:$G$2,0)),0)</f>
        <v>0</v>
      </c>
      <c r="G55" s="121" t="str">
        <f aca="false">IF(F55=E55,"Bien",F55-E55)</f>
        <v>Bien</v>
      </c>
      <c r="H55" s="73"/>
    </row>
    <row r="56" customFormat="false" ht="13.8" hidden="false" customHeight="false" outlineLevel="0" collapsed="false">
      <c r="C56" s="73"/>
      <c r="D56" s="133"/>
      <c r="E56" s="104" t="n">
        <f aca="false">SUM(E50:E55)</f>
        <v>17300</v>
      </c>
      <c r="F56" s="104" t="n">
        <f aca="false">SUM(F50:F55)</f>
        <v>17300</v>
      </c>
      <c r="G56" s="73"/>
      <c r="H56" s="73"/>
      <c r="I56" s="105" t="str">
        <f aca="false">+IF(F56=F15,"OK","Revisar")</f>
        <v>OK</v>
      </c>
    </row>
    <row r="57" customFormat="false" ht="13.8" hidden="false" customHeight="false" outlineLevel="0" collapsed="false">
      <c r="A57" s="69" t="s">
        <v>24</v>
      </c>
      <c r="B57" s="69"/>
      <c r="C57" s="69"/>
      <c r="D57" s="69"/>
      <c r="E57" s="69"/>
      <c r="F57" s="69"/>
      <c r="G57" s="69"/>
      <c r="H57" s="73"/>
    </row>
    <row r="58" customFormat="false" ht="13.8" hidden="false" customHeight="false" outlineLevel="0" collapsed="false">
      <c r="C58" s="73" t="s">
        <v>39</v>
      </c>
      <c r="D58" s="74" t="s">
        <v>61</v>
      </c>
      <c r="E58" s="73" t="s">
        <v>42</v>
      </c>
      <c r="F58" s="103" t="s">
        <v>34</v>
      </c>
      <c r="G58" s="73"/>
      <c r="H58" s="73"/>
    </row>
    <row r="59" customFormat="false" ht="13.8" hidden="false" customHeight="false" outlineLevel="0" collapsed="false">
      <c r="A59" s="148" t="n">
        <v>109</v>
      </c>
      <c r="B59" s="149" t="s">
        <v>43</v>
      </c>
      <c r="C59" s="150" t="s">
        <v>21</v>
      </c>
      <c r="D59" s="151"/>
      <c r="E59" s="152"/>
      <c r="F59" s="153" t="n">
        <f aca="false">IFERROR(INDEX($B$3:$G$14,MATCH(C59,$A$3:$A$14,0),MATCH($A$57,$B$2:$G$2,0)),0)</f>
        <v>0</v>
      </c>
      <c r="G59" s="154" t="str">
        <f aca="false">IF(F59=E59,"Bien",F59-E59)</f>
        <v>Bien</v>
      </c>
      <c r="H59" s="73"/>
    </row>
    <row r="60" customFormat="false" ht="14.9" hidden="false" customHeight="false" outlineLevel="0" collapsed="false">
      <c r="A60" s="155" t="n">
        <v>320</v>
      </c>
      <c r="B60" s="90" t="s">
        <v>47</v>
      </c>
      <c r="C60" s="73" t="s">
        <v>10</v>
      </c>
      <c r="D60" s="141" t="n">
        <v>3</v>
      </c>
      <c r="E60" s="142" t="n">
        <v>5840</v>
      </c>
      <c r="F60" s="87" t="n">
        <f aca="false">IFERROR(INDEX($B$3:$G$14,MATCH(C60,$A$3:$A$14,0),MATCH($A$57,$B$2:$G$2,0)),0)</f>
        <v>5840</v>
      </c>
      <c r="G60" s="95" t="str">
        <f aca="false">IF(F60=E60,"Bien",F60-E60)</f>
        <v>Bien</v>
      </c>
      <c r="H60" s="73"/>
    </row>
    <row r="61" customFormat="false" ht="14.9" hidden="false" customHeight="false" outlineLevel="0" collapsed="false">
      <c r="A61" s="155" t="n">
        <v>321</v>
      </c>
      <c r="B61" s="90" t="s">
        <v>49</v>
      </c>
      <c r="C61" s="73" t="s">
        <v>23</v>
      </c>
      <c r="D61" s="141" t="n">
        <v>2</v>
      </c>
      <c r="E61" s="142" t="n">
        <v>4740</v>
      </c>
      <c r="F61" s="87" t="n">
        <f aca="false">IFERROR(INDEX($B$3:$G$14,MATCH(C61,$A$3:$A$14,0),MATCH($A$57,$B$2:$G$2,0)),0)</f>
        <v>4740</v>
      </c>
      <c r="G61" s="95" t="str">
        <f aca="false">IF(F61=E61,"Bien",F61-E61)</f>
        <v>Bien</v>
      </c>
      <c r="H61" s="73"/>
    </row>
    <row r="62" customFormat="false" ht="13.8" hidden="false" customHeight="false" outlineLevel="0" collapsed="false">
      <c r="A62" s="156" t="n">
        <v>296</v>
      </c>
      <c r="B62" s="47" t="s">
        <v>57</v>
      </c>
      <c r="C62" s="73" t="s">
        <v>18</v>
      </c>
      <c r="D62" s="141"/>
      <c r="E62" s="142"/>
      <c r="F62" s="87" t="n">
        <f aca="false">IFERROR(INDEX($B$3:$G$14,MATCH(C62,$A$3:$A$14,0),MATCH($A$57,$B$2:$G$2,0)),0)</f>
        <v>0</v>
      </c>
      <c r="G62" s="95" t="str">
        <f aca="false">IF(F62=E62,"Bien",F62-E62)</f>
        <v>Bien</v>
      </c>
      <c r="H62" s="73"/>
    </row>
    <row r="63" customFormat="false" ht="14.9" hidden="false" customHeight="false" outlineLevel="0" collapsed="false">
      <c r="A63" s="157"/>
      <c r="B63" s="158"/>
      <c r="C63" s="159" t="s">
        <v>62</v>
      </c>
      <c r="D63" s="160"/>
      <c r="E63" s="161"/>
      <c r="F63" s="162" t="n">
        <f aca="false">IFERROR(INDEX($B$3:$G$14,MATCH(C63,$A$3:$A$14,0),MATCH($A$57,$B$2:$G$2,0)),0)</f>
        <v>0</v>
      </c>
      <c r="G63" s="102" t="str">
        <f aca="false">IF(F63=E63,"Bien",F63-E63)</f>
        <v>Bien</v>
      </c>
      <c r="H63" s="73"/>
    </row>
    <row r="64" customFormat="false" ht="13.8" hidden="false" customHeight="false" outlineLevel="0" collapsed="false">
      <c r="C64" s="73"/>
      <c r="D64" s="133"/>
      <c r="E64" s="104" t="n">
        <f aca="false">SUM(E59:E63)</f>
        <v>10580</v>
      </c>
      <c r="F64" s="104" t="n">
        <f aca="false">SUM(F59:F63)</f>
        <v>10580</v>
      </c>
      <c r="G64" s="73"/>
      <c r="H64" s="73"/>
      <c r="I64" s="105" t="str">
        <f aca="false">+IF(F64=E15,"OK","Revisar")</f>
        <v>OK</v>
      </c>
    </row>
    <row r="65" customFormat="false" ht="13.8" hidden="false" customHeight="false" outlineLevel="0" collapsed="false">
      <c r="A65" s="69" t="s">
        <v>25</v>
      </c>
      <c r="B65" s="69"/>
      <c r="C65" s="69"/>
      <c r="D65" s="69"/>
      <c r="E65" s="69"/>
      <c r="F65" s="69"/>
      <c r="G65" s="69"/>
      <c r="H65" s="73"/>
    </row>
    <row r="66" customFormat="false" ht="13.8" hidden="false" customHeight="false" outlineLevel="0" collapsed="false">
      <c r="C66" s="73" t="s">
        <v>39</v>
      </c>
      <c r="D66" s="74" t="s">
        <v>61</v>
      </c>
      <c r="E66" s="73" t="s">
        <v>42</v>
      </c>
      <c r="F66" s="103" t="s">
        <v>34</v>
      </c>
      <c r="G66" s="73"/>
      <c r="H66" s="73"/>
    </row>
    <row r="67" customFormat="false" ht="13.8" hidden="false" customHeight="false" outlineLevel="0" collapsed="false">
      <c r="A67" s="148" t="n">
        <v>109</v>
      </c>
      <c r="B67" s="149" t="s">
        <v>43</v>
      </c>
      <c r="C67" s="150" t="s">
        <v>21</v>
      </c>
      <c r="D67" s="163"/>
      <c r="E67" s="152"/>
      <c r="F67" s="153" t="n">
        <f aca="false">IFERROR(INDEX($B$3:$G$14,MATCH(C67,$A$3:$A$14,0),MATCH($A$65,$B$2:$G$2,0)),0)</f>
        <v>0</v>
      </c>
      <c r="G67" s="154" t="str">
        <f aca="false">IF(F67=E67,"Bien",F67-E67)</f>
        <v>Bien</v>
      </c>
      <c r="H67" s="73"/>
    </row>
    <row r="68" customFormat="false" ht="13.8" hidden="false" customHeight="false" outlineLevel="0" collapsed="false">
      <c r="A68" s="156" t="n">
        <v>333</v>
      </c>
      <c r="B68" s="84" t="s">
        <v>44</v>
      </c>
      <c r="C68" s="84" t="s">
        <v>22</v>
      </c>
      <c r="D68" s="141" t="n">
        <v>12</v>
      </c>
      <c r="E68" s="164" t="n">
        <v>7460</v>
      </c>
      <c r="F68" s="87" t="n">
        <f aca="false">IFERROR(INDEX($B$3:$G$14,MATCH(C68,$A$3:$A$14,0),MATCH($A$65,$B$2:$G$2,0)),0)</f>
        <v>7460</v>
      </c>
      <c r="G68" s="95" t="str">
        <f aca="false">IF(F68=E68,"Bien",F68-E68)</f>
        <v>Bien</v>
      </c>
      <c r="H68" s="73"/>
    </row>
    <row r="69" customFormat="false" ht="14.9" hidden="false" customHeight="false" outlineLevel="0" collapsed="false">
      <c r="A69" s="165"/>
      <c r="B69" s="47" t="s">
        <v>63</v>
      </c>
      <c r="C69" s="90" t="s">
        <v>64</v>
      </c>
      <c r="D69" s="138"/>
      <c r="E69" s="138"/>
      <c r="F69" s="87" t="n">
        <f aca="false">IFERROR(INDEX($B$3:$G$14,MATCH(C69,$A$3:$A$14,0),MATCH($A$65,$B$2:$G$2,0)),0)</f>
        <v>0</v>
      </c>
      <c r="G69" s="95" t="str">
        <f aca="false">IF(F69=E69,"Bien",F69-E69)</f>
        <v>Bien</v>
      </c>
      <c r="H69" s="73"/>
    </row>
    <row r="70" customFormat="false" ht="13.8" hidden="false" customHeight="false" outlineLevel="0" collapsed="false">
      <c r="A70" s="156" t="n">
        <v>316</v>
      </c>
      <c r="B70" s="47" t="s">
        <v>50</v>
      </c>
      <c r="C70" s="73" t="s">
        <v>17</v>
      </c>
      <c r="D70" s="138"/>
      <c r="E70" s="138"/>
      <c r="F70" s="87" t="n">
        <f aca="false">IFERROR(INDEX($B$3:$G$14,MATCH(C70,$A$3:$A$14,0),MATCH($A$65,$B$2:$G$2,0)),0)</f>
        <v>0</v>
      </c>
      <c r="G70" s="95" t="str">
        <f aca="false">IF(F70=E70,"Bien",F70-E70)</f>
        <v>Bien</v>
      </c>
      <c r="H70" s="73"/>
    </row>
    <row r="71" customFormat="false" ht="13.8" hidden="false" customHeight="false" outlineLevel="0" collapsed="false">
      <c r="A71" s="156" t="n">
        <v>309</v>
      </c>
      <c r="B71" s="47" t="s">
        <v>55</v>
      </c>
      <c r="C71" s="73" t="s">
        <v>16</v>
      </c>
      <c r="D71" s="133" t="n">
        <v>8</v>
      </c>
      <c r="E71" s="134" t="n">
        <v>5220</v>
      </c>
      <c r="F71" s="87" t="n">
        <f aca="false">IFERROR(INDEX($B$3:$G$14,MATCH(C71,$A$3:$A$14,0),MATCH($A$65,$B$2:$G$2,0)),0)</f>
        <v>5220</v>
      </c>
      <c r="G71" s="95" t="str">
        <f aca="false">IF(F71=E71,"Bien",F71-E71)</f>
        <v>Bien</v>
      </c>
      <c r="H71" s="73"/>
    </row>
    <row r="72" customFormat="false" ht="13.8" hidden="false" customHeight="false" outlineLevel="0" collapsed="false">
      <c r="A72" s="166" t="n">
        <v>296</v>
      </c>
      <c r="B72" s="158" t="s">
        <v>57</v>
      </c>
      <c r="C72" s="158" t="s">
        <v>18</v>
      </c>
      <c r="D72" s="160"/>
      <c r="E72" s="167"/>
      <c r="F72" s="162" t="n">
        <f aca="false">IFERROR(INDEX($B$3:$G$14,MATCH(C72,$A$3:$A$14,0),MATCH($A$65,$B$2:$G$2,0)),0)</f>
        <v>0</v>
      </c>
      <c r="G72" s="102" t="str">
        <f aca="false">IF(F72=E72,"Bien",F72-E72)</f>
        <v>Bien</v>
      </c>
      <c r="H72" s="73"/>
    </row>
    <row r="73" customFormat="false" ht="13.8" hidden="false" customHeight="false" outlineLevel="0" collapsed="false">
      <c r="C73" s="73"/>
      <c r="D73" s="133"/>
      <c r="E73" s="104" t="n">
        <f aca="false">SUM(E67:E72)</f>
        <v>12680</v>
      </c>
      <c r="F73" s="104" t="n">
        <f aca="false">SUM(F67:F72)</f>
        <v>12680</v>
      </c>
      <c r="G73" s="73"/>
      <c r="H73" s="73"/>
      <c r="I73" s="105" t="str">
        <f aca="false">+IF(F73=C15,"OK","Revisar")</f>
        <v>OK</v>
      </c>
    </row>
    <row r="74" customFormat="false" ht="13.8" hidden="false" customHeight="false" outlineLevel="0" collapsed="false">
      <c r="A74" s="69" t="s">
        <v>29</v>
      </c>
      <c r="B74" s="69"/>
      <c r="C74" s="69"/>
      <c r="D74" s="69"/>
      <c r="E74" s="69"/>
      <c r="F74" s="69"/>
      <c r="G74" s="69"/>
      <c r="H74" s="73"/>
    </row>
    <row r="75" customFormat="false" ht="13.8" hidden="false" customHeight="false" outlineLevel="0" collapsed="false">
      <c r="C75" s="73" t="s">
        <v>39</v>
      </c>
      <c r="D75" s="74" t="s">
        <v>61</v>
      </c>
      <c r="E75" s="73" t="s">
        <v>42</v>
      </c>
      <c r="F75" s="103" t="s">
        <v>34</v>
      </c>
      <c r="G75" s="73"/>
      <c r="H75" s="73"/>
    </row>
    <row r="76" customFormat="false" ht="13.8" hidden="false" customHeight="false" outlineLevel="0" collapsed="false">
      <c r="A76" s="148" t="n">
        <v>109</v>
      </c>
      <c r="B76" s="149" t="s">
        <v>43</v>
      </c>
      <c r="C76" s="150" t="s">
        <v>21</v>
      </c>
      <c r="D76" s="151"/>
      <c r="E76" s="152"/>
      <c r="F76" s="153" t="n">
        <f aca="false">IFERROR(INDEX($B$3:$G$14,MATCH(C76,$A$3:$A$14,0),MATCH($A$74,$B$2:$G$2,0)),0)</f>
        <v>0</v>
      </c>
      <c r="G76" s="154" t="str">
        <f aca="false">IF(F76=E76,"Bien",F76-E76)</f>
        <v>Bien</v>
      </c>
      <c r="H76" s="73"/>
    </row>
    <row r="77" customFormat="false" ht="13.8" hidden="false" customHeight="false" outlineLevel="0" collapsed="false">
      <c r="A77" s="156" t="n">
        <v>309</v>
      </c>
      <c r="B77" s="47" t="s">
        <v>55</v>
      </c>
      <c r="C77" s="73" t="s">
        <v>16</v>
      </c>
      <c r="D77" s="133"/>
      <c r="E77" s="138"/>
      <c r="F77" s="87" t="n">
        <f aca="false">IFERROR(INDEX($B$3:$G$14,MATCH(C77,$A$3:$A$14,0),MATCH($A$74,$B$2:$G$2,0)),0)</f>
        <v>0</v>
      </c>
      <c r="G77" s="95" t="str">
        <f aca="false">IF(F77=E77,"Bien",F77-E77)</f>
        <v>Bien</v>
      </c>
      <c r="H77" s="73"/>
    </row>
    <row r="78" customFormat="false" ht="13.8" hidden="false" customHeight="false" outlineLevel="0" collapsed="false">
      <c r="A78" s="166" t="n">
        <v>296</v>
      </c>
      <c r="B78" s="158" t="s">
        <v>57</v>
      </c>
      <c r="C78" s="158" t="s">
        <v>18</v>
      </c>
      <c r="D78" s="160"/>
      <c r="E78" s="161"/>
      <c r="F78" s="162" t="n">
        <f aca="false">IFERROR(INDEX($B$3:$G$14,MATCH(C78,$A$3:$A$14,0),MATCH($A$74,$B$2:$G$2,0)),0)</f>
        <v>0</v>
      </c>
      <c r="G78" s="102" t="str">
        <f aca="false">IF(F78=E78,"Bien",F78-E78)</f>
        <v>Bien</v>
      </c>
      <c r="H78" s="73"/>
    </row>
    <row r="79" customFormat="false" ht="13.8" hidden="false" customHeight="false" outlineLevel="0" collapsed="false">
      <c r="C79" s="73"/>
      <c r="D79" s="133"/>
      <c r="E79" s="104" t="n">
        <f aca="false">SUM(E76:E78)</f>
        <v>0</v>
      </c>
      <c r="F79" s="104" t="n">
        <f aca="false">SUM(F76:F78)</f>
        <v>0</v>
      </c>
      <c r="G79" s="73"/>
      <c r="H79" s="73"/>
      <c r="I79" s="105" t="str">
        <f aca="false">+IF(F79=B15,"OK","Revisar")</f>
        <v>OK</v>
      </c>
    </row>
  </sheetData>
  <mergeCells count="7">
    <mergeCell ref="A19:C19"/>
    <mergeCell ref="A22:H22"/>
    <mergeCell ref="A36:H36"/>
    <mergeCell ref="A48:H48"/>
    <mergeCell ref="A57:G57"/>
    <mergeCell ref="A65:G65"/>
    <mergeCell ref="A74:G74"/>
  </mergeCells>
  <conditionalFormatting sqref="H24:H34">
    <cfRule type="cellIs" priority="2" operator="notEqual" aboveAverage="0" equalAverage="0" bottom="0" percent="0" rank="0" text="" dxfId="2">
      <formula>""bien""</formula>
    </cfRule>
  </conditionalFormatting>
  <conditionalFormatting sqref="H38">
    <cfRule type="cellIs" priority="3" operator="notEqual" aboveAverage="0" equalAverage="0" bottom="0" percent="0" rank="0" text="" dxfId="3">
      <formula>""bien""</formula>
    </cfRule>
  </conditionalFormatting>
  <conditionalFormatting sqref="H39:H45">
    <cfRule type="cellIs" priority="4" operator="notEqual" aboveAverage="0" equalAverage="0" bottom="0" percent="0" rank="0" text="" dxfId="4">
      <formula>""bien""</formula>
    </cfRule>
  </conditionalFormatting>
  <conditionalFormatting sqref="G50">
    <cfRule type="cellIs" priority="5" operator="notEqual" aboveAverage="0" equalAverage="0" bottom="0" percent="0" rank="0" text="" dxfId="5">
      <formula>""bien""</formula>
    </cfRule>
  </conditionalFormatting>
  <conditionalFormatting sqref="G51:G55">
    <cfRule type="cellIs" priority="6" operator="notEqual" aboveAverage="0" equalAverage="0" bottom="0" percent="0" rank="0" text="" dxfId="6">
      <formula>""bien""</formula>
    </cfRule>
  </conditionalFormatting>
  <conditionalFormatting sqref="G59">
    <cfRule type="cellIs" priority="7" operator="notEqual" aboveAverage="0" equalAverage="0" bottom="0" percent="0" rank="0" text="" dxfId="7">
      <formula>""bien""</formula>
    </cfRule>
  </conditionalFormatting>
  <conditionalFormatting sqref="G60:G63">
    <cfRule type="cellIs" priority="8" operator="notEqual" aboveAverage="0" equalAverage="0" bottom="0" percent="0" rank="0" text="" dxfId="8">
      <formula>""bien""</formula>
    </cfRule>
  </conditionalFormatting>
  <conditionalFormatting sqref="G67">
    <cfRule type="cellIs" priority="9" operator="notEqual" aboveAverage="0" equalAverage="0" bottom="0" percent="0" rank="0" text="" dxfId="9">
      <formula>""bien""</formula>
    </cfRule>
  </conditionalFormatting>
  <conditionalFormatting sqref="G68:G72">
    <cfRule type="cellIs" priority="10" operator="notEqual" aboveAverage="0" equalAverage="0" bottom="0" percent="0" rank="0" text="" dxfId="10">
      <formula>""bien""</formula>
    </cfRule>
  </conditionalFormatting>
  <conditionalFormatting sqref="G76">
    <cfRule type="cellIs" priority="11" operator="notEqual" aboveAverage="0" equalAverage="0" bottom="0" percent="0" rank="0" text="" dxfId="11">
      <formula>""bien""</formula>
    </cfRule>
  </conditionalFormatting>
  <conditionalFormatting sqref="G77:G78">
    <cfRule type="cellIs" priority="12" operator="notEqual" aboveAverage="0" equalAverage="0" bottom="0" percent="0" rank="0" text="" dxfId="12">
      <formula>""bien""</formula>
    </cfRule>
  </conditionalFormatting>
  <conditionalFormatting sqref="B16:G16">
    <cfRule type="cellIs" priority="13" operator="notEqual" aboveAverage="0" equalAverage="0" bottom="0" percent="0" rank="0" text="" dxfId="13">
      <formula>#REF!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ListForm</Display>
  <Edit>ListForm</Edit>
  <New>ListForm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arpeta" ma:contentTypeID="0x012000D96F098ED5E78F49B4E623047188DB6F" ma:contentTypeVersion="0" ma:contentTypeDescription="Crear nueva carpeta." ma:contentTypeScope="" ma:versionID="e9eb27d8e2cb7f102e8d4388d8cfd20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8145ba8b14c3a68460a880463bfe25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ItemChildCount" minOccurs="0"/>
                <xsd:element ref="ns1:FolderChild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temChildCount" ma:index="3" nillable="true" ma:displayName="Número secundario de elemento" ma:hidden="true" ma:list="Docs" ma:internalName="ItemChildCount" ma:readOnly="true" ma:showField="ItemChildCount">
      <xsd:simpleType>
        <xsd:restriction base="dms:Lookup"/>
      </xsd:simpleType>
    </xsd:element>
    <xsd:element name="FolderChildCount" ma:index="4" nillable="true" ma:displayName="Recuento secundario de carpetas" ma:hidden="true" ma:list="Docs" ma:internalName="FolderChildCount" ma:readOnly="true" ma:showField="FolderChildCount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B6E933-DD47-4E5F-B12F-A53CE0CECE8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DF69E94-9017-4507-909E-3637F0D92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E08A51-992F-4A00-A438-AF4818A3A2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LibreOffice/7.4.7.2$Windows_X86_64 LibreOffice_project/723314e595e8007d3cf785c16538505a1c878ca5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2023-06-05T06:59:52Z</dcterms:created>
  <dc:creator>Administrador</dc:creator>
  <dc:description/>
  <dc:language>es-ES</dc:language>
  <cp:lastModifiedBy/>
  <dcterms:modified xsi:type="dcterms:W3CDTF">2023-06-22T09:22:01Z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0x012000D96F098ED5E78F49B4E623047188DB6F</vt:lpwstr>
  </property>
</Properties>
</file>