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uri\Desktop\Peñiscola\Residuos\PESAJES\2022\"/>
    </mc:Choice>
  </mc:AlternateContent>
  <xr:revisionPtr revIDLastSave="0" documentId="8_{13773840-A133-433A-976A-63C80E52F940}" xr6:coauthVersionLast="36" xr6:coauthVersionMax="36" xr10:uidLastSave="{00000000-0000-0000-0000-000000000000}"/>
  <bookViews>
    <workbookView xWindow="0" yWindow="0" windowWidth="23040" windowHeight="7848" xr2:uid="{00000000-000D-0000-FFFF-FFFF00000000}"/>
  </bookViews>
  <sheets>
    <sheet name="Hoja1" sheetId="1" r:id="rId1"/>
    <sheet name="Tabla dinámica_Hoja1_1" sheetId="2" r:id="rId2"/>
    <sheet name="certificacion_2_2_2" sheetId="3" r:id="rId3"/>
  </sheets>
  <calcPr calcId="191029" iterateDelta="1E-4"/>
  <fileRecoveryPr dataExtractLoad="1"/>
</workbook>
</file>

<file path=xl/calcChain.xml><?xml version="1.0" encoding="utf-8"?>
<calcChain xmlns="http://schemas.openxmlformats.org/spreadsheetml/2006/main">
  <c r="E80" i="3" l="1"/>
  <c r="F79" i="3"/>
  <c r="G79" i="3" s="1"/>
  <c r="F78" i="3"/>
  <c r="G78" i="3" s="1"/>
  <c r="F77" i="3"/>
  <c r="F80" i="3" s="1"/>
  <c r="I80" i="3" s="1"/>
  <c r="E74" i="3"/>
  <c r="F73" i="3"/>
  <c r="G73" i="3" s="1"/>
  <c r="F72" i="3"/>
  <c r="G72" i="3" s="1"/>
  <c r="G71" i="3"/>
  <c r="F71" i="3"/>
  <c r="F70" i="3"/>
  <c r="G70" i="3" s="1"/>
  <c r="F69" i="3"/>
  <c r="G69" i="3" s="1"/>
  <c r="G68" i="3"/>
  <c r="F68" i="3"/>
  <c r="E65" i="3"/>
  <c r="F64" i="3"/>
  <c r="G64" i="3" s="1"/>
  <c r="F63" i="3"/>
  <c r="G63" i="3" s="1"/>
  <c r="F62" i="3"/>
  <c r="G62" i="3" s="1"/>
  <c r="F61" i="3"/>
  <c r="G61" i="3" s="1"/>
  <c r="F60" i="3"/>
  <c r="G60" i="3" s="1"/>
  <c r="E57" i="3"/>
  <c r="G56" i="3"/>
  <c r="F56" i="3"/>
  <c r="F55" i="3"/>
  <c r="G55" i="3" s="1"/>
  <c r="F54" i="3"/>
  <c r="G54" i="3" s="1"/>
  <c r="G53" i="3"/>
  <c r="F53" i="3"/>
  <c r="F52" i="3"/>
  <c r="G52" i="3" s="1"/>
  <c r="F51" i="3"/>
  <c r="F57" i="3" s="1"/>
  <c r="I57" i="3" s="1"/>
  <c r="F47" i="3"/>
  <c r="D19" i="3" s="1"/>
  <c r="G46" i="3"/>
  <c r="H46" i="3" s="1"/>
  <c r="G45" i="3"/>
  <c r="H45" i="3" s="1"/>
  <c r="G44" i="3"/>
  <c r="H44" i="3" s="1"/>
  <c r="G42" i="3"/>
  <c r="H42" i="3" s="1"/>
  <c r="G41" i="3"/>
  <c r="H41" i="3" s="1"/>
  <c r="G40" i="3"/>
  <c r="H40" i="3" s="1"/>
  <c r="G39" i="3"/>
  <c r="A37" i="3"/>
  <c r="G43" i="3" s="1"/>
  <c r="H43" i="3" s="1"/>
  <c r="F36" i="3"/>
  <c r="G35" i="3"/>
  <c r="H35" i="3" s="1"/>
  <c r="G34" i="3"/>
  <c r="H34" i="3" s="1"/>
  <c r="G33" i="3"/>
  <c r="H33" i="3" s="1"/>
  <c r="G32" i="3"/>
  <c r="H32" i="3" s="1"/>
  <c r="G31" i="3"/>
  <c r="H31" i="3" s="1"/>
  <c r="H30" i="3"/>
  <c r="G30" i="3"/>
  <c r="G29" i="3"/>
  <c r="H29" i="3" s="1"/>
  <c r="G28" i="3"/>
  <c r="H28" i="3" s="1"/>
  <c r="G27" i="3"/>
  <c r="H27" i="3" s="1"/>
  <c r="G26" i="3"/>
  <c r="G36" i="3" s="1"/>
  <c r="G25" i="3"/>
  <c r="H25" i="3" s="1"/>
  <c r="H24" i="3"/>
  <c r="G24" i="3"/>
  <c r="G16" i="3"/>
  <c r="F16" i="3"/>
  <c r="E16" i="3"/>
  <c r="D16" i="3"/>
  <c r="H16" i="3" s="1"/>
  <c r="C16" i="3"/>
  <c r="B16" i="3"/>
  <c r="G15" i="3"/>
  <c r="F15" i="3"/>
  <c r="E15" i="3"/>
  <c r="D15" i="3"/>
  <c r="C15" i="3"/>
  <c r="B15" i="3"/>
  <c r="H15" i="3" s="1"/>
  <c r="H14" i="3"/>
  <c r="H13" i="3"/>
  <c r="H12" i="3"/>
  <c r="H11" i="3"/>
  <c r="H10" i="3"/>
  <c r="H9" i="3"/>
  <c r="H8" i="3"/>
  <c r="H7" i="3"/>
  <c r="H6" i="3"/>
  <c r="H5" i="3"/>
  <c r="H4" i="3"/>
  <c r="H3" i="3"/>
  <c r="G47" i="3" l="1"/>
  <c r="I47" i="3" s="1"/>
  <c r="I36" i="3"/>
  <c r="F74" i="3"/>
  <c r="I74" i="3" s="1"/>
  <c r="H26" i="3"/>
  <c r="H39" i="3"/>
  <c r="F65" i="3"/>
  <c r="I65" i="3" s="1"/>
  <c r="G77" i="3"/>
  <c r="G51" i="3"/>
  <c r="E19" i="3" l="1"/>
  <c r="F19" i="3" s="1"/>
</calcChain>
</file>

<file path=xl/sharedStrings.xml><?xml version="1.0" encoding="utf-8"?>
<sst xmlns="http://schemas.openxmlformats.org/spreadsheetml/2006/main" count="996" uniqueCount="63">
  <si>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</si>
  <si>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</si>
  <si>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</si>
  <si>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</si>
  <si>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</si>
  <si>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</si>
  <si>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</si>
  <si>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</si>
  <si>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</si>
  <si>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</si>
  <si>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 xml:space="preserve">PEÑISCOLA </t>
  </si>
  <si>
    <t>RSU</t>
  </si>
  <si>
    <t>1730KBZ</t>
  </si>
  <si>
    <t>7809JZX</t>
  </si>
  <si>
    <t>3686KBG</t>
  </si>
  <si>
    <t>1076KSZ</t>
  </si>
  <si>
    <t>PODA</t>
  </si>
  <si>
    <t>7957JZS</t>
  </si>
  <si>
    <t>VOL</t>
  </si>
  <si>
    <t>SEL.ENV</t>
  </si>
  <si>
    <t>SEL.PAP</t>
  </si>
  <si>
    <t>6120JZX</t>
  </si>
  <si>
    <t>1821KBZ</t>
  </si>
  <si>
    <t>5313GBZ</t>
  </si>
  <si>
    <t>0315BGK</t>
  </si>
  <si>
    <t>0962LBT</t>
  </si>
  <si>
    <t>- todo -</t>
  </si>
  <si>
    <t>Suma - Carga</t>
  </si>
  <si>
    <t>Total Resultado</t>
  </si>
  <si>
    <t>LIMP. PLAYA</t>
  </si>
  <si>
    <t>VOLUMINOSOS</t>
  </si>
  <si>
    <t>Certificado</t>
  </si>
  <si>
    <t>CERTIFICADO</t>
  </si>
  <si>
    <t>REVISADO</t>
  </si>
  <si>
    <t>DIFERENCIA</t>
  </si>
  <si>
    <t>TOTAL CERTIFICACIÓN</t>
  </si>
  <si>
    <t>N.º vehículo</t>
  </si>
  <si>
    <t>Tipo</t>
  </si>
  <si>
    <t>MATRICULA</t>
  </si>
  <si>
    <t>RUTA</t>
  </si>
  <si>
    <t>HORARIO</t>
  </si>
  <si>
    <t>CARGA</t>
  </si>
  <si>
    <t>MULTILIFT GRÚA</t>
  </si>
  <si>
    <t>Volquete Jardinería</t>
  </si>
  <si>
    <t>Dia/Noche</t>
  </si>
  <si>
    <t>Recolector 22 _ 1</t>
  </si>
  <si>
    <t>2-3-4-5</t>
  </si>
  <si>
    <t>Recolector 22 _ 2</t>
  </si>
  <si>
    <t>volquete 4x4 LV</t>
  </si>
  <si>
    <t>Recolector 17</t>
  </si>
  <si>
    <t>Sustituya a 318</t>
  </si>
  <si>
    <t>volquete doble LV</t>
  </si>
  <si>
    <t>Recolector 5</t>
  </si>
  <si>
    <t>Noche</t>
  </si>
  <si>
    <t>volquete</t>
  </si>
  <si>
    <t>Recolector Trasera</t>
  </si>
  <si>
    <t>8500BYJ</t>
  </si>
  <si>
    <t>Sustituya a 109</t>
  </si>
  <si>
    <t>N.º OPERARIOS</t>
  </si>
  <si>
    <t>FRECUENCIA</t>
  </si>
  <si>
    <t>2828CZW</t>
  </si>
  <si>
    <t>Camión FOBESA</t>
  </si>
  <si>
    <t>5936GJY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</si>
</sst>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#,##0;[Red]\-#,##0"/>
  </numFmts>
  <fonts count="8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charset val="1"/>
    </font>
    <font>
      <b/>
      <sz val="11"/>
      <name val="Calibri"/>
      <family val="2"/>
      <charset val="1"/>
    </font>
    <font>
      <sz val="11"/>
      <color rgb="FF000000"/>
      <name val="Frutiger 45 Light"/>
      <family val="2"/>
      <charset val="1"/>
    </font>
    <font>
      <b/>
      <sz val="11"/>
      <color rgb="FFCE181E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0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0" fillId="0" borderId="0" xfId="0" applyFont="1" applyBorder="1" applyProtection="1"/>
    <xf numFmtId="0" fontId="0" fillId="0" borderId="1" xfId="0" applyFont="1" applyBorder="1"/>
    <xf numFmtId="0" fontId="0" fillId="0" borderId="2" xfId="0" applyFont="1" applyBorder="1" applyProtection="1"/>
    <xf numFmtId="0" fontId="0" fillId="0" borderId="3" xfId="0" applyFont="1" applyBorder="1" applyProtection="1"/>
    <xf numFmtId="0" fontId="0" fillId="0" borderId="4" xfId="0" applyBorder="1" applyProtection="1"/>
    <xf numFmtId="0" fontId="0" fillId="0" borderId="5" xfId="0" applyBorder="1" applyProtection="1"/>
    <xf numFmtId="0" fontId="0" fillId="0" borderId="6" xfId="0" applyFont="1" applyBorder="1" applyProtection="1"/>
    <xf numFmtId="0" fontId="0" fillId="0" borderId="7" xfId="0" applyFont="1" applyBorder="1" applyProtection="1"/>
    <xf numFmtId="0" fontId="0" fillId="0" borderId="8" xfId="0" applyFont="1" applyBorder="1" applyProtection="1"/>
    <xf numFmtId="0" fontId="3" fillId="0" borderId="9" xfId="0" applyFont="1" applyBorder="1" applyProtection="1"/>
    <xf numFmtId="0" fontId="0" fillId="0" borderId="10" xfId="0" applyFont="1" applyBorder="1" applyProtection="1"/>
    <xf numFmtId="0" fontId="0" fillId="0" borderId="11" xfId="0" applyBorder="1" applyProtection="1"/>
    <xf numFmtId="0" fontId="0" fillId="0" borderId="12" xfId="0" applyBorder="1" applyProtection="1"/>
    <xf numFmtId="3" fontId="0" fillId="0" borderId="12" xfId="0" applyNumberFormat="1" applyBorder="1" applyProtection="1"/>
    <xf numFmtId="3" fontId="0" fillId="0" borderId="13" xfId="0" applyNumberFormat="1" applyBorder="1" applyProtection="1"/>
    <xf numFmtId="3" fontId="0" fillId="0" borderId="14" xfId="0" applyNumberFormat="1" applyBorder="1" applyProtection="1"/>
    <xf numFmtId="0" fontId="0" fillId="0" borderId="15" xfId="0" applyFont="1" applyBorder="1" applyProtection="1"/>
    <xf numFmtId="0" fontId="0" fillId="0" borderId="16" xfId="0" applyBorder="1" applyProtection="1"/>
    <xf numFmtId="3" fontId="0" fillId="0" borderId="0" xfId="0" applyNumberFormat="1" applyBorder="1" applyProtection="1"/>
    <xf numFmtId="0" fontId="0" fillId="0" borderId="0" xfId="0" applyBorder="1" applyProtection="1"/>
    <xf numFmtId="0" fontId="0" fillId="0" borderId="17" xfId="0" applyBorder="1" applyProtection="1"/>
    <xf numFmtId="3" fontId="0" fillId="0" borderId="18" xfId="0" applyNumberFormat="1" applyBorder="1" applyProtection="1"/>
    <xf numFmtId="3" fontId="0" fillId="0" borderId="16" xfId="0" applyNumberFormat="1" applyBorder="1" applyProtection="1"/>
    <xf numFmtId="3" fontId="0" fillId="0" borderId="17" xfId="0" applyNumberFormat="1" applyBorder="1" applyProtection="1"/>
    <xf numFmtId="0" fontId="0" fillId="0" borderId="7" xfId="0" applyBorder="1" applyProtection="1"/>
    <xf numFmtId="0" fontId="0" fillId="0" borderId="8" xfId="0" applyBorder="1" applyProtection="1"/>
    <xf numFmtId="3" fontId="0" fillId="0" borderId="19" xfId="0" applyNumberFormat="1" applyBorder="1" applyProtection="1"/>
    <xf numFmtId="3" fontId="0" fillId="0" borderId="20" xfId="0" applyNumberFormat="1" applyBorder="1" applyProtection="1"/>
    <xf numFmtId="0" fontId="3" fillId="0" borderId="21" xfId="0" applyFont="1" applyBorder="1" applyProtection="1"/>
    <xf numFmtId="3" fontId="0" fillId="0" borderId="22" xfId="0" applyNumberFormat="1" applyBorder="1" applyProtection="1"/>
    <xf numFmtId="3" fontId="0" fillId="0" borderId="23" xfId="0" applyNumberFormat="1" applyBorder="1" applyProtection="1"/>
    <xf numFmtId="3" fontId="0" fillId="0" borderId="24" xfId="0" applyNumberFormat="1" applyBorder="1" applyProtection="1"/>
    <xf numFmtId="3" fontId="0" fillId="0" borderId="25" xfId="0" applyNumberFormat="1" applyBorder="1" applyProtection="1"/>
    <xf numFmtId="0" fontId="3" fillId="0" borderId="0" xfId="1" applyBorder="1" applyAlignment="1" applyProtection="1">
      <alignment horizontal="center"/>
    </xf>
    <xf numFmtId="0" fontId="3" fillId="0" borderId="0" xfId="1" applyBorder="1" applyProtection="1"/>
    <xf numFmtId="0" fontId="0" fillId="0" borderId="1" xfId="1" applyFont="1" applyBorder="1" applyProtection="1"/>
    <xf numFmtId="0" fontId="0" fillId="0" borderId="26" xfId="1" applyFont="1" applyBorder="1" applyAlignment="1" applyProtection="1">
      <alignment horizontal="center"/>
    </xf>
    <xf numFmtId="0" fontId="0" fillId="0" borderId="27" xfId="1" applyFont="1" applyBorder="1" applyProtection="1"/>
    <xf numFmtId="0" fontId="3" fillId="0" borderId="1" xfId="1" applyFont="1" applyBorder="1" applyProtection="1"/>
    <xf numFmtId="165" fontId="0" fillId="0" borderId="11" xfId="0" applyNumberFormat="1" applyBorder="1" applyProtection="1"/>
    <xf numFmtId="165" fontId="0" fillId="0" borderId="12" xfId="0" applyNumberFormat="1" applyBorder="1" applyProtection="1"/>
    <xf numFmtId="165" fontId="0" fillId="0" borderId="13" xfId="0" applyNumberFormat="1" applyBorder="1" applyProtection="1"/>
    <xf numFmtId="3" fontId="3" fillId="0" borderId="28" xfId="1" applyNumberFormat="1" applyBorder="1" applyProtection="1"/>
    <xf numFmtId="165" fontId="0" fillId="0" borderId="16" xfId="0" applyNumberFormat="1" applyBorder="1" applyProtection="1"/>
    <xf numFmtId="165" fontId="0" fillId="0" borderId="0" xfId="0" applyNumberFormat="1" applyBorder="1" applyProtection="1"/>
    <xf numFmtId="165" fontId="0" fillId="0" borderId="17" xfId="0" applyNumberFormat="1" applyBorder="1" applyProtection="1"/>
    <xf numFmtId="165" fontId="0" fillId="0" borderId="7" xfId="0" applyNumberFormat="1" applyBorder="1" applyProtection="1"/>
    <xf numFmtId="165" fontId="0" fillId="0" borderId="8" xfId="0" applyNumberFormat="1" applyBorder="1" applyProtection="1"/>
    <xf numFmtId="165" fontId="0" fillId="0" borderId="19" xfId="0" applyNumberFormat="1" applyBorder="1" applyProtection="1"/>
    <xf numFmtId="165" fontId="3" fillId="0" borderId="27" xfId="1" applyNumberFormat="1" applyFont="1" applyBorder="1" applyAlignment="1" applyProtection="1">
      <alignment horizontal="center"/>
    </xf>
    <xf numFmtId="3" fontId="3" fillId="0" borderId="1" xfId="1" applyNumberFormat="1" applyFont="1" applyBorder="1" applyProtection="1"/>
    <xf numFmtId="0" fontId="3" fillId="2" borderId="1" xfId="1" applyFont="1" applyFill="1" applyBorder="1" applyProtection="1"/>
    <xf numFmtId="165" fontId="3" fillId="2" borderId="27" xfId="1" applyNumberFormat="1" applyFont="1" applyFill="1" applyBorder="1" applyAlignment="1" applyProtection="1">
      <alignment horizontal="center"/>
    </xf>
    <xf numFmtId="3" fontId="3" fillId="2" borderId="1" xfId="1" applyNumberFormat="1" applyFont="1" applyFill="1" applyBorder="1" applyProtection="1"/>
    <xf numFmtId="0" fontId="3" fillId="0" borderId="0" xfId="1" applyFont="1" applyBorder="1" applyAlignment="1" applyProtection="1">
      <alignment horizontal="center" vertical="center"/>
    </xf>
    <xf numFmtId="0" fontId="4" fillId="0" borderId="0" xfId="1" applyFont="1" applyBorder="1" applyAlignment="1" applyProtection="1">
      <alignment horizontal="center"/>
    </xf>
    <xf numFmtId="165" fontId="3" fillId="0" borderId="0" xfId="1" applyNumberFormat="1" applyFont="1" applyBorder="1" applyAlignment="1" applyProtection="1">
      <alignment horizontal="center" vertical="center"/>
    </xf>
    <xf numFmtId="3" fontId="3" fillId="0" borderId="0" xfId="1" applyNumberFormat="1" applyFont="1" applyBorder="1" applyAlignment="1" applyProtection="1">
      <alignment horizontal="center" vertical="center"/>
    </xf>
    <xf numFmtId="0" fontId="0" fillId="0" borderId="0" xfId="1" applyFont="1" applyBorder="1" applyProtection="1"/>
    <xf numFmtId="0" fontId="0" fillId="0" borderId="0" xfId="1" applyFont="1" applyBorder="1" applyAlignment="1" applyProtection="1">
      <alignment horizontal="center"/>
    </xf>
    <xf numFmtId="165" fontId="0" fillId="0" borderId="0" xfId="1" applyNumberFormat="1" applyFont="1" applyBorder="1" applyProtection="1"/>
    <xf numFmtId="0" fontId="3" fillId="0" borderId="29" xfId="1" applyBorder="1" applyAlignment="1" applyProtection="1">
      <alignment horizontal="center"/>
    </xf>
    <xf numFmtId="0" fontId="0" fillId="0" borderId="29" xfId="1" applyFont="1" applyBorder="1" applyAlignment="1" applyProtection="1"/>
    <xf numFmtId="0" fontId="0" fillId="0" borderId="29" xfId="1" applyFont="1" applyBorder="1" applyProtection="1"/>
    <xf numFmtId="0" fontId="0" fillId="0" borderId="29" xfId="1" applyFont="1" applyBorder="1" applyAlignment="1" applyProtection="1">
      <alignment horizontal="center"/>
    </xf>
    <xf numFmtId="165" fontId="0" fillId="0" borderId="29" xfId="1" applyNumberFormat="1" applyFont="1" applyBorder="1" applyProtection="1"/>
    <xf numFmtId="3" fontId="3" fillId="3" borderId="29" xfId="1" applyNumberFormat="1" applyFill="1" applyBorder="1" applyProtection="1"/>
    <xf numFmtId="0" fontId="5" fillId="3" borderId="28" xfId="1" applyFont="1" applyFill="1" applyBorder="1" applyAlignment="1" applyProtection="1">
      <alignment horizontal="center"/>
    </xf>
    <xf numFmtId="3" fontId="3" fillId="3" borderId="0" xfId="1" applyNumberFormat="1" applyFill="1" applyBorder="1" applyProtection="1"/>
    <xf numFmtId="0" fontId="5" fillId="3" borderId="30" xfId="1" applyFont="1" applyFill="1" applyBorder="1" applyAlignment="1" applyProtection="1">
      <alignment horizontal="center"/>
    </xf>
    <xf numFmtId="0" fontId="6" fillId="0" borderId="0" xfId="1" applyFont="1" applyBorder="1" applyAlignment="1" applyProtection="1">
      <alignment horizontal="center" wrapText="1"/>
    </xf>
    <xf numFmtId="0" fontId="6" fillId="0" borderId="0" xfId="1" applyFont="1" applyBorder="1" applyAlignment="1" applyProtection="1">
      <alignment horizontal="justify" wrapText="1"/>
    </xf>
    <xf numFmtId="0" fontId="0" fillId="0" borderId="0" xfId="1" applyFont="1" applyBorder="1" applyAlignment="1" applyProtection="1"/>
    <xf numFmtId="165" fontId="3" fillId="0" borderId="0" xfId="1" applyNumberFormat="1" applyBorder="1" applyProtection="1"/>
    <xf numFmtId="0" fontId="3" fillId="0" borderId="31" xfId="1" applyBorder="1" applyAlignment="1" applyProtection="1">
      <alignment horizontal="center"/>
    </xf>
    <xf numFmtId="0" fontId="0" fillId="4" borderId="31" xfId="1" applyFont="1" applyFill="1" applyBorder="1" applyProtection="1"/>
    <xf numFmtId="0" fontId="0" fillId="0" borderId="31" xfId="1" applyFont="1" applyBorder="1" applyAlignment="1" applyProtection="1">
      <alignment horizontal="center"/>
    </xf>
    <xf numFmtId="0" fontId="0" fillId="0" borderId="31" xfId="1" applyFont="1" applyBorder="1" applyProtection="1"/>
    <xf numFmtId="165" fontId="3" fillId="0" borderId="31" xfId="1" applyNumberFormat="1" applyBorder="1" applyProtection="1"/>
    <xf numFmtId="3" fontId="3" fillId="3" borderId="31" xfId="1" applyNumberFormat="1" applyFill="1" applyBorder="1" applyProtection="1"/>
    <xf numFmtId="0" fontId="5" fillId="3" borderId="32" xfId="1" applyFont="1" applyFill="1" applyBorder="1" applyAlignment="1" applyProtection="1">
      <alignment horizontal="center"/>
    </xf>
    <xf numFmtId="165" fontId="3" fillId="0" borderId="0" xfId="1" applyNumberFormat="1" applyFont="1" applyBorder="1" applyProtection="1"/>
    <xf numFmtId="3" fontId="3" fillId="0" borderId="0" xfId="1" applyNumberFormat="1" applyFont="1" applyBorder="1" applyProtection="1"/>
    <xf numFmtId="0" fontId="7" fillId="0" borderId="0" xfId="1" applyFont="1" applyBorder="1" applyAlignment="1" applyProtection="1">
      <alignment horizontal="center"/>
    </xf>
    <xf numFmtId="165" fontId="0" fillId="0" borderId="29" xfId="1" applyNumberFormat="1" applyFont="1" applyBorder="1" applyAlignment="1" applyProtection="1">
      <alignment horizontal="center"/>
    </xf>
    <xf numFmtId="165" fontId="3" fillId="3" borderId="29" xfId="1" applyNumberFormat="1" applyFill="1" applyBorder="1" applyProtection="1"/>
    <xf numFmtId="0" fontId="5" fillId="3" borderId="33" xfId="1" applyFont="1" applyFill="1" applyBorder="1" applyAlignment="1" applyProtection="1">
      <alignment horizontal="center"/>
    </xf>
    <xf numFmtId="165" fontId="0" fillId="0" borderId="0" xfId="1" applyNumberFormat="1" applyFont="1" applyBorder="1" applyAlignment="1" applyProtection="1">
      <alignment horizontal="center"/>
    </xf>
    <xf numFmtId="165" fontId="3" fillId="3" borderId="0" xfId="1" applyNumberFormat="1" applyFill="1" applyBorder="1" applyProtection="1"/>
    <xf numFmtId="0" fontId="5" fillId="3" borderId="34" xfId="1" applyFont="1" applyFill="1" applyBorder="1" applyAlignment="1" applyProtection="1">
      <alignment horizontal="center"/>
    </xf>
    <xf numFmtId="0" fontId="0" fillId="4" borderId="0" xfId="1" applyFont="1" applyFill="1" applyBorder="1" applyProtection="1"/>
    <xf numFmtId="0" fontId="3" fillId="0" borderId="31" xfId="1" applyFont="1" applyBorder="1" applyProtection="1"/>
    <xf numFmtId="0" fontId="6" fillId="0" borderId="31" xfId="1" applyFont="1" applyBorder="1" applyAlignment="1" applyProtection="1">
      <alignment horizontal="justify" wrapText="1"/>
    </xf>
    <xf numFmtId="165" fontId="0" fillId="0" borderId="31" xfId="1" applyNumberFormat="1" applyFont="1" applyBorder="1" applyAlignment="1" applyProtection="1">
      <alignment horizontal="center"/>
    </xf>
    <xf numFmtId="165" fontId="0" fillId="0" borderId="31" xfId="1" applyNumberFormat="1" applyFont="1" applyBorder="1" applyProtection="1"/>
    <xf numFmtId="165" fontId="3" fillId="3" borderId="31" xfId="1" applyNumberFormat="1" applyFill="1" applyBorder="1" applyProtection="1"/>
    <xf numFmtId="0" fontId="5" fillId="3" borderId="35" xfId="1" applyFont="1" applyFill="1" applyBorder="1" applyAlignment="1" applyProtection="1">
      <alignment horizontal="center"/>
    </xf>
    <xf numFmtId="0" fontId="0" fillId="0" borderId="36" xfId="1" applyFont="1" applyBorder="1" applyProtection="1"/>
    <xf numFmtId="0" fontId="0" fillId="0" borderId="37" xfId="1" applyFont="1" applyBorder="1" applyAlignment="1" applyProtection="1">
      <alignment horizontal="center"/>
    </xf>
    <xf numFmtId="0" fontId="0" fillId="0" borderId="37" xfId="1" applyFont="1" applyBorder="1" applyProtection="1"/>
    <xf numFmtId="165" fontId="3" fillId="0" borderId="38" xfId="1" applyNumberFormat="1" applyFont="1" applyBorder="1" applyProtection="1"/>
    <xf numFmtId="0" fontId="3" fillId="0" borderId="33" xfId="1" applyBorder="1" applyAlignment="1" applyProtection="1">
      <alignment horizontal="center"/>
    </xf>
    <xf numFmtId="0" fontId="0" fillId="0" borderId="39" xfId="1" applyFont="1" applyBorder="1" applyAlignment="1" applyProtection="1"/>
    <xf numFmtId="3" fontId="0" fillId="0" borderId="29" xfId="1" applyNumberFormat="1" applyFont="1" applyBorder="1" applyAlignment="1" applyProtection="1">
      <alignment horizontal="center"/>
    </xf>
    <xf numFmtId="3" fontId="0" fillId="0" borderId="29" xfId="1" applyNumberFormat="1" applyFont="1" applyBorder="1" applyProtection="1"/>
    <xf numFmtId="3" fontId="3" fillId="3" borderId="40" xfId="1" applyNumberFormat="1" applyFill="1" applyBorder="1" applyProtection="1"/>
    <xf numFmtId="0" fontId="6" fillId="0" borderId="34" xfId="1" applyFont="1" applyBorder="1" applyAlignment="1" applyProtection="1">
      <alignment horizontal="center" wrapText="1"/>
    </xf>
    <xf numFmtId="0" fontId="6" fillId="0" borderId="41" xfId="1" applyFont="1" applyBorder="1" applyAlignment="1" applyProtection="1">
      <alignment horizontal="justify" wrapText="1"/>
    </xf>
    <xf numFmtId="3" fontId="0" fillId="0" borderId="0" xfId="1" applyNumberFormat="1" applyFont="1" applyBorder="1" applyAlignment="1" applyProtection="1">
      <alignment horizontal="center"/>
    </xf>
    <xf numFmtId="3" fontId="0" fillId="0" borderId="0" xfId="1" applyNumberFormat="1" applyFont="1" applyBorder="1" applyProtection="1"/>
    <xf numFmtId="3" fontId="3" fillId="3" borderId="42" xfId="1" applyNumberFormat="1" applyFill="1" applyBorder="1" applyProtection="1"/>
    <xf numFmtId="0" fontId="3" fillId="0" borderId="34" xfId="1" applyBorder="1" applyAlignment="1" applyProtection="1">
      <alignment horizontal="center"/>
    </xf>
    <xf numFmtId="0" fontId="3" fillId="0" borderId="41" xfId="1" applyFont="1" applyBorder="1" applyProtection="1"/>
    <xf numFmtId="3" fontId="3" fillId="0" borderId="0" xfId="1" applyNumberFormat="1" applyBorder="1" applyProtection="1"/>
    <xf numFmtId="0" fontId="0" fillId="0" borderId="41" xfId="1" applyFont="1" applyBorder="1" applyProtection="1"/>
    <xf numFmtId="0" fontId="6" fillId="4" borderId="0" xfId="1" applyFont="1" applyFill="1" applyBorder="1" applyAlignment="1" applyProtection="1">
      <alignment horizontal="justify" wrapText="1"/>
    </xf>
    <xf numFmtId="0" fontId="6" fillId="0" borderId="35" xfId="1" applyFont="1" applyBorder="1" applyAlignment="1" applyProtection="1">
      <alignment horizontal="center" wrapText="1"/>
    </xf>
    <xf numFmtId="0" fontId="0" fillId="4" borderId="43" xfId="1" applyFont="1" applyFill="1" applyBorder="1" applyProtection="1"/>
    <xf numFmtId="3" fontId="0" fillId="0" borderId="31" xfId="1" applyNumberFormat="1" applyFont="1" applyBorder="1" applyAlignment="1" applyProtection="1">
      <alignment horizontal="center"/>
    </xf>
    <xf numFmtId="3" fontId="3" fillId="0" borderId="31" xfId="1" applyNumberFormat="1" applyBorder="1" applyProtection="1"/>
    <xf numFmtId="3" fontId="3" fillId="3" borderId="44" xfId="1" applyNumberFormat="1" applyFill="1" applyBorder="1" applyProtection="1"/>
    <xf numFmtId="0" fontId="3" fillId="0" borderId="11" xfId="1" applyBorder="1" applyAlignment="1" applyProtection="1">
      <alignment horizontal="center"/>
    </xf>
    <xf numFmtId="0" fontId="0" fillId="0" borderId="12" xfId="1" applyFont="1" applyBorder="1" applyAlignment="1" applyProtection="1"/>
    <xf numFmtId="0" fontId="0" fillId="0" borderId="12" xfId="1" applyFont="1" applyBorder="1" applyProtection="1"/>
    <xf numFmtId="3" fontId="0" fillId="0" borderId="12" xfId="1" applyNumberFormat="1" applyFont="1" applyBorder="1" applyAlignment="1" applyProtection="1">
      <alignment horizontal="center"/>
    </xf>
    <xf numFmtId="3" fontId="3" fillId="0" borderId="12" xfId="1" applyNumberFormat="1" applyBorder="1" applyProtection="1"/>
    <xf numFmtId="3" fontId="3" fillId="3" borderId="12" xfId="1" applyNumberFormat="1" applyFill="1" applyBorder="1" applyProtection="1"/>
    <xf numFmtId="0" fontId="6" fillId="0" borderId="16" xfId="1" applyFont="1" applyBorder="1" applyAlignment="1" applyProtection="1">
      <alignment horizontal="center" wrapText="1"/>
    </xf>
    <xf numFmtId="0" fontId="3" fillId="0" borderId="16" xfId="1" applyBorder="1" applyAlignment="1" applyProtection="1">
      <alignment horizontal="center"/>
    </xf>
    <xf numFmtId="0" fontId="6" fillId="0" borderId="7" xfId="1" applyFont="1" applyBorder="1" applyAlignment="1" applyProtection="1">
      <alignment horizontal="center" wrapText="1"/>
    </xf>
    <xf numFmtId="0" fontId="0" fillId="0" borderId="8" xfId="1" applyFont="1" applyBorder="1" applyProtection="1"/>
    <xf numFmtId="0" fontId="6" fillId="4" borderId="8" xfId="1" applyFont="1" applyFill="1" applyBorder="1" applyAlignment="1" applyProtection="1">
      <alignment horizontal="justify" wrapText="1"/>
    </xf>
    <xf numFmtId="3" fontId="0" fillId="0" borderId="8" xfId="1" applyNumberFormat="1" applyFont="1" applyBorder="1" applyAlignment="1" applyProtection="1">
      <alignment horizontal="center"/>
    </xf>
    <xf numFmtId="3" fontId="3" fillId="0" borderId="8" xfId="1" applyNumberFormat="1" applyBorder="1" applyProtection="1"/>
    <xf numFmtId="3" fontId="3" fillId="3" borderId="8" xfId="1" applyNumberFormat="1" applyFill="1" applyBorder="1" applyProtection="1"/>
    <xf numFmtId="3" fontId="3" fillId="0" borderId="12" xfId="1" applyNumberFormat="1" applyBorder="1" applyAlignment="1" applyProtection="1">
      <alignment horizontal="center"/>
    </xf>
    <xf numFmtId="0" fontId="3" fillId="0" borderId="16" xfId="1" applyBorder="1" applyProtection="1"/>
    <xf numFmtId="0" fontId="3" fillId="0" borderId="7" xfId="1" applyBorder="1" applyAlignment="1" applyProtection="1">
      <alignment horizontal="center"/>
    </xf>
    <xf numFmtId="3" fontId="0" fillId="0" borderId="8" xfId="1" applyNumberFormat="1" applyFont="1" applyBorder="1" applyProtection="1"/>
  </cellXfs>
  <cellStyles count="2">
    <cellStyle name="Normal" xfId="0" builtinId="0"/>
    <cellStyle name="Texto explicativo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J271"/>
  <sheetViews>
    <sheetView tabSelected="1" workbookViewId="0">
      <selection activeCell="J1" sqref="J1:J1048576"/>
    </sheetView>
  </sheetViews>
  <sheetFormatPr baseColWidth="10" defaultRowHeight="14.4"/>
  <sheetData>
    <row r="1" spans="1:10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spans="1:10">
      <c r="A2" s="5">
        <v>44652</v>
      </c>
      <c r="B2" s="6">
        <v>0.15208333333333299</v>
      </c>
      <c r="C2" s="7">
        <v>3094</v>
      </c>
      <c r="D2" s="8" t="s">
        <v>9</v>
      </c>
      <c r="E2" s="7">
        <v>21820</v>
      </c>
      <c r="F2" s="7">
        <v>13080</v>
      </c>
      <c r="G2" s="9">
        <v>8740</v>
      </c>
      <c r="H2" s="7" t="s">
        <v>10</v>
      </c>
      <c r="I2" s="7" t="s">
        <v>11</v>
      </c>
    </row>
    <row r="3" spans="1:10">
      <c r="A3" s="5">
        <v>44652</v>
      </c>
      <c r="B3" s="6">
        <v>0.195138888888889</v>
      </c>
      <c r="C3" s="7">
        <v>3098</v>
      </c>
      <c r="D3" s="7" t="s">
        <v>12</v>
      </c>
      <c r="E3" s="7">
        <v>25700</v>
      </c>
      <c r="F3" s="7">
        <v>15680</v>
      </c>
      <c r="G3" s="9">
        <v>10020</v>
      </c>
      <c r="H3" s="7" t="s">
        <v>10</v>
      </c>
      <c r="I3" s="7" t="s">
        <v>11</v>
      </c>
    </row>
    <row r="4" spans="1:10">
      <c r="A4" s="5">
        <v>44652</v>
      </c>
      <c r="B4" s="6">
        <v>0.25694444444444398</v>
      </c>
      <c r="C4" s="7">
        <v>3102</v>
      </c>
      <c r="D4" s="7" t="s">
        <v>13</v>
      </c>
      <c r="E4" s="7">
        <v>4340</v>
      </c>
      <c r="F4" s="7">
        <v>3680</v>
      </c>
      <c r="G4" s="9">
        <v>660</v>
      </c>
      <c r="H4" s="7" t="s">
        <v>10</v>
      </c>
      <c r="I4" s="7" t="s">
        <v>11</v>
      </c>
    </row>
    <row r="5" spans="1:10">
      <c r="A5" s="5">
        <v>44652</v>
      </c>
      <c r="B5" s="6">
        <v>0.25972222222222202</v>
      </c>
      <c r="C5" s="7">
        <v>3103</v>
      </c>
      <c r="D5" s="7" t="s">
        <v>12</v>
      </c>
      <c r="E5" s="7">
        <v>16980</v>
      </c>
      <c r="F5" s="7">
        <v>15760</v>
      </c>
      <c r="G5" s="9">
        <v>1220</v>
      </c>
      <c r="H5" s="7" t="s">
        <v>10</v>
      </c>
      <c r="I5" s="7" t="s">
        <v>11</v>
      </c>
    </row>
    <row r="6" spans="1:10">
      <c r="A6" s="5">
        <v>44652</v>
      </c>
      <c r="B6" s="6">
        <v>0.43125000000000002</v>
      </c>
      <c r="C6" s="7">
        <v>3119</v>
      </c>
      <c r="D6" s="7" t="s">
        <v>14</v>
      </c>
      <c r="E6" s="7">
        <v>2640</v>
      </c>
      <c r="F6" s="7">
        <v>2380</v>
      </c>
      <c r="G6" s="9">
        <v>260</v>
      </c>
      <c r="H6" s="7" t="s">
        <v>10</v>
      </c>
      <c r="I6" s="7" t="s">
        <v>11</v>
      </c>
    </row>
    <row r="7" spans="1:10">
      <c r="A7" s="5">
        <v>44652</v>
      </c>
      <c r="B7" s="6">
        <v>0.52638888888888902</v>
      </c>
      <c r="C7" s="7">
        <v>3132</v>
      </c>
      <c r="D7" s="7" t="s">
        <v>15</v>
      </c>
      <c r="E7" s="7">
        <v>2980</v>
      </c>
      <c r="F7" s="7">
        <v>2720</v>
      </c>
      <c r="G7" s="9">
        <v>260</v>
      </c>
      <c r="H7" s="7" t="s">
        <v>10</v>
      </c>
      <c r="I7" s="7" t="s">
        <v>16</v>
      </c>
    </row>
    <row r="8" spans="1:10">
      <c r="A8" s="5">
        <v>44652</v>
      </c>
      <c r="B8" s="6">
        <v>0.52986111111111101</v>
      </c>
      <c r="C8" s="7">
        <v>3134</v>
      </c>
      <c r="D8" s="7" t="s">
        <v>17</v>
      </c>
      <c r="E8" s="7">
        <v>5960</v>
      </c>
      <c r="F8" s="7">
        <v>5520</v>
      </c>
      <c r="G8" s="9">
        <v>440</v>
      </c>
      <c r="H8" s="7" t="s">
        <v>10</v>
      </c>
      <c r="I8" s="7" t="s">
        <v>18</v>
      </c>
    </row>
    <row r="9" spans="1:10">
      <c r="A9" s="5">
        <v>44653</v>
      </c>
      <c r="B9" s="6">
        <v>0.19236111111111101</v>
      </c>
      <c r="C9" s="10">
        <v>3148</v>
      </c>
      <c r="D9" s="7" t="s">
        <v>9</v>
      </c>
      <c r="E9" s="7">
        <v>21220</v>
      </c>
      <c r="F9" s="7">
        <v>12780</v>
      </c>
      <c r="G9" s="9">
        <v>8440</v>
      </c>
      <c r="H9" s="7" t="s">
        <v>10</v>
      </c>
      <c r="I9" s="7" t="s">
        <v>11</v>
      </c>
    </row>
    <row r="10" spans="1:10">
      <c r="A10" s="5">
        <v>44653</v>
      </c>
      <c r="B10" s="6">
        <v>0.25763888888888897</v>
      </c>
      <c r="C10" s="7">
        <v>3153</v>
      </c>
      <c r="D10" s="7" t="s">
        <v>13</v>
      </c>
      <c r="E10" s="7">
        <v>4400</v>
      </c>
      <c r="F10" s="7">
        <v>3800</v>
      </c>
      <c r="G10" s="9">
        <v>600</v>
      </c>
      <c r="H10" s="7" t="s">
        <v>10</v>
      </c>
      <c r="I10" s="7" t="s">
        <v>11</v>
      </c>
    </row>
    <row r="11" spans="1:10">
      <c r="A11" s="5">
        <v>44653</v>
      </c>
      <c r="B11" s="6">
        <v>0.25902777777777802</v>
      </c>
      <c r="C11" s="7">
        <v>3154</v>
      </c>
      <c r="D11" s="7" t="s">
        <v>12</v>
      </c>
      <c r="E11" s="7">
        <v>25080</v>
      </c>
      <c r="F11" s="7">
        <v>15800</v>
      </c>
      <c r="G11" s="9">
        <v>9280</v>
      </c>
      <c r="H11" s="7" t="s">
        <v>10</v>
      </c>
      <c r="I11" s="7" t="s">
        <v>11</v>
      </c>
    </row>
    <row r="12" spans="1:10">
      <c r="A12" s="5">
        <v>44653</v>
      </c>
      <c r="B12" s="6">
        <v>0.51111111111111096</v>
      </c>
      <c r="C12" s="7">
        <v>3165</v>
      </c>
      <c r="D12" s="7" t="s">
        <v>14</v>
      </c>
      <c r="E12" s="7">
        <v>2820</v>
      </c>
      <c r="F12" s="7">
        <v>2400</v>
      </c>
      <c r="G12" s="9">
        <v>420</v>
      </c>
      <c r="H12" s="7" t="s">
        <v>10</v>
      </c>
      <c r="I12" s="7" t="s">
        <v>11</v>
      </c>
    </row>
    <row r="13" spans="1:10">
      <c r="A13" s="5">
        <v>44654</v>
      </c>
      <c r="B13" s="6">
        <v>0.109027777777778</v>
      </c>
      <c r="C13" s="7">
        <v>3170</v>
      </c>
      <c r="D13" s="7" t="s">
        <v>9</v>
      </c>
      <c r="E13" s="7">
        <v>21360</v>
      </c>
      <c r="F13" s="7">
        <v>12920</v>
      </c>
      <c r="G13" s="9">
        <v>8440</v>
      </c>
      <c r="H13" s="7" t="s">
        <v>10</v>
      </c>
      <c r="I13" s="7" t="s">
        <v>11</v>
      </c>
    </row>
    <row r="14" spans="1:10">
      <c r="A14" s="5">
        <v>44654</v>
      </c>
      <c r="B14" s="6">
        <v>0.179861111111111</v>
      </c>
      <c r="C14" s="7">
        <v>3173</v>
      </c>
      <c r="D14" s="7" t="s">
        <v>13</v>
      </c>
      <c r="E14" s="7">
        <v>4580</v>
      </c>
      <c r="F14" s="7">
        <v>3800</v>
      </c>
      <c r="G14" s="9">
        <v>780</v>
      </c>
      <c r="H14" s="7" t="s">
        <v>10</v>
      </c>
      <c r="I14" s="7" t="s">
        <v>11</v>
      </c>
    </row>
    <row r="15" spans="1:10">
      <c r="A15" s="5">
        <v>44654</v>
      </c>
      <c r="B15" s="6">
        <v>0.19930555555555601</v>
      </c>
      <c r="C15" s="7">
        <v>3175</v>
      </c>
      <c r="D15" s="7" t="s">
        <v>12</v>
      </c>
      <c r="E15" s="7">
        <v>25580</v>
      </c>
      <c r="F15" s="7">
        <v>15760</v>
      </c>
      <c r="G15" s="9">
        <v>9820</v>
      </c>
      <c r="H15" s="7" t="s">
        <v>10</v>
      </c>
      <c r="I15" s="7" t="s">
        <v>11</v>
      </c>
    </row>
    <row r="16" spans="1:10">
      <c r="A16" s="5">
        <v>44654</v>
      </c>
      <c r="B16" s="6">
        <v>0.25277777777777799</v>
      </c>
      <c r="C16" s="7">
        <v>3178</v>
      </c>
      <c r="D16" s="7" t="s">
        <v>12</v>
      </c>
      <c r="E16" s="7">
        <v>16440</v>
      </c>
      <c r="F16" s="7">
        <v>15740</v>
      </c>
      <c r="G16" s="9">
        <v>700</v>
      </c>
      <c r="H16" s="7" t="s">
        <v>10</v>
      </c>
      <c r="I16" s="7" t="s">
        <v>11</v>
      </c>
    </row>
    <row r="17" spans="1:9">
      <c r="A17" s="5">
        <v>44654</v>
      </c>
      <c r="B17" s="6">
        <v>0.51666666666666705</v>
      </c>
      <c r="C17" s="7">
        <v>3181</v>
      </c>
      <c r="D17" s="7" t="s">
        <v>14</v>
      </c>
      <c r="E17" s="7">
        <v>2740</v>
      </c>
      <c r="F17" s="7">
        <v>2320</v>
      </c>
      <c r="G17" s="9">
        <v>420</v>
      </c>
      <c r="H17" s="7" t="s">
        <v>10</v>
      </c>
      <c r="I17" s="7" t="s">
        <v>11</v>
      </c>
    </row>
    <row r="18" spans="1:9">
      <c r="A18" s="5">
        <v>44655</v>
      </c>
      <c r="B18" s="6">
        <v>0.50972222222222197</v>
      </c>
      <c r="C18" s="7">
        <v>2733</v>
      </c>
      <c r="D18" s="7" t="s">
        <v>12</v>
      </c>
      <c r="E18" s="7">
        <v>17220</v>
      </c>
      <c r="F18" s="7">
        <v>15760</v>
      </c>
      <c r="G18" s="9">
        <v>1460</v>
      </c>
      <c r="H18" s="7" t="s">
        <v>10</v>
      </c>
      <c r="I18" s="7" t="s">
        <v>19</v>
      </c>
    </row>
    <row r="19" spans="1:9">
      <c r="A19" s="5">
        <v>44655</v>
      </c>
      <c r="B19" s="6">
        <v>0.18472222222222201</v>
      </c>
      <c r="C19" s="7">
        <v>3189</v>
      </c>
      <c r="D19" s="7" t="s">
        <v>9</v>
      </c>
      <c r="E19" s="7">
        <v>19160</v>
      </c>
      <c r="F19" s="7">
        <v>12680</v>
      </c>
      <c r="G19" s="9">
        <v>6480</v>
      </c>
      <c r="H19" s="7" t="s">
        <v>10</v>
      </c>
      <c r="I19" s="7" t="s">
        <v>11</v>
      </c>
    </row>
    <row r="20" spans="1:9">
      <c r="A20" s="5">
        <v>44655</v>
      </c>
      <c r="B20" s="6">
        <v>0.24652777777777801</v>
      </c>
      <c r="C20" s="7">
        <v>3193</v>
      </c>
      <c r="D20" s="7" t="s">
        <v>12</v>
      </c>
      <c r="E20" s="7">
        <v>25920</v>
      </c>
      <c r="F20" s="7">
        <v>15860</v>
      </c>
      <c r="G20" s="9">
        <v>10060</v>
      </c>
      <c r="H20" s="7" t="s">
        <v>10</v>
      </c>
      <c r="I20" s="7" t="s">
        <v>11</v>
      </c>
    </row>
    <row r="21" spans="1:9">
      <c r="A21" s="5">
        <v>44655</v>
      </c>
      <c r="B21" s="6">
        <v>0.25624999999999998</v>
      </c>
      <c r="C21" s="7">
        <v>3194</v>
      </c>
      <c r="D21" s="7" t="s">
        <v>13</v>
      </c>
      <c r="E21" s="7">
        <v>4520</v>
      </c>
      <c r="F21" s="7">
        <v>3800</v>
      </c>
      <c r="G21" s="9">
        <v>720</v>
      </c>
      <c r="H21" s="7" t="s">
        <v>10</v>
      </c>
      <c r="I21" s="7" t="s">
        <v>11</v>
      </c>
    </row>
    <row r="22" spans="1:9">
      <c r="A22" s="5">
        <v>44656</v>
      </c>
      <c r="B22" s="6">
        <v>0.15902777777777799</v>
      </c>
      <c r="C22" s="7">
        <v>3248</v>
      </c>
      <c r="D22" s="7" t="s">
        <v>9</v>
      </c>
      <c r="E22" s="7">
        <v>21760</v>
      </c>
      <c r="F22" s="7">
        <v>12980</v>
      </c>
      <c r="G22" s="9">
        <v>8780</v>
      </c>
      <c r="H22" s="7" t="s">
        <v>10</v>
      </c>
      <c r="I22" s="7" t="s">
        <v>11</v>
      </c>
    </row>
    <row r="23" spans="1:9">
      <c r="A23" s="5">
        <v>44656</v>
      </c>
      <c r="B23" s="6">
        <v>0.250694444444444</v>
      </c>
      <c r="C23" s="7">
        <v>3252</v>
      </c>
      <c r="D23" s="7" t="s">
        <v>12</v>
      </c>
      <c r="E23" s="7">
        <v>25920</v>
      </c>
      <c r="F23" s="7">
        <v>15840</v>
      </c>
      <c r="G23" s="9">
        <v>10080</v>
      </c>
      <c r="H23" s="7" t="s">
        <v>10</v>
      </c>
      <c r="I23" s="7" t="s">
        <v>11</v>
      </c>
    </row>
    <row r="24" spans="1:9">
      <c r="A24" s="5">
        <v>44656</v>
      </c>
      <c r="B24" s="6">
        <v>0.25486111111111098</v>
      </c>
      <c r="C24" s="7">
        <v>3253</v>
      </c>
      <c r="D24" s="7" t="s">
        <v>13</v>
      </c>
      <c r="E24" s="7">
        <v>4180</v>
      </c>
      <c r="F24" s="7">
        <v>3780</v>
      </c>
      <c r="G24" s="9">
        <v>400</v>
      </c>
      <c r="H24" s="7" t="s">
        <v>10</v>
      </c>
      <c r="I24" s="7" t="s">
        <v>11</v>
      </c>
    </row>
    <row r="25" spans="1:9">
      <c r="A25" s="5">
        <v>44656</v>
      </c>
      <c r="B25" s="6">
        <v>0.53402777777777799</v>
      </c>
      <c r="C25" s="7">
        <v>3285</v>
      </c>
      <c r="D25" s="7" t="s">
        <v>15</v>
      </c>
      <c r="E25" s="7">
        <v>3220</v>
      </c>
      <c r="F25" s="7">
        <v>2800</v>
      </c>
      <c r="G25" s="9">
        <v>420</v>
      </c>
      <c r="H25" s="7" t="s">
        <v>10</v>
      </c>
      <c r="I25" s="7" t="s">
        <v>16</v>
      </c>
    </row>
    <row r="26" spans="1:9">
      <c r="A26" s="5">
        <v>44656</v>
      </c>
      <c r="B26" s="6">
        <v>0.51736111111111105</v>
      </c>
      <c r="C26" s="7">
        <v>137423</v>
      </c>
      <c r="D26" s="7" t="s">
        <v>12</v>
      </c>
      <c r="E26" s="7">
        <v>18200</v>
      </c>
      <c r="F26" s="7">
        <v>15740</v>
      </c>
      <c r="G26" s="9">
        <v>2460</v>
      </c>
      <c r="H26" s="7" t="s">
        <v>10</v>
      </c>
      <c r="I26" s="7" t="s">
        <v>20</v>
      </c>
    </row>
    <row r="27" spans="1:9">
      <c r="A27" s="5">
        <v>44657</v>
      </c>
      <c r="B27" s="6">
        <v>0.14513888888888901</v>
      </c>
      <c r="C27" s="7">
        <v>3306</v>
      </c>
      <c r="D27" s="7" t="s">
        <v>9</v>
      </c>
      <c r="E27" s="7">
        <v>21440</v>
      </c>
      <c r="F27" s="7">
        <v>12900</v>
      </c>
      <c r="G27" s="9">
        <v>8540</v>
      </c>
      <c r="H27" s="7" t="s">
        <v>10</v>
      </c>
      <c r="I27" s="7" t="s">
        <v>11</v>
      </c>
    </row>
    <row r="28" spans="1:9">
      <c r="A28" s="5">
        <v>44657</v>
      </c>
      <c r="B28" s="6">
        <v>0.24374999999999999</v>
      </c>
      <c r="C28" s="7">
        <v>3313</v>
      </c>
      <c r="D28" s="7" t="s">
        <v>12</v>
      </c>
      <c r="E28" s="7">
        <v>25840</v>
      </c>
      <c r="F28" s="7">
        <v>15840</v>
      </c>
      <c r="G28" s="9">
        <v>10000</v>
      </c>
      <c r="H28" s="7" t="s">
        <v>10</v>
      </c>
      <c r="I28" s="7" t="s">
        <v>11</v>
      </c>
    </row>
    <row r="29" spans="1:9">
      <c r="A29" s="5">
        <v>44657</v>
      </c>
      <c r="B29" s="6">
        <v>0.25694444444444398</v>
      </c>
      <c r="C29" s="7">
        <v>3315</v>
      </c>
      <c r="D29" s="7" t="s">
        <v>13</v>
      </c>
      <c r="E29" s="7">
        <v>4440</v>
      </c>
      <c r="F29" s="7">
        <v>3760</v>
      </c>
      <c r="G29" s="9">
        <v>680</v>
      </c>
      <c r="H29" s="7" t="s">
        <v>10</v>
      </c>
      <c r="I29" s="7" t="s">
        <v>11</v>
      </c>
    </row>
    <row r="30" spans="1:9">
      <c r="A30" s="5">
        <v>44657</v>
      </c>
      <c r="B30" s="6">
        <v>0.33888888888888902</v>
      </c>
      <c r="C30" s="7">
        <v>3326</v>
      </c>
      <c r="D30" s="7" t="s">
        <v>17</v>
      </c>
      <c r="E30" s="7">
        <v>7000</v>
      </c>
      <c r="F30" s="7">
        <v>5520</v>
      </c>
      <c r="G30" s="9">
        <v>1480</v>
      </c>
      <c r="H30" s="7" t="s">
        <v>10</v>
      </c>
      <c r="I30" s="7" t="s">
        <v>18</v>
      </c>
    </row>
    <row r="31" spans="1:9">
      <c r="A31" s="5">
        <v>44657</v>
      </c>
      <c r="B31" s="6">
        <v>0.33819444444444402</v>
      </c>
      <c r="C31" s="7">
        <v>3327</v>
      </c>
      <c r="D31" s="7" t="s">
        <v>15</v>
      </c>
      <c r="E31" s="7">
        <v>3320</v>
      </c>
      <c r="F31" s="7">
        <v>2720</v>
      </c>
      <c r="G31" s="9">
        <v>600</v>
      </c>
      <c r="H31" s="7" t="s">
        <v>10</v>
      </c>
      <c r="I31" s="7" t="s">
        <v>11</v>
      </c>
    </row>
    <row r="32" spans="1:9">
      <c r="A32" s="5">
        <v>44657</v>
      </c>
      <c r="B32" s="6">
        <v>0.43472222222222201</v>
      </c>
      <c r="C32" s="7">
        <v>3335</v>
      </c>
      <c r="D32" s="7" t="s">
        <v>17</v>
      </c>
      <c r="E32" s="7">
        <v>5900</v>
      </c>
      <c r="F32" s="7">
        <v>5520</v>
      </c>
      <c r="G32" s="9">
        <v>380</v>
      </c>
      <c r="H32" s="7" t="s">
        <v>10</v>
      </c>
      <c r="I32" s="7" t="s">
        <v>18</v>
      </c>
    </row>
    <row r="33" spans="1:9">
      <c r="A33" s="5">
        <v>44657</v>
      </c>
      <c r="B33" s="6">
        <v>0.50833333333333297</v>
      </c>
      <c r="C33" s="7">
        <v>3342</v>
      </c>
      <c r="D33" s="7" t="s">
        <v>15</v>
      </c>
      <c r="E33" s="7">
        <v>3120</v>
      </c>
      <c r="F33" s="7">
        <v>2700</v>
      </c>
      <c r="G33" s="9">
        <v>420</v>
      </c>
      <c r="H33" s="7" t="s">
        <v>10</v>
      </c>
      <c r="I33" s="7" t="s">
        <v>18</v>
      </c>
    </row>
    <row r="34" spans="1:9">
      <c r="A34" s="5">
        <v>44657</v>
      </c>
      <c r="B34" s="6">
        <v>0.50277777777777799</v>
      </c>
      <c r="C34" s="7">
        <v>3345</v>
      </c>
      <c r="D34" s="7" t="s">
        <v>17</v>
      </c>
      <c r="E34" s="7">
        <v>6460</v>
      </c>
      <c r="F34" s="7">
        <v>5640</v>
      </c>
      <c r="G34" s="9">
        <v>820</v>
      </c>
      <c r="H34" s="7" t="s">
        <v>10</v>
      </c>
      <c r="I34" s="7" t="s">
        <v>18</v>
      </c>
    </row>
    <row r="35" spans="1:9">
      <c r="A35" s="5">
        <v>44658</v>
      </c>
      <c r="B35" s="6">
        <v>0.15763888888888899</v>
      </c>
      <c r="C35" s="7">
        <v>3364</v>
      </c>
      <c r="D35" s="7" t="s">
        <v>9</v>
      </c>
      <c r="E35" s="7">
        <v>21920</v>
      </c>
      <c r="F35" s="7">
        <v>12840</v>
      </c>
      <c r="G35" s="9">
        <v>9080</v>
      </c>
      <c r="H35" s="7" t="s">
        <v>10</v>
      </c>
      <c r="I35" s="7" t="s">
        <v>11</v>
      </c>
    </row>
    <row r="36" spans="1:9">
      <c r="A36" s="5">
        <v>44658</v>
      </c>
      <c r="B36" s="6">
        <v>0.21527777777777801</v>
      </c>
      <c r="C36" s="7">
        <v>3368</v>
      </c>
      <c r="D36" s="7" t="s">
        <v>12</v>
      </c>
      <c r="E36" s="7">
        <v>26980</v>
      </c>
      <c r="F36" s="7">
        <v>15820</v>
      </c>
      <c r="G36" s="9">
        <v>11160</v>
      </c>
      <c r="H36" s="7" t="s">
        <v>10</v>
      </c>
      <c r="I36" s="7" t="s">
        <v>11</v>
      </c>
    </row>
    <row r="37" spans="1:9">
      <c r="A37" s="5">
        <v>44658</v>
      </c>
      <c r="B37" s="6">
        <v>0.25347222222222199</v>
      </c>
      <c r="C37" s="7">
        <v>3372</v>
      </c>
      <c r="D37" s="7" t="s">
        <v>13</v>
      </c>
      <c r="E37" s="7">
        <v>4360</v>
      </c>
      <c r="F37" s="7">
        <v>3760</v>
      </c>
      <c r="G37" s="9">
        <v>600</v>
      </c>
      <c r="H37" s="7" t="s">
        <v>10</v>
      </c>
      <c r="I37" s="7" t="s">
        <v>11</v>
      </c>
    </row>
    <row r="38" spans="1:9">
      <c r="A38" s="5">
        <v>44658</v>
      </c>
      <c r="B38" s="6">
        <v>0.39236111111111099</v>
      </c>
      <c r="C38" s="7">
        <v>3387</v>
      </c>
      <c r="D38" s="7" t="s">
        <v>17</v>
      </c>
      <c r="E38" s="7">
        <v>6440</v>
      </c>
      <c r="F38" s="7">
        <v>5620</v>
      </c>
      <c r="G38" s="9">
        <v>820</v>
      </c>
      <c r="H38" s="7" t="s">
        <v>10</v>
      </c>
      <c r="I38" s="7" t="s">
        <v>18</v>
      </c>
    </row>
    <row r="39" spans="1:9">
      <c r="A39" s="5">
        <v>44658</v>
      </c>
      <c r="B39" s="6">
        <v>0.452083333333333</v>
      </c>
      <c r="C39" s="7">
        <v>3396</v>
      </c>
      <c r="D39" s="7" t="s">
        <v>17</v>
      </c>
      <c r="E39" s="7">
        <v>5880</v>
      </c>
      <c r="F39" s="7">
        <v>5600</v>
      </c>
      <c r="G39" s="9">
        <v>280</v>
      </c>
      <c r="H39" s="7" t="s">
        <v>10</v>
      </c>
      <c r="I39" s="7" t="s">
        <v>18</v>
      </c>
    </row>
    <row r="40" spans="1:9">
      <c r="A40" s="5">
        <v>44658</v>
      </c>
      <c r="B40" s="6">
        <v>0.499305555555556</v>
      </c>
      <c r="C40" s="7">
        <v>3402</v>
      </c>
      <c r="D40" s="7" t="s">
        <v>14</v>
      </c>
      <c r="E40" s="7">
        <v>2660</v>
      </c>
      <c r="F40" s="7">
        <v>2380</v>
      </c>
      <c r="G40" s="9">
        <v>280</v>
      </c>
      <c r="H40" s="7" t="s">
        <v>10</v>
      </c>
      <c r="I40" s="7" t="s">
        <v>11</v>
      </c>
    </row>
    <row r="41" spans="1:9">
      <c r="A41" s="5">
        <v>44658</v>
      </c>
      <c r="B41" s="6">
        <v>0.50416666666666698</v>
      </c>
      <c r="C41" s="7">
        <v>3408</v>
      </c>
      <c r="D41" s="7" t="s">
        <v>17</v>
      </c>
      <c r="E41" s="7">
        <v>6140</v>
      </c>
      <c r="F41" s="7">
        <v>5580</v>
      </c>
      <c r="G41" s="9">
        <v>560</v>
      </c>
      <c r="H41" s="7" t="s">
        <v>10</v>
      </c>
      <c r="I41" s="7" t="s">
        <v>18</v>
      </c>
    </row>
    <row r="42" spans="1:9">
      <c r="A42" s="5">
        <v>44659</v>
      </c>
      <c r="B42" s="6">
        <v>0.125</v>
      </c>
      <c r="C42" s="7">
        <v>3427</v>
      </c>
      <c r="D42" s="7" t="s">
        <v>9</v>
      </c>
      <c r="E42" s="7">
        <v>20540</v>
      </c>
      <c r="F42" s="7">
        <v>12840</v>
      </c>
      <c r="G42" s="9">
        <v>7700</v>
      </c>
      <c r="H42" s="7" t="s">
        <v>10</v>
      </c>
      <c r="I42" s="7" t="s">
        <v>11</v>
      </c>
    </row>
    <row r="43" spans="1:9">
      <c r="A43" s="5">
        <v>44659</v>
      </c>
      <c r="B43" s="6">
        <v>0.18472222222222201</v>
      </c>
      <c r="C43" s="7">
        <v>3431</v>
      </c>
      <c r="D43" s="7" t="s">
        <v>9</v>
      </c>
      <c r="E43" s="7">
        <v>14780</v>
      </c>
      <c r="F43" s="7">
        <v>12600</v>
      </c>
      <c r="G43" s="9">
        <v>2180</v>
      </c>
      <c r="H43" s="7" t="s">
        <v>10</v>
      </c>
      <c r="I43" s="7" t="s">
        <v>11</v>
      </c>
    </row>
    <row r="44" spans="1:9">
      <c r="A44" s="5">
        <v>44659</v>
      </c>
      <c r="B44" s="6">
        <v>0.234027777777778</v>
      </c>
      <c r="C44" s="7">
        <v>3435</v>
      </c>
      <c r="D44" s="7" t="s">
        <v>12</v>
      </c>
      <c r="E44" s="7">
        <v>25920</v>
      </c>
      <c r="F44" s="7">
        <v>15780</v>
      </c>
      <c r="G44" s="9">
        <v>10140</v>
      </c>
      <c r="H44" s="7" t="s">
        <v>10</v>
      </c>
      <c r="I44" s="7" t="s">
        <v>11</v>
      </c>
    </row>
    <row r="45" spans="1:9">
      <c r="A45" s="5">
        <v>44659</v>
      </c>
      <c r="B45" s="6">
        <v>0.25277777777777799</v>
      </c>
      <c r="C45" s="7">
        <v>3437</v>
      </c>
      <c r="D45" s="7" t="s">
        <v>13</v>
      </c>
      <c r="E45" s="7">
        <v>4540</v>
      </c>
      <c r="F45" s="7">
        <v>3740</v>
      </c>
      <c r="G45" s="9">
        <v>800</v>
      </c>
      <c r="H45" s="7" t="s">
        <v>10</v>
      </c>
      <c r="I45" s="7" t="s">
        <v>11</v>
      </c>
    </row>
    <row r="46" spans="1:9">
      <c r="A46" s="5">
        <v>44659</v>
      </c>
      <c r="B46" s="6">
        <v>0.45</v>
      </c>
      <c r="C46" s="7">
        <v>3456</v>
      </c>
      <c r="D46" s="7" t="s">
        <v>14</v>
      </c>
      <c r="E46" s="7">
        <v>2700</v>
      </c>
      <c r="F46" s="7">
        <v>2420</v>
      </c>
      <c r="G46" s="9">
        <v>280</v>
      </c>
      <c r="H46" s="7" t="s">
        <v>10</v>
      </c>
      <c r="I46" s="7" t="s">
        <v>11</v>
      </c>
    </row>
    <row r="47" spans="1:9">
      <c r="A47" s="5">
        <v>44659</v>
      </c>
      <c r="B47" s="6">
        <v>0.454166666666667</v>
      </c>
      <c r="C47" s="7">
        <v>3462</v>
      </c>
      <c r="D47" s="7" t="s">
        <v>17</v>
      </c>
      <c r="E47" s="7">
        <v>6340</v>
      </c>
      <c r="F47" s="7">
        <v>5560</v>
      </c>
      <c r="G47" s="9">
        <v>780</v>
      </c>
      <c r="H47" s="7" t="s">
        <v>10</v>
      </c>
      <c r="I47" s="7" t="s">
        <v>18</v>
      </c>
    </row>
    <row r="48" spans="1:9">
      <c r="A48" s="5">
        <v>44659</v>
      </c>
      <c r="B48" s="6">
        <v>0.50833333333333297</v>
      </c>
      <c r="C48" s="7">
        <v>3469</v>
      </c>
      <c r="D48" s="7" t="s">
        <v>21</v>
      </c>
      <c r="E48" s="7">
        <v>4280</v>
      </c>
      <c r="F48" s="7">
        <v>2860</v>
      </c>
      <c r="G48" s="9">
        <v>1420</v>
      </c>
      <c r="H48" s="7" t="s">
        <v>10</v>
      </c>
      <c r="I48" s="7" t="s">
        <v>11</v>
      </c>
    </row>
    <row r="49" spans="1:9">
      <c r="A49" s="5">
        <v>44659</v>
      </c>
      <c r="B49" s="6">
        <v>0.50763888888888897</v>
      </c>
      <c r="C49" s="7">
        <v>137634</v>
      </c>
      <c r="D49" s="7" t="s">
        <v>12</v>
      </c>
      <c r="E49" s="7">
        <v>16580</v>
      </c>
      <c r="F49" s="7">
        <v>15640</v>
      </c>
      <c r="G49" s="9">
        <v>940</v>
      </c>
      <c r="H49" s="7" t="s">
        <v>10</v>
      </c>
      <c r="I49" s="7" t="s">
        <v>20</v>
      </c>
    </row>
    <row r="50" spans="1:9">
      <c r="A50" s="5">
        <v>44660</v>
      </c>
      <c r="B50" s="6">
        <v>0.115972222222222</v>
      </c>
      <c r="C50" s="7">
        <v>3486</v>
      </c>
      <c r="D50" s="7" t="s">
        <v>9</v>
      </c>
      <c r="E50" s="7">
        <v>21040</v>
      </c>
      <c r="F50" s="7">
        <v>12760</v>
      </c>
      <c r="G50" s="9">
        <v>8280</v>
      </c>
      <c r="H50" s="7" t="s">
        <v>10</v>
      </c>
      <c r="I50" s="7" t="s">
        <v>11</v>
      </c>
    </row>
    <row r="51" spans="1:9">
      <c r="A51" s="5">
        <v>44660</v>
      </c>
      <c r="B51" s="6">
        <v>0.156944444444444</v>
      </c>
      <c r="C51" s="7">
        <v>3489</v>
      </c>
      <c r="D51" s="7" t="s">
        <v>12</v>
      </c>
      <c r="E51" s="7">
        <v>25060</v>
      </c>
      <c r="F51" s="7">
        <v>15720</v>
      </c>
      <c r="G51" s="9">
        <v>9340</v>
      </c>
      <c r="H51" s="7" t="s">
        <v>10</v>
      </c>
      <c r="I51" s="7" t="s">
        <v>11</v>
      </c>
    </row>
    <row r="52" spans="1:9">
      <c r="A52" s="5">
        <v>44660</v>
      </c>
      <c r="B52" s="6">
        <v>0.19236111111111101</v>
      </c>
      <c r="C52" s="7">
        <v>3492</v>
      </c>
      <c r="D52" s="7" t="s">
        <v>15</v>
      </c>
      <c r="E52" s="7">
        <v>3000</v>
      </c>
      <c r="F52" s="7">
        <v>2720</v>
      </c>
      <c r="G52" s="9">
        <v>280</v>
      </c>
      <c r="H52" s="7" t="s">
        <v>10</v>
      </c>
      <c r="I52" s="7" t="s">
        <v>11</v>
      </c>
    </row>
    <row r="53" spans="1:9">
      <c r="A53" s="5">
        <v>44660</v>
      </c>
      <c r="B53" s="6">
        <v>0.202777777777778</v>
      </c>
      <c r="C53" s="7">
        <v>3494</v>
      </c>
      <c r="D53" s="7" t="s">
        <v>9</v>
      </c>
      <c r="E53" s="7">
        <v>15740</v>
      </c>
      <c r="F53" s="7">
        <v>12720</v>
      </c>
      <c r="G53" s="9">
        <v>3020</v>
      </c>
      <c r="H53" s="7" t="s">
        <v>10</v>
      </c>
      <c r="I53" s="7" t="s">
        <v>11</v>
      </c>
    </row>
    <row r="54" spans="1:9">
      <c r="A54" s="5">
        <v>44660</v>
      </c>
      <c r="B54" s="6">
        <v>0.22500000000000001</v>
      </c>
      <c r="C54" s="7">
        <v>3496</v>
      </c>
      <c r="D54" s="7" t="s">
        <v>12</v>
      </c>
      <c r="E54" s="7">
        <v>18460</v>
      </c>
      <c r="F54" s="7">
        <v>15700</v>
      </c>
      <c r="G54" s="9">
        <v>2760</v>
      </c>
      <c r="H54" s="7" t="s">
        <v>10</v>
      </c>
      <c r="I54" s="7" t="s">
        <v>11</v>
      </c>
    </row>
    <row r="55" spans="1:9">
      <c r="A55" s="5">
        <v>44660</v>
      </c>
      <c r="B55" s="6">
        <v>0.24722222222222201</v>
      </c>
      <c r="C55" s="7">
        <v>3498</v>
      </c>
      <c r="D55" s="7" t="s">
        <v>15</v>
      </c>
      <c r="E55" s="7">
        <v>3280</v>
      </c>
      <c r="F55" s="7">
        <v>2720</v>
      </c>
      <c r="G55" s="9">
        <v>560</v>
      </c>
      <c r="H55" s="7" t="s">
        <v>10</v>
      </c>
      <c r="I55" s="7" t="s">
        <v>11</v>
      </c>
    </row>
    <row r="56" spans="1:9">
      <c r="A56" s="5">
        <v>44660</v>
      </c>
      <c r="B56" s="6">
        <v>0.29444444444444401</v>
      </c>
      <c r="C56" s="7">
        <v>3504</v>
      </c>
      <c r="D56" s="7" t="s">
        <v>13</v>
      </c>
      <c r="E56" s="7">
        <v>4080</v>
      </c>
      <c r="F56" s="7">
        <v>3700</v>
      </c>
      <c r="G56" s="9">
        <v>380</v>
      </c>
      <c r="H56" s="7" t="s">
        <v>10</v>
      </c>
      <c r="I56" s="7" t="s">
        <v>11</v>
      </c>
    </row>
    <row r="57" spans="1:9">
      <c r="A57" s="5">
        <v>44660</v>
      </c>
      <c r="B57" s="6">
        <v>0.45138888888888901</v>
      </c>
      <c r="C57" s="7">
        <v>3508</v>
      </c>
      <c r="D57" s="7" t="s">
        <v>21</v>
      </c>
      <c r="E57" s="7">
        <v>3100</v>
      </c>
      <c r="F57" s="7">
        <v>2860</v>
      </c>
      <c r="G57" s="9">
        <v>240</v>
      </c>
      <c r="H57" s="7" t="s">
        <v>10</v>
      </c>
      <c r="I57" s="7" t="s">
        <v>11</v>
      </c>
    </row>
    <row r="58" spans="1:9">
      <c r="A58" s="5">
        <v>44660</v>
      </c>
      <c r="B58" s="6">
        <v>0.45486111111111099</v>
      </c>
      <c r="C58" s="7">
        <v>3511</v>
      </c>
      <c r="D58" s="7" t="s">
        <v>14</v>
      </c>
      <c r="E58" s="7">
        <v>2760</v>
      </c>
      <c r="F58" s="7">
        <v>2400</v>
      </c>
      <c r="G58" s="9">
        <v>360</v>
      </c>
      <c r="H58" s="7" t="s">
        <v>10</v>
      </c>
      <c r="I58" s="7" t="s">
        <v>11</v>
      </c>
    </row>
    <row r="59" spans="1:9">
      <c r="A59" s="5">
        <v>44661</v>
      </c>
      <c r="B59" s="6">
        <v>8.7499999999999994E-2</v>
      </c>
      <c r="C59" s="7">
        <v>3514</v>
      </c>
      <c r="D59" s="7" t="s">
        <v>9</v>
      </c>
      <c r="E59" s="7">
        <v>22200</v>
      </c>
      <c r="F59" s="7">
        <v>12800</v>
      </c>
      <c r="G59" s="9">
        <v>9400</v>
      </c>
      <c r="H59" s="7" t="s">
        <v>10</v>
      </c>
      <c r="I59" s="7" t="s">
        <v>11</v>
      </c>
    </row>
    <row r="60" spans="1:9">
      <c r="A60" s="5">
        <v>44661</v>
      </c>
      <c r="B60" s="6">
        <v>0.16111111111111101</v>
      </c>
      <c r="C60" s="7">
        <v>3521</v>
      </c>
      <c r="D60" s="6" t="s">
        <v>15</v>
      </c>
      <c r="E60" s="7">
        <v>3260</v>
      </c>
      <c r="F60" s="7">
        <v>2720</v>
      </c>
      <c r="G60" s="9">
        <v>540</v>
      </c>
      <c r="H60" s="7" t="s">
        <v>10</v>
      </c>
      <c r="I60" s="7" t="s">
        <v>11</v>
      </c>
    </row>
    <row r="61" spans="1:9">
      <c r="A61" s="5">
        <v>44661</v>
      </c>
      <c r="B61" s="6">
        <v>0.17430555555555599</v>
      </c>
      <c r="C61" s="7">
        <v>3522</v>
      </c>
      <c r="D61" s="7" t="s">
        <v>12</v>
      </c>
      <c r="E61" s="7">
        <v>27180</v>
      </c>
      <c r="F61" s="7">
        <v>15840</v>
      </c>
      <c r="G61" s="9">
        <v>11340</v>
      </c>
      <c r="H61" s="7" t="s">
        <v>10</v>
      </c>
      <c r="I61" s="7" t="s">
        <v>11</v>
      </c>
    </row>
    <row r="62" spans="1:9">
      <c r="A62" s="5">
        <v>44661</v>
      </c>
      <c r="B62" s="6">
        <v>0.21319444444444399</v>
      </c>
      <c r="C62" s="7">
        <v>3523</v>
      </c>
      <c r="D62" s="7" t="s">
        <v>13</v>
      </c>
      <c r="E62" s="7">
        <v>4700</v>
      </c>
      <c r="F62" s="7">
        <v>3700</v>
      </c>
      <c r="G62" s="9">
        <v>1000</v>
      </c>
      <c r="H62" s="7" t="s">
        <v>10</v>
      </c>
      <c r="I62" s="7" t="s">
        <v>11</v>
      </c>
    </row>
    <row r="63" spans="1:9">
      <c r="A63" s="5">
        <v>44661</v>
      </c>
      <c r="B63" s="6">
        <v>0.21736111111111101</v>
      </c>
      <c r="C63" s="7">
        <v>3524</v>
      </c>
      <c r="D63" s="7" t="s">
        <v>9</v>
      </c>
      <c r="E63" s="7">
        <v>15800</v>
      </c>
      <c r="F63" s="7">
        <v>12720</v>
      </c>
      <c r="G63" s="9">
        <v>3080</v>
      </c>
      <c r="H63" s="7" t="s">
        <v>10</v>
      </c>
      <c r="I63" s="7" t="s">
        <v>11</v>
      </c>
    </row>
    <row r="64" spans="1:9">
      <c r="A64" s="5">
        <v>44661</v>
      </c>
      <c r="B64" s="6">
        <v>0.47083333333333299</v>
      </c>
      <c r="C64" s="7">
        <v>3529</v>
      </c>
      <c r="D64" s="7" t="s">
        <v>14</v>
      </c>
      <c r="E64" s="7">
        <v>2660</v>
      </c>
      <c r="F64" s="7">
        <v>2380</v>
      </c>
      <c r="G64" s="9">
        <v>280</v>
      </c>
      <c r="H64" s="7" t="s">
        <v>10</v>
      </c>
      <c r="I64" s="7" t="s">
        <v>11</v>
      </c>
    </row>
    <row r="65" spans="1:9">
      <c r="A65" s="5">
        <v>44662</v>
      </c>
      <c r="B65" s="6">
        <v>0.70763888888888904</v>
      </c>
      <c r="C65" s="7">
        <v>2755</v>
      </c>
      <c r="D65" s="7" t="s">
        <v>22</v>
      </c>
      <c r="E65" s="7">
        <v>17720</v>
      </c>
      <c r="F65" s="7">
        <v>16000</v>
      </c>
      <c r="G65" s="9">
        <v>1720</v>
      </c>
      <c r="H65" s="7" t="s">
        <v>10</v>
      </c>
      <c r="I65" s="7" t="s">
        <v>19</v>
      </c>
    </row>
    <row r="66" spans="1:9">
      <c r="A66" s="5">
        <v>44662</v>
      </c>
      <c r="B66" s="6">
        <v>5.83333333333333E-2</v>
      </c>
      <c r="C66" s="7">
        <v>3531</v>
      </c>
      <c r="D66" s="7" t="s">
        <v>9</v>
      </c>
      <c r="E66" s="7">
        <v>20120</v>
      </c>
      <c r="F66" s="7">
        <v>12740</v>
      </c>
      <c r="G66" s="9">
        <v>7380</v>
      </c>
      <c r="H66" s="7" t="s">
        <v>10</v>
      </c>
      <c r="I66" s="7" t="s">
        <v>11</v>
      </c>
    </row>
    <row r="67" spans="1:9">
      <c r="A67" s="5">
        <v>44662</v>
      </c>
      <c r="B67" s="6">
        <v>0.140277777777778</v>
      </c>
      <c r="C67" s="7">
        <v>3537</v>
      </c>
      <c r="D67" s="7" t="s">
        <v>9</v>
      </c>
      <c r="E67" s="7">
        <v>16760</v>
      </c>
      <c r="F67" s="7">
        <v>12700</v>
      </c>
      <c r="G67" s="9">
        <v>4060</v>
      </c>
      <c r="H67" s="7" t="s">
        <v>10</v>
      </c>
      <c r="I67" s="7" t="s">
        <v>11</v>
      </c>
    </row>
    <row r="68" spans="1:9">
      <c r="A68" s="5">
        <v>44662</v>
      </c>
      <c r="B68" s="6">
        <v>0.203472222222222</v>
      </c>
      <c r="C68" s="7">
        <v>3541</v>
      </c>
      <c r="D68" s="7" t="s">
        <v>12</v>
      </c>
      <c r="E68" s="7">
        <v>27000</v>
      </c>
      <c r="F68" s="7">
        <v>15820</v>
      </c>
      <c r="G68" s="9">
        <v>11180</v>
      </c>
      <c r="H68" s="7" t="s">
        <v>10</v>
      </c>
      <c r="I68" s="7" t="s">
        <v>11</v>
      </c>
    </row>
    <row r="69" spans="1:9">
      <c r="A69" s="5">
        <v>44662</v>
      </c>
      <c r="B69" s="6">
        <v>0.210416666666667</v>
      </c>
      <c r="C69" s="7">
        <v>3542</v>
      </c>
      <c r="D69" s="7" t="s">
        <v>15</v>
      </c>
      <c r="E69" s="7">
        <v>3580</v>
      </c>
      <c r="F69" s="7">
        <v>2700</v>
      </c>
      <c r="G69" s="9">
        <v>880</v>
      </c>
      <c r="H69" s="7" t="s">
        <v>10</v>
      </c>
      <c r="I69" s="7" t="s">
        <v>11</v>
      </c>
    </row>
    <row r="70" spans="1:9">
      <c r="A70" s="5">
        <v>44662</v>
      </c>
      <c r="B70" s="6">
        <v>0.227083333333333</v>
      </c>
      <c r="C70" s="7">
        <v>3545</v>
      </c>
      <c r="D70" s="7" t="s">
        <v>22</v>
      </c>
      <c r="E70" s="7">
        <v>18360</v>
      </c>
      <c r="F70" s="7">
        <v>15900</v>
      </c>
      <c r="G70" s="9">
        <v>2460</v>
      </c>
      <c r="H70" s="7" t="s">
        <v>10</v>
      </c>
      <c r="I70" s="7" t="s">
        <v>11</v>
      </c>
    </row>
    <row r="71" spans="1:9">
      <c r="A71" s="5">
        <v>44662</v>
      </c>
      <c r="B71" s="6">
        <v>0.422222222222222</v>
      </c>
      <c r="C71" s="7">
        <v>3559</v>
      </c>
      <c r="D71" s="7" t="s">
        <v>21</v>
      </c>
      <c r="E71" s="7">
        <v>3620</v>
      </c>
      <c r="F71" s="7">
        <v>2860</v>
      </c>
      <c r="G71" s="9">
        <v>760</v>
      </c>
      <c r="H71" s="7" t="s">
        <v>10</v>
      </c>
      <c r="I71" s="7" t="s">
        <v>11</v>
      </c>
    </row>
    <row r="72" spans="1:9">
      <c r="A72" s="5">
        <v>44662</v>
      </c>
      <c r="B72" s="6">
        <v>0.49236111111111103</v>
      </c>
      <c r="C72" s="7">
        <v>3574</v>
      </c>
      <c r="D72" s="7" t="s">
        <v>14</v>
      </c>
      <c r="E72" s="7">
        <v>2620</v>
      </c>
      <c r="F72" s="7">
        <v>2360</v>
      </c>
      <c r="G72" s="9">
        <v>260</v>
      </c>
      <c r="H72" s="7" t="s">
        <v>10</v>
      </c>
      <c r="I72" s="7" t="s">
        <v>11</v>
      </c>
    </row>
    <row r="73" spans="1:9">
      <c r="A73" s="5">
        <v>44662</v>
      </c>
      <c r="B73" s="6">
        <v>0.50138888888888899</v>
      </c>
      <c r="C73" s="7">
        <v>3578</v>
      </c>
      <c r="D73" s="7" t="s">
        <v>21</v>
      </c>
      <c r="E73" s="7">
        <v>3400</v>
      </c>
      <c r="F73" s="7">
        <v>2840</v>
      </c>
      <c r="G73" s="9">
        <v>560</v>
      </c>
      <c r="H73" s="7" t="s">
        <v>10</v>
      </c>
      <c r="I73" s="7" t="s">
        <v>18</v>
      </c>
    </row>
    <row r="74" spans="1:9">
      <c r="A74" s="5">
        <v>44662</v>
      </c>
      <c r="B74" s="6">
        <v>0.531944444444444</v>
      </c>
      <c r="C74" s="7">
        <v>3584</v>
      </c>
      <c r="D74" s="7" t="s">
        <v>15</v>
      </c>
      <c r="E74" s="7">
        <v>3180</v>
      </c>
      <c r="F74" s="7">
        <v>2860</v>
      </c>
      <c r="G74" s="9">
        <v>320</v>
      </c>
      <c r="H74" s="7" t="s">
        <v>10</v>
      </c>
      <c r="I74" s="7" t="s">
        <v>16</v>
      </c>
    </row>
    <row r="75" spans="1:9">
      <c r="A75" s="5">
        <v>44662</v>
      </c>
      <c r="B75" s="6">
        <v>0.686805555555556</v>
      </c>
      <c r="C75" s="7">
        <v>3596</v>
      </c>
      <c r="D75" s="7" t="s">
        <v>23</v>
      </c>
      <c r="E75" s="7">
        <v>13760</v>
      </c>
      <c r="F75" s="7">
        <v>12420</v>
      </c>
      <c r="G75" s="9">
        <v>1340</v>
      </c>
      <c r="H75" s="7" t="s">
        <v>10</v>
      </c>
      <c r="I75" s="7" t="s">
        <v>11</v>
      </c>
    </row>
    <row r="76" spans="1:9">
      <c r="A76" s="5">
        <v>44662</v>
      </c>
      <c r="B76" s="6">
        <v>0.72152777777777799</v>
      </c>
      <c r="C76" s="7">
        <v>3597</v>
      </c>
      <c r="D76" s="7" t="s">
        <v>14</v>
      </c>
      <c r="E76" s="7">
        <v>2520</v>
      </c>
      <c r="F76" s="7">
        <v>2380</v>
      </c>
      <c r="G76" s="9">
        <v>140</v>
      </c>
      <c r="H76" s="7" t="s">
        <v>10</v>
      </c>
      <c r="I76" s="7" t="s">
        <v>11</v>
      </c>
    </row>
    <row r="77" spans="1:9">
      <c r="A77" s="5">
        <v>44663</v>
      </c>
      <c r="B77" s="6">
        <v>0.11111111111111099</v>
      </c>
      <c r="C77" s="7">
        <v>3603</v>
      </c>
      <c r="D77" s="7" t="s">
        <v>23</v>
      </c>
      <c r="E77" s="7">
        <v>19380</v>
      </c>
      <c r="F77" s="7">
        <v>12480</v>
      </c>
      <c r="G77" s="9">
        <v>6900</v>
      </c>
      <c r="H77" s="7" t="s">
        <v>10</v>
      </c>
      <c r="I77" s="7" t="s">
        <v>11</v>
      </c>
    </row>
    <row r="78" spans="1:9">
      <c r="A78" s="5">
        <v>44663</v>
      </c>
      <c r="B78" s="6">
        <v>0.141666666666667</v>
      </c>
      <c r="C78" s="7">
        <v>3605</v>
      </c>
      <c r="D78" s="7" t="s">
        <v>15</v>
      </c>
      <c r="E78" s="7">
        <v>3480</v>
      </c>
      <c r="F78" s="7">
        <v>2700</v>
      </c>
      <c r="G78" s="9">
        <v>780</v>
      </c>
      <c r="H78" s="7" t="s">
        <v>10</v>
      </c>
      <c r="I78" s="7" t="s">
        <v>11</v>
      </c>
    </row>
    <row r="79" spans="1:9">
      <c r="A79" s="5">
        <v>44663</v>
      </c>
      <c r="B79" s="6">
        <v>0.20902777777777801</v>
      </c>
      <c r="C79" s="7">
        <v>3608</v>
      </c>
      <c r="D79" s="7" t="s">
        <v>15</v>
      </c>
      <c r="E79" s="7">
        <v>2960</v>
      </c>
      <c r="F79" s="7">
        <v>2700</v>
      </c>
      <c r="G79" s="9">
        <v>260</v>
      </c>
      <c r="H79" s="7" t="s">
        <v>10</v>
      </c>
      <c r="I79" s="7" t="s">
        <v>11</v>
      </c>
    </row>
    <row r="80" spans="1:9">
      <c r="A80" s="5">
        <v>44663</v>
      </c>
      <c r="B80" s="6">
        <v>0.25416666666666698</v>
      </c>
      <c r="C80" s="7">
        <v>3611</v>
      </c>
      <c r="D80" s="7" t="s">
        <v>22</v>
      </c>
      <c r="E80" s="7">
        <v>26760</v>
      </c>
      <c r="F80" s="7">
        <v>15780</v>
      </c>
      <c r="G80" s="9">
        <v>10980</v>
      </c>
      <c r="H80" s="7" t="s">
        <v>10</v>
      </c>
      <c r="I80" s="7" t="s">
        <v>11</v>
      </c>
    </row>
    <row r="81" spans="1:9">
      <c r="A81" s="5">
        <v>44663</v>
      </c>
      <c r="B81" s="6">
        <v>0.25833333333333303</v>
      </c>
      <c r="C81" s="7">
        <v>3614</v>
      </c>
      <c r="D81" s="7" t="s">
        <v>23</v>
      </c>
      <c r="E81" s="7">
        <v>15620</v>
      </c>
      <c r="F81" s="7">
        <v>12680</v>
      </c>
      <c r="G81" s="9">
        <v>2940</v>
      </c>
      <c r="H81" s="7" t="s">
        <v>10</v>
      </c>
      <c r="I81" s="7" t="s">
        <v>11</v>
      </c>
    </row>
    <row r="82" spans="1:9">
      <c r="A82" s="5">
        <v>44663</v>
      </c>
      <c r="B82" s="6">
        <v>0.46875</v>
      </c>
      <c r="C82" s="7">
        <v>3628</v>
      </c>
      <c r="D82" s="7" t="s">
        <v>21</v>
      </c>
      <c r="E82" s="7">
        <v>3160</v>
      </c>
      <c r="F82" s="7">
        <v>2880</v>
      </c>
      <c r="G82" s="9">
        <v>280</v>
      </c>
      <c r="H82" s="7" t="s">
        <v>10</v>
      </c>
      <c r="I82" s="7" t="s">
        <v>18</v>
      </c>
    </row>
    <row r="83" spans="1:9">
      <c r="A83" s="5">
        <v>44663</v>
      </c>
      <c r="B83" s="6">
        <v>0.47986111111111102</v>
      </c>
      <c r="C83" s="7">
        <v>3631</v>
      </c>
      <c r="D83" s="7" t="s">
        <v>24</v>
      </c>
      <c r="E83" s="7">
        <v>18020</v>
      </c>
      <c r="F83" s="7">
        <v>16100</v>
      </c>
      <c r="G83" s="9">
        <v>1920</v>
      </c>
      <c r="H83" s="7" t="s">
        <v>10</v>
      </c>
      <c r="I83" s="7" t="s">
        <v>18</v>
      </c>
    </row>
    <row r="84" spans="1:9">
      <c r="A84" s="5">
        <v>44663</v>
      </c>
      <c r="B84" s="6">
        <v>0.54374999999999996</v>
      </c>
      <c r="C84" s="7">
        <v>3638</v>
      </c>
      <c r="D84" s="7" t="s">
        <v>15</v>
      </c>
      <c r="E84" s="7">
        <v>2960</v>
      </c>
      <c r="F84" s="7">
        <v>2740</v>
      </c>
      <c r="G84" s="9">
        <v>220</v>
      </c>
      <c r="H84" s="7" t="s">
        <v>10</v>
      </c>
      <c r="I84" s="7" t="s">
        <v>16</v>
      </c>
    </row>
    <row r="85" spans="1:9">
      <c r="A85" s="5">
        <v>44663</v>
      </c>
      <c r="B85" s="6">
        <v>0.688194444444444</v>
      </c>
      <c r="C85" s="7">
        <v>3648</v>
      </c>
      <c r="D85" s="7" t="s">
        <v>23</v>
      </c>
      <c r="E85" s="7">
        <v>13940</v>
      </c>
      <c r="F85" s="7">
        <v>12500</v>
      </c>
      <c r="G85" s="9">
        <v>1440</v>
      </c>
      <c r="H85" s="7" t="s">
        <v>10</v>
      </c>
      <c r="I85" s="7" t="s">
        <v>11</v>
      </c>
    </row>
    <row r="86" spans="1:9">
      <c r="A86" s="5">
        <v>44663</v>
      </c>
      <c r="B86" s="6">
        <v>0.72499999999999998</v>
      </c>
      <c r="C86" s="7">
        <v>3649</v>
      </c>
      <c r="D86" s="7" t="s">
        <v>14</v>
      </c>
      <c r="E86" s="7">
        <v>2500</v>
      </c>
      <c r="F86" s="7">
        <v>2380</v>
      </c>
      <c r="G86" s="9">
        <v>120</v>
      </c>
      <c r="H86" s="7" t="s">
        <v>10</v>
      </c>
      <c r="I86" s="7" t="s">
        <v>11</v>
      </c>
    </row>
    <row r="87" spans="1:9">
      <c r="A87" s="5">
        <v>44663</v>
      </c>
      <c r="B87" s="6">
        <v>0.90972222222222199</v>
      </c>
      <c r="C87" s="7">
        <v>3650</v>
      </c>
      <c r="D87" s="7" t="s">
        <v>21</v>
      </c>
      <c r="E87" s="7">
        <v>3060</v>
      </c>
      <c r="F87" s="7">
        <v>2880</v>
      </c>
      <c r="G87" s="9">
        <v>180</v>
      </c>
      <c r="H87" s="7" t="s">
        <v>10</v>
      </c>
      <c r="I87" s="7" t="s">
        <v>16</v>
      </c>
    </row>
    <row r="88" spans="1:9">
      <c r="A88" s="5">
        <v>44663</v>
      </c>
      <c r="B88" s="6">
        <v>0.51736111111111105</v>
      </c>
      <c r="C88" s="7">
        <v>137807</v>
      </c>
      <c r="D88" s="7" t="s">
        <v>22</v>
      </c>
      <c r="E88" s="7">
        <v>18220</v>
      </c>
      <c r="F88" s="7">
        <v>15960</v>
      </c>
      <c r="G88" s="9">
        <v>2260</v>
      </c>
      <c r="H88" s="7" t="s">
        <v>10</v>
      </c>
      <c r="I88" s="7" t="s">
        <v>20</v>
      </c>
    </row>
    <row r="89" spans="1:9">
      <c r="A89" s="5">
        <v>44664</v>
      </c>
      <c r="B89" s="6">
        <v>0.14513888888888901</v>
      </c>
      <c r="C89" s="7">
        <v>3654</v>
      </c>
      <c r="D89" s="7" t="s">
        <v>23</v>
      </c>
      <c r="E89" s="7">
        <v>20920</v>
      </c>
      <c r="F89" s="7">
        <v>12540</v>
      </c>
      <c r="G89" s="9">
        <v>8380</v>
      </c>
      <c r="H89" s="7" t="s">
        <v>10</v>
      </c>
      <c r="I89" s="7" t="s">
        <v>11</v>
      </c>
    </row>
    <row r="90" spans="1:9">
      <c r="A90" s="5">
        <v>44664</v>
      </c>
      <c r="B90" s="6">
        <v>0.21388888888888899</v>
      </c>
      <c r="C90" s="7">
        <v>3659</v>
      </c>
      <c r="D90" s="7" t="s">
        <v>22</v>
      </c>
      <c r="E90" s="7">
        <v>25260</v>
      </c>
      <c r="F90" s="7">
        <v>15880</v>
      </c>
      <c r="G90" s="9">
        <v>9380</v>
      </c>
      <c r="H90" s="7" t="s">
        <v>10</v>
      </c>
      <c r="I90" s="7" t="s">
        <v>11</v>
      </c>
    </row>
    <row r="91" spans="1:9">
      <c r="A91" s="5">
        <v>44664</v>
      </c>
      <c r="B91" s="6">
        <v>0.343055555555556</v>
      </c>
      <c r="C91" s="7">
        <v>3666</v>
      </c>
      <c r="D91" s="7" t="s">
        <v>14</v>
      </c>
      <c r="E91" s="7">
        <v>2620</v>
      </c>
      <c r="F91" s="7">
        <v>2360</v>
      </c>
      <c r="G91" s="9">
        <v>260</v>
      </c>
      <c r="H91" s="7" t="s">
        <v>10</v>
      </c>
      <c r="I91" s="7" t="s">
        <v>11</v>
      </c>
    </row>
    <row r="92" spans="1:9">
      <c r="A92" s="5">
        <v>44664</v>
      </c>
      <c r="B92" s="6">
        <v>0.35486111111111102</v>
      </c>
      <c r="C92" s="7">
        <v>3668</v>
      </c>
      <c r="D92" s="7" t="s">
        <v>23</v>
      </c>
      <c r="E92" s="7">
        <v>16240</v>
      </c>
      <c r="F92" s="7">
        <v>12480</v>
      </c>
      <c r="G92" s="9">
        <v>3760</v>
      </c>
      <c r="H92" s="7" t="s">
        <v>10</v>
      </c>
      <c r="I92" s="7" t="s">
        <v>11</v>
      </c>
    </row>
    <row r="93" spans="1:9">
      <c r="A93" s="5">
        <v>44664</v>
      </c>
      <c r="B93" s="6">
        <v>0.36388888888888898</v>
      </c>
      <c r="C93" s="7">
        <v>3669</v>
      </c>
      <c r="D93" s="7" t="s">
        <v>17</v>
      </c>
      <c r="E93" s="7">
        <v>6640</v>
      </c>
      <c r="F93" s="7">
        <v>5560</v>
      </c>
      <c r="G93" s="9">
        <v>1080</v>
      </c>
      <c r="H93" s="7" t="s">
        <v>10</v>
      </c>
      <c r="I93" s="7" t="s">
        <v>18</v>
      </c>
    </row>
    <row r="94" spans="1:9">
      <c r="A94" s="5">
        <v>44664</v>
      </c>
      <c r="B94" s="6">
        <v>0.38263888888888897</v>
      </c>
      <c r="C94" s="7">
        <v>3670</v>
      </c>
      <c r="D94" s="7" t="s">
        <v>13</v>
      </c>
      <c r="E94" s="7">
        <v>4280</v>
      </c>
      <c r="F94" s="7">
        <v>3540</v>
      </c>
      <c r="G94" s="9">
        <v>740</v>
      </c>
      <c r="H94" s="7" t="s">
        <v>10</v>
      </c>
      <c r="I94" s="5" t="s">
        <v>11</v>
      </c>
    </row>
    <row r="95" spans="1:9">
      <c r="A95" s="5">
        <v>44664</v>
      </c>
      <c r="B95" s="6">
        <v>0.44513888888888897</v>
      </c>
      <c r="C95" s="7">
        <v>3677</v>
      </c>
      <c r="D95" s="7" t="s">
        <v>22</v>
      </c>
      <c r="E95" s="7">
        <v>17260</v>
      </c>
      <c r="F95" s="7">
        <v>15860</v>
      </c>
      <c r="G95" s="9">
        <v>1400</v>
      </c>
      <c r="H95" s="7" t="s">
        <v>10</v>
      </c>
      <c r="I95" s="7" t="s">
        <v>11</v>
      </c>
    </row>
    <row r="96" spans="1:9">
      <c r="A96" s="5">
        <v>44664</v>
      </c>
      <c r="B96" s="6">
        <v>0.47569444444444398</v>
      </c>
      <c r="C96" s="7">
        <v>3681</v>
      </c>
      <c r="D96" s="7" t="s">
        <v>14</v>
      </c>
      <c r="E96" s="7">
        <v>2560</v>
      </c>
      <c r="F96" s="7">
        <v>2360</v>
      </c>
      <c r="G96" s="9">
        <v>200</v>
      </c>
      <c r="H96" s="7" t="s">
        <v>10</v>
      </c>
      <c r="I96" s="7" t="s">
        <v>11</v>
      </c>
    </row>
    <row r="97" spans="1:9">
      <c r="A97" s="5">
        <v>44664</v>
      </c>
      <c r="B97" s="6">
        <v>0.500694444444444</v>
      </c>
      <c r="C97" s="7">
        <v>3684</v>
      </c>
      <c r="D97" s="7" t="s">
        <v>21</v>
      </c>
      <c r="E97" s="7">
        <v>3280</v>
      </c>
      <c r="F97" s="7">
        <v>2880</v>
      </c>
      <c r="G97" s="9">
        <v>400</v>
      </c>
      <c r="H97" s="7" t="s">
        <v>10</v>
      </c>
      <c r="I97" s="7" t="s">
        <v>18</v>
      </c>
    </row>
    <row r="98" spans="1:9">
      <c r="A98" s="5">
        <v>44664</v>
      </c>
      <c r="B98" s="6">
        <v>0.499305555555556</v>
      </c>
      <c r="C98" s="7">
        <v>3685</v>
      </c>
      <c r="D98" s="7" t="s">
        <v>17</v>
      </c>
      <c r="E98" s="7">
        <v>6120</v>
      </c>
      <c r="F98" s="7">
        <v>5560</v>
      </c>
      <c r="G98" s="9">
        <v>560</v>
      </c>
      <c r="H98" s="7" t="s">
        <v>10</v>
      </c>
      <c r="I98" s="7" t="s">
        <v>18</v>
      </c>
    </row>
    <row r="99" spans="1:9">
      <c r="A99" s="5">
        <v>44664</v>
      </c>
      <c r="B99" s="6">
        <v>0.75416666666666698</v>
      </c>
      <c r="C99" s="7">
        <v>3693</v>
      </c>
      <c r="D99" s="7" t="s">
        <v>14</v>
      </c>
      <c r="E99" s="7">
        <v>2700</v>
      </c>
      <c r="F99" s="7">
        <v>2500</v>
      </c>
      <c r="G99" s="9">
        <v>200</v>
      </c>
      <c r="H99" s="7" t="s">
        <v>10</v>
      </c>
      <c r="I99" s="7" t="s">
        <v>11</v>
      </c>
    </row>
    <row r="100" spans="1:9">
      <c r="A100" s="5">
        <v>44664</v>
      </c>
      <c r="B100" s="6">
        <v>0.875694444444444</v>
      </c>
      <c r="C100" s="7">
        <v>3695</v>
      </c>
      <c r="D100" s="7" t="s">
        <v>21</v>
      </c>
      <c r="E100" s="7">
        <v>3140</v>
      </c>
      <c r="F100" s="7">
        <v>2940</v>
      </c>
      <c r="G100" s="9">
        <v>200</v>
      </c>
      <c r="H100" s="7" t="s">
        <v>10</v>
      </c>
      <c r="I100" s="7" t="s">
        <v>11</v>
      </c>
    </row>
    <row r="101" spans="1:9">
      <c r="A101" s="5">
        <v>44665</v>
      </c>
      <c r="B101" s="6">
        <v>6.18055555555556E-2</v>
      </c>
      <c r="C101" s="7">
        <v>3697</v>
      </c>
      <c r="D101" s="7" t="s">
        <v>12</v>
      </c>
      <c r="E101" s="7">
        <v>25400</v>
      </c>
      <c r="F101" s="7">
        <v>15840</v>
      </c>
      <c r="G101" s="9">
        <v>9560</v>
      </c>
      <c r="H101" s="7" t="s">
        <v>10</v>
      </c>
      <c r="I101" s="7" t="s">
        <v>11</v>
      </c>
    </row>
    <row r="102" spans="1:9">
      <c r="A102" s="5">
        <v>44665</v>
      </c>
      <c r="B102" s="6">
        <v>7.0138888888888903E-2</v>
      </c>
      <c r="C102" s="7">
        <v>3698</v>
      </c>
      <c r="D102" s="7" t="s">
        <v>9</v>
      </c>
      <c r="E102" s="7">
        <v>18980</v>
      </c>
      <c r="F102" s="7">
        <v>12960</v>
      </c>
      <c r="G102" s="9">
        <v>6020</v>
      </c>
      <c r="H102" s="7" t="s">
        <v>10</v>
      </c>
      <c r="I102" s="7" t="s">
        <v>11</v>
      </c>
    </row>
    <row r="103" spans="1:9">
      <c r="A103" s="5">
        <v>44665</v>
      </c>
      <c r="B103" s="6">
        <v>0.12847222222222199</v>
      </c>
      <c r="C103" s="7">
        <v>3704</v>
      </c>
      <c r="D103" s="7" t="s">
        <v>15</v>
      </c>
      <c r="E103" s="7">
        <v>3400</v>
      </c>
      <c r="F103" s="7">
        <v>2740</v>
      </c>
      <c r="G103" s="9">
        <v>660</v>
      </c>
      <c r="H103" s="7" t="s">
        <v>10</v>
      </c>
      <c r="I103" s="7" t="s">
        <v>11</v>
      </c>
    </row>
    <row r="104" spans="1:9">
      <c r="A104" s="5">
        <v>44665</v>
      </c>
      <c r="B104" s="6">
        <v>0.20694444444444399</v>
      </c>
      <c r="C104" s="7">
        <v>3710</v>
      </c>
      <c r="D104" s="7" t="s">
        <v>22</v>
      </c>
      <c r="E104" s="7">
        <v>23740</v>
      </c>
      <c r="F104" s="7">
        <v>16080</v>
      </c>
      <c r="G104" s="9">
        <v>7660</v>
      </c>
      <c r="H104" s="7" t="s">
        <v>10</v>
      </c>
      <c r="I104" s="7" t="s">
        <v>11</v>
      </c>
    </row>
    <row r="105" spans="1:9">
      <c r="A105" s="5">
        <v>44665</v>
      </c>
      <c r="B105" s="6">
        <v>0.25</v>
      </c>
      <c r="C105" s="7">
        <v>3713</v>
      </c>
      <c r="D105" s="7" t="s">
        <v>12</v>
      </c>
      <c r="E105" s="7">
        <v>17600</v>
      </c>
      <c r="F105" s="7">
        <v>15820</v>
      </c>
      <c r="G105" s="9">
        <v>1780</v>
      </c>
      <c r="H105" s="7" t="s">
        <v>10</v>
      </c>
      <c r="I105" s="7" t="s">
        <v>11</v>
      </c>
    </row>
    <row r="106" spans="1:9">
      <c r="A106" s="5">
        <v>44665</v>
      </c>
      <c r="B106" s="6">
        <v>0.25972222222222202</v>
      </c>
      <c r="C106" s="7">
        <v>3715</v>
      </c>
      <c r="D106" s="7" t="s">
        <v>23</v>
      </c>
      <c r="E106" s="7">
        <v>15940</v>
      </c>
      <c r="F106" s="7">
        <v>12680</v>
      </c>
      <c r="G106" s="9">
        <v>3260</v>
      </c>
      <c r="H106" s="7" t="s">
        <v>10</v>
      </c>
      <c r="I106" s="7" t="s">
        <v>11</v>
      </c>
    </row>
    <row r="107" spans="1:9">
      <c r="A107" s="5">
        <v>44665</v>
      </c>
      <c r="B107" s="6">
        <v>0.27361111111111103</v>
      </c>
      <c r="C107" s="7">
        <v>3717</v>
      </c>
      <c r="D107" s="7" t="s">
        <v>13</v>
      </c>
      <c r="E107" s="7">
        <v>5420</v>
      </c>
      <c r="F107" s="7">
        <v>3680</v>
      </c>
      <c r="G107" s="9">
        <v>1740</v>
      </c>
      <c r="H107" s="7" t="s">
        <v>10</v>
      </c>
      <c r="I107" s="7" t="s">
        <v>11</v>
      </c>
    </row>
    <row r="108" spans="1:9">
      <c r="A108" s="5">
        <v>44665</v>
      </c>
      <c r="B108" s="6">
        <v>0.44374999999999998</v>
      </c>
      <c r="C108" s="7">
        <v>3723</v>
      </c>
      <c r="D108" s="7" t="s">
        <v>14</v>
      </c>
      <c r="E108" s="7">
        <v>2760</v>
      </c>
      <c r="F108" s="7">
        <v>2420</v>
      </c>
      <c r="G108" s="9">
        <v>340</v>
      </c>
      <c r="H108" s="7" t="s">
        <v>10</v>
      </c>
      <c r="I108" s="7" t="s">
        <v>11</v>
      </c>
    </row>
    <row r="109" spans="1:9">
      <c r="A109" s="5">
        <v>44665</v>
      </c>
      <c r="B109" s="6">
        <v>0.48888888888888898</v>
      </c>
      <c r="C109" s="7">
        <v>3727</v>
      </c>
      <c r="D109" s="7" t="s">
        <v>21</v>
      </c>
      <c r="E109" s="7">
        <v>3380</v>
      </c>
      <c r="F109" s="7">
        <v>2840</v>
      </c>
      <c r="G109" s="9">
        <v>540</v>
      </c>
      <c r="H109" s="7" t="s">
        <v>10</v>
      </c>
      <c r="I109" s="7" t="s">
        <v>18</v>
      </c>
    </row>
    <row r="110" spans="1:9">
      <c r="A110" s="5">
        <v>44665</v>
      </c>
      <c r="B110" s="6">
        <v>0.6875</v>
      </c>
      <c r="C110" s="7">
        <v>3731</v>
      </c>
      <c r="D110" s="7" t="s">
        <v>23</v>
      </c>
      <c r="E110" s="7">
        <v>13560</v>
      </c>
      <c r="F110" s="7">
        <v>12420</v>
      </c>
      <c r="G110" s="9">
        <v>1140</v>
      </c>
      <c r="H110" s="7" t="s">
        <v>10</v>
      </c>
      <c r="I110" s="7" t="s">
        <v>11</v>
      </c>
    </row>
    <row r="111" spans="1:9">
      <c r="A111" s="5">
        <v>44665</v>
      </c>
      <c r="B111" s="6">
        <v>0.78680555555555598</v>
      </c>
      <c r="C111" s="7">
        <v>3732</v>
      </c>
      <c r="D111" s="7" t="s">
        <v>14</v>
      </c>
      <c r="E111" s="7">
        <v>2720</v>
      </c>
      <c r="F111" s="7">
        <v>2460</v>
      </c>
      <c r="G111" s="9">
        <v>260</v>
      </c>
      <c r="H111" s="7" t="s">
        <v>10</v>
      </c>
      <c r="I111" s="7" t="s">
        <v>11</v>
      </c>
    </row>
    <row r="112" spans="1:9">
      <c r="A112" s="5">
        <v>44665</v>
      </c>
      <c r="B112" s="6">
        <v>0.87986111111111098</v>
      </c>
      <c r="C112" s="7">
        <v>3733</v>
      </c>
      <c r="D112" s="7" t="s">
        <v>12</v>
      </c>
      <c r="E112" s="7">
        <v>25120</v>
      </c>
      <c r="F112" s="7">
        <v>16020</v>
      </c>
      <c r="G112" s="9">
        <v>9100</v>
      </c>
      <c r="H112" s="7" t="s">
        <v>10</v>
      </c>
      <c r="I112" s="7" t="s">
        <v>11</v>
      </c>
    </row>
    <row r="113" spans="1:9">
      <c r="A113" s="5">
        <v>44666</v>
      </c>
      <c r="B113" s="6">
        <v>3.05555555555556E-2</v>
      </c>
      <c r="C113" s="7">
        <v>3735</v>
      </c>
      <c r="D113" s="7" t="s">
        <v>9</v>
      </c>
      <c r="E113" s="7">
        <v>15840</v>
      </c>
      <c r="F113" s="7">
        <v>12700</v>
      </c>
      <c r="G113" s="9">
        <v>3140</v>
      </c>
      <c r="H113" s="7" t="s">
        <v>10</v>
      </c>
      <c r="I113" s="7" t="s">
        <v>11</v>
      </c>
    </row>
    <row r="114" spans="1:9">
      <c r="A114" s="5">
        <v>44666</v>
      </c>
      <c r="B114" s="6">
        <v>0.10625</v>
      </c>
      <c r="C114" s="7">
        <v>3739</v>
      </c>
      <c r="D114" s="7" t="s">
        <v>23</v>
      </c>
      <c r="E114" s="7">
        <v>19800</v>
      </c>
      <c r="F114" s="7">
        <v>12440</v>
      </c>
      <c r="G114" s="9">
        <v>7360</v>
      </c>
      <c r="H114" s="7" t="s">
        <v>10</v>
      </c>
      <c r="I114" s="7" t="s">
        <v>11</v>
      </c>
    </row>
    <row r="115" spans="1:9">
      <c r="A115" s="5">
        <v>44666</v>
      </c>
      <c r="B115" s="6">
        <v>0.155555555555556</v>
      </c>
      <c r="C115" s="7">
        <v>3743</v>
      </c>
      <c r="D115" s="7" t="s">
        <v>15</v>
      </c>
      <c r="E115" s="7">
        <v>3740</v>
      </c>
      <c r="F115" s="7">
        <v>2740</v>
      </c>
      <c r="G115" s="9">
        <v>1000</v>
      </c>
      <c r="H115" s="7" t="s">
        <v>10</v>
      </c>
      <c r="I115" s="7" t="s">
        <v>11</v>
      </c>
    </row>
    <row r="116" spans="1:9">
      <c r="A116" s="5">
        <v>44666</v>
      </c>
      <c r="B116" s="6">
        <v>0.22986111111111099</v>
      </c>
      <c r="C116" s="7">
        <v>3746</v>
      </c>
      <c r="D116" s="7" t="s">
        <v>15</v>
      </c>
      <c r="E116" s="7">
        <v>3280</v>
      </c>
      <c r="F116" s="7">
        <v>2720</v>
      </c>
      <c r="G116" s="9">
        <v>560</v>
      </c>
      <c r="H116" s="7" t="s">
        <v>10</v>
      </c>
      <c r="I116" s="7" t="s">
        <v>11</v>
      </c>
    </row>
    <row r="117" spans="1:9">
      <c r="A117" s="5">
        <v>44666</v>
      </c>
      <c r="B117" s="6">
        <v>0.23611111111111099</v>
      </c>
      <c r="C117" s="7">
        <v>3749</v>
      </c>
      <c r="D117" s="7" t="s">
        <v>22</v>
      </c>
      <c r="E117" s="7">
        <v>26020</v>
      </c>
      <c r="F117" s="7">
        <v>15740</v>
      </c>
      <c r="G117" s="9">
        <v>10280</v>
      </c>
      <c r="H117" s="7" t="s">
        <v>10</v>
      </c>
      <c r="I117" s="7" t="s">
        <v>11</v>
      </c>
    </row>
    <row r="118" spans="1:9">
      <c r="A118" s="5">
        <v>44666</v>
      </c>
      <c r="B118" s="6">
        <v>0.25277777777777799</v>
      </c>
      <c r="C118" s="7">
        <v>3751</v>
      </c>
      <c r="D118" s="7" t="s">
        <v>12</v>
      </c>
      <c r="E118" s="7">
        <v>21160</v>
      </c>
      <c r="F118" s="7">
        <v>16080</v>
      </c>
      <c r="G118" s="9">
        <v>5080</v>
      </c>
      <c r="H118" s="7" t="s">
        <v>10</v>
      </c>
      <c r="I118" s="7" t="s">
        <v>11</v>
      </c>
    </row>
    <row r="119" spans="1:9">
      <c r="A119" s="5">
        <v>44666</v>
      </c>
      <c r="B119" s="6">
        <v>0.436805555555556</v>
      </c>
      <c r="C119" s="7">
        <v>3758</v>
      </c>
      <c r="D119" s="7" t="s">
        <v>21</v>
      </c>
      <c r="E119" s="7">
        <v>3180</v>
      </c>
      <c r="F119" s="7">
        <v>2820</v>
      </c>
      <c r="G119" s="9">
        <v>360</v>
      </c>
      <c r="H119" s="7" t="s">
        <v>10</v>
      </c>
      <c r="I119" s="7" t="s">
        <v>11</v>
      </c>
    </row>
    <row r="120" spans="1:9">
      <c r="A120" s="5">
        <v>44666</v>
      </c>
      <c r="B120" s="6">
        <v>0.44583333333333303</v>
      </c>
      <c r="C120" s="7">
        <v>3759</v>
      </c>
      <c r="D120" s="7" t="s">
        <v>14</v>
      </c>
      <c r="E120" s="7">
        <v>2680</v>
      </c>
      <c r="F120" s="7">
        <v>2400</v>
      </c>
      <c r="G120" s="9">
        <v>280</v>
      </c>
      <c r="H120" s="7" t="s">
        <v>10</v>
      </c>
      <c r="I120" s="7" t="s">
        <v>11</v>
      </c>
    </row>
    <row r="121" spans="1:9">
      <c r="A121" s="5">
        <v>44666</v>
      </c>
      <c r="B121" s="6">
        <v>0.49722222222222201</v>
      </c>
      <c r="C121" s="7">
        <v>3760</v>
      </c>
      <c r="D121" s="7" t="s">
        <v>21</v>
      </c>
      <c r="E121" s="7">
        <v>3260</v>
      </c>
      <c r="F121" s="7">
        <v>2820</v>
      </c>
      <c r="G121" s="9">
        <v>440</v>
      </c>
      <c r="H121" s="7" t="s">
        <v>10</v>
      </c>
      <c r="I121" s="7" t="s">
        <v>18</v>
      </c>
    </row>
    <row r="122" spans="1:9">
      <c r="A122" s="5">
        <v>44666</v>
      </c>
      <c r="B122" s="6">
        <v>0.63749999999999996</v>
      </c>
      <c r="C122" s="7">
        <v>3762</v>
      </c>
      <c r="D122" s="7" t="s">
        <v>25</v>
      </c>
      <c r="E122" s="7">
        <v>18240</v>
      </c>
      <c r="F122" s="7">
        <v>12400</v>
      </c>
      <c r="G122" s="9">
        <v>5840</v>
      </c>
      <c r="H122" s="7" t="s">
        <v>10</v>
      </c>
      <c r="I122" s="7" t="s">
        <v>11</v>
      </c>
    </row>
    <row r="123" spans="1:9">
      <c r="A123" s="5">
        <v>44666</v>
      </c>
      <c r="B123" s="6">
        <v>0.69722222222222197</v>
      </c>
      <c r="C123" s="7">
        <v>3763</v>
      </c>
      <c r="D123" s="7" t="s">
        <v>25</v>
      </c>
      <c r="E123" s="7">
        <v>13360</v>
      </c>
      <c r="F123" s="7">
        <v>12380</v>
      </c>
      <c r="G123" s="9">
        <v>980</v>
      </c>
      <c r="H123" s="7" t="s">
        <v>10</v>
      </c>
      <c r="I123" s="7" t="s">
        <v>11</v>
      </c>
    </row>
    <row r="124" spans="1:9">
      <c r="A124" s="5">
        <v>44666</v>
      </c>
      <c r="B124" s="6">
        <v>0.83472222222222203</v>
      </c>
      <c r="C124" s="7">
        <v>3764</v>
      </c>
      <c r="D124" s="7" t="s">
        <v>14</v>
      </c>
      <c r="E124" s="7">
        <v>2780</v>
      </c>
      <c r="F124" s="7">
        <v>2440</v>
      </c>
      <c r="G124" s="9">
        <v>340</v>
      </c>
      <c r="H124" s="7" t="s">
        <v>10</v>
      </c>
      <c r="I124" s="7" t="s">
        <v>11</v>
      </c>
    </row>
    <row r="125" spans="1:9">
      <c r="A125" s="5">
        <v>44666</v>
      </c>
      <c r="B125" s="6">
        <v>0.87777777777777799</v>
      </c>
      <c r="C125" s="7">
        <v>3765</v>
      </c>
      <c r="D125" s="7" t="s">
        <v>12</v>
      </c>
      <c r="E125" s="7">
        <v>22720</v>
      </c>
      <c r="F125" s="7">
        <v>15920</v>
      </c>
      <c r="G125" s="9">
        <v>6800</v>
      </c>
      <c r="H125" s="7" t="s">
        <v>10</v>
      </c>
      <c r="I125" s="7" t="s">
        <v>11</v>
      </c>
    </row>
    <row r="126" spans="1:9">
      <c r="A126" s="5">
        <v>44667</v>
      </c>
      <c r="B126" s="6">
        <v>0.104166666666667</v>
      </c>
      <c r="C126" s="7">
        <v>3769</v>
      </c>
      <c r="D126" s="7" t="s">
        <v>25</v>
      </c>
      <c r="E126" s="7">
        <v>20500</v>
      </c>
      <c r="F126" s="7">
        <v>12400</v>
      </c>
      <c r="G126" s="9">
        <v>8100</v>
      </c>
      <c r="H126" s="7" t="s">
        <v>10</v>
      </c>
      <c r="I126" s="7" t="s">
        <v>11</v>
      </c>
    </row>
    <row r="127" spans="1:9">
      <c r="A127" s="5">
        <v>44667</v>
      </c>
      <c r="B127" s="6">
        <v>0.139583333333333</v>
      </c>
      <c r="C127" s="7">
        <v>3774</v>
      </c>
      <c r="D127" s="7" t="s">
        <v>15</v>
      </c>
      <c r="E127" s="7">
        <v>3460</v>
      </c>
      <c r="F127" s="7">
        <v>2720</v>
      </c>
      <c r="G127" s="9">
        <v>740</v>
      </c>
      <c r="H127" s="7" t="s">
        <v>10</v>
      </c>
      <c r="I127" s="7" t="s">
        <v>11</v>
      </c>
    </row>
    <row r="128" spans="1:9">
      <c r="A128" s="5">
        <v>44667</v>
      </c>
      <c r="B128" s="6">
        <v>0.211111111111111</v>
      </c>
      <c r="C128" s="7">
        <v>3777</v>
      </c>
      <c r="D128" s="7" t="s">
        <v>15</v>
      </c>
      <c r="E128" s="7">
        <v>3300</v>
      </c>
      <c r="F128" s="7">
        <v>2720</v>
      </c>
      <c r="G128" s="9">
        <v>580</v>
      </c>
      <c r="H128" s="7" t="s">
        <v>10</v>
      </c>
      <c r="I128" s="7" t="s">
        <v>11</v>
      </c>
    </row>
    <row r="129" spans="1:9">
      <c r="A129" s="5">
        <v>44667</v>
      </c>
      <c r="B129" s="6">
        <v>0.24027777777777801</v>
      </c>
      <c r="C129" s="7">
        <v>3782</v>
      </c>
      <c r="D129" s="7" t="s">
        <v>25</v>
      </c>
      <c r="E129" s="7">
        <v>17800</v>
      </c>
      <c r="F129" s="7">
        <v>12380</v>
      </c>
      <c r="G129" s="9">
        <v>5420</v>
      </c>
      <c r="H129" s="7" t="s">
        <v>10</v>
      </c>
      <c r="I129" s="7" t="s">
        <v>11</v>
      </c>
    </row>
    <row r="130" spans="1:9">
      <c r="A130" s="5">
        <v>44667</v>
      </c>
      <c r="B130" s="6">
        <v>0.25277777777777799</v>
      </c>
      <c r="C130" s="7">
        <v>3783</v>
      </c>
      <c r="D130" s="7" t="s">
        <v>12</v>
      </c>
      <c r="E130" s="7">
        <v>24240</v>
      </c>
      <c r="F130" s="7">
        <v>15900</v>
      </c>
      <c r="G130" s="9">
        <v>8340</v>
      </c>
      <c r="H130" s="7" t="s">
        <v>10</v>
      </c>
      <c r="I130" s="7" t="s">
        <v>11</v>
      </c>
    </row>
    <row r="131" spans="1:9">
      <c r="A131" s="5">
        <v>44667</v>
      </c>
      <c r="B131" s="6">
        <v>0.250694444444444</v>
      </c>
      <c r="C131" s="7">
        <v>3784</v>
      </c>
      <c r="D131" s="7" t="s">
        <v>22</v>
      </c>
      <c r="E131" s="7">
        <v>24480</v>
      </c>
      <c r="F131" s="7">
        <v>15920</v>
      </c>
      <c r="G131" s="9">
        <v>8560</v>
      </c>
      <c r="H131" s="7" t="s">
        <v>10</v>
      </c>
      <c r="I131" s="7" t="s">
        <v>11</v>
      </c>
    </row>
    <row r="132" spans="1:9">
      <c r="A132" s="5">
        <v>44667</v>
      </c>
      <c r="B132" s="6">
        <v>0.25833333333333303</v>
      </c>
      <c r="C132" s="7">
        <v>3785</v>
      </c>
      <c r="D132" s="7" t="s">
        <v>15</v>
      </c>
      <c r="E132" s="7">
        <v>3580</v>
      </c>
      <c r="F132" s="7">
        <v>2920</v>
      </c>
      <c r="G132" s="9">
        <v>660</v>
      </c>
      <c r="H132" s="7" t="s">
        <v>10</v>
      </c>
      <c r="I132" s="7" t="s">
        <v>11</v>
      </c>
    </row>
    <row r="133" spans="1:9">
      <c r="A133" s="5">
        <v>44667</v>
      </c>
      <c r="B133" s="6">
        <v>0.343055555555556</v>
      </c>
      <c r="C133" s="7">
        <v>3790</v>
      </c>
      <c r="D133" s="7" t="s">
        <v>14</v>
      </c>
      <c r="E133" s="7">
        <v>2560</v>
      </c>
      <c r="F133" s="7">
        <v>2380</v>
      </c>
      <c r="G133" s="9">
        <v>180</v>
      </c>
      <c r="H133" s="7" t="s">
        <v>10</v>
      </c>
      <c r="I133" s="7" t="s">
        <v>11</v>
      </c>
    </row>
    <row r="134" spans="1:9">
      <c r="A134" s="5">
        <v>44667</v>
      </c>
      <c r="B134" s="6">
        <v>0.42013888888888901</v>
      </c>
      <c r="C134" s="7">
        <v>3792</v>
      </c>
      <c r="D134" s="7" t="s">
        <v>21</v>
      </c>
      <c r="E134" s="7">
        <v>3240</v>
      </c>
      <c r="F134" s="7">
        <v>2840</v>
      </c>
      <c r="G134" s="9">
        <v>400</v>
      </c>
      <c r="H134" s="7" t="s">
        <v>10</v>
      </c>
      <c r="I134" s="7" t="s">
        <v>11</v>
      </c>
    </row>
    <row r="135" spans="1:9">
      <c r="A135" s="5">
        <v>44667</v>
      </c>
      <c r="B135" s="6">
        <v>0.50277777777777799</v>
      </c>
      <c r="C135" s="7">
        <v>3796</v>
      </c>
      <c r="D135" s="7" t="s">
        <v>14</v>
      </c>
      <c r="E135" s="7">
        <v>2640</v>
      </c>
      <c r="F135" s="7">
        <v>2360</v>
      </c>
      <c r="G135" s="9">
        <v>280</v>
      </c>
      <c r="H135" s="7" t="s">
        <v>10</v>
      </c>
      <c r="I135" s="7" t="s">
        <v>11</v>
      </c>
    </row>
    <row r="136" spans="1:9">
      <c r="A136" s="5">
        <v>44667</v>
      </c>
      <c r="B136" s="6">
        <v>0.67708333333333304</v>
      </c>
      <c r="C136" s="7">
        <v>3799</v>
      </c>
      <c r="D136" s="7" t="s">
        <v>23</v>
      </c>
      <c r="E136" s="7">
        <v>13760</v>
      </c>
      <c r="F136" s="7">
        <v>12440</v>
      </c>
      <c r="G136" s="9">
        <v>1320</v>
      </c>
      <c r="H136" s="7" t="s">
        <v>10</v>
      </c>
      <c r="I136" s="7" t="s">
        <v>11</v>
      </c>
    </row>
    <row r="137" spans="1:9">
      <c r="A137" s="5">
        <v>44667</v>
      </c>
      <c r="B137" s="6">
        <v>0.78125</v>
      </c>
      <c r="C137" s="7">
        <v>3800</v>
      </c>
      <c r="D137" s="7" t="s">
        <v>14</v>
      </c>
      <c r="E137" s="7">
        <v>2640</v>
      </c>
      <c r="F137" s="7">
        <v>2340</v>
      </c>
      <c r="G137" s="9">
        <v>300</v>
      </c>
      <c r="H137" s="7" t="s">
        <v>10</v>
      </c>
      <c r="I137" s="7" t="s">
        <v>11</v>
      </c>
    </row>
    <row r="138" spans="1:9">
      <c r="A138" s="5">
        <v>44667</v>
      </c>
      <c r="B138" s="6">
        <v>0.874305555555556</v>
      </c>
      <c r="C138" s="7">
        <v>3801</v>
      </c>
      <c r="D138" s="7" t="s">
        <v>22</v>
      </c>
      <c r="E138" s="7">
        <v>24840</v>
      </c>
      <c r="F138" s="7">
        <v>15860</v>
      </c>
      <c r="G138" s="9">
        <v>8980</v>
      </c>
      <c r="H138" s="7" t="s">
        <v>10</v>
      </c>
      <c r="I138" s="7" t="s">
        <v>11</v>
      </c>
    </row>
    <row r="139" spans="1:9">
      <c r="A139" s="5">
        <v>44668</v>
      </c>
      <c r="B139" s="6">
        <v>6.4583333333333298E-2</v>
      </c>
      <c r="C139" s="7">
        <v>3802</v>
      </c>
      <c r="D139" s="7" t="s">
        <v>23</v>
      </c>
      <c r="E139" s="7">
        <v>20780</v>
      </c>
      <c r="F139" s="7">
        <v>12560</v>
      </c>
      <c r="G139" s="9">
        <v>8220</v>
      </c>
      <c r="H139" s="7" t="s">
        <v>10</v>
      </c>
      <c r="I139" s="7" t="s">
        <v>11</v>
      </c>
    </row>
    <row r="140" spans="1:9">
      <c r="A140" s="5">
        <v>44668</v>
      </c>
      <c r="B140" s="6">
        <v>0.195833333333333</v>
      </c>
      <c r="C140" s="7">
        <v>3808</v>
      </c>
      <c r="D140" s="7" t="s">
        <v>13</v>
      </c>
      <c r="E140" s="7">
        <v>5200</v>
      </c>
      <c r="F140" s="7">
        <v>3580</v>
      </c>
      <c r="G140" s="9">
        <v>1620</v>
      </c>
      <c r="H140" s="7" t="s">
        <v>10</v>
      </c>
      <c r="I140" s="7" t="s">
        <v>11</v>
      </c>
    </row>
    <row r="141" spans="1:9">
      <c r="A141" s="5">
        <v>44668</v>
      </c>
      <c r="B141" s="6">
        <v>0.22500000000000001</v>
      </c>
      <c r="C141" s="7">
        <v>3814</v>
      </c>
      <c r="D141" s="7" t="s">
        <v>15</v>
      </c>
      <c r="E141" s="7">
        <v>3140</v>
      </c>
      <c r="F141" s="7">
        <v>2700</v>
      </c>
      <c r="G141" s="9">
        <v>440</v>
      </c>
      <c r="H141" s="7" t="s">
        <v>10</v>
      </c>
      <c r="I141" s="7" t="s">
        <v>11</v>
      </c>
    </row>
    <row r="142" spans="1:9">
      <c r="A142" s="5">
        <v>44668</v>
      </c>
      <c r="B142" s="6">
        <v>0.243055555555556</v>
      </c>
      <c r="C142" s="7">
        <v>3815</v>
      </c>
      <c r="D142" s="7" t="s">
        <v>12</v>
      </c>
      <c r="E142" s="7">
        <v>25060</v>
      </c>
      <c r="F142" s="7">
        <v>16020</v>
      </c>
      <c r="G142" s="9">
        <v>9040</v>
      </c>
      <c r="H142" s="7" t="s">
        <v>10</v>
      </c>
      <c r="I142" s="7" t="s">
        <v>11</v>
      </c>
    </row>
    <row r="143" spans="1:9">
      <c r="A143" s="5">
        <v>44668</v>
      </c>
      <c r="B143" s="6">
        <v>0.24513888888888899</v>
      </c>
      <c r="C143" s="7">
        <v>3816</v>
      </c>
      <c r="D143" s="7" t="s">
        <v>22</v>
      </c>
      <c r="E143" s="7">
        <v>24220</v>
      </c>
      <c r="F143" s="7">
        <v>15840</v>
      </c>
      <c r="G143" s="9">
        <v>8380</v>
      </c>
      <c r="H143" s="7" t="s">
        <v>10</v>
      </c>
      <c r="I143" s="7" t="s">
        <v>11</v>
      </c>
    </row>
    <row r="144" spans="1:9">
      <c r="A144" s="5">
        <v>44668</v>
      </c>
      <c r="B144" s="6">
        <v>0.24444444444444399</v>
      </c>
      <c r="C144" s="7">
        <v>3817</v>
      </c>
      <c r="D144" s="7" t="s">
        <v>23</v>
      </c>
      <c r="E144" s="7">
        <v>20920</v>
      </c>
      <c r="F144" s="7">
        <v>12560</v>
      </c>
      <c r="G144" s="9">
        <v>8360</v>
      </c>
      <c r="H144" s="7" t="s">
        <v>10</v>
      </c>
      <c r="I144" s="7" t="s">
        <v>11</v>
      </c>
    </row>
    <row r="145" spans="1:9">
      <c r="A145" s="5">
        <v>44668</v>
      </c>
      <c r="B145" s="6">
        <v>0.264583333333333</v>
      </c>
      <c r="C145" s="7">
        <v>3818</v>
      </c>
      <c r="D145" s="7" t="s">
        <v>13</v>
      </c>
      <c r="E145" s="7">
        <v>4400</v>
      </c>
      <c r="F145" s="7">
        <v>3660</v>
      </c>
      <c r="G145" s="9">
        <v>740</v>
      </c>
      <c r="H145" s="7" t="s">
        <v>10</v>
      </c>
      <c r="I145" s="7" t="s">
        <v>11</v>
      </c>
    </row>
    <row r="146" spans="1:9">
      <c r="A146" s="5">
        <v>44668</v>
      </c>
      <c r="B146" s="6">
        <v>0.45138888888888901</v>
      </c>
      <c r="C146" s="7">
        <v>3824</v>
      </c>
      <c r="D146" s="7" t="s">
        <v>14</v>
      </c>
      <c r="E146" s="7">
        <v>2800</v>
      </c>
      <c r="F146" s="7">
        <v>2380</v>
      </c>
      <c r="G146" s="9">
        <v>420</v>
      </c>
      <c r="H146" s="7" t="s">
        <v>10</v>
      </c>
      <c r="I146" s="7" t="s">
        <v>11</v>
      </c>
    </row>
    <row r="147" spans="1:9">
      <c r="A147" s="5">
        <v>44668</v>
      </c>
      <c r="B147" s="6">
        <v>0.45972222222222198</v>
      </c>
      <c r="C147" s="7">
        <v>3825</v>
      </c>
      <c r="D147" s="7" t="s">
        <v>21</v>
      </c>
      <c r="E147" s="7">
        <v>3420</v>
      </c>
      <c r="F147" s="7">
        <v>2860</v>
      </c>
      <c r="G147" s="9">
        <v>560</v>
      </c>
      <c r="H147" s="7" t="s">
        <v>10</v>
      </c>
      <c r="I147" s="7" t="s">
        <v>11</v>
      </c>
    </row>
    <row r="148" spans="1:9">
      <c r="A148" s="5">
        <v>44668</v>
      </c>
      <c r="B148" s="6">
        <v>0.68402777777777801</v>
      </c>
      <c r="C148" s="7">
        <v>3827</v>
      </c>
      <c r="D148" s="7" t="s">
        <v>23</v>
      </c>
      <c r="E148" s="7">
        <v>13880</v>
      </c>
      <c r="F148" s="7">
        <v>12400</v>
      </c>
      <c r="G148" s="9">
        <v>1480</v>
      </c>
      <c r="H148" s="7" t="s">
        <v>10</v>
      </c>
      <c r="I148" s="7" t="s">
        <v>11</v>
      </c>
    </row>
    <row r="149" spans="1:9">
      <c r="A149" s="5">
        <v>44668</v>
      </c>
      <c r="B149" s="6">
        <v>0.781944444444444</v>
      </c>
      <c r="C149" s="7">
        <v>3828</v>
      </c>
      <c r="D149" s="7" t="s">
        <v>14</v>
      </c>
      <c r="E149" s="7">
        <v>2760</v>
      </c>
      <c r="F149" s="7">
        <v>2380</v>
      </c>
      <c r="G149" s="7">
        <v>380</v>
      </c>
      <c r="H149" s="7" t="s">
        <v>10</v>
      </c>
      <c r="I149" s="7" t="s">
        <v>11</v>
      </c>
    </row>
    <row r="150" spans="1:9">
      <c r="A150" s="5">
        <v>44668</v>
      </c>
      <c r="B150" s="6">
        <v>0.88402777777777797</v>
      </c>
      <c r="C150" s="7">
        <v>3829</v>
      </c>
      <c r="D150" s="7" t="s">
        <v>22</v>
      </c>
      <c r="E150" s="7">
        <v>24220</v>
      </c>
      <c r="F150" s="7">
        <v>15940</v>
      </c>
      <c r="G150" s="9">
        <v>8280</v>
      </c>
      <c r="H150" s="7" t="s">
        <v>10</v>
      </c>
      <c r="I150" s="7" t="s">
        <v>11</v>
      </c>
    </row>
    <row r="151" spans="1:9">
      <c r="A151" s="5">
        <v>44669</v>
      </c>
      <c r="B151" s="6">
        <v>6.18055555555556E-2</v>
      </c>
      <c r="C151" s="7">
        <v>3830</v>
      </c>
      <c r="D151" s="7" t="s">
        <v>23</v>
      </c>
      <c r="E151" s="7">
        <v>20580</v>
      </c>
      <c r="F151" s="7">
        <v>12500</v>
      </c>
      <c r="G151" s="9">
        <v>8080</v>
      </c>
      <c r="H151" s="7" t="s">
        <v>10</v>
      </c>
      <c r="I151" s="7" t="s">
        <v>11</v>
      </c>
    </row>
    <row r="152" spans="1:9">
      <c r="A152" s="5">
        <v>44669</v>
      </c>
      <c r="B152" s="6">
        <v>0.13611111111111099</v>
      </c>
      <c r="C152" s="7">
        <v>3836</v>
      </c>
      <c r="D152" s="7" t="s">
        <v>15</v>
      </c>
      <c r="E152" s="7">
        <v>3420</v>
      </c>
      <c r="F152" s="7">
        <v>2740</v>
      </c>
      <c r="G152" s="9">
        <v>680</v>
      </c>
      <c r="H152" s="7" t="s">
        <v>10</v>
      </c>
      <c r="I152" s="7" t="s">
        <v>11</v>
      </c>
    </row>
    <row r="153" spans="1:9">
      <c r="A153" s="5">
        <v>44669</v>
      </c>
      <c r="B153" s="6">
        <v>0.16875000000000001</v>
      </c>
      <c r="C153" s="7">
        <v>3839</v>
      </c>
      <c r="D153" s="7" t="s">
        <v>23</v>
      </c>
      <c r="E153" s="7">
        <v>19380</v>
      </c>
      <c r="F153" s="7">
        <v>12500</v>
      </c>
      <c r="G153" s="9">
        <v>6880</v>
      </c>
      <c r="H153" s="7" t="s">
        <v>10</v>
      </c>
      <c r="I153" s="7" t="s">
        <v>11</v>
      </c>
    </row>
    <row r="154" spans="1:9">
      <c r="A154" s="5">
        <v>44669</v>
      </c>
      <c r="B154" s="6">
        <v>0.24652777777777801</v>
      </c>
      <c r="C154" s="7">
        <v>3845</v>
      </c>
      <c r="D154" s="7" t="s">
        <v>12</v>
      </c>
      <c r="E154" s="7">
        <v>24740</v>
      </c>
      <c r="F154" s="7">
        <v>15960</v>
      </c>
      <c r="G154" s="9">
        <v>8780</v>
      </c>
      <c r="H154" s="7" t="s">
        <v>10</v>
      </c>
      <c r="I154" s="7" t="s">
        <v>11</v>
      </c>
    </row>
    <row r="155" spans="1:9">
      <c r="A155" s="5">
        <v>44669</v>
      </c>
      <c r="B155" s="6">
        <v>0.24722222222222201</v>
      </c>
      <c r="C155" s="7">
        <v>3846</v>
      </c>
      <c r="D155" s="7" t="s">
        <v>15</v>
      </c>
      <c r="E155" s="7">
        <v>3220</v>
      </c>
      <c r="F155" s="7">
        <v>2820</v>
      </c>
      <c r="G155" s="9">
        <v>400</v>
      </c>
      <c r="H155" s="7" t="s">
        <v>10</v>
      </c>
      <c r="I155" s="7" t="s">
        <v>11</v>
      </c>
    </row>
    <row r="156" spans="1:9">
      <c r="A156" s="5">
        <v>44669</v>
      </c>
      <c r="B156" s="6">
        <v>0.250694444444444</v>
      </c>
      <c r="C156" s="7">
        <v>3847</v>
      </c>
      <c r="D156" s="7" t="s">
        <v>13</v>
      </c>
      <c r="E156" s="7">
        <v>4520</v>
      </c>
      <c r="F156" s="7">
        <v>3700</v>
      </c>
      <c r="G156" s="9">
        <v>820</v>
      </c>
      <c r="H156" s="7" t="s">
        <v>10</v>
      </c>
      <c r="I156" s="7" t="s">
        <v>11</v>
      </c>
    </row>
    <row r="157" spans="1:9">
      <c r="A157" s="5">
        <v>44669</v>
      </c>
      <c r="B157" s="6">
        <v>0.24791666666666701</v>
      </c>
      <c r="C157" s="7">
        <v>3848</v>
      </c>
      <c r="D157" s="7" t="s">
        <v>22</v>
      </c>
      <c r="E157" s="7">
        <v>23340</v>
      </c>
      <c r="F157" s="7">
        <v>15920</v>
      </c>
      <c r="G157" s="9">
        <v>7420</v>
      </c>
      <c r="H157" s="7" t="s">
        <v>10</v>
      </c>
      <c r="I157" s="7" t="s">
        <v>11</v>
      </c>
    </row>
    <row r="158" spans="1:9">
      <c r="A158" s="5">
        <v>44669</v>
      </c>
      <c r="B158" s="6">
        <v>0.359722222222222</v>
      </c>
      <c r="C158" s="7">
        <v>3853</v>
      </c>
      <c r="D158" s="7" t="s">
        <v>14</v>
      </c>
      <c r="E158" s="7">
        <v>2660</v>
      </c>
      <c r="F158" s="7">
        <v>2400</v>
      </c>
      <c r="G158" s="9">
        <v>260</v>
      </c>
      <c r="H158" s="7" t="s">
        <v>10</v>
      </c>
      <c r="I158" s="7" t="s">
        <v>11</v>
      </c>
    </row>
    <row r="159" spans="1:9">
      <c r="A159" s="5">
        <v>44669</v>
      </c>
      <c r="B159" s="6">
        <v>0.49861111111111101</v>
      </c>
      <c r="C159" s="7">
        <v>3854</v>
      </c>
      <c r="D159" s="7" t="s">
        <v>21</v>
      </c>
      <c r="E159" s="7">
        <v>3320</v>
      </c>
      <c r="F159" s="7">
        <v>2780</v>
      </c>
      <c r="G159" s="9">
        <v>540</v>
      </c>
      <c r="H159" s="7" t="s">
        <v>10</v>
      </c>
      <c r="I159" s="7" t="s">
        <v>11</v>
      </c>
    </row>
    <row r="160" spans="1:9">
      <c r="A160" s="5">
        <v>44669</v>
      </c>
      <c r="B160" s="6">
        <v>0.51736111111111105</v>
      </c>
      <c r="C160" s="7">
        <v>3855</v>
      </c>
      <c r="D160" s="7" t="s">
        <v>14</v>
      </c>
      <c r="E160" s="7">
        <v>2560</v>
      </c>
      <c r="F160" s="7">
        <v>2400</v>
      </c>
      <c r="G160" s="9">
        <v>160</v>
      </c>
      <c r="H160" s="7" t="s">
        <v>10</v>
      </c>
      <c r="I160" s="7" t="s">
        <v>11</v>
      </c>
    </row>
    <row r="161" spans="1:9">
      <c r="A161" s="5">
        <v>44669</v>
      </c>
      <c r="B161" s="6">
        <v>0.77569444444444402</v>
      </c>
      <c r="C161" s="7">
        <v>3859</v>
      </c>
      <c r="D161" s="7" t="s">
        <v>14</v>
      </c>
      <c r="E161" s="7">
        <v>2760</v>
      </c>
      <c r="F161" s="7">
        <v>2460</v>
      </c>
      <c r="G161" s="9">
        <v>300</v>
      </c>
      <c r="H161" s="7" t="s">
        <v>10</v>
      </c>
      <c r="I161" s="7" t="s">
        <v>11</v>
      </c>
    </row>
    <row r="162" spans="1:9">
      <c r="A162" s="5">
        <v>44670</v>
      </c>
      <c r="B162" s="6">
        <v>8.9583333333333307E-2</v>
      </c>
      <c r="C162" s="7">
        <v>3861</v>
      </c>
      <c r="D162" s="7" t="s">
        <v>23</v>
      </c>
      <c r="E162" s="7">
        <v>20940</v>
      </c>
      <c r="F162" s="7">
        <v>12560</v>
      </c>
      <c r="G162" s="9">
        <v>8380</v>
      </c>
      <c r="H162" s="7" t="s">
        <v>10</v>
      </c>
      <c r="I162" s="7" t="s">
        <v>11</v>
      </c>
    </row>
    <row r="163" spans="1:9">
      <c r="A163" s="5">
        <v>44670</v>
      </c>
      <c r="B163" s="6">
        <v>0.14513888888888901</v>
      </c>
      <c r="C163" s="7">
        <v>3868</v>
      </c>
      <c r="D163" s="7" t="s">
        <v>15</v>
      </c>
      <c r="E163" s="7">
        <v>3300</v>
      </c>
      <c r="F163" s="7">
        <v>2740</v>
      </c>
      <c r="G163" s="9">
        <v>560</v>
      </c>
      <c r="H163" s="7" t="s">
        <v>10</v>
      </c>
      <c r="I163" s="7" t="s">
        <v>11</v>
      </c>
    </row>
    <row r="164" spans="1:9">
      <c r="A164" s="5">
        <v>44670</v>
      </c>
      <c r="B164" s="6">
        <v>0.18958333333333299</v>
      </c>
      <c r="C164" s="7">
        <v>3871</v>
      </c>
      <c r="D164" s="7" t="s">
        <v>12</v>
      </c>
      <c r="E164" s="7">
        <v>23580</v>
      </c>
      <c r="F164" s="7">
        <v>15840</v>
      </c>
      <c r="G164" s="9">
        <v>7740</v>
      </c>
      <c r="H164" s="7" t="s">
        <v>10</v>
      </c>
      <c r="I164" s="7" t="s">
        <v>11</v>
      </c>
    </row>
    <row r="165" spans="1:9">
      <c r="A165" s="5">
        <v>44670</v>
      </c>
      <c r="B165" s="6">
        <v>0.21736111111111101</v>
      </c>
      <c r="C165" s="7">
        <v>3874</v>
      </c>
      <c r="D165" s="7" t="s">
        <v>13</v>
      </c>
      <c r="E165" s="7">
        <v>4300</v>
      </c>
      <c r="F165" s="7">
        <v>3600</v>
      </c>
      <c r="G165" s="9">
        <v>700</v>
      </c>
      <c r="H165" s="7" t="s">
        <v>10</v>
      </c>
      <c r="I165" s="7" t="s">
        <v>11</v>
      </c>
    </row>
    <row r="166" spans="1:9">
      <c r="A166" s="5">
        <v>44670</v>
      </c>
      <c r="B166" s="6">
        <v>0.22013888888888899</v>
      </c>
      <c r="C166" s="7">
        <v>3876</v>
      </c>
      <c r="D166" s="7" t="s">
        <v>22</v>
      </c>
      <c r="E166" s="7">
        <v>28440</v>
      </c>
      <c r="F166" s="7">
        <v>15920</v>
      </c>
      <c r="G166" s="9">
        <v>12520</v>
      </c>
      <c r="H166" s="7" t="s">
        <v>10</v>
      </c>
      <c r="I166" s="7" t="s">
        <v>11</v>
      </c>
    </row>
    <row r="167" spans="1:9">
      <c r="A167" s="5">
        <v>44670</v>
      </c>
      <c r="B167" s="6">
        <v>0.227777777777778</v>
      </c>
      <c r="C167" s="7">
        <v>3877</v>
      </c>
      <c r="D167" s="7" t="s">
        <v>23</v>
      </c>
      <c r="E167" s="7">
        <v>19220</v>
      </c>
      <c r="F167" s="7">
        <v>12600</v>
      </c>
      <c r="G167" s="9">
        <v>6620</v>
      </c>
      <c r="H167" s="7" t="s">
        <v>10</v>
      </c>
      <c r="I167" s="7" t="s">
        <v>11</v>
      </c>
    </row>
    <row r="168" spans="1:9">
      <c r="A168" s="5">
        <v>44670</v>
      </c>
      <c r="B168" s="6">
        <v>0.49444444444444402</v>
      </c>
      <c r="C168" s="7">
        <v>3901</v>
      </c>
      <c r="D168" s="7" t="s">
        <v>21</v>
      </c>
      <c r="E168" s="7">
        <v>3260</v>
      </c>
      <c r="F168" s="7">
        <v>2780</v>
      </c>
      <c r="G168" s="9">
        <v>480</v>
      </c>
      <c r="H168" s="7" t="s">
        <v>10</v>
      </c>
      <c r="I168" s="7" t="s">
        <v>11</v>
      </c>
    </row>
    <row r="169" spans="1:9">
      <c r="A169" s="5">
        <v>44670</v>
      </c>
      <c r="B169" s="6">
        <v>0.50416666666666698</v>
      </c>
      <c r="C169" s="7">
        <v>3905</v>
      </c>
      <c r="D169" s="7" t="s">
        <v>14</v>
      </c>
      <c r="E169" s="7">
        <v>2720</v>
      </c>
      <c r="F169" s="7">
        <v>2380</v>
      </c>
      <c r="G169" s="9">
        <v>340</v>
      </c>
      <c r="H169" s="7" t="s">
        <v>10</v>
      </c>
      <c r="I169" s="7" t="s">
        <v>11</v>
      </c>
    </row>
    <row r="170" spans="1:9">
      <c r="A170" s="5">
        <v>44670</v>
      </c>
      <c r="B170" s="6">
        <v>0.52777777777777801</v>
      </c>
      <c r="C170" s="7">
        <v>3908</v>
      </c>
      <c r="D170" s="7" t="s">
        <v>22</v>
      </c>
      <c r="E170" s="7">
        <v>19680</v>
      </c>
      <c r="F170" s="7">
        <v>16020</v>
      </c>
      <c r="G170" s="9">
        <v>3660</v>
      </c>
      <c r="H170" s="7" t="s">
        <v>10</v>
      </c>
      <c r="I170" s="7" t="s">
        <v>11</v>
      </c>
    </row>
    <row r="171" spans="1:9">
      <c r="A171" s="5">
        <v>44670</v>
      </c>
      <c r="B171" s="6">
        <v>0.77013888888888904</v>
      </c>
      <c r="C171" s="7">
        <v>3926</v>
      </c>
      <c r="D171" s="7" t="s">
        <v>14</v>
      </c>
      <c r="E171" s="7">
        <v>2480</v>
      </c>
      <c r="F171" s="7">
        <v>2360</v>
      </c>
      <c r="G171" s="9">
        <v>120</v>
      </c>
      <c r="H171" s="7" t="s">
        <v>10</v>
      </c>
      <c r="I171" s="7" t="s">
        <v>11</v>
      </c>
    </row>
    <row r="172" spans="1:9">
      <c r="A172" s="5">
        <v>44671</v>
      </c>
      <c r="B172" s="6">
        <v>0.12291666666666699</v>
      </c>
      <c r="C172" s="7">
        <v>3932</v>
      </c>
      <c r="D172" s="7" t="s">
        <v>25</v>
      </c>
      <c r="E172" s="7">
        <v>20660</v>
      </c>
      <c r="F172" s="7">
        <v>12460</v>
      </c>
      <c r="G172" s="9">
        <v>8200</v>
      </c>
      <c r="H172" s="7" t="s">
        <v>10</v>
      </c>
      <c r="I172" s="7" t="s">
        <v>11</v>
      </c>
    </row>
    <row r="173" spans="1:9">
      <c r="A173" s="5">
        <v>44671</v>
      </c>
      <c r="B173" s="6">
        <v>0.163888888888889</v>
      </c>
      <c r="C173" s="7">
        <v>3935</v>
      </c>
      <c r="D173" s="7" t="s">
        <v>22</v>
      </c>
      <c r="E173" s="7">
        <v>27420</v>
      </c>
      <c r="F173" s="7">
        <v>16020</v>
      </c>
      <c r="G173" s="9">
        <v>11400</v>
      </c>
      <c r="H173" s="7" t="s">
        <v>10</v>
      </c>
      <c r="I173" s="7" t="s">
        <v>11</v>
      </c>
    </row>
    <row r="174" spans="1:9">
      <c r="A174" s="5">
        <v>44671</v>
      </c>
      <c r="B174" s="6">
        <v>0.22847222222222199</v>
      </c>
      <c r="C174" s="7">
        <v>3938</v>
      </c>
      <c r="D174" s="7" t="s">
        <v>22</v>
      </c>
      <c r="E174" s="7">
        <v>17780</v>
      </c>
      <c r="F174" s="7">
        <v>16000</v>
      </c>
      <c r="G174" s="9">
        <v>1780</v>
      </c>
      <c r="H174" s="7" t="s">
        <v>10</v>
      </c>
      <c r="I174" s="7" t="s">
        <v>11</v>
      </c>
    </row>
    <row r="175" spans="1:9">
      <c r="A175" s="5">
        <v>44671</v>
      </c>
      <c r="B175" s="6">
        <v>0.25208333333333299</v>
      </c>
      <c r="C175" s="7">
        <v>3942</v>
      </c>
      <c r="D175" s="7" t="s">
        <v>25</v>
      </c>
      <c r="E175" s="7">
        <v>17000</v>
      </c>
      <c r="F175" s="7">
        <v>12540</v>
      </c>
      <c r="G175" s="9">
        <v>4460</v>
      </c>
      <c r="H175" s="7" t="s">
        <v>10</v>
      </c>
      <c r="I175" s="7" t="s">
        <v>11</v>
      </c>
    </row>
    <row r="176" spans="1:9">
      <c r="A176" s="5">
        <v>44671</v>
      </c>
      <c r="B176" s="6">
        <v>0.25763888888888897</v>
      </c>
      <c r="C176" s="7">
        <v>3943</v>
      </c>
      <c r="D176" s="7" t="s">
        <v>13</v>
      </c>
      <c r="E176" s="7">
        <v>4460</v>
      </c>
      <c r="F176" s="7">
        <v>3600</v>
      </c>
      <c r="G176" s="9">
        <v>860</v>
      </c>
      <c r="H176" s="7" t="s">
        <v>10</v>
      </c>
      <c r="I176" s="7" t="s">
        <v>11</v>
      </c>
    </row>
    <row r="177" spans="1:9">
      <c r="A177" s="5">
        <v>44671</v>
      </c>
      <c r="B177" s="6">
        <v>0.375</v>
      </c>
      <c r="C177" s="7">
        <v>3954</v>
      </c>
      <c r="D177" s="7" t="s">
        <v>17</v>
      </c>
      <c r="E177" s="7">
        <v>6440</v>
      </c>
      <c r="F177" s="7">
        <v>5520</v>
      </c>
      <c r="G177" s="9">
        <v>920</v>
      </c>
      <c r="H177" s="7" t="s">
        <v>10</v>
      </c>
      <c r="I177" s="7" t="s">
        <v>18</v>
      </c>
    </row>
    <row r="178" spans="1:9">
      <c r="A178" s="5">
        <v>44671</v>
      </c>
      <c r="B178" s="6">
        <v>0.422916666666667</v>
      </c>
      <c r="C178" s="7">
        <v>3959</v>
      </c>
      <c r="D178" s="7" t="s">
        <v>21</v>
      </c>
      <c r="E178" s="7">
        <v>3680</v>
      </c>
      <c r="F178" s="7">
        <v>2860</v>
      </c>
      <c r="G178" s="9">
        <v>820</v>
      </c>
      <c r="H178" s="7" t="s">
        <v>10</v>
      </c>
      <c r="I178" s="7" t="s">
        <v>18</v>
      </c>
    </row>
    <row r="179" spans="1:9">
      <c r="A179" s="5">
        <v>44671</v>
      </c>
      <c r="B179" s="6">
        <v>0.50416666666666698</v>
      </c>
      <c r="C179" s="7">
        <v>3971</v>
      </c>
      <c r="D179" s="7" t="s">
        <v>14</v>
      </c>
      <c r="E179" s="7">
        <v>2760</v>
      </c>
      <c r="F179" s="7">
        <v>2400</v>
      </c>
      <c r="G179" s="9">
        <v>360</v>
      </c>
      <c r="H179" s="7" t="s">
        <v>10</v>
      </c>
      <c r="I179" s="7" t="s">
        <v>11</v>
      </c>
    </row>
    <row r="180" spans="1:9">
      <c r="A180" s="5">
        <v>44671</v>
      </c>
      <c r="B180" s="6">
        <v>0.50972222222222197</v>
      </c>
      <c r="C180" s="7">
        <v>3973</v>
      </c>
      <c r="D180" s="7" t="s">
        <v>21</v>
      </c>
      <c r="E180" s="7">
        <v>3560</v>
      </c>
      <c r="F180" s="7">
        <v>2860</v>
      </c>
      <c r="G180" s="9">
        <v>700</v>
      </c>
      <c r="H180" s="7" t="s">
        <v>10</v>
      </c>
      <c r="I180" s="7" t="s">
        <v>18</v>
      </c>
    </row>
    <row r="181" spans="1:9">
      <c r="A181" s="5">
        <v>44672</v>
      </c>
      <c r="B181" s="6">
        <v>0.16041666666666701</v>
      </c>
      <c r="C181" s="7">
        <v>4003</v>
      </c>
      <c r="D181" s="7" t="s">
        <v>15</v>
      </c>
      <c r="E181" s="7">
        <v>3360</v>
      </c>
      <c r="F181" s="7">
        <v>2720</v>
      </c>
      <c r="G181" s="9">
        <v>640</v>
      </c>
      <c r="H181" s="7" t="s">
        <v>10</v>
      </c>
      <c r="I181" s="7" t="s">
        <v>11</v>
      </c>
    </row>
    <row r="182" spans="1:9">
      <c r="A182" s="5">
        <v>44672</v>
      </c>
      <c r="B182" s="6">
        <v>0.210416666666667</v>
      </c>
      <c r="C182" s="7">
        <v>4006</v>
      </c>
      <c r="D182" s="7" t="s">
        <v>23</v>
      </c>
      <c r="E182" s="7">
        <v>22940</v>
      </c>
      <c r="F182" s="7">
        <v>12740</v>
      </c>
      <c r="G182" s="9">
        <v>10200</v>
      </c>
      <c r="H182" s="7" t="s">
        <v>10</v>
      </c>
      <c r="I182" s="5" t="s">
        <v>11</v>
      </c>
    </row>
    <row r="183" spans="1:9">
      <c r="A183" s="5">
        <v>44672</v>
      </c>
      <c r="B183" s="6">
        <v>0.211111111111111</v>
      </c>
      <c r="C183" s="7">
        <v>4007</v>
      </c>
      <c r="D183" s="7" t="s">
        <v>15</v>
      </c>
      <c r="E183" s="7">
        <v>2900</v>
      </c>
      <c r="F183" s="7">
        <v>2720</v>
      </c>
      <c r="G183" s="9">
        <v>180</v>
      </c>
      <c r="H183" s="7" t="s">
        <v>10</v>
      </c>
      <c r="I183" s="7" t="s">
        <v>11</v>
      </c>
    </row>
    <row r="184" spans="1:9">
      <c r="A184" s="5">
        <v>44672</v>
      </c>
      <c r="B184" s="6">
        <v>0.22847222222222199</v>
      </c>
      <c r="C184" s="7">
        <v>4009</v>
      </c>
      <c r="D184" s="7" t="s">
        <v>22</v>
      </c>
      <c r="E184" s="7">
        <v>27660</v>
      </c>
      <c r="F184" s="7">
        <v>16200</v>
      </c>
      <c r="G184" s="9">
        <v>11460</v>
      </c>
      <c r="H184" s="7" t="s">
        <v>10</v>
      </c>
      <c r="I184" s="7" t="s">
        <v>11</v>
      </c>
    </row>
    <row r="185" spans="1:9">
      <c r="A185" s="5">
        <v>44672</v>
      </c>
      <c r="B185" s="6">
        <v>0.39236111111111099</v>
      </c>
      <c r="C185" s="7">
        <v>4022</v>
      </c>
      <c r="D185" s="7" t="s">
        <v>17</v>
      </c>
      <c r="E185" s="7">
        <v>6600</v>
      </c>
      <c r="F185" s="7">
        <v>5600</v>
      </c>
      <c r="G185" s="9">
        <v>1000</v>
      </c>
      <c r="H185" s="7" t="s">
        <v>10</v>
      </c>
      <c r="I185" s="7" t="s">
        <v>18</v>
      </c>
    </row>
    <row r="186" spans="1:9">
      <c r="A186" s="5">
        <v>44672</v>
      </c>
      <c r="B186" s="6">
        <v>0.49236111111111103</v>
      </c>
      <c r="C186" s="7">
        <v>4033</v>
      </c>
      <c r="D186" s="7" t="s">
        <v>17</v>
      </c>
      <c r="E186" s="7">
        <v>6680</v>
      </c>
      <c r="F186" s="7">
        <v>5580</v>
      </c>
      <c r="G186" s="9">
        <v>1100</v>
      </c>
      <c r="H186" s="7" t="s">
        <v>10</v>
      </c>
      <c r="I186" s="7" t="s">
        <v>18</v>
      </c>
    </row>
    <row r="187" spans="1:9">
      <c r="A187" s="5">
        <v>44672</v>
      </c>
      <c r="B187" s="6">
        <v>0.50277777777777799</v>
      </c>
      <c r="C187" s="7">
        <v>4035</v>
      </c>
      <c r="D187" s="7" t="s">
        <v>14</v>
      </c>
      <c r="E187" s="7">
        <v>2660</v>
      </c>
      <c r="F187" s="7">
        <v>2400</v>
      </c>
      <c r="G187" s="9">
        <v>260</v>
      </c>
      <c r="H187" s="7" t="s">
        <v>10</v>
      </c>
      <c r="I187" s="7" t="s">
        <v>11</v>
      </c>
    </row>
    <row r="188" spans="1:9">
      <c r="A188" s="5">
        <v>44672</v>
      </c>
      <c r="B188" s="6">
        <v>0.52569444444444402</v>
      </c>
      <c r="C188" s="7">
        <v>4039</v>
      </c>
      <c r="D188" s="7" t="s">
        <v>21</v>
      </c>
      <c r="E188" s="7">
        <v>3680</v>
      </c>
      <c r="F188" s="7">
        <v>2880</v>
      </c>
      <c r="G188" s="9">
        <v>800</v>
      </c>
      <c r="H188" s="7" t="s">
        <v>10</v>
      </c>
      <c r="I188" s="7" t="s">
        <v>18</v>
      </c>
    </row>
    <row r="189" spans="1:9">
      <c r="A189" s="5">
        <v>44672</v>
      </c>
      <c r="B189" s="6">
        <v>0.56041666666666701</v>
      </c>
      <c r="C189" s="7">
        <v>4046</v>
      </c>
      <c r="D189" s="7" t="s">
        <v>25</v>
      </c>
      <c r="E189" s="7">
        <v>13460</v>
      </c>
      <c r="F189" s="7">
        <v>12400</v>
      </c>
      <c r="G189" s="9">
        <v>1060</v>
      </c>
      <c r="H189" s="7" t="s">
        <v>10</v>
      </c>
      <c r="I189" s="7" t="s">
        <v>11</v>
      </c>
    </row>
    <row r="190" spans="1:9">
      <c r="A190" s="5">
        <v>44672</v>
      </c>
      <c r="B190" s="6">
        <v>0.76875000000000004</v>
      </c>
      <c r="C190" s="7">
        <v>4058</v>
      </c>
      <c r="D190" s="7" t="s">
        <v>14</v>
      </c>
      <c r="E190" s="7">
        <v>2580</v>
      </c>
      <c r="F190" s="7">
        <v>2440</v>
      </c>
      <c r="G190" s="9">
        <v>140</v>
      </c>
      <c r="H190" s="7" t="s">
        <v>10</v>
      </c>
      <c r="I190" s="7" t="s">
        <v>11</v>
      </c>
    </row>
    <row r="191" spans="1:9">
      <c r="A191" s="5">
        <v>44672</v>
      </c>
      <c r="B191" s="6">
        <v>0.51458333333333295</v>
      </c>
      <c r="C191" s="7">
        <v>138084</v>
      </c>
      <c r="D191" s="7" t="s">
        <v>22</v>
      </c>
      <c r="E191" s="7">
        <v>19080</v>
      </c>
      <c r="F191" s="7">
        <v>15980</v>
      </c>
      <c r="G191" s="9">
        <v>3100</v>
      </c>
      <c r="H191" s="7" t="s">
        <v>10</v>
      </c>
      <c r="I191" s="7" t="s">
        <v>20</v>
      </c>
    </row>
    <row r="192" spans="1:9">
      <c r="A192" s="5">
        <v>44673</v>
      </c>
      <c r="B192" s="6">
        <v>0.12638888888888899</v>
      </c>
      <c r="C192" s="7">
        <v>4063</v>
      </c>
      <c r="D192" s="7" t="s">
        <v>23</v>
      </c>
      <c r="E192" s="7">
        <v>20840</v>
      </c>
      <c r="F192" s="7">
        <v>12500</v>
      </c>
      <c r="G192" s="9">
        <v>8340</v>
      </c>
      <c r="H192" s="7" t="s">
        <v>10</v>
      </c>
      <c r="I192" s="7" t="s">
        <v>11</v>
      </c>
    </row>
    <row r="193" spans="1:9">
      <c r="A193" s="5">
        <v>44673</v>
      </c>
      <c r="B193" s="6">
        <v>0.141666666666667</v>
      </c>
      <c r="C193" s="7">
        <v>4065</v>
      </c>
      <c r="D193" s="7" t="s">
        <v>15</v>
      </c>
      <c r="E193" s="7">
        <v>3120</v>
      </c>
      <c r="F193" s="7">
        <v>2720</v>
      </c>
      <c r="G193" s="9">
        <v>400</v>
      </c>
      <c r="H193" s="7" t="s">
        <v>10</v>
      </c>
      <c r="I193" s="7" t="s">
        <v>11</v>
      </c>
    </row>
    <row r="194" spans="1:9">
      <c r="A194" s="5">
        <v>44673</v>
      </c>
      <c r="B194" s="6">
        <v>0.17777777777777801</v>
      </c>
      <c r="C194" s="7">
        <v>4069</v>
      </c>
      <c r="D194" s="7" t="s">
        <v>22</v>
      </c>
      <c r="E194" s="7">
        <v>27760</v>
      </c>
      <c r="F194" s="7">
        <v>16020</v>
      </c>
      <c r="G194" s="9">
        <v>11740</v>
      </c>
      <c r="H194" s="7" t="s">
        <v>10</v>
      </c>
      <c r="I194" s="7" t="s">
        <v>11</v>
      </c>
    </row>
    <row r="195" spans="1:9">
      <c r="A195" s="5">
        <v>44673</v>
      </c>
      <c r="B195" s="6">
        <v>0.211805555555556</v>
      </c>
      <c r="C195" s="7">
        <v>4070</v>
      </c>
      <c r="D195" s="7" t="s">
        <v>15</v>
      </c>
      <c r="E195" s="7">
        <v>3100</v>
      </c>
      <c r="F195" s="7">
        <v>2700</v>
      </c>
      <c r="G195" s="9">
        <v>400</v>
      </c>
      <c r="H195" s="7" t="s">
        <v>10</v>
      </c>
      <c r="I195" s="7" t="s">
        <v>11</v>
      </c>
    </row>
    <row r="196" spans="1:9">
      <c r="A196" s="5">
        <v>44673</v>
      </c>
      <c r="B196" s="6">
        <v>0.25833333333333303</v>
      </c>
      <c r="C196" s="7">
        <v>4074</v>
      </c>
      <c r="D196" s="7" t="s">
        <v>23</v>
      </c>
      <c r="E196" s="7">
        <v>16160</v>
      </c>
      <c r="F196" s="7">
        <v>12700</v>
      </c>
      <c r="G196" s="9">
        <v>3460</v>
      </c>
      <c r="H196" s="7" t="s">
        <v>10</v>
      </c>
      <c r="I196" s="7" t="s">
        <v>11</v>
      </c>
    </row>
    <row r="197" spans="1:9">
      <c r="A197" s="5">
        <v>44673</v>
      </c>
      <c r="B197" s="6">
        <v>0.359722222222222</v>
      </c>
      <c r="C197" s="7">
        <v>4089</v>
      </c>
      <c r="D197" s="7" t="s">
        <v>24</v>
      </c>
      <c r="E197" s="7">
        <v>18560</v>
      </c>
      <c r="F197" s="7">
        <v>16040</v>
      </c>
      <c r="G197" s="9">
        <v>2520</v>
      </c>
      <c r="H197" s="7" t="s">
        <v>10</v>
      </c>
      <c r="I197" s="7" t="s">
        <v>18</v>
      </c>
    </row>
    <row r="198" spans="1:9">
      <c r="A198" s="5">
        <v>44673</v>
      </c>
      <c r="B198" s="6">
        <v>0.5</v>
      </c>
      <c r="C198" s="7">
        <v>4109</v>
      </c>
      <c r="D198" s="7" t="s">
        <v>14</v>
      </c>
      <c r="E198" s="7">
        <v>2760</v>
      </c>
      <c r="F198" s="7">
        <v>2380</v>
      </c>
      <c r="G198" s="9">
        <v>380</v>
      </c>
      <c r="H198" s="7" t="s">
        <v>10</v>
      </c>
      <c r="I198" s="7" t="s">
        <v>11</v>
      </c>
    </row>
    <row r="199" spans="1:9">
      <c r="A199" s="5">
        <v>44673</v>
      </c>
      <c r="B199" s="6">
        <v>0.53125</v>
      </c>
      <c r="C199" s="7">
        <v>4115</v>
      </c>
      <c r="D199" s="7" t="s">
        <v>15</v>
      </c>
      <c r="E199" s="7">
        <v>2860</v>
      </c>
      <c r="F199" s="7">
        <v>2600</v>
      </c>
      <c r="G199" s="9">
        <v>260</v>
      </c>
      <c r="H199" s="7" t="s">
        <v>10</v>
      </c>
      <c r="I199" s="7" t="s">
        <v>16</v>
      </c>
    </row>
    <row r="200" spans="1:9">
      <c r="A200" s="5">
        <v>44673</v>
      </c>
      <c r="B200" s="6">
        <v>0.76111111111111096</v>
      </c>
      <c r="C200" s="7">
        <v>4121</v>
      </c>
      <c r="D200" s="7" t="s">
        <v>14</v>
      </c>
      <c r="E200" s="7">
        <v>2600</v>
      </c>
      <c r="F200" s="7">
        <v>2440</v>
      </c>
      <c r="G200" s="9">
        <v>160</v>
      </c>
      <c r="H200" s="7" t="s">
        <v>10</v>
      </c>
      <c r="I200" s="7" t="s">
        <v>11</v>
      </c>
    </row>
    <row r="201" spans="1:9">
      <c r="A201" s="5">
        <v>44673</v>
      </c>
      <c r="B201" s="6">
        <v>0.43263888888888902</v>
      </c>
      <c r="C201" s="7">
        <v>138216</v>
      </c>
      <c r="D201" s="7" t="s">
        <v>24</v>
      </c>
      <c r="E201" s="7">
        <v>18220</v>
      </c>
      <c r="F201" s="7">
        <v>15960</v>
      </c>
      <c r="G201" s="9">
        <v>2260</v>
      </c>
      <c r="H201" s="7" t="s">
        <v>10</v>
      </c>
      <c r="I201" s="7" t="s">
        <v>20</v>
      </c>
    </row>
    <row r="202" spans="1:9">
      <c r="A202" s="5">
        <v>44674</v>
      </c>
      <c r="B202" s="6">
        <v>1.8749999999999999E-2</v>
      </c>
      <c r="C202" s="7">
        <v>4122</v>
      </c>
      <c r="D202" s="7" t="s">
        <v>12</v>
      </c>
      <c r="E202" s="7">
        <v>19420</v>
      </c>
      <c r="F202" s="7">
        <v>15860</v>
      </c>
      <c r="G202" s="9">
        <v>3560</v>
      </c>
      <c r="H202" s="7" t="s">
        <v>10</v>
      </c>
      <c r="I202" s="7" t="s">
        <v>11</v>
      </c>
    </row>
    <row r="203" spans="1:9">
      <c r="A203" s="5">
        <v>44674</v>
      </c>
      <c r="B203" s="6">
        <v>0.109722222222222</v>
      </c>
      <c r="C203" s="7">
        <v>4124</v>
      </c>
      <c r="D203" s="7" t="s">
        <v>23</v>
      </c>
      <c r="E203" s="7">
        <v>21060</v>
      </c>
      <c r="F203" s="7">
        <v>12480</v>
      </c>
      <c r="G203" s="9">
        <v>8580</v>
      </c>
      <c r="H203" s="7" t="s">
        <v>10</v>
      </c>
      <c r="I203" s="7" t="s">
        <v>11</v>
      </c>
    </row>
    <row r="204" spans="1:9">
      <c r="A204" s="5">
        <v>44674</v>
      </c>
      <c r="B204" s="6">
        <v>0.13750000000000001</v>
      </c>
      <c r="C204" s="7">
        <v>4129</v>
      </c>
      <c r="D204" s="7" t="s">
        <v>15</v>
      </c>
      <c r="E204" s="7">
        <v>3480</v>
      </c>
      <c r="F204" s="7">
        <v>2740</v>
      </c>
      <c r="G204" s="9">
        <v>740</v>
      </c>
      <c r="H204" s="7" t="s">
        <v>10</v>
      </c>
      <c r="I204" s="7" t="s">
        <v>11</v>
      </c>
    </row>
    <row r="205" spans="1:9">
      <c r="A205" s="5">
        <v>44674</v>
      </c>
      <c r="B205" s="6">
        <v>0.21249999999999999</v>
      </c>
      <c r="C205" s="7">
        <v>4136</v>
      </c>
      <c r="D205" s="7" t="s">
        <v>12</v>
      </c>
      <c r="E205" s="7">
        <v>26840</v>
      </c>
      <c r="F205" s="7">
        <v>15860</v>
      </c>
      <c r="G205" s="9">
        <v>10980</v>
      </c>
      <c r="H205" s="7" t="s">
        <v>10</v>
      </c>
      <c r="I205" s="7" t="s">
        <v>11</v>
      </c>
    </row>
    <row r="206" spans="1:9">
      <c r="A206" s="5">
        <v>44674</v>
      </c>
      <c r="B206" s="6">
        <v>0.242361111111111</v>
      </c>
      <c r="C206" s="7">
        <v>4139</v>
      </c>
      <c r="D206" s="7" t="s">
        <v>15</v>
      </c>
      <c r="E206" s="7">
        <v>2920</v>
      </c>
      <c r="F206" s="7">
        <v>2740</v>
      </c>
      <c r="G206" s="9">
        <v>180</v>
      </c>
      <c r="H206" s="7" t="s">
        <v>10</v>
      </c>
      <c r="I206" s="7" t="s">
        <v>11</v>
      </c>
    </row>
    <row r="207" spans="1:9">
      <c r="A207" s="5">
        <v>44674</v>
      </c>
      <c r="B207" s="6">
        <v>0.25416666666666698</v>
      </c>
      <c r="C207" s="7">
        <v>4140</v>
      </c>
      <c r="D207" s="7" t="s">
        <v>23</v>
      </c>
      <c r="E207" s="7">
        <v>17600</v>
      </c>
      <c r="F207" s="7">
        <v>12680</v>
      </c>
      <c r="G207" s="9">
        <v>4920</v>
      </c>
      <c r="H207" s="7" t="s">
        <v>10</v>
      </c>
      <c r="I207" s="7" t="s">
        <v>11</v>
      </c>
    </row>
    <row r="208" spans="1:9">
      <c r="A208" s="5">
        <v>44674</v>
      </c>
      <c r="B208" s="6">
        <v>0.32222222222222202</v>
      </c>
      <c r="C208" s="7">
        <v>4144</v>
      </c>
      <c r="D208" s="7" t="s">
        <v>13</v>
      </c>
      <c r="E208" s="7">
        <v>3980</v>
      </c>
      <c r="F208" s="7">
        <v>3640</v>
      </c>
      <c r="G208" s="9">
        <v>340</v>
      </c>
      <c r="H208" s="7" t="s">
        <v>10</v>
      </c>
      <c r="I208" s="7" t="s">
        <v>11</v>
      </c>
    </row>
    <row r="209" spans="1:9">
      <c r="A209" s="5">
        <v>44674</v>
      </c>
      <c r="B209" s="6">
        <v>0.33541666666666697</v>
      </c>
      <c r="C209" s="7">
        <v>4146</v>
      </c>
      <c r="D209" s="7" t="s">
        <v>21</v>
      </c>
      <c r="E209" s="7">
        <v>3420</v>
      </c>
      <c r="F209" s="7">
        <v>2880</v>
      </c>
      <c r="G209" s="9">
        <v>540</v>
      </c>
      <c r="H209" s="7" t="s">
        <v>10</v>
      </c>
      <c r="I209" s="7" t="s">
        <v>18</v>
      </c>
    </row>
    <row r="210" spans="1:9">
      <c r="A210" s="5">
        <v>44674</v>
      </c>
      <c r="B210" s="6">
        <v>0.438194444444444</v>
      </c>
      <c r="C210" s="7">
        <v>4150</v>
      </c>
      <c r="D210" s="7" t="s">
        <v>21</v>
      </c>
      <c r="E210" s="7">
        <v>3140</v>
      </c>
      <c r="F210" s="7">
        <v>2860</v>
      </c>
      <c r="G210" s="9">
        <v>280</v>
      </c>
      <c r="H210" s="7" t="s">
        <v>10</v>
      </c>
      <c r="I210" s="7" t="s">
        <v>18</v>
      </c>
    </row>
    <row r="211" spans="1:9">
      <c r="A211" s="5">
        <v>44674</v>
      </c>
      <c r="B211" s="6">
        <v>0.49791666666666701</v>
      </c>
      <c r="C211" s="7">
        <v>4152</v>
      </c>
      <c r="D211" s="7" t="s">
        <v>14</v>
      </c>
      <c r="E211" s="7">
        <v>2660</v>
      </c>
      <c r="F211" s="7">
        <v>2380</v>
      </c>
      <c r="G211" s="9">
        <v>280</v>
      </c>
      <c r="H211" s="7" t="s">
        <v>10</v>
      </c>
      <c r="I211" s="7" t="s">
        <v>11</v>
      </c>
    </row>
    <row r="212" spans="1:9">
      <c r="A212" s="5">
        <v>44674</v>
      </c>
      <c r="B212" s="6">
        <v>0.76805555555555605</v>
      </c>
      <c r="C212" s="7">
        <v>4153</v>
      </c>
      <c r="D212" s="7" t="s">
        <v>14</v>
      </c>
      <c r="E212" s="7">
        <v>2660</v>
      </c>
      <c r="F212" s="7">
        <v>2460</v>
      </c>
      <c r="G212" s="9">
        <v>200</v>
      </c>
      <c r="H212" s="7" t="s">
        <v>10</v>
      </c>
      <c r="I212" s="7" t="s">
        <v>11</v>
      </c>
    </row>
    <row r="213" spans="1:9">
      <c r="A213" s="5">
        <v>44675</v>
      </c>
      <c r="B213" s="6">
        <v>0.108333333333333</v>
      </c>
      <c r="C213" s="7">
        <v>4154</v>
      </c>
      <c r="D213" s="7" t="s">
        <v>23</v>
      </c>
      <c r="E213" s="7">
        <v>20720</v>
      </c>
      <c r="F213" s="7">
        <v>12520</v>
      </c>
      <c r="G213" s="9">
        <v>8200</v>
      </c>
      <c r="H213" s="7" t="s">
        <v>10</v>
      </c>
      <c r="I213" s="7" t="s">
        <v>11</v>
      </c>
    </row>
    <row r="214" spans="1:9">
      <c r="A214" s="5">
        <v>44675</v>
      </c>
      <c r="B214" s="6">
        <v>0.12916666666666701</v>
      </c>
      <c r="C214" s="7">
        <v>4161</v>
      </c>
      <c r="D214" s="7" t="s">
        <v>15</v>
      </c>
      <c r="E214" s="7">
        <v>3460</v>
      </c>
      <c r="F214" s="7">
        <v>2720</v>
      </c>
      <c r="G214" s="9">
        <v>740</v>
      </c>
      <c r="H214" s="7" t="s">
        <v>10</v>
      </c>
      <c r="I214" s="7" t="s">
        <v>11</v>
      </c>
    </row>
    <row r="215" spans="1:9">
      <c r="A215" s="5">
        <v>44675</v>
      </c>
      <c r="B215" s="6">
        <v>0.20486111111111099</v>
      </c>
      <c r="C215" s="7">
        <v>4164</v>
      </c>
      <c r="D215" s="7" t="s">
        <v>23</v>
      </c>
      <c r="E215" s="7">
        <v>17740</v>
      </c>
      <c r="F215" s="7">
        <v>12700</v>
      </c>
      <c r="G215" s="9">
        <v>5040</v>
      </c>
      <c r="H215" s="7" t="s">
        <v>10</v>
      </c>
      <c r="I215" s="7" t="s">
        <v>11</v>
      </c>
    </row>
    <row r="216" spans="1:9">
      <c r="A216" s="5">
        <v>44675</v>
      </c>
      <c r="B216" s="6">
        <v>0.21319444444444399</v>
      </c>
      <c r="C216" s="7">
        <v>4165</v>
      </c>
      <c r="D216" s="7" t="s">
        <v>15</v>
      </c>
      <c r="E216" s="7">
        <v>3140</v>
      </c>
      <c r="F216" s="7">
        <v>2720</v>
      </c>
      <c r="G216" s="9">
        <v>420</v>
      </c>
      <c r="H216" s="7" t="s">
        <v>10</v>
      </c>
      <c r="I216" s="7" t="s">
        <v>11</v>
      </c>
    </row>
    <row r="217" spans="1:9">
      <c r="A217" s="5">
        <v>44675</v>
      </c>
      <c r="B217" s="6">
        <v>0.227777777777778</v>
      </c>
      <c r="C217" s="7">
        <v>4166</v>
      </c>
      <c r="D217" s="7" t="s">
        <v>12</v>
      </c>
      <c r="E217" s="7">
        <v>27900</v>
      </c>
      <c r="F217" s="7">
        <v>16020</v>
      </c>
      <c r="G217" s="9">
        <v>11880</v>
      </c>
      <c r="H217" s="7" t="s">
        <v>10</v>
      </c>
      <c r="I217" s="7" t="s">
        <v>11</v>
      </c>
    </row>
    <row r="218" spans="1:9">
      <c r="A218" s="5">
        <v>44675</v>
      </c>
      <c r="B218" s="6">
        <v>0.749305555555556</v>
      </c>
      <c r="C218" s="7">
        <v>4169</v>
      </c>
      <c r="D218" s="7" t="s">
        <v>14</v>
      </c>
      <c r="E218" s="7">
        <v>2600</v>
      </c>
      <c r="F218" s="7">
        <v>2380</v>
      </c>
      <c r="G218" s="9">
        <v>220</v>
      </c>
      <c r="H218" s="7" t="s">
        <v>10</v>
      </c>
      <c r="I218" s="7" t="s">
        <v>11</v>
      </c>
    </row>
    <row r="219" spans="1:9">
      <c r="A219" s="5">
        <v>44676</v>
      </c>
      <c r="B219" s="6">
        <v>5.1388888888888901E-2</v>
      </c>
      <c r="C219" s="7">
        <v>4171</v>
      </c>
      <c r="D219" s="7" t="s">
        <v>23</v>
      </c>
      <c r="E219" s="7">
        <v>20420</v>
      </c>
      <c r="F219" s="7">
        <v>12500</v>
      </c>
      <c r="G219" s="9">
        <v>7920</v>
      </c>
      <c r="H219" s="7" t="s">
        <v>10</v>
      </c>
      <c r="I219" s="7" t="s">
        <v>11</v>
      </c>
    </row>
    <row r="220" spans="1:9">
      <c r="A220" s="5">
        <v>44676</v>
      </c>
      <c r="B220" s="6">
        <v>0.11944444444444401</v>
      </c>
      <c r="C220" s="7">
        <v>4176</v>
      </c>
      <c r="D220" s="7" t="s">
        <v>23</v>
      </c>
      <c r="E220" s="7">
        <v>16740</v>
      </c>
      <c r="F220" s="7">
        <v>12460</v>
      </c>
      <c r="G220" s="9">
        <v>4280</v>
      </c>
      <c r="H220" s="7" t="s">
        <v>10</v>
      </c>
      <c r="I220" s="7" t="s">
        <v>11</v>
      </c>
    </row>
    <row r="221" spans="1:9">
      <c r="A221" s="5">
        <v>44676</v>
      </c>
      <c r="B221" s="6">
        <v>0.17777777777777801</v>
      </c>
      <c r="C221" s="7">
        <v>4181</v>
      </c>
      <c r="D221" s="7" t="s">
        <v>13</v>
      </c>
      <c r="E221" s="7">
        <v>4540</v>
      </c>
      <c r="F221" s="7">
        <v>3820</v>
      </c>
      <c r="G221" s="9">
        <v>720</v>
      </c>
      <c r="H221" s="7" t="s">
        <v>10</v>
      </c>
      <c r="I221" s="7" t="s">
        <v>11</v>
      </c>
    </row>
    <row r="222" spans="1:9">
      <c r="A222" s="5">
        <v>44676</v>
      </c>
      <c r="B222" s="6">
        <v>0.20138888888888901</v>
      </c>
      <c r="C222" s="7">
        <v>4182</v>
      </c>
      <c r="D222" s="7" t="s">
        <v>12</v>
      </c>
      <c r="E222" s="7">
        <v>27080</v>
      </c>
      <c r="F222" s="7">
        <v>15980</v>
      </c>
      <c r="G222" s="9">
        <v>11100</v>
      </c>
      <c r="H222" s="7" t="s">
        <v>10</v>
      </c>
      <c r="I222" s="7" t="s">
        <v>11</v>
      </c>
    </row>
    <row r="223" spans="1:9">
      <c r="A223" s="5">
        <v>44676</v>
      </c>
      <c r="B223" s="6">
        <v>0.50833333333333297</v>
      </c>
      <c r="C223" s="7">
        <v>4204</v>
      </c>
      <c r="D223" s="7" t="s">
        <v>21</v>
      </c>
      <c r="E223" s="7">
        <v>3240</v>
      </c>
      <c r="F223" s="7">
        <v>2840</v>
      </c>
      <c r="G223" s="9">
        <v>400</v>
      </c>
      <c r="H223" s="7" t="s">
        <v>10</v>
      </c>
      <c r="I223" s="7" t="s">
        <v>11</v>
      </c>
    </row>
    <row r="224" spans="1:9">
      <c r="A224" s="5">
        <v>44676</v>
      </c>
      <c r="B224" s="6">
        <v>0.51111111111111096</v>
      </c>
      <c r="C224" s="7">
        <v>4205</v>
      </c>
      <c r="D224" s="7" t="s">
        <v>14</v>
      </c>
      <c r="E224" s="7">
        <v>2620</v>
      </c>
      <c r="F224" s="7">
        <v>2400</v>
      </c>
      <c r="G224" s="9">
        <v>220</v>
      </c>
      <c r="H224" s="7" t="s">
        <v>10</v>
      </c>
      <c r="I224" s="7" t="s">
        <v>11</v>
      </c>
    </row>
    <row r="225" spans="1:9">
      <c r="A225" s="5">
        <v>44677</v>
      </c>
      <c r="B225" s="6">
        <v>0.13541666666666699</v>
      </c>
      <c r="C225" s="7">
        <v>4226</v>
      </c>
      <c r="D225" s="7" t="s">
        <v>23</v>
      </c>
      <c r="E225" s="7">
        <v>20840</v>
      </c>
      <c r="F225" s="7">
        <v>12440</v>
      </c>
      <c r="G225" s="9">
        <v>8400</v>
      </c>
      <c r="H225" s="7" t="s">
        <v>10</v>
      </c>
      <c r="I225" s="7" t="s">
        <v>11</v>
      </c>
    </row>
    <row r="226" spans="1:9">
      <c r="A226" s="5">
        <v>44677</v>
      </c>
      <c r="B226" s="6">
        <v>0.20763888888888901</v>
      </c>
      <c r="C226" s="7">
        <v>4230</v>
      </c>
      <c r="D226" s="7" t="s">
        <v>23</v>
      </c>
      <c r="E226" s="7">
        <v>15720</v>
      </c>
      <c r="F226" s="7">
        <v>12460</v>
      </c>
      <c r="G226" s="9">
        <v>3260</v>
      </c>
      <c r="H226" s="7" t="s">
        <v>10</v>
      </c>
      <c r="I226" s="7" t="s">
        <v>11</v>
      </c>
    </row>
    <row r="227" spans="1:9">
      <c r="A227" s="5">
        <v>44677</v>
      </c>
      <c r="B227" s="6">
        <v>0.243055555555556</v>
      </c>
      <c r="C227" s="7">
        <v>4232</v>
      </c>
      <c r="D227" s="7" t="s">
        <v>12</v>
      </c>
      <c r="E227" s="7">
        <v>27140</v>
      </c>
      <c r="F227" s="7">
        <v>16020</v>
      </c>
      <c r="G227" s="9">
        <v>11120</v>
      </c>
      <c r="H227" s="7" t="s">
        <v>10</v>
      </c>
      <c r="I227" s="7" t="s">
        <v>11</v>
      </c>
    </row>
    <row r="228" spans="1:9">
      <c r="A228" s="5">
        <v>44677</v>
      </c>
      <c r="B228" s="6">
        <v>0.25902777777777802</v>
      </c>
      <c r="C228" s="7">
        <v>4233</v>
      </c>
      <c r="D228" s="7" t="s">
        <v>13</v>
      </c>
      <c r="E228" s="7">
        <v>4440</v>
      </c>
      <c r="F228" s="7">
        <v>3780</v>
      </c>
      <c r="G228" s="9">
        <v>660</v>
      </c>
      <c r="H228" s="7" t="s">
        <v>10</v>
      </c>
      <c r="I228" s="7" t="s">
        <v>11</v>
      </c>
    </row>
    <row r="229" spans="1:9">
      <c r="A229" s="5">
        <v>44677</v>
      </c>
      <c r="B229" s="6">
        <v>0.43333333333333302</v>
      </c>
      <c r="C229" s="7">
        <v>4245</v>
      </c>
      <c r="D229" s="7" t="s">
        <v>14</v>
      </c>
      <c r="E229" s="7">
        <v>2700</v>
      </c>
      <c r="F229" s="7">
        <v>2380</v>
      </c>
      <c r="G229" s="9">
        <v>320</v>
      </c>
      <c r="H229" s="7" t="s">
        <v>10</v>
      </c>
      <c r="I229" s="7" t="s">
        <v>11</v>
      </c>
    </row>
    <row r="230" spans="1:9">
      <c r="A230" s="5">
        <v>44677</v>
      </c>
      <c r="B230" s="6">
        <v>0.52083333333333304</v>
      </c>
      <c r="C230" s="7">
        <v>4254</v>
      </c>
      <c r="D230" s="7" t="s">
        <v>14</v>
      </c>
      <c r="E230" s="7">
        <v>2660</v>
      </c>
      <c r="F230" s="7">
        <v>2380</v>
      </c>
      <c r="G230" s="9">
        <v>280</v>
      </c>
      <c r="H230" s="7" t="s">
        <v>10</v>
      </c>
      <c r="I230" s="7" t="s">
        <v>11</v>
      </c>
    </row>
    <row r="231" spans="1:9">
      <c r="A231" s="5">
        <v>44677</v>
      </c>
      <c r="B231" s="6">
        <v>0.52083333333333304</v>
      </c>
      <c r="C231" s="7">
        <v>4255</v>
      </c>
      <c r="D231" s="7" t="s">
        <v>13</v>
      </c>
      <c r="E231" s="7">
        <v>4680</v>
      </c>
      <c r="F231" s="7">
        <v>3580</v>
      </c>
      <c r="G231" s="9">
        <v>1100</v>
      </c>
      <c r="H231" s="7" t="s">
        <v>10</v>
      </c>
      <c r="I231" s="7" t="s">
        <v>11</v>
      </c>
    </row>
    <row r="232" spans="1:9">
      <c r="A232" s="5">
        <v>44677</v>
      </c>
      <c r="B232" s="6">
        <v>0.54305555555555496</v>
      </c>
      <c r="C232" s="7">
        <v>4259</v>
      </c>
      <c r="D232" s="7" t="s">
        <v>21</v>
      </c>
      <c r="E232" s="7">
        <v>3820</v>
      </c>
      <c r="F232" s="7">
        <v>2920</v>
      </c>
      <c r="G232" s="9">
        <v>900</v>
      </c>
      <c r="H232" s="7" t="s">
        <v>10</v>
      </c>
      <c r="I232" s="7" t="s">
        <v>16</v>
      </c>
    </row>
    <row r="233" spans="1:9">
      <c r="A233" s="5">
        <v>44677</v>
      </c>
      <c r="B233" s="6">
        <v>0.54652777777777795</v>
      </c>
      <c r="C233" s="7">
        <v>4261</v>
      </c>
      <c r="D233" s="7" t="s">
        <v>15</v>
      </c>
      <c r="E233" s="7">
        <v>3520</v>
      </c>
      <c r="F233" s="7">
        <v>2780</v>
      </c>
      <c r="G233" s="9">
        <v>740</v>
      </c>
      <c r="H233" s="7" t="s">
        <v>10</v>
      </c>
      <c r="I233" s="7" t="s">
        <v>16</v>
      </c>
    </row>
    <row r="234" spans="1:9">
      <c r="A234" s="5">
        <v>44677</v>
      </c>
      <c r="B234" s="6">
        <v>0.50902777777777797</v>
      </c>
      <c r="C234" s="7">
        <v>138395</v>
      </c>
      <c r="D234" s="7" t="s">
        <v>12</v>
      </c>
      <c r="E234" s="7">
        <v>18140</v>
      </c>
      <c r="F234" s="7">
        <v>15860</v>
      </c>
      <c r="G234" s="9">
        <v>2280</v>
      </c>
      <c r="H234" s="7" t="s">
        <v>10</v>
      </c>
      <c r="I234" s="7" t="s">
        <v>20</v>
      </c>
    </row>
    <row r="235" spans="1:9">
      <c r="A235" s="5">
        <v>44678</v>
      </c>
      <c r="B235" s="6">
        <v>0.120833333333333</v>
      </c>
      <c r="C235" s="7">
        <v>4277</v>
      </c>
      <c r="D235" s="7" t="s">
        <v>23</v>
      </c>
      <c r="E235" s="7">
        <v>19980</v>
      </c>
      <c r="F235" s="7">
        <v>12400</v>
      </c>
      <c r="G235" s="9">
        <v>7580</v>
      </c>
      <c r="H235" s="7" t="s">
        <v>10</v>
      </c>
      <c r="I235" s="7" t="s">
        <v>11</v>
      </c>
    </row>
    <row r="236" spans="1:9">
      <c r="A236" s="5">
        <v>44678</v>
      </c>
      <c r="B236" s="6">
        <v>0.20694444444444399</v>
      </c>
      <c r="C236" s="7">
        <v>4282</v>
      </c>
      <c r="D236" s="7" t="s">
        <v>23</v>
      </c>
      <c r="E236" s="7">
        <v>16260</v>
      </c>
      <c r="F236" s="7">
        <v>12420</v>
      </c>
      <c r="G236" s="9">
        <v>3840</v>
      </c>
      <c r="H236" s="7" t="s">
        <v>10</v>
      </c>
      <c r="I236" s="7" t="s">
        <v>11</v>
      </c>
    </row>
    <row r="237" spans="1:9">
      <c r="A237" s="5">
        <v>44678</v>
      </c>
      <c r="B237" s="6">
        <v>0.22291666666666701</v>
      </c>
      <c r="C237" s="7">
        <v>4284</v>
      </c>
      <c r="D237" s="7" t="s">
        <v>22</v>
      </c>
      <c r="E237" s="7">
        <v>27440</v>
      </c>
      <c r="F237" s="7">
        <v>16100</v>
      </c>
      <c r="G237" s="9">
        <v>11340</v>
      </c>
      <c r="H237" s="7" t="s">
        <v>10</v>
      </c>
      <c r="I237" s="7" t="s">
        <v>11</v>
      </c>
    </row>
    <row r="238" spans="1:9">
      <c r="A238" s="5">
        <v>44678</v>
      </c>
      <c r="B238" s="6">
        <v>0.26180555555555601</v>
      </c>
      <c r="C238" s="7">
        <v>4286</v>
      </c>
      <c r="D238" s="7" t="s">
        <v>13</v>
      </c>
      <c r="E238" s="7">
        <v>4440</v>
      </c>
      <c r="F238" s="7">
        <v>3760</v>
      </c>
      <c r="G238" s="9">
        <v>680</v>
      </c>
      <c r="H238" s="7" t="s">
        <v>10</v>
      </c>
      <c r="I238" s="7" t="s">
        <v>11</v>
      </c>
    </row>
    <row r="239" spans="1:9">
      <c r="A239" s="5">
        <v>44678</v>
      </c>
      <c r="B239" s="6">
        <v>0.33055555555555599</v>
      </c>
      <c r="C239" s="7">
        <v>4293</v>
      </c>
      <c r="D239" s="7" t="s">
        <v>17</v>
      </c>
      <c r="E239" s="7">
        <v>6780</v>
      </c>
      <c r="F239" s="7">
        <v>5660</v>
      </c>
      <c r="G239" s="9">
        <v>1120</v>
      </c>
      <c r="H239" s="7" t="s">
        <v>10</v>
      </c>
      <c r="I239" s="7" t="s">
        <v>18</v>
      </c>
    </row>
    <row r="240" spans="1:9">
      <c r="A240" s="5">
        <v>44678</v>
      </c>
      <c r="B240" s="6">
        <v>0.44722222222222202</v>
      </c>
      <c r="C240" s="7">
        <v>4304</v>
      </c>
      <c r="D240" s="7" t="s">
        <v>14</v>
      </c>
      <c r="E240" s="7">
        <v>2800</v>
      </c>
      <c r="F240" s="7">
        <v>2380</v>
      </c>
      <c r="G240" s="9">
        <v>420</v>
      </c>
      <c r="H240" s="7" t="s">
        <v>10</v>
      </c>
      <c r="I240" s="7" t="s">
        <v>11</v>
      </c>
    </row>
    <row r="241" spans="1:9">
      <c r="A241" s="5">
        <v>44678</v>
      </c>
      <c r="B241" s="6">
        <v>0.484722222222222</v>
      </c>
      <c r="C241" s="7">
        <v>4309</v>
      </c>
      <c r="D241" s="7" t="s">
        <v>17</v>
      </c>
      <c r="E241" s="7">
        <v>6760</v>
      </c>
      <c r="F241" s="7">
        <v>5640</v>
      </c>
      <c r="G241" s="9">
        <v>1120</v>
      </c>
      <c r="H241" s="7" t="s">
        <v>10</v>
      </c>
      <c r="I241" s="7" t="s">
        <v>18</v>
      </c>
    </row>
    <row r="242" spans="1:9">
      <c r="A242" s="5">
        <v>44678</v>
      </c>
      <c r="B242" s="6">
        <v>0.54166666666666696</v>
      </c>
      <c r="C242" s="7">
        <v>4317</v>
      </c>
      <c r="D242" s="7" t="s">
        <v>21</v>
      </c>
      <c r="E242" s="7">
        <v>4040</v>
      </c>
      <c r="F242" s="7">
        <v>2960</v>
      </c>
      <c r="G242" s="9">
        <v>1080</v>
      </c>
      <c r="H242" s="7" t="s">
        <v>10</v>
      </c>
      <c r="I242" s="7" t="s">
        <v>16</v>
      </c>
    </row>
    <row r="243" spans="1:9">
      <c r="A243" s="5">
        <v>44678</v>
      </c>
      <c r="B243" s="6">
        <v>0.53958333333333297</v>
      </c>
      <c r="C243" s="7">
        <v>4318</v>
      </c>
      <c r="D243" s="7" t="s">
        <v>15</v>
      </c>
      <c r="E243" s="7">
        <v>3420</v>
      </c>
      <c r="F243" s="7">
        <v>2660</v>
      </c>
      <c r="G243" s="9">
        <v>760</v>
      </c>
      <c r="H243" s="7" t="s">
        <v>10</v>
      </c>
      <c r="I243" s="7" t="s">
        <v>16</v>
      </c>
    </row>
    <row r="244" spans="1:9">
      <c r="A244" s="5">
        <v>44679</v>
      </c>
      <c r="B244" s="6">
        <v>0.125</v>
      </c>
      <c r="C244" s="7">
        <v>4331</v>
      </c>
      <c r="D244" s="7" t="s">
        <v>23</v>
      </c>
      <c r="E244" s="7">
        <v>19840</v>
      </c>
      <c r="F244" s="7">
        <v>12500</v>
      </c>
      <c r="G244" s="9">
        <v>7340</v>
      </c>
      <c r="H244" s="7" t="s">
        <v>10</v>
      </c>
      <c r="I244" s="7" t="s">
        <v>11</v>
      </c>
    </row>
    <row r="245" spans="1:9">
      <c r="A245" s="5">
        <v>44679</v>
      </c>
      <c r="B245" s="6">
        <v>0.19722222222222199</v>
      </c>
      <c r="C245" s="7">
        <v>4336</v>
      </c>
      <c r="D245" s="7" t="s">
        <v>22</v>
      </c>
      <c r="E245" s="7">
        <v>26560</v>
      </c>
      <c r="F245" s="7">
        <v>16100</v>
      </c>
      <c r="G245" s="9">
        <v>10460</v>
      </c>
      <c r="H245" s="7" t="s">
        <v>10</v>
      </c>
      <c r="I245" s="7" t="s">
        <v>11</v>
      </c>
    </row>
    <row r="246" spans="1:9">
      <c r="A246" s="5">
        <v>44679</v>
      </c>
      <c r="B246" s="6">
        <v>0.25486111111111098</v>
      </c>
      <c r="C246" s="7">
        <v>4340</v>
      </c>
      <c r="D246" s="7" t="s">
        <v>23</v>
      </c>
      <c r="E246" s="7">
        <v>16400</v>
      </c>
      <c r="F246" s="7">
        <v>12520</v>
      </c>
      <c r="G246" s="9">
        <v>3880</v>
      </c>
      <c r="H246" s="7" t="s">
        <v>10</v>
      </c>
      <c r="I246" s="7" t="s">
        <v>11</v>
      </c>
    </row>
    <row r="247" spans="1:9">
      <c r="A247" s="5">
        <v>44679</v>
      </c>
      <c r="B247" s="6">
        <v>0.25555555555555598</v>
      </c>
      <c r="C247" s="7">
        <v>4341</v>
      </c>
      <c r="D247" s="7" t="s">
        <v>13</v>
      </c>
      <c r="E247" s="7">
        <v>4360</v>
      </c>
      <c r="F247" s="7">
        <v>3700</v>
      </c>
      <c r="G247" s="9">
        <v>660</v>
      </c>
      <c r="H247" s="7" t="s">
        <v>10</v>
      </c>
      <c r="I247" s="7" t="s">
        <v>11</v>
      </c>
    </row>
    <row r="248" spans="1:9">
      <c r="A248" s="5">
        <v>44679</v>
      </c>
      <c r="B248" s="6">
        <v>0.25624999999999998</v>
      </c>
      <c r="C248" s="7">
        <v>4342</v>
      </c>
      <c r="D248" s="7" t="s">
        <v>22</v>
      </c>
      <c r="E248" s="7">
        <v>19480</v>
      </c>
      <c r="F248" s="7">
        <v>16060</v>
      </c>
      <c r="G248" s="9">
        <v>3420</v>
      </c>
      <c r="H248" s="7" t="s">
        <v>10</v>
      </c>
      <c r="I248" s="7" t="s">
        <v>11</v>
      </c>
    </row>
    <row r="249" spans="1:9">
      <c r="A249" s="5">
        <v>44679</v>
      </c>
      <c r="B249" s="6">
        <v>0.29236111111111102</v>
      </c>
      <c r="C249" s="7">
        <v>4347</v>
      </c>
      <c r="D249" s="7" t="s">
        <v>23</v>
      </c>
      <c r="E249" s="7">
        <v>12780</v>
      </c>
      <c r="F249" s="7">
        <v>12460</v>
      </c>
      <c r="G249" s="9">
        <v>320</v>
      </c>
      <c r="H249" s="7" t="s">
        <v>10</v>
      </c>
      <c r="I249" s="7" t="s">
        <v>11</v>
      </c>
    </row>
    <row r="250" spans="1:9">
      <c r="A250" s="5">
        <v>44679</v>
      </c>
      <c r="B250" s="6">
        <v>0.35555555555555501</v>
      </c>
      <c r="C250" s="7">
        <v>4352</v>
      </c>
      <c r="D250" s="7" t="s">
        <v>17</v>
      </c>
      <c r="E250" s="7">
        <v>6460</v>
      </c>
      <c r="F250" s="7">
        <v>5640</v>
      </c>
      <c r="G250" s="9">
        <v>820</v>
      </c>
      <c r="H250" s="7" t="s">
        <v>10</v>
      </c>
      <c r="I250" s="7" t="s">
        <v>18</v>
      </c>
    </row>
    <row r="251" spans="1:9">
      <c r="A251" s="5">
        <v>44679</v>
      </c>
      <c r="B251" s="6">
        <v>0.50555555555555598</v>
      </c>
      <c r="C251" s="7">
        <v>4365</v>
      </c>
      <c r="D251" s="7" t="s">
        <v>14</v>
      </c>
      <c r="E251" s="7">
        <v>2660</v>
      </c>
      <c r="F251" s="7">
        <v>2400</v>
      </c>
      <c r="G251" s="9">
        <v>260</v>
      </c>
      <c r="H251" s="7" t="s">
        <v>10</v>
      </c>
      <c r="I251" s="7" t="s">
        <v>11</v>
      </c>
    </row>
    <row r="252" spans="1:9">
      <c r="A252" s="5">
        <v>44679</v>
      </c>
      <c r="B252" s="6">
        <v>0.500694444444444</v>
      </c>
      <c r="C252" s="7">
        <v>4367</v>
      </c>
      <c r="D252" s="7" t="s">
        <v>17</v>
      </c>
      <c r="E252" s="7">
        <v>7340</v>
      </c>
      <c r="F252" s="7">
        <v>5540</v>
      </c>
      <c r="G252" s="9">
        <v>1800</v>
      </c>
      <c r="H252" s="7" t="s">
        <v>10</v>
      </c>
      <c r="I252" s="7" t="s">
        <v>18</v>
      </c>
    </row>
    <row r="253" spans="1:9">
      <c r="A253" s="5">
        <v>44679</v>
      </c>
      <c r="B253" s="6">
        <v>0.54583333333333295</v>
      </c>
      <c r="C253" s="7">
        <v>4373</v>
      </c>
      <c r="D253" s="7" t="s">
        <v>15</v>
      </c>
      <c r="E253" s="7">
        <v>3260</v>
      </c>
      <c r="F253" s="7">
        <v>2700</v>
      </c>
      <c r="G253" s="9">
        <v>560</v>
      </c>
      <c r="H253" s="7" t="s">
        <v>10</v>
      </c>
      <c r="I253" s="7" t="s">
        <v>16</v>
      </c>
    </row>
    <row r="254" spans="1:9">
      <c r="A254" s="5">
        <v>44679</v>
      </c>
      <c r="B254" s="6">
        <v>0.54930555555555505</v>
      </c>
      <c r="C254" s="7">
        <v>4374</v>
      </c>
      <c r="D254" s="7" t="s">
        <v>21</v>
      </c>
      <c r="E254" s="7">
        <v>3920</v>
      </c>
      <c r="F254" s="7">
        <v>3000</v>
      </c>
      <c r="G254" s="9">
        <v>920</v>
      </c>
      <c r="H254" s="7" t="s">
        <v>10</v>
      </c>
      <c r="I254" s="7" t="s">
        <v>16</v>
      </c>
    </row>
    <row r="255" spans="1:9">
      <c r="A255" s="5">
        <v>44680</v>
      </c>
      <c r="B255" s="6">
        <v>0.52361111111111103</v>
      </c>
      <c r="C255" s="7">
        <v>2824</v>
      </c>
      <c r="D255" s="7" t="s">
        <v>22</v>
      </c>
      <c r="E255" s="7">
        <v>19320</v>
      </c>
      <c r="F255" s="7">
        <v>16000</v>
      </c>
      <c r="G255" s="9">
        <v>3320</v>
      </c>
      <c r="H255" s="7" t="s">
        <v>10</v>
      </c>
      <c r="I255" s="7" t="s">
        <v>19</v>
      </c>
    </row>
    <row r="256" spans="1:9">
      <c r="A256" s="5">
        <v>44680</v>
      </c>
      <c r="B256" s="6">
        <v>8.0555555555555602E-2</v>
      </c>
      <c r="C256" s="7">
        <v>4384</v>
      </c>
      <c r="D256" s="7" t="s">
        <v>22</v>
      </c>
      <c r="E256" s="7">
        <v>21680</v>
      </c>
      <c r="F256" s="7">
        <v>16160</v>
      </c>
      <c r="G256" s="9">
        <v>5520</v>
      </c>
      <c r="H256" s="7" t="s">
        <v>10</v>
      </c>
      <c r="I256" s="7" t="s">
        <v>11</v>
      </c>
    </row>
    <row r="257" spans="1:9">
      <c r="A257" s="5">
        <v>44680</v>
      </c>
      <c r="B257" s="6">
        <v>0.25416666666666698</v>
      </c>
      <c r="C257" s="7">
        <v>4396</v>
      </c>
      <c r="D257" s="7" t="s">
        <v>22</v>
      </c>
      <c r="E257" s="7">
        <v>23520</v>
      </c>
      <c r="F257" s="7">
        <v>16120</v>
      </c>
      <c r="G257" s="9">
        <v>7400</v>
      </c>
      <c r="H257" s="7" t="s">
        <v>10</v>
      </c>
      <c r="I257" s="7" t="s">
        <v>11</v>
      </c>
    </row>
    <row r="258" spans="1:9">
      <c r="A258" s="5">
        <v>44680</v>
      </c>
      <c r="B258" s="6">
        <v>0.25763888888888897</v>
      </c>
      <c r="C258" s="7">
        <v>4397</v>
      </c>
      <c r="D258" s="7" t="s">
        <v>13</v>
      </c>
      <c r="E258" s="7">
        <v>4460</v>
      </c>
      <c r="F258" s="7">
        <v>3680</v>
      </c>
      <c r="G258" s="9">
        <v>780</v>
      </c>
      <c r="H258" s="7" t="s">
        <v>10</v>
      </c>
      <c r="I258" s="7" t="s">
        <v>11</v>
      </c>
    </row>
    <row r="259" spans="1:9">
      <c r="A259" s="5">
        <v>44680</v>
      </c>
      <c r="B259" s="6">
        <v>0.26041666666666702</v>
      </c>
      <c r="C259" s="7">
        <v>4398</v>
      </c>
      <c r="D259" s="7" t="s">
        <v>9</v>
      </c>
      <c r="E259" s="7">
        <v>16600</v>
      </c>
      <c r="F259" s="7">
        <v>12700</v>
      </c>
      <c r="G259" s="9">
        <v>3900</v>
      </c>
      <c r="H259" s="7" t="s">
        <v>10</v>
      </c>
      <c r="I259" s="7" t="s">
        <v>11</v>
      </c>
    </row>
    <row r="260" spans="1:9">
      <c r="A260" s="5">
        <v>44680</v>
      </c>
      <c r="B260" s="6">
        <v>0.499305555555556</v>
      </c>
      <c r="C260" s="7">
        <v>4422</v>
      </c>
      <c r="D260" s="7" t="s">
        <v>14</v>
      </c>
      <c r="E260" s="7">
        <v>2600</v>
      </c>
      <c r="F260" s="7">
        <v>2400</v>
      </c>
      <c r="G260" s="9">
        <v>200</v>
      </c>
      <c r="H260" s="7" t="s">
        <v>10</v>
      </c>
      <c r="I260" s="7" t="s">
        <v>11</v>
      </c>
    </row>
    <row r="261" spans="1:9">
      <c r="A261" s="5">
        <v>44680</v>
      </c>
      <c r="B261" s="6">
        <v>0.54722222222222205</v>
      </c>
      <c r="C261" s="7">
        <v>4426</v>
      </c>
      <c r="D261" s="7" t="s">
        <v>21</v>
      </c>
      <c r="E261" s="7">
        <v>3200</v>
      </c>
      <c r="F261" s="7">
        <v>2880</v>
      </c>
      <c r="G261" s="9">
        <v>320</v>
      </c>
      <c r="H261" s="7" t="s">
        <v>10</v>
      </c>
      <c r="I261" s="7" t="s">
        <v>16</v>
      </c>
    </row>
    <row r="262" spans="1:9">
      <c r="A262" s="5">
        <v>44681</v>
      </c>
      <c r="B262" s="6">
        <v>0.120833333333333</v>
      </c>
      <c r="C262" s="7">
        <v>4440</v>
      </c>
      <c r="D262" s="7" t="s">
        <v>9</v>
      </c>
      <c r="E262" s="7">
        <v>20520</v>
      </c>
      <c r="F262" s="7">
        <v>12660</v>
      </c>
      <c r="G262" s="9">
        <v>7860</v>
      </c>
      <c r="H262" s="7" t="s">
        <v>10</v>
      </c>
      <c r="I262" s="7" t="s">
        <v>11</v>
      </c>
    </row>
    <row r="263" spans="1:9">
      <c r="A263" s="5">
        <v>44681</v>
      </c>
      <c r="B263" s="6">
        <v>0.15972222222222199</v>
      </c>
      <c r="C263" s="7">
        <v>4443</v>
      </c>
      <c r="D263" s="7" t="s">
        <v>22</v>
      </c>
      <c r="E263" s="7">
        <v>25060</v>
      </c>
      <c r="F263" s="7">
        <v>16140</v>
      </c>
      <c r="G263" s="9">
        <v>8920</v>
      </c>
      <c r="H263" s="7" t="s">
        <v>10</v>
      </c>
      <c r="I263" s="7" t="s">
        <v>11</v>
      </c>
    </row>
    <row r="264" spans="1:9">
      <c r="A264" s="5">
        <v>44681</v>
      </c>
      <c r="B264" s="6">
        <v>0.17499999999999999</v>
      </c>
      <c r="C264" s="7">
        <v>4445</v>
      </c>
      <c r="D264" s="7" t="s">
        <v>15</v>
      </c>
      <c r="E264" s="7">
        <v>3480</v>
      </c>
      <c r="F264" s="7">
        <v>2600</v>
      </c>
      <c r="G264" s="9">
        <v>880</v>
      </c>
      <c r="H264" s="7" t="s">
        <v>10</v>
      </c>
      <c r="I264" s="7" t="s">
        <v>11</v>
      </c>
    </row>
    <row r="265" spans="1:9">
      <c r="A265" s="5">
        <v>44681</v>
      </c>
      <c r="B265" s="6">
        <v>0.24791666666666701</v>
      </c>
      <c r="C265" s="7">
        <v>4451</v>
      </c>
      <c r="D265" s="7" t="s">
        <v>22</v>
      </c>
      <c r="E265" s="7">
        <v>19460</v>
      </c>
      <c r="F265" s="7">
        <v>16120</v>
      </c>
      <c r="G265" s="9">
        <v>3340</v>
      </c>
      <c r="H265" s="7" t="s">
        <v>10</v>
      </c>
      <c r="I265" s="7" t="s">
        <v>11</v>
      </c>
    </row>
    <row r="266" spans="1:9">
      <c r="A266" s="5">
        <v>44681</v>
      </c>
      <c r="B266" s="6">
        <v>0.25416666666666698</v>
      </c>
      <c r="C266" s="7">
        <v>4453</v>
      </c>
      <c r="D266" s="7" t="s">
        <v>15</v>
      </c>
      <c r="E266" s="7">
        <v>2880</v>
      </c>
      <c r="F266" s="7">
        <v>2600</v>
      </c>
      <c r="G266" s="9">
        <v>280</v>
      </c>
      <c r="H266" s="7" t="s">
        <v>10</v>
      </c>
      <c r="I266" s="7" t="s">
        <v>11</v>
      </c>
    </row>
    <row r="267" spans="1:9">
      <c r="A267" s="5">
        <v>44681</v>
      </c>
      <c r="B267" s="6">
        <v>0.25763888888888897</v>
      </c>
      <c r="C267" s="7">
        <v>4454</v>
      </c>
      <c r="D267" s="7" t="s">
        <v>9</v>
      </c>
      <c r="E267" s="7">
        <v>16360</v>
      </c>
      <c r="F267" s="7">
        <v>12760</v>
      </c>
      <c r="G267" s="9">
        <v>3600</v>
      </c>
      <c r="H267" s="7" t="s">
        <v>10</v>
      </c>
      <c r="I267" s="7" t="s">
        <v>11</v>
      </c>
    </row>
    <row r="268" spans="1:9">
      <c r="A268" s="5">
        <v>44681</v>
      </c>
      <c r="B268" s="6">
        <v>0.35</v>
      </c>
      <c r="C268" s="7">
        <v>4458</v>
      </c>
      <c r="D268" s="7" t="s">
        <v>14</v>
      </c>
      <c r="E268" s="7">
        <v>2600</v>
      </c>
      <c r="F268" s="7">
        <v>2380</v>
      </c>
      <c r="G268" s="9">
        <v>220</v>
      </c>
      <c r="H268" s="7" t="s">
        <v>10</v>
      </c>
      <c r="I268" s="7" t="s">
        <v>11</v>
      </c>
    </row>
    <row r="269" spans="1:9">
      <c r="A269" s="5">
        <v>44681</v>
      </c>
      <c r="B269" s="6">
        <v>0.499305555555556</v>
      </c>
      <c r="C269" s="7">
        <v>4463</v>
      </c>
      <c r="D269" s="7" t="s">
        <v>21</v>
      </c>
      <c r="E269" s="7">
        <v>3160</v>
      </c>
      <c r="F269" s="7">
        <v>2860</v>
      </c>
      <c r="G269" s="9">
        <v>300</v>
      </c>
      <c r="H269" s="7" t="s">
        <v>10</v>
      </c>
      <c r="I269" s="7" t="s">
        <v>18</v>
      </c>
    </row>
    <row r="270" spans="1:9">
      <c r="A270" s="5">
        <v>44664</v>
      </c>
      <c r="B270" s="6">
        <v>0.69583333333333297</v>
      </c>
      <c r="C270" s="7">
        <v>3692</v>
      </c>
      <c r="D270" s="7" t="s">
        <v>9</v>
      </c>
      <c r="E270" s="7">
        <v>14520</v>
      </c>
      <c r="F270" s="7">
        <v>12900</v>
      </c>
      <c r="G270" s="7">
        <v>1620</v>
      </c>
      <c r="H270" s="7" t="s">
        <v>10</v>
      </c>
      <c r="I270" s="7" t="s">
        <v>11</v>
      </c>
    </row>
    <row r="271" spans="1:9">
      <c r="A271" s="5">
        <v>44680</v>
      </c>
      <c r="B271" s="6">
        <v>0.108333333333333</v>
      </c>
      <c r="C271" s="7">
        <v>4386</v>
      </c>
      <c r="D271" s="7" t="s">
        <v>9</v>
      </c>
      <c r="E271" s="7">
        <v>19440</v>
      </c>
      <c r="F271" s="7">
        <v>12760</v>
      </c>
      <c r="G271" s="7">
        <v>6680</v>
      </c>
      <c r="H271" s="7" t="s">
        <v>10</v>
      </c>
      <c r="I271" s="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G16"/>
  <sheetViews>
    <sheetView workbookViewId="0"/>
  </sheetViews>
  <sheetFormatPr baseColWidth="10" defaultRowHeight="14.4"/>
  <sheetData>
    <row r="1" spans="1:7">
      <c r="A1" s="11" t="s">
        <v>0</v>
      </c>
      <c r="B1" s="12" t="s">
        <v>26</v>
      </c>
    </row>
    <row r="3" spans="1:7">
      <c r="A3" s="13" t="s">
        <v>27</v>
      </c>
      <c r="B3" s="14" t="s">
        <v>8</v>
      </c>
      <c r="C3" s="15"/>
      <c r="D3" s="15"/>
      <c r="E3" s="15"/>
      <c r="F3" s="15"/>
      <c r="G3" s="16"/>
    </row>
    <row r="4" spans="1:7">
      <c r="A4" s="17" t="s">
        <v>3</v>
      </c>
      <c r="B4" s="18" t="s">
        <v>16</v>
      </c>
      <c r="C4" s="19" t="s">
        <v>11</v>
      </c>
      <c r="D4" s="19" t="s">
        <v>19</v>
      </c>
      <c r="E4" s="19" t="s">
        <v>20</v>
      </c>
      <c r="F4" s="19" t="s">
        <v>18</v>
      </c>
      <c r="G4" s="20" t="s">
        <v>28</v>
      </c>
    </row>
    <row r="5" spans="1:7">
      <c r="A5" s="21" t="s">
        <v>24</v>
      </c>
      <c r="B5" s="22"/>
      <c r="C5" s="23"/>
      <c r="D5" s="23"/>
      <c r="E5" s="24">
        <v>2260</v>
      </c>
      <c r="F5" s="25">
        <v>4440</v>
      </c>
      <c r="G5" s="26">
        <v>6700</v>
      </c>
    </row>
    <row r="6" spans="1:7">
      <c r="A6" s="27" t="s">
        <v>25</v>
      </c>
      <c r="B6" s="28"/>
      <c r="C6" s="29">
        <v>34060</v>
      </c>
      <c r="D6" s="30"/>
      <c r="E6" s="30"/>
      <c r="F6" s="31"/>
      <c r="G6" s="32">
        <v>34060</v>
      </c>
    </row>
    <row r="7" spans="1:7">
      <c r="A7" s="27" t="s">
        <v>15</v>
      </c>
      <c r="B7" s="33">
        <v>3540</v>
      </c>
      <c r="C7" s="29">
        <v>15040</v>
      </c>
      <c r="D7" s="30"/>
      <c r="E7" s="30"/>
      <c r="F7" s="34">
        <v>420</v>
      </c>
      <c r="G7" s="32">
        <v>19000</v>
      </c>
    </row>
    <row r="8" spans="1:7">
      <c r="A8" s="27" t="s">
        <v>12</v>
      </c>
      <c r="B8" s="28"/>
      <c r="C8" s="29">
        <v>231960</v>
      </c>
      <c r="D8" s="29">
        <v>1460</v>
      </c>
      <c r="E8" s="29">
        <v>5680</v>
      </c>
      <c r="F8" s="31"/>
      <c r="G8" s="32">
        <v>239100</v>
      </c>
    </row>
    <row r="9" spans="1:7">
      <c r="A9" s="27" t="s">
        <v>22</v>
      </c>
      <c r="B9" s="28"/>
      <c r="C9" s="29">
        <v>186740</v>
      </c>
      <c r="D9" s="29">
        <v>5040</v>
      </c>
      <c r="E9" s="29">
        <v>5360</v>
      </c>
      <c r="F9" s="31"/>
      <c r="G9" s="32">
        <v>197140</v>
      </c>
    </row>
    <row r="10" spans="1:7">
      <c r="A10" s="27" t="s">
        <v>14</v>
      </c>
      <c r="B10" s="28"/>
      <c r="C10" s="29">
        <v>11360</v>
      </c>
      <c r="D10" s="30"/>
      <c r="E10" s="30"/>
      <c r="F10" s="31"/>
      <c r="G10" s="32">
        <v>11360</v>
      </c>
    </row>
    <row r="11" spans="1:7">
      <c r="A11" s="27" t="s">
        <v>23</v>
      </c>
      <c r="B11" s="28"/>
      <c r="C11" s="29">
        <v>181420</v>
      </c>
      <c r="D11" s="30"/>
      <c r="E11" s="30"/>
      <c r="F11" s="31"/>
      <c r="G11" s="32">
        <v>181420</v>
      </c>
    </row>
    <row r="12" spans="1:7">
      <c r="A12" s="27" t="s">
        <v>21</v>
      </c>
      <c r="B12" s="33">
        <v>3400</v>
      </c>
      <c r="C12" s="29">
        <v>5360</v>
      </c>
      <c r="D12" s="30"/>
      <c r="E12" s="30"/>
      <c r="F12" s="34">
        <v>5660</v>
      </c>
      <c r="G12" s="32">
        <v>14420</v>
      </c>
    </row>
    <row r="13" spans="1:7">
      <c r="A13" s="27" t="s">
        <v>9</v>
      </c>
      <c r="B13" s="28"/>
      <c r="C13" s="29">
        <v>136420</v>
      </c>
      <c r="D13" s="30"/>
      <c r="E13" s="30"/>
      <c r="F13" s="31"/>
      <c r="G13" s="32">
        <v>136420</v>
      </c>
    </row>
    <row r="14" spans="1:7">
      <c r="A14" s="27" t="s">
        <v>13</v>
      </c>
      <c r="B14" s="28"/>
      <c r="C14" s="29">
        <v>18780</v>
      </c>
      <c r="D14" s="30"/>
      <c r="E14" s="30"/>
      <c r="F14" s="31"/>
      <c r="G14" s="32">
        <v>18780</v>
      </c>
    </row>
    <row r="15" spans="1:7">
      <c r="A15" s="27" t="s">
        <v>17</v>
      </c>
      <c r="B15" s="35"/>
      <c r="C15" s="36"/>
      <c r="D15" s="36"/>
      <c r="E15" s="36"/>
      <c r="F15" s="37">
        <v>15080</v>
      </c>
      <c r="G15" s="38">
        <v>15080</v>
      </c>
    </row>
    <row r="16" spans="1:7">
      <c r="A16" s="39" t="s">
        <v>28</v>
      </c>
      <c r="B16" s="40">
        <v>6940</v>
      </c>
      <c r="C16" s="41">
        <v>821140</v>
      </c>
      <c r="D16" s="41">
        <v>6500</v>
      </c>
      <c r="E16" s="41">
        <v>13300</v>
      </c>
      <c r="F16" s="42">
        <v>25600</v>
      </c>
      <c r="G16" s="43">
        <v>873480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N80"/>
  <sheetViews>
    <sheetView workbookViewId="0"/>
  </sheetViews>
  <sheetFormatPr baseColWidth="10" defaultRowHeight="14.4"/>
  <sheetData>
    <row r="1" spans="1:8">
      <c r="A1" s="44">
        <v>1</v>
      </c>
      <c r="B1" s="44">
        <v>2</v>
      </c>
      <c r="C1" s="44">
        <v>3</v>
      </c>
      <c r="D1" s="44">
        <v>4</v>
      </c>
      <c r="E1" s="44">
        <v>5</v>
      </c>
      <c r="F1" s="44">
        <v>6</v>
      </c>
      <c r="G1" s="44">
        <v>7</v>
      </c>
    </row>
    <row r="2" spans="1:8">
      <c r="A2" s="46" t="s">
        <v>3</v>
      </c>
      <c r="B2" s="47" t="s">
        <v>29</v>
      </c>
      <c r="C2" s="48" t="s">
        <v>16</v>
      </c>
      <c r="D2" s="48" t="s">
        <v>11</v>
      </c>
      <c r="E2" s="48" t="s">
        <v>19</v>
      </c>
      <c r="F2" s="48" t="s">
        <v>20</v>
      </c>
      <c r="G2" s="48" t="s">
        <v>30</v>
      </c>
      <c r="H2" s="49" t="s">
        <v>28</v>
      </c>
    </row>
    <row r="3" spans="1:8">
      <c r="A3" s="21" t="s">
        <v>24</v>
      </c>
      <c r="B3" s="50"/>
      <c r="C3" s="51"/>
      <c r="D3" s="51"/>
      <c r="E3" s="51"/>
      <c r="F3" s="51">
        <v>2260</v>
      </c>
      <c r="G3" s="52">
        <v>4440</v>
      </c>
      <c r="H3" s="53">
        <f t="shared" ref="H3:H16" si="0">SUM(B3:G3)</f>
        <v>6700</v>
      </c>
    </row>
    <row r="4" spans="1:8">
      <c r="A4" s="27" t="s">
        <v>25</v>
      </c>
      <c r="B4" s="54"/>
      <c r="C4" s="55"/>
      <c r="D4" s="55">
        <v>34060</v>
      </c>
      <c r="E4" s="55"/>
      <c r="F4" s="55"/>
      <c r="G4" s="56"/>
      <c r="H4" s="53">
        <f t="shared" si="0"/>
        <v>34060</v>
      </c>
    </row>
    <row r="5" spans="1:8">
      <c r="A5" s="27" t="s">
        <v>15</v>
      </c>
      <c r="B5" s="54"/>
      <c r="C5" s="55">
        <v>3540</v>
      </c>
      <c r="D5" s="55">
        <v>15040</v>
      </c>
      <c r="E5" s="55"/>
      <c r="F5" s="55"/>
      <c r="G5" s="56">
        <v>420</v>
      </c>
      <c r="H5" s="53">
        <f t="shared" si="0"/>
        <v>19000</v>
      </c>
    </row>
    <row r="6" spans="1:8">
      <c r="A6" s="27" t="s">
        <v>12</v>
      </c>
      <c r="B6" s="54"/>
      <c r="C6" s="55"/>
      <c r="D6" s="55">
        <v>231960</v>
      </c>
      <c r="E6" s="55">
        <v>1460</v>
      </c>
      <c r="F6" s="55">
        <v>5680</v>
      </c>
      <c r="G6" s="56"/>
      <c r="H6" s="53">
        <f t="shared" si="0"/>
        <v>239100</v>
      </c>
    </row>
    <row r="7" spans="1:8">
      <c r="A7" s="27" t="s">
        <v>22</v>
      </c>
      <c r="B7" s="54"/>
      <c r="C7" s="55"/>
      <c r="D7" s="55">
        <v>186740</v>
      </c>
      <c r="E7" s="55">
        <v>5040</v>
      </c>
      <c r="F7" s="55">
        <v>5360</v>
      </c>
      <c r="G7" s="56"/>
      <c r="H7" s="53">
        <f t="shared" si="0"/>
        <v>197140</v>
      </c>
    </row>
    <row r="8" spans="1:8">
      <c r="A8" s="27" t="s">
        <v>14</v>
      </c>
      <c r="B8" s="54"/>
      <c r="C8" s="55"/>
      <c r="D8" s="55">
        <v>11360</v>
      </c>
      <c r="E8" s="55"/>
      <c r="F8" s="55"/>
      <c r="G8" s="56"/>
      <c r="H8" s="53">
        <f t="shared" si="0"/>
        <v>11360</v>
      </c>
    </row>
    <row r="9" spans="1:8">
      <c r="A9" s="27" t="s">
        <v>23</v>
      </c>
      <c r="B9" s="54"/>
      <c r="C9" s="55"/>
      <c r="D9" s="55">
        <v>181420</v>
      </c>
      <c r="E9" s="55"/>
      <c r="F9" s="55"/>
      <c r="G9" s="56"/>
      <c r="H9" s="53">
        <f t="shared" si="0"/>
        <v>181420</v>
      </c>
    </row>
    <row r="10" spans="1:8">
      <c r="A10" s="27" t="s">
        <v>21</v>
      </c>
      <c r="B10" s="54"/>
      <c r="C10" s="55">
        <v>3400</v>
      </c>
      <c r="D10" s="55">
        <v>5360</v>
      </c>
      <c r="E10" s="55"/>
      <c r="F10" s="55"/>
      <c r="G10" s="56">
        <v>5660</v>
      </c>
      <c r="H10" s="53">
        <f t="shared" si="0"/>
        <v>14420</v>
      </c>
    </row>
    <row r="11" spans="1:8">
      <c r="A11" s="27" t="s">
        <v>9</v>
      </c>
      <c r="B11" s="54"/>
      <c r="C11" s="55"/>
      <c r="D11" s="55">
        <v>136420</v>
      </c>
      <c r="E11" s="55"/>
      <c r="F11" s="55"/>
      <c r="G11" s="56"/>
      <c r="H11" s="53">
        <f t="shared" si="0"/>
        <v>136420</v>
      </c>
    </row>
    <row r="12" spans="1:8">
      <c r="A12" s="27" t="s">
        <v>13</v>
      </c>
      <c r="B12" s="54"/>
      <c r="C12" s="55"/>
      <c r="D12" s="55">
        <v>18780</v>
      </c>
      <c r="E12" s="55"/>
      <c r="F12" s="55"/>
      <c r="G12" s="56"/>
      <c r="H12" s="53">
        <f t="shared" si="0"/>
        <v>18780</v>
      </c>
    </row>
    <row r="13" spans="1:8">
      <c r="A13" s="27" t="s">
        <v>17</v>
      </c>
      <c r="B13" s="57"/>
      <c r="C13" s="58"/>
      <c r="D13" s="58"/>
      <c r="E13" s="58"/>
      <c r="F13" s="58"/>
      <c r="G13" s="59">
        <v>15080</v>
      </c>
      <c r="H13" s="53">
        <f t="shared" si="0"/>
        <v>15080</v>
      </c>
    </row>
    <row r="14" spans="1:8">
      <c r="B14" s="46"/>
      <c r="C14" s="46"/>
      <c r="D14" s="46"/>
      <c r="E14" s="46"/>
      <c r="F14" s="46"/>
      <c r="G14" s="46"/>
      <c r="H14" s="53">
        <f t="shared" si="0"/>
        <v>0</v>
      </c>
    </row>
    <row r="15" spans="1:8">
      <c r="A15" s="49" t="s">
        <v>28</v>
      </c>
      <c r="B15" s="60">
        <f t="shared" ref="B15:G15" si="1">SUM(B3:B14)</f>
        <v>0</v>
      </c>
      <c r="C15" s="60">
        <f t="shared" si="1"/>
        <v>6940</v>
      </c>
      <c r="D15" s="60">
        <f t="shared" si="1"/>
        <v>821140</v>
      </c>
      <c r="E15" s="60">
        <f t="shared" si="1"/>
        <v>6500</v>
      </c>
      <c r="F15" s="60">
        <f t="shared" si="1"/>
        <v>13300</v>
      </c>
      <c r="G15" s="60">
        <f t="shared" si="1"/>
        <v>25600</v>
      </c>
      <c r="H15" s="61">
        <f t="shared" si="0"/>
        <v>873480</v>
      </c>
    </row>
    <row r="16" spans="1:8">
      <c r="A16" s="62" t="s">
        <v>31</v>
      </c>
      <c r="B16" s="63">
        <f>+E80</f>
        <v>0</v>
      </c>
      <c r="C16" s="63">
        <f>+E74</f>
        <v>6940</v>
      </c>
      <c r="D16" s="63">
        <f>+F36</f>
        <v>821140</v>
      </c>
      <c r="E16" s="63">
        <f>+E65</f>
        <v>6500</v>
      </c>
      <c r="F16" s="63">
        <f>+E57</f>
        <v>13300</v>
      </c>
      <c r="G16" s="63">
        <f>+F47</f>
        <v>25600</v>
      </c>
      <c r="H16" s="64">
        <f t="shared" si="0"/>
        <v>873480</v>
      </c>
    </row>
    <row r="17" spans="1:14">
      <c r="C17" s="65"/>
      <c r="D17" s="65"/>
      <c r="E17" s="65"/>
      <c r="F17" s="65"/>
      <c r="G17" s="65"/>
      <c r="H17" s="65"/>
    </row>
    <row r="18" spans="1:14">
      <c r="C18" s="65"/>
      <c r="D18" s="65" t="s">
        <v>32</v>
      </c>
      <c r="E18" s="65" t="s">
        <v>33</v>
      </c>
      <c r="F18" s="65" t="s">
        <v>34</v>
      </c>
      <c r="G18" s="65"/>
      <c r="H18" s="65"/>
    </row>
    <row r="19" spans="1:14">
      <c r="A19" s="66" t="s">
        <v>35</v>
      </c>
      <c r="B19" s="66"/>
      <c r="C19" s="66"/>
      <c r="D19" s="67">
        <f>+F36+F47+E57+E65+E74+E80</f>
        <v>873480</v>
      </c>
      <c r="E19" s="68">
        <f>+G36+G47+F57+F65+F74+F80</f>
        <v>873480</v>
      </c>
      <c r="F19" s="67">
        <f>+E19-D19</f>
        <v>0</v>
      </c>
      <c r="G19" s="65"/>
      <c r="H19" s="65"/>
    </row>
    <row r="20" spans="1:14">
      <c r="C20" s="65"/>
      <c r="D20" s="65"/>
      <c r="E20" s="65"/>
      <c r="F20" s="65"/>
      <c r="G20" s="65"/>
      <c r="H20" s="65"/>
    </row>
    <row r="22" spans="1:14">
      <c r="A22" s="65" t="s">
        <v>11</v>
      </c>
      <c r="B22" s="65"/>
      <c r="C22" s="65"/>
      <c r="D22" s="65"/>
      <c r="E22" s="65"/>
      <c r="F22" s="65"/>
      <c r="G22" s="65"/>
      <c r="H22" s="65"/>
    </row>
    <row r="23" spans="1:14">
      <c r="A23" s="44" t="s">
        <v>36</v>
      </c>
      <c r="B23" s="45" t="s">
        <v>37</v>
      </c>
      <c r="C23" s="69" t="s">
        <v>38</v>
      </c>
      <c r="D23" s="70" t="s">
        <v>39</v>
      </c>
      <c r="E23" s="69" t="s">
        <v>40</v>
      </c>
      <c r="F23" s="71" t="s">
        <v>41</v>
      </c>
      <c r="G23" s="69" t="s">
        <v>33</v>
      </c>
      <c r="H23" s="69"/>
    </row>
    <row r="24" spans="1:14">
      <c r="A24" s="72">
        <v>109</v>
      </c>
      <c r="B24" s="73" t="s">
        <v>42</v>
      </c>
      <c r="C24" s="74" t="s">
        <v>24</v>
      </c>
      <c r="D24" s="75"/>
      <c r="E24" s="74"/>
      <c r="F24" s="76"/>
      <c r="G24" s="77">
        <f t="shared" ref="G24:G35" si="2">IFERROR(INDEX($B$3:$G$14,MATCH(C24,$A$3:$A$14,0),MATCH($A$22,$B$2:$G$2,0)),0)</f>
        <v>0</v>
      </c>
      <c r="H24" s="78" t="str">
        <f t="shared" ref="H24:H35" si="3">IF(G24=F24,"Bien",G24-F24)</f>
        <v>Bien</v>
      </c>
    </row>
    <row r="25" spans="1:14">
      <c r="A25" s="44">
        <v>333</v>
      </c>
      <c r="B25" s="69" t="s">
        <v>43</v>
      </c>
      <c r="C25" s="69" t="s">
        <v>15</v>
      </c>
      <c r="D25" s="70">
        <v>1</v>
      </c>
      <c r="E25" s="69" t="s">
        <v>44</v>
      </c>
      <c r="F25" s="71">
        <v>15040</v>
      </c>
      <c r="G25" s="79">
        <f t="shared" si="2"/>
        <v>15040</v>
      </c>
      <c r="H25" s="80" t="str">
        <f t="shared" si="3"/>
        <v>Bien</v>
      </c>
    </row>
    <row r="26" spans="1:14" ht="28.2">
      <c r="A26" s="81">
        <v>320</v>
      </c>
      <c r="B26" s="82" t="s">
        <v>45</v>
      </c>
      <c r="C26" s="69" t="s">
        <v>12</v>
      </c>
      <c r="D26" s="70" t="s">
        <v>46</v>
      </c>
      <c r="E26" s="69" t="s">
        <v>44</v>
      </c>
      <c r="F26" s="71">
        <v>231960</v>
      </c>
      <c r="G26" s="79">
        <f t="shared" si="2"/>
        <v>231960</v>
      </c>
      <c r="H26" s="80" t="str">
        <f t="shared" si="3"/>
        <v>Bien</v>
      </c>
    </row>
    <row r="27" spans="1:14" ht="28.2">
      <c r="A27" s="81">
        <v>321</v>
      </c>
      <c r="B27" s="82" t="s">
        <v>47</v>
      </c>
      <c r="C27" s="69" t="s">
        <v>22</v>
      </c>
      <c r="D27" s="70" t="s">
        <v>46</v>
      </c>
      <c r="E27" s="69" t="s">
        <v>44</v>
      </c>
      <c r="F27" s="71">
        <v>186740</v>
      </c>
      <c r="G27" s="79">
        <f t="shared" si="2"/>
        <v>186740</v>
      </c>
      <c r="H27" s="80" t="str">
        <f t="shared" si="3"/>
        <v>Bien</v>
      </c>
    </row>
    <row r="28" spans="1:14">
      <c r="A28" s="44">
        <v>316</v>
      </c>
      <c r="B28" s="45" t="s">
        <v>48</v>
      </c>
      <c r="C28" s="69" t="s">
        <v>14</v>
      </c>
      <c r="D28" s="70" t="s">
        <v>46</v>
      </c>
      <c r="E28" s="69" t="s">
        <v>44</v>
      </c>
      <c r="F28">
        <v>11360</v>
      </c>
      <c r="G28" s="79">
        <f t="shared" si="2"/>
        <v>11360</v>
      </c>
      <c r="H28" s="80" t="str">
        <f t="shared" si="3"/>
        <v>Bien</v>
      </c>
    </row>
    <row r="29" spans="1:14" ht="28.2">
      <c r="A29" s="81">
        <v>196</v>
      </c>
      <c r="B29" s="82" t="s">
        <v>49</v>
      </c>
      <c r="C29" s="69" t="s">
        <v>23</v>
      </c>
      <c r="D29" s="70" t="s">
        <v>46</v>
      </c>
      <c r="E29" s="69" t="s">
        <v>44</v>
      </c>
      <c r="F29">
        <v>181420</v>
      </c>
      <c r="G29" s="79">
        <f t="shared" si="2"/>
        <v>181420</v>
      </c>
      <c r="H29" s="80" t="str">
        <f t="shared" si="3"/>
        <v>Bien</v>
      </c>
      <c r="I29" s="45" t="s">
        <v>50</v>
      </c>
    </row>
    <row r="30" spans="1:14">
      <c r="A30" s="44">
        <v>309</v>
      </c>
      <c r="B30" s="45" t="s">
        <v>51</v>
      </c>
      <c r="C30" s="69" t="s">
        <v>21</v>
      </c>
      <c r="D30" s="70" t="s">
        <v>46</v>
      </c>
      <c r="E30" s="69" t="s">
        <v>44</v>
      </c>
      <c r="F30">
        <v>5360</v>
      </c>
      <c r="G30" s="79">
        <f t="shared" si="2"/>
        <v>5360</v>
      </c>
      <c r="H30" s="80" t="str">
        <f t="shared" si="3"/>
        <v>Bien</v>
      </c>
      <c r="L30" s="44"/>
      <c r="M30" s="83"/>
      <c r="N30" s="69"/>
    </row>
    <row r="31" spans="1:14" ht="28.2">
      <c r="A31" s="44">
        <v>318</v>
      </c>
      <c r="B31" s="82" t="s">
        <v>49</v>
      </c>
      <c r="C31" s="69" t="s">
        <v>9</v>
      </c>
      <c r="D31" s="70" t="s">
        <v>46</v>
      </c>
      <c r="E31" s="69" t="s">
        <v>44</v>
      </c>
      <c r="F31">
        <v>136420</v>
      </c>
      <c r="G31" s="79">
        <f t="shared" si="2"/>
        <v>136420</v>
      </c>
      <c r="H31" s="80" t="str">
        <f t="shared" si="3"/>
        <v>Bien</v>
      </c>
      <c r="L31" s="44"/>
      <c r="M31" s="69"/>
      <c r="N31" s="69"/>
    </row>
    <row r="32" spans="1:14" ht="28.2">
      <c r="A32" s="44">
        <v>310</v>
      </c>
      <c r="B32" s="82" t="s">
        <v>52</v>
      </c>
      <c r="C32" s="69" t="s">
        <v>13</v>
      </c>
      <c r="D32" s="70">
        <v>1</v>
      </c>
      <c r="E32" s="69" t="s">
        <v>53</v>
      </c>
      <c r="F32">
        <v>18780</v>
      </c>
      <c r="G32" s="79">
        <f t="shared" si="2"/>
        <v>18780</v>
      </c>
      <c r="H32" s="80" t="str">
        <f t="shared" si="3"/>
        <v>Bien</v>
      </c>
      <c r="N32" s="82"/>
    </row>
    <row r="33" spans="1:14">
      <c r="A33" s="44">
        <v>296</v>
      </c>
      <c r="B33" s="69" t="s">
        <v>54</v>
      </c>
      <c r="C33" s="69" t="s">
        <v>17</v>
      </c>
      <c r="D33" s="70"/>
      <c r="E33" s="69"/>
      <c r="F33" s="84"/>
      <c r="G33" s="79">
        <f t="shared" si="2"/>
        <v>0</v>
      </c>
      <c r="H33" s="80" t="str">
        <f t="shared" si="3"/>
        <v>Bien</v>
      </c>
      <c r="N33" s="82"/>
    </row>
    <row r="34" spans="1:14">
      <c r="B34" s="69" t="s">
        <v>55</v>
      </c>
      <c r="C34" s="69" t="s">
        <v>25</v>
      </c>
      <c r="D34" s="70" t="s">
        <v>46</v>
      </c>
      <c r="E34" s="69" t="s">
        <v>44</v>
      </c>
      <c r="F34" s="84">
        <v>34060</v>
      </c>
      <c r="G34" s="79">
        <f t="shared" si="2"/>
        <v>34060</v>
      </c>
      <c r="H34" s="80" t="str">
        <f t="shared" si="3"/>
        <v>Bien</v>
      </c>
      <c r="I34" s="45" t="s">
        <v>50</v>
      </c>
      <c r="N34" s="82"/>
    </row>
    <row r="35" spans="1:14">
      <c r="A35" s="85"/>
      <c r="B35" s="86" t="s">
        <v>42</v>
      </c>
      <c r="C35" s="86" t="s">
        <v>56</v>
      </c>
      <c r="D35" s="87"/>
      <c r="E35" s="88"/>
      <c r="F35" s="89"/>
      <c r="G35" s="90">
        <f t="shared" si="2"/>
        <v>0</v>
      </c>
      <c r="H35" s="91" t="str">
        <f t="shared" si="3"/>
        <v>Bien</v>
      </c>
      <c r="I35" s="45" t="s">
        <v>57</v>
      </c>
      <c r="N35" s="82"/>
    </row>
    <row r="36" spans="1:14">
      <c r="C36" s="69"/>
      <c r="D36" s="70"/>
      <c r="E36" s="69"/>
      <c r="F36" s="92">
        <f>SUM(F24:F35)</f>
        <v>821140</v>
      </c>
      <c r="G36" s="93">
        <f>SUM(G24:G35)</f>
        <v>821140</v>
      </c>
      <c r="H36" s="69"/>
      <c r="I36" s="94" t="str">
        <f>IF(G36=D15,"OK","Revisar")</f>
        <v>OK</v>
      </c>
      <c r="L36" s="44"/>
      <c r="N36" s="69"/>
    </row>
    <row r="37" spans="1:14">
      <c r="A37" s="65" t="str">
        <f>+G2</f>
        <v>VOLUMINOSOS</v>
      </c>
      <c r="B37" s="65"/>
      <c r="C37" s="65"/>
      <c r="D37" s="65"/>
      <c r="E37" s="65"/>
      <c r="F37" s="65"/>
      <c r="G37" s="65"/>
      <c r="H37" s="65"/>
      <c r="L37" s="44"/>
      <c r="N37" s="69"/>
    </row>
    <row r="38" spans="1:14">
      <c r="C38" s="69" t="s">
        <v>38</v>
      </c>
      <c r="D38" s="70" t="s">
        <v>58</v>
      </c>
      <c r="E38" s="69" t="s">
        <v>59</v>
      </c>
      <c r="F38" s="92" t="s">
        <v>41</v>
      </c>
      <c r="G38" s="69" t="s">
        <v>33</v>
      </c>
      <c r="H38" s="69"/>
    </row>
    <row r="39" spans="1:14">
      <c r="A39" s="72">
        <v>109</v>
      </c>
      <c r="B39" s="73" t="s">
        <v>42</v>
      </c>
      <c r="C39" s="74" t="s">
        <v>24</v>
      </c>
      <c r="D39" s="95">
        <v>2</v>
      </c>
      <c r="E39" s="76">
        <v>2</v>
      </c>
      <c r="F39" s="76">
        <v>4440</v>
      </c>
      <c r="G39" s="96">
        <f t="shared" ref="G39:G46" si="4">IFERROR(INDEX($B$3:$G$14,MATCH(C39,$A$3:$A$14,0),MATCH($A$37,$B$2:$G$2,0)),0)</f>
        <v>4440</v>
      </c>
      <c r="H39" s="97" t="str">
        <f t="shared" ref="H39:H46" si="5">IF(G39=F39,"Bien",G39-F39)</f>
        <v>Bien</v>
      </c>
    </row>
    <row r="40" spans="1:14">
      <c r="A40" s="44">
        <v>333</v>
      </c>
      <c r="B40" s="45" t="s">
        <v>43</v>
      </c>
      <c r="C40" s="69" t="s">
        <v>15</v>
      </c>
      <c r="D40" s="98">
        <v>2</v>
      </c>
      <c r="E40" s="71">
        <v>1</v>
      </c>
      <c r="F40" s="71">
        <v>420</v>
      </c>
      <c r="G40" s="99">
        <f t="shared" si="4"/>
        <v>420</v>
      </c>
      <c r="H40" s="100" t="str">
        <f t="shared" si="5"/>
        <v>Bien</v>
      </c>
    </row>
    <row r="41" spans="1:14">
      <c r="A41" s="44">
        <v>316</v>
      </c>
      <c r="B41" s="69" t="s">
        <v>48</v>
      </c>
      <c r="C41" s="69" t="s">
        <v>14</v>
      </c>
      <c r="D41" s="98"/>
      <c r="E41" s="71"/>
      <c r="F41" s="71"/>
      <c r="G41" s="99">
        <f t="shared" si="4"/>
        <v>0</v>
      </c>
      <c r="H41" s="100" t="str">
        <f t="shared" si="5"/>
        <v>Bien</v>
      </c>
    </row>
    <row r="42" spans="1:14">
      <c r="A42" s="44">
        <v>309</v>
      </c>
      <c r="B42" s="45" t="s">
        <v>51</v>
      </c>
      <c r="C42" s="69" t="s">
        <v>21</v>
      </c>
      <c r="D42" s="98">
        <v>2</v>
      </c>
      <c r="E42" s="71">
        <v>11</v>
      </c>
      <c r="F42" s="71">
        <v>5660</v>
      </c>
      <c r="G42" s="99">
        <f t="shared" si="4"/>
        <v>5660</v>
      </c>
      <c r="H42" s="100" t="str">
        <f t="shared" si="5"/>
        <v>Bien</v>
      </c>
    </row>
    <row r="43" spans="1:14">
      <c r="A43" s="44">
        <v>296</v>
      </c>
      <c r="B43" s="69" t="s">
        <v>54</v>
      </c>
      <c r="C43" s="69" t="s">
        <v>17</v>
      </c>
      <c r="D43" s="98">
        <v>2</v>
      </c>
      <c r="E43" s="71">
        <v>17</v>
      </c>
      <c r="F43" s="71">
        <v>15080</v>
      </c>
      <c r="G43" s="99">
        <f t="shared" si="4"/>
        <v>15080</v>
      </c>
      <c r="H43" s="100" t="str">
        <f t="shared" si="5"/>
        <v>Bien</v>
      </c>
    </row>
    <row r="44" spans="1:14">
      <c r="B44" s="101" t="s">
        <v>42</v>
      </c>
      <c r="C44" s="101" t="s">
        <v>56</v>
      </c>
      <c r="D44" s="98"/>
      <c r="E44" s="71"/>
      <c r="F44" s="71"/>
      <c r="G44" s="99">
        <f t="shared" si="4"/>
        <v>0</v>
      </c>
      <c r="H44" s="100" t="str">
        <f t="shared" si="5"/>
        <v>Bien</v>
      </c>
    </row>
    <row r="45" spans="1:14">
      <c r="B45" s="69"/>
      <c r="C45" s="101" t="s">
        <v>60</v>
      </c>
      <c r="D45" s="98"/>
      <c r="E45" s="71"/>
      <c r="F45" s="71"/>
      <c r="G45" s="99">
        <f t="shared" si="4"/>
        <v>0</v>
      </c>
      <c r="H45" s="100" t="str">
        <f t="shared" si="5"/>
        <v>Bien</v>
      </c>
    </row>
    <row r="46" spans="1:14">
      <c r="A46" s="85"/>
      <c r="B46" s="102" t="s">
        <v>61</v>
      </c>
      <c r="C46" s="103" t="s">
        <v>62</v>
      </c>
      <c r="D46" s="104"/>
      <c r="E46" s="105"/>
      <c r="F46" s="105"/>
      <c r="G46" s="106">
        <f t="shared" si="4"/>
        <v>0</v>
      </c>
      <c r="H46" s="107" t="str">
        <f t="shared" si="5"/>
        <v>Bien</v>
      </c>
    </row>
    <row r="47" spans="1:14">
      <c r="D47" s="70"/>
      <c r="E47" s="69"/>
      <c r="F47" s="92">
        <f>SUM(F39:F46)</f>
        <v>25600</v>
      </c>
      <c r="G47" s="93">
        <f>SUM(G39:G46)</f>
        <v>25600</v>
      </c>
      <c r="H47" s="69"/>
      <c r="I47" s="94" t="str">
        <f>+IF(G47=G15,"OK","Revisar")</f>
        <v>OK</v>
      </c>
    </row>
    <row r="48" spans="1:14">
      <c r="C48" s="69"/>
      <c r="D48" s="70"/>
      <c r="E48" s="69"/>
      <c r="F48" s="92"/>
      <c r="G48" s="93"/>
      <c r="H48" s="69"/>
    </row>
    <row r="49" spans="1:9">
      <c r="A49" s="65" t="s">
        <v>20</v>
      </c>
      <c r="B49" s="65"/>
      <c r="C49" s="65"/>
      <c r="D49" s="65"/>
      <c r="E49" s="65"/>
      <c r="F49" s="65"/>
      <c r="G49" s="65"/>
      <c r="H49" s="65"/>
    </row>
    <row r="50" spans="1:9">
      <c r="C50" s="108" t="s">
        <v>38</v>
      </c>
      <c r="D50" s="109" t="s">
        <v>59</v>
      </c>
      <c r="E50" s="110" t="s">
        <v>41</v>
      </c>
      <c r="F50" s="111" t="s">
        <v>33</v>
      </c>
      <c r="G50" s="69"/>
      <c r="H50" s="69"/>
    </row>
    <row r="51" spans="1:9">
      <c r="A51" s="112">
        <v>109</v>
      </c>
      <c r="B51" s="113" t="s">
        <v>42</v>
      </c>
      <c r="C51" s="74" t="s">
        <v>24</v>
      </c>
      <c r="D51" s="114">
        <v>1</v>
      </c>
      <c r="E51" s="115">
        <v>2260</v>
      </c>
      <c r="F51" s="116">
        <f t="shared" ref="F51:F56" si="6">IFERROR(INDEX($B$3:$G$14,MATCH(C51,$A$3:$A$14,0),MATCH($A$49,$B$2:$G$2,0)),0)</f>
        <v>2260</v>
      </c>
      <c r="G51" s="97" t="str">
        <f t="shared" ref="G51:G56" si="7">IF(F51=E51,"Bien",F51-E51)</f>
        <v>Bien</v>
      </c>
      <c r="H51" s="69"/>
    </row>
    <row r="52" spans="1:9" ht="28.2">
      <c r="A52" s="117">
        <v>320</v>
      </c>
      <c r="B52" s="118" t="s">
        <v>45</v>
      </c>
      <c r="C52" s="69" t="s">
        <v>12</v>
      </c>
      <c r="D52" s="119">
        <v>3</v>
      </c>
      <c r="E52" s="120">
        <v>5680</v>
      </c>
      <c r="F52" s="121">
        <f t="shared" si="6"/>
        <v>5680</v>
      </c>
      <c r="G52" s="100" t="str">
        <f t="shared" si="7"/>
        <v>Bien</v>
      </c>
      <c r="H52" s="69"/>
    </row>
    <row r="53" spans="1:9" ht="28.2">
      <c r="A53" s="117">
        <v>321</v>
      </c>
      <c r="B53" s="118" t="s">
        <v>47</v>
      </c>
      <c r="C53" s="69" t="s">
        <v>22</v>
      </c>
      <c r="D53" s="119">
        <v>2</v>
      </c>
      <c r="E53" s="120">
        <v>5360</v>
      </c>
      <c r="F53" s="121">
        <f t="shared" si="6"/>
        <v>5360</v>
      </c>
      <c r="G53" s="100" t="str">
        <f t="shared" si="7"/>
        <v>Bien</v>
      </c>
      <c r="H53" s="69"/>
    </row>
    <row r="54" spans="1:9">
      <c r="A54" s="122">
        <v>296</v>
      </c>
      <c r="B54" s="123" t="s">
        <v>54</v>
      </c>
      <c r="C54" s="69" t="s">
        <v>17</v>
      </c>
      <c r="D54" s="119"/>
      <c r="E54" s="124"/>
      <c r="F54" s="121">
        <f t="shared" si="6"/>
        <v>0</v>
      </c>
      <c r="G54" s="100" t="str">
        <f t="shared" si="7"/>
        <v>Bien</v>
      </c>
      <c r="H54" s="69"/>
    </row>
    <row r="55" spans="1:9">
      <c r="A55" s="117"/>
      <c r="B55" s="125"/>
      <c r="C55" s="126" t="s">
        <v>60</v>
      </c>
      <c r="D55" s="119"/>
      <c r="E55" s="124"/>
      <c r="F55" s="121">
        <f t="shared" si="6"/>
        <v>0</v>
      </c>
      <c r="G55" s="100" t="str">
        <f t="shared" si="7"/>
        <v>Bien</v>
      </c>
      <c r="H55" s="69"/>
    </row>
    <row r="56" spans="1:9">
      <c r="A56" s="127"/>
      <c r="B56" s="128" t="s">
        <v>42</v>
      </c>
      <c r="C56" s="86" t="s">
        <v>56</v>
      </c>
      <c r="D56" s="129"/>
      <c r="E56" s="130"/>
      <c r="F56" s="131">
        <f t="shared" si="6"/>
        <v>0</v>
      </c>
      <c r="G56" s="107" t="str">
        <f t="shared" si="7"/>
        <v>Bien</v>
      </c>
      <c r="H56" s="69"/>
    </row>
    <row r="57" spans="1:9">
      <c r="C57" s="69"/>
      <c r="D57" s="119"/>
      <c r="E57" s="93">
        <f>SUM(E51:E56)</f>
        <v>13300</v>
      </c>
      <c r="F57" s="93">
        <f>SUM(F51:F56)</f>
        <v>13300</v>
      </c>
      <c r="G57" s="69"/>
      <c r="H57" s="69"/>
      <c r="I57" s="94" t="str">
        <f>+IF(F57=F15,"OK","Revisar")</f>
        <v>OK</v>
      </c>
    </row>
    <row r="58" spans="1:9">
      <c r="A58" s="65" t="s">
        <v>19</v>
      </c>
      <c r="B58" s="65"/>
      <c r="C58" s="65"/>
      <c r="D58" s="65"/>
      <c r="E58" s="65"/>
      <c r="F58" s="65"/>
      <c r="G58" s="65"/>
      <c r="H58" s="69"/>
    </row>
    <row r="59" spans="1:9">
      <c r="C59" s="69" t="s">
        <v>38</v>
      </c>
      <c r="D59" s="70" t="s">
        <v>59</v>
      </c>
      <c r="E59" s="69" t="s">
        <v>41</v>
      </c>
      <c r="F59" s="92" t="s">
        <v>33</v>
      </c>
      <c r="G59" s="69"/>
      <c r="H59" s="69"/>
    </row>
    <row r="60" spans="1:9">
      <c r="A60" s="132">
        <v>109</v>
      </c>
      <c r="B60" s="133" t="s">
        <v>42</v>
      </c>
      <c r="C60" s="134" t="s">
        <v>24</v>
      </c>
      <c r="D60" s="135"/>
      <c r="E60" s="136"/>
      <c r="F60" s="137">
        <f>IFERROR(INDEX($B$3:$G$14,MATCH(C60,$A$3:$A$14,0),MATCH($A$58,$B$2:$G$2,0)),0)</f>
        <v>0</v>
      </c>
      <c r="G60" s="78" t="str">
        <f>IF(F60=E60,"Bien",F60-E60)</f>
        <v>Bien</v>
      </c>
      <c r="H60" s="69"/>
    </row>
    <row r="61" spans="1:9" ht="28.2">
      <c r="A61" s="138">
        <v>320</v>
      </c>
      <c r="B61" s="82" t="s">
        <v>45</v>
      </c>
      <c r="C61" s="69" t="s">
        <v>12</v>
      </c>
      <c r="D61" s="119">
        <v>1</v>
      </c>
      <c r="E61" s="124">
        <v>1460</v>
      </c>
      <c r="F61" s="79">
        <f>IFERROR(INDEX($B$3:$G$14,MATCH(C61,$A$3:$A$14,0),MATCH($A$58,$B$2:$G$2,0)),0)</f>
        <v>1460</v>
      </c>
      <c r="G61" s="80" t="str">
        <f>IF(F61=E61,"Bien",F61-E61)</f>
        <v>Bien</v>
      </c>
      <c r="H61" s="69"/>
    </row>
    <row r="62" spans="1:9" ht="28.2">
      <c r="A62" s="138">
        <v>321</v>
      </c>
      <c r="B62" s="82" t="s">
        <v>47</v>
      </c>
      <c r="C62" s="69" t="s">
        <v>22</v>
      </c>
      <c r="D62" s="119">
        <v>2</v>
      </c>
      <c r="E62" s="124">
        <v>5040</v>
      </c>
      <c r="F62" s="79">
        <f>IFERROR(INDEX($B$3:$G$14,MATCH(C62,$A$3:$A$14,0),MATCH($A$58,$B$2:$G$2,0)),0)</f>
        <v>5040</v>
      </c>
      <c r="G62" s="80" t="str">
        <f>IF(F62=E62,"Bien",F62-E62)</f>
        <v>Bien</v>
      </c>
      <c r="H62" s="69"/>
    </row>
    <row r="63" spans="1:9">
      <c r="A63" s="139">
        <v>296</v>
      </c>
      <c r="B63" s="45" t="s">
        <v>54</v>
      </c>
      <c r="C63" s="69" t="s">
        <v>17</v>
      </c>
      <c r="D63" s="119"/>
      <c r="E63" s="124"/>
      <c r="F63" s="79">
        <f>IFERROR(INDEX($B$3:$G$14,MATCH(C63,$A$3:$A$14,0),MATCH($A$58,$B$2:$G$2,0)),0)</f>
        <v>0</v>
      </c>
      <c r="G63" s="80" t="str">
        <f>IF(F63=E63,"Bien",F63-E63)</f>
        <v>Bien</v>
      </c>
      <c r="H63" s="69"/>
    </row>
    <row r="64" spans="1:9">
      <c r="A64" s="140"/>
      <c r="B64" s="141"/>
      <c r="C64" s="142" t="s">
        <v>60</v>
      </c>
      <c r="D64" s="143"/>
      <c r="E64" s="144"/>
      <c r="F64" s="145">
        <f>IFERROR(INDEX($B$3:$G$14,MATCH(C64,$A$3:$A$14,0),MATCH($A$58,$B$2:$G$2,0)),0)</f>
        <v>0</v>
      </c>
      <c r="G64" s="91" t="str">
        <f>IF(F64=E64,"Bien",F64-E64)</f>
        <v>Bien</v>
      </c>
      <c r="H64" s="69"/>
    </row>
    <row r="65" spans="1:9">
      <c r="C65" s="69"/>
      <c r="D65" s="119"/>
      <c r="E65" s="93">
        <f>SUM(E60:E64)</f>
        <v>6500</v>
      </c>
      <c r="F65" s="93">
        <f>SUM(F60:F64)</f>
        <v>6500</v>
      </c>
      <c r="G65" s="69"/>
      <c r="H65" s="69"/>
      <c r="I65" s="94" t="str">
        <f>+IF(F65=E15,"OK","Revisar")</f>
        <v>OK</v>
      </c>
    </row>
    <row r="66" spans="1:9">
      <c r="A66" s="65" t="s">
        <v>16</v>
      </c>
      <c r="B66" s="65"/>
      <c r="C66" s="65"/>
      <c r="D66" s="65"/>
      <c r="E66" s="65"/>
      <c r="F66" s="65"/>
      <c r="G66" s="65"/>
      <c r="H66" s="69"/>
    </row>
    <row r="67" spans="1:9">
      <c r="C67" s="69" t="s">
        <v>38</v>
      </c>
      <c r="D67" s="70" t="s">
        <v>59</v>
      </c>
      <c r="E67" s="69" t="s">
        <v>41</v>
      </c>
      <c r="F67" s="92" t="s">
        <v>33</v>
      </c>
      <c r="G67" s="69"/>
      <c r="H67" s="69"/>
    </row>
    <row r="68" spans="1:9">
      <c r="A68" s="132">
        <v>109</v>
      </c>
      <c r="B68" s="133" t="s">
        <v>42</v>
      </c>
      <c r="C68" s="134" t="s">
        <v>24</v>
      </c>
      <c r="D68" s="146"/>
      <c r="E68" s="136"/>
      <c r="F68" s="137">
        <f t="shared" ref="F68:F73" si="8">IFERROR(INDEX($B$3:$G$14,MATCH(C68,$A$3:$A$14,0),MATCH($A$66,$B$2:$G$2,0)),0)</f>
        <v>0</v>
      </c>
      <c r="G68" s="78" t="str">
        <f t="shared" ref="G68:G73" si="9">IF(F68=E68,"Bien",F68-E68)</f>
        <v>Bien</v>
      </c>
      <c r="H68" s="69"/>
    </row>
    <row r="69" spans="1:9">
      <c r="A69" s="139">
        <v>333</v>
      </c>
      <c r="B69" s="69" t="s">
        <v>43</v>
      </c>
      <c r="C69" s="69" t="s">
        <v>15</v>
      </c>
      <c r="D69" s="119">
        <v>8</v>
      </c>
      <c r="E69" s="120">
        <v>3540</v>
      </c>
      <c r="F69" s="79">
        <f t="shared" si="8"/>
        <v>3540</v>
      </c>
      <c r="G69" s="80" t="str">
        <f t="shared" si="9"/>
        <v>Bien</v>
      </c>
      <c r="H69" s="69"/>
    </row>
    <row r="70" spans="1:9">
      <c r="A70" s="147"/>
      <c r="B70" s="45" t="s">
        <v>61</v>
      </c>
      <c r="C70" s="82" t="s">
        <v>62</v>
      </c>
      <c r="D70" s="124"/>
      <c r="E70" s="124"/>
      <c r="F70" s="79">
        <f t="shared" si="8"/>
        <v>0</v>
      </c>
      <c r="G70" s="80" t="str">
        <f t="shared" si="9"/>
        <v>Bien</v>
      </c>
      <c r="H70" s="69"/>
    </row>
    <row r="71" spans="1:9">
      <c r="A71" s="139">
        <v>316</v>
      </c>
      <c r="B71" s="45" t="s">
        <v>48</v>
      </c>
      <c r="C71" s="69" t="s">
        <v>14</v>
      </c>
      <c r="D71" s="124"/>
      <c r="E71" s="124"/>
      <c r="F71" s="79">
        <f t="shared" si="8"/>
        <v>0</v>
      </c>
      <c r="G71" s="80" t="str">
        <f t="shared" si="9"/>
        <v>Bien</v>
      </c>
      <c r="H71" s="69"/>
    </row>
    <row r="72" spans="1:9">
      <c r="A72" s="139">
        <v>309</v>
      </c>
      <c r="B72" s="45" t="s">
        <v>51</v>
      </c>
      <c r="C72" s="69" t="s">
        <v>21</v>
      </c>
      <c r="D72" s="119">
        <v>5</v>
      </c>
      <c r="E72" s="120">
        <v>3400</v>
      </c>
      <c r="F72" s="79">
        <f t="shared" si="8"/>
        <v>3400</v>
      </c>
      <c r="G72" s="80" t="str">
        <f t="shared" si="9"/>
        <v>Bien</v>
      </c>
      <c r="H72" s="69"/>
    </row>
    <row r="73" spans="1:9">
      <c r="A73" s="148">
        <v>296</v>
      </c>
      <c r="B73" s="141" t="s">
        <v>54</v>
      </c>
      <c r="C73" s="141" t="s">
        <v>17</v>
      </c>
      <c r="D73" s="143"/>
      <c r="E73" s="149"/>
      <c r="F73" s="145">
        <f t="shared" si="8"/>
        <v>0</v>
      </c>
      <c r="G73" s="91" t="str">
        <f t="shared" si="9"/>
        <v>Bien</v>
      </c>
      <c r="H73" s="69"/>
    </row>
    <row r="74" spans="1:9">
      <c r="C74" s="69"/>
      <c r="D74" s="119"/>
      <c r="E74" s="93">
        <f>SUM(E68:E73)</f>
        <v>6940</v>
      </c>
      <c r="F74" s="93">
        <f>SUM(F68:F73)</f>
        <v>6940</v>
      </c>
      <c r="G74" s="69"/>
      <c r="H74" s="69"/>
      <c r="I74" s="94" t="str">
        <f>+IF(F74=C15,"OK","Revisar")</f>
        <v>OK</v>
      </c>
    </row>
    <row r="75" spans="1:9">
      <c r="A75" s="65" t="s">
        <v>29</v>
      </c>
      <c r="B75" s="65"/>
      <c r="C75" s="65"/>
      <c r="D75" s="65"/>
      <c r="E75" s="65"/>
      <c r="F75" s="65"/>
      <c r="G75" s="65"/>
      <c r="H75" s="69"/>
    </row>
    <row r="76" spans="1:9">
      <c r="C76" s="69" t="s">
        <v>38</v>
      </c>
      <c r="D76" s="70" t="s">
        <v>59</v>
      </c>
      <c r="E76" s="69" t="s">
        <v>41</v>
      </c>
      <c r="F76" s="92" t="s">
        <v>33</v>
      </c>
      <c r="G76" s="69"/>
      <c r="H76" s="69"/>
    </row>
    <row r="77" spans="1:9">
      <c r="A77" s="132">
        <v>109</v>
      </c>
      <c r="B77" s="133" t="s">
        <v>42</v>
      </c>
      <c r="C77" s="134" t="s">
        <v>24</v>
      </c>
      <c r="D77" s="135"/>
      <c r="E77" s="136"/>
      <c r="F77" s="137">
        <f>IFERROR(INDEX($B$3:$G$14,MATCH(C77,$A$3:$A$14,0),MATCH($A$75,$B$2:$G$2,0)),0)</f>
        <v>0</v>
      </c>
      <c r="G77" s="78" t="str">
        <f>IF(F77=E77,"Bien",F77-E77)</f>
        <v>Bien</v>
      </c>
      <c r="H77" s="69"/>
    </row>
    <row r="78" spans="1:9">
      <c r="A78" s="139">
        <v>309</v>
      </c>
      <c r="B78" s="45" t="s">
        <v>51</v>
      </c>
      <c r="C78" s="69" t="s">
        <v>21</v>
      </c>
      <c r="D78" s="119"/>
      <c r="E78" s="124"/>
      <c r="F78" s="79">
        <f>IFERROR(INDEX($B$3:$G$14,MATCH(C78,$A$3:$A$14,0),MATCH($A$75,$B$2:$G$2,0)),0)</f>
        <v>0</v>
      </c>
      <c r="G78" s="80" t="str">
        <f>IF(F78=E78,"Bien",F78-E78)</f>
        <v>Bien</v>
      </c>
      <c r="H78" s="69"/>
    </row>
    <row r="79" spans="1:9">
      <c r="A79" s="148">
        <v>296</v>
      </c>
      <c r="B79" s="141" t="s">
        <v>54</v>
      </c>
      <c r="C79" s="141" t="s">
        <v>17</v>
      </c>
      <c r="D79" s="143"/>
      <c r="E79" s="144"/>
      <c r="F79" s="145">
        <f>IFERROR(INDEX($B$3:$G$14,MATCH(C79,$A$3:$A$14,0),MATCH($A$75,$B$2:$G$2,0)),0)</f>
        <v>0</v>
      </c>
      <c r="G79" s="91" t="str">
        <f>IF(F79=E79,"Bien",F79-E79)</f>
        <v>Bien</v>
      </c>
      <c r="H79" s="69"/>
    </row>
    <row r="80" spans="1:9">
      <c r="C80" s="69"/>
      <c r="D80" s="119"/>
      <c r="E80" s="93">
        <f>SUM(E77:E79)</f>
        <v>0</v>
      </c>
      <c r="F80" s="93">
        <f>SUM(F77:F79)</f>
        <v>0</v>
      </c>
      <c r="G80" s="69"/>
      <c r="H80" s="69"/>
      <c r="I80" s="94" t="str">
        <f>+IF(F80=B15,"OK","Revisar")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Tabla dinámica_Hoja1_1</vt:lpstr>
      <vt:lpstr>certificacion_2_2_2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Fernando Matrichuk</cp:lastModifiedBy>
  <cp:revision>6</cp:revision>
  <dcterms:created xsi:type="dcterms:W3CDTF">2022-05-03T07:47:36Z</dcterms:created>
  <dcterms:modified xsi:type="dcterms:W3CDTF">2025-05-19T08:14:00Z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