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Hoja1" sheetId="1" state="visible" r:id="rId2"/>
    <sheet name="Tabla dinámica_Hoja1_3" sheetId="2" state="visible" r:id="rId3"/>
    <sheet name="Tabla dinámica_Hoja1_2" sheetId="3" state="visible" r:id="rId4"/>
    <sheet name="Tabla dinámica_Hoja1_1" sheetId="4" state="visible" r:id="rId5"/>
    <sheet name="certificacion_2" sheetId="5" state="visible" r:id="rId6"/>
  </sheets>
  <definedNames>
    <definedName function="false" hidden="true" localSheetId="0" name="_xlnm._FilterDatabase" vbProcedure="false">Hoja1!$A$1:$J$167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<sst xmlns="http://schemas.openxmlformats.org/spreadsheetml/2006/main" count="852" uniqueCount="59">
  <si>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</si>
  <si>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</si>
  <si>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</si>
  <si>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</si>
  <si>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</si>
  <si>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</si>
  <si>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</si>
  <si>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</si>
  <si>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</si>
  <si>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</si>
  <si>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1730KBZ</t>
  </si>
  <si>
    <t xml:space="preserve">PEÑISCOLA</t>
  </si>
  <si>
    <t xml:space="preserve">RSU</t>
  </si>
  <si>
    <t xml:space="preserve">x</t>
  </si>
  <si>
    <t xml:space="preserve">7542KBV</t>
  </si>
  <si>
    <t xml:space="preserve">7809JZX</t>
  </si>
  <si>
    <t xml:space="preserve">3686KBG</t>
  </si>
  <si>
    <t xml:space="preserve">1821KBZ</t>
  </si>
  <si>
    <t xml:space="preserve">VOL</t>
  </si>
  <si>
    <t xml:space="preserve">0315BGK</t>
  </si>
  <si>
    <t xml:space="preserve">LIMP.PLAYA</t>
  </si>
  <si>
    <t xml:space="preserve">6120JZX</t>
  </si>
  <si>
    <t xml:space="preserve">SEL.PAP</t>
  </si>
  <si>
    <t xml:space="preserve">TETMA</t>
  </si>
  <si>
    <t xml:space="preserve">SEL.ENV</t>
  </si>
  <si>
    <t xml:space="preserve">7957JZS</t>
  </si>
  <si>
    <t xml:space="preserve">1076KSZ</t>
  </si>
  <si>
    <t xml:space="preserve">PODA</t>
  </si>
  <si>
    <t xml:space="preserve">5313GBZ</t>
  </si>
  <si>
    <t xml:space="preserve">- todo -</t>
  </si>
  <si>
    <t xml:space="preserve">Suma - Carga</t>
  </si>
  <si>
    <t xml:space="preserve">Total Resultado</t>
  </si>
  <si>
    <t xml:space="preserve">5936GJY</t>
  </si>
  <si>
    <t xml:space="preserve">5313gbz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</si>
  <si>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</si>
  <si>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</si>
  <si>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</si>
  <si>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</si>
  <si>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</si>
  <si>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</si>
  <si>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GRUA</t>
  </si>
  <si>
    <t xml:space="preserve">Volquete Jardineria</t>
  </si>
  <si>
    <t xml:space="preserve">Recolector 22 _ 1</t>
  </si>
  <si>
    <t xml:space="preserve">2-3-4-5</t>
  </si>
  <si>
    <t xml:space="preserve">Noche</t>
  </si>
  <si>
    <t xml:space="preserve">Recolector 22 _ 2</t>
  </si>
  <si>
    <t xml:space="preserve">volquete 4x4 LV</t>
  </si>
  <si>
    <t xml:space="preserve">Día/Noche</t>
  </si>
  <si>
    <t xml:space="preserve">Recolector 17</t>
  </si>
  <si>
    <t xml:space="preserve">volquete doble LV</t>
  </si>
  <si>
    <t xml:space="preserve">Recolector 5</t>
  </si>
  <si>
    <t xml:space="preserve">VOLUMINOSOS</t>
  </si>
  <si>
    <t xml:space="preserve">N.º OPERARIOS</t>
  </si>
  <si>
    <t xml:space="preserve">FRECUENCIA</t>
  </si>
  <si>
    <t xml:space="preserve">volquete</t>
  </si>
  <si>
    <t xml:space="preserve">PAPEL</t>
  </si>
  <si>
    <t xml:space="preserve">ENVASES</t>
  </si>
  <si>
    <t xml:space="preserve">Camión FOBESA 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</si>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</sst>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Frutiger 45 Light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9AE"/>
        <bgColor rgb="FFFFFF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9" fillId="3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8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6">
  <cacheSource type="worksheet">
    <worksheetSource ref="A1:J167" sheet="Hoja1"/>
  </cacheSource>
  <cacheFields count="10">
    <cacheField name="Fecha" numFmtId="0">
      <sharedItems count="31" containsMixedTypes="0" containsSemiMixedTypes="0" containsString="0" containsNumber="1">
        <n v="43952"/>
        <n v="43953"/>
        <n v="43954"/>
        <n v="43955"/>
        <n v="43956"/>
        <n v="43957"/>
        <n v="43958"/>
        <n v="43959"/>
        <n v="43960"/>
        <n v="43961"/>
        <n v="43962"/>
        <n v="43963"/>
        <n v="43964"/>
        <n v="43965"/>
        <n v="43966"/>
        <n v="43967"/>
        <n v="43968"/>
        <n v="43969"/>
        <n v="43970"/>
        <n v="43971"/>
        <n v="43972"/>
        <n v="43973"/>
        <n v="43974"/>
        <n v="43975"/>
        <n v="43976"/>
        <n v="43977"/>
        <n v="43978"/>
        <n v="43979"/>
        <n v="43980"/>
        <n v="43981"/>
        <n v="43982"/>
      </sharedItems>
    </cacheField>
    <cacheField name="Fecha / hora" numFmtId="0">
      <sharedItems count="130" containsMixedTypes="0" containsSemiMixedTypes="0" containsString="0" containsNumber="1">
        <n v="0.103472222222222"/>
        <n v="0.105555555555556"/>
        <n v="0.113888888888889"/>
        <n v="0.115277777777778"/>
        <n v="0.117361111111111"/>
        <n v="0.120138888888889"/>
        <n v="0.121527777777778"/>
        <n v="0.122916666666667"/>
        <n v="0.124305555555556"/>
        <n v="0.125"/>
        <n v="0.126388888888889"/>
        <n v="0.129166666666667"/>
        <n v="0.131944444444444"/>
        <n v="0.134722222222222"/>
        <n v="0.143055555555556"/>
        <n v="0.148611111111111"/>
        <n v="0.153472222222222"/>
        <n v="0.15625"/>
        <n v="0.161111111111111"/>
        <n v="0.161805555555556"/>
        <n v="0.163194444444444"/>
        <n v="0.163888888888889"/>
        <n v="0.167361111111111"/>
        <n v="0.168055555555556"/>
        <n v="0.170833333333333"/>
        <n v="0.172222222222222"/>
        <n v="0.175694444444444"/>
        <n v="0.177777777777778"/>
        <n v="0.180555555555556"/>
        <n v="0.190277777777778"/>
        <n v="0.195833333333333"/>
        <n v="0.2"/>
        <n v="0.201388888888889"/>
        <n v="0.220833333333333"/>
        <n v="0.221527777777778"/>
        <n v="0.229166666666667"/>
        <n v="0.238194444444444"/>
        <n v="0.240277777777778"/>
        <n v="0.242361111111111"/>
        <n v="0.243055555555556"/>
        <n v="0.245138888888889"/>
        <n v="0.246527777777778"/>
        <n v="0.247222222222222"/>
        <n v="0.247916666666667"/>
        <n v="0.249305555555556"/>
        <n v="0.253472222222222"/>
        <n v="0.254166666666667"/>
        <n v="0.254861111111111"/>
        <n v="0.25625"/>
        <n v="0.256944444444444"/>
        <n v="0.257638888888889"/>
        <n v="0.258333333333333"/>
        <n v="0.259722222222222"/>
        <n v="0.261111111111111"/>
        <n v="0.261805555555556"/>
        <n v="0.263194444444444"/>
        <n v="0.263888888888889"/>
        <n v="0.264583333333333"/>
        <n v="0.265277777777778"/>
        <n v="0.265972222222222"/>
        <n v="0.267361111111111"/>
        <n v="0.268055555555556"/>
        <n v="0.269444444444444"/>
        <n v="0.270138888888889"/>
        <n v="0.272222222222222"/>
        <n v="0.273611111111111"/>
        <n v="0.275694444444444"/>
        <n v="0.276388888888889"/>
        <n v="0.277777777777778"/>
        <n v="0.279861111111111"/>
        <n v="0.296527777777778"/>
        <n v="0.297916666666667"/>
        <n v="0.318055555555556"/>
        <n v="0.320138888888889"/>
        <n v="0.320833333333333"/>
        <n v="0.344444444444444"/>
        <n v="0.345833333333333"/>
        <n v="0.347916666666667"/>
        <n v="0.357638888888889"/>
        <n v="0.365277777777778"/>
        <n v="0.36875"/>
        <n v="0.370138888888889"/>
        <n v="0.427777777777778"/>
        <n v="0.435416666666667"/>
        <n v="0.440277777777778"/>
        <n v="0.443055555555556"/>
        <n v="0.45"/>
        <n v="0.453472222222222"/>
        <n v="0.455555555555556"/>
        <n v="0.460416666666667"/>
        <n v="0.463194444444444"/>
        <n v="0.464583333333333"/>
        <n v="0.469444444444444"/>
        <n v="0.470833333333333"/>
        <n v="0.477777777777778"/>
        <n v="0.484722222222222"/>
        <n v="0.4875"/>
        <n v="0.488194444444444"/>
        <n v="0.488888888888889"/>
        <n v="0.490972222222222"/>
        <n v="0.492361111111111"/>
        <n v="0.495138888888889"/>
        <n v="0.497916666666667"/>
        <n v="0.499305555555555"/>
        <n v="0.5"/>
        <n v="0.504166666666667"/>
        <n v="0.507638888888889"/>
        <n v="0.509722222222222"/>
        <n v="0.510416666666667"/>
        <n v="0.511111111111111"/>
        <n v="0.513888888888889"/>
        <n v="0.517361111111111"/>
        <n v="0.51875"/>
        <n v="0.520138888888889"/>
        <n v="0.520833333333333"/>
        <n v="0.524305555555556"/>
        <n v="0.525"/>
        <n v="0.534722222222222"/>
        <n v="0.538194444444444"/>
        <n v="0.539583333333333"/>
        <n v="0.540972222222222"/>
        <n v="0.547916666666667"/>
        <n v="0.55"/>
        <n v="0.551388888888889"/>
        <n v="0.553472222222222"/>
        <n v="0.554166666666667"/>
        <n v="0.58125"/>
        <n v="0.598611111111111"/>
        <n v="0.60625"/>
        <n v="0.606944444444444"/>
      </sharedItems>
    </cacheField>
    <cacheField name="Ticket" numFmtId="0">
      <sharedItems count="163" containsMixedTypes="1" containsSemiMixedTypes="1" containsString="1" containsNumber="1">
        <n v="10189"/>
        <n v="101287"/>
        <n v="101536"/>
        <n v="102170"/>
        <n v="123360"/>
        <n v="123365"/>
        <n v="123368"/>
        <n v="123380"/>
        <n v="123383"/>
        <n v="123388"/>
        <n v="123396"/>
        <n v="123402"/>
        <n v="123405"/>
        <n v="123406"/>
        <n v="123413"/>
        <n v="123423"/>
        <n v="123424"/>
        <n v="123441"/>
        <n v="123466"/>
        <n v="123474"/>
        <n v="123475"/>
        <n v="123493"/>
        <n v="123509"/>
        <n v="123514"/>
        <n v="123515"/>
        <n v="123521"/>
        <n v="123527"/>
        <n v="123533"/>
        <n v="123535"/>
        <n v="123536"/>
        <n v="123540"/>
        <n v="123544"/>
        <n v="123549"/>
        <n v="123564"/>
        <n v="123568"/>
        <n v="123569"/>
        <n v="123583"/>
        <n v="123596"/>
        <n v="123605"/>
        <n v="123608"/>
        <n v="123639"/>
        <n v="123648"/>
        <n v="123652"/>
        <n v="123658"/>
        <n v="123663"/>
        <n v="123667"/>
        <n v="123668"/>
        <n v="123673"/>
        <n v="123676"/>
        <n v="123685"/>
        <n v="123686"/>
        <n v="123701"/>
        <n v="123719"/>
        <n v="123723"/>
        <n v="123726"/>
        <n v="123741"/>
        <n v="123744"/>
        <n v="123757"/>
        <n v="123760"/>
        <n v="123763"/>
        <n v="123769"/>
        <n v="123780"/>
        <n v="123782"/>
        <n v="123784"/>
        <n v="123805"/>
        <n v="123811"/>
        <n v="123812"/>
        <n v="123827"/>
        <n v="123829"/>
        <n v="123842"/>
        <n v="123849"/>
        <n v="123850"/>
        <n v="123867"/>
        <n v="123881"/>
        <n v="123888"/>
        <n v="123889"/>
        <n v="123896"/>
        <n v="123900"/>
        <n v="123903"/>
        <n v="123908"/>
        <n v="123910"/>
        <n v="123914"/>
        <n v="123921"/>
        <n v="123928"/>
        <n v="123929"/>
        <n v="123932"/>
        <n v="123936"/>
        <n v="123940"/>
        <n v="123949"/>
        <n v="123952"/>
        <n v="123964"/>
        <n v="123981"/>
        <n v="123985"/>
        <n v="123986"/>
        <n v="123994"/>
        <n v="124012"/>
        <n v="124025"/>
        <n v="124033"/>
        <n v="124035"/>
        <n v="124045"/>
        <n v="124060"/>
        <n v="124063"/>
        <n v="124075"/>
        <n v="124079"/>
        <n v="124081"/>
        <n v="124100"/>
        <n v="124104"/>
        <n v="124110"/>
        <n v="124111"/>
        <n v="124122"/>
        <n v="124130"/>
        <n v="124133"/>
        <n v="124147"/>
        <n v="124162"/>
        <n v="124170"/>
        <n v="124171"/>
        <n v="124180"/>
        <n v="124182"/>
        <n v="124189"/>
        <n v="124190"/>
        <n v="124191"/>
        <n v="124196"/>
        <n v="124204"/>
        <n v="124210"/>
        <n v="124215"/>
        <n v="124220"/>
        <n v="124233"/>
        <n v="124234"/>
        <n v="124254"/>
        <n v="124256"/>
        <n v="124260"/>
        <n v="124261"/>
        <n v="124266"/>
        <n v="124272"/>
        <n v="124279"/>
        <n v="124281"/>
        <n v="124283"/>
        <n v="124308"/>
        <n v="124312"/>
        <n v="124316"/>
        <n v="124322"/>
        <n v="124336"/>
        <n v="124338"/>
        <n v="124346"/>
        <n v="124347"/>
        <n v="124350"/>
        <n v="124363"/>
        <n v="124369"/>
        <n v="124373"/>
        <n v="124386"/>
        <n v="124396"/>
        <n v="124413"/>
        <n v="124419"/>
        <n v="124420"/>
        <n v="124439"/>
        <n v="124452"/>
        <n v="124456"/>
        <n v="124457"/>
        <n v="124468"/>
        <n v="124472"/>
        <n v="124477"/>
        <n v="124478"/>
        <s v="TETMA"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unt="128" containsMixedTypes="0" containsSemiMixedTypes="0" containsString="0" containsNumber="1">
        <n v="2520"/>
        <n v="2540"/>
        <n v="2560"/>
        <n v="2580"/>
        <n v="2600"/>
        <n v="2620"/>
        <n v="2640"/>
        <n v="2660"/>
        <n v="2680"/>
        <n v="2700"/>
        <n v="2720"/>
        <n v="2780"/>
        <n v="3000"/>
        <n v="3080"/>
        <n v="3100"/>
        <n v="3320"/>
        <n v="3340"/>
        <n v="3500"/>
        <n v="3520"/>
        <n v="3580"/>
        <n v="3660"/>
        <n v="3700"/>
        <n v="3740"/>
        <n v="3800"/>
        <n v="3940"/>
        <n v="3960"/>
        <n v="3980"/>
        <n v="4040"/>
        <n v="4060"/>
        <n v="4080"/>
        <n v="4100"/>
        <n v="4120"/>
        <n v="4140"/>
        <n v="4160"/>
        <n v="4180"/>
        <n v="4200"/>
        <n v="4220"/>
        <n v="4240"/>
        <n v="4280"/>
        <n v="4300"/>
        <n v="4380"/>
        <n v="5880"/>
        <n v="6280"/>
        <n v="6400"/>
        <n v="6520"/>
        <n v="6840"/>
        <n v="6960"/>
        <n v="12960"/>
        <n v="14360"/>
        <n v="14600"/>
        <n v="15040"/>
        <n v="15120"/>
        <n v="15180"/>
        <n v="15380"/>
        <n v="15480"/>
        <n v="15580"/>
        <n v="15820"/>
        <n v="15840"/>
        <n v="16020"/>
        <n v="16100"/>
        <n v="16220"/>
        <n v="16260"/>
        <n v="16320"/>
        <n v="16360"/>
        <n v="16380"/>
        <n v="16440"/>
        <n v="16480"/>
        <n v="16660"/>
        <n v="16780"/>
        <n v="16820"/>
        <n v="16840"/>
        <n v="16880"/>
        <n v="16900"/>
        <n v="16960"/>
        <n v="17000"/>
        <n v="17200"/>
        <n v="17220"/>
        <n v="17240"/>
        <n v="17280"/>
        <n v="17480"/>
        <n v="17500"/>
        <n v="17600"/>
        <n v="17640"/>
        <n v="18520"/>
        <n v="19320"/>
        <n v="19540"/>
        <n v="20800"/>
        <n v="22380"/>
        <n v="22580"/>
        <n v="23240"/>
        <n v="23540"/>
        <n v="23560"/>
        <n v="24220"/>
        <n v="24240"/>
        <n v="24440"/>
        <n v="24460"/>
        <n v="24540"/>
        <n v="24600"/>
        <n v="24780"/>
        <n v="24960"/>
        <n v="25040"/>
        <n v="25080"/>
        <n v="25100"/>
        <n v="25120"/>
        <n v="25600"/>
        <n v="25640"/>
        <n v="25700"/>
        <n v="25720"/>
        <n v="25880"/>
        <n v="25920"/>
        <n v="25960"/>
        <n v="26100"/>
        <n v="26120"/>
        <n v="26520"/>
        <n v="26620"/>
        <n v="27000"/>
        <n v="27580"/>
        <n v="27800"/>
        <n v="28120"/>
        <n v="28340"/>
        <n v="28740"/>
        <n v="28980"/>
        <n v="30020"/>
        <n v="30040"/>
        <n v="30280"/>
        <n v="30580"/>
        <n v="31820"/>
        <n v="32200"/>
      </sharedItems>
    </cacheField>
    <cacheField name="Tara" numFmtId="0">
      <sharedItems count="67" containsMixedTypes="0" containsSemiMixedTypes="0" containsString="0" containsNumber="1">
        <n v="2300"/>
        <n v="2320"/>
        <n v="2360"/>
        <n v="2380"/>
        <n v="2400"/>
        <n v="2420"/>
        <n v="2480"/>
        <n v="2680"/>
        <n v="2700"/>
        <n v="2740"/>
        <n v="2800"/>
        <n v="2820"/>
        <n v="2840"/>
        <n v="2880"/>
        <n v="2920"/>
        <n v="2940"/>
        <n v="3680"/>
        <n v="3720"/>
        <n v="3760"/>
        <n v="3780"/>
        <n v="3800"/>
        <n v="3820"/>
        <n v="5600"/>
        <n v="5620"/>
        <n v="5700"/>
        <n v="5720"/>
        <n v="12380"/>
        <n v="12700"/>
        <n v="12760"/>
        <n v="12800"/>
        <n v="1282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20"/>
        <n v="15300"/>
        <n v="1564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120"/>
        <n v="16160"/>
        <n v="16240"/>
      </sharedItems>
    </cacheField>
    <cacheField name="Carga" numFmtId="0">
      <sharedItems count="109" containsMixedTypes="0" containsSemiMixedTypes="0" containsString="0" containsNumber="1"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60"/>
        <n v="480"/>
        <n v="500"/>
        <n v="520"/>
        <n v="560"/>
        <n v="580"/>
        <n v="700"/>
        <n v="740"/>
        <n v="760"/>
        <n v="820"/>
        <n v="900"/>
        <n v="920"/>
        <n v="1000"/>
        <n v="1060"/>
        <n v="1140"/>
        <n v="1220"/>
        <n v="1260"/>
        <n v="1340"/>
        <n v="1380"/>
        <n v="1420"/>
        <n v="1600"/>
        <n v="1720"/>
        <n v="1800"/>
        <n v="2220"/>
        <n v="2240"/>
        <n v="2260"/>
        <n v="2400"/>
        <n v="2540"/>
        <n v="2620"/>
        <n v="2920"/>
        <n v="3160"/>
        <n v="3220"/>
        <n v="3280"/>
        <n v="3300"/>
        <n v="3380"/>
        <n v="3440"/>
        <n v="3460"/>
        <n v="3500"/>
        <n v="3580"/>
        <n v="3620"/>
        <n v="3680"/>
        <n v="3700"/>
        <n v="3840"/>
        <n v="3880"/>
        <n v="3900"/>
        <n v="3980"/>
        <n v="4100"/>
        <n v="4220"/>
        <n v="4420"/>
        <n v="5060"/>
        <n v="6420"/>
        <n v="6600"/>
        <n v="7320"/>
        <n v="7580"/>
        <n v="7720"/>
        <n v="8400"/>
        <n v="8460"/>
        <n v="8560"/>
        <n v="8600"/>
        <n v="8660"/>
        <n v="8860"/>
        <n v="8880"/>
        <n v="8940"/>
        <n v="9020"/>
        <n v="9120"/>
        <n v="9380"/>
        <n v="9400"/>
        <n v="9560"/>
        <n v="9700"/>
        <n v="9720"/>
        <n v="9740"/>
        <n v="9760"/>
        <n v="9780"/>
        <n v="9800"/>
        <n v="10060"/>
        <n v="10080"/>
        <n v="10120"/>
        <n v="10140"/>
        <n v="10640"/>
        <n v="10700"/>
        <n v="10980"/>
        <n v="12140"/>
        <n v="12280"/>
        <n v="12500"/>
        <n v="13040"/>
        <n v="13440"/>
        <n v="13680"/>
        <n v="14720"/>
        <n v="14740"/>
        <n v="14980"/>
        <n v="15280"/>
        <n v="16520"/>
        <n v="16900"/>
      </sharedItems>
    </cacheField>
    <cacheField name="Población" numFmtId="0">
      <sharedItems count="1" containsMixedTypes="0" containsSemiMixedTypes="0" containsString="1" containsNumber="0">
        <s v="PEÑISCOLA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  <cacheField name="REVISADO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x v="45"/>
    <x v="6"/>
    <x v="2"/>
    <x v="103"/>
    <x v="61"/>
    <x v="80"/>
    <x v="0"/>
    <x v="2"/>
    <x v="0"/>
  </r>
  <r>
    <x v="0"/>
    <x v="9"/>
    <x v="4"/>
    <x v="7"/>
    <x v="71"/>
    <x v="37"/>
    <x v="60"/>
    <x v="0"/>
    <x v="2"/>
    <x v="0"/>
  </r>
  <r>
    <x v="0"/>
    <x v="29"/>
    <x v="5"/>
    <x v="8"/>
    <x v="27"/>
    <x v="20"/>
    <x v="6"/>
    <x v="0"/>
    <x v="2"/>
    <x v="0"/>
  </r>
  <r>
    <x v="1"/>
    <x v="45"/>
    <x v="9"/>
    <x v="8"/>
    <x v="24"/>
    <x v="16"/>
    <x v="7"/>
    <x v="0"/>
    <x v="2"/>
    <x v="0"/>
  </r>
  <r>
    <x v="1"/>
    <x v="99"/>
    <x v="10"/>
    <x v="4"/>
    <x v="7"/>
    <x v="3"/>
    <x v="8"/>
    <x v="0"/>
    <x v="2"/>
    <x v="0"/>
  </r>
  <r>
    <x v="1"/>
    <x v="28"/>
    <x v="8"/>
    <x v="2"/>
    <x v="87"/>
    <x v="59"/>
    <x v="66"/>
    <x v="0"/>
    <x v="2"/>
    <x v="0"/>
  </r>
  <r>
    <x v="1"/>
    <x v="15"/>
    <x v="7"/>
    <x v="7"/>
    <x v="50"/>
    <x v="30"/>
    <x v="39"/>
    <x v="0"/>
    <x v="2"/>
    <x v="0"/>
  </r>
  <r>
    <x v="2"/>
    <x v="6"/>
    <x v="11"/>
    <x v="7"/>
    <x v="63"/>
    <x v="33"/>
    <x v="52"/>
    <x v="0"/>
    <x v="2"/>
    <x v="0"/>
  </r>
  <r>
    <x v="2"/>
    <x v="32"/>
    <x v="12"/>
    <x v="8"/>
    <x v="24"/>
    <x v="16"/>
    <x v="7"/>
    <x v="0"/>
    <x v="2"/>
    <x v="0"/>
  </r>
  <r>
    <x v="2"/>
    <x v="33"/>
    <x v="13"/>
    <x v="3"/>
    <x v="115"/>
    <x v="62"/>
    <x v="96"/>
    <x v="0"/>
    <x v="2"/>
    <x v="0"/>
  </r>
  <r>
    <x v="3"/>
    <x v="54"/>
    <x v="16"/>
    <x v="3"/>
    <x v="89"/>
    <x v="57"/>
    <x v="68"/>
    <x v="0"/>
    <x v="2"/>
    <x v="0"/>
  </r>
  <r>
    <x v="3"/>
    <x v="51"/>
    <x v="15"/>
    <x v="8"/>
    <x v="32"/>
    <x v="19"/>
    <x v="12"/>
    <x v="0"/>
    <x v="2"/>
    <x v="0"/>
  </r>
  <r>
    <x v="3"/>
    <x v="5"/>
    <x v="14"/>
    <x v="7"/>
    <x v="49"/>
    <x v="38"/>
    <x v="36"/>
    <x v="0"/>
    <x v="2"/>
    <x v="0"/>
  </r>
  <r>
    <x v="3"/>
    <x v="84"/>
    <x v="17"/>
    <x v="4"/>
    <x v="1"/>
    <x v="4"/>
    <x v="1"/>
    <x v="0"/>
    <x v="2"/>
    <x v="0"/>
  </r>
  <r>
    <x v="4"/>
    <x v="10"/>
    <x v="18"/>
    <x v="7"/>
    <x v="70"/>
    <x v="38"/>
    <x v="58"/>
    <x v="0"/>
    <x v="2"/>
    <x v="0"/>
  </r>
  <r>
    <x v="4"/>
    <x v="46"/>
    <x v="19"/>
    <x v="8"/>
    <x v="26"/>
    <x v="16"/>
    <x v="9"/>
    <x v="0"/>
    <x v="2"/>
    <x v="0"/>
  </r>
  <r>
    <x v="4"/>
    <x v="58"/>
    <x v="20"/>
    <x v="3"/>
    <x v="95"/>
    <x v="56"/>
    <x v="73"/>
    <x v="0"/>
    <x v="2"/>
    <x v="0"/>
  </r>
  <r>
    <x v="4"/>
    <x v="90"/>
    <x v="21"/>
    <x v="4"/>
    <x v="0"/>
    <x v="4"/>
    <x v="0"/>
    <x v="0"/>
    <x v="2"/>
    <x v="0"/>
  </r>
  <r>
    <x v="5"/>
    <x v="50"/>
    <x v="23"/>
    <x v="8"/>
    <x v="25"/>
    <x v="16"/>
    <x v="8"/>
    <x v="0"/>
    <x v="2"/>
    <x v="0"/>
  </r>
  <r>
    <x v="5"/>
    <x v="19"/>
    <x v="22"/>
    <x v="7"/>
    <x v="55"/>
    <x v="36"/>
    <x v="44"/>
    <x v="0"/>
    <x v="2"/>
    <x v="0"/>
  </r>
  <r>
    <x v="5"/>
    <x v="56"/>
    <x v="24"/>
    <x v="3"/>
    <x v="105"/>
    <x v="58"/>
    <x v="84"/>
    <x v="0"/>
    <x v="2"/>
    <x v="0"/>
  </r>
  <r>
    <x v="5"/>
    <x v="122"/>
    <x v="32"/>
    <x v="4"/>
    <x v="7"/>
    <x v="3"/>
    <x v="8"/>
    <x v="0"/>
    <x v="5"/>
    <x v="0"/>
  </r>
  <r>
    <x v="5"/>
    <x v="87"/>
    <x v="29"/>
    <x v="4"/>
    <x v="11"/>
    <x v="4"/>
    <x v="13"/>
    <x v="0"/>
    <x v="5"/>
    <x v="0"/>
  </r>
  <r>
    <x v="5"/>
    <x v="73"/>
    <x v="25"/>
    <x v="0"/>
    <x v="120"/>
    <x v="45"/>
    <x v="101"/>
    <x v="0"/>
    <x v="0"/>
    <x v="0"/>
  </r>
  <r>
    <x v="5"/>
    <x v="117"/>
    <x v="31"/>
    <x v="6"/>
    <x v="14"/>
    <x v="9"/>
    <x v="12"/>
    <x v="0"/>
    <x v="5"/>
    <x v="0"/>
  </r>
  <r>
    <x v="5"/>
    <x v="85"/>
    <x v="28"/>
    <x v="6"/>
    <x v="18"/>
    <x v="11"/>
    <x v="22"/>
    <x v="0"/>
    <x v="5"/>
    <x v="0"/>
  </r>
  <r>
    <x v="5"/>
    <x v="81"/>
    <x v="26"/>
    <x v="0"/>
    <x v="116"/>
    <x v="45"/>
    <x v="98"/>
    <x v="0"/>
    <x v="0"/>
    <x v="0"/>
  </r>
  <r>
    <x v="5"/>
    <x v="83"/>
    <x v="27"/>
    <x v="0"/>
    <x v="122"/>
    <x v="45"/>
    <x v="103"/>
    <x v="0"/>
    <x v="0"/>
    <x v="0"/>
  </r>
  <r>
    <x v="5"/>
    <x v="105"/>
    <x v="30"/>
    <x v="0"/>
    <x v="121"/>
    <x v="45"/>
    <x v="102"/>
    <x v="0"/>
    <x v="0"/>
    <x v="0"/>
  </r>
  <r>
    <x v="6"/>
    <x v="20"/>
    <x v="33"/>
    <x v="7"/>
    <x v="54"/>
    <x v="35"/>
    <x v="43"/>
    <x v="0"/>
    <x v="2"/>
    <x v="0"/>
  </r>
  <r>
    <x v="6"/>
    <x v="48"/>
    <x v="35"/>
    <x v="3"/>
    <x v="98"/>
    <x v="56"/>
    <x v="77"/>
    <x v="0"/>
    <x v="2"/>
    <x v="0"/>
  </r>
  <r>
    <x v="6"/>
    <x v="42"/>
    <x v="34"/>
    <x v="8"/>
    <x v="31"/>
    <x v="18"/>
    <x v="12"/>
    <x v="0"/>
    <x v="2"/>
    <x v="0"/>
  </r>
  <r>
    <x v="6"/>
    <x v="116"/>
    <x v="1"/>
    <x v="3"/>
    <x v="78"/>
    <x v="54"/>
    <x v="35"/>
    <x v="0"/>
    <x v="4"/>
    <x v="0"/>
  </r>
  <r>
    <x v="6"/>
    <x v="94"/>
    <x v="36"/>
    <x v="4"/>
    <x v="8"/>
    <x v="3"/>
    <x v="9"/>
    <x v="0"/>
    <x v="2"/>
    <x v="0"/>
  </r>
  <r>
    <x v="7"/>
    <x v="48"/>
    <x v="38"/>
    <x v="8"/>
    <x v="28"/>
    <x v="16"/>
    <x v="13"/>
    <x v="0"/>
    <x v="2"/>
    <x v="0"/>
  </r>
  <r>
    <x v="7"/>
    <x v="3"/>
    <x v="37"/>
    <x v="7"/>
    <x v="57"/>
    <x v="34"/>
    <x v="45"/>
    <x v="0"/>
    <x v="2"/>
    <x v="0"/>
  </r>
  <r>
    <x v="7"/>
    <x v="66"/>
    <x v="39"/>
    <x v="3"/>
    <x v="106"/>
    <x v="59"/>
    <x v="86"/>
    <x v="0"/>
    <x v="2"/>
    <x v="0"/>
  </r>
  <r>
    <x v="7"/>
    <x v="115"/>
    <x v="162"/>
    <x v="3"/>
    <x v="76"/>
    <x v="51"/>
    <x v="35"/>
    <x v="0"/>
    <x v="3"/>
    <x v="0"/>
  </r>
  <r>
    <x v="8"/>
    <x v="7"/>
    <x v="40"/>
    <x v="7"/>
    <x v="79"/>
    <x v="41"/>
    <x v="64"/>
    <x v="0"/>
    <x v="2"/>
    <x v="0"/>
  </r>
  <r>
    <x v="8"/>
    <x v="53"/>
    <x v="41"/>
    <x v="8"/>
    <x v="38"/>
    <x v="21"/>
    <x v="16"/>
    <x v="0"/>
    <x v="2"/>
    <x v="1"/>
  </r>
  <r>
    <x v="8"/>
    <x v="104"/>
    <x v="43"/>
    <x v="4"/>
    <x v="2"/>
    <x v="3"/>
    <x v="3"/>
    <x v="0"/>
    <x v="2"/>
    <x v="0"/>
  </r>
  <r>
    <x v="8"/>
    <x v="68"/>
    <x v="42"/>
    <x v="2"/>
    <x v="94"/>
    <x v="50"/>
    <x v="75"/>
    <x v="0"/>
    <x v="2"/>
    <x v="0"/>
  </r>
  <r>
    <x v="9"/>
    <x v="1"/>
    <x v="44"/>
    <x v="7"/>
    <x v="53"/>
    <x v="37"/>
    <x v="42"/>
    <x v="0"/>
    <x v="2"/>
    <x v="0"/>
  </r>
  <r>
    <x v="9"/>
    <x v="30"/>
    <x v="45"/>
    <x v="8"/>
    <x v="34"/>
    <x v="21"/>
    <x v="12"/>
    <x v="0"/>
    <x v="2"/>
    <x v="0"/>
  </r>
  <r>
    <x v="9"/>
    <x v="34"/>
    <x v="46"/>
    <x v="2"/>
    <x v="102"/>
    <x v="47"/>
    <x v="81"/>
    <x v="0"/>
    <x v="2"/>
    <x v="0"/>
  </r>
  <r>
    <x v="9"/>
    <x v="108"/>
    <x v="47"/>
    <x v="4"/>
    <x v="4"/>
    <x v="5"/>
    <x v="3"/>
    <x v="0"/>
    <x v="2"/>
    <x v="0"/>
  </r>
  <r>
    <x v="10"/>
    <x v="44"/>
    <x v="49"/>
    <x v="8"/>
    <x v="39"/>
    <x v="20"/>
    <x v="18"/>
    <x v="0"/>
    <x v="2"/>
    <x v="0"/>
  </r>
  <r>
    <x v="10"/>
    <x v="57"/>
    <x v="50"/>
    <x v="2"/>
    <x v="91"/>
    <x v="53"/>
    <x v="70"/>
    <x v="0"/>
    <x v="2"/>
    <x v="0"/>
  </r>
  <r>
    <x v="10"/>
    <x v="3"/>
    <x v="48"/>
    <x v="7"/>
    <x v="48"/>
    <x v="37"/>
    <x v="34"/>
    <x v="0"/>
    <x v="2"/>
    <x v="0"/>
  </r>
  <r>
    <x v="10"/>
    <x v="109"/>
    <x v="51"/>
    <x v="4"/>
    <x v="7"/>
    <x v="0"/>
    <x v="12"/>
    <x v="0"/>
    <x v="2"/>
    <x v="0"/>
  </r>
  <r>
    <x v="11"/>
    <x v="25"/>
    <x v="52"/>
    <x v="7"/>
    <x v="69"/>
    <x v="37"/>
    <x v="58"/>
    <x v="0"/>
    <x v="2"/>
    <x v="0"/>
  </r>
  <r>
    <x v="11"/>
    <x v="61"/>
    <x v="54"/>
    <x v="2"/>
    <x v="111"/>
    <x v="59"/>
    <x v="93"/>
    <x v="0"/>
    <x v="2"/>
    <x v="0"/>
  </r>
  <r>
    <x v="11"/>
    <x v="44"/>
    <x v="53"/>
    <x v="8"/>
    <x v="30"/>
    <x v="19"/>
    <x v="10"/>
    <x v="0"/>
    <x v="2"/>
    <x v="0"/>
  </r>
  <r>
    <x v="11"/>
    <x v="107"/>
    <x v="56"/>
    <x v="4"/>
    <x v="7"/>
    <x v="1"/>
    <x v="11"/>
    <x v="0"/>
    <x v="2"/>
    <x v="0"/>
  </r>
  <r>
    <x v="11"/>
    <x v="98"/>
    <x v="55"/>
    <x v="6"/>
    <x v="18"/>
    <x v="11"/>
    <x v="22"/>
    <x v="0"/>
    <x v="5"/>
    <x v="0"/>
  </r>
  <r>
    <x v="12"/>
    <x v="64"/>
    <x v="59"/>
    <x v="2"/>
    <x v="101"/>
    <x v="59"/>
    <x v="80"/>
    <x v="0"/>
    <x v="2"/>
    <x v="0"/>
  </r>
  <r>
    <x v="12"/>
    <x v="37"/>
    <x v="58"/>
    <x v="8"/>
    <x v="40"/>
    <x v="20"/>
    <x v="21"/>
    <x v="0"/>
    <x v="2"/>
    <x v="0"/>
  </r>
  <r>
    <x v="12"/>
    <x v="17"/>
    <x v="57"/>
    <x v="7"/>
    <x v="75"/>
    <x v="37"/>
    <x v="63"/>
    <x v="0"/>
    <x v="2"/>
    <x v="0"/>
  </r>
  <r>
    <x v="12"/>
    <x v="110"/>
    <x v="62"/>
    <x v="9"/>
    <x v="45"/>
    <x v="23"/>
    <x v="31"/>
    <x v="0"/>
    <x v="5"/>
    <x v="0"/>
  </r>
  <r>
    <x v="12"/>
    <x v="96"/>
    <x v="61"/>
    <x v="4"/>
    <x v="2"/>
    <x v="4"/>
    <x v="2"/>
    <x v="0"/>
    <x v="2"/>
    <x v="0"/>
  </r>
  <r>
    <x v="12"/>
    <x v="111"/>
    <x v="63"/>
    <x v="6"/>
    <x v="19"/>
    <x v="11"/>
    <x v="24"/>
    <x v="0"/>
    <x v="5"/>
    <x v="0"/>
  </r>
  <r>
    <x v="12"/>
    <x v="76"/>
    <x v="60"/>
    <x v="4"/>
    <x v="10"/>
    <x v="4"/>
    <x v="10"/>
    <x v="0"/>
    <x v="5"/>
    <x v="0"/>
  </r>
  <r>
    <x v="13"/>
    <x v="55"/>
    <x v="65"/>
    <x v="8"/>
    <x v="33"/>
    <x v="19"/>
    <x v="13"/>
    <x v="0"/>
    <x v="2"/>
    <x v="0"/>
  </r>
  <r>
    <x v="13"/>
    <x v="57"/>
    <x v="66"/>
    <x v="2"/>
    <x v="109"/>
    <x v="51"/>
    <x v="92"/>
    <x v="0"/>
    <x v="2"/>
    <x v="0"/>
  </r>
  <r>
    <x v="13"/>
    <x v="22"/>
    <x v="64"/>
    <x v="7"/>
    <x v="60"/>
    <x v="35"/>
    <x v="48"/>
    <x v="0"/>
    <x v="2"/>
    <x v="0"/>
  </r>
  <r>
    <x v="13"/>
    <x v="110"/>
    <x v="2"/>
    <x v="2"/>
    <x v="80"/>
    <x v="56"/>
    <x v="36"/>
    <x v="0"/>
    <x v="4"/>
    <x v="0"/>
  </r>
  <r>
    <x v="13"/>
    <x v="92"/>
    <x v="67"/>
    <x v="1"/>
    <x v="23"/>
    <x v="10"/>
    <x v="28"/>
    <x v="0"/>
    <x v="1"/>
    <x v="0"/>
  </r>
  <r>
    <x v="13"/>
    <x v="101"/>
    <x v="68"/>
    <x v="4"/>
    <x v="1"/>
    <x v="4"/>
    <x v="1"/>
    <x v="0"/>
    <x v="2"/>
    <x v="0"/>
  </r>
  <r>
    <x v="14"/>
    <x v="13"/>
    <x v="69"/>
    <x v="7"/>
    <x v="64"/>
    <x v="35"/>
    <x v="51"/>
    <x v="0"/>
    <x v="2"/>
    <x v="0"/>
  </r>
  <r>
    <x v="14"/>
    <x v="47"/>
    <x v="70"/>
    <x v="8"/>
    <x v="29"/>
    <x v="19"/>
    <x v="9"/>
    <x v="0"/>
    <x v="2"/>
    <x v="0"/>
  </r>
  <r>
    <x v="14"/>
    <x v="57"/>
    <x v="71"/>
    <x v="2"/>
    <x v="90"/>
    <x v="59"/>
    <x v="69"/>
    <x v="0"/>
    <x v="2"/>
    <x v="0"/>
  </r>
  <r>
    <x v="14"/>
    <x v="100"/>
    <x v="72"/>
    <x v="4"/>
    <x v="2"/>
    <x v="3"/>
    <x v="3"/>
    <x v="0"/>
    <x v="2"/>
    <x v="0"/>
  </r>
  <r>
    <x v="15"/>
    <x v="127"/>
    <x v="77"/>
    <x v="1"/>
    <x v="12"/>
    <x v="10"/>
    <x v="4"/>
    <x v="0"/>
    <x v="1"/>
    <x v="0"/>
  </r>
  <r>
    <x v="15"/>
    <x v="65"/>
    <x v="75"/>
    <x v="2"/>
    <x v="114"/>
    <x v="57"/>
    <x v="95"/>
    <x v="0"/>
    <x v="2"/>
    <x v="0"/>
  </r>
  <r>
    <x v="14"/>
    <x v="110"/>
    <x v="162"/>
    <x v="2"/>
    <x v="73"/>
    <x v="52"/>
    <x v="30"/>
    <x v="0"/>
    <x v="3"/>
    <x v="0"/>
  </r>
  <r>
    <x v="15"/>
    <x v="81"/>
    <x v="76"/>
    <x v="6"/>
    <x v="15"/>
    <x v="11"/>
    <x v="18"/>
    <x v="0"/>
    <x v="5"/>
    <x v="0"/>
  </r>
  <r>
    <x v="15"/>
    <x v="12"/>
    <x v="73"/>
    <x v="7"/>
    <x v="74"/>
    <x v="44"/>
    <x v="59"/>
    <x v="0"/>
    <x v="2"/>
    <x v="0"/>
  </r>
  <r>
    <x v="15"/>
    <x v="52"/>
    <x v="74"/>
    <x v="8"/>
    <x v="35"/>
    <x v="20"/>
    <x v="14"/>
    <x v="0"/>
    <x v="2"/>
    <x v="0"/>
  </r>
  <r>
    <x v="16"/>
    <x v="30"/>
    <x v="79"/>
    <x v="8"/>
    <x v="34"/>
    <x v="19"/>
    <x v="14"/>
    <x v="0"/>
    <x v="2"/>
    <x v="0"/>
  </r>
  <r>
    <x v="16"/>
    <x v="35"/>
    <x v="80"/>
    <x v="3"/>
    <x v="110"/>
    <x v="66"/>
    <x v="85"/>
    <x v="0"/>
    <x v="2"/>
    <x v="0"/>
  </r>
  <r>
    <x v="16"/>
    <x v="120"/>
    <x v="81"/>
    <x v="4"/>
    <x v="5"/>
    <x v="3"/>
    <x v="6"/>
    <x v="0"/>
    <x v="2"/>
    <x v="0"/>
  </r>
  <r>
    <x v="16"/>
    <x v="0"/>
    <x v="78"/>
    <x v="7"/>
    <x v="68"/>
    <x v="43"/>
    <x v="56"/>
    <x v="0"/>
    <x v="2"/>
    <x v="0"/>
  </r>
  <r>
    <x v="17"/>
    <x v="60"/>
    <x v="84"/>
    <x v="3"/>
    <x v="107"/>
    <x v="65"/>
    <x v="83"/>
    <x v="0"/>
    <x v="2"/>
    <x v="0"/>
  </r>
  <r>
    <x v="17"/>
    <x v="27"/>
    <x v="82"/>
    <x v="7"/>
    <x v="52"/>
    <x v="34"/>
    <x v="41"/>
    <x v="0"/>
    <x v="2"/>
    <x v="0"/>
  </r>
  <r>
    <x v="17"/>
    <x v="43"/>
    <x v="83"/>
    <x v="8"/>
    <x v="30"/>
    <x v="18"/>
    <x v="11"/>
    <x v="0"/>
    <x v="2"/>
    <x v="0"/>
  </r>
  <r>
    <x v="17"/>
    <x v="129"/>
    <x v="90"/>
    <x v="1"/>
    <x v="13"/>
    <x v="8"/>
    <x v="13"/>
    <x v="0"/>
    <x v="1"/>
    <x v="0"/>
  </r>
  <r>
    <x v="17"/>
    <x v="70"/>
    <x v="85"/>
    <x v="0"/>
    <x v="124"/>
    <x v="45"/>
    <x v="105"/>
    <x v="0"/>
    <x v="0"/>
    <x v="0"/>
  </r>
  <r>
    <x v="17"/>
    <x v="75"/>
    <x v="86"/>
    <x v="0"/>
    <x v="117"/>
    <x v="45"/>
    <x v="99"/>
    <x v="0"/>
    <x v="0"/>
    <x v="0"/>
  </r>
  <r>
    <x v="17"/>
    <x v="80"/>
    <x v="87"/>
    <x v="0"/>
    <x v="123"/>
    <x v="45"/>
    <x v="104"/>
    <x v="0"/>
    <x v="0"/>
    <x v="0"/>
  </r>
  <r>
    <x v="17"/>
    <x v="84"/>
    <x v="88"/>
    <x v="0"/>
    <x v="126"/>
    <x v="45"/>
    <x v="107"/>
    <x v="0"/>
    <x v="0"/>
    <x v="0"/>
  </r>
  <r>
    <x v="17"/>
    <x v="90"/>
    <x v="89"/>
    <x v="4"/>
    <x v="0"/>
    <x v="2"/>
    <x v="2"/>
    <x v="0"/>
    <x v="2"/>
    <x v="0"/>
  </r>
  <r>
    <x v="18"/>
    <x v="24"/>
    <x v="91"/>
    <x v="7"/>
    <x v="62"/>
    <x v="35"/>
    <x v="50"/>
    <x v="0"/>
    <x v="2"/>
    <x v="0"/>
  </r>
  <r>
    <x v="18"/>
    <x v="50"/>
    <x v="93"/>
    <x v="3"/>
    <x v="112"/>
    <x v="63"/>
    <x v="91"/>
    <x v="0"/>
    <x v="2"/>
    <x v="0"/>
  </r>
  <r>
    <x v="18"/>
    <x v="39"/>
    <x v="92"/>
    <x v="8"/>
    <x v="32"/>
    <x v="18"/>
    <x v="13"/>
    <x v="0"/>
    <x v="2"/>
    <x v="0"/>
  </r>
  <r>
    <x v="18"/>
    <x v="72"/>
    <x v="94"/>
    <x v="6"/>
    <x v="17"/>
    <x v="15"/>
    <x v="20"/>
    <x v="0"/>
    <x v="1"/>
    <x v="0"/>
  </r>
  <r>
    <x v="18"/>
    <x v="113"/>
    <x v="95"/>
    <x v="6"/>
    <x v="20"/>
    <x v="14"/>
    <x v="23"/>
    <x v="0"/>
    <x v="5"/>
    <x v="0"/>
  </r>
  <r>
    <x v="19"/>
    <x v="47"/>
    <x v="97"/>
    <x v="8"/>
    <x v="30"/>
    <x v="18"/>
    <x v="11"/>
    <x v="0"/>
    <x v="2"/>
    <x v="0"/>
  </r>
  <r>
    <x v="19"/>
    <x v="69"/>
    <x v="98"/>
    <x v="3"/>
    <x v="104"/>
    <x v="51"/>
    <x v="89"/>
    <x v="0"/>
    <x v="2"/>
    <x v="0"/>
  </r>
  <r>
    <x v="19"/>
    <x v="4"/>
    <x v="96"/>
    <x v="7"/>
    <x v="74"/>
    <x v="39"/>
    <x v="61"/>
    <x v="0"/>
    <x v="2"/>
    <x v="0"/>
  </r>
  <r>
    <x v="19"/>
    <x v="77"/>
    <x v="99"/>
    <x v="9"/>
    <x v="43"/>
    <x v="24"/>
    <x v="22"/>
    <x v="0"/>
    <x v="5"/>
    <x v="0"/>
  </r>
  <r>
    <x v="19"/>
    <x v="120"/>
    <x v="100"/>
    <x v="9"/>
    <x v="44"/>
    <x v="22"/>
    <x v="27"/>
    <x v="0"/>
    <x v="5"/>
    <x v="0"/>
  </r>
  <r>
    <x v="19"/>
    <x v="124"/>
    <x v="101"/>
    <x v="4"/>
    <x v="9"/>
    <x v="4"/>
    <x v="9"/>
    <x v="0"/>
    <x v="2"/>
    <x v="0"/>
  </r>
  <r>
    <x v="20"/>
    <x v="14"/>
    <x v="102"/>
    <x v="7"/>
    <x v="63"/>
    <x v="42"/>
    <x v="48"/>
    <x v="0"/>
    <x v="2"/>
    <x v="0"/>
  </r>
  <r>
    <x v="20"/>
    <x v="52"/>
    <x v="104"/>
    <x v="3"/>
    <x v="99"/>
    <x v="58"/>
    <x v="79"/>
    <x v="0"/>
    <x v="2"/>
    <x v="0"/>
  </r>
  <r>
    <x v="20"/>
    <x v="45"/>
    <x v="103"/>
    <x v="8"/>
    <x v="32"/>
    <x v="21"/>
    <x v="10"/>
    <x v="0"/>
    <x v="2"/>
    <x v="0"/>
  </r>
  <r>
    <x v="20"/>
    <x v="103"/>
    <x v="0"/>
    <x v="3"/>
    <x v="82"/>
    <x v="57"/>
    <x v="37"/>
    <x v="0"/>
    <x v="4"/>
    <x v="0"/>
  </r>
  <r>
    <x v="20"/>
    <x v="106"/>
    <x v="106"/>
    <x v="0"/>
    <x v="86"/>
    <x v="48"/>
    <x v="65"/>
    <x v="0"/>
    <x v="5"/>
    <x v="0"/>
  </r>
  <r>
    <x v="20"/>
    <x v="123"/>
    <x v="107"/>
    <x v="0"/>
    <x v="83"/>
    <x v="64"/>
    <x v="42"/>
    <x v="0"/>
    <x v="5"/>
    <x v="0"/>
  </r>
  <r>
    <x v="20"/>
    <x v="91"/>
    <x v="105"/>
    <x v="0"/>
    <x v="93"/>
    <x v="53"/>
    <x v="71"/>
    <x v="0"/>
    <x v="5"/>
    <x v="0"/>
  </r>
  <r>
    <x v="20"/>
    <x v="125"/>
    <x v="108"/>
    <x v="6"/>
    <x v="16"/>
    <x v="12"/>
    <x v="18"/>
    <x v="0"/>
    <x v="5"/>
    <x v="0"/>
  </r>
  <r>
    <x v="21"/>
    <x v="2"/>
    <x v="109"/>
    <x v="7"/>
    <x v="64"/>
    <x v="42"/>
    <x v="49"/>
    <x v="0"/>
    <x v="2"/>
    <x v="0"/>
  </r>
  <r>
    <x v="21"/>
    <x v="52"/>
    <x v="110"/>
    <x v="8"/>
    <x v="36"/>
    <x v="21"/>
    <x v="14"/>
    <x v="0"/>
    <x v="2"/>
    <x v="0"/>
  </r>
  <r>
    <x v="21"/>
    <x v="60"/>
    <x v="111"/>
    <x v="3"/>
    <x v="118"/>
    <x v="60"/>
    <x v="97"/>
    <x v="0"/>
    <x v="2"/>
    <x v="0"/>
  </r>
  <r>
    <x v="21"/>
    <x v="114"/>
    <x v="162"/>
    <x v="3"/>
    <x v="77"/>
    <x v="56"/>
    <x v="33"/>
    <x v="0"/>
    <x v="3"/>
    <x v="0"/>
  </r>
  <r>
    <x v="21"/>
    <x v="95"/>
    <x v="112"/>
    <x v="4"/>
    <x v="0"/>
    <x v="3"/>
    <x v="1"/>
    <x v="0"/>
    <x v="2"/>
    <x v="0"/>
  </r>
  <r>
    <x v="22"/>
    <x v="120"/>
    <x v="116"/>
    <x v="2"/>
    <x v="85"/>
    <x v="53"/>
    <x v="57"/>
    <x v="0"/>
    <x v="2"/>
    <x v="0"/>
  </r>
  <r>
    <x v="22"/>
    <x v="126"/>
    <x v="117"/>
    <x v="1"/>
    <x v="12"/>
    <x v="7"/>
    <x v="10"/>
    <x v="0"/>
    <x v="1"/>
    <x v="0"/>
  </r>
  <r>
    <x v="22"/>
    <x v="9"/>
    <x v="113"/>
    <x v="7"/>
    <x v="67"/>
    <x v="40"/>
    <x v="55"/>
    <x v="0"/>
    <x v="2"/>
    <x v="0"/>
  </r>
  <r>
    <x v="22"/>
    <x v="49"/>
    <x v="114"/>
    <x v="8"/>
    <x v="38"/>
    <x v="20"/>
    <x v="17"/>
    <x v="0"/>
    <x v="2"/>
    <x v="0"/>
  </r>
  <r>
    <x v="22"/>
    <x v="63"/>
    <x v="115"/>
    <x v="3"/>
    <x v="106"/>
    <x v="58"/>
    <x v="87"/>
    <x v="0"/>
    <x v="2"/>
    <x v="0"/>
  </r>
  <r>
    <x v="23"/>
    <x v="11"/>
    <x v="118"/>
    <x v="7"/>
    <x v="59"/>
    <x v="32"/>
    <x v="47"/>
    <x v="0"/>
    <x v="2"/>
    <x v="0"/>
  </r>
  <r>
    <x v="23"/>
    <x v="31"/>
    <x v="119"/>
    <x v="8"/>
    <x v="30"/>
    <x v="19"/>
    <x v="10"/>
    <x v="0"/>
    <x v="2"/>
    <x v="0"/>
  </r>
  <r>
    <x v="23"/>
    <x v="34"/>
    <x v="120"/>
    <x v="3"/>
    <x v="113"/>
    <x v="55"/>
    <x v="94"/>
    <x v="0"/>
    <x v="2"/>
    <x v="0"/>
  </r>
  <r>
    <x v="23"/>
    <x v="124"/>
    <x v="121"/>
    <x v="4"/>
    <x v="6"/>
    <x v="3"/>
    <x v="7"/>
    <x v="0"/>
    <x v="2"/>
    <x v="0"/>
  </r>
  <r>
    <x v="24"/>
    <x v="63"/>
    <x v="124"/>
    <x v="2"/>
    <x v="96"/>
    <x v="58"/>
    <x v="74"/>
    <x v="0"/>
    <x v="2"/>
    <x v="0"/>
  </r>
  <r>
    <x v="24"/>
    <x v="36"/>
    <x v="123"/>
    <x v="8"/>
    <x v="28"/>
    <x v="20"/>
    <x v="7"/>
    <x v="0"/>
    <x v="2"/>
    <x v="0"/>
  </r>
  <r>
    <x v="24"/>
    <x v="18"/>
    <x v="122"/>
    <x v="7"/>
    <x v="51"/>
    <x v="32"/>
    <x v="40"/>
    <x v="0"/>
    <x v="2"/>
    <x v="0"/>
  </r>
  <r>
    <x v="24"/>
    <x v="111"/>
    <x v="126"/>
    <x v="6"/>
    <x v="21"/>
    <x v="13"/>
    <x v="25"/>
    <x v="0"/>
    <x v="5"/>
    <x v="0"/>
  </r>
  <r>
    <x v="24"/>
    <x v="112"/>
    <x v="127"/>
    <x v="4"/>
    <x v="3"/>
    <x v="4"/>
    <x v="3"/>
    <x v="0"/>
    <x v="2"/>
    <x v="0"/>
  </r>
  <r>
    <x v="24"/>
    <x v="79"/>
    <x v="125"/>
    <x v="6"/>
    <x v="16"/>
    <x v="11"/>
    <x v="19"/>
    <x v="0"/>
    <x v="5"/>
    <x v="0"/>
  </r>
  <r>
    <x v="25"/>
    <x v="62"/>
    <x v="131"/>
    <x v="2"/>
    <x v="88"/>
    <x v="60"/>
    <x v="67"/>
    <x v="0"/>
    <x v="2"/>
    <x v="0"/>
  </r>
  <r>
    <x v="25"/>
    <x v="38"/>
    <x v="130"/>
    <x v="8"/>
    <x v="31"/>
    <x v="19"/>
    <x v="11"/>
    <x v="0"/>
    <x v="2"/>
    <x v="0"/>
  </r>
  <r>
    <x v="25"/>
    <x v="26"/>
    <x v="129"/>
    <x v="3"/>
    <x v="84"/>
    <x v="55"/>
    <x v="51"/>
    <x v="0"/>
    <x v="2"/>
    <x v="0"/>
  </r>
  <r>
    <x v="25"/>
    <x v="41"/>
    <x v="128"/>
    <x v="7"/>
    <x v="58"/>
    <x v="31"/>
    <x v="46"/>
    <x v="0"/>
    <x v="2"/>
    <x v="0"/>
  </r>
  <r>
    <x v="25"/>
    <x v="97"/>
    <x v="136"/>
    <x v="4"/>
    <x v="2"/>
    <x v="2"/>
    <x v="4"/>
    <x v="0"/>
    <x v="2"/>
    <x v="0"/>
  </r>
  <r>
    <x v="25"/>
    <x v="71"/>
    <x v="132"/>
    <x v="0"/>
    <x v="93"/>
    <x v="45"/>
    <x v="78"/>
    <x v="0"/>
    <x v="0"/>
    <x v="0"/>
  </r>
  <r>
    <x v="25"/>
    <x v="78"/>
    <x v="133"/>
    <x v="0"/>
    <x v="119"/>
    <x v="45"/>
    <x v="100"/>
    <x v="0"/>
    <x v="0"/>
    <x v="0"/>
  </r>
  <r>
    <x v="25"/>
    <x v="89"/>
    <x v="135"/>
    <x v="0"/>
    <x v="127"/>
    <x v="45"/>
    <x v="108"/>
    <x v="0"/>
    <x v="0"/>
    <x v="0"/>
  </r>
  <r>
    <x v="25"/>
    <x v="82"/>
    <x v="134"/>
    <x v="0"/>
    <x v="125"/>
    <x v="45"/>
    <x v="106"/>
    <x v="0"/>
    <x v="0"/>
    <x v="0"/>
  </r>
  <r>
    <x v="26"/>
    <x v="40"/>
    <x v="138"/>
    <x v="8"/>
    <x v="32"/>
    <x v="19"/>
    <x v="12"/>
    <x v="0"/>
    <x v="2"/>
    <x v="0"/>
  </r>
  <r>
    <x v="26"/>
    <x v="21"/>
    <x v="137"/>
    <x v="7"/>
    <x v="65"/>
    <x v="31"/>
    <x v="54"/>
    <x v="0"/>
    <x v="2"/>
    <x v="0"/>
  </r>
  <r>
    <x v="26"/>
    <x v="67"/>
    <x v="139"/>
    <x v="2"/>
    <x v="92"/>
    <x v="49"/>
    <x v="72"/>
    <x v="0"/>
    <x v="2"/>
    <x v="0"/>
  </r>
  <r>
    <x v="26"/>
    <x v="74"/>
    <x v="140"/>
    <x v="9"/>
    <x v="42"/>
    <x v="25"/>
    <x v="20"/>
    <x v="0"/>
    <x v="5"/>
    <x v="0"/>
  </r>
  <r>
    <x v="26"/>
    <x v="86"/>
    <x v="141"/>
    <x v="9"/>
    <x v="46"/>
    <x v="24"/>
    <x v="32"/>
    <x v="0"/>
    <x v="5"/>
    <x v="0"/>
  </r>
  <r>
    <x v="26"/>
    <x v="93"/>
    <x v="142"/>
    <x v="4"/>
    <x v="5"/>
    <x v="2"/>
    <x v="7"/>
    <x v="0"/>
    <x v="2"/>
    <x v="0"/>
  </r>
  <r>
    <x v="26"/>
    <x v="118"/>
    <x v="143"/>
    <x v="9"/>
    <x v="41"/>
    <x v="23"/>
    <x v="7"/>
    <x v="0"/>
    <x v="5"/>
    <x v="0"/>
  </r>
  <r>
    <x v="26"/>
    <x v="119"/>
    <x v="144"/>
    <x v="7"/>
    <x v="47"/>
    <x v="27"/>
    <x v="7"/>
    <x v="0"/>
    <x v="2"/>
    <x v="0"/>
  </r>
  <r>
    <x v="26"/>
    <x v="128"/>
    <x v="145"/>
    <x v="6"/>
    <x v="22"/>
    <x v="12"/>
    <x v="26"/>
    <x v="0"/>
    <x v="1"/>
    <x v="0"/>
  </r>
  <r>
    <x v="27"/>
    <x v="16"/>
    <x v="146"/>
    <x v="5"/>
    <x v="56"/>
    <x v="26"/>
    <x v="51"/>
    <x v="0"/>
    <x v="2"/>
    <x v="0"/>
  </r>
  <r>
    <x v="27"/>
    <x v="56"/>
    <x v="147"/>
    <x v="8"/>
    <x v="37"/>
    <x v="18"/>
    <x v="17"/>
    <x v="0"/>
    <x v="2"/>
    <x v="0"/>
  </r>
  <r>
    <x v="27"/>
    <x v="68"/>
    <x v="148"/>
    <x v="2"/>
    <x v="106"/>
    <x v="57"/>
    <x v="88"/>
    <x v="0"/>
    <x v="2"/>
    <x v="0"/>
  </r>
  <r>
    <x v="27"/>
    <x v="118"/>
    <x v="3"/>
    <x v="3"/>
    <x v="81"/>
    <x v="51"/>
    <x v="38"/>
    <x v="0"/>
    <x v="4"/>
    <x v="0"/>
  </r>
  <r>
    <x v="27"/>
    <x v="88"/>
    <x v="149"/>
    <x v="4"/>
    <x v="11"/>
    <x v="6"/>
    <x v="9"/>
    <x v="0"/>
    <x v="5"/>
    <x v="0"/>
  </r>
  <r>
    <x v="27"/>
    <x v="121"/>
    <x v="150"/>
    <x v="4"/>
    <x v="5"/>
    <x v="4"/>
    <x v="5"/>
    <x v="0"/>
    <x v="1"/>
    <x v="0"/>
  </r>
  <r>
    <x v="28"/>
    <x v="24"/>
    <x v="151"/>
    <x v="7"/>
    <x v="72"/>
    <x v="29"/>
    <x v="62"/>
    <x v="0"/>
    <x v="2"/>
    <x v="0"/>
  </r>
  <r>
    <x v="28"/>
    <x v="59"/>
    <x v="153"/>
    <x v="2"/>
    <x v="108"/>
    <x v="52"/>
    <x v="90"/>
    <x v="0"/>
    <x v="2"/>
    <x v="0"/>
  </r>
  <r>
    <x v="28"/>
    <x v="57"/>
    <x v="152"/>
    <x v="8"/>
    <x v="32"/>
    <x v="17"/>
    <x v="15"/>
    <x v="0"/>
    <x v="2"/>
    <x v="0"/>
  </r>
  <r>
    <x v="28"/>
    <x v="122"/>
    <x v="154"/>
    <x v="4"/>
    <x v="8"/>
    <x v="4"/>
    <x v="8"/>
    <x v="0"/>
    <x v="2"/>
    <x v="0"/>
  </r>
  <r>
    <x v="28"/>
    <x v="108"/>
    <x v="162"/>
    <x v="3"/>
    <x v="73"/>
    <x v="56"/>
    <x v="29"/>
    <x v="0"/>
    <x v="3"/>
    <x v="0"/>
  </r>
  <r>
    <x v="29"/>
    <x v="51"/>
    <x v="156"/>
    <x v="2"/>
    <x v="97"/>
    <x v="48"/>
    <x v="76"/>
    <x v="0"/>
    <x v="2"/>
    <x v="0"/>
  </r>
  <r>
    <x v="29"/>
    <x v="102"/>
    <x v="158"/>
    <x v="4"/>
    <x v="0"/>
    <x v="3"/>
    <x v="1"/>
    <x v="0"/>
    <x v="2"/>
    <x v="0"/>
  </r>
  <r>
    <x v="29"/>
    <x v="52"/>
    <x v="157"/>
    <x v="8"/>
    <x v="29"/>
    <x v="17"/>
    <x v="12"/>
    <x v="0"/>
    <x v="2"/>
    <x v="0"/>
  </r>
  <r>
    <x v="29"/>
    <x v="23"/>
    <x v="155"/>
    <x v="7"/>
    <x v="66"/>
    <x v="29"/>
    <x v="56"/>
    <x v="0"/>
    <x v="2"/>
    <x v="0"/>
  </r>
  <r>
    <x v="30"/>
    <x v="33"/>
    <x v="161"/>
    <x v="2"/>
    <x v="100"/>
    <x v="46"/>
    <x v="82"/>
    <x v="0"/>
    <x v="2"/>
    <x v="0"/>
  </r>
  <r>
    <x v="30"/>
    <x v="32"/>
    <x v="160"/>
    <x v="8"/>
    <x v="37"/>
    <x v="19"/>
    <x v="16"/>
    <x v="0"/>
    <x v="2"/>
    <x v="0"/>
  </r>
  <r>
    <x v="30"/>
    <x v="8"/>
    <x v="159"/>
    <x v="7"/>
    <x v="61"/>
    <x v="28"/>
    <x v="53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5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36" firstHeaderRow="1" firstDataRow="2" firstDataCol="1" rowPageCount="1" colPageCount="1"/>
  <pivotFields count="10">
    <pivotField axis="axisRow" showAll="0"/>
    <pivotField showAll="0"/>
    <pivotField showAll="0"/>
    <pivotField axis="axisPage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0"/>
  </rowFields>
  <colFields count="1">
    <field x="8"/>
  </colFields>
  <pageFields count="1"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customFormat="false" ht="15" hidden="false" customHeight="false" outlineLevel="0" collapsed="false">
      <c r="A2" s="6" t="n">
        <v>43952</v>
      </c>
      <c r="B2" s="7" t="n">
        <v>0.253472222222222</v>
      </c>
      <c r="C2" s="8" t="n">
        <v>123368</v>
      </c>
      <c r="D2" s="8" t="s">
        <v>10</v>
      </c>
      <c r="E2" s="8" t="n">
        <v>25120</v>
      </c>
      <c r="F2" s="8" t="n">
        <v>16000</v>
      </c>
      <c r="G2" s="9" t="n">
        <v>9120</v>
      </c>
      <c r="H2" s="8" t="s">
        <v>11</v>
      </c>
      <c r="I2" s="8" t="s">
        <v>12</v>
      </c>
      <c r="J2" s="0" t="s">
        <v>13</v>
      </c>
    </row>
    <row r="3" customFormat="false" ht="15" hidden="false" customHeight="false" outlineLevel="0" collapsed="false">
      <c r="A3" s="6" t="n">
        <v>43952</v>
      </c>
      <c r="B3" s="7" t="n">
        <v>0.125</v>
      </c>
      <c r="C3" s="8" t="n">
        <v>123360</v>
      </c>
      <c r="D3" s="8" t="s">
        <v>14</v>
      </c>
      <c r="E3" s="8" t="n">
        <v>16880</v>
      </c>
      <c r="F3" s="8" t="n">
        <v>12980</v>
      </c>
      <c r="G3" s="9" t="n">
        <v>3900</v>
      </c>
      <c r="H3" s="8" t="s">
        <v>11</v>
      </c>
      <c r="I3" s="8" t="s">
        <v>12</v>
      </c>
      <c r="J3" s="0" t="s">
        <v>13</v>
      </c>
    </row>
    <row r="4" customFormat="false" ht="15" hidden="false" customHeight="false" outlineLevel="0" collapsed="false">
      <c r="A4" s="6" t="n">
        <v>43952</v>
      </c>
      <c r="B4" s="7" t="n">
        <v>0.190277777777778</v>
      </c>
      <c r="C4" s="8" t="n">
        <v>123365</v>
      </c>
      <c r="D4" s="8" t="s">
        <v>15</v>
      </c>
      <c r="E4" s="8" t="n">
        <v>4040</v>
      </c>
      <c r="F4" s="8" t="n">
        <v>3800</v>
      </c>
      <c r="G4" s="9" t="n">
        <v>240</v>
      </c>
      <c r="H4" s="8" t="s">
        <v>11</v>
      </c>
      <c r="I4" s="8" t="s">
        <v>12</v>
      </c>
      <c r="J4" s="0" t="s">
        <v>13</v>
      </c>
    </row>
    <row r="5" customFormat="false" ht="15" hidden="false" customHeight="false" outlineLevel="0" collapsed="false">
      <c r="A5" s="6" t="n">
        <v>43953</v>
      </c>
      <c r="B5" s="7" t="n">
        <v>0.253472222222222</v>
      </c>
      <c r="C5" s="8" t="n">
        <v>123388</v>
      </c>
      <c r="D5" s="8" t="s">
        <v>15</v>
      </c>
      <c r="E5" s="8" t="n">
        <v>3940</v>
      </c>
      <c r="F5" s="8" t="n">
        <v>3680</v>
      </c>
      <c r="G5" s="9" t="n">
        <v>260</v>
      </c>
      <c r="H5" s="8" t="s">
        <v>11</v>
      </c>
      <c r="I5" s="8" t="s">
        <v>12</v>
      </c>
      <c r="J5" s="0" t="s">
        <v>13</v>
      </c>
    </row>
    <row r="6" customFormat="false" ht="15" hidden="false" customHeight="false" outlineLevel="0" collapsed="false">
      <c r="A6" s="6" t="n">
        <v>43953</v>
      </c>
      <c r="B6" s="7" t="n">
        <v>0.490972222222222</v>
      </c>
      <c r="C6" s="8" t="n">
        <v>123396</v>
      </c>
      <c r="D6" s="8" t="s">
        <v>16</v>
      </c>
      <c r="E6" s="8" t="n">
        <v>2660</v>
      </c>
      <c r="F6" s="8" t="n">
        <v>2380</v>
      </c>
      <c r="G6" s="9" t="n">
        <v>280</v>
      </c>
      <c r="H6" s="8" t="s">
        <v>11</v>
      </c>
      <c r="I6" s="8" t="s">
        <v>12</v>
      </c>
      <c r="J6" s="0" t="s">
        <v>13</v>
      </c>
    </row>
    <row r="7" customFormat="false" ht="15" hidden="false" customHeight="false" outlineLevel="0" collapsed="false">
      <c r="A7" s="6" t="n">
        <v>43953</v>
      </c>
      <c r="B7" s="7" t="n">
        <v>0.180555555555556</v>
      </c>
      <c r="C7" s="8" t="n">
        <v>123383</v>
      </c>
      <c r="D7" s="8" t="s">
        <v>10</v>
      </c>
      <c r="E7" s="8" t="n">
        <v>22380</v>
      </c>
      <c r="F7" s="8" t="n">
        <v>15960</v>
      </c>
      <c r="G7" s="9" t="n">
        <v>6420</v>
      </c>
      <c r="H7" s="8" t="s">
        <v>11</v>
      </c>
      <c r="I7" s="8" t="s">
        <v>12</v>
      </c>
      <c r="J7" s="0" t="s">
        <v>13</v>
      </c>
    </row>
    <row r="8" customFormat="false" ht="15" hidden="false" customHeight="false" outlineLevel="0" collapsed="false">
      <c r="A8" s="6" t="n">
        <v>43953</v>
      </c>
      <c r="B8" s="7" t="n">
        <v>0.148611111111111</v>
      </c>
      <c r="C8" s="8" t="n">
        <v>123380</v>
      </c>
      <c r="D8" s="8" t="s">
        <v>14</v>
      </c>
      <c r="E8" s="8" t="n">
        <v>15040</v>
      </c>
      <c r="F8" s="8" t="n">
        <v>12820</v>
      </c>
      <c r="G8" s="9" t="n">
        <v>2220</v>
      </c>
      <c r="H8" s="8" t="s">
        <v>11</v>
      </c>
      <c r="I8" s="8" t="s">
        <v>12</v>
      </c>
      <c r="J8" s="0" t="s">
        <v>13</v>
      </c>
    </row>
    <row r="9" customFormat="false" ht="15" hidden="false" customHeight="false" outlineLevel="0" collapsed="false">
      <c r="A9" s="6" t="n">
        <v>43954</v>
      </c>
      <c r="B9" s="7" t="n">
        <v>0.121527777777778</v>
      </c>
      <c r="C9" s="8" t="n">
        <v>123402</v>
      </c>
      <c r="D9" s="8" t="s">
        <v>14</v>
      </c>
      <c r="E9" s="8" t="n">
        <v>16360</v>
      </c>
      <c r="F9" s="8" t="n">
        <v>12900</v>
      </c>
      <c r="G9" s="9" t="n">
        <v>3460</v>
      </c>
      <c r="H9" s="8" t="s">
        <v>11</v>
      </c>
      <c r="I9" s="8" t="s">
        <v>12</v>
      </c>
      <c r="J9" s="0" t="s">
        <v>13</v>
      </c>
    </row>
    <row r="10" customFormat="false" ht="15" hidden="false" customHeight="false" outlineLevel="0" collapsed="false">
      <c r="A10" s="6" t="n">
        <v>43954</v>
      </c>
      <c r="B10" s="7" t="n">
        <v>0.201388888888889</v>
      </c>
      <c r="C10" s="8" t="n">
        <v>123405</v>
      </c>
      <c r="D10" s="8" t="s">
        <v>15</v>
      </c>
      <c r="E10" s="8" t="n">
        <v>3940</v>
      </c>
      <c r="F10" s="8" t="n">
        <v>3680</v>
      </c>
      <c r="G10" s="9" t="n">
        <v>260</v>
      </c>
      <c r="H10" s="8" t="s">
        <v>11</v>
      </c>
      <c r="I10" s="8" t="s">
        <v>12</v>
      </c>
      <c r="J10" s="0" t="s">
        <v>13</v>
      </c>
    </row>
    <row r="11" customFormat="false" ht="15" hidden="false" customHeight="false" outlineLevel="0" collapsed="false">
      <c r="A11" s="6" t="n">
        <v>43954</v>
      </c>
      <c r="B11" s="7" t="n">
        <v>0.220833333333333</v>
      </c>
      <c r="C11" s="8" t="n">
        <v>123406</v>
      </c>
      <c r="D11" s="8" t="s">
        <v>17</v>
      </c>
      <c r="E11" s="8" t="n">
        <v>27000</v>
      </c>
      <c r="F11" s="8" t="n">
        <v>16020</v>
      </c>
      <c r="G11" s="9" t="n">
        <v>10980</v>
      </c>
      <c r="H11" s="8" t="s">
        <v>11</v>
      </c>
      <c r="I11" s="8" t="s">
        <v>12</v>
      </c>
      <c r="J11" s="0" t="s">
        <v>13</v>
      </c>
    </row>
    <row r="12" customFormat="false" ht="15" hidden="false" customHeight="false" outlineLevel="0" collapsed="false">
      <c r="A12" s="6" t="n">
        <v>43955</v>
      </c>
      <c r="B12" s="7" t="n">
        <v>0.261805555555556</v>
      </c>
      <c r="C12" s="8" t="n">
        <v>123424</v>
      </c>
      <c r="D12" s="8" t="s">
        <v>17</v>
      </c>
      <c r="E12" s="8" t="n">
        <v>23240</v>
      </c>
      <c r="F12" s="8" t="n">
        <v>15920</v>
      </c>
      <c r="G12" s="9" t="n">
        <v>7320</v>
      </c>
      <c r="H12" s="8" t="s">
        <v>11</v>
      </c>
      <c r="I12" s="8" t="s">
        <v>12</v>
      </c>
      <c r="J12" s="0" t="s">
        <v>13</v>
      </c>
    </row>
    <row r="13" customFormat="false" ht="15" hidden="false" customHeight="false" outlineLevel="0" collapsed="false">
      <c r="A13" s="6" t="n">
        <v>43955</v>
      </c>
      <c r="B13" s="7" t="n">
        <v>0.258333333333333</v>
      </c>
      <c r="C13" s="8" t="n">
        <v>123423</v>
      </c>
      <c r="D13" s="8" t="s">
        <v>15</v>
      </c>
      <c r="E13" s="8" t="n">
        <v>4140</v>
      </c>
      <c r="F13" s="8" t="n">
        <v>3780</v>
      </c>
      <c r="G13" s="9" t="n">
        <v>360</v>
      </c>
      <c r="H13" s="8" t="s">
        <v>11</v>
      </c>
      <c r="I13" s="8" t="s">
        <v>12</v>
      </c>
      <c r="J13" s="0" t="s">
        <v>13</v>
      </c>
    </row>
    <row r="14" customFormat="false" ht="15" hidden="false" customHeight="false" outlineLevel="0" collapsed="false">
      <c r="A14" s="6" t="n">
        <v>43955</v>
      </c>
      <c r="B14" s="7" t="n">
        <v>0.120138888888889</v>
      </c>
      <c r="C14" s="8" t="n">
        <v>123413</v>
      </c>
      <c r="D14" s="8" t="s">
        <v>14</v>
      </c>
      <c r="E14" s="8" t="n">
        <v>14600</v>
      </c>
      <c r="F14" s="8" t="n">
        <v>13000</v>
      </c>
      <c r="G14" s="9" t="n">
        <v>1600</v>
      </c>
      <c r="H14" s="8" t="s">
        <v>11</v>
      </c>
      <c r="I14" s="8" t="s">
        <v>12</v>
      </c>
      <c r="J14" s="0" t="s">
        <v>13</v>
      </c>
    </row>
    <row r="15" customFormat="false" ht="15" hidden="false" customHeight="false" outlineLevel="0" collapsed="false">
      <c r="A15" s="6" t="n">
        <v>43955</v>
      </c>
      <c r="B15" s="7" t="n">
        <v>0.440277777777778</v>
      </c>
      <c r="C15" s="8" t="n">
        <v>123441</v>
      </c>
      <c r="D15" s="8" t="s">
        <v>16</v>
      </c>
      <c r="E15" s="8" t="n">
        <v>2540</v>
      </c>
      <c r="F15" s="8" t="n">
        <v>2400</v>
      </c>
      <c r="G15" s="9" t="n">
        <v>140</v>
      </c>
      <c r="H15" s="8" t="s">
        <v>11</v>
      </c>
      <c r="I15" s="8" t="s">
        <v>12</v>
      </c>
      <c r="J15" s="0" t="s">
        <v>13</v>
      </c>
    </row>
    <row r="16" customFormat="false" ht="15" hidden="false" customHeight="false" outlineLevel="0" collapsed="false">
      <c r="A16" s="6" t="n">
        <v>43956</v>
      </c>
      <c r="B16" s="7" t="n">
        <v>0.126388888888889</v>
      </c>
      <c r="C16" s="8" t="n">
        <v>123466</v>
      </c>
      <c r="D16" s="8" t="s">
        <v>14</v>
      </c>
      <c r="E16" s="8" t="n">
        <v>16840</v>
      </c>
      <c r="F16" s="8" t="n">
        <v>13000</v>
      </c>
      <c r="G16" s="9" t="n">
        <v>3840</v>
      </c>
      <c r="H16" s="8" t="s">
        <v>11</v>
      </c>
      <c r="I16" s="8" t="s">
        <v>12</v>
      </c>
      <c r="J16" s="0" t="s">
        <v>13</v>
      </c>
    </row>
    <row r="17" customFormat="false" ht="15" hidden="false" customHeight="false" outlineLevel="0" collapsed="false">
      <c r="A17" s="6" t="n">
        <v>43956</v>
      </c>
      <c r="B17" s="7" t="n">
        <v>0.254166666666667</v>
      </c>
      <c r="C17" s="8" t="n">
        <v>123474</v>
      </c>
      <c r="D17" s="8" t="s">
        <v>15</v>
      </c>
      <c r="E17" s="8" t="n">
        <v>3980</v>
      </c>
      <c r="F17" s="8" t="n">
        <v>3680</v>
      </c>
      <c r="G17" s="9" t="n">
        <v>300</v>
      </c>
      <c r="H17" s="8" t="s">
        <v>11</v>
      </c>
      <c r="I17" s="8" t="s">
        <v>12</v>
      </c>
      <c r="J17" s="0" t="s">
        <v>13</v>
      </c>
    </row>
    <row r="18" customFormat="false" ht="15" hidden="false" customHeight="false" outlineLevel="0" collapsed="false">
      <c r="A18" s="6" t="n">
        <v>43956</v>
      </c>
      <c r="B18" s="7" t="n">
        <v>0.265277777777778</v>
      </c>
      <c r="C18" s="8" t="n">
        <v>123475</v>
      </c>
      <c r="D18" s="8" t="s">
        <v>17</v>
      </c>
      <c r="E18" s="8" t="n">
        <v>24460</v>
      </c>
      <c r="F18" s="8" t="n">
        <v>15900</v>
      </c>
      <c r="G18" s="9" t="n">
        <v>8560</v>
      </c>
      <c r="H18" s="8" t="s">
        <v>11</v>
      </c>
      <c r="I18" s="8" t="s">
        <v>12</v>
      </c>
      <c r="J18" s="0" t="s">
        <v>13</v>
      </c>
    </row>
    <row r="19" customFormat="false" ht="15" hidden="false" customHeight="false" outlineLevel="0" collapsed="false">
      <c r="A19" s="6" t="n">
        <v>43956</v>
      </c>
      <c r="B19" s="7" t="n">
        <v>0.463194444444444</v>
      </c>
      <c r="C19" s="8" t="n">
        <v>123493</v>
      </c>
      <c r="D19" s="8" t="s">
        <v>16</v>
      </c>
      <c r="E19" s="8" t="n">
        <v>2520</v>
      </c>
      <c r="F19" s="8" t="n">
        <v>2400</v>
      </c>
      <c r="G19" s="9" t="n">
        <v>120</v>
      </c>
      <c r="H19" s="8" t="s">
        <v>11</v>
      </c>
      <c r="I19" s="8" t="s">
        <v>12</v>
      </c>
      <c r="J19" s="0" t="s">
        <v>13</v>
      </c>
    </row>
    <row r="20" customFormat="false" ht="13.8" hidden="false" customHeight="false" outlineLevel="0" collapsed="false">
      <c r="A20" s="6" t="n">
        <v>43957</v>
      </c>
      <c r="B20" s="7" t="n">
        <v>0.257638888888889</v>
      </c>
      <c r="C20" s="8" t="n">
        <v>123514</v>
      </c>
      <c r="D20" s="8" t="s">
        <v>15</v>
      </c>
      <c r="E20" s="8" t="n">
        <v>3960</v>
      </c>
      <c r="F20" s="8" t="n">
        <v>3680</v>
      </c>
      <c r="G20" s="9" t="n">
        <v>280</v>
      </c>
      <c r="H20" s="8" t="s">
        <v>11</v>
      </c>
      <c r="I20" s="8" t="s">
        <v>12</v>
      </c>
      <c r="J20" s="0" t="s">
        <v>13</v>
      </c>
    </row>
    <row r="21" customFormat="false" ht="13.8" hidden="false" customHeight="false" outlineLevel="0" collapsed="false">
      <c r="A21" s="6" t="n">
        <v>43957</v>
      </c>
      <c r="B21" s="7" t="n">
        <v>0.161805555555556</v>
      </c>
      <c r="C21" s="8" t="n">
        <v>123509</v>
      </c>
      <c r="D21" s="8" t="s">
        <v>14</v>
      </c>
      <c r="E21" s="8" t="n">
        <v>15580</v>
      </c>
      <c r="F21" s="8" t="n">
        <v>12960</v>
      </c>
      <c r="G21" s="9" t="n">
        <v>2620</v>
      </c>
      <c r="H21" s="8" t="s">
        <v>11</v>
      </c>
      <c r="I21" s="8" t="s">
        <v>12</v>
      </c>
      <c r="J21" s="0" t="s">
        <v>13</v>
      </c>
    </row>
    <row r="22" customFormat="false" ht="15" hidden="false" customHeight="false" outlineLevel="0" collapsed="false">
      <c r="A22" s="6" t="n">
        <v>43957</v>
      </c>
      <c r="B22" s="7" t="n">
        <v>0.263888888888889</v>
      </c>
      <c r="C22" s="8" t="n">
        <v>123515</v>
      </c>
      <c r="D22" s="8" t="s">
        <v>17</v>
      </c>
      <c r="E22" s="8" t="n">
        <v>25640</v>
      </c>
      <c r="F22" s="8" t="n">
        <v>15940</v>
      </c>
      <c r="G22" s="9" t="n">
        <v>9700</v>
      </c>
      <c r="H22" s="8" t="s">
        <v>11</v>
      </c>
      <c r="I22" s="8" t="s">
        <v>12</v>
      </c>
      <c r="J22" s="0" t="s">
        <v>13</v>
      </c>
    </row>
    <row r="23" customFormat="false" ht="15" hidden="false" customHeight="false" outlineLevel="0" collapsed="false">
      <c r="A23" s="6" t="n">
        <v>43957</v>
      </c>
      <c r="B23" s="7" t="n">
        <v>0.55</v>
      </c>
      <c r="C23" s="8" t="n">
        <v>123549</v>
      </c>
      <c r="D23" s="8" t="s">
        <v>16</v>
      </c>
      <c r="E23" s="8" t="n">
        <v>2660</v>
      </c>
      <c r="F23" s="8" t="n">
        <v>2380</v>
      </c>
      <c r="G23" s="9" t="n">
        <v>280</v>
      </c>
      <c r="H23" s="8" t="s">
        <v>11</v>
      </c>
      <c r="I23" s="8" t="s">
        <v>18</v>
      </c>
      <c r="J23" s="0" t="s">
        <v>13</v>
      </c>
    </row>
    <row r="24" customFormat="false" ht="15" hidden="false" customHeight="false" outlineLevel="0" collapsed="false">
      <c r="A24" s="6" t="n">
        <v>43957</v>
      </c>
      <c r="B24" s="7" t="n">
        <v>0.453472222222222</v>
      </c>
      <c r="C24" s="8" t="n">
        <v>123536</v>
      </c>
      <c r="D24" s="8" t="s">
        <v>16</v>
      </c>
      <c r="E24" s="8" t="n">
        <v>2780</v>
      </c>
      <c r="F24" s="8" t="n">
        <v>2400</v>
      </c>
      <c r="G24" s="9" t="n">
        <v>380</v>
      </c>
      <c r="H24" s="8" t="s">
        <v>11</v>
      </c>
      <c r="I24" s="8" t="s">
        <v>18</v>
      </c>
      <c r="J24" s="0" t="s">
        <v>13</v>
      </c>
    </row>
    <row r="25" customFormat="false" ht="15" hidden="false" customHeight="false" outlineLevel="0" collapsed="false">
      <c r="A25" s="6" t="n">
        <v>43957</v>
      </c>
      <c r="B25" s="7" t="n">
        <v>0.320138888888889</v>
      </c>
      <c r="C25" s="8" t="n">
        <v>123521</v>
      </c>
      <c r="D25" s="8" t="s">
        <v>19</v>
      </c>
      <c r="E25" s="8" t="n">
        <v>28740</v>
      </c>
      <c r="F25" s="8" t="n">
        <v>15300</v>
      </c>
      <c r="G25" s="9" t="n">
        <v>13440</v>
      </c>
      <c r="H25" s="8" t="s">
        <v>11</v>
      </c>
      <c r="I25" s="8" t="s">
        <v>20</v>
      </c>
      <c r="J25" s="0" t="s">
        <v>13</v>
      </c>
    </row>
    <row r="26" customFormat="false" ht="15" hidden="false" customHeight="false" outlineLevel="0" collapsed="false">
      <c r="A26" s="6" t="n">
        <v>43957</v>
      </c>
      <c r="B26" s="7" t="n">
        <v>0.534722222222222</v>
      </c>
      <c r="C26" s="8" t="n">
        <v>123544</v>
      </c>
      <c r="D26" s="8" t="s">
        <v>21</v>
      </c>
      <c r="E26" s="8" t="n">
        <v>3100</v>
      </c>
      <c r="F26" s="8" t="n">
        <v>2740</v>
      </c>
      <c r="G26" s="9" t="n">
        <v>360</v>
      </c>
      <c r="H26" s="8" t="s">
        <v>11</v>
      </c>
      <c r="I26" s="8" t="s">
        <v>18</v>
      </c>
      <c r="J26" s="0" t="s">
        <v>13</v>
      </c>
    </row>
    <row r="27" customFormat="false" ht="15" hidden="false" customHeight="false" outlineLevel="0" collapsed="false">
      <c r="A27" s="6" t="n">
        <v>43957</v>
      </c>
      <c r="B27" s="7" t="n">
        <v>0.443055555555556</v>
      </c>
      <c r="C27" s="8" t="n">
        <v>123535</v>
      </c>
      <c r="D27" s="8" t="s">
        <v>21</v>
      </c>
      <c r="E27" s="8" t="n">
        <v>3520</v>
      </c>
      <c r="F27" s="8" t="n">
        <v>2820</v>
      </c>
      <c r="G27" s="9" t="n">
        <v>700</v>
      </c>
      <c r="H27" s="8" t="s">
        <v>11</v>
      </c>
      <c r="I27" s="8" t="s">
        <v>18</v>
      </c>
      <c r="J27" s="0" t="s">
        <v>13</v>
      </c>
    </row>
    <row r="28" customFormat="false" ht="15" hidden="false" customHeight="false" outlineLevel="0" collapsed="false">
      <c r="A28" s="6" t="n">
        <v>43957</v>
      </c>
      <c r="B28" s="7" t="n">
        <v>0.370138888888889</v>
      </c>
      <c r="C28" s="8" t="n">
        <v>123527</v>
      </c>
      <c r="D28" s="8" t="s">
        <v>19</v>
      </c>
      <c r="E28" s="8" t="n">
        <v>27580</v>
      </c>
      <c r="F28" s="8" t="n">
        <v>15300</v>
      </c>
      <c r="G28" s="9" t="n">
        <v>12280</v>
      </c>
      <c r="H28" s="8" t="s">
        <v>11</v>
      </c>
      <c r="I28" s="8" t="s">
        <v>20</v>
      </c>
      <c r="J28" s="0" t="s">
        <v>13</v>
      </c>
    </row>
    <row r="29" customFormat="false" ht="15" hidden="false" customHeight="false" outlineLevel="0" collapsed="false">
      <c r="A29" s="6" t="n">
        <v>43957</v>
      </c>
      <c r="B29" s="7" t="n">
        <v>0.435416666666667</v>
      </c>
      <c r="C29" s="8" t="n">
        <v>123533</v>
      </c>
      <c r="D29" s="8" t="s">
        <v>19</v>
      </c>
      <c r="E29" s="8" t="n">
        <v>30020</v>
      </c>
      <c r="F29" s="8" t="n">
        <v>15300</v>
      </c>
      <c r="G29" s="9" t="n">
        <v>14720</v>
      </c>
      <c r="H29" s="8" t="s">
        <v>11</v>
      </c>
      <c r="I29" s="8" t="s">
        <v>20</v>
      </c>
      <c r="J29" s="0" t="s">
        <v>13</v>
      </c>
    </row>
    <row r="30" customFormat="false" ht="15" hidden="false" customHeight="false" outlineLevel="0" collapsed="false">
      <c r="A30" s="6" t="n">
        <v>43957</v>
      </c>
      <c r="B30" s="7" t="n">
        <v>0.504166666666667</v>
      </c>
      <c r="C30" s="8" t="n">
        <v>123540</v>
      </c>
      <c r="D30" s="8" t="s">
        <v>19</v>
      </c>
      <c r="E30" s="8" t="n">
        <v>28980</v>
      </c>
      <c r="F30" s="8" t="n">
        <v>15300</v>
      </c>
      <c r="G30" s="9" t="n">
        <v>13680</v>
      </c>
      <c r="H30" s="8" t="s">
        <v>11</v>
      </c>
      <c r="I30" s="8" t="s">
        <v>20</v>
      </c>
      <c r="J30" s="0" t="s">
        <v>13</v>
      </c>
    </row>
    <row r="31" customFormat="false" ht="15" hidden="false" customHeight="false" outlineLevel="0" collapsed="false">
      <c r="A31" s="6" t="n">
        <v>43958</v>
      </c>
      <c r="B31" s="7" t="n">
        <v>0.163194444444444</v>
      </c>
      <c r="C31" s="8" t="n">
        <v>123564</v>
      </c>
      <c r="D31" s="8" t="s">
        <v>14</v>
      </c>
      <c r="E31" s="8" t="n">
        <v>15480</v>
      </c>
      <c r="F31" s="8" t="n">
        <v>12940</v>
      </c>
      <c r="G31" s="9" t="n">
        <v>2540</v>
      </c>
      <c r="H31" s="8" t="s">
        <v>11</v>
      </c>
      <c r="I31" s="8" t="s">
        <v>12</v>
      </c>
      <c r="J31" s="0" t="s">
        <v>13</v>
      </c>
    </row>
    <row r="32" customFormat="false" ht="15" hidden="false" customHeight="false" outlineLevel="0" collapsed="false">
      <c r="A32" s="6" t="n">
        <v>43958</v>
      </c>
      <c r="B32" s="7" t="n">
        <v>0.25625</v>
      </c>
      <c r="C32" s="8" t="n">
        <v>123569</v>
      </c>
      <c r="D32" s="8" t="s">
        <v>17</v>
      </c>
      <c r="E32" s="8" t="n">
        <v>24780</v>
      </c>
      <c r="F32" s="8" t="n">
        <v>15900</v>
      </c>
      <c r="G32" s="9" t="n">
        <v>8880</v>
      </c>
      <c r="H32" s="8" t="s">
        <v>11</v>
      </c>
      <c r="I32" s="8" t="s">
        <v>12</v>
      </c>
      <c r="J32" s="0" t="s">
        <v>13</v>
      </c>
    </row>
    <row r="33" customFormat="false" ht="15" hidden="false" customHeight="false" outlineLevel="0" collapsed="false">
      <c r="A33" s="6" t="n">
        <v>43958</v>
      </c>
      <c r="B33" s="7" t="n">
        <v>0.247222222222222</v>
      </c>
      <c r="C33" s="8" t="n">
        <v>123568</v>
      </c>
      <c r="D33" s="8" t="s">
        <v>15</v>
      </c>
      <c r="E33" s="8" t="n">
        <v>4120</v>
      </c>
      <c r="F33" s="8" t="n">
        <v>3760</v>
      </c>
      <c r="G33" s="9" t="n">
        <v>360</v>
      </c>
      <c r="H33" s="8" t="s">
        <v>11</v>
      </c>
      <c r="I33" s="8" t="s">
        <v>12</v>
      </c>
      <c r="J33" s="0" t="s">
        <v>13</v>
      </c>
    </row>
    <row r="34" customFormat="false" ht="13.8" hidden="false" customHeight="false" outlineLevel="0" collapsed="false">
      <c r="A34" s="6" t="n">
        <v>43958</v>
      </c>
      <c r="B34" s="7" t="n">
        <v>0.525</v>
      </c>
      <c r="C34" s="8" t="n">
        <v>101287</v>
      </c>
      <c r="D34" s="8" t="s">
        <v>17</v>
      </c>
      <c r="E34" s="8" t="n">
        <v>17280</v>
      </c>
      <c r="F34" s="8" t="n">
        <v>15860</v>
      </c>
      <c r="G34" s="9" t="n">
        <v>1420</v>
      </c>
      <c r="H34" s="8" t="s">
        <v>11</v>
      </c>
      <c r="I34" s="8" t="s">
        <v>22</v>
      </c>
      <c r="J34" s="0" t="s">
        <v>13</v>
      </c>
    </row>
    <row r="35" customFormat="false" ht="15" hidden="false" customHeight="false" outlineLevel="0" collapsed="false">
      <c r="A35" s="6" t="n">
        <v>43958</v>
      </c>
      <c r="B35" s="7" t="n">
        <v>0.477777777777778</v>
      </c>
      <c r="C35" s="8" t="n">
        <v>123583</v>
      </c>
      <c r="D35" s="8" t="s">
        <v>16</v>
      </c>
      <c r="E35" s="8" t="n">
        <v>2680</v>
      </c>
      <c r="F35" s="8" t="n">
        <v>2380</v>
      </c>
      <c r="G35" s="9" t="n">
        <v>300</v>
      </c>
      <c r="H35" s="8" t="s">
        <v>11</v>
      </c>
      <c r="I35" s="8" t="s">
        <v>12</v>
      </c>
      <c r="J35" s="0" t="s">
        <v>13</v>
      </c>
    </row>
    <row r="36" customFormat="false" ht="15" hidden="false" customHeight="false" outlineLevel="0" collapsed="false">
      <c r="A36" s="6" t="n">
        <v>43959</v>
      </c>
      <c r="B36" s="7" t="n">
        <v>0.25625</v>
      </c>
      <c r="C36" s="8" t="n">
        <v>123605</v>
      </c>
      <c r="D36" s="8" t="s">
        <v>15</v>
      </c>
      <c r="E36" s="8" t="n">
        <v>4060</v>
      </c>
      <c r="F36" s="8" t="n">
        <v>3680</v>
      </c>
      <c r="G36" s="9" t="n">
        <v>380</v>
      </c>
      <c r="H36" s="8" t="s">
        <v>11</v>
      </c>
      <c r="I36" s="8" t="s">
        <v>12</v>
      </c>
      <c r="J36" s="0" t="s">
        <v>13</v>
      </c>
    </row>
    <row r="37" customFormat="false" ht="15" hidden="false" customHeight="false" outlineLevel="0" collapsed="false">
      <c r="A37" s="6" t="n">
        <v>43959</v>
      </c>
      <c r="B37" s="7" t="n">
        <v>0.115277777777778</v>
      </c>
      <c r="C37" s="8" t="n">
        <v>123596</v>
      </c>
      <c r="D37" s="8" t="s">
        <v>14</v>
      </c>
      <c r="E37" s="8" t="n">
        <v>15840</v>
      </c>
      <c r="F37" s="8" t="n">
        <v>12920</v>
      </c>
      <c r="G37" s="9" t="n">
        <v>2920</v>
      </c>
      <c r="H37" s="8" t="s">
        <v>11</v>
      </c>
      <c r="I37" s="8" t="s">
        <v>12</v>
      </c>
      <c r="J37" s="0" t="s">
        <v>13</v>
      </c>
    </row>
    <row r="38" customFormat="false" ht="15" hidden="false" customHeight="false" outlineLevel="0" collapsed="false">
      <c r="A38" s="6" t="n">
        <v>43959</v>
      </c>
      <c r="B38" s="7" t="n">
        <v>0.275694444444444</v>
      </c>
      <c r="C38" s="8" t="n">
        <v>123608</v>
      </c>
      <c r="D38" s="8" t="s">
        <v>17</v>
      </c>
      <c r="E38" s="8" t="n">
        <v>25700</v>
      </c>
      <c r="F38" s="8" t="n">
        <v>15960</v>
      </c>
      <c r="G38" s="9" t="n">
        <v>9740</v>
      </c>
      <c r="H38" s="8" t="s">
        <v>11</v>
      </c>
      <c r="I38" s="8" t="s">
        <v>12</v>
      </c>
      <c r="J38" s="0" t="s">
        <v>13</v>
      </c>
    </row>
    <row r="39" customFormat="false" ht="15" hidden="false" customHeight="false" outlineLevel="0" collapsed="false">
      <c r="A39" s="6" t="n">
        <v>43959</v>
      </c>
      <c r="B39" s="7" t="n">
        <v>0.524305555555556</v>
      </c>
      <c r="C39" s="8" t="s">
        <v>23</v>
      </c>
      <c r="D39" s="8" t="s">
        <v>17</v>
      </c>
      <c r="E39" s="8" t="n">
        <v>17220</v>
      </c>
      <c r="F39" s="8" t="n">
        <v>15800</v>
      </c>
      <c r="G39" s="9" t="n">
        <v>1420</v>
      </c>
      <c r="H39" s="8" t="s">
        <v>11</v>
      </c>
      <c r="I39" s="8" t="s">
        <v>24</v>
      </c>
      <c r="J39" s="0" t="s">
        <v>13</v>
      </c>
    </row>
    <row r="40" customFormat="false" ht="15" hidden="false" customHeight="false" outlineLevel="0" collapsed="false">
      <c r="A40" s="6" t="n">
        <v>43960</v>
      </c>
      <c r="B40" s="7" t="n">
        <v>0.122916666666667</v>
      </c>
      <c r="C40" s="8" t="n">
        <v>123639</v>
      </c>
      <c r="D40" s="8" t="s">
        <v>14</v>
      </c>
      <c r="E40" s="8" t="n">
        <v>17480</v>
      </c>
      <c r="F40" s="8" t="n">
        <v>13060</v>
      </c>
      <c r="G40" s="9" t="n">
        <v>4420</v>
      </c>
      <c r="H40" s="8" t="s">
        <v>11</v>
      </c>
      <c r="I40" s="8" t="s">
        <v>12</v>
      </c>
      <c r="J40" s="0" t="s">
        <v>13</v>
      </c>
    </row>
    <row r="41" customFormat="false" ht="15" hidden="false" customHeight="false" outlineLevel="0" collapsed="false">
      <c r="A41" s="6" t="n">
        <v>43960</v>
      </c>
      <c r="B41" s="7" t="n">
        <v>0.261111111111111</v>
      </c>
      <c r="C41" s="8" t="n">
        <v>123648</v>
      </c>
      <c r="D41" s="8" t="s">
        <v>15</v>
      </c>
      <c r="E41" s="8" t="n">
        <v>4280</v>
      </c>
      <c r="F41" s="8" t="n">
        <v>3820</v>
      </c>
      <c r="G41" s="9" t="n">
        <v>460</v>
      </c>
      <c r="H41" s="8" t="s">
        <v>11</v>
      </c>
      <c r="I41" s="8" t="s">
        <v>12</v>
      </c>
    </row>
    <row r="42" customFormat="false" ht="15" hidden="false" customHeight="false" outlineLevel="0" collapsed="false">
      <c r="A42" s="6" t="n">
        <v>43960</v>
      </c>
      <c r="B42" s="7" t="n">
        <v>0.5</v>
      </c>
      <c r="C42" s="8" t="n">
        <v>123658</v>
      </c>
      <c r="D42" s="8" t="s">
        <v>16</v>
      </c>
      <c r="E42" s="8" t="n">
        <v>2560</v>
      </c>
      <c r="F42" s="8" t="n">
        <v>2380</v>
      </c>
      <c r="G42" s="9" t="n">
        <v>180</v>
      </c>
      <c r="H42" s="8" t="s">
        <v>11</v>
      </c>
      <c r="I42" s="8" t="s">
        <v>12</v>
      </c>
      <c r="J42" s="0" t="s">
        <v>13</v>
      </c>
    </row>
    <row r="43" customFormat="false" ht="15" hidden="false" customHeight="false" outlineLevel="0" collapsed="false">
      <c r="A43" s="6" t="n">
        <v>43960</v>
      </c>
      <c r="B43" s="7" t="n">
        <v>0.277777777777778</v>
      </c>
      <c r="C43" s="8" t="n">
        <v>123652</v>
      </c>
      <c r="D43" s="8" t="s">
        <v>10</v>
      </c>
      <c r="E43" s="8" t="n">
        <v>24440</v>
      </c>
      <c r="F43" s="8" t="n">
        <v>15780</v>
      </c>
      <c r="G43" s="9" t="n">
        <v>8660</v>
      </c>
      <c r="H43" s="8" t="s">
        <v>11</v>
      </c>
      <c r="I43" s="8" t="s">
        <v>12</v>
      </c>
      <c r="J43" s="0" t="s">
        <v>13</v>
      </c>
    </row>
    <row r="44" customFormat="false" ht="15" hidden="false" customHeight="false" outlineLevel="0" collapsed="false">
      <c r="A44" s="6" t="n">
        <v>43961</v>
      </c>
      <c r="B44" s="7" t="n">
        <v>0.105555555555556</v>
      </c>
      <c r="C44" s="8" t="n">
        <v>123663</v>
      </c>
      <c r="D44" s="8" t="s">
        <v>14</v>
      </c>
      <c r="E44" s="8" t="n">
        <v>15380</v>
      </c>
      <c r="F44" s="8" t="n">
        <v>12980</v>
      </c>
      <c r="G44" s="9" t="n">
        <v>2400</v>
      </c>
      <c r="H44" s="8" t="s">
        <v>11</v>
      </c>
      <c r="I44" s="8" t="s">
        <v>12</v>
      </c>
      <c r="J44" s="0" t="s">
        <v>13</v>
      </c>
    </row>
    <row r="45" customFormat="false" ht="15" hidden="false" customHeight="false" outlineLevel="0" collapsed="false">
      <c r="A45" s="6" t="n">
        <v>43961</v>
      </c>
      <c r="B45" s="7" t="n">
        <v>0.195833333333333</v>
      </c>
      <c r="C45" s="8" t="n">
        <v>123667</v>
      </c>
      <c r="D45" s="8" t="s">
        <v>15</v>
      </c>
      <c r="E45" s="8" t="n">
        <v>4180</v>
      </c>
      <c r="F45" s="8" t="n">
        <v>3820</v>
      </c>
      <c r="G45" s="9" t="n">
        <v>360</v>
      </c>
      <c r="H45" s="8" t="s">
        <v>11</v>
      </c>
      <c r="I45" s="8" t="s">
        <v>12</v>
      </c>
      <c r="J45" s="0" t="s">
        <v>13</v>
      </c>
    </row>
    <row r="46" customFormat="false" ht="15" hidden="false" customHeight="false" outlineLevel="0" collapsed="false">
      <c r="A46" s="6" t="n">
        <v>43961</v>
      </c>
      <c r="B46" s="7" t="n">
        <v>0.221527777777778</v>
      </c>
      <c r="C46" s="8" t="n">
        <v>123668</v>
      </c>
      <c r="D46" s="8" t="s">
        <v>10</v>
      </c>
      <c r="E46" s="8" t="n">
        <v>25100</v>
      </c>
      <c r="F46" s="8" t="n">
        <v>15720</v>
      </c>
      <c r="G46" s="9" t="n">
        <v>9380</v>
      </c>
      <c r="H46" s="8" t="s">
        <v>11</v>
      </c>
      <c r="I46" s="8" t="s">
        <v>12</v>
      </c>
      <c r="J46" s="0" t="s">
        <v>13</v>
      </c>
    </row>
    <row r="47" customFormat="false" ht="15" hidden="false" customHeight="false" outlineLevel="0" collapsed="false">
      <c r="A47" s="6" t="n">
        <v>43961</v>
      </c>
      <c r="B47" s="7" t="n">
        <v>0.510416666666667</v>
      </c>
      <c r="C47" s="8" t="n">
        <v>123673</v>
      </c>
      <c r="D47" s="8" t="s">
        <v>16</v>
      </c>
      <c r="E47" s="8" t="n">
        <v>2600</v>
      </c>
      <c r="F47" s="8" t="n">
        <v>2420</v>
      </c>
      <c r="G47" s="9" t="n">
        <v>180</v>
      </c>
      <c r="H47" s="8" t="s">
        <v>11</v>
      </c>
      <c r="I47" s="8" t="s">
        <v>12</v>
      </c>
      <c r="J47" s="0" t="s">
        <v>13</v>
      </c>
    </row>
    <row r="48" customFormat="false" ht="15" hidden="false" customHeight="false" outlineLevel="0" collapsed="false">
      <c r="A48" s="6" t="n">
        <v>43962</v>
      </c>
      <c r="B48" s="7" t="n">
        <v>0.249305555555556</v>
      </c>
      <c r="C48" s="8" t="n">
        <v>123685</v>
      </c>
      <c r="D48" s="8" t="s">
        <v>15</v>
      </c>
      <c r="E48" s="8" t="n">
        <v>4300</v>
      </c>
      <c r="F48" s="8" t="n">
        <v>3800</v>
      </c>
      <c r="G48" s="9" t="n">
        <v>500</v>
      </c>
      <c r="H48" s="8" t="s">
        <v>11</v>
      </c>
      <c r="I48" s="8" t="s">
        <v>12</v>
      </c>
      <c r="J48" s="0" t="s">
        <v>13</v>
      </c>
    </row>
    <row r="49" customFormat="false" ht="15" hidden="false" customHeight="false" outlineLevel="0" collapsed="false">
      <c r="A49" s="6" t="n">
        <v>43962</v>
      </c>
      <c r="B49" s="7" t="n">
        <v>0.264583333333333</v>
      </c>
      <c r="C49" s="8" t="n">
        <v>123686</v>
      </c>
      <c r="D49" s="8" t="s">
        <v>10</v>
      </c>
      <c r="E49" s="8" t="n">
        <v>23560</v>
      </c>
      <c r="F49" s="8" t="n">
        <v>15840</v>
      </c>
      <c r="G49" s="9" t="n">
        <v>7720</v>
      </c>
      <c r="H49" s="8" t="s">
        <v>11</v>
      </c>
      <c r="I49" s="8" t="s">
        <v>12</v>
      </c>
      <c r="J49" s="0" t="s">
        <v>13</v>
      </c>
    </row>
    <row r="50" customFormat="false" ht="15" hidden="false" customHeight="false" outlineLevel="0" collapsed="false">
      <c r="A50" s="6" t="n">
        <v>43962</v>
      </c>
      <c r="B50" s="7" t="n">
        <v>0.115277777777778</v>
      </c>
      <c r="C50" s="8" t="n">
        <v>123676</v>
      </c>
      <c r="D50" s="8" t="s">
        <v>14</v>
      </c>
      <c r="E50" s="8" t="n">
        <v>14360</v>
      </c>
      <c r="F50" s="8" t="n">
        <v>12980</v>
      </c>
      <c r="G50" s="9" t="n">
        <v>1380</v>
      </c>
      <c r="H50" s="8" t="s">
        <v>11</v>
      </c>
      <c r="I50" s="8" t="s">
        <v>12</v>
      </c>
      <c r="J50" s="0" t="s">
        <v>13</v>
      </c>
    </row>
    <row r="51" customFormat="false" ht="15" hidden="false" customHeight="false" outlineLevel="0" collapsed="false">
      <c r="A51" s="6" t="n">
        <v>43962</v>
      </c>
      <c r="B51" s="7" t="n">
        <v>0.511111111111111</v>
      </c>
      <c r="C51" s="8" t="n">
        <v>123701</v>
      </c>
      <c r="D51" s="8" t="s">
        <v>16</v>
      </c>
      <c r="E51" s="8" t="n">
        <v>2660</v>
      </c>
      <c r="F51" s="8" t="n">
        <v>2300</v>
      </c>
      <c r="G51" s="9" t="n">
        <v>360</v>
      </c>
      <c r="H51" s="8" t="s">
        <v>11</v>
      </c>
      <c r="I51" s="8" t="s">
        <v>12</v>
      </c>
      <c r="J51" s="0" t="s">
        <v>13</v>
      </c>
    </row>
    <row r="52" customFormat="false" ht="15" hidden="false" customHeight="false" outlineLevel="0" collapsed="false">
      <c r="A52" s="6" t="n">
        <v>43963</v>
      </c>
      <c r="B52" s="7" t="n">
        <v>0.172222222222222</v>
      </c>
      <c r="C52" s="8" t="n">
        <v>123719</v>
      </c>
      <c r="D52" s="8" t="s">
        <v>14</v>
      </c>
      <c r="E52" s="8" t="n">
        <v>16820</v>
      </c>
      <c r="F52" s="8" t="n">
        <v>12980</v>
      </c>
      <c r="G52" s="9" t="n">
        <v>3840</v>
      </c>
      <c r="H52" s="8" t="s">
        <v>11</v>
      </c>
      <c r="I52" s="8" t="s">
        <v>12</v>
      </c>
      <c r="J52" s="0" t="s">
        <v>13</v>
      </c>
    </row>
    <row r="53" customFormat="false" ht="15" hidden="false" customHeight="false" outlineLevel="0" collapsed="false">
      <c r="A53" s="6" t="n">
        <v>43963</v>
      </c>
      <c r="B53" s="7" t="n">
        <v>0.268055555555556</v>
      </c>
      <c r="C53" s="8" t="n">
        <v>123726</v>
      </c>
      <c r="D53" s="8" t="s">
        <v>10</v>
      </c>
      <c r="E53" s="8" t="n">
        <v>26100</v>
      </c>
      <c r="F53" s="8" t="n">
        <v>15960</v>
      </c>
      <c r="G53" s="9" t="n">
        <v>10140</v>
      </c>
      <c r="H53" s="8" t="s">
        <v>11</v>
      </c>
      <c r="I53" s="8" t="s">
        <v>12</v>
      </c>
      <c r="J53" s="0" t="s">
        <v>13</v>
      </c>
    </row>
    <row r="54" customFormat="false" ht="15" hidden="false" customHeight="false" outlineLevel="0" collapsed="false">
      <c r="A54" s="6" t="n">
        <v>43963</v>
      </c>
      <c r="B54" s="7" t="n">
        <v>0.249305555555556</v>
      </c>
      <c r="C54" s="8" t="n">
        <v>123723</v>
      </c>
      <c r="D54" s="8" t="s">
        <v>15</v>
      </c>
      <c r="E54" s="8" t="n">
        <v>4100</v>
      </c>
      <c r="F54" s="8" t="n">
        <v>3780</v>
      </c>
      <c r="G54" s="9" t="n">
        <v>320</v>
      </c>
      <c r="H54" s="8" t="s">
        <v>11</v>
      </c>
      <c r="I54" s="8" t="s">
        <v>12</v>
      </c>
      <c r="J54" s="0" t="s">
        <v>13</v>
      </c>
    </row>
    <row r="55" customFormat="false" ht="15" hidden="false" customHeight="false" outlineLevel="0" collapsed="false">
      <c r="A55" s="6" t="n">
        <v>43963</v>
      </c>
      <c r="B55" s="7" t="n">
        <v>0.509722222222222</v>
      </c>
      <c r="C55" s="8" t="n">
        <v>123744</v>
      </c>
      <c r="D55" s="8" t="s">
        <v>16</v>
      </c>
      <c r="E55" s="8" t="n">
        <v>2660</v>
      </c>
      <c r="F55" s="8" t="n">
        <v>2320</v>
      </c>
      <c r="G55" s="9" t="n">
        <v>340</v>
      </c>
      <c r="H55" s="8" t="s">
        <v>11</v>
      </c>
      <c r="I55" s="8" t="s">
        <v>12</v>
      </c>
      <c r="J55" s="0" t="s">
        <v>13</v>
      </c>
    </row>
    <row r="56" customFormat="false" ht="15" hidden="false" customHeight="false" outlineLevel="0" collapsed="false">
      <c r="A56" s="6" t="n">
        <v>43963</v>
      </c>
      <c r="B56" s="7" t="n">
        <v>0.488888888888889</v>
      </c>
      <c r="C56" s="8" t="n">
        <v>123741</v>
      </c>
      <c r="D56" s="8" t="s">
        <v>21</v>
      </c>
      <c r="E56" s="8" t="n">
        <v>3520</v>
      </c>
      <c r="F56" s="8" t="n">
        <v>2820</v>
      </c>
      <c r="G56" s="9" t="n">
        <v>700</v>
      </c>
      <c r="H56" s="8" t="s">
        <v>11</v>
      </c>
      <c r="I56" s="8" t="s">
        <v>18</v>
      </c>
      <c r="J56" s="0" t="s">
        <v>13</v>
      </c>
    </row>
    <row r="57" customFormat="false" ht="15" hidden="false" customHeight="false" outlineLevel="0" collapsed="false">
      <c r="A57" s="6" t="n">
        <v>43964</v>
      </c>
      <c r="B57" s="7" t="n">
        <v>0.272222222222222</v>
      </c>
      <c r="C57" s="8" t="n">
        <v>123763</v>
      </c>
      <c r="D57" s="8" t="s">
        <v>10</v>
      </c>
      <c r="E57" s="8" t="n">
        <v>25080</v>
      </c>
      <c r="F57" s="8" t="n">
        <v>15960</v>
      </c>
      <c r="G57" s="9" t="n">
        <v>9120</v>
      </c>
      <c r="H57" s="8" t="s">
        <v>11</v>
      </c>
      <c r="I57" s="8" t="s">
        <v>12</v>
      </c>
      <c r="J57" s="0" t="s">
        <v>13</v>
      </c>
    </row>
    <row r="58" customFormat="false" ht="15" hidden="false" customHeight="false" outlineLevel="0" collapsed="false">
      <c r="A58" s="6" t="n">
        <v>43964</v>
      </c>
      <c r="B58" s="7" t="n">
        <v>0.240277777777778</v>
      </c>
      <c r="C58" s="8" t="n">
        <v>123760</v>
      </c>
      <c r="D58" s="8" t="s">
        <v>15</v>
      </c>
      <c r="E58" s="8" t="n">
        <v>4380</v>
      </c>
      <c r="F58" s="8" t="n">
        <v>3800</v>
      </c>
      <c r="G58" s="9" t="n">
        <v>580</v>
      </c>
      <c r="H58" s="8" t="s">
        <v>11</v>
      </c>
      <c r="I58" s="8" t="s">
        <v>12</v>
      </c>
      <c r="J58" s="0" t="s">
        <v>13</v>
      </c>
    </row>
    <row r="59" customFormat="false" ht="15" hidden="false" customHeight="false" outlineLevel="0" collapsed="false">
      <c r="A59" s="6" t="n">
        <v>43964</v>
      </c>
      <c r="B59" s="7" t="n">
        <v>0.15625</v>
      </c>
      <c r="C59" s="8" t="n">
        <v>123757</v>
      </c>
      <c r="D59" s="8" t="s">
        <v>14</v>
      </c>
      <c r="E59" s="8" t="n">
        <v>17200</v>
      </c>
      <c r="F59" s="8" t="n">
        <v>12980</v>
      </c>
      <c r="G59" s="9" t="n">
        <v>4220</v>
      </c>
      <c r="H59" s="8" t="s">
        <v>11</v>
      </c>
      <c r="I59" s="8" t="s">
        <v>12</v>
      </c>
      <c r="J59" s="0" t="s">
        <v>13</v>
      </c>
    </row>
    <row r="60" customFormat="false" ht="15" hidden="false" customHeight="false" outlineLevel="0" collapsed="false">
      <c r="A60" s="6" t="n">
        <v>43964</v>
      </c>
      <c r="B60" s="7" t="n">
        <v>0.513888888888889</v>
      </c>
      <c r="C60" s="8" t="n">
        <v>123782</v>
      </c>
      <c r="D60" s="8" t="s">
        <v>25</v>
      </c>
      <c r="E60" s="8" t="n">
        <v>6840</v>
      </c>
      <c r="F60" s="8" t="n">
        <v>5620</v>
      </c>
      <c r="G60" s="9" t="n">
        <v>1220</v>
      </c>
      <c r="H60" s="8" t="s">
        <v>11</v>
      </c>
      <c r="I60" s="8" t="s">
        <v>18</v>
      </c>
      <c r="J60" s="0" t="s">
        <v>13</v>
      </c>
    </row>
    <row r="61" customFormat="false" ht="15" hidden="false" customHeight="false" outlineLevel="0" collapsed="false">
      <c r="A61" s="6" t="n">
        <v>43964</v>
      </c>
      <c r="B61" s="7" t="n">
        <v>0.4875</v>
      </c>
      <c r="C61" s="8" t="n">
        <v>123780</v>
      </c>
      <c r="D61" s="8" t="s">
        <v>16</v>
      </c>
      <c r="E61" s="8" t="n">
        <v>2560</v>
      </c>
      <c r="F61" s="8" t="n">
        <v>2400</v>
      </c>
      <c r="G61" s="9" t="n">
        <v>160</v>
      </c>
      <c r="H61" s="8" t="s">
        <v>11</v>
      </c>
      <c r="I61" s="8" t="s">
        <v>12</v>
      </c>
      <c r="J61" s="0" t="s">
        <v>13</v>
      </c>
    </row>
    <row r="62" customFormat="false" ht="15" hidden="false" customHeight="false" outlineLevel="0" collapsed="false">
      <c r="A62" s="6" t="n">
        <v>43964</v>
      </c>
      <c r="B62" s="7" t="n">
        <v>0.517361111111111</v>
      </c>
      <c r="C62" s="8" t="n">
        <v>123784</v>
      </c>
      <c r="D62" s="8" t="s">
        <v>21</v>
      </c>
      <c r="E62" s="8" t="n">
        <v>3580</v>
      </c>
      <c r="F62" s="8" t="n">
        <v>2820</v>
      </c>
      <c r="G62" s="9" t="n">
        <v>760</v>
      </c>
      <c r="H62" s="8" t="s">
        <v>11</v>
      </c>
      <c r="I62" s="8" t="s">
        <v>18</v>
      </c>
      <c r="J62" s="0" t="s">
        <v>13</v>
      </c>
    </row>
    <row r="63" customFormat="false" ht="15" hidden="false" customHeight="false" outlineLevel="0" collapsed="false">
      <c r="A63" s="6" t="n">
        <v>43964</v>
      </c>
      <c r="B63" s="7" t="n">
        <v>0.345833333333333</v>
      </c>
      <c r="C63" s="8" t="n">
        <v>123769</v>
      </c>
      <c r="D63" s="8" t="s">
        <v>16</v>
      </c>
      <c r="E63" s="8" t="n">
        <v>2720</v>
      </c>
      <c r="F63" s="8" t="n">
        <v>2400</v>
      </c>
      <c r="G63" s="9" t="n">
        <v>320</v>
      </c>
      <c r="H63" s="8" t="s">
        <v>11</v>
      </c>
      <c r="I63" s="8" t="s">
        <v>18</v>
      </c>
      <c r="J63" s="0" t="s">
        <v>13</v>
      </c>
    </row>
    <row r="64" customFormat="false" ht="15" hidden="false" customHeight="false" outlineLevel="0" collapsed="false">
      <c r="A64" s="6" t="n">
        <v>43965</v>
      </c>
      <c r="B64" s="7" t="n">
        <v>0.263194444444444</v>
      </c>
      <c r="C64" s="8" t="n">
        <v>123811</v>
      </c>
      <c r="D64" s="8" t="s">
        <v>15</v>
      </c>
      <c r="E64" s="8" t="n">
        <v>4160</v>
      </c>
      <c r="F64" s="8" t="n">
        <v>3780</v>
      </c>
      <c r="G64" s="9" t="n">
        <v>380</v>
      </c>
      <c r="H64" s="8" t="s">
        <v>11</v>
      </c>
      <c r="I64" s="8" t="s">
        <v>12</v>
      </c>
      <c r="J64" s="0" t="s">
        <v>13</v>
      </c>
    </row>
    <row r="65" customFormat="false" ht="15" hidden="false" customHeight="false" outlineLevel="0" collapsed="false">
      <c r="A65" s="6" t="n">
        <v>43965</v>
      </c>
      <c r="B65" s="7" t="n">
        <v>0.264583333333333</v>
      </c>
      <c r="C65" s="8" t="n">
        <v>123812</v>
      </c>
      <c r="D65" s="8" t="s">
        <v>10</v>
      </c>
      <c r="E65" s="8" t="n">
        <v>25920</v>
      </c>
      <c r="F65" s="8" t="n">
        <v>15800</v>
      </c>
      <c r="G65" s="9" t="n">
        <v>10120</v>
      </c>
      <c r="H65" s="8" t="s">
        <v>11</v>
      </c>
      <c r="I65" s="8" t="s">
        <v>12</v>
      </c>
      <c r="J65" s="0" t="s">
        <v>13</v>
      </c>
    </row>
    <row r="66" customFormat="false" ht="15" hidden="false" customHeight="false" outlineLevel="0" collapsed="false">
      <c r="A66" s="6" t="n">
        <v>43965</v>
      </c>
      <c r="B66" s="7" t="n">
        <v>0.167361111111111</v>
      </c>
      <c r="C66" s="8" t="n">
        <v>123805</v>
      </c>
      <c r="D66" s="8" t="s">
        <v>14</v>
      </c>
      <c r="E66" s="8" t="n">
        <v>16220</v>
      </c>
      <c r="F66" s="8" t="n">
        <v>12940</v>
      </c>
      <c r="G66" s="9" t="n">
        <v>3280</v>
      </c>
      <c r="H66" s="8" t="s">
        <v>11</v>
      </c>
      <c r="I66" s="8" t="s">
        <v>12</v>
      </c>
      <c r="J66" s="0" t="s">
        <v>13</v>
      </c>
    </row>
    <row r="67" customFormat="false" ht="15" hidden="false" customHeight="false" outlineLevel="0" collapsed="false">
      <c r="A67" s="6" t="n">
        <v>43965</v>
      </c>
      <c r="B67" s="7" t="n">
        <v>0.513888888888889</v>
      </c>
      <c r="C67" s="8" t="n">
        <v>101536</v>
      </c>
      <c r="D67" s="8" t="s">
        <v>10</v>
      </c>
      <c r="E67" s="8" t="n">
        <v>17500</v>
      </c>
      <c r="F67" s="8" t="n">
        <v>15900</v>
      </c>
      <c r="G67" s="9" t="n">
        <v>1600</v>
      </c>
      <c r="H67" s="8" t="s">
        <v>11</v>
      </c>
      <c r="I67" s="8" t="s">
        <v>22</v>
      </c>
      <c r="J67" s="0" t="s">
        <v>13</v>
      </c>
    </row>
    <row r="68" customFormat="false" ht="15" hidden="false" customHeight="false" outlineLevel="0" collapsed="false">
      <c r="A68" s="6" t="n">
        <v>43965</v>
      </c>
      <c r="B68" s="7" t="n">
        <v>0.469444444444444</v>
      </c>
      <c r="C68" s="8" t="n">
        <v>123827</v>
      </c>
      <c r="D68" s="8" t="s">
        <v>26</v>
      </c>
      <c r="E68" s="8" t="n">
        <v>3800</v>
      </c>
      <c r="F68" s="8" t="n">
        <v>2800</v>
      </c>
      <c r="G68" s="9" t="n">
        <v>1000</v>
      </c>
      <c r="H68" s="8" t="s">
        <v>11</v>
      </c>
      <c r="I68" s="8" t="s">
        <v>27</v>
      </c>
      <c r="J68" s="0" t="s">
        <v>13</v>
      </c>
    </row>
    <row r="69" customFormat="false" ht="15" hidden="false" customHeight="false" outlineLevel="0" collapsed="false">
      <c r="A69" s="6" t="n">
        <v>43965</v>
      </c>
      <c r="B69" s="7" t="n">
        <v>0.495138888888889</v>
      </c>
      <c r="C69" s="8" t="n">
        <v>123829</v>
      </c>
      <c r="D69" s="8" t="s">
        <v>16</v>
      </c>
      <c r="E69" s="8" t="n">
        <v>2540</v>
      </c>
      <c r="F69" s="8" t="n">
        <v>2400</v>
      </c>
      <c r="G69" s="9" t="n">
        <v>140</v>
      </c>
      <c r="H69" s="8" t="s">
        <v>11</v>
      </c>
      <c r="I69" s="8" t="s">
        <v>12</v>
      </c>
      <c r="J69" s="0" t="s">
        <v>13</v>
      </c>
    </row>
    <row r="70" customFormat="false" ht="15" hidden="false" customHeight="false" outlineLevel="0" collapsed="false">
      <c r="A70" s="6" t="n">
        <v>43966</v>
      </c>
      <c r="B70" s="7" t="n">
        <v>0.134722222222222</v>
      </c>
      <c r="C70" s="8" t="n">
        <v>123842</v>
      </c>
      <c r="D70" s="8" t="s">
        <v>14</v>
      </c>
      <c r="E70" s="8" t="n">
        <v>16380</v>
      </c>
      <c r="F70" s="8" t="n">
        <v>12940</v>
      </c>
      <c r="G70" s="9" t="n">
        <v>3440</v>
      </c>
      <c r="H70" s="8" t="s">
        <v>11</v>
      </c>
      <c r="I70" s="8" t="s">
        <v>12</v>
      </c>
      <c r="J70" s="0" t="s">
        <v>13</v>
      </c>
    </row>
    <row r="71" customFormat="false" ht="15" hidden="false" customHeight="false" outlineLevel="0" collapsed="false">
      <c r="A71" s="6" t="n">
        <v>43966</v>
      </c>
      <c r="B71" s="7" t="n">
        <v>0.254861111111111</v>
      </c>
      <c r="C71" s="8" t="n">
        <v>123849</v>
      </c>
      <c r="D71" s="8" t="s">
        <v>15</v>
      </c>
      <c r="E71" s="8" t="n">
        <v>4080</v>
      </c>
      <c r="F71" s="8" t="n">
        <v>3780</v>
      </c>
      <c r="G71" s="9" t="n">
        <v>300</v>
      </c>
      <c r="H71" s="8" t="s">
        <v>11</v>
      </c>
      <c r="I71" s="8" t="s">
        <v>12</v>
      </c>
      <c r="J71" s="0" t="s">
        <v>13</v>
      </c>
    </row>
    <row r="72" customFormat="false" ht="15" hidden="false" customHeight="false" outlineLevel="0" collapsed="false">
      <c r="A72" s="6" t="n">
        <v>43966</v>
      </c>
      <c r="B72" s="7" t="n">
        <v>0.264583333333333</v>
      </c>
      <c r="C72" s="8" t="n">
        <v>123850</v>
      </c>
      <c r="D72" s="8" t="s">
        <v>10</v>
      </c>
      <c r="E72" s="8" t="n">
        <v>23540</v>
      </c>
      <c r="F72" s="8" t="n">
        <v>15960</v>
      </c>
      <c r="G72" s="9" t="n">
        <v>7580</v>
      </c>
      <c r="H72" s="8" t="s">
        <v>11</v>
      </c>
      <c r="I72" s="8" t="s">
        <v>12</v>
      </c>
      <c r="J72" s="0" t="s">
        <v>13</v>
      </c>
    </row>
    <row r="73" customFormat="false" ht="15" hidden="false" customHeight="false" outlineLevel="0" collapsed="false">
      <c r="A73" s="6" t="n">
        <v>43966</v>
      </c>
      <c r="B73" s="7" t="n">
        <v>0.492361111111111</v>
      </c>
      <c r="C73" s="8" t="n">
        <v>123867</v>
      </c>
      <c r="D73" s="8" t="s">
        <v>16</v>
      </c>
      <c r="E73" s="8" t="n">
        <v>2560</v>
      </c>
      <c r="F73" s="8" t="n">
        <v>2380</v>
      </c>
      <c r="G73" s="9" t="n">
        <v>180</v>
      </c>
      <c r="H73" s="8" t="s">
        <v>11</v>
      </c>
      <c r="I73" s="8" t="s">
        <v>12</v>
      </c>
      <c r="J73" s="0" t="s">
        <v>13</v>
      </c>
    </row>
    <row r="74" customFormat="false" ht="15" hidden="false" customHeight="false" outlineLevel="0" collapsed="false">
      <c r="A74" s="6" t="n">
        <v>43967</v>
      </c>
      <c r="B74" s="7" t="n">
        <v>0.598611111111111</v>
      </c>
      <c r="C74" s="8" t="n">
        <v>123900</v>
      </c>
      <c r="D74" s="8" t="s">
        <v>26</v>
      </c>
      <c r="E74" s="8" t="n">
        <v>3000</v>
      </c>
      <c r="F74" s="8" t="n">
        <v>2800</v>
      </c>
      <c r="G74" s="9" t="n">
        <v>200</v>
      </c>
      <c r="H74" s="8" t="s">
        <v>11</v>
      </c>
      <c r="I74" s="8" t="s">
        <v>27</v>
      </c>
      <c r="J74" s="0" t="s">
        <v>13</v>
      </c>
    </row>
    <row r="75" customFormat="false" ht="15" hidden="false" customHeight="false" outlineLevel="0" collapsed="false">
      <c r="A75" s="6" t="n">
        <v>43967</v>
      </c>
      <c r="B75" s="7" t="n">
        <v>0.273611111111111</v>
      </c>
      <c r="C75" s="8" t="n">
        <v>123889</v>
      </c>
      <c r="D75" s="8" t="s">
        <v>10</v>
      </c>
      <c r="E75" s="8" t="n">
        <v>26620</v>
      </c>
      <c r="F75" s="8" t="n">
        <v>15920</v>
      </c>
      <c r="G75" s="9" t="n">
        <v>10700</v>
      </c>
      <c r="H75" s="8" t="s">
        <v>11</v>
      </c>
      <c r="I75" s="8" t="s">
        <v>12</v>
      </c>
      <c r="J75" s="0" t="s">
        <v>13</v>
      </c>
    </row>
    <row r="76" customFormat="false" ht="15" hidden="false" customHeight="false" outlineLevel="0" collapsed="false">
      <c r="A76" s="6" t="n">
        <v>43966</v>
      </c>
      <c r="B76" s="7" t="n">
        <v>0.513888888888889</v>
      </c>
      <c r="C76" s="8" t="s">
        <v>23</v>
      </c>
      <c r="D76" s="8" t="s">
        <v>10</v>
      </c>
      <c r="E76" s="8" t="n">
        <v>16960</v>
      </c>
      <c r="F76" s="8" t="n">
        <v>15820</v>
      </c>
      <c r="G76" s="9" t="n">
        <v>1140</v>
      </c>
      <c r="H76" s="8" t="s">
        <v>11</v>
      </c>
      <c r="I76" s="8" t="s">
        <v>24</v>
      </c>
      <c r="J76" s="0" t="s">
        <v>13</v>
      </c>
    </row>
    <row r="77" customFormat="false" ht="15" hidden="false" customHeight="false" outlineLevel="0" collapsed="false">
      <c r="A77" s="6" t="n">
        <v>43967</v>
      </c>
      <c r="B77" s="7" t="n">
        <v>0.370138888888889</v>
      </c>
      <c r="C77" s="8" t="n">
        <v>123896</v>
      </c>
      <c r="D77" s="8" t="s">
        <v>21</v>
      </c>
      <c r="E77" s="8" t="n">
        <v>3320</v>
      </c>
      <c r="F77" s="8" t="n">
        <v>2820</v>
      </c>
      <c r="G77" s="9" t="n">
        <v>500</v>
      </c>
      <c r="H77" s="8" t="s">
        <v>11</v>
      </c>
      <c r="I77" s="8" t="s">
        <v>18</v>
      </c>
      <c r="J77" s="0" t="s">
        <v>13</v>
      </c>
    </row>
    <row r="78" customFormat="false" ht="15" hidden="false" customHeight="false" outlineLevel="0" collapsed="false">
      <c r="A78" s="6" t="n">
        <v>43967</v>
      </c>
      <c r="B78" s="7" t="n">
        <v>0.131944444444444</v>
      </c>
      <c r="C78" s="8" t="n">
        <v>123881</v>
      </c>
      <c r="D78" s="8" t="s">
        <v>14</v>
      </c>
      <c r="E78" s="8" t="n">
        <v>17000</v>
      </c>
      <c r="F78" s="8" t="n">
        <v>13120</v>
      </c>
      <c r="G78" s="9" t="n">
        <v>3880</v>
      </c>
      <c r="H78" s="8" t="s">
        <v>11</v>
      </c>
      <c r="I78" s="8" t="s">
        <v>12</v>
      </c>
      <c r="J78" s="0" t="s">
        <v>13</v>
      </c>
    </row>
    <row r="79" customFormat="false" ht="15" hidden="false" customHeight="false" outlineLevel="0" collapsed="false">
      <c r="A79" s="6" t="n">
        <v>43967</v>
      </c>
      <c r="B79" s="7" t="n">
        <v>0.259722222222222</v>
      </c>
      <c r="C79" s="8" t="n">
        <v>123888</v>
      </c>
      <c r="D79" s="8" t="s">
        <v>15</v>
      </c>
      <c r="E79" s="8" t="n">
        <v>4200</v>
      </c>
      <c r="F79" s="8" t="n">
        <v>3800</v>
      </c>
      <c r="G79" s="9" t="n">
        <v>400</v>
      </c>
      <c r="H79" s="8" t="s">
        <v>11</v>
      </c>
      <c r="I79" s="8" t="s">
        <v>12</v>
      </c>
      <c r="J79" s="0" t="s">
        <v>13</v>
      </c>
    </row>
    <row r="80" customFormat="false" ht="15" hidden="false" customHeight="false" outlineLevel="0" collapsed="false">
      <c r="A80" s="6" t="n">
        <v>43968</v>
      </c>
      <c r="B80" s="7" t="n">
        <v>0.195833333333333</v>
      </c>
      <c r="C80" s="8" t="n">
        <v>123908</v>
      </c>
      <c r="D80" s="8" t="s">
        <v>15</v>
      </c>
      <c r="E80" s="8" t="n">
        <v>4180</v>
      </c>
      <c r="F80" s="8" t="n">
        <v>3780</v>
      </c>
      <c r="G80" s="9" t="n">
        <v>400</v>
      </c>
      <c r="H80" s="8" t="s">
        <v>11</v>
      </c>
      <c r="I80" s="8" t="s">
        <v>12</v>
      </c>
      <c r="J80" s="0" t="s">
        <v>13</v>
      </c>
    </row>
    <row r="81" customFormat="false" ht="15" hidden="false" customHeight="false" outlineLevel="0" collapsed="false">
      <c r="A81" s="6" t="n">
        <v>43968</v>
      </c>
      <c r="B81" s="7" t="n">
        <v>0.229166666666667</v>
      </c>
      <c r="C81" s="8" t="n">
        <v>123910</v>
      </c>
      <c r="D81" s="8" t="s">
        <v>17</v>
      </c>
      <c r="E81" s="8" t="n">
        <v>25960</v>
      </c>
      <c r="F81" s="8" t="n">
        <v>16240</v>
      </c>
      <c r="G81" s="9" t="n">
        <v>9720</v>
      </c>
      <c r="H81" s="8" t="s">
        <v>11</v>
      </c>
      <c r="I81" s="8" t="s">
        <v>12</v>
      </c>
      <c r="J81" s="0" t="s">
        <v>13</v>
      </c>
    </row>
    <row r="82" customFormat="false" ht="15" hidden="false" customHeight="false" outlineLevel="0" collapsed="false">
      <c r="A82" s="6" t="n">
        <v>43968</v>
      </c>
      <c r="B82" s="7" t="n">
        <v>0.540972222222222</v>
      </c>
      <c r="C82" s="8" t="n">
        <v>123914</v>
      </c>
      <c r="D82" s="8" t="s">
        <v>16</v>
      </c>
      <c r="E82" s="8" t="n">
        <v>2620</v>
      </c>
      <c r="F82" s="8" t="n">
        <v>2380</v>
      </c>
      <c r="G82" s="9" t="n">
        <v>240</v>
      </c>
      <c r="H82" s="8" t="s">
        <v>11</v>
      </c>
      <c r="I82" s="8" t="s">
        <v>12</v>
      </c>
      <c r="J82" s="0" t="s">
        <v>13</v>
      </c>
    </row>
    <row r="83" customFormat="false" ht="15" hidden="false" customHeight="false" outlineLevel="0" collapsed="false">
      <c r="A83" s="6" t="n">
        <v>43968</v>
      </c>
      <c r="B83" s="7" t="n">
        <v>0.103472222222222</v>
      </c>
      <c r="C83" s="8" t="n">
        <v>123903</v>
      </c>
      <c r="D83" s="8" t="s">
        <v>14</v>
      </c>
      <c r="E83" s="8" t="n">
        <v>16780</v>
      </c>
      <c r="F83" s="8" t="n">
        <v>13100</v>
      </c>
      <c r="G83" s="9" t="n">
        <v>3680</v>
      </c>
      <c r="H83" s="8" t="s">
        <v>11</v>
      </c>
      <c r="I83" s="8" t="s">
        <v>12</v>
      </c>
      <c r="J83" s="0" t="s">
        <v>13</v>
      </c>
    </row>
    <row r="84" customFormat="false" ht="15" hidden="false" customHeight="false" outlineLevel="0" collapsed="false">
      <c r="A84" s="6" t="n">
        <v>43969</v>
      </c>
      <c r="B84" s="7" t="n">
        <v>0.267361111111111</v>
      </c>
      <c r="C84" s="8" t="n">
        <v>123929</v>
      </c>
      <c r="D84" s="8" t="s">
        <v>17</v>
      </c>
      <c r="E84" s="8" t="n">
        <v>25720</v>
      </c>
      <c r="F84" s="8" t="n">
        <v>16160</v>
      </c>
      <c r="G84" s="9" t="n">
        <v>9560</v>
      </c>
      <c r="H84" s="8" t="s">
        <v>11</v>
      </c>
      <c r="I84" s="8" t="s">
        <v>12</v>
      </c>
      <c r="J84" s="0" t="s">
        <v>13</v>
      </c>
    </row>
    <row r="85" customFormat="false" ht="15" hidden="false" customHeight="false" outlineLevel="0" collapsed="false">
      <c r="A85" s="6" t="n">
        <v>43969</v>
      </c>
      <c r="B85" s="7" t="n">
        <v>0.177777777777778</v>
      </c>
      <c r="C85" s="8" t="n">
        <v>123921</v>
      </c>
      <c r="D85" s="8" t="s">
        <v>14</v>
      </c>
      <c r="E85" s="8" t="n">
        <v>15180</v>
      </c>
      <c r="F85" s="8" t="n">
        <v>12920</v>
      </c>
      <c r="G85" s="9" t="n">
        <v>2260</v>
      </c>
      <c r="H85" s="8" t="s">
        <v>11</v>
      </c>
      <c r="I85" s="8" t="s">
        <v>12</v>
      </c>
      <c r="J85" s="0" t="s">
        <v>13</v>
      </c>
    </row>
    <row r="86" customFormat="false" ht="15" hidden="false" customHeight="false" outlineLevel="0" collapsed="false">
      <c r="A86" s="6" t="n">
        <v>43969</v>
      </c>
      <c r="B86" s="7" t="n">
        <v>0.247916666666667</v>
      </c>
      <c r="C86" s="8" t="n">
        <v>123928</v>
      </c>
      <c r="D86" s="8" t="s">
        <v>15</v>
      </c>
      <c r="E86" s="8" t="n">
        <v>4100</v>
      </c>
      <c r="F86" s="8" t="n">
        <v>3760</v>
      </c>
      <c r="G86" s="9" t="n">
        <v>340</v>
      </c>
      <c r="H86" s="8" t="s">
        <v>11</v>
      </c>
      <c r="I86" s="8" t="s">
        <v>12</v>
      </c>
      <c r="J86" s="0" t="s">
        <v>13</v>
      </c>
    </row>
    <row r="87" customFormat="false" ht="15" hidden="false" customHeight="false" outlineLevel="0" collapsed="false">
      <c r="A87" s="6" t="n">
        <v>43969</v>
      </c>
      <c r="B87" s="7" t="n">
        <v>0.606944444444444</v>
      </c>
      <c r="C87" s="8" t="n">
        <v>123964</v>
      </c>
      <c r="D87" s="8" t="s">
        <v>26</v>
      </c>
      <c r="E87" s="8" t="n">
        <v>3080</v>
      </c>
      <c r="F87" s="8" t="n">
        <v>2700</v>
      </c>
      <c r="G87" s="9" t="n">
        <v>380</v>
      </c>
      <c r="H87" s="8" t="s">
        <v>11</v>
      </c>
      <c r="I87" s="8" t="s">
        <v>27</v>
      </c>
      <c r="J87" s="0" t="s">
        <v>13</v>
      </c>
    </row>
    <row r="88" customFormat="false" ht="15" hidden="false" customHeight="false" outlineLevel="0" collapsed="false">
      <c r="A88" s="6" t="n">
        <v>43969</v>
      </c>
      <c r="B88" s="7" t="n">
        <v>0.296527777777778</v>
      </c>
      <c r="C88" s="8" t="n">
        <v>123932</v>
      </c>
      <c r="D88" s="8" t="s">
        <v>19</v>
      </c>
      <c r="E88" s="8" t="n">
        <v>30280</v>
      </c>
      <c r="F88" s="8" t="n">
        <v>15300</v>
      </c>
      <c r="G88" s="9" t="n">
        <v>14980</v>
      </c>
      <c r="H88" s="8" t="s">
        <v>11</v>
      </c>
      <c r="I88" s="8" t="s">
        <v>20</v>
      </c>
      <c r="J88" s="0" t="s">
        <v>13</v>
      </c>
    </row>
    <row r="89" customFormat="false" ht="15" hidden="false" customHeight="false" outlineLevel="0" collapsed="false">
      <c r="A89" s="6" t="n">
        <v>43969</v>
      </c>
      <c r="B89" s="7" t="n">
        <v>0.344444444444444</v>
      </c>
      <c r="C89" s="8" t="n">
        <v>123936</v>
      </c>
      <c r="D89" s="8" t="s">
        <v>19</v>
      </c>
      <c r="E89" s="8" t="n">
        <v>27800</v>
      </c>
      <c r="F89" s="8" t="n">
        <v>15300</v>
      </c>
      <c r="G89" s="9" t="n">
        <v>12500</v>
      </c>
      <c r="H89" s="8" t="s">
        <v>11</v>
      </c>
      <c r="I89" s="8" t="s">
        <v>20</v>
      </c>
      <c r="J89" s="0" t="s">
        <v>13</v>
      </c>
    </row>
    <row r="90" customFormat="false" ht="15" hidden="false" customHeight="false" outlineLevel="0" collapsed="false">
      <c r="A90" s="6" t="n">
        <v>43969</v>
      </c>
      <c r="B90" s="7" t="n">
        <v>0.36875</v>
      </c>
      <c r="C90" s="8" t="n">
        <v>123940</v>
      </c>
      <c r="D90" s="8" t="s">
        <v>19</v>
      </c>
      <c r="E90" s="8" t="n">
        <v>30040</v>
      </c>
      <c r="F90" s="8" t="n">
        <v>15300</v>
      </c>
      <c r="G90" s="9" t="n">
        <v>14740</v>
      </c>
      <c r="H90" s="8" t="s">
        <v>11</v>
      </c>
      <c r="I90" s="8" t="s">
        <v>20</v>
      </c>
      <c r="J90" s="0" t="s">
        <v>13</v>
      </c>
    </row>
    <row r="91" customFormat="false" ht="15" hidden="false" customHeight="false" outlineLevel="0" collapsed="false">
      <c r="A91" s="6" t="n">
        <v>43969</v>
      </c>
      <c r="B91" s="7" t="n">
        <v>0.440277777777778</v>
      </c>
      <c r="C91" s="8" t="n">
        <v>123949</v>
      </c>
      <c r="D91" s="8" t="s">
        <v>19</v>
      </c>
      <c r="E91" s="8" t="n">
        <v>31820</v>
      </c>
      <c r="F91" s="8" t="n">
        <v>15300</v>
      </c>
      <c r="G91" s="9" t="n">
        <v>16520</v>
      </c>
      <c r="H91" s="8" t="s">
        <v>11</v>
      </c>
      <c r="I91" s="8" t="s">
        <v>20</v>
      </c>
      <c r="J91" s="0" t="s">
        <v>13</v>
      </c>
    </row>
    <row r="92" customFormat="false" ht="15" hidden="false" customHeight="false" outlineLevel="0" collapsed="false">
      <c r="A92" s="6" t="n">
        <v>43969</v>
      </c>
      <c r="B92" s="7" t="n">
        <v>0.463194444444444</v>
      </c>
      <c r="C92" s="8" t="n">
        <v>123952</v>
      </c>
      <c r="D92" s="8" t="s">
        <v>16</v>
      </c>
      <c r="E92" s="8" t="n">
        <v>2520</v>
      </c>
      <c r="F92" s="8" t="n">
        <v>2360</v>
      </c>
      <c r="G92" s="9" t="n">
        <v>160</v>
      </c>
      <c r="H92" s="8" t="s">
        <v>11</v>
      </c>
      <c r="I92" s="8" t="s">
        <v>12</v>
      </c>
      <c r="J92" s="0" t="s">
        <v>13</v>
      </c>
    </row>
    <row r="93" customFormat="false" ht="15" hidden="false" customHeight="false" outlineLevel="0" collapsed="false">
      <c r="A93" s="6" t="n">
        <v>43970</v>
      </c>
      <c r="B93" s="7" t="n">
        <v>0.170833333333333</v>
      </c>
      <c r="C93" s="8" t="n">
        <v>123981</v>
      </c>
      <c r="D93" s="8" t="s">
        <v>14</v>
      </c>
      <c r="E93" s="8" t="n">
        <v>16320</v>
      </c>
      <c r="F93" s="8" t="n">
        <v>12940</v>
      </c>
      <c r="G93" s="9" t="n">
        <v>3380</v>
      </c>
      <c r="H93" s="8" t="s">
        <v>11</v>
      </c>
      <c r="I93" s="8" t="s">
        <v>12</v>
      </c>
      <c r="J93" s="0" t="s">
        <v>13</v>
      </c>
    </row>
    <row r="94" customFormat="false" ht="15" hidden="false" customHeight="false" outlineLevel="0" collapsed="false">
      <c r="A94" s="6" t="n">
        <v>43970</v>
      </c>
      <c r="B94" s="7" t="n">
        <v>0.257638888888889</v>
      </c>
      <c r="C94" s="8" t="n">
        <v>123986</v>
      </c>
      <c r="D94" s="8" t="s">
        <v>17</v>
      </c>
      <c r="E94" s="8" t="n">
        <v>26120</v>
      </c>
      <c r="F94" s="8" t="n">
        <v>16040</v>
      </c>
      <c r="G94" s="9" t="n">
        <v>10080</v>
      </c>
      <c r="H94" s="8" t="s">
        <v>11</v>
      </c>
      <c r="I94" s="8" t="s">
        <v>12</v>
      </c>
      <c r="J94" s="0" t="s">
        <v>13</v>
      </c>
    </row>
    <row r="95" customFormat="false" ht="15" hidden="false" customHeight="false" outlineLevel="0" collapsed="false">
      <c r="A95" s="6" t="n">
        <v>43970</v>
      </c>
      <c r="B95" s="7" t="n">
        <v>0.243055555555556</v>
      </c>
      <c r="C95" s="8" t="n">
        <v>123985</v>
      </c>
      <c r="D95" s="8" t="s">
        <v>15</v>
      </c>
      <c r="E95" s="8" t="n">
        <v>4140</v>
      </c>
      <c r="F95" s="8" t="n">
        <v>3760</v>
      </c>
      <c r="G95" s="9" t="n">
        <v>380</v>
      </c>
      <c r="H95" s="8" t="s">
        <v>11</v>
      </c>
      <c r="I95" s="8" t="s">
        <v>12</v>
      </c>
      <c r="J95" s="0" t="s">
        <v>13</v>
      </c>
    </row>
    <row r="96" customFormat="false" ht="15" hidden="false" customHeight="false" outlineLevel="0" collapsed="false">
      <c r="A96" s="6" t="n">
        <v>43970</v>
      </c>
      <c r="B96" s="7" t="n">
        <v>0.318055555555556</v>
      </c>
      <c r="C96" s="8" t="n">
        <v>123994</v>
      </c>
      <c r="D96" s="8" t="s">
        <v>21</v>
      </c>
      <c r="E96" s="8" t="n">
        <v>3500</v>
      </c>
      <c r="F96" s="8" t="n">
        <v>2940</v>
      </c>
      <c r="G96" s="9" t="n">
        <v>560</v>
      </c>
      <c r="H96" s="8" t="s">
        <v>11</v>
      </c>
      <c r="I96" s="8" t="s">
        <v>27</v>
      </c>
      <c r="J96" s="0" t="s">
        <v>13</v>
      </c>
    </row>
    <row r="97" customFormat="false" ht="15" hidden="false" customHeight="false" outlineLevel="0" collapsed="false">
      <c r="A97" s="6" t="n">
        <v>43970</v>
      </c>
      <c r="B97" s="7" t="n">
        <v>0.520138888888889</v>
      </c>
      <c r="C97" s="8" t="n">
        <v>124012</v>
      </c>
      <c r="D97" s="8" t="s">
        <v>21</v>
      </c>
      <c r="E97" s="8" t="n">
        <v>3660</v>
      </c>
      <c r="F97" s="8" t="n">
        <v>2920</v>
      </c>
      <c r="G97" s="9" t="n">
        <v>740</v>
      </c>
      <c r="H97" s="8" t="s">
        <v>11</v>
      </c>
      <c r="I97" s="8" t="s">
        <v>18</v>
      </c>
      <c r="J97" s="0" t="s">
        <v>13</v>
      </c>
    </row>
    <row r="98" customFormat="false" ht="13.8" hidden="false" customHeight="false" outlineLevel="0" collapsed="false">
      <c r="A98" s="6" t="n">
        <v>43971</v>
      </c>
      <c r="B98" s="7" t="n">
        <v>0.254861111111111</v>
      </c>
      <c r="C98" s="8" t="n">
        <v>124033</v>
      </c>
      <c r="D98" s="8" t="s">
        <v>15</v>
      </c>
      <c r="E98" s="8" t="n">
        <v>4100</v>
      </c>
      <c r="F98" s="8" t="n">
        <v>3760</v>
      </c>
      <c r="G98" s="9" t="n">
        <v>340</v>
      </c>
      <c r="H98" s="8" t="s">
        <v>11</v>
      </c>
      <c r="I98" s="8" t="s">
        <v>12</v>
      </c>
      <c r="J98" s="0" t="s">
        <v>13</v>
      </c>
    </row>
    <row r="99" customFormat="false" ht="15" hidden="false" customHeight="false" outlineLevel="0" collapsed="false">
      <c r="A99" s="6" t="n">
        <v>43971</v>
      </c>
      <c r="B99" s="7" t="n">
        <v>0.279861111111111</v>
      </c>
      <c r="C99" s="8" t="n">
        <v>124035</v>
      </c>
      <c r="D99" s="8" t="s">
        <v>17</v>
      </c>
      <c r="E99" s="8" t="n">
        <v>25600</v>
      </c>
      <c r="F99" s="8" t="n">
        <v>15800</v>
      </c>
      <c r="G99" s="9" t="n">
        <v>9800</v>
      </c>
      <c r="H99" s="8" t="s">
        <v>11</v>
      </c>
      <c r="I99" s="8" t="s">
        <v>12</v>
      </c>
      <c r="J99" s="0" t="s">
        <v>13</v>
      </c>
    </row>
    <row r="100" customFormat="false" ht="15" hidden="false" customHeight="false" outlineLevel="0" collapsed="false">
      <c r="A100" s="6" t="n">
        <v>43971</v>
      </c>
      <c r="B100" s="7" t="n">
        <v>0.117361111111111</v>
      </c>
      <c r="C100" s="8" t="n">
        <v>124025</v>
      </c>
      <c r="D100" s="8" t="s">
        <v>14</v>
      </c>
      <c r="E100" s="8" t="n">
        <v>17000</v>
      </c>
      <c r="F100" s="8" t="n">
        <v>13020</v>
      </c>
      <c r="G100" s="9" t="n">
        <v>3980</v>
      </c>
      <c r="H100" s="8" t="s">
        <v>11</v>
      </c>
      <c r="I100" s="8" t="s">
        <v>12</v>
      </c>
      <c r="J100" s="0" t="s">
        <v>13</v>
      </c>
    </row>
    <row r="101" customFormat="false" ht="15" hidden="false" customHeight="false" outlineLevel="0" collapsed="false">
      <c r="A101" s="6" t="n">
        <v>43971</v>
      </c>
      <c r="B101" s="7" t="n">
        <v>0.347916666666667</v>
      </c>
      <c r="C101" s="8" t="n">
        <v>124045</v>
      </c>
      <c r="D101" s="8" t="s">
        <v>25</v>
      </c>
      <c r="E101" s="8" t="n">
        <v>6400</v>
      </c>
      <c r="F101" s="8" t="n">
        <v>5700</v>
      </c>
      <c r="G101" s="9" t="n">
        <v>700</v>
      </c>
      <c r="H101" s="8" t="s">
        <v>11</v>
      </c>
      <c r="I101" s="8" t="s">
        <v>18</v>
      </c>
      <c r="J101" s="0" t="s">
        <v>13</v>
      </c>
    </row>
    <row r="102" customFormat="false" ht="15" hidden="false" customHeight="false" outlineLevel="0" collapsed="false">
      <c r="A102" s="6" t="n">
        <v>43971</v>
      </c>
      <c r="B102" s="7" t="n">
        <v>0.540972222222222</v>
      </c>
      <c r="C102" s="8" t="n">
        <v>124060</v>
      </c>
      <c r="D102" s="8" t="s">
        <v>25</v>
      </c>
      <c r="E102" s="8" t="n">
        <v>6520</v>
      </c>
      <c r="F102" s="8" t="n">
        <v>5600</v>
      </c>
      <c r="G102" s="9" t="n">
        <v>920</v>
      </c>
      <c r="H102" s="8" t="s">
        <v>11</v>
      </c>
      <c r="I102" s="8" t="s">
        <v>18</v>
      </c>
      <c r="J102" s="0" t="s">
        <v>13</v>
      </c>
    </row>
    <row r="103" customFormat="false" ht="15" hidden="false" customHeight="false" outlineLevel="0" collapsed="false">
      <c r="A103" s="6" t="n">
        <v>43971</v>
      </c>
      <c r="B103" s="7" t="n">
        <v>0.553472222222222</v>
      </c>
      <c r="C103" s="8" t="n">
        <v>124063</v>
      </c>
      <c r="D103" s="8" t="s">
        <v>16</v>
      </c>
      <c r="E103" s="8" t="n">
        <v>2700</v>
      </c>
      <c r="F103" s="8" t="n">
        <v>2400</v>
      </c>
      <c r="G103" s="9" t="n">
        <v>300</v>
      </c>
      <c r="H103" s="8" t="s">
        <v>11</v>
      </c>
      <c r="I103" s="8" t="s">
        <v>12</v>
      </c>
      <c r="J103" s="0" t="s">
        <v>13</v>
      </c>
    </row>
    <row r="104" customFormat="false" ht="15" hidden="false" customHeight="false" outlineLevel="0" collapsed="false">
      <c r="A104" s="6" t="n">
        <v>43972</v>
      </c>
      <c r="B104" s="7" t="n">
        <v>0.143055555555556</v>
      </c>
      <c r="C104" s="8" t="n">
        <v>124075</v>
      </c>
      <c r="D104" s="8" t="s">
        <v>14</v>
      </c>
      <c r="E104" s="8" t="n">
        <v>16360</v>
      </c>
      <c r="F104" s="8" t="n">
        <v>13080</v>
      </c>
      <c r="G104" s="9" t="n">
        <v>3280</v>
      </c>
      <c r="H104" s="8" t="s">
        <v>11</v>
      </c>
      <c r="I104" s="8" t="s">
        <v>12</v>
      </c>
      <c r="J104" s="0" t="s">
        <v>13</v>
      </c>
    </row>
    <row r="105" customFormat="false" ht="15" hidden="false" customHeight="false" outlineLevel="0" collapsed="false">
      <c r="A105" s="6" t="n">
        <v>43972</v>
      </c>
      <c r="B105" s="7" t="n">
        <v>0.259722222222222</v>
      </c>
      <c r="C105" s="8" t="n">
        <v>124081</v>
      </c>
      <c r="D105" s="8" t="s">
        <v>17</v>
      </c>
      <c r="E105" s="8" t="n">
        <v>24960</v>
      </c>
      <c r="F105" s="8" t="n">
        <v>15940</v>
      </c>
      <c r="G105" s="9" t="n">
        <v>9020</v>
      </c>
      <c r="H105" s="8" t="s">
        <v>11</v>
      </c>
      <c r="I105" s="8" t="s">
        <v>12</v>
      </c>
      <c r="J105" s="0" t="s">
        <v>13</v>
      </c>
    </row>
    <row r="106" customFormat="false" ht="15" hidden="false" customHeight="false" outlineLevel="0" collapsed="false">
      <c r="A106" s="6" t="n">
        <v>43972</v>
      </c>
      <c r="B106" s="7" t="n">
        <v>0.253472222222222</v>
      </c>
      <c r="C106" s="8" t="n">
        <v>124079</v>
      </c>
      <c r="D106" s="8" t="s">
        <v>15</v>
      </c>
      <c r="E106" s="8" t="n">
        <v>4140</v>
      </c>
      <c r="F106" s="8" t="n">
        <v>3820</v>
      </c>
      <c r="G106" s="9" t="n">
        <v>320</v>
      </c>
      <c r="H106" s="8" t="s">
        <v>11</v>
      </c>
      <c r="I106" s="8" t="s">
        <v>12</v>
      </c>
      <c r="J106" s="0" t="s">
        <v>13</v>
      </c>
    </row>
    <row r="107" customFormat="false" ht="15" hidden="false" customHeight="false" outlineLevel="0" collapsed="false">
      <c r="A107" s="6" t="n">
        <v>43972</v>
      </c>
      <c r="B107" s="7" t="n">
        <v>0.499305555555555</v>
      </c>
      <c r="C107" s="8" t="n">
        <v>10189</v>
      </c>
      <c r="D107" s="8" t="s">
        <v>17</v>
      </c>
      <c r="E107" s="8" t="n">
        <v>17640</v>
      </c>
      <c r="F107" s="8" t="n">
        <v>15920</v>
      </c>
      <c r="G107" s="9" t="n">
        <v>1720</v>
      </c>
      <c r="H107" s="8" t="s">
        <v>11</v>
      </c>
      <c r="I107" s="8" t="s">
        <v>22</v>
      </c>
      <c r="J107" s="0" t="s">
        <v>13</v>
      </c>
    </row>
    <row r="108" customFormat="false" ht="15" hidden="false" customHeight="false" outlineLevel="0" collapsed="false">
      <c r="A108" s="6" t="n">
        <v>43972</v>
      </c>
      <c r="B108" s="7" t="n">
        <v>0.507638888888889</v>
      </c>
      <c r="C108" s="8" t="n">
        <v>124104</v>
      </c>
      <c r="D108" s="8" t="s">
        <v>19</v>
      </c>
      <c r="E108" s="8" t="n">
        <v>20800</v>
      </c>
      <c r="F108" s="8" t="n">
        <v>15740</v>
      </c>
      <c r="G108" s="9" t="n">
        <v>5060</v>
      </c>
      <c r="H108" s="8" t="s">
        <v>11</v>
      </c>
      <c r="I108" s="8" t="s">
        <v>18</v>
      </c>
      <c r="J108" s="0" t="s">
        <v>13</v>
      </c>
    </row>
    <row r="109" customFormat="false" ht="15" hidden="false" customHeight="false" outlineLevel="0" collapsed="false">
      <c r="A109" s="6" t="n">
        <v>43972</v>
      </c>
      <c r="B109" s="7" t="n">
        <v>0.551388888888889</v>
      </c>
      <c r="C109" s="8" t="n">
        <v>124110</v>
      </c>
      <c r="D109" s="8" t="s">
        <v>19</v>
      </c>
      <c r="E109" s="8" t="n">
        <v>18520</v>
      </c>
      <c r="F109" s="8" t="n">
        <v>16120</v>
      </c>
      <c r="G109" s="9" t="n">
        <v>2400</v>
      </c>
      <c r="H109" s="8" t="s">
        <v>11</v>
      </c>
      <c r="I109" s="8" t="s">
        <v>18</v>
      </c>
      <c r="J109" s="0" t="s">
        <v>13</v>
      </c>
    </row>
    <row r="110" customFormat="false" ht="15" hidden="false" customHeight="false" outlineLevel="0" collapsed="false">
      <c r="A110" s="6" t="n">
        <v>43972</v>
      </c>
      <c r="B110" s="7" t="n">
        <v>0.464583333333333</v>
      </c>
      <c r="C110" s="8" t="n">
        <v>124100</v>
      </c>
      <c r="D110" s="8" t="s">
        <v>19</v>
      </c>
      <c r="E110" s="8" t="n">
        <v>24240</v>
      </c>
      <c r="F110" s="8" t="n">
        <v>15840</v>
      </c>
      <c r="G110" s="9" t="n">
        <v>8400</v>
      </c>
      <c r="H110" s="8" t="s">
        <v>11</v>
      </c>
      <c r="I110" s="8" t="s">
        <v>18</v>
      </c>
      <c r="J110" s="0" t="s">
        <v>13</v>
      </c>
    </row>
    <row r="111" customFormat="false" ht="15" hidden="false" customHeight="false" outlineLevel="0" collapsed="false">
      <c r="A111" s="6" t="n">
        <v>43972</v>
      </c>
      <c r="B111" s="7" t="n">
        <v>0.554166666666667</v>
      </c>
      <c r="C111" s="8" t="n">
        <v>124111</v>
      </c>
      <c r="D111" s="8" t="s">
        <v>21</v>
      </c>
      <c r="E111" s="8" t="n">
        <v>3340</v>
      </c>
      <c r="F111" s="8" t="n">
        <v>2840</v>
      </c>
      <c r="G111" s="9" t="n">
        <v>500</v>
      </c>
      <c r="H111" s="8" t="s">
        <v>11</v>
      </c>
      <c r="I111" s="8" t="s">
        <v>18</v>
      </c>
      <c r="J111" s="0" t="s">
        <v>13</v>
      </c>
    </row>
    <row r="112" customFormat="false" ht="15" hidden="false" customHeight="false" outlineLevel="0" collapsed="false">
      <c r="A112" s="6" t="n">
        <v>43973</v>
      </c>
      <c r="B112" s="7" t="n">
        <v>0.113888888888889</v>
      </c>
      <c r="C112" s="8" t="n">
        <v>124122</v>
      </c>
      <c r="D112" s="8" t="s">
        <v>14</v>
      </c>
      <c r="E112" s="8" t="n">
        <v>16380</v>
      </c>
      <c r="F112" s="8" t="n">
        <v>13080</v>
      </c>
      <c r="G112" s="9" t="n">
        <v>3300</v>
      </c>
      <c r="H112" s="8" t="s">
        <v>11</v>
      </c>
      <c r="I112" s="8" t="s">
        <v>12</v>
      </c>
      <c r="J112" s="0" t="s">
        <v>13</v>
      </c>
    </row>
    <row r="113" customFormat="false" ht="15" hidden="false" customHeight="false" outlineLevel="0" collapsed="false">
      <c r="A113" s="6" t="n">
        <v>43973</v>
      </c>
      <c r="B113" s="7" t="n">
        <v>0.259722222222222</v>
      </c>
      <c r="C113" s="8" t="n">
        <v>124130</v>
      </c>
      <c r="D113" s="8" t="s">
        <v>15</v>
      </c>
      <c r="E113" s="8" t="n">
        <v>4220</v>
      </c>
      <c r="F113" s="8" t="n">
        <v>3820</v>
      </c>
      <c r="G113" s="9" t="n">
        <v>400</v>
      </c>
      <c r="H113" s="8" t="s">
        <v>11</v>
      </c>
      <c r="I113" s="8" t="s">
        <v>12</v>
      </c>
      <c r="J113" s="0" t="s">
        <v>13</v>
      </c>
    </row>
    <row r="114" customFormat="false" ht="15" hidden="false" customHeight="false" outlineLevel="0" collapsed="false">
      <c r="A114" s="6" t="n">
        <v>43973</v>
      </c>
      <c r="B114" s="7" t="n">
        <v>0.267361111111111</v>
      </c>
      <c r="C114" s="8" t="n">
        <v>124133</v>
      </c>
      <c r="D114" s="8" t="s">
        <v>17</v>
      </c>
      <c r="E114" s="8" t="n">
        <v>28120</v>
      </c>
      <c r="F114" s="8" t="n">
        <v>15980</v>
      </c>
      <c r="G114" s="9" t="n">
        <v>12140</v>
      </c>
      <c r="H114" s="8" t="s">
        <v>11</v>
      </c>
      <c r="I114" s="8" t="s">
        <v>12</v>
      </c>
      <c r="J114" s="0" t="s">
        <v>13</v>
      </c>
    </row>
    <row r="115" customFormat="false" ht="15" hidden="false" customHeight="false" outlineLevel="0" collapsed="false">
      <c r="A115" s="6" t="n">
        <v>43973</v>
      </c>
      <c r="B115" s="7" t="n">
        <v>0.520833333333333</v>
      </c>
      <c r="C115" s="8" t="s">
        <v>23</v>
      </c>
      <c r="D115" s="8" t="s">
        <v>17</v>
      </c>
      <c r="E115" s="8" t="n">
        <v>17240</v>
      </c>
      <c r="F115" s="8" t="n">
        <v>15900</v>
      </c>
      <c r="G115" s="9" t="n">
        <v>1340</v>
      </c>
      <c r="H115" s="8" t="s">
        <v>11</v>
      </c>
      <c r="I115" s="8" t="s">
        <v>24</v>
      </c>
      <c r="J115" s="0" t="s">
        <v>13</v>
      </c>
    </row>
    <row r="116" customFormat="false" ht="15" hidden="false" customHeight="false" outlineLevel="0" collapsed="false">
      <c r="A116" s="6" t="n">
        <v>43973</v>
      </c>
      <c r="B116" s="7" t="n">
        <v>0.484722222222222</v>
      </c>
      <c r="C116" s="8" t="n">
        <v>124147</v>
      </c>
      <c r="D116" s="8" t="s">
        <v>16</v>
      </c>
      <c r="E116" s="8" t="n">
        <v>2520</v>
      </c>
      <c r="F116" s="8" t="n">
        <v>2380</v>
      </c>
      <c r="G116" s="9" t="n">
        <v>140</v>
      </c>
      <c r="H116" s="8" t="s">
        <v>11</v>
      </c>
      <c r="I116" s="8" t="s">
        <v>12</v>
      </c>
      <c r="J116" s="0" t="s">
        <v>13</v>
      </c>
    </row>
    <row r="117" customFormat="false" ht="15" hidden="false" customHeight="false" outlineLevel="0" collapsed="false">
      <c r="A117" s="6" t="n">
        <v>43974</v>
      </c>
      <c r="B117" s="7" t="n">
        <v>0.540972222222222</v>
      </c>
      <c r="C117" s="8" t="n">
        <v>124180</v>
      </c>
      <c r="D117" s="8" t="s">
        <v>10</v>
      </c>
      <c r="E117" s="8" t="n">
        <v>19540</v>
      </c>
      <c r="F117" s="8" t="n">
        <v>15840</v>
      </c>
      <c r="G117" s="9" t="n">
        <v>3700</v>
      </c>
      <c r="H117" s="8" t="s">
        <v>11</v>
      </c>
      <c r="I117" s="8" t="s">
        <v>12</v>
      </c>
      <c r="J117" s="0" t="s">
        <v>13</v>
      </c>
    </row>
    <row r="118" customFormat="false" ht="15" hidden="false" customHeight="false" outlineLevel="0" collapsed="false">
      <c r="A118" s="6" t="n">
        <v>43974</v>
      </c>
      <c r="B118" s="7" t="n">
        <v>0.58125</v>
      </c>
      <c r="C118" s="8" t="n">
        <v>124182</v>
      </c>
      <c r="D118" s="8" t="s">
        <v>26</v>
      </c>
      <c r="E118" s="8" t="n">
        <v>3000</v>
      </c>
      <c r="F118" s="8" t="n">
        <v>2680</v>
      </c>
      <c r="G118" s="9" t="n">
        <v>320</v>
      </c>
      <c r="H118" s="8" t="s">
        <v>11</v>
      </c>
      <c r="I118" s="8" t="s">
        <v>27</v>
      </c>
      <c r="J118" s="0" t="s">
        <v>13</v>
      </c>
    </row>
    <row r="119" customFormat="false" ht="15" hidden="false" customHeight="false" outlineLevel="0" collapsed="false">
      <c r="A119" s="6" t="n">
        <v>43974</v>
      </c>
      <c r="B119" s="7" t="n">
        <v>0.125</v>
      </c>
      <c r="C119" s="8" t="n">
        <v>124162</v>
      </c>
      <c r="D119" s="8" t="s">
        <v>14</v>
      </c>
      <c r="E119" s="8" t="n">
        <v>16660</v>
      </c>
      <c r="F119" s="8" t="n">
        <v>13040</v>
      </c>
      <c r="G119" s="9" t="n">
        <v>3620</v>
      </c>
      <c r="H119" s="8" t="s">
        <v>11</v>
      </c>
      <c r="I119" s="8" t="s">
        <v>12</v>
      </c>
      <c r="J119" s="0" t="s">
        <v>13</v>
      </c>
    </row>
    <row r="120" customFormat="false" ht="15" hidden="false" customHeight="false" outlineLevel="0" collapsed="false">
      <c r="A120" s="6" t="n">
        <v>43974</v>
      </c>
      <c r="B120" s="7" t="n">
        <v>0.256944444444444</v>
      </c>
      <c r="C120" s="8" t="n">
        <v>124170</v>
      </c>
      <c r="D120" s="8" t="s">
        <v>15</v>
      </c>
      <c r="E120" s="8" t="n">
        <v>4280</v>
      </c>
      <c r="F120" s="8" t="n">
        <v>3800</v>
      </c>
      <c r="G120" s="9" t="n">
        <v>480</v>
      </c>
      <c r="H120" s="8" t="s">
        <v>11</v>
      </c>
      <c r="I120" s="8" t="s">
        <v>12</v>
      </c>
      <c r="J120" s="0" t="s">
        <v>13</v>
      </c>
    </row>
    <row r="121" customFormat="false" ht="15" hidden="false" customHeight="false" outlineLevel="0" collapsed="false">
      <c r="A121" s="6" t="n">
        <v>43974</v>
      </c>
      <c r="B121" s="7" t="n">
        <v>0.270138888888889</v>
      </c>
      <c r="C121" s="8" t="n">
        <v>124171</v>
      </c>
      <c r="D121" s="8" t="s">
        <v>17</v>
      </c>
      <c r="E121" s="8" t="n">
        <v>25700</v>
      </c>
      <c r="F121" s="8" t="n">
        <v>15940</v>
      </c>
      <c r="G121" s="9" t="n">
        <v>9760</v>
      </c>
      <c r="H121" s="8" t="s">
        <v>11</v>
      </c>
      <c r="I121" s="8" t="s">
        <v>12</v>
      </c>
      <c r="J121" s="0" t="s">
        <v>13</v>
      </c>
    </row>
    <row r="122" customFormat="false" ht="15" hidden="false" customHeight="false" outlineLevel="0" collapsed="false">
      <c r="A122" s="6" t="n">
        <v>43975</v>
      </c>
      <c r="B122" s="7" t="n">
        <v>0.129166666666667</v>
      </c>
      <c r="C122" s="8" t="n">
        <v>124189</v>
      </c>
      <c r="D122" s="8" t="s">
        <v>14</v>
      </c>
      <c r="E122" s="8" t="n">
        <v>16100</v>
      </c>
      <c r="F122" s="8" t="n">
        <v>12880</v>
      </c>
      <c r="G122" s="9" t="n">
        <v>3220</v>
      </c>
      <c r="H122" s="8" t="s">
        <v>11</v>
      </c>
      <c r="I122" s="8" t="s">
        <v>12</v>
      </c>
      <c r="J122" s="0" t="s">
        <v>13</v>
      </c>
    </row>
    <row r="123" customFormat="false" ht="15" hidden="false" customHeight="false" outlineLevel="0" collapsed="false">
      <c r="A123" s="6" t="n">
        <v>43975</v>
      </c>
      <c r="B123" s="7" t="n">
        <v>0.2</v>
      </c>
      <c r="C123" s="8" t="n">
        <v>124190</v>
      </c>
      <c r="D123" s="8" t="s">
        <v>15</v>
      </c>
      <c r="E123" s="8" t="n">
        <v>4100</v>
      </c>
      <c r="F123" s="8" t="n">
        <v>3780</v>
      </c>
      <c r="G123" s="9" t="n">
        <v>320</v>
      </c>
      <c r="H123" s="8" t="s">
        <v>11</v>
      </c>
      <c r="I123" s="8" t="s">
        <v>12</v>
      </c>
      <c r="J123" s="0" t="s">
        <v>13</v>
      </c>
    </row>
    <row r="124" customFormat="false" ht="15" hidden="false" customHeight="false" outlineLevel="0" collapsed="false">
      <c r="A124" s="6" t="n">
        <v>43975</v>
      </c>
      <c r="B124" s="7" t="n">
        <v>0.221527777777778</v>
      </c>
      <c r="C124" s="8" t="n">
        <v>124191</v>
      </c>
      <c r="D124" s="8" t="s">
        <v>17</v>
      </c>
      <c r="E124" s="8" t="n">
        <v>26520</v>
      </c>
      <c r="F124" s="8" t="n">
        <v>15880</v>
      </c>
      <c r="G124" s="9" t="n">
        <v>10640</v>
      </c>
      <c r="H124" s="8" t="s">
        <v>11</v>
      </c>
      <c r="I124" s="8" t="s">
        <v>12</v>
      </c>
      <c r="J124" s="0" t="s">
        <v>13</v>
      </c>
    </row>
    <row r="125" customFormat="false" ht="15" hidden="false" customHeight="false" outlineLevel="0" collapsed="false">
      <c r="A125" s="6" t="n">
        <v>43975</v>
      </c>
      <c r="B125" s="7" t="n">
        <v>0.553472222222222</v>
      </c>
      <c r="C125" s="8" t="n">
        <v>124196</v>
      </c>
      <c r="D125" s="8" t="s">
        <v>16</v>
      </c>
      <c r="E125" s="8" t="n">
        <v>2640</v>
      </c>
      <c r="F125" s="8" t="n">
        <v>2380</v>
      </c>
      <c r="G125" s="9" t="n">
        <v>260</v>
      </c>
      <c r="H125" s="8" t="s">
        <v>11</v>
      </c>
      <c r="I125" s="8" t="s">
        <v>12</v>
      </c>
      <c r="J125" s="0" t="s">
        <v>13</v>
      </c>
    </row>
    <row r="126" customFormat="false" ht="15" hidden="false" customHeight="false" outlineLevel="0" collapsed="false">
      <c r="A126" s="6" t="n">
        <v>43976</v>
      </c>
      <c r="B126" s="7" t="n">
        <v>0.270138888888889</v>
      </c>
      <c r="C126" s="8" t="n">
        <v>124215</v>
      </c>
      <c r="D126" s="8" t="s">
        <v>10</v>
      </c>
      <c r="E126" s="8" t="n">
        <v>24540</v>
      </c>
      <c r="F126" s="8" t="n">
        <v>15940</v>
      </c>
      <c r="G126" s="9" t="n">
        <v>8600</v>
      </c>
      <c r="H126" s="8" t="s">
        <v>11</v>
      </c>
      <c r="I126" s="8" t="s">
        <v>12</v>
      </c>
      <c r="J126" s="0" t="s">
        <v>13</v>
      </c>
    </row>
    <row r="127" customFormat="false" ht="15" hidden="false" customHeight="false" outlineLevel="0" collapsed="false">
      <c r="A127" s="6" t="n">
        <v>43976</v>
      </c>
      <c r="B127" s="7" t="n">
        <v>0.238194444444444</v>
      </c>
      <c r="C127" s="8" t="n">
        <v>124210</v>
      </c>
      <c r="D127" s="8" t="s">
        <v>15</v>
      </c>
      <c r="E127" s="8" t="n">
        <v>4060</v>
      </c>
      <c r="F127" s="8" t="n">
        <v>3800</v>
      </c>
      <c r="G127" s="9" t="n">
        <v>260</v>
      </c>
      <c r="H127" s="8" t="s">
        <v>11</v>
      </c>
      <c r="I127" s="8" t="s">
        <v>12</v>
      </c>
      <c r="J127" s="0" t="s">
        <v>13</v>
      </c>
    </row>
    <row r="128" customFormat="false" ht="15" hidden="false" customHeight="false" outlineLevel="0" collapsed="false">
      <c r="A128" s="6" t="n">
        <v>43976</v>
      </c>
      <c r="B128" s="7" t="n">
        <v>0.161111111111111</v>
      </c>
      <c r="C128" s="8" t="n">
        <v>124204</v>
      </c>
      <c r="D128" s="8" t="s">
        <v>14</v>
      </c>
      <c r="E128" s="8" t="n">
        <v>15120</v>
      </c>
      <c r="F128" s="8" t="n">
        <v>12880</v>
      </c>
      <c r="G128" s="9" t="n">
        <v>2240</v>
      </c>
      <c r="H128" s="8" t="s">
        <v>11</v>
      </c>
      <c r="I128" s="8" t="s">
        <v>12</v>
      </c>
      <c r="J128" s="0" t="s">
        <v>13</v>
      </c>
    </row>
    <row r="129" customFormat="false" ht="15" hidden="false" customHeight="false" outlineLevel="0" collapsed="false">
      <c r="A129" s="6" t="n">
        <v>43976</v>
      </c>
      <c r="B129" s="7" t="n">
        <v>0.517361111111111</v>
      </c>
      <c r="C129" s="8" t="n">
        <v>124233</v>
      </c>
      <c r="D129" s="8" t="s">
        <v>21</v>
      </c>
      <c r="E129" s="8" t="n">
        <v>3700</v>
      </c>
      <c r="F129" s="8" t="n">
        <v>2880</v>
      </c>
      <c r="G129" s="9" t="n">
        <v>820</v>
      </c>
      <c r="H129" s="8" t="s">
        <v>11</v>
      </c>
      <c r="I129" s="8" t="s">
        <v>18</v>
      </c>
      <c r="J129" s="0" t="s">
        <v>13</v>
      </c>
    </row>
    <row r="130" customFormat="false" ht="15" hidden="false" customHeight="false" outlineLevel="0" collapsed="false">
      <c r="A130" s="6" t="n">
        <v>43976</v>
      </c>
      <c r="B130" s="7" t="n">
        <v>0.51875</v>
      </c>
      <c r="C130" s="8" t="n">
        <v>124234</v>
      </c>
      <c r="D130" s="8" t="s">
        <v>16</v>
      </c>
      <c r="E130" s="8" t="n">
        <v>2580</v>
      </c>
      <c r="F130" s="8" t="n">
        <v>2400</v>
      </c>
      <c r="G130" s="9" t="n">
        <v>180</v>
      </c>
      <c r="H130" s="8" t="s">
        <v>11</v>
      </c>
      <c r="I130" s="8" t="s">
        <v>12</v>
      </c>
      <c r="J130" s="0" t="s">
        <v>13</v>
      </c>
    </row>
    <row r="131" customFormat="false" ht="15" hidden="false" customHeight="false" outlineLevel="0" collapsed="false">
      <c r="A131" s="6" t="n">
        <v>43976</v>
      </c>
      <c r="B131" s="7" t="n">
        <v>0.365277777777778</v>
      </c>
      <c r="C131" s="8" t="n">
        <v>124220</v>
      </c>
      <c r="D131" s="8" t="s">
        <v>21</v>
      </c>
      <c r="E131" s="8" t="n">
        <v>3340</v>
      </c>
      <c r="F131" s="8" t="n">
        <v>2820</v>
      </c>
      <c r="G131" s="9" t="n">
        <v>520</v>
      </c>
      <c r="H131" s="8" t="s">
        <v>11</v>
      </c>
      <c r="I131" s="8" t="s">
        <v>18</v>
      </c>
      <c r="J131" s="0" t="s">
        <v>13</v>
      </c>
    </row>
    <row r="132" customFormat="false" ht="15" hidden="false" customHeight="false" outlineLevel="0" collapsed="false">
      <c r="A132" s="6" t="n">
        <v>43977</v>
      </c>
      <c r="B132" s="7" t="n">
        <v>0.269444444444444</v>
      </c>
      <c r="C132" s="8" t="n">
        <v>124261</v>
      </c>
      <c r="D132" s="8" t="s">
        <v>10</v>
      </c>
      <c r="E132" s="8" t="n">
        <v>22580</v>
      </c>
      <c r="F132" s="8" t="n">
        <v>15980</v>
      </c>
      <c r="G132" s="9" t="n">
        <v>6600</v>
      </c>
      <c r="H132" s="8" t="s">
        <v>11</v>
      </c>
      <c r="I132" s="8" t="s">
        <v>12</v>
      </c>
      <c r="J132" s="0" t="s">
        <v>13</v>
      </c>
    </row>
    <row r="133" customFormat="false" ht="15" hidden="false" customHeight="false" outlineLevel="0" collapsed="false">
      <c r="A133" s="6" t="n">
        <v>43977</v>
      </c>
      <c r="B133" s="7" t="n">
        <v>0.242361111111111</v>
      </c>
      <c r="C133" s="8" t="n">
        <v>124260</v>
      </c>
      <c r="D133" s="8" t="s">
        <v>15</v>
      </c>
      <c r="E133" s="8" t="n">
        <v>4120</v>
      </c>
      <c r="F133" s="8" t="n">
        <v>3780</v>
      </c>
      <c r="G133" s="9" t="n">
        <v>340</v>
      </c>
      <c r="H133" s="8" t="s">
        <v>11</v>
      </c>
      <c r="I133" s="8" t="s">
        <v>12</v>
      </c>
      <c r="J133" s="0" t="s">
        <v>13</v>
      </c>
    </row>
    <row r="134" customFormat="false" ht="15" hidden="false" customHeight="false" outlineLevel="0" collapsed="false">
      <c r="A134" s="6" t="n">
        <v>43977</v>
      </c>
      <c r="B134" s="7" t="n">
        <v>0.175694444444444</v>
      </c>
      <c r="C134" s="8" t="n">
        <v>124256</v>
      </c>
      <c r="D134" s="8" t="s">
        <v>17</v>
      </c>
      <c r="E134" s="8" t="n">
        <v>19320</v>
      </c>
      <c r="F134" s="8" t="n">
        <v>15880</v>
      </c>
      <c r="G134" s="9" t="n">
        <v>3440</v>
      </c>
      <c r="H134" s="8" t="s">
        <v>11</v>
      </c>
      <c r="I134" s="8" t="s">
        <v>12</v>
      </c>
      <c r="J134" s="0" t="s">
        <v>13</v>
      </c>
    </row>
    <row r="135" customFormat="false" ht="15" hidden="false" customHeight="false" outlineLevel="0" collapsed="false">
      <c r="A135" s="6" t="n">
        <v>43977</v>
      </c>
      <c r="B135" s="7" t="n">
        <v>0.246527777777778</v>
      </c>
      <c r="C135" s="8" t="n">
        <v>124254</v>
      </c>
      <c r="D135" s="8" t="s">
        <v>14</v>
      </c>
      <c r="E135" s="8" t="n">
        <v>16020</v>
      </c>
      <c r="F135" s="8" t="n">
        <v>12860</v>
      </c>
      <c r="G135" s="9" t="n">
        <v>3160</v>
      </c>
      <c r="H135" s="8" t="s">
        <v>11</v>
      </c>
      <c r="I135" s="8" t="s">
        <v>12</v>
      </c>
      <c r="J135" s="0" t="s">
        <v>13</v>
      </c>
    </row>
    <row r="136" customFormat="false" ht="15" hidden="false" customHeight="false" outlineLevel="0" collapsed="false">
      <c r="A136" s="6" t="n">
        <v>43977</v>
      </c>
      <c r="B136" s="7" t="n">
        <v>0.488194444444444</v>
      </c>
      <c r="C136" s="8" t="n">
        <v>124283</v>
      </c>
      <c r="D136" s="8" t="s">
        <v>16</v>
      </c>
      <c r="E136" s="8" t="n">
        <v>2560</v>
      </c>
      <c r="F136" s="8" t="n">
        <v>2360</v>
      </c>
      <c r="G136" s="9" t="n">
        <v>200</v>
      </c>
      <c r="H136" s="8" t="s">
        <v>11</v>
      </c>
      <c r="I136" s="8" t="s">
        <v>12</v>
      </c>
      <c r="J136" s="0" t="s">
        <v>13</v>
      </c>
    </row>
    <row r="137" customFormat="false" ht="15" hidden="false" customHeight="false" outlineLevel="0" collapsed="false">
      <c r="A137" s="6" t="n">
        <v>43977</v>
      </c>
      <c r="B137" s="7" t="n">
        <v>0.297916666666667</v>
      </c>
      <c r="C137" s="8" t="n">
        <v>124266</v>
      </c>
      <c r="D137" s="8" t="s">
        <v>19</v>
      </c>
      <c r="E137" s="8" t="n">
        <v>24240</v>
      </c>
      <c r="F137" s="8" t="n">
        <v>15300</v>
      </c>
      <c r="G137" s="9" t="n">
        <v>8940</v>
      </c>
      <c r="H137" s="8" t="s">
        <v>11</v>
      </c>
      <c r="I137" s="8" t="s">
        <v>20</v>
      </c>
      <c r="J137" s="0" t="s">
        <v>13</v>
      </c>
    </row>
    <row r="138" customFormat="false" ht="15" hidden="false" customHeight="false" outlineLevel="0" collapsed="false">
      <c r="A138" s="6" t="n">
        <v>43977</v>
      </c>
      <c r="B138" s="7" t="n">
        <v>0.357638888888889</v>
      </c>
      <c r="C138" s="8" t="n">
        <v>124272</v>
      </c>
      <c r="D138" s="8" t="s">
        <v>19</v>
      </c>
      <c r="E138" s="8" t="n">
        <v>28340</v>
      </c>
      <c r="F138" s="8" t="n">
        <v>15300</v>
      </c>
      <c r="G138" s="9" t="n">
        <v>13040</v>
      </c>
      <c r="H138" s="8" t="s">
        <v>11</v>
      </c>
      <c r="I138" s="8" t="s">
        <v>20</v>
      </c>
      <c r="J138" s="0" t="s">
        <v>13</v>
      </c>
    </row>
    <row r="139" customFormat="false" ht="15" hidden="false" customHeight="false" outlineLevel="0" collapsed="false">
      <c r="A139" s="6" t="n">
        <v>43977</v>
      </c>
      <c r="B139" s="7" t="n">
        <v>0.460416666666667</v>
      </c>
      <c r="C139" s="8" t="n">
        <v>124281</v>
      </c>
      <c r="D139" s="8" t="s">
        <v>19</v>
      </c>
      <c r="E139" s="8" t="n">
        <v>32200</v>
      </c>
      <c r="F139" s="8" t="n">
        <v>15300</v>
      </c>
      <c r="G139" s="9" t="n">
        <v>16900</v>
      </c>
      <c r="H139" s="8" t="s">
        <v>11</v>
      </c>
      <c r="I139" s="8" t="s">
        <v>20</v>
      </c>
      <c r="J139" s="0" t="s">
        <v>13</v>
      </c>
    </row>
    <row r="140" customFormat="false" ht="15" hidden="false" customHeight="false" outlineLevel="0" collapsed="false">
      <c r="A140" s="6" t="n">
        <v>43977</v>
      </c>
      <c r="B140" s="7" t="n">
        <v>0.427777777777778</v>
      </c>
      <c r="C140" s="8" t="n">
        <v>124279</v>
      </c>
      <c r="D140" s="8" t="s">
        <v>19</v>
      </c>
      <c r="E140" s="8" t="n">
        <v>30580</v>
      </c>
      <c r="F140" s="8" t="n">
        <v>15300</v>
      </c>
      <c r="G140" s="9" t="n">
        <v>15280</v>
      </c>
      <c r="H140" s="8" t="s">
        <v>11</v>
      </c>
      <c r="I140" s="8" t="s">
        <v>20</v>
      </c>
      <c r="J140" s="0" t="s">
        <v>13</v>
      </c>
    </row>
    <row r="141" customFormat="false" ht="15" hidden="false" customHeight="false" outlineLevel="0" collapsed="false">
      <c r="A141" s="6" t="n">
        <v>43978</v>
      </c>
      <c r="B141" s="7" t="n">
        <v>0.245138888888889</v>
      </c>
      <c r="C141" s="8" t="n">
        <v>124312</v>
      </c>
      <c r="D141" s="8" t="s">
        <v>15</v>
      </c>
      <c r="E141" s="8" t="n">
        <v>4140</v>
      </c>
      <c r="F141" s="8" t="n">
        <v>3780</v>
      </c>
      <c r="G141" s="9" t="n">
        <v>360</v>
      </c>
      <c r="H141" s="8" t="s">
        <v>11</v>
      </c>
      <c r="I141" s="8" t="s">
        <v>12</v>
      </c>
      <c r="J141" s="0" t="s">
        <v>13</v>
      </c>
    </row>
    <row r="142" customFormat="false" ht="15" hidden="false" customHeight="false" outlineLevel="0" collapsed="false">
      <c r="A142" s="6" t="n">
        <v>43978</v>
      </c>
      <c r="B142" s="7" t="n">
        <v>0.163888888888889</v>
      </c>
      <c r="C142" s="8" t="n">
        <v>124308</v>
      </c>
      <c r="D142" s="8" t="s">
        <v>14</v>
      </c>
      <c r="E142" s="8" t="n">
        <v>16440</v>
      </c>
      <c r="F142" s="8" t="n">
        <v>12860</v>
      </c>
      <c r="G142" s="9" t="n">
        <v>3580</v>
      </c>
      <c r="H142" s="8" t="s">
        <v>11</v>
      </c>
      <c r="I142" s="8" t="s">
        <v>12</v>
      </c>
      <c r="J142" s="0" t="s">
        <v>13</v>
      </c>
    </row>
    <row r="143" customFormat="false" ht="15" hidden="false" customHeight="false" outlineLevel="0" collapsed="false">
      <c r="A143" s="6" t="n">
        <v>43978</v>
      </c>
      <c r="B143" s="7" t="n">
        <v>0.276388888888889</v>
      </c>
      <c r="C143" s="8" t="n">
        <v>124316</v>
      </c>
      <c r="D143" s="8" t="s">
        <v>10</v>
      </c>
      <c r="E143" s="8" t="n">
        <v>24220</v>
      </c>
      <c r="F143" s="8" t="n">
        <v>15760</v>
      </c>
      <c r="G143" s="9" t="n">
        <v>8460</v>
      </c>
      <c r="H143" s="8" t="s">
        <v>11</v>
      </c>
      <c r="I143" s="8" t="s">
        <v>12</v>
      </c>
      <c r="J143" s="0" t="s">
        <v>13</v>
      </c>
    </row>
    <row r="144" customFormat="false" ht="15" hidden="false" customHeight="false" outlineLevel="0" collapsed="false">
      <c r="A144" s="6" t="n">
        <v>43978</v>
      </c>
      <c r="B144" s="7" t="n">
        <v>0.320833333333333</v>
      </c>
      <c r="C144" s="8" t="n">
        <v>124322</v>
      </c>
      <c r="D144" s="8" t="s">
        <v>25</v>
      </c>
      <c r="E144" s="8" t="n">
        <v>6280</v>
      </c>
      <c r="F144" s="8" t="n">
        <v>5720</v>
      </c>
      <c r="G144" s="9" t="n">
        <v>560</v>
      </c>
      <c r="H144" s="8" t="s">
        <v>11</v>
      </c>
      <c r="I144" s="8" t="s">
        <v>18</v>
      </c>
      <c r="J144" s="0" t="s">
        <v>13</v>
      </c>
    </row>
    <row r="145" customFormat="false" ht="15" hidden="false" customHeight="false" outlineLevel="0" collapsed="false">
      <c r="A145" s="6" t="n">
        <v>43978</v>
      </c>
      <c r="B145" s="7" t="n">
        <v>0.45</v>
      </c>
      <c r="C145" s="8" t="n">
        <v>124336</v>
      </c>
      <c r="D145" s="8" t="s">
        <v>25</v>
      </c>
      <c r="E145" s="8" t="n">
        <v>6960</v>
      </c>
      <c r="F145" s="8" t="n">
        <v>5700</v>
      </c>
      <c r="G145" s="9" t="n">
        <v>1260</v>
      </c>
      <c r="H145" s="8" t="s">
        <v>11</v>
      </c>
      <c r="I145" s="8" t="s">
        <v>18</v>
      </c>
      <c r="J145" s="0" t="s">
        <v>13</v>
      </c>
    </row>
    <row r="146" customFormat="false" ht="15" hidden="false" customHeight="false" outlineLevel="0" collapsed="false">
      <c r="A146" s="6" t="n">
        <v>43978</v>
      </c>
      <c r="B146" s="7" t="n">
        <v>0.470833333333333</v>
      </c>
      <c r="C146" s="8" t="n">
        <v>124338</v>
      </c>
      <c r="D146" s="8" t="s">
        <v>16</v>
      </c>
      <c r="E146" s="8" t="n">
        <v>2620</v>
      </c>
      <c r="F146" s="8" t="n">
        <v>2360</v>
      </c>
      <c r="G146" s="9" t="n">
        <v>260</v>
      </c>
      <c r="H146" s="8" t="s">
        <v>11</v>
      </c>
      <c r="I146" s="8" t="s">
        <v>12</v>
      </c>
      <c r="J146" s="0" t="s">
        <v>13</v>
      </c>
    </row>
    <row r="147" customFormat="false" ht="15" hidden="false" customHeight="false" outlineLevel="0" collapsed="false">
      <c r="A147" s="6" t="n">
        <v>43978</v>
      </c>
      <c r="B147" s="7" t="n">
        <v>0.538194444444444</v>
      </c>
      <c r="C147" s="8" t="n">
        <v>124346</v>
      </c>
      <c r="D147" s="8" t="s">
        <v>25</v>
      </c>
      <c r="E147" s="8" t="n">
        <v>5880</v>
      </c>
      <c r="F147" s="8" t="n">
        <v>5620</v>
      </c>
      <c r="G147" s="9" t="n">
        <v>260</v>
      </c>
      <c r="H147" s="8" t="s">
        <v>11</v>
      </c>
      <c r="I147" s="8" t="s">
        <v>18</v>
      </c>
      <c r="J147" s="0" t="s">
        <v>13</v>
      </c>
    </row>
    <row r="148" customFormat="false" ht="15" hidden="false" customHeight="false" outlineLevel="0" collapsed="false">
      <c r="A148" s="6" t="n">
        <v>43978</v>
      </c>
      <c r="B148" s="7" t="n">
        <v>0.539583333333333</v>
      </c>
      <c r="C148" s="8" t="n">
        <v>124347</v>
      </c>
      <c r="D148" s="8" t="s">
        <v>14</v>
      </c>
      <c r="E148" s="8" t="n">
        <v>12960</v>
      </c>
      <c r="F148" s="8" t="n">
        <v>12700</v>
      </c>
      <c r="G148" s="9" t="n">
        <v>260</v>
      </c>
      <c r="H148" s="8" t="s">
        <v>11</v>
      </c>
      <c r="I148" s="8" t="s">
        <v>12</v>
      </c>
      <c r="J148" s="0" t="s">
        <v>13</v>
      </c>
    </row>
    <row r="149" customFormat="false" ht="15" hidden="false" customHeight="false" outlineLevel="0" collapsed="false">
      <c r="A149" s="6" t="n">
        <v>43978</v>
      </c>
      <c r="B149" s="7" t="n">
        <v>0.60625</v>
      </c>
      <c r="C149" s="8" t="n">
        <v>124350</v>
      </c>
      <c r="D149" s="8" t="s">
        <v>21</v>
      </c>
      <c r="E149" s="8" t="n">
        <v>3740</v>
      </c>
      <c r="F149" s="8" t="n">
        <v>2840</v>
      </c>
      <c r="G149" s="9" t="n">
        <v>900</v>
      </c>
      <c r="H149" s="8" t="s">
        <v>11</v>
      </c>
      <c r="I149" s="8" t="s">
        <v>27</v>
      </c>
      <c r="J149" s="0" t="s">
        <v>13</v>
      </c>
    </row>
    <row r="150" customFormat="false" ht="15" hidden="false" customHeight="false" outlineLevel="0" collapsed="false">
      <c r="A150" s="6" t="n">
        <v>43979</v>
      </c>
      <c r="B150" s="7" t="n">
        <v>0.153472222222222</v>
      </c>
      <c r="C150" s="8" t="n">
        <v>124363</v>
      </c>
      <c r="D150" s="8" t="s">
        <v>28</v>
      </c>
      <c r="E150" s="8" t="n">
        <v>15820</v>
      </c>
      <c r="F150" s="8" t="n">
        <v>12380</v>
      </c>
      <c r="G150" s="9" t="n">
        <v>3440</v>
      </c>
      <c r="H150" s="8" t="s">
        <v>11</v>
      </c>
      <c r="I150" s="8" t="s">
        <v>12</v>
      </c>
      <c r="J150" s="0" t="s">
        <v>13</v>
      </c>
    </row>
    <row r="151" customFormat="false" ht="15" hidden="false" customHeight="false" outlineLevel="0" collapsed="false">
      <c r="A151" s="6" t="n">
        <v>43979</v>
      </c>
      <c r="B151" s="7" t="n">
        <v>0.263888888888889</v>
      </c>
      <c r="C151" s="8" t="n">
        <v>124369</v>
      </c>
      <c r="D151" s="8" t="s">
        <v>15</v>
      </c>
      <c r="E151" s="8" t="n">
        <v>4240</v>
      </c>
      <c r="F151" s="8" t="n">
        <v>3760</v>
      </c>
      <c r="G151" s="9" t="n">
        <v>480</v>
      </c>
      <c r="H151" s="8" t="s">
        <v>11</v>
      </c>
      <c r="I151" s="8" t="s">
        <v>12</v>
      </c>
      <c r="J151" s="0" t="s">
        <v>13</v>
      </c>
    </row>
    <row r="152" customFormat="false" ht="15" hidden="false" customHeight="false" outlineLevel="0" collapsed="false">
      <c r="A152" s="6" t="n">
        <v>43979</v>
      </c>
      <c r="B152" s="7" t="n">
        <v>0.277777777777778</v>
      </c>
      <c r="C152" s="8" t="n">
        <v>124373</v>
      </c>
      <c r="D152" s="8" t="s">
        <v>10</v>
      </c>
      <c r="E152" s="8" t="n">
        <v>25700</v>
      </c>
      <c r="F152" s="8" t="n">
        <v>15920</v>
      </c>
      <c r="G152" s="9" t="n">
        <v>9780</v>
      </c>
      <c r="H152" s="8" t="s">
        <v>11</v>
      </c>
      <c r="I152" s="8" t="s">
        <v>12</v>
      </c>
      <c r="J152" s="0" t="s">
        <v>13</v>
      </c>
    </row>
    <row r="153" customFormat="false" ht="15" hidden="false" customHeight="false" outlineLevel="0" collapsed="false">
      <c r="A153" s="6" t="n">
        <v>43979</v>
      </c>
      <c r="B153" s="7" t="n">
        <v>0.538194444444444</v>
      </c>
      <c r="C153" s="8" t="n">
        <v>102170</v>
      </c>
      <c r="D153" s="8" t="s">
        <v>17</v>
      </c>
      <c r="E153" s="8" t="n">
        <v>17600</v>
      </c>
      <c r="F153" s="8" t="n">
        <v>15800</v>
      </c>
      <c r="G153" s="9" t="n">
        <v>1800</v>
      </c>
      <c r="H153" s="8" t="s">
        <v>11</v>
      </c>
      <c r="I153" s="8" t="s">
        <v>22</v>
      </c>
      <c r="J153" s="0" t="s">
        <v>13</v>
      </c>
    </row>
    <row r="154" customFormat="false" ht="15" hidden="false" customHeight="false" outlineLevel="0" collapsed="false">
      <c r="A154" s="6" t="n">
        <v>43979</v>
      </c>
      <c r="B154" s="7" t="n">
        <v>0.455555555555556</v>
      </c>
      <c r="C154" s="8" t="n">
        <v>124386</v>
      </c>
      <c r="D154" s="8" t="s">
        <v>16</v>
      </c>
      <c r="E154" s="8" t="n">
        <v>2780</v>
      </c>
      <c r="F154" s="8" t="n">
        <v>2480</v>
      </c>
      <c r="G154" s="9" t="n">
        <v>300</v>
      </c>
      <c r="H154" s="8" t="s">
        <v>11</v>
      </c>
      <c r="I154" s="8" t="s">
        <v>18</v>
      </c>
      <c r="J154" s="0" t="s">
        <v>13</v>
      </c>
    </row>
    <row r="155" customFormat="false" ht="15" hidden="false" customHeight="false" outlineLevel="0" collapsed="false">
      <c r="A155" s="6" t="n">
        <v>43979</v>
      </c>
      <c r="B155" s="7" t="n">
        <v>0.547916666666667</v>
      </c>
      <c r="C155" s="8" t="n">
        <v>124396</v>
      </c>
      <c r="D155" s="8" t="s">
        <v>16</v>
      </c>
      <c r="E155" s="8" t="n">
        <v>2620</v>
      </c>
      <c r="F155" s="8" t="n">
        <v>2400</v>
      </c>
      <c r="G155" s="9" t="n">
        <v>220</v>
      </c>
      <c r="H155" s="8" t="s">
        <v>11</v>
      </c>
      <c r="I155" s="8" t="s">
        <v>27</v>
      </c>
      <c r="J155" s="0" t="s">
        <v>13</v>
      </c>
    </row>
    <row r="156" customFormat="false" ht="15" hidden="false" customHeight="false" outlineLevel="0" collapsed="false">
      <c r="A156" s="6" t="n">
        <v>43980</v>
      </c>
      <c r="B156" s="7" t="n">
        <v>0.170833333333333</v>
      </c>
      <c r="C156" s="8" t="n">
        <v>124413</v>
      </c>
      <c r="D156" s="8" t="s">
        <v>14</v>
      </c>
      <c r="E156" s="8" t="n">
        <v>16900</v>
      </c>
      <c r="F156" s="8" t="n">
        <v>12800</v>
      </c>
      <c r="G156" s="9" t="n">
        <v>4100</v>
      </c>
      <c r="H156" s="8" t="s">
        <v>11</v>
      </c>
      <c r="I156" s="8" t="s">
        <v>12</v>
      </c>
      <c r="J156" s="0" t="s">
        <v>13</v>
      </c>
    </row>
    <row r="157" customFormat="false" ht="15" hidden="false" customHeight="false" outlineLevel="0" collapsed="false">
      <c r="A157" s="6" t="n">
        <v>43980</v>
      </c>
      <c r="B157" s="7" t="n">
        <v>0.265972222222222</v>
      </c>
      <c r="C157" s="8" t="n">
        <v>124420</v>
      </c>
      <c r="D157" s="8" t="s">
        <v>10</v>
      </c>
      <c r="E157" s="8" t="n">
        <v>25880</v>
      </c>
      <c r="F157" s="8" t="n">
        <v>15820</v>
      </c>
      <c r="G157" s="9" t="n">
        <v>10060</v>
      </c>
      <c r="H157" s="8" t="s">
        <v>11</v>
      </c>
      <c r="I157" s="8" t="s">
        <v>12</v>
      </c>
      <c r="J157" s="0" t="s">
        <v>13</v>
      </c>
    </row>
    <row r="158" customFormat="false" ht="15" hidden="false" customHeight="false" outlineLevel="0" collapsed="false">
      <c r="A158" s="6" t="n">
        <v>43980</v>
      </c>
      <c r="B158" s="7" t="n">
        <v>0.264583333333333</v>
      </c>
      <c r="C158" s="8" t="n">
        <v>124419</v>
      </c>
      <c r="D158" s="8" t="s">
        <v>15</v>
      </c>
      <c r="E158" s="8" t="n">
        <v>4140</v>
      </c>
      <c r="F158" s="8" t="n">
        <v>3720</v>
      </c>
      <c r="G158" s="9" t="n">
        <v>420</v>
      </c>
      <c r="H158" s="8" t="s">
        <v>11</v>
      </c>
      <c r="I158" s="8" t="s">
        <v>12</v>
      </c>
      <c r="J158" s="0" t="s">
        <v>13</v>
      </c>
    </row>
    <row r="159" customFormat="false" ht="15" hidden="false" customHeight="false" outlineLevel="0" collapsed="false">
      <c r="A159" s="6" t="n">
        <v>43980</v>
      </c>
      <c r="B159" s="7" t="n">
        <v>0.55</v>
      </c>
      <c r="C159" s="8" t="n">
        <v>124439</v>
      </c>
      <c r="D159" s="8" t="s">
        <v>16</v>
      </c>
      <c r="E159" s="8" t="n">
        <v>2680</v>
      </c>
      <c r="F159" s="8" t="n">
        <v>2400</v>
      </c>
      <c r="G159" s="9" t="n">
        <v>280</v>
      </c>
      <c r="H159" s="8" t="s">
        <v>11</v>
      </c>
      <c r="I159" s="8" t="s">
        <v>12</v>
      </c>
      <c r="J159" s="0" t="s">
        <v>13</v>
      </c>
    </row>
    <row r="160" customFormat="false" ht="15" hidden="false" customHeight="false" outlineLevel="0" collapsed="false">
      <c r="A160" s="6" t="n">
        <v>43980</v>
      </c>
      <c r="B160" s="7" t="n">
        <v>0.510416666666667</v>
      </c>
      <c r="C160" s="8" t="s">
        <v>23</v>
      </c>
      <c r="D160" s="8" t="s">
        <v>17</v>
      </c>
      <c r="E160" s="8" t="n">
        <v>16960</v>
      </c>
      <c r="F160" s="8" t="n">
        <v>15900</v>
      </c>
      <c r="G160" s="9" t="n">
        <v>1060</v>
      </c>
      <c r="H160" s="8" t="s">
        <v>11</v>
      </c>
      <c r="I160" s="8" t="s">
        <v>24</v>
      </c>
      <c r="J160" s="0" t="s">
        <v>13</v>
      </c>
    </row>
    <row r="161" customFormat="false" ht="15" hidden="false" customHeight="false" outlineLevel="0" collapsed="false">
      <c r="A161" s="6" t="n">
        <v>43981</v>
      </c>
      <c r="B161" s="7" t="n">
        <v>0.258333333333333</v>
      </c>
      <c r="C161" s="8" t="n">
        <v>124456</v>
      </c>
      <c r="D161" s="8" t="s">
        <v>10</v>
      </c>
      <c r="E161" s="8" t="n">
        <v>24600</v>
      </c>
      <c r="F161" s="8" t="n">
        <v>15740</v>
      </c>
      <c r="G161" s="9" t="n">
        <v>8860</v>
      </c>
      <c r="H161" s="8" t="s">
        <v>11</v>
      </c>
      <c r="I161" s="8" t="s">
        <v>12</v>
      </c>
      <c r="J161" s="0" t="s">
        <v>13</v>
      </c>
    </row>
    <row r="162" customFormat="false" ht="15" hidden="false" customHeight="false" outlineLevel="0" collapsed="false">
      <c r="A162" s="6" t="n">
        <v>43981</v>
      </c>
      <c r="B162" s="7" t="n">
        <v>0.497916666666667</v>
      </c>
      <c r="C162" s="8" t="n">
        <v>124468</v>
      </c>
      <c r="D162" s="8" t="s">
        <v>16</v>
      </c>
      <c r="E162" s="8" t="n">
        <v>2520</v>
      </c>
      <c r="F162" s="8" t="n">
        <v>2380</v>
      </c>
      <c r="G162" s="9" t="n">
        <v>140</v>
      </c>
      <c r="H162" s="8" t="s">
        <v>11</v>
      </c>
      <c r="I162" s="8" t="s">
        <v>12</v>
      </c>
      <c r="J162" s="0" t="s">
        <v>13</v>
      </c>
    </row>
    <row r="163" customFormat="false" ht="15" hidden="false" customHeight="false" outlineLevel="0" collapsed="false">
      <c r="A163" s="6" t="n">
        <v>43981</v>
      </c>
      <c r="B163" s="7" t="n">
        <v>0.259722222222222</v>
      </c>
      <c r="C163" s="8" t="n">
        <v>124457</v>
      </c>
      <c r="D163" s="8" t="s">
        <v>15</v>
      </c>
      <c r="E163" s="8" t="n">
        <v>4080</v>
      </c>
      <c r="F163" s="8" t="n">
        <v>3720</v>
      </c>
      <c r="G163" s="9" t="n">
        <v>360</v>
      </c>
      <c r="H163" s="8" t="s">
        <v>11</v>
      </c>
      <c r="I163" s="8" t="s">
        <v>12</v>
      </c>
      <c r="J163" s="0" t="s">
        <v>13</v>
      </c>
    </row>
    <row r="164" customFormat="false" ht="15" hidden="false" customHeight="false" outlineLevel="0" collapsed="false">
      <c r="A164" s="6" t="n">
        <v>43981</v>
      </c>
      <c r="B164" s="7" t="n">
        <v>0.168055555555556</v>
      </c>
      <c r="C164" s="8" t="n">
        <v>124452</v>
      </c>
      <c r="D164" s="8" t="s">
        <v>14</v>
      </c>
      <c r="E164" s="8" t="n">
        <v>16480</v>
      </c>
      <c r="F164" s="8" t="n">
        <v>12800</v>
      </c>
      <c r="G164" s="9" t="n">
        <v>3680</v>
      </c>
      <c r="H164" s="8" t="s">
        <v>11</v>
      </c>
      <c r="I164" s="8" t="s">
        <v>12</v>
      </c>
      <c r="J164" s="0" t="s">
        <v>13</v>
      </c>
    </row>
    <row r="165" customFormat="false" ht="15" hidden="false" customHeight="false" outlineLevel="0" collapsed="false">
      <c r="A165" s="6" t="n">
        <v>43982</v>
      </c>
      <c r="B165" s="7" t="n">
        <v>0.220833333333333</v>
      </c>
      <c r="C165" s="8" t="n">
        <v>124478</v>
      </c>
      <c r="D165" s="8" t="s">
        <v>10</v>
      </c>
      <c r="E165" s="8" t="n">
        <v>25040</v>
      </c>
      <c r="F165" s="8" t="n">
        <v>15640</v>
      </c>
      <c r="G165" s="9" t="n">
        <v>9400</v>
      </c>
      <c r="H165" s="8" t="s">
        <v>11</v>
      </c>
      <c r="I165" s="8" t="s">
        <v>12</v>
      </c>
      <c r="J165" s="0" t="s">
        <v>13</v>
      </c>
    </row>
    <row r="166" customFormat="false" ht="15" hidden="false" customHeight="false" outlineLevel="0" collapsed="false">
      <c r="A166" s="6" t="n">
        <v>43982</v>
      </c>
      <c r="B166" s="7" t="n">
        <v>0.201388888888889</v>
      </c>
      <c r="C166" s="8" t="n">
        <v>124477</v>
      </c>
      <c r="D166" s="8" t="s">
        <v>15</v>
      </c>
      <c r="E166" s="8" t="n">
        <v>4240</v>
      </c>
      <c r="F166" s="8" t="n">
        <v>3780</v>
      </c>
      <c r="G166" s="9" t="n">
        <v>460</v>
      </c>
      <c r="H166" s="8" t="s">
        <v>11</v>
      </c>
      <c r="I166" s="8" t="s">
        <v>12</v>
      </c>
      <c r="J166" s="0" t="s">
        <v>13</v>
      </c>
    </row>
    <row r="167" customFormat="false" ht="15" hidden="false" customHeight="false" outlineLevel="0" collapsed="false">
      <c r="A167" s="6" t="n">
        <v>43982</v>
      </c>
      <c r="B167" s="7" t="n">
        <v>0.124305555555556</v>
      </c>
      <c r="C167" s="8" t="n">
        <v>124472</v>
      </c>
      <c r="D167" s="8" t="s">
        <v>14</v>
      </c>
      <c r="E167" s="8" t="n">
        <v>16260</v>
      </c>
      <c r="F167" s="8" t="n">
        <v>12760</v>
      </c>
      <c r="G167" s="9" t="n">
        <v>3500</v>
      </c>
      <c r="H167" s="8" t="s">
        <v>11</v>
      </c>
      <c r="I167" s="8" t="s">
        <v>12</v>
      </c>
      <c r="J167" s="0" t="s">
        <v>13</v>
      </c>
    </row>
  </sheetData>
  <autoFilter ref="A1:J167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5.27"/>
    <col collapsed="false" customWidth="true" hidden="false" outlineLevel="0" max="7" min="2" style="0" width="10.5"/>
    <col collapsed="false" customWidth="true" hidden="false" outlineLevel="0" max="8" min="8" style="0" width="15.27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10" t="s">
        <v>3</v>
      </c>
      <c r="B1" s="11" t="s">
        <v>29</v>
      </c>
    </row>
    <row r="3" customFormat="false" ht="12.8" hidden="false" customHeight="false" outlineLevel="0" collapsed="false">
      <c r="A3" s="12" t="s">
        <v>30</v>
      </c>
      <c r="B3" s="13" t="s">
        <v>8</v>
      </c>
      <c r="C3" s="14"/>
      <c r="D3" s="14"/>
      <c r="E3" s="14"/>
      <c r="F3" s="14"/>
      <c r="G3" s="14"/>
      <c r="H3" s="15"/>
    </row>
    <row r="4" customFormat="false" ht="12.8" hidden="false" customHeight="false" outlineLevel="0" collapsed="false">
      <c r="A4" s="16" t="s">
        <v>0</v>
      </c>
      <c r="B4" s="17" t="s">
        <v>20</v>
      </c>
      <c r="C4" s="18" t="s">
        <v>27</v>
      </c>
      <c r="D4" s="18" t="s">
        <v>12</v>
      </c>
      <c r="E4" s="18" t="s">
        <v>24</v>
      </c>
      <c r="F4" s="18" t="s">
        <v>22</v>
      </c>
      <c r="G4" s="18" t="s">
        <v>18</v>
      </c>
      <c r="H4" s="19" t="s">
        <v>31</v>
      </c>
    </row>
    <row r="5" customFormat="false" ht="12.8" hidden="false" customHeight="false" outlineLevel="0" collapsed="false">
      <c r="A5" s="20" t="n">
        <v>43952</v>
      </c>
      <c r="B5" s="21"/>
      <c r="C5" s="22"/>
      <c r="D5" s="22" t="n">
        <v>13260</v>
      </c>
      <c r="E5" s="22"/>
      <c r="F5" s="22"/>
      <c r="G5" s="23"/>
      <c r="H5" s="24" t="n">
        <v>13260</v>
      </c>
    </row>
    <row r="6" customFormat="false" ht="12.8" hidden="false" customHeight="false" outlineLevel="0" collapsed="false">
      <c r="A6" s="25" t="n">
        <v>43953</v>
      </c>
      <c r="B6" s="26"/>
      <c r="C6" s="27"/>
      <c r="D6" s="27" t="n">
        <v>9180</v>
      </c>
      <c r="E6" s="27"/>
      <c r="F6" s="27"/>
      <c r="G6" s="28"/>
      <c r="H6" s="29" t="n">
        <v>9180</v>
      </c>
    </row>
    <row r="7" customFormat="false" ht="12.8" hidden="false" customHeight="false" outlineLevel="0" collapsed="false">
      <c r="A7" s="25" t="n">
        <v>43954</v>
      </c>
      <c r="B7" s="26"/>
      <c r="C7" s="27"/>
      <c r="D7" s="27" t="n">
        <v>14700</v>
      </c>
      <c r="E7" s="27"/>
      <c r="F7" s="27"/>
      <c r="G7" s="28"/>
      <c r="H7" s="29" t="n">
        <v>14700</v>
      </c>
    </row>
    <row r="8" customFormat="false" ht="12.8" hidden="false" customHeight="false" outlineLevel="0" collapsed="false">
      <c r="A8" s="25" t="n">
        <v>43955</v>
      </c>
      <c r="B8" s="26"/>
      <c r="C8" s="27"/>
      <c r="D8" s="27" t="n">
        <v>9420</v>
      </c>
      <c r="E8" s="27"/>
      <c r="F8" s="27"/>
      <c r="G8" s="28"/>
      <c r="H8" s="29" t="n">
        <v>9420</v>
      </c>
    </row>
    <row r="9" customFormat="false" ht="12.8" hidden="false" customHeight="false" outlineLevel="0" collapsed="false">
      <c r="A9" s="25" t="n">
        <v>43956</v>
      </c>
      <c r="B9" s="26"/>
      <c r="C9" s="27"/>
      <c r="D9" s="27" t="n">
        <v>12820</v>
      </c>
      <c r="E9" s="27"/>
      <c r="F9" s="27"/>
      <c r="G9" s="28"/>
      <c r="H9" s="29" t="n">
        <v>12820</v>
      </c>
    </row>
    <row r="10" customFormat="false" ht="12.8" hidden="false" customHeight="false" outlineLevel="0" collapsed="false">
      <c r="A10" s="25" t="n">
        <v>43957</v>
      </c>
      <c r="B10" s="26" t="n">
        <v>54120</v>
      </c>
      <c r="C10" s="27"/>
      <c r="D10" s="27" t="n">
        <v>12600</v>
      </c>
      <c r="E10" s="27"/>
      <c r="F10" s="27"/>
      <c r="G10" s="28" t="n">
        <v>1720</v>
      </c>
      <c r="H10" s="29" t="n">
        <v>68440</v>
      </c>
    </row>
    <row r="11" customFormat="false" ht="12.8" hidden="false" customHeight="false" outlineLevel="0" collapsed="false">
      <c r="A11" s="25" t="n">
        <v>43958</v>
      </c>
      <c r="B11" s="26"/>
      <c r="C11" s="27"/>
      <c r="D11" s="27" t="n">
        <v>12080</v>
      </c>
      <c r="E11" s="27"/>
      <c r="F11" s="27" t="n">
        <v>1420</v>
      </c>
      <c r="G11" s="28"/>
      <c r="H11" s="29" t="n">
        <v>13500</v>
      </c>
    </row>
    <row r="12" customFormat="false" ht="12.8" hidden="false" customHeight="false" outlineLevel="0" collapsed="false">
      <c r="A12" s="25" t="n">
        <v>43959</v>
      </c>
      <c r="B12" s="26"/>
      <c r="C12" s="27"/>
      <c r="D12" s="27" t="n">
        <v>13040</v>
      </c>
      <c r="E12" s="27" t="n">
        <v>1420</v>
      </c>
      <c r="F12" s="27"/>
      <c r="G12" s="28"/>
      <c r="H12" s="29" t="n">
        <v>14460</v>
      </c>
    </row>
    <row r="13" customFormat="false" ht="12.8" hidden="false" customHeight="false" outlineLevel="0" collapsed="false">
      <c r="A13" s="25" t="n">
        <v>43960</v>
      </c>
      <c r="B13" s="26"/>
      <c r="C13" s="27"/>
      <c r="D13" s="27" t="n">
        <v>13720</v>
      </c>
      <c r="E13" s="27"/>
      <c r="F13" s="27"/>
      <c r="G13" s="28"/>
      <c r="H13" s="29" t="n">
        <v>13720</v>
      </c>
    </row>
    <row r="14" customFormat="false" ht="12.8" hidden="false" customHeight="false" outlineLevel="0" collapsed="false">
      <c r="A14" s="25" t="n">
        <v>43961</v>
      </c>
      <c r="B14" s="26"/>
      <c r="C14" s="27"/>
      <c r="D14" s="27" t="n">
        <v>12320</v>
      </c>
      <c r="E14" s="27"/>
      <c r="F14" s="27"/>
      <c r="G14" s="28"/>
      <c r="H14" s="29" t="n">
        <v>12320</v>
      </c>
    </row>
    <row r="15" customFormat="false" ht="12.8" hidden="false" customHeight="false" outlineLevel="0" collapsed="false">
      <c r="A15" s="25" t="n">
        <v>43962</v>
      </c>
      <c r="B15" s="26"/>
      <c r="C15" s="27"/>
      <c r="D15" s="27" t="n">
        <v>9960</v>
      </c>
      <c r="E15" s="27"/>
      <c r="F15" s="27"/>
      <c r="G15" s="28"/>
      <c r="H15" s="29" t="n">
        <v>9960</v>
      </c>
    </row>
    <row r="16" customFormat="false" ht="12.8" hidden="false" customHeight="false" outlineLevel="0" collapsed="false">
      <c r="A16" s="25" t="n">
        <v>43963</v>
      </c>
      <c r="B16" s="26"/>
      <c r="C16" s="27"/>
      <c r="D16" s="27" t="n">
        <v>14640</v>
      </c>
      <c r="E16" s="27"/>
      <c r="F16" s="27"/>
      <c r="G16" s="28" t="n">
        <v>700</v>
      </c>
      <c r="H16" s="29" t="n">
        <v>15340</v>
      </c>
    </row>
    <row r="17" customFormat="false" ht="12.8" hidden="false" customHeight="false" outlineLevel="0" collapsed="false">
      <c r="A17" s="25" t="n">
        <v>43964</v>
      </c>
      <c r="B17" s="26"/>
      <c r="C17" s="27"/>
      <c r="D17" s="27" t="n">
        <v>14080</v>
      </c>
      <c r="E17" s="27"/>
      <c r="F17" s="27"/>
      <c r="G17" s="28" t="n">
        <v>2300</v>
      </c>
      <c r="H17" s="29" t="n">
        <v>16380</v>
      </c>
    </row>
    <row r="18" customFormat="false" ht="12.8" hidden="false" customHeight="false" outlineLevel="0" collapsed="false">
      <c r="A18" s="25" t="n">
        <v>43965</v>
      </c>
      <c r="B18" s="26"/>
      <c r="C18" s="27" t="n">
        <v>1000</v>
      </c>
      <c r="D18" s="27" t="n">
        <v>13920</v>
      </c>
      <c r="E18" s="27"/>
      <c r="F18" s="27" t="n">
        <v>1600</v>
      </c>
      <c r="G18" s="28"/>
      <c r="H18" s="29" t="n">
        <v>16520</v>
      </c>
    </row>
    <row r="19" customFormat="false" ht="12.8" hidden="false" customHeight="false" outlineLevel="0" collapsed="false">
      <c r="A19" s="25" t="n">
        <v>43966</v>
      </c>
      <c r="B19" s="26"/>
      <c r="C19" s="27"/>
      <c r="D19" s="27" t="n">
        <v>11500</v>
      </c>
      <c r="E19" s="27" t="n">
        <v>1140</v>
      </c>
      <c r="F19" s="27"/>
      <c r="G19" s="28"/>
      <c r="H19" s="29" t="n">
        <v>12640</v>
      </c>
    </row>
    <row r="20" customFormat="false" ht="12.8" hidden="false" customHeight="false" outlineLevel="0" collapsed="false">
      <c r="A20" s="25" t="n">
        <v>43967</v>
      </c>
      <c r="B20" s="26"/>
      <c r="C20" s="27" t="n">
        <v>200</v>
      </c>
      <c r="D20" s="27" t="n">
        <v>14980</v>
      </c>
      <c r="E20" s="27"/>
      <c r="F20" s="27"/>
      <c r="G20" s="28" t="n">
        <v>500</v>
      </c>
      <c r="H20" s="29" t="n">
        <v>15680</v>
      </c>
    </row>
    <row r="21" customFormat="false" ht="12.8" hidden="false" customHeight="false" outlineLevel="0" collapsed="false">
      <c r="A21" s="25" t="n">
        <v>43968</v>
      </c>
      <c r="B21" s="26"/>
      <c r="C21" s="27"/>
      <c r="D21" s="27" t="n">
        <v>14040</v>
      </c>
      <c r="E21" s="27"/>
      <c r="F21" s="27"/>
      <c r="G21" s="28"/>
      <c r="H21" s="29" t="n">
        <v>14040</v>
      </c>
    </row>
    <row r="22" customFormat="false" ht="12.8" hidden="false" customHeight="false" outlineLevel="0" collapsed="false">
      <c r="A22" s="25" t="n">
        <v>43969</v>
      </c>
      <c r="B22" s="26" t="n">
        <v>58740</v>
      </c>
      <c r="C22" s="27" t="n">
        <v>380</v>
      </c>
      <c r="D22" s="27" t="n">
        <v>12320</v>
      </c>
      <c r="E22" s="27"/>
      <c r="F22" s="27"/>
      <c r="G22" s="28"/>
      <c r="H22" s="29" t="n">
        <v>71440</v>
      </c>
    </row>
    <row r="23" customFormat="false" ht="12.8" hidden="false" customHeight="false" outlineLevel="0" collapsed="false">
      <c r="A23" s="25" t="n">
        <v>43970</v>
      </c>
      <c r="B23" s="26"/>
      <c r="C23" s="27" t="n">
        <v>560</v>
      </c>
      <c r="D23" s="27" t="n">
        <v>13840</v>
      </c>
      <c r="E23" s="27"/>
      <c r="F23" s="27"/>
      <c r="G23" s="28" t="n">
        <v>740</v>
      </c>
      <c r="H23" s="29" t="n">
        <v>15140</v>
      </c>
    </row>
    <row r="24" customFormat="false" ht="12.8" hidden="false" customHeight="false" outlineLevel="0" collapsed="false">
      <c r="A24" s="25" t="n">
        <v>43971</v>
      </c>
      <c r="B24" s="26"/>
      <c r="C24" s="27"/>
      <c r="D24" s="27" t="n">
        <v>14420</v>
      </c>
      <c r="E24" s="27"/>
      <c r="F24" s="27"/>
      <c r="G24" s="28" t="n">
        <v>1620</v>
      </c>
      <c r="H24" s="29" t="n">
        <v>16040</v>
      </c>
    </row>
    <row r="25" customFormat="false" ht="12.8" hidden="false" customHeight="false" outlineLevel="0" collapsed="false">
      <c r="A25" s="25" t="n">
        <v>43972</v>
      </c>
      <c r="B25" s="26"/>
      <c r="C25" s="27"/>
      <c r="D25" s="27" t="n">
        <v>12620</v>
      </c>
      <c r="E25" s="27"/>
      <c r="F25" s="27" t="n">
        <v>1720</v>
      </c>
      <c r="G25" s="28" t="n">
        <v>16360</v>
      </c>
      <c r="H25" s="29" t="n">
        <v>30700</v>
      </c>
    </row>
    <row r="26" customFormat="false" ht="12.8" hidden="false" customHeight="false" outlineLevel="0" collapsed="false">
      <c r="A26" s="25" t="n">
        <v>43973</v>
      </c>
      <c r="B26" s="26"/>
      <c r="C26" s="27"/>
      <c r="D26" s="27" t="n">
        <v>15980</v>
      </c>
      <c r="E26" s="27" t="n">
        <v>1340</v>
      </c>
      <c r="F26" s="27"/>
      <c r="G26" s="28"/>
      <c r="H26" s="29" t="n">
        <v>17320</v>
      </c>
    </row>
    <row r="27" customFormat="false" ht="12.8" hidden="false" customHeight="false" outlineLevel="0" collapsed="false">
      <c r="A27" s="25" t="n">
        <v>43974</v>
      </c>
      <c r="B27" s="26"/>
      <c r="C27" s="27" t="n">
        <v>320</v>
      </c>
      <c r="D27" s="27" t="n">
        <v>17560</v>
      </c>
      <c r="E27" s="27"/>
      <c r="F27" s="27"/>
      <c r="G27" s="28"/>
      <c r="H27" s="29" t="n">
        <v>17880</v>
      </c>
    </row>
    <row r="28" customFormat="false" ht="12.8" hidden="false" customHeight="false" outlineLevel="0" collapsed="false">
      <c r="A28" s="25" t="n">
        <v>43975</v>
      </c>
      <c r="B28" s="26"/>
      <c r="C28" s="27"/>
      <c r="D28" s="27" t="n">
        <v>14440</v>
      </c>
      <c r="E28" s="27"/>
      <c r="F28" s="27"/>
      <c r="G28" s="28"/>
      <c r="H28" s="29" t="n">
        <v>14440</v>
      </c>
    </row>
    <row r="29" customFormat="false" ht="12.8" hidden="false" customHeight="false" outlineLevel="0" collapsed="false">
      <c r="A29" s="25" t="n">
        <v>43976</v>
      </c>
      <c r="B29" s="26"/>
      <c r="C29" s="27"/>
      <c r="D29" s="27" t="n">
        <v>11280</v>
      </c>
      <c r="E29" s="27"/>
      <c r="F29" s="27"/>
      <c r="G29" s="28" t="n">
        <v>1340</v>
      </c>
      <c r="H29" s="29" t="n">
        <v>12620</v>
      </c>
    </row>
    <row r="30" customFormat="false" ht="12.8" hidden="false" customHeight="false" outlineLevel="0" collapsed="false">
      <c r="A30" s="25" t="n">
        <v>43977</v>
      </c>
      <c r="B30" s="26" t="n">
        <v>54160</v>
      </c>
      <c r="C30" s="27"/>
      <c r="D30" s="27" t="n">
        <v>13740</v>
      </c>
      <c r="E30" s="27"/>
      <c r="F30" s="27"/>
      <c r="G30" s="28"/>
      <c r="H30" s="29" t="n">
        <v>67900</v>
      </c>
    </row>
    <row r="31" customFormat="false" ht="12.8" hidden="false" customHeight="false" outlineLevel="0" collapsed="false">
      <c r="A31" s="25" t="n">
        <v>43978</v>
      </c>
      <c r="B31" s="26"/>
      <c r="C31" s="27" t="n">
        <v>900</v>
      </c>
      <c r="D31" s="27" t="n">
        <v>12920</v>
      </c>
      <c r="E31" s="27"/>
      <c r="F31" s="27"/>
      <c r="G31" s="28" t="n">
        <v>2080</v>
      </c>
      <c r="H31" s="29" t="n">
        <v>15900</v>
      </c>
    </row>
    <row r="32" customFormat="false" ht="12.8" hidden="false" customHeight="false" outlineLevel="0" collapsed="false">
      <c r="A32" s="25" t="n">
        <v>43979</v>
      </c>
      <c r="B32" s="26"/>
      <c r="C32" s="27" t="n">
        <v>220</v>
      </c>
      <c r="D32" s="27" t="n">
        <v>13700</v>
      </c>
      <c r="E32" s="27"/>
      <c r="F32" s="27" t="n">
        <v>1800</v>
      </c>
      <c r="G32" s="28" t="n">
        <v>300</v>
      </c>
      <c r="H32" s="29" t="n">
        <v>16020</v>
      </c>
    </row>
    <row r="33" customFormat="false" ht="12.8" hidden="false" customHeight="false" outlineLevel="0" collapsed="false">
      <c r="A33" s="25" t="n">
        <v>43980</v>
      </c>
      <c r="B33" s="26"/>
      <c r="C33" s="27"/>
      <c r="D33" s="27" t="n">
        <v>14860</v>
      </c>
      <c r="E33" s="27" t="n">
        <v>1060</v>
      </c>
      <c r="F33" s="27"/>
      <c r="G33" s="28"/>
      <c r="H33" s="29" t="n">
        <v>15920</v>
      </c>
    </row>
    <row r="34" customFormat="false" ht="12.8" hidden="false" customHeight="false" outlineLevel="0" collapsed="false">
      <c r="A34" s="25" t="n">
        <v>43981</v>
      </c>
      <c r="B34" s="26"/>
      <c r="C34" s="27"/>
      <c r="D34" s="27" t="n">
        <v>13040</v>
      </c>
      <c r="E34" s="27"/>
      <c r="F34" s="27"/>
      <c r="G34" s="28"/>
      <c r="H34" s="29" t="n">
        <v>13040</v>
      </c>
    </row>
    <row r="35" customFormat="false" ht="12.8" hidden="false" customHeight="false" outlineLevel="0" collapsed="false">
      <c r="A35" s="25" t="n">
        <v>43982</v>
      </c>
      <c r="B35" s="30"/>
      <c r="C35" s="31"/>
      <c r="D35" s="31" t="n">
        <v>13360</v>
      </c>
      <c r="E35" s="31"/>
      <c r="F35" s="31"/>
      <c r="G35" s="32"/>
      <c r="H35" s="33" t="n">
        <v>13360</v>
      </c>
    </row>
    <row r="36" customFormat="false" ht="12.8" hidden="false" customHeight="false" outlineLevel="0" collapsed="false">
      <c r="A36" s="34" t="s">
        <v>31</v>
      </c>
      <c r="B36" s="35" t="n">
        <v>167020</v>
      </c>
      <c r="C36" s="36" t="n">
        <v>3580</v>
      </c>
      <c r="D36" s="36" t="n">
        <v>410340</v>
      </c>
      <c r="E36" s="36" t="n">
        <v>4960</v>
      </c>
      <c r="F36" s="36" t="n">
        <v>6540</v>
      </c>
      <c r="G36" s="37" t="n">
        <v>27660</v>
      </c>
      <c r="H36" s="38" t="n">
        <v>620100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0" t="s">
        <v>8</v>
      </c>
      <c r="B1" s="11" t="s">
        <v>29</v>
      </c>
    </row>
    <row r="3" customFormat="false" ht="12.8" hidden="false" customHeight="false" outlineLevel="0" collapsed="false">
      <c r="A3" s="12" t="s">
        <v>30</v>
      </c>
      <c r="B3" s="13" t="s">
        <v>3</v>
      </c>
      <c r="C3" s="14"/>
      <c r="D3" s="14"/>
      <c r="E3" s="14"/>
      <c r="F3" s="14"/>
      <c r="G3" s="14"/>
      <c r="H3" s="14"/>
      <c r="I3" s="14"/>
      <c r="J3" s="14"/>
      <c r="K3" s="14"/>
      <c r="L3" s="15"/>
    </row>
    <row r="4" customFormat="false" ht="12.8" hidden="false" customHeight="false" outlineLevel="0" collapsed="false">
      <c r="A4" s="16" t="s">
        <v>0</v>
      </c>
      <c r="B4" s="17" t="s">
        <v>19</v>
      </c>
      <c r="C4" s="18" t="s">
        <v>26</v>
      </c>
      <c r="D4" s="18" t="s">
        <v>10</v>
      </c>
      <c r="E4" s="18" t="s">
        <v>17</v>
      </c>
      <c r="F4" s="18" t="s">
        <v>16</v>
      </c>
      <c r="G4" s="18" t="s">
        <v>28</v>
      </c>
      <c r="H4" s="18" t="s">
        <v>21</v>
      </c>
      <c r="I4" s="18" t="s">
        <v>14</v>
      </c>
      <c r="J4" s="18" t="s">
        <v>15</v>
      </c>
      <c r="K4" s="18" t="s">
        <v>25</v>
      </c>
      <c r="L4" s="19" t="s">
        <v>31</v>
      </c>
    </row>
    <row r="5" customFormat="false" ht="12.8" hidden="false" customHeight="false" outlineLevel="0" collapsed="false">
      <c r="A5" s="20" t="n">
        <v>43952</v>
      </c>
      <c r="B5" s="21"/>
      <c r="C5" s="22"/>
      <c r="D5" s="22" t="n">
        <v>9120</v>
      </c>
      <c r="E5" s="22"/>
      <c r="F5" s="22"/>
      <c r="G5" s="22"/>
      <c r="H5" s="22"/>
      <c r="I5" s="22" t="n">
        <v>3900</v>
      </c>
      <c r="J5" s="22" t="n">
        <v>240</v>
      </c>
      <c r="K5" s="23"/>
      <c r="L5" s="24" t="n">
        <v>13260</v>
      </c>
    </row>
    <row r="6" customFormat="false" ht="12.8" hidden="false" customHeight="false" outlineLevel="0" collapsed="false">
      <c r="A6" s="25" t="n">
        <v>43953</v>
      </c>
      <c r="B6" s="26"/>
      <c r="C6" s="27"/>
      <c r="D6" s="27" t="n">
        <v>6420</v>
      </c>
      <c r="E6" s="27"/>
      <c r="F6" s="27" t="n">
        <v>280</v>
      </c>
      <c r="G6" s="27"/>
      <c r="H6" s="27"/>
      <c r="I6" s="27" t="n">
        <v>2220</v>
      </c>
      <c r="J6" s="27" t="n">
        <v>260</v>
      </c>
      <c r="K6" s="28"/>
      <c r="L6" s="29" t="n">
        <v>9180</v>
      </c>
    </row>
    <row r="7" customFormat="false" ht="12.8" hidden="false" customHeight="false" outlineLevel="0" collapsed="false">
      <c r="A7" s="25" t="n">
        <v>43954</v>
      </c>
      <c r="B7" s="26"/>
      <c r="C7" s="27"/>
      <c r="D7" s="27"/>
      <c r="E7" s="27" t="n">
        <v>10980</v>
      </c>
      <c r="F7" s="27"/>
      <c r="G7" s="27"/>
      <c r="H7" s="27"/>
      <c r="I7" s="27" t="n">
        <v>3460</v>
      </c>
      <c r="J7" s="27" t="n">
        <v>260</v>
      </c>
      <c r="K7" s="28"/>
      <c r="L7" s="29" t="n">
        <v>14700</v>
      </c>
    </row>
    <row r="8" customFormat="false" ht="12.8" hidden="false" customHeight="false" outlineLevel="0" collapsed="false">
      <c r="A8" s="25" t="n">
        <v>43955</v>
      </c>
      <c r="B8" s="26"/>
      <c r="C8" s="27"/>
      <c r="D8" s="27"/>
      <c r="E8" s="27" t="n">
        <v>7320</v>
      </c>
      <c r="F8" s="27" t="n">
        <v>140</v>
      </c>
      <c r="G8" s="27"/>
      <c r="H8" s="27"/>
      <c r="I8" s="27" t="n">
        <v>1600</v>
      </c>
      <c r="J8" s="27" t="n">
        <v>360</v>
      </c>
      <c r="K8" s="28"/>
      <c r="L8" s="29" t="n">
        <v>9420</v>
      </c>
    </row>
    <row r="9" customFormat="false" ht="12.8" hidden="false" customHeight="false" outlineLevel="0" collapsed="false">
      <c r="A9" s="25" t="n">
        <v>43956</v>
      </c>
      <c r="B9" s="26"/>
      <c r="C9" s="27"/>
      <c r="D9" s="27"/>
      <c r="E9" s="27" t="n">
        <v>8560</v>
      </c>
      <c r="F9" s="27" t="n">
        <v>120</v>
      </c>
      <c r="G9" s="27"/>
      <c r="H9" s="27"/>
      <c r="I9" s="27" t="n">
        <v>3840</v>
      </c>
      <c r="J9" s="27" t="n">
        <v>300</v>
      </c>
      <c r="K9" s="28"/>
      <c r="L9" s="29" t="n">
        <v>12820</v>
      </c>
    </row>
    <row r="10" customFormat="false" ht="12.8" hidden="false" customHeight="false" outlineLevel="0" collapsed="false">
      <c r="A10" s="25" t="n">
        <v>43957</v>
      </c>
      <c r="B10" s="26" t="n">
        <v>54120</v>
      </c>
      <c r="C10" s="27"/>
      <c r="D10" s="27"/>
      <c r="E10" s="27" t="n">
        <v>9700</v>
      </c>
      <c r="F10" s="27" t="n">
        <v>660</v>
      </c>
      <c r="G10" s="27"/>
      <c r="H10" s="27" t="n">
        <v>1060</v>
      </c>
      <c r="I10" s="27" t="n">
        <v>2620</v>
      </c>
      <c r="J10" s="27" t="n">
        <v>280</v>
      </c>
      <c r="K10" s="28"/>
      <c r="L10" s="29" t="n">
        <v>68440</v>
      </c>
    </row>
    <row r="11" customFormat="false" ht="12.8" hidden="false" customHeight="false" outlineLevel="0" collapsed="false">
      <c r="A11" s="25" t="n">
        <v>43958</v>
      </c>
      <c r="B11" s="26"/>
      <c r="C11" s="27"/>
      <c r="D11" s="27"/>
      <c r="E11" s="27" t="n">
        <v>10300</v>
      </c>
      <c r="F11" s="27" t="n">
        <v>300</v>
      </c>
      <c r="G11" s="27"/>
      <c r="H11" s="27"/>
      <c r="I11" s="27" t="n">
        <v>2540</v>
      </c>
      <c r="J11" s="27" t="n">
        <v>360</v>
      </c>
      <c r="K11" s="28"/>
      <c r="L11" s="29" t="n">
        <v>13500</v>
      </c>
    </row>
    <row r="12" customFormat="false" ht="12.8" hidden="false" customHeight="false" outlineLevel="0" collapsed="false">
      <c r="A12" s="25" t="n">
        <v>43959</v>
      </c>
      <c r="B12" s="26"/>
      <c r="C12" s="27"/>
      <c r="D12" s="27"/>
      <c r="E12" s="27" t="n">
        <v>11160</v>
      </c>
      <c r="F12" s="27"/>
      <c r="G12" s="27"/>
      <c r="H12" s="27"/>
      <c r="I12" s="27" t="n">
        <v>2920</v>
      </c>
      <c r="J12" s="27" t="n">
        <v>380</v>
      </c>
      <c r="K12" s="28"/>
      <c r="L12" s="29" t="n">
        <v>14460</v>
      </c>
    </row>
    <row r="13" customFormat="false" ht="12.8" hidden="false" customHeight="false" outlineLevel="0" collapsed="false">
      <c r="A13" s="25" t="n">
        <v>43960</v>
      </c>
      <c r="B13" s="26"/>
      <c r="C13" s="27"/>
      <c r="D13" s="27" t="n">
        <v>8660</v>
      </c>
      <c r="E13" s="27"/>
      <c r="F13" s="27" t="n">
        <v>180</v>
      </c>
      <c r="G13" s="27"/>
      <c r="H13" s="27"/>
      <c r="I13" s="27" t="n">
        <v>4420</v>
      </c>
      <c r="J13" s="27" t="n">
        <v>460</v>
      </c>
      <c r="K13" s="28"/>
      <c r="L13" s="29" t="n">
        <v>13720</v>
      </c>
    </row>
    <row r="14" customFormat="false" ht="12.8" hidden="false" customHeight="false" outlineLevel="0" collapsed="false">
      <c r="A14" s="25" t="n">
        <v>43961</v>
      </c>
      <c r="B14" s="26"/>
      <c r="C14" s="27"/>
      <c r="D14" s="27" t="n">
        <v>9380</v>
      </c>
      <c r="E14" s="27"/>
      <c r="F14" s="27" t="n">
        <v>180</v>
      </c>
      <c r="G14" s="27"/>
      <c r="H14" s="27"/>
      <c r="I14" s="27" t="n">
        <v>2400</v>
      </c>
      <c r="J14" s="27" t="n">
        <v>360</v>
      </c>
      <c r="K14" s="28"/>
      <c r="L14" s="29" t="n">
        <v>12320</v>
      </c>
    </row>
    <row r="15" customFormat="false" ht="12.8" hidden="false" customHeight="false" outlineLevel="0" collapsed="false">
      <c r="A15" s="25" t="n">
        <v>43962</v>
      </c>
      <c r="B15" s="26"/>
      <c r="C15" s="27"/>
      <c r="D15" s="27" t="n">
        <v>7720</v>
      </c>
      <c r="E15" s="27"/>
      <c r="F15" s="27" t="n">
        <v>360</v>
      </c>
      <c r="G15" s="27"/>
      <c r="H15" s="27"/>
      <c r="I15" s="27" t="n">
        <v>1380</v>
      </c>
      <c r="J15" s="27" t="n">
        <v>500</v>
      </c>
      <c r="K15" s="28"/>
      <c r="L15" s="29" t="n">
        <v>9960</v>
      </c>
    </row>
    <row r="16" customFormat="false" ht="12.8" hidden="false" customHeight="false" outlineLevel="0" collapsed="false">
      <c r="A16" s="25" t="n">
        <v>43963</v>
      </c>
      <c r="B16" s="26"/>
      <c r="C16" s="27"/>
      <c r="D16" s="27" t="n">
        <v>10140</v>
      </c>
      <c r="E16" s="27"/>
      <c r="F16" s="27" t="n">
        <v>340</v>
      </c>
      <c r="G16" s="27"/>
      <c r="H16" s="27" t="n">
        <v>700</v>
      </c>
      <c r="I16" s="27" t="n">
        <v>3840</v>
      </c>
      <c r="J16" s="27" t="n">
        <v>320</v>
      </c>
      <c r="K16" s="28"/>
      <c r="L16" s="29" t="n">
        <v>15340</v>
      </c>
    </row>
    <row r="17" customFormat="false" ht="12.8" hidden="false" customHeight="false" outlineLevel="0" collapsed="false">
      <c r="A17" s="25" t="n">
        <v>43964</v>
      </c>
      <c r="B17" s="26"/>
      <c r="C17" s="27"/>
      <c r="D17" s="27" t="n">
        <v>9120</v>
      </c>
      <c r="E17" s="27"/>
      <c r="F17" s="27" t="n">
        <v>480</v>
      </c>
      <c r="G17" s="27"/>
      <c r="H17" s="27" t="n">
        <v>760</v>
      </c>
      <c r="I17" s="27" t="n">
        <v>4220</v>
      </c>
      <c r="J17" s="27" t="n">
        <v>580</v>
      </c>
      <c r="K17" s="28" t="n">
        <v>1220</v>
      </c>
      <c r="L17" s="29" t="n">
        <v>16380</v>
      </c>
    </row>
    <row r="18" customFormat="false" ht="12.8" hidden="false" customHeight="false" outlineLevel="0" collapsed="false">
      <c r="A18" s="25" t="n">
        <v>43965</v>
      </c>
      <c r="B18" s="26"/>
      <c r="C18" s="27" t="n">
        <v>1000</v>
      </c>
      <c r="D18" s="27" t="n">
        <v>11720</v>
      </c>
      <c r="E18" s="27"/>
      <c r="F18" s="27" t="n">
        <v>140</v>
      </c>
      <c r="G18" s="27"/>
      <c r="H18" s="27"/>
      <c r="I18" s="27" t="n">
        <v>3280</v>
      </c>
      <c r="J18" s="27" t="n">
        <v>380</v>
      </c>
      <c r="K18" s="28"/>
      <c r="L18" s="29" t="n">
        <v>16520</v>
      </c>
    </row>
    <row r="19" customFormat="false" ht="12.8" hidden="false" customHeight="false" outlineLevel="0" collapsed="false">
      <c r="A19" s="25" t="n">
        <v>43966</v>
      </c>
      <c r="B19" s="26"/>
      <c r="C19" s="27"/>
      <c r="D19" s="27" t="n">
        <v>8720</v>
      </c>
      <c r="E19" s="27"/>
      <c r="F19" s="27" t="n">
        <v>180</v>
      </c>
      <c r="G19" s="27"/>
      <c r="H19" s="27"/>
      <c r="I19" s="27" t="n">
        <v>3440</v>
      </c>
      <c r="J19" s="27" t="n">
        <v>300</v>
      </c>
      <c r="K19" s="28"/>
      <c r="L19" s="29" t="n">
        <v>12640</v>
      </c>
    </row>
    <row r="20" customFormat="false" ht="12.8" hidden="false" customHeight="false" outlineLevel="0" collapsed="false">
      <c r="A20" s="25" t="n">
        <v>43967</v>
      </c>
      <c r="B20" s="26"/>
      <c r="C20" s="27" t="n">
        <v>200</v>
      </c>
      <c r="D20" s="27" t="n">
        <v>10700</v>
      </c>
      <c r="E20" s="27"/>
      <c r="F20" s="27"/>
      <c r="G20" s="27"/>
      <c r="H20" s="27" t="n">
        <v>500</v>
      </c>
      <c r="I20" s="27" t="n">
        <v>3880</v>
      </c>
      <c r="J20" s="27" t="n">
        <v>400</v>
      </c>
      <c r="K20" s="28"/>
      <c r="L20" s="29" t="n">
        <v>15680</v>
      </c>
    </row>
    <row r="21" customFormat="false" ht="12.8" hidden="false" customHeight="false" outlineLevel="0" collapsed="false">
      <c r="A21" s="25" t="n">
        <v>43968</v>
      </c>
      <c r="B21" s="26"/>
      <c r="C21" s="27"/>
      <c r="D21" s="27"/>
      <c r="E21" s="27" t="n">
        <v>9720</v>
      </c>
      <c r="F21" s="27" t="n">
        <v>240</v>
      </c>
      <c r="G21" s="27"/>
      <c r="H21" s="27"/>
      <c r="I21" s="27" t="n">
        <v>3680</v>
      </c>
      <c r="J21" s="27" t="n">
        <v>400</v>
      </c>
      <c r="K21" s="28"/>
      <c r="L21" s="29" t="n">
        <v>14040</v>
      </c>
    </row>
    <row r="22" customFormat="false" ht="12.8" hidden="false" customHeight="false" outlineLevel="0" collapsed="false">
      <c r="A22" s="25" t="n">
        <v>43969</v>
      </c>
      <c r="B22" s="26" t="n">
        <v>58740</v>
      </c>
      <c r="C22" s="27" t="n">
        <v>380</v>
      </c>
      <c r="D22" s="27"/>
      <c r="E22" s="27" t="n">
        <v>9560</v>
      </c>
      <c r="F22" s="27" t="n">
        <v>160</v>
      </c>
      <c r="G22" s="27"/>
      <c r="H22" s="27"/>
      <c r="I22" s="27" t="n">
        <v>2260</v>
      </c>
      <c r="J22" s="27" t="n">
        <v>340</v>
      </c>
      <c r="K22" s="28"/>
      <c r="L22" s="29" t="n">
        <v>71440</v>
      </c>
    </row>
    <row r="23" customFormat="false" ht="12.8" hidden="false" customHeight="false" outlineLevel="0" collapsed="false">
      <c r="A23" s="25" t="n">
        <v>43970</v>
      </c>
      <c r="B23" s="26"/>
      <c r="C23" s="27"/>
      <c r="D23" s="27"/>
      <c r="E23" s="27" t="n">
        <v>10080</v>
      </c>
      <c r="F23" s="27"/>
      <c r="G23" s="27"/>
      <c r="H23" s="27" t="n">
        <v>1300</v>
      </c>
      <c r="I23" s="27" t="n">
        <v>3380</v>
      </c>
      <c r="J23" s="27" t="n">
        <v>380</v>
      </c>
      <c r="K23" s="28"/>
      <c r="L23" s="29" t="n">
        <v>15140</v>
      </c>
    </row>
    <row r="24" customFormat="false" ht="12.8" hidden="false" customHeight="false" outlineLevel="0" collapsed="false">
      <c r="A24" s="25" t="n">
        <v>43971</v>
      </c>
      <c r="B24" s="26"/>
      <c r="C24" s="27"/>
      <c r="D24" s="27"/>
      <c r="E24" s="27" t="n">
        <v>9800</v>
      </c>
      <c r="F24" s="27" t="n">
        <v>300</v>
      </c>
      <c r="G24" s="27"/>
      <c r="H24" s="27"/>
      <c r="I24" s="27" t="n">
        <v>3980</v>
      </c>
      <c r="J24" s="27" t="n">
        <v>340</v>
      </c>
      <c r="K24" s="28" t="n">
        <v>1620</v>
      </c>
      <c r="L24" s="29" t="n">
        <v>16040</v>
      </c>
    </row>
    <row r="25" customFormat="false" ht="12.8" hidden="false" customHeight="false" outlineLevel="0" collapsed="false">
      <c r="A25" s="25" t="n">
        <v>43972</v>
      </c>
      <c r="B25" s="26" t="n">
        <v>15860</v>
      </c>
      <c r="C25" s="27"/>
      <c r="D25" s="27"/>
      <c r="E25" s="27" t="n">
        <v>10740</v>
      </c>
      <c r="F25" s="27"/>
      <c r="G25" s="27"/>
      <c r="H25" s="27" t="n">
        <v>500</v>
      </c>
      <c r="I25" s="27" t="n">
        <v>3280</v>
      </c>
      <c r="J25" s="27" t="n">
        <v>320</v>
      </c>
      <c r="K25" s="28"/>
      <c r="L25" s="29" t="n">
        <v>30700</v>
      </c>
    </row>
    <row r="26" customFormat="false" ht="12.8" hidden="false" customHeight="false" outlineLevel="0" collapsed="false">
      <c r="A26" s="25" t="n">
        <v>43973</v>
      </c>
      <c r="B26" s="26"/>
      <c r="C26" s="27"/>
      <c r="D26" s="27"/>
      <c r="E26" s="27" t="n">
        <v>13480</v>
      </c>
      <c r="F26" s="27" t="n">
        <v>140</v>
      </c>
      <c r="G26" s="27"/>
      <c r="H26" s="27"/>
      <c r="I26" s="27" t="n">
        <v>3300</v>
      </c>
      <c r="J26" s="27" t="n">
        <v>400</v>
      </c>
      <c r="K26" s="28"/>
      <c r="L26" s="29" t="n">
        <v>17320</v>
      </c>
    </row>
    <row r="27" customFormat="false" ht="12.8" hidden="false" customHeight="false" outlineLevel="0" collapsed="false">
      <c r="A27" s="25" t="n">
        <v>43974</v>
      </c>
      <c r="B27" s="26"/>
      <c r="C27" s="27" t="n">
        <v>320</v>
      </c>
      <c r="D27" s="27" t="n">
        <v>3700</v>
      </c>
      <c r="E27" s="27" t="n">
        <v>9760</v>
      </c>
      <c r="F27" s="27"/>
      <c r="G27" s="27"/>
      <c r="H27" s="27"/>
      <c r="I27" s="27" t="n">
        <v>3620</v>
      </c>
      <c r="J27" s="27" t="n">
        <v>480</v>
      </c>
      <c r="K27" s="28"/>
      <c r="L27" s="29" t="n">
        <v>17880</v>
      </c>
    </row>
    <row r="28" customFormat="false" ht="12.8" hidden="false" customHeight="false" outlineLevel="0" collapsed="false">
      <c r="A28" s="25" t="n">
        <v>43975</v>
      </c>
      <c r="B28" s="26"/>
      <c r="C28" s="27"/>
      <c r="D28" s="27"/>
      <c r="E28" s="27" t="n">
        <v>10640</v>
      </c>
      <c r="F28" s="27" t="n">
        <v>260</v>
      </c>
      <c r="G28" s="27"/>
      <c r="H28" s="27"/>
      <c r="I28" s="27" t="n">
        <v>3220</v>
      </c>
      <c r="J28" s="27" t="n">
        <v>320</v>
      </c>
      <c r="K28" s="28"/>
      <c r="L28" s="29" t="n">
        <v>14440</v>
      </c>
    </row>
    <row r="29" customFormat="false" ht="12.8" hidden="false" customHeight="false" outlineLevel="0" collapsed="false">
      <c r="A29" s="25" t="n">
        <v>43976</v>
      </c>
      <c r="B29" s="26"/>
      <c r="C29" s="27"/>
      <c r="D29" s="27" t="n">
        <v>8600</v>
      </c>
      <c r="E29" s="27"/>
      <c r="F29" s="27" t="n">
        <v>180</v>
      </c>
      <c r="G29" s="27"/>
      <c r="H29" s="27" t="n">
        <v>1340</v>
      </c>
      <c r="I29" s="27" t="n">
        <v>2240</v>
      </c>
      <c r="J29" s="27" t="n">
        <v>260</v>
      </c>
      <c r="K29" s="28"/>
      <c r="L29" s="29" t="n">
        <v>12620</v>
      </c>
    </row>
    <row r="30" customFormat="false" ht="12.8" hidden="false" customHeight="false" outlineLevel="0" collapsed="false">
      <c r="A30" s="25" t="n">
        <v>43977</v>
      </c>
      <c r="B30" s="26" t="n">
        <v>54160</v>
      </c>
      <c r="C30" s="27"/>
      <c r="D30" s="27" t="n">
        <v>6600</v>
      </c>
      <c r="E30" s="27" t="n">
        <v>3440</v>
      </c>
      <c r="F30" s="27" t="n">
        <v>200</v>
      </c>
      <c r="G30" s="27"/>
      <c r="H30" s="27"/>
      <c r="I30" s="27" t="n">
        <v>3160</v>
      </c>
      <c r="J30" s="27" t="n">
        <v>340</v>
      </c>
      <c r="K30" s="28"/>
      <c r="L30" s="29" t="n">
        <v>67900</v>
      </c>
    </row>
    <row r="31" customFormat="false" ht="12.8" hidden="false" customHeight="false" outlineLevel="0" collapsed="false">
      <c r="A31" s="25" t="n">
        <v>43978</v>
      </c>
      <c r="B31" s="26"/>
      <c r="C31" s="27"/>
      <c r="D31" s="27" t="n">
        <v>8460</v>
      </c>
      <c r="E31" s="27"/>
      <c r="F31" s="27" t="n">
        <v>260</v>
      </c>
      <c r="G31" s="27"/>
      <c r="H31" s="27" t="n">
        <v>900</v>
      </c>
      <c r="I31" s="27" t="n">
        <v>3840</v>
      </c>
      <c r="J31" s="27" t="n">
        <v>360</v>
      </c>
      <c r="K31" s="28" t="n">
        <v>2080</v>
      </c>
      <c r="L31" s="29" t="n">
        <v>15900</v>
      </c>
    </row>
    <row r="32" customFormat="false" ht="12.8" hidden="false" customHeight="false" outlineLevel="0" collapsed="false">
      <c r="A32" s="25" t="n">
        <v>43979</v>
      </c>
      <c r="B32" s="26"/>
      <c r="C32" s="27"/>
      <c r="D32" s="27" t="n">
        <v>9780</v>
      </c>
      <c r="E32" s="27" t="n">
        <v>1800</v>
      </c>
      <c r="F32" s="27" t="n">
        <v>520</v>
      </c>
      <c r="G32" s="27" t="n">
        <v>3440</v>
      </c>
      <c r="H32" s="27"/>
      <c r="I32" s="27"/>
      <c r="J32" s="27" t="n">
        <v>480</v>
      </c>
      <c r="K32" s="28"/>
      <c r="L32" s="29" t="n">
        <v>16020</v>
      </c>
    </row>
    <row r="33" customFormat="false" ht="12.8" hidden="false" customHeight="false" outlineLevel="0" collapsed="false">
      <c r="A33" s="25" t="n">
        <v>43980</v>
      </c>
      <c r="B33" s="26"/>
      <c r="C33" s="27"/>
      <c r="D33" s="27" t="n">
        <v>10060</v>
      </c>
      <c r="E33" s="27" t="n">
        <v>1060</v>
      </c>
      <c r="F33" s="27" t="n">
        <v>280</v>
      </c>
      <c r="G33" s="27"/>
      <c r="H33" s="27"/>
      <c r="I33" s="27" t="n">
        <v>4100</v>
      </c>
      <c r="J33" s="27" t="n">
        <v>420</v>
      </c>
      <c r="K33" s="28"/>
      <c r="L33" s="29" t="n">
        <v>15920</v>
      </c>
    </row>
    <row r="34" customFormat="false" ht="12.8" hidden="false" customHeight="false" outlineLevel="0" collapsed="false">
      <c r="A34" s="25" t="n">
        <v>43981</v>
      </c>
      <c r="B34" s="26"/>
      <c r="C34" s="27"/>
      <c r="D34" s="27" t="n">
        <v>8860</v>
      </c>
      <c r="E34" s="27"/>
      <c r="F34" s="27" t="n">
        <v>140</v>
      </c>
      <c r="G34" s="27"/>
      <c r="H34" s="27"/>
      <c r="I34" s="27" t="n">
        <v>3680</v>
      </c>
      <c r="J34" s="27" t="n">
        <v>360</v>
      </c>
      <c r="K34" s="28"/>
      <c r="L34" s="29" t="n">
        <v>13040</v>
      </c>
    </row>
    <row r="35" customFormat="false" ht="12.8" hidden="false" customHeight="false" outlineLevel="0" collapsed="false">
      <c r="A35" s="25" t="n">
        <v>43982</v>
      </c>
      <c r="B35" s="30"/>
      <c r="C35" s="31"/>
      <c r="D35" s="31" t="n">
        <v>9400</v>
      </c>
      <c r="E35" s="31"/>
      <c r="F35" s="31"/>
      <c r="G35" s="31"/>
      <c r="H35" s="31"/>
      <c r="I35" s="31" t="n">
        <v>3500</v>
      </c>
      <c r="J35" s="31" t="n">
        <v>460</v>
      </c>
      <c r="K35" s="32"/>
      <c r="L35" s="33" t="n">
        <v>13360</v>
      </c>
    </row>
    <row r="36" customFormat="false" ht="12.8" hidden="false" customHeight="false" outlineLevel="0" collapsed="false">
      <c r="A36" s="34" t="s">
        <v>31</v>
      </c>
      <c r="B36" s="35" t="n">
        <v>182880</v>
      </c>
      <c r="C36" s="36" t="n">
        <v>1900</v>
      </c>
      <c r="D36" s="36" t="n">
        <v>157160</v>
      </c>
      <c r="E36" s="36" t="n">
        <v>148100</v>
      </c>
      <c r="F36" s="36" t="n">
        <v>6040</v>
      </c>
      <c r="G36" s="36" t="n">
        <v>3440</v>
      </c>
      <c r="H36" s="36" t="n">
        <v>7060</v>
      </c>
      <c r="I36" s="36" t="n">
        <v>97200</v>
      </c>
      <c r="J36" s="36" t="n">
        <v>11400</v>
      </c>
      <c r="K36" s="37" t="n">
        <v>4920</v>
      </c>
      <c r="L36" s="38" t="n">
        <v>620100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0" t="s">
        <v>0</v>
      </c>
      <c r="B1" s="11" t="s">
        <v>29</v>
      </c>
    </row>
    <row r="3" customFormat="false" ht="12.8" hidden="false" customHeight="false" outlineLevel="0" collapsed="false">
      <c r="A3" s="12" t="s">
        <v>30</v>
      </c>
      <c r="B3" s="13" t="s">
        <v>8</v>
      </c>
      <c r="C3" s="14"/>
      <c r="D3" s="14"/>
      <c r="E3" s="14"/>
      <c r="F3" s="14"/>
      <c r="G3" s="14"/>
      <c r="H3" s="15"/>
    </row>
    <row r="4" customFormat="false" ht="12.8" hidden="false" customHeight="false" outlineLevel="0" collapsed="false">
      <c r="A4" s="16" t="s">
        <v>3</v>
      </c>
      <c r="B4" s="17" t="s">
        <v>20</v>
      </c>
      <c r="C4" s="18" t="s">
        <v>27</v>
      </c>
      <c r="D4" s="18" t="s">
        <v>12</v>
      </c>
      <c r="E4" s="18" t="s">
        <v>24</v>
      </c>
      <c r="F4" s="18" t="s">
        <v>22</v>
      </c>
      <c r="G4" s="18" t="s">
        <v>18</v>
      </c>
      <c r="H4" s="19" t="s">
        <v>31</v>
      </c>
    </row>
    <row r="5" customFormat="false" ht="12.8" hidden="false" customHeight="false" outlineLevel="0" collapsed="false">
      <c r="A5" s="39" t="s">
        <v>19</v>
      </c>
      <c r="B5" s="21" t="n">
        <v>167020</v>
      </c>
      <c r="C5" s="22"/>
      <c r="D5" s="22"/>
      <c r="E5" s="22"/>
      <c r="F5" s="22"/>
      <c r="G5" s="23" t="n">
        <v>15860</v>
      </c>
      <c r="H5" s="24" t="n">
        <v>182880</v>
      </c>
    </row>
    <row r="6" customFormat="false" ht="12.8" hidden="false" customHeight="false" outlineLevel="0" collapsed="false">
      <c r="A6" s="40" t="s">
        <v>26</v>
      </c>
      <c r="B6" s="26"/>
      <c r="C6" s="27" t="n">
        <v>1900</v>
      </c>
      <c r="D6" s="27"/>
      <c r="E6" s="27"/>
      <c r="F6" s="27"/>
      <c r="G6" s="28"/>
      <c r="H6" s="29" t="n">
        <v>1900</v>
      </c>
    </row>
    <row r="7" customFormat="false" ht="12.8" hidden="false" customHeight="false" outlineLevel="0" collapsed="false">
      <c r="A7" s="40" t="s">
        <v>10</v>
      </c>
      <c r="B7" s="26"/>
      <c r="C7" s="27"/>
      <c r="D7" s="27" t="n">
        <v>154420</v>
      </c>
      <c r="E7" s="27" t="n">
        <v>1140</v>
      </c>
      <c r="F7" s="27" t="n">
        <v>1600</v>
      </c>
      <c r="G7" s="28"/>
      <c r="H7" s="29" t="n">
        <v>157160</v>
      </c>
    </row>
    <row r="8" customFormat="false" ht="12.8" hidden="false" customHeight="false" outlineLevel="0" collapsed="false">
      <c r="A8" s="40" t="s">
        <v>17</v>
      </c>
      <c r="B8" s="26"/>
      <c r="C8" s="27"/>
      <c r="D8" s="27" t="n">
        <v>139340</v>
      </c>
      <c r="E8" s="27" t="n">
        <v>3820</v>
      </c>
      <c r="F8" s="27" t="n">
        <v>4940</v>
      </c>
      <c r="G8" s="28"/>
      <c r="H8" s="29" t="n">
        <v>148100</v>
      </c>
    </row>
    <row r="9" customFormat="false" ht="12.8" hidden="false" customHeight="false" outlineLevel="0" collapsed="false">
      <c r="A9" s="40" t="s">
        <v>16</v>
      </c>
      <c r="B9" s="26"/>
      <c r="C9" s="27" t="n">
        <v>220</v>
      </c>
      <c r="D9" s="27" t="n">
        <v>4540</v>
      </c>
      <c r="E9" s="27"/>
      <c r="F9" s="27"/>
      <c r="G9" s="28" t="n">
        <v>1280</v>
      </c>
      <c r="H9" s="29" t="n">
        <v>6040</v>
      </c>
    </row>
    <row r="10" customFormat="false" ht="12.8" hidden="false" customHeight="false" outlineLevel="0" collapsed="false">
      <c r="A10" s="40" t="s">
        <v>28</v>
      </c>
      <c r="B10" s="26"/>
      <c r="C10" s="27"/>
      <c r="D10" s="27" t="n">
        <v>3440</v>
      </c>
      <c r="E10" s="27"/>
      <c r="F10" s="27"/>
      <c r="G10" s="28"/>
      <c r="H10" s="29" t="n">
        <v>3440</v>
      </c>
    </row>
    <row r="11" customFormat="false" ht="12.8" hidden="false" customHeight="false" outlineLevel="0" collapsed="false">
      <c r="A11" s="40" t="s">
        <v>21</v>
      </c>
      <c r="B11" s="26"/>
      <c r="C11" s="27" t="n">
        <v>1460</v>
      </c>
      <c r="D11" s="27"/>
      <c r="E11" s="27"/>
      <c r="F11" s="27"/>
      <c r="G11" s="28" t="n">
        <v>5600</v>
      </c>
      <c r="H11" s="29" t="n">
        <v>7060</v>
      </c>
    </row>
    <row r="12" customFormat="false" ht="12.8" hidden="false" customHeight="false" outlineLevel="0" collapsed="false">
      <c r="A12" s="40" t="s">
        <v>14</v>
      </c>
      <c r="B12" s="26"/>
      <c r="C12" s="27"/>
      <c r="D12" s="27" t="n">
        <v>97200</v>
      </c>
      <c r="E12" s="27"/>
      <c r="F12" s="27"/>
      <c r="G12" s="28"/>
      <c r="H12" s="29" t="n">
        <v>97200</v>
      </c>
    </row>
    <row r="13" customFormat="false" ht="12.8" hidden="false" customHeight="false" outlineLevel="0" collapsed="false">
      <c r="A13" s="40" t="s">
        <v>15</v>
      </c>
      <c r="B13" s="26"/>
      <c r="C13" s="27"/>
      <c r="D13" s="27" t="n">
        <v>11400</v>
      </c>
      <c r="E13" s="27"/>
      <c r="F13" s="27"/>
      <c r="G13" s="28"/>
      <c r="H13" s="29" t="n">
        <v>11400</v>
      </c>
    </row>
    <row r="14" customFormat="false" ht="12.8" hidden="false" customHeight="false" outlineLevel="0" collapsed="false">
      <c r="A14" s="40" t="s">
        <v>25</v>
      </c>
      <c r="B14" s="30"/>
      <c r="C14" s="31"/>
      <c r="D14" s="31"/>
      <c r="E14" s="31"/>
      <c r="F14" s="31"/>
      <c r="G14" s="32" t="n">
        <v>4920</v>
      </c>
      <c r="H14" s="33" t="n">
        <v>4920</v>
      </c>
    </row>
    <row r="15" customFormat="false" ht="12.8" hidden="false" customHeight="false" outlineLevel="0" collapsed="false">
      <c r="A15" s="41" t="s">
        <v>31</v>
      </c>
      <c r="B15" s="35" t="n">
        <v>167020</v>
      </c>
      <c r="C15" s="36" t="n">
        <v>3580</v>
      </c>
      <c r="D15" s="36" t="n">
        <v>410340</v>
      </c>
      <c r="E15" s="36" t="n">
        <v>4960</v>
      </c>
      <c r="F15" s="36" t="n">
        <v>6540</v>
      </c>
      <c r="G15" s="37" t="n">
        <v>27660</v>
      </c>
      <c r="H15" s="38" t="n">
        <v>620100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8"/>
  <sheetViews>
    <sheetView showFormulas="false" showGridLines="true" showRowColHeaders="true" showZeros="true" rightToLeft="false" tabSelected="true" showOutlineSymbols="true" defaultGridColor="true" view="normal" topLeftCell="A12" colorId="64" zoomScale="70" zoomScaleNormal="70" zoomScalePageLayoutView="100" workbookViewId="0">
      <selection pane="topLeft" activeCell="H14" activeCellId="0" sqref="H14"/>
    </sheetView>
  </sheetViews>
  <sheetFormatPr defaultRowHeight="13.8" zeroHeight="false" outlineLevelRow="0" outlineLevelCol="0"/>
  <cols>
    <col collapsed="false" customWidth="true" hidden="false" outlineLevel="0" max="1" min="1" style="42" width="15.11"/>
    <col collapsed="false" customWidth="true" hidden="false" outlineLevel="0" max="2" min="2" style="0" width="15.87"/>
    <col collapsed="false" customWidth="true" hidden="false" outlineLevel="0" max="3" min="3" style="0" width="15.11"/>
    <col collapsed="false" customWidth="true" hidden="false" outlineLevel="0" max="4" min="4" style="42" width="13.84"/>
    <col collapsed="false" customWidth="true" hidden="false" outlineLevel="0" max="7" min="5" style="0" width="10.5"/>
    <col collapsed="false" customWidth="true" hidden="false" outlineLevel="0" max="8" min="8" style="0" width="15.11"/>
    <col collapsed="false" customWidth="true" hidden="false" outlineLevel="0" max="11" min="9" style="0" width="10.5"/>
    <col collapsed="false" customWidth="true" hidden="false" outlineLevel="0" max="12" min="12" style="0" width="4.88"/>
    <col collapsed="false" customWidth="true" hidden="false" outlineLevel="0" max="13" min="13" style="0" width="17.39"/>
    <col collapsed="false" customWidth="true" hidden="false" outlineLevel="0" max="14" min="14" style="0" width="9.63"/>
    <col collapsed="false" customWidth="true" hidden="false" outlineLevel="0" max="1025" min="15" style="0" width="10.5"/>
  </cols>
  <sheetData>
    <row r="1" customFormat="false" ht="13.8" hidden="false" customHeight="false" outlineLevel="0" collapsed="false">
      <c r="A1" s="0" t="n">
        <v>1</v>
      </c>
      <c r="B1" s="42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3.8" hidden="false" customHeight="false" outlineLevel="0" collapsed="false">
      <c r="A2" s="43" t="s">
        <v>3</v>
      </c>
      <c r="B2" s="44" t="s">
        <v>20</v>
      </c>
      <c r="C2" s="45" t="s">
        <v>27</v>
      </c>
      <c r="D2" s="45" t="s">
        <v>12</v>
      </c>
      <c r="E2" s="45" t="s">
        <v>24</v>
      </c>
      <c r="F2" s="45" t="s">
        <v>22</v>
      </c>
      <c r="G2" s="45" t="s">
        <v>18</v>
      </c>
      <c r="H2" s="46" t="s">
        <v>31</v>
      </c>
    </row>
    <row r="3" customFormat="false" ht="13.8" hidden="false" customHeight="false" outlineLevel="0" collapsed="false">
      <c r="A3" s="0" t="s">
        <v>19</v>
      </c>
      <c r="B3" s="0" t="n">
        <v>167020</v>
      </c>
      <c r="D3" s="0"/>
      <c r="G3" s="0" t="n">
        <v>15860</v>
      </c>
      <c r="H3" s="47" t="n">
        <f aca="false">SUM(B3:G3)</f>
        <v>182880</v>
      </c>
    </row>
    <row r="4" customFormat="false" ht="13.8" hidden="false" customHeight="false" outlineLevel="0" collapsed="false">
      <c r="A4" s="0" t="s">
        <v>26</v>
      </c>
      <c r="C4" s="0" t="n">
        <v>1900</v>
      </c>
      <c r="D4" s="0"/>
      <c r="H4" s="48" t="n">
        <f aca="false">SUM(B4:G4)</f>
        <v>1900</v>
      </c>
    </row>
    <row r="5" customFormat="false" ht="13.8" hidden="false" customHeight="false" outlineLevel="0" collapsed="false">
      <c r="A5" s="0" t="s">
        <v>10</v>
      </c>
      <c r="D5" s="0" t="n">
        <v>154420</v>
      </c>
      <c r="E5" s="0" t="n">
        <v>1140</v>
      </c>
      <c r="F5" s="0" t="n">
        <v>1600</v>
      </c>
      <c r="H5" s="48" t="n">
        <f aca="false">SUM(B5:G5)</f>
        <v>157160</v>
      </c>
    </row>
    <row r="6" customFormat="false" ht="13.8" hidden="false" customHeight="false" outlineLevel="0" collapsed="false">
      <c r="A6" s="0" t="s">
        <v>17</v>
      </c>
      <c r="D6" s="0" t="n">
        <v>139340</v>
      </c>
      <c r="E6" s="0" t="n">
        <v>3820</v>
      </c>
      <c r="F6" s="0" t="n">
        <v>4940</v>
      </c>
      <c r="H6" s="48" t="n">
        <f aca="false">SUM(B6:G6)</f>
        <v>148100</v>
      </c>
    </row>
    <row r="7" customFormat="false" ht="13.8" hidden="false" customHeight="false" outlineLevel="0" collapsed="false">
      <c r="A7" s="0" t="s">
        <v>16</v>
      </c>
      <c r="C7" s="0" t="n">
        <v>220</v>
      </c>
      <c r="D7" s="0" t="n">
        <v>4540</v>
      </c>
      <c r="G7" s="0" t="n">
        <v>1280</v>
      </c>
      <c r="H7" s="48" t="n">
        <f aca="false">SUM(B7:G7)</f>
        <v>6040</v>
      </c>
    </row>
    <row r="8" customFormat="false" ht="13.8" hidden="false" customHeight="false" outlineLevel="0" collapsed="false">
      <c r="A8" s="0" t="s">
        <v>32</v>
      </c>
      <c r="D8" s="0" t="n">
        <v>3440</v>
      </c>
      <c r="H8" s="48" t="n">
        <f aca="false">SUM(B8:G8)</f>
        <v>3440</v>
      </c>
    </row>
    <row r="9" customFormat="false" ht="13.8" hidden="false" customHeight="false" outlineLevel="0" collapsed="false">
      <c r="A9" s="0" t="s">
        <v>21</v>
      </c>
      <c r="C9" s="0" t="n">
        <v>1460</v>
      </c>
      <c r="D9" s="0"/>
      <c r="G9" s="0" t="n">
        <v>5600</v>
      </c>
      <c r="H9" s="48" t="n">
        <f aca="false">SUM(B9:G9)</f>
        <v>7060</v>
      </c>
    </row>
    <row r="10" customFormat="false" ht="13.8" hidden="false" customHeight="false" outlineLevel="0" collapsed="false">
      <c r="A10" s="0" t="s">
        <v>14</v>
      </c>
      <c r="D10" s="0" t="n">
        <v>97200</v>
      </c>
      <c r="H10" s="48" t="n">
        <f aca="false">SUM(B10:G10)</f>
        <v>97200</v>
      </c>
    </row>
    <row r="11" customFormat="false" ht="13.8" hidden="false" customHeight="false" outlineLevel="0" collapsed="false">
      <c r="A11" s="0" t="s">
        <v>15</v>
      </c>
      <c r="D11" s="0" t="n">
        <v>11400</v>
      </c>
      <c r="H11" s="48" t="n">
        <f aca="false">SUM(B11:G11)</f>
        <v>11400</v>
      </c>
    </row>
    <row r="12" customFormat="false" ht="13.8" hidden="false" customHeight="false" outlineLevel="0" collapsed="false">
      <c r="A12" s="0" t="s">
        <v>25</v>
      </c>
      <c r="D12" s="0"/>
      <c r="G12" s="0" t="n">
        <v>4920</v>
      </c>
      <c r="H12" s="48" t="n">
        <f aca="false">SUM(B12:G12)</f>
        <v>4920</v>
      </c>
    </row>
    <row r="13" customFormat="false" ht="13.8" hidden="false" customHeight="false" outlineLevel="0" collapsed="false">
      <c r="A13" s="49" t="s">
        <v>33</v>
      </c>
      <c r="D13" s="0"/>
      <c r="H13" s="50" t="n">
        <f aca="false">SUM(B13:G13)</f>
        <v>0</v>
      </c>
    </row>
    <row r="14" customFormat="false" ht="13.8" hidden="false" customHeight="false" outlineLevel="0" collapsed="false">
      <c r="A14" s="51" t="s">
        <v>31</v>
      </c>
      <c r="B14" s="52"/>
      <c r="C14" s="53" t="n">
        <f aca="false">SUM(C3:C13)</f>
        <v>3580</v>
      </c>
      <c r="D14" s="53" t="n">
        <f aca="false">SUM(D3:D13)</f>
        <v>410340</v>
      </c>
      <c r="E14" s="53" t="n">
        <f aca="false">SUM(E3:E13)</f>
        <v>4960</v>
      </c>
      <c r="F14" s="53" t="n">
        <f aca="false">SUM(F3:F13)</f>
        <v>6540</v>
      </c>
      <c r="G14" s="53" t="n">
        <f aca="false">SUM(G3:G13)</f>
        <v>27660</v>
      </c>
      <c r="H14" s="54" t="n">
        <f aca="false">SUM(H3:H13)</f>
        <v>620100</v>
      </c>
    </row>
    <row r="15" customFormat="false" ht="13.8" hidden="false" customHeight="false" outlineLevel="0" collapsed="false">
      <c r="C15" s="55"/>
      <c r="D15" s="55"/>
      <c r="E15" s="55"/>
      <c r="F15" s="55"/>
      <c r="G15" s="55"/>
      <c r="H15" s="55"/>
    </row>
    <row r="16" customFormat="false" ht="13.8" hidden="false" customHeight="false" outlineLevel="0" collapsed="false">
      <c r="C16" s="55"/>
      <c r="D16" s="55"/>
      <c r="E16" s="55"/>
      <c r="F16" s="55"/>
      <c r="G16" s="55"/>
      <c r="H16" s="55"/>
    </row>
    <row r="17" customFormat="false" ht="13.8" hidden="false" customHeight="false" outlineLevel="0" collapsed="false">
      <c r="C17" s="55"/>
      <c r="D17" s="55"/>
      <c r="E17" s="55"/>
      <c r="F17" s="55"/>
      <c r="G17" s="55"/>
      <c r="H17" s="55"/>
    </row>
    <row r="18" customFormat="false" ht="13.8" hidden="false" customHeight="false" outlineLevel="0" collapsed="false">
      <c r="C18" s="55"/>
      <c r="D18" s="55"/>
      <c r="E18" s="55"/>
      <c r="F18" s="55"/>
      <c r="G18" s="55"/>
      <c r="H18" s="55"/>
    </row>
    <row r="19" customFormat="false" ht="13.8" hidden="false" customHeight="false" outlineLevel="0" collapsed="false">
      <c r="A19" s="0"/>
      <c r="D19" s="0"/>
    </row>
    <row r="20" customFormat="false" ht="13.8" hidden="false" customHeight="false" outlineLevel="0" collapsed="false">
      <c r="A20" s="55" t="s">
        <v>12</v>
      </c>
      <c r="B20" s="55"/>
      <c r="C20" s="55"/>
      <c r="D20" s="55"/>
      <c r="E20" s="55"/>
      <c r="F20" s="55"/>
      <c r="G20" s="55"/>
      <c r="H20" s="55"/>
    </row>
    <row r="21" customFormat="false" ht="13.8" hidden="false" customHeight="false" outlineLevel="0" collapsed="false">
      <c r="A21" s="42" t="s">
        <v>34</v>
      </c>
      <c r="B21" s="0" t="s">
        <v>35</v>
      </c>
      <c r="C21" s="56" t="s">
        <v>36</v>
      </c>
      <c r="D21" s="57" t="s">
        <v>37</v>
      </c>
      <c r="E21" s="56" t="s">
        <v>38</v>
      </c>
      <c r="F21" s="58" t="s">
        <v>39</v>
      </c>
      <c r="G21" s="56" t="s">
        <v>9</v>
      </c>
      <c r="H21" s="56"/>
    </row>
    <row r="22" customFormat="false" ht="13.8" hidden="false" customHeight="false" outlineLevel="0" collapsed="false">
      <c r="A22" s="59" t="n">
        <v>109</v>
      </c>
      <c r="B22" s="60" t="s">
        <v>40</v>
      </c>
      <c r="C22" s="61" t="s">
        <v>19</v>
      </c>
      <c r="D22" s="62"/>
      <c r="E22" s="61"/>
      <c r="F22" s="63"/>
      <c r="G22" s="64" t="n">
        <f aca="false">VLOOKUP(C22,$A$2:$G$14,4,FALSE())</f>
        <v>0</v>
      </c>
      <c r="H22" s="65" t="str">
        <f aca="false">IF(G22-F22&gt;0,"Revisar","Bien")</f>
        <v>Bien</v>
      </c>
    </row>
    <row r="23" customFormat="false" ht="13.8" hidden="false" customHeight="false" outlineLevel="0" collapsed="false">
      <c r="A23" s="66" t="n">
        <v>333</v>
      </c>
      <c r="B23" s="67" t="s">
        <v>41</v>
      </c>
      <c r="C23" s="68" t="s">
        <v>26</v>
      </c>
      <c r="D23" s="57"/>
      <c r="E23" s="56"/>
      <c r="F23" s="58"/>
      <c r="G23" s="69" t="n">
        <f aca="false">VLOOKUP(C23,$A$2:$G$14,4,FALSE())</f>
        <v>0</v>
      </c>
      <c r="H23" s="70" t="str">
        <f aca="false">IF(G23-F23&gt;0,"Revisar","Bien")</f>
        <v>Bien</v>
      </c>
    </row>
    <row r="24" customFormat="false" ht="14.9" hidden="false" customHeight="false" outlineLevel="0" collapsed="false">
      <c r="A24" s="71" t="n">
        <v>320</v>
      </c>
      <c r="B24" s="72" t="s">
        <v>42</v>
      </c>
      <c r="C24" s="56" t="s">
        <v>10</v>
      </c>
      <c r="D24" s="57" t="s">
        <v>43</v>
      </c>
      <c r="E24" s="56" t="s">
        <v>44</v>
      </c>
      <c r="F24" s="58" t="n">
        <v>154420</v>
      </c>
      <c r="G24" s="69" t="n">
        <f aca="false">VLOOKUP(C24,$A$2:$G$14,4,FALSE())</f>
        <v>154420</v>
      </c>
      <c r="H24" s="70" t="str">
        <f aca="false">IF(G24-F24&gt;0,"Revisar","Bien")</f>
        <v>Bien</v>
      </c>
    </row>
    <row r="25" customFormat="false" ht="13.8" hidden="false" customHeight="false" outlineLevel="0" collapsed="false">
      <c r="A25" s="71" t="n">
        <v>321</v>
      </c>
      <c r="B25" s="72" t="s">
        <v>45</v>
      </c>
      <c r="C25" s="56" t="s">
        <v>17</v>
      </c>
      <c r="D25" s="57" t="s">
        <v>43</v>
      </c>
      <c r="E25" s="56" t="s">
        <v>44</v>
      </c>
      <c r="F25" s="58" t="n">
        <v>139340</v>
      </c>
      <c r="G25" s="69" t="n">
        <f aca="false">VLOOKUP(C25,$A$2:$G$14,4,FALSE())</f>
        <v>139340</v>
      </c>
      <c r="H25" s="70" t="str">
        <f aca="false">IF(G25-F25&gt;0,"Revisar","Bien")</f>
        <v>Bien</v>
      </c>
    </row>
    <row r="26" customFormat="false" ht="13.8" hidden="false" customHeight="false" outlineLevel="0" collapsed="false">
      <c r="A26" s="66" t="n">
        <v>316</v>
      </c>
      <c r="B26" s="0" t="s">
        <v>46</v>
      </c>
      <c r="C26" s="56" t="s">
        <v>16</v>
      </c>
      <c r="D26" s="57" t="s">
        <v>43</v>
      </c>
      <c r="E26" s="56" t="s">
        <v>47</v>
      </c>
      <c r="F26" s="58" t="n">
        <v>4540</v>
      </c>
      <c r="G26" s="69" t="n">
        <f aca="false">VLOOKUP(C26,$A$2:$G$14,4,FALSE())</f>
        <v>4540</v>
      </c>
      <c r="H26" s="70" t="str">
        <f aca="false">IF(G26-F26&gt;0,"Revisar","Bien")</f>
        <v>Bien</v>
      </c>
    </row>
    <row r="27" customFormat="false" ht="14.9" hidden="false" customHeight="false" outlineLevel="0" collapsed="false">
      <c r="A27" s="71" t="n">
        <v>196</v>
      </c>
      <c r="B27" s="72" t="s">
        <v>48</v>
      </c>
      <c r="C27" s="56" t="s">
        <v>28</v>
      </c>
      <c r="D27" s="57"/>
      <c r="F27" s="58"/>
      <c r="G27" s="69" t="n">
        <f aca="false">VLOOKUP(C27,$A$2:$G$14,4,FALSE())</f>
        <v>0</v>
      </c>
      <c r="H27" s="70" t="str">
        <f aca="false">IF(G27-F27&gt;0,"Revisar","Bien")</f>
        <v>Bien</v>
      </c>
    </row>
    <row r="28" customFormat="false" ht="13.8" hidden="false" customHeight="false" outlineLevel="0" collapsed="false">
      <c r="A28" s="66" t="n">
        <v>309</v>
      </c>
      <c r="B28" s="0" t="s">
        <v>49</v>
      </c>
      <c r="C28" s="56" t="s">
        <v>21</v>
      </c>
      <c r="D28" s="57"/>
      <c r="E28" s="56"/>
      <c r="F28" s="73"/>
      <c r="G28" s="69" t="n">
        <f aca="false">VLOOKUP(C28,$A$2:$G$14,4,FALSE())</f>
        <v>0</v>
      </c>
      <c r="H28" s="70" t="str">
        <f aca="false">IF(G28-F28&gt;0,"Revisar","Bien")</f>
        <v>Bien</v>
      </c>
      <c r="L28" s="74"/>
      <c r="M28" s="75"/>
      <c r="N28" s="67"/>
    </row>
    <row r="29" customFormat="false" ht="14.9" hidden="false" customHeight="false" outlineLevel="0" collapsed="false">
      <c r="A29" s="66" t="n">
        <v>318</v>
      </c>
      <c r="B29" s="72" t="s">
        <v>48</v>
      </c>
      <c r="C29" s="56" t="s">
        <v>14</v>
      </c>
      <c r="D29" s="57" t="s">
        <v>43</v>
      </c>
      <c r="E29" s="56" t="s">
        <v>44</v>
      </c>
      <c r="F29" s="73" t="n">
        <v>97200</v>
      </c>
      <c r="G29" s="69" t="n">
        <f aca="false">VLOOKUP(C29,$A$2:$G$14,4,FALSE())</f>
        <v>97200</v>
      </c>
      <c r="H29" s="70" t="str">
        <f aca="false">IF(G29-F29&gt;0,"Revisar","Bien")</f>
        <v>Bien</v>
      </c>
      <c r="L29" s="74"/>
      <c r="M29" s="67"/>
      <c r="N29" s="67"/>
    </row>
    <row r="30" customFormat="false" ht="14.9" hidden="false" customHeight="false" outlineLevel="0" collapsed="false">
      <c r="A30" s="76" t="n">
        <v>310</v>
      </c>
      <c r="B30" s="77" t="s">
        <v>50</v>
      </c>
      <c r="C30" s="78" t="s">
        <v>15</v>
      </c>
      <c r="D30" s="79" t="n">
        <v>1</v>
      </c>
      <c r="E30" s="78" t="s">
        <v>44</v>
      </c>
      <c r="F30" s="80" t="n">
        <v>11400</v>
      </c>
      <c r="G30" s="81" t="n">
        <f aca="false">VLOOKUP(C30,$A$2:$G$14,4,FALSE())</f>
        <v>11400</v>
      </c>
      <c r="H30" s="82" t="str">
        <f aca="false">IF(G30-F30&gt;0,"Revisar","Bien")</f>
        <v>Bien</v>
      </c>
      <c r="N30" s="72"/>
    </row>
    <row r="31" customFormat="false" ht="13.8" hidden="false" customHeight="false" outlineLevel="0" collapsed="false">
      <c r="C31" s="56"/>
      <c r="D31" s="57"/>
      <c r="E31" s="56"/>
      <c r="F31" s="83" t="n">
        <f aca="false">SUM(F22:F30)</f>
        <v>406900</v>
      </c>
      <c r="G31" s="84" t="n">
        <f aca="false">SUM(G22:G30)</f>
        <v>406900</v>
      </c>
      <c r="H31" s="56"/>
      <c r="L31" s="74"/>
      <c r="N31" s="56"/>
    </row>
    <row r="32" customFormat="false" ht="13.8" hidden="false" customHeight="false" outlineLevel="0" collapsed="false">
      <c r="A32" s="55" t="s">
        <v>51</v>
      </c>
      <c r="B32" s="55"/>
      <c r="C32" s="55"/>
      <c r="D32" s="55"/>
      <c r="E32" s="55"/>
      <c r="F32" s="55"/>
      <c r="G32" s="55"/>
      <c r="H32" s="55"/>
      <c r="L32" s="74"/>
      <c r="N32" s="56"/>
    </row>
    <row r="33" customFormat="false" ht="13.8" hidden="false" customHeight="false" outlineLevel="0" collapsed="false">
      <c r="C33" s="56" t="s">
        <v>36</v>
      </c>
      <c r="D33" s="57" t="s">
        <v>52</v>
      </c>
      <c r="E33" s="56" t="s">
        <v>53</v>
      </c>
      <c r="F33" s="73" t="s">
        <v>39</v>
      </c>
      <c r="G33" s="56" t="s">
        <v>9</v>
      </c>
      <c r="H33" s="56"/>
    </row>
    <row r="34" customFormat="false" ht="13.8" hidden="false" customHeight="false" outlineLevel="0" collapsed="false">
      <c r="A34" s="59" t="n">
        <v>109</v>
      </c>
      <c r="B34" s="60" t="s">
        <v>40</v>
      </c>
      <c r="C34" s="61" t="s">
        <v>19</v>
      </c>
      <c r="D34" s="62" t="n">
        <v>2</v>
      </c>
      <c r="E34" s="61" t="n">
        <v>3</v>
      </c>
      <c r="F34" s="61" t="n">
        <v>15860</v>
      </c>
      <c r="G34" s="64" t="n">
        <f aca="false">VLOOKUP(C34,$A$2:$G$14,7,FALSE())</f>
        <v>15860</v>
      </c>
      <c r="H34" s="65" t="str">
        <f aca="false">IF(G34-F34&gt;0,"Revisar","Bien")</f>
        <v>Bien</v>
      </c>
    </row>
    <row r="35" customFormat="false" ht="13.8" hidden="false" customHeight="false" outlineLevel="0" collapsed="false">
      <c r="A35" s="66" t="n">
        <v>333</v>
      </c>
      <c r="B35" s="0" t="s">
        <v>41</v>
      </c>
      <c r="C35" s="56" t="s">
        <v>26</v>
      </c>
      <c r="D35" s="57"/>
      <c r="E35" s="56"/>
      <c r="F35" s="56"/>
      <c r="G35" s="69" t="n">
        <f aca="false">VLOOKUP(C35,$A$2:$G$14,7,FALSE())</f>
        <v>0</v>
      </c>
      <c r="H35" s="70" t="str">
        <f aca="false">IF(G35-F35&gt;0,"Revisar","Bien")</f>
        <v>Bien</v>
      </c>
    </row>
    <row r="36" customFormat="false" ht="13.8" hidden="false" customHeight="false" outlineLevel="0" collapsed="false">
      <c r="A36" s="66" t="n">
        <v>316</v>
      </c>
      <c r="B36" s="67" t="s">
        <v>46</v>
      </c>
      <c r="C36" s="67" t="s">
        <v>16</v>
      </c>
      <c r="D36" s="57" t="n">
        <v>2</v>
      </c>
      <c r="E36" s="56" t="n">
        <v>4</v>
      </c>
      <c r="F36" s="56" t="n">
        <v>1280</v>
      </c>
      <c r="G36" s="69" t="n">
        <f aca="false">VLOOKUP(C36,$A$2:$G$14,7,FALSE())</f>
        <v>1280</v>
      </c>
      <c r="H36" s="70" t="str">
        <f aca="false">IF(G36-F36&gt;0,"Revisar","Bien")</f>
        <v>Bien</v>
      </c>
    </row>
    <row r="37" customFormat="false" ht="13.8" hidden="false" customHeight="false" outlineLevel="0" collapsed="false">
      <c r="A37" s="66" t="n">
        <v>309</v>
      </c>
      <c r="B37" s="0" t="s">
        <v>49</v>
      </c>
      <c r="C37" s="56" t="s">
        <v>21</v>
      </c>
      <c r="D37" s="57" t="n">
        <v>2</v>
      </c>
      <c r="E37" s="56" t="n">
        <v>9</v>
      </c>
      <c r="F37" s="56" t="n">
        <v>5600</v>
      </c>
      <c r="G37" s="69" t="n">
        <f aca="false">VLOOKUP(C37,$A$2:$G$14,7,FALSE())</f>
        <v>5600</v>
      </c>
      <c r="H37" s="70" t="str">
        <f aca="false">IF(G37-F37&gt;0,"Revisar","Bien")</f>
        <v>Bien</v>
      </c>
    </row>
    <row r="38" customFormat="false" ht="13.8" hidden="false" customHeight="false" outlineLevel="0" collapsed="false">
      <c r="A38" s="76" t="n">
        <v>296</v>
      </c>
      <c r="B38" s="78" t="s">
        <v>54</v>
      </c>
      <c r="C38" s="78" t="s">
        <v>25</v>
      </c>
      <c r="D38" s="79" t="n">
        <v>2</v>
      </c>
      <c r="E38" s="78" t="n">
        <v>6</v>
      </c>
      <c r="F38" s="78" t="n">
        <v>4920</v>
      </c>
      <c r="G38" s="81" t="n">
        <f aca="false">VLOOKUP(C38,$A$2:$G$14,7,FALSE())</f>
        <v>4920</v>
      </c>
      <c r="H38" s="82" t="str">
        <f aca="false">IF(G38-F38&gt;0,"Revisar","Bien")</f>
        <v>Bien</v>
      </c>
    </row>
    <row r="39" customFormat="false" ht="13.8" hidden="false" customHeight="false" outlineLevel="0" collapsed="false">
      <c r="A39" s="0"/>
      <c r="D39" s="57"/>
      <c r="E39" s="56"/>
      <c r="F39" s="83" t="n">
        <f aca="false">SUM(F34:F38)</f>
        <v>27660</v>
      </c>
      <c r="G39" s="84" t="n">
        <f aca="false">SUM(G34:G38)</f>
        <v>27660</v>
      </c>
      <c r="H39" s="56"/>
    </row>
    <row r="40" customFormat="false" ht="13.8" hidden="false" customHeight="false" outlineLevel="0" collapsed="false">
      <c r="C40" s="56"/>
      <c r="D40" s="57"/>
      <c r="E40" s="56"/>
      <c r="F40" s="73"/>
      <c r="G40" s="84"/>
      <c r="H40" s="56"/>
    </row>
    <row r="41" customFormat="false" ht="13.8" hidden="false" customHeight="false" outlineLevel="0" collapsed="false">
      <c r="A41" s="55" t="s">
        <v>55</v>
      </c>
      <c r="B41" s="55"/>
      <c r="C41" s="55"/>
      <c r="D41" s="55"/>
      <c r="E41" s="55"/>
      <c r="F41" s="55"/>
      <c r="G41" s="55"/>
      <c r="H41" s="55"/>
    </row>
    <row r="42" customFormat="false" ht="13.8" hidden="false" customHeight="false" outlineLevel="0" collapsed="false">
      <c r="C42" s="56" t="s">
        <v>36</v>
      </c>
      <c r="D42" s="57" t="s">
        <v>53</v>
      </c>
      <c r="E42" s="56" t="s">
        <v>39</v>
      </c>
      <c r="F42" s="73" t="s">
        <v>9</v>
      </c>
      <c r="G42" s="56"/>
      <c r="H42" s="56"/>
    </row>
    <row r="43" customFormat="false" ht="13.8" hidden="false" customHeight="false" outlineLevel="0" collapsed="false">
      <c r="A43" s="59" t="n">
        <v>109</v>
      </c>
      <c r="B43" s="60" t="s">
        <v>40</v>
      </c>
      <c r="C43" s="61" t="s">
        <v>19</v>
      </c>
      <c r="D43" s="62"/>
      <c r="E43" s="61"/>
      <c r="F43" s="85" t="n">
        <f aca="false">VLOOKUP(C43,$A$2:$G$14,6,FALSE())</f>
        <v>0</v>
      </c>
      <c r="G43" s="65" t="str">
        <f aca="false">IF(F43-E43&gt;0,"Revisar","Bien")</f>
        <v>Bien</v>
      </c>
      <c r="H43" s="56"/>
    </row>
    <row r="44" customFormat="false" ht="14.9" hidden="false" customHeight="false" outlineLevel="0" collapsed="false">
      <c r="A44" s="71" t="n">
        <v>321</v>
      </c>
      <c r="B44" s="72" t="s">
        <v>45</v>
      </c>
      <c r="C44" s="56" t="s">
        <v>17</v>
      </c>
      <c r="D44" s="57" t="n">
        <v>3</v>
      </c>
      <c r="E44" s="56" t="n">
        <v>4940</v>
      </c>
      <c r="F44" s="86" t="n">
        <f aca="false">VLOOKUP(C44,$A$2:$G$14,6,FALSE())</f>
        <v>4940</v>
      </c>
      <c r="G44" s="70" t="str">
        <f aca="false">IF(F44-E44&gt;0,"Revisar","Bien")</f>
        <v>Bien</v>
      </c>
      <c r="H44" s="56"/>
    </row>
    <row r="45" customFormat="false" ht="13.8" hidden="false" customHeight="false" outlineLevel="0" collapsed="false">
      <c r="A45" s="66" t="n">
        <v>296</v>
      </c>
      <c r="B45" s="0" t="s">
        <v>54</v>
      </c>
      <c r="C45" s="56" t="s">
        <v>25</v>
      </c>
      <c r="D45" s="57"/>
      <c r="E45" s="56"/>
      <c r="F45" s="86" t="n">
        <f aca="false">VLOOKUP(C45,$A$2:$G$14,6,FALSE())</f>
        <v>0</v>
      </c>
      <c r="G45" s="70" t="str">
        <f aca="false">IF(F45-E45&gt;0,"Revisar","Bien")</f>
        <v>Bien</v>
      </c>
      <c r="H45" s="56"/>
    </row>
    <row r="46" customFormat="false" ht="14.9" hidden="false" customHeight="false" outlineLevel="0" collapsed="false">
      <c r="A46" s="71" t="n">
        <v>320</v>
      </c>
      <c r="B46" s="72" t="s">
        <v>42</v>
      </c>
      <c r="C46" s="56" t="s">
        <v>10</v>
      </c>
      <c r="D46" s="57" t="n">
        <v>1</v>
      </c>
      <c r="E46" s="73" t="n">
        <v>1600</v>
      </c>
      <c r="F46" s="86" t="n">
        <f aca="false">VLOOKUP(C46,$A$2:$G$14,6,FALSE())</f>
        <v>1600</v>
      </c>
      <c r="G46" s="70" t="str">
        <f aca="false">IF(F46-E46&gt;0,"Revisar","Bien")</f>
        <v>Bien</v>
      </c>
      <c r="H46" s="56"/>
    </row>
    <row r="47" customFormat="false" ht="14.9" hidden="false" customHeight="false" outlineLevel="0" collapsed="false">
      <c r="A47" s="87"/>
      <c r="B47" s="78"/>
      <c r="C47" s="77" t="s">
        <v>32</v>
      </c>
      <c r="D47" s="79"/>
      <c r="E47" s="80"/>
      <c r="F47" s="88" t="n">
        <f aca="false">VLOOKUP(C47,$A$2:$G$14,6,FALSE())</f>
        <v>0</v>
      </c>
      <c r="G47" s="82" t="str">
        <f aca="false">IF(F47-E47&gt;0,"Revisar","Bien")</f>
        <v>Bien</v>
      </c>
      <c r="H47" s="56"/>
    </row>
    <row r="48" customFormat="false" ht="13.8" hidden="false" customHeight="false" outlineLevel="0" collapsed="false">
      <c r="C48" s="56"/>
      <c r="D48" s="57"/>
      <c r="E48" s="5" t="n">
        <f aca="false">SUM(E43:E47)</f>
        <v>6540</v>
      </c>
      <c r="F48" s="84" t="n">
        <f aca="false">SUM(F43:F46)</f>
        <v>6540</v>
      </c>
      <c r="G48" s="56"/>
      <c r="H48" s="56"/>
    </row>
    <row r="49" customFormat="false" ht="13.8" hidden="false" customHeight="false" outlineLevel="0" collapsed="false">
      <c r="A49" s="55" t="s">
        <v>56</v>
      </c>
      <c r="B49" s="55"/>
      <c r="C49" s="55"/>
      <c r="D49" s="55"/>
      <c r="E49" s="55"/>
      <c r="F49" s="55"/>
      <c r="G49" s="55"/>
      <c r="H49" s="56"/>
    </row>
    <row r="50" customFormat="false" ht="13.8" hidden="false" customHeight="false" outlineLevel="0" collapsed="false">
      <c r="C50" s="56" t="s">
        <v>36</v>
      </c>
      <c r="D50" s="57" t="s">
        <v>53</v>
      </c>
      <c r="E50" s="56" t="s">
        <v>39</v>
      </c>
      <c r="F50" s="73" t="s">
        <v>9</v>
      </c>
      <c r="G50" s="56"/>
      <c r="H50" s="56"/>
    </row>
    <row r="51" customFormat="false" ht="14.9" hidden="false" customHeight="false" outlineLevel="0" collapsed="false">
      <c r="A51" s="89" t="n">
        <v>320</v>
      </c>
      <c r="B51" s="90" t="s">
        <v>42</v>
      </c>
      <c r="C51" s="61" t="s">
        <v>10</v>
      </c>
      <c r="D51" s="62" t="n">
        <v>1</v>
      </c>
      <c r="E51" s="91" t="n">
        <v>1140</v>
      </c>
      <c r="F51" s="64" t="n">
        <f aca="false">VLOOKUP(C51,$A$2:$G$14,5,FALSE())</f>
        <v>1140</v>
      </c>
      <c r="G51" s="65" t="str">
        <f aca="false">IF(F51-E51&gt;0,"Revisar","Bien")</f>
        <v>Bien</v>
      </c>
      <c r="H51" s="56"/>
    </row>
    <row r="52" customFormat="false" ht="14.9" hidden="false" customHeight="false" outlineLevel="0" collapsed="false">
      <c r="A52" s="87" t="n">
        <v>321</v>
      </c>
      <c r="B52" s="77" t="s">
        <v>45</v>
      </c>
      <c r="C52" s="78" t="s">
        <v>17</v>
      </c>
      <c r="D52" s="79" t="n">
        <v>3</v>
      </c>
      <c r="E52" s="80" t="n">
        <v>3820</v>
      </c>
      <c r="F52" s="81" t="n">
        <f aca="false">VLOOKUP(C52,$A$2:$G$14,5,FALSE())</f>
        <v>3820</v>
      </c>
      <c r="G52" s="82" t="str">
        <f aca="false">IF(F52-E52&gt;0,"Revisar","Bien")</f>
        <v>Bien</v>
      </c>
      <c r="H52" s="56"/>
    </row>
    <row r="53" customFormat="false" ht="13.8" hidden="false" customHeight="false" outlineLevel="0" collapsed="false">
      <c r="C53" s="56"/>
      <c r="D53" s="57"/>
      <c r="E53" s="5" t="n">
        <f aca="false">SUM(E51:E52)</f>
        <v>4960</v>
      </c>
      <c r="F53" s="84" t="n">
        <f aca="false">SUM(F51:F52)</f>
        <v>4960</v>
      </c>
      <c r="G53" s="56"/>
      <c r="H53" s="56"/>
    </row>
    <row r="54" customFormat="false" ht="13.8" hidden="false" customHeight="false" outlineLevel="0" collapsed="false">
      <c r="A54" s="55" t="s">
        <v>27</v>
      </c>
      <c r="B54" s="55"/>
      <c r="C54" s="55"/>
      <c r="D54" s="55"/>
      <c r="E54" s="55"/>
      <c r="F54" s="55"/>
      <c r="G54" s="55"/>
      <c r="H54" s="56"/>
    </row>
    <row r="55" customFormat="false" ht="13.8" hidden="false" customHeight="false" outlineLevel="0" collapsed="false">
      <c r="C55" s="56" t="s">
        <v>36</v>
      </c>
      <c r="D55" s="57" t="s">
        <v>53</v>
      </c>
      <c r="E55" s="56" t="s">
        <v>39</v>
      </c>
      <c r="F55" s="73" t="s">
        <v>9</v>
      </c>
      <c r="G55" s="56"/>
      <c r="H55" s="56"/>
    </row>
    <row r="56" customFormat="false" ht="13.8" hidden="false" customHeight="false" outlineLevel="0" collapsed="false">
      <c r="A56" s="59" t="n">
        <v>109</v>
      </c>
      <c r="B56" s="60" t="s">
        <v>40</v>
      </c>
      <c r="C56" s="61" t="s">
        <v>19</v>
      </c>
      <c r="D56" s="92"/>
      <c r="E56" s="93"/>
      <c r="F56" s="64" t="n">
        <f aca="false">VLOOKUP(C56,$A$2:$G$14,3,FALSE())</f>
        <v>0</v>
      </c>
      <c r="G56" s="65" t="str">
        <f aca="false">IF(F56-E56&gt;0,"Revisar","Bien")</f>
        <v>Bien</v>
      </c>
      <c r="H56" s="56"/>
    </row>
    <row r="57" customFormat="false" ht="13.8" hidden="false" customHeight="false" outlineLevel="0" collapsed="false">
      <c r="A57" s="66" t="n">
        <v>333</v>
      </c>
      <c r="B57" s="67" t="s">
        <v>41</v>
      </c>
      <c r="C57" s="67" t="s">
        <v>26</v>
      </c>
      <c r="D57" s="94" t="n">
        <v>4</v>
      </c>
      <c r="E57" s="67" t="n">
        <v>1900</v>
      </c>
      <c r="F57" s="69" t="n">
        <f aca="false">VLOOKUP(C57,$A$2:$G$14,3,FALSE())</f>
        <v>1900</v>
      </c>
      <c r="G57" s="70" t="str">
        <f aca="false">IF(F57-E57&gt;0,"Revisar","Bien")</f>
        <v>Bien</v>
      </c>
      <c r="H57" s="56"/>
    </row>
    <row r="58" customFormat="false" ht="14.9" hidden="false" customHeight="false" outlineLevel="0" collapsed="false">
      <c r="A58" s="95"/>
      <c r="B58" s="0" t="s">
        <v>57</v>
      </c>
      <c r="C58" s="72" t="s">
        <v>32</v>
      </c>
      <c r="D58" s="0"/>
      <c r="F58" s="69" t="n">
        <f aca="false">VLOOKUP(C58,$A$2:$G$14,3,FALSE())</f>
        <v>0</v>
      </c>
      <c r="G58" s="70" t="str">
        <f aca="false">IF(F58-E58&gt;0,"Revisar","Bien")</f>
        <v>Bien</v>
      </c>
      <c r="H58" s="56"/>
    </row>
    <row r="59" customFormat="false" ht="13.8" hidden="false" customHeight="false" outlineLevel="0" collapsed="false">
      <c r="A59" s="66" t="n">
        <v>316</v>
      </c>
      <c r="B59" s="0" t="s">
        <v>46</v>
      </c>
      <c r="C59" s="56" t="s">
        <v>16</v>
      </c>
      <c r="D59" s="0"/>
      <c r="E59" s="0" t="n">
        <v>220</v>
      </c>
      <c r="F59" s="69" t="n">
        <f aca="false">VLOOKUP(C59,$A$2:$G$14,3,FALSE())</f>
        <v>220</v>
      </c>
      <c r="G59" s="70" t="str">
        <f aca="false">IF(F59-E59&gt;0,"Revisar","Bien")</f>
        <v>Bien</v>
      </c>
      <c r="H59" s="56"/>
    </row>
    <row r="60" customFormat="false" ht="13.8" hidden="false" customHeight="false" outlineLevel="0" collapsed="false">
      <c r="A60" s="66" t="n">
        <v>309</v>
      </c>
      <c r="B60" s="0" t="s">
        <v>49</v>
      </c>
      <c r="C60" s="56" t="s">
        <v>21</v>
      </c>
      <c r="D60" s="57" t="n">
        <v>2</v>
      </c>
      <c r="E60" s="56" t="n">
        <v>1460</v>
      </c>
      <c r="F60" s="96" t="n">
        <f aca="false">VLOOKUP(C60,$A$2:$G$14,3,FALSE())</f>
        <v>1460</v>
      </c>
      <c r="G60" s="70" t="str">
        <f aca="false">IF(F60-E60&gt;0,"Revisar","Bien")</f>
        <v>Bien</v>
      </c>
      <c r="H60" s="56"/>
    </row>
    <row r="61" customFormat="false" ht="13.8" hidden="false" customHeight="false" outlineLevel="0" collapsed="false">
      <c r="A61" s="76" t="n">
        <v>296</v>
      </c>
      <c r="B61" s="78" t="s">
        <v>54</v>
      </c>
      <c r="C61" s="78" t="s">
        <v>25</v>
      </c>
      <c r="D61" s="79"/>
      <c r="E61" s="78"/>
      <c r="F61" s="81" t="n">
        <f aca="false">VLOOKUP(C61,$A$2:$G$14,3,FALSE())</f>
        <v>0</v>
      </c>
      <c r="G61" s="82" t="str">
        <f aca="false">IF(F61-E61&gt;0,"Revisar","Bien")</f>
        <v>Bien</v>
      </c>
      <c r="H61" s="56"/>
    </row>
    <row r="62" customFormat="false" ht="13.8" hidden="false" customHeight="false" outlineLevel="0" collapsed="false">
      <c r="C62" s="56"/>
      <c r="D62" s="57"/>
      <c r="E62" s="5" t="n">
        <f aca="false">SUM(E56:E61)</f>
        <v>3580</v>
      </c>
      <c r="F62" s="84" t="n">
        <f aca="false">SUM(F56:F61)</f>
        <v>3580</v>
      </c>
      <c r="G62" s="56"/>
      <c r="H62" s="56"/>
    </row>
    <row r="63" customFormat="false" ht="13.8" hidden="false" customHeight="false" outlineLevel="0" collapsed="false">
      <c r="A63" s="55" t="s">
        <v>58</v>
      </c>
      <c r="B63" s="55"/>
      <c r="C63" s="55"/>
      <c r="D63" s="55"/>
      <c r="E63" s="55"/>
      <c r="F63" s="55"/>
      <c r="G63" s="55"/>
      <c r="H63" s="56"/>
    </row>
    <row r="64" customFormat="false" ht="13.8" hidden="false" customHeight="false" outlineLevel="0" collapsed="false">
      <c r="C64" s="56" t="s">
        <v>36</v>
      </c>
      <c r="D64" s="57" t="s">
        <v>53</v>
      </c>
      <c r="E64" s="56" t="s">
        <v>39</v>
      </c>
      <c r="F64" s="73" t="s">
        <v>9</v>
      </c>
      <c r="G64" s="56"/>
      <c r="H64" s="56"/>
    </row>
    <row r="65" customFormat="false" ht="13.8" hidden="false" customHeight="false" outlineLevel="0" collapsed="false">
      <c r="A65" s="59" t="n">
        <v>109</v>
      </c>
      <c r="B65" s="60" t="s">
        <v>40</v>
      </c>
      <c r="C65" s="61" t="s">
        <v>19</v>
      </c>
      <c r="D65" s="62" t="n">
        <v>12</v>
      </c>
      <c r="E65" s="91" t="n">
        <v>167020</v>
      </c>
      <c r="F65" s="64" t="n">
        <f aca="false">VLOOKUP(C65,$A$2:$G$14,2,FALSE())</f>
        <v>167020</v>
      </c>
      <c r="G65" s="65" t="str">
        <f aca="false">IF(F65-E65&gt;0,"Revisar","Bien")</f>
        <v>Bien</v>
      </c>
      <c r="H65" s="56"/>
    </row>
    <row r="66" customFormat="false" ht="13.8" hidden="false" customHeight="false" outlineLevel="0" collapsed="false">
      <c r="A66" s="66" t="n">
        <v>309</v>
      </c>
      <c r="B66" s="0" t="s">
        <v>49</v>
      </c>
      <c r="C66" s="56" t="s">
        <v>21</v>
      </c>
      <c r="D66" s="57"/>
      <c r="E66" s="73"/>
      <c r="F66" s="69" t="n">
        <f aca="false">VLOOKUP(C66,$A$2:$G$14,2,FALSE())</f>
        <v>0</v>
      </c>
      <c r="G66" s="70" t="str">
        <f aca="false">IF(F66-E66&gt;0,"Revisar","Bien")</f>
        <v>Bien</v>
      </c>
      <c r="H66" s="56"/>
    </row>
    <row r="67" customFormat="false" ht="13.8" hidden="false" customHeight="false" outlineLevel="0" collapsed="false">
      <c r="A67" s="76" t="n">
        <v>296</v>
      </c>
      <c r="B67" s="78" t="s">
        <v>54</v>
      </c>
      <c r="C67" s="78" t="s">
        <v>25</v>
      </c>
      <c r="D67" s="79"/>
      <c r="E67" s="80"/>
      <c r="F67" s="81" t="n">
        <f aca="false">VLOOKUP(C67,$A$2:$G$14,2,FALSE())</f>
        <v>0</v>
      </c>
      <c r="G67" s="82" t="str">
        <f aca="false">IF(F67-E67&gt;0,"Revisar","Bien")</f>
        <v>Bien</v>
      </c>
      <c r="H67" s="56"/>
    </row>
    <row r="68" customFormat="false" ht="13.8" hidden="false" customHeight="false" outlineLevel="0" collapsed="false">
      <c r="C68" s="56"/>
      <c r="D68" s="57"/>
      <c r="E68" s="5" t="n">
        <f aca="false">SUM(E65:E67)</f>
        <v>167020</v>
      </c>
      <c r="F68" s="84" t="n">
        <f aca="false">SUM(F65:F65)</f>
        <v>167020</v>
      </c>
      <c r="G68" s="56"/>
      <c r="H68" s="56"/>
    </row>
  </sheetData>
  <mergeCells count="6">
    <mergeCell ref="A20:H20"/>
    <mergeCell ref="A32:H32"/>
    <mergeCell ref="A41:H41"/>
    <mergeCell ref="A49:G49"/>
    <mergeCell ref="A54:G54"/>
    <mergeCell ref="A63:G6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2020-06-01T11:20:30Z</dcterms:created>
  <dc:creator>usuario</dc:creator>
  <dc:description/>
  <dc:language>es-ES</dc:language>
  <cp:lastModifiedBy>JORGE AZUARA ROCA</cp:lastModifiedBy>
  <dcterms:modified xsi:type="dcterms:W3CDTF">2020-06-08T10:35:37Z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