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Hoja1!$A$1:$J$160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<sst xmlns="http://schemas.openxmlformats.org/spreadsheetml/2006/main" count="809" uniqueCount="65">
  <si>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</si>
  <si>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</si>
  <si>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</si>
  <si>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</si>
  <si>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</si>
  <si>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</si>
  <si>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</si>
  <si>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</si>
  <si>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</si>
  <si>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</si>
  <si>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1730KBZ</t>
  </si>
  <si>
    <t xml:space="preserve">PEÑISCOLA</t>
  </si>
  <si>
    <t xml:space="preserve">RSU</t>
  </si>
  <si>
    <t xml:space="preserve">x</t>
  </si>
  <si>
    <t xml:space="preserve">7809JZX</t>
  </si>
  <si>
    <t xml:space="preserve">7542KBV</t>
  </si>
  <si>
    <t xml:space="preserve">1076KSZ</t>
  </si>
  <si>
    <t xml:space="preserve">PODA</t>
  </si>
  <si>
    <t xml:space="preserve">7957JZS</t>
  </si>
  <si>
    <t xml:space="preserve">VOL</t>
  </si>
  <si>
    <t xml:space="preserve">SEL.PAP</t>
  </si>
  <si>
    <t xml:space="preserve">6120JZX</t>
  </si>
  <si>
    <t xml:space="preserve">2828CZW</t>
  </si>
  <si>
    <t xml:space="preserve">3686KBG</t>
  </si>
  <si>
    <t xml:space="preserve">0315BGK</t>
  </si>
  <si>
    <t xml:space="preserve">BARREDURÍA</t>
  </si>
  <si>
    <t xml:space="preserve">SEL.ENV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</si>
  <si>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</si>
  <si>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</si>
  <si>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</si>
  <si>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</si>
  <si>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</si>
  <si>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sustituye 0315BGK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</si>
  <si>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</si>
  <si>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</si>
  <si>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</si>
  <si>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</si>
  <si>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</si>
  <si>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</si>
  <si>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</si>
  <si>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</si>
  <si>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</si>
  <si>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</si>
  <si>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</si>
  <si>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</si>
  <si>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Volquete Jardinería</t>
  </si>
  <si>
    <t xml:space="preserve">2-3-4-5</t>
  </si>
  <si>
    <t xml:space="preserve">Día/Noche</t>
  </si>
  <si>
    <t xml:space="preserve">Recolector 22 _ 1</t>
  </si>
  <si>
    <t xml:space="preserve">Recolector 22 _ 2</t>
  </si>
  <si>
    <t xml:space="preserve">1821KBZ</t>
  </si>
  <si>
    <t xml:space="preserve">volquete 4x4 LV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</si>
  <si>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</si>
  <si>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</si>
  <si>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</si>
  <si>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</si>
  <si>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</si>
  <si>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Noche</t>
  </si>
  <si>
    <t xml:space="preserve">volquete</t>
  </si>
  <si>
    <t xml:space="preserve">8500BYJ</t>
  </si>
  <si>
    <t xml:space="preserve">Sustituya a 109</t>
  </si>
  <si>
    <t xml:space="preserve">N.º OPERARIOS</t>
  </si>
  <si>
    <t xml:space="preserve">FRECUENCIA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</si>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</sst>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9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  <numFmt numFmtId="171" formatCode="0;[RED]\-0"/>
    <numFmt numFmtId="172" formatCode="General"/>
  </numFmts>
  <fonts count="13">
    <font>
      <sz val="11"/>
      <color rgb="FF000000"/>
      <name val="Lato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Lato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Frutiger 45 Light"/>
      <family val="2"/>
      <charset val="1"/>
    </font>
    <font>
      <sz val="11"/>
      <color rgb="FF000000"/>
      <name val="Arial"/>
      <family val="0"/>
      <charset val="1"/>
    </font>
    <font>
      <b val="true"/>
      <sz val="11"/>
      <name val="Calibri"/>
      <family val="2"/>
      <charset val="1"/>
    </font>
    <font>
      <b val="true"/>
      <sz val="11"/>
      <color rgb="FFCE18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BCC"/>
        <bgColor rgb="FFFFF9AE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7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26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0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2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9" fillId="0" borderId="1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0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2" borderId="2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2" borderId="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0" xfId="2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29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29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2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3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3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0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12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3" borderId="29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3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3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4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4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3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70" fontId="8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3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3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11" fillId="3" borderId="35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6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37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7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7" fillId="0" borderId="3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33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9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29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29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4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11" fillId="3" borderId="33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34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0" borderId="41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8" fillId="0" borderId="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4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11" fillId="3" borderId="34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34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4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0" borderId="0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0" borderId="41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4" borderId="0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5" fontId="9" fillId="0" borderId="35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4" borderId="43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31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31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44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11" fillId="3" borderId="35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1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2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12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8" fillId="0" borderId="1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12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11" fillId="3" borderId="2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6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2" fontId="11" fillId="3" borderId="30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6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7" xfId="26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8" fillId="0" borderId="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9" fillId="4" borderId="8" xfId="26" applyFont="true" applyBorder="true" applyAlignment="true" applyProtection="true">
      <alignment horizontal="justify" vertical="bottom" textRotation="0" wrapText="true" indent="0" shrinkToFit="false"/>
      <protection locked="true" hidden="false"/>
    </xf>
    <xf numFmtId="168" fontId="8" fillId="0" borderId="8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7" fillId="3" borderId="8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11" fillId="3" borderId="32" xfId="2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12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6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7" xfId="26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8" xfId="26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Esquina de la tabla dinámica" xfId="21"/>
    <cellStyle name="Valor de la tabla dinámica" xfId="22"/>
    <cellStyle name="Categoría de la tabla dinámica" xfId="23"/>
    <cellStyle name="Título de la tabla dinámica" xfId="24"/>
    <cellStyle name="Resultado de la tabla dinámica" xfId="25"/>
    <cellStyle name="Excel Built-in Explanatory Text" xfId="26"/>
  </cellStyles>
  <dxfs count="19"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BCC"/>
        </patternFill>
      </fill>
    </dxf>
    <dxf>
      <fill>
        <patternFill patternType="solid">
          <fgColor rgb="FFFCD3C1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CC0000"/>
        </patternFill>
      </fill>
    </dxf>
    <dxf>
      <fill>
        <patternFill patternType="solid">
          <fgColor rgb="FFFFF9AE"/>
        </patternFill>
      </fill>
    </dxf>
    <dxf>
      <fill>
        <patternFill patternType="solid">
          <fgColor rgb="FFCE181E"/>
        </patternFill>
      </fill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b val="1"/>
        <color rgb="FF000000"/>
        <sz val="11"/>
      </font>
    </dxf>
    <dxf>
      <font>
        <name val="Calibri"/>
        <charset val="1"/>
        <family val="2"/>
        <color rgb="FF000000"/>
        <sz val="11"/>
      </font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Calibri"/>
        <charset val="1"/>
        <family val="2"/>
        <color rgb="FF000000"/>
        <sz val="11"/>
      </font>
      <numFmt numFmtId="164" formatCode="#,##0.00\ ;[RED]\-#,##0.00\ "/>
    </dxf>
    <dxf>
      <font>
        <name val="Lato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CC"/>
      <rgbColor rgb="FFCCFFFF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59" createdVersion="3">
  <cacheSource type="worksheet">
    <worksheetSource ref="A1:J160" sheet="Hoja1"/>
  </cacheSource>
  <cacheFields count="10">
    <cacheField name="Fecha" numFmtId="0">
      <sharedItems containsSemiMixedTypes="0" containsNonDate="0" containsDate="1" containsString="0" minDate="2022-12-01T00:00:00" maxDate="2022-12-31T00:00:00" count="31"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</sharedItems>
    </cacheField>
    <cacheField name="Fecha / hora" numFmtId="0">
      <sharedItems containsSemiMixedTypes="0" containsString="0" containsNumber="1" minValue="0.0847222222222222" maxValue="0.581944444444444" count="132">
        <n v="0.0847222222222222"/>
        <n v="0.0875"/>
        <n v="0.0895833333333333"/>
        <n v="0.09375"/>
        <n v="0.115972222222222"/>
        <n v="0.117361111111111"/>
        <n v="0.119444444444444"/>
        <n v="0.122222222222222"/>
        <n v="0.127777777777778"/>
        <n v="0.133333333333333"/>
        <n v="0.136805555555556"/>
        <n v="0.139583333333333"/>
        <n v="0.140277777777778"/>
        <n v="0.140972222222222"/>
        <n v="0.147222222222222"/>
        <n v="0.147916666666667"/>
        <n v="0.151388888888889"/>
        <n v="0.153472222222222"/>
        <n v="0.166666666666667"/>
        <n v="0.167361111111111"/>
        <n v="0.168055555555556"/>
        <n v="0.170138888888889"/>
        <n v="0.173611111111111"/>
        <n v="0.179166666666667"/>
        <n v="0.186805555555556"/>
        <n v="0.1875"/>
        <n v="0.190972222222222"/>
        <n v="0.191666666666667"/>
        <n v="0.195833333333333"/>
        <n v="0.197222222222222"/>
        <n v="0.198611111111111"/>
        <n v="0.201388888888889"/>
        <n v="0.203472222222222"/>
        <n v="0.204861111111111"/>
        <n v="0.208333333333333"/>
        <n v="0.210416666666667"/>
        <n v="0.211111111111111"/>
        <n v="0.2125"/>
        <n v="0.215277777777778"/>
        <n v="0.215972222222222"/>
        <n v="0.216666666666667"/>
        <n v="0.218055555555556"/>
        <n v="0.226388888888889"/>
        <n v="0.227083333333333"/>
        <n v="0.228472222222222"/>
        <n v="0.229166666666667"/>
        <n v="0.229861111111111"/>
        <n v="0.230555555555556"/>
        <n v="0.231944444444444"/>
        <n v="0.232638888888889"/>
        <n v="0.234722222222222"/>
        <n v="0.235416666666667"/>
        <n v="0.236805555555556"/>
        <n v="0.2375"/>
        <n v="0.238194444444444"/>
        <n v="0.238888888888889"/>
        <n v="0.240972222222222"/>
        <n v="0.241666666666667"/>
        <n v="0.242361111111111"/>
        <n v="0.245138888888889"/>
        <n v="0.248611111111111"/>
        <n v="0.250694444444444"/>
        <n v="0.251388888888889"/>
        <n v="0.253472222222222"/>
        <n v="0.254166666666667"/>
        <n v="0.254861111111111"/>
        <n v="0.255555555555556"/>
        <n v="0.256944444444444"/>
        <n v="0.257638888888889"/>
        <n v="0.258333333333333"/>
        <n v="0.259027777777778"/>
        <n v="0.261805555555556"/>
        <n v="0.3"/>
        <n v="0.317361111111111"/>
        <n v="0.341666666666667"/>
        <n v="0.342361111111111"/>
        <n v="0.343055555555555"/>
        <n v="0.347222222222222"/>
        <n v="0.347916666666667"/>
        <n v="0.352083333333333"/>
        <n v="0.359722222222222"/>
        <n v="0.363194444444444"/>
        <n v="0.369444444444444"/>
        <n v="0.372916666666667"/>
        <n v="0.373611111111111"/>
        <n v="0.390972222222222"/>
        <n v="0.401388888888889"/>
        <n v="0.404166666666667"/>
        <n v="0.425694444444444"/>
        <n v="0.428472222222222"/>
        <n v="0.440972222222222"/>
        <n v="0.44375"/>
        <n v="0.447222222222222"/>
        <n v="0.469444444444444"/>
        <n v="0.470138888888889"/>
        <n v="0.473611111111111"/>
        <n v="0.477083333333333"/>
        <n v="0.482638888888889"/>
        <n v="0.493055555555556"/>
        <n v="0.49375"/>
        <n v="0.495138888888889"/>
        <n v="0.495833333333333"/>
        <n v="0.496527777777778"/>
        <n v="0.498611111111111"/>
        <n v="0.502777777777778"/>
        <n v="0.504166666666667"/>
        <n v="0.505555555555556"/>
        <n v="0.506944444444444"/>
        <n v="0.508333333333333"/>
        <n v="0.510416666666667"/>
        <n v="0.511805555555555"/>
        <n v="0.5125"/>
        <n v="0.515277777777778"/>
        <n v="0.519444444444444"/>
        <n v="0.520833333333333"/>
        <n v="0.522222222222222"/>
        <n v="0.522916666666667"/>
        <n v="0.524305555555556"/>
        <n v="0.525"/>
        <n v="0.527083333333333"/>
        <n v="0.534027777777778"/>
        <n v="0.536805555555556"/>
        <n v="0.5375"/>
        <n v="0.540972222222222"/>
        <n v="0.545138888888889"/>
        <n v="0.546527777777778"/>
        <n v="0.548611111111111"/>
        <n v="0.55"/>
        <n v="0.550694444444444"/>
        <n v="0.552083333333333"/>
        <n v="0.553472222222222"/>
        <n v="0.581944444444444"/>
      </sharedItems>
    </cacheField>
    <cacheField name="Ticket" numFmtId="0">
      <sharedItems containsSemiMixedTypes="0" containsString="0" containsNumber="1" containsInteger="1" minValue="3753" maxValue="149660" count="159">
        <n v="3753"/>
        <n v="3773"/>
        <n v="3789"/>
        <n v="3814"/>
        <n v="15347"/>
        <n v="15349"/>
        <n v="15350"/>
        <n v="15364"/>
        <n v="15367"/>
        <n v="15368"/>
        <n v="15375"/>
        <n v="15388"/>
        <n v="15395"/>
        <n v="15396"/>
        <n v="15423"/>
        <n v="15436"/>
        <n v="15444"/>
        <n v="15446"/>
        <n v="15452"/>
        <n v="15455"/>
        <n v="15458"/>
        <n v="15459"/>
        <n v="15460"/>
        <n v="15470"/>
        <n v="15471"/>
        <n v="15475"/>
        <n v="15478"/>
        <n v="15479"/>
        <n v="15480"/>
        <n v="15491"/>
        <n v="15494"/>
        <n v="15510"/>
        <n v="15524"/>
        <n v="15536"/>
        <n v="15538"/>
        <n v="15539"/>
        <n v="15571"/>
        <n v="15581"/>
        <n v="15583"/>
        <n v="15600"/>
        <n v="15620"/>
        <n v="15628"/>
        <n v="15630"/>
        <n v="15652"/>
        <n v="15662"/>
        <n v="15663"/>
        <n v="15673"/>
        <n v="15709"/>
        <n v="15711"/>
        <n v="15713"/>
        <n v="15719"/>
        <n v="15722"/>
        <n v="15729"/>
        <n v="15731"/>
        <n v="15746"/>
        <n v="15748"/>
        <n v="15749"/>
        <n v="15755"/>
        <n v="15767"/>
        <n v="15768"/>
        <n v="15770"/>
        <n v="15773"/>
        <n v="15788"/>
        <n v="15791"/>
        <n v="15792"/>
        <n v="15820"/>
        <n v="15826"/>
        <n v="15827"/>
        <n v="15843"/>
        <n v="15844"/>
        <n v="15849"/>
        <n v="15850"/>
        <n v="15863"/>
        <n v="15871"/>
        <n v="15872"/>
        <n v="15881"/>
        <n v="15882"/>
        <n v="15895"/>
        <n v="15898"/>
        <n v="15899"/>
        <n v="15914"/>
        <n v="15921"/>
        <n v="15928"/>
        <n v="15929"/>
        <n v="15945"/>
        <n v="15947"/>
        <n v="15948"/>
        <n v="15958"/>
        <n v="15966"/>
        <n v="15968"/>
        <n v="15987"/>
        <n v="15991"/>
        <n v="16008"/>
        <n v="16014"/>
        <n v="16015"/>
        <n v="16032"/>
        <n v="16034"/>
        <n v="16037"/>
        <n v="16058"/>
        <n v="16061"/>
        <n v="16066"/>
        <n v="16069"/>
        <n v="16087"/>
        <n v="16106"/>
        <n v="16110"/>
        <n v="16111"/>
        <n v="16119"/>
        <n v="16132"/>
        <n v="16134"/>
        <n v="16137"/>
        <n v="16153"/>
        <n v="16154"/>
        <n v="16157"/>
        <n v="16168"/>
        <n v="16180"/>
        <n v="16183"/>
        <n v="16199"/>
        <n v="16203"/>
        <n v="16204"/>
        <n v="16218"/>
        <n v="16221"/>
        <n v="16225"/>
        <n v="16231"/>
        <n v="16235"/>
        <n v="16257"/>
        <n v="16273"/>
        <n v="16276"/>
        <n v="16279"/>
        <n v="16300"/>
        <n v="16301"/>
        <n v="16304"/>
        <n v="16315"/>
        <n v="16318"/>
        <n v="16319"/>
        <n v="16348"/>
        <n v="16357"/>
        <n v="16364"/>
        <n v="16365"/>
        <n v="16374"/>
        <n v="16376"/>
        <n v="16388"/>
        <n v="16391"/>
        <n v="16402"/>
        <n v="16406"/>
        <n v="16409"/>
        <n v="16435"/>
        <n v="16438"/>
        <n v="16448"/>
        <n v="16450"/>
        <n v="16457"/>
        <n v="16463"/>
        <n v="16464"/>
        <n v="16465"/>
        <n v="148364"/>
        <n v="148655"/>
        <n v="148746"/>
        <n v="149008"/>
        <n v="149298"/>
        <n v="149660"/>
      </sharedItems>
    </cacheField>
    <cacheField name="Matrícula" numFmtId="0">
      <sharedItems count="9">
        <s v="0315BGK"/>
        <s v="1076KSZ"/>
        <s v="1730KBZ"/>
        <s v="2828CZW"/>
        <s v="3686KBG"/>
        <s v="6120JZX"/>
        <s v="7542KBV"/>
        <s v="7809JZX"/>
        <s v="7957JZS"/>
      </sharedItems>
    </cacheField>
    <cacheField name="Peso total" numFmtId="0">
      <sharedItems containsSemiMixedTypes="0" containsString="0" containsNumber="1" containsInteger="1" minValue="2560" maxValue="27220" count="139">
        <n v="2560"/>
        <n v="2600"/>
        <n v="2620"/>
        <n v="2660"/>
        <n v="2680"/>
        <n v="2700"/>
        <n v="2760"/>
        <n v="2880"/>
        <n v="2920"/>
        <n v="2940"/>
        <n v="2960"/>
        <n v="2980"/>
        <n v="3000"/>
        <n v="3020"/>
        <n v="3080"/>
        <n v="3100"/>
        <n v="3120"/>
        <n v="3140"/>
        <n v="3200"/>
        <n v="3220"/>
        <n v="3260"/>
        <n v="3280"/>
        <n v="3300"/>
        <n v="3360"/>
        <n v="3380"/>
        <n v="3460"/>
        <n v="3820"/>
        <n v="4020"/>
        <n v="4040"/>
        <n v="4060"/>
        <n v="4080"/>
        <n v="4100"/>
        <n v="4120"/>
        <n v="4140"/>
        <n v="4200"/>
        <n v="4220"/>
        <n v="4240"/>
        <n v="4280"/>
        <n v="4320"/>
        <n v="4340"/>
        <n v="4400"/>
        <n v="4420"/>
        <n v="4460"/>
        <n v="4480"/>
        <n v="4500"/>
        <n v="4520"/>
        <n v="4580"/>
        <n v="4600"/>
        <n v="4620"/>
        <n v="4640"/>
        <n v="4660"/>
        <n v="4740"/>
        <n v="4760"/>
        <n v="4780"/>
        <n v="4820"/>
        <n v="6020"/>
        <n v="6140"/>
        <n v="6160"/>
        <n v="6200"/>
        <n v="6220"/>
        <n v="6400"/>
        <n v="6480"/>
        <n v="6520"/>
        <n v="6540"/>
        <n v="6620"/>
        <n v="6680"/>
        <n v="15160"/>
        <n v="16180"/>
        <n v="16420"/>
        <n v="16720"/>
        <n v="16980"/>
        <n v="17060"/>
        <n v="17140"/>
        <n v="17240"/>
        <n v="17260"/>
        <n v="17300"/>
        <n v="17360"/>
        <n v="17380"/>
        <n v="17400"/>
        <n v="17460"/>
        <n v="17520"/>
        <n v="17580"/>
        <n v="17600"/>
        <n v="17680"/>
        <n v="17700"/>
        <n v="17720"/>
        <n v="17760"/>
        <n v="17800"/>
        <n v="17820"/>
        <n v="17860"/>
        <n v="17900"/>
        <n v="17960"/>
        <n v="18020"/>
        <n v="18100"/>
        <n v="18120"/>
        <n v="18180"/>
        <n v="18560"/>
        <n v="18580"/>
        <n v="18760"/>
        <n v="18780"/>
        <n v="18880"/>
        <n v="18940"/>
        <n v="18960"/>
        <n v="19160"/>
        <n v="19280"/>
        <n v="19580"/>
        <n v="19780"/>
        <n v="20480"/>
        <n v="20800"/>
        <n v="21800"/>
        <n v="22240"/>
        <n v="22600"/>
        <n v="22960"/>
        <n v="22980"/>
        <n v="23060"/>
        <n v="23100"/>
        <n v="23120"/>
        <n v="23280"/>
        <n v="23760"/>
        <n v="23960"/>
        <n v="23980"/>
        <n v="24040"/>
        <n v="24060"/>
        <n v="24140"/>
        <n v="24280"/>
        <n v="24640"/>
        <n v="24660"/>
        <n v="24740"/>
        <n v="24800"/>
        <n v="24940"/>
        <n v="25060"/>
        <n v="25080"/>
        <n v="25180"/>
        <n v="25380"/>
        <n v="25640"/>
        <n v="25720"/>
        <n v="25940"/>
        <n v="26060"/>
        <n v="27220"/>
      </sharedItems>
    </cacheField>
    <cacheField name="Tara" numFmtId="0">
      <sharedItems containsSemiMixedTypes="0" containsString="0" containsNumber="1" containsInteger="1" minValue="2300" maxValue="16060" count="60">
        <n v="2300"/>
        <n v="2320"/>
        <n v="2380"/>
        <n v="2400"/>
        <n v="2420"/>
        <n v="2660"/>
        <n v="2680"/>
        <n v="2700"/>
        <n v="2720"/>
        <n v="2780"/>
        <n v="2800"/>
        <n v="2840"/>
        <n v="2860"/>
        <n v="3580"/>
        <n v="3660"/>
        <n v="3700"/>
        <n v="3740"/>
        <n v="3760"/>
        <n v="3780"/>
        <n v="3800"/>
        <n v="3820"/>
        <n v="4040"/>
        <n v="4080"/>
        <n v="5540"/>
        <n v="5560"/>
        <n v="5580"/>
        <n v="5620"/>
        <n v="5640"/>
        <n v="13100"/>
        <n v="13140"/>
        <n v="13160"/>
        <n v="13180"/>
        <n v="13200"/>
        <n v="13220"/>
        <n v="13240"/>
        <n v="13260"/>
        <n v="13340"/>
        <n v="13360"/>
        <n v="13380"/>
        <n v="13400"/>
        <n v="13420"/>
        <n v="13440"/>
        <n v="13460"/>
        <n v="13480"/>
        <n v="15400"/>
        <n v="15560"/>
        <n v="15660"/>
        <n v="15720"/>
        <n v="15760"/>
        <n v="15780"/>
        <n v="15800"/>
        <n v="15820"/>
        <n v="15840"/>
        <n v="15860"/>
        <n v="15880"/>
        <n v="15920"/>
        <n v="15940"/>
        <n v="15960"/>
        <n v="16040"/>
        <n v="16060"/>
      </sharedItems>
    </cacheField>
    <cacheField name="Carga" numFmtId="0">
      <sharedItems containsSemiMixedTypes="0" containsString="0" containsNumber="1" containsInteger="1" minValue="120" maxValue="11440" count="109">
        <n v="120"/>
        <n v="140"/>
        <n v="160"/>
        <n v="220"/>
        <n v="240"/>
        <n v="260"/>
        <n v="280"/>
        <n v="300"/>
        <n v="320"/>
        <n v="340"/>
        <n v="360"/>
        <n v="380"/>
        <n v="400"/>
        <n v="440"/>
        <n v="460"/>
        <n v="500"/>
        <n v="520"/>
        <n v="540"/>
        <n v="580"/>
        <n v="620"/>
        <n v="640"/>
        <n v="680"/>
        <n v="700"/>
        <n v="720"/>
        <n v="760"/>
        <n v="780"/>
        <n v="800"/>
        <n v="840"/>
        <n v="860"/>
        <n v="920"/>
        <n v="940"/>
        <n v="960"/>
        <n v="980"/>
        <n v="1000"/>
        <n v="1020"/>
        <n v="1040"/>
        <n v="1220"/>
        <n v="1300"/>
        <n v="1540"/>
        <n v="1600"/>
        <n v="1620"/>
        <n v="1640"/>
        <n v="1920"/>
        <n v="1960"/>
        <n v="2040"/>
        <n v="2200"/>
        <n v="2300"/>
        <n v="2940"/>
        <n v="2960"/>
        <n v="3240"/>
        <n v="3260"/>
        <n v="3880"/>
        <n v="3920"/>
        <n v="3960"/>
        <n v="4020"/>
        <n v="4100"/>
        <n v="4120"/>
        <n v="4140"/>
        <n v="4160"/>
        <n v="4260"/>
        <n v="4280"/>
        <n v="4360"/>
        <n v="4380"/>
        <n v="4420"/>
        <n v="4460"/>
        <n v="4520"/>
        <n v="4540"/>
        <n v="4680"/>
        <n v="4820"/>
        <n v="5360"/>
        <n v="5380"/>
        <n v="5400"/>
        <n v="5560"/>
        <n v="5660"/>
        <n v="5680"/>
        <n v="5720"/>
        <n v="6100"/>
        <n v="6120"/>
        <n v="6280"/>
        <n v="6340"/>
        <n v="6760"/>
        <n v="7000"/>
        <n v="7020"/>
        <n v="7100"/>
        <n v="7220"/>
        <n v="7280"/>
        <n v="7520"/>
        <n v="7820"/>
        <n v="8100"/>
        <n v="8200"/>
        <n v="8280"/>
        <n v="8320"/>
        <n v="8340"/>
        <n v="8440"/>
        <n v="8760"/>
        <n v="8840"/>
        <n v="8920"/>
        <n v="8940"/>
        <n v="9120"/>
        <n v="9160"/>
        <n v="9220"/>
        <n v="9240"/>
        <n v="9320"/>
        <n v="9520"/>
        <n v="9820"/>
        <n v="9940"/>
        <n v="10060"/>
        <n v="10280"/>
        <n v="11440"/>
      </sharedItems>
    </cacheField>
    <cacheField name="Población" numFmtId="0">
      <sharedItems count="1">
        <s v="PEÑISCOLA"/>
      </sharedItems>
    </cacheField>
    <cacheField name="Residuo" numFmtId="0">
      <sharedItems count="6">
        <s v="BARREDURÍA"/>
        <s v="PODA"/>
        <s v="RSU"/>
        <s v="SEL.ENV"/>
        <s v="SEL.PAP"/>
        <s v="VOL"/>
      </sharedItems>
    </cacheField>
    <cacheField name="Revisado" numFmtId="0">
      <sharedItems containsBlank="1" count="2">
        <s v="x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">
  <r>
    <x v="0"/>
    <x v="49"/>
    <x v="5"/>
    <x v="2"/>
    <x v="126"/>
    <x v="51"/>
    <x v="95"/>
    <x v="0"/>
    <x v="2"/>
    <x v="0"/>
  </r>
  <r>
    <x v="0"/>
    <x v="55"/>
    <x v="6"/>
    <x v="7"/>
    <x v="35"/>
    <x v="22"/>
    <x v="1"/>
    <x v="0"/>
    <x v="2"/>
    <x v="0"/>
  </r>
  <r>
    <x v="0"/>
    <x v="30"/>
    <x v="4"/>
    <x v="6"/>
    <x v="80"/>
    <x v="28"/>
    <x v="63"/>
    <x v="0"/>
    <x v="2"/>
    <x v="0"/>
  </r>
  <r>
    <x v="0"/>
    <x v="89"/>
    <x v="8"/>
    <x v="1"/>
    <x v="24"/>
    <x v="6"/>
    <x v="22"/>
    <x v="0"/>
    <x v="1"/>
    <x v="0"/>
  </r>
  <r>
    <x v="0"/>
    <x v="91"/>
    <x v="9"/>
    <x v="8"/>
    <x v="61"/>
    <x v="23"/>
    <x v="30"/>
    <x v="0"/>
    <x v="5"/>
    <x v="0"/>
  </r>
  <r>
    <x v="0"/>
    <x v="100"/>
    <x v="153"/>
    <x v="2"/>
    <x v="74"/>
    <x v="46"/>
    <x v="39"/>
    <x v="0"/>
    <x v="4"/>
    <x v="0"/>
  </r>
  <r>
    <x v="0"/>
    <x v="122"/>
    <x v="10"/>
    <x v="5"/>
    <x v="22"/>
    <x v="11"/>
    <x v="14"/>
    <x v="0"/>
    <x v="1"/>
    <x v="0"/>
  </r>
  <r>
    <x v="0"/>
    <x v="87"/>
    <x v="7"/>
    <x v="3"/>
    <x v="66"/>
    <x v="32"/>
    <x v="43"/>
    <x v="0"/>
    <x v="5"/>
    <x v="0"/>
  </r>
  <r>
    <x v="1"/>
    <x v="69"/>
    <x v="13"/>
    <x v="7"/>
    <x v="48"/>
    <x v="18"/>
    <x v="27"/>
    <x v="0"/>
    <x v="2"/>
    <x v="0"/>
  </r>
  <r>
    <x v="1"/>
    <x v="60"/>
    <x v="12"/>
    <x v="2"/>
    <x v="115"/>
    <x v="54"/>
    <x v="84"/>
    <x v="0"/>
    <x v="2"/>
    <x v="0"/>
  </r>
  <r>
    <x v="1"/>
    <x v="9"/>
    <x v="11"/>
    <x v="6"/>
    <x v="80"/>
    <x v="40"/>
    <x v="55"/>
    <x v="0"/>
    <x v="2"/>
    <x v="0"/>
  </r>
  <r>
    <x v="1"/>
    <x v="123"/>
    <x v="32"/>
    <x v="1"/>
    <x v="17"/>
    <x v="10"/>
    <x v="9"/>
    <x v="0"/>
    <x v="1"/>
    <x v="0"/>
  </r>
  <r>
    <x v="1"/>
    <x v="123"/>
    <x v="14"/>
    <x v="5"/>
    <x v="14"/>
    <x v="12"/>
    <x v="3"/>
    <x v="0"/>
    <x v="1"/>
    <x v="0"/>
  </r>
  <r>
    <x v="2"/>
    <x v="88"/>
    <x v="21"/>
    <x v="4"/>
    <x v="3"/>
    <x v="1"/>
    <x v="9"/>
    <x v="0"/>
    <x v="2"/>
    <x v="0"/>
  </r>
  <r>
    <x v="2"/>
    <x v="90"/>
    <x v="22"/>
    <x v="5"/>
    <x v="18"/>
    <x v="11"/>
    <x v="10"/>
    <x v="0"/>
    <x v="5"/>
    <x v="0"/>
  </r>
  <r>
    <x v="2"/>
    <x v="16"/>
    <x v="15"/>
    <x v="6"/>
    <x v="95"/>
    <x v="37"/>
    <x v="68"/>
    <x v="0"/>
    <x v="2"/>
    <x v="0"/>
  </r>
  <r>
    <x v="2"/>
    <x v="49"/>
    <x v="16"/>
    <x v="2"/>
    <x v="129"/>
    <x v="51"/>
    <x v="98"/>
    <x v="0"/>
    <x v="2"/>
    <x v="0"/>
  </r>
  <r>
    <x v="2"/>
    <x v="69"/>
    <x v="17"/>
    <x v="7"/>
    <x v="43"/>
    <x v="18"/>
    <x v="22"/>
    <x v="0"/>
    <x v="2"/>
    <x v="0"/>
  </r>
  <r>
    <x v="2"/>
    <x v="84"/>
    <x v="20"/>
    <x v="0"/>
    <x v="94"/>
    <x v="55"/>
    <x v="45"/>
    <x v="0"/>
    <x v="5"/>
    <x v="0"/>
  </r>
  <r>
    <x v="2"/>
    <x v="73"/>
    <x v="18"/>
    <x v="0"/>
    <x v="108"/>
    <x v="44"/>
    <x v="71"/>
    <x v="0"/>
    <x v="0"/>
    <x v="0"/>
  </r>
  <r>
    <x v="2"/>
    <x v="77"/>
    <x v="19"/>
    <x v="0"/>
    <x v="103"/>
    <x v="55"/>
    <x v="49"/>
    <x v="0"/>
    <x v="5"/>
    <x v="0"/>
  </r>
  <r>
    <x v="3"/>
    <x v="13"/>
    <x v="23"/>
    <x v="6"/>
    <x v="106"/>
    <x v="41"/>
    <x v="79"/>
    <x v="0"/>
    <x v="2"/>
    <x v="0"/>
  </r>
  <r>
    <x v="3"/>
    <x v="14"/>
    <x v="24"/>
    <x v="2"/>
    <x v="111"/>
    <x v="52"/>
    <x v="80"/>
    <x v="0"/>
    <x v="2"/>
    <x v="0"/>
  </r>
  <r>
    <x v="3"/>
    <x v="41"/>
    <x v="25"/>
    <x v="7"/>
    <x v="41"/>
    <x v="18"/>
    <x v="20"/>
    <x v="0"/>
    <x v="2"/>
    <x v="0"/>
  </r>
  <r>
    <x v="3"/>
    <x v="78"/>
    <x v="26"/>
    <x v="4"/>
    <x v="3"/>
    <x v="3"/>
    <x v="5"/>
    <x v="0"/>
    <x v="2"/>
    <x v="0"/>
  </r>
  <r>
    <x v="3"/>
    <x v="116"/>
    <x v="27"/>
    <x v="4"/>
    <x v="0"/>
    <x v="0"/>
    <x v="5"/>
    <x v="0"/>
    <x v="2"/>
    <x v="0"/>
  </r>
  <r>
    <x v="4"/>
    <x v="3"/>
    <x v="28"/>
    <x v="6"/>
    <x v="90"/>
    <x v="41"/>
    <x v="64"/>
    <x v="0"/>
    <x v="2"/>
    <x v="0"/>
  </r>
  <r>
    <x v="4"/>
    <x v="44"/>
    <x v="29"/>
    <x v="2"/>
    <x v="114"/>
    <x v="49"/>
    <x v="85"/>
    <x v="0"/>
    <x v="2"/>
    <x v="0"/>
  </r>
  <r>
    <x v="4"/>
    <x v="69"/>
    <x v="30"/>
    <x v="7"/>
    <x v="46"/>
    <x v="18"/>
    <x v="26"/>
    <x v="0"/>
    <x v="2"/>
    <x v="0"/>
  </r>
  <r>
    <x v="4"/>
    <x v="102"/>
    <x v="31"/>
    <x v="4"/>
    <x v="2"/>
    <x v="3"/>
    <x v="3"/>
    <x v="0"/>
    <x v="2"/>
    <x v="0"/>
  </r>
  <r>
    <x v="5"/>
    <x v="39"/>
    <x v="35"/>
    <x v="7"/>
    <x v="40"/>
    <x v="15"/>
    <x v="22"/>
    <x v="0"/>
    <x v="2"/>
    <x v="0"/>
  </r>
  <r>
    <x v="5"/>
    <x v="37"/>
    <x v="34"/>
    <x v="6"/>
    <x v="97"/>
    <x v="33"/>
    <x v="69"/>
    <x v="0"/>
    <x v="2"/>
    <x v="0"/>
  </r>
  <r>
    <x v="5"/>
    <x v="21"/>
    <x v="33"/>
    <x v="2"/>
    <x v="130"/>
    <x v="51"/>
    <x v="101"/>
    <x v="0"/>
    <x v="2"/>
    <x v="0"/>
  </r>
  <r>
    <x v="6"/>
    <x v="66"/>
    <x v="38"/>
    <x v="7"/>
    <x v="53"/>
    <x v="19"/>
    <x v="32"/>
    <x v="0"/>
    <x v="2"/>
    <x v="0"/>
  </r>
  <r>
    <x v="6"/>
    <x v="35"/>
    <x v="37"/>
    <x v="2"/>
    <x v="119"/>
    <x v="48"/>
    <x v="89"/>
    <x v="0"/>
    <x v="2"/>
    <x v="0"/>
  </r>
  <r>
    <x v="6"/>
    <x v="96"/>
    <x v="39"/>
    <x v="8"/>
    <x v="63"/>
    <x v="26"/>
    <x v="29"/>
    <x v="0"/>
    <x v="5"/>
    <x v="0"/>
  </r>
  <r>
    <x v="6"/>
    <x v="0"/>
    <x v="36"/>
    <x v="6"/>
    <x v="83"/>
    <x v="39"/>
    <x v="60"/>
    <x v="0"/>
    <x v="2"/>
    <x v="0"/>
  </r>
  <r>
    <x v="6"/>
    <x v="97"/>
    <x v="0"/>
    <x v="2"/>
    <x v="71"/>
    <x v="48"/>
    <x v="37"/>
    <x v="0"/>
    <x v="3"/>
    <x v="0"/>
  </r>
  <r>
    <x v="7"/>
    <x v="36"/>
    <x v="41"/>
    <x v="7"/>
    <x v="39"/>
    <x v="21"/>
    <x v="7"/>
    <x v="0"/>
    <x v="2"/>
    <x v="1"/>
  </r>
  <r>
    <x v="7"/>
    <x v="38"/>
    <x v="42"/>
    <x v="2"/>
    <x v="135"/>
    <x v="49"/>
    <x v="105"/>
    <x v="0"/>
    <x v="2"/>
    <x v="1"/>
  </r>
  <r>
    <x v="7"/>
    <x v="6"/>
    <x v="40"/>
    <x v="6"/>
    <x v="93"/>
    <x v="40"/>
    <x v="67"/>
    <x v="0"/>
    <x v="2"/>
    <x v="1"/>
  </r>
  <r>
    <x v="8"/>
    <x v="83"/>
    <x v="46"/>
    <x v="8"/>
    <x v="64"/>
    <x v="26"/>
    <x v="33"/>
    <x v="0"/>
    <x v="5"/>
    <x v="0"/>
  </r>
  <r>
    <x v="8"/>
    <x v="66"/>
    <x v="45"/>
    <x v="2"/>
    <x v="121"/>
    <x v="47"/>
    <x v="91"/>
    <x v="0"/>
    <x v="2"/>
    <x v="0"/>
  </r>
  <r>
    <x v="8"/>
    <x v="1"/>
    <x v="43"/>
    <x v="6"/>
    <x v="89"/>
    <x v="43"/>
    <x v="62"/>
    <x v="0"/>
    <x v="2"/>
    <x v="0"/>
  </r>
  <r>
    <x v="8"/>
    <x v="64"/>
    <x v="44"/>
    <x v="7"/>
    <x v="47"/>
    <x v="20"/>
    <x v="25"/>
    <x v="0"/>
    <x v="2"/>
    <x v="0"/>
  </r>
  <r>
    <x v="8"/>
    <x v="85"/>
    <x v="154"/>
    <x v="2"/>
    <x v="76"/>
    <x v="51"/>
    <x v="38"/>
    <x v="0"/>
    <x v="4"/>
    <x v="0"/>
  </r>
  <r>
    <x v="9"/>
    <x v="59"/>
    <x v="49"/>
    <x v="2"/>
    <x v="137"/>
    <x v="49"/>
    <x v="107"/>
    <x v="0"/>
    <x v="2"/>
    <x v="0"/>
  </r>
  <r>
    <x v="9"/>
    <x v="54"/>
    <x v="48"/>
    <x v="7"/>
    <x v="51"/>
    <x v="19"/>
    <x v="30"/>
    <x v="0"/>
    <x v="2"/>
    <x v="0"/>
  </r>
  <r>
    <x v="9"/>
    <x v="92"/>
    <x v="50"/>
    <x v="8"/>
    <x v="59"/>
    <x v="25"/>
    <x v="20"/>
    <x v="0"/>
    <x v="5"/>
    <x v="0"/>
  </r>
  <r>
    <x v="9"/>
    <x v="34"/>
    <x v="47"/>
    <x v="6"/>
    <x v="100"/>
    <x v="33"/>
    <x v="73"/>
    <x v="0"/>
    <x v="2"/>
    <x v="0"/>
  </r>
  <r>
    <x v="10"/>
    <x v="39"/>
    <x v="53"/>
    <x v="2"/>
    <x v="131"/>
    <x v="55"/>
    <x v="99"/>
    <x v="0"/>
    <x v="2"/>
    <x v="0"/>
  </r>
  <r>
    <x v="10"/>
    <x v="2"/>
    <x v="51"/>
    <x v="6"/>
    <x v="104"/>
    <x v="31"/>
    <x v="76"/>
    <x v="0"/>
    <x v="2"/>
    <x v="0"/>
  </r>
  <r>
    <x v="10"/>
    <x v="21"/>
    <x v="52"/>
    <x v="7"/>
    <x v="54"/>
    <x v="19"/>
    <x v="34"/>
    <x v="0"/>
    <x v="2"/>
    <x v="0"/>
  </r>
  <r>
    <x v="11"/>
    <x v="57"/>
    <x v="55"/>
    <x v="7"/>
    <x v="43"/>
    <x v="19"/>
    <x v="21"/>
    <x v="0"/>
    <x v="2"/>
    <x v="0"/>
  </r>
  <r>
    <x v="11"/>
    <x v="60"/>
    <x v="56"/>
    <x v="2"/>
    <x v="110"/>
    <x v="57"/>
    <x v="78"/>
    <x v="0"/>
    <x v="2"/>
    <x v="0"/>
  </r>
  <r>
    <x v="11"/>
    <x v="29"/>
    <x v="54"/>
    <x v="6"/>
    <x v="68"/>
    <x v="30"/>
    <x v="50"/>
    <x v="0"/>
    <x v="2"/>
    <x v="0"/>
  </r>
  <r>
    <x v="11"/>
    <x v="74"/>
    <x v="57"/>
    <x v="5"/>
    <x v="23"/>
    <x v="11"/>
    <x v="16"/>
    <x v="0"/>
    <x v="1"/>
    <x v="0"/>
  </r>
  <r>
    <x v="11"/>
    <x v="107"/>
    <x v="58"/>
    <x v="8"/>
    <x v="55"/>
    <x v="25"/>
    <x v="13"/>
    <x v="0"/>
    <x v="5"/>
    <x v="0"/>
  </r>
  <r>
    <x v="11"/>
    <x v="121"/>
    <x v="61"/>
    <x v="1"/>
    <x v="20"/>
    <x v="10"/>
    <x v="14"/>
    <x v="0"/>
    <x v="1"/>
    <x v="0"/>
  </r>
  <r>
    <x v="11"/>
    <x v="114"/>
    <x v="59"/>
    <x v="4"/>
    <x v="6"/>
    <x v="4"/>
    <x v="9"/>
    <x v="0"/>
    <x v="2"/>
    <x v="0"/>
  </r>
  <r>
    <x v="11"/>
    <x v="115"/>
    <x v="60"/>
    <x v="5"/>
    <x v="10"/>
    <x v="11"/>
    <x v="0"/>
    <x v="0"/>
    <x v="1"/>
    <x v="0"/>
  </r>
  <r>
    <x v="11"/>
    <x v="94"/>
    <x v="155"/>
    <x v="0"/>
    <x v="84"/>
    <x v="59"/>
    <x v="41"/>
    <x v="0"/>
    <x v="4"/>
    <x v="0"/>
  </r>
  <r>
    <x v="12"/>
    <x v="33"/>
    <x v="62"/>
    <x v="6"/>
    <x v="87"/>
    <x v="35"/>
    <x v="66"/>
    <x v="0"/>
    <x v="2"/>
    <x v="0"/>
  </r>
  <r>
    <x v="12"/>
    <x v="53"/>
    <x v="63"/>
    <x v="7"/>
    <x v="36"/>
    <x v="19"/>
    <x v="13"/>
    <x v="0"/>
    <x v="2"/>
    <x v="0"/>
  </r>
  <r>
    <x v="12"/>
    <x v="61"/>
    <x v="64"/>
    <x v="2"/>
    <x v="133"/>
    <x v="53"/>
    <x v="103"/>
    <x v="0"/>
    <x v="2"/>
    <x v="0"/>
  </r>
  <r>
    <x v="13"/>
    <x v="62"/>
    <x v="66"/>
    <x v="2"/>
    <x v="113"/>
    <x v="57"/>
    <x v="82"/>
    <x v="0"/>
    <x v="2"/>
    <x v="0"/>
  </r>
  <r>
    <x v="13"/>
    <x v="10"/>
    <x v="65"/>
    <x v="6"/>
    <x v="75"/>
    <x v="40"/>
    <x v="51"/>
    <x v="0"/>
    <x v="2"/>
    <x v="0"/>
  </r>
  <r>
    <x v="13"/>
    <x v="70"/>
    <x v="67"/>
    <x v="7"/>
    <x v="29"/>
    <x v="17"/>
    <x v="7"/>
    <x v="0"/>
    <x v="2"/>
    <x v="0"/>
  </r>
  <r>
    <x v="13"/>
    <x v="114"/>
    <x v="71"/>
    <x v="4"/>
    <x v="5"/>
    <x v="3"/>
    <x v="7"/>
    <x v="0"/>
    <x v="2"/>
    <x v="0"/>
  </r>
  <r>
    <x v="13"/>
    <x v="93"/>
    <x v="68"/>
    <x v="5"/>
    <x v="26"/>
    <x v="12"/>
    <x v="31"/>
    <x v="0"/>
    <x v="1"/>
    <x v="0"/>
  </r>
  <r>
    <x v="13"/>
    <x v="106"/>
    <x v="70"/>
    <x v="8"/>
    <x v="58"/>
    <x v="24"/>
    <x v="20"/>
    <x v="0"/>
    <x v="5"/>
    <x v="0"/>
  </r>
  <r>
    <x v="13"/>
    <x v="95"/>
    <x v="1"/>
    <x v="2"/>
    <x v="77"/>
    <x v="48"/>
    <x v="40"/>
    <x v="0"/>
    <x v="3"/>
    <x v="0"/>
  </r>
  <r>
    <x v="13"/>
    <x v="93"/>
    <x v="69"/>
    <x v="1"/>
    <x v="8"/>
    <x v="6"/>
    <x v="4"/>
    <x v="0"/>
    <x v="1"/>
    <x v="0"/>
  </r>
  <r>
    <x v="14"/>
    <x v="16"/>
    <x v="72"/>
    <x v="6"/>
    <x v="75"/>
    <x v="38"/>
    <x v="52"/>
    <x v="0"/>
    <x v="2"/>
    <x v="0"/>
  </r>
  <r>
    <x v="14"/>
    <x v="46"/>
    <x v="73"/>
    <x v="2"/>
    <x v="124"/>
    <x v="57"/>
    <x v="91"/>
    <x v="0"/>
    <x v="2"/>
    <x v="0"/>
  </r>
  <r>
    <x v="14"/>
    <x v="68"/>
    <x v="74"/>
    <x v="7"/>
    <x v="33"/>
    <x v="17"/>
    <x v="11"/>
    <x v="0"/>
    <x v="2"/>
    <x v="0"/>
  </r>
  <r>
    <x v="14"/>
    <x v="103"/>
    <x v="156"/>
    <x v="2"/>
    <x v="92"/>
    <x v="47"/>
    <x v="46"/>
    <x v="0"/>
    <x v="4"/>
    <x v="0"/>
  </r>
  <r>
    <x v="14"/>
    <x v="99"/>
    <x v="75"/>
    <x v="1"/>
    <x v="25"/>
    <x v="9"/>
    <x v="21"/>
    <x v="0"/>
    <x v="1"/>
    <x v="0"/>
  </r>
  <r>
    <x v="14"/>
    <x v="101"/>
    <x v="76"/>
    <x v="4"/>
    <x v="5"/>
    <x v="2"/>
    <x v="8"/>
    <x v="0"/>
    <x v="2"/>
    <x v="0"/>
  </r>
  <r>
    <x v="15"/>
    <x v="17"/>
    <x v="77"/>
    <x v="6"/>
    <x v="79"/>
    <x v="36"/>
    <x v="56"/>
    <x v="0"/>
    <x v="2"/>
    <x v="0"/>
  </r>
  <r>
    <x v="15"/>
    <x v="46"/>
    <x v="78"/>
    <x v="2"/>
    <x v="112"/>
    <x v="53"/>
    <x v="83"/>
    <x v="0"/>
    <x v="2"/>
    <x v="0"/>
  </r>
  <r>
    <x v="15"/>
    <x v="66"/>
    <x v="79"/>
    <x v="7"/>
    <x v="31"/>
    <x v="17"/>
    <x v="9"/>
    <x v="0"/>
    <x v="2"/>
    <x v="0"/>
  </r>
  <r>
    <x v="15"/>
    <x v="120"/>
    <x v="80"/>
    <x v="1"/>
    <x v="9"/>
    <x v="9"/>
    <x v="2"/>
    <x v="0"/>
    <x v="1"/>
    <x v="0"/>
  </r>
  <r>
    <x v="16"/>
    <x v="43"/>
    <x v="82"/>
    <x v="2"/>
    <x v="127"/>
    <x v="51"/>
    <x v="96"/>
    <x v="0"/>
    <x v="2"/>
    <x v="0"/>
  </r>
  <r>
    <x v="16"/>
    <x v="71"/>
    <x v="83"/>
    <x v="7"/>
    <x v="49"/>
    <x v="18"/>
    <x v="28"/>
    <x v="0"/>
    <x v="2"/>
    <x v="0"/>
  </r>
  <r>
    <x v="17"/>
    <x v="21"/>
    <x v="86"/>
    <x v="7"/>
    <x v="35"/>
    <x v="15"/>
    <x v="16"/>
    <x v="0"/>
    <x v="2"/>
    <x v="0"/>
  </r>
  <r>
    <x v="17"/>
    <x v="18"/>
    <x v="85"/>
    <x v="6"/>
    <x v="101"/>
    <x v="35"/>
    <x v="74"/>
    <x v="0"/>
    <x v="2"/>
    <x v="0"/>
  </r>
  <r>
    <x v="17"/>
    <x v="19"/>
    <x v="84"/>
    <x v="2"/>
    <x v="116"/>
    <x v="52"/>
    <x v="85"/>
    <x v="0"/>
    <x v="2"/>
    <x v="0"/>
  </r>
  <r>
    <x v="18"/>
    <x v="66"/>
    <x v="89"/>
    <x v="7"/>
    <x v="37"/>
    <x v="20"/>
    <x v="14"/>
    <x v="0"/>
    <x v="2"/>
    <x v="0"/>
  </r>
  <r>
    <x v="18"/>
    <x v="56"/>
    <x v="88"/>
    <x v="2"/>
    <x v="122"/>
    <x v="49"/>
    <x v="90"/>
    <x v="0"/>
    <x v="2"/>
    <x v="0"/>
  </r>
  <r>
    <x v="18"/>
    <x v="5"/>
    <x v="87"/>
    <x v="6"/>
    <x v="81"/>
    <x v="41"/>
    <x v="57"/>
    <x v="0"/>
    <x v="2"/>
    <x v="0"/>
  </r>
  <r>
    <x v="18"/>
    <x v="109"/>
    <x v="90"/>
    <x v="5"/>
    <x v="21"/>
    <x v="11"/>
    <x v="13"/>
    <x v="0"/>
    <x v="5"/>
    <x v="0"/>
  </r>
  <r>
    <x v="18"/>
    <x v="124"/>
    <x v="91"/>
    <x v="1"/>
    <x v="13"/>
    <x v="8"/>
    <x v="7"/>
    <x v="0"/>
    <x v="1"/>
    <x v="0"/>
  </r>
  <r>
    <x v="19"/>
    <x v="11"/>
    <x v="92"/>
    <x v="6"/>
    <x v="86"/>
    <x v="39"/>
    <x v="61"/>
    <x v="0"/>
    <x v="2"/>
    <x v="0"/>
  </r>
  <r>
    <x v="19"/>
    <x v="48"/>
    <x v="93"/>
    <x v="2"/>
    <x v="118"/>
    <x v="56"/>
    <x v="87"/>
    <x v="0"/>
    <x v="2"/>
    <x v="0"/>
  </r>
  <r>
    <x v="19"/>
    <x v="98"/>
    <x v="95"/>
    <x v="1"/>
    <x v="15"/>
    <x v="8"/>
    <x v="11"/>
    <x v="0"/>
    <x v="1"/>
    <x v="0"/>
  </r>
  <r>
    <x v="19"/>
    <x v="131"/>
    <x v="97"/>
    <x v="1"/>
    <x v="7"/>
    <x v="8"/>
    <x v="2"/>
    <x v="0"/>
    <x v="1"/>
    <x v="0"/>
  </r>
  <r>
    <x v="19"/>
    <x v="112"/>
    <x v="96"/>
    <x v="4"/>
    <x v="3"/>
    <x v="3"/>
    <x v="5"/>
    <x v="0"/>
    <x v="2"/>
    <x v="0"/>
  </r>
  <r>
    <x v="19"/>
    <x v="63"/>
    <x v="94"/>
    <x v="7"/>
    <x v="30"/>
    <x v="19"/>
    <x v="6"/>
    <x v="0"/>
    <x v="2"/>
    <x v="0"/>
  </r>
  <r>
    <x v="20"/>
    <x v="24"/>
    <x v="98"/>
    <x v="6"/>
    <x v="77"/>
    <x v="33"/>
    <x v="58"/>
    <x v="0"/>
    <x v="2"/>
    <x v="0"/>
  </r>
  <r>
    <x v="20"/>
    <x v="76"/>
    <x v="101"/>
    <x v="8"/>
    <x v="58"/>
    <x v="25"/>
    <x v="19"/>
    <x v="0"/>
    <x v="5"/>
    <x v="0"/>
  </r>
  <r>
    <x v="20"/>
    <x v="56"/>
    <x v="99"/>
    <x v="7"/>
    <x v="28"/>
    <x v="13"/>
    <x v="14"/>
    <x v="0"/>
    <x v="2"/>
    <x v="0"/>
  </r>
  <r>
    <x v="20"/>
    <x v="127"/>
    <x v="102"/>
    <x v="1"/>
    <x v="12"/>
    <x v="5"/>
    <x v="9"/>
    <x v="0"/>
    <x v="1"/>
    <x v="0"/>
  </r>
  <r>
    <x v="20"/>
    <x v="72"/>
    <x v="100"/>
    <x v="2"/>
    <x v="128"/>
    <x v="53"/>
    <x v="97"/>
    <x v="0"/>
    <x v="2"/>
    <x v="0"/>
  </r>
  <r>
    <x v="20"/>
    <x v="104"/>
    <x v="2"/>
    <x v="2"/>
    <x v="70"/>
    <x v="48"/>
    <x v="36"/>
    <x v="0"/>
    <x v="3"/>
    <x v="0"/>
  </r>
  <r>
    <x v="21"/>
    <x v="80"/>
    <x v="106"/>
    <x v="8"/>
    <x v="62"/>
    <x v="25"/>
    <x v="30"/>
    <x v="0"/>
    <x v="5"/>
    <x v="0"/>
  </r>
  <r>
    <x v="21"/>
    <x v="113"/>
    <x v="108"/>
    <x v="8"/>
    <x v="60"/>
    <x v="24"/>
    <x v="27"/>
    <x v="0"/>
    <x v="5"/>
    <x v="0"/>
  </r>
  <r>
    <x v="21"/>
    <x v="52"/>
    <x v="105"/>
    <x v="7"/>
    <x v="32"/>
    <x v="18"/>
    <x v="9"/>
    <x v="0"/>
    <x v="2"/>
    <x v="0"/>
  </r>
  <r>
    <x v="21"/>
    <x v="32"/>
    <x v="103"/>
    <x v="6"/>
    <x v="85"/>
    <x v="32"/>
    <x v="65"/>
    <x v="0"/>
    <x v="2"/>
    <x v="0"/>
  </r>
  <r>
    <x v="21"/>
    <x v="45"/>
    <x v="104"/>
    <x v="2"/>
    <x v="120"/>
    <x v="54"/>
    <x v="88"/>
    <x v="0"/>
    <x v="2"/>
    <x v="0"/>
  </r>
  <r>
    <x v="21"/>
    <x v="114"/>
    <x v="107"/>
    <x v="4"/>
    <x v="1"/>
    <x v="2"/>
    <x v="3"/>
    <x v="0"/>
    <x v="2"/>
    <x v="0"/>
  </r>
  <r>
    <x v="21"/>
    <x v="117"/>
    <x v="157"/>
    <x v="2"/>
    <x v="88"/>
    <x v="49"/>
    <x v="44"/>
    <x v="0"/>
    <x v="4"/>
    <x v="0"/>
  </r>
  <r>
    <x v="21"/>
    <x v="130"/>
    <x v="109"/>
    <x v="1"/>
    <x v="10"/>
    <x v="7"/>
    <x v="5"/>
    <x v="0"/>
    <x v="1"/>
    <x v="0"/>
  </r>
  <r>
    <x v="22"/>
    <x v="67"/>
    <x v="112"/>
    <x v="7"/>
    <x v="34"/>
    <x v="17"/>
    <x v="13"/>
    <x v="0"/>
    <x v="2"/>
    <x v="0"/>
  </r>
  <r>
    <x v="22"/>
    <x v="105"/>
    <x v="114"/>
    <x v="4"/>
    <x v="4"/>
    <x v="2"/>
    <x v="7"/>
    <x v="0"/>
    <x v="2"/>
    <x v="0"/>
  </r>
  <r>
    <x v="22"/>
    <x v="27"/>
    <x v="111"/>
    <x v="6"/>
    <x v="78"/>
    <x v="29"/>
    <x v="59"/>
    <x v="0"/>
    <x v="2"/>
    <x v="0"/>
  </r>
  <r>
    <x v="22"/>
    <x v="26"/>
    <x v="110"/>
    <x v="2"/>
    <x v="125"/>
    <x v="54"/>
    <x v="94"/>
    <x v="0"/>
    <x v="2"/>
    <x v="0"/>
  </r>
  <r>
    <x v="22"/>
    <x v="75"/>
    <x v="113"/>
    <x v="0"/>
    <x v="91"/>
    <x v="58"/>
    <x v="42"/>
    <x v="0"/>
    <x v="5"/>
    <x v="0"/>
  </r>
  <r>
    <x v="22"/>
    <x v="112"/>
    <x v="115"/>
    <x v="5"/>
    <x v="19"/>
    <x v="12"/>
    <x v="10"/>
    <x v="0"/>
    <x v="5"/>
    <x v="0"/>
  </r>
  <r>
    <x v="23"/>
    <x v="58"/>
    <x v="117"/>
    <x v="7"/>
    <x v="38"/>
    <x v="18"/>
    <x v="17"/>
    <x v="0"/>
    <x v="2"/>
    <x v="0"/>
  </r>
  <r>
    <x v="23"/>
    <x v="31"/>
    <x v="116"/>
    <x v="6"/>
    <x v="102"/>
    <x v="34"/>
    <x v="75"/>
    <x v="0"/>
    <x v="2"/>
    <x v="0"/>
  </r>
  <r>
    <x v="23"/>
    <x v="64"/>
    <x v="118"/>
    <x v="2"/>
    <x v="131"/>
    <x v="53"/>
    <x v="100"/>
    <x v="0"/>
    <x v="2"/>
    <x v="0"/>
  </r>
  <r>
    <x v="24"/>
    <x v="20"/>
    <x v="119"/>
    <x v="2"/>
    <x v="99"/>
    <x v="51"/>
    <x v="48"/>
    <x v="0"/>
    <x v="2"/>
    <x v="0"/>
  </r>
  <r>
    <x v="24"/>
    <x v="22"/>
    <x v="120"/>
    <x v="7"/>
    <x v="27"/>
    <x v="14"/>
    <x v="10"/>
    <x v="0"/>
    <x v="2"/>
    <x v="0"/>
  </r>
  <r>
    <x v="25"/>
    <x v="40"/>
    <x v="123"/>
    <x v="7"/>
    <x v="34"/>
    <x v="16"/>
    <x v="14"/>
    <x v="0"/>
    <x v="2"/>
    <x v="0"/>
  </r>
  <r>
    <x v="25"/>
    <x v="23"/>
    <x v="122"/>
    <x v="2"/>
    <x v="138"/>
    <x v="49"/>
    <x v="108"/>
    <x v="0"/>
    <x v="2"/>
    <x v="0"/>
  </r>
  <r>
    <x v="25"/>
    <x v="111"/>
    <x v="124"/>
    <x v="4"/>
    <x v="5"/>
    <x v="3"/>
    <x v="7"/>
    <x v="0"/>
    <x v="2"/>
    <x v="0"/>
  </r>
  <r>
    <x v="25"/>
    <x v="4"/>
    <x v="121"/>
    <x v="6"/>
    <x v="109"/>
    <x v="37"/>
    <x v="93"/>
    <x v="0"/>
    <x v="2"/>
    <x v="0"/>
  </r>
  <r>
    <x v="26"/>
    <x v="19"/>
    <x v="125"/>
    <x v="6"/>
    <x v="73"/>
    <x v="33"/>
    <x v="54"/>
    <x v="0"/>
    <x v="2"/>
    <x v="0"/>
  </r>
  <r>
    <x v="26"/>
    <x v="67"/>
    <x v="127"/>
    <x v="7"/>
    <x v="44"/>
    <x v="18"/>
    <x v="23"/>
    <x v="0"/>
    <x v="2"/>
    <x v="0"/>
  </r>
  <r>
    <x v="26"/>
    <x v="42"/>
    <x v="126"/>
    <x v="2"/>
    <x v="136"/>
    <x v="54"/>
    <x v="106"/>
    <x v="0"/>
    <x v="2"/>
    <x v="0"/>
  </r>
  <r>
    <x v="26"/>
    <x v="108"/>
    <x v="128"/>
    <x v="8"/>
    <x v="56"/>
    <x v="24"/>
    <x v="18"/>
    <x v="0"/>
    <x v="5"/>
    <x v="0"/>
  </r>
  <r>
    <x v="26"/>
    <x v="119"/>
    <x v="129"/>
    <x v="4"/>
    <x v="5"/>
    <x v="2"/>
    <x v="8"/>
    <x v="0"/>
    <x v="2"/>
    <x v="0"/>
  </r>
  <r>
    <x v="26"/>
    <x v="125"/>
    <x v="130"/>
    <x v="1"/>
    <x v="16"/>
    <x v="8"/>
    <x v="12"/>
    <x v="0"/>
    <x v="1"/>
    <x v="0"/>
  </r>
  <r>
    <x v="27"/>
    <x v="86"/>
    <x v="3"/>
    <x v="2"/>
    <x v="69"/>
    <x v="48"/>
    <x v="31"/>
    <x v="0"/>
    <x v="3"/>
    <x v="0"/>
  </r>
  <r>
    <x v="27"/>
    <x v="25"/>
    <x v="131"/>
    <x v="6"/>
    <x v="96"/>
    <x v="31"/>
    <x v="70"/>
    <x v="0"/>
    <x v="2"/>
    <x v="0"/>
  </r>
  <r>
    <x v="27"/>
    <x v="48"/>
    <x v="132"/>
    <x v="2"/>
    <x v="117"/>
    <x v="48"/>
    <x v="86"/>
    <x v="0"/>
    <x v="2"/>
    <x v="0"/>
  </r>
  <r>
    <x v="27"/>
    <x v="128"/>
    <x v="134"/>
    <x v="1"/>
    <x v="16"/>
    <x v="8"/>
    <x v="12"/>
    <x v="0"/>
    <x v="1"/>
    <x v="0"/>
  </r>
  <r>
    <x v="27"/>
    <x v="64"/>
    <x v="133"/>
    <x v="7"/>
    <x v="45"/>
    <x v="17"/>
    <x v="24"/>
    <x v="0"/>
    <x v="2"/>
    <x v="0"/>
  </r>
  <r>
    <x v="28"/>
    <x v="47"/>
    <x v="136"/>
    <x v="2"/>
    <x v="123"/>
    <x v="50"/>
    <x v="92"/>
    <x v="0"/>
    <x v="2"/>
    <x v="0"/>
  </r>
  <r>
    <x v="28"/>
    <x v="51"/>
    <x v="137"/>
    <x v="7"/>
    <x v="42"/>
    <x v="17"/>
    <x v="22"/>
    <x v="0"/>
    <x v="2"/>
    <x v="0"/>
  </r>
  <r>
    <x v="28"/>
    <x v="7"/>
    <x v="135"/>
    <x v="6"/>
    <x v="98"/>
    <x v="32"/>
    <x v="72"/>
    <x v="0"/>
    <x v="2"/>
    <x v="0"/>
  </r>
  <r>
    <x v="28"/>
    <x v="118"/>
    <x v="140"/>
    <x v="4"/>
    <x v="5"/>
    <x v="2"/>
    <x v="8"/>
    <x v="0"/>
    <x v="2"/>
    <x v="0"/>
  </r>
  <r>
    <x v="28"/>
    <x v="129"/>
    <x v="141"/>
    <x v="1"/>
    <x v="12"/>
    <x v="8"/>
    <x v="6"/>
    <x v="0"/>
    <x v="1"/>
    <x v="0"/>
  </r>
  <r>
    <x v="28"/>
    <x v="110"/>
    <x v="158"/>
    <x v="2"/>
    <x v="82"/>
    <x v="45"/>
    <x v="44"/>
    <x v="0"/>
    <x v="4"/>
    <x v="0"/>
  </r>
  <r>
    <x v="29"/>
    <x v="50"/>
    <x v="143"/>
    <x v="2"/>
    <x v="134"/>
    <x v="51"/>
    <x v="104"/>
    <x v="0"/>
    <x v="2"/>
    <x v="0"/>
  </r>
  <r>
    <x v="29"/>
    <x v="8"/>
    <x v="142"/>
    <x v="6"/>
    <x v="105"/>
    <x v="42"/>
    <x v="77"/>
    <x v="0"/>
    <x v="2"/>
    <x v="0"/>
  </r>
  <r>
    <x v="29"/>
    <x v="65"/>
    <x v="144"/>
    <x v="7"/>
    <x v="50"/>
    <x v="19"/>
    <x v="28"/>
    <x v="0"/>
    <x v="2"/>
    <x v="0"/>
  </r>
  <r>
    <x v="29"/>
    <x v="119"/>
    <x v="145"/>
    <x v="4"/>
    <x v="2"/>
    <x v="2"/>
    <x v="4"/>
    <x v="0"/>
    <x v="2"/>
    <x v="0"/>
  </r>
  <r>
    <x v="29"/>
    <x v="126"/>
    <x v="146"/>
    <x v="1"/>
    <x v="11"/>
    <x v="7"/>
    <x v="6"/>
    <x v="0"/>
    <x v="1"/>
    <x v="0"/>
  </r>
  <r>
    <x v="30"/>
    <x v="82"/>
    <x v="151"/>
    <x v="3"/>
    <x v="67"/>
    <x v="34"/>
    <x v="47"/>
    <x v="0"/>
    <x v="5"/>
    <x v="0"/>
  </r>
  <r>
    <x v="30"/>
    <x v="12"/>
    <x v="147"/>
    <x v="6"/>
    <x v="107"/>
    <x v="43"/>
    <x v="81"/>
    <x v="0"/>
    <x v="2"/>
    <x v="0"/>
  </r>
  <r>
    <x v="30"/>
    <x v="28"/>
    <x v="148"/>
    <x v="2"/>
    <x v="132"/>
    <x v="53"/>
    <x v="102"/>
    <x v="0"/>
    <x v="2"/>
    <x v="0"/>
  </r>
  <r>
    <x v="30"/>
    <x v="65"/>
    <x v="149"/>
    <x v="7"/>
    <x v="52"/>
    <x v="18"/>
    <x v="32"/>
    <x v="0"/>
    <x v="2"/>
    <x v="0"/>
  </r>
  <r>
    <x v="30"/>
    <x v="81"/>
    <x v="150"/>
    <x v="8"/>
    <x v="57"/>
    <x v="27"/>
    <x v="16"/>
    <x v="0"/>
    <x v="5"/>
    <x v="0"/>
  </r>
  <r>
    <x v="30"/>
    <x v="89"/>
    <x v="152"/>
    <x v="4"/>
    <x v="4"/>
    <x v="3"/>
    <x v="6"/>
    <x v="0"/>
    <x v="2"/>
    <x v="0"/>
  </r>
  <r>
    <x v="28"/>
    <x v="79"/>
    <x v="139"/>
    <x v="8"/>
    <x v="56"/>
    <x v="27"/>
    <x v="15"/>
    <x v="0"/>
    <x v="5"/>
    <x v="0"/>
  </r>
  <r>
    <x v="28"/>
    <x v="78"/>
    <x v="138"/>
    <x v="8"/>
    <x v="65"/>
    <x v="27"/>
    <x v="35"/>
    <x v="0"/>
    <x v="5"/>
    <x v="0"/>
  </r>
  <r>
    <x v="16"/>
    <x v="15"/>
    <x v="81"/>
    <x v="6"/>
    <x v="72"/>
    <x v="31"/>
    <x v="53"/>
    <x v="0"/>
    <x v="2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0" outlineData="0" compact="0" compactData="0">
  <location ref="A3:H14" firstHeaderRow="1" firstDataRow="2" firstDataCol="1" rowPageCount="1" colPageCount="1"/>
  <pivotFields count="10">
    <pivotField axis="axisPage" compact="0" showAll="0" defaultSubtotal="0" outline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/>
    <pivotField compact="0" showAll="0"/>
    <pivotField axis="axisRow" compact="0" showAll="0" defaultSubtotal="0" outline="0">
      <items count="9">
        <item x="0"/>
        <item x="1"/>
        <item x="2"/>
        <item x="3"/>
        <item x="4"/>
        <item x="5"/>
        <item x="6"/>
        <item x="7"/>
        <item x="8"/>
      </items>
    </pivotField>
    <pivotField compact="0" showAll="0"/>
    <pivotField compact="0" showAll="0"/>
    <pivotField dataField="1" compact="0" showAll="0" outline="0"/>
    <pivotField compact="0" showAll="0"/>
    <pivotField axis="axisCol" compact="0" showAll="0" defaultSubtotal="0" outline="0">
      <items count="6">
        <item x="0"/>
        <item x="1"/>
        <item x="2"/>
        <item x="3"/>
        <item x="4"/>
        <item x="5"/>
      </items>
    </pivotField>
    <pivotField compact="0" showAll="0"/>
  </pivotFields>
  <rowFields count="1">
    <field x="3"/>
  </rowFields>
  <colFields count="1">
    <field x="8"/>
  </colFields>
  <pageFields count="1">
    <pageField fld="0" hier="-1"/>
  </pageFields>
  <dataFields count="1">
    <dataField name="Suma - Carga" fld="6" subtotal="sum" numFmtId="168"/>
  </dataFields>
  <pivotTableStyleInfo name="PivotStyleLight16" showRowHeaders="1" showColHeaders="1" showRowStripes="0" showColStripes="0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6" activeCellId="0" sqref="D96"/>
    </sheetView>
  </sheetViews>
  <sheetFormatPr defaultColWidth="10.6015625" defaultRowHeight="13.8" zeroHeight="false" outlineLevelRow="0" outlineLevelCol="0"/>
  <cols>
    <col collapsed="false" customWidth="false" hidden="false" outlineLevel="0" max="10" min="10" style="1" width="10.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13.8" hidden="false" customHeight="false" outlineLevel="0" collapsed="false">
      <c r="A2" s="6" t="n">
        <v>44896</v>
      </c>
      <c r="B2" s="7" t="n">
        <v>0.232638888888889</v>
      </c>
      <c r="C2" s="8" t="n">
        <v>15349</v>
      </c>
      <c r="D2" s="8" t="s">
        <v>10</v>
      </c>
      <c r="E2" s="8" t="n">
        <v>24660</v>
      </c>
      <c r="F2" s="8" t="n">
        <v>15820</v>
      </c>
      <c r="G2" s="9" t="n">
        <v>8840</v>
      </c>
      <c r="H2" s="8" t="s">
        <v>11</v>
      </c>
      <c r="I2" s="8" t="s">
        <v>12</v>
      </c>
      <c r="J2" s="0" t="s">
        <v>13</v>
      </c>
    </row>
    <row r="3" customFormat="false" ht="13.8" hidden="false" customHeight="false" outlineLevel="0" collapsed="false">
      <c r="A3" s="6" t="n">
        <v>44896</v>
      </c>
      <c r="B3" s="7" t="n">
        <v>0.238888888888889</v>
      </c>
      <c r="C3" s="8" t="n">
        <v>15350</v>
      </c>
      <c r="D3" s="8" t="s">
        <v>14</v>
      </c>
      <c r="E3" s="8" t="n">
        <v>4220</v>
      </c>
      <c r="F3" s="8" t="n">
        <v>4080</v>
      </c>
      <c r="G3" s="9" t="n">
        <v>140</v>
      </c>
      <c r="H3" s="8" t="s">
        <v>11</v>
      </c>
      <c r="I3" s="8" t="s">
        <v>12</v>
      </c>
      <c r="J3" s="0" t="s">
        <v>13</v>
      </c>
    </row>
    <row r="4" customFormat="false" ht="13.8" hidden="false" customHeight="false" outlineLevel="0" collapsed="false">
      <c r="A4" s="6" t="n">
        <v>44896</v>
      </c>
      <c r="B4" s="7" t="n">
        <v>0.198611111111111</v>
      </c>
      <c r="C4" s="8" t="n">
        <v>15347</v>
      </c>
      <c r="D4" s="8" t="s">
        <v>15</v>
      </c>
      <c r="E4" s="8" t="n">
        <v>17520</v>
      </c>
      <c r="F4" s="8" t="n">
        <v>13100</v>
      </c>
      <c r="G4" s="9" t="n">
        <v>4420</v>
      </c>
      <c r="H4" s="8" t="s">
        <v>11</v>
      </c>
      <c r="I4" s="8" t="s">
        <v>12</v>
      </c>
      <c r="J4" s="0" t="s">
        <v>13</v>
      </c>
    </row>
    <row r="5" customFormat="false" ht="13.8" hidden="false" customHeight="false" outlineLevel="0" collapsed="false">
      <c r="A5" s="6" t="n">
        <v>44896</v>
      </c>
      <c r="B5" s="7" t="n">
        <v>0.428472222222222</v>
      </c>
      <c r="C5" s="8" t="n">
        <v>15367</v>
      </c>
      <c r="D5" s="8" t="s">
        <v>16</v>
      </c>
      <c r="E5" s="8" t="n">
        <v>3380</v>
      </c>
      <c r="F5" s="8" t="n">
        <v>2680</v>
      </c>
      <c r="G5" s="9" t="n">
        <v>700</v>
      </c>
      <c r="H5" s="8" t="s">
        <v>11</v>
      </c>
      <c r="I5" s="8" t="s">
        <v>17</v>
      </c>
      <c r="J5" s="0" t="s">
        <v>13</v>
      </c>
    </row>
    <row r="6" customFormat="false" ht="13.8" hidden="false" customHeight="false" outlineLevel="0" collapsed="false">
      <c r="A6" s="6" t="n">
        <v>44896</v>
      </c>
      <c r="B6" s="7" t="n">
        <v>0.44375</v>
      </c>
      <c r="C6" s="8" t="n">
        <v>15368</v>
      </c>
      <c r="D6" s="8" t="s">
        <v>18</v>
      </c>
      <c r="E6" s="8" t="n">
        <v>6480</v>
      </c>
      <c r="F6" s="8" t="n">
        <v>5540</v>
      </c>
      <c r="G6" s="9" t="n">
        <v>940</v>
      </c>
      <c r="H6" s="8" t="s">
        <v>11</v>
      </c>
      <c r="I6" s="8" t="s">
        <v>19</v>
      </c>
      <c r="J6" s="0" t="s">
        <v>13</v>
      </c>
    </row>
    <row r="7" customFormat="false" ht="13.8" hidden="false" customHeight="false" outlineLevel="0" collapsed="false">
      <c r="A7" s="6" t="n">
        <v>44896</v>
      </c>
      <c r="B7" s="7" t="n">
        <v>0.495138888888889</v>
      </c>
      <c r="C7" s="8" t="n">
        <v>148364</v>
      </c>
      <c r="D7" s="8" t="s">
        <v>10</v>
      </c>
      <c r="E7" s="8" t="n">
        <v>17260</v>
      </c>
      <c r="F7" s="8" t="n">
        <v>15660</v>
      </c>
      <c r="G7" s="9" t="n">
        <v>1600</v>
      </c>
      <c r="H7" s="8" t="s">
        <v>11</v>
      </c>
      <c r="I7" s="8" t="s">
        <v>20</v>
      </c>
      <c r="J7" s="1" t="s">
        <v>13</v>
      </c>
    </row>
    <row r="8" customFormat="false" ht="13.8" hidden="false" customHeight="false" outlineLevel="0" collapsed="false">
      <c r="A8" s="6" t="n">
        <v>44896</v>
      </c>
      <c r="B8" s="7" t="n">
        <v>0.5375</v>
      </c>
      <c r="C8" s="8" t="n">
        <v>15375</v>
      </c>
      <c r="D8" s="8" t="s">
        <v>21</v>
      </c>
      <c r="E8" s="8" t="n">
        <v>3300</v>
      </c>
      <c r="F8" s="8" t="n">
        <v>2840</v>
      </c>
      <c r="G8" s="9" t="n">
        <v>460</v>
      </c>
      <c r="H8" s="8" t="s">
        <v>11</v>
      </c>
      <c r="I8" s="8" t="s">
        <v>17</v>
      </c>
      <c r="J8" s="0" t="s">
        <v>13</v>
      </c>
    </row>
    <row r="9" customFormat="false" ht="13.8" hidden="false" customHeight="false" outlineLevel="0" collapsed="false">
      <c r="A9" s="6" t="n">
        <v>44896</v>
      </c>
      <c r="B9" s="7" t="n">
        <v>0.404166666666667</v>
      </c>
      <c r="C9" s="8" t="n">
        <v>15364</v>
      </c>
      <c r="D9" s="8" t="s">
        <v>22</v>
      </c>
      <c r="E9" s="8" t="n">
        <v>15160</v>
      </c>
      <c r="F9" s="8" t="n">
        <v>13200</v>
      </c>
      <c r="G9" s="9" t="n">
        <v>1960</v>
      </c>
      <c r="H9" s="8" t="s">
        <v>11</v>
      </c>
      <c r="I9" s="8" t="s">
        <v>19</v>
      </c>
      <c r="J9" s="0" t="s">
        <v>13</v>
      </c>
    </row>
    <row r="10" customFormat="false" ht="13.8" hidden="false" customHeight="false" outlineLevel="0" collapsed="false">
      <c r="A10" s="6" t="n">
        <v>44897</v>
      </c>
      <c r="B10" s="7" t="n">
        <v>0.258333333333333</v>
      </c>
      <c r="C10" s="8" t="n">
        <v>15396</v>
      </c>
      <c r="D10" s="8" t="s">
        <v>14</v>
      </c>
      <c r="E10" s="8" t="n">
        <v>4620</v>
      </c>
      <c r="F10" s="8" t="n">
        <v>3780</v>
      </c>
      <c r="G10" s="9" t="n">
        <v>840</v>
      </c>
      <c r="H10" s="8" t="s">
        <v>11</v>
      </c>
      <c r="I10" s="8" t="s">
        <v>12</v>
      </c>
      <c r="J10" s="0" t="s">
        <v>13</v>
      </c>
    </row>
    <row r="11" customFormat="false" ht="13.8" hidden="false" customHeight="false" outlineLevel="0" collapsed="false">
      <c r="A11" s="6" t="n">
        <v>44897</v>
      </c>
      <c r="B11" s="7" t="n">
        <v>0.248611111111111</v>
      </c>
      <c r="C11" s="8" t="n">
        <v>15395</v>
      </c>
      <c r="D11" s="8" t="s">
        <v>10</v>
      </c>
      <c r="E11" s="8" t="n">
        <v>23100</v>
      </c>
      <c r="F11" s="8" t="n">
        <v>15880</v>
      </c>
      <c r="G11" s="9" t="n">
        <v>7220</v>
      </c>
      <c r="H11" s="8" t="s">
        <v>11</v>
      </c>
      <c r="I11" s="8" t="s">
        <v>12</v>
      </c>
      <c r="J11" s="0" t="s">
        <v>13</v>
      </c>
    </row>
    <row r="12" customFormat="false" ht="13.8" hidden="false" customHeight="false" outlineLevel="0" collapsed="false">
      <c r="A12" s="6" t="n">
        <v>44897</v>
      </c>
      <c r="B12" s="7" t="n">
        <v>0.133333333333333</v>
      </c>
      <c r="C12" s="8" t="n">
        <v>15388</v>
      </c>
      <c r="D12" s="8" t="s">
        <v>15</v>
      </c>
      <c r="E12" s="8" t="n">
        <v>17520</v>
      </c>
      <c r="F12" s="8" t="n">
        <v>13420</v>
      </c>
      <c r="G12" s="9" t="n">
        <v>4100</v>
      </c>
      <c r="H12" s="8" t="s">
        <v>11</v>
      </c>
      <c r="I12" s="8" t="s">
        <v>12</v>
      </c>
      <c r="J12" s="0" t="s">
        <v>13</v>
      </c>
    </row>
    <row r="13" customFormat="false" ht="13.8" hidden="false" customHeight="false" outlineLevel="0" collapsed="false">
      <c r="A13" s="6" t="n">
        <v>44897</v>
      </c>
      <c r="B13" s="7" t="n">
        <v>0.540972222222222</v>
      </c>
      <c r="C13" s="8" t="n">
        <v>15524</v>
      </c>
      <c r="D13" s="8" t="s">
        <v>16</v>
      </c>
      <c r="E13" s="8" t="n">
        <v>3140</v>
      </c>
      <c r="F13" s="8" t="n">
        <v>2800</v>
      </c>
      <c r="G13" s="9" t="n">
        <v>340</v>
      </c>
      <c r="H13" s="8" t="s">
        <v>11</v>
      </c>
      <c r="I13" s="8" t="s">
        <v>17</v>
      </c>
      <c r="J13" s="0" t="s">
        <v>13</v>
      </c>
    </row>
    <row r="14" customFormat="false" ht="13.8" hidden="false" customHeight="false" outlineLevel="0" collapsed="false">
      <c r="A14" s="6" t="n">
        <v>44897</v>
      </c>
      <c r="B14" s="7" t="n">
        <v>0.540972222222222</v>
      </c>
      <c r="C14" s="10" t="n">
        <v>15423</v>
      </c>
      <c r="D14" s="8" t="s">
        <v>21</v>
      </c>
      <c r="E14" s="8" t="n">
        <v>3080</v>
      </c>
      <c r="F14" s="8" t="n">
        <v>2860</v>
      </c>
      <c r="G14" s="9" t="n">
        <v>220</v>
      </c>
      <c r="H14" s="8" t="s">
        <v>11</v>
      </c>
      <c r="I14" s="8" t="s">
        <v>17</v>
      </c>
      <c r="J14" s="0" t="s">
        <v>13</v>
      </c>
    </row>
    <row r="15" customFormat="false" ht="13.8" hidden="false" customHeight="false" outlineLevel="0" collapsed="false">
      <c r="A15" s="6" t="n">
        <v>44898</v>
      </c>
      <c r="B15" s="7" t="n">
        <v>0.425694444444444</v>
      </c>
      <c r="C15" s="8" t="n">
        <v>15459</v>
      </c>
      <c r="D15" s="8" t="s">
        <v>23</v>
      </c>
      <c r="E15" s="8" t="n">
        <v>2660</v>
      </c>
      <c r="F15" s="8" t="n">
        <v>2320</v>
      </c>
      <c r="G15" s="9" t="n">
        <v>340</v>
      </c>
      <c r="H15" s="8" t="s">
        <v>11</v>
      </c>
      <c r="I15" s="8" t="s">
        <v>12</v>
      </c>
      <c r="J15" s="0" t="s">
        <v>13</v>
      </c>
    </row>
    <row r="16" customFormat="false" ht="13.8" hidden="false" customHeight="false" outlineLevel="0" collapsed="false">
      <c r="A16" s="6" t="n">
        <v>44898</v>
      </c>
      <c r="B16" s="7" t="n">
        <v>0.440972222222222</v>
      </c>
      <c r="C16" s="8" t="n">
        <v>15460</v>
      </c>
      <c r="D16" s="8" t="s">
        <v>21</v>
      </c>
      <c r="E16" s="8" t="n">
        <v>3200</v>
      </c>
      <c r="F16" s="8" t="n">
        <v>2840</v>
      </c>
      <c r="G16" s="9" t="n">
        <v>360</v>
      </c>
      <c r="H16" s="8" t="s">
        <v>11</v>
      </c>
      <c r="I16" s="8" t="s">
        <v>19</v>
      </c>
      <c r="J16" s="0" t="s">
        <v>13</v>
      </c>
    </row>
    <row r="17" customFormat="false" ht="13.8" hidden="false" customHeight="false" outlineLevel="0" collapsed="false">
      <c r="A17" s="6" t="n">
        <v>44898</v>
      </c>
      <c r="B17" s="7" t="n">
        <v>0.151388888888889</v>
      </c>
      <c r="C17" s="8" t="n">
        <v>15436</v>
      </c>
      <c r="D17" s="8" t="s">
        <v>15</v>
      </c>
      <c r="E17" s="8" t="n">
        <v>18180</v>
      </c>
      <c r="F17" s="8" t="n">
        <v>13360</v>
      </c>
      <c r="G17" s="9" t="n">
        <v>4820</v>
      </c>
      <c r="H17" s="8" t="s">
        <v>11</v>
      </c>
      <c r="I17" s="8" t="s">
        <v>12</v>
      </c>
      <c r="J17" s="0" t="s">
        <v>13</v>
      </c>
    </row>
    <row r="18" customFormat="false" ht="13.8" hidden="false" customHeight="false" outlineLevel="0" collapsed="false">
      <c r="A18" s="6" t="n">
        <v>44898</v>
      </c>
      <c r="B18" s="7" t="n">
        <v>0.232638888888889</v>
      </c>
      <c r="C18" s="8" t="n">
        <v>15444</v>
      </c>
      <c r="D18" s="8" t="s">
        <v>10</v>
      </c>
      <c r="E18" s="8" t="n">
        <v>24940</v>
      </c>
      <c r="F18" s="8" t="n">
        <v>15820</v>
      </c>
      <c r="G18" s="9" t="n">
        <v>9120</v>
      </c>
      <c r="H18" s="8" t="s">
        <v>11</v>
      </c>
      <c r="I18" s="8" t="s">
        <v>12</v>
      </c>
      <c r="J18" s="0" t="s">
        <v>13</v>
      </c>
    </row>
    <row r="19" customFormat="false" ht="13.8" hidden="false" customHeight="false" outlineLevel="0" collapsed="false">
      <c r="A19" s="6" t="n">
        <v>44898</v>
      </c>
      <c r="B19" s="7" t="n">
        <v>0.258333333333333</v>
      </c>
      <c r="C19" s="8" t="n">
        <v>15446</v>
      </c>
      <c r="D19" s="8" t="s">
        <v>14</v>
      </c>
      <c r="E19" s="8" t="n">
        <v>4480</v>
      </c>
      <c r="F19" s="8" t="n">
        <v>3780</v>
      </c>
      <c r="G19" s="9" t="n">
        <v>700</v>
      </c>
      <c r="H19" s="8" t="s">
        <v>11</v>
      </c>
      <c r="I19" s="8" t="s">
        <v>12</v>
      </c>
      <c r="J19" s="0" t="s">
        <v>13</v>
      </c>
    </row>
    <row r="20" customFormat="false" ht="13.8" hidden="false" customHeight="false" outlineLevel="0" collapsed="false">
      <c r="A20" s="6" t="n">
        <v>44898</v>
      </c>
      <c r="B20" s="7" t="n">
        <v>0.373611111111111</v>
      </c>
      <c r="C20" s="8" t="n">
        <v>15458</v>
      </c>
      <c r="D20" s="8" t="s">
        <v>24</v>
      </c>
      <c r="E20" s="8" t="n">
        <v>18120</v>
      </c>
      <c r="F20" s="8" t="n">
        <v>15920</v>
      </c>
      <c r="G20" s="9" t="n">
        <v>2200</v>
      </c>
      <c r="H20" s="8" t="s">
        <v>11</v>
      </c>
      <c r="I20" s="8" t="s">
        <v>19</v>
      </c>
      <c r="J20" s="0" t="s">
        <v>13</v>
      </c>
    </row>
    <row r="21" customFormat="false" ht="13.8" hidden="false" customHeight="false" outlineLevel="0" collapsed="false">
      <c r="A21" s="6" t="n">
        <v>44898</v>
      </c>
      <c r="B21" s="7" t="n">
        <v>0.317361111111111</v>
      </c>
      <c r="C21" s="8" t="n">
        <v>15452</v>
      </c>
      <c r="D21" s="8" t="s">
        <v>24</v>
      </c>
      <c r="E21" s="8" t="n">
        <v>20800</v>
      </c>
      <c r="F21" s="8" t="n">
        <v>15400</v>
      </c>
      <c r="G21" s="9" t="n">
        <v>5400</v>
      </c>
      <c r="H21" s="8" t="s">
        <v>11</v>
      </c>
      <c r="I21" s="8" t="s">
        <v>25</v>
      </c>
      <c r="J21" s="0" t="s">
        <v>13</v>
      </c>
    </row>
    <row r="22" customFormat="false" ht="13.8" hidden="false" customHeight="false" outlineLevel="0" collapsed="false">
      <c r="A22" s="6" t="n">
        <v>44898</v>
      </c>
      <c r="B22" s="7" t="n">
        <v>0.347222222222222</v>
      </c>
      <c r="C22" s="8" t="n">
        <v>15455</v>
      </c>
      <c r="D22" s="8" t="s">
        <v>24</v>
      </c>
      <c r="E22" s="8" t="n">
        <v>19160</v>
      </c>
      <c r="F22" s="8" t="n">
        <v>15920</v>
      </c>
      <c r="G22" s="9" t="n">
        <v>3240</v>
      </c>
      <c r="H22" s="8" t="s">
        <v>11</v>
      </c>
      <c r="I22" s="8" t="s">
        <v>19</v>
      </c>
      <c r="J22" s="0" t="s">
        <v>13</v>
      </c>
    </row>
    <row r="23" customFormat="false" ht="13.8" hidden="false" customHeight="false" outlineLevel="0" collapsed="false">
      <c r="A23" s="6" t="n">
        <v>44899</v>
      </c>
      <c r="B23" s="7" t="n">
        <v>0.140972222222222</v>
      </c>
      <c r="C23" s="8" t="n">
        <v>15470</v>
      </c>
      <c r="D23" s="8" t="s">
        <v>15</v>
      </c>
      <c r="E23" s="8" t="n">
        <v>19780</v>
      </c>
      <c r="F23" s="8" t="n">
        <v>13440</v>
      </c>
      <c r="G23" s="9" t="n">
        <v>6340</v>
      </c>
      <c r="H23" s="8" t="s">
        <v>11</v>
      </c>
      <c r="I23" s="8" t="s">
        <v>12</v>
      </c>
      <c r="J23" s="0" t="s">
        <v>13</v>
      </c>
    </row>
    <row r="24" customFormat="false" ht="13.8" hidden="false" customHeight="false" outlineLevel="0" collapsed="false">
      <c r="A24" s="6" t="n">
        <v>44899</v>
      </c>
      <c r="B24" s="7" t="n">
        <v>0.147222222222222</v>
      </c>
      <c r="C24" s="8" t="n">
        <v>15471</v>
      </c>
      <c r="D24" s="8" t="s">
        <v>10</v>
      </c>
      <c r="E24" s="8" t="n">
        <v>22600</v>
      </c>
      <c r="F24" s="8" t="n">
        <v>15840</v>
      </c>
      <c r="G24" s="9" t="n">
        <v>6760</v>
      </c>
      <c r="H24" s="8" t="s">
        <v>11</v>
      </c>
      <c r="I24" s="8" t="s">
        <v>12</v>
      </c>
      <c r="J24" s="0" t="s">
        <v>13</v>
      </c>
    </row>
    <row r="25" customFormat="false" ht="13.8" hidden="false" customHeight="false" outlineLevel="0" collapsed="false">
      <c r="A25" s="6" t="n">
        <v>44899</v>
      </c>
      <c r="B25" s="7" t="n">
        <v>0.218055555555556</v>
      </c>
      <c r="C25" s="8" t="n">
        <v>15475</v>
      </c>
      <c r="D25" s="8" t="s">
        <v>14</v>
      </c>
      <c r="E25" s="8" t="n">
        <v>4420</v>
      </c>
      <c r="F25" s="8" t="n">
        <v>3780</v>
      </c>
      <c r="G25" s="9" t="n">
        <v>640</v>
      </c>
      <c r="H25" s="8" t="s">
        <v>11</v>
      </c>
      <c r="I25" s="8" t="s">
        <v>12</v>
      </c>
      <c r="J25" s="0" t="s">
        <v>13</v>
      </c>
    </row>
    <row r="26" customFormat="false" ht="13.8" hidden="false" customHeight="false" outlineLevel="0" collapsed="false">
      <c r="A26" s="6" t="n">
        <v>44899</v>
      </c>
      <c r="B26" s="7" t="n">
        <v>0.347916666666667</v>
      </c>
      <c r="C26" s="8" t="n">
        <v>15478</v>
      </c>
      <c r="D26" s="8" t="s">
        <v>23</v>
      </c>
      <c r="E26" s="8" t="n">
        <v>2660</v>
      </c>
      <c r="F26" s="8" t="n">
        <v>2400</v>
      </c>
      <c r="G26" s="9" t="n">
        <v>260</v>
      </c>
      <c r="H26" s="8" t="s">
        <v>11</v>
      </c>
      <c r="I26" s="8" t="s">
        <v>12</v>
      </c>
      <c r="J26" s="0" t="s">
        <v>13</v>
      </c>
    </row>
    <row r="27" customFormat="false" ht="13.8" hidden="false" customHeight="false" outlineLevel="0" collapsed="false">
      <c r="A27" s="6" t="n">
        <v>44899</v>
      </c>
      <c r="B27" s="7" t="n">
        <v>0.522916666666667</v>
      </c>
      <c r="C27" s="8" t="n">
        <v>15479</v>
      </c>
      <c r="D27" s="8" t="s">
        <v>23</v>
      </c>
      <c r="E27" s="8" t="n">
        <v>2560</v>
      </c>
      <c r="F27" s="8" t="n">
        <v>2300</v>
      </c>
      <c r="G27" s="9" t="n">
        <v>260</v>
      </c>
      <c r="H27" s="8" t="s">
        <v>11</v>
      </c>
      <c r="I27" s="8" t="s">
        <v>12</v>
      </c>
      <c r="J27" s="0" t="s">
        <v>13</v>
      </c>
    </row>
    <row r="28" customFormat="false" ht="13.8" hidden="false" customHeight="false" outlineLevel="0" collapsed="false">
      <c r="A28" s="6" t="n">
        <v>44900</v>
      </c>
      <c r="B28" s="7" t="n">
        <v>0.09375</v>
      </c>
      <c r="C28" s="8" t="n">
        <v>15480</v>
      </c>
      <c r="D28" s="8" t="s">
        <v>15</v>
      </c>
      <c r="E28" s="8" t="n">
        <v>17900</v>
      </c>
      <c r="F28" s="8" t="n">
        <v>13440</v>
      </c>
      <c r="G28" s="9" t="n">
        <v>4460</v>
      </c>
      <c r="H28" s="8" t="s">
        <v>11</v>
      </c>
      <c r="I28" s="8" t="s">
        <v>12</v>
      </c>
      <c r="J28" s="0" t="s">
        <v>13</v>
      </c>
    </row>
    <row r="29" customFormat="false" ht="13.8" hidden="false" customHeight="false" outlineLevel="0" collapsed="false">
      <c r="A29" s="6" t="n">
        <v>44900</v>
      </c>
      <c r="B29" s="7" t="n">
        <v>0.228472222222222</v>
      </c>
      <c r="C29" s="8" t="n">
        <v>15491</v>
      </c>
      <c r="D29" s="8" t="s">
        <v>10</v>
      </c>
      <c r="E29" s="8" t="n">
        <v>23060</v>
      </c>
      <c r="F29" s="8" t="n">
        <v>15780</v>
      </c>
      <c r="G29" s="9" t="n">
        <v>7280</v>
      </c>
      <c r="H29" s="8" t="s">
        <v>11</v>
      </c>
      <c r="I29" s="8" t="s">
        <v>12</v>
      </c>
      <c r="J29" s="0" t="s">
        <v>13</v>
      </c>
    </row>
    <row r="30" customFormat="false" ht="13.8" hidden="false" customHeight="false" outlineLevel="0" collapsed="false">
      <c r="A30" s="6" t="n">
        <v>44900</v>
      </c>
      <c r="B30" s="7" t="n">
        <v>0.258333333333333</v>
      </c>
      <c r="C30" s="8" t="n">
        <v>15494</v>
      </c>
      <c r="D30" s="8" t="s">
        <v>14</v>
      </c>
      <c r="E30" s="8" t="n">
        <v>4580</v>
      </c>
      <c r="F30" s="8" t="n">
        <v>3780</v>
      </c>
      <c r="G30" s="9" t="n">
        <v>800</v>
      </c>
      <c r="H30" s="8" t="s">
        <v>11</v>
      </c>
      <c r="I30" s="8" t="s">
        <v>12</v>
      </c>
      <c r="J30" s="0" t="s">
        <v>13</v>
      </c>
    </row>
    <row r="31" customFormat="false" ht="13.8" hidden="false" customHeight="false" outlineLevel="0" collapsed="false">
      <c r="A31" s="6" t="n">
        <v>44900</v>
      </c>
      <c r="B31" s="7" t="n">
        <v>0.496527777777778</v>
      </c>
      <c r="C31" s="8" t="n">
        <v>15510</v>
      </c>
      <c r="D31" s="8" t="s">
        <v>23</v>
      </c>
      <c r="E31" s="8" t="n">
        <v>2620</v>
      </c>
      <c r="F31" s="8" t="n">
        <v>2400</v>
      </c>
      <c r="G31" s="9" t="n">
        <v>220</v>
      </c>
      <c r="H31" s="8" t="s">
        <v>11</v>
      </c>
      <c r="I31" s="8" t="s">
        <v>12</v>
      </c>
      <c r="J31" s="0" t="s">
        <v>13</v>
      </c>
    </row>
    <row r="32" customFormat="false" ht="13.8" hidden="false" customHeight="false" outlineLevel="0" collapsed="false">
      <c r="A32" s="6" t="n">
        <v>44901</v>
      </c>
      <c r="B32" s="7" t="n">
        <v>0.215972222222222</v>
      </c>
      <c r="C32" s="8" t="n">
        <v>15539</v>
      </c>
      <c r="D32" s="8" t="s">
        <v>14</v>
      </c>
      <c r="E32" s="8" t="n">
        <v>4400</v>
      </c>
      <c r="F32" s="8" t="n">
        <v>3700</v>
      </c>
      <c r="G32" s="9" t="n">
        <v>700</v>
      </c>
      <c r="H32" s="8" t="s">
        <v>11</v>
      </c>
      <c r="I32" s="8" t="s">
        <v>12</v>
      </c>
      <c r="J32" s="0" t="s">
        <v>13</v>
      </c>
    </row>
    <row r="33" customFormat="false" ht="13.8" hidden="false" customHeight="false" outlineLevel="0" collapsed="false">
      <c r="A33" s="6" t="n">
        <v>44901</v>
      </c>
      <c r="B33" s="7" t="n">
        <v>0.2125</v>
      </c>
      <c r="C33" s="8" t="n">
        <v>15538</v>
      </c>
      <c r="D33" s="8" t="s">
        <v>15</v>
      </c>
      <c r="E33" s="8" t="n">
        <v>18580</v>
      </c>
      <c r="F33" s="8" t="n">
        <v>13220</v>
      </c>
      <c r="G33" s="9" t="n">
        <v>5360</v>
      </c>
      <c r="H33" s="8" t="s">
        <v>11</v>
      </c>
      <c r="I33" s="8" t="s">
        <v>12</v>
      </c>
      <c r="J33" s="0" t="s">
        <v>13</v>
      </c>
    </row>
    <row r="34" customFormat="false" ht="13.8" hidden="false" customHeight="false" outlineLevel="0" collapsed="false">
      <c r="A34" s="6" t="n">
        <v>44901</v>
      </c>
      <c r="B34" s="7" t="n">
        <v>0.170138888888889</v>
      </c>
      <c r="C34" s="8" t="n">
        <v>15536</v>
      </c>
      <c r="D34" s="8" t="s">
        <v>10</v>
      </c>
      <c r="E34" s="8" t="n">
        <v>25060</v>
      </c>
      <c r="F34" s="8" t="n">
        <v>15820</v>
      </c>
      <c r="G34" s="9" t="n">
        <v>9240</v>
      </c>
      <c r="H34" s="8" t="s">
        <v>11</v>
      </c>
      <c r="I34" s="8" t="s">
        <v>12</v>
      </c>
      <c r="J34" s="0" t="s">
        <v>13</v>
      </c>
    </row>
    <row r="35" customFormat="false" ht="13.8" hidden="false" customHeight="false" outlineLevel="0" collapsed="false">
      <c r="A35" s="6" t="n">
        <v>44902</v>
      </c>
      <c r="B35" s="7" t="n">
        <v>0.255555555555556</v>
      </c>
      <c r="C35" s="8" t="n">
        <v>15583</v>
      </c>
      <c r="D35" s="8" t="s">
        <v>14</v>
      </c>
      <c r="E35" s="8" t="n">
        <v>4780</v>
      </c>
      <c r="F35" s="8" t="n">
        <v>3800</v>
      </c>
      <c r="G35" s="9" t="n">
        <v>980</v>
      </c>
      <c r="H35" s="8" t="s">
        <v>11</v>
      </c>
      <c r="I35" s="8" t="s">
        <v>12</v>
      </c>
      <c r="J35" s="0" t="s">
        <v>13</v>
      </c>
    </row>
    <row r="36" customFormat="false" ht="13.8" hidden="false" customHeight="false" outlineLevel="0" collapsed="false">
      <c r="A36" s="6" t="n">
        <v>44902</v>
      </c>
      <c r="B36" s="7" t="n">
        <v>0.210416666666667</v>
      </c>
      <c r="C36" s="8" t="n">
        <v>15581</v>
      </c>
      <c r="D36" s="8" t="s">
        <v>10</v>
      </c>
      <c r="E36" s="8" t="n">
        <v>23960</v>
      </c>
      <c r="F36" s="8" t="n">
        <v>15760</v>
      </c>
      <c r="G36" s="9" t="n">
        <v>8200</v>
      </c>
      <c r="H36" s="8" t="s">
        <v>11</v>
      </c>
      <c r="I36" s="8" t="s">
        <v>12</v>
      </c>
      <c r="J36" s="0" t="s">
        <v>13</v>
      </c>
    </row>
    <row r="37" customFormat="false" ht="13.8" hidden="false" customHeight="false" outlineLevel="0" collapsed="false">
      <c r="A37" s="6" t="n">
        <v>44902</v>
      </c>
      <c r="B37" s="7" t="n">
        <v>0.477083333333333</v>
      </c>
      <c r="C37" s="8" t="n">
        <v>15600</v>
      </c>
      <c r="D37" s="8" t="s">
        <v>18</v>
      </c>
      <c r="E37" s="8" t="n">
        <v>6540</v>
      </c>
      <c r="F37" s="8" t="n">
        <v>5620</v>
      </c>
      <c r="G37" s="9" t="n">
        <v>920</v>
      </c>
      <c r="H37" s="8" t="s">
        <v>11</v>
      </c>
      <c r="I37" s="8" t="s">
        <v>19</v>
      </c>
      <c r="J37" s="0" t="s">
        <v>13</v>
      </c>
    </row>
    <row r="38" customFormat="false" ht="13.8" hidden="false" customHeight="false" outlineLevel="0" collapsed="false">
      <c r="A38" s="6" t="n">
        <v>44902</v>
      </c>
      <c r="B38" s="7" t="n">
        <v>0.0847222222222222</v>
      </c>
      <c r="C38" s="8" t="n">
        <v>15571</v>
      </c>
      <c r="D38" s="8" t="s">
        <v>15</v>
      </c>
      <c r="E38" s="8" t="n">
        <v>17680</v>
      </c>
      <c r="F38" s="8" t="n">
        <v>13400</v>
      </c>
      <c r="G38" s="9" t="n">
        <v>4280</v>
      </c>
      <c r="H38" s="8" t="s">
        <v>11</v>
      </c>
      <c r="I38" s="8" t="s">
        <v>12</v>
      </c>
      <c r="J38" s="0" t="s">
        <v>13</v>
      </c>
    </row>
    <row r="39" customFormat="false" ht="13.8" hidden="false" customHeight="false" outlineLevel="0" collapsed="false">
      <c r="A39" s="6" t="n">
        <v>44902</v>
      </c>
      <c r="B39" s="7" t="n">
        <v>0.482638888888889</v>
      </c>
      <c r="C39" s="8" t="n">
        <v>3753</v>
      </c>
      <c r="D39" s="8" t="s">
        <v>10</v>
      </c>
      <c r="E39" s="8" t="n">
        <v>17060</v>
      </c>
      <c r="F39" s="8" t="n">
        <v>15760</v>
      </c>
      <c r="G39" s="9" t="n">
        <v>1300</v>
      </c>
      <c r="H39" s="8" t="s">
        <v>11</v>
      </c>
      <c r="I39" s="8" t="s">
        <v>26</v>
      </c>
      <c r="J39" s="1" t="s">
        <v>13</v>
      </c>
    </row>
    <row r="40" customFormat="false" ht="13.8" hidden="false" customHeight="false" outlineLevel="0" collapsed="false">
      <c r="A40" s="6" t="n">
        <v>44903</v>
      </c>
      <c r="B40" s="7" t="n">
        <v>0.211111111111111</v>
      </c>
      <c r="C40" s="8" t="n">
        <v>15628</v>
      </c>
      <c r="D40" s="8" t="s">
        <v>14</v>
      </c>
      <c r="E40" s="8" t="n">
        <v>4340</v>
      </c>
      <c r="F40" s="8" t="n">
        <v>4040</v>
      </c>
      <c r="G40" s="9" t="n">
        <v>300</v>
      </c>
      <c r="H40" s="8" t="s">
        <v>11</v>
      </c>
      <c r="I40" s="8" t="s">
        <v>12</v>
      </c>
      <c r="J40" s="0"/>
    </row>
    <row r="41" customFormat="false" ht="13.8" hidden="false" customHeight="false" outlineLevel="0" collapsed="false">
      <c r="A41" s="6" t="n">
        <v>44903</v>
      </c>
      <c r="B41" s="7" t="n">
        <v>0.215277777777778</v>
      </c>
      <c r="C41" s="8" t="n">
        <v>15630</v>
      </c>
      <c r="D41" s="8" t="s">
        <v>10</v>
      </c>
      <c r="E41" s="8" t="n">
        <v>25720</v>
      </c>
      <c r="F41" s="8" t="n">
        <v>15780</v>
      </c>
      <c r="G41" s="9" t="n">
        <v>9940</v>
      </c>
      <c r="H41" s="8" t="s">
        <v>11</v>
      </c>
      <c r="I41" s="8" t="s">
        <v>12</v>
      </c>
      <c r="J41" s="0"/>
    </row>
    <row r="42" customFormat="false" ht="13.8" hidden="false" customHeight="false" outlineLevel="0" collapsed="false">
      <c r="A42" s="6" t="n">
        <v>44903</v>
      </c>
      <c r="B42" s="7" t="n">
        <v>0.119444444444444</v>
      </c>
      <c r="C42" s="8" t="n">
        <v>15620</v>
      </c>
      <c r="D42" s="8" t="s">
        <v>15</v>
      </c>
      <c r="E42" s="8" t="n">
        <v>18100</v>
      </c>
      <c r="F42" s="8" t="n">
        <v>13420</v>
      </c>
      <c r="G42" s="9" t="n">
        <v>4680</v>
      </c>
      <c r="H42" s="8" t="s">
        <v>11</v>
      </c>
      <c r="I42" s="8" t="s">
        <v>12</v>
      </c>
      <c r="J42" s="0"/>
    </row>
    <row r="43" customFormat="false" ht="13.8" hidden="false" customHeight="false" outlineLevel="0" collapsed="false">
      <c r="A43" s="6" t="n">
        <v>44904</v>
      </c>
      <c r="B43" s="7" t="n">
        <v>0.372916666666667</v>
      </c>
      <c r="C43" s="8" t="n">
        <v>15673</v>
      </c>
      <c r="D43" s="8" t="s">
        <v>18</v>
      </c>
      <c r="E43" s="8" t="n">
        <v>6620</v>
      </c>
      <c r="F43" s="8" t="n">
        <v>5620</v>
      </c>
      <c r="G43" s="9" t="n">
        <v>1000</v>
      </c>
      <c r="H43" s="8" t="s">
        <v>11</v>
      </c>
      <c r="I43" s="8" t="s">
        <v>19</v>
      </c>
      <c r="J43" s="0" t="s">
        <v>13</v>
      </c>
    </row>
    <row r="44" customFormat="false" ht="13.8" hidden="false" customHeight="false" outlineLevel="0" collapsed="false">
      <c r="A44" s="6" t="n">
        <v>44904</v>
      </c>
      <c r="B44" s="7" t="n">
        <v>0.255555555555556</v>
      </c>
      <c r="C44" s="8" t="n">
        <v>15663</v>
      </c>
      <c r="D44" s="8" t="s">
        <v>10</v>
      </c>
      <c r="E44" s="8" t="n">
        <v>24040</v>
      </c>
      <c r="F44" s="8" t="n">
        <v>15720</v>
      </c>
      <c r="G44" s="9" t="n">
        <v>8320</v>
      </c>
      <c r="H44" s="8" t="s">
        <v>11</v>
      </c>
      <c r="I44" s="8" t="s">
        <v>12</v>
      </c>
      <c r="J44" s="0" t="s">
        <v>13</v>
      </c>
    </row>
    <row r="45" customFormat="false" ht="13.8" hidden="false" customHeight="false" outlineLevel="0" collapsed="false">
      <c r="A45" s="6" t="n">
        <v>44904</v>
      </c>
      <c r="B45" s="7" t="n">
        <v>0.0875</v>
      </c>
      <c r="C45" s="8" t="n">
        <v>15652</v>
      </c>
      <c r="D45" s="8" t="s">
        <v>15</v>
      </c>
      <c r="E45" s="8" t="n">
        <v>17860</v>
      </c>
      <c r="F45" s="8" t="n">
        <v>13480</v>
      </c>
      <c r="G45" s="9" t="n">
        <v>4380</v>
      </c>
      <c r="H45" s="8" t="s">
        <v>11</v>
      </c>
      <c r="I45" s="8" t="s">
        <v>12</v>
      </c>
      <c r="J45" s="0" t="s">
        <v>13</v>
      </c>
    </row>
    <row r="46" customFormat="false" ht="13.8" hidden="false" customHeight="false" outlineLevel="0" collapsed="false">
      <c r="A46" s="6" t="n">
        <v>44904</v>
      </c>
      <c r="B46" s="7" t="n">
        <v>0.254166666666667</v>
      </c>
      <c r="C46" s="8" t="n">
        <v>15662</v>
      </c>
      <c r="D46" s="8" t="s">
        <v>14</v>
      </c>
      <c r="E46" s="8" t="n">
        <v>4600</v>
      </c>
      <c r="F46" s="8" t="n">
        <v>3820</v>
      </c>
      <c r="G46" s="9" t="n">
        <v>780</v>
      </c>
      <c r="H46" s="8" t="s">
        <v>11</v>
      </c>
      <c r="I46" s="8" t="s">
        <v>12</v>
      </c>
      <c r="J46" s="0" t="s">
        <v>13</v>
      </c>
    </row>
    <row r="47" customFormat="false" ht="13.8" hidden="false" customHeight="false" outlineLevel="0" collapsed="false">
      <c r="A47" s="6" t="n">
        <v>44904</v>
      </c>
      <c r="B47" s="7" t="n">
        <v>0.390972222222222</v>
      </c>
      <c r="C47" s="8" t="n">
        <v>148655</v>
      </c>
      <c r="D47" s="8" t="s">
        <v>10</v>
      </c>
      <c r="E47" s="8" t="n">
        <v>17360</v>
      </c>
      <c r="F47" s="8" t="n">
        <v>15820</v>
      </c>
      <c r="G47" s="9" t="n">
        <v>1540</v>
      </c>
      <c r="H47" s="8" t="s">
        <v>11</v>
      </c>
      <c r="I47" s="8" t="s">
        <v>20</v>
      </c>
      <c r="J47" s="1" t="s">
        <v>13</v>
      </c>
    </row>
    <row r="48" customFormat="false" ht="13.8" hidden="false" customHeight="false" outlineLevel="0" collapsed="false">
      <c r="A48" s="6" t="n">
        <v>44905</v>
      </c>
      <c r="B48" s="7" t="n">
        <v>0.245138888888889</v>
      </c>
      <c r="C48" s="8" t="n">
        <v>15713</v>
      </c>
      <c r="D48" s="8" t="s">
        <v>10</v>
      </c>
      <c r="E48" s="8" t="n">
        <v>26060</v>
      </c>
      <c r="F48" s="8" t="n">
        <v>15780</v>
      </c>
      <c r="G48" s="9" t="n">
        <v>10280</v>
      </c>
      <c r="H48" s="8" t="s">
        <v>11</v>
      </c>
      <c r="I48" s="8" t="s">
        <v>12</v>
      </c>
      <c r="J48" s="0" t="s">
        <v>13</v>
      </c>
    </row>
    <row r="49" customFormat="false" ht="13.8" hidden="false" customHeight="false" outlineLevel="0" collapsed="false">
      <c r="A49" s="6" t="n">
        <v>44905</v>
      </c>
      <c r="B49" s="7" t="n">
        <v>0.238194444444444</v>
      </c>
      <c r="C49" s="8" t="n">
        <v>15711</v>
      </c>
      <c r="D49" s="8" t="s">
        <v>14</v>
      </c>
      <c r="E49" s="8" t="n">
        <v>4740</v>
      </c>
      <c r="F49" s="8" t="n">
        <v>3800</v>
      </c>
      <c r="G49" s="9" t="n">
        <v>940</v>
      </c>
      <c r="H49" s="8" t="s">
        <v>11</v>
      </c>
      <c r="I49" s="8" t="s">
        <v>12</v>
      </c>
      <c r="J49" s="0" t="s">
        <v>13</v>
      </c>
    </row>
    <row r="50" customFormat="false" ht="13.8" hidden="false" customHeight="false" outlineLevel="0" collapsed="false">
      <c r="A50" s="6" t="n">
        <v>44905</v>
      </c>
      <c r="B50" s="7" t="n">
        <v>0.447222222222222</v>
      </c>
      <c r="C50" s="8" t="n">
        <v>15719</v>
      </c>
      <c r="D50" s="8" t="s">
        <v>18</v>
      </c>
      <c r="E50" s="8" t="n">
        <v>6220</v>
      </c>
      <c r="F50" s="8" t="n">
        <v>5580</v>
      </c>
      <c r="G50" s="9" t="n">
        <v>640</v>
      </c>
      <c r="H50" s="8" t="s">
        <v>11</v>
      </c>
      <c r="I50" s="8" t="s">
        <v>19</v>
      </c>
      <c r="J50" s="0" t="s">
        <v>13</v>
      </c>
    </row>
    <row r="51" customFormat="false" ht="13.8" hidden="false" customHeight="false" outlineLevel="0" collapsed="false">
      <c r="A51" s="6" t="n">
        <v>44905</v>
      </c>
      <c r="B51" s="7" t="n">
        <v>0.208333333333333</v>
      </c>
      <c r="C51" s="8" t="n">
        <v>15709</v>
      </c>
      <c r="D51" s="8" t="s">
        <v>15</v>
      </c>
      <c r="E51" s="8" t="n">
        <v>18880</v>
      </c>
      <c r="F51" s="8" t="n">
        <v>13220</v>
      </c>
      <c r="G51" s="9" t="n">
        <v>5660</v>
      </c>
      <c r="H51" s="8" t="s">
        <v>11</v>
      </c>
      <c r="I51" s="8" t="s">
        <v>12</v>
      </c>
      <c r="J51" s="0" t="s">
        <v>13</v>
      </c>
    </row>
    <row r="52" customFormat="false" ht="13.8" hidden="false" customHeight="false" outlineLevel="0" collapsed="false">
      <c r="A52" s="6" t="n">
        <v>44906</v>
      </c>
      <c r="B52" s="7" t="n">
        <v>0.215972222222222</v>
      </c>
      <c r="C52" s="8" t="n">
        <v>15731</v>
      </c>
      <c r="D52" s="8" t="s">
        <v>10</v>
      </c>
      <c r="E52" s="8" t="n">
        <v>25080</v>
      </c>
      <c r="F52" s="8" t="n">
        <v>15920</v>
      </c>
      <c r="G52" s="9" t="n">
        <v>9160</v>
      </c>
      <c r="H52" s="8" t="s">
        <v>11</v>
      </c>
      <c r="I52" s="8" t="s">
        <v>12</v>
      </c>
      <c r="J52" s="0" t="s">
        <v>13</v>
      </c>
    </row>
    <row r="53" customFormat="false" ht="13.8" hidden="false" customHeight="false" outlineLevel="0" collapsed="false">
      <c r="A53" s="6" t="n">
        <v>44906</v>
      </c>
      <c r="B53" s="7" t="n">
        <v>0.0895833333333333</v>
      </c>
      <c r="C53" s="8" t="n">
        <v>15722</v>
      </c>
      <c r="D53" s="8" t="s">
        <v>15</v>
      </c>
      <c r="E53" s="8" t="n">
        <v>19280</v>
      </c>
      <c r="F53" s="8" t="n">
        <v>13180</v>
      </c>
      <c r="G53" s="9" t="n">
        <v>6100</v>
      </c>
      <c r="H53" s="8" t="s">
        <v>11</v>
      </c>
      <c r="I53" s="8" t="s">
        <v>12</v>
      </c>
      <c r="J53" s="0" t="s">
        <v>13</v>
      </c>
    </row>
    <row r="54" customFormat="false" ht="13.8" hidden="false" customHeight="false" outlineLevel="0" collapsed="false">
      <c r="A54" s="6" t="n">
        <v>44906</v>
      </c>
      <c r="B54" s="7" t="n">
        <v>0.170138888888889</v>
      </c>
      <c r="C54" s="8" t="n">
        <v>15729</v>
      </c>
      <c r="D54" s="8" t="s">
        <v>14</v>
      </c>
      <c r="E54" s="8" t="n">
        <v>4820</v>
      </c>
      <c r="F54" s="8" t="n">
        <v>3800</v>
      </c>
      <c r="G54" s="9" t="n">
        <v>1020</v>
      </c>
      <c r="H54" s="8" t="s">
        <v>11</v>
      </c>
      <c r="I54" s="8" t="s">
        <v>12</v>
      </c>
      <c r="J54" s="0" t="s">
        <v>13</v>
      </c>
    </row>
    <row r="55" customFormat="false" ht="13.8" hidden="false" customHeight="false" outlineLevel="0" collapsed="false">
      <c r="A55" s="6" t="n">
        <v>44907</v>
      </c>
      <c r="B55" s="7" t="n">
        <v>0.241666666666667</v>
      </c>
      <c r="C55" s="8" t="n">
        <v>15748</v>
      </c>
      <c r="D55" s="8" t="s">
        <v>14</v>
      </c>
      <c r="E55" s="8" t="n">
        <v>4480</v>
      </c>
      <c r="F55" s="8" t="n">
        <v>3800</v>
      </c>
      <c r="G55" s="9" t="n">
        <v>680</v>
      </c>
      <c r="H55" s="8" t="s">
        <v>11</v>
      </c>
      <c r="I55" s="8" t="s">
        <v>12</v>
      </c>
      <c r="J55" s="0" t="s">
        <v>13</v>
      </c>
    </row>
    <row r="56" customFormat="false" ht="13.8" hidden="false" customHeight="false" outlineLevel="0" collapsed="false">
      <c r="A56" s="6" t="n">
        <v>44907</v>
      </c>
      <c r="B56" s="7" t="n">
        <v>0.248611111111111</v>
      </c>
      <c r="C56" s="8" t="n">
        <v>15749</v>
      </c>
      <c r="D56" s="8" t="s">
        <v>10</v>
      </c>
      <c r="E56" s="8" t="n">
        <v>22240</v>
      </c>
      <c r="F56" s="8" t="n">
        <v>15960</v>
      </c>
      <c r="G56" s="9" t="n">
        <v>6280</v>
      </c>
      <c r="H56" s="8" t="s">
        <v>11</v>
      </c>
      <c r="I56" s="8" t="s">
        <v>12</v>
      </c>
      <c r="J56" s="0" t="s">
        <v>13</v>
      </c>
    </row>
    <row r="57" customFormat="false" ht="13.8" hidden="false" customHeight="false" outlineLevel="0" collapsed="false">
      <c r="A57" s="6" t="n">
        <v>44907</v>
      </c>
      <c r="B57" s="7" t="n">
        <v>0.197222222222222</v>
      </c>
      <c r="C57" s="8" t="n">
        <v>15746</v>
      </c>
      <c r="D57" s="8" t="s">
        <v>15</v>
      </c>
      <c r="E57" s="8" t="n">
        <v>16420</v>
      </c>
      <c r="F57" s="8" t="n">
        <v>13160</v>
      </c>
      <c r="G57" s="9" t="n">
        <v>3260</v>
      </c>
      <c r="H57" s="8" t="s">
        <v>11</v>
      </c>
      <c r="I57" s="8" t="s">
        <v>12</v>
      </c>
      <c r="J57" s="0" t="s">
        <v>13</v>
      </c>
    </row>
    <row r="58" customFormat="false" ht="13.8" hidden="false" customHeight="false" outlineLevel="0" collapsed="false">
      <c r="A58" s="6" t="n">
        <v>44907</v>
      </c>
      <c r="B58" s="7" t="n">
        <v>0.341666666666667</v>
      </c>
      <c r="C58" s="8" t="n">
        <v>15755</v>
      </c>
      <c r="D58" s="8" t="s">
        <v>21</v>
      </c>
      <c r="E58" s="8" t="n">
        <v>3360</v>
      </c>
      <c r="F58" s="8" t="n">
        <v>2840</v>
      </c>
      <c r="G58" s="9" t="n">
        <v>520</v>
      </c>
      <c r="H58" s="8" t="s">
        <v>11</v>
      </c>
      <c r="I58" s="8" t="s">
        <v>17</v>
      </c>
      <c r="J58" s="0" t="s">
        <v>13</v>
      </c>
    </row>
    <row r="59" customFormat="false" ht="13.8" hidden="false" customHeight="false" outlineLevel="0" collapsed="false">
      <c r="A59" s="6" t="n">
        <v>44907</v>
      </c>
      <c r="B59" s="7" t="n">
        <v>0.506944444444444</v>
      </c>
      <c r="C59" s="8" t="n">
        <v>15767</v>
      </c>
      <c r="D59" s="8" t="s">
        <v>18</v>
      </c>
      <c r="E59" s="8" t="n">
        <v>6020</v>
      </c>
      <c r="F59" s="8" t="n">
        <v>5580</v>
      </c>
      <c r="G59" s="9" t="n">
        <v>440</v>
      </c>
      <c r="H59" s="8" t="s">
        <v>11</v>
      </c>
      <c r="I59" s="8" t="s">
        <v>19</v>
      </c>
      <c r="J59" s="0" t="s">
        <v>13</v>
      </c>
    </row>
    <row r="60" customFormat="false" ht="13.8" hidden="false" customHeight="false" outlineLevel="0" collapsed="false">
      <c r="A60" s="6" t="n">
        <v>44907</v>
      </c>
      <c r="B60" s="7" t="n">
        <v>0.536805555555556</v>
      </c>
      <c r="C60" s="8" t="n">
        <v>15773</v>
      </c>
      <c r="D60" s="8" t="s">
        <v>16</v>
      </c>
      <c r="E60" s="8" t="n">
        <v>3260</v>
      </c>
      <c r="F60" s="8" t="n">
        <v>2800</v>
      </c>
      <c r="G60" s="9" t="n">
        <v>460</v>
      </c>
      <c r="H60" s="8" t="s">
        <v>11</v>
      </c>
      <c r="I60" s="8" t="s">
        <v>17</v>
      </c>
      <c r="J60" s="0" t="s">
        <v>13</v>
      </c>
    </row>
    <row r="61" customFormat="false" ht="13.8" hidden="false" customHeight="false" outlineLevel="0" collapsed="false">
      <c r="A61" s="6" t="n">
        <v>44907</v>
      </c>
      <c r="B61" s="7" t="n">
        <v>0.520833333333333</v>
      </c>
      <c r="C61" s="8" t="n">
        <v>15768</v>
      </c>
      <c r="D61" s="8" t="s">
        <v>23</v>
      </c>
      <c r="E61" s="8" t="n">
        <v>2760</v>
      </c>
      <c r="F61" s="8" t="n">
        <v>2420</v>
      </c>
      <c r="G61" s="9" t="n">
        <v>340</v>
      </c>
      <c r="H61" s="8" t="s">
        <v>11</v>
      </c>
      <c r="I61" s="8" t="s">
        <v>12</v>
      </c>
      <c r="J61" s="0" t="s">
        <v>13</v>
      </c>
    </row>
    <row r="62" customFormat="false" ht="13.8" hidden="false" customHeight="false" outlineLevel="0" collapsed="false">
      <c r="A62" s="6" t="n">
        <v>44907</v>
      </c>
      <c r="B62" s="7" t="n">
        <v>0.522222222222222</v>
      </c>
      <c r="C62" s="8" t="n">
        <v>15770</v>
      </c>
      <c r="D62" s="7" t="s">
        <v>21</v>
      </c>
      <c r="E62" s="8" t="n">
        <v>2960</v>
      </c>
      <c r="F62" s="8" t="n">
        <v>2840</v>
      </c>
      <c r="G62" s="9" t="n">
        <v>120</v>
      </c>
      <c r="H62" s="8" t="s">
        <v>11</v>
      </c>
      <c r="I62" s="8" t="s">
        <v>17</v>
      </c>
      <c r="J62" s="0" t="s">
        <v>13</v>
      </c>
    </row>
    <row r="63" customFormat="false" ht="13.8" hidden="false" customHeight="false" outlineLevel="0" collapsed="false">
      <c r="A63" s="6" t="n">
        <v>44907</v>
      </c>
      <c r="B63" s="7" t="n">
        <v>0.470138888888889</v>
      </c>
      <c r="C63" s="8" t="n">
        <v>148746</v>
      </c>
      <c r="D63" s="8" t="s">
        <v>24</v>
      </c>
      <c r="E63" s="8" t="n">
        <v>17700</v>
      </c>
      <c r="F63" s="8" t="n">
        <v>16060</v>
      </c>
      <c r="G63" s="9" t="n">
        <v>1640</v>
      </c>
      <c r="H63" s="8" t="s">
        <v>11</v>
      </c>
      <c r="I63" s="8" t="s">
        <v>20</v>
      </c>
      <c r="J63" s="1" t="s">
        <v>13</v>
      </c>
    </row>
    <row r="64" customFormat="false" ht="13.8" hidden="false" customHeight="false" outlineLevel="0" collapsed="false">
      <c r="A64" s="6" t="n">
        <v>44908</v>
      </c>
      <c r="B64" s="7" t="n">
        <v>0.204861111111111</v>
      </c>
      <c r="C64" s="8" t="n">
        <v>15788</v>
      </c>
      <c r="D64" s="8" t="s">
        <v>15</v>
      </c>
      <c r="E64" s="8" t="n">
        <v>17800</v>
      </c>
      <c r="F64" s="8" t="n">
        <v>13260</v>
      </c>
      <c r="G64" s="9" t="n">
        <v>4540</v>
      </c>
      <c r="H64" s="8" t="s">
        <v>11</v>
      </c>
      <c r="I64" s="8" t="s">
        <v>12</v>
      </c>
      <c r="J64" s="0" t="s">
        <v>13</v>
      </c>
    </row>
    <row r="65" customFormat="false" ht="13.8" hidden="false" customHeight="false" outlineLevel="0" collapsed="false">
      <c r="A65" s="6" t="n">
        <v>44908</v>
      </c>
      <c r="B65" s="7" t="n">
        <v>0.2375</v>
      </c>
      <c r="C65" s="8" t="n">
        <v>15791</v>
      </c>
      <c r="D65" s="8" t="s">
        <v>14</v>
      </c>
      <c r="E65" s="8" t="n">
        <v>4240</v>
      </c>
      <c r="F65" s="8" t="n">
        <v>3800</v>
      </c>
      <c r="G65" s="9" t="n">
        <v>440</v>
      </c>
      <c r="H65" s="8" t="s">
        <v>11</v>
      </c>
      <c r="I65" s="8" t="s">
        <v>12</v>
      </c>
      <c r="J65" s="0" t="s">
        <v>13</v>
      </c>
    </row>
    <row r="66" customFormat="false" ht="13.8" hidden="false" customHeight="false" outlineLevel="0" collapsed="false">
      <c r="A66" s="6" t="n">
        <v>44908</v>
      </c>
      <c r="B66" s="7" t="n">
        <v>0.250694444444444</v>
      </c>
      <c r="C66" s="8" t="n">
        <v>15792</v>
      </c>
      <c r="D66" s="8" t="s">
        <v>10</v>
      </c>
      <c r="E66" s="8" t="n">
        <v>25380</v>
      </c>
      <c r="F66" s="8" t="n">
        <v>15860</v>
      </c>
      <c r="G66" s="9" t="n">
        <v>9520</v>
      </c>
      <c r="H66" s="8" t="s">
        <v>11</v>
      </c>
      <c r="I66" s="8" t="s">
        <v>12</v>
      </c>
      <c r="J66" s="0" t="s">
        <v>13</v>
      </c>
    </row>
    <row r="67" customFormat="false" ht="13.8" hidden="false" customHeight="false" outlineLevel="0" collapsed="false">
      <c r="A67" s="6" t="n">
        <v>44909</v>
      </c>
      <c r="B67" s="7" t="n">
        <v>0.251388888888889</v>
      </c>
      <c r="C67" s="8" t="n">
        <v>15826</v>
      </c>
      <c r="D67" s="8" t="s">
        <v>10</v>
      </c>
      <c r="E67" s="8" t="n">
        <v>22980</v>
      </c>
      <c r="F67" s="8" t="n">
        <v>15960</v>
      </c>
      <c r="G67" s="9" t="n">
        <v>7020</v>
      </c>
      <c r="H67" s="8" t="s">
        <v>11</v>
      </c>
      <c r="I67" s="8" t="s">
        <v>12</v>
      </c>
      <c r="J67" s="0" t="s">
        <v>13</v>
      </c>
    </row>
    <row r="68" customFormat="false" ht="13.8" hidden="false" customHeight="false" outlineLevel="0" collapsed="false">
      <c r="A68" s="6" t="n">
        <v>44909</v>
      </c>
      <c r="B68" s="7" t="n">
        <v>0.136805555555556</v>
      </c>
      <c r="C68" s="8" t="n">
        <v>15820</v>
      </c>
      <c r="D68" s="8" t="s">
        <v>15</v>
      </c>
      <c r="E68" s="8" t="n">
        <v>17300</v>
      </c>
      <c r="F68" s="8" t="n">
        <v>13420</v>
      </c>
      <c r="G68" s="9" t="n">
        <v>3880</v>
      </c>
      <c r="H68" s="8" t="s">
        <v>11</v>
      </c>
      <c r="I68" s="8" t="s">
        <v>12</v>
      </c>
      <c r="J68" s="0" t="s">
        <v>13</v>
      </c>
    </row>
    <row r="69" customFormat="false" ht="13.8" hidden="false" customHeight="false" outlineLevel="0" collapsed="false">
      <c r="A69" s="6" t="n">
        <v>44909</v>
      </c>
      <c r="B69" s="7" t="n">
        <v>0.259027777777778</v>
      </c>
      <c r="C69" s="8" t="n">
        <v>15827</v>
      </c>
      <c r="D69" s="8" t="s">
        <v>14</v>
      </c>
      <c r="E69" s="8" t="n">
        <v>4060</v>
      </c>
      <c r="F69" s="8" t="n">
        <v>3760</v>
      </c>
      <c r="G69" s="9" t="n">
        <v>300</v>
      </c>
      <c r="H69" s="8" t="s">
        <v>11</v>
      </c>
      <c r="I69" s="8" t="s">
        <v>12</v>
      </c>
      <c r="J69" s="0" t="s">
        <v>13</v>
      </c>
    </row>
    <row r="70" customFormat="false" ht="13.8" hidden="false" customHeight="false" outlineLevel="0" collapsed="false">
      <c r="A70" s="6" t="n">
        <v>44909</v>
      </c>
      <c r="B70" s="7" t="n">
        <v>0.520833333333333</v>
      </c>
      <c r="C70" s="8" t="n">
        <v>15850</v>
      </c>
      <c r="D70" s="8" t="s">
        <v>23</v>
      </c>
      <c r="E70" s="8" t="n">
        <v>2700</v>
      </c>
      <c r="F70" s="8" t="n">
        <v>2400</v>
      </c>
      <c r="G70" s="9" t="n">
        <v>300</v>
      </c>
      <c r="H70" s="8" t="s">
        <v>11</v>
      </c>
      <c r="I70" s="8" t="s">
        <v>12</v>
      </c>
      <c r="J70" s="0" t="s">
        <v>13</v>
      </c>
    </row>
    <row r="71" customFormat="false" ht="13.8" hidden="false" customHeight="false" outlineLevel="0" collapsed="false">
      <c r="A71" s="6" t="n">
        <v>44909</v>
      </c>
      <c r="B71" s="7" t="n">
        <v>0.469444444444444</v>
      </c>
      <c r="C71" s="8" t="n">
        <v>15843</v>
      </c>
      <c r="D71" s="8" t="s">
        <v>21</v>
      </c>
      <c r="E71" s="8" t="n">
        <v>3820</v>
      </c>
      <c r="F71" s="8" t="n">
        <v>2860</v>
      </c>
      <c r="G71" s="9" t="n">
        <v>960</v>
      </c>
      <c r="H71" s="8" t="s">
        <v>11</v>
      </c>
      <c r="I71" s="8" t="s">
        <v>17</v>
      </c>
      <c r="J71" s="0" t="s">
        <v>13</v>
      </c>
    </row>
    <row r="72" customFormat="false" ht="13.8" hidden="false" customHeight="false" outlineLevel="0" collapsed="false">
      <c r="A72" s="6" t="n">
        <v>44909</v>
      </c>
      <c r="B72" s="7" t="n">
        <v>0.505555555555556</v>
      </c>
      <c r="C72" s="8" t="n">
        <v>15849</v>
      </c>
      <c r="D72" s="8" t="s">
        <v>18</v>
      </c>
      <c r="E72" s="8" t="n">
        <v>6200</v>
      </c>
      <c r="F72" s="8" t="n">
        <v>5560</v>
      </c>
      <c r="G72" s="9" t="n">
        <v>640</v>
      </c>
      <c r="H72" s="8" t="s">
        <v>11</v>
      </c>
      <c r="I72" s="8" t="s">
        <v>19</v>
      </c>
      <c r="J72" s="0" t="s">
        <v>13</v>
      </c>
    </row>
    <row r="73" customFormat="false" ht="13.8" hidden="false" customHeight="false" outlineLevel="0" collapsed="false">
      <c r="A73" s="6" t="n">
        <v>44909</v>
      </c>
      <c r="B73" s="7" t="n">
        <v>0.473611111111111</v>
      </c>
      <c r="C73" s="8" t="n">
        <v>3773</v>
      </c>
      <c r="D73" s="8" t="s">
        <v>10</v>
      </c>
      <c r="E73" s="8" t="n">
        <v>17380</v>
      </c>
      <c r="F73" s="8" t="n">
        <v>15760</v>
      </c>
      <c r="G73" s="9" t="n">
        <v>1620</v>
      </c>
      <c r="H73" s="8" t="s">
        <v>11</v>
      </c>
      <c r="I73" s="8" t="s">
        <v>26</v>
      </c>
      <c r="J73" s="1" t="s">
        <v>13</v>
      </c>
    </row>
    <row r="74" customFormat="false" ht="13.8" hidden="false" customHeight="false" outlineLevel="0" collapsed="false">
      <c r="A74" s="6" t="n">
        <v>44909</v>
      </c>
      <c r="B74" s="7" t="n">
        <v>0.469444444444444</v>
      </c>
      <c r="C74" s="8" t="n">
        <v>15844</v>
      </c>
      <c r="D74" s="8" t="s">
        <v>16</v>
      </c>
      <c r="E74" s="8" t="n">
        <v>2920</v>
      </c>
      <c r="F74" s="8" t="n">
        <v>2680</v>
      </c>
      <c r="G74" s="9" t="n">
        <v>240</v>
      </c>
      <c r="H74" s="8" t="s">
        <v>11</v>
      </c>
      <c r="I74" s="8" t="s">
        <v>17</v>
      </c>
      <c r="J74" s="0" t="s">
        <v>13</v>
      </c>
    </row>
    <row r="75" customFormat="false" ht="13.8" hidden="false" customHeight="false" outlineLevel="0" collapsed="false">
      <c r="A75" s="6" t="n">
        <v>44910</v>
      </c>
      <c r="B75" s="7" t="n">
        <v>0.151388888888889</v>
      </c>
      <c r="C75" s="8" t="n">
        <v>15863</v>
      </c>
      <c r="D75" s="8" t="s">
        <v>15</v>
      </c>
      <c r="E75" s="8" t="n">
        <v>17300</v>
      </c>
      <c r="F75" s="8" t="n">
        <v>13380</v>
      </c>
      <c r="G75" s="9" t="n">
        <v>3920</v>
      </c>
      <c r="H75" s="8" t="s">
        <v>11</v>
      </c>
      <c r="I75" s="8" t="s">
        <v>12</v>
      </c>
      <c r="J75" s="0" t="s">
        <v>13</v>
      </c>
    </row>
    <row r="76" customFormat="false" ht="13.8" hidden="false" customHeight="false" outlineLevel="0" collapsed="false">
      <c r="A76" s="6" t="n">
        <v>44910</v>
      </c>
      <c r="B76" s="7" t="n">
        <v>0.229861111111111</v>
      </c>
      <c r="C76" s="8" t="n">
        <v>15871</v>
      </c>
      <c r="D76" s="8" t="s">
        <v>10</v>
      </c>
      <c r="E76" s="8" t="n">
        <v>24280</v>
      </c>
      <c r="F76" s="8" t="n">
        <v>15960</v>
      </c>
      <c r="G76" s="9" t="n">
        <v>8320</v>
      </c>
      <c r="H76" s="8" t="s">
        <v>11</v>
      </c>
      <c r="I76" s="8" t="s">
        <v>12</v>
      </c>
      <c r="J76" s="0" t="s">
        <v>13</v>
      </c>
    </row>
    <row r="77" customFormat="false" ht="13.8" hidden="false" customHeight="false" outlineLevel="0" collapsed="false">
      <c r="A77" s="6" t="n">
        <v>44910</v>
      </c>
      <c r="B77" s="7" t="n">
        <v>0.257638888888889</v>
      </c>
      <c r="C77" s="8" t="n">
        <v>15872</v>
      </c>
      <c r="D77" s="8" t="s">
        <v>14</v>
      </c>
      <c r="E77" s="8" t="n">
        <v>4140</v>
      </c>
      <c r="F77" s="8" t="n">
        <v>3760</v>
      </c>
      <c r="G77" s="9" t="n">
        <v>380</v>
      </c>
      <c r="H77" s="8" t="s">
        <v>11</v>
      </c>
      <c r="I77" s="8" t="s">
        <v>12</v>
      </c>
      <c r="J77" s="0" t="s">
        <v>13</v>
      </c>
    </row>
    <row r="78" customFormat="false" ht="13.8" hidden="false" customHeight="false" outlineLevel="0" collapsed="false">
      <c r="A78" s="6" t="n">
        <v>44910</v>
      </c>
      <c r="B78" s="7" t="n">
        <v>0.498611111111111</v>
      </c>
      <c r="C78" s="8" t="n">
        <v>149008</v>
      </c>
      <c r="D78" s="8" t="s">
        <v>10</v>
      </c>
      <c r="E78" s="8" t="n">
        <v>18020</v>
      </c>
      <c r="F78" s="8" t="n">
        <v>15720</v>
      </c>
      <c r="G78" s="9" t="n">
        <v>2300</v>
      </c>
      <c r="H78" s="8" t="s">
        <v>11</v>
      </c>
      <c r="I78" s="8" t="s">
        <v>20</v>
      </c>
      <c r="J78" s="1" t="s">
        <v>13</v>
      </c>
    </row>
    <row r="79" customFormat="false" ht="13.8" hidden="false" customHeight="false" outlineLevel="0" collapsed="false">
      <c r="A79" s="6" t="n">
        <v>44910</v>
      </c>
      <c r="B79" s="7" t="n">
        <v>0.49375</v>
      </c>
      <c r="C79" s="8" t="n">
        <v>15881</v>
      </c>
      <c r="D79" s="8" t="s">
        <v>16</v>
      </c>
      <c r="E79" s="8" t="n">
        <v>3460</v>
      </c>
      <c r="F79" s="8" t="n">
        <v>2780</v>
      </c>
      <c r="G79" s="9" t="n">
        <v>680</v>
      </c>
      <c r="H79" s="8" t="s">
        <v>11</v>
      </c>
      <c r="I79" s="8" t="s">
        <v>17</v>
      </c>
      <c r="J79" s="0" t="s">
        <v>13</v>
      </c>
    </row>
    <row r="80" customFormat="false" ht="13.8" hidden="false" customHeight="false" outlineLevel="0" collapsed="false">
      <c r="A80" s="6" t="n">
        <v>44910</v>
      </c>
      <c r="B80" s="7" t="n">
        <v>0.495833333333333</v>
      </c>
      <c r="C80" s="8" t="n">
        <v>15882</v>
      </c>
      <c r="D80" s="8" t="s">
        <v>23</v>
      </c>
      <c r="E80" s="8" t="n">
        <v>2700</v>
      </c>
      <c r="F80" s="8" t="n">
        <v>2380</v>
      </c>
      <c r="G80" s="9" t="n">
        <v>320</v>
      </c>
      <c r="H80" s="8" t="s">
        <v>11</v>
      </c>
      <c r="I80" s="8" t="s">
        <v>12</v>
      </c>
      <c r="J80" s="0" t="s">
        <v>13</v>
      </c>
    </row>
    <row r="81" customFormat="false" ht="13.8" hidden="false" customHeight="false" outlineLevel="0" collapsed="false">
      <c r="A81" s="6" t="n">
        <v>44911</v>
      </c>
      <c r="B81" s="7" t="n">
        <v>0.153472222222222</v>
      </c>
      <c r="C81" s="8" t="n">
        <v>15895</v>
      </c>
      <c r="D81" s="8" t="s">
        <v>15</v>
      </c>
      <c r="E81" s="8" t="n">
        <v>17460</v>
      </c>
      <c r="F81" s="8" t="n">
        <v>13340</v>
      </c>
      <c r="G81" s="9" t="n">
        <v>4120</v>
      </c>
      <c r="H81" s="8" t="s">
        <v>11</v>
      </c>
      <c r="I81" s="8" t="s">
        <v>12</v>
      </c>
      <c r="J81" s="0" t="s">
        <v>13</v>
      </c>
    </row>
    <row r="82" customFormat="false" ht="13.8" hidden="false" customHeight="false" outlineLevel="0" collapsed="false">
      <c r="A82" s="6" t="n">
        <v>44911</v>
      </c>
      <c r="B82" s="7" t="n">
        <v>0.229861111111111</v>
      </c>
      <c r="C82" s="8" t="n">
        <v>15898</v>
      </c>
      <c r="D82" s="8" t="s">
        <v>10</v>
      </c>
      <c r="E82" s="8" t="n">
        <v>22960</v>
      </c>
      <c r="F82" s="8" t="n">
        <v>15860</v>
      </c>
      <c r="G82" s="9" t="n">
        <v>7100</v>
      </c>
      <c r="H82" s="8" t="s">
        <v>11</v>
      </c>
      <c r="I82" s="8" t="s">
        <v>12</v>
      </c>
      <c r="J82" s="0" t="s">
        <v>13</v>
      </c>
    </row>
    <row r="83" customFormat="false" ht="13.8" hidden="false" customHeight="false" outlineLevel="0" collapsed="false">
      <c r="A83" s="6" t="n">
        <v>44911</v>
      </c>
      <c r="B83" s="7" t="n">
        <v>0.255555555555556</v>
      </c>
      <c r="C83" s="8" t="n">
        <v>15899</v>
      </c>
      <c r="D83" s="8" t="s">
        <v>14</v>
      </c>
      <c r="E83" s="8" t="n">
        <v>4100</v>
      </c>
      <c r="F83" s="8" t="n">
        <v>3760</v>
      </c>
      <c r="G83" s="9" t="n">
        <v>340</v>
      </c>
      <c r="H83" s="8" t="s">
        <v>11</v>
      </c>
      <c r="I83" s="8" t="s">
        <v>12</v>
      </c>
      <c r="J83" s="0" t="s">
        <v>13</v>
      </c>
    </row>
    <row r="84" customFormat="false" ht="13.8" hidden="false" customHeight="false" outlineLevel="0" collapsed="false">
      <c r="A84" s="6" t="n">
        <v>44911</v>
      </c>
      <c r="B84" s="7" t="n">
        <v>0.534027777777778</v>
      </c>
      <c r="C84" s="8" t="n">
        <v>15914</v>
      </c>
      <c r="D84" s="8" t="s">
        <v>16</v>
      </c>
      <c r="E84" s="8" t="n">
        <v>2940</v>
      </c>
      <c r="F84" s="8" t="n">
        <v>2780</v>
      </c>
      <c r="G84" s="9" t="n">
        <v>160</v>
      </c>
      <c r="H84" s="8" t="s">
        <v>11</v>
      </c>
      <c r="I84" s="8" t="s">
        <v>17</v>
      </c>
      <c r="J84" s="0" t="s">
        <v>13</v>
      </c>
    </row>
    <row r="85" customFormat="false" ht="13.8" hidden="false" customHeight="false" outlineLevel="0" collapsed="false">
      <c r="A85" s="6" t="n">
        <v>44912</v>
      </c>
      <c r="B85" s="7" t="n">
        <v>0.227083333333333</v>
      </c>
      <c r="C85" s="8" t="n">
        <v>15928</v>
      </c>
      <c r="D85" s="8" t="s">
        <v>10</v>
      </c>
      <c r="E85" s="8" t="n">
        <v>24740</v>
      </c>
      <c r="F85" s="8" t="n">
        <v>15820</v>
      </c>
      <c r="G85" s="9" t="n">
        <v>8920</v>
      </c>
      <c r="H85" s="8" t="s">
        <v>11</v>
      </c>
      <c r="I85" s="8" t="s">
        <v>12</v>
      </c>
      <c r="J85" s="0" t="s">
        <v>13</v>
      </c>
    </row>
    <row r="86" customFormat="false" ht="13.8" hidden="false" customHeight="false" outlineLevel="0" collapsed="false">
      <c r="A86" s="6" t="n">
        <v>44912</v>
      </c>
      <c r="B86" s="7" t="n">
        <v>0.261805555555556</v>
      </c>
      <c r="C86" s="8" t="n">
        <v>15929</v>
      </c>
      <c r="D86" s="8" t="s">
        <v>14</v>
      </c>
      <c r="E86" s="8" t="n">
        <v>4640</v>
      </c>
      <c r="F86" s="8" t="n">
        <v>3780</v>
      </c>
      <c r="G86" s="9" t="n">
        <v>860</v>
      </c>
      <c r="H86" s="8" t="s">
        <v>11</v>
      </c>
      <c r="I86" s="8" t="s">
        <v>12</v>
      </c>
      <c r="J86" s="0" t="s">
        <v>13</v>
      </c>
    </row>
    <row r="87" customFormat="false" ht="13.8" hidden="false" customHeight="false" outlineLevel="0" collapsed="false">
      <c r="A87" s="6" t="n">
        <v>44913</v>
      </c>
      <c r="B87" s="7" t="n">
        <v>0.170138888888889</v>
      </c>
      <c r="C87" s="8" t="n">
        <v>15948</v>
      </c>
      <c r="D87" s="8" t="s">
        <v>14</v>
      </c>
      <c r="E87" s="8" t="n">
        <v>4220</v>
      </c>
      <c r="F87" s="8" t="n">
        <v>3700</v>
      </c>
      <c r="G87" s="9" t="n">
        <v>520</v>
      </c>
      <c r="H87" s="8" t="s">
        <v>11</v>
      </c>
      <c r="I87" s="8" t="s">
        <v>12</v>
      </c>
      <c r="J87" s="0" t="s">
        <v>13</v>
      </c>
    </row>
    <row r="88" customFormat="false" ht="13.8" hidden="false" customHeight="false" outlineLevel="0" collapsed="false">
      <c r="A88" s="6" t="n">
        <v>44913</v>
      </c>
      <c r="B88" s="7" t="n">
        <v>0.166666666666667</v>
      </c>
      <c r="C88" s="8" t="n">
        <v>15947</v>
      </c>
      <c r="D88" s="8" t="s">
        <v>15</v>
      </c>
      <c r="E88" s="8" t="n">
        <v>18940</v>
      </c>
      <c r="F88" s="8" t="n">
        <v>13260</v>
      </c>
      <c r="G88" s="9" t="n">
        <v>5680</v>
      </c>
      <c r="H88" s="8" t="s">
        <v>11</v>
      </c>
      <c r="I88" s="8" t="s">
        <v>12</v>
      </c>
      <c r="J88" s="0" t="s">
        <v>13</v>
      </c>
    </row>
    <row r="89" customFormat="false" ht="13.8" hidden="false" customHeight="false" outlineLevel="0" collapsed="false">
      <c r="A89" s="6" t="n">
        <v>44913</v>
      </c>
      <c r="B89" s="7" t="n">
        <v>0.167361111111111</v>
      </c>
      <c r="C89" s="8" t="n">
        <v>15945</v>
      </c>
      <c r="D89" s="8" t="s">
        <v>10</v>
      </c>
      <c r="E89" s="8" t="n">
        <v>23120</v>
      </c>
      <c r="F89" s="8" t="n">
        <v>15840</v>
      </c>
      <c r="G89" s="9" t="n">
        <v>7280</v>
      </c>
      <c r="H89" s="8" t="s">
        <v>11</v>
      </c>
      <c r="I89" s="8" t="s">
        <v>12</v>
      </c>
      <c r="J89" s="0" t="s">
        <v>13</v>
      </c>
    </row>
    <row r="90" customFormat="false" ht="13.8" hidden="false" customHeight="false" outlineLevel="0" collapsed="false">
      <c r="A90" s="6" t="n">
        <v>44914</v>
      </c>
      <c r="B90" s="7" t="n">
        <v>0.255555555555556</v>
      </c>
      <c r="C90" s="8" t="n">
        <v>15968</v>
      </c>
      <c r="D90" s="8" t="s">
        <v>14</v>
      </c>
      <c r="E90" s="8" t="n">
        <v>4280</v>
      </c>
      <c r="F90" s="8" t="n">
        <v>3820</v>
      </c>
      <c r="G90" s="9" t="n">
        <v>460</v>
      </c>
      <c r="H90" s="8" t="s">
        <v>11</v>
      </c>
      <c r="I90" s="8" t="s">
        <v>12</v>
      </c>
      <c r="J90" s="0" t="s">
        <v>13</v>
      </c>
    </row>
    <row r="91" customFormat="false" ht="13.8" hidden="false" customHeight="false" outlineLevel="0" collapsed="false">
      <c r="A91" s="6" t="n">
        <v>44914</v>
      </c>
      <c r="B91" s="7" t="n">
        <v>0.240972222222222</v>
      </c>
      <c r="C91" s="8" t="n">
        <v>15966</v>
      </c>
      <c r="D91" s="8" t="s">
        <v>10</v>
      </c>
      <c r="E91" s="8" t="n">
        <v>24060</v>
      </c>
      <c r="F91" s="8" t="n">
        <v>15780</v>
      </c>
      <c r="G91" s="9" t="n">
        <v>8280</v>
      </c>
      <c r="H91" s="8" t="s">
        <v>11</v>
      </c>
      <c r="I91" s="8" t="s">
        <v>12</v>
      </c>
      <c r="J91" s="0" t="s">
        <v>13</v>
      </c>
    </row>
    <row r="92" customFormat="false" ht="13.8" hidden="false" customHeight="false" outlineLevel="0" collapsed="false">
      <c r="A92" s="6" t="n">
        <v>44914</v>
      </c>
      <c r="B92" s="7" t="n">
        <v>0.117361111111111</v>
      </c>
      <c r="C92" s="8" t="n">
        <v>15958</v>
      </c>
      <c r="D92" s="8" t="s">
        <v>15</v>
      </c>
      <c r="E92" s="8" t="n">
        <v>17580</v>
      </c>
      <c r="F92" s="8" t="n">
        <v>13440</v>
      </c>
      <c r="G92" s="9" t="n">
        <v>4140</v>
      </c>
      <c r="H92" s="8" t="s">
        <v>11</v>
      </c>
      <c r="I92" s="8" t="s">
        <v>12</v>
      </c>
      <c r="J92" s="0" t="s">
        <v>13</v>
      </c>
    </row>
    <row r="93" customFormat="false" ht="13.8" hidden="false" customHeight="false" outlineLevel="0" collapsed="false">
      <c r="A93" s="6" t="n">
        <v>44914</v>
      </c>
      <c r="B93" s="7" t="n">
        <v>0.510416666666667</v>
      </c>
      <c r="C93" s="8" t="n">
        <v>15987</v>
      </c>
      <c r="D93" s="8" t="s">
        <v>21</v>
      </c>
      <c r="E93" s="8" t="n">
        <v>3280</v>
      </c>
      <c r="F93" s="8" t="n">
        <v>2840</v>
      </c>
      <c r="G93" s="9" t="n">
        <v>440</v>
      </c>
      <c r="H93" s="8" t="s">
        <v>11</v>
      </c>
      <c r="I93" s="8" t="s">
        <v>19</v>
      </c>
      <c r="J93" s="0" t="s">
        <v>13</v>
      </c>
    </row>
    <row r="94" customFormat="false" ht="13.8" hidden="false" customHeight="false" outlineLevel="0" collapsed="false">
      <c r="A94" s="6" t="n">
        <v>44914</v>
      </c>
      <c r="B94" s="7" t="n">
        <v>0.545138888888889</v>
      </c>
      <c r="C94" s="8" t="n">
        <v>15991</v>
      </c>
      <c r="D94" s="8" t="s">
        <v>16</v>
      </c>
      <c r="E94" s="8" t="n">
        <v>3020</v>
      </c>
      <c r="F94" s="8" t="n">
        <v>2720</v>
      </c>
      <c r="G94" s="9" t="n">
        <v>300</v>
      </c>
      <c r="H94" s="8" t="s">
        <v>11</v>
      </c>
      <c r="I94" s="8" t="s">
        <v>17</v>
      </c>
      <c r="J94" s="0" t="s">
        <v>13</v>
      </c>
    </row>
    <row r="95" customFormat="false" ht="13.8" hidden="false" customHeight="false" outlineLevel="0" collapsed="false">
      <c r="A95" s="6" t="n">
        <v>44915</v>
      </c>
      <c r="B95" s="7" t="n">
        <v>0.139583333333333</v>
      </c>
      <c r="C95" s="8" t="n">
        <v>16008</v>
      </c>
      <c r="D95" s="8" t="s">
        <v>15</v>
      </c>
      <c r="E95" s="8" t="n">
        <v>17760</v>
      </c>
      <c r="F95" s="8" t="n">
        <v>13400</v>
      </c>
      <c r="G95" s="9" t="n">
        <v>4360</v>
      </c>
      <c r="H95" s="8" t="s">
        <v>11</v>
      </c>
      <c r="I95" s="8" t="s">
        <v>12</v>
      </c>
      <c r="J95" s="0" t="s">
        <v>13</v>
      </c>
    </row>
    <row r="96" customFormat="false" ht="13.8" hidden="false" customHeight="false" outlineLevel="0" collapsed="false">
      <c r="A96" s="6" t="n">
        <v>44915</v>
      </c>
      <c r="B96" s="7" t="n">
        <v>0.231944444444444</v>
      </c>
      <c r="C96" s="8" t="n">
        <v>16014</v>
      </c>
      <c r="D96" s="8" t="s">
        <v>10</v>
      </c>
      <c r="E96" s="8" t="n">
        <v>23760</v>
      </c>
      <c r="F96" s="8" t="n">
        <v>15940</v>
      </c>
      <c r="G96" s="9" t="n">
        <v>7820</v>
      </c>
      <c r="H96" s="8" t="s">
        <v>11</v>
      </c>
      <c r="I96" s="8" t="s">
        <v>12</v>
      </c>
      <c r="J96" s="0" t="s">
        <v>13</v>
      </c>
    </row>
    <row r="97" customFormat="false" ht="13.8" hidden="false" customHeight="false" outlineLevel="0" collapsed="false">
      <c r="A97" s="6" t="n">
        <v>44915</v>
      </c>
      <c r="B97" s="7" t="n">
        <v>0.493055555555556</v>
      </c>
      <c r="C97" s="8" t="n">
        <v>16032</v>
      </c>
      <c r="D97" s="8" t="s">
        <v>16</v>
      </c>
      <c r="E97" s="8" t="n">
        <v>3100</v>
      </c>
      <c r="F97" s="8" t="n">
        <v>2720</v>
      </c>
      <c r="G97" s="9" t="n">
        <v>380</v>
      </c>
      <c r="H97" s="8" t="s">
        <v>11</v>
      </c>
      <c r="I97" s="8" t="s">
        <v>17</v>
      </c>
      <c r="J97" s="0" t="s">
        <v>13</v>
      </c>
    </row>
    <row r="98" customFormat="false" ht="13.8" hidden="false" customHeight="false" outlineLevel="0" collapsed="false">
      <c r="A98" s="6" t="n">
        <v>44915</v>
      </c>
      <c r="B98" s="7" t="n">
        <v>0.581944444444444</v>
      </c>
      <c r="C98" s="8" t="n">
        <v>16037</v>
      </c>
      <c r="D98" s="8" t="s">
        <v>16</v>
      </c>
      <c r="E98" s="8" t="n">
        <v>2880</v>
      </c>
      <c r="F98" s="8" t="n">
        <v>2720</v>
      </c>
      <c r="G98" s="9" t="n">
        <v>160</v>
      </c>
      <c r="H98" s="8" t="s">
        <v>11</v>
      </c>
      <c r="I98" s="8" t="s">
        <v>17</v>
      </c>
      <c r="J98" s="0" t="s">
        <v>13</v>
      </c>
    </row>
    <row r="99" customFormat="false" ht="13.8" hidden="false" customHeight="false" outlineLevel="0" collapsed="false">
      <c r="A99" s="6" t="n">
        <v>44915</v>
      </c>
      <c r="B99" s="7" t="n">
        <v>0.515277777777778</v>
      </c>
      <c r="C99" s="8" t="n">
        <v>16034</v>
      </c>
      <c r="D99" s="8" t="s">
        <v>23</v>
      </c>
      <c r="E99" s="8" t="n">
        <v>2660</v>
      </c>
      <c r="F99" s="8" t="n">
        <v>2400</v>
      </c>
      <c r="G99" s="9" t="n">
        <v>260</v>
      </c>
      <c r="H99" s="8" t="s">
        <v>11</v>
      </c>
      <c r="I99" s="8" t="s">
        <v>12</v>
      </c>
      <c r="J99" s="0" t="s">
        <v>13</v>
      </c>
    </row>
    <row r="100" customFormat="false" ht="13.8" hidden="false" customHeight="false" outlineLevel="0" collapsed="false">
      <c r="A100" s="6" t="n">
        <v>44915</v>
      </c>
      <c r="B100" s="7" t="n">
        <v>0.253472222222222</v>
      </c>
      <c r="C100" s="8" t="n">
        <v>16015</v>
      </c>
      <c r="D100" s="8" t="s">
        <v>14</v>
      </c>
      <c r="E100" s="8" t="n">
        <v>4080</v>
      </c>
      <c r="F100" s="8" t="n">
        <v>3800</v>
      </c>
      <c r="G100" s="9" t="n">
        <v>280</v>
      </c>
      <c r="H100" s="8" t="s">
        <v>11</v>
      </c>
      <c r="I100" s="8" t="s">
        <v>12</v>
      </c>
      <c r="J100" s="0" t="s">
        <v>13</v>
      </c>
    </row>
    <row r="101" customFormat="false" ht="13.8" hidden="false" customHeight="false" outlineLevel="0" collapsed="false">
      <c r="A101" s="6" t="n">
        <v>44916</v>
      </c>
      <c r="B101" s="7" t="n">
        <v>0.186805555555556</v>
      </c>
      <c r="C101" s="8" t="n">
        <v>16058</v>
      </c>
      <c r="D101" s="8" t="s">
        <v>15</v>
      </c>
      <c r="E101" s="8" t="n">
        <v>17380</v>
      </c>
      <c r="F101" s="8" t="n">
        <v>13220</v>
      </c>
      <c r="G101" s="9" t="n">
        <v>4160</v>
      </c>
      <c r="H101" s="8" t="s">
        <v>11</v>
      </c>
      <c r="I101" s="8" t="s">
        <v>12</v>
      </c>
      <c r="J101" s="0" t="s">
        <v>13</v>
      </c>
    </row>
    <row r="102" customFormat="false" ht="13.8" hidden="false" customHeight="false" outlineLevel="0" collapsed="false">
      <c r="A102" s="6" t="n">
        <v>44916</v>
      </c>
      <c r="B102" s="7" t="n">
        <v>0.343055555555555</v>
      </c>
      <c r="C102" s="8" t="n">
        <v>16069</v>
      </c>
      <c r="D102" s="8" t="s">
        <v>18</v>
      </c>
      <c r="E102" s="8" t="n">
        <v>6200</v>
      </c>
      <c r="F102" s="8" t="n">
        <v>5580</v>
      </c>
      <c r="G102" s="9" t="n">
        <v>620</v>
      </c>
      <c r="H102" s="8" t="s">
        <v>11</v>
      </c>
      <c r="I102" s="8" t="s">
        <v>19</v>
      </c>
      <c r="J102" s="0" t="s">
        <v>13</v>
      </c>
    </row>
    <row r="103" customFormat="false" ht="13.8" hidden="false" customHeight="false" outlineLevel="0" collapsed="false">
      <c r="A103" s="6" t="n">
        <v>44916</v>
      </c>
      <c r="B103" s="7" t="n">
        <v>0.240972222222222</v>
      </c>
      <c r="C103" s="8" t="n">
        <v>16061</v>
      </c>
      <c r="D103" s="8" t="s">
        <v>14</v>
      </c>
      <c r="E103" s="8" t="n">
        <v>4040</v>
      </c>
      <c r="F103" s="8" t="n">
        <v>3580</v>
      </c>
      <c r="G103" s="9" t="n">
        <v>460</v>
      </c>
      <c r="H103" s="8" t="s">
        <v>11</v>
      </c>
      <c r="I103" s="8" t="s">
        <v>12</v>
      </c>
      <c r="J103" s="0" t="s">
        <v>13</v>
      </c>
    </row>
    <row r="104" customFormat="false" ht="13.8" hidden="false" customHeight="false" outlineLevel="0" collapsed="false">
      <c r="A104" s="6" t="n">
        <v>44916</v>
      </c>
      <c r="B104" s="7" t="n">
        <v>0.55</v>
      </c>
      <c r="C104" s="8" t="n">
        <v>16087</v>
      </c>
      <c r="D104" s="8" t="s">
        <v>16</v>
      </c>
      <c r="E104" s="8" t="n">
        <v>3000</v>
      </c>
      <c r="F104" s="8" t="n">
        <v>2660</v>
      </c>
      <c r="G104" s="9" t="n">
        <v>340</v>
      </c>
      <c r="H104" s="8" t="s">
        <v>11</v>
      </c>
      <c r="I104" s="8" t="s">
        <v>17</v>
      </c>
      <c r="J104" s="0" t="s">
        <v>13</v>
      </c>
    </row>
    <row r="105" customFormat="false" ht="13.8" hidden="false" customHeight="false" outlineLevel="0" collapsed="false">
      <c r="A105" s="6" t="n">
        <v>44916</v>
      </c>
      <c r="B105" s="7" t="n">
        <v>0.3</v>
      </c>
      <c r="C105" s="8" t="n">
        <v>16066</v>
      </c>
      <c r="D105" s="8" t="s">
        <v>10</v>
      </c>
      <c r="E105" s="8" t="n">
        <v>24800</v>
      </c>
      <c r="F105" s="8" t="n">
        <v>15860</v>
      </c>
      <c r="G105" s="9" t="n">
        <v>8940</v>
      </c>
      <c r="H105" s="8" t="s">
        <v>11</v>
      </c>
      <c r="I105" s="8" t="s">
        <v>12</v>
      </c>
      <c r="J105" s="0" t="s">
        <v>13</v>
      </c>
    </row>
    <row r="106" customFormat="false" ht="13.8" hidden="false" customHeight="false" outlineLevel="0" collapsed="false">
      <c r="A106" s="6" t="n">
        <v>44916</v>
      </c>
      <c r="B106" s="7" t="n">
        <v>0.502777777777778</v>
      </c>
      <c r="C106" s="8" t="n">
        <v>3789</v>
      </c>
      <c r="D106" s="8" t="s">
        <v>10</v>
      </c>
      <c r="E106" s="8" t="n">
        <v>16980</v>
      </c>
      <c r="F106" s="8" t="n">
        <v>15760</v>
      </c>
      <c r="G106" s="9" t="n">
        <v>1220</v>
      </c>
      <c r="H106" s="8" t="s">
        <v>11</v>
      </c>
      <c r="I106" s="8" t="s">
        <v>26</v>
      </c>
      <c r="J106" s="1" t="s">
        <v>13</v>
      </c>
    </row>
    <row r="107" customFormat="false" ht="13.8" hidden="false" customHeight="false" outlineLevel="0" collapsed="false">
      <c r="A107" s="6" t="n">
        <v>44917</v>
      </c>
      <c r="B107" s="7" t="n">
        <v>0.359722222222222</v>
      </c>
      <c r="C107" s="8" t="n">
        <v>16119</v>
      </c>
      <c r="D107" s="8" t="s">
        <v>18</v>
      </c>
      <c r="E107" s="8" t="n">
        <v>6520</v>
      </c>
      <c r="F107" s="8" t="n">
        <v>5580</v>
      </c>
      <c r="G107" s="9" t="n">
        <v>940</v>
      </c>
      <c r="H107" s="8" t="s">
        <v>11</v>
      </c>
      <c r="I107" s="8" t="s">
        <v>19</v>
      </c>
      <c r="J107" s="0" t="s">
        <v>13</v>
      </c>
    </row>
    <row r="108" customFormat="false" ht="13.8" hidden="false" customHeight="false" outlineLevel="0" collapsed="false">
      <c r="A108" s="6" t="n">
        <v>44917</v>
      </c>
      <c r="B108" s="7" t="n">
        <v>0.519444444444444</v>
      </c>
      <c r="C108" s="8" t="n">
        <v>16134</v>
      </c>
      <c r="D108" s="8" t="s">
        <v>18</v>
      </c>
      <c r="E108" s="8" t="n">
        <v>6400</v>
      </c>
      <c r="F108" s="8" t="n">
        <v>5560</v>
      </c>
      <c r="G108" s="9" t="n">
        <v>840</v>
      </c>
      <c r="H108" s="8" t="s">
        <v>11</v>
      </c>
      <c r="I108" s="8" t="s">
        <v>19</v>
      </c>
      <c r="J108" s="0" t="s">
        <v>13</v>
      </c>
    </row>
    <row r="109" customFormat="false" ht="13.8" hidden="false" customHeight="false" outlineLevel="0" collapsed="false">
      <c r="A109" s="6" t="n">
        <v>44917</v>
      </c>
      <c r="B109" s="7" t="n">
        <v>0.236805555555556</v>
      </c>
      <c r="C109" s="8" t="n">
        <v>16111</v>
      </c>
      <c r="D109" s="8" t="s">
        <v>14</v>
      </c>
      <c r="E109" s="8" t="n">
        <v>4120</v>
      </c>
      <c r="F109" s="8" t="n">
        <v>3780</v>
      </c>
      <c r="G109" s="9" t="n">
        <v>340</v>
      </c>
      <c r="H109" s="8" t="s">
        <v>11</v>
      </c>
      <c r="I109" s="8" t="s">
        <v>12</v>
      </c>
      <c r="J109" s="0" t="s">
        <v>13</v>
      </c>
    </row>
    <row r="110" customFormat="false" ht="13.8" hidden="false" customHeight="false" outlineLevel="0" collapsed="false">
      <c r="A110" s="6" t="n">
        <v>44917</v>
      </c>
      <c r="B110" s="7" t="n">
        <v>0.203472222222222</v>
      </c>
      <c r="C110" s="8" t="n">
        <v>16106</v>
      </c>
      <c r="D110" s="8" t="s">
        <v>15</v>
      </c>
      <c r="E110" s="8" t="n">
        <v>17720</v>
      </c>
      <c r="F110" s="8" t="n">
        <v>13200</v>
      </c>
      <c r="G110" s="9" t="n">
        <v>4520</v>
      </c>
      <c r="H110" s="8" t="s">
        <v>11</v>
      </c>
      <c r="I110" s="8" t="s">
        <v>12</v>
      </c>
      <c r="J110" s="0" t="s">
        <v>13</v>
      </c>
    </row>
    <row r="111" customFormat="false" ht="13.8" hidden="false" customHeight="false" outlineLevel="0" collapsed="false">
      <c r="A111" s="6" t="n">
        <v>44917</v>
      </c>
      <c r="B111" s="7" t="n">
        <v>0.229166666666667</v>
      </c>
      <c r="C111" s="8" t="n">
        <v>16110</v>
      </c>
      <c r="D111" s="8" t="s">
        <v>10</v>
      </c>
      <c r="E111" s="8" t="n">
        <v>23980</v>
      </c>
      <c r="F111" s="8" t="n">
        <v>15880</v>
      </c>
      <c r="G111" s="9" t="n">
        <v>8100</v>
      </c>
      <c r="H111" s="8" t="s">
        <v>11</v>
      </c>
      <c r="I111" s="8" t="s">
        <v>12</v>
      </c>
      <c r="J111" s="0" t="s">
        <v>13</v>
      </c>
    </row>
    <row r="112" customFormat="false" ht="13.8" hidden="false" customHeight="false" outlineLevel="0" collapsed="false">
      <c r="A112" s="6" t="n">
        <v>44917</v>
      </c>
      <c r="B112" s="7" t="n">
        <v>0.520833333333333</v>
      </c>
      <c r="C112" s="8" t="n">
        <v>16132</v>
      </c>
      <c r="D112" s="8" t="s">
        <v>23</v>
      </c>
      <c r="E112" s="8" t="n">
        <v>2600</v>
      </c>
      <c r="F112" s="8" t="n">
        <v>2380</v>
      </c>
      <c r="G112" s="9" t="n">
        <v>220</v>
      </c>
      <c r="H112" s="8" t="s">
        <v>11</v>
      </c>
      <c r="I112" s="8" t="s">
        <v>12</v>
      </c>
      <c r="J112" s="0" t="s">
        <v>13</v>
      </c>
    </row>
    <row r="113" customFormat="false" ht="13.8" hidden="false" customHeight="false" outlineLevel="0" collapsed="false">
      <c r="A113" s="6" t="n">
        <v>44917</v>
      </c>
      <c r="B113" s="7" t="n">
        <v>0.524305555555556</v>
      </c>
      <c r="C113" s="8" t="n">
        <v>149298</v>
      </c>
      <c r="D113" s="8" t="s">
        <v>10</v>
      </c>
      <c r="E113" s="8" t="n">
        <v>17820</v>
      </c>
      <c r="F113" s="8" t="n">
        <v>15780</v>
      </c>
      <c r="G113" s="9" t="n">
        <v>2040</v>
      </c>
      <c r="H113" s="8" t="s">
        <v>11</v>
      </c>
      <c r="I113" s="8" t="s">
        <v>20</v>
      </c>
      <c r="J113" s="1" t="s">
        <v>13</v>
      </c>
    </row>
    <row r="114" customFormat="false" ht="13.8" hidden="false" customHeight="false" outlineLevel="0" collapsed="false">
      <c r="A114" s="6" t="n">
        <v>44917</v>
      </c>
      <c r="B114" s="7" t="n">
        <v>0.553472222222222</v>
      </c>
      <c r="C114" s="8" t="n">
        <v>16137</v>
      </c>
      <c r="D114" s="8" t="s">
        <v>16</v>
      </c>
      <c r="E114" s="8" t="n">
        <v>2960</v>
      </c>
      <c r="F114" s="8" t="n">
        <v>2700</v>
      </c>
      <c r="G114" s="9" t="n">
        <v>260</v>
      </c>
      <c r="H114" s="8" t="s">
        <v>11</v>
      </c>
      <c r="I114" s="8" t="s">
        <v>17</v>
      </c>
      <c r="J114" s="0" t="s">
        <v>13</v>
      </c>
    </row>
    <row r="115" customFormat="false" ht="13.8" hidden="false" customHeight="false" outlineLevel="0" collapsed="false">
      <c r="A115" s="6" t="n">
        <v>44918</v>
      </c>
      <c r="B115" s="7" t="n">
        <v>0.256944444444444</v>
      </c>
      <c r="C115" s="8" t="n">
        <v>16157</v>
      </c>
      <c r="D115" s="8" t="s">
        <v>14</v>
      </c>
      <c r="E115" s="8" t="n">
        <v>4200</v>
      </c>
      <c r="F115" s="8" t="n">
        <v>3760</v>
      </c>
      <c r="G115" s="9" t="n">
        <v>440</v>
      </c>
      <c r="H115" s="8" t="s">
        <v>11</v>
      </c>
      <c r="I115" s="8" t="s">
        <v>12</v>
      </c>
      <c r="J115" s="0" t="s">
        <v>13</v>
      </c>
    </row>
    <row r="116" customFormat="false" ht="13.8" hidden="false" customHeight="false" outlineLevel="0" collapsed="false">
      <c r="A116" s="6" t="n">
        <v>44918</v>
      </c>
      <c r="B116" s="7" t="n">
        <v>0.504166666666667</v>
      </c>
      <c r="C116" s="8" t="n">
        <v>16180</v>
      </c>
      <c r="D116" s="8" t="s">
        <v>23</v>
      </c>
      <c r="E116" s="8" t="n">
        <v>2680</v>
      </c>
      <c r="F116" s="8" t="n">
        <v>2380</v>
      </c>
      <c r="G116" s="9" t="n">
        <v>300</v>
      </c>
      <c r="H116" s="8" t="s">
        <v>11</v>
      </c>
      <c r="I116" s="8" t="s">
        <v>12</v>
      </c>
      <c r="J116" s="0" t="s">
        <v>13</v>
      </c>
    </row>
    <row r="117" customFormat="false" ht="13.8" hidden="false" customHeight="false" outlineLevel="0" collapsed="false">
      <c r="A117" s="6" t="n">
        <v>44918</v>
      </c>
      <c r="B117" s="7" t="n">
        <v>0.191666666666667</v>
      </c>
      <c r="C117" s="8" t="n">
        <v>16154</v>
      </c>
      <c r="D117" s="8" t="s">
        <v>15</v>
      </c>
      <c r="E117" s="8" t="n">
        <v>17400</v>
      </c>
      <c r="F117" s="8" t="n">
        <v>13140</v>
      </c>
      <c r="G117" s="9" t="n">
        <v>4260</v>
      </c>
      <c r="H117" s="8" t="s">
        <v>11</v>
      </c>
      <c r="I117" s="8" t="s">
        <v>12</v>
      </c>
      <c r="J117" s="0" t="s">
        <v>13</v>
      </c>
    </row>
    <row r="118" customFormat="false" ht="13.8" hidden="false" customHeight="false" outlineLevel="0" collapsed="false">
      <c r="A118" s="6" t="n">
        <v>44918</v>
      </c>
      <c r="B118" s="7" t="n">
        <v>0.190972222222222</v>
      </c>
      <c r="C118" s="8" t="n">
        <v>16153</v>
      </c>
      <c r="D118" s="8" t="s">
        <v>10</v>
      </c>
      <c r="E118" s="8" t="n">
        <v>24640</v>
      </c>
      <c r="F118" s="8" t="n">
        <v>15880</v>
      </c>
      <c r="G118" s="9" t="n">
        <v>8760</v>
      </c>
      <c r="H118" s="8" t="s">
        <v>11</v>
      </c>
      <c r="I118" s="8" t="s">
        <v>12</v>
      </c>
      <c r="J118" s="0" t="s">
        <v>13</v>
      </c>
    </row>
    <row r="119" customFormat="false" ht="13.8" hidden="false" customHeight="false" outlineLevel="0" collapsed="false">
      <c r="A119" s="6" t="n">
        <v>44918</v>
      </c>
      <c r="B119" s="7" t="n">
        <v>0.342361111111111</v>
      </c>
      <c r="C119" s="8" t="n">
        <v>16168</v>
      </c>
      <c r="D119" s="8" t="s">
        <v>24</v>
      </c>
      <c r="E119" s="8" t="n">
        <v>17960</v>
      </c>
      <c r="F119" s="8" t="n">
        <v>16040</v>
      </c>
      <c r="G119" s="9" t="n">
        <v>1920</v>
      </c>
      <c r="H119" s="8" t="s">
        <v>11</v>
      </c>
      <c r="I119" s="8" t="s">
        <v>19</v>
      </c>
      <c r="J119" s="0" t="s">
        <v>13</v>
      </c>
    </row>
    <row r="120" customFormat="false" ht="13.8" hidden="false" customHeight="false" outlineLevel="0" collapsed="false">
      <c r="A120" s="6" t="n">
        <v>44918</v>
      </c>
      <c r="B120" s="7" t="n">
        <v>0.515277777777778</v>
      </c>
      <c r="C120" s="8" t="n">
        <v>16183</v>
      </c>
      <c r="D120" s="8" t="s">
        <v>21</v>
      </c>
      <c r="E120" s="8" t="n">
        <v>3220</v>
      </c>
      <c r="F120" s="8" t="n">
        <v>2860</v>
      </c>
      <c r="G120" s="9" t="n">
        <v>360</v>
      </c>
      <c r="H120" s="8" t="s">
        <v>11</v>
      </c>
      <c r="I120" s="8" t="s">
        <v>19</v>
      </c>
      <c r="J120" s="0" t="s">
        <v>13</v>
      </c>
    </row>
    <row r="121" customFormat="false" ht="13.8" hidden="false" customHeight="false" outlineLevel="0" collapsed="false">
      <c r="A121" s="6" t="n">
        <v>44919</v>
      </c>
      <c r="B121" s="7" t="n">
        <v>0.242361111111111</v>
      </c>
      <c r="C121" s="8" t="n">
        <v>16203</v>
      </c>
      <c r="D121" s="8" t="s">
        <v>14</v>
      </c>
      <c r="E121" s="8" t="n">
        <v>4320</v>
      </c>
      <c r="F121" s="8" t="n">
        <v>3780</v>
      </c>
      <c r="G121" s="9" t="n">
        <v>540</v>
      </c>
      <c r="H121" s="8" t="s">
        <v>11</v>
      </c>
      <c r="I121" s="8" t="s">
        <v>12</v>
      </c>
      <c r="J121" s="0" t="s">
        <v>13</v>
      </c>
    </row>
    <row r="122" customFormat="false" ht="13.8" hidden="false" customHeight="false" outlineLevel="0" collapsed="false">
      <c r="A122" s="6" t="n">
        <v>44919</v>
      </c>
      <c r="B122" s="7" t="n">
        <v>0.201388888888889</v>
      </c>
      <c r="C122" s="8" t="n">
        <v>16199</v>
      </c>
      <c r="D122" s="8" t="s">
        <v>15</v>
      </c>
      <c r="E122" s="8" t="n">
        <v>18960</v>
      </c>
      <c r="F122" s="8" t="n">
        <v>13240</v>
      </c>
      <c r="G122" s="9" t="n">
        <v>5720</v>
      </c>
      <c r="H122" s="8" t="s">
        <v>11</v>
      </c>
      <c r="I122" s="8" t="s">
        <v>12</v>
      </c>
      <c r="J122" s="0" t="s">
        <v>13</v>
      </c>
    </row>
    <row r="123" customFormat="false" ht="13.8" hidden="false" customHeight="false" outlineLevel="0" collapsed="false">
      <c r="A123" s="6" t="n">
        <v>44919</v>
      </c>
      <c r="B123" s="7" t="n">
        <v>0.254166666666667</v>
      </c>
      <c r="C123" s="8" t="n">
        <v>16204</v>
      </c>
      <c r="D123" s="8" t="s">
        <v>10</v>
      </c>
      <c r="E123" s="8" t="n">
        <v>25080</v>
      </c>
      <c r="F123" s="8" t="n">
        <v>15860</v>
      </c>
      <c r="G123" s="9" t="n">
        <v>9220</v>
      </c>
      <c r="H123" s="8" t="s">
        <v>11</v>
      </c>
      <c r="I123" s="8" t="s">
        <v>12</v>
      </c>
      <c r="J123" s="0" t="s">
        <v>13</v>
      </c>
    </row>
    <row r="124" customFormat="false" ht="13.8" hidden="false" customHeight="false" outlineLevel="0" collapsed="false">
      <c r="A124" s="6" t="n">
        <v>44920</v>
      </c>
      <c r="B124" s="7" t="n">
        <v>0.168055555555556</v>
      </c>
      <c r="C124" s="8" t="n">
        <v>16218</v>
      </c>
      <c r="D124" s="8" t="s">
        <v>10</v>
      </c>
      <c r="E124" s="8" t="n">
        <v>18780</v>
      </c>
      <c r="F124" s="8" t="n">
        <v>15820</v>
      </c>
      <c r="G124" s="9" t="n">
        <v>2960</v>
      </c>
      <c r="H124" s="8" t="s">
        <v>11</v>
      </c>
      <c r="I124" s="8" t="s">
        <v>12</v>
      </c>
      <c r="J124" s="0" t="s">
        <v>13</v>
      </c>
    </row>
    <row r="125" customFormat="false" ht="13.8" hidden="false" customHeight="false" outlineLevel="0" collapsed="false">
      <c r="A125" s="6" t="n">
        <v>44920</v>
      </c>
      <c r="B125" s="7" t="n">
        <v>0.173611111111111</v>
      </c>
      <c r="C125" s="8" t="n">
        <v>16221</v>
      </c>
      <c r="D125" s="8" t="s">
        <v>14</v>
      </c>
      <c r="E125" s="8" t="n">
        <v>4020</v>
      </c>
      <c r="F125" s="8" t="n">
        <v>3660</v>
      </c>
      <c r="G125" s="9" t="n">
        <v>360</v>
      </c>
      <c r="H125" s="8" t="s">
        <v>11</v>
      </c>
      <c r="I125" s="8" t="s">
        <v>12</v>
      </c>
      <c r="J125" s="0" t="s">
        <v>13</v>
      </c>
    </row>
    <row r="126" customFormat="false" ht="13.8" hidden="false" customHeight="false" outlineLevel="0" collapsed="false">
      <c r="A126" s="6" t="n">
        <v>44921</v>
      </c>
      <c r="B126" s="7" t="n">
        <v>0.216666666666667</v>
      </c>
      <c r="C126" s="8" t="n">
        <v>16235</v>
      </c>
      <c r="D126" s="8" t="s">
        <v>14</v>
      </c>
      <c r="E126" s="8" t="n">
        <v>4200</v>
      </c>
      <c r="F126" s="8" t="n">
        <v>3740</v>
      </c>
      <c r="G126" s="9" t="n">
        <v>460</v>
      </c>
      <c r="H126" s="8" t="s">
        <v>11</v>
      </c>
      <c r="I126" s="8" t="s">
        <v>12</v>
      </c>
      <c r="J126" s="0" t="s">
        <v>13</v>
      </c>
    </row>
    <row r="127" customFormat="false" ht="13.8" hidden="false" customHeight="false" outlineLevel="0" collapsed="false">
      <c r="A127" s="6" t="n">
        <v>44921</v>
      </c>
      <c r="B127" s="7" t="n">
        <v>0.179166666666667</v>
      </c>
      <c r="C127" s="8" t="n">
        <v>16231</v>
      </c>
      <c r="D127" s="8" t="s">
        <v>10</v>
      </c>
      <c r="E127" s="8" t="n">
        <v>27220</v>
      </c>
      <c r="F127" s="8" t="n">
        <v>15780</v>
      </c>
      <c r="G127" s="9" t="n">
        <v>11440</v>
      </c>
      <c r="H127" s="8" t="s">
        <v>11</v>
      </c>
      <c r="I127" s="8" t="s">
        <v>12</v>
      </c>
      <c r="J127" s="0" t="s">
        <v>13</v>
      </c>
    </row>
    <row r="128" customFormat="false" ht="13.8" hidden="false" customHeight="false" outlineLevel="0" collapsed="false">
      <c r="A128" s="6" t="n">
        <v>44921</v>
      </c>
      <c r="B128" s="7" t="n">
        <v>0.5125</v>
      </c>
      <c r="C128" s="8" t="n">
        <v>16257</v>
      </c>
      <c r="D128" s="8" t="s">
        <v>23</v>
      </c>
      <c r="E128" s="8" t="n">
        <v>2700</v>
      </c>
      <c r="F128" s="8" t="n">
        <v>2400</v>
      </c>
      <c r="G128" s="9" t="n">
        <v>300</v>
      </c>
      <c r="H128" s="8" t="s">
        <v>11</v>
      </c>
      <c r="I128" s="8" t="s">
        <v>12</v>
      </c>
      <c r="J128" s="0" t="s">
        <v>13</v>
      </c>
    </row>
    <row r="129" customFormat="false" ht="13.8" hidden="false" customHeight="false" outlineLevel="0" collapsed="false">
      <c r="A129" s="6" t="n">
        <v>44921</v>
      </c>
      <c r="B129" s="7" t="n">
        <v>0.115972222222222</v>
      </c>
      <c r="C129" s="8" t="n">
        <v>16225</v>
      </c>
      <c r="D129" s="8" t="s">
        <v>15</v>
      </c>
      <c r="E129" s="8" t="n">
        <v>21800</v>
      </c>
      <c r="F129" s="8" t="n">
        <v>13360</v>
      </c>
      <c r="G129" s="9" t="n">
        <v>8440</v>
      </c>
      <c r="H129" s="8" t="s">
        <v>11</v>
      </c>
      <c r="I129" s="8" t="s">
        <v>12</v>
      </c>
      <c r="J129" s="0" t="s">
        <v>13</v>
      </c>
    </row>
    <row r="130" customFormat="false" ht="13.8" hidden="false" customHeight="false" outlineLevel="0" collapsed="false">
      <c r="A130" s="6" t="n">
        <v>44922</v>
      </c>
      <c r="B130" s="7" t="n">
        <v>0.167361111111111</v>
      </c>
      <c r="C130" s="8" t="n">
        <v>16273</v>
      </c>
      <c r="D130" s="8" t="s">
        <v>15</v>
      </c>
      <c r="E130" s="8" t="n">
        <v>17240</v>
      </c>
      <c r="F130" s="8" t="n">
        <v>13220</v>
      </c>
      <c r="G130" s="9" t="n">
        <v>4020</v>
      </c>
      <c r="H130" s="8" t="s">
        <v>11</v>
      </c>
      <c r="I130" s="8" t="s">
        <v>12</v>
      </c>
      <c r="J130" s="0" t="s">
        <v>13</v>
      </c>
    </row>
    <row r="131" customFormat="false" ht="13.8" hidden="false" customHeight="false" outlineLevel="0" collapsed="false">
      <c r="A131" s="6" t="n">
        <v>44922</v>
      </c>
      <c r="B131" s="7" t="n">
        <v>0.256944444444444</v>
      </c>
      <c r="C131" s="8" t="n">
        <v>16279</v>
      </c>
      <c r="D131" s="8" t="s">
        <v>14</v>
      </c>
      <c r="E131" s="8" t="n">
        <v>4500</v>
      </c>
      <c r="F131" s="8" t="n">
        <v>3780</v>
      </c>
      <c r="G131" s="9" t="n">
        <v>720</v>
      </c>
      <c r="H131" s="8" t="s">
        <v>11</v>
      </c>
      <c r="I131" s="8" t="s">
        <v>12</v>
      </c>
      <c r="J131" s="0" t="s">
        <v>13</v>
      </c>
    </row>
    <row r="132" customFormat="false" ht="13.8" hidden="false" customHeight="false" outlineLevel="0" collapsed="false">
      <c r="A132" s="6" t="n">
        <v>44922</v>
      </c>
      <c r="B132" s="7" t="n">
        <v>0.226388888888889</v>
      </c>
      <c r="C132" s="8" t="n">
        <v>16276</v>
      </c>
      <c r="D132" s="8" t="s">
        <v>10</v>
      </c>
      <c r="E132" s="8" t="n">
        <v>25940</v>
      </c>
      <c r="F132" s="8" t="n">
        <v>15880</v>
      </c>
      <c r="G132" s="9" t="n">
        <v>10060</v>
      </c>
      <c r="H132" s="8" t="s">
        <v>11</v>
      </c>
      <c r="I132" s="8" t="s">
        <v>12</v>
      </c>
      <c r="J132" s="0" t="s">
        <v>13</v>
      </c>
    </row>
    <row r="133" customFormat="false" ht="13.8" hidden="false" customHeight="false" outlineLevel="0" collapsed="false">
      <c r="A133" s="6" t="n">
        <v>44922</v>
      </c>
      <c r="B133" s="7" t="n">
        <v>0.508333333333333</v>
      </c>
      <c r="C133" s="8" t="n">
        <v>16300</v>
      </c>
      <c r="D133" s="8" t="s">
        <v>18</v>
      </c>
      <c r="E133" s="8" t="n">
        <v>6140</v>
      </c>
      <c r="F133" s="8" t="n">
        <v>5560</v>
      </c>
      <c r="G133" s="9" t="n">
        <v>580</v>
      </c>
      <c r="H133" s="8" t="s">
        <v>11</v>
      </c>
      <c r="I133" s="8" t="s">
        <v>19</v>
      </c>
      <c r="J133" s="0" t="s">
        <v>13</v>
      </c>
    </row>
    <row r="134" customFormat="false" ht="13.8" hidden="false" customHeight="false" outlineLevel="0" collapsed="false">
      <c r="A134" s="6" t="n">
        <v>44922</v>
      </c>
      <c r="B134" s="7" t="n">
        <v>0.527083333333333</v>
      </c>
      <c r="C134" s="8" t="n">
        <v>16301</v>
      </c>
      <c r="D134" s="8" t="s">
        <v>23</v>
      </c>
      <c r="E134" s="8" t="n">
        <v>2700</v>
      </c>
      <c r="F134" s="8" t="n">
        <v>2380</v>
      </c>
      <c r="G134" s="9" t="n">
        <v>320</v>
      </c>
      <c r="H134" s="8" t="s">
        <v>11</v>
      </c>
      <c r="I134" s="8" t="s">
        <v>12</v>
      </c>
      <c r="J134" s="0" t="s">
        <v>13</v>
      </c>
    </row>
    <row r="135" customFormat="false" ht="13.8" hidden="false" customHeight="false" outlineLevel="0" collapsed="false">
      <c r="A135" s="6" t="n">
        <v>44922</v>
      </c>
      <c r="B135" s="7" t="n">
        <v>0.546527777777778</v>
      </c>
      <c r="C135" s="8" t="n">
        <v>16304</v>
      </c>
      <c r="D135" s="8" t="s">
        <v>16</v>
      </c>
      <c r="E135" s="8" t="n">
        <v>3120</v>
      </c>
      <c r="F135" s="8" t="n">
        <v>2720</v>
      </c>
      <c r="G135" s="9" t="n">
        <v>400</v>
      </c>
      <c r="H135" s="8" t="s">
        <v>11</v>
      </c>
      <c r="I135" s="8" t="s">
        <v>17</v>
      </c>
      <c r="J135" s="0" t="s">
        <v>13</v>
      </c>
    </row>
    <row r="136" customFormat="false" ht="13.8" hidden="false" customHeight="false" outlineLevel="0" collapsed="false">
      <c r="A136" s="6" t="n">
        <v>44923</v>
      </c>
      <c r="B136" s="7" t="n">
        <v>0.401388888888889</v>
      </c>
      <c r="C136" s="8" t="n">
        <v>3814</v>
      </c>
      <c r="D136" s="8" t="s">
        <v>10</v>
      </c>
      <c r="E136" s="8" t="n">
        <v>16720</v>
      </c>
      <c r="F136" s="8" t="n">
        <v>15760</v>
      </c>
      <c r="G136" s="9" t="n">
        <v>960</v>
      </c>
      <c r="H136" s="8" t="s">
        <v>11</v>
      </c>
      <c r="I136" s="8" t="s">
        <v>26</v>
      </c>
      <c r="J136" s="1" t="s">
        <v>13</v>
      </c>
    </row>
    <row r="137" customFormat="false" ht="13.8" hidden="false" customHeight="false" outlineLevel="0" collapsed="false">
      <c r="A137" s="6" t="n">
        <v>44923</v>
      </c>
      <c r="B137" s="7" t="n">
        <v>0.1875</v>
      </c>
      <c r="C137" s="8" t="n">
        <v>16315</v>
      </c>
      <c r="D137" s="8" t="s">
        <v>15</v>
      </c>
      <c r="E137" s="8" t="n">
        <v>18560</v>
      </c>
      <c r="F137" s="8" t="n">
        <v>13180</v>
      </c>
      <c r="G137" s="9" t="n">
        <v>5380</v>
      </c>
      <c r="H137" s="8" t="s">
        <v>11</v>
      </c>
      <c r="I137" s="8" t="s">
        <v>12</v>
      </c>
      <c r="J137" s="0" t="s">
        <v>13</v>
      </c>
    </row>
    <row r="138" customFormat="false" ht="13.8" hidden="false" customHeight="false" outlineLevel="0" collapsed="false">
      <c r="A138" s="6" t="n">
        <v>44923</v>
      </c>
      <c r="B138" s="7" t="n">
        <v>0.231944444444444</v>
      </c>
      <c r="C138" s="8" t="n">
        <v>16318</v>
      </c>
      <c r="D138" s="8" t="s">
        <v>10</v>
      </c>
      <c r="E138" s="8" t="n">
        <v>23280</v>
      </c>
      <c r="F138" s="8" t="n">
        <v>15760</v>
      </c>
      <c r="G138" s="9" t="n">
        <v>7520</v>
      </c>
      <c r="H138" s="8" t="s">
        <v>11</v>
      </c>
      <c r="I138" s="8" t="s">
        <v>12</v>
      </c>
      <c r="J138" s="0" t="s">
        <v>13</v>
      </c>
    </row>
    <row r="139" customFormat="false" ht="13.8" hidden="false" customHeight="false" outlineLevel="0" collapsed="false">
      <c r="A139" s="6" t="n">
        <v>44923</v>
      </c>
      <c r="B139" s="7" t="n">
        <v>0.550694444444444</v>
      </c>
      <c r="C139" s="8" t="n">
        <v>16348</v>
      </c>
      <c r="D139" s="8" t="s">
        <v>16</v>
      </c>
      <c r="E139" s="8" t="n">
        <v>3120</v>
      </c>
      <c r="F139" s="8" t="n">
        <v>2720</v>
      </c>
      <c r="G139" s="9" t="n">
        <v>400</v>
      </c>
      <c r="H139" s="8" t="s">
        <v>11</v>
      </c>
      <c r="I139" s="8" t="s">
        <v>17</v>
      </c>
      <c r="J139" s="0" t="s">
        <v>13</v>
      </c>
    </row>
    <row r="140" customFormat="false" ht="13.8" hidden="false" customHeight="false" outlineLevel="0" collapsed="false">
      <c r="A140" s="6" t="n">
        <v>44923</v>
      </c>
      <c r="B140" s="7" t="n">
        <v>0.254166666666667</v>
      </c>
      <c r="C140" s="8" t="n">
        <v>16319</v>
      </c>
      <c r="D140" s="8" t="s">
        <v>14</v>
      </c>
      <c r="E140" s="8" t="n">
        <v>4520</v>
      </c>
      <c r="F140" s="8" t="n">
        <v>3760</v>
      </c>
      <c r="G140" s="9" t="n">
        <v>760</v>
      </c>
      <c r="H140" s="8" t="s">
        <v>11</v>
      </c>
      <c r="I140" s="8" t="s">
        <v>12</v>
      </c>
      <c r="J140" s="0" t="s">
        <v>13</v>
      </c>
    </row>
    <row r="141" customFormat="false" ht="13.8" hidden="false" customHeight="false" outlineLevel="0" collapsed="false">
      <c r="A141" s="6" t="n">
        <v>44924</v>
      </c>
      <c r="B141" s="7" t="n">
        <v>0.230555555555556</v>
      </c>
      <c r="C141" s="8" t="n">
        <v>16364</v>
      </c>
      <c r="D141" s="8" t="s">
        <v>10</v>
      </c>
      <c r="E141" s="8" t="n">
        <v>24140</v>
      </c>
      <c r="F141" s="8" t="n">
        <v>15800</v>
      </c>
      <c r="G141" s="9" t="n">
        <v>8340</v>
      </c>
      <c r="H141" s="8" t="s">
        <v>11</v>
      </c>
      <c r="I141" s="8" t="s">
        <v>12</v>
      </c>
      <c r="J141" s="0" t="s">
        <v>13</v>
      </c>
    </row>
    <row r="142" customFormat="false" ht="13.8" hidden="false" customHeight="false" outlineLevel="0" collapsed="false">
      <c r="A142" s="6" t="n">
        <v>44924</v>
      </c>
      <c r="B142" s="7" t="n">
        <v>0.235416666666667</v>
      </c>
      <c r="C142" s="8" t="n">
        <v>16365</v>
      </c>
      <c r="D142" s="8" t="s">
        <v>14</v>
      </c>
      <c r="E142" s="8" t="n">
        <v>4460</v>
      </c>
      <c r="F142" s="8" t="n">
        <v>3760</v>
      </c>
      <c r="G142" s="9" t="n">
        <v>700</v>
      </c>
      <c r="H142" s="8" t="s">
        <v>11</v>
      </c>
      <c r="I142" s="8" t="s">
        <v>12</v>
      </c>
      <c r="J142" s="0" t="s">
        <v>13</v>
      </c>
    </row>
    <row r="143" customFormat="false" ht="13.8" hidden="false" customHeight="false" outlineLevel="0" collapsed="false">
      <c r="A143" s="6" t="n">
        <v>44924</v>
      </c>
      <c r="B143" s="7" t="n">
        <v>0.122222222222222</v>
      </c>
      <c r="C143" s="8" t="n">
        <v>16357</v>
      </c>
      <c r="D143" s="8" t="s">
        <v>15</v>
      </c>
      <c r="E143" s="8" t="n">
        <v>18760</v>
      </c>
      <c r="F143" s="8" t="n">
        <v>13200</v>
      </c>
      <c r="G143" s="9" t="n">
        <v>5560</v>
      </c>
      <c r="H143" s="8" t="s">
        <v>11</v>
      </c>
      <c r="I143" s="8" t="s">
        <v>12</v>
      </c>
      <c r="J143" s="0" t="s">
        <v>13</v>
      </c>
    </row>
    <row r="144" customFormat="false" ht="13.8" hidden="false" customHeight="false" outlineLevel="0" collapsed="false">
      <c r="A144" s="6" t="n">
        <v>44924</v>
      </c>
      <c r="B144" s="7" t="n">
        <v>0.525</v>
      </c>
      <c r="C144" s="8" t="n">
        <v>16388</v>
      </c>
      <c r="D144" s="8" t="s">
        <v>23</v>
      </c>
      <c r="E144" s="8" t="n">
        <v>2700</v>
      </c>
      <c r="F144" s="8" t="n">
        <v>2380</v>
      </c>
      <c r="G144" s="9" t="n">
        <v>320</v>
      </c>
      <c r="H144" s="8" t="s">
        <v>11</v>
      </c>
      <c r="I144" s="8" t="s">
        <v>12</v>
      </c>
      <c r="J144" s="0" t="s">
        <v>13</v>
      </c>
    </row>
    <row r="145" customFormat="false" ht="13.8" hidden="false" customHeight="false" outlineLevel="0" collapsed="false">
      <c r="A145" s="6" t="n">
        <v>44924</v>
      </c>
      <c r="B145" s="7" t="n">
        <v>0.552083333333333</v>
      </c>
      <c r="C145" s="8" t="n">
        <v>16391</v>
      </c>
      <c r="D145" s="8" t="s">
        <v>16</v>
      </c>
      <c r="E145" s="8" t="n">
        <v>3000</v>
      </c>
      <c r="F145" s="8" t="n">
        <v>2720</v>
      </c>
      <c r="G145" s="9" t="n">
        <v>280</v>
      </c>
      <c r="H145" s="8" t="s">
        <v>11</v>
      </c>
      <c r="I145" s="8" t="s">
        <v>17</v>
      </c>
      <c r="J145" s="0" t="s">
        <v>13</v>
      </c>
    </row>
    <row r="146" customFormat="false" ht="13.8" hidden="false" customHeight="false" outlineLevel="0" collapsed="false">
      <c r="A146" s="6" t="n">
        <v>44924</v>
      </c>
      <c r="B146" s="7" t="n">
        <v>0.511805555555555</v>
      </c>
      <c r="C146" s="8" t="n">
        <v>149660</v>
      </c>
      <c r="D146" s="8" t="s">
        <v>10</v>
      </c>
      <c r="E146" s="8" t="n">
        <v>17600</v>
      </c>
      <c r="F146" s="8" t="n">
        <v>15560</v>
      </c>
      <c r="G146" s="9" t="n">
        <v>2040</v>
      </c>
      <c r="H146" s="8" t="s">
        <v>11</v>
      </c>
      <c r="I146" s="8" t="s">
        <v>20</v>
      </c>
      <c r="J146" s="1" t="s">
        <v>13</v>
      </c>
    </row>
    <row r="147" customFormat="false" ht="13.8" hidden="false" customHeight="false" outlineLevel="0" collapsed="false">
      <c r="A147" s="6" t="n">
        <v>44925</v>
      </c>
      <c r="B147" s="7" t="n">
        <v>0.234722222222222</v>
      </c>
      <c r="C147" s="8" t="n">
        <v>16406</v>
      </c>
      <c r="D147" s="8" t="s">
        <v>10</v>
      </c>
      <c r="E147" s="8" t="n">
        <v>25640</v>
      </c>
      <c r="F147" s="8" t="n">
        <v>15820</v>
      </c>
      <c r="G147" s="9" t="n">
        <v>9820</v>
      </c>
      <c r="H147" s="8" t="s">
        <v>11</v>
      </c>
      <c r="I147" s="8" t="s">
        <v>12</v>
      </c>
      <c r="J147" s="0" t="s">
        <v>13</v>
      </c>
    </row>
    <row r="148" customFormat="false" ht="13.8" hidden="false" customHeight="false" outlineLevel="0" collapsed="false">
      <c r="A148" s="6" t="n">
        <v>44925</v>
      </c>
      <c r="B148" s="7" t="n">
        <v>0.127777777777778</v>
      </c>
      <c r="C148" s="8" t="n">
        <v>16402</v>
      </c>
      <c r="D148" s="8" t="s">
        <v>15</v>
      </c>
      <c r="E148" s="8" t="n">
        <v>19580</v>
      </c>
      <c r="F148" s="8" t="n">
        <v>13460</v>
      </c>
      <c r="G148" s="9" t="n">
        <v>6120</v>
      </c>
      <c r="H148" s="8" t="s">
        <v>11</v>
      </c>
      <c r="I148" s="8" t="s">
        <v>12</v>
      </c>
      <c r="J148" s="0" t="s">
        <v>13</v>
      </c>
    </row>
    <row r="149" customFormat="false" ht="13.8" hidden="false" customHeight="false" outlineLevel="0" collapsed="false">
      <c r="A149" s="6" t="n">
        <v>44925</v>
      </c>
      <c r="B149" s="7" t="n">
        <v>0.254861111111111</v>
      </c>
      <c r="C149" s="8" t="n">
        <v>16409</v>
      </c>
      <c r="D149" s="8" t="s">
        <v>14</v>
      </c>
      <c r="E149" s="8" t="n">
        <v>4660</v>
      </c>
      <c r="F149" s="8" t="n">
        <v>3800</v>
      </c>
      <c r="G149" s="9" t="n">
        <v>860</v>
      </c>
      <c r="H149" s="8" t="s">
        <v>11</v>
      </c>
      <c r="I149" s="8" t="s">
        <v>12</v>
      </c>
      <c r="J149" s="0" t="s">
        <v>13</v>
      </c>
    </row>
    <row r="150" customFormat="false" ht="13.8" hidden="false" customHeight="false" outlineLevel="0" collapsed="false">
      <c r="A150" s="6" t="n">
        <v>44925</v>
      </c>
      <c r="B150" s="7" t="n">
        <v>0.527083333333333</v>
      </c>
      <c r="C150" s="8" t="n">
        <v>16435</v>
      </c>
      <c r="D150" s="8" t="s">
        <v>23</v>
      </c>
      <c r="E150" s="8" t="n">
        <v>2620</v>
      </c>
      <c r="F150" s="8" t="n">
        <v>2380</v>
      </c>
      <c r="G150" s="9" t="n">
        <v>240</v>
      </c>
      <c r="H150" s="8" t="s">
        <v>11</v>
      </c>
      <c r="I150" s="8" t="s">
        <v>12</v>
      </c>
      <c r="J150" s="0" t="s">
        <v>13</v>
      </c>
    </row>
    <row r="151" customFormat="false" ht="13.8" hidden="false" customHeight="false" outlineLevel="0" collapsed="false">
      <c r="A151" s="6" t="n">
        <v>44925</v>
      </c>
      <c r="B151" s="7" t="n">
        <v>0.548611111111111</v>
      </c>
      <c r="C151" s="8" t="n">
        <v>16438</v>
      </c>
      <c r="D151" s="8" t="s">
        <v>16</v>
      </c>
      <c r="E151" s="8" t="n">
        <v>2980</v>
      </c>
      <c r="F151" s="8" t="n">
        <v>2700</v>
      </c>
      <c r="G151" s="9" t="n">
        <v>280</v>
      </c>
      <c r="H151" s="8" t="s">
        <v>11</v>
      </c>
      <c r="I151" s="8" t="s">
        <v>17</v>
      </c>
      <c r="J151" s="0" t="s">
        <v>13</v>
      </c>
    </row>
    <row r="152" customFormat="false" ht="13.8" hidden="false" customHeight="false" outlineLevel="0" collapsed="false">
      <c r="A152" s="6" t="n">
        <v>44926</v>
      </c>
      <c r="B152" s="7" t="n">
        <v>0.369444444444444</v>
      </c>
      <c r="C152" s="8" t="n">
        <v>16464</v>
      </c>
      <c r="D152" s="8" t="s">
        <v>22</v>
      </c>
      <c r="E152" s="8" t="n">
        <v>16180</v>
      </c>
      <c r="F152" s="8" t="n">
        <v>13240</v>
      </c>
      <c r="G152" s="9" t="n">
        <v>2940</v>
      </c>
      <c r="H152" s="8" t="s">
        <v>11</v>
      </c>
      <c r="I152" s="8" t="s">
        <v>19</v>
      </c>
      <c r="J152" s="0" t="s">
        <v>13</v>
      </c>
    </row>
    <row r="153" customFormat="false" ht="13.8" hidden="false" customHeight="false" outlineLevel="0" collapsed="false">
      <c r="A153" s="6" t="n">
        <v>44926</v>
      </c>
      <c r="B153" s="7" t="n">
        <v>0.140277777777778</v>
      </c>
      <c r="C153" s="8" t="n">
        <v>16448</v>
      </c>
      <c r="D153" s="8" t="s">
        <v>15</v>
      </c>
      <c r="E153" s="8" t="n">
        <v>20480</v>
      </c>
      <c r="F153" s="8" t="n">
        <v>13480</v>
      </c>
      <c r="G153" s="9" t="n">
        <v>7000</v>
      </c>
      <c r="H153" s="8" t="s">
        <v>11</v>
      </c>
      <c r="I153" s="8" t="s">
        <v>12</v>
      </c>
      <c r="J153" s="0" t="s">
        <v>13</v>
      </c>
    </row>
    <row r="154" customFormat="false" ht="13.8" hidden="false" customHeight="false" outlineLevel="0" collapsed="false">
      <c r="A154" s="6" t="n">
        <v>44926</v>
      </c>
      <c r="B154" s="7" t="n">
        <v>0.195833333333333</v>
      </c>
      <c r="C154" s="8" t="n">
        <v>16450</v>
      </c>
      <c r="D154" s="8" t="s">
        <v>10</v>
      </c>
      <c r="E154" s="8" t="n">
        <v>25180</v>
      </c>
      <c r="F154" s="8" t="n">
        <v>15860</v>
      </c>
      <c r="G154" s="9" t="n">
        <v>9320</v>
      </c>
      <c r="H154" s="8" t="s">
        <v>11</v>
      </c>
      <c r="I154" s="8" t="s">
        <v>12</v>
      </c>
      <c r="J154" s="0" t="s">
        <v>13</v>
      </c>
    </row>
    <row r="155" customFormat="false" ht="13.8" hidden="false" customHeight="false" outlineLevel="0" collapsed="false">
      <c r="A155" s="6" t="n">
        <v>44926</v>
      </c>
      <c r="B155" s="7" t="n">
        <v>0.254861111111111</v>
      </c>
      <c r="C155" s="8" t="n">
        <v>16457</v>
      </c>
      <c r="D155" s="8" t="s">
        <v>14</v>
      </c>
      <c r="E155" s="8" t="n">
        <v>4760</v>
      </c>
      <c r="F155" s="8" t="n">
        <v>3780</v>
      </c>
      <c r="G155" s="9" t="n">
        <v>980</v>
      </c>
      <c r="H155" s="8" t="s">
        <v>11</v>
      </c>
      <c r="I155" s="8" t="s">
        <v>12</v>
      </c>
      <c r="J155" s="0" t="s">
        <v>13</v>
      </c>
    </row>
    <row r="156" customFormat="false" ht="13.8" hidden="false" customHeight="false" outlineLevel="0" collapsed="false">
      <c r="A156" s="6" t="n">
        <v>44926</v>
      </c>
      <c r="B156" s="7" t="n">
        <v>0.363194444444444</v>
      </c>
      <c r="C156" s="8" t="n">
        <v>16463</v>
      </c>
      <c r="D156" s="8" t="s">
        <v>18</v>
      </c>
      <c r="E156" s="8" t="n">
        <v>6160</v>
      </c>
      <c r="F156" s="8" t="n">
        <v>5640</v>
      </c>
      <c r="G156" s="9" t="n">
        <v>520</v>
      </c>
      <c r="H156" s="8" t="s">
        <v>11</v>
      </c>
      <c r="I156" s="8" t="s">
        <v>19</v>
      </c>
      <c r="J156" s="0" t="s">
        <v>13</v>
      </c>
    </row>
    <row r="157" customFormat="false" ht="13.8" hidden="false" customHeight="false" outlineLevel="0" collapsed="false">
      <c r="A157" s="6" t="n">
        <v>44926</v>
      </c>
      <c r="B157" s="7" t="n">
        <v>0.428472222222222</v>
      </c>
      <c r="C157" s="8" t="n">
        <v>16465</v>
      </c>
      <c r="D157" s="8" t="s">
        <v>23</v>
      </c>
      <c r="E157" s="8" t="n">
        <v>2680</v>
      </c>
      <c r="F157" s="8" t="n">
        <v>2400</v>
      </c>
      <c r="G157" s="9" t="n">
        <v>280</v>
      </c>
      <c r="H157" s="8" t="s">
        <v>11</v>
      </c>
      <c r="I157" s="8" t="s">
        <v>12</v>
      </c>
      <c r="J157" s="0" t="s">
        <v>13</v>
      </c>
    </row>
    <row r="158" customFormat="false" ht="13.8" hidden="false" customHeight="false" outlineLevel="0" collapsed="false">
      <c r="A158" s="6" t="n">
        <v>44924</v>
      </c>
      <c r="B158" s="7" t="n">
        <v>0.352083333333333</v>
      </c>
      <c r="C158" s="8" t="n">
        <v>16376</v>
      </c>
      <c r="D158" s="8" t="s">
        <v>18</v>
      </c>
      <c r="E158" s="8" t="n">
        <v>6140</v>
      </c>
      <c r="F158" s="8" t="n">
        <v>5640</v>
      </c>
      <c r="G158" s="9" t="n">
        <v>500</v>
      </c>
      <c r="H158" s="8" t="s">
        <v>11</v>
      </c>
      <c r="I158" s="8" t="s">
        <v>19</v>
      </c>
      <c r="J158" s="0" t="s">
        <v>13</v>
      </c>
    </row>
    <row r="159" customFormat="false" ht="13.8" hidden="false" customHeight="false" outlineLevel="0" collapsed="false">
      <c r="A159" s="6" t="n">
        <v>44924</v>
      </c>
      <c r="B159" s="7" t="n">
        <v>0.347916666666667</v>
      </c>
      <c r="C159" s="8" t="n">
        <v>16374</v>
      </c>
      <c r="D159" s="8" t="s">
        <v>18</v>
      </c>
      <c r="E159" s="8" t="n">
        <v>6680</v>
      </c>
      <c r="F159" s="8" t="n">
        <v>5640</v>
      </c>
      <c r="G159" s="9" t="n">
        <v>1040</v>
      </c>
      <c r="H159" s="8" t="s">
        <v>11</v>
      </c>
      <c r="I159" s="8" t="s">
        <v>19</v>
      </c>
      <c r="J159" s="0" t="s">
        <v>13</v>
      </c>
    </row>
    <row r="160" customFormat="false" ht="13.8" hidden="false" customHeight="false" outlineLevel="0" collapsed="false">
      <c r="A160" s="6" t="n">
        <v>44912</v>
      </c>
      <c r="B160" s="7" t="n">
        <v>0.147916666666667</v>
      </c>
      <c r="C160" s="8" t="n">
        <v>15921</v>
      </c>
      <c r="D160" s="8" t="s">
        <v>15</v>
      </c>
      <c r="E160" s="8" t="n">
        <v>17140</v>
      </c>
      <c r="F160" s="8" t="n">
        <v>13180</v>
      </c>
      <c r="G160" s="9" t="n">
        <v>3960</v>
      </c>
      <c r="H160" s="8" t="s">
        <v>11</v>
      </c>
      <c r="I160" s="8" t="s">
        <v>12</v>
      </c>
      <c r="J160" s="0" t="s">
        <v>13</v>
      </c>
    </row>
    <row r="161" customFormat="false" ht="13.8" hidden="false" customHeight="false" outlineLevel="0" collapsed="false">
      <c r="A161" s="6"/>
      <c r="B161" s="7"/>
      <c r="C161" s="8"/>
      <c r="D161" s="8"/>
      <c r="E161" s="8"/>
      <c r="F161" s="8"/>
      <c r="G161" s="9"/>
      <c r="H161" s="8"/>
      <c r="I161" s="8"/>
    </row>
  </sheetData>
  <autoFilter ref="A1:J16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4921875" defaultRowHeight="12.8" zeroHeight="false" outlineLevelRow="0" outlineLevelCol="0"/>
  <sheetData>
    <row r="1" customFormat="false" ht="12.8" hidden="false" customHeight="false" outlineLevel="0" collapsed="false">
      <c r="A1" s="11" t="s">
        <v>0</v>
      </c>
      <c r="B1" s="12" t="s">
        <v>27</v>
      </c>
    </row>
    <row r="3" customFormat="false" ht="12.8" hidden="false" customHeight="false" outlineLevel="0" collapsed="false">
      <c r="A3" s="13" t="s">
        <v>28</v>
      </c>
      <c r="B3" s="14" t="s">
        <v>8</v>
      </c>
      <c r="C3" s="15"/>
      <c r="D3" s="15"/>
      <c r="E3" s="15"/>
      <c r="F3" s="15"/>
      <c r="G3" s="15"/>
      <c r="H3" s="16"/>
    </row>
    <row r="4" customFormat="false" ht="12.8" hidden="false" customHeight="false" outlineLevel="0" collapsed="false">
      <c r="A4" s="17" t="s">
        <v>3</v>
      </c>
      <c r="B4" s="18" t="s">
        <v>25</v>
      </c>
      <c r="C4" s="19" t="s">
        <v>17</v>
      </c>
      <c r="D4" s="19" t="s">
        <v>12</v>
      </c>
      <c r="E4" s="19" t="s">
        <v>26</v>
      </c>
      <c r="F4" s="19" t="s">
        <v>20</v>
      </c>
      <c r="G4" s="19" t="s">
        <v>19</v>
      </c>
      <c r="H4" s="20" t="s">
        <v>29</v>
      </c>
    </row>
    <row r="5" customFormat="false" ht="12.8" hidden="false" customHeight="false" outlineLevel="0" collapsed="false">
      <c r="A5" s="21" t="s">
        <v>24</v>
      </c>
      <c r="B5" s="22" t="n">
        <v>5400</v>
      </c>
      <c r="C5" s="23"/>
      <c r="D5" s="23"/>
      <c r="E5" s="23"/>
      <c r="F5" s="24" t="n">
        <v>1640</v>
      </c>
      <c r="G5" s="25" t="n">
        <v>7360</v>
      </c>
      <c r="H5" s="26" t="n">
        <v>14400</v>
      </c>
    </row>
    <row r="6" customFormat="false" ht="12.8" hidden="false" customHeight="false" outlineLevel="0" collapsed="false">
      <c r="A6" s="27" t="s">
        <v>16</v>
      </c>
      <c r="B6" s="28"/>
      <c r="C6" s="29" t="n">
        <v>5380</v>
      </c>
      <c r="D6" s="30"/>
      <c r="E6" s="30"/>
      <c r="F6" s="30"/>
      <c r="G6" s="31"/>
      <c r="H6" s="32" t="n">
        <v>5380</v>
      </c>
    </row>
    <row r="7" customFormat="false" ht="12.8" hidden="false" customHeight="false" outlineLevel="0" collapsed="false">
      <c r="A7" s="27" t="s">
        <v>10</v>
      </c>
      <c r="B7" s="28"/>
      <c r="C7" s="30"/>
      <c r="D7" s="29" t="n">
        <v>259380</v>
      </c>
      <c r="E7" s="29" t="n">
        <v>5100</v>
      </c>
      <c r="F7" s="29" t="n">
        <v>9520</v>
      </c>
      <c r="G7" s="31"/>
      <c r="H7" s="32" t="n">
        <v>274000</v>
      </c>
    </row>
    <row r="8" customFormat="false" ht="12.8" hidden="false" customHeight="false" outlineLevel="0" collapsed="false">
      <c r="A8" s="27" t="s">
        <v>22</v>
      </c>
      <c r="B8" s="28"/>
      <c r="C8" s="30"/>
      <c r="D8" s="30"/>
      <c r="E8" s="30"/>
      <c r="F8" s="30"/>
      <c r="G8" s="33" t="n">
        <v>4900</v>
      </c>
      <c r="H8" s="32" t="n">
        <v>4900</v>
      </c>
    </row>
    <row r="9" customFormat="false" ht="12.8" hidden="false" customHeight="false" outlineLevel="0" collapsed="false">
      <c r="A9" s="27" t="s">
        <v>23</v>
      </c>
      <c r="B9" s="28"/>
      <c r="C9" s="30"/>
      <c r="D9" s="29" t="n">
        <v>4280</v>
      </c>
      <c r="E9" s="30"/>
      <c r="F9" s="30"/>
      <c r="G9" s="31"/>
      <c r="H9" s="32" t="n">
        <v>4280</v>
      </c>
    </row>
    <row r="10" customFormat="false" ht="12.8" hidden="false" customHeight="false" outlineLevel="0" collapsed="false">
      <c r="A10" s="27" t="s">
        <v>21</v>
      </c>
      <c r="B10" s="28"/>
      <c r="C10" s="29" t="n">
        <v>2280</v>
      </c>
      <c r="D10" s="30"/>
      <c r="E10" s="30"/>
      <c r="F10" s="30"/>
      <c r="G10" s="33" t="n">
        <v>1160</v>
      </c>
      <c r="H10" s="32" t="n">
        <v>3440</v>
      </c>
    </row>
    <row r="11" customFormat="false" ht="12.8" hidden="false" customHeight="false" outlineLevel="0" collapsed="false">
      <c r="A11" s="27" t="s">
        <v>15</v>
      </c>
      <c r="B11" s="28"/>
      <c r="C11" s="30"/>
      <c r="D11" s="29" t="n">
        <v>147640</v>
      </c>
      <c r="E11" s="30"/>
      <c r="F11" s="30"/>
      <c r="G11" s="31"/>
      <c r="H11" s="32" t="n">
        <v>147640</v>
      </c>
    </row>
    <row r="12" customFormat="false" ht="12.8" hidden="false" customHeight="false" outlineLevel="0" collapsed="false">
      <c r="A12" s="27" t="s">
        <v>14</v>
      </c>
      <c r="B12" s="28"/>
      <c r="C12" s="30"/>
      <c r="D12" s="29" t="n">
        <v>18720</v>
      </c>
      <c r="E12" s="30"/>
      <c r="F12" s="30"/>
      <c r="G12" s="31"/>
      <c r="H12" s="32" t="n">
        <v>18720</v>
      </c>
    </row>
    <row r="13" customFormat="false" ht="12.8" hidden="false" customHeight="false" outlineLevel="0" collapsed="false">
      <c r="A13" s="27" t="s">
        <v>18</v>
      </c>
      <c r="B13" s="34"/>
      <c r="C13" s="35"/>
      <c r="D13" s="35"/>
      <c r="E13" s="35"/>
      <c r="F13" s="35"/>
      <c r="G13" s="36" t="n">
        <v>9620</v>
      </c>
      <c r="H13" s="37" t="n">
        <v>9620</v>
      </c>
    </row>
    <row r="14" customFormat="false" ht="12.8" hidden="false" customHeight="false" outlineLevel="0" collapsed="false">
      <c r="A14" s="38" t="s">
        <v>29</v>
      </c>
      <c r="B14" s="39" t="n">
        <v>5400</v>
      </c>
      <c r="C14" s="40" t="n">
        <v>7660</v>
      </c>
      <c r="D14" s="40" t="n">
        <v>430020</v>
      </c>
      <c r="E14" s="40" t="n">
        <v>5100</v>
      </c>
      <c r="F14" s="40" t="n">
        <v>11160</v>
      </c>
      <c r="G14" s="41" t="n">
        <v>23040</v>
      </c>
      <c r="H14" s="42" t="n">
        <v>482380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6" activeCellId="0" sqref="I26"/>
    </sheetView>
  </sheetViews>
  <sheetFormatPr defaultColWidth="7.72265625" defaultRowHeight="13.8" zeroHeight="false" outlineLevelRow="0" outlineLevelCol="0"/>
  <cols>
    <col collapsed="false" customWidth="true" hidden="false" outlineLevel="0" max="1" min="1" style="43" width="15.11"/>
    <col collapsed="false" customWidth="true" hidden="false" outlineLevel="0" max="2" min="2" style="44" width="17.73"/>
    <col collapsed="false" customWidth="true" hidden="false" outlineLevel="0" max="3" min="3" style="44" width="10.72"/>
    <col collapsed="false" customWidth="true" hidden="false" outlineLevel="0" max="4" min="4" style="43" width="13.47"/>
    <col collapsed="false" customWidth="true" hidden="false" outlineLevel="0" max="6" min="5" style="44" width="11.27"/>
    <col collapsed="false" customWidth="true" hidden="false" outlineLevel="0" max="7" min="7" style="44" width="13.47"/>
    <col collapsed="false" customWidth="true" hidden="false" outlineLevel="0" max="8" min="8" style="44" width="14.54"/>
    <col collapsed="false" customWidth="true" hidden="false" outlineLevel="0" max="9" min="9" style="44" width="15.87"/>
    <col collapsed="false" customWidth="false" hidden="false" outlineLevel="0" max="11" min="10" style="44" width="7.73"/>
    <col collapsed="false" customWidth="true" hidden="false" outlineLevel="0" max="12" min="12" style="44" width="8.18"/>
    <col collapsed="false" customWidth="true" hidden="false" outlineLevel="0" max="13" min="13" style="44" width="12.8"/>
    <col collapsed="false" customWidth="true" hidden="false" outlineLevel="0" max="14" min="14" style="44" width="7.09"/>
    <col collapsed="false" customWidth="false" hidden="false" outlineLevel="0" max="1024" min="15" style="44" width="7.73"/>
  </cols>
  <sheetData>
    <row r="1" customFormat="false" ht="13.8" hidden="false" customHeight="false" outlineLevel="0" collapsed="false">
      <c r="A1" s="43" t="n">
        <v>1</v>
      </c>
      <c r="B1" s="43" t="n">
        <v>2</v>
      </c>
      <c r="C1" s="43" t="n">
        <v>3</v>
      </c>
      <c r="D1" s="43" t="n">
        <v>4</v>
      </c>
      <c r="E1" s="43" t="n">
        <v>5</v>
      </c>
      <c r="F1" s="43" t="n">
        <v>6</v>
      </c>
      <c r="G1" s="43" t="n">
        <v>7</v>
      </c>
    </row>
    <row r="2" customFormat="false" ht="13.8" hidden="false" customHeight="false" outlineLevel="0" collapsed="false">
      <c r="A2" s="45" t="s">
        <v>3</v>
      </c>
      <c r="B2" s="46" t="s">
        <v>30</v>
      </c>
      <c r="C2" s="47" t="s">
        <v>17</v>
      </c>
      <c r="D2" s="47" t="s">
        <v>12</v>
      </c>
      <c r="E2" s="47" t="s">
        <v>26</v>
      </c>
      <c r="F2" s="47" t="s">
        <v>20</v>
      </c>
      <c r="G2" s="47" t="s">
        <v>31</v>
      </c>
      <c r="H2" s="48" t="s">
        <v>29</v>
      </c>
    </row>
    <row r="3" customFormat="false" ht="13.8" hidden="false" customHeight="false" outlineLevel="0" collapsed="false">
      <c r="A3" s="49" t="s">
        <v>24</v>
      </c>
      <c r="B3" s="50" t="n">
        <v>5400</v>
      </c>
      <c r="C3" s="51"/>
      <c r="D3" s="51"/>
      <c r="E3" s="51"/>
      <c r="F3" s="51" t="n">
        <v>1640</v>
      </c>
      <c r="G3" s="52" t="n">
        <v>7360</v>
      </c>
      <c r="H3" s="53" t="n">
        <f aca="false">SUM(B3:G3)</f>
        <v>14400</v>
      </c>
    </row>
    <row r="4" customFormat="false" ht="13.8" hidden="false" customHeight="false" outlineLevel="0" collapsed="false">
      <c r="A4" s="54" t="s">
        <v>16</v>
      </c>
      <c r="B4" s="55"/>
      <c r="C4" s="56" t="n">
        <v>5380</v>
      </c>
      <c r="D4" s="56"/>
      <c r="E4" s="56"/>
      <c r="F4" s="56"/>
      <c r="G4" s="57"/>
      <c r="H4" s="53" t="n">
        <f aca="false">SUM(B4:G4)</f>
        <v>5380</v>
      </c>
    </row>
    <row r="5" customFormat="false" ht="13.8" hidden="false" customHeight="false" outlineLevel="0" collapsed="false">
      <c r="A5" s="54" t="s">
        <v>10</v>
      </c>
      <c r="B5" s="55"/>
      <c r="C5" s="56"/>
      <c r="D5" s="56" t="n">
        <v>259380</v>
      </c>
      <c r="E5" s="56" t="n">
        <v>5100</v>
      </c>
      <c r="F5" s="56" t="n">
        <v>9520</v>
      </c>
      <c r="G5" s="57"/>
      <c r="H5" s="53" t="n">
        <f aca="false">SUM(B5:G5)</f>
        <v>274000</v>
      </c>
    </row>
    <row r="6" customFormat="false" ht="13.8" hidden="false" customHeight="false" outlineLevel="0" collapsed="false">
      <c r="A6" s="54" t="s">
        <v>22</v>
      </c>
      <c r="B6" s="55"/>
      <c r="C6" s="56"/>
      <c r="D6" s="56"/>
      <c r="E6" s="56"/>
      <c r="F6" s="56"/>
      <c r="G6" s="57" t="n">
        <v>4900</v>
      </c>
      <c r="H6" s="53" t="n">
        <f aca="false">SUM(B6:G6)</f>
        <v>4900</v>
      </c>
    </row>
    <row r="7" customFormat="false" ht="13.8" hidden="false" customHeight="false" outlineLevel="0" collapsed="false">
      <c r="A7" s="54" t="s">
        <v>23</v>
      </c>
      <c r="B7" s="55"/>
      <c r="C7" s="56"/>
      <c r="D7" s="56" t="n">
        <v>4280</v>
      </c>
      <c r="E7" s="56"/>
      <c r="F7" s="56"/>
      <c r="G7" s="57"/>
      <c r="H7" s="53" t="n">
        <f aca="false">SUM(B7:G7)</f>
        <v>4280</v>
      </c>
    </row>
    <row r="8" customFormat="false" ht="13.8" hidden="false" customHeight="false" outlineLevel="0" collapsed="false">
      <c r="A8" s="54" t="s">
        <v>21</v>
      </c>
      <c r="B8" s="55"/>
      <c r="C8" s="56" t="n">
        <v>2280</v>
      </c>
      <c r="D8" s="56"/>
      <c r="E8" s="56"/>
      <c r="F8" s="56"/>
      <c r="G8" s="57" t="n">
        <v>1160</v>
      </c>
      <c r="H8" s="53" t="n">
        <f aca="false">SUM(B8:G8)</f>
        <v>3440</v>
      </c>
    </row>
    <row r="9" customFormat="false" ht="13.8" hidden="false" customHeight="false" outlineLevel="0" collapsed="false">
      <c r="A9" s="54" t="s">
        <v>15</v>
      </c>
      <c r="B9" s="55"/>
      <c r="C9" s="56"/>
      <c r="D9" s="56" t="n">
        <v>147640</v>
      </c>
      <c r="E9" s="56"/>
      <c r="F9" s="56"/>
      <c r="G9" s="57"/>
      <c r="H9" s="53" t="n">
        <f aca="false">SUM(B9:G9)</f>
        <v>147640</v>
      </c>
    </row>
    <row r="10" customFormat="false" ht="13.8" hidden="false" customHeight="false" outlineLevel="0" collapsed="false">
      <c r="A10" s="54" t="s">
        <v>14</v>
      </c>
      <c r="B10" s="55"/>
      <c r="C10" s="56"/>
      <c r="D10" s="56" t="n">
        <v>18720</v>
      </c>
      <c r="E10" s="56"/>
      <c r="F10" s="56"/>
      <c r="G10" s="57"/>
      <c r="H10" s="53" t="n">
        <f aca="false">SUM(B10:G10)</f>
        <v>18720</v>
      </c>
    </row>
    <row r="11" customFormat="false" ht="13.8" hidden="false" customHeight="false" outlineLevel="0" collapsed="false">
      <c r="A11" s="54" t="s">
        <v>18</v>
      </c>
      <c r="B11" s="55"/>
      <c r="C11" s="56"/>
      <c r="D11" s="56"/>
      <c r="E11" s="56"/>
      <c r="F11" s="56"/>
      <c r="G11" s="57" t="n">
        <v>9620</v>
      </c>
      <c r="H11" s="53" t="n">
        <f aca="false">SUM(B11:G11)</f>
        <v>9620</v>
      </c>
    </row>
    <row r="12" customFormat="false" ht="13.8" hidden="false" customHeight="false" outlineLevel="0" collapsed="false">
      <c r="A12" s="58"/>
      <c r="B12" s="59"/>
      <c r="C12" s="60"/>
      <c r="D12" s="60"/>
      <c r="E12" s="60"/>
      <c r="F12" s="60"/>
      <c r="G12" s="61"/>
      <c r="H12" s="53" t="n">
        <f aca="false">SUM(B12:G12)</f>
        <v>0</v>
      </c>
    </row>
    <row r="13" customFormat="false" ht="13.8" hidden="false" customHeight="false" outlineLevel="0" collapsed="false">
      <c r="A13" s="58"/>
      <c r="B13" s="62"/>
      <c r="C13" s="63"/>
      <c r="D13" s="63"/>
      <c r="E13" s="63"/>
      <c r="F13" s="63"/>
      <c r="G13" s="64"/>
      <c r="H13" s="53" t="n">
        <f aca="false">SUM(B13:G13)</f>
        <v>0</v>
      </c>
      <c r="I13" s="44" t="s">
        <v>32</v>
      </c>
    </row>
    <row r="14" s="44" customFormat="true" ht="13.8" hidden="false" customHeight="false" outlineLevel="0" collapsed="false">
      <c r="B14" s="45"/>
      <c r="C14" s="45"/>
      <c r="D14" s="45"/>
      <c r="E14" s="45"/>
      <c r="F14" s="45"/>
      <c r="G14" s="45"/>
      <c r="H14" s="53" t="n">
        <f aca="false">SUM(B14:G14)</f>
        <v>0</v>
      </c>
    </row>
    <row r="15" customFormat="false" ht="13.8" hidden="false" customHeight="false" outlineLevel="0" collapsed="false">
      <c r="A15" s="48" t="s">
        <v>29</v>
      </c>
      <c r="B15" s="65" t="n">
        <f aca="false">SUM(B3:B14)</f>
        <v>5400</v>
      </c>
      <c r="C15" s="65" t="n">
        <f aca="false">SUM(C3:C14)</f>
        <v>7660</v>
      </c>
      <c r="D15" s="65" t="n">
        <f aca="false">SUM(D3:D14)</f>
        <v>430020</v>
      </c>
      <c r="E15" s="65" t="n">
        <f aca="false">SUM(E3:E14)</f>
        <v>5100</v>
      </c>
      <c r="F15" s="65" t="n">
        <f aca="false">SUM(F3:F14)</f>
        <v>11160</v>
      </c>
      <c r="G15" s="65" t="n">
        <f aca="false">SUM(G3:G14)</f>
        <v>23040</v>
      </c>
      <c r="H15" s="66" t="n">
        <f aca="false">SUM(B15:G15)</f>
        <v>482380</v>
      </c>
    </row>
    <row r="16" customFormat="false" ht="13.8" hidden="false" customHeight="false" outlineLevel="0" collapsed="false">
      <c r="A16" s="67" t="s">
        <v>33</v>
      </c>
      <c r="B16" s="68" t="n">
        <f aca="false">+E79</f>
        <v>5400</v>
      </c>
      <c r="C16" s="68" t="n">
        <f aca="false">+E73</f>
        <v>7660</v>
      </c>
      <c r="D16" s="68" t="n">
        <f aca="false">+F35</f>
        <v>430020</v>
      </c>
      <c r="E16" s="68" t="n">
        <f aca="false">+E64</f>
        <v>5100</v>
      </c>
      <c r="F16" s="68" t="n">
        <f aca="false">+E56</f>
        <v>11160</v>
      </c>
      <c r="G16" s="68" t="n">
        <f aca="false">+F46</f>
        <v>23040</v>
      </c>
      <c r="H16" s="69" t="n">
        <f aca="false">SUM(B16:G16)</f>
        <v>482380</v>
      </c>
    </row>
    <row r="17" customFormat="false" ht="13.8" hidden="false" customHeight="false" outlineLevel="0" collapsed="false">
      <c r="C17" s="70"/>
      <c r="D17" s="70"/>
      <c r="E17" s="70"/>
      <c r="F17" s="70"/>
      <c r="G17" s="70"/>
      <c r="H17" s="70"/>
    </row>
    <row r="18" customFormat="false" ht="13.8" hidden="false" customHeight="false" outlineLevel="0" collapsed="false">
      <c r="C18" s="70"/>
      <c r="D18" s="70" t="s">
        <v>34</v>
      </c>
      <c r="E18" s="70" t="s">
        <v>35</v>
      </c>
      <c r="F18" s="70" t="s">
        <v>36</v>
      </c>
      <c r="G18" s="70"/>
      <c r="H18" s="70"/>
    </row>
    <row r="19" customFormat="false" ht="13.8" hidden="false" customHeight="false" outlineLevel="0" collapsed="false">
      <c r="A19" s="71" t="s">
        <v>37</v>
      </c>
      <c r="B19" s="71"/>
      <c r="C19" s="71"/>
      <c r="D19" s="72" t="n">
        <f aca="false">+F35+F46+E56+E64+E73+E79</f>
        <v>482380</v>
      </c>
      <c r="E19" s="73" t="n">
        <f aca="false">+G35+G46+F56+F64+F73+F79</f>
        <v>482380</v>
      </c>
      <c r="F19" s="72" t="n">
        <f aca="false">+E19-D19</f>
        <v>0</v>
      </c>
      <c r="G19" s="70"/>
      <c r="H19" s="70"/>
    </row>
    <row r="20" customFormat="false" ht="13.8" hidden="false" customHeight="false" outlineLevel="0" collapsed="false">
      <c r="C20" s="70"/>
      <c r="D20" s="70"/>
      <c r="E20" s="70"/>
      <c r="F20" s="70"/>
      <c r="G20" s="70"/>
      <c r="H20" s="70"/>
    </row>
    <row r="21" s="44" customFormat="true" ht="13.8" hidden="false" customHeight="false" outlineLevel="0" collapsed="false"/>
    <row r="22" customFormat="false" ht="13.8" hidden="false" customHeight="false" outlineLevel="0" collapsed="false">
      <c r="A22" s="70" t="s">
        <v>12</v>
      </c>
      <c r="B22" s="70"/>
      <c r="C22" s="70"/>
      <c r="D22" s="70"/>
      <c r="E22" s="70"/>
      <c r="F22" s="70"/>
      <c r="G22" s="70"/>
      <c r="H22" s="70"/>
    </row>
    <row r="23" customFormat="false" ht="13.8" hidden="false" customHeight="false" outlineLevel="0" collapsed="false">
      <c r="A23" s="43" t="s">
        <v>38</v>
      </c>
      <c r="B23" s="44" t="s">
        <v>39</v>
      </c>
      <c r="C23" s="74" t="s">
        <v>40</v>
      </c>
      <c r="D23" s="75" t="s">
        <v>41</v>
      </c>
      <c r="E23" s="74" t="s">
        <v>42</v>
      </c>
      <c r="F23" s="76" t="s">
        <v>43</v>
      </c>
      <c r="G23" s="74" t="s">
        <v>35</v>
      </c>
      <c r="H23" s="74"/>
    </row>
    <row r="24" customFormat="false" ht="13.8" hidden="false" customHeight="false" outlineLevel="0" collapsed="false">
      <c r="A24" s="77" t="n">
        <v>109</v>
      </c>
      <c r="B24" s="78" t="s">
        <v>44</v>
      </c>
      <c r="C24" s="79" t="s">
        <v>24</v>
      </c>
      <c r="D24" s="80"/>
      <c r="E24" s="79"/>
      <c r="F24" s="81"/>
      <c r="G24" s="82" t="n">
        <f aca="false">IFERROR(INDEX($B$3:$G$14,MATCH(C24,$A$3:$A$14,0),MATCH($A$22,$B$2:$G$2,0)),0)</f>
        <v>0</v>
      </c>
      <c r="H24" s="83" t="str">
        <f aca="false">IF(G24=F24,"Bien",G24-F24)</f>
        <v>Bien</v>
      </c>
    </row>
    <row r="25" customFormat="false" ht="13.8" hidden="false" customHeight="false" outlineLevel="0" collapsed="false">
      <c r="A25" s="43" t="n">
        <v>333</v>
      </c>
      <c r="B25" s="74" t="s">
        <v>45</v>
      </c>
      <c r="C25" s="74" t="s">
        <v>16</v>
      </c>
      <c r="D25" s="75" t="s">
        <v>46</v>
      </c>
      <c r="E25" s="74" t="s">
        <v>47</v>
      </c>
      <c r="F25" s="76" t="n">
        <f aca="false">+4360-4360</f>
        <v>0</v>
      </c>
      <c r="G25" s="84" t="n">
        <f aca="false">IFERROR(INDEX($B$3:$G$14,MATCH(C25,$A$3:$A$14,0),MATCH($A$22,$B$2:$G$2,0)),0)</f>
        <v>0</v>
      </c>
      <c r="H25" s="85" t="str">
        <f aca="false">IF(G25=F25,"Bien",G25-F25)</f>
        <v>Bien</v>
      </c>
    </row>
    <row r="26" customFormat="false" ht="14.9" hidden="false" customHeight="false" outlineLevel="0" collapsed="false">
      <c r="A26" s="86" t="n">
        <v>320</v>
      </c>
      <c r="B26" s="87" t="s">
        <v>48</v>
      </c>
      <c r="C26" s="74" t="s">
        <v>10</v>
      </c>
      <c r="D26" s="75" t="s">
        <v>46</v>
      </c>
      <c r="E26" s="74" t="s">
        <v>47</v>
      </c>
      <c r="F26" s="76" t="n">
        <v>259380</v>
      </c>
      <c r="G26" s="84" t="n">
        <f aca="false">IFERROR(INDEX($B$3:$G$14,MATCH(C26,$A$3:$A$14,0),MATCH($A$22,$B$2:$G$2,0)),0)</f>
        <v>259380</v>
      </c>
      <c r="H26" s="85" t="str">
        <f aca="false">IF(G26=F26,"Bien",G26-F26)</f>
        <v>Bien</v>
      </c>
    </row>
    <row r="27" customFormat="false" ht="14.9" hidden="false" customHeight="false" outlineLevel="0" collapsed="false">
      <c r="A27" s="86" t="n">
        <v>321</v>
      </c>
      <c r="B27" s="87" t="s">
        <v>49</v>
      </c>
      <c r="C27" s="74" t="s">
        <v>50</v>
      </c>
      <c r="D27" s="75"/>
      <c r="E27" s="74"/>
      <c r="F27" s="76"/>
      <c r="G27" s="84" t="n">
        <f aca="false">IFERROR(INDEX($B$3:$G$14,MATCH(C27,$A$3:$A$14,0),MATCH($A$22,$B$2:$G$2,0)),0)</f>
        <v>0</v>
      </c>
      <c r="H27" s="85" t="str">
        <f aca="false">IF(G27=F27,"Bien",G27-F27)</f>
        <v>Bien</v>
      </c>
    </row>
    <row r="28" customFormat="false" ht="13.8" hidden="false" customHeight="false" outlineLevel="0" collapsed="false">
      <c r="A28" s="43" t="n">
        <v>316</v>
      </c>
      <c r="B28" s="44" t="s">
        <v>51</v>
      </c>
      <c r="C28" s="74" t="s">
        <v>23</v>
      </c>
      <c r="D28" s="75" t="s">
        <v>46</v>
      </c>
      <c r="E28" s="74" t="s">
        <v>47</v>
      </c>
      <c r="F28" s="88" t="n">
        <v>4280</v>
      </c>
      <c r="G28" s="84" t="n">
        <f aca="false">IFERROR(INDEX($B$3:$G$14,MATCH(C28,$A$3:$A$14,0),MATCH($A$22,$B$2:$G$2,0)),0)</f>
        <v>4280</v>
      </c>
      <c r="H28" s="85" t="str">
        <f aca="false">IF(G28=F28,"Bien",G28-F28)</f>
        <v>Bien</v>
      </c>
    </row>
    <row r="29" customFormat="false" ht="14.9" hidden="false" customHeight="false" outlineLevel="0" collapsed="false">
      <c r="A29" s="86" t="n">
        <v>196</v>
      </c>
      <c r="B29" s="87" t="s">
        <v>52</v>
      </c>
      <c r="C29" s="74" t="s">
        <v>53</v>
      </c>
      <c r="D29" s="75"/>
      <c r="E29" s="74"/>
      <c r="F29" s="88"/>
      <c r="G29" s="84" t="n">
        <f aca="false">IFERROR(INDEX($B$3:$G$14,MATCH(C29,$A$3:$A$14,0),MATCH($A$22,$B$2:$G$2,0)),0)</f>
        <v>0</v>
      </c>
      <c r="H29" s="85" t="str">
        <f aca="false">IF(G29=F29,"Bien",G29-F29)</f>
        <v>Bien</v>
      </c>
      <c r="I29" s="44" t="s">
        <v>54</v>
      </c>
    </row>
    <row r="30" customFormat="false" ht="13.8" hidden="false" customHeight="false" outlineLevel="0" collapsed="false">
      <c r="A30" s="43" t="n">
        <v>309</v>
      </c>
      <c r="B30" s="44" t="s">
        <v>55</v>
      </c>
      <c r="C30" s="74" t="s">
        <v>21</v>
      </c>
      <c r="D30" s="75"/>
      <c r="E30" s="74"/>
      <c r="F30" s="88"/>
      <c r="G30" s="84" t="n">
        <f aca="false">IFERROR(INDEX($B$3:$G$14,MATCH(C30,$A$3:$A$14,0),MATCH($A$22,$B$2:$G$2,0)),0)</f>
        <v>0</v>
      </c>
      <c r="H30" s="85" t="str">
        <f aca="false">IF(G30=F30,"Bien",G30-F30)</f>
        <v>Bien</v>
      </c>
      <c r="L30" s="43"/>
      <c r="M30" s="89"/>
      <c r="N30" s="74"/>
    </row>
    <row r="31" customFormat="false" ht="14.9" hidden="false" customHeight="false" outlineLevel="0" collapsed="false">
      <c r="A31" s="43" t="n">
        <v>318</v>
      </c>
      <c r="B31" s="87" t="s">
        <v>52</v>
      </c>
      <c r="C31" s="74" t="s">
        <v>15</v>
      </c>
      <c r="D31" s="75" t="s">
        <v>46</v>
      </c>
      <c r="E31" s="74" t="s">
        <v>47</v>
      </c>
      <c r="F31" s="88" t="n">
        <f aca="false">+143280+4360</f>
        <v>147640</v>
      </c>
      <c r="G31" s="84" t="n">
        <f aca="false">IFERROR(INDEX($B$3:$G$14,MATCH(C31,$A$3:$A$14,0),MATCH($A$22,$B$2:$G$2,0)),0)</f>
        <v>147640</v>
      </c>
      <c r="H31" s="85" t="str">
        <f aca="false">IF(G31=F31,"Bien",G31-F31)</f>
        <v>Bien</v>
      </c>
      <c r="L31" s="43"/>
      <c r="M31" s="74"/>
      <c r="N31" s="74"/>
    </row>
    <row r="32" customFormat="false" ht="14.9" hidden="false" customHeight="false" outlineLevel="0" collapsed="false">
      <c r="A32" s="43" t="n">
        <v>310</v>
      </c>
      <c r="B32" s="87" t="s">
        <v>56</v>
      </c>
      <c r="C32" s="74" t="s">
        <v>14</v>
      </c>
      <c r="D32" s="75" t="s">
        <v>46</v>
      </c>
      <c r="E32" s="74" t="s">
        <v>57</v>
      </c>
      <c r="F32" s="88" t="n">
        <v>18720</v>
      </c>
      <c r="G32" s="84" t="n">
        <f aca="false">IFERROR(INDEX($B$3:$G$14,MATCH(C32,$A$3:$A$14,0),MATCH($A$22,$B$2:$G$2,0)),0)</f>
        <v>18720</v>
      </c>
      <c r="H32" s="85" t="str">
        <f aca="false">IF(G32=F32,"Bien",G32-F32)</f>
        <v>Bien</v>
      </c>
      <c r="N32" s="87"/>
    </row>
    <row r="33" customFormat="false" ht="13.8" hidden="false" customHeight="false" outlineLevel="0" collapsed="false">
      <c r="A33" s="43" t="n">
        <v>296</v>
      </c>
      <c r="B33" s="74" t="s">
        <v>58</v>
      </c>
      <c r="C33" s="74" t="s">
        <v>18</v>
      </c>
      <c r="D33" s="75"/>
      <c r="E33" s="74"/>
      <c r="F33" s="90"/>
      <c r="G33" s="84" t="n">
        <f aca="false">IFERROR(INDEX($B$3:$G$14,MATCH(C33,$A$3:$A$14,0),MATCH($A$22,$B$2:$G$2,0)),0)</f>
        <v>0</v>
      </c>
      <c r="H33" s="85" t="str">
        <f aca="false">IF(G33=F33,"Bien",G33-F33)</f>
        <v>Bien</v>
      </c>
      <c r="N33" s="87"/>
    </row>
    <row r="34" customFormat="false" ht="13.8" hidden="false" customHeight="false" outlineLevel="0" collapsed="false">
      <c r="A34" s="91"/>
      <c r="B34" s="92" t="s">
        <v>44</v>
      </c>
      <c r="C34" s="92" t="s">
        <v>59</v>
      </c>
      <c r="D34" s="93"/>
      <c r="E34" s="94"/>
      <c r="F34" s="95"/>
      <c r="G34" s="96" t="n">
        <f aca="false">IFERROR(INDEX($B$3:$G$14,MATCH(C34,$A$3:$A$14,0),MATCH($A$22,$B$2:$G$2,0)),0)</f>
        <v>0</v>
      </c>
      <c r="H34" s="97" t="str">
        <f aca="false">IF(G34=F34,"Bien",G34-F34)</f>
        <v>Bien</v>
      </c>
      <c r="I34" s="44" t="s">
        <v>60</v>
      </c>
      <c r="N34" s="87"/>
    </row>
    <row r="35" customFormat="false" ht="13.8" hidden="false" customHeight="false" outlineLevel="0" collapsed="false">
      <c r="C35" s="74"/>
      <c r="D35" s="75"/>
      <c r="E35" s="74"/>
      <c r="F35" s="98" t="n">
        <f aca="false">SUM(F24:F34)</f>
        <v>430020</v>
      </c>
      <c r="G35" s="99" t="n">
        <f aca="false">SUM(G24:G34)</f>
        <v>430020</v>
      </c>
      <c r="H35" s="74"/>
      <c r="I35" s="100" t="str">
        <f aca="false">IF(G35=D15,"OK","Revisar")</f>
        <v>OK</v>
      </c>
      <c r="L35" s="43"/>
      <c r="N35" s="74"/>
    </row>
    <row r="36" customFormat="false" ht="13.8" hidden="false" customHeight="false" outlineLevel="0" collapsed="false">
      <c r="A36" s="70" t="str">
        <f aca="false">+G2</f>
        <v>VOLUMINOSOS</v>
      </c>
      <c r="B36" s="70"/>
      <c r="C36" s="70"/>
      <c r="D36" s="70"/>
      <c r="E36" s="70"/>
      <c r="F36" s="70"/>
      <c r="G36" s="70"/>
      <c r="H36" s="70"/>
      <c r="L36" s="43"/>
      <c r="N36" s="74"/>
    </row>
    <row r="37" customFormat="false" ht="13.8" hidden="false" customHeight="false" outlineLevel="0" collapsed="false">
      <c r="C37" s="74" t="s">
        <v>40</v>
      </c>
      <c r="D37" s="75" t="s">
        <v>61</v>
      </c>
      <c r="E37" s="74" t="s">
        <v>62</v>
      </c>
      <c r="F37" s="98" t="s">
        <v>43</v>
      </c>
      <c r="G37" s="74" t="s">
        <v>35</v>
      </c>
      <c r="H37" s="74"/>
    </row>
    <row r="38" customFormat="false" ht="13.8" hidden="false" customHeight="false" outlineLevel="0" collapsed="false">
      <c r="A38" s="77" t="n">
        <v>109</v>
      </c>
      <c r="B38" s="78" t="s">
        <v>44</v>
      </c>
      <c r="C38" s="79" t="s">
        <v>24</v>
      </c>
      <c r="D38" s="101" t="n">
        <v>2</v>
      </c>
      <c r="E38" s="81" t="n">
        <v>3</v>
      </c>
      <c r="F38" s="81" t="n">
        <v>7360</v>
      </c>
      <c r="G38" s="102" t="n">
        <f aca="false">IFERROR(INDEX($B$3:$G$14,MATCH(C38,$A$3:$A$14,0),MATCH($A$36,$B$2:$G$2,0)),0)</f>
        <v>7360</v>
      </c>
      <c r="H38" s="103" t="str">
        <f aca="false">IF(G38=F38,"Bien",G38-F38)</f>
        <v>Bien</v>
      </c>
    </row>
    <row r="39" customFormat="false" ht="13.8" hidden="false" customHeight="false" outlineLevel="0" collapsed="false">
      <c r="A39" s="43" t="n">
        <v>333</v>
      </c>
      <c r="B39" s="44" t="s">
        <v>45</v>
      </c>
      <c r="C39" s="74" t="s">
        <v>16</v>
      </c>
      <c r="D39" s="104"/>
      <c r="E39" s="76"/>
      <c r="F39" s="76"/>
      <c r="G39" s="105" t="n">
        <f aca="false">IFERROR(INDEX($B$3:$G$14,MATCH(C39,$A$3:$A$14,0),MATCH($A$36,$B$2:$G$2,0)),0)</f>
        <v>0</v>
      </c>
      <c r="H39" s="106" t="str">
        <f aca="false">IF(G39=F39,"Bien",G39-F39)</f>
        <v>Bien</v>
      </c>
    </row>
    <row r="40" customFormat="false" ht="13.8" hidden="false" customHeight="false" outlineLevel="0" collapsed="false">
      <c r="A40" s="43" t="n">
        <v>316</v>
      </c>
      <c r="B40" s="74" t="s">
        <v>51</v>
      </c>
      <c r="C40" s="74" t="s">
        <v>23</v>
      </c>
      <c r="D40" s="104"/>
      <c r="E40" s="76"/>
      <c r="F40" s="76"/>
      <c r="G40" s="105" t="n">
        <f aca="false">IFERROR(INDEX($B$3:$G$14,MATCH(C40,$A$3:$A$14,0),MATCH($A$36,$B$2:$G$2,0)),0)</f>
        <v>0</v>
      </c>
      <c r="H40" s="106" t="str">
        <f aca="false">IF(G40=F40,"Bien",G40-F40)</f>
        <v>Bien</v>
      </c>
    </row>
    <row r="41" customFormat="false" ht="13.8" hidden="false" customHeight="false" outlineLevel="0" collapsed="false">
      <c r="A41" s="43" t="n">
        <v>309</v>
      </c>
      <c r="B41" s="44" t="s">
        <v>55</v>
      </c>
      <c r="C41" s="74" t="s">
        <v>21</v>
      </c>
      <c r="D41" s="104" t="n">
        <v>2</v>
      </c>
      <c r="E41" s="76" t="n">
        <v>3</v>
      </c>
      <c r="F41" s="76" t="n">
        <v>1160</v>
      </c>
      <c r="G41" s="105" t="n">
        <f aca="false">IFERROR(INDEX($B$3:$G$14,MATCH(C41,$A$3:$A$14,0),MATCH($A$36,$B$2:$G$2,0)),0)</f>
        <v>1160</v>
      </c>
      <c r="H41" s="106" t="str">
        <f aca="false">IF(G41=F41,"Bien",G41-F41)</f>
        <v>Bien</v>
      </c>
    </row>
    <row r="42" customFormat="false" ht="13.8" hidden="false" customHeight="false" outlineLevel="0" collapsed="false">
      <c r="A42" s="43" t="n">
        <v>296</v>
      </c>
      <c r="B42" s="74" t="s">
        <v>58</v>
      </c>
      <c r="C42" s="74" t="s">
        <v>18</v>
      </c>
      <c r="D42" s="104" t="n">
        <v>2</v>
      </c>
      <c r="E42" s="76" t="n">
        <v>13</v>
      </c>
      <c r="F42" s="76" t="n">
        <v>9620</v>
      </c>
      <c r="G42" s="105" t="n">
        <f aca="false">IFERROR(INDEX($B$3:$G$14,MATCH(C42,$A$3:$A$14,0),MATCH($A$36,$B$2:$G$2,0)),0)</f>
        <v>9620</v>
      </c>
      <c r="H42" s="106" t="str">
        <f aca="false">IF(G42=F42,"Bien",G42-F42)</f>
        <v>Bien</v>
      </c>
    </row>
    <row r="43" customFormat="false" ht="13.8" hidden="false" customHeight="false" outlineLevel="0" collapsed="false">
      <c r="B43" s="107" t="s">
        <v>44</v>
      </c>
      <c r="C43" s="107" t="s">
        <v>59</v>
      </c>
      <c r="D43" s="104"/>
      <c r="E43" s="76"/>
      <c r="F43" s="76"/>
      <c r="G43" s="105" t="n">
        <f aca="false">IFERROR(INDEX($B$3:$G$14,MATCH(C43,$A$3:$A$14,0),MATCH($A$36,$B$2:$G$2,0)),0)</f>
        <v>0</v>
      </c>
      <c r="H43" s="106" t="str">
        <f aca="false">IF(G43=F43,"Bien",G43-F43)</f>
        <v>Bien</v>
      </c>
    </row>
    <row r="44" customFormat="false" ht="13.8" hidden="false" customHeight="false" outlineLevel="0" collapsed="false">
      <c r="B44" s="74"/>
      <c r="C44" s="107" t="s">
        <v>22</v>
      </c>
      <c r="D44" s="104" t="n">
        <v>2</v>
      </c>
      <c r="E44" s="76" t="n">
        <v>2</v>
      </c>
      <c r="F44" s="76" t="n">
        <v>4900</v>
      </c>
      <c r="G44" s="105" t="n">
        <f aca="false">IFERROR(INDEX($B$3:$G$14,MATCH(C44,$A$3:$A$14,0),MATCH($A$36,$B$2:$G$2,0)),0)</f>
        <v>4900</v>
      </c>
      <c r="H44" s="106" t="str">
        <f aca="false">IF(G44=F44,"Bien",G44-F44)</f>
        <v>Bien</v>
      </c>
    </row>
    <row r="45" customFormat="false" ht="14.9" hidden="false" customHeight="false" outlineLevel="0" collapsed="false">
      <c r="A45" s="91"/>
      <c r="B45" s="108" t="s">
        <v>63</v>
      </c>
      <c r="C45" s="109" t="s">
        <v>64</v>
      </c>
      <c r="D45" s="110"/>
      <c r="E45" s="111"/>
      <c r="F45" s="111"/>
      <c r="G45" s="112" t="n">
        <f aca="false">IFERROR(INDEX($B$3:$G$14,MATCH(C45,$A$3:$A$14,0),MATCH($A$36,$B$2:$G$2,0)),0)</f>
        <v>0</v>
      </c>
      <c r="H45" s="113" t="str">
        <f aca="false">IF(G45=F45,"Bien",G45-F45)</f>
        <v>Bien</v>
      </c>
    </row>
    <row r="46" s="44" customFormat="true" ht="13.8" hidden="false" customHeight="false" outlineLevel="0" collapsed="false">
      <c r="D46" s="75"/>
      <c r="E46" s="74"/>
      <c r="F46" s="98" t="n">
        <f aca="false">SUM(F38:F45)</f>
        <v>23040</v>
      </c>
      <c r="G46" s="99" t="n">
        <f aca="false">SUM(G38:G45)</f>
        <v>23040</v>
      </c>
      <c r="H46" s="74"/>
      <c r="I46" s="100" t="str">
        <f aca="false">+IF(G46=G15,"OK","Revisar")</f>
        <v>OK</v>
      </c>
    </row>
    <row r="47" customFormat="false" ht="13.8" hidden="false" customHeight="false" outlineLevel="0" collapsed="false">
      <c r="C47" s="74"/>
      <c r="D47" s="75"/>
      <c r="E47" s="74"/>
      <c r="F47" s="98"/>
      <c r="G47" s="99"/>
      <c r="H47" s="74"/>
    </row>
    <row r="48" customFormat="false" ht="13.8" hidden="false" customHeight="false" outlineLevel="0" collapsed="false">
      <c r="A48" s="70" t="s">
        <v>20</v>
      </c>
      <c r="B48" s="70"/>
      <c r="C48" s="70"/>
      <c r="D48" s="70"/>
      <c r="E48" s="70"/>
      <c r="F48" s="70"/>
      <c r="G48" s="70"/>
      <c r="H48" s="70"/>
    </row>
    <row r="49" customFormat="false" ht="13.8" hidden="false" customHeight="false" outlineLevel="0" collapsed="false">
      <c r="C49" s="114" t="s">
        <v>40</v>
      </c>
      <c r="D49" s="115" t="s">
        <v>62</v>
      </c>
      <c r="E49" s="116" t="s">
        <v>43</v>
      </c>
      <c r="F49" s="117" t="s">
        <v>35</v>
      </c>
      <c r="G49" s="74"/>
      <c r="H49" s="74"/>
    </row>
    <row r="50" customFormat="false" ht="13.8" hidden="false" customHeight="false" outlineLevel="0" collapsed="false">
      <c r="A50" s="118" t="n">
        <v>109</v>
      </c>
      <c r="B50" s="119" t="s">
        <v>44</v>
      </c>
      <c r="C50" s="79" t="s">
        <v>24</v>
      </c>
      <c r="D50" s="120" t="n">
        <v>1</v>
      </c>
      <c r="E50" s="121" t="n">
        <v>1640</v>
      </c>
      <c r="F50" s="122" t="n">
        <f aca="false">IFERROR(INDEX($B$3:$G$14,MATCH(C50,$A$3:$A$14,0),MATCH($A$48,$B$2:$G$2,0)),0)</f>
        <v>1640</v>
      </c>
      <c r="G50" s="123" t="str">
        <f aca="false">IF(F50=E50,"Bien",F50-E50)</f>
        <v>Bien</v>
      </c>
      <c r="H50" s="74"/>
    </row>
    <row r="51" customFormat="false" ht="14.9" hidden="false" customHeight="false" outlineLevel="0" collapsed="false">
      <c r="A51" s="124" t="n">
        <v>320</v>
      </c>
      <c r="B51" s="125" t="s">
        <v>48</v>
      </c>
      <c r="C51" s="74" t="s">
        <v>10</v>
      </c>
      <c r="D51" s="126" t="n">
        <v>5</v>
      </c>
      <c r="E51" s="127" t="n">
        <v>9520</v>
      </c>
      <c r="F51" s="128" t="n">
        <f aca="false">IFERROR(INDEX($B$3:$G$14,MATCH(C51,$A$3:$A$14,0),MATCH($A$48,$B$2:$G$2,0)),0)</f>
        <v>9520</v>
      </c>
      <c r="G51" s="129" t="str">
        <f aca="false">IF(F51=E51,"Bien",F51-E51)</f>
        <v>Bien</v>
      </c>
      <c r="H51" s="74"/>
    </row>
    <row r="52" customFormat="false" ht="14.9" hidden="false" customHeight="false" outlineLevel="0" collapsed="false">
      <c r="A52" s="124" t="n">
        <v>321</v>
      </c>
      <c r="B52" s="125" t="s">
        <v>49</v>
      </c>
      <c r="C52" s="74" t="s">
        <v>50</v>
      </c>
      <c r="D52" s="126"/>
      <c r="E52" s="127"/>
      <c r="F52" s="128" t="n">
        <f aca="false">IFERROR(INDEX($B$3:$G$14,MATCH(C52,$A$3:$A$14,0),MATCH($A$48,$B$2:$G$2,0)),0)</f>
        <v>0</v>
      </c>
      <c r="G52" s="129" t="str">
        <f aca="false">IF(F52=E52,"Bien",F52-E52)</f>
        <v>Bien</v>
      </c>
      <c r="H52" s="74"/>
    </row>
    <row r="53" customFormat="false" ht="13.8" hidden="false" customHeight="false" outlineLevel="0" collapsed="false">
      <c r="A53" s="130" t="n">
        <v>296</v>
      </c>
      <c r="B53" s="131" t="s">
        <v>58</v>
      </c>
      <c r="C53" s="74" t="s">
        <v>18</v>
      </c>
      <c r="D53" s="126"/>
      <c r="E53" s="132"/>
      <c r="F53" s="128" t="n">
        <f aca="false">IFERROR(INDEX($B$3:$G$14,MATCH(C53,$A$3:$A$14,0),MATCH($A$48,$B$2:$G$2,0)),0)</f>
        <v>0</v>
      </c>
      <c r="G53" s="129" t="str">
        <f aca="false">IF(F53=E53,"Bien",F53-E53)</f>
        <v>Bien</v>
      </c>
      <c r="H53" s="74"/>
    </row>
    <row r="54" customFormat="false" ht="14.9" hidden="false" customHeight="false" outlineLevel="0" collapsed="false">
      <c r="A54" s="124"/>
      <c r="B54" s="133"/>
      <c r="C54" s="134" t="s">
        <v>22</v>
      </c>
      <c r="D54" s="126"/>
      <c r="E54" s="132"/>
      <c r="F54" s="128" t="n">
        <f aca="false">IFERROR(INDEX($B$3:$G$14,MATCH(C54,$A$3:$A$14,0),MATCH($A$48,$B$2:$G$2,0)),0)</f>
        <v>0</v>
      </c>
      <c r="G54" s="129" t="str">
        <f aca="false">IF(F54=E54,"Bien",F54-E54)</f>
        <v>Bien</v>
      </c>
      <c r="H54" s="74"/>
    </row>
    <row r="55" customFormat="false" ht="13.8" hidden="false" customHeight="false" outlineLevel="0" collapsed="false">
      <c r="A55" s="135"/>
      <c r="B55" s="136" t="s">
        <v>44</v>
      </c>
      <c r="C55" s="92" t="s">
        <v>59</v>
      </c>
      <c r="D55" s="137"/>
      <c r="E55" s="138"/>
      <c r="F55" s="139" t="n">
        <f aca="false">IFERROR(INDEX($B$3:$G$14,MATCH(C55,$A$3:$A$14,0),MATCH($A$48,$B$2:$G$2,0)),0)</f>
        <v>0</v>
      </c>
      <c r="G55" s="140" t="str">
        <f aca="false">IF(F55=E55,"Bien",F55-E55)</f>
        <v>Bien</v>
      </c>
      <c r="H55" s="74"/>
    </row>
    <row r="56" customFormat="false" ht="13.8" hidden="false" customHeight="false" outlineLevel="0" collapsed="false">
      <c r="C56" s="74"/>
      <c r="D56" s="126"/>
      <c r="E56" s="99" t="n">
        <f aca="false">SUM(E50:E55)</f>
        <v>11160</v>
      </c>
      <c r="F56" s="99" t="n">
        <f aca="false">SUM(F50:F55)</f>
        <v>11160</v>
      </c>
      <c r="G56" s="74"/>
      <c r="H56" s="74"/>
      <c r="I56" s="100" t="str">
        <f aca="false">+IF(F56=F15,"OK","Revisar")</f>
        <v>OK</v>
      </c>
    </row>
    <row r="57" customFormat="false" ht="13.8" hidden="false" customHeight="false" outlineLevel="0" collapsed="false">
      <c r="A57" s="70" t="s">
        <v>26</v>
      </c>
      <c r="B57" s="70"/>
      <c r="C57" s="70"/>
      <c r="D57" s="70"/>
      <c r="E57" s="70"/>
      <c r="F57" s="70"/>
      <c r="G57" s="70"/>
      <c r="H57" s="74"/>
    </row>
    <row r="58" customFormat="false" ht="13.8" hidden="false" customHeight="false" outlineLevel="0" collapsed="false">
      <c r="C58" s="74" t="s">
        <v>40</v>
      </c>
      <c r="D58" s="75" t="s">
        <v>62</v>
      </c>
      <c r="E58" s="74" t="s">
        <v>43</v>
      </c>
      <c r="F58" s="98" t="s">
        <v>35</v>
      </c>
      <c r="G58" s="74"/>
      <c r="H58" s="74"/>
    </row>
    <row r="59" customFormat="false" ht="13.8" hidden="false" customHeight="false" outlineLevel="0" collapsed="false">
      <c r="A59" s="141" t="n">
        <v>109</v>
      </c>
      <c r="B59" s="142" t="s">
        <v>44</v>
      </c>
      <c r="C59" s="143" t="s">
        <v>24</v>
      </c>
      <c r="D59" s="144"/>
      <c r="E59" s="145"/>
      <c r="F59" s="146" t="n">
        <f aca="false">IFERROR(INDEX($B$3:$G$14,MATCH(C59,$A$3:$A$14,0),MATCH($A$57,$B$2:$G$2,0)),0)</f>
        <v>0</v>
      </c>
      <c r="G59" s="147" t="str">
        <f aca="false">IF(F59=E59,"Bien",F59-E59)</f>
        <v>Bien</v>
      </c>
      <c r="H59" s="74"/>
    </row>
    <row r="60" customFormat="false" ht="14.9" hidden="false" customHeight="false" outlineLevel="0" collapsed="false">
      <c r="A60" s="148" t="n">
        <v>320</v>
      </c>
      <c r="B60" s="87" t="s">
        <v>48</v>
      </c>
      <c r="C60" s="74" t="s">
        <v>10</v>
      </c>
      <c r="D60" s="126" t="n">
        <v>4</v>
      </c>
      <c r="E60" s="132" t="n">
        <v>5100</v>
      </c>
      <c r="F60" s="84" t="n">
        <f aca="false">IFERROR(INDEX($B$3:$G$14,MATCH(C60,$A$3:$A$14,0),MATCH($A$57,$B$2:$G$2,0)),0)</f>
        <v>5100</v>
      </c>
      <c r="G60" s="149" t="str">
        <f aca="false">IF(F60=E60,"Bien",F60-E60)</f>
        <v>Bien</v>
      </c>
      <c r="H60" s="74"/>
    </row>
    <row r="61" customFormat="false" ht="14.9" hidden="false" customHeight="false" outlineLevel="0" collapsed="false">
      <c r="A61" s="148" t="n">
        <v>321</v>
      </c>
      <c r="B61" s="87" t="s">
        <v>49</v>
      </c>
      <c r="C61" s="74" t="s">
        <v>50</v>
      </c>
      <c r="D61" s="126"/>
      <c r="E61" s="132"/>
      <c r="F61" s="84" t="n">
        <f aca="false">IFERROR(INDEX($B$3:$G$14,MATCH(C61,$A$3:$A$14,0),MATCH($A$57,$B$2:$G$2,0)),0)</f>
        <v>0</v>
      </c>
      <c r="G61" s="149" t="str">
        <f aca="false">IF(F61=E61,"Bien",F61-E61)</f>
        <v>Bien</v>
      </c>
      <c r="H61" s="74"/>
    </row>
    <row r="62" customFormat="false" ht="13.8" hidden="false" customHeight="false" outlineLevel="0" collapsed="false">
      <c r="A62" s="150" t="n">
        <v>296</v>
      </c>
      <c r="B62" s="44" t="s">
        <v>58</v>
      </c>
      <c r="C62" s="74" t="s">
        <v>18</v>
      </c>
      <c r="D62" s="126"/>
      <c r="E62" s="132"/>
      <c r="F62" s="84" t="n">
        <f aca="false">IFERROR(INDEX($B$3:$G$14,MATCH(C62,$A$3:$A$14,0),MATCH($A$57,$B$2:$G$2,0)),0)</f>
        <v>0</v>
      </c>
      <c r="G62" s="149" t="str">
        <f aca="false">IF(F62=E62,"Bien",F62-E62)</f>
        <v>Bien</v>
      </c>
      <c r="H62" s="74"/>
    </row>
    <row r="63" customFormat="false" ht="14.9" hidden="false" customHeight="false" outlineLevel="0" collapsed="false">
      <c r="A63" s="151"/>
      <c r="B63" s="152"/>
      <c r="C63" s="153" t="s">
        <v>22</v>
      </c>
      <c r="D63" s="154"/>
      <c r="E63" s="155"/>
      <c r="F63" s="156" t="n">
        <f aca="false">IFERROR(INDEX($B$3:$G$14,MATCH(C63,$A$3:$A$14,0),MATCH($A$57,$B$2:$G$2,0)),0)</f>
        <v>0</v>
      </c>
      <c r="G63" s="157" t="str">
        <f aca="false">IF(F63=E63,"Bien",F63-E63)</f>
        <v>Bien</v>
      </c>
      <c r="H63" s="74"/>
    </row>
    <row r="64" customFormat="false" ht="13.8" hidden="false" customHeight="false" outlineLevel="0" collapsed="false">
      <c r="C64" s="74"/>
      <c r="D64" s="126"/>
      <c r="E64" s="99" t="n">
        <f aca="false">SUM(E59:E63)</f>
        <v>5100</v>
      </c>
      <c r="F64" s="99" t="n">
        <f aca="false">SUM(F59:F63)</f>
        <v>5100</v>
      </c>
      <c r="G64" s="74"/>
      <c r="H64" s="74"/>
      <c r="I64" s="100" t="str">
        <f aca="false">+IF(F64=E15,"OK","Revisar")</f>
        <v>OK</v>
      </c>
    </row>
    <row r="65" customFormat="false" ht="13.8" hidden="false" customHeight="false" outlineLevel="0" collapsed="false">
      <c r="A65" s="70" t="s">
        <v>17</v>
      </c>
      <c r="B65" s="70"/>
      <c r="C65" s="70"/>
      <c r="D65" s="70"/>
      <c r="E65" s="70"/>
      <c r="F65" s="70"/>
      <c r="G65" s="70"/>
      <c r="H65" s="74"/>
    </row>
    <row r="66" customFormat="false" ht="13.8" hidden="false" customHeight="false" outlineLevel="0" collapsed="false">
      <c r="C66" s="74" t="s">
        <v>40</v>
      </c>
      <c r="D66" s="75" t="s">
        <v>62</v>
      </c>
      <c r="E66" s="74" t="s">
        <v>43</v>
      </c>
      <c r="F66" s="98" t="s">
        <v>35</v>
      </c>
      <c r="G66" s="74"/>
      <c r="H66" s="74"/>
    </row>
    <row r="67" customFormat="false" ht="13.8" hidden="false" customHeight="false" outlineLevel="0" collapsed="false">
      <c r="A67" s="141" t="n">
        <v>109</v>
      </c>
      <c r="B67" s="142" t="s">
        <v>44</v>
      </c>
      <c r="C67" s="143" t="s">
        <v>24</v>
      </c>
      <c r="D67" s="158"/>
      <c r="E67" s="145"/>
      <c r="F67" s="146" t="n">
        <f aca="false">IFERROR(INDEX($B$3:$G$14,MATCH(C67,$A$3:$A$14,0),MATCH($A$65,$B$2:$G$2,0)),0)</f>
        <v>0</v>
      </c>
      <c r="G67" s="147" t="str">
        <f aca="false">IF(F67=E67,"Bien",F67-E67)</f>
        <v>Bien</v>
      </c>
      <c r="H67" s="74"/>
    </row>
    <row r="68" customFormat="false" ht="13.8" hidden="false" customHeight="false" outlineLevel="0" collapsed="false">
      <c r="A68" s="150" t="n">
        <v>333</v>
      </c>
      <c r="B68" s="74" t="s">
        <v>45</v>
      </c>
      <c r="C68" s="74" t="s">
        <v>16</v>
      </c>
      <c r="D68" s="126" t="n">
        <v>15</v>
      </c>
      <c r="E68" s="127" t="n">
        <v>5380</v>
      </c>
      <c r="F68" s="84" t="n">
        <f aca="false">IFERROR(INDEX($B$3:$G$14,MATCH(C68,$A$3:$A$14,0),MATCH($A$65,$B$2:$G$2,0)),0)</f>
        <v>5380</v>
      </c>
      <c r="G68" s="149" t="str">
        <f aca="false">IF(F68=E68,"Bien",F68-E68)</f>
        <v>Bien</v>
      </c>
      <c r="H68" s="74"/>
    </row>
    <row r="69" customFormat="false" ht="14.9" hidden="false" customHeight="false" outlineLevel="0" collapsed="false">
      <c r="A69" s="159"/>
      <c r="B69" s="44" t="s">
        <v>63</v>
      </c>
      <c r="C69" s="87" t="s">
        <v>64</v>
      </c>
      <c r="D69" s="132"/>
      <c r="E69" s="132"/>
      <c r="F69" s="84" t="n">
        <f aca="false">IFERROR(INDEX($B$3:$G$14,MATCH(C69,$A$3:$A$14,0),MATCH($A$65,$B$2:$G$2,0)),0)</f>
        <v>0</v>
      </c>
      <c r="G69" s="149" t="str">
        <f aca="false">IF(F69=E69,"Bien",F69-E69)</f>
        <v>Bien</v>
      </c>
      <c r="H69" s="74"/>
    </row>
    <row r="70" customFormat="false" ht="13.8" hidden="false" customHeight="false" outlineLevel="0" collapsed="false">
      <c r="A70" s="150" t="n">
        <v>316</v>
      </c>
      <c r="B70" s="44" t="s">
        <v>51</v>
      </c>
      <c r="C70" s="74" t="s">
        <v>23</v>
      </c>
      <c r="D70" s="132"/>
      <c r="E70" s="132"/>
      <c r="F70" s="84" t="n">
        <f aca="false">IFERROR(INDEX($B$3:$G$14,MATCH(C70,$A$3:$A$14,0),MATCH($A$65,$B$2:$G$2,0)),0)</f>
        <v>0</v>
      </c>
      <c r="G70" s="149" t="str">
        <f aca="false">IF(F70=E70,"Bien",F70-E70)</f>
        <v>Bien</v>
      </c>
      <c r="H70" s="74"/>
    </row>
    <row r="71" customFormat="false" ht="13.8" hidden="false" customHeight="false" outlineLevel="0" collapsed="false">
      <c r="A71" s="150" t="n">
        <v>309</v>
      </c>
      <c r="B71" s="44" t="s">
        <v>55</v>
      </c>
      <c r="C71" s="74" t="s">
        <v>21</v>
      </c>
      <c r="D71" s="126" t="n">
        <v>5</v>
      </c>
      <c r="E71" s="127" t="n">
        <v>2280</v>
      </c>
      <c r="F71" s="84" t="n">
        <f aca="false">IFERROR(INDEX($B$3:$G$14,MATCH(C71,$A$3:$A$14,0),MATCH($A$65,$B$2:$G$2,0)),0)</f>
        <v>2280</v>
      </c>
      <c r="G71" s="149" t="str">
        <f aca="false">IF(F71=E71,"Bien",F71-E71)</f>
        <v>Bien</v>
      </c>
      <c r="H71" s="74"/>
    </row>
    <row r="72" customFormat="false" ht="13.8" hidden="false" customHeight="false" outlineLevel="0" collapsed="false">
      <c r="A72" s="160" t="n">
        <v>296</v>
      </c>
      <c r="B72" s="152" t="s">
        <v>58</v>
      </c>
      <c r="C72" s="152" t="s">
        <v>18</v>
      </c>
      <c r="D72" s="154"/>
      <c r="E72" s="161"/>
      <c r="F72" s="156" t="n">
        <f aca="false">IFERROR(INDEX($B$3:$G$14,MATCH(C72,$A$3:$A$14,0),MATCH($A$65,$B$2:$G$2,0)),0)</f>
        <v>0</v>
      </c>
      <c r="G72" s="157" t="str">
        <f aca="false">IF(F72=E72,"Bien",F72-E72)</f>
        <v>Bien</v>
      </c>
      <c r="H72" s="74"/>
    </row>
    <row r="73" customFormat="false" ht="13.8" hidden="false" customHeight="false" outlineLevel="0" collapsed="false">
      <c r="C73" s="74"/>
      <c r="D73" s="126"/>
      <c r="E73" s="99" t="n">
        <f aca="false">SUM(E67:E72)</f>
        <v>7660</v>
      </c>
      <c r="F73" s="99" t="n">
        <f aca="false">SUM(F67:F72)</f>
        <v>7660</v>
      </c>
      <c r="G73" s="74"/>
      <c r="H73" s="74"/>
      <c r="I73" s="100" t="str">
        <f aca="false">+IF(F73=C15,"OK","Revisar")</f>
        <v>OK</v>
      </c>
    </row>
    <row r="74" customFormat="false" ht="13.8" hidden="false" customHeight="false" outlineLevel="0" collapsed="false">
      <c r="A74" s="70" t="s">
        <v>30</v>
      </c>
      <c r="B74" s="70"/>
      <c r="C74" s="70"/>
      <c r="D74" s="70"/>
      <c r="E74" s="70"/>
      <c r="F74" s="70"/>
      <c r="G74" s="70"/>
      <c r="H74" s="74"/>
    </row>
    <row r="75" customFormat="false" ht="13.8" hidden="false" customHeight="false" outlineLevel="0" collapsed="false">
      <c r="C75" s="74" t="s">
        <v>40</v>
      </c>
      <c r="D75" s="75" t="s">
        <v>62</v>
      </c>
      <c r="E75" s="74" t="s">
        <v>43</v>
      </c>
      <c r="F75" s="98" t="s">
        <v>35</v>
      </c>
      <c r="G75" s="74"/>
      <c r="H75" s="74"/>
    </row>
    <row r="76" customFormat="false" ht="13.8" hidden="false" customHeight="false" outlineLevel="0" collapsed="false">
      <c r="A76" s="141" t="n">
        <v>109</v>
      </c>
      <c r="B76" s="142" t="s">
        <v>44</v>
      </c>
      <c r="C76" s="143" t="s">
        <v>24</v>
      </c>
      <c r="D76" s="144" t="n">
        <v>1</v>
      </c>
      <c r="E76" s="145" t="n">
        <v>5400</v>
      </c>
      <c r="F76" s="146" t="n">
        <f aca="false">IFERROR(INDEX($B$3:$G$14,MATCH(C76,$A$3:$A$14,0),MATCH($A$74,$B$2:$G$2,0)),0)</f>
        <v>5400</v>
      </c>
      <c r="G76" s="147" t="str">
        <f aca="false">IF(F76=E76,"Bien",F76-E76)</f>
        <v>Bien</v>
      </c>
      <c r="H76" s="74"/>
    </row>
    <row r="77" customFormat="false" ht="13.8" hidden="false" customHeight="false" outlineLevel="0" collapsed="false">
      <c r="A77" s="150" t="n">
        <v>309</v>
      </c>
      <c r="B77" s="44" t="s">
        <v>55</v>
      </c>
      <c r="C77" s="74" t="s">
        <v>21</v>
      </c>
      <c r="D77" s="126"/>
      <c r="E77" s="132"/>
      <c r="F77" s="84" t="n">
        <f aca="false">IFERROR(INDEX($B$3:$G$14,MATCH(C77,$A$3:$A$14,0),MATCH($A$74,$B$2:$G$2,0)),0)</f>
        <v>0</v>
      </c>
      <c r="G77" s="149" t="str">
        <f aca="false">IF(F77=E77,"Bien",F77-E77)</f>
        <v>Bien</v>
      </c>
      <c r="H77" s="74"/>
    </row>
    <row r="78" customFormat="false" ht="13.8" hidden="false" customHeight="false" outlineLevel="0" collapsed="false">
      <c r="A78" s="160" t="n">
        <v>296</v>
      </c>
      <c r="B78" s="152" t="s">
        <v>58</v>
      </c>
      <c r="C78" s="152" t="s">
        <v>18</v>
      </c>
      <c r="D78" s="154"/>
      <c r="E78" s="155"/>
      <c r="F78" s="156" t="n">
        <f aca="false">IFERROR(INDEX($B$3:$G$14,MATCH(C78,$A$3:$A$14,0),MATCH($A$74,$B$2:$G$2,0)),0)</f>
        <v>0</v>
      </c>
      <c r="G78" s="157" t="str">
        <f aca="false">IF(F78=E78,"Bien",F78-E78)</f>
        <v>Bien</v>
      </c>
      <c r="H78" s="74"/>
    </row>
    <row r="79" customFormat="false" ht="13.8" hidden="false" customHeight="false" outlineLevel="0" collapsed="false">
      <c r="C79" s="74"/>
      <c r="D79" s="126"/>
      <c r="E79" s="99" t="n">
        <f aca="false">SUM(E76:E78)</f>
        <v>5400</v>
      </c>
      <c r="F79" s="99" t="n">
        <f aca="false">SUM(F76:F78)</f>
        <v>5400</v>
      </c>
      <c r="G79" s="74"/>
      <c r="H79" s="74"/>
      <c r="I79" s="100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7">
      <formula>""bien""</formula>
    </cfRule>
  </conditionalFormatting>
  <conditionalFormatting sqref="H38">
    <cfRule type="cellIs" priority="3" operator="notEqual" aboveAverage="0" equalAverage="0" bottom="0" percent="0" rank="0" text="" dxfId="8">
      <formula>""bien""</formula>
    </cfRule>
  </conditionalFormatting>
  <conditionalFormatting sqref="H39:H45">
    <cfRule type="cellIs" priority="4" operator="notEqual" aboveAverage="0" equalAverage="0" bottom="0" percent="0" rank="0" text="" dxfId="9">
      <formula>""bien""</formula>
    </cfRule>
  </conditionalFormatting>
  <conditionalFormatting sqref="G50">
    <cfRule type="cellIs" priority="5" operator="notEqual" aboveAverage="0" equalAverage="0" bottom="0" percent="0" rank="0" text="" dxfId="10">
      <formula>""bien""</formula>
    </cfRule>
  </conditionalFormatting>
  <conditionalFormatting sqref="G51:G55">
    <cfRule type="cellIs" priority="6" operator="notEqual" aboveAverage="0" equalAverage="0" bottom="0" percent="0" rank="0" text="" dxfId="11">
      <formula>""bien""</formula>
    </cfRule>
  </conditionalFormatting>
  <conditionalFormatting sqref="G59">
    <cfRule type="cellIs" priority="7" operator="notEqual" aboveAverage="0" equalAverage="0" bottom="0" percent="0" rank="0" text="" dxfId="12">
      <formula>""bien""</formula>
    </cfRule>
  </conditionalFormatting>
  <conditionalFormatting sqref="G60:G63">
    <cfRule type="cellIs" priority="8" operator="notEqual" aboveAverage="0" equalAverage="0" bottom="0" percent="0" rank="0" text="" dxfId="13">
      <formula>""bien""</formula>
    </cfRule>
  </conditionalFormatting>
  <conditionalFormatting sqref="G67">
    <cfRule type="cellIs" priority="9" operator="notEqual" aboveAverage="0" equalAverage="0" bottom="0" percent="0" rank="0" text="" dxfId="14">
      <formula>""bien""</formula>
    </cfRule>
  </conditionalFormatting>
  <conditionalFormatting sqref="G68:G72">
    <cfRule type="cellIs" priority="10" operator="notEqual" aboveAverage="0" equalAverage="0" bottom="0" percent="0" rank="0" text="" dxfId="15">
      <formula>""bien""</formula>
    </cfRule>
  </conditionalFormatting>
  <conditionalFormatting sqref="G76">
    <cfRule type="cellIs" priority="11" operator="notEqual" aboveAverage="0" equalAverage="0" bottom="0" percent="0" rank="0" text="" dxfId="16">
      <formula>""bien""</formula>
    </cfRule>
  </conditionalFormatting>
  <conditionalFormatting sqref="G77:G78">
    <cfRule type="cellIs" priority="12" operator="notEqual" aboveAverage="0" equalAverage="0" bottom="0" percent="0" rank="0" text="" dxfId="17">
      <formula>""bien""</formula>
    </cfRule>
  </conditionalFormatting>
  <conditionalFormatting sqref="B16:G16">
    <cfRule type="cellIs" priority="13" operator="notEqual" aboveAverage="0" equalAverage="0" bottom="0" percent="0" rank="0" text="" dxfId="18">
      <formula>#ref!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arpeta" ma:contentTypeID="0x012000D96F098ED5E78F49B4E623047188DB6F" ma:contentTypeVersion="0" ma:contentTypeDescription="Crear nueva carpeta." ma:contentTypeScope="" ma:versionID="e9eb27d8e2cb7f102e8d4388d8cfd20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8145ba8b14c3a68460a880463bfe250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temChildCount" minOccurs="0"/>
                <xsd:element ref="ns1:FolderChild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temChildCount" ma:index="3" nillable="true" ma:displayName="Número secundario de elemento" ma:hidden="true" ma:list="Docs" ma:internalName="ItemChildCount" ma:readOnly="true" ma:showField="ItemChildCount">
      <xsd:simpleType>
        <xsd:restriction base="dms:Lookup"/>
      </xsd:simpleType>
    </xsd:element>
    <xsd:element name="FolderChildCount" ma:index="4" nillable="true" ma:displayName="Recuento secundario de carpetas" ma:hidden="true" ma:list="Docs" ma:internalName="FolderChildCount" ma:readOnly="true" ma:showField="FolderChildCount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ListForm</Display>
  <Edit>ListForm</Edit>
  <New>ListForm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8ADCF-6E9E-452D-99A9-DEE001089D8F}"/>
</file>

<file path=customXml/itemProps2.xml><?xml version="1.0" encoding="utf-8"?>
<ds:datastoreItem xmlns:ds="http://schemas.openxmlformats.org/officeDocument/2006/customXml" ds:itemID="{AA9464D6-2495-402D-B890-E6A1A2A9C6C4}"/>
</file>

<file path=customXml/itemProps3.xml><?xml version="1.0" encoding="utf-8"?>
<ds:datastoreItem xmlns:ds="http://schemas.openxmlformats.org/officeDocument/2006/customXml" ds:itemID="{52DD67B8-1D1B-4E0B-9E07-BD94116F43B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LibreOffice/7.2.7.2$Windows_X86_64 LibreOffice_project/8d71d29d553c0f7dcbfa38fbfda25ee34cce99a2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2023-01-02T14:48:08Z</dcterms:created>
  <dc:creator>Administrador</dc:creator>
  <dc:description/>
  <dc:language>es-ES</dc:language>
  <cp:lastModifiedBy/>
  <dcterms:modified xsi:type="dcterms:W3CDTF">2023-01-17T09:10:43Z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0x012000D96F098ED5E78F49B4E623047188DB6F</vt:lpwstr>
  </property>
</Properties>
</file>