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_rels/sheet1.xml.rels" ContentType="application/vnd.openxmlformats-package.relationships+xml"/>
  <Override PartName="/xl/worksheets/_rels/sheet2.xml.rels" ContentType="application/vnd.openxmlformats-package.relationship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ivotTables/pivotTable1.xml" ContentType="application/vnd.openxmlformats-officedocument.spreadsheetml.pivotTable+xml"/>
  <Override PartName="/xl/pivotTables/_rels/pivotTable1.xml.rels" ContentType="application/vnd.openxmlformats-package.relationships+xml"/>
  <Override PartName="/xl/pivotCache/pivotCacheDefinition1.xml" ContentType="application/vnd.openxmlformats-officedocument.spreadsheetml.pivotCacheDefinition+xml"/>
  <Override PartName="/xl/pivotCache/_rels/pivotCacheDefinition1.xml.rels" ContentType="application/vnd.openxmlformats-package.relationships+xml"/>
  <Override PartName="/xl/pivotCache/pivotCacheRecords1.xml" ContentType="application/vnd.openxmlformats-officedocument.spreadsheetml.pivotCacheRecord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_rels/item1.xml.rels" ContentType="application/vnd.openxmlformats-package.relationships+xml"/>
  <Override PartName="/customXml/_rels/item2.xml.rels" ContentType="application/vnd.openxmlformats-package.relationships+xml"/>
  <Override PartName="/customXml/_rels/item3.xml.rels" ContentType="application/vnd.openxmlformats-package.relationships+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<Relationship Id="rId6" Type="http://schemas.openxmlformats.org/officeDocument/2006/relationships/customXml" Target="../customXml/item2.xml"/><Relationship Id="rId7" Type="http://schemas.openxmlformats.org/officeDocument/2006/relationships/customXml" Target="../customXml/item3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Hoja1" sheetId="1" state="visible" r:id="rId2"/>
    <sheet name="Tabla dinámica_Hoja1_1" sheetId="2" state="visible" r:id="rId3"/>
    <sheet name="certificacion_2_2_2" sheetId="3" state="visible" r:id="rId4"/>
  </sheets>
  <definedNames>
    <definedName function="false" hidden="true" localSheetId="0" name="_xlnm._FilterDatabase" vbProcedure="false">Hoja1!$A$1:$J$351</definedName>
  </definedNames>
  <calcPr iterateCount="100" refMode="A1" iterate="false" iterateDelta="0.0001"/>
  <pivotCaches>
    <pivotCache cacheId="1" r:id="rId6"/>
  </pivotCaches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<sst xmlns="http://schemas.openxmlformats.org/spreadsheetml/2006/main" count="1586" uniqueCount="66">
  <si>
    <t xml:space="preserve">Fecha</t>
  </si>
  <si>
    <t xml:space="preserve">Fecha / hora</t>
  </si>
  <si>
    <t xml:space="preserve">Ticket</t>
  </si>
  <si>
    <t xml:space="preserve">Matrícula</t>
  </si>
  <si>
    <t xml:space="preserve">Peso total</t>
  </si>
  <si>
    <t xml:space="preserve">Tara</t>
  </si>
  <si>
    <t xml:space="preserve">Carga</t>
  </si>
  <si>
    <t xml:space="preserve">Población</t>
  </si>
  <si>
    <t xml:space="preserve">Residuo</t>
  </si>
  <si>
    <t xml:space="preserve">Revisado</t>
  </si>
  <si>
    <t xml:space="preserve">SEL.ENV</t>
  </si>
  <si>
    <t xml:space="preserve">7809JZX</t>
  </si>
  <si>
    <t xml:space="preserve">PEÑISCOLA</t>
  </si>
  <si>
    <t xml:space="preserve">RSU</t>
  </si>
  <si>
    <t xml:space="preserve">x</t>
  </si>
  <si>
    <t xml:space="preserve">1821KBZ</t>
  </si>
  <si>
    <t xml:space="preserve">7542KBV</t>
  </si>
  <si>
    <t xml:space="preserve">1076KSZ</t>
  </si>
  <si>
    <t xml:space="preserve">7957JZS</t>
  </si>
  <si>
    <t xml:space="preserve">VOL</t>
  </si>
  <si>
    <t xml:space="preserve">6120JZX</t>
  </si>
  <si>
    <t xml:space="preserve">3686KBG</t>
  </si>
  <si>
    <t xml:space="preserve">0315BGK</t>
  </si>
  <si>
    <t xml:space="preserve">SEL.PAP</t>
  </si>
  <si>
    <t xml:space="preserve">1730KBZ</t>
  </si>
  <si>
    <t xml:space="preserve">5313GBZ</t>
  </si>
  <si>
    <t xml:space="preserve">PODA</t>
  </si>
  <si>
    <t xml:space="preserve">S/N</t>
  </si>
  <si>
    <t xml:space="preserve">8500BYJ</t>
  </si>
  <si>
    <t xml:space="preserve">BARREDURIA</t>
  </si>
  <si>
    <t xml:space="preserve">- todo -</t>
  </si>
  <si>
    <t xml:space="preserve">Suma - Carga</t>
  </si>
  <si>
    <t xml:space="preserve">Total Resultado</t>
  </si>
  <si>
    <t xml:space="preserve">LIMP. PLAYA</t>
  </si>
  <si>
    <t xml:space="preserve">VOLUMINOSOS</t>
  </si>
  <si>
    <t xml:space="preserve">sustituye 0315BGK</t>
  </si>
  <si>
    <t xml:space="preserve">Certificado</t>
  </si>
  <si>
    <t xml:space="preserve">CERTIFICADO</t>
  </si>
  <si>
    <t xml:space="preserve">REVISADO</t>
  </si>
  <si>
    <t xml:space="preserve">DIFERENCIA</t>
  </si>
  <si>
    <t xml:space="preserve">TOTAL CERTIFICACIÓN</t>
  </si>
  <si>
    <t xml:space="preserve">N.º vehículo</t>
  </si>
  <si>
    <t xml:space="preserve">Tipo</t>
  </si>
  <si>
    <t xml:space="preserve">MATRICULA</t>
  </si>
  <si>
    <t xml:space="preserve">RUTA</t>
  </si>
  <si>
    <t xml:space="preserve">HORARIO</t>
  </si>
  <si>
    <t xml:space="preserve">CARGA</t>
  </si>
  <si>
    <t xml:space="preserve">MULTILIFT GRÚA</t>
  </si>
  <si>
    <t xml:space="preserve">Volquete Jardinería</t>
  </si>
  <si>
    <t xml:space="preserve">Dia/Noche</t>
  </si>
  <si>
    <t xml:space="preserve">Recolector 22 _ 1</t>
  </si>
  <si>
    <t xml:space="preserve">2-3-4-5</t>
  </si>
  <si>
    <t xml:space="preserve">Recolector 22 _ 2</t>
  </si>
  <si>
    <t xml:space="preserve">volquete 4x4 LV</t>
  </si>
  <si>
    <t xml:space="preserve">Recolector 17</t>
  </si>
  <si>
    <t xml:space="preserve">Sustituya a 318</t>
  </si>
  <si>
    <t xml:space="preserve">volquete doble LV</t>
  </si>
  <si>
    <t xml:space="preserve">Recolector 5</t>
  </si>
  <si>
    <t xml:space="preserve">Noche</t>
  </si>
  <si>
    <t xml:space="preserve">volquete</t>
  </si>
  <si>
    <t xml:space="preserve">Sustituya a 109</t>
  </si>
  <si>
    <t xml:space="preserve">N.º OPERARIOS</t>
  </si>
  <si>
    <t xml:space="preserve">FRECUENCIA</t>
  </si>
  <si>
    <t xml:space="preserve">2828CZW</t>
  </si>
  <si>
    <t xml:space="preserve">Camión FOBESA</t>
  </si>
  <si>
    <t xml:space="preserve">5936GJY</t>
  </si>
</sst>
</file>

<file path=xl/styles.xml><?xml version="1.0" encoding="utf-8"?>
<styleSheet xmlns="http://schemas.openxmlformats.org/spreadsheetml/2006/main">
  <numFmts count="8">
    <numFmt numFmtId="164" formatCode="#,##0.00\ ;[RED]\-#,##0.00\ "/>
    <numFmt numFmtId="165" formatCode="General"/>
    <numFmt numFmtId="166" formatCode="dd\-mm\-yy"/>
    <numFmt numFmtId="167" formatCode="h:mm"/>
    <numFmt numFmtId="168" formatCode="#,##0"/>
    <numFmt numFmtId="169" formatCode="dd/mm/yyyy"/>
    <numFmt numFmtId="170" formatCode="#,##0;[RED]\-#,##0"/>
    <numFmt numFmtId="171" formatCode="General"/>
  </numFmts>
  <fonts count="14">
    <font>
      <sz val="11"/>
      <color rgb="FF000000"/>
      <name val="Lato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Lato"/>
      <family val="2"/>
      <charset val="1"/>
    </font>
    <font>
      <b val="true"/>
      <sz val="10"/>
      <name val="Arial"/>
      <family val="2"/>
      <charset val="1"/>
    </font>
    <font>
      <sz val="10"/>
      <color rgb="FF000000"/>
      <name val="Arial"/>
      <family val="2"/>
      <charset val="1"/>
    </font>
    <font>
      <sz val="10"/>
      <color rgb="FF000000"/>
      <name val="Arial"/>
      <family val="2"/>
    </font>
    <font>
      <b val="true"/>
      <sz val="11"/>
      <color rgb="FF000000"/>
      <name val="Calibri"/>
      <family val="2"/>
      <charset val="1"/>
    </font>
    <font>
      <sz val="11"/>
      <color rgb="FF000000"/>
      <name val="Calibri"/>
      <family val="2"/>
      <charset val="1"/>
    </font>
    <font>
      <sz val="11"/>
      <color rgb="FF000000"/>
      <name val="Arial"/>
      <family val="0"/>
      <charset val="1"/>
    </font>
    <font>
      <b val="true"/>
      <sz val="11"/>
      <name val="Calibri"/>
      <family val="2"/>
      <charset val="1"/>
    </font>
    <font>
      <sz val="11"/>
      <color rgb="FF000000"/>
      <name val="Frutiger 45 Light"/>
      <family val="2"/>
      <charset val="1"/>
    </font>
    <font>
      <b val="true"/>
      <sz val="11"/>
      <color rgb="FFCE181E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FFBCC"/>
        <bgColor rgb="FFFFF9AE"/>
      </patternFill>
    </fill>
    <fill>
      <patternFill patternType="solid">
        <fgColor rgb="FFFFF9AE"/>
        <bgColor rgb="FFFFFBCC"/>
      </patternFill>
    </fill>
    <fill>
      <patternFill patternType="solid">
        <fgColor rgb="FFFCD3C1"/>
        <bgColor rgb="FFFFCCCC"/>
      </patternFill>
    </fill>
  </fills>
  <borders count="45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 style="thin"/>
      <top style="medium"/>
      <bottom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/>
      <right/>
      <top style="medium"/>
      <bottom style="thin"/>
      <diagonal/>
    </border>
    <border diagonalUp="false" diagonalDown="false">
      <left/>
      <right style="medium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medium"/>
      <right style="thin"/>
      <top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medium"/>
      <top/>
      <bottom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/>
      <top style="thin"/>
      <bottom style="medium"/>
      <diagonal/>
    </border>
    <border diagonalUp="false" diagonalDown="false">
      <left/>
      <right/>
      <top style="thin"/>
      <bottom style="medium"/>
      <diagonal/>
    </border>
    <border diagonalUp="false" diagonalDown="false">
      <left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/>
      <right/>
      <top style="hair"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/>
      <right/>
      <top/>
      <bottom style="hair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hair"/>
      <right style="hair"/>
      <top style="hair"/>
      <bottom/>
      <diagonal/>
    </border>
    <border diagonalUp="false" diagonalDown="false">
      <left style="hair"/>
      <right style="hair"/>
      <top/>
      <bottom/>
      <diagonal/>
    </border>
    <border diagonalUp="false" diagonalDown="false">
      <left style="hair"/>
      <right style="hair"/>
      <top/>
      <bottom style="hair"/>
      <diagonal/>
    </border>
    <border diagonalUp="false" diagonalDown="false">
      <left style="hair"/>
      <right/>
      <top style="hair"/>
      <bottom style="hair"/>
      <diagonal/>
    </border>
    <border diagonalUp="false" diagonalDown="false">
      <left/>
      <right/>
      <top style="hair"/>
      <bottom style="hair"/>
      <diagonal/>
    </border>
    <border diagonalUp="false" diagonalDown="false">
      <left/>
      <right style="hair"/>
      <top style="hair"/>
      <bottom style="hair"/>
      <diagonal/>
    </border>
    <border diagonalUp="false" diagonalDown="false">
      <left style="hair"/>
      <right/>
      <top style="hair"/>
      <bottom/>
      <diagonal/>
    </border>
    <border diagonalUp="false" diagonalDown="false">
      <left/>
      <right style="hair"/>
      <top style="hair"/>
      <bottom/>
      <diagonal/>
    </border>
    <border diagonalUp="false" diagonalDown="false">
      <left style="hair"/>
      <right/>
      <top/>
      <bottom/>
      <diagonal/>
    </border>
    <border diagonalUp="false" diagonalDown="false">
      <left/>
      <right style="hair"/>
      <top/>
      <bottom/>
      <diagonal/>
    </border>
    <border diagonalUp="false" diagonalDown="false">
      <left style="hair"/>
      <right/>
      <top/>
      <bottom style="hair"/>
      <diagonal/>
    </border>
    <border diagonalUp="false" diagonalDown="false">
      <left/>
      <right style="hair"/>
      <top/>
      <bottom style="hair"/>
      <diagonal/>
    </border>
  </borders>
  <cellStyleXfs count="27"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165" fontId="0" fillId="0" borderId="0" applyFont="true" applyBorder="false" applyAlignment="true" applyProtection="false">
      <alignment horizontal="left" vertical="bottom" textRotation="0" wrapText="false" indent="0" shrinkToFit="false"/>
    </xf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165" fontId="4" fillId="0" borderId="0" applyFont="true" applyBorder="false" applyAlignment="true" applyProtection="false">
      <alignment horizontal="general" vertical="bottom" textRotation="0" wrapText="false" indent="0" shrinkToFit="false"/>
    </xf>
    <xf numFmtId="165" fontId="4" fillId="0" borderId="0" applyFont="true" applyBorder="false" applyAlignment="true" applyProtection="false">
      <alignment horizontal="left" vertical="bottom" textRotation="0" wrapText="false" indent="0" shrinkToFit="false"/>
    </xf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165" fontId="8" fillId="0" borderId="0" applyFont="true" applyBorder="false" applyAlignment="true" applyProtection="false">
      <alignment horizontal="general" vertical="bottom" textRotation="0" wrapText="false" indent="0" shrinkToFit="false"/>
    </xf>
  </cellStyleXfs>
  <cellXfs count="152"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2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3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4" xfId="22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5" xfId="22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6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7" xfId="21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5" fontId="0" fillId="0" borderId="8" xfId="21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5" fontId="4" fillId="0" borderId="9" xfId="24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5" fontId="0" fillId="0" borderId="10" xfId="21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8" fontId="0" fillId="0" borderId="11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2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12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13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4" fillId="0" borderId="14" xfId="23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5" xfId="21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5" fontId="0" fillId="0" borderId="16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25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25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7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4" fillId="0" borderId="18" xfId="23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17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7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8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19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4" fillId="0" borderId="20" xfId="23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21" xfId="24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8" fontId="4" fillId="0" borderId="22" xfId="23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4" fillId="0" borderId="23" xfId="23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4" fillId="0" borderId="24" xfId="23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4" fillId="0" borderId="25" xfId="23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26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8" fillId="0" borderId="0" xfId="26" applyFont="false" applyBorder="true" applyAlignment="false" applyProtection="true">
      <alignment horizontal="general" vertical="bottom" textRotation="0" wrapText="false" indent="0" shrinkToFit="false"/>
      <protection locked="true" hidden="false"/>
    </xf>
    <xf numFmtId="165" fontId="9" fillId="0" borderId="1" xfId="26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5" fontId="9" fillId="0" borderId="26" xfId="26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9" fillId="0" borderId="27" xfId="26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5" fontId="8" fillId="0" borderId="1" xfId="26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5" fontId="9" fillId="0" borderId="10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70" fontId="0" fillId="0" borderId="11" xfId="0" applyFont="false" applyBorder="true" applyAlignment="false" applyProtection="true">
      <alignment horizontal="general" vertical="bottom" textRotation="0" wrapText="false" indent="0" shrinkToFit="false"/>
      <protection locked="true" hidden="false"/>
    </xf>
    <xf numFmtId="170" fontId="0" fillId="0" borderId="12" xfId="0" applyFont="false" applyBorder="true" applyAlignment="false" applyProtection="true">
      <alignment horizontal="general" vertical="bottom" textRotation="0" wrapText="false" indent="0" shrinkToFit="false"/>
      <protection locked="true" hidden="false"/>
    </xf>
    <xf numFmtId="170" fontId="0" fillId="0" borderId="13" xfId="0" applyFont="false" applyBorder="true" applyAlignment="false" applyProtection="true">
      <alignment horizontal="general" vertical="bottom" textRotation="0" wrapText="false" indent="0" shrinkToFit="false"/>
      <protection locked="true" hidden="false"/>
    </xf>
    <xf numFmtId="168" fontId="8" fillId="0" borderId="28" xfId="26" applyFont="false" applyBorder="true" applyAlignment="false" applyProtection="true">
      <alignment horizontal="general" vertical="bottom" textRotation="0" wrapText="false" indent="0" shrinkToFit="false"/>
      <protection locked="true" hidden="false"/>
    </xf>
    <xf numFmtId="165" fontId="9" fillId="0" borderId="15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70" fontId="0" fillId="0" borderId="16" xfId="0" applyFont="false" applyBorder="true" applyAlignment="false" applyProtection="tru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true" applyAlignment="false" applyProtection="true">
      <alignment horizontal="general" vertical="bottom" textRotation="0" wrapText="false" indent="0" shrinkToFit="false"/>
      <protection locked="true" hidden="false"/>
    </xf>
    <xf numFmtId="170" fontId="0" fillId="0" borderId="17" xfId="0" applyFont="false" applyBorder="true" applyAlignment="false" applyProtection="true">
      <alignment horizontal="general" vertical="bottom" textRotation="0" wrapText="false" indent="0" shrinkToFit="false"/>
      <protection locked="true" hidden="false"/>
    </xf>
    <xf numFmtId="170" fontId="0" fillId="0" borderId="7" xfId="0" applyFont="false" applyBorder="true" applyAlignment="false" applyProtection="true">
      <alignment horizontal="general" vertical="bottom" textRotation="0" wrapText="false" indent="0" shrinkToFit="false"/>
      <protection locked="true" hidden="false"/>
    </xf>
    <xf numFmtId="170" fontId="0" fillId="0" borderId="8" xfId="0" applyFont="false" applyBorder="true" applyAlignment="false" applyProtection="true">
      <alignment horizontal="general" vertical="bottom" textRotation="0" wrapText="false" indent="0" shrinkToFit="false"/>
      <protection locked="true" hidden="false"/>
    </xf>
    <xf numFmtId="170" fontId="0" fillId="0" borderId="19" xfId="0" applyFont="false" applyBorder="true" applyAlignment="false" applyProtection="true">
      <alignment horizontal="general" vertical="bottom" textRotation="0" wrapText="false" indent="0" shrinkToFit="false"/>
      <protection locked="true" hidden="false"/>
    </xf>
    <xf numFmtId="170" fontId="8" fillId="0" borderId="27" xfId="26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8" fillId="0" borderId="1" xfId="26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5" fontId="8" fillId="2" borderId="1" xfId="26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70" fontId="8" fillId="2" borderId="27" xfId="26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8" fillId="2" borderId="1" xfId="26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5" fontId="8" fillId="0" borderId="0" xfId="26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10" fillId="0" borderId="0" xfId="26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0" fontId="8" fillId="0" borderId="0" xfId="26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8" fillId="0" borderId="0" xfId="26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9" fillId="0" borderId="0" xfId="26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5" fontId="9" fillId="0" borderId="0" xfId="26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0" fontId="9" fillId="0" borderId="0" xfId="26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5" fontId="8" fillId="0" borderId="29" xfId="26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9" fillId="0" borderId="29" xfId="26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29" xfId="26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5" fontId="9" fillId="0" borderId="29" xfId="26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0" fontId="9" fillId="0" borderId="29" xfId="26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8" fontId="8" fillId="3" borderId="29" xfId="26" applyFont="false" applyBorder="true" applyAlignment="false" applyProtection="true">
      <alignment horizontal="general" vertical="bottom" textRotation="0" wrapText="false" indent="0" shrinkToFit="false"/>
      <protection locked="true" hidden="false"/>
    </xf>
    <xf numFmtId="171" fontId="11" fillId="3" borderId="28" xfId="26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8" fillId="3" borderId="0" xfId="26" applyFont="false" applyBorder="true" applyAlignment="false" applyProtection="true">
      <alignment horizontal="general" vertical="bottom" textRotation="0" wrapText="false" indent="0" shrinkToFit="false"/>
      <protection locked="true" hidden="false"/>
    </xf>
    <xf numFmtId="171" fontId="11" fillId="3" borderId="30" xfId="26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12" fillId="0" borderId="0" xfId="26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5" fontId="12" fillId="0" borderId="0" xfId="26" applyFont="true" applyBorder="true" applyAlignment="true" applyProtection="true">
      <alignment horizontal="justify" vertical="bottom" textRotation="0" wrapText="true" indent="0" shrinkToFit="false"/>
      <protection locked="true" hidden="false"/>
    </xf>
    <xf numFmtId="165" fontId="9" fillId="0" borderId="0" xfId="26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8" fillId="0" borderId="0" xfId="26" applyFont="false" applyBorder="true" applyAlignment="false" applyProtection="true">
      <alignment horizontal="general" vertical="bottom" textRotation="0" wrapText="false" indent="0" shrinkToFit="false"/>
      <protection locked="true" hidden="false"/>
    </xf>
    <xf numFmtId="165" fontId="8" fillId="0" borderId="31" xfId="26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9" fillId="4" borderId="31" xfId="26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5" fontId="9" fillId="0" borderId="31" xfId="26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9" fillId="0" borderId="31" xfId="26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70" fontId="8" fillId="0" borderId="31" xfId="26" applyFont="false" applyBorder="true" applyAlignment="false" applyProtection="true">
      <alignment horizontal="general" vertical="bottom" textRotation="0" wrapText="false" indent="0" shrinkToFit="false"/>
      <protection locked="true" hidden="false"/>
    </xf>
    <xf numFmtId="168" fontId="8" fillId="3" borderId="31" xfId="26" applyFont="false" applyBorder="true" applyAlignment="false" applyProtection="true">
      <alignment horizontal="general" vertical="bottom" textRotation="0" wrapText="false" indent="0" shrinkToFit="false"/>
      <protection locked="true" hidden="false"/>
    </xf>
    <xf numFmtId="171" fontId="11" fillId="3" borderId="32" xfId="26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0" fontId="8" fillId="0" borderId="0" xfId="26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8" fontId="8" fillId="0" borderId="0" xfId="26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71" fontId="13" fillId="0" borderId="0" xfId="26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0" fontId="9" fillId="0" borderId="29" xfId="26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0" fontId="8" fillId="3" borderId="29" xfId="26" applyFont="false" applyBorder="true" applyAlignment="false" applyProtection="true">
      <alignment horizontal="general" vertical="bottom" textRotation="0" wrapText="false" indent="0" shrinkToFit="false"/>
      <protection locked="true" hidden="false"/>
    </xf>
    <xf numFmtId="171" fontId="11" fillId="3" borderId="33" xfId="26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0" fontId="9" fillId="0" borderId="0" xfId="26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0" fontId="8" fillId="3" borderId="0" xfId="26" applyFont="false" applyBorder="true" applyAlignment="false" applyProtection="true">
      <alignment horizontal="general" vertical="bottom" textRotation="0" wrapText="false" indent="0" shrinkToFit="false"/>
      <protection locked="true" hidden="false"/>
    </xf>
    <xf numFmtId="171" fontId="11" fillId="3" borderId="34" xfId="26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9" fillId="4" borderId="0" xfId="26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5" fontId="8" fillId="0" borderId="31" xfId="26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5" fontId="12" fillId="0" borderId="31" xfId="26" applyFont="true" applyBorder="true" applyAlignment="true" applyProtection="true">
      <alignment horizontal="justify" vertical="bottom" textRotation="0" wrapText="true" indent="0" shrinkToFit="false"/>
      <protection locked="true" hidden="false"/>
    </xf>
    <xf numFmtId="170" fontId="9" fillId="0" borderId="31" xfId="26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0" fontId="9" fillId="0" borderId="31" xfId="26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70" fontId="8" fillId="3" borderId="31" xfId="26" applyFont="false" applyBorder="true" applyAlignment="false" applyProtection="true">
      <alignment horizontal="general" vertical="bottom" textRotation="0" wrapText="false" indent="0" shrinkToFit="false"/>
      <protection locked="true" hidden="false"/>
    </xf>
    <xf numFmtId="171" fontId="11" fillId="3" borderId="35" xfId="26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9" fillId="0" borderId="36" xfId="26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5" fontId="9" fillId="0" borderId="37" xfId="26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9" fillId="0" borderId="37" xfId="26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70" fontId="8" fillId="0" borderId="38" xfId="26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5" fontId="8" fillId="0" borderId="33" xfId="26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9" fillId="0" borderId="39" xfId="26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9" fillId="0" borderId="29" xfId="26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9" fillId="0" borderId="29" xfId="26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8" fontId="8" fillId="3" borderId="40" xfId="26" applyFont="false" applyBorder="true" applyAlignment="false" applyProtection="true">
      <alignment horizontal="general" vertical="bottom" textRotation="0" wrapText="false" indent="0" shrinkToFit="false"/>
      <protection locked="true" hidden="false"/>
    </xf>
    <xf numFmtId="165" fontId="12" fillId="0" borderId="34" xfId="26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5" fontId="12" fillId="0" borderId="41" xfId="26" applyFont="true" applyBorder="true" applyAlignment="true" applyProtection="true">
      <alignment horizontal="justify" vertical="bottom" textRotation="0" wrapText="true" indent="0" shrinkToFit="false"/>
      <protection locked="true" hidden="false"/>
    </xf>
    <xf numFmtId="168" fontId="9" fillId="0" borderId="0" xfId="26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9" fillId="0" borderId="0" xfId="26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8" fontId="8" fillId="3" borderId="42" xfId="26" applyFont="false" applyBorder="true" applyAlignment="false" applyProtection="true">
      <alignment horizontal="general" vertical="bottom" textRotation="0" wrapText="false" indent="0" shrinkToFit="false"/>
      <protection locked="true" hidden="false"/>
    </xf>
    <xf numFmtId="165" fontId="8" fillId="0" borderId="34" xfId="26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8" fillId="0" borderId="41" xfId="26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8" fontId="8" fillId="0" borderId="0" xfId="26" applyFont="false" applyBorder="true" applyAlignment="false" applyProtection="true">
      <alignment horizontal="general" vertical="bottom" textRotation="0" wrapText="false" indent="0" shrinkToFit="false"/>
      <protection locked="true" hidden="false"/>
    </xf>
    <xf numFmtId="165" fontId="9" fillId="0" borderId="41" xfId="26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5" fontId="12" fillId="4" borderId="0" xfId="26" applyFont="true" applyBorder="true" applyAlignment="true" applyProtection="true">
      <alignment horizontal="justify" vertical="bottom" textRotation="0" wrapText="true" indent="0" shrinkToFit="false"/>
      <protection locked="true" hidden="false"/>
    </xf>
    <xf numFmtId="165" fontId="12" fillId="0" borderId="35" xfId="26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5" fontId="9" fillId="4" borderId="43" xfId="26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8" fontId="9" fillId="0" borderId="31" xfId="26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8" fillId="0" borderId="31" xfId="26" applyFont="false" applyBorder="true" applyAlignment="false" applyProtection="true">
      <alignment horizontal="general" vertical="bottom" textRotation="0" wrapText="false" indent="0" shrinkToFit="false"/>
      <protection locked="true" hidden="false"/>
    </xf>
    <xf numFmtId="168" fontId="8" fillId="3" borderId="44" xfId="26" applyFont="false" applyBorder="true" applyAlignment="false" applyProtection="true">
      <alignment horizontal="general" vertical="bottom" textRotation="0" wrapText="false" indent="0" shrinkToFit="false"/>
      <protection locked="true" hidden="false"/>
    </xf>
    <xf numFmtId="165" fontId="8" fillId="0" borderId="11" xfId="26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9" fillId="0" borderId="12" xfId="26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12" xfId="26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8" fontId="9" fillId="0" borderId="12" xfId="26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8" fillId="0" borderId="12" xfId="26" applyFont="false" applyBorder="true" applyAlignment="false" applyProtection="true">
      <alignment horizontal="general" vertical="bottom" textRotation="0" wrapText="false" indent="0" shrinkToFit="false"/>
      <protection locked="true" hidden="false"/>
    </xf>
    <xf numFmtId="168" fontId="8" fillId="3" borderId="12" xfId="26" applyFont="false" applyBorder="true" applyAlignment="false" applyProtection="true">
      <alignment horizontal="general" vertical="bottom" textRotation="0" wrapText="false" indent="0" shrinkToFit="false"/>
      <protection locked="true" hidden="false"/>
    </xf>
    <xf numFmtId="165" fontId="12" fillId="0" borderId="16" xfId="26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5" fontId="8" fillId="0" borderId="16" xfId="26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12" fillId="0" borderId="7" xfId="26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5" fontId="9" fillId="0" borderId="8" xfId="26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5" fontId="12" fillId="4" borderId="8" xfId="26" applyFont="true" applyBorder="true" applyAlignment="true" applyProtection="true">
      <alignment horizontal="justify" vertical="bottom" textRotation="0" wrapText="true" indent="0" shrinkToFit="false"/>
      <protection locked="true" hidden="false"/>
    </xf>
    <xf numFmtId="168" fontId="9" fillId="0" borderId="8" xfId="26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8" fillId="0" borderId="8" xfId="26" applyFont="false" applyBorder="true" applyAlignment="false" applyProtection="true">
      <alignment horizontal="general" vertical="bottom" textRotation="0" wrapText="false" indent="0" shrinkToFit="false"/>
      <protection locked="true" hidden="false"/>
    </xf>
    <xf numFmtId="168" fontId="8" fillId="3" borderId="8" xfId="26" applyFont="false" applyBorder="true" applyAlignment="false" applyProtection="true">
      <alignment horizontal="general" vertical="bottom" textRotation="0" wrapText="false" indent="0" shrinkToFit="false"/>
      <protection locked="true" hidden="false"/>
    </xf>
    <xf numFmtId="168" fontId="8" fillId="0" borderId="12" xfId="26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8" fillId="0" borderId="16" xfId="26" applyFont="false" applyBorder="true" applyAlignment="false" applyProtection="true">
      <alignment horizontal="general" vertical="bottom" textRotation="0" wrapText="false" indent="0" shrinkToFit="false"/>
      <protection locked="true" hidden="false"/>
    </xf>
    <xf numFmtId="165" fontId="8" fillId="0" borderId="7" xfId="26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9" fillId="0" borderId="8" xfId="26" applyFont="true" applyBorder="true" applyAlignment="false" applyProtection="true">
      <alignment horizontal="general" vertical="bottom" textRotation="0" wrapText="false" indent="0" shrinkToFit="false"/>
      <protection locked="true" hidden="false"/>
    </xf>
  </cellXfs>
  <cellStyles count="13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Campo de la tabla dinámica" xfId="20"/>
    <cellStyle name="Categoría de la tabla dinámica" xfId="21"/>
    <cellStyle name="Esquina de la tabla dinámica" xfId="22"/>
    <cellStyle name="Resultado de la tabla dinámica" xfId="23"/>
    <cellStyle name="Título de la tabla dinámica" xfId="24"/>
    <cellStyle name="Valor de la tabla dinámica" xfId="25"/>
    <cellStyle name="Excel Built-in Explanatory Text" xfId="26"/>
  </cellStyles>
  <dxfs count="19">
    <dxf>
      <fill>
        <patternFill patternType="solid">
          <fgColor rgb="FF000000"/>
          <bgColor rgb="FFFFFFFF"/>
        </patternFill>
      </fill>
    </dxf>
    <dxf>
      <fill>
        <patternFill patternType="solid">
          <fgColor rgb="FFFFFBCC"/>
        </patternFill>
      </fill>
    </dxf>
    <dxf>
      <fill>
        <patternFill patternType="solid">
          <fgColor rgb="FFFCD3C1"/>
        </patternFill>
      </fill>
    </dxf>
    <dxf>
      <fill>
        <patternFill patternType="solid">
          <fgColor rgb="FFFFCCCC"/>
        </patternFill>
      </fill>
    </dxf>
    <dxf>
      <fill>
        <patternFill patternType="solid">
          <fgColor rgb="FFCC0000"/>
        </patternFill>
      </fill>
    </dxf>
    <dxf>
      <fill>
        <patternFill patternType="solid">
          <fgColor rgb="FFFFF9AE"/>
        </patternFill>
      </fill>
    </dxf>
    <dxf>
      <fill>
        <patternFill patternType="solid">
          <fgColor rgb="FFCE181E"/>
        </patternFill>
      </fill>
    </dxf>
    <dxf>
      <font>
        <name val="Calibri"/>
        <charset val="1"/>
        <family val="2"/>
        <b val="1"/>
        <color rgb="FF000000"/>
        <sz val="11"/>
      </font>
    </dxf>
    <dxf>
      <font>
        <name val="Calibri"/>
        <charset val="1"/>
        <family val="2"/>
        <color rgb="FF000000"/>
        <sz val="11"/>
      </font>
    </dxf>
    <dxf>
      <font>
        <name val="Calibri"/>
        <charset val="1"/>
        <family val="2"/>
        <b val="1"/>
        <color rgb="FF000000"/>
        <sz val="11"/>
      </font>
    </dxf>
    <dxf>
      <font>
        <name val="Calibri"/>
        <charset val="1"/>
        <family val="2"/>
        <color rgb="FF000000"/>
        <sz val="11"/>
      </font>
    </dxf>
    <dxf>
      <font>
        <name val="Calibri"/>
        <charset val="1"/>
        <family val="2"/>
        <color rgb="FF000000"/>
        <sz val="11"/>
      </font>
      <numFmt numFmtId="164" formatCode="#,##0.00\ ;[RED]\-#,##0.00\ "/>
    </dxf>
    <dxf>
      <font>
        <name val="Calibri"/>
        <charset val="1"/>
        <family val="2"/>
        <color rgb="FF000000"/>
        <sz val="11"/>
      </font>
      <numFmt numFmtId="164" formatCode="#,##0.00\ ;[RED]\-#,##0.00\ "/>
    </dxf>
    <dxf>
      <font>
        <name val="Calibri"/>
        <charset val="1"/>
        <family val="2"/>
        <color rgb="FF000000"/>
        <sz val="11"/>
      </font>
      <numFmt numFmtId="164" formatCode="#,##0.00\ ;[RED]\-#,##0.00\ "/>
    </dxf>
    <dxf>
      <font>
        <name val="Calibri"/>
        <charset val="1"/>
        <family val="2"/>
        <color rgb="FF000000"/>
        <sz val="11"/>
      </font>
      <numFmt numFmtId="164" formatCode="#,##0.00\ ;[RED]\-#,##0.00\ "/>
    </dxf>
    <dxf>
      <font>
        <name val="Calibri"/>
        <charset val="1"/>
        <family val="2"/>
        <color rgb="FF000000"/>
        <sz val="11"/>
      </font>
      <numFmt numFmtId="164" formatCode="#,##0.00\ ;[RED]\-#,##0.00\ "/>
    </dxf>
    <dxf>
      <font>
        <name val="Calibri"/>
        <charset val="1"/>
        <family val="2"/>
        <color rgb="FF000000"/>
        <sz val="11"/>
      </font>
      <numFmt numFmtId="164" formatCode="#,##0.00\ ;[RED]\-#,##0.00\ "/>
    </dxf>
    <dxf>
      <font>
        <name val="Calibri"/>
        <charset val="1"/>
        <family val="2"/>
        <color rgb="FF000000"/>
        <sz val="11"/>
      </font>
      <numFmt numFmtId="164" formatCode="#,##0.00\ ;[RED]\-#,##0.00\ "/>
    </dxf>
    <dxf>
      <font>
        <name val="Lato"/>
        <charset val="1"/>
        <family val="2"/>
        <b val="0"/>
        <i val="0"/>
        <color rgb="FFCC0000"/>
        <sz val="10"/>
      </font>
      <fill>
        <patternFill>
          <bgColor rgb="FFFFCCCC"/>
        </patternFill>
      </fill>
    </dxf>
  </dxfs>
  <colors>
    <indexedColors>
      <rgbColor rgb="FF000000"/>
      <rgbColor rgb="FFFFFFFF"/>
      <rgbColor rgb="FFCC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BCC"/>
      <rgbColor rgb="FFCCFFFF"/>
      <rgbColor rgb="FF660066"/>
      <rgbColor rgb="FFFF8080"/>
      <rgbColor rgb="FF0066CC"/>
      <rgbColor rgb="FFFFCCC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9AE"/>
      <rgbColor rgb="FF99CCFF"/>
      <rgbColor rgb="FFFF99CC"/>
      <rgbColor rgb="FFCC99FF"/>
      <rgbColor rgb="FFFCD3C1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CE181E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Relationship Id="rId6" Type="http://schemas.openxmlformats.org/officeDocument/2006/relationships/pivotCacheDefinition" Target="pivotCache/pivotCacheDefinition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pivotCache/_rels/pivotCacheDefinition1.xml.rels><?xml version="1.0" encoding="UTF-8"?>
<Relationships xmlns="http://schemas.openxmlformats.org/package/2006/relationships"><Relationship Id="rId1" Type="http://schemas.openxmlformats.org/officeDocument/2006/relationships/pivotCacheRecords" Target="pivotCacheRecords1.xml"/>
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350" createdVersion="3">
  <cacheSource type="worksheet">
    <worksheetSource ref="A1:J351" sheet="Hoja1"/>
  </cacheSource>
  <cacheFields count="10">
    <cacheField name="Fecha" numFmtId="0">
      <sharedItems containsSemiMixedTypes="0" containsNonDate="0" containsDate="1" containsString="0" minDate="2022-09-01T00:00:00" maxDate="2022-09-30T00:00:00" count="30">
        <d v="2022-09-01T00:00:00"/>
        <d v="2022-09-02T00:00:00"/>
        <d v="2022-09-03T00:00:00"/>
        <d v="2022-09-04T00:00:00"/>
        <d v="2022-09-05T00:00:00"/>
        <d v="2022-09-06T00:00:00"/>
        <d v="2022-09-07T00:00:00"/>
        <d v="2022-09-08T00:00:00"/>
        <d v="2022-09-09T00:00:00"/>
        <d v="2022-09-10T00:00:00"/>
        <d v="2022-09-11T00:00:00"/>
        <d v="2022-09-12T00:00:00"/>
        <d v="2022-09-13T00:00:00"/>
        <d v="2022-09-14T00:00:00"/>
        <d v="2022-09-15T00:00:00"/>
        <d v="2022-09-16T00:00:00"/>
        <d v="2022-09-17T00:00:00"/>
        <d v="2022-09-18T00:00:00"/>
        <d v="2022-09-19T00:00:00"/>
        <d v="2022-09-20T00:00:00"/>
        <d v="2022-09-21T00:00:00"/>
        <d v="2022-09-22T00:00:00"/>
        <d v="2022-09-23T00:00:00"/>
        <d v="2022-09-24T00:00:00"/>
        <d v="2022-09-25T00:00:00"/>
        <d v="2022-09-26T00:00:00"/>
        <d v="2022-09-27T00:00:00"/>
        <d v="2022-09-28T00:00:00"/>
        <d v="2022-09-29T00:00:00"/>
        <d v="2022-09-30T00:00:00"/>
      </sharedItems>
    </cacheField>
    <cacheField name="Fecha / hora" numFmtId="0">
      <sharedItems containsSemiMixedTypes="0" containsString="0" containsNumber="1" minValue="0.0104166666666667" maxValue="0.982638888888889" count="229">
        <n v="0.0104166666666667"/>
        <n v="0.0125"/>
        <n v="0.0145833333333333"/>
        <n v="0.0194444444444444"/>
        <n v="0.0236111111111111"/>
        <n v="0.0256944444444444"/>
        <n v="0.0527777777777778"/>
        <n v="0.0541666666666667"/>
        <n v="0.0548611111111111"/>
        <n v="0.0583333333333333"/>
        <n v="0.0597222222222222"/>
        <n v="0.0604166666666667"/>
        <n v="0.0611111111111111"/>
        <n v="0.0631944444444444"/>
        <n v="0.0645833333333333"/>
        <n v="0.0652777777777778"/>
        <n v="0.0666666666666667"/>
        <n v="0.0694444444444444"/>
        <n v="0.0708333333333333"/>
        <n v="0.0715277777777778"/>
        <n v="0.0736111111111111"/>
        <n v="0.0763888888888889"/>
        <n v="0.0805555555555556"/>
        <n v="0.0819444444444444"/>
        <n v="0.100694444444444"/>
        <n v="0.102777777777778"/>
        <n v="0.104166666666667"/>
        <n v="0.10625"/>
        <n v="0.107638888888889"/>
        <n v="0.108333333333333"/>
        <n v="0.113888888888889"/>
        <n v="0.118055555555556"/>
        <n v="0.11875"/>
        <n v="0.122222222222222"/>
        <n v="0.122916666666667"/>
        <n v="0.127777777777778"/>
        <n v="0.129166666666667"/>
        <n v="0.129861111111111"/>
        <n v="0.134722222222222"/>
        <n v="0.146527777777778"/>
        <n v="0.169444444444444"/>
        <n v="0.188888888888889"/>
        <n v="0.190972222222222"/>
        <n v="0.193055555555556"/>
        <n v="0.199305555555556"/>
        <n v="0.201388888888889"/>
        <n v="0.202083333333333"/>
        <n v="0.202777777777778"/>
        <n v="0.204166666666667"/>
        <n v="0.204861111111111"/>
        <n v="0.205555555555556"/>
        <n v="0.208333333333333"/>
        <n v="0.209027777777778"/>
        <n v="0.209722222222222"/>
        <n v="0.210416666666667"/>
        <n v="0.211111111111111"/>
        <n v="0.211805555555556"/>
        <n v="0.2125"/>
        <n v="0.213194444444444"/>
        <n v="0.213888888888889"/>
        <n v="0.214583333333333"/>
        <n v="0.215277777777778"/>
        <n v="0.215972222222222"/>
        <n v="0.217361111111111"/>
        <n v="0.218055555555556"/>
        <n v="0.219444444444444"/>
        <n v="0.223611111111111"/>
        <n v="0.226388888888889"/>
        <n v="0.228472222222222"/>
        <n v="0.234027777777778"/>
        <n v="0.234722222222222"/>
        <n v="0.235416666666667"/>
        <n v="0.238194444444444"/>
        <n v="0.239583333333333"/>
        <n v="0.240277777777778"/>
        <n v="0.240972222222222"/>
        <n v="0.241666666666667"/>
        <n v="0.242361111111111"/>
        <n v="0.243055555555556"/>
        <n v="0.24375"/>
        <n v="0.244444444444444"/>
        <n v="0.245138888888889"/>
        <n v="0.245833333333333"/>
        <n v="0.246527777777778"/>
        <n v="0.247222222222222"/>
        <n v="0.247916666666667"/>
        <n v="0.248611111111111"/>
        <n v="0.249305555555556"/>
        <n v="0.25"/>
        <n v="0.250694444444444"/>
        <n v="0.251388888888889"/>
        <n v="0.252083333333333"/>
        <n v="0.252777777777778"/>
        <n v="0.253472222222222"/>
        <n v="0.254166666666667"/>
        <n v="0.255555555555556"/>
        <n v="0.258333333333333"/>
        <n v="0.260416666666667"/>
        <n v="0.261805555555556"/>
        <n v="0.314583333333333"/>
        <n v="0.327083333333333"/>
        <n v="0.339583333333333"/>
        <n v="0.342361111111111"/>
        <n v="0.346527777777778"/>
        <n v="0.351388888888889"/>
        <n v="0.354861111111111"/>
        <n v="0.360416666666667"/>
        <n v="0.361111111111111"/>
        <n v="0.364583333333333"/>
        <n v="0.365277777777778"/>
        <n v="0.372222222222222"/>
        <n v="0.377777777777778"/>
        <n v="0.384027777777778"/>
        <n v="0.397916666666667"/>
        <n v="0.413194444444444"/>
        <n v="0.423611111111111"/>
        <n v="0.424305555555556"/>
        <n v="0.425694444444444"/>
        <n v="0.43125"/>
        <n v="0.431944444444444"/>
        <n v="0.433333333333333"/>
        <n v="0.434027777777778"/>
        <n v="0.4375"/>
        <n v="0.442361111111111"/>
        <n v="0.443055555555556"/>
        <n v="0.44375"/>
        <n v="0.445138888888889"/>
        <n v="0.447222222222222"/>
        <n v="0.452083333333333"/>
        <n v="0.453472222222222"/>
        <n v="0.454166666666667"/>
        <n v="0.457638888888889"/>
        <n v="0.459722222222222"/>
        <n v="0.461111111111111"/>
        <n v="0.463194444444444"/>
        <n v="0.467361111111111"/>
        <n v="0.471527777777778"/>
        <n v="0.472916666666667"/>
        <n v="0.473611111111111"/>
        <n v="0.475"/>
        <n v="0.475694444444444"/>
        <n v="0.476388888888889"/>
        <n v="0.477777777777778"/>
        <n v="0.480555555555556"/>
        <n v="0.484027777777778"/>
        <n v="0.484722222222222"/>
        <n v="0.485416666666667"/>
        <n v="0.488888888888889"/>
        <n v="0.490972222222222"/>
        <n v="0.493055555555556"/>
        <n v="0.49375"/>
        <n v="0.495138888888889"/>
        <n v="0.495833333333333"/>
        <n v="0.496527777777778"/>
        <n v="0.497222222222222"/>
        <n v="0.497916666666667"/>
        <n v="0.499305555555555"/>
        <n v="0.5"/>
        <n v="0.500694444444444"/>
        <n v="0.501388888888889"/>
        <n v="0.502083333333333"/>
        <n v="0.502777777777778"/>
        <n v="0.503472222222222"/>
        <n v="0.505555555555556"/>
        <n v="0.50625"/>
        <n v="0.507638888888889"/>
        <n v="0.508333333333333"/>
        <n v="0.509027777777778"/>
        <n v="0.510416666666667"/>
        <n v="0.511111111111111"/>
        <n v="0.5125"/>
        <n v="0.516666666666667"/>
        <n v="0.520138888888889"/>
        <n v="0.521527777777778"/>
        <n v="0.522916666666667"/>
        <n v="0.523611111111111"/>
        <n v="0.525"/>
        <n v="0.526388888888889"/>
        <n v="0.529166666666667"/>
        <n v="0.532638888888889"/>
        <n v="0.540277777777778"/>
        <n v="0.544444444444444"/>
        <n v="0.546527777777778"/>
        <n v="0.663888888888889"/>
        <n v="0.680555555555555"/>
        <n v="0.681944444444444"/>
        <n v="0.684027777777778"/>
        <n v="0.684722222222222"/>
        <n v="0.685416666666667"/>
        <n v="0.686111111111111"/>
        <n v="0.6875"/>
        <n v="0.688888888888889"/>
        <n v="0.691666666666667"/>
        <n v="0.692361111111111"/>
        <n v="0.69375"/>
        <n v="0.694444444444444"/>
        <n v="0.695138888888889"/>
        <n v="0.698611111111111"/>
        <n v="0.699305555555556"/>
        <n v="0.702083333333333"/>
        <n v="0.70625"/>
        <n v="0.707638888888889"/>
        <n v="0.718055555555556"/>
        <n v="0.846527777777778"/>
        <n v="0.849305555555556"/>
        <n v="0.85"/>
        <n v="0.853472222222222"/>
        <n v="0.85625"/>
        <n v="0.856944444444444"/>
        <n v="0.861111111111111"/>
        <n v="0.861805555555556"/>
        <n v="0.8625"/>
        <n v="0.863194444444444"/>
        <n v="0.863888888888889"/>
        <n v="0.864583333333333"/>
        <n v="0.866666666666667"/>
        <n v="0.867361111111111"/>
        <n v="0.868055555555555"/>
        <n v="0.86875"/>
        <n v="0.869444444444444"/>
        <n v="0.870833333333333"/>
        <n v="0.871527777777778"/>
        <n v="0.873611111111111"/>
        <n v="0.874305555555556"/>
        <n v="0.875"/>
        <n v="0.875694444444444"/>
        <n v="0.876388888888889"/>
        <n v="0.877083333333333"/>
        <n v="0.982638888888889"/>
      </sharedItems>
    </cacheField>
    <cacheField name="Ticket" numFmtId="0">
      <sharedItems containsMixedTypes="1" containsNumber="1" containsInteger="1" minValue="3397" maxValue="145289" count="350">
        <n v="3397"/>
        <n v="3421"/>
        <n v="3450"/>
        <n v="3476"/>
        <n v="3506"/>
        <n v="3515"/>
        <n v="3522"/>
        <n v="11241"/>
        <n v="11247"/>
        <n v="11255"/>
        <n v="11258"/>
        <n v="11259"/>
        <n v="11272"/>
        <n v="11282"/>
        <n v="11287"/>
        <n v="11295"/>
        <n v="11306"/>
        <n v="11307"/>
        <n v="11309"/>
        <n v="11310"/>
        <n v="11313"/>
        <n v="11316"/>
        <n v="11321"/>
        <n v="11322"/>
        <n v="11328"/>
        <n v="11329"/>
        <n v="11330"/>
        <n v="11343"/>
        <n v="11347"/>
        <n v="11356"/>
        <n v="11363"/>
        <n v="11384"/>
        <n v="11392"/>
        <n v="11393"/>
        <n v="11396"/>
        <n v="11405"/>
        <n v="11406"/>
        <n v="11408"/>
        <n v="11409"/>
        <n v="11413"/>
        <n v="11428"/>
        <n v="11435"/>
        <n v="11436"/>
        <n v="11445"/>
        <n v="11447"/>
        <n v="11448"/>
        <n v="11449"/>
        <n v="11450"/>
        <n v="11458"/>
        <n v="11459"/>
        <n v="11462"/>
        <n v="11463"/>
        <n v="11464"/>
        <n v="11467"/>
        <n v="11470"/>
        <n v="11471"/>
        <n v="11472"/>
        <n v="11473"/>
        <n v="11475"/>
        <n v="11483"/>
        <n v="11485"/>
        <n v="11488"/>
        <n v="11489"/>
        <n v="11491"/>
        <n v="11506"/>
        <n v="11510"/>
        <n v="11517"/>
        <n v="11526"/>
        <n v="11527"/>
        <n v="11528"/>
        <n v="11529"/>
        <n v="11530"/>
        <n v="11534"/>
        <n v="11542"/>
        <n v="11543"/>
        <n v="11546"/>
        <n v="11548"/>
        <n v="11549"/>
        <n v="11573"/>
        <n v="11575"/>
        <n v="11588"/>
        <n v="11593"/>
        <n v="11595"/>
        <n v="11597"/>
        <n v="11603"/>
        <n v="11608"/>
        <n v="11610"/>
        <n v="11611"/>
        <n v="11630"/>
        <n v="11638"/>
        <n v="11639"/>
        <n v="11643"/>
        <n v="11659"/>
        <n v="11665"/>
        <n v="11666"/>
        <n v="11668"/>
        <n v="11677"/>
        <n v="11680"/>
        <n v="11681"/>
        <n v="11708"/>
        <n v="11711"/>
        <n v="11718"/>
        <n v="11726"/>
        <n v="11734"/>
        <n v="11735"/>
        <n v="11737"/>
        <n v="11738"/>
        <n v="11748"/>
        <n v="11749"/>
        <n v="11753"/>
        <n v="11754"/>
        <n v="11755"/>
        <n v="11779"/>
        <n v="11783"/>
        <n v="11799"/>
        <n v="11805"/>
        <n v="11806"/>
        <n v="11809"/>
        <n v="11813"/>
        <n v="11814"/>
        <n v="11821"/>
        <n v="11822"/>
        <n v="11825"/>
        <n v="11826"/>
        <n v="11828"/>
        <n v="11846"/>
        <n v="11851"/>
        <n v="11853"/>
        <n v="11855"/>
        <n v="11860"/>
        <n v="11861"/>
        <n v="11862"/>
        <n v="11863"/>
        <n v="11864"/>
        <n v="11872"/>
        <n v="11873"/>
        <n v="11876"/>
        <n v="11877"/>
        <n v="11878"/>
        <n v="11883"/>
        <n v="11884"/>
        <n v="11885"/>
        <n v="11886"/>
        <n v="11887"/>
        <n v="11889"/>
        <n v="11897"/>
        <n v="11898"/>
        <n v="11903"/>
        <n v="11904"/>
        <n v="11905"/>
        <n v="11927"/>
        <n v="11930"/>
        <n v="11942"/>
        <n v="11946"/>
        <n v="11947"/>
        <n v="11949"/>
        <n v="11950"/>
        <n v="11960"/>
        <n v="11964"/>
        <n v="11965"/>
        <n v="11966"/>
        <n v="11994"/>
        <n v="12000"/>
        <n v="12001"/>
        <n v="12013"/>
        <n v="12019"/>
        <n v="12020"/>
        <n v="12022"/>
        <n v="12032"/>
        <n v="12033"/>
        <n v="12034"/>
        <n v="12035"/>
        <n v="12057"/>
        <n v="12064"/>
        <n v="12066"/>
        <n v="12078"/>
        <n v="12089"/>
        <n v="12090"/>
        <n v="12092"/>
        <n v="12104"/>
        <n v="12107"/>
        <n v="12108"/>
        <n v="12134"/>
        <n v="12138"/>
        <n v="12153"/>
        <n v="12161"/>
        <n v="12164"/>
        <n v="12165"/>
        <n v="12175"/>
        <n v="12176"/>
        <n v="12179"/>
        <n v="12180"/>
        <n v="12181"/>
        <n v="12209"/>
        <n v="12212"/>
        <n v="12217"/>
        <n v="12227"/>
        <n v="12236"/>
        <n v="12238"/>
        <n v="12241"/>
        <n v="12250"/>
        <n v="12251"/>
        <n v="12253"/>
        <n v="12255"/>
        <n v="12256"/>
        <n v="12280"/>
        <n v="12286"/>
        <n v="12288"/>
        <n v="12291"/>
        <n v="12292"/>
        <n v="12294"/>
        <n v="12301"/>
        <n v="12303"/>
        <n v="12304"/>
        <n v="12305"/>
        <n v="12306"/>
        <n v="12307"/>
        <n v="12313"/>
        <n v="12314"/>
        <n v="12315"/>
        <n v="12316"/>
        <n v="12317"/>
        <n v="12318"/>
        <n v="12319"/>
        <n v="12327"/>
        <n v="12330"/>
        <n v="12331"/>
        <n v="12332"/>
        <n v="12350"/>
        <n v="12353"/>
        <n v="12359"/>
        <n v="12369"/>
        <n v="12370"/>
        <n v="12371"/>
        <n v="12373"/>
        <n v="12382"/>
        <n v="12383"/>
        <n v="12387"/>
        <n v="12388"/>
        <n v="12413"/>
        <n v="12415"/>
        <n v="12435"/>
        <n v="12444"/>
        <n v="12445"/>
        <n v="12446"/>
        <n v="12454"/>
        <n v="12457"/>
        <n v="12458"/>
        <n v="12468"/>
        <n v="12478"/>
        <n v="12487"/>
        <n v="12489"/>
        <n v="12501"/>
        <n v="12510"/>
        <n v="12511"/>
        <n v="12515"/>
        <n v="12516"/>
        <n v="12526"/>
        <n v="12528"/>
        <n v="12530"/>
        <n v="12548"/>
        <n v="12553"/>
        <n v="12555"/>
        <n v="12569"/>
        <n v="12577"/>
        <n v="12578"/>
        <n v="12583"/>
        <n v="12590"/>
        <n v="12593"/>
        <n v="12594"/>
        <n v="12615"/>
        <n v="12625"/>
        <n v="12627"/>
        <n v="12630"/>
        <n v="12644"/>
        <n v="12650"/>
        <n v="12655"/>
        <n v="12664"/>
        <n v="12667"/>
        <n v="12668"/>
        <n v="12691"/>
        <n v="12692"/>
        <n v="12693"/>
        <n v="12696"/>
        <n v="12697"/>
        <n v="12700"/>
        <n v="12707"/>
        <n v="12709"/>
        <n v="12711"/>
        <n v="12714"/>
        <n v="12715"/>
        <n v="12716"/>
        <n v="12717"/>
        <n v="12719"/>
        <n v="12721"/>
        <n v="12729"/>
        <n v="12733"/>
        <n v="12735"/>
        <n v="12759"/>
        <n v="12760"/>
        <n v="12772"/>
        <n v="12781"/>
        <n v="12787"/>
        <n v="12790"/>
        <n v="12791"/>
        <n v="12796"/>
        <n v="12800"/>
        <n v="12805"/>
        <n v="12806"/>
        <n v="12836"/>
        <n v="12842"/>
        <n v="12845"/>
        <n v="12846"/>
        <n v="12850"/>
        <n v="12860"/>
        <n v="12862"/>
        <n v="12867"/>
        <n v="12871"/>
        <n v="12878"/>
        <n v="12902"/>
        <n v="12906"/>
        <n v="12907"/>
        <n v="12910"/>
        <n v="12913"/>
        <n v="12921"/>
        <n v="12923"/>
        <n v="12924"/>
        <n v="12929"/>
        <n v="12932"/>
        <n v="12934"/>
        <n v="12938"/>
        <n v="12939"/>
        <n v="12966"/>
        <n v="12968"/>
        <n v="12969"/>
        <n v="12974"/>
        <n v="12975"/>
        <n v="12995"/>
        <n v="143922"/>
        <n v="144077"/>
        <n v="144175"/>
        <n v="144347"/>
        <n v="144477"/>
        <n v="144495"/>
        <n v="144768"/>
        <n v="144886"/>
        <n v="145085"/>
        <n v="145250"/>
        <n v="145289"/>
        <s v="S/N"/>
      </sharedItems>
    </cacheField>
    <cacheField name="Matrícula" numFmtId="0">
      <sharedItems count="11">
        <s v="0315BGK"/>
        <s v="1076KSZ"/>
        <s v="1730KBZ"/>
        <s v="1821KBZ"/>
        <s v="3686KBG"/>
        <s v="5313GBZ"/>
        <s v="6120JZX"/>
        <s v="7542KBV"/>
        <s v="7809JZX"/>
        <s v="7957JZS"/>
        <s v="8500BYJ"/>
      </sharedItems>
    </cacheField>
    <cacheField name="Peso total" numFmtId="0">
      <sharedItems containsSemiMixedTypes="0" containsString="0" containsNumber="1" containsInteger="1" minValue="2460" maxValue="28420" count="244">
        <n v="2460"/>
        <n v="2500"/>
        <n v="2520"/>
        <n v="2540"/>
        <n v="2560"/>
        <n v="2580"/>
        <n v="2600"/>
        <n v="2620"/>
        <n v="2640"/>
        <n v="2660"/>
        <n v="2680"/>
        <n v="2700"/>
        <n v="2720"/>
        <n v="2740"/>
        <n v="2780"/>
        <n v="2840"/>
        <n v="2900"/>
        <n v="2920"/>
        <n v="2960"/>
        <n v="2980"/>
        <n v="3000"/>
        <n v="3020"/>
        <n v="3040"/>
        <n v="3060"/>
        <n v="3080"/>
        <n v="3100"/>
        <n v="3120"/>
        <n v="3140"/>
        <n v="3160"/>
        <n v="3180"/>
        <n v="3200"/>
        <n v="3220"/>
        <n v="3240"/>
        <n v="3280"/>
        <n v="3300"/>
        <n v="3320"/>
        <n v="3340"/>
        <n v="3360"/>
        <n v="3400"/>
        <n v="3440"/>
        <n v="3460"/>
        <n v="3480"/>
        <n v="3500"/>
        <n v="3540"/>
        <n v="3560"/>
        <n v="3600"/>
        <n v="3620"/>
        <n v="3640"/>
        <n v="4020"/>
        <n v="4580"/>
        <n v="4600"/>
        <n v="4680"/>
        <n v="4720"/>
        <n v="4740"/>
        <n v="4820"/>
        <n v="4860"/>
        <n v="4900"/>
        <n v="4960"/>
        <n v="4980"/>
        <n v="5000"/>
        <n v="5100"/>
        <n v="5160"/>
        <n v="5480"/>
        <n v="6020"/>
        <n v="6180"/>
        <n v="6280"/>
        <n v="6320"/>
        <n v="6360"/>
        <n v="6380"/>
        <n v="6420"/>
        <n v="6440"/>
        <n v="6460"/>
        <n v="6540"/>
        <n v="6580"/>
        <n v="6600"/>
        <n v="6640"/>
        <n v="6760"/>
        <n v="6820"/>
        <n v="6960"/>
        <n v="7260"/>
        <n v="13200"/>
        <n v="13520"/>
        <n v="13760"/>
        <n v="13780"/>
        <n v="13960"/>
        <n v="14000"/>
        <n v="14120"/>
        <n v="14140"/>
        <n v="14300"/>
        <n v="14360"/>
        <n v="14400"/>
        <n v="14440"/>
        <n v="14460"/>
        <n v="14480"/>
        <n v="14540"/>
        <n v="14580"/>
        <n v="14680"/>
        <n v="14780"/>
        <n v="14860"/>
        <n v="14880"/>
        <n v="14920"/>
        <n v="14960"/>
        <n v="15040"/>
        <n v="15060"/>
        <n v="15160"/>
        <n v="15260"/>
        <n v="15320"/>
        <n v="15460"/>
        <n v="15540"/>
        <n v="15780"/>
        <n v="16540"/>
        <n v="16600"/>
        <n v="16760"/>
        <n v="16820"/>
        <n v="16880"/>
        <n v="16900"/>
        <n v="16940"/>
        <n v="16980"/>
        <n v="17040"/>
        <n v="17060"/>
        <n v="17140"/>
        <n v="17160"/>
        <n v="17280"/>
        <n v="17320"/>
        <n v="17380"/>
        <n v="17500"/>
        <n v="17640"/>
        <n v="17740"/>
        <n v="17760"/>
        <n v="17800"/>
        <n v="17860"/>
        <n v="17880"/>
        <n v="17900"/>
        <n v="17980"/>
        <n v="18040"/>
        <n v="18160"/>
        <n v="18200"/>
        <n v="18280"/>
        <n v="18320"/>
        <n v="18380"/>
        <n v="18440"/>
        <n v="18460"/>
        <n v="18560"/>
        <n v="18600"/>
        <n v="18620"/>
        <n v="18640"/>
        <n v="18840"/>
        <n v="18980"/>
        <n v="19120"/>
        <n v="19240"/>
        <n v="19260"/>
        <n v="19340"/>
        <n v="19380"/>
        <n v="19400"/>
        <n v="19460"/>
        <n v="19820"/>
        <n v="19920"/>
        <n v="20040"/>
        <n v="20060"/>
        <n v="20300"/>
        <n v="20320"/>
        <n v="20340"/>
        <n v="20380"/>
        <n v="20420"/>
        <n v="20460"/>
        <n v="20600"/>
        <n v="20620"/>
        <n v="20660"/>
        <n v="20700"/>
        <n v="20740"/>
        <n v="20840"/>
        <n v="20880"/>
        <n v="20900"/>
        <n v="20960"/>
        <n v="21060"/>
        <n v="21080"/>
        <n v="21100"/>
        <n v="21120"/>
        <n v="21160"/>
        <n v="21220"/>
        <n v="21240"/>
        <n v="21260"/>
        <n v="21280"/>
        <n v="21300"/>
        <n v="21340"/>
        <n v="21360"/>
        <n v="21380"/>
        <n v="21400"/>
        <n v="21420"/>
        <n v="21440"/>
        <n v="21500"/>
        <n v="21660"/>
        <n v="21680"/>
        <n v="21700"/>
        <n v="21800"/>
        <n v="21840"/>
        <n v="21860"/>
        <n v="21900"/>
        <n v="21940"/>
        <n v="21960"/>
        <n v="22060"/>
        <n v="22100"/>
        <n v="22160"/>
        <n v="22200"/>
        <n v="22280"/>
        <n v="22420"/>
        <n v="22440"/>
        <n v="22480"/>
        <n v="22580"/>
        <n v="22620"/>
        <n v="22640"/>
        <n v="22700"/>
        <n v="22820"/>
        <n v="22940"/>
        <n v="23080"/>
        <n v="23140"/>
        <n v="23360"/>
        <n v="23400"/>
        <n v="23600"/>
        <n v="23680"/>
        <n v="23720"/>
        <n v="23780"/>
        <n v="23840"/>
        <n v="23980"/>
        <n v="24060"/>
        <n v="24080"/>
        <n v="24400"/>
        <n v="24480"/>
        <n v="24680"/>
        <n v="24920"/>
        <n v="24980"/>
        <n v="25040"/>
        <n v="25460"/>
        <n v="25540"/>
        <n v="25700"/>
        <n v="25780"/>
        <n v="25980"/>
        <n v="26020"/>
        <n v="26120"/>
        <n v="26300"/>
        <n v="26680"/>
        <n v="27040"/>
        <n v="27100"/>
        <n v="28420"/>
      </sharedItems>
    </cacheField>
    <cacheField name="Tara" numFmtId="0">
      <sharedItems containsSemiMixedTypes="0" containsString="0" containsNumber="1" containsInteger="1" minValue="1200" maxValue="16400" count="98">
        <n v="1200"/>
        <n v="2320"/>
        <n v="2340"/>
        <n v="2360"/>
        <n v="2380"/>
        <n v="2400"/>
        <n v="2420"/>
        <n v="2440"/>
        <n v="2500"/>
        <n v="2600"/>
        <n v="2620"/>
        <n v="2640"/>
        <n v="2660"/>
        <n v="2680"/>
        <n v="2700"/>
        <n v="2740"/>
        <n v="2760"/>
        <n v="2780"/>
        <n v="2800"/>
        <n v="2820"/>
        <n v="2840"/>
        <n v="2860"/>
        <n v="2880"/>
        <n v="2900"/>
        <n v="2940"/>
        <n v="2960"/>
        <n v="2980"/>
        <n v="3660"/>
        <n v="3680"/>
        <n v="3700"/>
        <n v="3720"/>
        <n v="3760"/>
        <n v="3780"/>
        <n v="3800"/>
        <n v="5560"/>
        <n v="5580"/>
        <n v="5600"/>
        <n v="5620"/>
        <n v="5640"/>
        <n v="5660"/>
        <n v="5700"/>
        <n v="5720"/>
        <n v="12400"/>
        <n v="12420"/>
        <n v="12460"/>
        <n v="12480"/>
        <n v="12500"/>
        <n v="12520"/>
        <n v="12660"/>
        <n v="12680"/>
        <n v="12700"/>
        <n v="12720"/>
        <n v="12740"/>
        <n v="12760"/>
        <n v="12780"/>
        <n v="12800"/>
        <n v="12820"/>
        <n v="12840"/>
        <n v="12860"/>
        <n v="12880"/>
        <n v="12900"/>
        <n v="12920"/>
        <n v="12960"/>
        <n v="13120"/>
        <n v="15300"/>
        <n v="15360"/>
        <n v="15380"/>
        <n v="15600"/>
        <n v="15620"/>
        <n v="15640"/>
        <n v="15660"/>
        <n v="15680"/>
        <n v="15700"/>
        <n v="15720"/>
        <n v="15740"/>
        <n v="15760"/>
        <n v="15780"/>
        <n v="15820"/>
        <n v="15840"/>
        <n v="15860"/>
        <n v="15880"/>
        <n v="15900"/>
        <n v="15920"/>
        <n v="15940"/>
        <n v="15960"/>
        <n v="15980"/>
        <n v="16000"/>
        <n v="16020"/>
        <n v="16040"/>
        <n v="16060"/>
        <n v="16080"/>
        <n v="16100"/>
        <n v="16120"/>
        <n v="16180"/>
        <n v="16260"/>
        <n v="16320"/>
        <n v="16340"/>
        <n v="16400"/>
      </sharedItems>
    </cacheField>
    <cacheField name="Carga" numFmtId="0">
      <sharedItems containsSemiMixedTypes="0" containsString="0" containsNumber="1" containsInteger="1" minValue="100" maxValue="12440" count="208">
        <n v="100"/>
        <n v="120"/>
        <n v="140"/>
        <n v="160"/>
        <n v="180"/>
        <n v="200"/>
        <n v="220"/>
        <n v="240"/>
        <n v="260"/>
        <n v="280"/>
        <n v="300"/>
        <n v="320"/>
        <n v="340"/>
        <n v="360"/>
        <n v="380"/>
        <n v="400"/>
        <n v="420"/>
        <n v="440"/>
        <n v="460"/>
        <n v="480"/>
        <n v="500"/>
        <n v="520"/>
        <n v="540"/>
        <n v="560"/>
        <n v="580"/>
        <n v="600"/>
        <n v="620"/>
        <n v="640"/>
        <n v="660"/>
        <n v="720"/>
        <n v="760"/>
        <n v="780"/>
        <n v="800"/>
        <n v="820"/>
        <n v="840"/>
        <n v="880"/>
        <n v="900"/>
        <n v="920"/>
        <n v="960"/>
        <n v="980"/>
        <n v="1000"/>
        <n v="1020"/>
        <n v="1040"/>
        <n v="1060"/>
        <n v="1080"/>
        <n v="1100"/>
        <n v="1160"/>
        <n v="1180"/>
        <n v="1200"/>
        <n v="1220"/>
        <n v="1240"/>
        <n v="1260"/>
        <n v="1280"/>
        <n v="1300"/>
        <n v="1320"/>
        <n v="1360"/>
        <n v="1400"/>
        <n v="1420"/>
        <n v="1440"/>
        <n v="1480"/>
        <n v="1520"/>
        <n v="1560"/>
        <n v="1620"/>
        <n v="1640"/>
        <n v="1660"/>
        <n v="1700"/>
        <n v="1720"/>
        <n v="1740"/>
        <n v="1780"/>
        <n v="1820"/>
        <n v="1880"/>
        <n v="1900"/>
        <n v="1940"/>
        <n v="1960"/>
        <n v="1980"/>
        <n v="2000"/>
        <n v="2080"/>
        <n v="2100"/>
        <n v="2120"/>
        <n v="2140"/>
        <n v="2160"/>
        <n v="2180"/>
        <n v="2200"/>
        <n v="2280"/>
        <n v="2360"/>
        <n v="2380"/>
        <n v="2460"/>
        <n v="2540"/>
        <n v="2560"/>
        <n v="2600"/>
        <n v="2700"/>
        <n v="2860"/>
        <n v="2900"/>
        <n v="3020"/>
        <n v="3040"/>
        <n v="3320"/>
        <n v="3340"/>
        <n v="3380"/>
        <n v="3440"/>
        <n v="3700"/>
        <n v="4100"/>
        <n v="4120"/>
        <n v="4140"/>
        <n v="4160"/>
        <n v="4220"/>
        <n v="4280"/>
        <n v="4400"/>
        <n v="4580"/>
        <n v="4600"/>
        <n v="4700"/>
        <n v="4920"/>
        <n v="4940"/>
        <n v="4960"/>
        <n v="4980"/>
        <n v="5000"/>
        <n v="5020"/>
        <n v="5060"/>
        <n v="5180"/>
        <n v="5220"/>
        <n v="5300"/>
        <n v="5340"/>
        <n v="5380"/>
        <n v="5420"/>
        <n v="5440"/>
        <n v="5460"/>
        <n v="5500"/>
        <n v="5580"/>
        <n v="5620"/>
        <n v="5800"/>
        <n v="5860"/>
        <n v="5980"/>
        <n v="6000"/>
        <n v="6040"/>
        <n v="6240"/>
        <n v="6360"/>
        <n v="6380"/>
        <n v="6500"/>
        <n v="6520"/>
        <n v="6560"/>
        <n v="6580"/>
        <n v="6620"/>
        <n v="6660"/>
        <n v="6680"/>
        <n v="6760"/>
        <n v="6980"/>
        <n v="7020"/>
        <n v="7140"/>
        <n v="7240"/>
        <n v="7260"/>
        <n v="7340"/>
        <n v="7480"/>
        <n v="7540"/>
        <n v="7560"/>
        <n v="7580"/>
        <n v="7660"/>
        <n v="7700"/>
        <n v="7720"/>
        <n v="7760"/>
        <n v="7780"/>
        <n v="7800"/>
        <n v="7820"/>
        <n v="7900"/>
        <n v="7960"/>
        <n v="7980"/>
        <n v="8080"/>
        <n v="8180"/>
        <n v="8300"/>
        <n v="8320"/>
        <n v="8360"/>
        <n v="8380"/>
        <n v="8400"/>
        <n v="8420"/>
        <n v="8480"/>
        <n v="8500"/>
        <n v="8560"/>
        <n v="8580"/>
        <n v="8600"/>
        <n v="8700"/>
        <n v="8780"/>
        <n v="8820"/>
        <n v="8840"/>
        <n v="8880"/>
        <n v="9040"/>
        <n v="9060"/>
        <n v="9080"/>
        <n v="9120"/>
        <n v="9160"/>
        <n v="9320"/>
        <n v="9380"/>
        <n v="9400"/>
        <n v="9520"/>
        <n v="9560"/>
        <n v="9620"/>
        <n v="9660"/>
        <n v="9700"/>
        <n v="9740"/>
        <n v="9800"/>
        <n v="9840"/>
        <n v="10020"/>
        <n v="10040"/>
        <n v="10120"/>
        <n v="10420"/>
        <n v="10600"/>
        <n v="10700"/>
        <n v="11020"/>
        <n v="11380"/>
        <n v="11740"/>
        <n v="12440"/>
      </sharedItems>
    </cacheField>
    <cacheField name="Población" numFmtId="0">
      <sharedItems count="1">
        <s v="PEÑISCOLA"/>
      </sharedItems>
    </cacheField>
    <cacheField name="Residuo" numFmtId="0">
      <sharedItems count="6">
        <s v="BARREDURIA"/>
        <s v="PODA"/>
        <s v="RSU"/>
        <s v="SEL.ENV"/>
        <s v="SEL.PAP"/>
        <s v="VOL"/>
      </sharedItems>
    </cacheField>
    <cacheField name="Revisado" numFmtId="0">
      <sharedItems count="1">
        <s v="x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350">
  <r>
    <x v="0"/>
    <x v="57"/>
    <x v="9"/>
    <x v="8"/>
    <x v="59"/>
    <x v="31"/>
    <x v="50"/>
    <x v="0"/>
    <x v="2"/>
    <x v="0"/>
  </r>
  <r>
    <x v="0"/>
    <x v="36"/>
    <x v="8"/>
    <x v="3"/>
    <x v="221"/>
    <x v="84"/>
    <x v="160"/>
    <x v="0"/>
    <x v="2"/>
    <x v="0"/>
  </r>
  <r>
    <x v="0"/>
    <x v="76"/>
    <x v="10"/>
    <x v="3"/>
    <x v="146"/>
    <x v="83"/>
    <x v="92"/>
    <x v="0"/>
    <x v="2"/>
    <x v="0"/>
  </r>
  <r>
    <x v="0"/>
    <x v="80"/>
    <x v="11"/>
    <x v="7"/>
    <x v="174"/>
    <x v="49"/>
    <x v="169"/>
    <x v="0"/>
    <x v="2"/>
    <x v="0"/>
  </r>
  <r>
    <x v="0"/>
    <x v="11"/>
    <x v="7"/>
    <x v="7"/>
    <x v="188"/>
    <x v="51"/>
    <x v="177"/>
    <x v="0"/>
    <x v="2"/>
    <x v="0"/>
  </r>
  <r>
    <x v="0"/>
    <x v="217"/>
    <x v="17"/>
    <x v="3"/>
    <x v="208"/>
    <x v="87"/>
    <x v="138"/>
    <x v="0"/>
    <x v="2"/>
    <x v="0"/>
  </r>
  <r>
    <x v="0"/>
    <x v="205"/>
    <x v="16"/>
    <x v="1"/>
    <x v="22"/>
    <x v="14"/>
    <x v="12"/>
    <x v="0"/>
    <x v="2"/>
    <x v="0"/>
  </r>
  <r>
    <x v="0"/>
    <x v="185"/>
    <x v="15"/>
    <x v="7"/>
    <x v="94"/>
    <x v="53"/>
    <x v="68"/>
    <x v="0"/>
    <x v="2"/>
    <x v="0"/>
  </r>
  <r>
    <x v="0"/>
    <x v="107"/>
    <x v="12"/>
    <x v="9"/>
    <x v="68"/>
    <x v="37"/>
    <x v="30"/>
    <x v="0"/>
    <x v="5"/>
    <x v="0"/>
  </r>
  <r>
    <x v="0"/>
    <x v="151"/>
    <x v="14"/>
    <x v="6"/>
    <x v="45"/>
    <x v="18"/>
    <x v="32"/>
    <x v="0"/>
    <x v="2"/>
    <x v="0"/>
  </r>
  <r>
    <x v="0"/>
    <x v="128"/>
    <x v="13"/>
    <x v="4"/>
    <x v="4"/>
    <x v="6"/>
    <x v="2"/>
    <x v="0"/>
    <x v="2"/>
    <x v="0"/>
  </r>
  <r>
    <x v="0"/>
    <x v="133"/>
    <x v="338"/>
    <x v="0"/>
    <x v="134"/>
    <x v="83"/>
    <x v="77"/>
    <x v="0"/>
    <x v="4"/>
    <x v="0"/>
  </r>
  <r>
    <x v="1"/>
    <x v="50"/>
    <x v="23"/>
    <x v="1"/>
    <x v="30"/>
    <x v="22"/>
    <x v="11"/>
    <x v="0"/>
    <x v="2"/>
    <x v="0"/>
  </r>
  <r>
    <x v="1"/>
    <x v="42"/>
    <x v="22"/>
    <x v="6"/>
    <x v="25"/>
    <x v="22"/>
    <x v="6"/>
    <x v="0"/>
    <x v="2"/>
    <x v="0"/>
  </r>
  <r>
    <x v="1"/>
    <x v="75"/>
    <x v="25"/>
    <x v="2"/>
    <x v="182"/>
    <x v="70"/>
    <x v="127"/>
    <x v="0"/>
    <x v="2"/>
    <x v="0"/>
  </r>
  <r>
    <x v="1"/>
    <x v="81"/>
    <x v="26"/>
    <x v="7"/>
    <x v="169"/>
    <x v="54"/>
    <x v="162"/>
    <x v="0"/>
    <x v="2"/>
    <x v="0"/>
  </r>
  <r>
    <x v="1"/>
    <x v="7"/>
    <x v="19"/>
    <x v="7"/>
    <x v="196"/>
    <x v="55"/>
    <x v="183"/>
    <x v="0"/>
    <x v="2"/>
    <x v="0"/>
  </r>
  <r>
    <x v="1"/>
    <x v="71"/>
    <x v="24"/>
    <x v="3"/>
    <x v="227"/>
    <x v="85"/>
    <x v="173"/>
    <x v="0"/>
    <x v="2"/>
    <x v="0"/>
  </r>
  <r>
    <x v="1"/>
    <x v="26"/>
    <x v="20"/>
    <x v="1"/>
    <x v="20"/>
    <x v="14"/>
    <x v="10"/>
    <x v="0"/>
    <x v="2"/>
    <x v="0"/>
  </r>
  <r>
    <x v="1"/>
    <x v="33"/>
    <x v="21"/>
    <x v="6"/>
    <x v="38"/>
    <x v="22"/>
    <x v="21"/>
    <x v="0"/>
    <x v="2"/>
    <x v="0"/>
  </r>
  <r>
    <x v="1"/>
    <x v="3"/>
    <x v="18"/>
    <x v="5"/>
    <x v="93"/>
    <x v="42"/>
    <x v="76"/>
    <x v="0"/>
    <x v="2"/>
    <x v="0"/>
  </r>
  <r>
    <x v="1"/>
    <x v="109"/>
    <x v="27"/>
    <x v="7"/>
    <x v="189"/>
    <x v="62"/>
    <x v="172"/>
    <x v="0"/>
    <x v="2"/>
    <x v="0"/>
  </r>
  <r>
    <x v="1"/>
    <x v="129"/>
    <x v="29"/>
    <x v="4"/>
    <x v="7"/>
    <x v="5"/>
    <x v="6"/>
    <x v="0"/>
    <x v="2"/>
    <x v="0"/>
  </r>
  <r>
    <x v="1"/>
    <x v="223"/>
    <x v="33"/>
    <x v="3"/>
    <x v="206"/>
    <x v="80"/>
    <x v="138"/>
    <x v="0"/>
    <x v="2"/>
    <x v="0"/>
  </r>
  <r>
    <x v="1"/>
    <x v="195"/>
    <x v="31"/>
    <x v="7"/>
    <x v="98"/>
    <x v="51"/>
    <x v="79"/>
    <x v="0"/>
    <x v="2"/>
    <x v="0"/>
  </r>
  <r>
    <x v="1"/>
    <x v="111"/>
    <x v="28"/>
    <x v="1"/>
    <x v="44"/>
    <x v="13"/>
    <x v="35"/>
    <x v="0"/>
    <x v="1"/>
    <x v="0"/>
  </r>
  <r>
    <x v="1"/>
    <x v="139"/>
    <x v="30"/>
    <x v="6"/>
    <x v="44"/>
    <x v="20"/>
    <x v="29"/>
    <x v="0"/>
    <x v="2"/>
    <x v="0"/>
  </r>
  <r>
    <x v="1"/>
    <x v="213"/>
    <x v="32"/>
    <x v="1"/>
    <x v="25"/>
    <x v="12"/>
    <x v="17"/>
    <x v="0"/>
    <x v="2"/>
    <x v="0"/>
  </r>
  <r>
    <x v="1"/>
    <x v="132"/>
    <x v="0"/>
    <x v="2"/>
    <x v="141"/>
    <x v="75"/>
    <x v="90"/>
    <x v="0"/>
    <x v="3"/>
    <x v="0"/>
  </r>
  <r>
    <x v="2"/>
    <x v="227"/>
    <x v="45"/>
    <x v="3"/>
    <x v="217"/>
    <x v="82"/>
    <x v="150"/>
    <x v="0"/>
    <x v="2"/>
    <x v="0"/>
  </r>
  <r>
    <x v="2"/>
    <x v="54"/>
    <x v="35"/>
    <x v="8"/>
    <x v="53"/>
    <x v="27"/>
    <x v="44"/>
    <x v="0"/>
    <x v="2"/>
    <x v="0"/>
  </r>
  <r>
    <x v="2"/>
    <x v="211"/>
    <x v="44"/>
    <x v="1"/>
    <x v="26"/>
    <x v="13"/>
    <x v="17"/>
    <x v="0"/>
    <x v="2"/>
    <x v="0"/>
  </r>
  <r>
    <x v="2"/>
    <x v="193"/>
    <x v="43"/>
    <x v="7"/>
    <x v="95"/>
    <x v="53"/>
    <x v="69"/>
    <x v="0"/>
    <x v="2"/>
    <x v="0"/>
  </r>
  <r>
    <x v="2"/>
    <x v="93"/>
    <x v="39"/>
    <x v="3"/>
    <x v="230"/>
    <x v="79"/>
    <x v="185"/>
    <x v="0"/>
    <x v="2"/>
    <x v="0"/>
  </r>
  <r>
    <x v="2"/>
    <x v="74"/>
    <x v="37"/>
    <x v="2"/>
    <x v="154"/>
    <x v="75"/>
    <x v="99"/>
    <x v="0"/>
    <x v="2"/>
    <x v="0"/>
  </r>
  <r>
    <x v="2"/>
    <x v="125"/>
    <x v="41"/>
    <x v="2"/>
    <x v="137"/>
    <x v="71"/>
    <x v="89"/>
    <x v="0"/>
    <x v="2"/>
    <x v="0"/>
  </r>
  <r>
    <x v="2"/>
    <x v="55"/>
    <x v="36"/>
    <x v="1"/>
    <x v="31"/>
    <x v="19"/>
    <x v="15"/>
    <x v="0"/>
    <x v="2"/>
    <x v="0"/>
  </r>
  <r>
    <x v="2"/>
    <x v="12"/>
    <x v="34"/>
    <x v="7"/>
    <x v="180"/>
    <x v="52"/>
    <x v="173"/>
    <x v="0"/>
    <x v="2"/>
    <x v="0"/>
  </r>
  <r>
    <x v="2"/>
    <x v="79"/>
    <x v="38"/>
    <x v="7"/>
    <x v="201"/>
    <x v="51"/>
    <x v="188"/>
    <x v="0"/>
    <x v="2"/>
    <x v="0"/>
  </r>
  <r>
    <x v="2"/>
    <x v="110"/>
    <x v="40"/>
    <x v="6"/>
    <x v="39"/>
    <x v="22"/>
    <x v="23"/>
    <x v="0"/>
    <x v="2"/>
    <x v="0"/>
  </r>
  <r>
    <x v="2"/>
    <x v="130"/>
    <x v="42"/>
    <x v="4"/>
    <x v="6"/>
    <x v="5"/>
    <x v="5"/>
    <x v="0"/>
    <x v="2"/>
    <x v="0"/>
  </r>
  <r>
    <x v="3"/>
    <x v="2"/>
    <x v="46"/>
    <x v="5"/>
    <x v="98"/>
    <x v="46"/>
    <x v="84"/>
    <x v="0"/>
    <x v="2"/>
    <x v="0"/>
  </r>
  <r>
    <x v="3"/>
    <x v="60"/>
    <x v="49"/>
    <x v="1"/>
    <x v="37"/>
    <x v="19"/>
    <x v="22"/>
    <x v="0"/>
    <x v="2"/>
    <x v="0"/>
  </r>
  <r>
    <x v="3"/>
    <x v="210"/>
    <x v="57"/>
    <x v="3"/>
    <x v="210"/>
    <x v="80"/>
    <x v="143"/>
    <x v="0"/>
    <x v="2"/>
    <x v="0"/>
  </r>
  <r>
    <x v="3"/>
    <x v="100"/>
    <x v="53"/>
    <x v="1"/>
    <x v="26"/>
    <x v="14"/>
    <x v="16"/>
    <x v="0"/>
    <x v="2"/>
    <x v="0"/>
  </r>
  <r>
    <x v="3"/>
    <x v="90"/>
    <x v="52"/>
    <x v="3"/>
    <x v="233"/>
    <x v="82"/>
    <x v="192"/>
    <x v="0"/>
    <x v="2"/>
    <x v="0"/>
  </r>
  <r>
    <x v="3"/>
    <x v="73"/>
    <x v="50"/>
    <x v="2"/>
    <x v="148"/>
    <x v="76"/>
    <x v="96"/>
    <x v="0"/>
    <x v="2"/>
    <x v="0"/>
  </r>
  <r>
    <x v="3"/>
    <x v="188"/>
    <x v="55"/>
    <x v="7"/>
    <x v="86"/>
    <x v="50"/>
    <x v="57"/>
    <x v="0"/>
    <x v="2"/>
    <x v="0"/>
  </r>
  <r>
    <x v="3"/>
    <x v="10"/>
    <x v="47"/>
    <x v="7"/>
    <x v="203"/>
    <x v="55"/>
    <x v="189"/>
    <x v="0"/>
    <x v="2"/>
    <x v="0"/>
  </r>
  <r>
    <x v="3"/>
    <x v="78"/>
    <x v="51"/>
    <x v="7"/>
    <x v="209"/>
    <x v="54"/>
    <x v="197"/>
    <x v="0"/>
    <x v="2"/>
    <x v="0"/>
  </r>
  <r>
    <x v="3"/>
    <x v="55"/>
    <x v="48"/>
    <x v="8"/>
    <x v="54"/>
    <x v="27"/>
    <x v="46"/>
    <x v="0"/>
    <x v="2"/>
    <x v="0"/>
  </r>
  <r>
    <x v="3"/>
    <x v="126"/>
    <x v="54"/>
    <x v="4"/>
    <x v="6"/>
    <x v="4"/>
    <x v="6"/>
    <x v="0"/>
    <x v="2"/>
    <x v="0"/>
  </r>
  <r>
    <x v="3"/>
    <x v="211"/>
    <x v="56"/>
    <x v="1"/>
    <x v="28"/>
    <x v="12"/>
    <x v="20"/>
    <x v="0"/>
    <x v="2"/>
    <x v="0"/>
  </r>
  <r>
    <x v="4"/>
    <x v="112"/>
    <x v="64"/>
    <x v="9"/>
    <x v="69"/>
    <x v="36"/>
    <x v="33"/>
    <x v="0"/>
    <x v="5"/>
    <x v="0"/>
  </r>
  <r>
    <x v="4"/>
    <x v="79"/>
    <x v="62"/>
    <x v="2"/>
    <x v="148"/>
    <x v="74"/>
    <x v="97"/>
    <x v="0"/>
    <x v="2"/>
    <x v="0"/>
  </r>
  <r>
    <x v="4"/>
    <x v="54"/>
    <x v="59"/>
    <x v="8"/>
    <x v="52"/>
    <x v="29"/>
    <x v="41"/>
    <x v="0"/>
    <x v="2"/>
    <x v="0"/>
  </r>
  <r>
    <x v="4"/>
    <x v="88"/>
    <x v="63"/>
    <x v="7"/>
    <x v="183"/>
    <x v="50"/>
    <x v="176"/>
    <x v="0"/>
    <x v="2"/>
    <x v="0"/>
  </r>
  <r>
    <x v="4"/>
    <x v="15"/>
    <x v="58"/>
    <x v="7"/>
    <x v="194"/>
    <x v="51"/>
    <x v="184"/>
    <x v="0"/>
    <x v="2"/>
    <x v="0"/>
  </r>
  <r>
    <x v="4"/>
    <x v="56"/>
    <x v="60"/>
    <x v="1"/>
    <x v="32"/>
    <x v="17"/>
    <x v="18"/>
    <x v="0"/>
    <x v="2"/>
    <x v="0"/>
  </r>
  <r>
    <x v="4"/>
    <x v="79"/>
    <x v="61"/>
    <x v="3"/>
    <x v="229"/>
    <x v="80"/>
    <x v="182"/>
    <x v="0"/>
    <x v="2"/>
    <x v="0"/>
  </r>
  <r>
    <x v="4"/>
    <x v="168"/>
    <x v="66"/>
    <x v="9"/>
    <x v="72"/>
    <x v="35"/>
    <x v="38"/>
    <x v="0"/>
    <x v="5"/>
    <x v="0"/>
  </r>
  <r>
    <x v="4"/>
    <x v="119"/>
    <x v="65"/>
    <x v="4"/>
    <x v="10"/>
    <x v="3"/>
    <x v="11"/>
    <x v="0"/>
    <x v="2"/>
    <x v="0"/>
  </r>
  <r>
    <x v="4"/>
    <x v="155"/>
    <x v="1"/>
    <x v="2"/>
    <x v="126"/>
    <x v="75"/>
    <x v="70"/>
    <x v="0"/>
    <x v="3"/>
    <x v="0"/>
  </r>
  <r>
    <x v="4"/>
    <x v="214"/>
    <x v="68"/>
    <x v="1"/>
    <x v="20"/>
    <x v="10"/>
    <x v="14"/>
    <x v="0"/>
    <x v="2"/>
    <x v="0"/>
  </r>
  <r>
    <x v="4"/>
    <x v="199"/>
    <x v="67"/>
    <x v="7"/>
    <x v="104"/>
    <x v="54"/>
    <x v="85"/>
    <x v="0"/>
    <x v="2"/>
    <x v="0"/>
  </r>
  <r>
    <x v="4"/>
    <x v="213"/>
    <x v="69"/>
    <x v="3"/>
    <x v="181"/>
    <x v="80"/>
    <x v="121"/>
    <x v="0"/>
    <x v="2"/>
    <x v="0"/>
  </r>
  <r>
    <x v="5"/>
    <x v="78"/>
    <x v="75"/>
    <x v="7"/>
    <x v="152"/>
    <x v="53"/>
    <x v="140"/>
    <x v="0"/>
    <x v="2"/>
    <x v="0"/>
  </r>
  <r>
    <x v="5"/>
    <x v="20"/>
    <x v="71"/>
    <x v="7"/>
    <x v="192"/>
    <x v="55"/>
    <x v="181"/>
    <x v="0"/>
    <x v="2"/>
    <x v="0"/>
  </r>
  <r>
    <x v="5"/>
    <x v="84"/>
    <x v="77"/>
    <x v="3"/>
    <x v="222"/>
    <x v="79"/>
    <x v="163"/>
    <x v="0"/>
    <x v="2"/>
    <x v="0"/>
  </r>
  <r>
    <x v="5"/>
    <x v="158"/>
    <x v="79"/>
    <x v="6"/>
    <x v="39"/>
    <x v="18"/>
    <x v="27"/>
    <x v="0"/>
    <x v="2"/>
    <x v="0"/>
  </r>
  <r>
    <x v="5"/>
    <x v="47"/>
    <x v="74"/>
    <x v="6"/>
    <x v="28"/>
    <x v="24"/>
    <x v="6"/>
    <x v="0"/>
    <x v="2"/>
    <x v="0"/>
  </r>
  <r>
    <x v="5"/>
    <x v="46"/>
    <x v="73"/>
    <x v="1"/>
    <x v="31"/>
    <x v="18"/>
    <x v="16"/>
    <x v="0"/>
    <x v="2"/>
    <x v="0"/>
  </r>
  <r>
    <x v="5"/>
    <x v="31"/>
    <x v="72"/>
    <x v="6"/>
    <x v="36"/>
    <x v="20"/>
    <x v="20"/>
    <x v="0"/>
    <x v="2"/>
    <x v="0"/>
  </r>
  <r>
    <x v="5"/>
    <x v="146"/>
    <x v="78"/>
    <x v="4"/>
    <x v="2"/>
    <x v="6"/>
    <x v="0"/>
    <x v="0"/>
    <x v="2"/>
    <x v="0"/>
  </r>
  <r>
    <x v="5"/>
    <x v="4"/>
    <x v="70"/>
    <x v="5"/>
    <x v="84"/>
    <x v="45"/>
    <x v="59"/>
    <x v="0"/>
    <x v="2"/>
    <x v="0"/>
  </r>
  <r>
    <x v="5"/>
    <x v="83"/>
    <x v="76"/>
    <x v="2"/>
    <x v="156"/>
    <x v="76"/>
    <x v="102"/>
    <x v="0"/>
    <x v="2"/>
    <x v="0"/>
  </r>
  <r>
    <x v="5"/>
    <x v="156"/>
    <x v="339"/>
    <x v="2"/>
    <x v="124"/>
    <x v="66"/>
    <x v="75"/>
    <x v="0"/>
    <x v="4"/>
    <x v="0"/>
  </r>
  <r>
    <x v="5"/>
    <x v="206"/>
    <x v="81"/>
    <x v="1"/>
    <x v="25"/>
    <x v="13"/>
    <x v="16"/>
    <x v="0"/>
    <x v="2"/>
    <x v="0"/>
  </r>
  <r>
    <x v="5"/>
    <x v="215"/>
    <x v="82"/>
    <x v="3"/>
    <x v="174"/>
    <x v="78"/>
    <x v="118"/>
    <x v="0"/>
    <x v="2"/>
    <x v="0"/>
  </r>
  <r>
    <x v="5"/>
    <x v="197"/>
    <x v="80"/>
    <x v="7"/>
    <x v="100"/>
    <x v="51"/>
    <x v="82"/>
    <x v="0"/>
    <x v="2"/>
    <x v="0"/>
  </r>
  <r>
    <x v="6"/>
    <x v="38"/>
    <x v="84"/>
    <x v="3"/>
    <x v="218"/>
    <x v="78"/>
    <x v="157"/>
    <x v="0"/>
    <x v="2"/>
    <x v="0"/>
  </r>
  <r>
    <x v="6"/>
    <x v="56"/>
    <x v="85"/>
    <x v="8"/>
    <x v="58"/>
    <x v="29"/>
    <x v="52"/>
    <x v="0"/>
    <x v="2"/>
    <x v="0"/>
  </r>
  <r>
    <x v="6"/>
    <x v="135"/>
    <x v="90"/>
    <x v="6"/>
    <x v="24"/>
    <x v="15"/>
    <x v="12"/>
    <x v="0"/>
    <x v="2"/>
    <x v="0"/>
  </r>
  <r>
    <x v="6"/>
    <x v="163"/>
    <x v="91"/>
    <x v="9"/>
    <x v="70"/>
    <x v="41"/>
    <x v="29"/>
    <x v="0"/>
    <x v="5"/>
    <x v="0"/>
  </r>
  <r>
    <x v="6"/>
    <x v="114"/>
    <x v="88"/>
    <x v="9"/>
    <x v="71"/>
    <x v="34"/>
    <x v="36"/>
    <x v="0"/>
    <x v="5"/>
    <x v="0"/>
  </r>
  <r>
    <x v="6"/>
    <x v="23"/>
    <x v="83"/>
    <x v="7"/>
    <x v="200"/>
    <x v="52"/>
    <x v="187"/>
    <x v="0"/>
    <x v="2"/>
    <x v="0"/>
  </r>
  <r>
    <x v="6"/>
    <x v="86"/>
    <x v="87"/>
    <x v="3"/>
    <x v="150"/>
    <x v="77"/>
    <x v="98"/>
    <x v="0"/>
    <x v="2"/>
    <x v="0"/>
  </r>
  <r>
    <x v="6"/>
    <x v="84"/>
    <x v="86"/>
    <x v="7"/>
    <x v="149"/>
    <x v="52"/>
    <x v="136"/>
    <x v="0"/>
    <x v="2"/>
    <x v="0"/>
  </r>
  <r>
    <x v="6"/>
    <x v="136"/>
    <x v="89"/>
    <x v="4"/>
    <x v="7"/>
    <x v="1"/>
    <x v="10"/>
    <x v="0"/>
    <x v="2"/>
    <x v="0"/>
  </r>
  <r>
    <x v="6"/>
    <x v="225"/>
    <x v="94"/>
    <x v="3"/>
    <x v="205"/>
    <x v="75"/>
    <x v="141"/>
    <x v="0"/>
    <x v="2"/>
    <x v="0"/>
  </r>
  <r>
    <x v="6"/>
    <x v="194"/>
    <x v="92"/>
    <x v="7"/>
    <x v="89"/>
    <x v="59"/>
    <x v="59"/>
    <x v="0"/>
    <x v="2"/>
    <x v="0"/>
  </r>
  <r>
    <x v="6"/>
    <x v="209"/>
    <x v="93"/>
    <x v="1"/>
    <x v="21"/>
    <x v="13"/>
    <x v="12"/>
    <x v="0"/>
    <x v="2"/>
    <x v="0"/>
  </r>
  <r>
    <x v="7"/>
    <x v="149"/>
    <x v="100"/>
    <x v="6"/>
    <x v="41"/>
    <x v="20"/>
    <x v="27"/>
    <x v="0"/>
    <x v="2"/>
    <x v="0"/>
  </r>
  <r>
    <x v="7"/>
    <x v="15"/>
    <x v="95"/>
    <x v="7"/>
    <x v="199"/>
    <x v="55"/>
    <x v="186"/>
    <x v="0"/>
    <x v="2"/>
    <x v="0"/>
  </r>
  <r>
    <x v="7"/>
    <x v="55"/>
    <x v="96"/>
    <x v="8"/>
    <x v="61"/>
    <x v="33"/>
    <x v="55"/>
    <x v="0"/>
    <x v="2"/>
    <x v="0"/>
  </r>
  <r>
    <x v="7"/>
    <x v="81"/>
    <x v="97"/>
    <x v="7"/>
    <x v="157"/>
    <x v="54"/>
    <x v="148"/>
    <x v="0"/>
    <x v="2"/>
    <x v="0"/>
  </r>
  <r>
    <x v="7"/>
    <x v="218"/>
    <x v="103"/>
    <x v="3"/>
    <x v="198"/>
    <x v="83"/>
    <x v="131"/>
    <x v="0"/>
    <x v="2"/>
    <x v="0"/>
  </r>
  <r>
    <x v="7"/>
    <x v="220"/>
    <x v="104"/>
    <x v="4"/>
    <x v="3"/>
    <x v="3"/>
    <x v="4"/>
    <x v="0"/>
    <x v="2"/>
    <x v="0"/>
  </r>
  <r>
    <x v="7"/>
    <x v="182"/>
    <x v="101"/>
    <x v="1"/>
    <x v="35"/>
    <x v="16"/>
    <x v="23"/>
    <x v="0"/>
    <x v="1"/>
    <x v="0"/>
  </r>
  <r>
    <x v="7"/>
    <x v="140"/>
    <x v="99"/>
    <x v="4"/>
    <x v="1"/>
    <x v="5"/>
    <x v="0"/>
    <x v="0"/>
    <x v="2"/>
    <x v="0"/>
  </r>
  <r>
    <x v="7"/>
    <x v="189"/>
    <x v="102"/>
    <x v="7"/>
    <x v="85"/>
    <x v="51"/>
    <x v="52"/>
    <x v="0"/>
    <x v="2"/>
    <x v="0"/>
  </r>
  <r>
    <x v="7"/>
    <x v="85"/>
    <x v="98"/>
    <x v="3"/>
    <x v="237"/>
    <x v="85"/>
    <x v="199"/>
    <x v="0"/>
    <x v="2"/>
    <x v="0"/>
  </r>
  <r>
    <x v="7"/>
    <x v="160"/>
    <x v="340"/>
    <x v="2"/>
    <x v="118"/>
    <x v="69"/>
    <x v="56"/>
    <x v="0"/>
    <x v="4"/>
    <x v="0"/>
  </r>
  <r>
    <x v="8"/>
    <x v="51"/>
    <x v="107"/>
    <x v="1"/>
    <x v="32"/>
    <x v="19"/>
    <x v="16"/>
    <x v="0"/>
    <x v="2"/>
    <x v="0"/>
  </r>
  <r>
    <x v="8"/>
    <x v="85"/>
    <x v="111"/>
    <x v="3"/>
    <x v="214"/>
    <x v="83"/>
    <x v="146"/>
    <x v="0"/>
    <x v="2"/>
    <x v="0"/>
  </r>
  <r>
    <x v="8"/>
    <x v="219"/>
    <x v="116"/>
    <x v="4"/>
    <x v="8"/>
    <x v="3"/>
    <x v="9"/>
    <x v="0"/>
    <x v="2"/>
    <x v="0"/>
  </r>
  <r>
    <x v="8"/>
    <x v="217"/>
    <x v="115"/>
    <x v="3"/>
    <x v="186"/>
    <x v="82"/>
    <x v="124"/>
    <x v="0"/>
    <x v="2"/>
    <x v="0"/>
  </r>
  <r>
    <x v="8"/>
    <x v="191"/>
    <x v="114"/>
    <x v="7"/>
    <x v="92"/>
    <x v="55"/>
    <x v="64"/>
    <x v="0"/>
    <x v="2"/>
    <x v="0"/>
  </r>
  <r>
    <x v="8"/>
    <x v="79"/>
    <x v="110"/>
    <x v="2"/>
    <x v="156"/>
    <x v="75"/>
    <x v="103"/>
    <x v="0"/>
    <x v="2"/>
    <x v="0"/>
  </r>
  <r>
    <x v="8"/>
    <x v="148"/>
    <x v="113"/>
    <x v="6"/>
    <x v="33"/>
    <x v="19"/>
    <x v="18"/>
    <x v="0"/>
    <x v="2"/>
    <x v="0"/>
  </r>
  <r>
    <x v="8"/>
    <x v="74"/>
    <x v="109"/>
    <x v="7"/>
    <x v="172"/>
    <x v="51"/>
    <x v="165"/>
    <x v="0"/>
    <x v="2"/>
    <x v="0"/>
  </r>
  <r>
    <x v="8"/>
    <x v="135"/>
    <x v="112"/>
    <x v="4"/>
    <x v="5"/>
    <x v="4"/>
    <x v="5"/>
    <x v="0"/>
    <x v="2"/>
    <x v="0"/>
  </r>
  <r>
    <x v="8"/>
    <x v="6"/>
    <x v="106"/>
    <x v="7"/>
    <x v="166"/>
    <x v="51"/>
    <x v="161"/>
    <x v="0"/>
    <x v="2"/>
    <x v="0"/>
  </r>
  <r>
    <x v="8"/>
    <x v="54"/>
    <x v="108"/>
    <x v="8"/>
    <x v="57"/>
    <x v="28"/>
    <x v="52"/>
    <x v="0"/>
    <x v="2"/>
    <x v="0"/>
  </r>
  <r>
    <x v="8"/>
    <x v="1"/>
    <x v="105"/>
    <x v="5"/>
    <x v="107"/>
    <x v="43"/>
    <x v="94"/>
    <x v="0"/>
    <x v="2"/>
    <x v="0"/>
  </r>
  <r>
    <x v="8"/>
    <x v="171"/>
    <x v="2"/>
    <x v="2"/>
    <x v="127"/>
    <x v="75"/>
    <x v="74"/>
    <x v="0"/>
    <x v="3"/>
    <x v="0"/>
  </r>
  <r>
    <x v="9"/>
    <x v="138"/>
    <x v="126"/>
    <x v="4"/>
    <x v="4"/>
    <x v="4"/>
    <x v="4"/>
    <x v="0"/>
    <x v="2"/>
    <x v="0"/>
  </r>
  <r>
    <x v="9"/>
    <x v="200"/>
    <x v="129"/>
    <x v="7"/>
    <x v="105"/>
    <x v="55"/>
    <x v="86"/>
    <x v="0"/>
    <x v="2"/>
    <x v="0"/>
  </r>
  <r>
    <x v="9"/>
    <x v="94"/>
    <x v="124"/>
    <x v="7"/>
    <x v="161"/>
    <x v="55"/>
    <x v="151"/>
    <x v="0"/>
    <x v="2"/>
    <x v="0"/>
  </r>
  <r>
    <x v="9"/>
    <x v="54"/>
    <x v="120"/>
    <x v="1"/>
    <x v="32"/>
    <x v="17"/>
    <x v="18"/>
    <x v="0"/>
    <x v="2"/>
    <x v="0"/>
  </r>
  <r>
    <x v="9"/>
    <x v="30"/>
    <x v="119"/>
    <x v="6"/>
    <x v="37"/>
    <x v="21"/>
    <x v="20"/>
    <x v="0"/>
    <x v="2"/>
    <x v="0"/>
  </r>
  <r>
    <x v="9"/>
    <x v="28"/>
    <x v="118"/>
    <x v="1"/>
    <x v="25"/>
    <x v="14"/>
    <x v="15"/>
    <x v="0"/>
    <x v="2"/>
    <x v="0"/>
  </r>
  <r>
    <x v="9"/>
    <x v="222"/>
    <x v="131"/>
    <x v="1"/>
    <x v="19"/>
    <x v="13"/>
    <x v="10"/>
    <x v="0"/>
    <x v="2"/>
    <x v="0"/>
  </r>
  <r>
    <x v="9"/>
    <x v="55"/>
    <x v="121"/>
    <x v="6"/>
    <x v="36"/>
    <x v="24"/>
    <x v="15"/>
    <x v="0"/>
    <x v="2"/>
    <x v="0"/>
  </r>
  <r>
    <x v="9"/>
    <x v="15"/>
    <x v="117"/>
    <x v="7"/>
    <x v="195"/>
    <x v="55"/>
    <x v="182"/>
    <x v="0"/>
    <x v="2"/>
    <x v="0"/>
  </r>
  <r>
    <x v="9"/>
    <x v="79"/>
    <x v="123"/>
    <x v="2"/>
    <x v="155"/>
    <x v="72"/>
    <x v="101"/>
    <x v="0"/>
    <x v="2"/>
    <x v="0"/>
  </r>
  <r>
    <x v="9"/>
    <x v="68"/>
    <x v="122"/>
    <x v="3"/>
    <x v="213"/>
    <x v="82"/>
    <x v="145"/>
    <x v="0"/>
    <x v="2"/>
    <x v="0"/>
  </r>
  <r>
    <x v="9"/>
    <x v="115"/>
    <x v="125"/>
    <x v="6"/>
    <x v="32"/>
    <x v="19"/>
    <x v="16"/>
    <x v="0"/>
    <x v="2"/>
    <x v="0"/>
  </r>
  <r>
    <x v="9"/>
    <x v="142"/>
    <x v="127"/>
    <x v="9"/>
    <x v="63"/>
    <x v="38"/>
    <x v="14"/>
    <x v="0"/>
    <x v="5"/>
    <x v="0"/>
  </r>
  <r>
    <x v="9"/>
    <x v="167"/>
    <x v="128"/>
    <x v="2"/>
    <x v="115"/>
    <x v="69"/>
    <x v="51"/>
    <x v="0"/>
    <x v="2"/>
    <x v="0"/>
  </r>
  <r>
    <x v="9"/>
    <x v="224"/>
    <x v="130"/>
    <x v="3"/>
    <x v="181"/>
    <x v="78"/>
    <x v="122"/>
    <x v="0"/>
    <x v="2"/>
    <x v="0"/>
  </r>
  <r>
    <x v="10"/>
    <x v="83"/>
    <x v="137"/>
    <x v="2"/>
    <x v="158"/>
    <x v="76"/>
    <x v="105"/>
    <x v="0"/>
    <x v="2"/>
    <x v="0"/>
  </r>
  <r>
    <x v="10"/>
    <x v="62"/>
    <x v="135"/>
    <x v="6"/>
    <x v="42"/>
    <x v="25"/>
    <x v="22"/>
    <x v="0"/>
    <x v="2"/>
    <x v="0"/>
  </r>
  <r>
    <x v="10"/>
    <x v="214"/>
    <x v="142"/>
    <x v="3"/>
    <x v="197"/>
    <x v="82"/>
    <x v="130"/>
    <x v="0"/>
    <x v="2"/>
    <x v="0"/>
  </r>
  <r>
    <x v="10"/>
    <x v="189"/>
    <x v="141"/>
    <x v="7"/>
    <x v="96"/>
    <x v="52"/>
    <x v="72"/>
    <x v="0"/>
    <x v="2"/>
    <x v="0"/>
  </r>
  <r>
    <x v="10"/>
    <x v="60"/>
    <x v="134"/>
    <x v="8"/>
    <x v="60"/>
    <x v="27"/>
    <x v="58"/>
    <x v="0"/>
    <x v="2"/>
    <x v="0"/>
  </r>
  <r>
    <x v="10"/>
    <x v="5"/>
    <x v="132"/>
    <x v="5"/>
    <x v="101"/>
    <x v="42"/>
    <x v="88"/>
    <x v="0"/>
    <x v="2"/>
    <x v="0"/>
  </r>
  <r>
    <x v="10"/>
    <x v="8"/>
    <x v="133"/>
    <x v="7"/>
    <x v="185"/>
    <x v="54"/>
    <x v="175"/>
    <x v="0"/>
    <x v="2"/>
    <x v="0"/>
  </r>
  <r>
    <x v="10"/>
    <x v="179"/>
    <x v="140"/>
    <x v="6"/>
    <x v="34"/>
    <x v="19"/>
    <x v="19"/>
    <x v="0"/>
    <x v="2"/>
    <x v="0"/>
  </r>
  <r>
    <x v="10"/>
    <x v="82"/>
    <x v="138"/>
    <x v="3"/>
    <x v="217"/>
    <x v="77"/>
    <x v="153"/>
    <x v="0"/>
    <x v="2"/>
    <x v="0"/>
  </r>
  <r>
    <x v="10"/>
    <x v="69"/>
    <x v="136"/>
    <x v="7"/>
    <x v="204"/>
    <x v="53"/>
    <x v="190"/>
    <x v="0"/>
    <x v="2"/>
    <x v="0"/>
  </r>
  <r>
    <x v="10"/>
    <x v="224"/>
    <x v="143"/>
    <x v="1"/>
    <x v="19"/>
    <x v="13"/>
    <x v="10"/>
    <x v="0"/>
    <x v="2"/>
    <x v="0"/>
  </r>
  <r>
    <x v="10"/>
    <x v="176"/>
    <x v="139"/>
    <x v="4"/>
    <x v="16"/>
    <x v="11"/>
    <x v="8"/>
    <x v="0"/>
    <x v="2"/>
    <x v="0"/>
  </r>
  <r>
    <x v="11"/>
    <x v="72"/>
    <x v="147"/>
    <x v="3"/>
    <x v="215"/>
    <x v="81"/>
    <x v="147"/>
    <x v="0"/>
    <x v="2"/>
    <x v="0"/>
  </r>
  <r>
    <x v="11"/>
    <x v="80"/>
    <x v="148"/>
    <x v="2"/>
    <x v="167"/>
    <x v="73"/>
    <x v="111"/>
    <x v="0"/>
    <x v="2"/>
    <x v="0"/>
  </r>
  <r>
    <x v="11"/>
    <x v="58"/>
    <x v="145"/>
    <x v="8"/>
    <x v="56"/>
    <x v="30"/>
    <x v="47"/>
    <x v="0"/>
    <x v="2"/>
    <x v="0"/>
  </r>
  <r>
    <x v="11"/>
    <x v="16"/>
    <x v="144"/>
    <x v="7"/>
    <x v="190"/>
    <x v="51"/>
    <x v="178"/>
    <x v="0"/>
    <x v="2"/>
    <x v="0"/>
  </r>
  <r>
    <x v="11"/>
    <x v="95"/>
    <x v="149"/>
    <x v="7"/>
    <x v="164"/>
    <x v="52"/>
    <x v="156"/>
    <x v="0"/>
    <x v="2"/>
    <x v="0"/>
  </r>
  <r>
    <x v="11"/>
    <x v="58"/>
    <x v="146"/>
    <x v="6"/>
    <x v="34"/>
    <x v="24"/>
    <x v="13"/>
    <x v="0"/>
    <x v="2"/>
    <x v="0"/>
  </r>
  <r>
    <x v="11"/>
    <x v="219"/>
    <x v="154"/>
    <x v="3"/>
    <x v="158"/>
    <x v="81"/>
    <x v="103"/>
    <x v="0"/>
    <x v="2"/>
    <x v="0"/>
  </r>
  <r>
    <x v="11"/>
    <x v="145"/>
    <x v="150"/>
    <x v="4"/>
    <x v="14"/>
    <x v="5"/>
    <x v="14"/>
    <x v="0"/>
    <x v="2"/>
    <x v="0"/>
  </r>
  <r>
    <x v="11"/>
    <x v="207"/>
    <x v="153"/>
    <x v="1"/>
    <x v="19"/>
    <x v="9"/>
    <x v="14"/>
    <x v="0"/>
    <x v="2"/>
    <x v="0"/>
  </r>
  <r>
    <x v="11"/>
    <x v="174"/>
    <x v="151"/>
    <x v="6"/>
    <x v="31"/>
    <x v="18"/>
    <x v="16"/>
    <x v="0"/>
    <x v="2"/>
    <x v="0"/>
  </r>
  <r>
    <x v="11"/>
    <x v="201"/>
    <x v="152"/>
    <x v="7"/>
    <x v="103"/>
    <x v="59"/>
    <x v="81"/>
    <x v="0"/>
    <x v="2"/>
    <x v="0"/>
  </r>
  <r>
    <x v="11"/>
    <x v="157"/>
    <x v="349"/>
    <x v="2"/>
    <x v="121"/>
    <x v="73"/>
    <x v="58"/>
    <x v="0"/>
    <x v="3"/>
    <x v="0"/>
  </r>
  <r>
    <x v="12"/>
    <x v="221"/>
    <x v="166"/>
    <x v="3"/>
    <x v="173"/>
    <x v="81"/>
    <x v="116"/>
    <x v="0"/>
    <x v="2"/>
    <x v="0"/>
  </r>
  <r>
    <x v="12"/>
    <x v="198"/>
    <x v="164"/>
    <x v="7"/>
    <x v="102"/>
    <x v="53"/>
    <x v="83"/>
    <x v="0"/>
    <x v="2"/>
    <x v="0"/>
  </r>
  <r>
    <x v="12"/>
    <x v="59"/>
    <x v="157"/>
    <x v="8"/>
    <x v="53"/>
    <x v="29"/>
    <x v="42"/>
    <x v="0"/>
    <x v="2"/>
    <x v="0"/>
  </r>
  <r>
    <x v="12"/>
    <x v="7"/>
    <x v="156"/>
    <x v="7"/>
    <x v="165"/>
    <x v="60"/>
    <x v="155"/>
    <x v="0"/>
    <x v="2"/>
    <x v="0"/>
  </r>
  <r>
    <x v="12"/>
    <x v="76"/>
    <x v="158"/>
    <x v="7"/>
    <x v="138"/>
    <x v="59"/>
    <x v="123"/>
    <x v="0"/>
    <x v="2"/>
    <x v="0"/>
  </r>
  <r>
    <x v="12"/>
    <x v="80"/>
    <x v="159"/>
    <x v="3"/>
    <x v="207"/>
    <x v="81"/>
    <x v="139"/>
    <x v="0"/>
    <x v="2"/>
    <x v="0"/>
  </r>
  <r>
    <x v="12"/>
    <x v="216"/>
    <x v="165"/>
    <x v="1"/>
    <x v="16"/>
    <x v="12"/>
    <x v="7"/>
    <x v="0"/>
    <x v="2"/>
    <x v="0"/>
  </r>
  <r>
    <x v="12"/>
    <x v="141"/>
    <x v="161"/>
    <x v="4"/>
    <x v="2"/>
    <x v="5"/>
    <x v="1"/>
    <x v="0"/>
    <x v="2"/>
    <x v="0"/>
  </r>
  <r>
    <x v="12"/>
    <x v="169"/>
    <x v="163"/>
    <x v="9"/>
    <x v="64"/>
    <x v="40"/>
    <x v="19"/>
    <x v="0"/>
    <x v="5"/>
    <x v="0"/>
  </r>
  <r>
    <x v="12"/>
    <x v="163"/>
    <x v="162"/>
    <x v="6"/>
    <x v="32"/>
    <x v="18"/>
    <x v="17"/>
    <x v="0"/>
    <x v="2"/>
    <x v="0"/>
  </r>
  <r>
    <x v="12"/>
    <x v="81"/>
    <x v="160"/>
    <x v="2"/>
    <x v="147"/>
    <x v="69"/>
    <x v="96"/>
    <x v="0"/>
    <x v="2"/>
    <x v="0"/>
  </r>
  <r>
    <x v="12"/>
    <x v="1"/>
    <x v="155"/>
    <x v="5"/>
    <x v="87"/>
    <x v="47"/>
    <x v="62"/>
    <x v="0"/>
    <x v="2"/>
    <x v="0"/>
  </r>
  <r>
    <x v="12"/>
    <x v="169"/>
    <x v="341"/>
    <x v="2"/>
    <x v="117"/>
    <x v="72"/>
    <x v="52"/>
    <x v="0"/>
    <x v="4"/>
    <x v="0"/>
  </r>
  <r>
    <x v="13"/>
    <x v="67"/>
    <x v="170"/>
    <x v="3"/>
    <x v="228"/>
    <x v="79"/>
    <x v="179"/>
    <x v="0"/>
    <x v="2"/>
    <x v="0"/>
  </r>
  <r>
    <x v="13"/>
    <x v="13"/>
    <x v="167"/>
    <x v="7"/>
    <x v="182"/>
    <x v="54"/>
    <x v="173"/>
    <x v="0"/>
    <x v="2"/>
    <x v="0"/>
  </r>
  <r>
    <x v="13"/>
    <x v="80"/>
    <x v="171"/>
    <x v="7"/>
    <x v="139"/>
    <x v="53"/>
    <x v="127"/>
    <x v="0"/>
    <x v="2"/>
    <x v="0"/>
  </r>
  <r>
    <x v="13"/>
    <x v="55"/>
    <x v="169"/>
    <x v="6"/>
    <x v="47"/>
    <x v="26"/>
    <x v="28"/>
    <x v="0"/>
    <x v="2"/>
    <x v="0"/>
  </r>
  <r>
    <x v="13"/>
    <x v="54"/>
    <x v="168"/>
    <x v="1"/>
    <x v="31"/>
    <x v="17"/>
    <x v="17"/>
    <x v="0"/>
    <x v="2"/>
    <x v="0"/>
  </r>
  <r>
    <x v="13"/>
    <x v="156"/>
    <x v="173"/>
    <x v="6"/>
    <x v="40"/>
    <x v="21"/>
    <x v="25"/>
    <x v="0"/>
    <x v="2"/>
    <x v="0"/>
  </r>
  <r>
    <x v="13"/>
    <x v="219"/>
    <x v="177"/>
    <x v="2"/>
    <x v="200"/>
    <x v="71"/>
    <x v="135"/>
    <x v="0"/>
    <x v="2"/>
    <x v="0"/>
  </r>
  <r>
    <x v="13"/>
    <x v="214"/>
    <x v="176"/>
    <x v="1"/>
    <x v="18"/>
    <x v="14"/>
    <x v="8"/>
    <x v="0"/>
    <x v="2"/>
    <x v="0"/>
  </r>
  <r>
    <x v="13"/>
    <x v="184"/>
    <x v="175"/>
    <x v="7"/>
    <x v="85"/>
    <x v="63"/>
    <x v="35"/>
    <x v="0"/>
    <x v="2"/>
    <x v="0"/>
  </r>
  <r>
    <x v="13"/>
    <x v="122"/>
    <x v="172"/>
    <x v="9"/>
    <x v="65"/>
    <x v="37"/>
    <x v="28"/>
    <x v="0"/>
    <x v="5"/>
    <x v="0"/>
  </r>
  <r>
    <x v="13"/>
    <x v="165"/>
    <x v="174"/>
    <x v="9"/>
    <x v="79"/>
    <x v="37"/>
    <x v="63"/>
    <x v="0"/>
    <x v="5"/>
    <x v="0"/>
  </r>
  <r>
    <x v="14"/>
    <x v="77"/>
    <x v="181"/>
    <x v="3"/>
    <x v="234"/>
    <x v="81"/>
    <x v="196"/>
    <x v="0"/>
    <x v="2"/>
    <x v="0"/>
  </r>
  <r>
    <x v="14"/>
    <x v="60"/>
    <x v="179"/>
    <x v="8"/>
    <x v="60"/>
    <x v="32"/>
    <x v="54"/>
    <x v="0"/>
    <x v="2"/>
    <x v="0"/>
  </r>
  <r>
    <x v="14"/>
    <x v="78"/>
    <x v="180"/>
    <x v="7"/>
    <x v="147"/>
    <x v="52"/>
    <x v="133"/>
    <x v="0"/>
    <x v="2"/>
    <x v="0"/>
  </r>
  <r>
    <x v="14"/>
    <x v="10"/>
    <x v="178"/>
    <x v="7"/>
    <x v="189"/>
    <x v="52"/>
    <x v="177"/>
    <x v="0"/>
    <x v="2"/>
    <x v="0"/>
  </r>
  <r>
    <x v="14"/>
    <x v="190"/>
    <x v="184"/>
    <x v="7"/>
    <x v="91"/>
    <x v="55"/>
    <x v="63"/>
    <x v="0"/>
    <x v="2"/>
    <x v="0"/>
  </r>
  <r>
    <x v="14"/>
    <x v="203"/>
    <x v="185"/>
    <x v="1"/>
    <x v="17"/>
    <x v="14"/>
    <x v="6"/>
    <x v="0"/>
    <x v="2"/>
    <x v="0"/>
  </r>
  <r>
    <x v="14"/>
    <x v="137"/>
    <x v="182"/>
    <x v="4"/>
    <x v="1"/>
    <x v="4"/>
    <x v="1"/>
    <x v="0"/>
    <x v="2"/>
    <x v="0"/>
  </r>
  <r>
    <x v="14"/>
    <x v="155"/>
    <x v="183"/>
    <x v="6"/>
    <x v="29"/>
    <x v="20"/>
    <x v="12"/>
    <x v="0"/>
    <x v="2"/>
    <x v="0"/>
  </r>
  <r>
    <x v="14"/>
    <x v="152"/>
    <x v="343"/>
    <x v="2"/>
    <x v="112"/>
    <x v="71"/>
    <x v="44"/>
    <x v="0"/>
    <x v="4"/>
    <x v="0"/>
  </r>
  <r>
    <x v="14"/>
    <x v="113"/>
    <x v="342"/>
    <x v="0"/>
    <x v="133"/>
    <x v="85"/>
    <x v="75"/>
    <x v="0"/>
    <x v="4"/>
    <x v="0"/>
  </r>
  <r>
    <x v="15"/>
    <x v="17"/>
    <x v="187"/>
    <x v="7"/>
    <x v="181"/>
    <x v="57"/>
    <x v="171"/>
    <x v="0"/>
    <x v="2"/>
    <x v="0"/>
  </r>
  <r>
    <x v="15"/>
    <x v="78"/>
    <x v="191"/>
    <x v="7"/>
    <x v="151"/>
    <x v="56"/>
    <x v="137"/>
    <x v="0"/>
    <x v="2"/>
    <x v="0"/>
  </r>
  <r>
    <x v="15"/>
    <x v="74"/>
    <x v="190"/>
    <x v="2"/>
    <x v="225"/>
    <x v="71"/>
    <x v="170"/>
    <x v="0"/>
    <x v="2"/>
    <x v="0"/>
  </r>
  <r>
    <x v="15"/>
    <x v="87"/>
    <x v="192"/>
    <x v="3"/>
    <x v="219"/>
    <x v="81"/>
    <x v="158"/>
    <x v="0"/>
    <x v="2"/>
    <x v="0"/>
  </r>
  <r>
    <x v="15"/>
    <x v="2"/>
    <x v="186"/>
    <x v="5"/>
    <x v="106"/>
    <x v="44"/>
    <x v="91"/>
    <x v="0"/>
    <x v="2"/>
    <x v="0"/>
  </r>
  <r>
    <x v="15"/>
    <x v="53"/>
    <x v="188"/>
    <x v="8"/>
    <x v="53"/>
    <x v="28"/>
    <x v="43"/>
    <x v="0"/>
    <x v="2"/>
    <x v="0"/>
  </r>
  <r>
    <x v="15"/>
    <x v="54"/>
    <x v="189"/>
    <x v="6"/>
    <x v="27"/>
    <x v="25"/>
    <x v="4"/>
    <x v="0"/>
    <x v="2"/>
    <x v="0"/>
  </r>
  <r>
    <x v="15"/>
    <x v="220"/>
    <x v="198"/>
    <x v="3"/>
    <x v="171"/>
    <x v="80"/>
    <x v="114"/>
    <x v="0"/>
    <x v="2"/>
    <x v="0"/>
  </r>
  <r>
    <x v="15"/>
    <x v="208"/>
    <x v="197"/>
    <x v="1"/>
    <x v="16"/>
    <x v="13"/>
    <x v="6"/>
    <x v="0"/>
    <x v="2"/>
    <x v="0"/>
  </r>
  <r>
    <x v="15"/>
    <x v="191"/>
    <x v="196"/>
    <x v="7"/>
    <x v="98"/>
    <x v="53"/>
    <x v="77"/>
    <x v="0"/>
    <x v="2"/>
    <x v="0"/>
  </r>
  <r>
    <x v="15"/>
    <x v="150"/>
    <x v="193"/>
    <x v="6"/>
    <x v="35"/>
    <x v="20"/>
    <x v="19"/>
    <x v="0"/>
    <x v="2"/>
    <x v="0"/>
  </r>
  <r>
    <x v="15"/>
    <x v="181"/>
    <x v="195"/>
    <x v="1"/>
    <x v="23"/>
    <x v="18"/>
    <x v="8"/>
    <x v="0"/>
    <x v="1"/>
    <x v="0"/>
  </r>
  <r>
    <x v="15"/>
    <x v="160"/>
    <x v="194"/>
    <x v="4"/>
    <x v="6"/>
    <x v="5"/>
    <x v="5"/>
    <x v="0"/>
    <x v="2"/>
    <x v="0"/>
  </r>
  <r>
    <x v="15"/>
    <x v="164"/>
    <x v="3"/>
    <x v="2"/>
    <x v="125"/>
    <x v="75"/>
    <x v="67"/>
    <x v="0"/>
    <x v="3"/>
    <x v="0"/>
  </r>
  <r>
    <x v="16"/>
    <x v="19"/>
    <x v="199"/>
    <x v="7"/>
    <x v="180"/>
    <x v="52"/>
    <x v="173"/>
    <x v="0"/>
    <x v="2"/>
    <x v="0"/>
  </r>
  <r>
    <x v="16"/>
    <x v="79"/>
    <x v="203"/>
    <x v="2"/>
    <x v="130"/>
    <x v="72"/>
    <x v="80"/>
    <x v="0"/>
    <x v="2"/>
    <x v="0"/>
  </r>
  <r>
    <x v="16"/>
    <x v="124"/>
    <x v="205"/>
    <x v="6"/>
    <x v="33"/>
    <x v="21"/>
    <x v="16"/>
    <x v="0"/>
    <x v="2"/>
    <x v="0"/>
  </r>
  <r>
    <x v="16"/>
    <x v="150"/>
    <x v="206"/>
    <x v="6"/>
    <x v="22"/>
    <x v="21"/>
    <x v="4"/>
    <x v="0"/>
    <x v="2"/>
    <x v="0"/>
  </r>
  <r>
    <x v="16"/>
    <x v="85"/>
    <x v="204"/>
    <x v="7"/>
    <x v="153"/>
    <x v="51"/>
    <x v="142"/>
    <x v="0"/>
    <x v="2"/>
    <x v="0"/>
  </r>
  <r>
    <x v="16"/>
    <x v="222"/>
    <x v="209"/>
    <x v="3"/>
    <x v="187"/>
    <x v="81"/>
    <x v="125"/>
    <x v="0"/>
    <x v="2"/>
    <x v="0"/>
  </r>
  <r>
    <x v="16"/>
    <x v="70"/>
    <x v="202"/>
    <x v="3"/>
    <x v="212"/>
    <x v="78"/>
    <x v="144"/>
    <x v="0"/>
    <x v="2"/>
    <x v="0"/>
  </r>
  <r>
    <x v="16"/>
    <x v="188"/>
    <x v="208"/>
    <x v="7"/>
    <x v="93"/>
    <x v="54"/>
    <x v="65"/>
    <x v="0"/>
    <x v="2"/>
    <x v="0"/>
  </r>
  <r>
    <x v="16"/>
    <x v="53"/>
    <x v="200"/>
    <x v="8"/>
    <x v="56"/>
    <x v="28"/>
    <x v="49"/>
    <x v="0"/>
    <x v="2"/>
    <x v="0"/>
  </r>
  <r>
    <x v="16"/>
    <x v="52"/>
    <x v="201"/>
    <x v="1"/>
    <x v="18"/>
    <x v="18"/>
    <x v="3"/>
    <x v="0"/>
    <x v="2"/>
    <x v="0"/>
  </r>
  <r>
    <x v="16"/>
    <x v="169"/>
    <x v="207"/>
    <x v="4"/>
    <x v="9"/>
    <x v="8"/>
    <x v="3"/>
    <x v="0"/>
    <x v="2"/>
    <x v="0"/>
  </r>
  <r>
    <x v="17"/>
    <x v="125"/>
    <x v="217"/>
    <x v="6"/>
    <x v="40"/>
    <x v="20"/>
    <x v="26"/>
    <x v="0"/>
    <x v="2"/>
    <x v="0"/>
  </r>
  <r>
    <x v="17"/>
    <x v="222"/>
    <x v="221"/>
    <x v="1"/>
    <x v="34"/>
    <x v="12"/>
    <x v="27"/>
    <x v="0"/>
    <x v="2"/>
    <x v="0"/>
  </r>
  <r>
    <x v="17"/>
    <x v="228"/>
    <x v="222"/>
    <x v="5"/>
    <x v="109"/>
    <x v="44"/>
    <x v="95"/>
    <x v="0"/>
    <x v="2"/>
    <x v="0"/>
  </r>
  <r>
    <x v="17"/>
    <x v="61"/>
    <x v="214"/>
    <x v="7"/>
    <x v="191"/>
    <x v="56"/>
    <x v="180"/>
    <x v="0"/>
    <x v="2"/>
    <x v="0"/>
  </r>
  <r>
    <x v="17"/>
    <x v="194"/>
    <x v="219"/>
    <x v="7"/>
    <x v="99"/>
    <x v="53"/>
    <x v="78"/>
    <x v="0"/>
    <x v="2"/>
    <x v="0"/>
  </r>
  <r>
    <x v="17"/>
    <x v="178"/>
    <x v="218"/>
    <x v="4"/>
    <x v="17"/>
    <x v="5"/>
    <x v="21"/>
    <x v="0"/>
    <x v="2"/>
    <x v="0"/>
  </r>
  <r>
    <x v="17"/>
    <x v="22"/>
    <x v="210"/>
    <x v="7"/>
    <x v="193"/>
    <x v="58"/>
    <x v="180"/>
    <x v="0"/>
    <x v="2"/>
    <x v="0"/>
  </r>
  <r>
    <x v="17"/>
    <x v="212"/>
    <x v="220"/>
    <x v="3"/>
    <x v="211"/>
    <x v="96"/>
    <x v="134"/>
    <x v="0"/>
    <x v="2"/>
    <x v="0"/>
  </r>
  <r>
    <x v="17"/>
    <x v="63"/>
    <x v="215"/>
    <x v="4"/>
    <x v="15"/>
    <x v="6"/>
    <x v="16"/>
    <x v="0"/>
    <x v="2"/>
    <x v="0"/>
  </r>
  <r>
    <x v="17"/>
    <x v="64"/>
    <x v="216"/>
    <x v="6"/>
    <x v="33"/>
    <x v="23"/>
    <x v="14"/>
    <x v="0"/>
    <x v="2"/>
    <x v="0"/>
  </r>
  <r>
    <x v="17"/>
    <x v="39"/>
    <x v="211"/>
    <x v="6"/>
    <x v="41"/>
    <x v="23"/>
    <x v="24"/>
    <x v="0"/>
    <x v="2"/>
    <x v="0"/>
  </r>
  <r>
    <x v="17"/>
    <x v="55"/>
    <x v="213"/>
    <x v="3"/>
    <x v="223"/>
    <x v="93"/>
    <x v="159"/>
    <x v="0"/>
    <x v="2"/>
    <x v="0"/>
  </r>
  <r>
    <x v="17"/>
    <x v="49"/>
    <x v="212"/>
    <x v="2"/>
    <x v="145"/>
    <x v="90"/>
    <x v="88"/>
    <x v="0"/>
    <x v="2"/>
    <x v="0"/>
  </r>
  <r>
    <x v="18"/>
    <x v="55"/>
    <x v="224"/>
    <x v="8"/>
    <x v="62"/>
    <x v="31"/>
    <x v="66"/>
    <x v="0"/>
    <x v="2"/>
    <x v="0"/>
  </r>
  <r>
    <x v="18"/>
    <x v="21"/>
    <x v="223"/>
    <x v="7"/>
    <x v="184"/>
    <x v="54"/>
    <x v="174"/>
    <x v="0"/>
    <x v="2"/>
    <x v="0"/>
  </r>
  <r>
    <x v="18"/>
    <x v="87"/>
    <x v="227"/>
    <x v="7"/>
    <x v="176"/>
    <x v="54"/>
    <x v="167"/>
    <x v="0"/>
    <x v="2"/>
    <x v="0"/>
  </r>
  <r>
    <x v="18"/>
    <x v="80"/>
    <x v="225"/>
    <x v="3"/>
    <x v="226"/>
    <x v="95"/>
    <x v="164"/>
    <x v="0"/>
    <x v="2"/>
    <x v="0"/>
  </r>
  <r>
    <x v="18"/>
    <x v="79"/>
    <x v="226"/>
    <x v="2"/>
    <x v="202"/>
    <x v="92"/>
    <x v="132"/>
    <x v="0"/>
    <x v="2"/>
    <x v="0"/>
  </r>
  <r>
    <x v="18"/>
    <x v="116"/>
    <x v="228"/>
    <x v="4"/>
    <x v="12"/>
    <x v="3"/>
    <x v="13"/>
    <x v="0"/>
    <x v="2"/>
    <x v="0"/>
  </r>
  <r>
    <x v="18"/>
    <x v="173"/>
    <x v="230"/>
    <x v="4"/>
    <x v="2"/>
    <x v="3"/>
    <x v="3"/>
    <x v="0"/>
    <x v="2"/>
    <x v="0"/>
  </r>
  <r>
    <x v="18"/>
    <x v="127"/>
    <x v="229"/>
    <x v="6"/>
    <x v="48"/>
    <x v="21"/>
    <x v="46"/>
    <x v="0"/>
    <x v="2"/>
    <x v="0"/>
  </r>
  <r>
    <x v="18"/>
    <x v="170"/>
    <x v="4"/>
    <x v="2"/>
    <x v="120"/>
    <x v="72"/>
    <x v="58"/>
    <x v="0"/>
    <x v="3"/>
    <x v="0"/>
  </r>
  <r>
    <x v="18"/>
    <x v="202"/>
    <x v="231"/>
    <x v="7"/>
    <x v="97"/>
    <x v="56"/>
    <x v="73"/>
    <x v="0"/>
    <x v="2"/>
    <x v="0"/>
  </r>
  <r>
    <x v="18"/>
    <x v="223"/>
    <x v="232"/>
    <x v="3"/>
    <x v="162"/>
    <x v="85"/>
    <x v="106"/>
    <x v="0"/>
    <x v="2"/>
    <x v="0"/>
  </r>
  <r>
    <x v="19"/>
    <x v="78"/>
    <x v="237"/>
    <x v="7"/>
    <x v="128"/>
    <x v="55"/>
    <x v="112"/>
    <x v="0"/>
    <x v="2"/>
    <x v="0"/>
  </r>
  <r>
    <x v="19"/>
    <x v="0"/>
    <x v="233"/>
    <x v="5"/>
    <x v="80"/>
    <x v="43"/>
    <x v="31"/>
    <x v="0"/>
    <x v="2"/>
    <x v="0"/>
  </r>
  <r>
    <x v="19"/>
    <x v="58"/>
    <x v="235"/>
    <x v="8"/>
    <x v="58"/>
    <x v="33"/>
    <x v="47"/>
    <x v="0"/>
    <x v="2"/>
    <x v="0"/>
  </r>
  <r>
    <x v="19"/>
    <x v="86"/>
    <x v="238"/>
    <x v="3"/>
    <x v="216"/>
    <x v="87"/>
    <x v="149"/>
    <x v="0"/>
    <x v="2"/>
    <x v="0"/>
  </r>
  <r>
    <x v="19"/>
    <x v="18"/>
    <x v="234"/>
    <x v="7"/>
    <x v="176"/>
    <x v="55"/>
    <x v="166"/>
    <x v="0"/>
    <x v="2"/>
    <x v="0"/>
  </r>
  <r>
    <x v="19"/>
    <x v="218"/>
    <x v="243"/>
    <x v="3"/>
    <x v="171"/>
    <x v="84"/>
    <x v="110"/>
    <x v="0"/>
    <x v="2"/>
    <x v="0"/>
  </r>
  <r>
    <x v="19"/>
    <x v="218"/>
    <x v="242"/>
    <x v="1"/>
    <x v="21"/>
    <x v="14"/>
    <x v="11"/>
    <x v="0"/>
    <x v="2"/>
    <x v="0"/>
  </r>
  <r>
    <x v="19"/>
    <x v="147"/>
    <x v="240"/>
    <x v="6"/>
    <x v="27"/>
    <x v="21"/>
    <x v="9"/>
    <x v="0"/>
    <x v="2"/>
    <x v="0"/>
  </r>
  <r>
    <x v="19"/>
    <x v="143"/>
    <x v="239"/>
    <x v="4"/>
    <x v="9"/>
    <x v="4"/>
    <x v="9"/>
    <x v="0"/>
    <x v="2"/>
    <x v="0"/>
  </r>
  <r>
    <x v="19"/>
    <x v="190"/>
    <x v="241"/>
    <x v="7"/>
    <x v="82"/>
    <x v="52"/>
    <x v="41"/>
    <x v="0"/>
    <x v="2"/>
    <x v="0"/>
  </r>
  <r>
    <x v="19"/>
    <x v="69"/>
    <x v="236"/>
    <x v="2"/>
    <x v="144"/>
    <x v="73"/>
    <x v="92"/>
    <x v="0"/>
    <x v="2"/>
    <x v="0"/>
  </r>
  <r>
    <x v="20"/>
    <x v="9"/>
    <x v="244"/>
    <x v="7"/>
    <x v="159"/>
    <x v="52"/>
    <x v="152"/>
    <x v="0"/>
    <x v="2"/>
    <x v="0"/>
  </r>
  <r>
    <x v="20"/>
    <x v="88"/>
    <x v="247"/>
    <x v="7"/>
    <x v="132"/>
    <x v="51"/>
    <x v="117"/>
    <x v="0"/>
    <x v="2"/>
    <x v="0"/>
  </r>
  <r>
    <x v="20"/>
    <x v="87"/>
    <x v="246"/>
    <x v="3"/>
    <x v="236"/>
    <x v="84"/>
    <x v="198"/>
    <x v="0"/>
    <x v="2"/>
    <x v="0"/>
  </r>
  <r>
    <x v="20"/>
    <x v="59"/>
    <x v="245"/>
    <x v="8"/>
    <x v="54"/>
    <x v="32"/>
    <x v="42"/>
    <x v="0"/>
    <x v="2"/>
    <x v="0"/>
  </r>
  <r>
    <x v="20"/>
    <x v="164"/>
    <x v="344"/>
    <x v="2"/>
    <x v="133"/>
    <x v="68"/>
    <x v="84"/>
    <x v="0"/>
    <x v="4"/>
    <x v="0"/>
  </r>
  <r>
    <x v="20"/>
    <x v="204"/>
    <x v="253"/>
    <x v="2"/>
    <x v="169"/>
    <x v="74"/>
    <x v="114"/>
    <x v="0"/>
    <x v="2"/>
    <x v="0"/>
  </r>
  <r>
    <x v="20"/>
    <x v="144"/>
    <x v="250"/>
    <x v="9"/>
    <x v="74"/>
    <x v="36"/>
    <x v="40"/>
    <x v="0"/>
    <x v="5"/>
    <x v="0"/>
  </r>
  <r>
    <x v="20"/>
    <x v="166"/>
    <x v="251"/>
    <x v="4"/>
    <x v="5"/>
    <x v="4"/>
    <x v="5"/>
    <x v="0"/>
    <x v="2"/>
    <x v="0"/>
  </r>
  <r>
    <x v="20"/>
    <x v="120"/>
    <x v="249"/>
    <x v="6"/>
    <x v="34"/>
    <x v="20"/>
    <x v="18"/>
    <x v="0"/>
    <x v="2"/>
    <x v="0"/>
  </r>
  <r>
    <x v="20"/>
    <x v="216"/>
    <x v="254"/>
    <x v="4"/>
    <x v="2"/>
    <x v="3"/>
    <x v="3"/>
    <x v="0"/>
    <x v="2"/>
    <x v="0"/>
  </r>
  <r>
    <x v="20"/>
    <x v="187"/>
    <x v="252"/>
    <x v="7"/>
    <x v="81"/>
    <x v="53"/>
    <x v="30"/>
    <x v="0"/>
    <x v="2"/>
    <x v="0"/>
  </r>
  <r>
    <x v="20"/>
    <x v="103"/>
    <x v="248"/>
    <x v="9"/>
    <x v="77"/>
    <x v="37"/>
    <x v="48"/>
    <x v="0"/>
    <x v="5"/>
    <x v="0"/>
  </r>
  <r>
    <x v="21"/>
    <x v="88"/>
    <x v="259"/>
    <x v="7"/>
    <x v="142"/>
    <x v="50"/>
    <x v="129"/>
    <x v="0"/>
    <x v="2"/>
    <x v="0"/>
  </r>
  <r>
    <x v="21"/>
    <x v="14"/>
    <x v="255"/>
    <x v="7"/>
    <x v="160"/>
    <x v="48"/>
    <x v="154"/>
    <x v="0"/>
    <x v="2"/>
    <x v="0"/>
  </r>
  <r>
    <x v="21"/>
    <x v="54"/>
    <x v="257"/>
    <x v="1"/>
    <x v="36"/>
    <x v="23"/>
    <x v="17"/>
    <x v="0"/>
    <x v="2"/>
    <x v="0"/>
  </r>
  <r>
    <x v="21"/>
    <x v="24"/>
    <x v="256"/>
    <x v="1"/>
    <x v="30"/>
    <x v="14"/>
    <x v="20"/>
    <x v="0"/>
    <x v="2"/>
    <x v="0"/>
  </r>
  <r>
    <x v="21"/>
    <x v="73"/>
    <x v="258"/>
    <x v="3"/>
    <x v="232"/>
    <x v="81"/>
    <x v="191"/>
    <x v="0"/>
    <x v="2"/>
    <x v="0"/>
  </r>
  <r>
    <x v="21"/>
    <x v="169"/>
    <x v="262"/>
    <x v="9"/>
    <x v="67"/>
    <x v="38"/>
    <x v="29"/>
    <x v="0"/>
    <x v="5"/>
    <x v="0"/>
  </r>
  <r>
    <x v="21"/>
    <x v="118"/>
    <x v="260"/>
    <x v="9"/>
    <x v="76"/>
    <x v="39"/>
    <x v="45"/>
    <x v="0"/>
    <x v="5"/>
    <x v="0"/>
  </r>
  <r>
    <x v="21"/>
    <x v="186"/>
    <x v="263"/>
    <x v="7"/>
    <x v="83"/>
    <x v="55"/>
    <x v="39"/>
    <x v="0"/>
    <x v="2"/>
    <x v="0"/>
  </r>
  <r>
    <x v="21"/>
    <x v="155"/>
    <x v="261"/>
    <x v="4"/>
    <x v="7"/>
    <x v="5"/>
    <x v="6"/>
    <x v="0"/>
    <x v="2"/>
    <x v="0"/>
  </r>
  <r>
    <x v="21"/>
    <x v="215"/>
    <x v="264"/>
    <x v="4"/>
    <x v="0"/>
    <x v="2"/>
    <x v="1"/>
    <x v="0"/>
    <x v="2"/>
    <x v="0"/>
  </r>
  <r>
    <x v="21"/>
    <x v="220"/>
    <x v="265"/>
    <x v="3"/>
    <x v="167"/>
    <x v="84"/>
    <x v="109"/>
    <x v="0"/>
    <x v="2"/>
    <x v="0"/>
  </r>
  <r>
    <x v="21"/>
    <x v="164"/>
    <x v="345"/>
    <x v="2"/>
    <x v="111"/>
    <x v="72"/>
    <x v="36"/>
    <x v="0"/>
    <x v="4"/>
    <x v="0"/>
  </r>
  <r>
    <x v="22"/>
    <x v="56"/>
    <x v="267"/>
    <x v="8"/>
    <x v="50"/>
    <x v="32"/>
    <x v="33"/>
    <x v="0"/>
    <x v="2"/>
    <x v="0"/>
  </r>
  <r>
    <x v="22"/>
    <x v="90"/>
    <x v="268"/>
    <x v="7"/>
    <x v="135"/>
    <x v="56"/>
    <x v="120"/>
    <x v="0"/>
    <x v="2"/>
    <x v="0"/>
  </r>
  <r>
    <x v="22"/>
    <x v="92"/>
    <x v="269"/>
    <x v="3"/>
    <x v="220"/>
    <x v="93"/>
    <x v="151"/>
    <x v="0"/>
    <x v="2"/>
    <x v="0"/>
  </r>
  <r>
    <x v="22"/>
    <x v="29"/>
    <x v="266"/>
    <x v="7"/>
    <x v="184"/>
    <x v="54"/>
    <x v="174"/>
    <x v="0"/>
    <x v="2"/>
    <x v="0"/>
  </r>
  <r>
    <x v="22"/>
    <x v="159"/>
    <x v="271"/>
    <x v="9"/>
    <x v="75"/>
    <x v="38"/>
    <x v="40"/>
    <x v="0"/>
    <x v="5"/>
    <x v="0"/>
  </r>
  <r>
    <x v="22"/>
    <x v="176"/>
    <x v="5"/>
    <x v="2"/>
    <x v="124"/>
    <x v="75"/>
    <x v="62"/>
    <x v="0"/>
    <x v="3"/>
    <x v="0"/>
  </r>
  <r>
    <x v="22"/>
    <x v="196"/>
    <x v="274"/>
    <x v="7"/>
    <x v="90"/>
    <x v="57"/>
    <x v="61"/>
    <x v="0"/>
    <x v="2"/>
    <x v="0"/>
  </r>
  <r>
    <x v="22"/>
    <x v="174"/>
    <x v="272"/>
    <x v="6"/>
    <x v="46"/>
    <x v="21"/>
    <x v="30"/>
    <x v="0"/>
    <x v="2"/>
    <x v="0"/>
  </r>
  <r>
    <x v="22"/>
    <x v="121"/>
    <x v="270"/>
    <x v="1"/>
    <x v="24"/>
    <x v="13"/>
    <x v="15"/>
    <x v="0"/>
    <x v="1"/>
    <x v="0"/>
  </r>
  <r>
    <x v="22"/>
    <x v="218"/>
    <x v="275"/>
    <x v="3"/>
    <x v="178"/>
    <x v="91"/>
    <x v="116"/>
    <x v="0"/>
    <x v="2"/>
    <x v="0"/>
  </r>
  <r>
    <x v="22"/>
    <x v="180"/>
    <x v="273"/>
    <x v="1"/>
    <x v="38"/>
    <x v="17"/>
    <x v="26"/>
    <x v="0"/>
    <x v="1"/>
    <x v="0"/>
  </r>
  <r>
    <x v="23"/>
    <x v="226"/>
    <x v="284"/>
    <x v="3"/>
    <x v="179"/>
    <x v="82"/>
    <x v="119"/>
    <x v="0"/>
    <x v="2"/>
    <x v="0"/>
  </r>
  <r>
    <x v="23"/>
    <x v="159"/>
    <x v="281"/>
    <x v="4"/>
    <x v="13"/>
    <x v="5"/>
    <x v="12"/>
    <x v="0"/>
    <x v="2"/>
    <x v="0"/>
  </r>
  <r>
    <x v="23"/>
    <x v="192"/>
    <x v="283"/>
    <x v="7"/>
    <x v="91"/>
    <x v="61"/>
    <x v="60"/>
    <x v="0"/>
    <x v="2"/>
    <x v="0"/>
  </r>
  <r>
    <x v="23"/>
    <x v="89"/>
    <x v="279"/>
    <x v="3"/>
    <x v="224"/>
    <x v="90"/>
    <x v="163"/>
    <x v="0"/>
    <x v="2"/>
    <x v="0"/>
  </r>
  <r>
    <x v="23"/>
    <x v="154"/>
    <x v="280"/>
    <x v="6"/>
    <x v="40"/>
    <x v="23"/>
    <x v="23"/>
    <x v="0"/>
    <x v="2"/>
    <x v="0"/>
  </r>
  <r>
    <x v="23"/>
    <x v="29"/>
    <x v="276"/>
    <x v="7"/>
    <x v="175"/>
    <x v="51"/>
    <x v="168"/>
    <x v="0"/>
    <x v="2"/>
    <x v="0"/>
  </r>
  <r>
    <x v="23"/>
    <x v="81"/>
    <x v="278"/>
    <x v="7"/>
    <x v="138"/>
    <x v="52"/>
    <x v="126"/>
    <x v="0"/>
    <x v="2"/>
    <x v="0"/>
  </r>
  <r>
    <x v="23"/>
    <x v="162"/>
    <x v="282"/>
    <x v="2"/>
    <x v="113"/>
    <x v="73"/>
    <x v="45"/>
    <x v="0"/>
    <x v="2"/>
    <x v="0"/>
  </r>
  <r>
    <x v="23"/>
    <x v="66"/>
    <x v="277"/>
    <x v="8"/>
    <x v="55"/>
    <x v="27"/>
    <x v="48"/>
    <x v="0"/>
    <x v="2"/>
    <x v="0"/>
  </r>
  <r>
    <x v="24"/>
    <x v="172"/>
    <x v="289"/>
    <x v="6"/>
    <x v="32"/>
    <x v="21"/>
    <x v="14"/>
    <x v="0"/>
    <x v="2"/>
    <x v="0"/>
  </r>
  <r>
    <x v="24"/>
    <x v="77"/>
    <x v="287"/>
    <x v="2"/>
    <x v="239"/>
    <x v="72"/>
    <x v="202"/>
    <x v="0"/>
    <x v="2"/>
    <x v="0"/>
  </r>
  <r>
    <x v="24"/>
    <x v="215"/>
    <x v="292"/>
    <x v="3"/>
    <x v="164"/>
    <x v="80"/>
    <x v="107"/>
    <x v="0"/>
    <x v="2"/>
    <x v="0"/>
  </r>
  <r>
    <x v="24"/>
    <x v="49"/>
    <x v="286"/>
    <x v="8"/>
    <x v="60"/>
    <x v="33"/>
    <x v="53"/>
    <x v="0"/>
    <x v="2"/>
    <x v="0"/>
  </r>
  <r>
    <x v="24"/>
    <x v="189"/>
    <x v="291"/>
    <x v="7"/>
    <x v="88"/>
    <x v="58"/>
    <x v="58"/>
    <x v="0"/>
    <x v="2"/>
    <x v="0"/>
  </r>
  <r>
    <x v="24"/>
    <x v="93"/>
    <x v="288"/>
    <x v="7"/>
    <x v="143"/>
    <x v="55"/>
    <x v="128"/>
    <x v="0"/>
    <x v="2"/>
    <x v="0"/>
  </r>
  <r>
    <x v="24"/>
    <x v="27"/>
    <x v="285"/>
    <x v="7"/>
    <x v="187"/>
    <x v="57"/>
    <x v="174"/>
    <x v="0"/>
    <x v="2"/>
    <x v="0"/>
  </r>
  <r>
    <x v="24"/>
    <x v="175"/>
    <x v="290"/>
    <x v="4"/>
    <x v="6"/>
    <x v="5"/>
    <x v="5"/>
    <x v="0"/>
    <x v="2"/>
    <x v="0"/>
  </r>
  <r>
    <x v="25"/>
    <x v="86"/>
    <x v="296"/>
    <x v="2"/>
    <x v="168"/>
    <x v="76"/>
    <x v="110"/>
    <x v="0"/>
    <x v="2"/>
    <x v="0"/>
  </r>
  <r>
    <x v="25"/>
    <x v="82"/>
    <x v="297"/>
    <x v="7"/>
    <x v="114"/>
    <x v="53"/>
    <x v="101"/>
    <x v="0"/>
    <x v="2"/>
    <x v="0"/>
  </r>
  <r>
    <x v="25"/>
    <x v="18"/>
    <x v="293"/>
    <x v="7"/>
    <x v="170"/>
    <x v="53"/>
    <x v="164"/>
    <x v="0"/>
    <x v="2"/>
    <x v="0"/>
  </r>
  <r>
    <x v="25"/>
    <x v="25"/>
    <x v="294"/>
    <x v="1"/>
    <x v="32"/>
    <x v="14"/>
    <x v="22"/>
    <x v="0"/>
    <x v="2"/>
    <x v="0"/>
  </r>
  <r>
    <x v="25"/>
    <x v="48"/>
    <x v="295"/>
    <x v="1"/>
    <x v="36"/>
    <x v="22"/>
    <x v="18"/>
    <x v="0"/>
    <x v="2"/>
    <x v="0"/>
  </r>
  <r>
    <x v="25"/>
    <x v="153"/>
    <x v="299"/>
    <x v="9"/>
    <x v="71"/>
    <x v="37"/>
    <x v="34"/>
    <x v="0"/>
    <x v="5"/>
    <x v="0"/>
  </r>
  <r>
    <x v="25"/>
    <x v="183"/>
    <x v="300"/>
    <x v="5"/>
    <x v="108"/>
    <x v="47"/>
    <x v="93"/>
    <x v="0"/>
    <x v="2"/>
    <x v="0"/>
  </r>
  <r>
    <x v="25"/>
    <x v="160"/>
    <x v="298"/>
    <x v="4"/>
    <x v="12"/>
    <x v="0"/>
    <x v="60"/>
    <x v="0"/>
    <x v="2"/>
    <x v="0"/>
  </r>
  <r>
    <x v="25"/>
    <x v="160"/>
    <x v="6"/>
    <x v="2"/>
    <x v="113"/>
    <x v="75"/>
    <x v="43"/>
    <x v="0"/>
    <x v="3"/>
    <x v="0"/>
  </r>
  <r>
    <x v="26"/>
    <x v="65"/>
    <x v="302"/>
    <x v="8"/>
    <x v="51"/>
    <x v="32"/>
    <x v="36"/>
    <x v="0"/>
    <x v="2"/>
    <x v="0"/>
  </r>
  <r>
    <x v="26"/>
    <x v="81"/>
    <x v="303"/>
    <x v="3"/>
    <x v="243"/>
    <x v="85"/>
    <x v="207"/>
    <x v="0"/>
    <x v="2"/>
    <x v="0"/>
  </r>
  <r>
    <x v="26"/>
    <x v="93"/>
    <x v="304"/>
    <x v="7"/>
    <x v="115"/>
    <x v="49"/>
    <x v="104"/>
    <x v="0"/>
    <x v="2"/>
    <x v="0"/>
  </r>
  <r>
    <x v="26"/>
    <x v="34"/>
    <x v="301"/>
    <x v="7"/>
    <x v="206"/>
    <x v="52"/>
    <x v="194"/>
    <x v="0"/>
    <x v="2"/>
    <x v="0"/>
  </r>
  <r>
    <x v="26"/>
    <x v="119"/>
    <x v="307"/>
    <x v="4"/>
    <x v="10"/>
    <x v="4"/>
    <x v="10"/>
    <x v="0"/>
    <x v="2"/>
    <x v="0"/>
  </r>
  <r>
    <x v="26"/>
    <x v="131"/>
    <x v="308"/>
    <x v="0"/>
    <x v="186"/>
    <x v="97"/>
    <x v="113"/>
    <x v="0"/>
    <x v="5"/>
    <x v="0"/>
  </r>
  <r>
    <x v="26"/>
    <x v="108"/>
    <x v="306"/>
    <x v="0"/>
    <x v="140"/>
    <x v="94"/>
    <x v="81"/>
    <x v="0"/>
    <x v="5"/>
    <x v="0"/>
  </r>
  <r>
    <x v="26"/>
    <x v="165"/>
    <x v="346"/>
    <x v="2"/>
    <x v="116"/>
    <x v="76"/>
    <x v="46"/>
    <x v="0"/>
    <x v="4"/>
    <x v="0"/>
  </r>
  <r>
    <x v="26"/>
    <x v="99"/>
    <x v="305"/>
    <x v="10"/>
    <x v="119"/>
    <x v="65"/>
    <x v="65"/>
    <x v="0"/>
    <x v="5"/>
    <x v="0"/>
  </r>
  <r>
    <x v="27"/>
    <x v="53"/>
    <x v="311"/>
    <x v="7"/>
    <x v="129"/>
    <x v="54"/>
    <x v="115"/>
    <x v="0"/>
    <x v="2"/>
    <x v="0"/>
  </r>
  <r>
    <x v="27"/>
    <x v="32"/>
    <x v="309"/>
    <x v="7"/>
    <x v="177"/>
    <x v="56"/>
    <x v="166"/>
    <x v="0"/>
    <x v="2"/>
    <x v="0"/>
  </r>
  <r>
    <x v="27"/>
    <x v="57"/>
    <x v="312"/>
    <x v="8"/>
    <x v="50"/>
    <x v="33"/>
    <x v="32"/>
    <x v="0"/>
    <x v="2"/>
    <x v="0"/>
  </r>
  <r>
    <x v="27"/>
    <x v="43"/>
    <x v="310"/>
    <x v="3"/>
    <x v="242"/>
    <x v="90"/>
    <x v="204"/>
    <x v="0"/>
    <x v="2"/>
    <x v="0"/>
  </r>
  <r>
    <x v="27"/>
    <x v="91"/>
    <x v="313"/>
    <x v="3"/>
    <x v="130"/>
    <x v="88"/>
    <x v="69"/>
    <x v="0"/>
    <x v="2"/>
    <x v="0"/>
  </r>
  <r>
    <x v="27"/>
    <x v="134"/>
    <x v="317"/>
    <x v="0"/>
    <x v="237"/>
    <x v="67"/>
    <x v="201"/>
    <x v="0"/>
    <x v="0"/>
    <x v="0"/>
  </r>
  <r>
    <x v="27"/>
    <x v="104"/>
    <x v="314"/>
    <x v="0"/>
    <x v="239"/>
    <x v="67"/>
    <x v="203"/>
    <x v="0"/>
    <x v="0"/>
    <x v="0"/>
  </r>
  <r>
    <x v="27"/>
    <x v="106"/>
    <x v="315"/>
    <x v="9"/>
    <x v="78"/>
    <x v="38"/>
    <x v="54"/>
    <x v="0"/>
    <x v="5"/>
    <x v="0"/>
  </r>
  <r>
    <x v="27"/>
    <x v="177"/>
    <x v="318"/>
    <x v="9"/>
    <x v="72"/>
    <x v="37"/>
    <x v="37"/>
    <x v="0"/>
    <x v="5"/>
    <x v="0"/>
  </r>
  <r>
    <x v="27"/>
    <x v="117"/>
    <x v="316"/>
    <x v="4"/>
    <x v="11"/>
    <x v="7"/>
    <x v="8"/>
    <x v="0"/>
    <x v="2"/>
    <x v="0"/>
  </r>
  <r>
    <x v="28"/>
    <x v="45"/>
    <x v="321"/>
    <x v="8"/>
    <x v="49"/>
    <x v="31"/>
    <x v="33"/>
    <x v="0"/>
    <x v="2"/>
    <x v="0"/>
  </r>
  <r>
    <x v="28"/>
    <x v="35"/>
    <x v="319"/>
    <x v="7"/>
    <x v="184"/>
    <x v="53"/>
    <x v="175"/>
    <x v="0"/>
    <x v="2"/>
    <x v="0"/>
  </r>
  <r>
    <x v="28"/>
    <x v="74"/>
    <x v="322"/>
    <x v="7"/>
    <x v="123"/>
    <x v="52"/>
    <x v="107"/>
    <x v="0"/>
    <x v="2"/>
    <x v="0"/>
  </r>
  <r>
    <x v="28"/>
    <x v="41"/>
    <x v="320"/>
    <x v="3"/>
    <x v="238"/>
    <x v="86"/>
    <x v="200"/>
    <x v="0"/>
    <x v="2"/>
    <x v="0"/>
  </r>
  <r>
    <x v="28"/>
    <x v="96"/>
    <x v="323"/>
    <x v="3"/>
    <x v="131"/>
    <x v="85"/>
    <x v="71"/>
    <x v="0"/>
    <x v="2"/>
    <x v="0"/>
  </r>
  <r>
    <x v="28"/>
    <x v="101"/>
    <x v="324"/>
    <x v="1"/>
    <x v="43"/>
    <x v="14"/>
    <x v="34"/>
    <x v="0"/>
    <x v="1"/>
    <x v="0"/>
  </r>
  <r>
    <x v="28"/>
    <x v="166"/>
    <x v="330"/>
    <x v="6"/>
    <x v="32"/>
    <x v="20"/>
    <x v="15"/>
    <x v="0"/>
    <x v="2"/>
    <x v="0"/>
  </r>
  <r>
    <x v="28"/>
    <x v="146"/>
    <x v="329"/>
    <x v="0"/>
    <x v="241"/>
    <x v="64"/>
    <x v="206"/>
    <x v="0"/>
    <x v="0"/>
    <x v="0"/>
  </r>
  <r>
    <x v="28"/>
    <x v="106"/>
    <x v="326"/>
    <x v="0"/>
    <x v="153"/>
    <x v="64"/>
    <x v="100"/>
    <x v="0"/>
    <x v="0"/>
    <x v="0"/>
  </r>
  <r>
    <x v="28"/>
    <x v="123"/>
    <x v="327"/>
    <x v="0"/>
    <x v="231"/>
    <x v="64"/>
    <x v="195"/>
    <x v="0"/>
    <x v="0"/>
    <x v="0"/>
  </r>
  <r>
    <x v="28"/>
    <x v="134"/>
    <x v="328"/>
    <x v="0"/>
    <x v="240"/>
    <x v="64"/>
    <x v="205"/>
    <x v="0"/>
    <x v="0"/>
    <x v="0"/>
  </r>
  <r>
    <x v="28"/>
    <x v="167"/>
    <x v="331"/>
    <x v="9"/>
    <x v="66"/>
    <x v="36"/>
    <x v="29"/>
    <x v="0"/>
    <x v="5"/>
    <x v="0"/>
  </r>
  <r>
    <x v="28"/>
    <x v="105"/>
    <x v="325"/>
    <x v="9"/>
    <x v="73"/>
    <x v="37"/>
    <x v="38"/>
    <x v="0"/>
    <x v="5"/>
    <x v="0"/>
  </r>
  <r>
    <x v="28"/>
    <x v="161"/>
    <x v="347"/>
    <x v="2"/>
    <x v="110"/>
    <x v="69"/>
    <x v="36"/>
    <x v="0"/>
    <x v="4"/>
    <x v="0"/>
  </r>
  <r>
    <x v="29"/>
    <x v="40"/>
    <x v="333"/>
    <x v="3"/>
    <x v="235"/>
    <x v="92"/>
    <x v="193"/>
    <x v="0"/>
    <x v="2"/>
    <x v="0"/>
  </r>
  <r>
    <x v="29"/>
    <x v="97"/>
    <x v="335"/>
    <x v="3"/>
    <x v="143"/>
    <x v="89"/>
    <x v="87"/>
    <x v="0"/>
    <x v="2"/>
    <x v="0"/>
  </r>
  <r>
    <x v="29"/>
    <x v="98"/>
    <x v="336"/>
    <x v="8"/>
    <x v="50"/>
    <x v="33"/>
    <x v="32"/>
    <x v="0"/>
    <x v="2"/>
    <x v="0"/>
  </r>
  <r>
    <x v="29"/>
    <x v="37"/>
    <x v="332"/>
    <x v="7"/>
    <x v="163"/>
    <x v="51"/>
    <x v="155"/>
    <x v="0"/>
    <x v="2"/>
    <x v="0"/>
  </r>
  <r>
    <x v="29"/>
    <x v="44"/>
    <x v="334"/>
    <x v="7"/>
    <x v="122"/>
    <x v="49"/>
    <x v="108"/>
    <x v="0"/>
    <x v="2"/>
    <x v="0"/>
  </r>
  <r>
    <x v="29"/>
    <x v="174"/>
    <x v="337"/>
    <x v="6"/>
    <x v="33"/>
    <x v="20"/>
    <x v="17"/>
    <x v="0"/>
    <x v="2"/>
    <x v="0"/>
  </r>
  <r>
    <x v="29"/>
    <x v="102"/>
    <x v="348"/>
    <x v="0"/>
    <x v="136"/>
    <x v="86"/>
    <x v="82"/>
    <x v="0"/>
    <x v="4"/>
    <x v="0"/>
  </r>
</pivotCacheRecords>
</file>

<file path=xl/pivotTables/_rels/pivotTable1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pivotTable1.xml><?xml version="1.0" encoding="utf-8"?>
<pivotTableDefinition xmlns="http://schemas.openxmlformats.org/spreadsheetml/2006/main" name="DataPilot1" cacheId="1" applyNumberFormats="0" applyBorderFormats="0" applyFontFormats="0" applyPatternFormats="0" applyAlignmentFormats="0" applyWidthHeightFormats="0" dataCaption="Values" useAutoFormatting="0" itemPrintTitles="1" indent="0" outline="0" outlineData="0" compact="0" compactData="0">
  <location ref="A3:H16" firstHeaderRow="1" firstDataRow="2" firstDataCol="1" rowPageCount="1" colPageCount="1"/>
  <pivotFields count="10">
    <pivotField axis="axisPage" compact="0" showAll="0" defaultSubtotal="0" outline="0">
      <items count="3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</items>
    </pivotField>
    <pivotField compact="0" showAll="0"/>
    <pivotField compact="0" showAll="0"/>
    <pivotField axis="axisRow" compact="0" showAll="0" defaultSubtotal="0" outline="0">
      <items count="11">
        <item x="0"/>
        <item x="1"/>
        <item x="2"/>
        <item x="3"/>
        <item x="4"/>
        <item x="5"/>
        <item x="6"/>
        <item x="7"/>
        <item x="8"/>
        <item x="9"/>
        <item x="10"/>
      </items>
    </pivotField>
    <pivotField compact="0" showAll="0"/>
    <pivotField compact="0" showAll="0"/>
    <pivotField dataField="1" compact="0" showAll="0" outline="0"/>
    <pivotField compact="0" showAll="0"/>
    <pivotField axis="axisCol" compact="0" showAll="0" defaultSubtotal="0" outline="0">
      <items count="6">
        <item x="0"/>
        <item x="1"/>
        <item x="2"/>
        <item x="3"/>
        <item x="4"/>
        <item x="5"/>
      </items>
    </pivotField>
    <pivotField compact="0" showAll="0"/>
  </pivotFields>
  <rowFields count="1">
    <field x="3"/>
  </rowFields>
  <colFields count="1">
    <field x="8"/>
  </colFields>
  <pageFields count="1">
    <pageField fld="0" hier="-1"/>
  </pageFields>
  <dataFields count="1">
    <dataField name="Suma - Carga" fld="6" subtotal="sum" numFmtId="168"/>
  </dataFields>
  <pivotTableStyleInfo name="PivotStyleLight16" showRowHeaders="1" showColHeaders="1" showRowStripes="0" showColStripes="0" showLastColumn="1"/>
</pivotTableDefinition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pivotTable" Target="../pivotTables/pivot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L3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G351" activeCellId="0" sqref="G351"/>
    </sheetView>
  </sheetViews>
  <sheetFormatPr defaultColWidth="10.6015625" defaultRowHeight="18" zeroHeight="false" outlineLevelRow="0" outlineLevelCol="0"/>
  <sheetData>
    <row r="1" customFormat="false" ht="13.8" hidden="false" customHeight="false" outlineLevel="0" collapsed="false">
      <c r="A1" s="1" t="s">
        <v>0</v>
      </c>
      <c r="B1" s="2" t="s">
        <v>1</v>
      </c>
      <c r="C1" s="3" t="s">
        <v>2</v>
      </c>
      <c r="D1" s="4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L1" s="5" t="s">
        <v>10</v>
      </c>
    </row>
    <row r="2" customFormat="false" ht="18" hidden="false" customHeight="false" outlineLevel="0" collapsed="false">
      <c r="A2" s="6" t="n">
        <v>44805</v>
      </c>
      <c r="B2" s="7" t="n">
        <v>0.2125</v>
      </c>
      <c r="C2" s="5" t="n">
        <v>11255</v>
      </c>
      <c r="D2" s="5" t="s">
        <v>11</v>
      </c>
      <c r="E2" s="5" t="n">
        <v>5000</v>
      </c>
      <c r="F2" s="5" t="n">
        <v>3760</v>
      </c>
      <c r="G2" s="8" t="n">
        <v>1240</v>
      </c>
      <c r="H2" s="5" t="s">
        <v>12</v>
      </c>
      <c r="I2" s="5" t="s">
        <v>13</v>
      </c>
      <c r="J2" s="9" t="s">
        <v>14</v>
      </c>
    </row>
    <row r="3" customFormat="false" ht="18" hidden="false" customHeight="false" outlineLevel="0" collapsed="false">
      <c r="A3" s="6" t="n">
        <v>44805</v>
      </c>
      <c r="B3" s="7" t="n">
        <v>0.129166666666667</v>
      </c>
      <c r="C3" s="5" t="n">
        <v>11247</v>
      </c>
      <c r="D3" s="5" t="s">
        <v>15</v>
      </c>
      <c r="E3" s="5" t="n">
        <v>23780</v>
      </c>
      <c r="F3" s="5" t="n">
        <v>15960</v>
      </c>
      <c r="G3" s="8" t="n">
        <v>7820</v>
      </c>
      <c r="H3" s="5" t="s">
        <v>12</v>
      </c>
      <c r="I3" s="5" t="s">
        <v>13</v>
      </c>
      <c r="J3" s="9" t="s">
        <v>14</v>
      </c>
    </row>
    <row r="4" customFormat="false" ht="18" hidden="false" customHeight="false" outlineLevel="0" collapsed="false">
      <c r="A4" s="6" t="n">
        <v>44805</v>
      </c>
      <c r="B4" s="7" t="n">
        <v>0.241666666666667</v>
      </c>
      <c r="C4" s="5" t="n">
        <v>11258</v>
      </c>
      <c r="D4" s="5" t="s">
        <v>15</v>
      </c>
      <c r="E4" s="5" t="n">
        <v>18840</v>
      </c>
      <c r="F4" s="5" t="n">
        <v>15940</v>
      </c>
      <c r="G4" s="8" t="n">
        <v>2900</v>
      </c>
      <c r="H4" s="5" t="s">
        <v>12</v>
      </c>
      <c r="I4" s="5" t="s">
        <v>13</v>
      </c>
      <c r="J4" s="9" t="s">
        <v>14</v>
      </c>
    </row>
    <row r="5" customFormat="false" ht="18" hidden="false" customHeight="false" outlineLevel="0" collapsed="false">
      <c r="A5" s="6" t="n">
        <v>44805</v>
      </c>
      <c r="B5" s="7" t="n">
        <v>0.244444444444444</v>
      </c>
      <c r="C5" s="5" t="n">
        <v>11259</v>
      </c>
      <c r="D5" s="5" t="s">
        <v>16</v>
      </c>
      <c r="E5" s="5" t="n">
        <v>21060</v>
      </c>
      <c r="F5" s="5" t="n">
        <v>12680</v>
      </c>
      <c r="G5" s="8" t="n">
        <v>8380</v>
      </c>
      <c r="H5" s="5" t="s">
        <v>12</v>
      </c>
      <c r="I5" s="5" t="s">
        <v>13</v>
      </c>
      <c r="J5" s="9" t="s">
        <v>14</v>
      </c>
    </row>
    <row r="6" customFormat="false" ht="18" hidden="false" customHeight="false" outlineLevel="0" collapsed="false">
      <c r="A6" s="6" t="n">
        <v>44805</v>
      </c>
      <c r="B6" s="7" t="n">
        <v>0.0604166666666667</v>
      </c>
      <c r="C6" s="5" t="n">
        <v>11241</v>
      </c>
      <c r="D6" s="5" t="s">
        <v>16</v>
      </c>
      <c r="E6" s="5" t="n">
        <v>21420</v>
      </c>
      <c r="F6" s="5" t="n">
        <v>12720</v>
      </c>
      <c r="G6" s="8" t="n">
        <v>8700</v>
      </c>
      <c r="H6" s="5" t="s">
        <v>12</v>
      </c>
      <c r="I6" s="5" t="s">
        <v>13</v>
      </c>
      <c r="J6" s="9" t="s">
        <v>14</v>
      </c>
    </row>
    <row r="7" customFormat="false" ht="18" hidden="false" customHeight="false" outlineLevel="0" collapsed="false">
      <c r="A7" s="6" t="n">
        <v>44805</v>
      </c>
      <c r="B7" s="7" t="n">
        <v>0.868055555555555</v>
      </c>
      <c r="C7" s="5" t="n">
        <v>11307</v>
      </c>
      <c r="D7" s="5" t="s">
        <v>15</v>
      </c>
      <c r="E7" s="5" t="n">
        <v>22580</v>
      </c>
      <c r="F7" s="5" t="n">
        <v>16020</v>
      </c>
      <c r="G7" s="8" t="n">
        <v>6560</v>
      </c>
      <c r="H7" s="5" t="s">
        <v>12</v>
      </c>
      <c r="I7" s="5" t="s">
        <v>13</v>
      </c>
      <c r="J7" s="9" t="s">
        <v>14</v>
      </c>
    </row>
    <row r="8" customFormat="false" ht="18" hidden="false" customHeight="false" outlineLevel="0" collapsed="false">
      <c r="A8" s="6" t="n">
        <v>44805</v>
      </c>
      <c r="B8" s="7" t="n">
        <v>0.85</v>
      </c>
      <c r="C8" s="5" t="n">
        <v>11306</v>
      </c>
      <c r="D8" s="5" t="s">
        <v>17</v>
      </c>
      <c r="E8" s="5" t="n">
        <v>3040</v>
      </c>
      <c r="F8" s="5" t="n">
        <v>2700</v>
      </c>
      <c r="G8" s="8" t="n">
        <v>340</v>
      </c>
      <c r="H8" s="5" t="s">
        <v>12</v>
      </c>
      <c r="I8" s="5" t="s">
        <v>13</v>
      </c>
      <c r="J8" s="9" t="s">
        <v>14</v>
      </c>
    </row>
    <row r="9" customFormat="false" ht="18" hidden="false" customHeight="false" outlineLevel="0" collapsed="false">
      <c r="A9" s="6" t="n">
        <v>44805</v>
      </c>
      <c r="B9" s="7" t="n">
        <v>0.681944444444444</v>
      </c>
      <c r="C9" s="5" t="n">
        <v>11295</v>
      </c>
      <c r="D9" s="5" t="s">
        <v>16</v>
      </c>
      <c r="E9" s="5" t="n">
        <v>14540</v>
      </c>
      <c r="F9" s="5" t="n">
        <v>12760</v>
      </c>
      <c r="G9" s="8" t="n">
        <v>1780</v>
      </c>
      <c r="H9" s="5" t="s">
        <v>12</v>
      </c>
      <c r="I9" s="5" t="s">
        <v>13</v>
      </c>
      <c r="J9" s="9" t="s">
        <v>14</v>
      </c>
    </row>
    <row r="10" customFormat="false" ht="18" hidden="false" customHeight="false" outlineLevel="0" collapsed="false">
      <c r="A10" s="6" t="n">
        <v>44805</v>
      </c>
      <c r="B10" s="7" t="n">
        <v>0.361111111111111</v>
      </c>
      <c r="C10" s="5" t="n">
        <v>11272</v>
      </c>
      <c r="D10" s="5" t="s">
        <v>18</v>
      </c>
      <c r="E10" s="5" t="n">
        <v>6380</v>
      </c>
      <c r="F10" s="5" t="n">
        <v>5620</v>
      </c>
      <c r="G10" s="8" t="n">
        <v>760</v>
      </c>
      <c r="H10" s="5" t="s">
        <v>12</v>
      </c>
      <c r="I10" s="5" t="s">
        <v>19</v>
      </c>
      <c r="J10" s="9" t="s">
        <v>14</v>
      </c>
    </row>
    <row r="11" customFormat="false" ht="18" hidden="false" customHeight="false" outlineLevel="0" collapsed="false">
      <c r="A11" s="6" t="n">
        <v>44805</v>
      </c>
      <c r="B11" s="7" t="n">
        <v>0.495138888888889</v>
      </c>
      <c r="C11" s="5" t="n">
        <v>11287</v>
      </c>
      <c r="D11" s="5" t="s">
        <v>20</v>
      </c>
      <c r="E11" s="5" t="n">
        <v>3600</v>
      </c>
      <c r="F11" s="5" t="n">
        <v>2800</v>
      </c>
      <c r="G11" s="8" t="n">
        <v>800</v>
      </c>
      <c r="H11" s="5" t="s">
        <v>12</v>
      </c>
      <c r="I11" s="5" t="s">
        <v>13</v>
      </c>
      <c r="J11" s="9" t="s">
        <v>14</v>
      </c>
    </row>
    <row r="12" customFormat="false" ht="18" hidden="false" customHeight="false" outlineLevel="0" collapsed="false">
      <c r="A12" s="6" t="n">
        <v>44805</v>
      </c>
      <c r="B12" s="7" t="n">
        <v>0.452083333333333</v>
      </c>
      <c r="C12" s="5" t="n">
        <v>11282</v>
      </c>
      <c r="D12" s="5" t="s">
        <v>21</v>
      </c>
      <c r="E12" s="5" t="n">
        <v>2560</v>
      </c>
      <c r="F12" s="5" t="n">
        <v>2420</v>
      </c>
      <c r="G12" s="8" t="n">
        <v>140</v>
      </c>
      <c r="H12" s="5" t="s">
        <v>12</v>
      </c>
      <c r="I12" s="5" t="s">
        <v>13</v>
      </c>
      <c r="J12" s="9" t="s">
        <v>14</v>
      </c>
    </row>
    <row r="13" customFormat="false" ht="18" hidden="false" customHeight="false" outlineLevel="0" collapsed="false">
      <c r="A13" s="6" t="n">
        <v>44805</v>
      </c>
      <c r="B13" s="7" t="n">
        <v>0.461111111111111</v>
      </c>
      <c r="C13" s="10" t="n">
        <v>143922</v>
      </c>
      <c r="D13" s="5" t="s">
        <v>22</v>
      </c>
      <c r="E13" s="5" t="n">
        <v>18040</v>
      </c>
      <c r="F13" s="5" t="n">
        <v>15940</v>
      </c>
      <c r="G13" s="8" t="n">
        <v>2100</v>
      </c>
      <c r="H13" s="5" t="s">
        <v>12</v>
      </c>
      <c r="I13" s="5" t="s">
        <v>23</v>
      </c>
      <c r="J13" s="9" t="s">
        <v>14</v>
      </c>
    </row>
    <row r="14" customFormat="false" ht="18" hidden="false" customHeight="false" outlineLevel="0" collapsed="false">
      <c r="A14" s="6" t="n">
        <v>44806</v>
      </c>
      <c r="B14" s="7" t="n">
        <v>0.205555555555556</v>
      </c>
      <c r="C14" s="5" t="n">
        <v>11322</v>
      </c>
      <c r="D14" s="5" t="s">
        <v>17</v>
      </c>
      <c r="E14" s="5" t="n">
        <v>3200</v>
      </c>
      <c r="F14" s="5" t="n">
        <v>2880</v>
      </c>
      <c r="G14" s="8" t="n">
        <v>320</v>
      </c>
      <c r="H14" s="5" t="s">
        <v>12</v>
      </c>
      <c r="I14" s="5" t="s">
        <v>13</v>
      </c>
      <c r="J14" s="9" t="s">
        <v>14</v>
      </c>
    </row>
    <row r="15" customFormat="false" ht="18" hidden="false" customHeight="false" outlineLevel="0" collapsed="false">
      <c r="A15" s="6" t="n">
        <v>44806</v>
      </c>
      <c r="B15" s="7" t="n">
        <v>0.190972222222222</v>
      </c>
      <c r="C15" s="5" t="n">
        <v>11321</v>
      </c>
      <c r="D15" s="5" t="s">
        <v>20</v>
      </c>
      <c r="E15" s="5" t="n">
        <v>3100</v>
      </c>
      <c r="F15" s="5" t="n">
        <v>2880</v>
      </c>
      <c r="G15" s="8" t="n">
        <v>220</v>
      </c>
      <c r="H15" s="5" t="s">
        <v>12</v>
      </c>
      <c r="I15" s="5" t="s">
        <v>13</v>
      </c>
      <c r="J15" s="9" t="s">
        <v>14</v>
      </c>
    </row>
    <row r="16" customFormat="false" ht="18" hidden="false" customHeight="false" outlineLevel="0" collapsed="false">
      <c r="A16" s="6" t="n">
        <v>44806</v>
      </c>
      <c r="B16" s="7" t="n">
        <v>0.240972222222222</v>
      </c>
      <c r="C16" s="5" t="n">
        <v>11329</v>
      </c>
      <c r="D16" s="5" t="s">
        <v>24</v>
      </c>
      <c r="E16" s="5" t="n">
        <v>21280</v>
      </c>
      <c r="F16" s="5" t="n">
        <v>15660</v>
      </c>
      <c r="G16" s="8" t="n">
        <v>5620</v>
      </c>
      <c r="H16" s="5" t="s">
        <v>12</v>
      </c>
      <c r="I16" s="5" t="s">
        <v>13</v>
      </c>
      <c r="J16" s="9" t="s">
        <v>14</v>
      </c>
    </row>
    <row r="17" customFormat="false" ht="18" hidden="false" customHeight="false" outlineLevel="0" collapsed="false">
      <c r="A17" s="6" t="n">
        <v>44806</v>
      </c>
      <c r="B17" s="7" t="n">
        <v>0.245138888888889</v>
      </c>
      <c r="C17" s="5" t="n">
        <v>11330</v>
      </c>
      <c r="D17" s="5" t="s">
        <v>16</v>
      </c>
      <c r="E17" s="5" t="n">
        <v>20740</v>
      </c>
      <c r="F17" s="5" t="n">
        <v>12780</v>
      </c>
      <c r="G17" s="8" t="n">
        <v>7960</v>
      </c>
      <c r="H17" s="5" t="s">
        <v>12</v>
      </c>
      <c r="I17" s="5" t="s">
        <v>13</v>
      </c>
      <c r="J17" s="9" t="s">
        <v>14</v>
      </c>
    </row>
    <row r="18" customFormat="false" ht="18" hidden="false" customHeight="false" outlineLevel="0" collapsed="false">
      <c r="A18" s="6" t="n">
        <v>44806</v>
      </c>
      <c r="B18" s="7" t="n">
        <v>0.0541666666666667</v>
      </c>
      <c r="C18" s="5" t="n">
        <v>11310</v>
      </c>
      <c r="D18" s="5" t="s">
        <v>16</v>
      </c>
      <c r="E18" s="5" t="n">
        <v>21860</v>
      </c>
      <c r="F18" s="5" t="n">
        <v>12800</v>
      </c>
      <c r="G18" s="8" t="n">
        <v>9060</v>
      </c>
      <c r="H18" s="5" t="s">
        <v>12</v>
      </c>
      <c r="I18" s="5" t="s">
        <v>13</v>
      </c>
      <c r="J18" s="9" t="s">
        <v>14</v>
      </c>
    </row>
    <row r="19" customFormat="false" ht="18" hidden="false" customHeight="false" outlineLevel="0" collapsed="false">
      <c r="A19" s="6" t="n">
        <v>44806</v>
      </c>
      <c r="B19" s="7" t="n">
        <v>0.235416666666667</v>
      </c>
      <c r="C19" s="5" t="n">
        <v>11328</v>
      </c>
      <c r="D19" s="5" t="s">
        <v>15</v>
      </c>
      <c r="E19" s="5" t="n">
        <v>24480</v>
      </c>
      <c r="F19" s="5" t="n">
        <v>15980</v>
      </c>
      <c r="G19" s="8" t="n">
        <v>8500</v>
      </c>
      <c r="H19" s="5" t="s">
        <v>12</v>
      </c>
      <c r="I19" s="5" t="s">
        <v>13</v>
      </c>
      <c r="J19" s="9" t="s">
        <v>14</v>
      </c>
    </row>
    <row r="20" customFormat="false" ht="18" hidden="false" customHeight="false" outlineLevel="0" collapsed="false">
      <c r="A20" s="6" t="n">
        <v>44806</v>
      </c>
      <c r="B20" s="7" t="n">
        <v>0.104166666666667</v>
      </c>
      <c r="C20" s="5" t="n">
        <v>11313</v>
      </c>
      <c r="D20" s="5" t="s">
        <v>17</v>
      </c>
      <c r="E20" s="5" t="n">
        <v>3000</v>
      </c>
      <c r="F20" s="5" t="n">
        <v>2700</v>
      </c>
      <c r="G20" s="8" t="n">
        <v>300</v>
      </c>
      <c r="H20" s="5" t="s">
        <v>12</v>
      </c>
      <c r="I20" s="5" t="s">
        <v>13</v>
      </c>
      <c r="J20" s="9" t="s">
        <v>14</v>
      </c>
    </row>
    <row r="21" customFormat="false" ht="18" hidden="false" customHeight="false" outlineLevel="0" collapsed="false">
      <c r="A21" s="6" t="n">
        <v>44806</v>
      </c>
      <c r="B21" s="7" t="n">
        <v>0.122222222222222</v>
      </c>
      <c r="C21" s="5" t="n">
        <v>11316</v>
      </c>
      <c r="D21" s="5" t="s">
        <v>20</v>
      </c>
      <c r="E21" s="5" t="n">
        <v>3400</v>
      </c>
      <c r="F21" s="5" t="n">
        <v>2880</v>
      </c>
      <c r="G21" s="8" t="n">
        <v>520</v>
      </c>
      <c r="H21" s="5" t="s">
        <v>12</v>
      </c>
      <c r="I21" s="5" t="s">
        <v>13</v>
      </c>
      <c r="J21" s="9" t="s">
        <v>14</v>
      </c>
    </row>
    <row r="22" customFormat="false" ht="18" hidden="false" customHeight="false" outlineLevel="0" collapsed="false">
      <c r="A22" s="6" t="n">
        <v>44806</v>
      </c>
      <c r="B22" s="7" t="n">
        <v>0.0194444444444444</v>
      </c>
      <c r="C22" s="5" t="n">
        <v>11309</v>
      </c>
      <c r="D22" s="5" t="s">
        <v>25</v>
      </c>
      <c r="E22" s="5" t="n">
        <v>14480</v>
      </c>
      <c r="F22" s="5" t="n">
        <v>12400</v>
      </c>
      <c r="G22" s="8" t="n">
        <v>2080</v>
      </c>
      <c r="H22" s="5" t="s">
        <v>12</v>
      </c>
      <c r="I22" s="5" t="s">
        <v>13</v>
      </c>
      <c r="J22" s="9" t="s">
        <v>14</v>
      </c>
    </row>
    <row r="23" customFormat="false" ht="18" hidden="false" customHeight="false" outlineLevel="0" collapsed="false">
      <c r="A23" s="6" t="n">
        <v>44806</v>
      </c>
      <c r="B23" s="7" t="n">
        <v>0.365277777777778</v>
      </c>
      <c r="C23" s="5" t="n">
        <v>11343</v>
      </c>
      <c r="D23" s="5" t="s">
        <v>16</v>
      </c>
      <c r="E23" s="5" t="n">
        <v>21440</v>
      </c>
      <c r="F23" s="5" t="n">
        <v>12960</v>
      </c>
      <c r="G23" s="8" t="n">
        <v>8480</v>
      </c>
      <c r="H23" s="5" t="s">
        <v>12</v>
      </c>
      <c r="I23" s="5" t="s">
        <v>13</v>
      </c>
      <c r="J23" s="9" t="s">
        <v>14</v>
      </c>
    </row>
    <row r="24" customFormat="false" ht="18" hidden="false" customHeight="false" outlineLevel="0" collapsed="false">
      <c r="A24" s="6" t="n">
        <v>44806</v>
      </c>
      <c r="B24" s="7" t="n">
        <v>0.453472222222222</v>
      </c>
      <c r="C24" s="5" t="n">
        <v>11356</v>
      </c>
      <c r="D24" s="5" t="s">
        <v>21</v>
      </c>
      <c r="E24" s="5" t="n">
        <v>2620</v>
      </c>
      <c r="F24" s="5" t="n">
        <v>2400</v>
      </c>
      <c r="G24" s="8" t="n">
        <v>220</v>
      </c>
      <c r="H24" s="5" t="s">
        <v>12</v>
      </c>
      <c r="I24" s="5" t="s">
        <v>13</v>
      </c>
      <c r="J24" s="9" t="s">
        <v>14</v>
      </c>
    </row>
    <row r="25" customFormat="false" ht="18" hidden="false" customHeight="false" outlineLevel="0" collapsed="false">
      <c r="A25" s="6" t="n">
        <v>44806</v>
      </c>
      <c r="B25" s="7" t="n">
        <v>0.874305555555556</v>
      </c>
      <c r="C25" s="5" t="n">
        <v>11393</v>
      </c>
      <c r="D25" s="5" t="s">
        <v>15</v>
      </c>
      <c r="E25" s="5" t="n">
        <v>22440</v>
      </c>
      <c r="F25" s="5" t="n">
        <v>15880</v>
      </c>
      <c r="G25" s="8" t="n">
        <v>6560</v>
      </c>
      <c r="H25" s="5" t="s">
        <v>12</v>
      </c>
      <c r="I25" s="5" t="s">
        <v>13</v>
      </c>
      <c r="J25" s="9" t="s">
        <v>14</v>
      </c>
    </row>
    <row r="26" customFormat="false" ht="18" hidden="false" customHeight="false" outlineLevel="0" collapsed="false">
      <c r="A26" s="6" t="n">
        <v>44806</v>
      </c>
      <c r="B26" s="7" t="n">
        <v>0.694444444444444</v>
      </c>
      <c r="C26" s="5" t="n">
        <v>11384</v>
      </c>
      <c r="D26" s="5" t="s">
        <v>16</v>
      </c>
      <c r="E26" s="5" t="n">
        <v>14860</v>
      </c>
      <c r="F26" s="5" t="n">
        <v>12720</v>
      </c>
      <c r="G26" s="8" t="n">
        <v>2140</v>
      </c>
      <c r="H26" s="5" t="s">
        <v>12</v>
      </c>
      <c r="I26" s="5" t="s">
        <v>13</v>
      </c>
      <c r="J26" s="9" t="s">
        <v>14</v>
      </c>
    </row>
    <row r="27" customFormat="false" ht="18" hidden="false" customHeight="false" outlineLevel="0" collapsed="false">
      <c r="A27" s="6" t="n">
        <v>44806</v>
      </c>
      <c r="B27" s="7" t="n">
        <v>0.377777777777778</v>
      </c>
      <c r="C27" s="5" t="n">
        <v>11347</v>
      </c>
      <c r="D27" s="5" t="s">
        <v>17</v>
      </c>
      <c r="E27" s="5" t="n">
        <v>3560</v>
      </c>
      <c r="F27" s="5" t="n">
        <v>2680</v>
      </c>
      <c r="G27" s="8" t="n">
        <v>880</v>
      </c>
      <c r="H27" s="5" t="s">
        <v>12</v>
      </c>
      <c r="I27" s="5" t="s">
        <v>26</v>
      </c>
      <c r="J27" s="9" t="s">
        <v>14</v>
      </c>
    </row>
    <row r="28" customFormat="false" ht="18" hidden="false" customHeight="false" outlineLevel="0" collapsed="false">
      <c r="A28" s="6" t="n">
        <v>44806</v>
      </c>
      <c r="B28" s="7" t="n">
        <v>0.475</v>
      </c>
      <c r="C28" s="5" t="n">
        <v>11363</v>
      </c>
      <c r="D28" s="5" t="s">
        <v>20</v>
      </c>
      <c r="E28" s="5" t="n">
        <v>3560</v>
      </c>
      <c r="F28" s="5" t="n">
        <v>2840</v>
      </c>
      <c r="G28" s="8" t="n">
        <v>720</v>
      </c>
      <c r="H28" s="5" t="s">
        <v>12</v>
      </c>
      <c r="I28" s="5" t="s">
        <v>13</v>
      </c>
      <c r="J28" s="9" t="s">
        <v>14</v>
      </c>
    </row>
    <row r="29" customFormat="false" ht="18" hidden="false" customHeight="false" outlineLevel="0" collapsed="false">
      <c r="A29" s="6" t="n">
        <v>44806</v>
      </c>
      <c r="B29" s="7" t="n">
        <v>0.863888888888889</v>
      </c>
      <c r="C29" s="5" t="n">
        <v>11392</v>
      </c>
      <c r="D29" s="5" t="s">
        <v>17</v>
      </c>
      <c r="E29" s="5" t="n">
        <v>3100</v>
      </c>
      <c r="F29" s="5" t="n">
        <v>2660</v>
      </c>
      <c r="G29" s="8" t="n">
        <v>440</v>
      </c>
      <c r="H29" s="5" t="s">
        <v>12</v>
      </c>
      <c r="I29" s="5" t="s">
        <v>13</v>
      </c>
      <c r="J29" s="9" t="s">
        <v>14</v>
      </c>
    </row>
    <row r="30" customFormat="false" ht="18" hidden="false" customHeight="false" outlineLevel="0" collapsed="false">
      <c r="A30" s="6" t="n">
        <v>44806</v>
      </c>
      <c r="B30" s="7" t="n">
        <v>0.459722222222222</v>
      </c>
      <c r="C30" s="5" t="n">
        <v>3397</v>
      </c>
      <c r="D30" s="5" t="s">
        <v>24</v>
      </c>
      <c r="E30" s="5" t="n">
        <v>18460</v>
      </c>
      <c r="F30" s="5" t="n">
        <v>15760</v>
      </c>
      <c r="G30" s="8" t="n">
        <v>2700</v>
      </c>
      <c r="H30" s="5" t="s">
        <v>12</v>
      </c>
      <c r="I30" s="5" t="s">
        <v>10</v>
      </c>
      <c r="J30" s="9" t="s">
        <v>14</v>
      </c>
    </row>
    <row r="31" customFormat="false" ht="18" hidden="false" customHeight="false" outlineLevel="0" collapsed="false">
      <c r="A31" s="6" t="n">
        <v>44807</v>
      </c>
      <c r="B31" s="7" t="n">
        <v>0.877083333333333</v>
      </c>
      <c r="C31" s="5" t="n">
        <v>11448</v>
      </c>
      <c r="D31" s="5" t="s">
        <v>15</v>
      </c>
      <c r="E31" s="5" t="n">
        <v>23400</v>
      </c>
      <c r="F31" s="5" t="n">
        <v>15920</v>
      </c>
      <c r="G31" s="8" t="n">
        <v>7480</v>
      </c>
      <c r="H31" s="5" t="s">
        <v>12</v>
      </c>
      <c r="I31" s="5" t="s">
        <v>13</v>
      </c>
      <c r="J31" s="9" t="s">
        <v>14</v>
      </c>
    </row>
    <row r="32" customFormat="false" ht="18" hidden="false" customHeight="false" outlineLevel="0" collapsed="false">
      <c r="A32" s="6" t="n">
        <v>44807</v>
      </c>
      <c r="B32" s="7" t="n">
        <v>0.210416666666667</v>
      </c>
      <c r="C32" s="5" t="n">
        <v>11405</v>
      </c>
      <c r="D32" s="5" t="s">
        <v>11</v>
      </c>
      <c r="E32" s="5" t="n">
        <v>4740</v>
      </c>
      <c r="F32" s="5" t="n">
        <v>3660</v>
      </c>
      <c r="G32" s="8" t="n">
        <v>1080</v>
      </c>
      <c r="H32" s="5" t="s">
        <v>12</v>
      </c>
      <c r="I32" s="5" t="s">
        <v>13</v>
      </c>
      <c r="J32" s="9" t="s">
        <v>14</v>
      </c>
    </row>
    <row r="33" customFormat="false" ht="18" hidden="false" customHeight="false" outlineLevel="0" collapsed="false">
      <c r="A33" s="6" t="n">
        <v>44807</v>
      </c>
      <c r="B33" s="7" t="n">
        <v>0.8625</v>
      </c>
      <c r="C33" s="5" t="n">
        <v>11447</v>
      </c>
      <c r="D33" s="5" t="s">
        <v>17</v>
      </c>
      <c r="E33" s="5" t="n">
        <v>3120</v>
      </c>
      <c r="F33" s="5" t="n">
        <v>2680</v>
      </c>
      <c r="G33" s="8" t="n">
        <v>440</v>
      </c>
      <c r="H33" s="5" t="s">
        <v>12</v>
      </c>
      <c r="I33" s="5" t="s">
        <v>13</v>
      </c>
      <c r="J33" s="9" t="s">
        <v>14</v>
      </c>
    </row>
    <row r="34" customFormat="false" ht="18" hidden="false" customHeight="false" outlineLevel="0" collapsed="false">
      <c r="A34" s="6" t="n">
        <v>44807</v>
      </c>
      <c r="B34" s="7" t="n">
        <v>0.692361111111111</v>
      </c>
      <c r="C34" s="5" t="n">
        <v>11445</v>
      </c>
      <c r="D34" s="5" t="s">
        <v>16</v>
      </c>
      <c r="E34" s="5" t="n">
        <v>14580</v>
      </c>
      <c r="F34" s="5" t="n">
        <v>12760</v>
      </c>
      <c r="G34" s="8" t="n">
        <v>1820</v>
      </c>
      <c r="H34" s="5" t="s">
        <v>12</v>
      </c>
      <c r="I34" s="5" t="s">
        <v>13</v>
      </c>
      <c r="J34" s="9" t="s">
        <v>14</v>
      </c>
    </row>
    <row r="35" customFormat="false" ht="18" hidden="false" customHeight="false" outlineLevel="0" collapsed="false">
      <c r="A35" s="6" t="n">
        <v>44807</v>
      </c>
      <c r="B35" s="7" t="n">
        <v>0.253472222222222</v>
      </c>
      <c r="C35" s="5" t="n">
        <v>11413</v>
      </c>
      <c r="D35" s="5" t="s">
        <v>15</v>
      </c>
      <c r="E35" s="5" t="n">
        <v>24980</v>
      </c>
      <c r="F35" s="5" t="n">
        <v>15860</v>
      </c>
      <c r="G35" s="8" t="n">
        <v>9120</v>
      </c>
      <c r="H35" s="5" t="s">
        <v>12</v>
      </c>
      <c r="I35" s="5" t="s">
        <v>13</v>
      </c>
      <c r="J35" s="9" t="s">
        <v>14</v>
      </c>
    </row>
    <row r="36" customFormat="false" ht="18" hidden="false" customHeight="false" outlineLevel="0" collapsed="false">
      <c r="A36" s="6" t="n">
        <v>44807</v>
      </c>
      <c r="B36" s="7" t="n">
        <v>0.240277777777778</v>
      </c>
      <c r="C36" s="5" t="n">
        <v>11408</v>
      </c>
      <c r="D36" s="5" t="s">
        <v>24</v>
      </c>
      <c r="E36" s="5" t="n">
        <v>19460</v>
      </c>
      <c r="F36" s="5" t="n">
        <v>15760</v>
      </c>
      <c r="G36" s="8" t="n">
        <v>3700</v>
      </c>
      <c r="H36" s="5" t="s">
        <v>12</v>
      </c>
      <c r="I36" s="5" t="s">
        <v>13</v>
      </c>
      <c r="J36" s="9" t="s">
        <v>14</v>
      </c>
    </row>
    <row r="37" customFormat="false" ht="18" hidden="false" customHeight="false" outlineLevel="0" collapsed="false">
      <c r="A37" s="6" t="n">
        <v>44807</v>
      </c>
      <c r="B37" s="7" t="n">
        <v>0.44375</v>
      </c>
      <c r="C37" s="5" t="n">
        <v>11435</v>
      </c>
      <c r="D37" s="5" t="s">
        <v>24</v>
      </c>
      <c r="E37" s="5" t="n">
        <v>18280</v>
      </c>
      <c r="F37" s="5" t="n">
        <v>15680</v>
      </c>
      <c r="G37" s="8" t="n">
        <v>2600</v>
      </c>
      <c r="H37" s="5" t="s">
        <v>12</v>
      </c>
      <c r="I37" s="5" t="s">
        <v>13</v>
      </c>
      <c r="J37" s="9" t="s">
        <v>14</v>
      </c>
    </row>
    <row r="38" customFormat="false" ht="18" hidden="false" customHeight="false" outlineLevel="0" collapsed="false">
      <c r="A38" s="6" t="n">
        <v>44807</v>
      </c>
      <c r="B38" s="7" t="n">
        <v>0.211111111111111</v>
      </c>
      <c r="C38" s="5" t="n">
        <v>11406</v>
      </c>
      <c r="D38" s="5" t="s">
        <v>17</v>
      </c>
      <c r="E38" s="5" t="n">
        <v>3220</v>
      </c>
      <c r="F38" s="5" t="n">
        <v>2820</v>
      </c>
      <c r="G38" s="8" t="n">
        <v>400</v>
      </c>
      <c r="H38" s="5" t="s">
        <v>12</v>
      </c>
      <c r="I38" s="5" t="s">
        <v>13</v>
      </c>
      <c r="J38" s="9" t="s">
        <v>14</v>
      </c>
    </row>
    <row r="39" customFormat="false" ht="18" hidden="false" customHeight="false" outlineLevel="0" collapsed="false">
      <c r="A39" s="6" t="n">
        <v>44807</v>
      </c>
      <c r="B39" s="7" t="n">
        <v>0.0611111111111111</v>
      </c>
      <c r="C39" s="5" t="n">
        <v>11396</v>
      </c>
      <c r="D39" s="5" t="s">
        <v>16</v>
      </c>
      <c r="E39" s="5" t="n">
        <v>21240</v>
      </c>
      <c r="F39" s="5" t="n">
        <v>12740</v>
      </c>
      <c r="G39" s="8" t="n">
        <v>8500</v>
      </c>
      <c r="H39" s="5" t="s">
        <v>12</v>
      </c>
      <c r="I39" s="5" t="s">
        <v>13</v>
      </c>
      <c r="J39" s="9" t="s">
        <v>14</v>
      </c>
    </row>
    <row r="40" customFormat="false" ht="18" hidden="false" customHeight="false" outlineLevel="0" collapsed="false">
      <c r="A40" s="6" t="n">
        <v>44807</v>
      </c>
      <c r="B40" s="7" t="n">
        <v>0.24375</v>
      </c>
      <c r="C40" s="5" t="n">
        <v>11409</v>
      </c>
      <c r="D40" s="5" t="s">
        <v>16</v>
      </c>
      <c r="E40" s="5" t="n">
        <v>22100</v>
      </c>
      <c r="F40" s="5" t="n">
        <v>12720</v>
      </c>
      <c r="G40" s="8" t="n">
        <v>9380</v>
      </c>
      <c r="H40" s="5" t="s">
        <v>12</v>
      </c>
      <c r="I40" s="5" t="s">
        <v>13</v>
      </c>
      <c r="J40" s="9" t="s">
        <v>14</v>
      </c>
    </row>
    <row r="41" customFormat="false" ht="18" hidden="false" customHeight="false" outlineLevel="0" collapsed="false">
      <c r="A41" s="6" t="n">
        <v>44807</v>
      </c>
      <c r="B41" s="7" t="n">
        <v>0.372222222222222</v>
      </c>
      <c r="C41" s="5" t="n">
        <v>11428</v>
      </c>
      <c r="D41" s="5" t="s">
        <v>20</v>
      </c>
      <c r="E41" s="5" t="n">
        <v>3440</v>
      </c>
      <c r="F41" s="5" t="n">
        <v>2880</v>
      </c>
      <c r="G41" s="8" t="n">
        <v>560</v>
      </c>
      <c r="H41" s="5" t="s">
        <v>12</v>
      </c>
      <c r="I41" s="5" t="s">
        <v>13</v>
      </c>
      <c r="J41" s="9" t="s">
        <v>14</v>
      </c>
    </row>
    <row r="42" customFormat="false" ht="18" hidden="false" customHeight="false" outlineLevel="0" collapsed="false">
      <c r="A42" s="6" t="n">
        <v>44807</v>
      </c>
      <c r="B42" s="7" t="n">
        <v>0.454166666666667</v>
      </c>
      <c r="C42" s="5" t="n">
        <v>11436</v>
      </c>
      <c r="D42" s="5" t="s">
        <v>21</v>
      </c>
      <c r="E42" s="5" t="n">
        <v>2600</v>
      </c>
      <c r="F42" s="5" t="n">
        <v>2400</v>
      </c>
      <c r="G42" s="8" t="n">
        <v>200</v>
      </c>
      <c r="H42" s="5" t="s">
        <v>12</v>
      </c>
      <c r="I42" s="5" t="s">
        <v>13</v>
      </c>
      <c r="J42" s="9" t="s">
        <v>14</v>
      </c>
    </row>
    <row r="43" customFormat="false" ht="18" hidden="false" customHeight="false" outlineLevel="0" collapsed="false">
      <c r="A43" s="6" t="n">
        <v>44808</v>
      </c>
      <c r="B43" s="7" t="n">
        <v>0.0145833333333333</v>
      </c>
      <c r="C43" s="5" t="n">
        <v>11449</v>
      </c>
      <c r="D43" s="5" t="s">
        <v>25</v>
      </c>
      <c r="E43" s="5" t="n">
        <v>14860</v>
      </c>
      <c r="F43" s="5" t="n">
        <v>12500</v>
      </c>
      <c r="G43" s="8" t="n">
        <v>2360</v>
      </c>
      <c r="H43" s="5" t="s">
        <v>12</v>
      </c>
      <c r="I43" s="5" t="s">
        <v>13</v>
      </c>
      <c r="J43" s="9" t="s">
        <v>14</v>
      </c>
    </row>
    <row r="44" customFormat="false" ht="18" hidden="false" customHeight="false" outlineLevel="0" collapsed="false">
      <c r="A44" s="6" t="n">
        <v>44808</v>
      </c>
      <c r="B44" s="7" t="n">
        <v>0.214583333333333</v>
      </c>
      <c r="C44" s="5" t="n">
        <v>11459</v>
      </c>
      <c r="D44" s="5" t="s">
        <v>17</v>
      </c>
      <c r="E44" s="5" t="n">
        <v>3360</v>
      </c>
      <c r="F44" s="5" t="n">
        <v>2820</v>
      </c>
      <c r="G44" s="8" t="n">
        <v>540</v>
      </c>
      <c r="H44" s="5" t="s">
        <v>12</v>
      </c>
      <c r="I44" s="5" t="s">
        <v>13</v>
      </c>
      <c r="J44" s="9" t="s">
        <v>14</v>
      </c>
    </row>
    <row r="45" customFormat="false" ht="18" hidden="false" customHeight="false" outlineLevel="0" collapsed="false">
      <c r="A45" s="6" t="n">
        <v>44808</v>
      </c>
      <c r="B45" s="7" t="n">
        <v>0.861805555555556</v>
      </c>
      <c r="C45" s="5" t="n">
        <v>11473</v>
      </c>
      <c r="D45" s="5" t="s">
        <v>15</v>
      </c>
      <c r="E45" s="5" t="n">
        <v>22640</v>
      </c>
      <c r="F45" s="5" t="n">
        <v>15880</v>
      </c>
      <c r="G45" s="8" t="n">
        <v>6760</v>
      </c>
      <c r="H45" s="5" t="s">
        <v>12</v>
      </c>
      <c r="I45" s="5" t="s">
        <v>13</v>
      </c>
      <c r="J45" s="9" t="s">
        <v>14</v>
      </c>
    </row>
    <row r="46" customFormat="false" ht="18" hidden="false" customHeight="false" outlineLevel="0" collapsed="false">
      <c r="A46" s="6" t="n">
        <v>44808</v>
      </c>
      <c r="B46" s="7" t="n">
        <v>0.327083333333333</v>
      </c>
      <c r="C46" s="5" t="n">
        <v>11467</v>
      </c>
      <c r="D46" s="5" t="s">
        <v>17</v>
      </c>
      <c r="E46" s="5" t="n">
        <v>3120</v>
      </c>
      <c r="F46" s="5" t="n">
        <v>2700</v>
      </c>
      <c r="G46" s="8" t="n">
        <v>420</v>
      </c>
      <c r="H46" s="5" t="s">
        <v>12</v>
      </c>
      <c r="I46" s="5" t="s">
        <v>13</v>
      </c>
      <c r="J46" s="9" t="s">
        <v>14</v>
      </c>
    </row>
    <row r="47" customFormat="false" ht="18" hidden="false" customHeight="false" outlineLevel="0" collapsed="false">
      <c r="A47" s="6" t="n">
        <v>44808</v>
      </c>
      <c r="B47" s="7" t="n">
        <v>0.251388888888889</v>
      </c>
      <c r="C47" s="5" t="n">
        <v>11464</v>
      </c>
      <c r="D47" s="5" t="s">
        <v>15</v>
      </c>
      <c r="E47" s="5" t="n">
        <v>25540</v>
      </c>
      <c r="F47" s="5" t="n">
        <v>15920</v>
      </c>
      <c r="G47" s="8" t="n">
        <v>9620</v>
      </c>
      <c r="H47" s="5" t="s">
        <v>12</v>
      </c>
      <c r="I47" s="5" t="s">
        <v>13</v>
      </c>
      <c r="J47" s="9" t="s">
        <v>14</v>
      </c>
    </row>
    <row r="48" customFormat="false" ht="18" hidden="false" customHeight="false" outlineLevel="0" collapsed="false">
      <c r="A48" s="6" t="n">
        <v>44808</v>
      </c>
      <c r="B48" s="7" t="n">
        <v>0.239583333333333</v>
      </c>
      <c r="C48" s="5" t="n">
        <v>11462</v>
      </c>
      <c r="D48" s="5" t="s">
        <v>24</v>
      </c>
      <c r="E48" s="5" t="n">
        <v>19120</v>
      </c>
      <c r="F48" s="5" t="n">
        <v>15780</v>
      </c>
      <c r="G48" s="8" t="n">
        <v>3340</v>
      </c>
      <c r="H48" s="5" t="s">
        <v>12</v>
      </c>
      <c r="I48" s="5" t="s">
        <v>13</v>
      </c>
      <c r="J48" s="9" t="s">
        <v>14</v>
      </c>
    </row>
    <row r="49" customFormat="false" ht="18" hidden="false" customHeight="false" outlineLevel="0" collapsed="false">
      <c r="A49" s="6" t="n">
        <v>44808</v>
      </c>
      <c r="B49" s="7" t="n">
        <v>0.685416666666667</v>
      </c>
      <c r="C49" s="5" t="n">
        <v>11471</v>
      </c>
      <c r="D49" s="5" t="s">
        <v>16</v>
      </c>
      <c r="E49" s="5" t="n">
        <v>14120</v>
      </c>
      <c r="F49" s="5" t="n">
        <v>12700</v>
      </c>
      <c r="G49" s="8" t="n">
        <v>1420</v>
      </c>
      <c r="H49" s="5" t="s">
        <v>12</v>
      </c>
      <c r="I49" s="5" t="s">
        <v>13</v>
      </c>
      <c r="J49" s="9" t="s">
        <v>14</v>
      </c>
    </row>
    <row r="50" customFormat="false" ht="18" hidden="false" customHeight="false" outlineLevel="0" collapsed="false">
      <c r="A50" s="6" t="n">
        <v>44808</v>
      </c>
      <c r="B50" s="7" t="n">
        <v>0.0597222222222222</v>
      </c>
      <c r="C50" s="5" t="n">
        <v>11450</v>
      </c>
      <c r="D50" s="5" t="s">
        <v>16</v>
      </c>
      <c r="E50" s="5" t="n">
        <v>22200</v>
      </c>
      <c r="F50" s="5" t="n">
        <v>12800</v>
      </c>
      <c r="G50" s="8" t="n">
        <v>9400</v>
      </c>
      <c r="H50" s="5" t="s">
        <v>12</v>
      </c>
      <c r="I50" s="5" t="s">
        <v>13</v>
      </c>
      <c r="J50" s="9" t="s">
        <v>14</v>
      </c>
    </row>
    <row r="51" customFormat="false" ht="18" hidden="false" customHeight="false" outlineLevel="0" collapsed="false">
      <c r="A51" s="6" t="n">
        <v>44808</v>
      </c>
      <c r="B51" s="7" t="n">
        <v>0.243055555555556</v>
      </c>
      <c r="C51" s="5" t="n">
        <v>11463</v>
      </c>
      <c r="D51" s="5" t="s">
        <v>16</v>
      </c>
      <c r="E51" s="5" t="n">
        <v>22620</v>
      </c>
      <c r="F51" s="5" t="n">
        <v>12780</v>
      </c>
      <c r="G51" s="8" t="n">
        <v>9840</v>
      </c>
      <c r="H51" s="5" t="s">
        <v>12</v>
      </c>
      <c r="I51" s="5" t="s">
        <v>13</v>
      </c>
      <c r="J51" s="9" t="s">
        <v>14</v>
      </c>
    </row>
    <row r="52" customFormat="false" ht="18" hidden="false" customHeight="false" outlineLevel="0" collapsed="false">
      <c r="A52" s="6" t="n">
        <v>44808</v>
      </c>
      <c r="B52" s="7" t="n">
        <v>0.211111111111111</v>
      </c>
      <c r="C52" s="5" t="n">
        <v>11458</v>
      </c>
      <c r="D52" s="5" t="s">
        <v>11</v>
      </c>
      <c r="E52" s="5" t="n">
        <v>4820</v>
      </c>
      <c r="F52" s="5" t="n">
        <v>3660</v>
      </c>
      <c r="G52" s="8" t="n">
        <v>1160</v>
      </c>
      <c r="H52" s="5" t="s">
        <v>12</v>
      </c>
      <c r="I52" s="5" t="s">
        <v>13</v>
      </c>
      <c r="J52" s="9" t="s">
        <v>14</v>
      </c>
    </row>
    <row r="53" customFormat="false" ht="18" hidden="false" customHeight="false" outlineLevel="0" collapsed="false">
      <c r="A53" s="6" t="n">
        <v>44808</v>
      </c>
      <c r="B53" s="7" t="n">
        <v>0.445138888888889</v>
      </c>
      <c r="C53" s="5" t="n">
        <v>11470</v>
      </c>
      <c r="D53" s="5" t="s">
        <v>21</v>
      </c>
      <c r="E53" s="5" t="n">
        <v>2600</v>
      </c>
      <c r="F53" s="5" t="n">
        <v>2380</v>
      </c>
      <c r="G53" s="8" t="n">
        <v>220</v>
      </c>
      <c r="H53" s="5" t="s">
        <v>12</v>
      </c>
      <c r="I53" s="5" t="s">
        <v>13</v>
      </c>
      <c r="J53" s="9" t="s">
        <v>14</v>
      </c>
    </row>
    <row r="54" customFormat="false" ht="18" hidden="false" customHeight="false" outlineLevel="0" collapsed="false">
      <c r="A54" s="6" t="n">
        <v>44808</v>
      </c>
      <c r="B54" s="7" t="n">
        <v>0.8625</v>
      </c>
      <c r="C54" s="5" t="n">
        <v>11472</v>
      </c>
      <c r="D54" s="5" t="s">
        <v>17</v>
      </c>
      <c r="E54" s="5" t="n">
        <v>3160</v>
      </c>
      <c r="F54" s="5" t="n">
        <v>2660</v>
      </c>
      <c r="G54" s="8" t="n">
        <v>500</v>
      </c>
      <c r="H54" s="5" t="s">
        <v>12</v>
      </c>
      <c r="I54" s="5" t="s">
        <v>13</v>
      </c>
      <c r="J54" s="9" t="s">
        <v>14</v>
      </c>
    </row>
    <row r="55" customFormat="false" ht="18" hidden="false" customHeight="false" outlineLevel="0" collapsed="false">
      <c r="A55" s="6" t="n">
        <v>44809</v>
      </c>
      <c r="B55" s="7" t="n">
        <v>0.384027777777778</v>
      </c>
      <c r="C55" s="5" t="n">
        <v>11506</v>
      </c>
      <c r="D55" s="5" t="s">
        <v>18</v>
      </c>
      <c r="E55" s="5" t="n">
        <v>6420</v>
      </c>
      <c r="F55" s="5" t="n">
        <v>5600</v>
      </c>
      <c r="G55" s="8" t="n">
        <v>820</v>
      </c>
      <c r="H55" s="5" t="s">
        <v>12</v>
      </c>
      <c r="I55" s="5" t="s">
        <v>19</v>
      </c>
      <c r="J55" s="9" t="s">
        <v>14</v>
      </c>
    </row>
    <row r="56" customFormat="false" ht="18" hidden="false" customHeight="false" outlineLevel="0" collapsed="false">
      <c r="A56" s="6" t="n">
        <v>44809</v>
      </c>
      <c r="B56" s="7" t="n">
        <v>0.24375</v>
      </c>
      <c r="C56" s="5" t="n">
        <v>11489</v>
      </c>
      <c r="D56" s="5" t="s">
        <v>24</v>
      </c>
      <c r="E56" s="5" t="n">
        <v>19120</v>
      </c>
      <c r="F56" s="5" t="n">
        <v>15740</v>
      </c>
      <c r="G56" s="8" t="n">
        <v>3380</v>
      </c>
      <c r="H56" s="5" t="s">
        <v>12</v>
      </c>
      <c r="I56" s="5" t="s">
        <v>13</v>
      </c>
      <c r="J56" s="9" t="s">
        <v>14</v>
      </c>
    </row>
    <row r="57" customFormat="false" ht="18" hidden="false" customHeight="false" outlineLevel="0" collapsed="false">
      <c r="A57" s="6" t="n">
        <v>44809</v>
      </c>
      <c r="B57" s="7" t="n">
        <v>0.210416666666667</v>
      </c>
      <c r="C57" s="5" t="n">
        <v>11483</v>
      </c>
      <c r="D57" s="5" t="s">
        <v>11</v>
      </c>
      <c r="E57" s="5" t="n">
        <v>4720</v>
      </c>
      <c r="F57" s="5" t="n">
        <v>3700</v>
      </c>
      <c r="G57" s="8" t="n">
        <v>1020</v>
      </c>
      <c r="H57" s="5" t="s">
        <v>12</v>
      </c>
      <c r="I57" s="5" t="s">
        <v>13</v>
      </c>
      <c r="J57" s="9" t="s">
        <v>14</v>
      </c>
    </row>
    <row r="58" customFormat="false" ht="18" hidden="false" customHeight="false" outlineLevel="0" collapsed="false">
      <c r="A58" s="6" t="n">
        <v>44809</v>
      </c>
      <c r="B58" s="7" t="n">
        <v>0.25</v>
      </c>
      <c r="C58" s="5" t="n">
        <v>11491</v>
      </c>
      <c r="D58" s="5" t="s">
        <v>16</v>
      </c>
      <c r="E58" s="5" t="n">
        <v>21300</v>
      </c>
      <c r="F58" s="5" t="n">
        <v>12700</v>
      </c>
      <c r="G58" s="8" t="n">
        <v>8600</v>
      </c>
      <c r="H58" s="5" t="s">
        <v>12</v>
      </c>
      <c r="I58" s="5" t="s">
        <v>13</v>
      </c>
      <c r="J58" s="9" t="s">
        <v>14</v>
      </c>
    </row>
    <row r="59" customFormat="false" ht="18" hidden="false" customHeight="false" outlineLevel="0" collapsed="false">
      <c r="A59" s="6" t="n">
        <v>44809</v>
      </c>
      <c r="B59" s="7" t="n">
        <v>0.0652777777777778</v>
      </c>
      <c r="C59" s="5" t="n">
        <v>11475</v>
      </c>
      <c r="D59" s="5" t="s">
        <v>16</v>
      </c>
      <c r="E59" s="5" t="n">
        <v>21800</v>
      </c>
      <c r="F59" s="5" t="n">
        <v>12720</v>
      </c>
      <c r="G59" s="8" t="n">
        <v>9080</v>
      </c>
      <c r="H59" s="5" t="s">
        <v>12</v>
      </c>
      <c r="I59" s="5" t="s">
        <v>13</v>
      </c>
      <c r="J59" s="9" t="s">
        <v>14</v>
      </c>
    </row>
    <row r="60" customFormat="false" ht="18" hidden="false" customHeight="false" outlineLevel="0" collapsed="false">
      <c r="A60" s="6" t="n">
        <v>44809</v>
      </c>
      <c r="B60" s="7" t="n">
        <v>0.211805555555556</v>
      </c>
      <c r="C60" s="5" t="n">
        <v>11485</v>
      </c>
      <c r="D60" s="5" t="s">
        <v>17</v>
      </c>
      <c r="E60" s="5" t="n">
        <v>3240</v>
      </c>
      <c r="F60" s="5" t="n">
        <v>2780</v>
      </c>
      <c r="G60" s="8" t="n">
        <v>460</v>
      </c>
      <c r="H60" s="5" t="s">
        <v>12</v>
      </c>
      <c r="I60" s="5" t="s">
        <v>13</v>
      </c>
      <c r="J60" s="9" t="s">
        <v>14</v>
      </c>
    </row>
    <row r="61" customFormat="false" ht="18" hidden="false" customHeight="false" outlineLevel="0" collapsed="false">
      <c r="A61" s="6" t="n">
        <v>44809</v>
      </c>
      <c r="B61" s="7" t="n">
        <v>0.24375</v>
      </c>
      <c r="C61" s="5" t="n">
        <v>11488</v>
      </c>
      <c r="D61" s="5" t="s">
        <v>15</v>
      </c>
      <c r="E61" s="5" t="n">
        <v>24920</v>
      </c>
      <c r="F61" s="5" t="n">
        <v>15880</v>
      </c>
      <c r="G61" s="8" t="n">
        <v>9040</v>
      </c>
      <c r="H61" s="5" t="s">
        <v>12</v>
      </c>
      <c r="I61" s="5" t="s">
        <v>13</v>
      </c>
      <c r="J61" s="9" t="s">
        <v>14</v>
      </c>
    </row>
    <row r="62" customFormat="false" ht="18" hidden="false" customHeight="false" outlineLevel="0" collapsed="false">
      <c r="A62" s="6" t="n">
        <v>44809</v>
      </c>
      <c r="B62" s="7" t="n">
        <v>0.510416666666667</v>
      </c>
      <c r="C62" s="5" t="n">
        <v>11517</v>
      </c>
      <c r="D62" s="5" t="s">
        <v>18</v>
      </c>
      <c r="E62" s="5" t="n">
        <v>6540</v>
      </c>
      <c r="F62" s="5" t="n">
        <v>5580</v>
      </c>
      <c r="G62" s="8" t="n">
        <v>960</v>
      </c>
      <c r="H62" s="5" t="s">
        <v>12</v>
      </c>
      <c r="I62" s="5" t="s">
        <v>19</v>
      </c>
      <c r="J62" s="9" t="s">
        <v>14</v>
      </c>
    </row>
    <row r="63" customFormat="false" ht="18" hidden="false" customHeight="false" outlineLevel="0" collapsed="false">
      <c r="A63" s="6" t="n">
        <v>44809</v>
      </c>
      <c r="B63" s="7" t="n">
        <v>0.431944444444444</v>
      </c>
      <c r="C63" s="5" t="n">
        <v>11510</v>
      </c>
      <c r="D63" s="7" t="s">
        <v>21</v>
      </c>
      <c r="E63" s="5" t="n">
        <v>2680</v>
      </c>
      <c r="F63" s="5" t="n">
        <v>2360</v>
      </c>
      <c r="G63" s="8" t="n">
        <v>320</v>
      </c>
      <c r="H63" s="5" t="s">
        <v>12</v>
      </c>
      <c r="I63" s="5" t="s">
        <v>13</v>
      </c>
      <c r="J63" s="9" t="s">
        <v>14</v>
      </c>
    </row>
    <row r="64" customFormat="false" ht="18" hidden="false" customHeight="false" outlineLevel="0" collapsed="false">
      <c r="A64" s="6" t="n">
        <v>44809</v>
      </c>
      <c r="B64" s="7" t="n">
        <v>0.497916666666667</v>
      </c>
      <c r="C64" s="5" t="n">
        <v>3421</v>
      </c>
      <c r="D64" s="5" t="s">
        <v>24</v>
      </c>
      <c r="E64" s="5" t="n">
        <v>17640</v>
      </c>
      <c r="F64" s="5" t="n">
        <v>15760</v>
      </c>
      <c r="G64" s="8" t="n">
        <v>1880</v>
      </c>
      <c r="H64" s="5" t="s">
        <v>12</v>
      </c>
      <c r="I64" s="5" t="s">
        <v>10</v>
      </c>
      <c r="J64" s="9" t="s">
        <v>14</v>
      </c>
    </row>
    <row r="65" customFormat="false" ht="18" hidden="false" customHeight="false" outlineLevel="0" collapsed="false">
      <c r="A65" s="6" t="n">
        <v>44809</v>
      </c>
      <c r="B65" s="7" t="n">
        <v>0.864583333333333</v>
      </c>
      <c r="C65" s="5" t="n">
        <v>11527</v>
      </c>
      <c r="D65" s="5" t="s">
        <v>17</v>
      </c>
      <c r="E65" s="5" t="n">
        <v>3000</v>
      </c>
      <c r="F65" s="5" t="n">
        <v>2620</v>
      </c>
      <c r="G65" s="8" t="n">
        <v>380</v>
      </c>
      <c r="H65" s="5" t="s">
        <v>12</v>
      </c>
      <c r="I65" s="5" t="s">
        <v>13</v>
      </c>
      <c r="J65" s="9" t="s">
        <v>14</v>
      </c>
    </row>
    <row r="66" customFormat="false" ht="18" hidden="false" customHeight="false" outlineLevel="0" collapsed="false">
      <c r="A66" s="6" t="n">
        <v>44809</v>
      </c>
      <c r="B66" s="7" t="n">
        <v>0.702083333333333</v>
      </c>
      <c r="C66" s="5" t="n">
        <v>11526</v>
      </c>
      <c r="D66" s="5" t="s">
        <v>16</v>
      </c>
      <c r="E66" s="5" t="n">
        <v>15160</v>
      </c>
      <c r="F66" s="5" t="n">
        <v>12780</v>
      </c>
      <c r="G66" s="8" t="n">
        <v>2380</v>
      </c>
      <c r="H66" s="5" t="s">
        <v>12</v>
      </c>
      <c r="I66" s="5" t="s">
        <v>13</v>
      </c>
      <c r="J66" s="9" t="s">
        <v>14</v>
      </c>
    </row>
    <row r="67" customFormat="false" ht="18" hidden="false" customHeight="false" outlineLevel="0" collapsed="false">
      <c r="A67" s="6" t="n">
        <v>44809</v>
      </c>
      <c r="B67" s="7" t="n">
        <v>0.863888888888889</v>
      </c>
      <c r="C67" s="5" t="n">
        <v>11528</v>
      </c>
      <c r="D67" s="5" t="s">
        <v>15</v>
      </c>
      <c r="E67" s="5" t="n">
        <v>21260</v>
      </c>
      <c r="F67" s="5" t="n">
        <v>15880</v>
      </c>
      <c r="G67" s="8" t="n">
        <v>5380</v>
      </c>
      <c r="H67" s="5" t="s">
        <v>12</v>
      </c>
      <c r="I67" s="5" t="s">
        <v>13</v>
      </c>
      <c r="J67" s="9" t="s">
        <v>14</v>
      </c>
    </row>
    <row r="68" customFormat="false" ht="18" hidden="false" customHeight="false" outlineLevel="0" collapsed="false">
      <c r="A68" s="6" t="n">
        <v>44810</v>
      </c>
      <c r="B68" s="7" t="n">
        <v>0.243055555555556</v>
      </c>
      <c r="C68" s="5" t="n">
        <v>11546</v>
      </c>
      <c r="D68" s="5" t="s">
        <v>16</v>
      </c>
      <c r="E68" s="5" t="n">
        <v>19380</v>
      </c>
      <c r="F68" s="5" t="n">
        <v>12760</v>
      </c>
      <c r="G68" s="8" t="n">
        <v>6620</v>
      </c>
      <c r="H68" s="5" t="s">
        <v>12</v>
      </c>
      <c r="I68" s="5" t="s">
        <v>13</v>
      </c>
      <c r="J68" s="9" t="s">
        <v>14</v>
      </c>
    </row>
    <row r="69" customFormat="false" ht="18" hidden="false" customHeight="false" outlineLevel="0" collapsed="false">
      <c r="A69" s="6" t="n">
        <v>44810</v>
      </c>
      <c r="B69" s="7" t="n">
        <v>0.0736111111111111</v>
      </c>
      <c r="C69" s="5" t="n">
        <v>11530</v>
      </c>
      <c r="D69" s="5" t="s">
        <v>16</v>
      </c>
      <c r="E69" s="5" t="n">
        <v>21680</v>
      </c>
      <c r="F69" s="5" t="n">
        <v>12800</v>
      </c>
      <c r="G69" s="8" t="n">
        <v>8880</v>
      </c>
      <c r="H69" s="5" t="s">
        <v>12</v>
      </c>
      <c r="I69" s="5" t="s">
        <v>13</v>
      </c>
      <c r="J69" s="9" t="s">
        <v>14</v>
      </c>
    </row>
    <row r="70" customFormat="false" ht="18" hidden="false" customHeight="false" outlineLevel="0" collapsed="false">
      <c r="A70" s="6" t="n">
        <v>44810</v>
      </c>
      <c r="B70" s="7" t="n">
        <v>0.247222222222222</v>
      </c>
      <c r="C70" s="5" t="n">
        <v>11549</v>
      </c>
      <c r="D70" s="5" t="s">
        <v>15</v>
      </c>
      <c r="E70" s="5" t="n">
        <v>23840</v>
      </c>
      <c r="F70" s="5" t="n">
        <v>15860</v>
      </c>
      <c r="G70" s="8" t="n">
        <v>7980</v>
      </c>
      <c r="H70" s="5" t="s">
        <v>12</v>
      </c>
      <c r="I70" s="5" t="s">
        <v>13</v>
      </c>
      <c r="J70" s="9" t="s">
        <v>14</v>
      </c>
    </row>
    <row r="71" customFormat="false" ht="18" hidden="false" customHeight="false" outlineLevel="0" collapsed="false">
      <c r="A71" s="6" t="n">
        <v>44810</v>
      </c>
      <c r="B71" s="7" t="n">
        <v>0.500694444444444</v>
      </c>
      <c r="C71" s="5" t="n">
        <v>11575</v>
      </c>
      <c r="D71" s="5" t="s">
        <v>20</v>
      </c>
      <c r="E71" s="5" t="n">
        <v>3440</v>
      </c>
      <c r="F71" s="5" t="n">
        <v>2800</v>
      </c>
      <c r="G71" s="8" t="n">
        <v>640</v>
      </c>
      <c r="H71" s="5" t="s">
        <v>12</v>
      </c>
      <c r="I71" s="5" t="s">
        <v>13</v>
      </c>
      <c r="J71" s="9" t="s">
        <v>14</v>
      </c>
    </row>
    <row r="72" customFormat="false" ht="18" hidden="false" customHeight="false" outlineLevel="0" collapsed="false">
      <c r="A72" s="6" t="n">
        <v>44810</v>
      </c>
      <c r="B72" s="7" t="n">
        <v>0.202777777777778</v>
      </c>
      <c r="C72" s="5" t="n">
        <v>11543</v>
      </c>
      <c r="D72" s="5" t="s">
        <v>20</v>
      </c>
      <c r="E72" s="5" t="n">
        <v>3160</v>
      </c>
      <c r="F72" s="5" t="n">
        <v>2940</v>
      </c>
      <c r="G72" s="8" t="n">
        <v>220</v>
      </c>
      <c r="H72" s="5" t="s">
        <v>12</v>
      </c>
      <c r="I72" s="5" t="s">
        <v>13</v>
      </c>
      <c r="J72" s="9" t="s">
        <v>14</v>
      </c>
    </row>
    <row r="73" customFormat="false" ht="18" hidden="false" customHeight="false" outlineLevel="0" collapsed="false">
      <c r="A73" s="6" t="n">
        <v>44810</v>
      </c>
      <c r="B73" s="7" t="n">
        <v>0.202083333333333</v>
      </c>
      <c r="C73" s="5" t="n">
        <v>11542</v>
      </c>
      <c r="D73" s="5" t="s">
        <v>17</v>
      </c>
      <c r="E73" s="5" t="n">
        <v>3220</v>
      </c>
      <c r="F73" s="5" t="n">
        <v>2800</v>
      </c>
      <c r="G73" s="8" t="n">
        <v>420</v>
      </c>
      <c r="H73" s="5" t="s">
        <v>12</v>
      </c>
      <c r="I73" s="5" t="s">
        <v>13</v>
      </c>
      <c r="J73" s="9" t="s">
        <v>14</v>
      </c>
    </row>
    <row r="74" customFormat="false" ht="18" hidden="false" customHeight="false" outlineLevel="0" collapsed="false">
      <c r="A74" s="6" t="n">
        <v>44810</v>
      </c>
      <c r="B74" s="7" t="n">
        <v>0.118055555555556</v>
      </c>
      <c r="C74" s="5" t="n">
        <v>11534</v>
      </c>
      <c r="D74" s="5" t="s">
        <v>20</v>
      </c>
      <c r="E74" s="5" t="n">
        <v>3340</v>
      </c>
      <c r="F74" s="5" t="n">
        <v>2840</v>
      </c>
      <c r="G74" s="8" t="n">
        <v>500</v>
      </c>
      <c r="H74" s="5" t="s">
        <v>12</v>
      </c>
      <c r="I74" s="5" t="s">
        <v>13</v>
      </c>
      <c r="J74" s="9" t="s">
        <v>14</v>
      </c>
    </row>
    <row r="75" customFormat="false" ht="18" hidden="false" customHeight="false" outlineLevel="0" collapsed="false">
      <c r="A75" s="6" t="n">
        <v>44810</v>
      </c>
      <c r="B75" s="7" t="n">
        <v>0.485416666666667</v>
      </c>
      <c r="C75" s="5" t="n">
        <v>11573</v>
      </c>
      <c r="D75" s="5" t="s">
        <v>21</v>
      </c>
      <c r="E75" s="5" t="n">
        <v>2520</v>
      </c>
      <c r="F75" s="5" t="n">
        <v>2420</v>
      </c>
      <c r="G75" s="8" t="n">
        <v>100</v>
      </c>
      <c r="H75" s="5" t="s">
        <v>12</v>
      </c>
      <c r="I75" s="5" t="s">
        <v>13</v>
      </c>
      <c r="J75" s="9" t="s">
        <v>14</v>
      </c>
    </row>
    <row r="76" customFormat="false" ht="18" hidden="false" customHeight="false" outlineLevel="0" collapsed="false">
      <c r="A76" s="6" t="n">
        <v>44810</v>
      </c>
      <c r="B76" s="7" t="n">
        <v>0.0236111111111111</v>
      </c>
      <c r="C76" s="5" t="n">
        <v>11529</v>
      </c>
      <c r="D76" s="5" t="s">
        <v>25</v>
      </c>
      <c r="E76" s="5" t="n">
        <v>13960</v>
      </c>
      <c r="F76" s="5" t="n">
        <v>12480</v>
      </c>
      <c r="G76" s="8" t="n">
        <v>1480</v>
      </c>
      <c r="H76" s="5" t="s">
        <v>12</v>
      </c>
      <c r="I76" s="5" t="s">
        <v>13</v>
      </c>
      <c r="J76" s="9" t="s">
        <v>14</v>
      </c>
    </row>
    <row r="77" customFormat="false" ht="18" hidden="false" customHeight="false" outlineLevel="0" collapsed="false">
      <c r="A77" s="6" t="n">
        <v>44810</v>
      </c>
      <c r="B77" s="7" t="n">
        <v>0.246527777777778</v>
      </c>
      <c r="C77" s="5" t="n">
        <v>11548</v>
      </c>
      <c r="D77" s="5" t="s">
        <v>24</v>
      </c>
      <c r="E77" s="5" t="n">
        <v>19920</v>
      </c>
      <c r="F77" s="5" t="n">
        <v>15780</v>
      </c>
      <c r="G77" s="8" t="n">
        <v>4140</v>
      </c>
      <c r="H77" s="5" t="s">
        <v>12</v>
      </c>
      <c r="I77" s="5" t="s">
        <v>13</v>
      </c>
      <c r="J77" s="9" t="s">
        <v>14</v>
      </c>
    </row>
    <row r="78" customFormat="false" ht="18" hidden="false" customHeight="false" outlineLevel="0" collapsed="false">
      <c r="A78" s="6" t="n">
        <v>44810</v>
      </c>
      <c r="B78" s="7" t="n">
        <v>0.499305555555555</v>
      </c>
      <c r="C78" s="5" t="n">
        <v>144077</v>
      </c>
      <c r="D78" s="5" t="s">
        <v>24</v>
      </c>
      <c r="E78" s="5" t="n">
        <v>17380</v>
      </c>
      <c r="F78" s="5" t="n">
        <v>15380</v>
      </c>
      <c r="G78" s="8" t="n">
        <v>2000</v>
      </c>
      <c r="H78" s="5" t="s">
        <v>12</v>
      </c>
      <c r="I78" s="5" t="s">
        <v>23</v>
      </c>
      <c r="J78" s="9" t="s">
        <v>14</v>
      </c>
    </row>
    <row r="79" customFormat="false" ht="18" hidden="false" customHeight="false" outlineLevel="0" collapsed="false">
      <c r="A79" s="6" t="n">
        <v>44810</v>
      </c>
      <c r="B79" s="7" t="n">
        <v>0.853472222222222</v>
      </c>
      <c r="C79" s="5" t="n">
        <v>11593</v>
      </c>
      <c r="D79" s="5" t="s">
        <v>17</v>
      </c>
      <c r="E79" s="5" t="n">
        <v>3100</v>
      </c>
      <c r="F79" s="5" t="n">
        <v>2680</v>
      </c>
      <c r="G79" s="8" t="n">
        <v>420</v>
      </c>
      <c r="H79" s="5" t="s">
        <v>12</v>
      </c>
      <c r="I79" s="5" t="s">
        <v>13</v>
      </c>
      <c r="J79" s="9" t="s">
        <v>14</v>
      </c>
    </row>
    <row r="80" customFormat="false" ht="18" hidden="false" customHeight="false" outlineLevel="0" collapsed="false">
      <c r="A80" s="6" t="n">
        <v>44810</v>
      </c>
      <c r="B80" s="7" t="n">
        <v>0.866666666666667</v>
      </c>
      <c r="C80" s="5" t="n">
        <v>11595</v>
      </c>
      <c r="D80" s="5" t="s">
        <v>15</v>
      </c>
      <c r="E80" s="5" t="n">
        <v>21060</v>
      </c>
      <c r="F80" s="5" t="n">
        <v>15840</v>
      </c>
      <c r="G80" s="8" t="n">
        <v>5220</v>
      </c>
      <c r="H80" s="5" t="s">
        <v>12</v>
      </c>
      <c r="I80" s="5" t="s">
        <v>13</v>
      </c>
      <c r="J80" s="9" t="s">
        <v>14</v>
      </c>
    </row>
    <row r="81" customFormat="false" ht="18" hidden="false" customHeight="false" outlineLevel="0" collapsed="false">
      <c r="A81" s="6" t="n">
        <v>44810</v>
      </c>
      <c r="B81" s="7" t="n">
        <v>0.698611111111111</v>
      </c>
      <c r="C81" s="5" t="n">
        <v>11588</v>
      </c>
      <c r="D81" s="5" t="s">
        <v>16</v>
      </c>
      <c r="E81" s="5" t="n">
        <v>14920</v>
      </c>
      <c r="F81" s="5" t="n">
        <v>12720</v>
      </c>
      <c r="G81" s="8" t="n">
        <v>2200</v>
      </c>
      <c r="H81" s="5" t="s">
        <v>12</v>
      </c>
      <c r="I81" s="5" t="s">
        <v>13</v>
      </c>
      <c r="J81" s="9" t="s">
        <v>14</v>
      </c>
    </row>
    <row r="82" customFormat="false" ht="18" hidden="false" customHeight="false" outlineLevel="0" collapsed="false">
      <c r="A82" s="6" t="n">
        <v>44811</v>
      </c>
      <c r="B82" s="7" t="n">
        <v>0.134722222222222</v>
      </c>
      <c r="C82" s="5" t="n">
        <v>11603</v>
      </c>
      <c r="D82" s="5" t="s">
        <v>15</v>
      </c>
      <c r="E82" s="5" t="n">
        <v>23600</v>
      </c>
      <c r="F82" s="5" t="n">
        <v>15840</v>
      </c>
      <c r="G82" s="8" t="n">
        <v>7760</v>
      </c>
      <c r="H82" s="5" t="s">
        <v>12</v>
      </c>
      <c r="I82" s="5" t="s">
        <v>13</v>
      </c>
      <c r="J82" s="9" t="s">
        <v>14</v>
      </c>
    </row>
    <row r="83" customFormat="false" ht="18" hidden="false" customHeight="false" outlineLevel="0" collapsed="false">
      <c r="A83" s="6" t="n">
        <v>44811</v>
      </c>
      <c r="B83" s="7" t="n">
        <v>0.211805555555556</v>
      </c>
      <c r="C83" s="5" t="n">
        <v>11608</v>
      </c>
      <c r="D83" s="5" t="s">
        <v>11</v>
      </c>
      <c r="E83" s="5" t="n">
        <v>4980</v>
      </c>
      <c r="F83" s="5" t="n">
        <v>3700</v>
      </c>
      <c r="G83" s="8" t="n">
        <v>1280</v>
      </c>
      <c r="H83" s="5" t="s">
        <v>12</v>
      </c>
      <c r="I83" s="5" t="s">
        <v>13</v>
      </c>
      <c r="J83" s="9" t="s">
        <v>14</v>
      </c>
    </row>
    <row r="84" customFormat="false" ht="18" hidden="false" customHeight="false" outlineLevel="0" collapsed="false">
      <c r="A84" s="6" t="n">
        <v>44811</v>
      </c>
      <c r="B84" s="7" t="n">
        <v>0.467361111111111</v>
      </c>
      <c r="C84" s="5" t="n">
        <v>11639</v>
      </c>
      <c r="D84" s="5" t="s">
        <v>20</v>
      </c>
      <c r="E84" s="5" t="n">
        <v>3080</v>
      </c>
      <c r="F84" s="5" t="n">
        <v>2740</v>
      </c>
      <c r="G84" s="8" t="n">
        <v>340</v>
      </c>
      <c r="H84" s="5" t="s">
        <v>12</v>
      </c>
      <c r="I84" s="5" t="s">
        <v>13</v>
      </c>
      <c r="J84" s="9" t="s">
        <v>14</v>
      </c>
    </row>
    <row r="85" customFormat="false" ht="18" hidden="false" customHeight="false" outlineLevel="0" collapsed="false">
      <c r="A85" s="6" t="n">
        <v>44811</v>
      </c>
      <c r="B85" s="7" t="n">
        <v>0.505555555555556</v>
      </c>
      <c r="C85" s="5" t="n">
        <v>11643</v>
      </c>
      <c r="D85" s="5" t="s">
        <v>18</v>
      </c>
      <c r="E85" s="5" t="n">
        <v>6440</v>
      </c>
      <c r="F85" s="5" t="n">
        <v>5720</v>
      </c>
      <c r="G85" s="8" t="n">
        <v>720</v>
      </c>
      <c r="H85" s="5" t="s">
        <v>12</v>
      </c>
      <c r="I85" s="5" t="s">
        <v>19</v>
      </c>
      <c r="J85" s="9" t="s">
        <v>14</v>
      </c>
    </row>
    <row r="86" customFormat="false" ht="18" hidden="false" customHeight="false" outlineLevel="0" collapsed="false">
      <c r="A86" s="6" t="n">
        <v>44811</v>
      </c>
      <c r="B86" s="7" t="n">
        <v>0.413194444444444</v>
      </c>
      <c r="C86" s="5" t="n">
        <v>11630</v>
      </c>
      <c r="D86" s="5" t="s">
        <v>18</v>
      </c>
      <c r="E86" s="5" t="n">
        <v>6460</v>
      </c>
      <c r="F86" s="5" t="n">
        <v>5560</v>
      </c>
      <c r="G86" s="8" t="n">
        <v>900</v>
      </c>
      <c r="H86" s="5" t="s">
        <v>12</v>
      </c>
      <c r="I86" s="5" t="s">
        <v>19</v>
      </c>
      <c r="J86" s="9" t="s">
        <v>14</v>
      </c>
    </row>
    <row r="87" customFormat="false" ht="18" hidden="false" customHeight="false" outlineLevel="0" collapsed="false">
      <c r="A87" s="6" t="n">
        <v>44811</v>
      </c>
      <c r="B87" s="7" t="n">
        <v>0.0819444444444444</v>
      </c>
      <c r="C87" s="5" t="n">
        <v>11597</v>
      </c>
      <c r="D87" s="5" t="s">
        <v>16</v>
      </c>
      <c r="E87" s="5" t="n">
        <v>22060</v>
      </c>
      <c r="F87" s="5" t="n">
        <v>12740</v>
      </c>
      <c r="G87" s="8" t="n">
        <v>9320</v>
      </c>
      <c r="H87" s="5" t="s">
        <v>12</v>
      </c>
      <c r="I87" s="5" t="s">
        <v>13</v>
      </c>
      <c r="J87" s="9" t="s">
        <v>14</v>
      </c>
    </row>
    <row r="88" customFormat="false" ht="18" hidden="false" customHeight="false" outlineLevel="0" collapsed="false">
      <c r="A88" s="6" t="n">
        <v>44811</v>
      </c>
      <c r="B88" s="7" t="n">
        <v>0.248611111111111</v>
      </c>
      <c r="C88" s="5" t="n">
        <v>11611</v>
      </c>
      <c r="D88" s="5" t="s">
        <v>15</v>
      </c>
      <c r="E88" s="5" t="n">
        <v>19260</v>
      </c>
      <c r="F88" s="5" t="n">
        <v>15820</v>
      </c>
      <c r="G88" s="8" t="n">
        <v>3440</v>
      </c>
      <c r="H88" s="5" t="s">
        <v>12</v>
      </c>
      <c r="I88" s="5" t="s">
        <v>13</v>
      </c>
      <c r="J88" s="9" t="s">
        <v>14</v>
      </c>
    </row>
    <row r="89" customFormat="false" ht="18" hidden="false" customHeight="false" outlineLevel="0" collapsed="false">
      <c r="A89" s="6" t="n">
        <v>44811</v>
      </c>
      <c r="B89" s="7" t="n">
        <v>0.247222222222222</v>
      </c>
      <c r="C89" s="5" t="n">
        <v>11610</v>
      </c>
      <c r="D89" s="5" t="s">
        <v>16</v>
      </c>
      <c r="E89" s="5" t="n">
        <v>19240</v>
      </c>
      <c r="F89" s="5" t="n">
        <v>12740</v>
      </c>
      <c r="G89" s="8" t="n">
        <v>6500</v>
      </c>
      <c r="H89" s="5" t="s">
        <v>12</v>
      </c>
      <c r="I89" s="5" t="s">
        <v>13</v>
      </c>
      <c r="J89" s="9" t="s">
        <v>14</v>
      </c>
    </row>
    <row r="90" customFormat="false" ht="18" hidden="false" customHeight="false" outlineLevel="0" collapsed="false">
      <c r="A90" s="6" t="n">
        <v>44811</v>
      </c>
      <c r="B90" s="7" t="n">
        <v>0.471527777777778</v>
      </c>
      <c r="C90" s="5" t="n">
        <v>11638</v>
      </c>
      <c r="D90" s="5" t="s">
        <v>21</v>
      </c>
      <c r="E90" s="5" t="n">
        <v>2620</v>
      </c>
      <c r="F90" s="5" t="n">
        <v>2320</v>
      </c>
      <c r="G90" s="8" t="n">
        <v>300</v>
      </c>
      <c r="H90" s="5" t="s">
        <v>12</v>
      </c>
      <c r="I90" s="5" t="s">
        <v>13</v>
      </c>
      <c r="J90" s="9" t="s">
        <v>14</v>
      </c>
    </row>
    <row r="91" customFormat="false" ht="18" hidden="false" customHeight="false" outlineLevel="0" collapsed="false">
      <c r="A91" s="6" t="n">
        <v>44811</v>
      </c>
      <c r="B91" s="7" t="n">
        <v>0.875694444444444</v>
      </c>
      <c r="C91" s="5" t="n">
        <v>11666</v>
      </c>
      <c r="D91" s="5" t="s">
        <v>15</v>
      </c>
      <c r="E91" s="5" t="n">
        <v>22420</v>
      </c>
      <c r="F91" s="5" t="n">
        <v>15760</v>
      </c>
      <c r="G91" s="8" t="n">
        <v>6660</v>
      </c>
      <c r="H91" s="5" t="s">
        <v>12</v>
      </c>
      <c r="I91" s="5" t="s">
        <v>13</v>
      </c>
      <c r="J91" s="9" t="s">
        <v>14</v>
      </c>
    </row>
    <row r="92" customFormat="false" ht="18" hidden="false" customHeight="false" outlineLevel="0" collapsed="false">
      <c r="A92" s="6" t="n">
        <v>44811</v>
      </c>
      <c r="B92" s="7" t="n">
        <v>0.69375</v>
      </c>
      <c r="C92" s="5" t="n">
        <v>11659</v>
      </c>
      <c r="D92" s="5" t="s">
        <v>16</v>
      </c>
      <c r="E92" s="5" t="n">
        <v>14360</v>
      </c>
      <c r="F92" s="5" t="n">
        <v>12880</v>
      </c>
      <c r="G92" s="8" t="n">
        <v>1480</v>
      </c>
      <c r="H92" s="5" t="s">
        <v>12</v>
      </c>
      <c r="I92" s="5" t="s">
        <v>13</v>
      </c>
      <c r="J92" s="9" t="s">
        <v>14</v>
      </c>
    </row>
    <row r="93" customFormat="false" ht="18" hidden="false" customHeight="false" outlineLevel="0" collapsed="false">
      <c r="A93" s="6" t="n">
        <v>44811</v>
      </c>
      <c r="B93" s="7" t="n">
        <v>0.861111111111111</v>
      </c>
      <c r="C93" s="5" t="n">
        <v>11665</v>
      </c>
      <c r="D93" s="5" t="s">
        <v>17</v>
      </c>
      <c r="E93" s="5" t="n">
        <v>3020</v>
      </c>
      <c r="F93" s="5" t="n">
        <v>2680</v>
      </c>
      <c r="G93" s="8" t="n">
        <v>340</v>
      </c>
      <c r="H93" s="5" t="s">
        <v>12</v>
      </c>
      <c r="I93" s="5" t="s">
        <v>13</v>
      </c>
      <c r="J93" s="9" t="s">
        <v>14</v>
      </c>
    </row>
    <row r="94" customFormat="false" ht="18" hidden="false" customHeight="false" outlineLevel="0" collapsed="false">
      <c r="A94" s="6" t="n">
        <v>44812</v>
      </c>
      <c r="B94" s="7" t="n">
        <v>0.493055555555556</v>
      </c>
      <c r="C94" s="5" t="n">
        <v>11711</v>
      </c>
      <c r="D94" s="5" t="s">
        <v>20</v>
      </c>
      <c r="E94" s="5" t="n">
        <v>3480</v>
      </c>
      <c r="F94" s="5" t="n">
        <v>2840</v>
      </c>
      <c r="G94" s="8" t="n">
        <v>640</v>
      </c>
      <c r="H94" s="5" t="s">
        <v>12</v>
      </c>
      <c r="I94" s="5" t="s">
        <v>13</v>
      </c>
      <c r="J94" s="9" t="s">
        <v>14</v>
      </c>
    </row>
    <row r="95" customFormat="false" ht="18" hidden="false" customHeight="false" outlineLevel="0" collapsed="false">
      <c r="A95" s="6" t="n">
        <v>44812</v>
      </c>
      <c r="B95" s="7" t="n">
        <v>0.0652777777777778</v>
      </c>
      <c r="C95" s="5" t="n">
        <v>11668</v>
      </c>
      <c r="D95" s="5" t="s">
        <v>16</v>
      </c>
      <c r="E95" s="5" t="n">
        <v>21960</v>
      </c>
      <c r="F95" s="5" t="n">
        <v>12800</v>
      </c>
      <c r="G95" s="8" t="n">
        <v>9160</v>
      </c>
      <c r="H95" s="5" t="s">
        <v>12</v>
      </c>
      <c r="I95" s="5" t="s">
        <v>13</v>
      </c>
      <c r="J95" s="9" t="s">
        <v>14</v>
      </c>
    </row>
    <row r="96" customFormat="false" ht="18" hidden="false" customHeight="false" outlineLevel="0" collapsed="false">
      <c r="A96" s="6" t="n">
        <v>44812</v>
      </c>
      <c r="B96" s="7" t="n">
        <v>0.211111111111111</v>
      </c>
      <c r="C96" s="5" t="n">
        <v>11677</v>
      </c>
      <c r="D96" s="5" t="s">
        <v>11</v>
      </c>
      <c r="E96" s="5" t="n">
        <v>5160</v>
      </c>
      <c r="F96" s="5" t="n">
        <v>3800</v>
      </c>
      <c r="G96" s="8" t="n">
        <v>1360</v>
      </c>
      <c r="H96" s="5" t="s">
        <v>12</v>
      </c>
      <c r="I96" s="5" t="s">
        <v>13</v>
      </c>
      <c r="J96" s="9" t="s">
        <v>14</v>
      </c>
    </row>
    <row r="97" customFormat="false" ht="18" hidden="false" customHeight="false" outlineLevel="0" collapsed="false">
      <c r="A97" s="6" t="n">
        <v>44812</v>
      </c>
      <c r="B97" s="7" t="n">
        <v>0.245138888888889</v>
      </c>
      <c r="C97" s="5" t="n">
        <v>11680</v>
      </c>
      <c r="D97" s="5" t="s">
        <v>16</v>
      </c>
      <c r="E97" s="5" t="n">
        <v>20040</v>
      </c>
      <c r="F97" s="5" t="n">
        <v>12780</v>
      </c>
      <c r="G97" s="8" t="n">
        <v>7260</v>
      </c>
      <c r="H97" s="5" t="s">
        <v>12</v>
      </c>
      <c r="I97" s="5" t="s">
        <v>13</v>
      </c>
      <c r="J97" s="9" t="s">
        <v>14</v>
      </c>
    </row>
    <row r="98" customFormat="false" ht="18" hidden="false" customHeight="false" outlineLevel="0" collapsed="false">
      <c r="A98" s="6" t="n">
        <v>44812</v>
      </c>
      <c r="B98" s="7" t="n">
        <v>0.86875</v>
      </c>
      <c r="C98" s="5" t="n">
        <v>11734</v>
      </c>
      <c r="D98" s="5" t="s">
        <v>15</v>
      </c>
      <c r="E98" s="5" t="n">
        <v>21940</v>
      </c>
      <c r="F98" s="5" t="n">
        <v>15940</v>
      </c>
      <c r="G98" s="8" t="n">
        <v>6000</v>
      </c>
      <c r="H98" s="5" t="s">
        <v>12</v>
      </c>
      <c r="I98" s="6" t="s">
        <v>13</v>
      </c>
      <c r="J98" s="9" t="s">
        <v>14</v>
      </c>
    </row>
    <row r="99" customFormat="false" ht="18" hidden="false" customHeight="false" outlineLevel="0" collapsed="false">
      <c r="A99" s="6" t="n">
        <v>44812</v>
      </c>
      <c r="B99" s="7" t="n">
        <v>0.870833333333333</v>
      </c>
      <c r="C99" s="5" t="n">
        <v>11735</v>
      </c>
      <c r="D99" s="5" t="s">
        <v>21</v>
      </c>
      <c r="E99" s="5" t="n">
        <v>2540</v>
      </c>
      <c r="F99" s="5" t="n">
        <v>2360</v>
      </c>
      <c r="G99" s="8" t="n">
        <v>180</v>
      </c>
      <c r="H99" s="5" t="s">
        <v>12</v>
      </c>
      <c r="I99" s="5" t="s">
        <v>13</v>
      </c>
      <c r="J99" s="9" t="s">
        <v>14</v>
      </c>
    </row>
    <row r="100" customFormat="false" ht="18" hidden="false" customHeight="false" outlineLevel="0" collapsed="false">
      <c r="A100" s="6" t="n">
        <v>44812</v>
      </c>
      <c r="B100" s="7" t="n">
        <v>0.546527777777778</v>
      </c>
      <c r="C100" s="5" t="n">
        <v>11718</v>
      </c>
      <c r="D100" s="5" t="s">
        <v>17</v>
      </c>
      <c r="E100" s="5" t="n">
        <v>3320</v>
      </c>
      <c r="F100" s="5" t="n">
        <v>2760</v>
      </c>
      <c r="G100" s="8" t="n">
        <v>560</v>
      </c>
      <c r="H100" s="5" t="s">
        <v>12</v>
      </c>
      <c r="I100" s="5" t="s">
        <v>26</v>
      </c>
      <c r="J100" s="9" t="s">
        <v>14</v>
      </c>
    </row>
    <row r="101" customFormat="false" ht="18" hidden="false" customHeight="false" outlineLevel="0" collapsed="false">
      <c r="A101" s="6" t="n">
        <v>44812</v>
      </c>
      <c r="B101" s="7" t="n">
        <v>0.475694444444444</v>
      </c>
      <c r="C101" s="5" t="n">
        <v>11708</v>
      </c>
      <c r="D101" s="5" t="s">
        <v>21</v>
      </c>
      <c r="E101" s="5" t="n">
        <v>2500</v>
      </c>
      <c r="F101" s="5" t="n">
        <v>2400</v>
      </c>
      <c r="G101" s="8" t="n">
        <v>100</v>
      </c>
      <c r="H101" s="5" t="s">
        <v>12</v>
      </c>
      <c r="I101" s="5" t="s">
        <v>13</v>
      </c>
      <c r="J101" s="9" t="s">
        <v>14</v>
      </c>
    </row>
    <row r="102" customFormat="false" ht="18" hidden="false" customHeight="false" outlineLevel="0" collapsed="false">
      <c r="A102" s="6" t="n">
        <v>44812</v>
      </c>
      <c r="B102" s="7" t="n">
        <v>0.686111111111111</v>
      </c>
      <c r="C102" s="5" t="n">
        <v>11726</v>
      </c>
      <c r="D102" s="5" t="s">
        <v>16</v>
      </c>
      <c r="E102" s="5" t="n">
        <v>14000</v>
      </c>
      <c r="F102" s="5" t="n">
        <v>12720</v>
      </c>
      <c r="G102" s="8" t="n">
        <v>1280</v>
      </c>
      <c r="H102" s="5" t="s">
        <v>12</v>
      </c>
      <c r="I102" s="5" t="s">
        <v>13</v>
      </c>
      <c r="J102" s="9" t="s">
        <v>14</v>
      </c>
    </row>
    <row r="103" customFormat="false" ht="18" hidden="false" customHeight="false" outlineLevel="0" collapsed="false">
      <c r="A103" s="6" t="n">
        <v>44812</v>
      </c>
      <c r="B103" s="7" t="n">
        <v>0.247916666666667</v>
      </c>
      <c r="C103" s="5" t="n">
        <v>11681</v>
      </c>
      <c r="D103" s="5" t="s">
        <v>15</v>
      </c>
      <c r="E103" s="5" t="n">
        <v>26020</v>
      </c>
      <c r="F103" s="5" t="n">
        <v>15980</v>
      </c>
      <c r="G103" s="8" t="n">
        <v>10040</v>
      </c>
      <c r="H103" s="5" t="s">
        <v>12</v>
      </c>
      <c r="I103" s="5" t="s">
        <v>13</v>
      </c>
      <c r="J103" s="9" t="s">
        <v>14</v>
      </c>
    </row>
    <row r="104" customFormat="false" ht="18" hidden="false" customHeight="false" outlineLevel="0" collapsed="false">
      <c r="A104" s="6" t="n">
        <v>44812</v>
      </c>
      <c r="B104" s="7" t="n">
        <v>0.502083333333333</v>
      </c>
      <c r="C104" s="5" t="n">
        <v>144175</v>
      </c>
      <c r="D104" s="5" t="s">
        <v>24</v>
      </c>
      <c r="E104" s="5" t="n">
        <v>17040</v>
      </c>
      <c r="F104" s="5" t="n">
        <v>15640</v>
      </c>
      <c r="G104" s="8" t="n">
        <v>1400</v>
      </c>
      <c r="H104" s="5" t="s">
        <v>12</v>
      </c>
      <c r="I104" s="5" t="s">
        <v>23</v>
      </c>
      <c r="J104" s="9" t="s">
        <v>14</v>
      </c>
    </row>
    <row r="105" customFormat="false" ht="18" hidden="false" customHeight="false" outlineLevel="0" collapsed="false">
      <c r="A105" s="6" t="n">
        <v>44813</v>
      </c>
      <c r="B105" s="7" t="n">
        <v>0.208333333333333</v>
      </c>
      <c r="C105" s="5" t="n">
        <v>11748</v>
      </c>
      <c r="D105" s="5" t="s">
        <v>17</v>
      </c>
      <c r="E105" s="5" t="n">
        <v>3240</v>
      </c>
      <c r="F105" s="5" t="n">
        <v>2820</v>
      </c>
      <c r="G105" s="8" t="n">
        <v>420</v>
      </c>
      <c r="H105" s="5" t="s">
        <v>12</v>
      </c>
      <c r="I105" s="5" t="s">
        <v>13</v>
      </c>
      <c r="J105" s="9" t="s">
        <v>14</v>
      </c>
    </row>
    <row r="106" customFormat="false" ht="18" hidden="false" customHeight="false" outlineLevel="0" collapsed="false">
      <c r="A106" s="6" t="n">
        <v>44813</v>
      </c>
      <c r="B106" s="7" t="n">
        <v>0.247916666666667</v>
      </c>
      <c r="C106" s="5" t="n">
        <v>11755</v>
      </c>
      <c r="D106" s="5" t="s">
        <v>15</v>
      </c>
      <c r="E106" s="5" t="n">
        <v>23080</v>
      </c>
      <c r="F106" s="5" t="n">
        <v>15940</v>
      </c>
      <c r="G106" s="8" t="n">
        <v>7140</v>
      </c>
      <c r="H106" s="5" t="s">
        <v>12</v>
      </c>
      <c r="I106" s="5" t="s">
        <v>13</v>
      </c>
      <c r="J106" s="9" t="s">
        <v>14</v>
      </c>
    </row>
    <row r="107" customFormat="false" ht="18" hidden="false" customHeight="false" outlineLevel="0" collapsed="false">
      <c r="A107" s="6" t="n">
        <v>44813</v>
      </c>
      <c r="B107" s="7" t="n">
        <v>0.869444444444444</v>
      </c>
      <c r="C107" s="5" t="n">
        <v>11806</v>
      </c>
      <c r="D107" s="5" t="s">
        <v>21</v>
      </c>
      <c r="E107" s="5" t="n">
        <v>2640</v>
      </c>
      <c r="F107" s="5" t="n">
        <v>2360</v>
      </c>
      <c r="G107" s="8" t="n">
        <v>280</v>
      </c>
      <c r="H107" s="5" t="s">
        <v>12</v>
      </c>
      <c r="I107" s="5" t="s">
        <v>13</v>
      </c>
      <c r="J107" s="9" t="s">
        <v>14</v>
      </c>
    </row>
    <row r="108" customFormat="false" ht="18" hidden="false" customHeight="false" outlineLevel="0" collapsed="false">
      <c r="A108" s="6" t="n">
        <v>44813</v>
      </c>
      <c r="B108" s="7" t="n">
        <v>0.868055555555555</v>
      </c>
      <c r="C108" s="5" t="n">
        <v>11805</v>
      </c>
      <c r="D108" s="5" t="s">
        <v>15</v>
      </c>
      <c r="E108" s="5" t="n">
        <v>21380</v>
      </c>
      <c r="F108" s="5" t="n">
        <v>15920</v>
      </c>
      <c r="G108" s="8" t="n">
        <v>5460</v>
      </c>
      <c r="H108" s="5" t="s">
        <v>12</v>
      </c>
      <c r="I108" s="5" t="s">
        <v>13</v>
      </c>
      <c r="J108" s="9" t="s">
        <v>14</v>
      </c>
    </row>
    <row r="109" customFormat="false" ht="18" hidden="false" customHeight="false" outlineLevel="0" collapsed="false">
      <c r="A109" s="6" t="n">
        <v>44813</v>
      </c>
      <c r="B109" s="7" t="n">
        <v>0.688888888888889</v>
      </c>
      <c r="C109" s="5" t="n">
        <v>11799</v>
      </c>
      <c r="D109" s="5" t="s">
        <v>16</v>
      </c>
      <c r="E109" s="5" t="n">
        <v>14460</v>
      </c>
      <c r="F109" s="5" t="n">
        <v>12800</v>
      </c>
      <c r="G109" s="8" t="n">
        <v>1660</v>
      </c>
      <c r="H109" s="5" t="s">
        <v>12</v>
      </c>
      <c r="I109" s="5" t="s">
        <v>13</v>
      </c>
      <c r="J109" s="9" t="s">
        <v>14</v>
      </c>
    </row>
    <row r="110" customFormat="false" ht="18" hidden="false" customHeight="false" outlineLevel="0" collapsed="false">
      <c r="A110" s="6" t="n">
        <v>44813</v>
      </c>
      <c r="B110" s="7" t="n">
        <v>0.24375</v>
      </c>
      <c r="C110" s="5" t="n">
        <v>11754</v>
      </c>
      <c r="D110" s="5" t="s">
        <v>24</v>
      </c>
      <c r="E110" s="5" t="n">
        <v>19920</v>
      </c>
      <c r="F110" s="5" t="n">
        <v>15760</v>
      </c>
      <c r="G110" s="8" t="n">
        <v>4160</v>
      </c>
      <c r="H110" s="5" t="s">
        <v>12</v>
      </c>
      <c r="I110" s="5" t="s">
        <v>13</v>
      </c>
      <c r="J110" s="9" t="s">
        <v>14</v>
      </c>
    </row>
    <row r="111" customFormat="false" ht="18" hidden="false" customHeight="false" outlineLevel="0" collapsed="false">
      <c r="A111" s="6" t="n">
        <v>44813</v>
      </c>
      <c r="B111" s="7" t="n">
        <v>0.490972222222222</v>
      </c>
      <c r="C111" s="5" t="n">
        <v>11783</v>
      </c>
      <c r="D111" s="5" t="s">
        <v>20</v>
      </c>
      <c r="E111" s="5" t="n">
        <v>3280</v>
      </c>
      <c r="F111" s="5" t="n">
        <v>2820</v>
      </c>
      <c r="G111" s="8" t="n">
        <v>460</v>
      </c>
      <c r="H111" s="5" t="s">
        <v>12</v>
      </c>
      <c r="I111" s="5" t="s">
        <v>13</v>
      </c>
      <c r="J111" s="9" t="s">
        <v>14</v>
      </c>
    </row>
    <row r="112" customFormat="false" ht="18" hidden="false" customHeight="false" outlineLevel="0" collapsed="false">
      <c r="A112" s="6" t="n">
        <v>44813</v>
      </c>
      <c r="B112" s="7" t="n">
        <v>0.240277777777778</v>
      </c>
      <c r="C112" s="5" t="n">
        <v>11753</v>
      </c>
      <c r="D112" s="5" t="s">
        <v>16</v>
      </c>
      <c r="E112" s="5" t="n">
        <v>20900</v>
      </c>
      <c r="F112" s="5" t="n">
        <v>12720</v>
      </c>
      <c r="G112" s="8" t="n">
        <v>8180</v>
      </c>
      <c r="H112" s="5" t="s">
        <v>12</v>
      </c>
      <c r="I112" s="5" t="s">
        <v>13</v>
      </c>
      <c r="J112" s="9" t="s">
        <v>14</v>
      </c>
    </row>
    <row r="113" customFormat="false" ht="18" hidden="false" customHeight="false" outlineLevel="0" collapsed="false">
      <c r="A113" s="6" t="n">
        <v>44813</v>
      </c>
      <c r="B113" s="7" t="n">
        <v>0.467361111111111</v>
      </c>
      <c r="C113" s="5" t="n">
        <v>11779</v>
      </c>
      <c r="D113" s="5" t="s">
        <v>21</v>
      </c>
      <c r="E113" s="5" t="n">
        <v>2580</v>
      </c>
      <c r="F113" s="5" t="n">
        <v>2380</v>
      </c>
      <c r="G113" s="8" t="n">
        <v>200</v>
      </c>
      <c r="H113" s="5" t="s">
        <v>12</v>
      </c>
      <c r="I113" s="5" t="s">
        <v>13</v>
      </c>
      <c r="J113" s="9" t="s">
        <v>14</v>
      </c>
    </row>
    <row r="114" customFormat="false" ht="18" hidden="false" customHeight="false" outlineLevel="0" collapsed="false">
      <c r="A114" s="6" t="n">
        <v>44813</v>
      </c>
      <c r="B114" s="7" t="n">
        <v>0.0527777777777778</v>
      </c>
      <c r="C114" s="5" t="n">
        <v>11738</v>
      </c>
      <c r="D114" s="5" t="s">
        <v>16</v>
      </c>
      <c r="E114" s="5" t="n">
        <v>20620</v>
      </c>
      <c r="F114" s="5" t="n">
        <v>12720</v>
      </c>
      <c r="G114" s="8" t="n">
        <v>7900</v>
      </c>
      <c r="H114" s="5" t="s">
        <v>12</v>
      </c>
      <c r="I114" s="5" t="s">
        <v>13</v>
      </c>
      <c r="J114" s="9" t="s">
        <v>14</v>
      </c>
    </row>
    <row r="115" customFormat="false" ht="18" hidden="false" customHeight="false" outlineLevel="0" collapsed="false">
      <c r="A115" s="6" t="n">
        <v>44813</v>
      </c>
      <c r="B115" s="7" t="n">
        <v>0.210416666666667</v>
      </c>
      <c r="C115" s="5" t="n">
        <v>11749</v>
      </c>
      <c r="D115" s="5" t="s">
        <v>11</v>
      </c>
      <c r="E115" s="5" t="n">
        <v>4960</v>
      </c>
      <c r="F115" s="5" t="n">
        <v>3680</v>
      </c>
      <c r="G115" s="8" t="n">
        <v>1280</v>
      </c>
      <c r="H115" s="5" t="s">
        <v>12</v>
      </c>
      <c r="I115" s="5" t="s">
        <v>13</v>
      </c>
      <c r="J115" s="9" t="s">
        <v>14</v>
      </c>
    </row>
    <row r="116" customFormat="false" ht="18" hidden="false" customHeight="false" outlineLevel="0" collapsed="false">
      <c r="A116" s="6" t="n">
        <v>44813</v>
      </c>
      <c r="B116" s="7" t="n">
        <v>0.0125</v>
      </c>
      <c r="C116" s="5" t="n">
        <v>11737</v>
      </c>
      <c r="D116" s="5" t="s">
        <v>25</v>
      </c>
      <c r="E116" s="5" t="n">
        <v>15460</v>
      </c>
      <c r="F116" s="5" t="n">
        <v>12420</v>
      </c>
      <c r="G116" s="8" t="n">
        <v>3040</v>
      </c>
      <c r="H116" s="5" t="s">
        <v>12</v>
      </c>
      <c r="I116" s="5" t="s">
        <v>13</v>
      </c>
      <c r="J116" s="9" t="s">
        <v>14</v>
      </c>
    </row>
    <row r="117" customFormat="false" ht="18" hidden="false" customHeight="false" outlineLevel="0" collapsed="false">
      <c r="A117" s="6" t="n">
        <v>44813</v>
      </c>
      <c r="B117" s="7" t="n">
        <v>0.516666666666667</v>
      </c>
      <c r="C117" s="5" t="n">
        <v>3450</v>
      </c>
      <c r="D117" s="5" t="s">
        <v>24</v>
      </c>
      <c r="E117" s="5" t="n">
        <v>17740</v>
      </c>
      <c r="F117" s="5" t="n">
        <v>15760</v>
      </c>
      <c r="G117" s="8" t="n">
        <v>1980</v>
      </c>
      <c r="H117" s="5" t="s">
        <v>12</v>
      </c>
      <c r="I117" s="5" t="s">
        <v>10</v>
      </c>
      <c r="J117" s="9" t="s">
        <v>14</v>
      </c>
    </row>
    <row r="118" customFormat="false" ht="18" hidden="false" customHeight="false" outlineLevel="0" collapsed="false">
      <c r="A118" s="6" t="n">
        <v>44814</v>
      </c>
      <c r="B118" s="7" t="n">
        <v>0.473611111111111</v>
      </c>
      <c r="C118" s="5" t="n">
        <v>11851</v>
      </c>
      <c r="D118" s="5" t="s">
        <v>21</v>
      </c>
      <c r="E118" s="5" t="n">
        <v>2560</v>
      </c>
      <c r="F118" s="5" t="n">
        <v>2380</v>
      </c>
      <c r="G118" s="8" t="n">
        <v>180</v>
      </c>
      <c r="H118" s="5" t="s">
        <v>12</v>
      </c>
      <c r="I118" s="5" t="s">
        <v>13</v>
      </c>
      <c r="J118" s="9" t="s">
        <v>14</v>
      </c>
    </row>
    <row r="119" customFormat="false" ht="18" hidden="false" customHeight="false" outlineLevel="0" collapsed="false">
      <c r="A119" s="6" t="n">
        <v>44814</v>
      </c>
      <c r="B119" s="7" t="n">
        <v>0.70625</v>
      </c>
      <c r="C119" s="5" t="n">
        <v>11860</v>
      </c>
      <c r="D119" s="5" t="s">
        <v>16</v>
      </c>
      <c r="E119" s="5" t="n">
        <v>15260</v>
      </c>
      <c r="F119" s="5" t="n">
        <v>12800</v>
      </c>
      <c r="G119" s="8" t="n">
        <v>2460</v>
      </c>
      <c r="H119" s="5" t="s">
        <v>12</v>
      </c>
      <c r="I119" s="5" t="s">
        <v>13</v>
      </c>
      <c r="J119" s="9" t="s">
        <v>14</v>
      </c>
    </row>
    <row r="120" customFormat="false" ht="18" hidden="false" customHeight="false" outlineLevel="0" collapsed="false">
      <c r="A120" s="6" t="n">
        <v>44814</v>
      </c>
      <c r="B120" s="7" t="n">
        <v>0.254166666666667</v>
      </c>
      <c r="C120" s="5" t="n">
        <v>11828</v>
      </c>
      <c r="D120" s="5" t="s">
        <v>16</v>
      </c>
      <c r="E120" s="5" t="n">
        <v>20340</v>
      </c>
      <c r="F120" s="5" t="n">
        <v>12800</v>
      </c>
      <c r="G120" s="8" t="n">
        <v>7540</v>
      </c>
      <c r="H120" s="5" t="s">
        <v>12</v>
      </c>
      <c r="I120" s="5" t="s">
        <v>13</v>
      </c>
      <c r="J120" s="9" t="s">
        <v>14</v>
      </c>
    </row>
    <row r="121" customFormat="false" ht="18" hidden="false" customHeight="false" outlineLevel="0" collapsed="false">
      <c r="A121" s="6" t="n">
        <v>44814</v>
      </c>
      <c r="B121" s="7" t="n">
        <v>0.210416666666667</v>
      </c>
      <c r="C121" s="5" t="n">
        <v>11821</v>
      </c>
      <c r="D121" s="5" t="s">
        <v>17</v>
      </c>
      <c r="E121" s="5" t="n">
        <v>3240</v>
      </c>
      <c r="F121" s="5" t="n">
        <v>2780</v>
      </c>
      <c r="G121" s="8" t="n">
        <v>460</v>
      </c>
      <c r="H121" s="5" t="s">
        <v>12</v>
      </c>
      <c r="I121" s="5" t="s">
        <v>13</v>
      </c>
      <c r="J121" s="9" t="s">
        <v>14</v>
      </c>
    </row>
    <row r="122" customFormat="false" ht="18" hidden="false" customHeight="false" outlineLevel="0" collapsed="false">
      <c r="A122" s="6" t="n">
        <v>44814</v>
      </c>
      <c r="B122" s="7" t="n">
        <v>0.113888888888889</v>
      </c>
      <c r="C122" s="5" t="n">
        <v>11814</v>
      </c>
      <c r="D122" s="5" t="s">
        <v>20</v>
      </c>
      <c r="E122" s="5" t="n">
        <v>3360</v>
      </c>
      <c r="F122" s="5" t="n">
        <v>2860</v>
      </c>
      <c r="G122" s="8" t="n">
        <v>500</v>
      </c>
      <c r="H122" s="5" t="s">
        <v>12</v>
      </c>
      <c r="I122" s="5" t="s">
        <v>13</v>
      </c>
      <c r="J122" s="9" t="s">
        <v>14</v>
      </c>
    </row>
    <row r="123" customFormat="false" ht="18" hidden="false" customHeight="false" outlineLevel="0" collapsed="false">
      <c r="A123" s="6" t="n">
        <v>44814</v>
      </c>
      <c r="B123" s="7" t="n">
        <v>0.107638888888889</v>
      </c>
      <c r="C123" s="5" t="n">
        <v>11813</v>
      </c>
      <c r="D123" s="5" t="s">
        <v>17</v>
      </c>
      <c r="E123" s="5" t="n">
        <v>3100</v>
      </c>
      <c r="F123" s="5" t="n">
        <v>2700</v>
      </c>
      <c r="G123" s="8" t="n">
        <v>400</v>
      </c>
      <c r="H123" s="5" t="s">
        <v>12</v>
      </c>
      <c r="I123" s="5" t="s">
        <v>13</v>
      </c>
      <c r="J123" s="9" t="s">
        <v>14</v>
      </c>
    </row>
    <row r="124" customFormat="false" ht="18" hidden="false" customHeight="false" outlineLevel="0" collapsed="false">
      <c r="A124" s="6" t="n">
        <v>44814</v>
      </c>
      <c r="B124" s="7" t="n">
        <v>0.873611111111111</v>
      </c>
      <c r="C124" s="5" t="n">
        <v>11862</v>
      </c>
      <c r="D124" s="5" t="s">
        <v>17</v>
      </c>
      <c r="E124" s="5" t="n">
        <v>2980</v>
      </c>
      <c r="F124" s="5" t="n">
        <v>2680</v>
      </c>
      <c r="G124" s="8" t="n">
        <v>300</v>
      </c>
      <c r="H124" s="5" t="s">
        <v>12</v>
      </c>
      <c r="I124" s="5" t="s">
        <v>13</v>
      </c>
      <c r="J124" s="9" t="s">
        <v>14</v>
      </c>
    </row>
    <row r="125" customFormat="false" ht="18" hidden="false" customHeight="false" outlineLevel="0" collapsed="false">
      <c r="A125" s="6" t="n">
        <v>44814</v>
      </c>
      <c r="B125" s="7" t="n">
        <v>0.211111111111111</v>
      </c>
      <c r="C125" s="5" t="n">
        <v>11822</v>
      </c>
      <c r="D125" s="5" t="s">
        <v>20</v>
      </c>
      <c r="E125" s="5" t="n">
        <v>3340</v>
      </c>
      <c r="F125" s="5" t="n">
        <v>2940</v>
      </c>
      <c r="G125" s="8" t="n">
        <v>400</v>
      </c>
      <c r="H125" s="5" t="s">
        <v>12</v>
      </c>
      <c r="I125" s="5" t="s">
        <v>13</v>
      </c>
      <c r="J125" s="9" t="s">
        <v>14</v>
      </c>
    </row>
    <row r="126" customFormat="false" ht="18" hidden="false" customHeight="false" outlineLevel="0" collapsed="false">
      <c r="A126" s="6" t="n">
        <v>44814</v>
      </c>
      <c r="B126" s="7" t="n">
        <v>0.0652777777777778</v>
      </c>
      <c r="C126" s="5" t="n">
        <v>11809</v>
      </c>
      <c r="D126" s="5" t="s">
        <v>16</v>
      </c>
      <c r="E126" s="5" t="n">
        <v>21840</v>
      </c>
      <c r="F126" s="5" t="n">
        <v>12800</v>
      </c>
      <c r="G126" s="8" t="n">
        <v>9040</v>
      </c>
      <c r="H126" s="5" t="s">
        <v>12</v>
      </c>
      <c r="I126" s="5" t="s">
        <v>13</v>
      </c>
      <c r="J126" s="9" t="s">
        <v>14</v>
      </c>
    </row>
    <row r="127" customFormat="false" ht="18" hidden="false" customHeight="false" outlineLevel="0" collapsed="false">
      <c r="A127" s="6" t="n">
        <v>44814</v>
      </c>
      <c r="B127" s="7" t="n">
        <v>0.24375</v>
      </c>
      <c r="C127" s="5" t="n">
        <v>11826</v>
      </c>
      <c r="D127" s="5" t="s">
        <v>24</v>
      </c>
      <c r="E127" s="5" t="n">
        <v>19820</v>
      </c>
      <c r="F127" s="5" t="n">
        <v>15700</v>
      </c>
      <c r="G127" s="8" t="n">
        <v>4120</v>
      </c>
      <c r="H127" s="5" t="s">
        <v>12</v>
      </c>
      <c r="I127" s="5" t="s">
        <v>13</v>
      </c>
      <c r="J127" s="9" t="s">
        <v>14</v>
      </c>
    </row>
    <row r="128" customFormat="false" ht="18" hidden="false" customHeight="false" outlineLevel="0" collapsed="false">
      <c r="A128" s="6" t="n">
        <v>44814</v>
      </c>
      <c r="B128" s="7" t="n">
        <v>0.228472222222222</v>
      </c>
      <c r="C128" s="5" t="n">
        <v>11825</v>
      </c>
      <c r="D128" s="5" t="s">
        <v>15</v>
      </c>
      <c r="E128" s="5" t="n">
        <v>22940</v>
      </c>
      <c r="F128" s="5" t="n">
        <v>15920</v>
      </c>
      <c r="G128" s="8" t="n">
        <v>7020</v>
      </c>
      <c r="H128" s="5" t="s">
        <v>12</v>
      </c>
      <c r="I128" s="5" t="s">
        <v>13</v>
      </c>
      <c r="J128" s="9" t="s">
        <v>14</v>
      </c>
    </row>
    <row r="129" customFormat="false" ht="18" hidden="false" customHeight="false" outlineLevel="0" collapsed="false">
      <c r="A129" s="6" t="n">
        <v>44814</v>
      </c>
      <c r="B129" s="7" t="n">
        <v>0.423611111111111</v>
      </c>
      <c r="C129" s="5" t="n">
        <v>11846</v>
      </c>
      <c r="D129" s="5" t="s">
        <v>20</v>
      </c>
      <c r="E129" s="5" t="n">
        <v>3240</v>
      </c>
      <c r="F129" s="5" t="n">
        <v>2820</v>
      </c>
      <c r="G129" s="8" t="n">
        <v>420</v>
      </c>
      <c r="H129" s="5" t="s">
        <v>12</v>
      </c>
      <c r="I129" s="5" t="s">
        <v>13</v>
      </c>
      <c r="J129" s="9" t="s">
        <v>14</v>
      </c>
    </row>
    <row r="130" customFormat="false" ht="18" hidden="false" customHeight="false" outlineLevel="0" collapsed="false">
      <c r="A130" s="6" t="n">
        <v>44814</v>
      </c>
      <c r="B130" s="7" t="n">
        <v>0.477777777777778</v>
      </c>
      <c r="C130" s="5" t="n">
        <v>11853</v>
      </c>
      <c r="D130" s="5" t="s">
        <v>18</v>
      </c>
      <c r="E130" s="5" t="n">
        <v>6020</v>
      </c>
      <c r="F130" s="5" t="n">
        <v>5640</v>
      </c>
      <c r="G130" s="8" t="n">
        <v>380</v>
      </c>
      <c r="H130" s="5" t="s">
        <v>12</v>
      </c>
      <c r="I130" s="5" t="s">
        <v>19</v>
      </c>
      <c r="J130" s="9" t="s">
        <v>14</v>
      </c>
    </row>
    <row r="131" customFormat="false" ht="18" hidden="false" customHeight="false" outlineLevel="0" collapsed="false">
      <c r="A131" s="6" t="n">
        <v>44814</v>
      </c>
      <c r="B131" s="7" t="n">
        <v>0.509027777777778</v>
      </c>
      <c r="C131" s="5" t="n">
        <v>11855</v>
      </c>
      <c r="D131" s="5" t="s">
        <v>24</v>
      </c>
      <c r="E131" s="5" t="n">
        <v>16900</v>
      </c>
      <c r="F131" s="5" t="n">
        <v>15640</v>
      </c>
      <c r="G131" s="8" t="n">
        <v>1260</v>
      </c>
      <c r="H131" s="5" t="s">
        <v>12</v>
      </c>
      <c r="I131" s="5" t="s">
        <v>13</v>
      </c>
      <c r="J131" s="9" t="s">
        <v>14</v>
      </c>
    </row>
    <row r="132" customFormat="false" ht="18" hidden="false" customHeight="false" outlineLevel="0" collapsed="false">
      <c r="A132" s="6" t="n">
        <v>44814</v>
      </c>
      <c r="B132" s="7" t="n">
        <v>0.875</v>
      </c>
      <c r="C132" s="5" t="n">
        <v>11861</v>
      </c>
      <c r="D132" s="5" t="s">
        <v>15</v>
      </c>
      <c r="E132" s="5" t="n">
        <v>21260</v>
      </c>
      <c r="F132" s="5" t="n">
        <v>15840</v>
      </c>
      <c r="G132" s="8" t="n">
        <v>5420</v>
      </c>
      <c r="H132" s="5" t="s">
        <v>12</v>
      </c>
      <c r="I132" s="5" t="s">
        <v>13</v>
      </c>
      <c r="J132" s="9" t="s">
        <v>14</v>
      </c>
    </row>
    <row r="133" customFormat="false" ht="18" hidden="false" customHeight="false" outlineLevel="0" collapsed="false">
      <c r="A133" s="6" t="n">
        <v>44815</v>
      </c>
      <c r="B133" s="7" t="n">
        <v>0.246527777777778</v>
      </c>
      <c r="C133" s="5" t="n">
        <v>11877</v>
      </c>
      <c r="D133" s="5" t="s">
        <v>24</v>
      </c>
      <c r="E133" s="5" t="n">
        <v>20060</v>
      </c>
      <c r="F133" s="5" t="n">
        <v>15780</v>
      </c>
      <c r="G133" s="8" t="n">
        <v>4280</v>
      </c>
      <c r="H133" s="5" t="s">
        <v>12</v>
      </c>
      <c r="I133" s="5" t="s">
        <v>13</v>
      </c>
      <c r="J133" s="9" t="s">
        <v>14</v>
      </c>
    </row>
    <row r="134" customFormat="false" ht="18" hidden="false" customHeight="false" outlineLevel="0" collapsed="false">
      <c r="A134" s="6" t="n">
        <v>44815</v>
      </c>
      <c r="B134" s="7" t="n">
        <v>0.215972222222222</v>
      </c>
      <c r="C134" s="5" t="n">
        <v>11873</v>
      </c>
      <c r="D134" s="5" t="s">
        <v>20</v>
      </c>
      <c r="E134" s="5" t="n">
        <v>3500</v>
      </c>
      <c r="F134" s="5" t="n">
        <v>2960</v>
      </c>
      <c r="G134" s="8" t="n">
        <v>540</v>
      </c>
      <c r="H134" s="5" t="s">
        <v>12</v>
      </c>
      <c r="I134" s="5" t="s">
        <v>13</v>
      </c>
      <c r="J134" s="9" t="s">
        <v>14</v>
      </c>
    </row>
    <row r="135" customFormat="false" ht="18" hidden="false" customHeight="false" outlineLevel="0" collapsed="false">
      <c r="A135" s="6" t="n">
        <v>44815</v>
      </c>
      <c r="B135" s="7" t="n">
        <v>0.864583333333333</v>
      </c>
      <c r="C135" s="5" t="n">
        <v>11886</v>
      </c>
      <c r="D135" s="5" t="s">
        <v>15</v>
      </c>
      <c r="E135" s="5" t="n">
        <v>21900</v>
      </c>
      <c r="F135" s="5" t="n">
        <v>15920</v>
      </c>
      <c r="G135" s="8" t="n">
        <v>5980</v>
      </c>
      <c r="H135" s="5" t="s">
        <v>12</v>
      </c>
      <c r="I135" s="5" t="s">
        <v>13</v>
      </c>
      <c r="J135" s="9" t="s">
        <v>14</v>
      </c>
    </row>
    <row r="136" customFormat="false" ht="18" hidden="false" customHeight="false" outlineLevel="0" collapsed="false">
      <c r="A136" s="6" t="n">
        <v>44815</v>
      </c>
      <c r="B136" s="7" t="n">
        <v>0.686111111111111</v>
      </c>
      <c r="C136" s="5" t="n">
        <v>11885</v>
      </c>
      <c r="D136" s="5" t="s">
        <v>16</v>
      </c>
      <c r="E136" s="5" t="n">
        <v>14680</v>
      </c>
      <c r="F136" s="5" t="n">
        <v>12740</v>
      </c>
      <c r="G136" s="8" t="n">
        <v>1940</v>
      </c>
      <c r="H136" s="5" t="s">
        <v>12</v>
      </c>
      <c r="I136" s="5" t="s">
        <v>13</v>
      </c>
      <c r="J136" s="9" t="s">
        <v>14</v>
      </c>
    </row>
    <row r="137" customFormat="false" ht="18" hidden="false" customHeight="false" outlineLevel="0" collapsed="false">
      <c r="A137" s="6" t="n">
        <v>44815</v>
      </c>
      <c r="B137" s="7" t="n">
        <v>0.214583333333333</v>
      </c>
      <c r="C137" s="5" t="n">
        <v>11872</v>
      </c>
      <c r="D137" s="5" t="s">
        <v>11</v>
      </c>
      <c r="E137" s="5" t="n">
        <v>5100</v>
      </c>
      <c r="F137" s="5" t="n">
        <v>3660</v>
      </c>
      <c r="G137" s="8" t="n">
        <v>1440</v>
      </c>
      <c r="H137" s="5" t="s">
        <v>12</v>
      </c>
      <c r="I137" s="5" t="s">
        <v>13</v>
      </c>
      <c r="J137" s="9" t="s">
        <v>14</v>
      </c>
    </row>
    <row r="138" customFormat="false" ht="18" hidden="false" customHeight="false" outlineLevel="0" collapsed="false">
      <c r="A138" s="6" t="n">
        <v>44815</v>
      </c>
      <c r="B138" s="7" t="n">
        <v>0.0256944444444444</v>
      </c>
      <c r="C138" s="5" t="n">
        <v>11863</v>
      </c>
      <c r="D138" s="5" t="s">
        <v>25</v>
      </c>
      <c r="E138" s="5" t="n">
        <v>14960</v>
      </c>
      <c r="F138" s="5" t="n">
        <v>12400</v>
      </c>
      <c r="G138" s="8" t="n">
        <v>2560</v>
      </c>
      <c r="H138" s="5" t="s">
        <v>12</v>
      </c>
      <c r="I138" s="5" t="s">
        <v>13</v>
      </c>
      <c r="J138" s="9" t="s">
        <v>14</v>
      </c>
    </row>
    <row r="139" customFormat="false" ht="18" hidden="false" customHeight="false" outlineLevel="0" collapsed="false">
      <c r="A139" s="6" t="n">
        <v>44815</v>
      </c>
      <c r="B139" s="7" t="n">
        <v>0.0548611111111111</v>
      </c>
      <c r="C139" s="5" t="n">
        <v>11864</v>
      </c>
      <c r="D139" s="5" t="s">
        <v>16</v>
      </c>
      <c r="E139" s="5" t="n">
        <v>21360</v>
      </c>
      <c r="F139" s="5" t="n">
        <v>12780</v>
      </c>
      <c r="G139" s="8" t="n">
        <v>8580</v>
      </c>
      <c r="H139" s="5" t="s">
        <v>12</v>
      </c>
      <c r="I139" s="5" t="s">
        <v>13</v>
      </c>
      <c r="J139" s="9" t="s">
        <v>14</v>
      </c>
    </row>
    <row r="140" customFormat="false" ht="18" hidden="false" customHeight="false" outlineLevel="0" collapsed="false">
      <c r="A140" s="6" t="n">
        <v>44815</v>
      </c>
      <c r="B140" s="7" t="n">
        <v>0.532638888888889</v>
      </c>
      <c r="C140" s="5" t="n">
        <v>11884</v>
      </c>
      <c r="D140" s="5" t="s">
        <v>20</v>
      </c>
      <c r="E140" s="5" t="n">
        <v>3300</v>
      </c>
      <c r="F140" s="5" t="n">
        <v>2820</v>
      </c>
      <c r="G140" s="8" t="n">
        <v>480</v>
      </c>
      <c r="H140" s="5" t="s">
        <v>12</v>
      </c>
      <c r="I140" s="5" t="s">
        <v>13</v>
      </c>
      <c r="J140" s="9" t="s">
        <v>14</v>
      </c>
    </row>
    <row r="141" customFormat="false" ht="18" hidden="false" customHeight="false" outlineLevel="0" collapsed="false">
      <c r="A141" s="6" t="n">
        <v>44815</v>
      </c>
      <c r="B141" s="7" t="n">
        <v>0.245833333333333</v>
      </c>
      <c r="C141" s="5" t="n">
        <v>11878</v>
      </c>
      <c r="D141" s="5" t="s">
        <v>15</v>
      </c>
      <c r="E141" s="5" t="n">
        <v>23400</v>
      </c>
      <c r="F141" s="5" t="n">
        <v>15820</v>
      </c>
      <c r="G141" s="8" t="n">
        <v>7580</v>
      </c>
      <c r="H141" s="5" t="s">
        <v>12</v>
      </c>
      <c r="I141" s="5" t="s">
        <v>13</v>
      </c>
      <c r="J141" s="9" t="s">
        <v>14</v>
      </c>
    </row>
    <row r="142" customFormat="false" ht="18" hidden="false" customHeight="false" outlineLevel="0" collapsed="false">
      <c r="A142" s="6" t="n">
        <v>44815</v>
      </c>
      <c r="B142" s="7" t="n">
        <v>0.234027777777778</v>
      </c>
      <c r="C142" s="5" t="n">
        <v>11876</v>
      </c>
      <c r="D142" s="5" t="s">
        <v>16</v>
      </c>
      <c r="E142" s="5" t="n">
        <v>22280</v>
      </c>
      <c r="F142" s="5" t="n">
        <v>12760</v>
      </c>
      <c r="G142" s="8" t="n">
        <v>9520</v>
      </c>
      <c r="H142" s="5" t="s">
        <v>12</v>
      </c>
      <c r="I142" s="5" t="s">
        <v>13</v>
      </c>
      <c r="J142" s="9" t="s">
        <v>14</v>
      </c>
    </row>
    <row r="143" customFormat="false" ht="18" hidden="false" customHeight="false" outlineLevel="0" collapsed="false">
      <c r="A143" s="6" t="n">
        <v>44815</v>
      </c>
      <c r="B143" s="7" t="n">
        <v>0.875</v>
      </c>
      <c r="C143" s="5" t="n">
        <v>11887</v>
      </c>
      <c r="D143" s="5" t="s">
        <v>17</v>
      </c>
      <c r="E143" s="5" t="n">
        <v>2980</v>
      </c>
      <c r="F143" s="5" t="n">
        <v>2680</v>
      </c>
      <c r="G143" s="8" t="n">
        <v>300</v>
      </c>
      <c r="H143" s="5" t="s">
        <v>12</v>
      </c>
      <c r="I143" s="5" t="s">
        <v>13</v>
      </c>
      <c r="J143" s="9" t="s">
        <v>14</v>
      </c>
    </row>
    <row r="144" customFormat="false" ht="18" hidden="false" customHeight="false" outlineLevel="0" collapsed="false">
      <c r="A144" s="6" t="n">
        <v>44815</v>
      </c>
      <c r="B144" s="7" t="n">
        <v>0.525</v>
      </c>
      <c r="C144" s="5" t="n">
        <v>11883</v>
      </c>
      <c r="D144" s="5" t="s">
        <v>21</v>
      </c>
      <c r="E144" s="5" t="n">
        <v>2900</v>
      </c>
      <c r="F144" s="5" t="n">
        <v>2640</v>
      </c>
      <c r="G144" s="8" t="n">
        <v>260</v>
      </c>
      <c r="H144" s="5" t="s">
        <v>12</v>
      </c>
      <c r="I144" s="5" t="s">
        <v>13</v>
      </c>
      <c r="J144" s="9" t="s">
        <v>14</v>
      </c>
    </row>
    <row r="145" customFormat="false" ht="18" hidden="false" customHeight="false" outlineLevel="0" collapsed="false">
      <c r="A145" s="6" t="n">
        <v>44816</v>
      </c>
      <c r="B145" s="7" t="n">
        <v>0.238194444444444</v>
      </c>
      <c r="C145" s="5" t="n">
        <v>11903</v>
      </c>
      <c r="D145" s="5" t="s">
        <v>15</v>
      </c>
      <c r="E145" s="5" t="n">
        <v>23140</v>
      </c>
      <c r="F145" s="5" t="n">
        <v>15900</v>
      </c>
      <c r="G145" s="8" t="n">
        <v>7240</v>
      </c>
      <c r="H145" s="5" t="s">
        <v>12</v>
      </c>
      <c r="I145" s="5" t="s">
        <v>13</v>
      </c>
      <c r="J145" s="9" t="s">
        <v>14</v>
      </c>
    </row>
    <row r="146" customFormat="false" ht="18" hidden="false" customHeight="false" outlineLevel="0" collapsed="false">
      <c r="A146" s="6" t="n">
        <v>44816</v>
      </c>
      <c r="B146" s="7" t="n">
        <v>0.244444444444444</v>
      </c>
      <c r="C146" s="5" t="n">
        <v>11904</v>
      </c>
      <c r="D146" s="5" t="s">
        <v>24</v>
      </c>
      <c r="E146" s="5" t="n">
        <v>20660</v>
      </c>
      <c r="F146" s="5" t="n">
        <v>15720</v>
      </c>
      <c r="G146" s="8" t="n">
        <v>4940</v>
      </c>
      <c r="H146" s="5" t="s">
        <v>12</v>
      </c>
      <c r="I146" s="5" t="s">
        <v>13</v>
      </c>
      <c r="J146" s="9" t="s">
        <v>14</v>
      </c>
    </row>
    <row r="147" customFormat="false" ht="18" hidden="false" customHeight="false" outlineLevel="0" collapsed="false">
      <c r="A147" s="6" t="n">
        <v>44816</v>
      </c>
      <c r="B147" s="7" t="n">
        <v>0.213194444444444</v>
      </c>
      <c r="C147" s="5" t="n">
        <v>11897</v>
      </c>
      <c r="D147" s="5" t="s">
        <v>11</v>
      </c>
      <c r="E147" s="5" t="n">
        <v>4900</v>
      </c>
      <c r="F147" s="5" t="n">
        <v>3720</v>
      </c>
      <c r="G147" s="8" t="n">
        <v>1180</v>
      </c>
      <c r="H147" s="5" t="s">
        <v>12</v>
      </c>
      <c r="I147" s="5" t="s">
        <v>13</v>
      </c>
      <c r="J147" s="9" t="s">
        <v>14</v>
      </c>
    </row>
    <row r="148" customFormat="false" ht="18" hidden="false" customHeight="false" outlineLevel="0" collapsed="false">
      <c r="A148" s="6" t="n">
        <v>44816</v>
      </c>
      <c r="B148" s="7" t="n">
        <v>0.0666666666666667</v>
      </c>
      <c r="C148" s="5" t="n">
        <v>11889</v>
      </c>
      <c r="D148" s="5" t="s">
        <v>16</v>
      </c>
      <c r="E148" s="5" t="n">
        <v>21500</v>
      </c>
      <c r="F148" s="5" t="n">
        <v>12720</v>
      </c>
      <c r="G148" s="8" t="n">
        <v>8780</v>
      </c>
      <c r="H148" s="5" t="s">
        <v>12</v>
      </c>
      <c r="I148" s="5" t="s">
        <v>13</v>
      </c>
      <c r="J148" s="9" t="s">
        <v>14</v>
      </c>
    </row>
    <row r="149" customFormat="false" ht="18" hidden="false" customHeight="false" outlineLevel="0" collapsed="false">
      <c r="A149" s="6" t="n">
        <v>44816</v>
      </c>
      <c r="B149" s="7" t="n">
        <v>0.255555555555556</v>
      </c>
      <c r="C149" s="5" t="n">
        <v>11905</v>
      </c>
      <c r="D149" s="5" t="s">
        <v>16</v>
      </c>
      <c r="E149" s="5" t="n">
        <v>20460</v>
      </c>
      <c r="F149" s="5" t="n">
        <v>12740</v>
      </c>
      <c r="G149" s="8" t="n">
        <v>7720</v>
      </c>
      <c r="H149" s="5" t="s">
        <v>12</v>
      </c>
      <c r="I149" s="5" t="s">
        <v>13</v>
      </c>
      <c r="J149" s="9" t="s">
        <v>14</v>
      </c>
    </row>
    <row r="150" customFormat="false" ht="18" hidden="false" customHeight="false" outlineLevel="0" collapsed="false">
      <c r="A150" s="6" t="n">
        <v>44816</v>
      </c>
      <c r="B150" s="7" t="n">
        <v>0.213194444444444</v>
      </c>
      <c r="C150" s="5" t="n">
        <v>11898</v>
      </c>
      <c r="D150" s="5" t="s">
        <v>20</v>
      </c>
      <c r="E150" s="5" t="n">
        <v>3300</v>
      </c>
      <c r="F150" s="5" t="n">
        <v>2940</v>
      </c>
      <c r="G150" s="8" t="n">
        <v>360</v>
      </c>
      <c r="H150" s="5" t="s">
        <v>12</v>
      </c>
      <c r="I150" s="5" t="s">
        <v>13</v>
      </c>
      <c r="J150" s="9" t="s">
        <v>14</v>
      </c>
    </row>
    <row r="151" customFormat="false" ht="18" hidden="false" customHeight="false" outlineLevel="0" collapsed="false">
      <c r="A151" s="6" t="n">
        <v>44816</v>
      </c>
      <c r="B151" s="7" t="n">
        <v>0.869444444444444</v>
      </c>
      <c r="C151" s="5" t="n">
        <v>11947</v>
      </c>
      <c r="D151" s="5" t="s">
        <v>15</v>
      </c>
      <c r="E151" s="5" t="n">
        <v>20060</v>
      </c>
      <c r="F151" s="5" t="n">
        <v>15900</v>
      </c>
      <c r="G151" s="8" t="n">
        <v>4160</v>
      </c>
      <c r="H151" s="5" t="s">
        <v>12</v>
      </c>
      <c r="I151" s="5" t="s">
        <v>13</v>
      </c>
      <c r="J151" s="9" t="s">
        <v>14</v>
      </c>
    </row>
    <row r="152" customFormat="false" ht="18" hidden="false" customHeight="false" outlineLevel="0" collapsed="false">
      <c r="A152" s="6" t="n">
        <v>44816</v>
      </c>
      <c r="B152" s="7" t="n">
        <v>0.484722222222222</v>
      </c>
      <c r="C152" s="5" t="n">
        <v>11927</v>
      </c>
      <c r="D152" s="5" t="s">
        <v>21</v>
      </c>
      <c r="E152" s="5" t="n">
        <v>2780</v>
      </c>
      <c r="F152" s="5" t="n">
        <v>2400</v>
      </c>
      <c r="G152" s="8" t="n">
        <v>380</v>
      </c>
      <c r="H152" s="5" t="s">
        <v>12</v>
      </c>
      <c r="I152" s="5" t="s">
        <v>13</v>
      </c>
      <c r="J152" s="9" t="s">
        <v>14</v>
      </c>
    </row>
    <row r="153" customFormat="false" ht="18" hidden="false" customHeight="false" outlineLevel="0" collapsed="false">
      <c r="A153" s="6" t="n">
        <v>44816</v>
      </c>
      <c r="B153" s="7" t="n">
        <v>0.85625</v>
      </c>
      <c r="C153" s="5" t="n">
        <v>11946</v>
      </c>
      <c r="D153" s="5" t="s">
        <v>17</v>
      </c>
      <c r="E153" s="5" t="n">
        <v>2980</v>
      </c>
      <c r="F153" s="5" t="n">
        <v>2600</v>
      </c>
      <c r="G153" s="8" t="n">
        <v>380</v>
      </c>
      <c r="H153" s="5" t="s">
        <v>12</v>
      </c>
      <c r="I153" s="5" t="s">
        <v>13</v>
      </c>
      <c r="J153" s="9" t="s">
        <v>14</v>
      </c>
    </row>
    <row r="154" customFormat="false" ht="18" hidden="false" customHeight="false" outlineLevel="0" collapsed="false">
      <c r="A154" s="6" t="n">
        <v>44816</v>
      </c>
      <c r="B154" s="7" t="n">
        <v>0.522916666666667</v>
      </c>
      <c r="C154" s="5" t="n">
        <v>11930</v>
      </c>
      <c r="D154" s="5" t="s">
        <v>20</v>
      </c>
      <c r="E154" s="5" t="n">
        <v>3220</v>
      </c>
      <c r="F154" s="5" t="n">
        <v>2800</v>
      </c>
      <c r="G154" s="8" t="n">
        <v>420</v>
      </c>
      <c r="H154" s="5" t="s">
        <v>12</v>
      </c>
      <c r="I154" s="5" t="s">
        <v>13</v>
      </c>
      <c r="J154" s="9" t="s">
        <v>14</v>
      </c>
    </row>
    <row r="155" customFormat="false" ht="18" hidden="false" customHeight="false" outlineLevel="0" collapsed="false">
      <c r="A155" s="6" t="n">
        <v>44816</v>
      </c>
      <c r="B155" s="7" t="n">
        <v>0.707638888888889</v>
      </c>
      <c r="C155" s="5" t="n">
        <v>11942</v>
      </c>
      <c r="D155" s="5" t="s">
        <v>16</v>
      </c>
      <c r="E155" s="5" t="n">
        <v>15060</v>
      </c>
      <c r="F155" s="5" t="n">
        <v>12880</v>
      </c>
      <c r="G155" s="8" t="n">
        <v>2180</v>
      </c>
      <c r="H155" s="5" t="s">
        <v>12</v>
      </c>
      <c r="I155" s="5" t="s">
        <v>13</v>
      </c>
      <c r="J155" s="9" t="s">
        <v>14</v>
      </c>
    </row>
    <row r="156" customFormat="false" ht="18" hidden="false" customHeight="false" outlineLevel="0" collapsed="false">
      <c r="A156" s="6" t="n">
        <v>44816</v>
      </c>
      <c r="B156" s="7" t="n">
        <v>0.5</v>
      </c>
      <c r="C156" s="10" t="s">
        <v>27</v>
      </c>
      <c r="D156" s="5" t="s">
        <v>24</v>
      </c>
      <c r="E156" s="5" t="n">
        <v>17160</v>
      </c>
      <c r="F156" s="5" t="n">
        <v>15720</v>
      </c>
      <c r="G156" s="8" t="n">
        <v>1440</v>
      </c>
      <c r="H156" s="5" t="s">
        <v>12</v>
      </c>
      <c r="I156" s="5" t="s">
        <v>10</v>
      </c>
      <c r="J156" s="9" t="s">
        <v>14</v>
      </c>
    </row>
    <row r="157" customFormat="false" ht="18" hidden="false" customHeight="false" outlineLevel="0" collapsed="false">
      <c r="A157" s="6" t="n">
        <v>44817</v>
      </c>
      <c r="B157" s="7" t="n">
        <v>0.871527777777778</v>
      </c>
      <c r="C157" s="5" t="n">
        <v>12020</v>
      </c>
      <c r="D157" s="5" t="s">
        <v>15</v>
      </c>
      <c r="E157" s="5" t="n">
        <v>20960</v>
      </c>
      <c r="F157" s="5" t="n">
        <v>15900</v>
      </c>
      <c r="G157" s="8" t="n">
        <v>5060</v>
      </c>
      <c r="H157" s="5" t="s">
        <v>12</v>
      </c>
      <c r="I157" s="5" t="s">
        <v>13</v>
      </c>
      <c r="J157" s="9" t="s">
        <v>14</v>
      </c>
    </row>
    <row r="158" customFormat="false" ht="18" hidden="false" customHeight="false" outlineLevel="0" collapsed="false">
      <c r="A158" s="6" t="n">
        <v>44817</v>
      </c>
      <c r="B158" s="7" t="n">
        <v>0.699305555555556</v>
      </c>
      <c r="C158" s="5" t="n">
        <v>12013</v>
      </c>
      <c r="D158" s="5" t="s">
        <v>16</v>
      </c>
      <c r="E158" s="5" t="n">
        <v>15040</v>
      </c>
      <c r="F158" s="5" t="n">
        <v>12760</v>
      </c>
      <c r="G158" s="8" t="n">
        <v>2280</v>
      </c>
      <c r="H158" s="5" t="s">
        <v>12</v>
      </c>
      <c r="I158" s="5" t="s">
        <v>13</v>
      </c>
      <c r="J158" s="9" t="s">
        <v>14</v>
      </c>
    </row>
    <row r="159" customFormat="false" ht="18" hidden="false" customHeight="false" outlineLevel="0" collapsed="false">
      <c r="A159" s="6" t="n">
        <v>44817</v>
      </c>
      <c r="B159" s="7" t="n">
        <v>0.213888888888889</v>
      </c>
      <c r="C159" s="5" t="n">
        <v>11960</v>
      </c>
      <c r="D159" s="5" t="s">
        <v>11</v>
      </c>
      <c r="E159" s="5" t="n">
        <v>4740</v>
      </c>
      <c r="F159" s="5" t="n">
        <v>3700</v>
      </c>
      <c r="G159" s="8" t="n">
        <v>1040</v>
      </c>
      <c r="H159" s="5" t="s">
        <v>12</v>
      </c>
      <c r="I159" s="5" t="s">
        <v>13</v>
      </c>
      <c r="J159" s="9" t="s">
        <v>14</v>
      </c>
    </row>
    <row r="160" customFormat="false" ht="18" hidden="false" customHeight="false" outlineLevel="0" collapsed="false">
      <c r="A160" s="6" t="n">
        <v>44817</v>
      </c>
      <c r="B160" s="7" t="n">
        <v>0.0541666666666667</v>
      </c>
      <c r="C160" s="5" t="n">
        <v>11950</v>
      </c>
      <c r="D160" s="5" t="s">
        <v>16</v>
      </c>
      <c r="E160" s="5" t="n">
        <v>20600</v>
      </c>
      <c r="F160" s="5" t="n">
        <v>12900</v>
      </c>
      <c r="G160" s="8" t="n">
        <v>7700</v>
      </c>
      <c r="H160" s="5" t="s">
        <v>12</v>
      </c>
      <c r="I160" s="5" t="s">
        <v>13</v>
      </c>
      <c r="J160" s="9" t="s">
        <v>14</v>
      </c>
    </row>
    <row r="161" customFormat="false" ht="18" hidden="false" customHeight="false" outlineLevel="0" collapsed="false">
      <c r="A161" s="6" t="n">
        <v>44817</v>
      </c>
      <c r="B161" s="7" t="n">
        <v>0.241666666666667</v>
      </c>
      <c r="C161" s="5" t="n">
        <v>11964</v>
      </c>
      <c r="D161" s="5" t="s">
        <v>16</v>
      </c>
      <c r="E161" s="5" t="n">
        <v>18320</v>
      </c>
      <c r="F161" s="5" t="n">
        <v>12880</v>
      </c>
      <c r="G161" s="8" t="n">
        <v>5440</v>
      </c>
      <c r="H161" s="5" t="s">
        <v>12</v>
      </c>
      <c r="I161" s="5" t="s">
        <v>13</v>
      </c>
      <c r="J161" s="9" t="s">
        <v>14</v>
      </c>
    </row>
    <row r="162" customFormat="false" ht="18" hidden="false" customHeight="false" outlineLevel="0" collapsed="false">
      <c r="A162" s="6" t="n">
        <v>44817</v>
      </c>
      <c r="B162" s="7" t="n">
        <v>0.244444444444444</v>
      </c>
      <c r="C162" s="5" t="n">
        <v>11965</v>
      </c>
      <c r="D162" s="5" t="s">
        <v>15</v>
      </c>
      <c r="E162" s="5" t="n">
        <v>22480</v>
      </c>
      <c r="F162" s="5" t="n">
        <v>15900</v>
      </c>
      <c r="G162" s="8" t="n">
        <v>6580</v>
      </c>
      <c r="H162" s="5" t="s">
        <v>12</v>
      </c>
      <c r="I162" s="5" t="s">
        <v>13</v>
      </c>
      <c r="J162" s="9" t="s">
        <v>14</v>
      </c>
    </row>
    <row r="163" customFormat="false" ht="18" hidden="false" customHeight="false" outlineLevel="0" collapsed="false">
      <c r="A163" s="6" t="n">
        <v>44817</v>
      </c>
      <c r="B163" s="7" t="n">
        <v>0.867361111111111</v>
      </c>
      <c r="C163" s="5" t="n">
        <v>12019</v>
      </c>
      <c r="D163" s="5" t="s">
        <v>17</v>
      </c>
      <c r="E163" s="5" t="n">
        <v>2900</v>
      </c>
      <c r="F163" s="5" t="n">
        <v>2660</v>
      </c>
      <c r="G163" s="8" t="n">
        <v>240</v>
      </c>
      <c r="H163" s="5" t="s">
        <v>12</v>
      </c>
      <c r="I163" s="5" t="s">
        <v>13</v>
      </c>
      <c r="J163" s="9" t="s">
        <v>14</v>
      </c>
    </row>
    <row r="164" customFormat="false" ht="18" hidden="false" customHeight="false" outlineLevel="0" collapsed="false">
      <c r="A164" s="6" t="n">
        <v>44817</v>
      </c>
      <c r="B164" s="7" t="n">
        <v>0.476388888888889</v>
      </c>
      <c r="C164" s="5" t="n">
        <v>11994</v>
      </c>
      <c r="D164" s="5" t="s">
        <v>21</v>
      </c>
      <c r="E164" s="5" t="n">
        <v>2520</v>
      </c>
      <c r="F164" s="5" t="n">
        <v>2400</v>
      </c>
      <c r="G164" s="8" t="n">
        <v>120</v>
      </c>
      <c r="H164" s="5" t="s">
        <v>12</v>
      </c>
      <c r="I164" s="5" t="s">
        <v>13</v>
      </c>
      <c r="J164" s="9" t="s">
        <v>14</v>
      </c>
    </row>
    <row r="165" customFormat="false" ht="18" hidden="false" customHeight="false" outlineLevel="0" collapsed="false">
      <c r="A165" s="6" t="n">
        <v>44817</v>
      </c>
      <c r="B165" s="7" t="n">
        <v>0.511111111111111</v>
      </c>
      <c r="C165" s="5" t="n">
        <v>12001</v>
      </c>
      <c r="D165" s="5" t="s">
        <v>18</v>
      </c>
      <c r="E165" s="5" t="n">
        <v>6180</v>
      </c>
      <c r="F165" s="5" t="n">
        <v>5700</v>
      </c>
      <c r="G165" s="8" t="n">
        <v>480</v>
      </c>
      <c r="H165" s="5" t="s">
        <v>12</v>
      </c>
      <c r="I165" s="5" t="s">
        <v>19</v>
      </c>
      <c r="J165" s="9" t="s">
        <v>14</v>
      </c>
    </row>
    <row r="166" customFormat="false" ht="18" hidden="false" customHeight="false" outlineLevel="0" collapsed="false">
      <c r="A166" s="6" t="n">
        <v>44817</v>
      </c>
      <c r="B166" s="7" t="n">
        <v>0.505555555555556</v>
      </c>
      <c r="C166" s="5" t="n">
        <v>12000</v>
      </c>
      <c r="D166" s="5" t="s">
        <v>20</v>
      </c>
      <c r="E166" s="5" t="n">
        <v>3240</v>
      </c>
      <c r="F166" s="5" t="n">
        <v>2800</v>
      </c>
      <c r="G166" s="8" t="n">
        <v>440</v>
      </c>
      <c r="H166" s="5" t="s">
        <v>12</v>
      </c>
      <c r="I166" s="5" t="s">
        <v>13</v>
      </c>
      <c r="J166" s="9" t="s">
        <v>14</v>
      </c>
    </row>
    <row r="167" customFormat="false" ht="18" hidden="false" customHeight="false" outlineLevel="0" collapsed="false">
      <c r="A167" s="6" t="n">
        <v>44817</v>
      </c>
      <c r="B167" s="7" t="n">
        <v>0.245138888888889</v>
      </c>
      <c r="C167" s="5" t="n">
        <v>11966</v>
      </c>
      <c r="D167" s="5" t="s">
        <v>24</v>
      </c>
      <c r="E167" s="5" t="n">
        <v>18980</v>
      </c>
      <c r="F167" s="5" t="n">
        <v>15640</v>
      </c>
      <c r="G167" s="8" t="n">
        <v>3340</v>
      </c>
      <c r="H167" s="5" t="s">
        <v>12</v>
      </c>
      <c r="I167" s="5" t="s">
        <v>13</v>
      </c>
      <c r="J167" s="9" t="s">
        <v>14</v>
      </c>
    </row>
    <row r="168" customFormat="false" ht="18" hidden="false" customHeight="false" outlineLevel="0" collapsed="false">
      <c r="A168" s="6" t="n">
        <v>44817</v>
      </c>
      <c r="B168" s="7" t="n">
        <v>0.0125</v>
      </c>
      <c r="C168" s="5" t="n">
        <v>11949</v>
      </c>
      <c r="D168" s="5" t="s">
        <v>25</v>
      </c>
      <c r="E168" s="5" t="n">
        <v>14140</v>
      </c>
      <c r="F168" s="5" t="n">
        <v>12520</v>
      </c>
      <c r="G168" s="8" t="n">
        <v>1620</v>
      </c>
      <c r="H168" s="5" t="s">
        <v>12</v>
      </c>
      <c r="I168" s="5" t="s">
        <v>13</v>
      </c>
      <c r="J168" s="9" t="s">
        <v>14</v>
      </c>
    </row>
    <row r="169" customFormat="false" ht="18" hidden="false" customHeight="false" outlineLevel="0" collapsed="false">
      <c r="A169" s="6" t="n">
        <v>44817</v>
      </c>
      <c r="B169" s="7" t="n">
        <v>0.511111111111111</v>
      </c>
      <c r="C169" s="5" t="n">
        <v>144347</v>
      </c>
      <c r="D169" s="5" t="s">
        <v>24</v>
      </c>
      <c r="E169" s="5" t="n">
        <v>16980</v>
      </c>
      <c r="F169" s="5" t="n">
        <v>15700</v>
      </c>
      <c r="G169" s="8" t="n">
        <v>1280</v>
      </c>
      <c r="H169" s="5" t="s">
        <v>12</v>
      </c>
      <c r="I169" s="5" t="s">
        <v>23</v>
      </c>
      <c r="J169" s="9" t="s">
        <v>14</v>
      </c>
    </row>
    <row r="170" customFormat="false" ht="18" hidden="false" customHeight="false" outlineLevel="0" collapsed="false">
      <c r="A170" s="6" t="n">
        <v>44818</v>
      </c>
      <c r="B170" s="7" t="n">
        <v>0.226388888888889</v>
      </c>
      <c r="C170" s="5" t="n">
        <v>12034</v>
      </c>
      <c r="D170" s="5" t="s">
        <v>15</v>
      </c>
      <c r="E170" s="5" t="n">
        <v>24680</v>
      </c>
      <c r="F170" s="5" t="n">
        <v>15860</v>
      </c>
      <c r="G170" s="8" t="n">
        <v>8820</v>
      </c>
      <c r="H170" s="5" t="s">
        <v>12</v>
      </c>
      <c r="I170" s="5" t="s">
        <v>13</v>
      </c>
      <c r="J170" s="9" t="s">
        <v>14</v>
      </c>
    </row>
    <row r="171" customFormat="false" ht="18" hidden="false" customHeight="false" outlineLevel="0" collapsed="false">
      <c r="A171" s="6" t="n">
        <v>44818</v>
      </c>
      <c r="B171" s="7" t="n">
        <v>0.0631944444444444</v>
      </c>
      <c r="C171" s="5" t="n">
        <v>12022</v>
      </c>
      <c r="D171" s="5" t="s">
        <v>16</v>
      </c>
      <c r="E171" s="5" t="n">
        <v>21280</v>
      </c>
      <c r="F171" s="5" t="n">
        <v>12780</v>
      </c>
      <c r="G171" s="8" t="n">
        <v>8500</v>
      </c>
      <c r="H171" s="5" t="s">
        <v>12</v>
      </c>
      <c r="I171" s="5" t="s">
        <v>13</v>
      </c>
      <c r="J171" s="9" t="s">
        <v>14</v>
      </c>
    </row>
    <row r="172" customFormat="false" ht="18" hidden="false" customHeight="false" outlineLevel="0" collapsed="false">
      <c r="A172" s="6" t="n">
        <v>44818</v>
      </c>
      <c r="B172" s="7" t="n">
        <v>0.244444444444444</v>
      </c>
      <c r="C172" s="5" t="n">
        <v>12035</v>
      </c>
      <c r="D172" s="5" t="s">
        <v>16</v>
      </c>
      <c r="E172" s="5" t="n">
        <v>18380</v>
      </c>
      <c r="F172" s="5" t="n">
        <v>12760</v>
      </c>
      <c r="G172" s="8" t="n">
        <v>5620</v>
      </c>
      <c r="H172" s="5" t="s">
        <v>12</v>
      </c>
      <c r="I172" s="5" t="s">
        <v>13</v>
      </c>
      <c r="J172" s="9" t="s">
        <v>14</v>
      </c>
    </row>
    <row r="173" customFormat="false" ht="18" hidden="false" customHeight="false" outlineLevel="0" collapsed="false">
      <c r="A173" s="6" t="n">
        <v>44818</v>
      </c>
      <c r="B173" s="7" t="n">
        <v>0.211111111111111</v>
      </c>
      <c r="C173" s="5" t="n">
        <v>12033</v>
      </c>
      <c r="D173" s="5" t="s">
        <v>20</v>
      </c>
      <c r="E173" s="5" t="n">
        <v>3640</v>
      </c>
      <c r="F173" s="5" t="n">
        <v>2980</v>
      </c>
      <c r="G173" s="8" t="n">
        <v>660</v>
      </c>
      <c r="H173" s="5" t="s">
        <v>12</v>
      </c>
      <c r="I173" s="5" t="s">
        <v>13</v>
      </c>
      <c r="J173" s="9" t="s">
        <v>14</v>
      </c>
    </row>
    <row r="174" customFormat="false" ht="18" hidden="false" customHeight="false" outlineLevel="0" collapsed="false">
      <c r="A174" s="6" t="n">
        <v>44818</v>
      </c>
      <c r="B174" s="7" t="n">
        <v>0.210416666666667</v>
      </c>
      <c r="C174" s="5" t="n">
        <v>12032</v>
      </c>
      <c r="D174" s="5" t="s">
        <v>17</v>
      </c>
      <c r="E174" s="5" t="n">
        <v>3220</v>
      </c>
      <c r="F174" s="5" t="n">
        <v>2780</v>
      </c>
      <c r="G174" s="8" t="n">
        <v>440</v>
      </c>
      <c r="H174" s="5" t="s">
        <v>12</v>
      </c>
      <c r="I174" s="5" t="s">
        <v>13</v>
      </c>
      <c r="J174" s="9" t="s">
        <v>14</v>
      </c>
    </row>
    <row r="175" customFormat="false" ht="18" hidden="false" customHeight="false" outlineLevel="0" collapsed="false">
      <c r="A175" s="6" t="n">
        <v>44818</v>
      </c>
      <c r="B175" s="7" t="n">
        <v>0.499305555555555</v>
      </c>
      <c r="C175" s="5" t="n">
        <v>12064</v>
      </c>
      <c r="D175" s="5" t="s">
        <v>20</v>
      </c>
      <c r="E175" s="5" t="n">
        <v>3460</v>
      </c>
      <c r="F175" s="5" t="n">
        <v>2860</v>
      </c>
      <c r="G175" s="8" t="n">
        <v>600</v>
      </c>
      <c r="H175" s="5" t="s">
        <v>12</v>
      </c>
      <c r="I175" s="5" t="s">
        <v>13</v>
      </c>
      <c r="J175" s="9" t="s">
        <v>14</v>
      </c>
    </row>
    <row r="176" customFormat="false" ht="18" hidden="false" customHeight="false" outlineLevel="0" collapsed="false">
      <c r="A176" s="6" t="n">
        <v>44818</v>
      </c>
      <c r="B176" s="7" t="n">
        <v>0.869444444444444</v>
      </c>
      <c r="C176" s="5" t="n">
        <v>12090</v>
      </c>
      <c r="D176" s="5" t="s">
        <v>24</v>
      </c>
      <c r="E176" s="5" t="n">
        <v>22060</v>
      </c>
      <c r="F176" s="5" t="n">
        <v>15680</v>
      </c>
      <c r="G176" s="8" t="n">
        <v>6380</v>
      </c>
      <c r="H176" s="5" t="s">
        <v>12</v>
      </c>
      <c r="I176" s="5" t="s">
        <v>13</v>
      </c>
      <c r="J176" s="9" t="s">
        <v>14</v>
      </c>
    </row>
    <row r="177" customFormat="false" ht="18" hidden="false" customHeight="false" outlineLevel="0" collapsed="false">
      <c r="A177" s="6" t="n">
        <v>44818</v>
      </c>
      <c r="B177" s="7" t="n">
        <v>0.864583333333333</v>
      </c>
      <c r="C177" s="5" t="n">
        <v>12089</v>
      </c>
      <c r="D177" s="5" t="s">
        <v>17</v>
      </c>
      <c r="E177" s="5" t="n">
        <v>2960</v>
      </c>
      <c r="F177" s="5" t="n">
        <v>2700</v>
      </c>
      <c r="G177" s="8" t="n">
        <v>260</v>
      </c>
      <c r="H177" s="5" t="s">
        <v>12</v>
      </c>
      <c r="I177" s="5" t="s">
        <v>13</v>
      </c>
      <c r="J177" s="9" t="s">
        <v>14</v>
      </c>
    </row>
    <row r="178" customFormat="false" ht="18" hidden="false" customHeight="false" outlineLevel="0" collapsed="false">
      <c r="A178" s="6" t="n">
        <v>44818</v>
      </c>
      <c r="B178" s="7" t="n">
        <v>0.680555555555555</v>
      </c>
      <c r="C178" s="5" t="n">
        <v>12078</v>
      </c>
      <c r="D178" s="5" t="s">
        <v>16</v>
      </c>
      <c r="E178" s="5" t="n">
        <v>14000</v>
      </c>
      <c r="F178" s="5" t="n">
        <v>13120</v>
      </c>
      <c r="G178" s="8" t="n">
        <v>880</v>
      </c>
      <c r="H178" s="5" t="s">
        <v>12</v>
      </c>
      <c r="I178" s="5" t="s">
        <v>13</v>
      </c>
      <c r="J178" s="9" t="s">
        <v>14</v>
      </c>
    </row>
    <row r="179" customFormat="false" ht="18" hidden="false" customHeight="false" outlineLevel="0" collapsed="false">
      <c r="A179" s="6" t="n">
        <v>44818</v>
      </c>
      <c r="B179" s="7" t="n">
        <v>0.4375</v>
      </c>
      <c r="C179" s="5" t="n">
        <v>12057</v>
      </c>
      <c r="D179" s="5" t="s">
        <v>18</v>
      </c>
      <c r="E179" s="5" t="n">
        <v>6280</v>
      </c>
      <c r="F179" s="5" t="n">
        <v>5620</v>
      </c>
      <c r="G179" s="8" t="n">
        <v>660</v>
      </c>
      <c r="H179" s="5" t="s">
        <v>12</v>
      </c>
      <c r="I179" s="5" t="s">
        <v>19</v>
      </c>
      <c r="J179" s="9" t="s">
        <v>14</v>
      </c>
    </row>
    <row r="180" customFormat="false" ht="18" hidden="false" customHeight="false" outlineLevel="0" collapsed="false">
      <c r="A180" s="6" t="n">
        <v>44818</v>
      </c>
      <c r="B180" s="7" t="n">
        <v>0.507638888888889</v>
      </c>
      <c r="C180" s="5" t="n">
        <v>12066</v>
      </c>
      <c r="D180" s="5" t="s">
        <v>18</v>
      </c>
      <c r="E180" s="5" t="n">
        <v>7260</v>
      </c>
      <c r="F180" s="5" t="n">
        <v>5620</v>
      </c>
      <c r="G180" s="8" t="n">
        <v>1640</v>
      </c>
      <c r="H180" s="5" t="s">
        <v>12</v>
      </c>
      <c r="I180" s="5" t="s">
        <v>19</v>
      </c>
      <c r="J180" s="9" t="s">
        <v>14</v>
      </c>
    </row>
    <row r="181" customFormat="false" ht="18" hidden="false" customHeight="false" outlineLevel="0" collapsed="false">
      <c r="A181" s="6" t="n">
        <v>44819</v>
      </c>
      <c r="B181" s="7" t="n">
        <v>0.242361111111111</v>
      </c>
      <c r="C181" s="5" t="n">
        <v>12108</v>
      </c>
      <c r="D181" s="5" t="s">
        <v>15</v>
      </c>
      <c r="E181" s="5" t="n">
        <v>25700</v>
      </c>
      <c r="F181" s="5" t="n">
        <v>15900</v>
      </c>
      <c r="G181" s="8" t="n">
        <v>9800</v>
      </c>
      <c r="H181" s="5" t="s">
        <v>12</v>
      </c>
      <c r="I181" s="5" t="s">
        <v>13</v>
      </c>
      <c r="J181" s="9" t="s">
        <v>14</v>
      </c>
    </row>
    <row r="182" customFormat="false" ht="18" hidden="false" customHeight="false" outlineLevel="0" collapsed="false">
      <c r="A182" s="6" t="n">
        <v>44819</v>
      </c>
      <c r="B182" s="7" t="n">
        <v>0.214583333333333</v>
      </c>
      <c r="C182" s="5" t="n">
        <v>12104</v>
      </c>
      <c r="D182" s="5" t="s">
        <v>11</v>
      </c>
      <c r="E182" s="5" t="n">
        <v>5100</v>
      </c>
      <c r="F182" s="5" t="n">
        <v>3780</v>
      </c>
      <c r="G182" s="8" t="n">
        <v>1320</v>
      </c>
      <c r="H182" s="5" t="s">
        <v>12</v>
      </c>
      <c r="I182" s="5" t="s">
        <v>13</v>
      </c>
      <c r="J182" s="9" t="s">
        <v>14</v>
      </c>
    </row>
    <row r="183" customFormat="false" ht="18" hidden="false" customHeight="false" outlineLevel="0" collapsed="false">
      <c r="A183" s="6" t="n">
        <v>44819</v>
      </c>
      <c r="B183" s="7" t="n">
        <v>0.243055555555556</v>
      </c>
      <c r="C183" s="5" t="n">
        <v>12107</v>
      </c>
      <c r="D183" s="5" t="s">
        <v>16</v>
      </c>
      <c r="E183" s="5" t="n">
        <v>18980</v>
      </c>
      <c r="F183" s="5" t="n">
        <v>12740</v>
      </c>
      <c r="G183" s="8" t="n">
        <v>6240</v>
      </c>
      <c r="H183" s="5" t="s">
        <v>12</v>
      </c>
      <c r="I183" s="5" t="s">
        <v>13</v>
      </c>
      <c r="J183" s="9" t="s">
        <v>14</v>
      </c>
    </row>
    <row r="184" customFormat="false" ht="18" hidden="false" customHeight="false" outlineLevel="0" collapsed="false">
      <c r="A184" s="6" t="n">
        <v>44819</v>
      </c>
      <c r="B184" s="7" t="n">
        <v>0.0597222222222222</v>
      </c>
      <c r="C184" s="5" t="n">
        <v>12092</v>
      </c>
      <c r="D184" s="5" t="s">
        <v>16</v>
      </c>
      <c r="E184" s="5" t="n">
        <v>21440</v>
      </c>
      <c r="F184" s="5" t="n">
        <v>12740</v>
      </c>
      <c r="G184" s="8" t="n">
        <v>8700</v>
      </c>
      <c r="H184" s="5" t="s">
        <v>12</v>
      </c>
      <c r="I184" s="5" t="s">
        <v>13</v>
      </c>
      <c r="J184" s="9" t="s">
        <v>14</v>
      </c>
    </row>
    <row r="185" customFormat="false" ht="18" hidden="false" customHeight="false" outlineLevel="0" collapsed="false">
      <c r="A185" s="6" t="n">
        <v>44819</v>
      </c>
      <c r="B185" s="7" t="n">
        <v>0.6875</v>
      </c>
      <c r="C185" s="5" t="n">
        <v>12153</v>
      </c>
      <c r="D185" s="5" t="s">
        <v>16</v>
      </c>
      <c r="E185" s="5" t="n">
        <v>14440</v>
      </c>
      <c r="F185" s="5" t="n">
        <v>12800</v>
      </c>
      <c r="G185" s="8" t="n">
        <v>1640</v>
      </c>
      <c r="H185" s="5" t="s">
        <v>12</v>
      </c>
      <c r="I185" s="5" t="s">
        <v>13</v>
      </c>
      <c r="J185" s="9" t="s">
        <v>14</v>
      </c>
    </row>
    <row r="186" customFormat="false" ht="18" hidden="false" customHeight="false" outlineLevel="0" collapsed="false">
      <c r="A186" s="6" t="n">
        <v>44819</v>
      </c>
      <c r="B186" s="7" t="n">
        <v>0.846527777777778</v>
      </c>
      <c r="C186" s="5" t="n">
        <v>12161</v>
      </c>
      <c r="D186" s="5" t="s">
        <v>17</v>
      </c>
      <c r="E186" s="5" t="n">
        <v>2920</v>
      </c>
      <c r="F186" s="5" t="n">
        <v>2700</v>
      </c>
      <c r="G186" s="8" t="n">
        <v>220</v>
      </c>
      <c r="H186" s="5" t="s">
        <v>12</v>
      </c>
      <c r="I186" s="5" t="s">
        <v>13</v>
      </c>
      <c r="J186" s="9" t="s">
        <v>14</v>
      </c>
    </row>
    <row r="187" customFormat="false" ht="18" hidden="false" customHeight="false" outlineLevel="0" collapsed="false">
      <c r="A187" s="6" t="n">
        <v>44819</v>
      </c>
      <c r="B187" s="7" t="n">
        <v>0.472916666666667</v>
      </c>
      <c r="C187" s="5" t="n">
        <v>12134</v>
      </c>
      <c r="D187" s="5" t="s">
        <v>21</v>
      </c>
      <c r="E187" s="5" t="n">
        <v>2500</v>
      </c>
      <c r="F187" s="5" t="n">
        <v>2380</v>
      </c>
      <c r="G187" s="8" t="n">
        <v>120</v>
      </c>
      <c r="H187" s="5" t="s">
        <v>12</v>
      </c>
      <c r="I187" s="5" t="s">
        <v>13</v>
      </c>
      <c r="J187" s="9" t="s">
        <v>14</v>
      </c>
    </row>
    <row r="188" customFormat="false" ht="18" hidden="false" customHeight="false" outlineLevel="0" collapsed="false">
      <c r="A188" s="6" t="n">
        <v>44819</v>
      </c>
      <c r="B188" s="7" t="n">
        <v>0.497916666666667</v>
      </c>
      <c r="C188" s="5" t="n">
        <v>12138</v>
      </c>
      <c r="D188" s="5" t="s">
        <v>20</v>
      </c>
      <c r="E188" s="5" t="n">
        <v>3180</v>
      </c>
      <c r="F188" s="5" t="n">
        <v>2840</v>
      </c>
      <c r="G188" s="8" t="n">
        <v>340</v>
      </c>
      <c r="H188" s="5" t="s">
        <v>12</v>
      </c>
      <c r="I188" s="5" t="s">
        <v>13</v>
      </c>
      <c r="J188" s="9" t="s">
        <v>14</v>
      </c>
    </row>
    <row r="189" customFormat="false" ht="18" hidden="false" customHeight="false" outlineLevel="0" collapsed="false">
      <c r="A189" s="6" t="n">
        <v>44819</v>
      </c>
      <c r="B189" s="7" t="n">
        <v>0.495833333333333</v>
      </c>
      <c r="C189" s="5" t="n">
        <v>144495</v>
      </c>
      <c r="D189" s="5" t="s">
        <v>24</v>
      </c>
      <c r="E189" s="5" t="n">
        <v>16760</v>
      </c>
      <c r="F189" s="5" t="n">
        <v>15680</v>
      </c>
      <c r="G189" s="8" t="n">
        <v>1080</v>
      </c>
      <c r="H189" s="5" t="s">
        <v>12</v>
      </c>
      <c r="I189" s="5" t="s">
        <v>23</v>
      </c>
      <c r="J189" s="9" t="s">
        <v>14</v>
      </c>
    </row>
    <row r="190" customFormat="false" ht="18" hidden="false" customHeight="false" outlineLevel="0" collapsed="false">
      <c r="A190" s="6" t="n">
        <v>44819</v>
      </c>
      <c r="B190" s="7" t="n">
        <v>0.397916666666667</v>
      </c>
      <c r="C190" s="5" t="n">
        <v>144477</v>
      </c>
      <c r="D190" s="5" t="s">
        <v>22</v>
      </c>
      <c r="E190" s="5" t="n">
        <v>17980</v>
      </c>
      <c r="F190" s="5" t="n">
        <v>15980</v>
      </c>
      <c r="G190" s="8" t="n">
        <v>2000</v>
      </c>
      <c r="H190" s="5" t="s">
        <v>12</v>
      </c>
      <c r="I190" s="5" t="s">
        <v>23</v>
      </c>
      <c r="J190" s="9" t="s">
        <v>14</v>
      </c>
    </row>
    <row r="191" customFormat="false" ht="18" hidden="false" customHeight="false" outlineLevel="0" collapsed="false">
      <c r="A191" s="6" t="n">
        <v>44820</v>
      </c>
      <c r="B191" s="7" t="n">
        <v>0.0694444444444444</v>
      </c>
      <c r="C191" s="5" t="n">
        <v>12165</v>
      </c>
      <c r="D191" s="5" t="s">
        <v>16</v>
      </c>
      <c r="E191" s="5" t="n">
        <v>21260</v>
      </c>
      <c r="F191" s="5" t="n">
        <v>12840</v>
      </c>
      <c r="G191" s="8" t="n">
        <v>8420</v>
      </c>
      <c r="H191" s="5" t="s">
        <v>12</v>
      </c>
      <c r="I191" s="5" t="s">
        <v>13</v>
      </c>
      <c r="J191" s="9" t="s">
        <v>14</v>
      </c>
    </row>
    <row r="192" customFormat="false" ht="18" hidden="false" customHeight="false" outlineLevel="0" collapsed="false">
      <c r="A192" s="6" t="n">
        <v>44820</v>
      </c>
      <c r="B192" s="7" t="n">
        <v>0.243055555555556</v>
      </c>
      <c r="C192" s="5" t="n">
        <v>12180</v>
      </c>
      <c r="D192" s="5" t="s">
        <v>16</v>
      </c>
      <c r="E192" s="5" t="n">
        <v>19340</v>
      </c>
      <c r="F192" s="5" t="n">
        <v>12820</v>
      </c>
      <c r="G192" s="8" t="n">
        <v>6520</v>
      </c>
      <c r="H192" s="5" t="s">
        <v>12</v>
      </c>
      <c r="I192" s="6" t="s">
        <v>13</v>
      </c>
      <c r="J192" s="9" t="s">
        <v>14</v>
      </c>
    </row>
    <row r="193" customFormat="false" ht="18" hidden="false" customHeight="false" outlineLevel="0" collapsed="false">
      <c r="A193" s="6" t="n">
        <v>44820</v>
      </c>
      <c r="B193" s="7" t="n">
        <v>0.240277777777778</v>
      </c>
      <c r="C193" s="5" t="n">
        <v>12179</v>
      </c>
      <c r="D193" s="5" t="s">
        <v>24</v>
      </c>
      <c r="E193" s="5" t="n">
        <v>24080</v>
      </c>
      <c r="F193" s="5" t="n">
        <v>15680</v>
      </c>
      <c r="G193" s="8" t="n">
        <v>8400</v>
      </c>
      <c r="H193" s="5" t="s">
        <v>12</v>
      </c>
      <c r="I193" s="5" t="s">
        <v>13</v>
      </c>
      <c r="J193" s="9" t="s">
        <v>14</v>
      </c>
    </row>
    <row r="194" customFormat="false" ht="18" hidden="false" customHeight="false" outlineLevel="0" collapsed="false">
      <c r="A194" s="6" t="n">
        <v>44820</v>
      </c>
      <c r="B194" s="7" t="n">
        <v>0.249305555555556</v>
      </c>
      <c r="C194" s="5" t="n">
        <v>12181</v>
      </c>
      <c r="D194" s="5" t="s">
        <v>15</v>
      </c>
      <c r="E194" s="5" t="n">
        <v>23680</v>
      </c>
      <c r="F194" s="5" t="n">
        <v>15900</v>
      </c>
      <c r="G194" s="8" t="n">
        <v>7780</v>
      </c>
      <c r="H194" s="5" t="s">
        <v>12</v>
      </c>
      <c r="I194" s="5" t="s">
        <v>13</v>
      </c>
      <c r="J194" s="9" t="s">
        <v>14</v>
      </c>
    </row>
    <row r="195" customFormat="false" ht="18" hidden="false" customHeight="false" outlineLevel="0" collapsed="false">
      <c r="A195" s="6" t="n">
        <v>44820</v>
      </c>
      <c r="B195" s="7" t="n">
        <v>0.0145833333333333</v>
      </c>
      <c r="C195" s="5" t="n">
        <v>12164</v>
      </c>
      <c r="D195" s="5" t="s">
        <v>25</v>
      </c>
      <c r="E195" s="5" t="n">
        <v>15320</v>
      </c>
      <c r="F195" s="5" t="n">
        <v>12460</v>
      </c>
      <c r="G195" s="8" t="n">
        <v>2860</v>
      </c>
      <c r="H195" s="5" t="s">
        <v>12</v>
      </c>
      <c r="I195" s="5" t="s">
        <v>13</v>
      </c>
      <c r="J195" s="9" t="s">
        <v>14</v>
      </c>
    </row>
    <row r="196" customFormat="false" ht="18" hidden="false" customHeight="false" outlineLevel="0" collapsed="false">
      <c r="A196" s="6" t="n">
        <v>44820</v>
      </c>
      <c r="B196" s="7" t="n">
        <v>0.209722222222222</v>
      </c>
      <c r="C196" s="5" t="n">
        <v>12175</v>
      </c>
      <c r="D196" s="5" t="s">
        <v>11</v>
      </c>
      <c r="E196" s="5" t="n">
        <v>4740</v>
      </c>
      <c r="F196" s="5" t="n">
        <v>3680</v>
      </c>
      <c r="G196" s="8" t="n">
        <v>1060</v>
      </c>
      <c r="H196" s="5" t="s">
        <v>12</v>
      </c>
      <c r="I196" s="5" t="s">
        <v>13</v>
      </c>
      <c r="J196" s="9" t="s">
        <v>14</v>
      </c>
    </row>
    <row r="197" customFormat="false" ht="18" hidden="false" customHeight="false" outlineLevel="0" collapsed="false">
      <c r="A197" s="6" t="n">
        <v>44820</v>
      </c>
      <c r="B197" s="7" t="n">
        <v>0.210416666666667</v>
      </c>
      <c r="C197" s="5" t="n">
        <v>12176</v>
      </c>
      <c r="D197" s="5" t="s">
        <v>20</v>
      </c>
      <c r="E197" s="5" t="n">
        <v>3140</v>
      </c>
      <c r="F197" s="5" t="n">
        <v>2960</v>
      </c>
      <c r="G197" s="8" t="n">
        <v>180</v>
      </c>
      <c r="H197" s="5" t="s">
        <v>12</v>
      </c>
      <c r="I197" s="5" t="s">
        <v>13</v>
      </c>
      <c r="J197" s="9" t="s">
        <v>14</v>
      </c>
    </row>
    <row r="198" customFormat="false" ht="18" hidden="false" customHeight="false" outlineLevel="0" collapsed="false">
      <c r="A198" s="6" t="n">
        <v>44820</v>
      </c>
      <c r="B198" s="7" t="n">
        <v>0.870833333333333</v>
      </c>
      <c r="C198" s="5" t="n">
        <v>12238</v>
      </c>
      <c r="D198" s="5" t="s">
        <v>15</v>
      </c>
      <c r="E198" s="5" t="n">
        <v>20880</v>
      </c>
      <c r="F198" s="5" t="n">
        <v>15880</v>
      </c>
      <c r="G198" s="8" t="n">
        <v>5000</v>
      </c>
      <c r="H198" s="5" t="s">
        <v>12</v>
      </c>
      <c r="I198" s="5" t="s">
        <v>13</v>
      </c>
      <c r="J198" s="9" t="s">
        <v>14</v>
      </c>
    </row>
    <row r="199" customFormat="false" ht="18" hidden="false" customHeight="false" outlineLevel="0" collapsed="false">
      <c r="A199" s="6" t="n">
        <v>44820</v>
      </c>
      <c r="B199" s="7" t="n">
        <v>0.856944444444444</v>
      </c>
      <c r="C199" s="5" t="n">
        <v>12236</v>
      </c>
      <c r="D199" s="5" t="s">
        <v>17</v>
      </c>
      <c r="E199" s="5" t="n">
        <v>2900</v>
      </c>
      <c r="F199" s="5" t="n">
        <v>2680</v>
      </c>
      <c r="G199" s="8" t="n">
        <v>220</v>
      </c>
      <c r="H199" s="5" t="s">
        <v>12</v>
      </c>
      <c r="I199" s="5" t="s">
        <v>13</v>
      </c>
      <c r="J199" s="9" t="s">
        <v>14</v>
      </c>
    </row>
    <row r="200" customFormat="false" ht="18" hidden="false" customHeight="false" outlineLevel="0" collapsed="false">
      <c r="A200" s="6" t="n">
        <v>44820</v>
      </c>
      <c r="B200" s="7" t="n">
        <v>0.688888888888889</v>
      </c>
      <c r="C200" s="5" t="n">
        <v>12227</v>
      </c>
      <c r="D200" s="5" t="s">
        <v>16</v>
      </c>
      <c r="E200" s="5" t="n">
        <v>14860</v>
      </c>
      <c r="F200" s="5" t="n">
        <v>12760</v>
      </c>
      <c r="G200" s="8" t="n">
        <v>2100</v>
      </c>
      <c r="H200" s="5" t="s">
        <v>12</v>
      </c>
      <c r="I200" s="5" t="s">
        <v>13</v>
      </c>
      <c r="J200" s="9" t="s">
        <v>14</v>
      </c>
    </row>
    <row r="201" customFormat="false" ht="18" hidden="false" customHeight="false" outlineLevel="0" collapsed="false">
      <c r="A201" s="6" t="n">
        <v>44820</v>
      </c>
      <c r="B201" s="7" t="n">
        <v>0.49375</v>
      </c>
      <c r="C201" s="5" t="n">
        <v>12209</v>
      </c>
      <c r="D201" s="5" t="s">
        <v>20</v>
      </c>
      <c r="E201" s="5" t="n">
        <v>3320</v>
      </c>
      <c r="F201" s="5" t="n">
        <v>2840</v>
      </c>
      <c r="G201" s="8" t="n">
        <v>480</v>
      </c>
      <c r="H201" s="5" t="s">
        <v>12</v>
      </c>
      <c r="I201" s="5" t="s">
        <v>13</v>
      </c>
      <c r="J201" s="9" t="s">
        <v>14</v>
      </c>
    </row>
    <row r="202" customFormat="false" ht="18" hidden="false" customHeight="false" outlineLevel="0" collapsed="false">
      <c r="A202" s="6" t="n">
        <v>44820</v>
      </c>
      <c r="B202" s="7" t="n">
        <v>0.544444444444444</v>
      </c>
      <c r="C202" s="5" t="n">
        <v>12217</v>
      </c>
      <c r="D202" s="5" t="s">
        <v>17</v>
      </c>
      <c r="E202" s="5" t="n">
        <v>3060</v>
      </c>
      <c r="F202" s="5" t="n">
        <v>2800</v>
      </c>
      <c r="G202" s="8" t="n">
        <v>260</v>
      </c>
      <c r="H202" s="5" t="s">
        <v>12</v>
      </c>
      <c r="I202" s="5" t="s">
        <v>26</v>
      </c>
      <c r="J202" s="9" t="s">
        <v>14</v>
      </c>
    </row>
    <row r="203" customFormat="false" ht="18" hidden="false" customHeight="false" outlineLevel="0" collapsed="false">
      <c r="A203" s="6" t="n">
        <v>44820</v>
      </c>
      <c r="B203" s="7" t="n">
        <v>0.502083333333333</v>
      </c>
      <c r="C203" s="5" t="n">
        <v>12212</v>
      </c>
      <c r="D203" s="5" t="s">
        <v>21</v>
      </c>
      <c r="E203" s="5" t="n">
        <v>2600</v>
      </c>
      <c r="F203" s="5" t="n">
        <v>2400</v>
      </c>
      <c r="G203" s="8" t="n">
        <v>200</v>
      </c>
      <c r="H203" s="5" t="s">
        <v>12</v>
      </c>
      <c r="I203" s="5" t="s">
        <v>13</v>
      </c>
      <c r="J203" s="9" t="s">
        <v>14</v>
      </c>
    </row>
    <row r="204" customFormat="false" ht="18" hidden="false" customHeight="false" outlineLevel="0" collapsed="false">
      <c r="A204" s="6" t="n">
        <v>44820</v>
      </c>
      <c r="B204" s="7" t="n">
        <v>0.50625</v>
      </c>
      <c r="C204" s="5" t="n">
        <v>3476</v>
      </c>
      <c r="D204" s="5" t="s">
        <v>24</v>
      </c>
      <c r="E204" s="5" t="n">
        <v>17500</v>
      </c>
      <c r="F204" s="5" t="n">
        <v>15760</v>
      </c>
      <c r="G204" s="8" t="n">
        <v>1740</v>
      </c>
      <c r="H204" s="5" t="s">
        <v>12</v>
      </c>
      <c r="I204" s="5" t="s">
        <v>10</v>
      </c>
      <c r="J204" s="9" t="s">
        <v>14</v>
      </c>
    </row>
    <row r="205" customFormat="false" ht="18" hidden="false" customHeight="false" outlineLevel="0" collapsed="false">
      <c r="A205" s="6" t="n">
        <v>44821</v>
      </c>
      <c r="B205" s="7" t="n">
        <v>0.0715277777777778</v>
      </c>
      <c r="C205" s="5" t="n">
        <v>12241</v>
      </c>
      <c r="D205" s="5" t="s">
        <v>16</v>
      </c>
      <c r="E205" s="5" t="n">
        <v>21240</v>
      </c>
      <c r="F205" s="5" t="n">
        <v>12740</v>
      </c>
      <c r="G205" s="8" t="n">
        <v>8500</v>
      </c>
      <c r="H205" s="5" t="s">
        <v>12</v>
      </c>
      <c r="I205" s="5" t="s">
        <v>13</v>
      </c>
      <c r="J205" s="9" t="s">
        <v>14</v>
      </c>
    </row>
    <row r="206" customFormat="false" ht="18" hidden="false" customHeight="false" outlineLevel="0" collapsed="false">
      <c r="A206" s="6" t="n">
        <v>44821</v>
      </c>
      <c r="B206" s="7" t="n">
        <v>0.24375</v>
      </c>
      <c r="C206" s="5" t="n">
        <v>12255</v>
      </c>
      <c r="D206" s="5" t="s">
        <v>24</v>
      </c>
      <c r="E206" s="5" t="n">
        <v>17860</v>
      </c>
      <c r="F206" s="5" t="n">
        <v>15700</v>
      </c>
      <c r="G206" s="8" t="n">
        <v>2160</v>
      </c>
      <c r="H206" s="5" t="s">
        <v>12</v>
      </c>
      <c r="I206" s="5" t="s">
        <v>13</v>
      </c>
      <c r="J206" s="9" t="s">
        <v>14</v>
      </c>
    </row>
    <row r="207" customFormat="false" ht="18" hidden="false" customHeight="false" outlineLevel="0" collapsed="false">
      <c r="A207" s="6" t="n">
        <v>44821</v>
      </c>
      <c r="B207" s="7" t="n">
        <v>0.443055555555556</v>
      </c>
      <c r="C207" s="5" t="n">
        <v>12280</v>
      </c>
      <c r="D207" s="5" t="s">
        <v>20</v>
      </c>
      <c r="E207" s="5" t="n">
        <v>3280</v>
      </c>
      <c r="F207" s="5" t="n">
        <v>2860</v>
      </c>
      <c r="G207" s="8" t="n">
        <v>420</v>
      </c>
      <c r="H207" s="5" t="s">
        <v>12</v>
      </c>
      <c r="I207" s="5" t="s">
        <v>13</v>
      </c>
      <c r="J207" s="9" t="s">
        <v>14</v>
      </c>
    </row>
    <row r="208" customFormat="false" ht="18" hidden="false" customHeight="false" outlineLevel="0" collapsed="false">
      <c r="A208" s="6" t="n">
        <v>44821</v>
      </c>
      <c r="B208" s="7" t="n">
        <v>0.49375</v>
      </c>
      <c r="C208" s="5" t="n">
        <v>12286</v>
      </c>
      <c r="D208" s="5" t="s">
        <v>20</v>
      </c>
      <c r="E208" s="5" t="n">
        <v>3040</v>
      </c>
      <c r="F208" s="5" t="n">
        <v>2860</v>
      </c>
      <c r="G208" s="8" t="n">
        <v>180</v>
      </c>
      <c r="H208" s="5" t="s">
        <v>12</v>
      </c>
      <c r="I208" s="5" t="s">
        <v>13</v>
      </c>
      <c r="J208" s="9" t="s">
        <v>14</v>
      </c>
    </row>
    <row r="209" customFormat="false" ht="18" hidden="false" customHeight="false" outlineLevel="0" collapsed="false">
      <c r="A209" s="6" t="n">
        <v>44821</v>
      </c>
      <c r="B209" s="7" t="n">
        <v>0.247916666666667</v>
      </c>
      <c r="C209" s="5" t="n">
        <v>12256</v>
      </c>
      <c r="D209" s="5" t="s">
        <v>16</v>
      </c>
      <c r="E209" s="5" t="n">
        <v>19400</v>
      </c>
      <c r="F209" s="5" t="n">
        <v>12720</v>
      </c>
      <c r="G209" s="8" t="n">
        <v>6680</v>
      </c>
      <c r="H209" s="5" t="s">
        <v>12</v>
      </c>
      <c r="I209" s="5" t="s">
        <v>13</v>
      </c>
      <c r="J209" s="9" t="s">
        <v>14</v>
      </c>
    </row>
    <row r="210" customFormat="false" ht="18" hidden="false" customHeight="false" outlineLevel="0" collapsed="false">
      <c r="A210" s="6" t="n">
        <v>44821</v>
      </c>
      <c r="B210" s="7" t="n">
        <v>0.873611111111111</v>
      </c>
      <c r="C210" s="5" t="n">
        <v>12292</v>
      </c>
      <c r="D210" s="5" t="s">
        <v>15</v>
      </c>
      <c r="E210" s="5" t="n">
        <v>21400</v>
      </c>
      <c r="F210" s="5" t="n">
        <v>15900</v>
      </c>
      <c r="G210" s="8" t="n">
        <v>5500</v>
      </c>
      <c r="H210" s="5" t="s">
        <v>12</v>
      </c>
      <c r="I210" s="5" t="s">
        <v>13</v>
      </c>
      <c r="J210" s="9" t="s">
        <v>14</v>
      </c>
    </row>
    <row r="211" customFormat="false" ht="18" hidden="false" customHeight="false" outlineLevel="0" collapsed="false">
      <c r="A211" s="6" t="n">
        <v>44821</v>
      </c>
      <c r="B211" s="7" t="n">
        <v>0.234722222222222</v>
      </c>
      <c r="C211" s="5" t="n">
        <v>12253</v>
      </c>
      <c r="D211" s="5" t="s">
        <v>15</v>
      </c>
      <c r="E211" s="5" t="n">
        <v>22820</v>
      </c>
      <c r="F211" s="5" t="n">
        <v>15840</v>
      </c>
      <c r="G211" s="8" t="n">
        <v>6980</v>
      </c>
      <c r="H211" s="5" t="s">
        <v>12</v>
      </c>
      <c r="I211" s="5" t="s">
        <v>13</v>
      </c>
      <c r="J211" s="9" t="s">
        <v>14</v>
      </c>
    </row>
    <row r="212" customFormat="false" ht="18" hidden="false" customHeight="false" outlineLevel="0" collapsed="false">
      <c r="A212" s="6" t="n">
        <v>44821</v>
      </c>
      <c r="B212" s="7" t="n">
        <v>0.685416666666667</v>
      </c>
      <c r="C212" s="5" t="n">
        <v>12291</v>
      </c>
      <c r="D212" s="5" t="s">
        <v>16</v>
      </c>
      <c r="E212" s="5" t="n">
        <v>14480</v>
      </c>
      <c r="F212" s="5" t="n">
        <v>12780</v>
      </c>
      <c r="G212" s="8" t="n">
        <v>1700</v>
      </c>
      <c r="H212" s="5" t="s">
        <v>12</v>
      </c>
      <c r="I212" s="5" t="s">
        <v>13</v>
      </c>
      <c r="J212" s="9" t="s">
        <v>14</v>
      </c>
    </row>
    <row r="213" customFormat="false" ht="18" hidden="false" customHeight="false" outlineLevel="0" collapsed="false">
      <c r="A213" s="6" t="n">
        <v>44821</v>
      </c>
      <c r="B213" s="7" t="n">
        <v>0.209722222222222</v>
      </c>
      <c r="C213" s="5" t="n">
        <v>12250</v>
      </c>
      <c r="D213" s="5" t="s">
        <v>11</v>
      </c>
      <c r="E213" s="5" t="n">
        <v>4900</v>
      </c>
      <c r="F213" s="5" t="n">
        <v>3680</v>
      </c>
      <c r="G213" s="8" t="n">
        <v>1220</v>
      </c>
      <c r="H213" s="5" t="s">
        <v>12</v>
      </c>
      <c r="I213" s="5" t="s">
        <v>13</v>
      </c>
      <c r="J213" s="9" t="s">
        <v>14</v>
      </c>
    </row>
    <row r="214" customFormat="false" ht="18" hidden="false" customHeight="false" outlineLevel="0" collapsed="false">
      <c r="A214" s="6" t="n">
        <v>44821</v>
      </c>
      <c r="B214" s="7" t="n">
        <v>0.209027777777778</v>
      </c>
      <c r="C214" s="5" t="n">
        <v>12251</v>
      </c>
      <c r="D214" s="5" t="s">
        <v>17</v>
      </c>
      <c r="E214" s="5" t="n">
        <v>2960</v>
      </c>
      <c r="F214" s="5" t="n">
        <v>2800</v>
      </c>
      <c r="G214" s="8" t="n">
        <v>160</v>
      </c>
      <c r="H214" s="5" t="s">
        <v>12</v>
      </c>
      <c r="I214" s="5" t="s">
        <v>13</v>
      </c>
      <c r="J214" s="9" t="s">
        <v>14</v>
      </c>
    </row>
    <row r="215" customFormat="false" ht="18" hidden="false" customHeight="false" outlineLevel="0" collapsed="false">
      <c r="A215" s="6" t="n">
        <v>44821</v>
      </c>
      <c r="B215" s="7" t="n">
        <v>0.511111111111111</v>
      </c>
      <c r="C215" s="5" t="n">
        <v>12288</v>
      </c>
      <c r="D215" s="5" t="s">
        <v>21</v>
      </c>
      <c r="E215" s="5" t="n">
        <v>2660</v>
      </c>
      <c r="F215" s="5" t="n">
        <v>2500</v>
      </c>
      <c r="G215" s="8" t="n">
        <v>160</v>
      </c>
      <c r="H215" s="5" t="s">
        <v>12</v>
      </c>
      <c r="I215" s="5" t="s">
        <v>13</v>
      </c>
      <c r="J215" s="9" t="s">
        <v>14</v>
      </c>
    </row>
    <row r="216" customFormat="false" ht="18" hidden="false" customHeight="false" outlineLevel="0" collapsed="false">
      <c r="A216" s="6" t="n">
        <v>44822</v>
      </c>
      <c r="B216" s="7" t="n">
        <v>0.44375</v>
      </c>
      <c r="C216" s="5" t="n">
        <v>12313</v>
      </c>
      <c r="D216" s="5" t="s">
        <v>20</v>
      </c>
      <c r="E216" s="5" t="n">
        <v>3460</v>
      </c>
      <c r="F216" s="5" t="n">
        <v>2840</v>
      </c>
      <c r="G216" s="8" t="n">
        <v>620</v>
      </c>
      <c r="H216" s="5" t="s">
        <v>12</v>
      </c>
      <c r="I216" s="5" t="s">
        <v>13</v>
      </c>
      <c r="J216" s="9" t="s">
        <v>14</v>
      </c>
    </row>
    <row r="217" customFormat="false" ht="18" hidden="false" customHeight="false" outlineLevel="0" collapsed="false">
      <c r="A217" s="6" t="n">
        <v>44822</v>
      </c>
      <c r="B217" s="7" t="n">
        <v>0.873611111111111</v>
      </c>
      <c r="C217" s="5" t="n">
        <v>12317</v>
      </c>
      <c r="D217" s="5" t="s">
        <v>17</v>
      </c>
      <c r="E217" s="5" t="n">
        <v>3300</v>
      </c>
      <c r="F217" s="5" t="n">
        <v>2660</v>
      </c>
      <c r="G217" s="8" t="n">
        <v>640</v>
      </c>
      <c r="H217" s="5" t="s">
        <v>12</v>
      </c>
      <c r="I217" s="5" t="s">
        <v>13</v>
      </c>
      <c r="J217" s="9" t="s">
        <v>14</v>
      </c>
    </row>
    <row r="218" customFormat="false" ht="18" hidden="false" customHeight="false" outlineLevel="0" collapsed="false">
      <c r="A218" s="6" t="n">
        <v>44822</v>
      </c>
      <c r="B218" s="7" t="n">
        <v>0.982638888888889</v>
      </c>
      <c r="C218" s="5" t="n">
        <v>12318</v>
      </c>
      <c r="D218" s="5" t="s">
        <v>25</v>
      </c>
      <c r="E218" s="5" t="n">
        <v>15780</v>
      </c>
      <c r="F218" s="5" t="n">
        <v>12460</v>
      </c>
      <c r="G218" s="8" t="n">
        <v>3320</v>
      </c>
      <c r="H218" s="5" t="s">
        <v>12</v>
      </c>
      <c r="I218" s="5" t="s">
        <v>13</v>
      </c>
      <c r="J218" s="9" t="s">
        <v>14</v>
      </c>
    </row>
    <row r="219" customFormat="false" ht="18" hidden="false" customHeight="false" outlineLevel="0" collapsed="false">
      <c r="A219" s="6" t="n">
        <v>44822</v>
      </c>
      <c r="B219" s="7" t="n">
        <v>0.215277777777778</v>
      </c>
      <c r="C219" s="5" t="n">
        <v>12305</v>
      </c>
      <c r="D219" s="5" t="s">
        <v>16</v>
      </c>
      <c r="E219" s="5" t="n">
        <v>21660</v>
      </c>
      <c r="F219" s="5" t="n">
        <v>12820</v>
      </c>
      <c r="G219" s="8" t="n">
        <v>8840</v>
      </c>
      <c r="H219" s="5" t="s">
        <v>12</v>
      </c>
      <c r="I219" s="5" t="s">
        <v>13</v>
      </c>
      <c r="J219" s="9" t="s">
        <v>14</v>
      </c>
    </row>
    <row r="220" customFormat="false" ht="18" hidden="false" customHeight="false" outlineLevel="0" collapsed="false">
      <c r="A220" s="6" t="n">
        <v>44822</v>
      </c>
      <c r="B220" s="7" t="n">
        <v>0.69375</v>
      </c>
      <c r="C220" s="5" t="n">
        <v>12315</v>
      </c>
      <c r="D220" s="5" t="s">
        <v>16</v>
      </c>
      <c r="E220" s="5" t="n">
        <v>14880</v>
      </c>
      <c r="F220" s="5" t="n">
        <v>12760</v>
      </c>
      <c r="G220" s="8" t="n">
        <v>2120</v>
      </c>
      <c r="H220" s="5" t="s">
        <v>12</v>
      </c>
      <c r="I220" s="5" t="s">
        <v>13</v>
      </c>
      <c r="J220" s="9" t="s">
        <v>14</v>
      </c>
    </row>
    <row r="221" customFormat="false" ht="18" hidden="false" customHeight="false" outlineLevel="0" collapsed="false">
      <c r="A221" s="6" t="n">
        <v>44822</v>
      </c>
      <c r="B221" s="7" t="n">
        <v>0.529166666666667</v>
      </c>
      <c r="C221" s="5" t="n">
        <v>12314</v>
      </c>
      <c r="D221" s="5" t="s">
        <v>21</v>
      </c>
      <c r="E221" s="5" t="n">
        <v>2920</v>
      </c>
      <c r="F221" s="5" t="n">
        <v>2400</v>
      </c>
      <c r="G221" s="8" t="n">
        <v>520</v>
      </c>
      <c r="H221" s="5" t="s">
        <v>12</v>
      </c>
      <c r="I221" s="5" t="s">
        <v>13</v>
      </c>
      <c r="J221" s="9" t="s">
        <v>14</v>
      </c>
    </row>
    <row r="222" customFormat="false" ht="18" hidden="false" customHeight="false" outlineLevel="0" collapsed="false">
      <c r="A222" s="6" t="n">
        <v>44822</v>
      </c>
      <c r="B222" s="7" t="n">
        <v>0.0805555555555556</v>
      </c>
      <c r="C222" s="5" t="n">
        <v>12294</v>
      </c>
      <c r="D222" s="5" t="s">
        <v>16</v>
      </c>
      <c r="E222" s="5" t="n">
        <v>21700</v>
      </c>
      <c r="F222" s="5" t="n">
        <v>12860</v>
      </c>
      <c r="G222" s="8" t="n">
        <v>8840</v>
      </c>
      <c r="H222" s="5" t="s">
        <v>12</v>
      </c>
      <c r="I222" s="5" t="s">
        <v>13</v>
      </c>
      <c r="J222" s="9" t="s">
        <v>14</v>
      </c>
    </row>
    <row r="223" customFormat="false" ht="18" hidden="false" customHeight="false" outlineLevel="0" collapsed="false">
      <c r="A223" s="6" t="n">
        <v>44822</v>
      </c>
      <c r="B223" s="7" t="n">
        <v>0.863194444444444</v>
      </c>
      <c r="C223" s="5" t="n">
        <v>12316</v>
      </c>
      <c r="D223" s="5" t="s">
        <v>15</v>
      </c>
      <c r="E223" s="5" t="n">
        <v>22700</v>
      </c>
      <c r="F223" s="5" t="n">
        <v>16340</v>
      </c>
      <c r="G223" s="8" t="n">
        <v>6360</v>
      </c>
      <c r="H223" s="5" t="s">
        <v>12</v>
      </c>
      <c r="I223" s="5" t="s">
        <v>13</v>
      </c>
      <c r="J223" s="9" t="s">
        <v>14</v>
      </c>
    </row>
    <row r="224" customFormat="false" ht="18" hidden="false" customHeight="false" outlineLevel="0" collapsed="false">
      <c r="A224" s="6" t="n">
        <v>44822</v>
      </c>
      <c r="B224" s="7" t="n">
        <v>0.217361111111111</v>
      </c>
      <c r="C224" s="5" t="n">
        <v>12306</v>
      </c>
      <c r="D224" s="5" t="s">
        <v>21</v>
      </c>
      <c r="E224" s="5" t="n">
        <v>2840</v>
      </c>
      <c r="F224" s="5" t="n">
        <v>2420</v>
      </c>
      <c r="G224" s="8" t="n">
        <v>420</v>
      </c>
      <c r="H224" s="5" t="s">
        <v>12</v>
      </c>
      <c r="I224" s="5" t="s">
        <v>13</v>
      </c>
      <c r="J224" s="9" t="s">
        <v>14</v>
      </c>
    </row>
    <row r="225" customFormat="false" ht="18" hidden="false" customHeight="false" outlineLevel="0" collapsed="false">
      <c r="A225" s="6" t="n">
        <v>44822</v>
      </c>
      <c r="B225" s="7" t="n">
        <v>0.218055555555556</v>
      </c>
      <c r="C225" s="5" t="n">
        <v>12307</v>
      </c>
      <c r="D225" s="5" t="s">
        <v>20</v>
      </c>
      <c r="E225" s="5" t="n">
        <v>3280</v>
      </c>
      <c r="F225" s="5" t="n">
        <v>2900</v>
      </c>
      <c r="G225" s="8" t="n">
        <v>380</v>
      </c>
      <c r="H225" s="5" t="s">
        <v>12</v>
      </c>
      <c r="I225" s="5" t="s">
        <v>13</v>
      </c>
      <c r="J225" s="9" t="s">
        <v>14</v>
      </c>
    </row>
    <row r="226" customFormat="false" ht="18" hidden="false" customHeight="false" outlineLevel="0" collapsed="false">
      <c r="A226" s="6" t="n">
        <v>44822</v>
      </c>
      <c r="B226" s="7" t="n">
        <v>0.146527777777778</v>
      </c>
      <c r="C226" s="5" t="n">
        <v>12301</v>
      </c>
      <c r="D226" s="5" t="s">
        <v>20</v>
      </c>
      <c r="E226" s="5" t="n">
        <v>3480</v>
      </c>
      <c r="F226" s="5" t="n">
        <v>2900</v>
      </c>
      <c r="G226" s="8" t="n">
        <v>580</v>
      </c>
      <c r="H226" s="5" t="s">
        <v>12</v>
      </c>
      <c r="I226" s="5" t="s">
        <v>13</v>
      </c>
      <c r="J226" s="9" t="s">
        <v>14</v>
      </c>
    </row>
    <row r="227" customFormat="false" ht="18" hidden="false" customHeight="false" outlineLevel="0" collapsed="false">
      <c r="A227" s="6" t="n">
        <v>44822</v>
      </c>
      <c r="B227" s="7" t="n">
        <v>0.211111111111111</v>
      </c>
      <c r="C227" s="5" t="n">
        <v>12304</v>
      </c>
      <c r="D227" s="5" t="s">
        <v>15</v>
      </c>
      <c r="E227" s="5" t="n">
        <v>23980</v>
      </c>
      <c r="F227" s="5" t="n">
        <v>16180</v>
      </c>
      <c r="G227" s="8" t="n">
        <v>7800</v>
      </c>
      <c r="H227" s="5" t="s">
        <v>12</v>
      </c>
      <c r="I227" s="5" t="s">
        <v>13</v>
      </c>
      <c r="J227" s="9" t="s">
        <v>14</v>
      </c>
    </row>
    <row r="228" customFormat="false" ht="18" hidden="false" customHeight="false" outlineLevel="0" collapsed="false">
      <c r="A228" s="6" t="n">
        <v>44822</v>
      </c>
      <c r="B228" s="7" t="n">
        <v>0.204861111111111</v>
      </c>
      <c r="C228" s="5" t="n">
        <v>12303</v>
      </c>
      <c r="D228" s="5" t="s">
        <v>24</v>
      </c>
      <c r="E228" s="5" t="n">
        <v>18640</v>
      </c>
      <c r="F228" s="5" t="n">
        <v>16080</v>
      </c>
      <c r="G228" s="8" t="n">
        <v>2560</v>
      </c>
      <c r="H228" s="5" t="s">
        <v>12</v>
      </c>
      <c r="I228" s="5" t="s">
        <v>13</v>
      </c>
      <c r="J228" s="9" t="s">
        <v>14</v>
      </c>
    </row>
    <row r="229" customFormat="false" ht="18" hidden="false" customHeight="false" outlineLevel="0" collapsed="false">
      <c r="A229" s="6" t="n">
        <v>44823</v>
      </c>
      <c r="B229" s="7" t="n">
        <v>0.211111111111111</v>
      </c>
      <c r="C229" s="5" t="n">
        <v>12327</v>
      </c>
      <c r="D229" s="5" t="s">
        <v>11</v>
      </c>
      <c r="E229" s="5" t="n">
        <v>5480</v>
      </c>
      <c r="F229" s="5" t="n">
        <v>3760</v>
      </c>
      <c r="G229" s="8" t="n">
        <v>1720</v>
      </c>
      <c r="H229" s="5" t="s">
        <v>12</v>
      </c>
      <c r="I229" s="5" t="s">
        <v>13</v>
      </c>
      <c r="J229" s="9" t="s">
        <v>14</v>
      </c>
    </row>
    <row r="230" customFormat="false" ht="18" hidden="false" customHeight="false" outlineLevel="0" collapsed="false">
      <c r="A230" s="6" t="n">
        <v>44823</v>
      </c>
      <c r="B230" s="7" t="n">
        <v>0.0763888888888889</v>
      </c>
      <c r="C230" s="5" t="n">
        <v>12319</v>
      </c>
      <c r="D230" s="5" t="s">
        <v>16</v>
      </c>
      <c r="E230" s="5" t="n">
        <v>21340</v>
      </c>
      <c r="F230" s="5" t="n">
        <v>12780</v>
      </c>
      <c r="G230" s="8" t="n">
        <v>8560</v>
      </c>
      <c r="H230" s="5" t="s">
        <v>12</v>
      </c>
      <c r="I230" s="5" t="s">
        <v>13</v>
      </c>
      <c r="J230" s="9" t="s">
        <v>14</v>
      </c>
    </row>
    <row r="231" customFormat="false" ht="18" hidden="false" customHeight="false" outlineLevel="0" collapsed="false">
      <c r="A231" s="6" t="n">
        <v>44823</v>
      </c>
      <c r="B231" s="7" t="n">
        <v>0.249305555555556</v>
      </c>
      <c r="C231" s="5" t="n">
        <v>12332</v>
      </c>
      <c r="D231" s="5" t="s">
        <v>16</v>
      </c>
      <c r="E231" s="5" t="n">
        <v>21100</v>
      </c>
      <c r="F231" s="5" t="n">
        <v>12780</v>
      </c>
      <c r="G231" s="8" t="n">
        <v>8320</v>
      </c>
      <c r="H231" s="5" t="s">
        <v>12</v>
      </c>
      <c r="I231" s="5" t="s">
        <v>13</v>
      </c>
      <c r="J231" s="9" t="s">
        <v>14</v>
      </c>
    </row>
    <row r="232" customFormat="false" ht="18" hidden="false" customHeight="false" outlineLevel="0" collapsed="false">
      <c r="A232" s="6" t="n">
        <v>44823</v>
      </c>
      <c r="B232" s="7" t="n">
        <v>0.244444444444444</v>
      </c>
      <c r="C232" s="5" t="n">
        <v>12330</v>
      </c>
      <c r="D232" s="5" t="s">
        <v>15</v>
      </c>
      <c r="E232" s="5" t="n">
        <v>24400</v>
      </c>
      <c r="F232" s="5" t="n">
        <v>16320</v>
      </c>
      <c r="G232" s="8" t="n">
        <v>8080</v>
      </c>
      <c r="H232" s="5" t="s">
        <v>12</v>
      </c>
      <c r="I232" s="5" t="s">
        <v>13</v>
      </c>
      <c r="J232" s="9" t="s">
        <v>14</v>
      </c>
    </row>
    <row r="233" customFormat="false" ht="18" hidden="false" customHeight="false" outlineLevel="0" collapsed="false">
      <c r="A233" s="6" t="n">
        <v>44823</v>
      </c>
      <c r="B233" s="7" t="n">
        <v>0.24375</v>
      </c>
      <c r="C233" s="5" t="n">
        <v>12331</v>
      </c>
      <c r="D233" s="5" t="s">
        <v>24</v>
      </c>
      <c r="E233" s="5" t="n">
        <v>22160</v>
      </c>
      <c r="F233" s="5" t="n">
        <v>16120</v>
      </c>
      <c r="G233" s="8" t="n">
        <v>6040</v>
      </c>
      <c r="H233" s="5" t="s">
        <v>12</v>
      </c>
      <c r="I233" s="5" t="s">
        <v>13</v>
      </c>
      <c r="J233" s="9" t="s">
        <v>14</v>
      </c>
    </row>
    <row r="234" customFormat="false" ht="18" hidden="false" customHeight="false" outlineLevel="0" collapsed="false">
      <c r="A234" s="6" t="n">
        <v>44823</v>
      </c>
      <c r="B234" s="7" t="n">
        <v>0.424305555555556</v>
      </c>
      <c r="C234" s="5" t="n">
        <v>12350</v>
      </c>
      <c r="D234" s="5" t="s">
        <v>21</v>
      </c>
      <c r="E234" s="5" t="n">
        <v>2720</v>
      </c>
      <c r="F234" s="5" t="n">
        <v>2360</v>
      </c>
      <c r="G234" s="8" t="n">
        <v>360</v>
      </c>
      <c r="H234" s="5" t="s">
        <v>12</v>
      </c>
      <c r="I234" s="5" t="s">
        <v>13</v>
      </c>
      <c r="J234" s="9" t="s">
        <v>14</v>
      </c>
    </row>
    <row r="235" customFormat="false" ht="18" hidden="false" customHeight="false" outlineLevel="0" collapsed="false">
      <c r="A235" s="6" t="n">
        <v>44823</v>
      </c>
      <c r="B235" s="7" t="n">
        <v>0.521527777777778</v>
      </c>
      <c r="C235" s="5" t="n">
        <v>12359</v>
      </c>
      <c r="D235" s="5" t="s">
        <v>21</v>
      </c>
      <c r="E235" s="5" t="n">
        <v>2520</v>
      </c>
      <c r="F235" s="5" t="n">
        <v>2360</v>
      </c>
      <c r="G235" s="8" t="n">
        <v>160</v>
      </c>
      <c r="H235" s="5" t="s">
        <v>12</v>
      </c>
      <c r="I235" s="5" t="s">
        <v>13</v>
      </c>
      <c r="J235" s="9" t="s">
        <v>14</v>
      </c>
    </row>
    <row r="236" customFormat="false" ht="18" hidden="false" customHeight="false" outlineLevel="0" collapsed="false">
      <c r="A236" s="6" t="n">
        <v>44823</v>
      </c>
      <c r="B236" s="7" t="n">
        <v>0.447222222222222</v>
      </c>
      <c r="C236" s="5" t="n">
        <v>12353</v>
      </c>
      <c r="D236" s="5" t="s">
        <v>20</v>
      </c>
      <c r="E236" s="5" t="n">
        <v>4020</v>
      </c>
      <c r="F236" s="5" t="n">
        <v>2860</v>
      </c>
      <c r="G236" s="8" t="n">
        <v>1160</v>
      </c>
      <c r="H236" s="5" t="s">
        <v>12</v>
      </c>
      <c r="I236" s="5" t="s">
        <v>13</v>
      </c>
      <c r="J236" s="9" t="s">
        <v>14</v>
      </c>
    </row>
    <row r="237" customFormat="false" ht="18" hidden="false" customHeight="false" outlineLevel="0" collapsed="false">
      <c r="A237" s="6" t="n">
        <v>44823</v>
      </c>
      <c r="B237" s="7" t="n">
        <v>0.5125</v>
      </c>
      <c r="C237" s="5" t="n">
        <v>3506</v>
      </c>
      <c r="D237" s="5" t="s">
        <v>24</v>
      </c>
      <c r="E237" s="5" t="n">
        <v>17140</v>
      </c>
      <c r="F237" s="5" t="n">
        <v>15700</v>
      </c>
      <c r="G237" s="8" t="n">
        <v>1440</v>
      </c>
      <c r="H237" s="5" t="s">
        <v>12</v>
      </c>
      <c r="I237" s="5" t="s">
        <v>10</v>
      </c>
      <c r="J237" s="9" t="s">
        <v>14</v>
      </c>
    </row>
    <row r="238" customFormat="false" ht="18" hidden="false" customHeight="false" outlineLevel="0" collapsed="false">
      <c r="A238" s="6" t="n">
        <v>44823</v>
      </c>
      <c r="B238" s="7" t="n">
        <v>0.718055555555556</v>
      </c>
      <c r="C238" s="5" t="n">
        <v>12369</v>
      </c>
      <c r="D238" s="5" t="s">
        <v>16</v>
      </c>
      <c r="E238" s="5" t="n">
        <v>14780</v>
      </c>
      <c r="F238" s="5" t="n">
        <v>12820</v>
      </c>
      <c r="G238" s="8" t="n">
        <v>1960</v>
      </c>
      <c r="H238" s="5" t="s">
        <v>12</v>
      </c>
      <c r="I238" s="5" t="s">
        <v>13</v>
      </c>
      <c r="J238" s="9" t="s">
        <v>14</v>
      </c>
    </row>
    <row r="239" customFormat="false" ht="18" hidden="false" customHeight="false" outlineLevel="0" collapsed="false">
      <c r="A239" s="6" t="n">
        <v>44823</v>
      </c>
      <c r="B239" s="7" t="n">
        <v>0.874305555555556</v>
      </c>
      <c r="C239" s="5" t="n">
        <v>12370</v>
      </c>
      <c r="D239" s="5" t="s">
        <v>15</v>
      </c>
      <c r="E239" s="5" t="n">
        <v>20380</v>
      </c>
      <c r="F239" s="5" t="n">
        <v>15980</v>
      </c>
      <c r="G239" s="8" t="n">
        <v>4400</v>
      </c>
      <c r="H239" s="5" t="s">
        <v>12</v>
      </c>
      <c r="I239" s="5" t="s">
        <v>13</v>
      </c>
      <c r="J239" s="9" t="s">
        <v>14</v>
      </c>
    </row>
    <row r="240" customFormat="false" ht="18" hidden="false" customHeight="false" outlineLevel="0" collapsed="false">
      <c r="A240" s="6" t="n">
        <v>44824</v>
      </c>
      <c r="B240" s="7" t="n">
        <v>0.243055555555556</v>
      </c>
      <c r="C240" s="5" t="n">
        <v>12387</v>
      </c>
      <c r="D240" s="5" t="s">
        <v>16</v>
      </c>
      <c r="E240" s="5" t="n">
        <v>17760</v>
      </c>
      <c r="F240" s="5" t="n">
        <v>12800</v>
      </c>
      <c r="G240" s="8" t="n">
        <v>4960</v>
      </c>
      <c r="H240" s="5" t="s">
        <v>12</v>
      </c>
      <c r="I240" s="5" t="s">
        <v>13</v>
      </c>
      <c r="J240" s="9" t="s">
        <v>14</v>
      </c>
    </row>
    <row r="241" customFormat="false" ht="18" hidden="false" customHeight="false" outlineLevel="0" collapsed="false">
      <c r="A241" s="6" t="n">
        <v>44824</v>
      </c>
      <c r="B241" s="7" t="n">
        <v>0.0104166666666667</v>
      </c>
      <c r="C241" s="5" t="n">
        <v>12371</v>
      </c>
      <c r="D241" s="5" t="s">
        <v>25</v>
      </c>
      <c r="E241" s="5" t="n">
        <v>13200</v>
      </c>
      <c r="F241" s="5" t="n">
        <v>12420</v>
      </c>
      <c r="G241" s="8" t="n">
        <v>780</v>
      </c>
      <c r="H241" s="5" t="s">
        <v>12</v>
      </c>
      <c r="I241" s="5" t="s">
        <v>13</v>
      </c>
      <c r="J241" s="9" t="s">
        <v>14</v>
      </c>
    </row>
    <row r="242" customFormat="false" ht="18" hidden="false" customHeight="false" outlineLevel="0" collapsed="false">
      <c r="A242" s="6" t="n">
        <v>44824</v>
      </c>
      <c r="B242" s="7" t="n">
        <v>0.213194444444444</v>
      </c>
      <c r="C242" s="5" t="n">
        <v>12382</v>
      </c>
      <c r="D242" s="5" t="s">
        <v>11</v>
      </c>
      <c r="E242" s="5" t="n">
        <v>4980</v>
      </c>
      <c r="F242" s="5" t="n">
        <v>3800</v>
      </c>
      <c r="G242" s="8" t="n">
        <v>1180</v>
      </c>
      <c r="H242" s="5" t="s">
        <v>12</v>
      </c>
      <c r="I242" s="5" t="s">
        <v>13</v>
      </c>
      <c r="J242" s="9" t="s">
        <v>14</v>
      </c>
    </row>
    <row r="243" customFormat="false" ht="18" hidden="false" customHeight="false" outlineLevel="0" collapsed="false">
      <c r="A243" s="6" t="n">
        <v>44824</v>
      </c>
      <c r="B243" s="7" t="n">
        <v>0.248611111111111</v>
      </c>
      <c r="C243" s="5" t="n">
        <v>12388</v>
      </c>
      <c r="D243" s="5" t="s">
        <v>15</v>
      </c>
      <c r="E243" s="5" t="n">
        <v>23360</v>
      </c>
      <c r="F243" s="5" t="n">
        <v>16020</v>
      </c>
      <c r="G243" s="8" t="n">
        <v>7340</v>
      </c>
      <c r="H243" s="5" t="s">
        <v>12</v>
      </c>
      <c r="I243" s="5" t="s">
        <v>13</v>
      </c>
      <c r="J243" s="9" t="s">
        <v>14</v>
      </c>
    </row>
    <row r="244" customFormat="false" ht="18" hidden="false" customHeight="false" outlineLevel="0" collapsed="false">
      <c r="A244" s="6" t="n">
        <v>44824</v>
      </c>
      <c r="B244" s="7" t="n">
        <v>0.0708333333333333</v>
      </c>
      <c r="C244" s="5" t="n">
        <v>12373</v>
      </c>
      <c r="D244" s="5" t="s">
        <v>16</v>
      </c>
      <c r="E244" s="5" t="n">
        <v>21100</v>
      </c>
      <c r="F244" s="5" t="n">
        <v>12800</v>
      </c>
      <c r="G244" s="8" t="n">
        <v>8300</v>
      </c>
      <c r="H244" s="5" t="s">
        <v>12</v>
      </c>
      <c r="I244" s="5" t="s">
        <v>13</v>
      </c>
      <c r="J244" s="9" t="s">
        <v>14</v>
      </c>
    </row>
    <row r="245" customFormat="false" ht="18" hidden="false" customHeight="false" outlineLevel="0" collapsed="false">
      <c r="A245" s="6" t="n">
        <v>44824</v>
      </c>
      <c r="B245" s="7" t="n">
        <v>0.86875</v>
      </c>
      <c r="C245" s="5" t="n">
        <v>12445</v>
      </c>
      <c r="D245" s="5" t="s">
        <v>15</v>
      </c>
      <c r="E245" s="5" t="n">
        <v>20880</v>
      </c>
      <c r="F245" s="5" t="n">
        <v>15960</v>
      </c>
      <c r="G245" s="8" t="n">
        <v>4920</v>
      </c>
      <c r="H245" s="5" t="s">
        <v>12</v>
      </c>
      <c r="I245" s="5" t="s">
        <v>13</v>
      </c>
      <c r="J245" s="9" t="s">
        <v>14</v>
      </c>
    </row>
    <row r="246" customFormat="false" ht="18" hidden="false" customHeight="false" outlineLevel="0" collapsed="false">
      <c r="A246" s="6" t="n">
        <v>44824</v>
      </c>
      <c r="B246" s="7" t="n">
        <v>0.86875</v>
      </c>
      <c r="C246" s="5" t="n">
        <v>12444</v>
      </c>
      <c r="D246" s="5" t="s">
        <v>17</v>
      </c>
      <c r="E246" s="5" t="n">
        <v>3020</v>
      </c>
      <c r="F246" s="5" t="n">
        <v>2700</v>
      </c>
      <c r="G246" s="8" t="n">
        <v>320</v>
      </c>
      <c r="H246" s="5" t="s">
        <v>12</v>
      </c>
      <c r="I246" s="5" t="s">
        <v>13</v>
      </c>
      <c r="J246" s="9" t="s">
        <v>14</v>
      </c>
    </row>
    <row r="247" customFormat="false" ht="18" hidden="false" customHeight="false" outlineLevel="0" collapsed="false">
      <c r="A247" s="6" t="n">
        <v>44824</v>
      </c>
      <c r="B247" s="7" t="n">
        <v>0.488888888888889</v>
      </c>
      <c r="C247" s="5" t="n">
        <v>12415</v>
      </c>
      <c r="D247" s="5" t="s">
        <v>20</v>
      </c>
      <c r="E247" s="5" t="n">
        <v>3140</v>
      </c>
      <c r="F247" s="5" t="n">
        <v>2860</v>
      </c>
      <c r="G247" s="8" t="n">
        <v>280</v>
      </c>
      <c r="H247" s="5" t="s">
        <v>12</v>
      </c>
      <c r="I247" s="5" t="s">
        <v>13</v>
      </c>
      <c r="J247" s="9" t="s">
        <v>14</v>
      </c>
    </row>
    <row r="248" customFormat="false" ht="18" hidden="false" customHeight="false" outlineLevel="0" collapsed="false">
      <c r="A248" s="6" t="n">
        <v>44824</v>
      </c>
      <c r="B248" s="7" t="n">
        <v>0.480555555555556</v>
      </c>
      <c r="C248" s="5" t="n">
        <v>12413</v>
      </c>
      <c r="D248" s="5" t="s">
        <v>21</v>
      </c>
      <c r="E248" s="5" t="n">
        <v>2660</v>
      </c>
      <c r="F248" s="5" t="n">
        <v>2380</v>
      </c>
      <c r="G248" s="8" t="n">
        <v>280</v>
      </c>
      <c r="H248" s="5" t="s">
        <v>12</v>
      </c>
      <c r="I248" s="5" t="s">
        <v>13</v>
      </c>
      <c r="J248" s="9" t="s">
        <v>14</v>
      </c>
    </row>
    <row r="249" customFormat="false" ht="18" hidden="false" customHeight="false" outlineLevel="0" collapsed="false">
      <c r="A249" s="6" t="n">
        <v>44824</v>
      </c>
      <c r="B249" s="7" t="n">
        <v>0.6875</v>
      </c>
      <c r="C249" s="5" t="n">
        <v>12435</v>
      </c>
      <c r="D249" s="5" t="s">
        <v>16</v>
      </c>
      <c r="E249" s="5" t="n">
        <v>13760</v>
      </c>
      <c r="F249" s="5" t="n">
        <v>12740</v>
      </c>
      <c r="G249" s="8" t="n">
        <v>1020</v>
      </c>
      <c r="H249" s="5" t="s">
        <v>12</v>
      </c>
      <c r="I249" s="5" t="s">
        <v>13</v>
      </c>
      <c r="J249" s="9" t="s">
        <v>14</v>
      </c>
    </row>
    <row r="250" customFormat="false" ht="18" hidden="false" customHeight="false" outlineLevel="0" collapsed="false">
      <c r="A250" s="6" t="n">
        <v>44824</v>
      </c>
      <c r="B250" s="7" t="n">
        <v>0.234027777777778</v>
      </c>
      <c r="C250" s="5" t="n">
        <v>12383</v>
      </c>
      <c r="D250" s="5" t="s">
        <v>24</v>
      </c>
      <c r="E250" s="5" t="n">
        <v>18620</v>
      </c>
      <c r="F250" s="5" t="n">
        <v>15720</v>
      </c>
      <c r="G250" s="8" t="n">
        <v>2900</v>
      </c>
      <c r="H250" s="5" t="s">
        <v>12</v>
      </c>
      <c r="I250" s="5" t="s">
        <v>13</v>
      </c>
      <c r="J250" s="9" t="s">
        <v>14</v>
      </c>
    </row>
    <row r="251" customFormat="false" ht="18" hidden="false" customHeight="false" outlineLevel="0" collapsed="false">
      <c r="A251" s="6" t="n">
        <v>44825</v>
      </c>
      <c r="B251" s="7" t="n">
        <v>0.0583333333333333</v>
      </c>
      <c r="C251" s="5" t="n">
        <v>12446</v>
      </c>
      <c r="D251" s="5" t="s">
        <v>16</v>
      </c>
      <c r="E251" s="5" t="n">
        <v>20300</v>
      </c>
      <c r="F251" s="5" t="n">
        <v>12740</v>
      </c>
      <c r="G251" s="8" t="n">
        <v>7560</v>
      </c>
      <c r="H251" s="5" t="s">
        <v>12</v>
      </c>
      <c r="I251" s="5" t="s">
        <v>13</v>
      </c>
      <c r="J251" s="9" t="s">
        <v>14</v>
      </c>
    </row>
    <row r="252" customFormat="false" ht="18" hidden="false" customHeight="false" outlineLevel="0" collapsed="false">
      <c r="A252" s="6" t="n">
        <v>44825</v>
      </c>
      <c r="B252" s="7" t="n">
        <v>0.25</v>
      </c>
      <c r="C252" s="5" t="n">
        <v>12458</v>
      </c>
      <c r="D252" s="5" t="s">
        <v>16</v>
      </c>
      <c r="E252" s="5" t="n">
        <v>17900</v>
      </c>
      <c r="F252" s="5" t="n">
        <v>12720</v>
      </c>
      <c r="G252" s="8" t="n">
        <v>5180</v>
      </c>
      <c r="H252" s="5" t="s">
        <v>12</v>
      </c>
      <c r="I252" s="5" t="s">
        <v>13</v>
      </c>
      <c r="J252" s="9" t="s">
        <v>14</v>
      </c>
    </row>
    <row r="253" customFormat="false" ht="18" hidden="false" customHeight="false" outlineLevel="0" collapsed="false">
      <c r="A253" s="6" t="n">
        <v>44825</v>
      </c>
      <c r="B253" s="7" t="n">
        <v>0.249305555555556</v>
      </c>
      <c r="C253" s="5" t="n">
        <v>12457</v>
      </c>
      <c r="D253" s="5" t="s">
        <v>15</v>
      </c>
      <c r="E253" s="5" t="n">
        <v>25980</v>
      </c>
      <c r="F253" s="5" t="n">
        <v>15960</v>
      </c>
      <c r="G253" s="8" t="n">
        <v>10020</v>
      </c>
      <c r="H253" s="5" t="s">
        <v>12</v>
      </c>
      <c r="I253" s="5" t="s">
        <v>13</v>
      </c>
      <c r="J253" s="9" t="s">
        <v>14</v>
      </c>
    </row>
    <row r="254" customFormat="false" ht="18" hidden="false" customHeight="false" outlineLevel="0" collapsed="false">
      <c r="A254" s="6" t="n">
        <v>44825</v>
      </c>
      <c r="B254" s="7" t="n">
        <v>0.213888888888889</v>
      </c>
      <c r="C254" s="5" t="n">
        <v>12454</v>
      </c>
      <c r="D254" s="5" t="s">
        <v>11</v>
      </c>
      <c r="E254" s="5" t="n">
        <v>4820</v>
      </c>
      <c r="F254" s="5" t="n">
        <v>3780</v>
      </c>
      <c r="G254" s="8" t="n">
        <v>1040</v>
      </c>
      <c r="H254" s="5" t="s">
        <v>12</v>
      </c>
      <c r="I254" s="5" t="s">
        <v>13</v>
      </c>
      <c r="J254" s="9" t="s">
        <v>14</v>
      </c>
    </row>
    <row r="255" customFormat="false" ht="18" hidden="false" customHeight="false" outlineLevel="0" collapsed="false">
      <c r="A255" s="6" t="n">
        <v>44825</v>
      </c>
      <c r="B255" s="7" t="n">
        <v>0.50625</v>
      </c>
      <c r="C255" s="5" t="n">
        <v>144768</v>
      </c>
      <c r="D255" s="5" t="s">
        <v>24</v>
      </c>
      <c r="E255" s="5" t="n">
        <v>17980</v>
      </c>
      <c r="F255" s="5" t="n">
        <v>15620</v>
      </c>
      <c r="G255" s="8" t="n">
        <v>2360</v>
      </c>
      <c r="H255" s="5" t="s">
        <v>12</v>
      </c>
      <c r="I255" s="5" t="s">
        <v>23</v>
      </c>
      <c r="J255" s="9" t="s">
        <v>14</v>
      </c>
    </row>
    <row r="256" customFormat="false" ht="18" hidden="false" customHeight="false" outlineLevel="0" collapsed="false">
      <c r="A256" s="6" t="n">
        <v>44825</v>
      </c>
      <c r="B256" s="7" t="n">
        <v>0.849305555555556</v>
      </c>
      <c r="C256" s="5" t="n">
        <v>12510</v>
      </c>
      <c r="D256" s="5" t="s">
        <v>24</v>
      </c>
      <c r="E256" s="5" t="n">
        <v>20740</v>
      </c>
      <c r="F256" s="5" t="n">
        <v>15740</v>
      </c>
      <c r="G256" s="8" t="n">
        <v>5000</v>
      </c>
      <c r="H256" s="5" t="s">
        <v>12</v>
      </c>
      <c r="I256" s="5" t="s">
        <v>13</v>
      </c>
      <c r="J256" s="9" t="s">
        <v>14</v>
      </c>
    </row>
    <row r="257" customFormat="false" ht="18" hidden="false" customHeight="false" outlineLevel="0" collapsed="false">
      <c r="A257" s="6" t="n">
        <v>44825</v>
      </c>
      <c r="B257" s="7" t="n">
        <v>0.484027777777778</v>
      </c>
      <c r="C257" s="5" t="n">
        <v>12487</v>
      </c>
      <c r="D257" s="5" t="s">
        <v>18</v>
      </c>
      <c r="E257" s="5" t="n">
        <v>6600</v>
      </c>
      <c r="F257" s="5" t="n">
        <v>5600</v>
      </c>
      <c r="G257" s="8" t="n">
        <v>1000</v>
      </c>
      <c r="H257" s="5" t="s">
        <v>12</v>
      </c>
      <c r="I257" s="5" t="s">
        <v>19</v>
      </c>
      <c r="J257" s="9" t="s">
        <v>14</v>
      </c>
    </row>
    <row r="258" customFormat="false" ht="18" hidden="false" customHeight="false" outlineLevel="0" collapsed="false">
      <c r="A258" s="6" t="n">
        <v>44825</v>
      </c>
      <c r="B258" s="7" t="n">
        <v>0.508333333333333</v>
      </c>
      <c r="C258" s="5" t="n">
        <v>12489</v>
      </c>
      <c r="D258" s="5" t="s">
        <v>21</v>
      </c>
      <c r="E258" s="5" t="n">
        <v>2580</v>
      </c>
      <c r="F258" s="5" t="n">
        <v>2380</v>
      </c>
      <c r="G258" s="8" t="n">
        <v>200</v>
      </c>
      <c r="H258" s="5" t="s">
        <v>12</v>
      </c>
      <c r="I258" s="5" t="s">
        <v>13</v>
      </c>
      <c r="J258" s="9" t="s">
        <v>14</v>
      </c>
    </row>
    <row r="259" customFormat="false" ht="18" hidden="false" customHeight="false" outlineLevel="0" collapsed="false">
      <c r="A259" s="6" t="n">
        <v>44825</v>
      </c>
      <c r="B259" s="7" t="n">
        <v>0.433333333333333</v>
      </c>
      <c r="C259" s="5" t="n">
        <v>12478</v>
      </c>
      <c r="D259" s="5" t="s">
        <v>20</v>
      </c>
      <c r="E259" s="5" t="n">
        <v>3300</v>
      </c>
      <c r="F259" s="5" t="n">
        <v>2840</v>
      </c>
      <c r="G259" s="8" t="n">
        <v>460</v>
      </c>
      <c r="H259" s="5" t="s">
        <v>12</v>
      </c>
      <c r="I259" s="5" t="s">
        <v>13</v>
      </c>
      <c r="J259" s="9" t="s">
        <v>14</v>
      </c>
    </row>
    <row r="260" customFormat="false" ht="18" hidden="false" customHeight="false" outlineLevel="0" collapsed="false">
      <c r="A260" s="6" t="n">
        <v>44825</v>
      </c>
      <c r="B260" s="7" t="n">
        <v>0.867361111111111</v>
      </c>
      <c r="C260" s="5" t="n">
        <v>12511</v>
      </c>
      <c r="D260" s="5" t="s">
        <v>21</v>
      </c>
      <c r="E260" s="5" t="n">
        <v>2520</v>
      </c>
      <c r="F260" s="5" t="n">
        <v>2360</v>
      </c>
      <c r="G260" s="8" t="n">
        <v>160</v>
      </c>
      <c r="H260" s="5" t="s">
        <v>12</v>
      </c>
      <c r="I260" s="5" t="s">
        <v>13</v>
      </c>
      <c r="J260" s="9" t="s">
        <v>14</v>
      </c>
    </row>
    <row r="261" customFormat="false" ht="18" hidden="false" customHeight="false" outlineLevel="0" collapsed="false">
      <c r="A261" s="6" t="n">
        <v>44825</v>
      </c>
      <c r="B261" s="7" t="n">
        <v>0.684722222222222</v>
      </c>
      <c r="C261" s="5" t="n">
        <v>12501</v>
      </c>
      <c r="D261" s="5" t="s">
        <v>16</v>
      </c>
      <c r="E261" s="5" t="n">
        <v>13520</v>
      </c>
      <c r="F261" s="5" t="n">
        <v>12760</v>
      </c>
      <c r="G261" s="8" t="n">
        <v>760</v>
      </c>
      <c r="H261" s="5" t="s">
        <v>12</v>
      </c>
      <c r="I261" s="5" t="s">
        <v>13</v>
      </c>
      <c r="J261" s="9" t="s">
        <v>14</v>
      </c>
    </row>
    <row r="262" customFormat="false" ht="18" hidden="false" customHeight="false" outlineLevel="0" collapsed="false">
      <c r="A262" s="6" t="n">
        <v>44825</v>
      </c>
      <c r="B262" s="7" t="n">
        <v>0.346527777777778</v>
      </c>
      <c r="C262" s="5" t="n">
        <v>12468</v>
      </c>
      <c r="D262" s="5" t="s">
        <v>18</v>
      </c>
      <c r="E262" s="5" t="n">
        <v>6820</v>
      </c>
      <c r="F262" s="5" t="n">
        <v>5620</v>
      </c>
      <c r="G262" s="8" t="n">
        <v>1200</v>
      </c>
      <c r="H262" s="5" t="s">
        <v>12</v>
      </c>
      <c r="I262" s="5" t="s">
        <v>19</v>
      </c>
      <c r="J262" s="9" t="s">
        <v>14</v>
      </c>
    </row>
    <row r="263" customFormat="false" ht="18" hidden="false" customHeight="false" outlineLevel="0" collapsed="false">
      <c r="A263" s="6" t="n">
        <v>44826</v>
      </c>
      <c r="B263" s="7" t="n">
        <v>0.25</v>
      </c>
      <c r="C263" s="5" t="n">
        <v>12530</v>
      </c>
      <c r="D263" s="5" t="s">
        <v>16</v>
      </c>
      <c r="E263" s="5" t="n">
        <v>18560</v>
      </c>
      <c r="F263" s="5" t="n">
        <v>12700</v>
      </c>
      <c r="G263" s="8" t="n">
        <v>5860</v>
      </c>
      <c r="H263" s="5" t="s">
        <v>12</v>
      </c>
      <c r="I263" s="5" t="s">
        <v>13</v>
      </c>
      <c r="J263" s="9" t="s">
        <v>14</v>
      </c>
    </row>
    <row r="264" customFormat="false" ht="18" hidden="false" customHeight="false" outlineLevel="0" collapsed="false">
      <c r="A264" s="6" t="n">
        <v>44826</v>
      </c>
      <c r="B264" s="7" t="n">
        <v>0.0645833333333333</v>
      </c>
      <c r="C264" s="5" t="n">
        <v>12515</v>
      </c>
      <c r="D264" s="5" t="s">
        <v>16</v>
      </c>
      <c r="E264" s="5" t="n">
        <v>20320</v>
      </c>
      <c r="F264" s="5" t="n">
        <v>12660</v>
      </c>
      <c r="G264" s="8" t="n">
        <v>7660</v>
      </c>
      <c r="H264" s="5" t="s">
        <v>12</v>
      </c>
      <c r="I264" s="5" t="s">
        <v>13</v>
      </c>
      <c r="J264" s="9" t="s">
        <v>14</v>
      </c>
    </row>
    <row r="265" customFormat="false" ht="18" hidden="false" customHeight="false" outlineLevel="0" collapsed="false">
      <c r="A265" s="6" t="n">
        <v>44826</v>
      </c>
      <c r="B265" s="7" t="n">
        <v>0.210416666666667</v>
      </c>
      <c r="C265" s="5" t="n">
        <v>12526</v>
      </c>
      <c r="D265" s="5" t="s">
        <v>17</v>
      </c>
      <c r="E265" s="5" t="n">
        <v>3340</v>
      </c>
      <c r="F265" s="5" t="n">
        <v>2900</v>
      </c>
      <c r="G265" s="8" t="n">
        <v>440</v>
      </c>
      <c r="H265" s="5" t="s">
        <v>12</v>
      </c>
      <c r="I265" s="5" t="s">
        <v>13</v>
      </c>
      <c r="J265" s="9" t="s">
        <v>14</v>
      </c>
    </row>
    <row r="266" customFormat="false" ht="18" hidden="false" customHeight="false" outlineLevel="0" collapsed="false">
      <c r="A266" s="6" t="n">
        <v>44826</v>
      </c>
      <c r="B266" s="7" t="n">
        <v>0.100694444444444</v>
      </c>
      <c r="C266" s="5" t="n">
        <v>12516</v>
      </c>
      <c r="D266" s="5" t="s">
        <v>17</v>
      </c>
      <c r="E266" s="5" t="n">
        <v>3200</v>
      </c>
      <c r="F266" s="5" t="n">
        <v>2700</v>
      </c>
      <c r="G266" s="8" t="n">
        <v>500</v>
      </c>
      <c r="H266" s="5" t="s">
        <v>12</v>
      </c>
      <c r="I266" s="5" t="s">
        <v>13</v>
      </c>
      <c r="J266" s="9" t="s">
        <v>14</v>
      </c>
    </row>
    <row r="267" customFormat="false" ht="18" hidden="false" customHeight="false" outlineLevel="0" collapsed="false">
      <c r="A267" s="6" t="n">
        <v>44826</v>
      </c>
      <c r="B267" s="7" t="n">
        <v>0.239583333333333</v>
      </c>
      <c r="C267" s="5" t="n">
        <v>12528</v>
      </c>
      <c r="D267" s="5" t="s">
        <v>15</v>
      </c>
      <c r="E267" s="5" t="n">
        <v>25460</v>
      </c>
      <c r="F267" s="5" t="n">
        <v>15900</v>
      </c>
      <c r="G267" s="8" t="n">
        <v>9560</v>
      </c>
      <c r="H267" s="5" t="s">
        <v>12</v>
      </c>
      <c r="I267" s="5" t="s">
        <v>13</v>
      </c>
      <c r="J267" s="9" t="s">
        <v>14</v>
      </c>
    </row>
    <row r="268" customFormat="false" ht="18" hidden="false" customHeight="false" outlineLevel="0" collapsed="false">
      <c r="A268" s="6" t="n">
        <v>44826</v>
      </c>
      <c r="B268" s="7" t="n">
        <v>0.511111111111111</v>
      </c>
      <c r="C268" s="5" t="n">
        <v>12555</v>
      </c>
      <c r="D268" s="5" t="s">
        <v>18</v>
      </c>
      <c r="E268" s="5" t="n">
        <v>6360</v>
      </c>
      <c r="F268" s="5" t="n">
        <v>5640</v>
      </c>
      <c r="G268" s="8" t="n">
        <v>720</v>
      </c>
      <c r="H268" s="5" t="s">
        <v>12</v>
      </c>
      <c r="I268" s="5" t="s">
        <v>19</v>
      </c>
      <c r="J268" s="9" t="s">
        <v>14</v>
      </c>
    </row>
    <row r="269" customFormat="false" ht="18" hidden="false" customHeight="false" outlineLevel="0" collapsed="false">
      <c r="A269" s="6" t="n">
        <v>44826</v>
      </c>
      <c r="B269" s="7" t="n">
        <v>0.43125</v>
      </c>
      <c r="C269" s="5" t="n">
        <v>12548</v>
      </c>
      <c r="D269" s="5" t="s">
        <v>18</v>
      </c>
      <c r="E269" s="5" t="n">
        <v>6760</v>
      </c>
      <c r="F269" s="5" t="n">
        <v>5660</v>
      </c>
      <c r="G269" s="8" t="n">
        <v>1100</v>
      </c>
      <c r="H269" s="5" t="s">
        <v>12</v>
      </c>
      <c r="I269" s="5" t="s">
        <v>19</v>
      </c>
      <c r="J269" s="9" t="s">
        <v>14</v>
      </c>
    </row>
    <row r="270" customFormat="false" ht="18" hidden="false" customHeight="false" outlineLevel="0" collapsed="false">
      <c r="A270" s="6" t="n">
        <v>44826</v>
      </c>
      <c r="B270" s="7" t="n">
        <v>0.684027777777778</v>
      </c>
      <c r="C270" s="5" t="n">
        <v>12569</v>
      </c>
      <c r="D270" s="5" t="s">
        <v>16</v>
      </c>
      <c r="E270" s="5" t="n">
        <v>13780</v>
      </c>
      <c r="F270" s="5" t="n">
        <v>12800</v>
      </c>
      <c r="G270" s="8" t="n">
        <v>980</v>
      </c>
      <c r="H270" s="5" t="s">
        <v>12</v>
      </c>
      <c r="I270" s="5" t="s">
        <v>13</v>
      </c>
      <c r="J270" s="9" t="s">
        <v>14</v>
      </c>
    </row>
    <row r="271" customFormat="false" ht="18" hidden="false" customHeight="false" outlineLevel="0" collapsed="false">
      <c r="A271" s="6" t="n">
        <v>44826</v>
      </c>
      <c r="B271" s="7" t="n">
        <v>0.497916666666667</v>
      </c>
      <c r="C271" s="5" t="n">
        <v>12553</v>
      </c>
      <c r="D271" s="5" t="s">
        <v>21</v>
      </c>
      <c r="E271" s="5" t="n">
        <v>2620</v>
      </c>
      <c r="F271" s="5" t="n">
        <v>2400</v>
      </c>
      <c r="G271" s="8" t="n">
        <v>220</v>
      </c>
      <c r="H271" s="5" t="s">
        <v>12</v>
      </c>
      <c r="I271" s="5" t="s">
        <v>13</v>
      </c>
      <c r="J271" s="9" t="s">
        <v>14</v>
      </c>
    </row>
    <row r="272" customFormat="false" ht="18" hidden="false" customHeight="false" outlineLevel="0" collapsed="false">
      <c r="A272" s="6" t="n">
        <v>44826</v>
      </c>
      <c r="B272" s="7" t="n">
        <v>0.866666666666667</v>
      </c>
      <c r="C272" s="5" t="n">
        <v>12577</v>
      </c>
      <c r="D272" s="5" t="s">
        <v>21</v>
      </c>
      <c r="E272" s="5" t="n">
        <v>2460</v>
      </c>
      <c r="F272" s="5" t="n">
        <v>2340</v>
      </c>
      <c r="G272" s="8" t="n">
        <v>120</v>
      </c>
      <c r="H272" s="5" t="s">
        <v>12</v>
      </c>
      <c r="I272" s="5" t="s">
        <v>13</v>
      </c>
      <c r="J272" s="9" t="s">
        <v>14</v>
      </c>
    </row>
    <row r="273" customFormat="false" ht="18" hidden="false" customHeight="false" outlineLevel="0" collapsed="false">
      <c r="A273" s="6" t="n">
        <v>44826</v>
      </c>
      <c r="B273" s="7" t="n">
        <v>0.870833333333333</v>
      </c>
      <c r="C273" s="5" t="n">
        <v>12578</v>
      </c>
      <c r="D273" s="5" t="s">
        <v>15</v>
      </c>
      <c r="E273" s="5" t="n">
        <v>20660</v>
      </c>
      <c r="F273" s="5" t="n">
        <v>15960</v>
      </c>
      <c r="G273" s="8" t="n">
        <v>4700</v>
      </c>
      <c r="H273" s="5" t="s">
        <v>12</v>
      </c>
      <c r="I273" s="5" t="s">
        <v>13</v>
      </c>
      <c r="J273" s="9" t="s">
        <v>14</v>
      </c>
    </row>
    <row r="274" customFormat="false" ht="18" hidden="false" customHeight="false" outlineLevel="0" collapsed="false">
      <c r="A274" s="6" t="n">
        <v>44826</v>
      </c>
      <c r="B274" s="7" t="n">
        <v>0.50625</v>
      </c>
      <c r="C274" s="5" t="n">
        <v>144886</v>
      </c>
      <c r="D274" s="5" t="s">
        <v>24</v>
      </c>
      <c r="E274" s="5" t="n">
        <v>16600</v>
      </c>
      <c r="F274" s="5" t="n">
        <v>15700</v>
      </c>
      <c r="G274" s="8" t="n">
        <v>900</v>
      </c>
      <c r="H274" s="5" t="s">
        <v>12</v>
      </c>
      <c r="I274" s="5" t="s">
        <v>23</v>
      </c>
      <c r="J274" s="9" t="s">
        <v>14</v>
      </c>
    </row>
    <row r="275" customFormat="false" ht="18" hidden="false" customHeight="false" outlineLevel="0" collapsed="false">
      <c r="A275" s="6" t="n">
        <v>44827</v>
      </c>
      <c r="B275" s="7" t="n">
        <v>0.211805555555556</v>
      </c>
      <c r="C275" s="5" t="n">
        <v>12590</v>
      </c>
      <c r="D275" s="5" t="s">
        <v>11</v>
      </c>
      <c r="E275" s="5" t="n">
        <v>4600</v>
      </c>
      <c r="F275" s="5" t="n">
        <v>3780</v>
      </c>
      <c r="G275" s="8" t="n">
        <v>820</v>
      </c>
      <c r="H275" s="5" t="s">
        <v>12</v>
      </c>
      <c r="I275" s="5" t="s">
        <v>13</v>
      </c>
      <c r="J275" s="9" t="s">
        <v>14</v>
      </c>
    </row>
    <row r="276" customFormat="false" ht="18" hidden="false" customHeight="false" outlineLevel="0" collapsed="false">
      <c r="A276" s="6" t="n">
        <v>44827</v>
      </c>
      <c r="B276" s="7" t="n">
        <v>0.251388888888889</v>
      </c>
      <c r="C276" s="5" t="n">
        <v>12593</v>
      </c>
      <c r="D276" s="5" t="s">
        <v>16</v>
      </c>
      <c r="E276" s="5" t="n">
        <v>18160</v>
      </c>
      <c r="F276" s="5" t="n">
        <v>12820</v>
      </c>
      <c r="G276" s="8" t="n">
        <v>5340</v>
      </c>
      <c r="H276" s="5" t="s">
        <v>12</v>
      </c>
      <c r="I276" s="5" t="s">
        <v>13</v>
      </c>
      <c r="J276" s="9" t="s">
        <v>14</v>
      </c>
    </row>
    <row r="277" customFormat="false" ht="18" hidden="false" customHeight="false" outlineLevel="0" collapsed="false">
      <c r="A277" s="6" t="n">
        <v>44827</v>
      </c>
      <c r="B277" s="7" t="n">
        <v>0.252777777777778</v>
      </c>
      <c r="C277" s="5" t="n">
        <v>12594</v>
      </c>
      <c r="D277" s="5" t="s">
        <v>15</v>
      </c>
      <c r="E277" s="5" t="n">
        <v>23720</v>
      </c>
      <c r="F277" s="5" t="n">
        <v>16180</v>
      </c>
      <c r="G277" s="8" t="n">
        <v>7540</v>
      </c>
      <c r="H277" s="5" t="s">
        <v>12</v>
      </c>
      <c r="I277" s="5" t="s">
        <v>13</v>
      </c>
      <c r="J277" s="9" t="s">
        <v>14</v>
      </c>
    </row>
    <row r="278" customFormat="false" ht="18" hidden="false" customHeight="false" outlineLevel="0" collapsed="false">
      <c r="A278" s="6" t="n">
        <v>44827</v>
      </c>
      <c r="B278" s="7" t="n">
        <v>0.108333333333333</v>
      </c>
      <c r="C278" s="5" t="n">
        <v>12583</v>
      </c>
      <c r="D278" s="5" t="s">
        <v>16</v>
      </c>
      <c r="E278" s="5" t="n">
        <v>21340</v>
      </c>
      <c r="F278" s="5" t="n">
        <v>12780</v>
      </c>
      <c r="G278" s="8" t="n">
        <v>8560</v>
      </c>
      <c r="H278" s="5" t="s">
        <v>12</v>
      </c>
      <c r="I278" s="5" t="s">
        <v>13</v>
      </c>
      <c r="J278" s="9" t="s">
        <v>14</v>
      </c>
    </row>
    <row r="279" customFormat="false" ht="18" hidden="false" customHeight="false" outlineLevel="0" collapsed="false">
      <c r="A279" s="6" t="n">
        <v>44827</v>
      </c>
      <c r="B279" s="7" t="n">
        <v>0.501388888888889</v>
      </c>
      <c r="C279" s="5" t="n">
        <v>12625</v>
      </c>
      <c r="D279" s="5" t="s">
        <v>18</v>
      </c>
      <c r="E279" s="5" t="n">
        <v>6640</v>
      </c>
      <c r="F279" s="5" t="n">
        <v>5640</v>
      </c>
      <c r="G279" s="8" t="n">
        <v>1000</v>
      </c>
      <c r="H279" s="5" t="s">
        <v>12</v>
      </c>
      <c r="I279" s="5" t="s">
        <v>19</v>
      </c>
      <c r="J279" s="9" t="s">
        <v>14</v>
      </c>
    </row>
    <row r="280" customFormat="false" ht="13.8" hidden="false" customHeight="false" outlineLevel="0" collapsed="false">
      <c r="A280" s="6" t="n">
        <v>44827</v>
      </c>
      <c r="B280" s="7" t="n">
        <v>0.525</v>
      </c>
      <c r="C280" s="5" t="n">
        <v>3515</v>
      </c>
      <c r="D280" s="5" t="s">
        <v>24</v>
      </c>
      <c r="E280" s="5" t="n">
        <v>17380</v>
      </c>
      <c r="F280" s="5" t="n">
        <v>15760</v>
      </c>
      <c r="G280" s="8" t="n">
        <v>1620</v>
      </c>
      <c r="H280" s="5" t="s">
        <v>12</v>
      </c>
      <c r="I280" s="11" t="s">
        <v>10</v>
      </c>
      <c r="J280" s="9" t="s">
        <v>14</v>
      </c>
    </row>
    <row r="281" customFormat="false" ht="18" hidden="false" customHeight="false" outlineLevel="0" collapsed="false">
      <c r="A281" s="6" t="n">
        <v>44827</v>
      </c>
      <c r="B281" s="7" t="n">
        <v>0.695138888888889</v>
      </c>
      <c r="C281" s="5" t="n">
        <v>12644</v>
      </c>
      <c r="D281" s="5" t="s">
        <v>16</v>
      </c>
      <c r="E281" s="5" t="n">
        <v>14400</v>
      </c>
      <c r="F281" s="5" t="n">
        <v>12840</v>
      </c>
      <c r="G281" s="8" t="n">
        <v>1560</v>
      </c>
      <c r="H281" s="5" t="s">
        <v>12</v>
      </c>
      <c r="I281" s="5" t="s">
        <v>13</v>
      </c>
      <c r="J281" s="9" t="s">
        <v>14</v>
      </c>
    </row>
    <row r="282" customFormat="false" ht="18" hidden="false" customHeight="false" outlineLevel="0" collapsed="false">
      <c r="A282" s="6" t="n">
        <v>44827</v>
      </c>
      <c r="B282" s="7" t="n">
        <v>0.522916666666667</v>
      </c>
      <c r="C282" s="5" t="n">
        <v>12627</v>
      </c>
      <c r="D282" s="5" t="s">
        <v>20</v>
      </c>
      <c r="E282" s="5" t="n">
        <v>3620</v>
      </c>
      <c r="F282" s="5" t="n">
        <v>2860</v>
      </c>
      <c r="G282" s="8" t="n">
        <v>760</v>
      </c>
      <c r="H282" s="5" t="s">
        <v>12</v>
      </c>
      <c r="I282" s="5" t="s">
        <v>13</v>
      </c>
      <c r="J282" s="9" t="s">
        <v>14</v>
      </c>
    </row>
    <row r="283" customFormat="false" ht="18" hidden="false" customHeight="false" outlineLevel="0" collapsed="false">
      <c r="A283" s="6" t="n">
        <v>44827</v>
      </c>
      <c r="B283" s="7" t="n">
        <v>0.434027777777778</v>
      </c>
      <c r="C283" s="5" t="n">
        <v>12615</v>
      </c>
      <c r="D283" s="5" t="s">
        <v>17</v>
      </c>
      <c r="E283" s="5" t="n">
        <v>3080</v>
      </c>
      <c r="F283" s="5" t="n">
        <v>2680</v>
      </c>
      <c r="G283" s="8" t="n">
        <v>400</v>
      </c>
      <c r="H283" s="5" t="s">
        <v>12</v>
      </c>
      <c r="I283" s="5" t="s">
        <v>26</v>
      </c>
      <c r="J283" s="9" t="s">
        <v>14</v>
      </c>
    </row>
    <row r="284" customFormat="false" ht="18" hidden="false" customHeight="false" outlineLevel="0" collapsed="false">
      <c r="A284" s="6" t="n">
        <v>44827</v>
      </c>
      <c r="B284" s="7" t="n">
        <v>0.86875</v>
      </c>
      <c r="C284" s="5" t="n">
        <v>12650</v>
      </c>
      <c r="D284" s="5" t="s">
        <v>15</v>
      </c>
      <c r="E284" s="5" t="n">
        <v>21160</v>
      </c>
      <c r="F284" s="5" t="n">
        <v>16100</v>
      </c>
      <c r="G284" s="8" t="n">
        <v>5060</v>
      </c>
      <c r="H284" s="5" t="s">
        <v>12</v>
      </c>
      <c r="I284" s="5" t="s">
        <v>13</v>
      </c>
      <c r="J284" s="9" t="s">
        <v>14</v>
      </c>
    </row>
    <row r="285" customFormat="false" ht="18" hidden="false" customHeight="false" outlineLevel="0" collapsed="false">
      <c r="A285" s="6" t="n">
        <v>44827</v>
      </c>
      <c r="B285" s="7" t="n">
        <v>0.540277777777778</v>
      </c>
      <c r="C285" s="5" t="n">
        <v>12630</v>
      </c>
      <c r="D285" s="5" t="s">
        <v>17</v>
      </c>
      <c r="E285" s="5" t="n">
        <v>3400</v>
      </c>
      <c r="F285" s="5" t="n">
        <v>2780</v>
      </c>
      <c r="G285" s="8" t="n">
        <v>620</v>
      </c>
      <c r="H285" s="5" t="s">
        <v>12</v>
      </c>
      <c r="I285" s="5" t="s">
        <v>26</v>
      </c>
      <c r="J285" s="9" t="s">
        <v>14</v>
      </c>
    </row>
    <row r="286" customFormat="false" ht="18" hidden="false" customHeight="false" outlineLevel="0" collapsed="false">
      <c r="A286" s="6" t="n">
        <v>44828</v>
      </c>
      <c r="B286" s="7" t="n">
        <v>0.876388888888889</v>
      </c>
      <c r="C286" s="5" t="n">
        <v>12697</v>
      </c>
      <c r="D286" s="5" t="s">
        <v>15</v>
      </c>
      <c r="E286" s="5" t="n">
        <v>21220</v>
      </c>
      <c r="F286" s="5" t="n">
        <v>15920</v>
      </c>
      <c r="G286" s="8" t="n">
        <v>5300</v>
      </c>
      <c r="H286" s="5" t="s">
        <v>12</v>
      </c>
      <c r="I286" s="5" t="s">
        <v>13</v>
      </c>
      <c r="J286" s="9" t="s">
        <v>14</v>
      </c>
    </row>
    <row r="287" customFormat="false" ht="18" hidden="false" customHeight="false" outlineLevel="0" collapsed="false">
      <c r="A287" s="6" t="n">
        <v>44828</v>
      </c>
      <c r="B287" s="7" t="n">
        <v>0.501388888888889</v>
      </c>
      <c r="C287" s="5" t="n">
        <v>12692</v>
      </c>
      <c r="D287" s="5" t="s">
        <v>21</v>
      </c>
      <c r="E287" s="5" t="n">
        <v>2740</v>
      </c>
      <c r="F287" s="5" t="n">
        <v>2400</v>
      </c>
      <c r="G287" s="8" t="n">
        <v>340</v>
      </c>
      <c r="H287" s="5" t="s">
        <v>12</v>
      </c>
      <c r="I287" s="5" t="s">
        <v>13</v>
      </c>
      <c r="J287" s="9" t="s">
        <v>14</v>
      </c>
    </row>
    <row r="288" customFormat="false" ht="18" hidden="false" customHeight="false" outlineLevel="0" collapsed="false">
      <c r="A288" s="6" t="n">
        <v>44828</v>
      </c>
      <c r="B288" s="7" t="n">
        <v>0.691666666666667</v>
      </c>
      <c r="C288" s="5" t="n">
        <v>12696</v>
      </c>
      <c r="D288" s="5" t="s">
        <v>16</v>
      </c>
      <c r="E288" s="5" t="n">
        <v>14440</v>
      </c>
      <c r="F288" s="5" t="n">
        <v>12920</v>
      </c>
      <c r="G288" s="8" t="n">
        <v>1520</v>
      </c>
      <c r="H288" s="5" t="s">
        <v>12</v>
      </c>
      <c r="I288" s="5" t="s">
        <v>13</v>
      </c>
      <c r="J288" s="9" t="s">
        <v>14</v>
      </c>
    </row>
    <row r="289" customFormat="false" ht="18" hidden="false" customHeight="false" outlineLevel="0" collapsed="false">
      <c r="A289" s="6" t="n">
        <v>44828</v>
      </c>
      <c r="B289" s="7" t="n">
        <v>0.250694444444444</v>
      </c>
      <c r="C289" s="5" t="n">
        <v>12668</v>
      </c>
      <c r="D289" s="5" t="s">
        <v>15</v>
      </c>
      <c r="E289" s="5" t="n">
        <v>24060</v>
      </c>
      <c r="F289" s="5" t="n">
        <v>16080</v>
      </c>
      <c r="G289" s="8" t="n">
        <v>7980</v>
      </c>
      <c r="H289" s="5" t="s">
        <v>12</v>
      </c>
      <c r="I289" s="5" t="s">
        <v>13</v>
      </c>
      <c r="J289" s="9" t="s">
        <v>14</v>
      </c>
    </row>
    <row r="290" customFormat="false" ht="18" hidden="false" customHeight="false" outlineLevel="0" collapsed="false">
      <c r="A290" s="6" t="n">
        <v>44828</v>
      </c>
      <c r="B290" s="7" t="n">
        <v>0.497222222222222</v>
      </c>
      <c r="C290" s="5" t="n">
        <v>12691</v>
      </c>
      <c r="D290" s="5" t="s">
        <v>20</v>
      </c>
      <c r="E290" s="5" t="n">
        <v>3460</v>
      </c>
      <c r="F290" s="5" t="n">
        <v>2900</v>
      </c>
      <c r="G290" s="8" t="n">
        <v>560</v>
      </c>
      <c r="H290" s="5" t="s">
        <v>12</v>
      </c>
      <c r="I290" s="5" t="s">
        <v>13</v>
      </c>
      <c r="J290" s="9" t="s">
        <v>14</v>
      </c>
    </row>
    <row r="291" customFormat="false" ht="18" hidden="false" customHeight="false" outlineLevel="0" collapsed="false">
      <c r="A291" s="6" t="n">
        <v>44828</v>
      </c>
      <c r="B291" s="7" t="n">
        <v>0.108333333333333</v>
      </c>
      <c r="C291" s="5" t="n">
        <v>12655</v>
      </c>
      <c r="D291" s="5" t="s">
        <v>16</v>
      </c>
      <c r="E291" s="5" t="n">
        <v>21080</v>
      </c>
      <c r="F291" s="5" t="n">
        <v>12720</v>
      </c>
      <c r="G291" s="8" t="n">
        <v>8360</v>
      </c>
      <c r="H291" s="5" t="s">
        <v>12</v>
      </c>
      <c r="I291" s="5" t="s">
        <v>13</v>
      </c>
      <c r="J291" s="9" t="s">
        <v>14</v>
      </c>
    </row>
    <row r="292" customFormat="false" ht="18" hidden="false" customHeight="false" outlineLevel="0" collapsed="false">
      <c r="A292" s="6" t="n">
        <v>44828</v>
      </c>
      <c r="B292" s="7" t="n">
        <v>0.245138888888889</v>
      </c>
      <c r="C292" s="5" t="n">
        <v>12667</v>
      </c>
      <c r="D292" s="5" t="s">
        <v>16</v>
      </c>
      <c r="E292" s="5" t="n">
        <v>18320</v>
      </c>
      <c r="F292" s="5" t="n">
        <v>12740</v>
      </c>
      <c r="G292" s="8" t="n">
        <v>5580</v>
      </c>
      <c r="H292" s="5" t="s">
        <v>12</v>
      </c>
      <c r="I292" s="5" t="s">
        <v>13</v>
      </c>
      <c r="J292" s="9" t="s">
        <v>14</v>
      </c>
    </row>
    <row r="293" customFormat="false" ht="18" hidden="false" customHeight="false" outlineLevel="0" collapsed="false">
      <c r="A293" s="6" t="n">
        <v>44828</v>
      </c>
      <c r="B293" s="7" t="n">
        <v>0.503472222222222</v>
      </c>
      <c r="C293" s="5" t="n">
        <v>12693</v>
      </c>
      <c r="D293" s="5" t="s">
        <v>24</v>
      </c>
      <c r="E293" s="5" t="n">
        <v>16820</v>
      </c>
      <c r="F293" s="5" t="n">
        <v>15720</v>
      </c>
      <c r="G293" s="8" t="n">
        <v>1100</v>
      </c>
      <c r="H293" s="5" t="s">
        <v>12</v>
      </c>
      <c r="I293" s="5" t="s">
        <v>13</v>
      </c>
      <c r="J293" s="9" t="s">
        <v>14</v>
      </c>
    </row>
    <row r="294" customFormat="false" ht="18" hidden="false" customHeight="false" outlineLevel="0" collapsed="false">
      <c r="A294" s="6" t="n">
        <v>44828</v>
      </c>
      <c r="B294" s="7" t="n">
        <v>0.223611111111111</v>
      </c>
      <c r="C294" s="5" t="n">
        <v>12664</v>
      </c>
      <c r="D294" s="5" t="s">
        <v>11</v>
      </c>
      <c r="E294" s="5" t="n">
        <v>4860</v>
      </c>
      <c r="F294" s="5" t="n">
        <v>3660</v>
      </c>
      <c r="G294" s="8" t="n">
        <v>1200</v>
      </c>
      <c r="H294" s="5" t="s">
        <v>12</v>
      </c>
      <c r="I294" s="5" t="s">
        <v>13</v>
      </c>
      <c r="J294" s="9" t="s">
        <v>14</v>
      </c>
    </row>
    <row r="295" customFormat="false" ht="18" hidden="false" customHeight="false" outlineLevel="0" collapsed="false">
      <c r="A295" s="6" t="n">
        <v>44829</v>
      </c>
      <c r="B295" s="7" t="n">
        <v>0.520138888888889</v>
      </c>
      <c r="C295" s="5" t="n">
        <v>12714</v>
      </c>
      <c r="D295" s="5" t="s">
        <v>20</v>
      </c>
      <c r="E295" s="5" t="n">
        <v>3240</v>
      </c>
      <c r="F295" s="5" t="n">
        <v>2860</v>
      </c>
      <c r="G295" s="8" t="n">
        <v>380</v>
      </c>
      <c r="H295" s="5" t="s">
        <v>12</v>
      </c>
      <c r="I295" s="5" t="s">
        <v>13</v>
      </c>
      <c r="J295" s="9" t="s">
        <v>14</v>
      </c>
    </row>
    <row r="296" customFormat="false" ht="18" hidden="false" customHeight="false" outlineLevel="0" collapsed="false">
      <c r="A296" s="6" t="n">
        <v>44829</v>
      </c>
      <c r="B296" s="7" t="n">
        <v>0.242361111111111</v>
      </c>
      <c r="C296" s="5" t="n">
        <v>12709</v>
      </c>
      <c r="D296" s="5" t="s">
        <v>24</v>
      </c>
      <c r="E296" s="5" t="n">
        <v>26300</v>
      </c>
      <c r="F296" s="5" t="n">
        <v>15700</v>
      </c>
      <c r="G296" s="8" t="n">
        <v>10600</v>
      </c>
      <c r="H296" s="5" t="s">
        <v>12</v>
      </c>
      <c r="I296" s="5" t="s">
        <v>13</v>
      </c>
      <c r="J296" s="9" t="s">
        <v>14</v>
      </c>
    </row>
    <row r="297" customFormat="false" ht="18" hidden="false" customHeight="false" outlineLevel="0" collapsed="false">
      <c r="A297" s="6" t="n">
        <v>44829</v>
      </c>
      <c r="B297" s="7" t="n">
        <v>0.866666666666667</v>
      </c>
      <c r="C297" s="5" t="n">
        <v>12717</v>
      </c>
      <c r="D297" s="5" t="s">
        <v>15</v>
      </c>
      <c r="E297" s="5" t="n">
        <v>20460</v>
      </c>
      <c r="F297" s="5" t="n">
        <v>15880</v>
      </c>
      <c r="G297" s="8" t="n">
        <v>4580</v>
      </c>
      <c r="H297" s="5" t="s">
        <v>12</v>
      </c>
      <c r="I297" s="5" t="s">
        <v>13</v>
      </c>
      <c r="J297" s="9" t="s">
        <v>14</v>
      </c>
    </row>
    <row r="298" customFormat="false" ht="18" hidden="false" customHeight="false" outlineLevel="0" collapsed="false">
      <c r="A298" s="6" t="n">
        <v>44829</v>
      </c>
      <c r="B298" s="7" t="n">
        <v>0.204861111111111</v>
      </c>
      <c r="C298" s="5" t="n">
        <v>12707</v>
      </c>
      <c r="D298" s="5" t="s">
        <v>11</v>
      </c>
      <c r="E298" s="5" t="n">
        <v>5100</v>
      </c>
      <c r="F298" s="5" t="n">
        <v>3800</v>
      </c>
      <c r="G298" s="8" t="n">
        <v>1300</v>
      </c>
      <c r="H298" s="5" t="s">
        <v>12</v>
      </c>
      <c r="I298" s="5" t="s">
        <v>13</v>
      </c>
      <c r="J298" s="9" t="s">
        <v>14</v>
      </c>
    </row>
    <row r="299" customFormat="false" ht="18" hidden="false" customHeight="false" outlineLevel="0" collapsed="false">
      <c r="A299" s="6" t="n">
        <v>44829</v>
      </c>
      <c r="B299" s="7" t="n">
        <v>0.686111111111111</v>
      </c>
      <c r="C299" s="5" t="n">
        <v>12716</v>
      </c>
      <c r="D299" s="5" t="s">
        <v>16</v>
      </c>
      <c r="E299" s="5" t="n">
        <v>14300</v>
      </c>
      <c r="F299" s="5" t="n">
        <v>12860</v>
      </c>
      <c r="G299" s="8" t="n">
        <v>1440</v>
      </c>
      <c r="H299" s="5" t="s">
        <v>12</v>
      </c>
      <c r="I299" s="5" t="s">
        <v>13</v>
      </c>
      <c r="J299" s="9" t="s">
        <v>14</v>
      </c>
    </row>
    <row r="300" customFormat="false" ht="18" hidden="false" customHeight="false" outlineLevel="0" collapsed="false">
      <c r="A300" s="6" t="n">
        <v>44829</v>
      </c>
      <c r="B300" s="7" t="n">
        <v>0.253472222222222</v>
      </c>
      <c r="C300" s="5" t="n">
        <v>12711</v>
      </c>
      <c r="D300" s="5" t="s">
        <v>16</v>
      </c>
      <c r="E300" s="5" t="n">
        <v>18600</v>
      </c>
      <c r="F300" s="5" t="n">
        <v>12800</v>
      </c>
      <c r="G300" s="8" t="n">
        <v>5800</v>
      </c>
      <c r="H300" s="5" t="s">
        <v>12</v>
      </c>
      <c r="I300" s="5" t="s">
        <v>13</v>
      </c>
      <c r="J300" s="9" t="s">
        <v>14</v>
      </c>
    </row>
    <row r="301" customFormat="false" ht="18" hidden="false" customHeight="false" outlineLevel="0" collapsed="false">
      <c r="A301" s="6" t="n">
        <v>44829</v>
      </c>
      <c r="B301" s="7" t="n">
        <v>0.10625</v>
      </c>
      <c r="C301" s="5" t="n">
        <v>12700</v>
      </c>
      <c r="D301" s="5" t="s">
        <v>16</v>
      </c>
      <c r="E301" s="5" t="n">
        <v>21400</v>
      </c>
      <c r="F301" s="5" t="n">
        <v>12840</v>
      </c>
      <c r="G301" s="8" t="n">
        <v>8560</v>
      </c>
      <c r="H301" s="5" t="s">
        <v>12</v>
      </c>
      <c r="I301" s="5" t="s">
        <v>13</v>
      </c>
      <c r="J301" s="9" t="s">
        <v>14</v>
      </c>
    </row>
    <row r="302" customFormat="false" ht="18" hidden="false" customHeight="false" outlineLevel="0" collapsed="false">
      <c r="A302" s="6" t="n">
        <v>44829</v>
      </c>
      <c r="B302" s="7" t="n">
        <v>0.523611111111111</v>
      </c>
      <c r="C302" s="5" t="n">
        <v>12715</v>
      </c>
      <c r="D302" s="5" t="s">
        <v>21</v>
      </c>
      <c r="E302" s="5" t="n">
        <v>2600</v>
      </c>
      <c r="F302" s="5" t="n">
        <v>2400</v>
      </c>
      <c r="G302" s="8" t="n">
        <v>200</v>
      </c>
      <c r="H302" s="5" t="s">
        <v>12</v>
      </c>
      <c r="I302" s="5" t="s">
        <v>13</v>
      </c>
      <c r="J302" s="9" t="s">
        <v>14</v>
      </c>
    </row>
    <row r="303" customFormat="false" ht="18" hidden="false" customHeight="false" outlineLevel="0" collapsed="false">
      <c r="A303" s="6" t="n">
        <v>44830</v>
      </c>
      <c r="B303" s="7" t="n">
        <v>0.248611111111111</v>
      </c>
      <c r="C303" s="5" t="n">
        <v>12733</v>
      </c>
      <c r="D303" s="5" t="s">
        <v>24</v>
      </c>
      <c r="E303" s="5" t="n">
        <v>20700</v>
      </c>
      <c r="F303" s="5" t="n">
        <v>15780</v>
      </c>
      <c r="G303" s="8" t="n">
        <v>4920</v>
      </c>
      <c r="H303" s="5" t="s">
        <v>12</v>
      </c>
      <c r="I303" s="5" t="s">
        <v>13</v>
      </c>
      <c r="J303" s="9" t="s">
        <v>14</v>
      </c>
    </row>
    <row r="304" customFormat="false" ht="18" hidden="false" customHeight="false" outlineLevel="0" collapsed="false">
      <c r="A304" s="6" t="n">
        <v>44830</v>
      </c>
      <c r="B304" s="7" t="n">
        <v>0.245833333333333</v>
      </c>
      <c r="C304" s="5" t="n">
        <v>12735</v>
      </c>
      <c r="D304" s="5" t="s">
        <v>16</v>
      </c>
      <c r="E304" s="5" t="n">
        <v>16880</v>
      </c>
      <c r="F304" s="5" t="n">
        <v>12760</v>
      </c>
      <c r="G304" s="8" t="n">
        <v>4120</v>
      </c>
      <c r="H304" s="5" t="s">
        <v>12</v>
      </c>
      <c r="I304" s="5" t="s">
        <v>13</v>
      </c>
      <c r="J304" s="9" t="s">
        <v>14</v>
      </c>
    </row>
    <row r="305" customFormat="false" ht="18" hidden="false" customHeight="false" outlineLevel="0" collapsed="false">
      <c r="A305" s="6" t="n">
        <v>44830</v>
      </c>
      <c r="B305" s="7" t="n">
        <v>0.0708333333333333</v>
      </c>
      <c r="C305" s="5" t="n">
        <v>12719</v>
      </c>
      <c r="D305" s="5" t="s">
        <v>16</v>
      </c>
      <c r="E305" s="5" t="n">
        <v>20840</v>
      </c>
      <c r="F305" s="5" t="n">
        <v>12760</v>
      </c>
      <c r="G305" s="8" t="n">
        <v>8080</v>
      </c>
      <c r="H305" s="5" t="s">
        <v>12</v>
      </c>
      <c r="I305" s="5" t="s">
        <v>13</v>
      </c>
      <c r="J305" s="9" t="s">
        <v>14</v>
      </c>
    </row>
    <row r="306" customFormat="false" ht="18" hidden="false" customHeight="false" outlineLevel="0" collapsed="false">
      <c r="A306" s="6" t="n">
        <v>44830</v>
      </c>
      <c r="B306" s="7" t="n">
        <v>0.102777777777778</v>
      </c>
      <c r="C306" s="5" t="n">
        <v>12721</v>
      </c>
      <c r="D306" s="5" t="s">
        <v>17</v>
      </c>
      <c r="E306" s="5" t="n">
        <v>3240</v>
      </c>
      <c r="F306" s="5" t="n">
        <v>2700</v>
      </c>
      <c r="G306" s="8" t="n">
        <v>540</v>
      </c>
      <c r="H306" s="5" t="s">
        <v>12</v>
      </c>
      <c r="I306" s="5" t="s">
        <v>13</v>
      </c>
      <c r="J306" s="9" t="s">
        <v>14</v>
      </c>
    </row>
    <row r="307" customFormat="false" ht="18" hidden="false" customHeight="false" outlineLevel="0" collapsed="false">
      <c r="A307" s="6" t="n">
        <v>44830</v>
      </c>
      <c r="B307" s="7" t="n">
        <v>0.204166666666667</v>
      </c>
      <c r="C307" s="5" t="n">
        <v>12729</v>
      </c>
      <c r="D307" s="5" t="s">
        <v>17</v>
      </c>
      <c r="E307" s="5" t="n">
        <v>3340</v>
      </c>
      <c r="F307" s="5" t="n">
        <v>2880</v>
      </c>
      <c r="G307" s="8" t="n">
        <v>460</v>
      </c>
      <c r="H307" s="5" t="s">
        <v>12</v>
      </c>
      <c r="I307" s="5" t="s">
        <v>13</v>
      </c>
      <c r="J307" s="9" t="s">
        <v>14</v>
      </c>
    </row>
    <row r="308" customFormat="false" ht="18" hidden="false" customHeight="false" outlineLevel="0" collapsed="false">
      <c r="A308" s="6" t="n">
        <v>44830</v>
      </c>
      <c r="B308" s="7" t="n">
        <v>0.496527777777778</v>
      </c>
      <c r="C308" s="5" t="n">
        <v>12760</v>
      </c>
      <c r="D308" s="5" t="s">
        <v>18</v>
      </c>
      <c r="E308" s="5" t="n">
        <v>6460</v>
      </c>
      <c r="F308" s="5" t="n">
        <v>5620</v>
      </c>
      <c r="G308" s="8" t="n">
        <v>840</v>
      </c>
      <c r="H308" s="5" t="s">
        <v>12</v>
      </c>
      <c r="I308" s="5" t="s">
        <v>19</v>
      </c>
      <c r="J308" s="9" t="s">
        <v>14</v>
      </c>
    </row>
    <row r="309" customFormat="false" ht="18" hidden="false" customHeight="false" outlineLevel="0" collapsed="false">
      <c r="A309" s="6" t="n">
        <v>44830</v>
      </c>
      <c r="B309" s="7" t="n">
        <v>0.663888888888889</v>
      </c>
      <c r="C309" s="5" t="n">
        <v>12772</v>
      </c>
      <c r="D309" s="5" t="s">
        <v>25</v>
      </c>
      <c r="E309" s="5" t="n">
        <v>15540</v>
      </c>
      <c r="F309" s="5" t="n">
        <v>12520</v>
      </c>
      <c r="G309" s="8" t="n">
        <v>3020</v>
      </c>
      <c r="H309" s="5" t="s">
        <v>12</v>
      </c>
      <c r="I309" s="5" t="s">
        <v>13</v>
      </c>
      <c r="J309" s="9" t="s">
        <v>14</v>
      </c>
    </row>
    <row r="310" customFormat="false" ht="18" hidden="false" customHeight="false" outlineLevel="0" collapsed="false">
      <c r="A310" s="6" t="n">
        <v>44830</v>
      </c>
      <c r="B310" s="7" t="n">
        <v>0.502083333333333</v>
      </c>
      <c r="C310" s="5" t="n">
        <v>12759</v>
      </c>
      <c r="D310" s="5" t="s">
        <v>21</v>
      </c>
      <c r="E310" s="5" t="n">
        <v>2720</v>
      </c>
      <c r="F310" s="5" t="n">
        <v>1200</v>
      </c>
      <c r="G310" s="8" t="n">
        <v>1520</v>
      </c>
      <c r="H310" s="5" t="s">
        <v>12</v>
      </c>
      <c r="I310" s="5" t="s">
        <v>13</v>
      </c>
      <c r="J310" s="9" t="s">
        <v>14</v>
      </c>
    </row>
    <row r="311" customFormat="false" ht="18" hidden="false" customHeight="false" outlineLevel="0" collapsed="false">
      <c r="A311" s="6" t="n">
        <v>44830</v>
      </c>
      <c r="B311" s="7" t="n">
        <v>0.502083333333333</v>
      </c>
      <c r="C311" s="5" t="n">
        <v>3522</v>
      </c>
      <c r="D311" s="5" t="s">
        <v>24</v>
      </c>
      <c r="E311" s="5" t="n">
        <v>16820</v>
      </c>
      <c r="F311" s="5" t="n">
        <v>15760</v>
      </c>
      <c r="G311" s="8" t="n">
        <v>1060</v>
      </c>
      <c r="H311" s="5" t="s">
        <v>12</v>
      </c>
      <c r="I311" s="5" t="s">
        <v>10</v>
      </c>
      <c r="J311" s="9" t="s">
        <v>14</v>
      </c>
    </row>
    <row r="312" customFormat="false" ht="18" hidden="false" customHeight="false" outlineLevel="0" collapsed="false">
      <c r="A312" s="6" t="n">
        <v>44831</v>
      </c>
      <c r="B312" s="7" t="n">
        <v>0.219444444444444</v>
      </c>
      <c r="C312" s="5" t="n">
        <v>12787</v>
      </c>
      <c r="D312" s="5" t="s">
        <v>11</v>
      </c>
      <c r="E312" s="5" t="n">
        <v>4680</v>
      </c>
      <c r="F312" s="5" t="n">
        <v>3780</v>
      </c>
      <c r="G312" s="8" t="n">
        <v>900</v>
      </c>
      <c r="H312" s="5" t="s">
        <v>12</v>
      </c>
      <c r="I312" s="5" t="s">
        <v>13</v>
      </c>
      <c r="J312" s="9" t="s">
        <v>14</v>
      </c>
    </row>
    <row r="313" customFormat="false" ht="18" hidden="false" customHeight="false" outlineLevel="0" collapsed="false">
      <c r="A313" s="6" t="n">
        <v>44831</v>
      </c>
      <c r="B313" s="7" t="n">
        <v>0.245138888888889</v>
      </c>
      <c r="C313" s="5" t="n">
        <v>12790</v>
      </c>
      <c r="D313" s="5" t="s">
        <v>15</v>
      </c>
      <c r="E313" s="5" t="n">
        <v>28420</v>
      </c>
      <c r="F313" s="5" t="n">
        <v>15980</v>
      </c>
      <c r="G313" s="8" t="n">
        <v>12440</v>
      </c>
      <c r="H313" s="5" t="s">
        <v>12</v>
      </c>
      <c r="I313" s="5" t="s">
        <v>13</v>
      </c>
      <c r="J313" s="9" t="s">
        <v>14</v>
      </c>
    </row>
    <row r="314" customFormat="false" ht="18" hidden="false" customHeight="false" outlineLevel="0" collapsed="false">
      <c r="A314" s="6" t="n">
        <v>44831</v>
      </c>
      <c r="B314" s="7" t="n">
        <v>0.253472222222222</v>
      </c>
      <c r="C314" s="5" t="n">
        <v>12791</v>
      </c>
      <c r="D314" s="5" t="s">
        <v>16</v>
      </c>
      <c r="E314" s="5" t="n">
        <v>16900</v>
      </c>
      <c r="F314" s="5" t="n">
        <v>12680</v>
      </c>
      <c r="G314" s="8" t="n">
        <v>4220</v>
      </c>
      <c r="H314" s="5" t="s">
        <v>12</v>
      </c>
      <c r="I314" s="5" t="s">
        <v>13</v>
      </c>
      <c r="J314" s="9" t="s">
        <v>14</v>
      </c>
    </row>
    <row r="315" customFormat="false" ht="18" hidden="false" customHeight="false" outlineLevel="0" collapsed="false">
      <c r="A315" s="6" t="n">
        <v>44831</v>
      </c>
      <c r="B315" s="7" t="n">
        <v>0.122916666666667</v>
      </c>
      <c r="C315" s="5" t="n">
        <v>12781</v>
      </c>
      <c r="D315" s="5" t="s">
        <v>16</v>
      </c>
      <c r="E315" s="5" t="n">
        <v>22440</v>
      </c>
      <c r="F315" s="5" t="n">
        <v>12740</v>
      </c>
      <c r="G315" s="8" t="n">
        <v>9700</v>
      </c>
      <c r="H315" s="5" t="s">
        <v>12</v>
      </c>
      <c r="I315" s="5" t="s">
        <v>13</v>
      </c>
      <c r="J315" s="9" t="s">
        <v>14</v>
      </c>
    </row>
    <row r="316" customFormat="false" ht="18" hidden="false" customHeight="false" outlineLevel="0" collapsed="false">
      <c r="A316" s="6" t="n">
        <v>44831</v>
      </c>
      <c r="B316" s="7" t="n">
        <v>0.431944444444444</v>
      </c>
      <c r="C316" s="5" t="n">
        <v>12805</v>
      </c>
      <c r="D316" s="5" t="s">
        <v>21</v>
      </c>
      <c r="E316" s="5" t="n">
        <v>2680</v>
      </c>
      <c r="F316" s="5" t="n">
        <v>2380</v>
      </c>
      <c r="G316" s="8" t="n">
        <v>300</v>
      </c>
      <c r="H316" s="5" t="s">
        <v>12</v>
      </c>
      <c r="I316" s="5" t="s">
        <v>13</v>
      </c>
      <c r="J316" s="9" t="s">
        <v>14</v>
      </c>
    </row>
    <row r="317" customFormat="false" ht="18" hidden="false" customHeight="false" outlineLevel="0" collapsed="false">
      <c r="A317" s="6" t="n">
        <v>44831</v>
      </c>
      <c r="B317" s="7" t="n">
        <v>0.457638888888889</v>
      </c>
      <c r="C317" s="5" t="n">
        <v>12806</v>
      </c>
      <c r="D317" s="5" t="s">
        <v>22</v>
      </c>
      <c r="E317" s="5" t="n">
        <v>21380</v>
      </c>
      <c r="F317" s="5" t="n">
        <v>16400</v>
      </c>
      <c r="G317" s="8" t="n">
        <v>4980</v>
      </c>
      <c r="H317" s="5" t="s">
        <v>12</v>
      </c>
      <c r="I317" s="5" t="s">
        <v>19</v>
      </c>
      <c r="J317" s="9" t="s">
        <v>14</v>
      </c>
    </row>
    <row r="318" customFormat="false" ht="18" hidden="false" customHeight="false" outlineLevel="0" collapsed="false">
      <c r="A318" s="6" t="n">
        <v>44831</v>
      </c>
      <c r="B318" s="7" t="n">
        <v>0.364583333333333</v>
      </c>
      <c r="C318" s="5" t="n">
        <v>12800</v>
      </c>
      <c r="D318" s="5" t="s">
        <v>22</v>
      </c>
      <c r="E318" s="5" t="n">
        <v>18440</v>
      </c>
      <c r="F318" s="5" t="n">
        <v>16260</v>
      </c>
      <c r="G318" s="8" t="n">
        <v>2180</v>
      </c>
      <c r="H318" s="5" t="s">
        <v>12</v>
      </c>
      <c r="I318" s="5" t="s">
        <v>19</v>
      </c>
      <c r="J318" s="9" t="s">
        <v>14</v>
      </c>
    </row>
    <row r="319" customFormat="false" ht="18" hidden="false" customHeight="false" outlineLevel="0" collapsed="false">
      <c r="A319" s="6" t="n">
        <v>44831</v>
      </c>
      <c r="B319" s="7" t="n">
        <v>0.507638888888889</v>
      </c>
      <c r="C319" s="5" t="n">
        <v>145085</v>
      </c>
      <c r="D319" s="5" t="s">
        <v>24</v>
      </c>
      <c r="E319" s="5" t="n">
        <v>16940</v>
      </c>
      <c r="F319" s="5" t="n">
        <v>15780</v>
      </c>
      <c r="G319" s="8" t="n">
        <v>1160</v>
      </c>
      <c r="H319" s="5" t="s">
        <v>12</v>
      </c>
      <c r="I319" s="5" t="s">
        <v>23</v>
      </c>
      <c r="J319" s="9" t="s">
        <v>14</v>
      </c>
    </row>
    <row r="320" customFormat="false" ht="18" hidden="false" customHeight="false" outlineLevel="0" collapsed="false">
      <c r="A320" s="6" t="n">
        <v>44831</v>
      </c>
      <c r="B320" s="7" t="n">
        <v>0.314583333333333</v>
      </c>
      <c r="C320" s="5" t="n">
        <v>12796</v>
      </c>
      <c r="D320" s="5" t="s">
        <v>28</v>
      </c>
      <c r="E320" s="5" t="n">
        <v>17060</v>
      </c>
      <c r="F320" s="5" t="n">
        <v>15360</v>
      </c>
      <c r="G320" s="8" t="n">
        <v>1700</v>
      </c>
      <c r="H320" s="5" t="s">
        <v>12</v>
      </c>
      <c r="I320" s="5" t="s">
        <v>19</v>
      </c>
      <c r="J320" s="9" t="s">
        <v>14</v>
      </c>
    </row>
    <row r="321" customFormat="false" ht="18" hidden="false" customHeight="false" outlineLevel="0" collapsed="false">
      <c r="A321" s="6" t="n">
        <v>44832</v>
      </c>
      <c r="B321" s="7" t="n">
        <v>0.209722222222222</v>
      </c>
      <c r="C321" s="5" t="n">
        <v>12845</v>
      </c>
      <c r="D321" s="5" t="s">
        <v>16</v>
      </c>
      <c r="E321" s="5" t="n">
        <v>17800</v>
      </c>
      <c r="F321" s="5" t="n">
        <v>12780</v>
      </c>
      <c r="G321" s="8" t="n">
        <v>5020</v>
      </c>
      <c r="H321" s="5" t="s">
        <v>12</v>
      </c>
      <c r="I321" s="5" t="s">
        <v>13</v>
      </c>
      <c r="J321" s="9" t="s">
        <v>14</v>
      </c>
    </row>
    <row r="322" customFormat="false" ht="18" hidden="false" customHeight="false" outlineLevel="0" collapsed="false">
      <c r="A322" s="6" t="n">
        <v>44832</v>
      </c>
      <c r="B322" s="7" t="n">
        <v>0.11875</v>
      </c>
      <c r="C322" s="5" t="n">
        <v>12836</v>
      </c>
      <c r="D322" s="5" t="s">
        <v>16</v>
      </c>
      <c r="E322" s="5" t="n">
        <v>21120</v>
      </c>
      <c r="F322" s="5" t="n">
        <v>12820</v>
      </c>
      <c r="G322" s="8" t="n">
        <v>8300</v>
      </c>
      <c r="H322" s="5" t="s">
        <v>12</v>
      </c>
      <c r="I322" s="5" t="s">
        <v>13</v>
      </c>
      <c r="J322" s="9" t="s">
        <v>14</v>
      </c>
    </row>
    <row r="323" customFormat="false" ht="18" hidden="false" customHeight="false" outlineLevel="0" collapsed="false">
      <c r="A323" s="6" t="n">
        <v>44832</v>
      </c>
      <c r="B323" s="7" t="n">
        <v>0.2125</v>
      </c>
      <c r="C323" s="5" t="n">
        <v>12846</v>
      </c>
      <c r="D323" s="5" t="s">
        <v>11</v>
      </c>
      <c r="E323" s="5" t="n">
        <v>4600</v>
      </c>
      <c r="F323" s="5" t="n">
        <v>3800</v>
      </c>
      <c r="G323" s="8" t="n">
        <v>800</v>
      </c>
      <c r="H323" s="5" t="s">
        <v>12</v>
      </c>
      <c r="I323" s="5" t="s">
        <v>13</v>
      </c>
      <c r="J323" s="9" t="s">
        <v>14</v>
      </c>
    </row>
    <row r="324" customFormat="false" ht="18" hidden="false" customHeight="false" outlineLevel="0" collapsed="false">
      <c r="A324" s="6" t="n">
        <v>44832</v>
      </c>
      <c r="B324" s="7" t="n">
        <v>0.193055555555556</v>
      </c>
      <c r="C324" s="5" t="n">
        <v>12842</v>
      </c>
      <c r="D324" s="5" t="s">
        <v>15</v>
      </c>
      <c r="E324" s="5" t="n">
        <v>27100</v>
      </c>
      <c r="F324" s="5" t="n">
        <v>16080</v>
      </c>
      <c r="G324" s="8" t="n">
        <v>11020</v>
      </c>
      <c r="H324" s="5" t="s">
        <v>12</v>
      </c>
      <c r="I324" s="5" t="s">
        <v>13</v>
      </c>
      <c r="J324" s="9" t="s">
        <v>14</v>
      </c>
    </row>
    <row r="325" customFormat="false" ht="18" hidden="false" customHeight="false" outlineLevel="0" collapsed="false">
      <c r="A325" s="6" t="n">
        <v>44832</v>
      </c>
      <c r="B325" s="7" t="n">
        <v>0.252083333333333</v>
      </c>
      <c r="C325" s="5" t="n">
        <v>12850</v>
      </c>
      <c r="D325" s="5" t="s">
        <v>15</v>
      </c>
      <c r="E325" s="5" t="n">
        <v>17860</v>
      </c>
      <c r="F325" s="5" t="n">
        <v>16040</v>
      </c>
      <c r="G325" s="8" t="n">
        <v>1820</v>
      </c>
      <c r="H325" s="5" t="s">
        <v>12</v>
      </c>
      <c r="I325" s="5" t="s">
        <v>13</v>
      </c>
      <c r="J325" s="9" t="s">
        <v>14</v>
      </c>
    </row>
    <row r="326" customFormat="false" ht="18" hidden="false" customHeight="false" outlineLevel="0" collapsed="false">
      <c r="A326" s="6" t="n">
        <v>44832</v>
      </c>
      <c r="B326" s="7" t="n">
        <v>0.463194444444444</v>
      </c>
      <c r="C326" s="5" t="n">
        <v>12871</v>
      </c>
      <c r="D326" s="5" t="s">
        <v>22</v>
      </c>
      <c r="E326" s="5" t="n">
        <v>26020</v>
      </c>
      <c r="F326" s="5" t="n">
        <v>15600</v>
      </c>
      <c r="G326" s="8" t="n">
        <v>10420</v>
      </c>
      <c r="H326" s="5" t="s">
        <v>12</v>
      </c>
      <c r="I326" s="5" t="s">
        <v>29</v>
      </c>
      <c r="J326" s="9" t="s">
        <v>14</v>
      </c>
    </row>
    <row r="327" customFormat="false" ht="18" hidden="false" customHeight="false" outlineLevel="0" collapsed="false">
      <c r="A327" s="6" t="n">
        <v>44832</v>
      </c>
      <c r="B327" s="7" t="n">
        <v>0.351388888888889</v>
      </c>
      <c r="C327" s="5" t="n">
        <v>12860</v>
      </c>
      <c r="D327" s="5" t="s">
        <v>22</v>
      </c>
      <c r="E327" s="5" t="n">
        <v>26300</v>
      </c>
      <c r="F327" s="5" t="n">
        <v>15600</v>
      </c>
      <c r="G327" s="8" t="n">
        <v>10700</v>
      </c>
      <c r="H327" s="5" t="s">
        <v>12</v>
      </c>
      <c r="I327" s="5" t="s">
        <v>29</v>
      </c>
      <c r="J327" s="9" t="s">
        <v>14</v>
      </c>
    </row>
    <row r="328" customFormat="false" ht="18" hidden="false" customHeight="false" outlineLevel="0" collapsed="false">
      <c r="A328" s="6" t="n">
        <v>44832</v>
      </c>
      <c r="B328" s="7" t="n">
        <v>0.360416666666667</v>
      </c>
      <c r="C328" s="5" t="n">
        <v>12862</v>
      </c>
      <c r="D328" s="5" t="s">
        <v>18</v>
      </c>
      <c r="E328" s="5" t="n">
        <v>6960</v>
      </c>
      <c r="F328" s="5" t="n">
        <v>5640</v>
      </c>
      <c r="G328" s="8" t="n">
        <v>1320</v>
      </c>
      <c r="H328" s="5" t="s">
        <v>12</v>
      </c>
      <c r="I328" s="5" t="s">
        <v>19</v>
      </c>
      <c r="J328" s="9" t="s">
        <v>14</v>
      </c>
    </row>
    <row r="329" customFormat="false" ht="18" hidden="false" customHeight="false" outlineLevel="0" collapsed="false">
      <c r="A329" s="6" t="n">
        <v>44832</v>
      </c>
      <c r="B329" s="7" t="n">
        <v>0.526388888888889</v>
      </c>
      <c r="C329" s="5" t="n">
        <v>12878</v>
      </c>
      <c r="D329" s="5" t="s">
        <v>18</v>
      </c>
      <c r="E329" s="5" t="n">
        <v>6540</v>
      </c>
      <c r="F329" s="5" t="n">
        <v>5620</v>
      </c>
      <c r="G329" s="8" t="n">
        <v>920</v>
      </c>
      <c r="H329" s="5" t="s">
        <v>12</v>
      </c>
      <c r="I329" s="5" t="s">
        <v>19</v>
      </c>
      <c r="J329" s="9" t="s">
        <v>14</v>
      </c>
    </row>
    <row r="330" customFormat="false" ht="18" hidden="false" customHeight="false" outlineLevel="0" collapsed="false">
      <c r="A330" s="6" t="n">
        <v>44832</v>
      </c>
      <c r="B330" s="7" t="n">
        <v>0.425694444444444</v>
      </c>
      <c r="C330" s="5" t="n">
        <v>12867</v>
      </c>
      <c r="D330" s="5" t="s">
        <v>21</v>
      </c>
      <c r="E330" s="5" t="n">
        <v>2700</v>
      </c>
      <c r="F330" s="5" t="n">
        <v>2440</v>
      </c>
      <c r="G330" s="8" t="n">
        <v>260</v>
      </c>
      <c r="H330" s="5" t="s">
        <v>12</v>
      </c>
      <c r="I330" s="5" t="s">
        <v>13</v>
      </c>
      <c r="J330" s="9" t="s">
        <v>14</v>
      </c>
    </row>
    <row r="331" customFormat="false" ht="18" hidden="false" customHeight="false" outlineLevel="0" collapsed="false">
      <c r="A331" s="6" t="n">
        <v>44833</v>
      </c>
      <c r="B331" s="7" t="n">
        <v>0.201388888888889</v>
      </c>
      <c r="C331" s="5" t="n">
        <v>12907</v>
      </c>
      <c r="D331" s="5" t="s">
        <v>11</v>
      </c>
      <c r="E331" s="5" t="n">
        <v>4580</v>
      </c>
      <c r="F331" s="5" t="n">
        <v>3760</v>
      </c>
      <c r="G331" s="8" t="n">
        <v>820</v>
      </c>
      <c r="H331" s="5" t="s">
        <v>12</v>
      </c>
      <c r="I331" s="5" t="s">
        <v>13</v>
      </c>
      <c r="J331" s="9" t="s">
        <v>14</v>
      </c>
    </row>
    <row r="332" customFormat="false" ht="18" hidden="false" customHeight="false" outlineLevel="0" collapsed="false">
      <c r="A332" s="6" t="n">
        <v>44833</v>
      </c>
      <c r="B332" s="7" t="n">
        <v>0.127777777777778</v>
      </c>
      <c r="C332" s="5" t="n">
        <v>12902</v>
      </c>
      <c r="D332" s="5" t="s">
        <v>16</v>
      </c>
      <c r="E332" s="5" t="n">
        <v>21340</v>
      </c>
      <c r="F332" s="5" t="n">
        <v>12760</v>
      </c>
      <c r="G332" s="8" t="n">
        <v>8580</v>
      </c>
      <c r="H332" s="5" t="s">
        <v>12</v>
      </c>
      <c r="I332" s="5" t="s">
        <v>13</v>
      </c>
      <c r="J332" s="9" t="s">
        <v>14</v>
      </c>
    </row>
    <row r="333" customFormat="false" ht="18" hidden="false" customHeight="false" outlineLevel="0" collapsed="false">
      <c r="A333" s="6" t="n">
        <v>44833</v>
      </c>
      <c r="B333" s="7" t="n">
        <v>0.240277777777778</v>
      </c>
      <c r="C333" s="5" t="n">
        <v>12910</v>
      </c>
      <c r="D333" s="5" t="s">
        <v>16</v>
      </c>
      <c r="E333" s="5" t="n">
        <v>17320</v>
      </c>
      <c r="F333" s="5" t="n">
        <v>12740</v>
      </c>
      <c r="G333" s="8" t="n">
        <v>4580</v>
      </c>
      <c r="H333" s="5" t="s">
        <v>12</v>
      </c>
      <c r="I333" s="5" t="s">
        <v>13</v>
      </c>
      <c r="J333" s="9" t="s">
        <v>14</v>
      </c>
    </row>
    <row r="334" customFormat="false" ht="18" hidden="false" customHeight="false" outlineLevel="0" collapsed="false">
      <c r="A334" s="6" t="n">
        <v>44833</v>
      </c>
      <c r="B334" s="7" t="n">
        <v>0.188888888888889</v>
      </c>
      <c r="C334" s="5" t="n">
        <v>12906</v>
      </c>
      <c r="D334" s="5" t="s">
        <v>15</v>
      </c>
      <c r="E334" s="5" t="n">
        <v>26120</v>
      </c>
      <c r="F334" s="5" t="n">
        <v>16000</v>
      </c>
      <c r="G334" s="8" t="n">
        <v>10120</v>
      </c>
      <c r="H334" s="5" t="s">
        <v>12</v>
      </c>
      <c r="I334" s="5" t="s">
        <v>13</v>
      </c>
      <c r="J334" s="9" t="s">
        <v>14</v>
      </c>
    </row>
    <row r="335" customFormat="false" ht="18" hidden="false" customHeight="false" outlineLevel="0" collapsed="false">
      <c r="A335" s="6" t="n">
        <v>44833</v>
      </c>
      <c r="B335" s="7" t="n">
        <v>0.258333333333333</v>
      </c>
      <c r="C335" s="5" t="n">
        <v>12913</v>
      </c>
      <c r="D335" s="5" t="s">
        <v>15</v>
      </c>
      <c r="E335" s="5" t="n">
        <v>17880</v>
      </c>
      <c r="F335" s="5" t="n">
        <v>15980</v>
      </c>
      <c r="G335" s="8" t="n">
        <v>1900</v>
      </c>
      <c r="H335" s="5" t="s">
        <v>12</v>
      </c>
      <c r="I335" s="5" t="s">
        <v>13</v>
      </c>
      <c r="J335" s="9" t="s">
        <v>14</v>
      </c>
    </row>
    <row r="336" customFormat="false" ht="18" hidden="false" customHeight="false" outlineLevel="0" collapsed="false">
      <c r="A336" s="6" t="n">
        <v>44833</v>
      </c>
      <c r="B336" s="7" t="n">
        <v>0.339583333333333</v>
      </c>
      <c r="C336" s="5" t="n">
        <v>12921</v>
      </c>
      <c r="D336" s="5" t="s">
        <v>17</v>
      </c>
      <c r="E336" s="5" t="n">
        <v>3540</v>
      </c>
      <c r="F336" s="5" t="n">
        <v>2700</v>
      </c>
      <c r="G336" s="8" t="n">
        <v>840</v>
      </c>
      <c r="H336" s="5" t="s">
        <v>12</v>
      </c>
      <c r="I336" s="5" t="s">
        <v>26</v>
      </c>
      <c r="J336" s="9" t="s">
        <v>14</v>
      </c>
    </row>
    <row r="337" customFormat="false" ht="18" hidden="false" customHeight="false" outlineLevel="0" collapsed="false">
      <c r="A337" s="6" t="n">
        <v>44833</v>
      </c>
      <c r="B337" s="7" t="n">
        <v>0.508333333333333</v>
      </c>
      <c r="C337" s="5" t="n">
        <v>12938</v>
      </c>
      <c r="D337" s="5" t="s">
        <v>20</v>
      </c>
      <c r="E337" s="5" t="n">
        <v>3240</v>
      </c>
      <c r="F337" s="5" t="n">
        <v>2840</v>
      </c>
      <c r="G337" s="8" t="n">
        <v>400</v>
      </c>
      <c r="H337" s="5" t="s">
        <v>12</v>
      </c>
      <c r="I337" s="5" t="s">
        <v>13</v>
      </c>
      <c r="J337" s="9" t="s">
        <v>14</v>
      </c>
    </row>
    <row r="338" customFormat="false" ht="18" hidden="false" customHeight="false" outlineLevel="0" collapsed="false">
      <c r="A338" s="6" t="n">
        <v>44833</v>
      </c>
      <c r="B338" s="7" t="n">
        <v>0.485416666666667</v>
      </c>
      <c r="C338" s="5" t="n">
        <v>12934</v>
      </c>
      <c r="D338" s="5" t="s">
        <v>22</v>
      </c>
      <c r="E338" s="5" t="n">
        <v>27040</v>
      </c>
      <c r="F338" s="5" t="n">
        <v>15300</v>
      </c>
      <c r="G338" s="8" t="n">
        <v>11740</v>
      </c>
      <c r="H338" s="5" t="s">
        <v>12</v>
      </c>
      <c r="I338" s="5" t="s">
        <v>29</v>
      </c>
      <c r="J338" s="9" t="s">
        <v>14</v>
      </c>
    </row>
    <row r="339" customFormat="false" ht="18" hidden="false" customHeight="false" outlineLevel="0" collapsed="false">
      <c r="A339" s="6" t="n">
        <v>44833</v>
      </c>
      <c r="B339" s="7" t="n">
        <v>0.360416666666667</v>
      </c>
      <c r="C339" s="5" t="n">
        <v>12924</v>
      </c>
      <c r="D339" s="5" t="s">
        <v>22</v>
      </c>
      <c r="E339" s="5" t="n">
        <v>19400</v>
      </c>
      <c r="F339" s="5" t="n">
        <v>15300</v>
      </c>
      <c r="G339" s="8" t="n">
        <v>4100</v>
      </c>
      <c r="H339" s="5" t="s">
        <v>12</v>
      </c>
      <c r="I339" s="5" t="s">
        <v>29</v>
      </c>
      <c r="J339" s="9" t="s">
        <v>14</v>
      </c>
    </row>
    <row r="340" customFormat="false" ht="18" hidden="false" customHeight="false" outlineLevel="0" collapsed="false">
      <c r="A340" s="6" t="n">
        <v>44833</v>
      </c>
      <c r="B340" s="7" t="n">
        <v>0.442361111111111</v>
      </c>
      <c r="C340" s="5" t="n">
        <v>12929</v>
      </c>
      <c r="D340" s="5" t="s">
        <v>22</v>
      </c>
      <c r="E340" s="5" t="n">
        <v>25040</v>
      </c>
      <c r="F340" s="5" t="n">
        <v>15300</v>
      </c>
      <c r="G340" s="8" t="n">
        <v>9740</v>
      </c>
      <c r="H340" s="5" t="s">
        <v>12</v>
      </c>
      <c r="I340" s="5" t="s">
        <v>29</v>
      </c>
      <c r="J340" s="9" t="s">
        <v>14</v>
      </c>
    </row>
    <row r="341" customFormat="false" ht="18" hidden="false" customHeight="false" outlineLevel="0" collapsed="false">
      <c r="A341" s="6" t="n">
        <v>44833</v>
      </c>
      <c r="B341" s="7" t="n">
        <v>0.463194444444444</v>
      </c>
      <c r="C341" s="5" t="n">
        <v>12932</v>
      </c>
      <c r="D341" s="5" t="s">
        <v>22</v>
      </c>
      <c r="E341" s="5" t="n">
        <v>26680</v>
      </c>
      <c r="F341" s="5" t="n">
        <v>15300</v>
      </c>
      <c r="G341" s="8" t="n">
        <v>11380</v>
      </c>
      <c r="H341" s="5" t="s">
        <v>12</v>
      </c>
      <c r="I341" s="5" t="s">
        <v>29</v>
      </c>
      <c r="J341" s="9" t="s">
        <v>14</v>
      </c>
    </row>
    <row r="342" customFormat="false" ht="18" hidden="false" customHeight="false" outlineLevel="0" collapsed="false">
      <c r="A342" s="6" t="n">
        <v>44833</v>
      </c>
      <c r="B342" s="7" t="n">
        <v>0.509027777777778</v>
      </c>
      <c r="C342" s="5" t="n">
        <v>12939</v>
      </c>
      <c r="D342" s="5" t="s">
        <v>18</v>
      </c>
      <c r="E342" s="5" t="n">
        <v>6320</v>
      </c>
      <c r="F342" s="5" t="n">
        <v>5600</v>
      </c>
      <c r="G342" s="8" t="n">
        <v>720</v>
      </c>
      <c r="H342" s="5" t="s">
        <v>12</v>
      </c>
      <c r="I342" s="5" t="s">
        <v>19</v>
      </c>
      <c r="J342" s="9" t="s">
        <v>14</v>
      </c>
    </row>
    <row r="343" customFormat="false" ht="18" hidden="false" customHeight="false" outlineLevel="0" collapsed="false">
      <c r="A343" s="6" t="n">
        <v>44833</v>
      </c>
      <c r="B343" s="7" t="n">
        <v>0.354861111111111</v>
      </c>
      <c r="C343" s="5" t="n">
        <v>12923</v>
      </c>
      <c r="D343" s="5" t="s">
        <v>18</v>
      </c>
      <c r="E343" s="5" t="n">
        <v>6580</v>
      </c>
      <c r="F343" s="5" t="n">
        <v>5620</v>
      </c>
      <c r="G343" s="8" t="n">
        <v>960</v>
      </c>
      <c r="H343" s="5" t="s">
        <v>12</v>
      </c>
      <c r="I343" s="5" t="s">
        <v>19</v>
      </c>
      <c r="J343" s="9" t="s">
        <v>14</v>
      </c>
    </row>
    <row r="344" customFormat="false" ht="18" hidden="false" customHeight="false" outlineLevel="0" collapsed="false">
      <c r="A344" s="6" t="n">
        <v>44833</v>
      </c>
      <c r="B344" s="7" t="n">
        <v>0.502777777777778</v>
      </c>
      <c r="C344" s="5" t="n">
        <v>145250</v>
      </c>
      <c r="D344" s="5" t="s">
        <v>24</v>
      </c>
      <c r="E344" s="5" t="n">
        <v>16540</v>
      </c>
      <c r="F344" s="5" t="n">
        <v>15640</v>
      </c>
      <c r="G344" s="8" t="n">
        <v>900</v>
      </c>
      <c r="H344" s="5" t="s">
        <v>12</v>
      </c>
      <c r="I344" s="5" t="s">
        <v>23</v>
      </c>
      <c r="J344" s="9" t="s">
        <v>14</v>
      </c>
    </row>
    <row r="345" customFormat="false" ht="18" hidden="false" customHeight="false" outlineLevel="0" collapsed="false">
      <c r="A345" s="6" t="n">
        <v>44834</v>
      </c>
      <c r="B345" s="7" t="n">
        <v>0.169444444444444</v>
      </c>
      <c r="C345" s="5" t="n">
        <v>12968</v>
      </c>
      <c r="D345" s="5" t="s">
        <v>15</v>
      </c>
      <c r="E345" s="5" t="n">
        <v>25780</v>
      </c>
      <c r="F345" s="5" t="n">
        <v>16120</v>
      </c>
      <c r="G345" s="8" t="n">
        <v>9660</v>
      </c>
      <c r="H345" s="5" t="s">
        <v>12</v>
      </c>
      <c r="I345" s="5" t="s">
        <v>13</v>
      </c>
      <c r="J345" s="9" t="s">
        <v>14</v>
      </c>
    </row>
    <row r="346" customFormat="false" ht="18" hidden="false" customHeight="false" outlineLevel="0" collapsed="false">
      <c r="A346" s="6" t="n">
        <v>44834</v>
      </c>
      <c r="B346" s="7" t="n">
        <v>0.260416666666667</v>
      </c>
      <c r="C346" s="5" t="n">
        <v>12974</v>
      </c>
      <c r="D346" s="5" t="s">
        <v>15</v>
      </c>
      <c r="E346" s="5" t="n">
        <v>18600</v>
      </c>
      <c r="F346" s="5" t="n">
        <v>16060</v>
      </c>
      <c r="G346" s="8" t="n">
        <v>2540</v>
      </c>
      <c r="H346" s="5" t="s">
        <v>12</v>
      </c>
      <c r="I346" s="5" t="s">
        <v>13</v>
      </c>
      <c r="J346" s="9" t="s">
        <v>14</v>
      </c>
    </row>
    <row r="347" customFormat="false" ht="18" hidden="false" customHeight="false" outlineLevel="0" collapsed="false">
      <c r="A347" s="6" t="n">
        <v>44834</v>
      </c>
      <c r="B347" s="7" t="n">
        <v>0.261805555555556</v>
      </c>
      <c r="C347" s="5" t="n">
        <v>12975</v>
      </c>
      <c r="D347" s="5" t="s">
        <v>11</v>
      </c>
      <c r="E347" s="5" t="n">
        <v>4600</v>
      </c>
      <c r="F347" s="5" t="n">
        <v>3800</v>
      </c>
      <c r="G347" s="8" t="n">
        <v>800</v>
      </c>
      <c r="H347" s="5" t="s">
        <v>12</v>
      </c>
      <c r="I347" s="5" t="s">
        <v>13</v>
      </c>
      <c r="J347" s="9" t="s">
        <v>14</v>
      </c>
    </row>
    <row r="348" customFormat="false" ht="18" hidden="false" customHeight="false" outlineLevel="0" collapsed="false">
      <c r="A348" s="6" t="n">
        <v>44834</v>
      </c>
      <c r="B348" s="7" t="n">
        <v>0.129861111111111</v>
      </c>
      <c r="C348" s="5" t="n">
        <v>12966</v>
      </c>
      <c r="D348" s="5" t="s">
        <v>16</v>
      </c>
      <c r="E348" s="5" t="n">
        <v>20420</v>
      </c>
      <c r="F348" s="5" t="n">
        <v>12720</v>
      </c>
      <c r="G348" s="8" t="n">
        <v>7700</v>
      </c>
      <c r="H348" s="5" t="s">
        <v>12</v>
      </c>
      <c r="I348" s="5" t="s">
        <v>13</v>
      </c>
      <c r="J348" s="9" t="s">
        <v>14</v>
      </c>
    </row>
    <row r="349" customFormat="false" ht="18" hidden="false" customHeight="false" outlineLevel="0" collapsed="false">
      <c r="A349" s="6" t="n">
        <v>44834</v>
      </c>
      <c r="B349" s="7" t="n">
        <v>0.199305555555556</v>
      </c>
      <c r="C349" s="5" t="n">
        <v>12969</v>
      </c>
      <c r="D349" s="5" t="s">
        <v>16</v>
      </c>
      <c r="E349" s="5" t="n">
        <v>17280</v>
      </c>
      <c r="F349" s="5" t="n">
        <v>12680</v>
      </c>
      <c r="G349" s="8" t="n">
        <v>4600</v>
      </c>
      <c r="H349" s="5" t="s">
        <v>12</v>
      </c>
      <c r="I349" s="5" t="s">
        <v>13</v>
      </c>
      <c r="J349" s="9" t="s">
        <v>14</v>
      </c>
    </row>
    <row r="350" customFormat="false" ht="18" hidden="false" customHeight="false" outlineLevel="0" collapsed="false">
      <c r="A350" s="6" t="n">
        <v>44834</v>
      </c>
      <c r="B350" s="7" t="n">
        <v>0.522916666666667</v>
      </c>
      <c r="C350" s="5" t="n">
        <v>12995</v>
      </c>
      <c r="D350" s="5" t="s">
        <v>20</v>
      </c>
      <c r="E350" s="5" t="n">
        <v>3280</v>
      </c>
      <c r="F350" s="5" t="n">
        <v>2840</v>
      </c>
      <c r="G350" s="8" t="n">
        <v>440</v>
      </c>
      <c r="H350" s="5" t="s">
        <v>12</v>
      </c>
      <c r="I350" s="5" t="s">
        <v>13</v>
      </c>
      <c r="J350" s="9" t="s">
        <v>14</v>
      </c>
    </row>
    <row r="351" customFormat="false" ht="18" hidden="false" customHeight="false" outlineLevel="0" collapsed="false">
      <c r="A351" s="6" t="n">
        <v>44834</v>
      </c>
      <c r="B351" s="7" t="n">
        <v>0.342361111111111</v>
      </c>
      <c r="C351" s="5" t="n">
        <v>145289</v>
      </c>
      <c r="D351" s="5" t="s">
        <v>22</v>
      </c>
      <c r="E351" s="5" t="n">
        <v>18200</v>
      </c>
      <c r="F351" s="5" t="n">
        <v>16000</v>
      </c>
      <c r="G351" s="8" t="n">
        <f aca="false">+E351-F351</f>
        <v>2200</v>
      </c>
      <c r="H351" s="5" t="s">
        <v>12</v>
      </c>
      <c r="I351" s="5" t="s">
        <v>23</v>
      </c>
      <c r="J351" s="9" t="s">
        <v>14</v>
      </c>
    </row>
  </sheetData>
  <autoFilter ref="A1:J351"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5" activeCellId="0" sqref="E5"/>
    </sheetView>
  </sheetViews>
  <sheetFormatPr defaultColWidth="10.484375" defaultRowHeight="12.8" zeroHeight="false" outlineLevelRow="0" outlineLevelCol="0"/>
  <cols>
    <col collapsed="false" customWidth="true" hidden="false" outlineLevel="0" max="4" min="4" style="9" width="11.56"/>
    <col collapsed="false" customWidth="true" hidden="false" outlineLevel="0" max="8" min="8" style="9" width="17.77"/>
  </cols>
  <sheetData>
    <row r="1" customFormat="false" ht="12.8" hidden="false" customHeight="false" outlineLevel="0" collapsed="false">
      <c r="A1" s="12" t="s">
        <v>0</v>
      </c>
      <c r="B1" s="13" t="s">
        <v>30</v>
      </c>
      <c r="D1" s="0"/>
      <c r="H1" s="0"/>
    </row>
    <row r="2" customFormat="false" ht="12.8" hidden="false" customHeight="false" outlineLevel="0" collapsed="false">
      <c r="D2" s="0"/>
      <c r="H2" s="0"/>
    </row>
    <row r="3" customFormat="false" ht="12.8" hidden="false" customHeight="false" outlineLevel="0" collapsed="false">
      <c r="A3" s="14" t="s">
        <v>31</v>
      </c>
      <c r="B3" s="15" t="s">
        <v>8</v>
      </c>
      <c r="C3" s="16"/>
      <c r="D3" s="16"/>
      <c r="E3" s="16"/>
      <c r="F3" s="16"/>
      <c r="G3" s="16"/>
      <c r="H3" s="17"/>
    </row>
    <row r="4" customFormat="false" ht="12.8" hidden="false" customHeight="false" outlineLevel="0" collapsed="false">
      <c r="A4" s="18" t="s">
        <v>3</v>
      </c>
      <c r="B4" s="19" t="s">
        <v>29</v>
      </c>
      <c r="C4" s="20" t="s">
        <v>26</v>
      </c>
      <c r="D4" s="20" t="s">
        <v>13</v>
      </c>
      <c r="E4" s="20" t="s">
        <v>10</v>
      </c>
      <c r="F4" s="20" t="s">
        <v>23</v>
      </c>
      <c r="G4" s="20" t="s">
        <v>19</v>
      </c>
      <c r="H4" s="21" t="s">
        <v>32</v>
      </c>
    </row>
    <row r="5" customFormat="false" ht="12.8" hidden="false" customHeight="false" outlineLevel="0" collapsed="false">
      <c r="A5" s="22" t="s">
        <v>22</v>
      </c>
      <c r="B5" s="23" t="n">
        <v>58080</v>
      </c>
      <c r="C5" s="24"/>
      <c r="D5" s="24"/>
      <c r="E5" s="24"/>
      <c r="F5" s="25" t="n">
        <v>6300</v>
      </c>
      <c r="G5" s="26" t="n">
        <v>7160</v>
      </c>
      <c r="H5" s="27" t="n">
        <v>71540</v>
      </c>
    </row>
    <row r="6" customFormat="false" ht="12.8" hidden="false" customHeight="false" outlineLevel="0" collapsed="false">
      <c r="A6" s="28" t="s">
        <v>17</v>
      </c>
      <c r="B6" s="29"/>
      <c r="C6" s="30" t="n">
        <v>3560</v>
      </c>
      <c r="D6" s="30" t="n">
        <v>12420</v>
      </c>
      <c r="E6" s="31"/>
      <c r="F6" s="31"/>
      <c r="G6" s="32"/>
      <c r="H6" s="33" t="n">
        <v>15980</v>
      </c>
    </row>
    <row r="7" customFormat="false" ht="12.8" hidden="false" customHeight="false" outlineLevel="0" collapsed="false">
      <c r="A7" s="28" t="s">
        <v>24</v>
      </c>
      <c r="B7" s="29"/>
      <c r="C7" s="31"/>
      <c r="D7" s="30" t="n">
        <v>94940</v>
      </c>
      <c r="E7" s="30" t="n">
        <v>13860</v>
      </c>
      <c r="F7" s="30" t="n">
        <v>11080</v>
      </c>
      <c r="G7" s="32"/>
      <c r="H7" s="33" t="n">
        <v>119880</v>
      </c>
    </row>
    <row r="8" customFormat="false" ht="12.8" hidden="false" customHeight="false" outlineLevel="0" collapsed="false">
      <c r="A8" s="28" t="s">
        <v>15</v>
      </c>
      <c r="B8" s="29"/>
      <c r="C8" s="31"/>
      <c r="D8" s="30" t="n">
        <v>375500</v>
      </c>
      <c r="E8" s="31"/>
      <c r="F8" s="31"/>
      <c r="G8" s="32"/>
      <c r="H8" s="33" t="n">
        <v>375500</v>
      </c>
    </row>
    <row r="9" customFormat="false" ht="12.8" hidden="false" customHeight="false" outlineLevel="0" collapsed="false">
      <c r="A9" s="28" t="s">
        <v>21</v>
      </c>
      <c r="B9" s="29"/>
      <c r="C9" s="31"/>
      <c r="D9" s="30" t="n">
        <v>8740</v>
      </c>
      <c r="E9" s="31"/>
      <c r="F9" s="31"/>
      <c r="G9" s="32"/>
      <c r="H9" s="33" t="n">
        <v>8740</v>
      </c>
    </row>
    <row r="10" customFormat="false" ht="12.8" hidden="false" customHeight="false" outlineLevel="0" collapsed="false">
      <c r="A10" s="28" t="s">
        <v>25</v>
      </c>
      <c r="B10" s="29"/>
      <c r="C10" s="31"/>
      <c r="D10" s="30" t="n">
        <v>23120</v>
      </c>
      <c r="E10" s="31"/>
      <c r="F10" s="31"/>
      <c r="G10" s="32"/>
      <c r="H10" s="33" t="n">
        <v>23120</v>
      </c>
    </row>
    <row r="11" customFormat="false" ht="12.8" hidden="false" customHeight="false" outlineLevel="0" collapsed="false">
      <c r="A11" s="28" t="s">
        <v>20</v>
      </c>
      <c r="B11" s="29"/>
      <c r="C11" s="31"/>
      <c r="D11" s="30" t="n">
        <v>18060</v>
      </c>
      <c r="E11" s="31"/>
      <c r="F11" s="31"/>
      <c r="G11" s="32"/>
      <c r="H11" s="33" t="n">
        <v>18060</v>
      </c>
    </row>
    <row r="12" customFormat="false" ht="12.8" hidden="false" customHeight="false" outlineLevel="0" collapsed="false">
      <c r="A12" s="28" t="s">
        <v>16</v>
      </c>
      <c r="B12" s="29"/>
      <c r="C12" s="31"/>
      <c r="D12" s="30" t="n">
        <v>508580</v>
      </c>
      <c r="E12" s="31"/>
      <c r="F12" s="31"/>
      <c r="G12" s="32"/>
      <c r="H12" s="33" t="n">
        <v>508580</v>
      </c>
    </row>
    <row r="13" customFormat="false" ht="12.8" hidden="false" customHeight="false" outlineLevel="0" collapsed="false">
      <c r="A13" s="28" t="s">
        <v>11</v>
      </c>
      <c r="B13" s="29"/>
      <c r="C13" s="31"/>
      <c r="D13" s="30" t="n">
        <v>26260</v>
      </c>
      <c r="E13" s="31"/>
      <c r="F13" s="31"/>
      <c r="G13" s="32"/>
      <c r="H13" s="33" t="n">
        <v>26260</v>
      </c>
    </row>
    <row r="14" customFormat="false" ht="12.8" hidden="false" customHeight="false" outlineLevel="0" collapsed="false">
      <c r="A14" s="28" t="s">
        <v>18</v>
      </c>
      <c r="B14" s="29"/>
      <c r="C14" s="31"/>
      <c r="D14" s="31"/>
      <c r="E14" s="31"/>
      <c r="F14" s="31"/>
      <c r="G14" s="34" t="n">
        <v>17100</v>
      </c>
      <c r="H14" s="33" t="n">
        <v>17100</v>
      </c>
    </row>
    <row r="15" customFormat="false" ht="12.8" hidden="false" customHeight="false" outlineLevel="0" collapsed="false">
      <c r="A15" s="28" t="s">
        <v>28</v>
      </c>
      <c r="B15" s="35"/>
      <c r="C15" s="36"/>
      <c r="D15" s="36"/>
      <c r="E15" s="36"/>
      <c r="F15" s="36"/>
      <c r="G15" s="37" t="n">
        <v>1700</v>
      </c>
      <c r="H15" s="38" t="n">
        <v>1700</v>
      </c>
    </row>
    <row r="16" customFormat="false" ht="12.8" hidden="false" customHeight="false" outlineLevel="0" collapsed="false">
      <c r="A16" s="39" t="s">
        <v>32</v>
      </c>
      <c r="B16" s="40" t="n">
        <v>58080</v>
      </c>
      <c r="C16" s="41" t="n">
        <v>3560</v>
      </c>
      <c r="D16" s="41" t="n">
        <v>1067620</v>
      </c>
      <c r="E16" s="41" t="n">
        <v>13860</v>
      </c>
      <c r="F16" s="41" t="n">
        <v>17380</v>
      </c>
      <c r="G16" s="42" t="n">
        <v>25960</v>
      </c>
      <c r="H16" s="43" t="n">
        <v>1186460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Roman,Normal"&amp;12&amp;Kffffff&amp;A</oddHeader>
    <oddFooter>&amp;C&amp;"Times New Roman,Normal"&amp;12&amp;KffffffPágina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N7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L47" activeCellId="0" sqref="L47"/>
    </sheetView>
  </sheetViews>
  <sheetFormatPr defaultColWidth="7.72265625" defaultRowHeight="13.8" zeroHeight="false" outlineLevelRow="0" outlineLevelCol="0"/>
  <cols>
    <col collapsed="false" customWidth="true" hidden="false" outlineLevel="0" max="1" min="1" style="44" width="15.11"/>
    <col collapsed="false" customWidth="true" hidden="false" outlineLevel="0" max="2" min="2" style="45" width="17.73"/>
    <col collapsed="false" customWidth="true" hidden="false" outlineLevel="0" max="3" min="3" style="45" width="10.72"/>
    <col collapsed="false" customWidth="true" hidden="false" outlineLevel="0" max="4" min="4" style="44" width="13.47"/>
    <col collapsed="false" customWidth="true" hidden="false" outlineLevel="0" max="6" min="5" style="45" width="11.27"/>
    <col collapsed="false" customWidth="true" hidden="false" outlineLevel="0" max="7" min="7" style="45" width="13.47"/>
    <col collapsed="false" customWidth="true" hidden="false" outlineLevel="0" max="8" min="8" style="45" width="14.54"/>
    <col collapsed="false" customWidth="true" hidden="false" outlineLevel="0" max="9" min="9" style="45" width="15.87"/>
    <col collapsed="false" customWidth="false" hidden="false" outlineLevel="0" max="11" min="10" style="45" width="7.73"/>
    <col collapsed="false" customWidth="true" hidden="false" outlineLevel="0" max="12" min="12" style="45" width="8.18"/>
    <col collapsed="false" customWidth="true" hidden="false" outlineLevel="0" max="13" min="13" style="45" width="12.8"/>
    <col collapsed="false" customWidth="true" hidden="false" outlineLevel="0" max="14" min="14" style="45" width="7.09"/>
    <col collapsed="false" customWidth="false" hidden="false" outlineLevel="0" max="1024" min="15" style="45" width="7.73"/>
  </cols>
  <sheetData>
    <row r="1" customFormat="false" ht="13.8" hidden="false" customHeight="false" outlineLevel="0" collapsed="false">
      <c r="A1" s="44" t="n">
        <v>1</v>
      </c>
      <c r="B1" s="44" t="n">
        <v>2</v>
      </c>
      <c r="C1" s="44" t="n">
        <v>3</v>
      </c>
      <c r="D1" s="44" t="n">
        <v>4</v>
      </c>
      <c r="E1" s="44" t="n">
        <v>5</v>
      </c>
      <c r="F1" s="44" t="n">
        <v>6</v>
      </c>
      <c r="G1" s="44" t="n">
        <v>7</v>
      </c>
    </row>
    <row r="2" customFormat="false" ht="13.8" hidden="false" customHeight="false" outlineLevel="0" collapsed="false">
      <c r="A2" s="46" t="s">
        <v>3</v>
      </c>
      <c r="B2" s="47" t="s">
        <v>33</v>
      </c>
      <c r="C2" s="48" t="s">
        <v>26</v>
      </c>
      <c r="D2" s="48" t="s">
        <v>13</v>
      </c>
      <c r="E2" s="48" t="s">
        <v>10</v>
      </c>
      <c r="F2" s="48" t="s">
        <v>23</v>
      </c>
      <c r="G2" s="48" t="s">
        <v>34</v>
      </c>
      <c r="H2" s="49" t="s">
        <v>32</v>
      </c>
    </row>
    <row r="3" customFormat="false" ht="13.8" hidden="false" customHeight="false" outlineLevel="0" collapsed="false">
      <c r="A3" s="50" t="s">
        <v>22</v>
      </c>
      <c r="B3" s="51" t="n">
        <v>58080</v>
      </c>
      <c r="C3" s="52"/>
      <c r="D3" s="52"/>
      <c r="E3" s="52"/>
      <c r="F3" s="52" t="n">
        <v>6300</v>
      </c>
      <c r="G3" s="53" t="n">
        <v>7160</v>
      </c>
      <c r="H3" s="54" t="n">
        <f aca="false">SUM(B3:G3)</f>
        <v>71540</v>
      </c>
    </row>
    <row r="4" customFormat="false" ht="13.8" hidden="false" customHeight="false" outlineLevel="0" collapsed="false">
      <c r="A4" s="55" t="s">
        <v>17</v>
      </c>
      <c r="B4" s="56"/>
      <c r="C4" s="57" t="n">
        <v>3560</v>
      </c>
      <c r="D4" s="57" t="n">
        <v>12420</v>
      </c>
      <c r="E4" s="57"/>
      <c r="F4" s="57"/>
      <c r="G4" s="58"/>
      <c r="H4" s="54" t="n">
        <f aca="false">SUM(B4:G4)</f>
        <v>15980</v>
      </c>
    </row>
    <row r="5" customFormat="false" ht="13.8" hidden="false" customHeight="false" outlineLevel="0" collapsed="false">
      <c r="A5" s="55" t="s">
        <v>24</v>
      </c>
      <c r="B5" s="56"/>
      <c r="C5" s="57"/>
      <c r="D5" s="57" t="n">
        <v>94940</v>
      </c>
      <c r="E5" s="57" t="n">
        <v>13860</v>
      </c>
      <c r="F5" s="57" t="n">
        <v>11080</v>
      </c>
      <c r="G5" s="58"/>
      <c r="H5" s="54" t="n">
        <f aca="false">SUM(B5:G5)</f>
        <v>119880</v>
      </c>
    </row>
    <row r="6" customFormat="false" ht="13.8" hidden="false" customHeight="false" outlineLevel="0" collapsed="false">
      <c r="A6" s="55" t="s">
        <v>15</v>
      </c>
      <c r="B6" s="56"/>
      <c r="C6" s="57"/>
      <c r="D6" s="57" t="n">
        <v>375500</v>
      </c>
      <c r="E6" s="57"/>
      <c r="F6" s="57"/>
      <c r="G6" s="58"/>
      <c r="H6" s="54" t="n">
        <f aca="false">SUM(B6:G6)</f>
        <v>375500</v>
      </c>
    </row>
    <row r="7" customFormat="false" ht="13.8" hidden="false" customHeight="false" outlineLevel="0" collapsed="false">
      <c r="A7" s="55" t="s">
        <v>21</v>
      </c>
      <c r="B7" s="56"/>
      <c r="C7" s="57"/>
      <c r="D7" s="57" t="n">
        <v>8740</v>
      </c>
      <c r="E7" s="57"/>
      <c r="F7" s="57"/>
      <c r="G7" s="58"/>
      <c r="H7" s="54" t="n">
        <f aca="false">SUM(B7:G7)</f>
        <v>8740</v>
      </c>
    </row>
    <row r="8" customFormat="false" ht="13.8" hidden="false" customHeight="false" outlineLevel="0" collapsed="false">
      <c r="A8" s="55" t="s">
        <v>25</v>
      </c>
      <c r="B8" s="56"/>
      <c r="C8" s="57"/>
      <c r="D8" s="57" t="n">
        <v>23120</v>
      </c>
      <c r="E8" s="57"/>
      <c r="F8" s="57"/>
      <c r="G8" s="58"/>
      <c r="H8" s="54" t="n">
        <f aca="false">SUM(B8:G8)</f>
        <v>23120</v>
      </c>
    </row>
    <row r="9" customFormat="false" ht="13.8" hidden="false" customHeight="false" outlineLevel="0" collapsed="false">
      <c r="A9" s="55" t="s">
        <v>20</v>
      </c>
      <c r="B9" s="56"/>
      <c r="C9" s="57"/>
      <c r="D9" s="57" t="n">
        <v>18060</v>
      </c>
      <c r="E9" s="57"/>
      <c r="F9" s="57"/>
      <c r="G9" s="58"/>
      <c r="H9" s="54" t="n">
        <f aca="false">SUM(B9:G9)</f>
        <v>18060</v>
      </c>
    </row>
    <row r="10" customFormat="false" ht="13.8" hidden="false" customHeight="false" outlineLevel="0" collapsed="false">
      <c r="A10" s="55" t="s">
        <v>16</v>
      </c>
      <c r="B10" s="56"/>
      <c r="C10" s="57"/>
      <c r="D10" s="57" t="n">
        <v>508580</v>
      </c>
      <c r="E10" s="57"/>
      <c r="F10" s="57"/>
      <c r="G10" s="58"/>
      <c r="H10" s="54" t="n">
        <f aca="false">SUM(B10:G10)</f>
        <v>508580</v>
      </c>
    </row>
    <row r="11" customFormat="false" ht="13.8" hidden="false" customHeight="false" outlineLevel="0" collapsed="false">
      <c r="A11" s="55" t="s">
        <v>11</v>
      </c>
      <c r="B11" s="56"/>
      <c r="C11" s="57"/>
      <c r="D11" s="57" t="n">
        <v>26260</v>
      </c>
      <c r="E11" s="57"/>
      <c r="F11" s="57"/>
      <c r="G11" s="58"/>
      <c r="H11" s="54" t="n">
        <f aca="false">SUM(B11:G11)</f>
        <v>26260</v>
      </c>
    </row>
    <row r="12" customFormat="false" ht="13.8" hidden="false" customHeight="false" outlineLevel="0" collapsed="false">
      <c r="A12" s="55" t="s">
        <v>18</v>
      </c>
      <c r="B12" s="56"/>
      <c r="C12" s="57"/>
      <c r="D12" s="57"/>
      <c r="E12" s="57"/>
      <c r="F12" s="57"/>
      <c r="G12" s="58" t="n">
        <v>17100</v>
      </c>
      <c r="H12" s="54" t="n">
        <f aca="false">SUM(B12:G12)</f>
        <v>17100</v>
      </c>
    </row>
    <row r="13" customFormat="false" ht="13.8" hidden="false" customHeight="false" outlineLevel="0" collapsed="false">
      <c r="A13" s="55" t="s">
        <v>28</v>
      </c>
      <c r="B13" s="59"/>
      <c r="C13" s="60"/>
      <c r="D13" s="60"/>
      <c r="E13" s="60"/>
      <c r="F13" s="60"/>
      <c r="G13" s="61" t="n">
        <v>1700</v>
      </c>
      <c r="H13" s="54" t="n">
        <f aca="false">SUM(B13:G13)</f>
        <v>1700</v>
      </c>
      <c r="I13" s="45" t="s">
        <v>35</v>
      </c>
    </row>
    <row r="14" s="45" customFormat="true" ht="13.8" hidden="false" customHeight="false" outlineLevel="0" collapsed="false">
      <c r="B14" s="46"/>
      <c r="C14" s="46"/>
      <c r="D14" s="46"/>
      <c r="E14" s="46"/>
      <c r="F14" s="46"/>
      <c r="G14" s="46"/>
      <c r="H14" s="54" t="n">
        <f aca="false">SUM(B14:G14)</f>
        <v>0</v>
      </c>
    </row>
    <row r="15" customFormat="false" ht="13.8" hidden="false" customHeight="false" outlineLevel="0" collapsed="false">
      <c r="A15" s="49" t="s">
        <v>32</v>
      </c>
      <c r="B15" s="62" t="n">
        <f aca="false">SUM(B3:B14)</f>
        <v>58080</v>
      </c>
      <c r="C15" s="62" t="n">
        <f aca="false">SUM(C3:C14)</f>
        <v>3560</v>
      </c>
      <c r="D15" s="62" t="n">
        <f aca="false">SUM(D3:D14)</f>
        <v>1067620</v>
      </c>
      <c r="E15" s="62" t="n">
        <f aca="false">SUM(E3:E14)</f>
        <v>13860</v>
      </c>
      <c r="F15" s="62" t="n">
        <f aca="false">SUM(F3:F14)</f>
        <v>17380</v>
      </c>
      <c r="G15" s="62" t="n">
        <f aca="false">SUM(G3:G14)</f>
        <v>25960</v>
      </c>
      <c r="H15" s="63" t="n">
        <f aca="false">SUM(B15:G15)</f>
        <v>1186460</v>
      </c>
    </row>
    <row r="16" customFormat="false" ht="13.8" hidden="false" customHeight="false" outlineLevel="0" collapsed="false">
      <c r="A16" s="64" t="s">
        <v>36</v>
      </c>
      <c r="B16" s="65" t="n">
        <f aca="false">+E79</f>
        <v>58080</v>
      </c>
      <c r="C16" s="65" t="n">
        <f aca="false">+E73</f>
        <v>3560</v>
      </c>
      <c r="D16" s="65" t="n">
        <f aca="false">+F35</f>
        <v>1067620</v>
      </c>
      <c r="E16" s="65" t="n">
        <f aca="false">+E64</f>
        <v>13860</v>
      </c>
      <c r="F16" s="65" t="n">
        <f aca="false">+E56</f>
        <v>17380</v>
      </c>
      <c r="G16" s="65" t="n">
        <f aca="false">+F46</f>
        <v>25960</v>
      </c>
      <c r="H16" s="66" t="n">
        <f aca="false">SUM(B16:G16)</f>
        <v>1186460</v>
      </c>
    </row>
    <row r="17" customFormat="false" ht="13.8" hidden="false" customHeight="false" outlineLevel="0" collapsed="false">
      <c r="C17" s="67"/>
      <c r="D17" s="67"/>
      <c r="E17" s="67"/>
      <c r="F17" s="67"/>
      <c r="G17" s="67"/>
      <c r="H17" s="67"/>
    </row>
    <row r="18" customFormat="false" ht="13.8" hidden="false" customHeight="false" outlineLevel="0" collapsed="false">
      <c r="C18" s="67"/>
      <c r="D18" s="67" t="s">
        <v>37</v>
      </c>
      <c r="E18" s="67" t="s">
        <v>38</v>
      </c>
      <c r="F18" s="67" t="s">
        <v>39</v>
      </c>
      <c r="G18" s="67"/>
      <c r="H18" s="67"/>
    </row>
    <row r="19" customFormat="false" ht="13.8" hidden="false" customHeight="false" outlineLevel="0" collapsed="false">
      <c r="A19" s="68" t="s">
        <v>40</v>
      </c>
      <c r="B19" s="68"/>
      <c r="C19" s="68"/>
      <c r="D19" s="69" t="n">
        <f aca="false">+F35+F46+E56+E64+E73+E79</f>
        <v>1186460</v>
      </c>
      <c r="E19" s="70" t="n">
        <f aca="false">+G35+G46+F56+F64+F73+F79</f>
        <v>1186460</v>
      </c>
      <c r="F19" s="69" t="n">
        <f aca="false">+E19-D19</f>
        <v>0</v>
      </c>
      <c r="G19" s="67"/>
      <c r="H19" s="67"/>
    </row>
    <row r="20" customFormat="false" ht="13.8" hidden="false" customHeight="false" outlineLevel="0" collapsed="false">
      <c r="C20" s="67"/>
      <c r="D20" s="67"/>
      <c r="E20" s="67"/>
      <c r="F20" s="67"/>
      <c r="G20" s="67"/>
      <c r="H20" s="67"/>
    </row>
    <row r="21" s="45" customFormat="true" ht="13.8" hidden="false" customHeight="false" outlineLevel="0" collapsed="false"/>
    <row r="22" customFormat="false" ht="13.8" hidden="false" customHeight="false" outlineLevel="0" collapsed="false">
      <c r="A22" s="67" t="s">
        <v>13</v>
      </c>
      <c r="B22" s="67"/>
      <c r="C22" s="67"/>
      <c r="D22" s="67"/>
      <c r="E22" s="67"/>
      <c r="F22" s="67"/>
      <c r="G22" s="67"/>
      <c r="H22" s="67"/>
    </row>
    <row r="23" customFormat="false" ht="13.8" hidden="false" customHeight="false" outlineLevel="0" collapsed="false">
      <c r="A23" s="44" t="s">
        <v>41</v>
      </c>
      <c r="B23" s="45" t="s">
        <v>42</v>
      </c>
      <c r="C23" s="71" t="s">
        <v>43</v>
      </c>
      <c r="D23" s="72" t="s">
        <v>44</v>
      </c>
      <c r="E23" s="71" t="s">
        <v>45</v>
      </c>
      <c r="F23" s="73" t="s">
        <v>46</v>
      </c>
      <c r="G23" s="71" t="s">
        <v>38</v>
      </c>
      <c r="H23" s="71"/>
    </row>
    <row r="24" customFormat="false" ht="13.8" hidden="false" customHeight="false" outlineLevel="0" collapsed="false">
      <c r="A24" s="74" t="n">
        <v>109</v>
      </c>
      <c r="B24" s="75" t="s">
        <v>47</v>
      </c>
      <c r="C24" s="76" t="s">
        <v>22</v>
      </c>
      <c r="D24" s="77"/>
      <c r="E24" s="76"/>
      <c r="F24" s="78"/>
      <c r="G24" s="79" t="n">
        <f aca="false">IFERROR(INDEX($B$3:$G$14,MATCH(C24,$A$3:$A$14,0),MATCH($A$22,$B$2:$G$2,0)),0)</f>
        <v>0</v>
      </c>
      <c r="H24" s="80" t="str">
        <f aca="false">IF(G24=F24,"Bien",G24-F24)</f>
        <v>Bien</v>
      </c>
    </row>
    <row r="25" customFormat="false" ht="13.8" hidden="false" customHeight="false" outlineLevel="0" collapsed="false">
      <c r="A25" s="44" t="n">
        <v>333</v>
      </c>
      <c r="B25" s="71" t="s">
        <v>48</v>
      </c>
      <c r="C25" s="71" t="s">
        <v>17</v>
      </c>
      <c r="D25" s="72" t="n">
        <v>1</v>
      </c>
      <c r="E25" s="76" t="s">
        <v>49</v>
      </c>
      <c r="F25" s="73" t="n">
        <v>12420</v>
      </c>
      <c r="G25" s="81" t="n">
        <f aca="false">IFERROR(INDEX($B$3:$G$14,MATCH(C25,$A$3:$A$14,0),MATCH($A$22,$B$2:$G$2,0)),0)</f>
        <v>12420</v>
      </c>
      <c r="H25" s="82" t="str">
        <f aca="false">IF(G25=F25,"Bien",G25-F25)</f>
        <v>Bien</v>
      </c>
    </row>
    <row r="26" customFormat="false" ht="14.9" hidden="false" customHeight="false" outlineLevel="0" collapsed="false">
      <c r="A26" s="83" t="n">
        <v>320</v>
      </c>
      <c r="B26" s="84" t="s">
        <v>50</v>
      </c>
      <c r="C26" s="71" t="s">
        <v>24</v>
      </c>
      <c r="D26" s="72" t="s">
        <v>51</v>
      </c>
      <c r="E26" s="76" t="s">
        <v>49</v>
      </c>
      <c r="F26" s="73" t="n">
        <v>94940</v>
      </c>
      <c r="G26" s="81" t="n">
        <f aca="false">IFERROR(INDEX($B$3:$G$14,MATCH(C26,$A$3:$A$14,0),MATCH($A$22,$B$2:$G$2,0)),0)</f>
        <v>94940</v>
      </c>
      <c r="H26" s="82" t="str">
        <f aca="false">IF(G26=F26,"Bien",G26-F26)</f>
        <v>Bien</v>
      </c>
    </row>
    <row r="27" customFormat="false" ht="14.9" hidden="false" customHeight="false" outlineLevel="0" collapsed="false">
      <c r="A27" s="83" t="n">
        <v>321</v>
      </c>
      <c r="B27" s="84" t="s">
        <v>52</v>
      </c>
      <c r="C27" s="71" t="s">
        <v>15</v>
      </c>
      <c r="D27" s="72" t="s">
        <v>51</v>
      </c>
      <c r="E27" s="76" t="s">
        <v>49</v>
      </c>
      <c r="F27" s="73" t="n">
        <v>375500</v>
      </c>
      <c r="G27" s="81" t="n">
        <f aca="false">IFERROR(INDEX($B$3:$G$14,MATCH(C27,$A$3:$A$14,0),MATCH($A$22,$B$2:$G$2,0)),0)</f>
        <v>375500</v>
      </c>
      <c r="H27" s="82" t="str">
        <f aca="false">IF(G27=F27,"Bien",G27-F27)</f>
        <v>Bien</v>
      </c>
    </row>
    <row r="28" customFormat="false" ht="13.8" hidden="false" customHeight="false" outlineLevel="0" collapsed="false">
      <c r="A28" s="44" t="n">
        <v>316</v>
      </c>
      <c r="B28" s="45" t="s">
        <v>53</v>
      </c>
      <c r="C28" s="71" t="s">
        <v>21</v>
      </c>
      <c r="D28" s="72" t="s">
        <v>51</v>
      </c>
      <c r="E28" s="76" t="s">
        <v>49</v>
      </c>
      <c r="F28" s="9" t="n">
        <v>8740</v>
      </c>
      <c r="G28" s="81" t="n">
        <f aca="false">IFERROR(INDEX($B$3:$G$14,MATCH(C28,$A$3:$A$14,0),MATCH($A$22,$B$2:$G$2,0)),0)</f>
        <v>8740</v>
      </c>
      <c r="H28" s="82" t="str">
        <f aca="false">IF(G28=F28,"Bien",G28-F28)</f>
        <v>Bien</v>
      </c>
    </row>
    <row r="29" customFormat="false" ht="14.9" hidden="false" customHeight="false" outlineLevel="0" collapsed="false">
      <c r="A29" s="83" t="n">
        <v>196</v>
      </c>
      <c r="B29" s="84" t="s">
        <v>54</v>
      </c>
      <c r="C29" s="71" t="s">
        <v>25</v>
      </c>
      <c r="D29" s="72" t="s">
        <v>51</v>
      </c>
      <c r="E29" s="76" t="s">
        <v>49</v>
      </c>
      <c r="F29" s="9" t="n">
        <v>23120</v>
      </c>
      <c r="G29" s="81" t="n">
        <f aca="false">IFERROR(INDEX($B$3:$G$14,MATCH(C29,$A$3:$A$14,0),MATCH($A$22,$B$2:$G$2,0)),0)</f>
        <v>23120</v>
      </c>
      <c r="H29" s="82" t="str">
        <f aca="false">IF(G29=F29,"Bien",G29-F29)</f>
        <v>Bien</v>
      </c>
      <c r="I29" s="45" t="s">
        <v>55</v>
      </c>
    </row>
    <row r="30" customFormat="false" ht="13.8" hidden="false" customHeight="false" outlineLevel="0" collapsed="false">
      <c r="A30" s="44" t="n">
        <v>309</v>
      </c>
      <c r="B30" s="45" t="s">
        <v>56</v>
      </c>
      <c r="C30" s="71" t="s">
        <v>20</v>
      </c>
      <c r="D30" s="72" t="s">
        <v>51</v>
      </c>
      <c r="E30" s="76" t="s">
        <v>49</v>
      </c>
      <c r="F30" s="9" t="n">
        <v>18060</v>
      </c>
      <c r="G30" s="81" t="n">
        <f aca="false">IFERROR(INDEX($B$3:$G$14,MATCH(C30,$A$3:$A$14,0),MATCH($A$22,$B$2:$G$2,0)),0)</f>
        <v>18060</v>
      </c>
      <c r="H30" s="82" t="str">
        <f aca="false">IF(G30=F30,"Bien",G30-F30)</f>
        <v>Bien</v>
      </c>
      <c r="L30" s="44"/>
      <c r="M30" s="85"/>
      <c r="N30" s="71"/>
    </row>
    <row r="31" customFormat="false" ht="14.9" hidden="false" customHeight="false" outlineLevel="0" collapsed="false">
      <c r="A31" s="44" t="n">
        <v>318</v>
      </c>
      <c r="B31" s="84" t="s">
        <v>54</v>
      </c>
      <c r="C31" s="71" t="s">
        <v>16</v>
      </c>
      <c r="D31" s="72" t="s">
        <v>51</v>
      </c>
      <c r="E31" s="76" t="s">
        <v>49</v>
      </c>
      <c r="F31" s="9" t="n">
        <v>508580</v>
      </c>
      <c r="G31" s="81" t="n">
        <f aca="false">IFERROR(INDEX($B$3:$G$14,MATCH(C31,$A$3:$A$14,0),MATCH($A$22,$B$2:$G$2,0)),0)</f>
        <v>508580</v>
      </c>
      <c r="H31" s="82" t="str">
        <f aca="false">IF(G31=F31,"Bien",G31-F31)</f>
        <v>Bien</v>
      </c>
      <c r="L31" s="44"/>
      <c r="M31" s="71"/>
      <c r="N31" s="71"/>
    </row>
    <row r="32" customFormat="false" ht="14.9" hidden="false" customHeight="false" outlineLevel="0" collapsed="false">
      <c r="A32" s="44" t="n">
        <v>310</v>
      </c>
      <c r="B32" s="84" t="s">
        <v>57</v>
      </c>
      <c r="C32" s="71" t="s">
        <v>11</v>
      </c>
      <c r="D32" s="72" t="n">
        <v>1</v>
      </c>
      <c r="E32" s="71" t="s">
        <v>58</v>
      </c>
      <c r="F32" s="9" t="n">
        <v>26260</v>
      </c>
      <c r="G32" s="81" t="n">
        <f aca="false">IFERROR(INDEX($B$3:$G$14,MATCH(C32,$A$3:$A$14,0),MATCH($A$22,$B$2:$G$2,0)),0)</f>
        <v>26260</v>
      </c>
      <c r="H32" s="82" t="str">
        <f aca="false">IF(G32=F32,"Bien",G32-F32)</f>
        <v>Bien</v>
      </c>
      <c r="N32" s="84"/>
    </row>
    <row r="33" customFormat="false" ht="13.8" hidden="false" customHeight="false" outlineLevel="0" collapsed="false">
      <c r="A33" s="44" t="n">
        <v>296</v>
      </c>
      <c r="B33" s="71" t="s">
        <v>59</v>
      </c>
      <c r="C33" s="71" t="s">
        <v>18</v>
      </c>
      <c r="D33" s="72"/>
      <c r="E33" s="71"/>
      <c r="F33" s="86"/>
      <c r="G33" s="81" t="n">
        <f aca="false">IFERROR(INDEX($B$3:$G$14,MATCH(C33,$A$3:$A$14,0),MATCH($A$22,$B$2:$G$2,0)),0)</f>
        <v>0</v>
      </c>
      <c r="H33" s="82" t="str">
        <f aca="false">IF(G33=F33,"Bien",G33-F33)</f>
        <v>Bien</v>
      </c>
      <c r="N33" s="84"/>
    </row>
    <row r="34" customFormat="false" ht="13.8" hidden="false" customHeight="false" outlineLevel="0" collapsed="false">
      <c r="A34" s="87"/>
      <c r="B34" s="88" t="s">
        <v>47</v>
      </c>
      <c r="C34" s="88" t="s">
        <v>28</v>
      </c>
      <c r="D34" s="89"/>
      <c r="E34" s="90"/>
      <c r="F34" s="91"/>
      <c r="G34" s="92" t="n">
        <f aca="false">IFERROR(INDEX($B$3:$G$14,MATCH(C34,$A$3:$A$14,0),MATCH($A$22,$B$2:$G$2,0)),0)</f>
        <v>0</v>
      </c>
      <c r="H34" s="93" t="str">
        <f aca="false">IF(G34=F34,"Bien",G34-F34)</f>
        <v>Bien</v>
      </c>
      <c r="I34" s="45" t="s">
        <v>60</v>
      </c>
      <c r="N34" s="84"/>
    </row>
    <row r="35" customFormat="false" ht="13.8" hidden="false" customHeight="false" outlineLevel="0" collapsed="false">
      <c r="C35" s="71"/>
      <c r="D35" s="72"/>
      <c r="E35" s="71"/>
      <c r="F35" s="94" t="n">
        <f aca="false">SUM(F24:F34)</f>
        <v>1067620</v>
      </c>
      <c r="G35" s="95" t="n">
        <f aca="false">SUM(G24:G34)</f>
        <v>1067620</v>
      </c>
      <c r="H35" s="71"/>
      <c r="I35" s="96" t="str">
        <f aca="false">IF(G35=D15,"OK","Revisar")</f>
        <v>OK</v>
      </c>
      <c r="L35" s="44"/>
      <c r="N35" s="71"/>
    </row>
    <row r="36" customFormat="false" ht="13.8" hidden="false" customHeight="false" outlineLevel="0" collapsed="false">
      <c r="A36" s="67" t="str">
        <f aca="false">+G2</f>
        <v>VOLUMINOSOS</v>
      </c>
      <c r="B36" s="67"/>
      <c r="C36" s="67"/>
      <c r="D36" s="67"/>
      <c r="E36" s="67"/>
      <c r="F36" s="67"/>
      <c r="G36" s="67"/>
      <c r="H36" s="67"/>
      <c r="L36" s="44"/>
      <c r="N36" s="71"/>
    </row>
    <row r="37" customFormat="false" ht="13.8" hidden="false" customHeight="false" outlineLevel="0" collapsed="false">
      <c r="C37" s="71" t="s">
        <v>43</v>
      </c>
      <c r="D37" s="72" t="s">
        <v>61</v>
      </c>
      <c r="E37" s="71" t="s">
        <v>62</v>
      </c>
      <c r="F37" s="94" t="s">
        <v>46</v>
      </c>
      <c r="G37" s="71" t="s">
        <v>38</v>
      </c>
      <c r="H37" s="71"/>
    </row>
    <row r="38" customFormat="false" ht="13.8" hidden="false" customHeight="false" outlineLevel="0" collapsed="false">
      <c r="A38" s="74" t="n">
        <v>109</v>
      </c>
      <c r="B38" s="75" t="s">
        <v>47</v>
      </c>
      <c r="C38" s="76" t="s">
        <v>22</v>
      </c>
      <c r="D38" s="97" t="n">
        <v>2</v>
      </c>
      <c r="E38" s="78" t="n">
        <v>2</v>
      </c>
      <c r="F38" s="78" t="n">
        <v>7160</v>
      </c>
      <c r="G38" s="98" t="n">
        <f aca="false">IFERROR(INDEX($B$3:$G$14,MATCH(C38,$A$3:$A$14,0),MATCH($A$36,$B$2:$G$2,0)),0)</f>
        <v>7160</v>
      </c>
      <c r="H38" s="99" t="str">
        <f aca="false">IF(G38=F38,"Bien",G38-F38)</f>
        <v>Bien</v>
      </c>
    </row>
    <row r="39" customFormat="false" ht="13.8" hidden="false" customHeight="false" outlineLevel="0" collapsed="false">
      <c r="A39" s="44" t="n">
        <v>333</v>
      </c>
      <c r="B39" s="45" t="s">
        <v>48</v>
      </c>
      <c r="C39" s="71" t="s">
        <v>17</v>
      </c>
      <c r="D39" s="100"/>
      <c r="E39" s="73"/>
      <c r="F39" s="73"/>
      <c r="G39" s="101" t="n">
        <f aca="false">IFERROR(INDEX($B$3:$G$14,MATCH(C39,$A$3:$A$14,0),MATCH($A$36,$B$2:$G$2,0)),0)</f>
        <v>0</v>
      </c>
      <c r="H39" s="102" t="str">
        <f aca="false">IF(G39=F39,"Bien",G39-F39)</f>
        <v>Bien</v>
      </c>
    </row>
    <row r="40" customFormat="false" ht="13.8" hidden="false" customHeight="false" outlineLevel="0" collapsed="false">
      <c r="A40" s="44" t="n">
        <v>316</v>
      </c>
      <c r="B40" s="71" t="s">
        <v>53</v>
      </c>
      <c r="C40" s="71" t="s">
        <v>21</v>
      </c>
      <c r="D40" s="100"/>
      <c r="E40" s="73"/>
      <c r="F40" s="73"/>
      <c r="G40" s="101" t="n">
        <f aca="false">IFERROR(INDEX($B$3:$G$14,MATCH(C40,$A$3:$A$14,0),MATCH($A$36,$B$2:$G$2,0)),0)</f>
        <v>0</v>
      </c>
      <c r="H40" s="102" t="str">
        <f aca="false">IF(G40=F40,"Bien",G40-F40)</f>
        <v>Bien</v>
      </c>
    </row>
    <row r="41" customFormat="false" ht="13.8" hidden="false" customHeight="false" outlineLevel="0" collapsed="false">
      <c r="A41" s="44" t="n">
        <v>309</v>
      </c>
      <c r="B41" s="45" t="s">
        <v>56</v>
      </c>
      <c r="C41" s="71" t="s">
        <v>20</v>
      </c>
      <c r="D41" s="100"/>
      <c r="E41" s="73"/>
      <c r="F41" s="73"/>
      <c r="G41" s="101" t="n">
        <f aca="false">IFERROR(INDEX($B$3:$G$14,MATCH(C41,$A$3:$A$14,0),MATCH($A$36,$B$2:$G$2,0)),0)</f>
        <v>0</v>
      </c>
      <c r="H41" s="102" t="str">
        <f aca="false">IF(G41=F41,"Bien",G41-F41)</f>
        <v>Bien</v>
      </c>
    </row>
    <row r="42" customFormat="false" ht="13.8" hidden="false" customHeight="false" outlineLevel="0" collapsed="false">
      <c r="A42" s="44" t="n">
        <v>296</v>
      </c>
      <c r="B42" s="71" t="s">
        <v>59</v>
      </c>
      <c r="C42" s="71" t="s">
        <v>18</v>
      </c>
      <c r="D42" s="100" t="n">
        <v>2</v>
      </c>
      <c r="E42" s="73" t="n">
        <v>19</v>
      </c>
      <c r="F42" s="73" t="n">
        <v>17100</v>
      </c>
      <c r="G42" s="101" t="n">
        <f aca="false">IFERROR(INDEX($B$3:$G$14,MATCH(C42,$A$3:$A$14,0),MATCH($A$36,$B$2:$G$2,0)),0)</f>
        <v>17100</v>
      </c>
      <c r="H42" s="102" t="str">
        <f aca="false">IF(G42=F42,"Bien",G42-F42)</f>
        <v>Bien</v>
      </c>
    </row>
    <row r="43" customFormat="false" ht="13.8" hidden="false" customHeight="false" outlineLevel="0" collapsed="false">
      <c r="B43" s="103" t="s">
        <v>47</v>
      </c>
      <c r="C43" s="103" t="s">
        <v>28</v>
      </c>
      <c r="D43" s="100" t="n">
        <v>2</v>
      </c>
      <c r="E43" s="73" t="n">
        <v>1</v>
      </c>
      <c r="F43" s="73" t="n">
        <v>1700</v>
      </c>
      <c r="G43" s="101" t="n">
        <f aca="false">IFERROR(INDEX($B$3:$G$14,MATCH(C43,$A$3:$A$14,0),MATCH($A$36,$B$2:$G$2,0)),0)</f>
        <v>1700</v>
      </c>
      <c r="H43" s="102" t="str">
        <f aca="false">IF(G43=F43,"Bien",G43-F43)</f>
        <v>Bien</v>
      </c>
    </row>
    <row r="44" customFormat="false" ht="13.8" hidden="false" customHeight="false" outlineLevel="0" collapsed="false">
      <c r="B44" s="71"/>
      <c r="C44" s="103" t="s">
        <v>63</v>
      </c>
      <c r="D44" s="100"/>
      <c r="E44" s="73"/>
      <c r="F44" s="73"/>
      <c r="G44" s="101" t="n">
        <f aca="false">IFERROR(INDEX($B$3:$G$14,MATCH(C44,$A$3:$A$14,0),MATCH($A$36,$B$2:$G$2,0)),0)</f>
        <v>0</v>
      </c>
      <c r="H44" s="102" t="str">
        <f aca="false">IF(G44=F44,"Bien",G44-F44)</f>
        <v>Bien</v>
      </c>
    </row>
    <row r="45" customFormat="false" ht="14.9" hidden="false" customHeight="false" outlineLevel="0" collapsed="false">
      <c r="A45" s="87"/>
      <c r="B45" s="104" t="s">
        <v>64</v>
      </c>
      <c r="C45" s="105" t="s">
        <v>65</v>
      </c>
      <c r="D45" s="106"/>
      <c r="E45" s="107"/>
      <c r="F45" s="107"/>
      <c r="G45" s="108" t="n">
        <f aca="false">IFERROR(INDEX($B$3:$G$14,MATCH(C45,$A$3:$A$14,0),MATCH($A$36,$B$2:$G$2,0)),0)</f>
        <v>0</v>
      </c>
      <c r="H45" s="109" t="str">
        <f aca="false">IF(G45=F45,"Bien",G45-F45)</f>
        <v>Bien</v>
      </c>
    </row>
    <row r="46" s="45" customFormat="true" ht="13.8" hidden="false" customHeight="false" outlineLevel="0" collapsed="false">
      <c r="D46" s="72"/>
      <c r="E46" s="71"/>
      <c r="F46" s="94" t="n">
        <f aca="false">SUM(F38:F45)</f>
        <v>25960</v>
      </c>
      <c r="G46" s="95" t="n">
        <f aca="false">SUM(G38:G45)</f>
        <v>25960</v>
      </c>
      <c r="H46" s="71"/>
      <c r="I46" s="96" t="str">
        <f aca="false">+IF(G46=G15,"OK","Revisar")</f>
        <v>OK</v>
      </c>
    </row>
    <row r="47" customFormat="false" ht="13.8" hidden="false" customHeight="false" outlineLevel="0" collapsed="false">
      <c r="C47" s="71"/>
      <c r="D47" s="72"/>
      <c r="E47" s="71"/>
      <c r="F47" s="94"/>
      <c r="G47" s="95"/>
      <c r="H47" s="71"/>
    </row>
    <row r="48" customFormat="false" ht="13.8" hidden="false" customHeight="false" outlineLevel="0" collapsed="false">
      <c r="A48" s="67" t="s">
        <v>23</v>
      </c>
      <c r="B48" s="67"/>
      <c r="C48" s="67"/>
      <c r="D48" s="67"/>
      <c r="E48" s="67"/>
      <c r="F48" s="67"/>
      <c r="G48" s="67"/>
      <c r="H48" s="67"/>
    </row>
    <row r="49" customFormat="false" ht="13.8" hidden="false" customHeight="false" outlineLevel="0" collapsed="false">
      <c r="C49" s="110" t="s">
        <v>43</v>
      </c>
      <c r="D49" s="111" t="s">
        <v>62</v>
      </c>
      <c r="E49" s="112" t="s">
        <v>46</v>
      </c>
      <c r="F49" s="113" t="s">
        <v>38</v>
      </c>
      <c r="G49" s="71"/>
      <c r="H49" s="71"/>
    </row>
    <row r="50" customFormat="false" ht="13.8" hidden="false" customHeight="false" outlineLevel="0" collapsed="false">
      <c r="A50" s="114" t="n">
        <v>109</v>
      </c>
      <c r="B50" s="115" t="s">
        <v>47</v>
      </c>
      <c r="C50" s="76" t="s">
        <v>22</v>
      </c>
      <c r="D50" s="116" t="n">
        <v>3</v>
      </c>
      <c r="E50" s="117" t="n">
        <v>6300</v>
      </c>
      <c r="F50" s="118" t="n">
        <f aca="false">IFERROR(INDEX($B$3:$G$14,MATCH(C50,$A$3:$A$14,0),MATCH($A$48,$B$2:$G$2,0)),0)</f>
        <v>6300</v>
      </c>
      <c r="G50" s="99" t="str">
        <f aca="false">IF(F50=E50,"Bien",F50-E50)</f>
        <v>Bien</v>
      </c>
      <c r="H50" s="71"/>
    </row>
    <row r="51" customFormat="false" ht="14.9" hidden="false" customHeight="false" outlineLevel="0" collapsed="false">
      <c r="A51" s="119" t="n">
        <v>320</v>
      </c>
      <c r="B51" s="120" t="s">
        <v>50</v>
      </c>
      <c r="C51" s="71" t="s">
        <v>24</v>
      </c>
      <c r="D51" s="121" t="n">
        <v>8</v>
      </c>
      <c r="E51" s="122" t="n">
        <v>11080</v>
      </c>
      <c r="F51" s="123" t="n">
        <f aca="false">IFERROR(INDEX($B$3:$G$14,MATCH(C51,$A$3:$A$14,0),MATCH($A$48,$B$2:$G$2,0)),0)</f>
        <v>11080</v>
      </c>
      <c r="G51" s="102" t="str">
        <f aca="false">IF(F51=E51,"Bien",F51-E51)</f>
        <v>Bien</v>
      </c>
      <c r="H51" s="71"/>
    </row>
    <row r="52" customFormat="false" ht="14.9" hidden="false" customHeight="false" outlineLevel="0" collapsed="false">
      <c r="A52" s="119" t="n">
        <v>321</v>
      </c>
      <c r="B52" s="120" t="s">
        <v>52</v>
      </c>
      <c r="C52" s="71" t="s">
        <v>15</v>
      </c>
      <c r="D52" s="121"/>
      <c r="E52" s="122"/>
      <c r="F52" s="123" t="n">
        <f aca="false">IFERROR(INDEX($B$3:$G$14,MATCH(C52,$A$3:$A$14,0),MATCH($A$48,$B$2:$G$2,0)),0)</f>
        <v>0</v>
      </c>
      <c r="G52" s="102" t="str">
        <f aca="false">IF(F52=E52,"Bien",F52-E52)</f>
        <v>Bien</v>
      </c>
      <c r="H52" s="71"/>
    </row>
    <row r="53" customFormat="false" ht="13.8" hidden="false" customHeight="false" outlineLevel="0" collapsed="false">
      <c r="A53" s="124" t="n">
        <v>296</v>
      </c>
      <c r="B53" s="125" t="s">
        <v>59</v>
      </c>
      <c r="C53" s="71" t="s">
        <v>18</v>
      </c>
      <c r="D53" s="121"/>
      <c r="E53" s="126"/>
      <c r="F53" s="123" t="n">
        <f aca="false">IFERROR(INDEX($B$3:$G$14,MATCH(C53,$A$3:$A$14,0),MATCH($A$48,$B$2:$G$2,0)),0)</f>
        <v>0</v>
      </c>
      <c r="G53" s="102" t="str">
        <f aca="false">IF(F53=E53,"Bien",F53-E53)</f>
        <v>Bien</v>
      </c>
      <c r="H53" s="71"/>
    </row>
    <row r="54" customFormat="false" ht="14.9" hidden="false" customHeight="false" outlineLevel="0" collapsed="false">
      <c r="A54" s="119"/>
      <c r="B54" s="127"/>
      <c r="C54" s="128" t="s">
        <v>63</v>
      </c>
      <c r="D54" s="121"/>
      <c r="E54" s="126"/>
      <c r="F54" s="123" t="n">
        <f aca="false">IFERROR(INDEX($B$3:$G$14,MATCH(C54,$A$3:$A$14,0),MATCH($A$48,$B$2:$G$2,0)),0)</f>
        <v>0</v>
      </c>
      <c r="G54" s="102" t="str">
        <f aca="false">IF(F54=E54,"Bien",F54-E54)</f>
        <v>Bien</v>
      </c>
      <c r="H54" s="71"/>
    </row>
    <row r="55" customFormat="false" ht="13.8" hidden="false" customHeight="false" outlineLevel="0" collapsed="false">
      <c r="A55" s="129"/>
      <c r="B55" s="130" t="s">
        <v>47</v>
      </c>
      <c r="C55" s="88" t="s">
        <v>28</v>
      </c>
      <c r="D55" s="131"/>
      <c r="E55" s="132"/>
      <c r="F55" s="133" t="n">
        <f aca="false">IFERROR(INDEX($B$3:$G$14,MATCH(C55,$A$3:$A$14,0),MATCH($A$48,$B$2:$G$2,0)),0)</f>
        <v>0</v>
      </c>
      <c r="G55" s="109" t="str">
        <f aca="false">IF(F55=E55,"Bien",F55-E55)</f>
        <v>Bien</v>
      </c>
      <c r="H55" s="71"/>
    </row>
    <row r="56" customFormat="false" ht="13.8" hidden="false" customHeight="false" outlineLevel="0" collapsed="false">
      <c r="C56" s="71"/>
      <c r="D56" s="121"/>
      <c r="E56" s="95" t="n">
        <f aca="false">SUM(E50:E55)</f>
        <v>17380</v>
      </c>
      <c r="F56" s="95" t="n">
        <f aca="false">SUM(F50:F55)</f>
        <v>17380</v>
      </c>
      <c r="G56" s="71"/>
      <c r="H56" s="71"/>
      <c r="I56" s="96" t="str">
        <f aca="false">+IF(F56=F15,"OK","Revisar")</f>
        <v>OK</v>
      </c>
    </row>
    <row r="57" customFormat="false" ht="13.8" hidden="false" customHeight="false" outlineLevel="0" collapsed="false">
      <c r="A57" s="67" t="s">
        <v>10</v>
      </c>
      <c r="B57" s="67"/>
      <c r="C57" s="67"/>
      <c r="D57" s="67"/>
      <c r="E57" s="67"/>
      <c r="F57" s="67"/>
      <c r="G57" s="67"/>
      <c r="H57" s="71"/>
    </row>
    <row r="58" customFormat="false" ht="13.8" hidden="false" customHeight="false" outlineLevel="0" collapsed="false">
      <c r="C58" s="71" t="s">
        <v>43</v>
      </c>
      <c r="D58" s="72" t="s">
        <v>62</v>
      </c>
      <c r="E58" s="71" t="s">
        <v>46</v>
      </c>
      <c r="F58" s="94" t="s">
        <v>38</v>
      </c>
      <c r="G58" s="71"/>
      <c r="H58" s="71"/>
    </row>
    <row r="59" customFormat="false" ht="13.8" hidden="false" customHeight="false" outlineLevel="0" collapsed="false">
      <c r="A59" s="134" t="n">
        <v>109</v>
      </c>
      <c r="B59" s="135" t="s">
        <v>47</v>
      </c>
      <c r="C59" s="136" t="s">
        <v>22</v>
      </c>
      <c r="D59" s="137"/>
      <c r="E59" s="138"/>
      <c r="F59" s="139" t="n">
        <f aca="false">IFERROR(INDEX($B$3:$G$14,MATCH(C59,$A$3:$A$14,0),MATCH($A$57,$B$2:$G$2,0)),0)</f>
        <v>0</v>
      </c>
      <c r="G59" s="80" t="str">
        <f aca="false">IF(F59=E59,"Bien",F59-E59)</f>
        <v>Bien</v>
      </c>
      <c r="H59" s="71"/>
    </row>
    <row r="60" customFormat="false" ht="14.9" hidden="false" customHeight="false" outlineLevel="0" collapsed="false">
      <c r="A60" s="140" t="n">
        <v>320</v>
      </c>
      <c r="B60" s="84" t="s">
        <v>50</v>
      </c>
      <c r="C60" s="71" t="s">
        <v>24</v>
      </c>
      <c r="D60" s="121" t="n">
        <v>8</v>
      </c>
      <c r="E60" s="126" t="n">
        <v>13860</v>
      </c>
      <c r="F60" s="123" t="n">
        <f aca="false">IFERROR(INDEX($B$3:$G$14,MATCH(C60,$A$3:$A$14,0),MATCH($A$57,$B$2:$G$2,0)),0)</f>
        <v>13860</v>
      </c>
      <c r="G60" s="82" t="str">
        <f aca="false">IF(F60=E60,"Bien",F60-E60)</f>
        <v>Bien</v>
      </c>
      <c r="H60" s="71"/>
    </row>
    <row r="61" customFormat="false" ht="14.9" hidden="false" customHeight="false" outlineLevel="0" collapsed="false">
      <c r="A61" s="140" t="n">
        <v>321</v>
      </c>
      <c r="B61" s="84" t="s">
        <v>52</v>
      </c>
      <c r="C61" s="71" t="s">
        <v>15</v>
      </c>
      <c r="D61" s="121"/>
      <c r="E61" s="126"/>
      <c r="F61" s="81" t="n">
        <f aca="false">IFERROR(INDEX($B$3:$G$14,MATCH(C61,$A$3:$A$14,0),MATCH($A$57,$B$2:$G$2,0)),0)</f>
        <v>0</v>
      </c>
      <c r="G61" s="82" t="str">
        <f aca="false">IF(F61=E61,"Bien",F61-E61)</f>
        <v>Bien</v>
      </c>
      <c r="H61" s="71"/>
    </row>
    <row r="62" customFormat="false" ht="13.8" hidden="false" customHeight="false" outlineLevel="0" collapsed="false">
      <c r="A62" s="141" t="n">
        <v>296</v>
      </c>
      <c r="B62" s="45" t="s">
        <v>59</v>
      </c>
      <c r="C62" s="71" t="s">
        <v>18</v>
      </c>
      <c r="D62" s="121"/>
      <c r="E62" s="126"/>
      <c r="F62" s="81" t="n">
        <f aca="false">IFERROR(INDEX($B$3:$G$14,MATCH(C62,$A$3:$A$14,0),MATCH($A$57,$B$2:$G$2,0)),0)</f>
        <v>0</v>
      </c>
      <c r="G62" s="82" t="str">
        <f aca="false">IF(F62=E62,"Bien",F62-E62)</f>
        <v>Bien</v>
      </c>
      <c r="H62" s="71"/>
    </row>
    <row r="63" customFormat="false" ht="14.9" hidden="false" customHeight="false" outlineLevel="0" collapsed="false">
      <c r="A63" s="142"/>
      <c r="B63" s="143"/>
      <c r="C63" s="144" t="s">
        <v>63</v>
      </c>
      <c r="D63" s="145"/>
      <c r="E63" s="146"/>
      <c r="F63" s="147" t="n">
        <f aca="false">IFERROR(INDEX($B$3:$G$14,MATCH(C63,$A$3:$A$14,0),MATCH($A$57,$B$2:$G$2,0)),0)</f>
        <v>0</v>
      </c>
      <c r="G63" s="93" t="str">
        <f aca="false">IF(F63=E63,"Bien",F63-E63)</f>
        <v>Bien</v>
      </c>
      <c r="H63" s="71"/>
    </row>
    <row r="64" customFormat="false" ht="13.8" hidden="false" customHeight="false" outlineLevel="0" collapsed="false">
      <c r="C64" s="71"/>
      <c r="D64" s="121"/>
      <c r="E64" s="95" t="n">
        <f aca="false">SUM(E59:E63)</f>
        <v>13860</v>
      </c>
      <c r="F64" s="95" t="n">
        <f aca="false">SUM(F59:F63)</f>
        <v>13860</v>
      </c>
      <c r="G64" s="71"/>
      <c r="H64" s="71"/>
      <c r="I64" s="96" t="str">
        <f aca="false">+IF(F64=E15,"OK","Revisar")</f>
        <v>OK</v>
      </c>
    </row>
    <row r="65" customFormat="false" ht="13.8" hidden="false" customHeight="false" outlineLevel="0" collapsed="false">
      <c r="A65" s="67" t="s">
        <v>26</v>
      </c>
      <c r="B65" s="67"/>
      <c r="C65" s="67"/>
      <c r="D65" s="67"/>
      <c r="E65" s="67"/>
      <c r="F65" s="67"/>
      <c r="G65" s="67"/>
      <c r="H65" s="71"/>
    </row>
    <row r="66" customFormat="false" ht="13.8" hidden="false" customHeight="false" outlineLevel="0" collapsed="false">
      <c r="C66" s="71" t="s">
        <v>43</v>
      </c>
      <c r="D66" s="72" t="s">
        <v>62</v>
      </c>
      <c r="E66" s="71" t="s">
        <v>46</v>
      </c>
      <c r="F66" s="94" t="s">
        <v>38</v>
      </c>
      <c r="G66" s="71"/>
      <c r="H66" s="71"/>
    </row>
    <row r="67" customFormat="false" ht="13.8" hidden="false" customHeight="false" outlineLevel="0" collapsed="false">
      <c r="A67" s="134" t="n">
        <v>109</v>
      </c>
      <c r="B67" s="135" t="s">
        <v>47</v>
      </c>
      <c r="C67" s="136" t="s">
        <v>22</v>
      </c>
      <c r="D67" s="148"/>
      <c r="E67" s="138"/>
      <c r="F67" s="139" t="n">
        <f aca="false">IFERROR(INDEX($B$3:$G$14,MATCH(C67,$A$3:$A$14,0),MATCH($A$65,$B$2:$G$2,0)),0)</f>
        <v>0</v>
      </c>
      <c r="G67" s="80" t="str">
        <f aca="false">IF(F67=E67,"Bien",F67-E67)</f>
        <v>Bien</v>
      </c>
      <c r="H67" s="71"/>
    </row>
    <row r="68" customFormat="false" ht="13.8" hidden="false" customHeight="false" outlineLevel="0" collapsed="false">
      <c r="A68" s="141" t="n">
        <v>333</v>
      </c>
      <c r="B68" s="71" t="s">
        <v>48</v>
      </c>
      <c r="C68" s="71" t="s">
        <v>17</v>
      </c>
      <c r="D68" s="121" t="n">
        <v>6</v>
      </c>
      <c r="E68" s="122" t="n">
        <v>3560</v>
      </c>
      <c r="F68" s="81" t="n">
        <f aca="false">IFERROR(INDEX($B$3:$G$14,MATCH(C68,$A$3:$A$14,0),MATCH($A$65,$B$2:$G$2,0)),0)</f>
        <v>3560</v>
      </c>
      <c r="G68" s="82" t="str">
        <f aca="false">IF(F68=E68,"Bien",F68-E68)</f>
        <v>Bien</v>
      </c>
      <c r="H68" s="71"/>
    </row>
    <row r="69" customFormat="false" ht="14.9" hidden="false" customHeight="false" outlineLevel="0" collapsed="false">
      <c r="A69" s="149"/>
      <c r="B69" s="45" t="s">
        <v>64</v>
      </c>
      <c r="C69" s="84" t="s">
        <v>65</v>
      </c>
      <c r="D69" s="126"/>
      <c r="E69" s="126"/>
      <c r="F69" s="81" t="n">
        <f aca="false">IFERROR(INDEX($B$3:$G$14,MATCH(C69,$A$3:$A$14,0),MATCH($A$65,$B$2:$G$2,0)),0)</f>
        <v>0</v>
      </c>
      <c r="G69" s="82" t="str">
        <f aca="false">IF(F69=E69,"Bien",F69-E69)</f>
        <v>Bien</v>
      </c>
      <c r="H69" s="71"/>
    </row>
    <row r="70" customFormat="false" ht="13.8" hidden="false" customHeight="false" outlineLevel="0" collapsed="false">
      <c r="A70" s="141" t="n">
        <v>316</v>
      </c>
      <c r="B70" s="45" t="s">
        <v>53</v>
      </c>
      <c r="C70" s="71" t="s">
        <v>21</v>
      </c>
      <c r="D70" s="126"/>
      <c r="E70" s="126"/>
      <c r="F70" s="81" t="n">
        <f aca="false">IFERROR(INDEX($B$3:$G$14,MATCH(C70,$A$3:$A$14,0),MATCH($A$65,$B$2:$G$2,0)),0)</f>
        <v>0</v>
      </c>
      <c r="G70" s="82" t="str">
        <f aca="false">IF(F70=E70,"Bien",F70-E70)</f>
        <v>Bien</v>
      </c>
      <c r="H70" s="71"/>
    </row>
    <row r="71" customFormat="false" ht="13.8" hidden="false" customHeight="false" outlineLevel="0" collapsed="false">
      <c r="A71" s="141" t="n">
        <v>309</v>
      </c>
      <c r="B71" s="45" t="s">
        <v>56</v>
      </c>
      <c r="C71" s="71" t="s">
        <v>20</v>
      </c>
      <c r="D71" s="121"/>
      <c r="E71" s="122"/>
      <c r="F71" s="81" t="n">
        <f aca="false">IFERROR(INDEX($B$3:$G$14,MATCH(C71,$A$3:$A$14,0),MATCH($A$65,$B$2:$G$2,0)),0)</f>
        <v>0</v>
      </c>
      <c r="G71" s="82" t="str">
        <f aca="false">IF(F71=E71,"Bien",F71-E71)</f>
        <v>Bien</v>
      </c>
      <c r="H71" s="71"/>
    </row>
    <row r="72" customFormat="false" ht="13.8" hidden="false" customHeight="false" outlineLevel="0" collapsed="false">
      <c r="A72" s="150" t="n">
        <v>296</v>
      </c>
      <c r="B72" s="143" t="s">
        <v>59</v>
      </c>
      <c r="C72" s="143" t="s">
        <v>18</v>
      </c>
      <c r="D72" s="145"/>
      <c r="E72" s="151"/>
      <c r="F72" s="147" t="n">
        <f aca="false">IFERROR(INDEX($B$3:$G$14,MATCH(C72,$A$3:$A$14,0),MATCH($A$65,$B$2:$G$2,0)),0)</f>
        <v>0</v>
      </c>
      <c r="G72" s="93" t="str">
        <f aca="false">IF(F72=E72,"Bien",F72-E72)</f>
        <v>Bien</v>
      </c>
      <c r="H72" s="71"/>
    </row>
    <row r="73" customFormat="false" ht="13.8" hidden="false" customHeight="false" outlineLevel="0" collapsed="false">
      <c r="C73" s="71"/>
      <c r="D73" s="121"/>
      <c r="E73" s="95" t="n">
        <f aca="false">SUM(E67:E72)</f>
        <v>3560</v>
      </c>
      <c r="F73" s="95" t="n">
        <f aca="false">SUM(F67:F72)</f>
        <v>3560</v>
      </c>
      <c r="G73" s="71"/>
      <c r="H73" s="71"/>
      <c r="I73" s="96" t="str">
        <f aca="false">+IF(F73=C15,"OK","Revisar")</f>
        <v>OK</v>
      </c>
    </row>
    <row r="74" customFormat="false" ht="13.8" hidden="false" customHeight="false" outlineLevel="0" collapsed="false">
      <c r="A74" s="67" t="s">
        <v>33</v>
      </c>
      <c r="B74" s="67"/>
      <c r="C74" s="67"/>
      <c r="D74" s="67"/>
      <c r="E74" s="67"/>
      <c r="F74" s="67"/>
      <c r="G74" s="67"/>
      <c r="H74" s="71"/>
    </row>
    <row r="75" customFormat="false" ht="13.8" hidden="false" customHeight="false" outlineLevel="0" collapsed="false">
      <c r="C75" s="71" t="s">
        <v>43</v>
      </c>
      <c r="D75" s="72" t="s">
        <v>62</v>
      </c>
      <c r="E75" s="71" t="s">
        <v>46</v>
      </c>
      <c r="F75" s="94" t="s">
        <v>38</v>
      </c>
      <c r="G75" s="71"/>
      <c r="H75" s="71"/>
    </row>
    <row r="76" customFormat="false" ht="13.8" hidden="false" customHeight="false" outlineLevel="0" collapsed="false">
      <c r="A76" s="134" t="n">
        <v>109</v>
      </c>
      <c r="B76" s="135" t="s">
        <v>47</v>
      </c>
      <c r="C76" s="136" t="s">
        <v>22</v>
      </c>
      <c r="D76" s="137" t="n">
        <v>6</v>
      </c>
      <c r="E76" s="138" t="n">
        <v>58080</v>
      </c>
      <c r="F76" s="139" t="n">
        <f aca="false">IFERROR(INDEX($B$3:$G$14,MATCH(C76,$A$3:$A$14,0),MATCH($A$74,$B$2:$G$2,0)),0)</f>
        <v>58080</v>
      </c>
      <c r="G76" s="80" t="str">
        <f aca="false">IF(F76=E76,"Bien",F76-E76)</f>
        <v>Bien</v>
      </c>
      <c r="H76" s="71"/>
    </row>
    <row r="77" customFormat="false" ht="13.8" hidden="false" customHeight="false" outlineLevel="0" collapsed="false">
      <c r="A77" s="141" t="n">
        <v>309</v>
      </c>
      <c r="B77" s="45" t="s">
        <v>56</v>
      </c>
      <c r="C77" s="71" t="s">
        <v>20</v>
      </c>
      <c r="D77" s="121"/>
      <c r="E77" s="126"/>
      <c r="F77" s="81" t="n">
        <f aca="false">IFERROR(INDEX($B$3:$G$14,MATCH(C77,$A$3:$A$14,0),MATCH($A$74,$B$2:$G$2,0)),0)</f>
        <v>0</v>
      </c>
      <c r="G77" s="82" t="str">
        <f aca="false">IF(F77=E77,"Bien",F77-E77)</f>
        <v>Bien</v>
      </c>
      <c r="H77" s="71"/>
    </row>
    <row r="78" customFormat="false" ht="13.8" hidden="false" customHeight="false" outlineLevel="0" collapsed="false">
      <c r="A78" s="150" t="n">
        <v>296</v>
      </c>
      <c r="B78" s="143" t="s">
        <v>59</v>
      </c>
      <c r="C78" s="143" t="s">
        <v>18</v>
      </c>
      <c r="D78" s="145"/>
      <c r="E78" s="146"/>
      <c r="F78" s="147" t="n">
        <f aca="false">IFERROR(INDEX($B$3:$G$14,MATCH(C78,$A$3:$A$14,0),MATCH($A$74,$B$2:$G$2,0)),0)</f>
        <v>0</v>
      </c>
      <c r="G78" s="93" t="str">
        <f aca="false">IF(F78=E78,"Bien",F78-E78)</f>
        <v>Bien</v>
      </c>
      <c r="H78" s="71"/>
    </row>
    <row r="79" customFormat="false" ht="13.8" hidden="false" customHeight="false" outlineLevel="0" collapsed="false">
      <c r="C79" s="71"/>
      <c r="D79" s="121"/>
      <c r="E79" s="95" t="n">
        <f aca="false">SUM(E76:E78)</f>
        <v>58080</v>
      </c>
      <c r="F79" s="95" t="n">
        <f aca="false">SUM(F76:F78)</f>
        <v>58080</v>
      </c>
      <c r="G79" s="71"/>
      <c r="H79" s="71"/>
      <c r="I79" s="96" t="str">
        <f aca="false">+IF(F79=B15,"OK","Revisar")</f>
        <v>OK</v>
      </c>
    </row>
  </sheetData>
  <mergeCells count="7">
    <mergeCell ref="A19:C19"/>
    <mergeCell ref="A22:H22"/>
    <mergeCell ref="A36:H36"/>
    <mergeCell ref="A48:H48"/>
    <mergeCell ref="A57:G57"/>
    <mergeCell ref="A65:G65"/>
    <mergeCell ref="A74:G74"/>
  </mergeCells>
  <conditionalFormatting sqref="H24:H34">
    <cfRule type="cellIs" priority="2" operator="notEqual" aboveAverage="0" equalAverage="0" bottom="0" percent="0" rank="0" text="" dxfId="7">
      <formula>""bien""</formula>
    </cfRule>
  </conditionalFormatting>
  <conditionalFormatting sqref="H38">
    <cfRule type="cellIs" priority="3" operator="notEqual" aboveAverage="0" equalAverage="0" bottom="0" percent="0" rank="0" text="" dxfId="8">
      <formula>""bien""</formula>
    </cfRule>
  </conditionalFormatting>
  <conditionalFormatting sqref="H39:H45">
    <cfRule type="cellIs" priority="4" operator="notEqual" aboveAverage="0" equalAverage="0" bottom="0" percent="0" rank="0" text="" dxfId="9">
      <formula>""bien""</formula>
    </cfRule>
  </conditionalFormatting>
  <conditionalFormatting sqref="G50">
    <cfRule type="cellIs" priority="5" operator="notEqual" aboveAverage="0" equalAverage="0" bottom="0" percent="0" rank="0" text="" dxfId="10">
      <formula>""bien""</formula>
    </cfRule>
  </conditionalFormatting>
  <conditionalFormatting sqref="G51:G55">
    <cfRule type="cellIs" priority="6" operator="notEqual" aboveAverage="0" equalAverage="0" bottom="0" percent="0" rank="0" text="" dxfId="11">
      <formula>""bien""</formula>
    </cfRule>
  </conditionalFormatting>
  <conditionalFormatting sqref="G59">
    <cfRule type="cellIs" priority="7" operator="notEqual" aboveAverage="0" equalAverage="0" bottom="0" percent="0" rank="0" text="" dxfId="12">
      <formula>""bien""</formula>
    </cfRule>
  </conditionalFormatting>
  <conditionalFormatting sqref="G60:G63">
    <cfRule type="cellIs" priority="8" operator="notEqual" aboveAverage="0" equalAverage="0" bottom="0" percent="0" rank="0" text="" dxfId="13">
      <formula>""bien""</formula>
    </cfRule>
  </conditionalFormatting>
  <conditionalFormatting sqref="G67">
    <cfRule type="cellIs" priority="9" operator="notEqual" aboveAverage="0" equalAverage="0" bottom="0" percent="0" rank="0" text="" dxfId="14">
      <formula>""bien""</formula>
    </cfRule>
  </conditionalFormatting>
  <conditionalFormatting sqref="G68:G72">
    <cfRule type="cellIs" priority="10" operator="notEqual" aboveAverage="0" equalAverage="0" bottom="0" percent="0" rank="0" text="" dxfId="15">
      <formula>""bien""</formula>
    </cfRule>
  </conditionalFormatting>
  <conditionalFormatting sqref="G76">
    <cfRule type="cellIs" priority="11" operator="notEqual" aboveAverage="0" equalAverage="0" bottom="0" percent="0" rank="0" text="" dxfId="16">
      <formula>""bien""</formula>
    </cfRule>
  </conditionalFormatting>
  <conditionalFormatting sqref="G77:G78">
    <cfRule type="cellIs" priority="12" operator="notEqual" aboveAverage="0" equalAverage="0" bottom="0" percent="0" rank="0" text="" dxfId="17">
      <formula>""bien""</formula>
    </cfRule>
  </conditionalFormatting>
  <conditionalFormatting sqref="B16:G16">
    <cfRule type="cellIs" priority="13" operator="notEqual" aboveAverage="0" equalAverage="0" bottom="0" percent="0" rank="0" text="" dxfId="18">
      <formula>#ref!</formula>
    </cfRule>
  </conditionalFormatting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Roman,Normal"&amp;12&amp;Kffffff&amp;A</oddHeader>
    <oddFooter>&amp;C&amp;"Times New Roman,Normal"&amp;12&amp;KffffffPágina &amp;P</oddFooter>
  </headerFooter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_rels/item2.xml.rels><?xml version="1.0" encoding="UTF-8"?>
<Relationships xmlns="http://schemas.openxmlformats.org/package/2006/relationships"><Relationship Id="rId1" Type="http://schemas.openxmlformats.org/officeDocument/2006/relationships/customXmlProps" Target="itemProps2.xml"/>
</Relationships>
</file>

<file path=customXml/_rels/item3.xml.rels><?xml version="1.0" encoding="UTF-8"?>
<Relationships xmlns="http://schemas.openxmlformats.org/package/2006/relationships"><Relationship Id="rId1" Type="http://schemas.openxmlformats.org/officeDocument/2006/relationships/customXmlProps" Target="itemProps3.xml"/>
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ListForm</Display>
  <Edit>ListForm</Edit>
  <New>ListForm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Carpeta" ma:contentTypeID="0x012000D96F098ED5E78F49B4E623047188DB6F" ma:contentTypeVersion="0" ma:contentTypeDescription="Crear nueva carpeta." ma:contentTypeScope="" ma:versionID="e9eb27d8e2cb7f102e8d4388d8cfd20f">
  <xsd:schema xmlns:xsd="http://www.w3.org/2001/XMLSchema" xmlns:xs="http://www.w3.org/2001/XMLSchema" xmlns:p="http://schemas.microsoft.com/office/2006/metadata/properties" xmlns:ns1="http://schemas.microsoft.com/sharepoint/v3" targetNamespace="http://schemas.microsoft.com/office/2006/metadata/properties" ma:root="true" ma:fieldsID="f8145ba8b14c3a68460a880463bfe250" ns1:_="">
    <xsd:import namespace="http://schemas.microsoft.com/sharepoint/v3"/>
    <xsd:element name="properties">
      <xsd:complexType>
        <xsd:sequence>
          <xsd:element name="documentManagement">
            <xsd:complexType>
              <xsd:all>
                <xsd:element ref="ns1:ItemChildCount" minOccurs="0"/>
                <xsd:element ref="ns1:FolderChildCount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ItemChildCount" ma:index="3" nillable="true" ma:displayName="Número secundario de elemento" ma:hidden="true" ma:list="Docs" ma:internalName="ItemChildCount" ma:readOnly="true" ma:showField="ItemChildCount">
      <xsd:simpleType>
        <xsd:restriction base="dms:Lookup"/>
      </xsd:simpleType>
    </xsd:element>
    <xsd:element name="FolderChildCount" ma:index="4" nillable="true" ma:displayName="Recuento secundario de carpetas" ma:hidden="true" ma:list="Docs" ma:internalName="FolderChildCount" ma:readOnly="true" ma:showField="FolderChildCount">
      <xsd:simpleType>
        <xsd:restriction base="dms:Lookup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8018CCC-C92C-4FAF-8FE3-02C914D1543B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4229B892-254E-4764-8227-B043DA5DF8A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E7C94FA-9D6C-4221-9373-245FD34C9AB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25</TotalTime>
  <Application>LibreOffice/7.2.7.2$Windows_X86_64 LibreOffice_project/8d71d29d553c0f7dcbfa38fbfda25ee34cce99a2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2022-10-04T09:02:31Z</dcterms:created>
  <dc:creator>Administrador</dc:creator>
  <dc:description/>
  <dc:language>es-ES</dc:language>
  <cp:lastModifiedBy/>
  <dcterms:modified xsi:type="dcterms:W3CDTF">2022-10-07T11:57:22Z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0x012000D96F098ED5E78F49B4E623047188DB6F</vt:lpwstr>
  </property>
</Properties>
</file>