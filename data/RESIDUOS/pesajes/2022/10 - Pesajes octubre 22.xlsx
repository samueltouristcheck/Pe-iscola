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<sst xmlns="http://schemas.openxmlformats.org/spreadsheetml/2006/main" count="796" uniqueCount="67">
  <si>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</si>
  <si>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</si>
  <si>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</si>
  <si>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</si>
  <si>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</si>
  <si>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</si>
  <si>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</si>
  <si>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</si>
  <si>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</si>
  <si>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6120JZX</t>
  </si>
  <si>
    <t xml:space="preserve">PEÑISCOLA </t>
  </si>
  <si>
    <t xml:space="preserve">RSU</t>
  </si>
  <si>
    <t xml:space="preserve">1076KSZ</t>
  </si>
  <si>
    <t xml:space="preserve">1821KBZ</t>
  </si>
  <si>
    <t xml:space="preserve">7542KBV</t>
  </si>
  <si>
    <t xml:space="preserve">5313GBZ</t>
  </si>
  <si>
    <t xml:space="preserve">3686KBG</t>
  </si>
  <si>
    <t xml:space="preserve">7809JXZ</t>
  </si>
  <si>
    <t xml:space="preserve">1730KBZ</t>
  </si>
  <si>
    <t xml:space="preserve">SEL.ENV</t>
  </si>
  <si>
    <t xml:space="preserve">SEL.PAP</t>
  </si>
  <si>
    <t xml:space="preserve">7957JZS</t>
  </si>
  <si>
    <t xml:space="preserve">VOL</t>
  </si>
  <si>
    <t xml:space="preserve">PODA</t>
  </si>
  <si>
    <t xml:space="preserve">5622FTZ</t>
  </si>
  <si>
    <t xml:space="preserve">8500BYJ</t>
  </si>
  <si>
    <t xml:space="preserve">2828CZW</t>
  </si>
  <si>
    <t xml:space="preserve">0257LYP</t>
  </si>
  <si>
    <t xml:space="preserve">0315BGK</t>
  </si>
  <si>
    <t xml:space="preserve">SN</t>
  </si>
  <si>
    <t xml:space="preserve">- todo -</t>
  </si>
  <si>
    <t xml:space="preserve">Suma - Carga</t>
  </si>
  <si>
    <t xml:space="preserve">Datos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</si>
  <si>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</si>
  <si>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</si>
  <si>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</si>
  <si>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</si>
  <si>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</si>
  <si>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</si>
  <si>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</si>
  <si>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</si>
  <si>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</si>
  <si>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</si>
  <si>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</si>
  <si>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</si>
  <si>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</si>
  <si>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</si>
  <si>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</si>
  <si>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</si>
  <si>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</si>
  <si>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</si>
  <si>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</si>
  <si>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</si>
  <si>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</si>
  <si>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</si>
  <si>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</si>
  <si>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</si>
  <si>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</si>
  <si>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</si>
  <si>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</si>
  <si>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</si>
  <si>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</si>
  <si>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</si>
  <si>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</si>
  <si>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Sustituye a 109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</si>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</sst>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5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000000"/>
      <name val="Frutiger 45 Light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7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8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7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7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7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8" fillId="0" borderId="2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2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2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3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9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3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3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3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3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3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3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0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5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3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3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4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8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3" borderId="3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5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10" fillId="0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3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4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4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4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8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8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32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8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4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3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3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10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2"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9" createdVersion="3">
  <cacheSource type="worksheet">
    <worksheetSource ref="A1:I200" sheet="Hoja1"/>
  </cacheSource>
  <cacheFields count="9">
    <cacheField name="Fecha" numFmtId="0">
      <sharedItems containsSemiMixedTypes="0" containsNonDate="0" containsDate="1" containsString="0" minDate="2022-10-01T00:00:00" maxDate="2022-10-31T00:00:00" count="31"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</sharedItems>
    </cacheField>
    <cacheField name="Fecha / hora" numFmtId="0">
      <sharedItems containsSemiMixedTypes="0" containsString="0" containsNumber="1" minValue="0.0694444444444444" maxValue="0.676388888888889" count="160">
        <n v="0.0694444444444444"/>
        <n v="0.0791666666666667"/>
        <n v="0.0972222222222222"/>
        <n v="0.0979166666666667"/>
        <n v="0.100694444444444"/>
        <n v="0.105555555555556"/>
        <n v="0.111805555555556"/>
        <n v="0.113194444444444"/>
        <n v="0.115972222222222"/>
        <n v="0.116666666666667"/>
        <n v="0.117361111111111"/>
        <n v="0.119444444444444"/>
        <n v="0.122222222222222"/>
        <n v="0.124305555555556"/>
        <n v="0.125"/>
        <n v="0.127777777777778"/>
        <n v="0.128472222222222"/>
        <n v="0.130555555555556"/>
        <n v="0.13125"/>
        <n v="0.135416666666667"/>
        <n v="0.136111111111111"/>
        <n v="0.140972222222222"/>
        <n v="0.148611111111111"/>
        <n v="0.149305555555556"/>
        <n v="0.15"/>
        <n v="0.152777777777778"/>
        <n v="0.153472222222222"/>
        <n v="0.155555555555556"/>
        <n v="0.15625"/>
        <n v="0.157638888888889"/>
        <n v="0.160416666666667"/>
        <n v="0.161111111111111"/>
        <n v="0.170833333333333"/>
        <n v="0.171527777777778"/>
        <n v="0.173611111111111"/>
        <n v="0.177083333333333"/>
        <n v="0.179166666666667"/>
        <n v="0.18125"/>
        <n v="0.181944444444444"/>
        <n v="0.183333333333333"/>
        <n v="0.193055555555556"/>
        <n v="0.195833333333333"/>
        <n v="0.198611111111111"/>
        <n v="0.201388888888889"/>
        <n v="0.202777777777778"/>
        <n v="0.204861111111111"/>
        <n v="0.209722222222222"/>
        <n v="0.211111111111111"/>
        <n v="0.211805555555556"/>
        <n v="0.213194444444444"/>
        <n v="0.213888888888889"/>
        <n v="0.215972222222222"/>
        <n v="0.218055555555556"/>
        <n v="0.21875"/>
        <n v="0.222916666666667"/>
        <n v="0.224305555555556"/>
        <n v="0.227083333333333"/>
        <n v="0.229166666666667"/>
        <n v="0.230555555555556"/>
        <n v="0.231944444444444"/>
        <n v="0.234027777777778"/>
        <n v="0.234722222222222"/>
        <n v="0.236111111111111"/>
        <n v="0.2375"/>
        <n v="0.238194444444444"/>
        <n v="0.238888888888889"/>
        <n v="0.242361111111111"/>
        <n v="0.244444444444444"/>
        <n v="0.245138888888889"/>
        <n v="0.245833333333333"/>
        <n v="0.247222222222222"/>
        <n v="0.247916666666667"/>
        <n v="0.25"/>
        <n v="0.251388888888889"/>
        <n v="0.252083333333333"/>
        <n v="0.252777777777778"/>
        <n v="0.253472222222222"/>
        <n v="0.254166666666667"/>
        <n v="0.254861111111111"/>
        <n v="0.255555555555556"/>
        <n v="0.25625"/>
        <n v="0.256944444444444"/>
        <n v="0.257638888888889"/>
        <n v="0.258333333333333"/>
        <n v="0.259027777777778"/>
        <n v="0.259722222222222"/>
        <n v="0.260416666666667"/>
        <n v="0.261805555555556"/>
        <n v="0.264583333333333"/>
        <n v="0.272916666666667"/>
        <n v="0.289583333333333"/>
        <n v="0.290277777777778"/>
        <n v="0.306944444444444"/>
        <n v="0.315277777777778"/>
        <n v="0.321527777777778"/>
        <n v="0.323611111111111"/>
        <n v="0.332638888888889"/>
        <n v="0.338194444444444"/>
        <n v="0.343055555555555"/>
        <n v="0.34375"/>
        <n v="0.352083333333333"/>
        <n v="0.354166666666667"/>
        <n v="0.359027777777778"/>
        <n v="0.359722222222222"/>
        <n v="0.360416666666667"/>
        <n v="0.365972222222222"/>
        <n v="0.427777777777778"/>
        <n v="0.43125"/>
        <n v="0.431944444444444"/>
        <n v="0.433333333333333"/>
        <n v="0.434027777777778"/>
        <n v="0.4375"/>
        <n v="0.440972222222222"/>
        <n v="0.441666666666667"/>
        <n v="0.447222222222222"/>
        <n v="0.448611111111111"/>
        <n v="0.453472222222222"/>
        <n v="0.457638888888889"/>
        <n v="0.458333333333333"/>
        <n v="0.461805555555556"/>
        <n v="0.4625"/>
        <n v="0.466666666666667"/>
        <n v="0.467361111111111"/>
        <n v="0.479861111111111"/>
        <n v="0.491666666666667"/>
        <n v="0.498611111111111"/>
        <n v="0.499305555555555"/>
        <n v="0.5"/>
        <n v="0.500694444444444"/>
        <n v="0.502777777777778"/>
        <n v="0.503472222222222"/>
        <n v="0.50625"/>
        <n v="0.506944444444444"/>
        <n v="0.507638888888889"/>
        <n v="0.508333333333333"/>
        <n v="0.509722222222222"/>
        <n v="0.511111111111111"/>
        <n v="0.511805555555555"/>
        <n v="0.5125"/>
        <n v="0.513194444444444"/>
        <n v="0.513888888888889"/>
        <n v="0.515277777777778"/>
        <n v="0.515972222222222"/>
        <n v="0.516666666666667"/>
        <n v="0.520138888888889"/>
        <n v="0.520833333333333"/>
        <n v="0.523611111111111"/>
        <n v="0.525694444444444"/>
        <n v="0.527083333333333"/>
        <n v="0.527777777777778"/>
        <n v="0.529861111111111"/>
        <n v="0.530555555555556"/>
        <n v="0.53125"/>
        <n v="0.545833333333333"/>
        <n v="0.546527777777778"/>
        <n v="0.548611111111111"/>
        <n v="0.55625"/>
        <n v="0.559722222222222"/>
        <n v="0.650694444444444"/>
        <n v="0.676388888888889"/>
      </sharedItems>
    </cacheField>
    <cacheField name="Ticket" numFmtId="0">
      <sharedItems containsMixedTypes="1" containsNumber="1" containsInteger="1" minValue="3556" maxValue="146507" count="199">
        <n v="3556"/>
        <n v="3575"/>
        <n v="3591"/>
        <n v="3606"/>
        <n v="13023"/>
        <n v="13028"/>
        <n v="13029"/>
        <n v="13030"/>
        <n v="13037"/>
        <n v="13051"/>
        <n v="13064"/>
        <n v="13065"/>
        <n v="13069"/>
        <n v="13071"/>
        <n v="13072"/>
        <n v="13074"/>
        <n v="13081"/>
        <n v="13087"/>
        <n v="13088"/>
        <n v="13114"/>
        <n v="13116"/>
        <n v="13122"/>
        <n v="13128"/>
        <n v="13139"/>
        <n v="13144"/>
        <n v="13153"/>
        <n v="13157"/>
        <n v="13158"/>
        <n v="13176"/>
        <n v="13182"/>
        <n v="13198"/>
        <n v="13201"/>
        <n v="13208"/>
        <n v="13209"/>
        <n v="13216"/>
        <n v="13234"/>
        <n v="13236"/>
        <n v="13248"/>
        <n v="13252"/>
        <n v="13254"/>
        <n v="13260"/>
        <n v="13264"/>
        <n v="13269"/>
        <n v="13272"/>
        <n v="13274"/>
        <n v="13288"/>
        <n v="13305"/>
        <n v="13311"/>
        <n v="13314"/>
        <n v="13317"/>
        <n v="13327"/>
        <n v="13333"/>
        <n v="13344"/>
        <n v="13348"/>
        <n v="13350"/>
        <n v="13356"/>
        <n v="13360"/>
        <n v="13361"/>
        <n v="13363"/>
        <n v="13365"/>
        <n v="13372"/>
        <n v="13376"/>
        <n v="13379"/>
        <n v="13380"/>
        <n v="13381"/>
        <n v="13383"/>
        <n v="13386"/>
        <n v="13391"/>
        <n v="13392"/>
        <n v="13400"/>
        <n v="13402"/>
        <n v="13419"/>
        <n v="13427"/>
        <n v="13447"/>
        <n v="13450"/>
        <n v="13452"/>
        <n v="13456"/>
        <n v="13457"/>
        <n v="13477"/>
        <n v="13498"/>
        <n v="13501"/>
        <n v="13503"/>
        <n v="13509"/>
        <n v="13510"/>
        <n v="13515"/>
        <n v="13521"/>
        <n v="13525"/>
        <n v="13526"/>
        <n v="13548"/>
        <n v="13551"/>
        <n v="13568"/>
        <n v="13572"/>
        <n v="13576"/>
        <n v="13577"/>
        <n v="13586"/>
        <n v="13603"/>
        <n v="13604"/>
        <n v="13620"/>
        <n v="13628"/>
        <n v="13629"/>
        <n v="13637"/>
        <n v="13640"/>
        <n v="13647"/>
        <n v="13648"/>
        <n v="13654"/>
        <n v="13655"/>
        <n v="13656"/>
        <n v="13659"/>
        <n v="13660"/>
        <n v="13662"/>
        <n v="13666"/>
        <n v="13676"/>
        <n v="13678"/>
        <n v="13685"/>
        <n v="13701"/>
        <n v="13712"/>
        <n v="13727"/>
        <n v="13730"/>
        <n v="13731"/>
        <n v="13754"/>
        <n v="13772"/>
        <n v="13775"/>
        <n v="13777"/>
        <n v="13783"/>
        <n v="13785"/>
        <n v="13798"/>
        <n v="13801"/>
        <n v="13821"/>
        <n v="13826"/>
        <n v="13829"/>
        <n v="13844"/>
        <n v="13851"/>
        <n v="13853"/>
        <n v="13855"/>
        <n v="13856"/>
        <n v="13870"/>
        <n v="13873"/>
        <n v="13876"/>
        <n v="13877"/>
        <n v="13907"/>
        <n v="13913"/>
        <n v="13917"/>
        <n v="13918"/>
        <n v="13933"/>
        <n v="13937"/>
        <n v="13938"/>
        <n v="13941"/>
        <n v="13948"/>
        <n v="13953"/>
        <n v="13954"/>
        <n v="13962"/>
        <n v="13972"/>
        <n v="13987"/>
        <n v="13989"/>
        <n v="13992"/>
        <n v="13999"/>
        <n v="14003"/>
        <n v="14005"/>
        <n v="14023"/>
        <n v="14028"/>
        <n v="14029"/>
        <n v="14039"/>
        <n v="14045"/>
        <n v="14052"/>
        <n v="14053"/>
        <n v="14071"/>
        <n v="14072"/>
        <n v="14075"/>
        <n v="14080"/>
        <n v="14087"/>
        <n v="14091"/>
        <n v="14093"/>
        <n v="14094"/>
        <n v="14105"/>
        <n v="14108"/>
        <n v="14111"/>
        <n v="14112"/>
        <n v="14117"/>
        <n v="14123"/>
        <n v="14126"/>
        <n v="14136"/>
        <n v="14142"/>
        <n v="14145"/>
        <n v="14161"/>
        <n v="14162"/>
        <n v="14165"/>
        <n v="14173"/>
        <n v="14180"/>
        <n v="14181"/>
        <n v="14186"/>
        <n v="14188"/>
        <n v="14199"/>
        <n v="14201"/>
        <n v="145448"/>
        <n v="145821"/>
        <n v="146060"/>
        <n v="146468"/>
        <n v="146507"/>
        <s v="SN"/>
      </sharedItems>
    </cacheField>
    <cacheField name="Matrícula" numFmtId="0">
      <sharedItems count="14">
        <s v="0257LYP"/>
        <s v="0315BGK"/>
        <s v="1076KSZ"/>
        <s v="1730KBZ"/>
        <s v="1821KBZ"/>
        <s v="2828CZW"/>
        <s v="3686KBG"/>
        <s v="5313GBZ"/>
        <s v="5622FTZ"/>
        <s v="6120JZX"/>
        <s v="7542KBV"/>
        <s v="7809JXZ"/>
        <s v="7957JZS"/>
        <s v="8500BYJ"/>
      </sharedItems>
    </cacheField>
    <cacheField name="Peso total" numFmtId="0">
      <sharedItems containsSemiMixedTypes="0" containsString="0" containsNumber="1" containsInteger="1" minValue="2540" maxValue="29080" count="154">
        <n v="2540"/>
        <n v="2560"/>
        <n v="2580"/>
        <n v="2600"/>
        <n v="2620"/>
        <n v="2640"/>
        <n v="2660"/>
        <n v="2680"/>
        <n v="2700"/>
        <n v="2720"/>
        <n v="2740"/>
        <n v="3040"/>
        <n v="3060"/>
        <n v="3080"/>
        <n v="3140"/>
        <n v="3180"/>
        <n v="3220"/>
        <n v="3240"/>
        <n v="3280"/>
        <n v="3300"/>
        <n v="3320"/>
        <n v="3340"/>
        <n v="3360"/>
        <n v="3380"/>
        <n v="3440"/>
        <n v="3480"/>
        <n v="3600"/>
        <n v="3840"/>
        <n v="4240"/>
        <n v="4280"/>
        <n v="4320"/>
        <n v="4360"/>
        <n v="4400"/>
        <n v="4440"/>
        <n v="4480"/>
        <n v="4500"/>
        <n v="4520"/>
        <n v="4540"/>
        <n v="4640"/>
        <n v="4720"/>
        <n v="5100"/>
        <n v="6260"/>
        <n v="6300"/>
        <n v="6320"/>
        <n v="6440"/>
        <n v="6460"/>
        <n v="6500"/>
        <n v="6520"/>
        <n v="6540"/>
        <n v="6560"/>
        <n v="6660"/>
        <n v="6680"/>
        <n v="6800"/>
        <n v="7040"/>
        <n v="7160"/>
        <n v="8020"/>
        <n v="13480"/>
        <n v="13660"/>
        <n v="13780"/>
        <n v="14160"/>
        <n v="14540"/>
        <n v="14580"/>
        <n v="14640"/>
        <n v="14920"/>
        <n v="14980"/>
        <n v="15420"/>
        <n v="15480"/>
        <n v="15640"/>
        <n v="15920"/>
        <n v="15960"/>
        <n v="16040"/>
        <n v="16080"/>
        <n v="16120"/>
        <n v="16660"/>
        <n v="16920"/>
        <n v="17080"/>
        <n v="17100"/>
        <n v="17200"/>
        <n v="17300"/>
        <n v="17360"/>
        <n v="17480"/>
        <n v="17520"/>
        <n v="17560"/>
        <n v="17700"/>
        <n v="17760"/>
        <n v="17800"/>
        <n v="17940"/>
        <n v="18080"/>
        <n v="18140"/>
        <n v="18280"/>
        <n v="18300"/>
        <n v="18360"/>
        <n v="18640"/>
        <n v="18740"/>
        <n v="19020"/>
        <n v="20100"/>
        <n v="20120"/>
        <n v="20280"/>
        <n v="20520"/>
        <n v="20620"/>
        <n v="20740"/>
        <n v="20780"/>
        <n v="21080"/>
        <n v="21100"/>
        <n v="21160"/>
        <n v="21200"/>
        <n v="21280"/>
        <n v="21340"/>
        <n v="21400"/>
        <n v="21420"/>
        <n v="21440"/>
        <n v="21540"/>
        <n v="21660"/>
        <n v="21900"/>
        <n v="22100"/>
        <n v="22220"/>
        <n v="22260"/>
        <n v="22300"/>
        <n v="22460"/>
        <n v="22840"/>
        <n v="22980"/>
        <n v="23120"/>
        <n v="23560"/>
        <n v="23580"/>
        <n v="24140"/>
        <n v="24180"/>
        <n v="24440"/>
        <n v="25040"/>
        <n v="25280"/>
        <n v="25380"/>
        <n v="25420"/>
        <n v="25520"/>
        <n v="25700"/>
        <n v="25820"/>
        <n v="25920"/>
        <n v="26000"/>
        <n v="26020"/>
        <n v="26040"/>
        <n v="26060"/>
        <n v="26360"/>
        <n v="26460"/>
        <n v="26500"/>
        <n v="26560"/>
        <n v="26680"/>
        <n v="26800"/>
        <n v="26860"/>
        <n v="26960"/>
        <n v="27020"/>
        <n v="27140"/>
        <n v="27340"/>
        <n v="27540"/>
        <n v="27760"/>
        <n v="28200"/>
        <n v="29080"/>
      </sharedItems>
    </cacheField>
    <cacheField name="Tara" numFmtId="0">
      <sharedItems containsSemiMixedTypes="0" containsString="0" containsNumber="1" containsInteger="1" minValue="2320" maxValue="16780" count="77">
        <n v="2320"/>
        <n v="2380"/>
        <n v="2400"/>
        <n v="2420"/>
        <n v="2460"/>
        <n v="2600"/>
        <n v="2700"/>
        <n v="2720"/>
        <n v="2760"/>
        <n v="2780"/>
        <n v="2800"/>
        <n v="2820"/>
        <n v="2860"/>
        <n v="2880"/>
        <n v="2940"/>
        <n v="3620"/>
        <n v="3680"/>
        <n v="3700"/>
        <n v="3740"/>
        <n v="3760"/>
        <n v="3780"/>
        <n v="3800"/>
        <n v="5520"/>
        <n v="5540"/>
        <n v="5560"/>
        <n v="5580"/>
        <n v="5600"/>
        <n v="5620"/>
        <n v="5700"/>
        <n v="5740"/>
        <n v="12420"/>
        <n v="12440"/>
        <n v="12460"/>
        <n v="12480"/>
        <n v="12500"/>
        <n v="12520"/>
        <n v="12540"/>
        <n v="12560"/>
        <n v="12580"/>
        <n v="12600"/>
        <n v="12620"/>
        <n v="12640"/>
        <n v="12660"/>
        <n v="12680"/>
        <n v="12700"/>
        <n v="12780"/>
        <n v="12800"/>
        <n v="12860"/>
        <n v="13200"/>
        <n v="13220"/>
        <n v="13240"/>
        <n v="13280"/>
        <n v="13300"/>
        <n v="13320"/>
        <n v="13360"/>
        <n v="13400"/>
        <n v="13480"/>
        <n v="15380"/>
        <n v="15720"/>
        <n v="15740"/>
        <n v="15760"/>
        <n v="15780"/>
        <n v="15800"/>
        <n v="15820"/>
        <n v="15840"/>
        <n v="15860"/>
        <n v="15880"/>
        <n v="15920"/>
        <n v="15940"/>
        <n v="15980"/>
        <n v="16000"/>
        <n v="16040"/>
        <n v="16100"/>
        <n v="16120"/>
        <n v="16160"/>
        <n v="16540"/>
        <n v="16780"/>
      </sharedItems>
    </cacheField>
    <cacheField name="Carga" numFmtId="0">
      <sharedItems containsSemiMixedTypes="0" containsString="0" containsNumber="1" containsInteger="1" minValue="160" maxValue="12380" count="133"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80"/>
        <n v="700"/>
        <n v="720"/>
        <n v="760"/>
        <n v="780"/>
        <n v="800"/>
        <n v="860"/>
        <n v="880"/>
        <n v="900"/>
        <n v="920"/>
        <n v="940"/>
        <n v="960"/>
        <n v="980"/>
        <n v="1060"/>
        <n v="1080"/>
        <n v="1100"/>
        <n v="1200"/>
        <n v="1220"/>
        <n v="1240"/>
        <n v="1260"/>
        <n v="1340"/>
        <n v="1460"/>
        <n v="1480"/>
        <n v="1560"/>
        <n v="1600"/>
        <n v="1760"/>
        <n v="1800"/>
        <n v="1920"/>
        <n v="2000"/>
        <n v="2020"/>
        <n v="2040"/>
        <n v="2100"/>
        <n v="2220"/>
        <n v="2260"/>
        <n v="2400"/>
        <n v="2440"/>
        <n v="2480"/>
        <n v="2500"/>
        <n v="2520"/>
        <n v="2640"/>
        <n v="2740"/>
        <n v="2800"/>
        <n v="2840"/>
        <n v="2920"/>
        <n v="3260"/>
        <n v="3300"/>
        <n v="3360"/>
        <n v="3640"/>
        <n v="3660"/>
        <n v="3960"/>
        <n v="4000"/>
        <n v="4580"/>
        <n v="5140"/>
        <n v="5260"/>
        <n v="5500"/>
        <n v="5680"/>
        <n v="7160"/>
        <n v="7460"/>
        <n v="7640"/>
        <n v="7700"/>
        <n v="7740"/>
        <n v="7820"/>
        <n v="7840"/>
        <n v="8040"/>
        <n v="8100"/>
        <n v="8220"/>
        <n v="8260"/>
        <n v="8540"/>
        <n v="8580"/>
        <n v="8620"/>
        <n v="8660"/>
        <n v="8760"/>
        <n v="8800"/>
        <n v="8820"/>
        <n v="8840"/>
        <n v="8900"/>
        <n v="8980"/>
        <n v="9020"/>
        <n v="9120"/>
        <n v="9200"/>
        <n v="9480"/>
        <n v="9520"/>
        <n v="9540"/>
        <n v="9640"/>
        <n v="9660"/>
        <n v="9720"/>
        <n v="9840"/>
        <n v="9920"/>
        <n v="9940"/>
        <n v="9960"/>
        <n v="10100"/>
        <n v="10180"/>
        <n v="10240"/>
        <n v="10480"/>
        <n v="10560"/>
        <n v="10720"/>
        <n v="10760"/>
        <n v="10780"/>
        <n v="10820"/>
        <n v="11120"/>
        <n v="11200"/>
        <n v="11220"/>
        <n v="11240"/>
        <n v="11400"/>
        <n v="11500"/>
        <n v="11880"/>
        <n v="12300"/>
        <n v="12380"/>
      </sharedItems>
    </cacheField>
    <cacheField name="Población" numFmtId="0">
      <sharedItems count="1">
        <s v="PEÑISCOLA "/>
      </sharedItems>
    </cacheField>
    <cacheField name="Residuo" numFmtId="0">
      <sharedItems count="5"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x v="110"/>
    <x v="9"/>
    <x v="9"/>
    <x v="15"/>
    <x v="9"/>
    <x v="12"/>
    <x v="0"/>
    <x v="1"/>
  </r>
  <r>
    <x v="0"/>
    <x v="83"/>
    <x v="7"/>
    <x v="2"/>
    <x v="24"/>
    <x v="11"/>
    <x v="23"/>
    <x v="0"/>
    <x v="1"/>
  </r>
  <r>
    <x v="0"/>
    <x v="72"/>
    <x v="5"/>
    <x v="4"/>
    <x v="150"/>
    <x v="71"/>
    <x v="129"/>
    <x v="0"/>
    <x v="1"/>
  </r>
  <r>
    <x v="0"/>
    <x v="12"/>
    <x v="4"/>
    <x v="10"/>
    <x v="105"/>
    <x v="42"/>
    <x v="92"/>
    <x v="0"/>
    <x v="1"/>
  </r>
  <r>
    <x v="0"/>
    <x v="75"/>
    <x v="6"/>
    <x v="10"/>
    <x v="86"/>
    <x v="43"/>
    <x v="78"/>
    <x v="0"/>
    <x v="1"/>
  </r>
  <r>
    <x v="0"/>
    <x v="91"/>
    <x v="8"/>
    <x v="7"/>
    <x v="57"/>
    <x v="30"/>
    <x v="43"/>
    <x v="0"/>
    <x v="1"/>
  </r>
  <r>
    <x v="1"/>
    <x v="36"/>
    <x v="10"/>
    <x v="10"/>
    <x v="91"/>
    <x v="47"/>
    <x v="79"/>
    <x v="0"/>
    <x v="1"/>
  </r>
  <r>
    <x v="1"/>
    <x v="77"/>
    <x v="12"/>
    <x v="4"/>
    <x v="122"/>
    <x v="72"/>
    <x v="82"/>
    <x v="0"/>
    <x v="1"/>
  </r>
  <r>
    <x v="1"/>
    <x v="146"/>
    <x v="14"/>
    <x v="6"/>
    <x v="5"/>
    <x v="2"/>
    <x v="4"/>
    <x v="0"/>
    <x v="1"/>
  </r>
  <r>
    <x v="1"/>
    <x v="143"/>
    <x v="13"/>
    <x v="9"/>
    <x v="20"/>
    <x v="12"/>
    <x v="15"/>
    <x v="0"/>
    <x v="1"/>
  </r>
  <r>
    <x v="1"/>
    <x v="44"/>
    <x v="11"/>
    <x v="2"/>
    <x v="27"/>
    <x v="9"/>
    <x v="38"/>
    <x v="0"/>
    <x v="1"/>
  </r>
  <r>
    <x v="2"/>
    <x v="58"/>
    <x v="17"/>
    <x v="11"/>
    <x v="39"/>
    <x v="19"/>
    <x v="36"/>
    <x v="0"/>
    <x v="1"/>
  </r>
  <r>
    <x v="2"/>
    <x v="68"/>
    <x v="18"/>
    <x v="4"/>
    <x v="144"/>
    <x v="71"/>
    <x v="121"/>
    <x v="0"/>
    <x v="1"/>
  </r>
  <r>
    <x v="2"/>
    <x v="0"/>
    <x v="15"/>
    <x v="10"/>
    <x v="99"/>
    <x v="46"/>
    <x v="86"/>
    <x v="0"/>
    <x v="1"/>
  </r>
  <r>
    <x v="2"/>
    <x v="23"/>
    <x v="16"/>
    <x v="10"/>
    <x v="86"/>
    <x v="46"/>
    <x v="77"/>
    <x v="0"/>
    <x v="1"/>
  </r>
  <r>
    <x v="2"/>
    <x v="133"/>
    <x v="21"/>
    <x v="9"/>
    <x v="18"/>
    <x v="12"/>
    <x v="13"/>
    <x v="0"/>
    <x v="1"/>
  </r>
  <r>
    <x v="2"/>
    <x v="151"/>
    <x v="22"/>
    <x v="6"/>
    <x v="6"/>
    <x v="2"/>
    <x v="5"/>
    <x v="0"/>
    <x v="1"/>
  </r>
  <r>
    <x v="2"/>
    <x v="117"/>
    <x v="0"/>
    <x v="3"/>
    <x v="79"/>
    <x v="60"/>
    <x v="49"/>
    <x v="0"/>
    <x v="2"/>
  </r>
  <r>
    <x v="2"/>
    <x v="159"/>
    <x v="23"/>
    <x v="9"/>
    <x v="11"/>
    <x v="12"/>
    <x v="1"/>
    <x v="0"/>
    <x v="1"/>
  </r>
  <r>
    <x v="3"/>
    <x v="34"/>
    <x v="25"/>
    <x v="10"/>
    <x v="70"/>
    <x v="43"/>
    <x v="71"/>
    <x v="0"/>
    <x v="1"/>
  </r>
  <r>
    <x v="3"/>
    <x v="5"/>
    <x v="24"/>
    <x v="10"/>
    <x v="100"/>
    <x v="44"/>
    <x v="88"/>
    <x v="0"/>
    <x v="1"/>
  </r>
  <r>
    <x v="3"/>
    <x v="80"/>
    <x v="27"/>
    <x v="11"/>
    <x v="34"/>
    <x v="19"/>
    <x v="27"/>
    <x v="0"/>
    <x v="1"/>
  </r>
  <r>
    <x v="3"/>
    <x v="65"/>
    <x v="26"/>
    <x v="4"/>
    <x v="143"/>
    <x v="73"/>
    <x v="119"/>
    <x v="0"/>
    <x v="1"/>
  </r>
  <r>
    <x v="3"/>
    <x v="139"/>
    <x v="29"/>
    <x v="6"/>
    <x v="5"/>
    <x v="3"/>
    <x v="3"/>
    <x v="0"/>
    <x v="1"/>
  </r>
  <r>
    <x v="3"/>
    <x v="119"/>
    <x v="28"/>
    <x v="9"/>
    <x v="15"/>
    <x v="12"/>
    <x v="8"/>
    <x v="0"/>
    <x v="1"/>
  </r>
  <r>
    <x v="3"/>
    <x v="126"/>
    <x v="193"/>
    <x v="4"/>
    <x v="85"/>
    <x v="60"/>
    <x v="55"/>
    <x v="0"/>
    <x v="3"/>
  </r>
  <r>
    <x v="4"/>
    <x v="57"/>
    <x v="32"/>
    <x v="4"/>
    <x v="125"/>
    <x v="67"/>
    <x v="91"/>
    <x v="0"/>
    <x v="1"/>
  </r>
  <r>
    <x v="4"/>
    <x v="79"/>
    <x v="33"/>
    <x v="11"/>
    <x v="32"/>
    <x v="19"/>
    <x v="24"/>
    <x v="0"/>
    <x v="1"/>
  </r>
  <r>
    <x v="4"/>
    <x v="6"/>
    <x v="30"/>
    <x v="10"/>
    <x v="106"/>
    <x v="42"/>
    <x v="94"/>
    <x v="0"/>
    <x v="1"/>
  </r>
  <r>
    <x v="4"/>
    <x v="32"/>
    <x v="31"/>
    <x v="10"/>
    <x v="66"/>
    <x v="41"/>
    <x v="67"/>
    <x v="0"/>
    <x v="1"/>
  </r>
  <r>
    <x v="2"/>
    <x v="114"/>
    <x v="19"/>
    <x v="4"/>
    <x v="124"/>
    <x v="71"/>
    <x v="89"/>
    <x v="0"/>
    <x v="1"/>
  </r>
  <r>
    <x v="2"/>
    <x v="115"/>
    <x v="20"/>
    <x v="10"/>
    <x v="108"/>
    <x v="41"/>
    <x v="96"/>
    <x v="0"/>
    <x v="1"/>
  </r>
  <r>
    <x v="4"/>
    <x v="142"/>
    <x v="35"/>
    <x v="6"/>
    <x v="5"/>
    <x v="3"/>
    <x v="3"/>
    <x v="0"/>
    <x v="1"/>
  </r>
  <r>
    <x v="4"/>
    <x v="150"/>
    <x v="36"/>
    <x v="12"/>
    <x v="52"/>
    <x v="29"/>
    <x v="38"/>
    <x v="0"/>
    <x v="4"/>
  </r>
  <r>
    <x v="4"/>
    <x v="103"/>
    <x v="34"/>
    <x v="12"/>
    <x v="45"/>
    <x v="25"/>
    <x v="32"/>
    <x v="0"/>
    <x v="4"/>
  </r>
  <r>
    <x v="5"/>
    <x v="3"/>
    <x v="37"/>
    <x v="10"/>
    <x v="98"/>
    <x v="45"/>
    <x v="85"/>
    <x v="0"/>
    <x v="1"/>
  </r>
  <r>
    <x v="5"/>
    <x v="28"/>
    <x v="39"/>
    <x v="10"/>
    <x v="65"/>
    <x v="45"/>
    <x v="64"/>
    <x v="0"/>
    <x v="1"/>
  </r>
  <r>
    <x v="5"/>
    <x v="85"/>
    <x v="41"/>
    <x v="11"/>
    <x v="30"/>
    <x v="19"/>
    <x v="20"/>
    <x v="0"/>
    <x v="1"/>
  </r>
  <r>
    <x v="5"/>
    <x v="7"/>
    <x v="38"/>
    <x v="4"/>
    <x v="123"/>
    <x v="66"/>
    <x v="84"/>
    <x v="0"/>
    <x v="1"/>
  </r>
  <r>
    <x v="5"/>
    <x v="59"/>
    <x v="40"/>
    <x v="4"/>
    <x v="111"/>
    <x v="65"/>
    <x v="80"/>
    <x v="0"/>
    <x v="1"/>
  </r>
  <r>
    <x v="5"/>
    <x v="98"/>
    <x v="43"/>
    <x v="9"/>
    <x v="20"/>
    <x v="13"/>
    <x v="14"/>
    <x v="0"/>
    <x v="0"/>
  </r>
  <r>
    <x v="5"/>
    <x v="97"/>
    <x v="42"/>
    <x v="2"/>
    <x v="20"/>
    <x v="6"/>
    <x v="23"/>
    <x v="0"/>
    <x v="0"/>
  </r>
  <r>
    <x v="5"/>
    <x v="137"/>
    <x v="45"/>
    <x v="6"/>
    <x v="6"/>
    <x v="2"/>
    <x v="5"/>
    <x v="0"/>
    <x v="1"/>
  </r>
  <r>
    <x v="5"/>
    <x v="101"/>
    <x v="44"/>
    <x v="12"/>
    <x v="47"/>
    <x v="24"/>
    <x v="36"/>
    <x v="0"/>
    <x v="4"/>
  </r>
  <r>
    <x v="6"/>
    <x v="89"/>
    <x v="48"/>
    <x v="11"/>
    <x v="39"/>
    <x v="20"/>
    <x v="35"/>
    <x v="0"/>
    <x v="1"/>
  </r>
  <r>
    <x v="6"/>
    <x v="81"/>
    <x v="47"/>
    <x v="4"/>
    <x v="129"/>
    <x v="75"/>
    <x v="99"/>
    <x v="0"/>
    <x v="1"/>
  </r>
  <r>
    <x v="6"/>
    <x v="93"/>
    <x v="49"/>
    <x v="7"/>
    <x v="73"/>
    <x v="42"/>
    <x v="75"/>
    <x v="0"/>
    <x v="1"/>
  </r>
  <r>
    <x v="6"/>
    <x v="17"/>
    <x v="46"/>
    <x v="7"/>
    <x v="110"/>
    <x v="39"/>
    <x v="99"/>
    <x v="0"/>
    <x v="1"/>
  </r>
  <r>
    <x v="6"/>
    <x v="111"/>
    <x v="50"/>
    <x v="12"/>
    <x v="44"/>
    <x v="24"/>
    <x v="32"/>
    <x v="0"/>
    <x v="4"/>
  </r>
  <r>
    <x v="6"/>
    <x v="130"/>
    <x v="51"/>
    <x v="6"/>
    <x v="8"/>
    <x v="2"/>
    <x v="7"/>
    <x v="0"/>
    <x v="1"/>
  </r>
  <r>
    <x v="7"/>
    <x v="88"/>
    <x v="55"/>
    <x v="11"/>
    <x v="32"/>
    <x v="19"/>
    <x v="24"/>
    <x v="0"/>
    <x v="1"/>
  </r>
  <r>
    <x v="7"/>
    <x v="45"/>
    <x v="53"/>
    <x v="7"/>
    <x v="75"/>
    <x v="34"/>
    <x v="76"/>
    <x v="0"/>
    <x v="1"/>
  </r>
  <r>
    <x v="7"/>
    <x v="116"/>
    <x v="58"/>
    <x v="12"/>
    <x v="46"/>
    <x v="23"/>
    <x v="36"/>
    <x v="0"/>
    <x v="4"/>
  </r>
  <r>
    <x v="7"/>
    <x v="18"/>
    <x v="52"/>
    <x v="7"/>
    <x v="108"/>
    <x v="34"/>
    <x v="100"/>
    <x v="0"/>
    <x v="1"/>
  </r>
  <r>
    <x v="7"/>
    <x v="52"/>
    <x v="54"/>
    <x v="4"/>
    <x v="153"/>
    <x v="76"/>
    <x v="131"/>
    <x v="0"/>
    <x v="1"/>
  </r>
  <r>
    <x v="7"/>
    <x v="123"/>
    <x v="59"/>
    <x v="6"/>
    <x v="10"/>
    <x v="3"/>
    <x v="8"/>
    <x v="0"/>
    <x v="1"/>
  </r>
  <r>
    <x v="8"/>
    <x v="66"/>
    <x v="62"/>
    <x v="2"/>
    <x v="25"/>
    <x v="7"/>
    <x v="28"/>
    <x v="0"/>
    <x v="1"/>
  </r>
  <r>
    <x v="8"/>
    <x v="69"/>
    <x v="63"/>
    <x v="7"/>
    <x v="68"/>
    <x v="40"/>
    <x v="70"/>
    <x v="0"/>
    <x v="1"/>
  </r>
  <r>
    <x v="8"/>
    <x v="39"/>
    <x v="61"/>
    <x v="4"/>
    <x v="145"/>
    <x v="71"/>
    <x v="123"/>
    <x v="0"/>
    <x v="1"/>
  </r>
  <r>
    <x v="8"/>
    <x v="10"/>
    <x v="60"/>
    <x v="7"/>
    <x v="101"/>
    <x v="37"/>
    <x v="90"/>
    <x v="0"/>
    <x v="1"/>
  </r>
  <r>
    <x v="8"/>
    <x v="78"/>
    <x v="64"/>
    <x v="4"/>
    <x v="76"/>
    <x v="70"/>
    <x v="40"/>
    <x v="0"/>
    <x v="1"/>
  </r>
  <r>
    <x v="8"/>
    <x v="147"/>
    <x v="65"/>
    <x v="6"/>
    <x v="10"/>
    <x v="4"/>
    <x v="6"/>
    <x v="0"/>
    <x v="1"/>
  </r>
  <r>
    <x v="9"/>
    <x v="4"/>
    <x v="66"/>
    <x v="7"/>
    <x v="97"/>
    <x v="36"/>
    <x v="85"/>
    <x v="0"/>
    <x v="1"/>
  </r>
  <r>
    <x v="9"/>
    <x v="87"/>
    <x v="70"/>
    <x v="11"/>
    <x v="38"/>
    <x v="19"/>
    <x v="32"/>
    <x v="0"/>
    <x v="1"/>
  </r>
  <r>
    <x v="9"/>
    <x v="73"/>
    <x v="69"/>
    <x v="4"/>
    <x v="83"/>
    <x v="68"/>
    <x v="50"/>
    <x v="0"/>
    <x v="1"/>
  </r>
  <r>
    <x v="9"/>
    <x v="29"/>
    <x v="68"/>
    <x v="4"/>
    <x v="134"/>
    <x v="69"/>
    <x v="113"/>
    <x v="0"/>
    <x v="1"/>
  </r>
  <r>
    <x v="9"/>
    <x v="29"/>
    <x v="67"/>
    <x v="7"/>
    <x v="61"/>
    <x v="33"/>
    <x v="56"/>
    <x v="0"/>
    <x v="1"/>
  </r>
  <r>
    <x v="9"/>
    <x v="112"/>
    <x v="1"/>
    <x v="4"/>
    <x v="80"/>
    <x v="70"/>
    <x v="47"/>
    <x v="0"/>
    <x v="2"/>
  </r>
  <r>
    <x v="9"/>
    <x v="124"/>
    <x v="71"/>
    <x v="6"/>
    <x v="3"/>
    <x v="1"/>
    <x v="3"/>
    <x v="0"/>
    <x v="1"/>
  </r>
  <r>
    <x v="9"/>
    <x v="157"/>
    <x v="72"/>
    <x v="2"/>
    <x v="14"/>
    <x v="10"/>
    <x v="9"/>
    <x v="0"/>
    <x v="0"/>
  </r>
  <r>
    <x v="10"/>
    <x v="144"/>
    <x v="78"/>
    <x v="12"/>
    <x v="43"/>
    <x v="27"/>
    <x v="26"/>
    <x v="0"/>
    <x v="4"/>
  </r>
  <r>
    <x v="10"/>
    <x v="13"/>
    <x v="73"/>
    <x v="7"/>
    <x v="95"/>
    <x v="32"/>
    <x v="83"/>
    <x v="0"/>
    <x v="1"/>
  </r>
  <r>
    <x v="10"/>
    <x v="37"/>
    <x v="74"/>
    <x v="3"/>
    <x v="135"/>
    <x v="71"/>
    <x v="114"/>
    <x v="0"/>
    <x v="1"/>
  </r>
  <r>
    <x v="10"/>
    <x v="71"/>
    <x v="77"/>
    <x v="3"/>
    <x v="77"/>
    <x v="59"/>
    <x v="46"/>
    <x v="0"/>
    <x v="1"/>
  </r>
  <r>
    <x v="10"/>
    <x v="47"/>
    <x v="75"/>
    <x v="2"/>
    <x v="26"/>
    <x v="10"/>
    <x v="30"/>
    <x v="0"/>
    <x v="1"/>
  </r>
  <r>
    <x v="10"/>
    <x v="71"/>
    <x v="76"/>
    <x v="7"/>
    <x v="72"/>
    <x v="32"/>
    <x v="73"/>
    <x v="0"/>
    <x v="1"/>
  </r>
  <r>
    <x v="10"/>
    <x v="128"/>
    <x v="194"/>
    <x v="3"/>
    <x v="94"/>
    <x v="60"/>
    <x v="69"/>
    <x v="0"/>
    <x v="3"/>
  </r>
  <r>
    <x v="11"/>
    <x v="138"/>
    <x v="82"/>
    <x v="6"/>
    <x v="2"/>
    <x v="3"/>
    <x v="0"/>
    <x v="0"/>
    <x v="1"/>
  </r>
  <r>
    <x v="11"/>
    <x v="40"/>
    <x v="79"/>
    <x v="7"/>
    <x v="118"/>
    <x v="36"/>
    <x v="112"/>
    <x v="0"/>
    <x v="1"/>
  </r>
  <r>
    <x v="11"/>
    <x v="74"/>
    <x v="81"/>
    <x v="2"/>
    <x v="17"/>
    <x v="10"/>
    <x v="14"/>
    <x v="0"/>
    <x v="1"/>
  </r>
  <r>
    <x v="11"/>
    <x v="137"/>
    <x v="83"/>
    <x v="9"/>
    <x v="15"/>
    <x v="13"/>
    <x v="7"/>
    <x v="0"/>
    <x v="1"/>
  </r>
  <r>
    <x v="12"/>
    <x v="67"/>
    <x v="86"/>
    <x v="3"/>
    <x v="136"/>
    <x v="61"/>
    <x v="117"/>
    <x v="0"/>
    <x v="1"/>
  </r>
  <r>
    <x v="12"/>
    <x v="85"/>
    <x v="87"/>
    <x v="11"/>
    <x v="38"/>
    <x v="19"/>
    <x v="32"/>
    <x v="0"/>
    <x v="1"/>
  </r>
  <r>
    <x v="12"/>
    <x v="38"/>
    <x v="85"/>
    <x v="7"/>
    <x v="58"/>
    <x v="35"/>
    <x v="44"/>
    <x v="0"/>
    <x v="1"/>
  </r>
  <r>
    <x v="12"/>
    <x v="16"/>
    <x v="84"/>
    <x v="7"/>
    <x v="107"/>
    <x v="35"/>
    <x v="98"/>
    <x v="0"/>
    <x v="1"/>
  </r>
  <r>
    <x v="12"/>
    <x v="134"/>
    <x v="89"/>
    <x v="12"/>
    <x v="52"/>
    <x v="25"/>
    <x v="42"/>
    <x v="0"/>
    <x v="4"/>
  </r>
  <r>
    <x v="12"/>
    <x v="131"/>
    <x v="88"/>
    <x v="6"/>
    <x v="6"/>
    <x v="3"/>
    <x v="4"/>
    <x v="0"/>
    <x v="1"/>
  </r>
  <r>
    <x v="13"/>
    <x v="94"/>
    <x v="94"/>
    <x v="12"/>
    <x v="55"/>
    <x v="25"/>
    <x v="60"/>
    <x v="0"/>
    <x v="1"/>
  </r>
  <r>
    <x v="13"/>
    <x v="60"/>
    <x v="92"/>
    <x v="7"/>
    <x v="60"/>
    <x v="31"/>
    <x v="56"/>
    <x v="0"/>
    <x v="1"/>
  </r>
  <r>
    <x v="13"/>
    <x v="19"/>
    <x v="90"/>
    <x v="7"/>
    <x v="97"/>
    <x v="32"/>
    <x v="86"/>
    <x v="0"/>
    <x v="1"/>
  </r>
  <r>
    <x v="13"/>
    <x v="65"/>
    <x v="93"/>
    <x v="4"/>
    <x v="149"/>
    <x v="72"/>
    <x v="127"/>
    <x v="0"/>
    <x v="1"/>
  </r>
  <r>
    <x v="13"/>
    <x v="43"/>
    <x v="91"/>
    <x v="2"/>
    <x v="23"/>
    <x v="9"/>
    <x v="22"/>
    <x v="0"/>
    <x v="1"/>
  </r>
  <r>
    <x v="13"/>
    <x v="132"/>
    <x v="96"/>
    <x v="12"/>
    <x v="54"/>
    <x v="26"/>
    <x v="48"/>
    <x v="0"/>
    <x v="4"/>
  </r>
  <r>
    <x v="13"/>
    <x v="133"/>
    <x v="95"/>
    <x v="6"/>
    <x v="5"/>
    <x v="2"/>
    <x v="4"/>
    <x v="0"/>
    <x v="1"/>
  </r>
  <r>
    <x v="14"/>
    <x v="86"/>
    <x v="99"/>
    <x v="2"/>
    <x v="20"/>
    <x v="7"/>
    <x v="22"/>
    <x v="0"/>
    <x v="1"/>
  </r>
  <r>
    <x v="14"/>
    <x v="118"/>
    <x v="101"/>
    <x v="3"/>
    <x v="146"/>
    <x v="64"/>
    <x v="124"/>
    <x v="0"/>
    <x v="1"/>
  </r>
  <r>
    <x v="14"/>
    <x v="113"/>
    <x v="100"/>
    <x v="6"/>
    <x v="7"/>
    <x v="2"/>
    <x v="6"/>
    <x v="0"/>
    <x v="1"/>
  </r>
  <r>
    <x v="14"/>
    <x v="26"/>
    <x v="97"/>
    <x v="7"/>
    <x v="105"/>
    <x v="36"/>
    <x v="95"/>
    <x v="0"/>
    <x v="1"/>
  </r>
  <r>
    <x v="14"/>
    <x v="85"/>
    <x v="98"/>
    <x v="7"/>
    <x v="62"/>
    <x v="40"/>
    <x v="54"/>
    <x v="0"/>
    <x v="1"/>
  </r>
  <r>
    <x v="15"/>
    <x v="78"/>
    <x v="106"/>
    <x v="2"/>
    <x v="19"/>
    <x v="11"/>
    <x v="16"/>
    <x v="0"/>
    <x v="1"/>
  </r>
  <r>
    <x v="15"/>
    <x v="9"/>
    <x v="102"/>
    <x v="2"/>
    <x v="21"/>
    <x v="7"/>
    <x v="23"/>
    <x v="0"/>
    <x v="1"/>
  </r>
  <r>
    <x v="15"/>
    <x v="11"/>
    <x v="103"/>
    <x v="7"/>
    <x v="104"/>
    <x v="38"/>
    <x v="93"/>
    <x v="0"/>
    <x v="1"/>
  </r>
  <r>
    <x v="15"/>
    <x v="76"/>
    <x v="105"/>
    <x v="7"/>
    <x v="64"/>
    <x v="32"/>
    <x v="63"/>
    <x v="0"/>
    <x v="1"/>
  </r>
  <r>
    <x v="15"/>
    <x v="146"/>
    <x v="108"/>
    <x v="6"/>
    <x v="0"/>
    <x v="1"/>
    <x v="0"/>
    <x v="0"/>
    <x v="1"/>
  </r>
  <r>
    <x v="15"/>
    <x v="112"/>
    <x v="107"/>
    <x v="6"/>
    <x v="10"/>
    <x v="1"/>
    <x v="10"/>
    <x v="0"/>
    <x v="1"/>
  </r>
  <r>
    <x v="16"/>
    <x v="15"/>
    <x v="110"/>
    <x v="7"/>
    <x v="63"/>
    <x v="31"/>
    <x v="61"/>
    <x v="0"/>
    <x v="1"/>
  </r>
  <r>
    <x v="16"/>
    <x v="1"/>
    <x v="109"/>
    <x v="7"/>
    <x v="95"/>
    <x v="32"/>
    <x v="83"/>
    <x v="0"/>
    <x v="1"/>
  </r>
  <r>
    <x v="16"/>
    <x v="61"/>
    <x v="111"/>
    <x v="3"/>
    <x v="137"/>
    <x v="68"/>
    <x v="115"/>
    <x v="0"/>
    <x v="1"/>
  </r>
  <r>
    <x v="16"/>
    <x v="86"/>
    <x v="112"/>
    <x v="11"/>
    <x v="35"/>
    <x v="18"/>
    <x v="28"/>
    <x v="0"/>
    <x v="1"/>
  </r>
  <r>
    <x v="15"/>
    <x v="74"/>
    <x v="104"/>
    <x v="3"/>
    <x v="151"/>
    <x v="66"/>
    <x v="130"/>
    <x v="0"/>
    <x v="1"/>
  </r>
  <r>
    <x v="16"/>
    <x v="158"/>
    <x v="115"/>
    <x v="9"/>
    <x v="12"/>
    <x v="12"/>
    <x v="2"/>
    <x v="0"/>
    <x v="1"/>
  </r>
  <r>
    <x v="16"/>
    <x v="151"/>
    <x v="114"/>
    <x v="6"/>
    <x v="8"/>
    <x v="3"/>
    <x v="6"/>
    <x v="0"/>
    <x v="1"/>
  </r>
  <r>
    <x v="16"/>
    <x v="105"/>
    <x v="113"/>
    <x v="6"/>
    <x v="5"/>
    <x v="3"/>
    <x v="3"/>
    <x v="0"/>
    <x v="1"/>
  </r>
  <r>
    <x v="16"/>
    <x v="120"/>
    <x v="2"/>
    <x v="3"/>
    <x v="84"/>
    <x v="60"/>
    <x v="53"/>
    <x v="0"/>
    <x v="2"/>
  </r>
  <r>
    <x v="17"/>
    <x v="61"/>
    <x v="117"/>
    <x v="3"/>
    <x v="132"/>
    <x v="69"/>
    <x v="110"/>
    <x v="0"/>
    <x v="1"/>
  </r>
  <r>
    <x v="17"/>
    <x v="46"/>
    <x v="116"/>
    <x v="2"/>
    <x v="15"/>
    <x v="5"/>
    <x v="21"/>
    <x v="0"/>
    <x v="1"/>
  </r>
  <r>
    <x v="17"/>
    <x v="81"/>
    <x v="118"/>
    <x v="8"/>
    <x v="109"/>
    <x v="40"/>
    <x v="97"/>
    <x v="0"/>
    <x v="0"/>
  </r>
  <r>
    <x v="18"/>
    <x v="95"/>
    <x v="123"/>
    <x v="13"/>
    <x v="78"/>
    <x v="57"/>
    <x v="52"/>
    <x v="0"/>
    <x v="4"/>
  </r>
  <r>
    <x v="17"/>
    <x v="133"/>
    <x v="119"/>
    <x v="6"/>
    <x v="7"/>
    <x v="2"/>
    <x v="6"/>
    <x v="0"/>
    <x v="1"/>
  </r>
  <r>
    <x v="17"/>
    <x v="129"/>
    <x v="195"/>
    <x v="3"/>
    <x v="87"/>
    <x v="63"/>
    <x v="58"/>
    <x v="0"/>
    <x v="3"/>
  </r>
  <r>
    <x v="18"/>
    <x v="30"/>
    <x v="120"/>
    <x v="8"/>
    <x v="112"/>
    <x v="36"/>
    <x v="103"/>
    <x v="0"/>
    <x v="0"/>
  </r>
  <r>
    <x v="18"/>
    <x v="56"/>
    <x v="121"/>
    <x v="3"/>
    <x v="140"/>
    <x v="69"/>
    <x v="118"/>
    <x v="0"/>
    <x v="1"/>
  </r>
  <r>
    <x v="18"/>
    <x v="74"/>
    <x v="122"/>
    <x v="11"/>
    <x v="29"/>
    <x v="20"/>
    <x v="17"/>
    <x v="0"/>
    <x v="1"/>
  </r>
  <r>
    <x v="18"/>
    <x v="132"/>
    <x v="126"/>
    <x v="12"/>
    <x v="50"/>
    <x v="25"/>
    <x v="39"/>
    <x v="0"/>
    <x v="4"/>
  </r>
  <r>
    <x v="18"/>
    <x v="135"/>
    <x v="125"/>
    <x v="6"/>
    <x v="9"/>
    <x v="2"/>
    <x v="8"/>
    <x v="0"/>
    <x v="1"/>
  </r>
  <r>
    <x v="18"/>
    <x v="100"/>
    <x v="124"/>
    <x v="12"/>
    <x v="49"/>
    <x v="26"/>
    <x v="36"/>
    <x v="0"/>
    <x v="4"/>
  </r>
  <r>
    <x v="19"/>
    <x v="79"/>
    <x v="129"/>
    <x v="11"/>
    <x v="30"/>
    <x v="21"/>
    <x v="18"/>
    <x v="0"/>
    <x v="1"/>
  </r>
  <r>
    <x v="19"/>
    <x v="27"/>
    <x v="127"/>
    <x v="10"/>
    <x v="115"/>
    <x v="48"/>
    <x v="102"/>
    <x v="0"/>
    <x v="1"/>
  </r>
  <r>
    <x v="19"/>
    <x v="53"/>
    <x v="128"/>
    <x v="3"/>
    <x v="130"/>
    <x v="68"/>
    <x v="105"/>
    <x v="0"/>
    <x v="1"/>
  </r>
  <r>
    <x v="7"/>
    <x v="99"/>
    <x v="56"/>
    <x v="5"/>
    <x v="59"/>
    <x v="49"/>
    <x v="35"/>
    <x v="0"/>
    <x v="4"/>
  </r>
  <r>
    <x v="7"/>
    <x v="99"/>
    <x v="57"/>
    <x v="0"/>
    <x v="93"/>
    <x v="68"/>
    <x v="66"/>
    <x v="0"/>
    <x v="4"/>
  </r>
  <r>
    <x v="19"/>
    <x v="140"/>
    <x v="132"/>
    <x v="12"/>
    <x v="48"/>
    <x v="25"/>
    <x v="36"/>
    <x v="0"/>
    <x v="4"/>
  </r>
  <r>
    <x v="19"/>
    <x v="106"/>
    <x v="130"/>
    <x v="12"/>
    <x v="47"/>
    <x v="25"/>
    <x v="35"/>
    <x v="0"/>
    <x v="4"/>
  </r>
  <r>
    <x v="19"/>
    <x v="154"/>
    <x v="134"/>
    <x v="9"/>
    <x v="20"/>
    <x v="12"/>
    <x v="15"/>
    <x v="0"/>
    <x v="0"/>
  </r>
  <r>
    <x v="19"/>
    <x v="136"/>
    <x v="131"/>
    <x v="6"/>
    <x v="7"/>
    <x v="2"/>
    <x v="6"/>
    <x v="0"/>
    <x v="1"/>
  </r>
  <r>
    <x v="19"/>
    <x v="155"/>
    <x v="133"/>
    <x v="2"/>
    <x v="22"/>
    <x v="8"/>
    <x v="22"/>
    <x v="0"/>
    <x v="0"/>
  </r>
  <r>
    <x v="20"/>
    <x v="72"/>
    <x v="137"/>
    <x v="3"/>
    <x v="92"/>
    <x v="58"/>
    <x v="68"/>
    <x v="0"/>
    <x v="1"/>
  </r>
  <r>
    <x v="20"/>
    <x v="35"/>
    <x v="136"/>
    <x v="3"/>
    <x v="128"/>
    <x v="59"/>
    <x v="107"/>
    <x v="0"/>
    <x v="1"/>
  </r>
  <r>
    <x v="20"/>
    <x v="24"/>
    <x v="135"/>
    <x v="10"/>
    <x v="116"/>
    <x v="51"/>
    <x v="101"/>
    <x v="0"/>
    <x v="1"/>
  </r>
  <r>
    <x v="20"/>
    <x v="77"/>
    <x v="138"/>
    <x v="11"/>
    <x v="29"/>
    <x v="21"/>
    <x v="16"/>
    <x v="0"/>
    <x v="1"/>
  </r>
  <r>
    <x v="21"/>
    <x v="82"/>
    <x v="142"/>
    <x v="11"/>
    <x v="35"/>
    <x v="17"/>
    <x v="30"/>
    <x v="0"/>
    <x v="1"/>
  </r>
  <r>
    <x v="21"/>
    <x v="66"/>
    <x v="141"/>
    <x v="3"/>
    <x v="142"/>
    <x v="64"/>
    <x v="120"/>
    <x v="0"/>
    <x v="1"/>
  </r>
  <r>
    <x v="21"/>
    <x v="49"/>
    <x v="140"/>
    <x v="10"/>
    <x v="67"/>
    <x v="50"/>
    <x v="59"/>
    <x v="0"/>
    <x v="1"/>
  </r>
  <r>
    <x v="21"/>
    <x v="20"/>
    <x v="139"/>
    <x v="10"/>
    <x v="113"/>
    <x v="51"/>
    <x v="94"/>
    <x v="0"/>
    <x v="1"/>
  </r>
  <r>
    <x v="22"/>
    <x v="14"/>
    <x v="143"/>
    <x v="10"/>
    <x v="121"/>
    <x v="51"/>
    <x v="111"/>
    <x v="0"/>
    <x v="1"/>
  </r>
  <r>
    <x v="22"/>
    <x v="54"/>
    <x v="144"/>
    <x v="11"/>
    <x v="37"/>
    <x v="16"/>
    <x v="31"/>
    <x v="0"/>
    <x v="1"/>
  </r>
  <r>
    <x v="22"/>
    <x v="51"/>
    <x v="145"/>
    <x v="10"/>
    <x v="69"/>
    <x v="49"/>
    <x v="65"/>
    <x v="0"/>
    <x v="1"/>
  </r>
  <r>
    <x v="22"/>
    <x v="144"/>
    <x v="146"/>
    <x v="9"/>
    <x v="11"/>
    <x v="12"/>
    <x v="1"/>
    <x v="0"/>
    <x v="1"/>
  </r>
  <r>
    <x v="23"/>
    <x v="13"/>
    <x v="147"/>
    <x v="10"/>
    <x v="119"/>
    <x v="53"/>
    <x v="106"/>
    <x v="0"/>
    <x v="1"/>
  </r>
  <r>
    <x v="23"/>
    <x v="42"/>
    <x v="148"/>
    <x v="4"/>
    <x v="148"/>
    <x v="59"/>
    <x v="128"/>
    <x v="0"/>
    <x v="1"/>
  </r>
  <r>
    <x v="23"/>
    <x v="48"/>
    <x v="149"/>
    <x v="11"/>
    <x v="36"/>
    <x v="15"/>
    <x v="33"/>
    <x v="0"/>
    <x v="1"/>
  </r>
  <r>
    <x v="23"/>
    <x v="90"/>
    <x v="150"/>
    <x v="4"/>
    <x v="88"/>
    <x v="67"/>
    <x v="57"/>
    <x v="0"/>
    <x v="1"/>
  </r>
  <r>
    <x v="23"/>
    <x v="144"/>
    <x v="151"/>
    <x v="6"/>
    <x v="6"/>
    <x v="2"/>
    <x v="5"/>
    <x v="0"/>
    <x v="1"/>
  </r>
  <r>
    <x v="24"/>
    <x v="78"/>
    <x v="154"/>
    <x v="11"/>
    <x v="31"/>
    <x v="16"/>
    <x v="25"/>
    <x v="0"/>
    <x v="1"/>
  </r>
  <r>
    <x v="24"/>
    <x v="22"/>
    <x v="152"/>
    <x v="10"/>
    <x v="114"/>
    <x v="52"/>
    <x v="97"/>
    <x v="0"/>
    <x v="1"/>
  </r>
  <r>
    <x v="24"/>
    <x v="55"/>
    <x v="153"/>
    <x v="4"/>
    <x v="131"/>
    <x v="66"/>
    <x v="108"/>
    <x v="0"/>
    <x v="1"/>
  </r>
  <r>
    <x v="23"/>
    <x v="122"/>
    <x v="3"/>
    <x v="4"/>
    <x v="81"/>
    <x v="58"/>
    <x v="51"/>
    <x v="0"/>
    <x v="2"/>
  </r>
  <r>
    <x v="24"/>
    <x v="107"/>
    <x v="155"/>
    <x v="12"/>
    <x v="42"/>
    <x v="27"/>
    <x v="25"/>
    <x v="0"/>
    <x v="4"/>
  </r>
  <r>
    <x v="24"/>
    <x v="127"/>
    <x v="157"/>
    <x v="6"/>
    <x v="6"/>
    <x v="1"/>
    <x v="6"/>
    <x v="0"/>
    <x v="1"/>
  </r>
  <r>
    <x v="25"/>
    <x v="156"/>
    <x v="196"/>
    <x v="4"/>
    <x v="89"/>
    <x v="61"/>
    <x v="62"/>
    <x v="0"/>
    <x v="3"/>
  </r>
  <r>
    <x v="25"/>
    <x v="70"/>
    <x v="159"/>
    <x v="4"/>
    <x v="147"/>
    <x v="62"/>
    <x v="126"/>
    <x v="0"/>
    <x v="1"/>
  </r>
  <r>
    <x v="25"/>
    <x v="81"/>
    <x v="160"/>
    <x v="11"/>
    <x v="28"/>
    <x v="17"/>
    <x v="19"/>
    <x v="0"/>
    <x v="1"/>
  </r>
  <r>
    <x v="25"/>
    <x v="25"/>
    <x v="158"/>
    <x v="10"/>
    <x v="102"/>
    <x v="50"/>
    <x v="87"/>
    <x v="0"/>
    <x v="1"/>
  </r>
  <r>
    <x v="25"/>
    <x v="125"/>
    <x v="162"/>
    <x v="6"/>
    <x v="8"/>
    <x v="2"/>
    <x v="7"/>
    <x v="0"/>
    <x v="1"/>
  </r>
  <r>
    <x v="25"/>
    <x v="141"/>
    <x v="164"/>
    <x v="12"/>
    <x v="53"/>
    <x v="28"/>
    <x v="45"/>
    <x v="0"/>
    <x v="4"/>
  </r>
  <r>
    <x v="25"/>
    <x v="109"/>
    <x v="161"/>
    <x v="12"/>
    <x v="51"/>
    <x v="28"/>
    <x v="37"/>
    <x v="0"/>
    <x v="4"/>
  </r>
  <r>
    <x v="25"/>
    <x v="149"/>
    <x v="163"/>
    <x v="2"/>
    <x v="16"/>
    <x v="6"/>
    <x v="18"/>
    <x v="0"/>
    <x v="0"/>
  </r>
  <r>
    <x v="26"/>
    <x v="57"/>
    <x v="166"/>
    <x v="4"/>
    <x v="138"/>
    <x v="66"/>
    <x v="116"/>
    <x v="0"/>
    <x v="1"/>
  </r>
  <r>
    <x v="26"/>
    <x v="92"/>
    <x v="168"/>
    <x v="10"/>
    <x v="56"/>
    <x v="48"/>
    <x v="6"/>
    <x v="0"/>
    <x v="1"/>
  </r>
  <r>
    <x v="26"/>
    <x v="87"/>
    <x v="167"/>
    <x v="10"/>
    <x v="98"/>
    <x v="54"/>
    <x v="81"/>
    <x v="0"/>
    <x v="1"/>
  </r>
  <r>
    <x v="26"/>
    <x v="49"/>
    <x v="165"/>
    <x v="2"/>
    <x v="14"/>
    <x v="7"/>
    <x v="13"/>
    <x v="0"/>
    <x v="1"/>
  </r>
  <r>
    <x v="26"/>
    <x v="152"/>
    <x v="171"/>
    <x v="6"/>
    <x v="8"/>
    <x v="2"/>
    <x v="7"/>
    <x v="0"/>
    <x v="1"/>
  </r>
  <r>
    <x v="26"/>
    <x v="153"/>
    <x v="172"/>
    <x v="2"/>
    <x v="13"/>
    <x v="6"/>
    <x v="11"/>
    <x v="0"/>
    <x v="0"/>
  </r>
  <r>
    <x v="26"/>
    <x v="119"/>
    <x v="197"/>
    <x v="1"/>
    <x v="90"/>
    <x v="71"/>
    <x v="58"/>
    <x v="0"/>
    <x v="3"/>
  </r>
  <r>
    <x v="27"/>
    <x v="33"/>
    <x v="173"/>
    <x v="10"/>
    <x v="103"/>
    <x v="55"/>
    <x v="84"/>
    <x v="0"/>
    <x v="1"/>
  </r>
  <r>
    <x v="27"/>
    <x v="83"/>
    <x v="176"/>
    <x v="11"/>
    <x v="33"/>
    <x v="18"/>
    <x v="26"/>
    <x v="0"/>
    <x v="1"/>
  </r>
  <r>
    <x v="27"/>
    <x v="79"/>
    <x v="175"/>
    <x v="4"/>
    <x v="74"/>
    <x v="58"/>
    <x v="41"/>
    <x v="0"/>
    <x v="1"/>
  </r>
  <r>
    <x v="27"/>
    <x v="50"/>
    <x v="174"/>
    <x v="4"/>
    <x v="141"/>
    <x v="58"/>
    <x v="122"/>
    <x v="0"/>
    <x v="1"/>
  </r>
  <r>
    <x v="27"/>
    <x v="121"/>
    <x v="178"/>
    <x v="1"/>
    <x v="96"/>
    <x v="74"/>
    <x v="74"/>
    <x v="0"/>
    <x v="0"/>
  </r>
  <r>
    <x v="27"/>
    <x v="148"/>
    <x v="179"/>
    <x v="6"/>
    <x v="1"/>
    <x v="0"/>
    <x v="4"/>
    <x v="0"/>
    <x v="1"/>
  </r>
  <r>
    <x v="27"/>
    <x v="104"/>
    <x v="177"/>
    <x v="12"/>
    <x v="42"/>
    <x v="22"/>
    <x v="29"/>
    <x v="0"/>
    <x v="4"/>
  </r>
  <r>
    <x v="28"/>
    <x v="31"/>
    <x v="180"/>
    <x v="10"/>
    <x v="117"/>
    <x v="56"/>
    <x v="98"/>
    <x v="0"/>
    <x v="1"/>
  </r>
  <r>
    <x v="28"/>
    <x v="62"/>
    <x v="181"/>
    <x v="4"/>
    <x v="133"/>
    <x v="69"/>
    <x v="111"/>
    <x v="0"/>
    <x v="1"/>
  </r>
  <r>
    <x v="28"/>
    <x v="84"/>
    <x v="182"/>
    <x v="11"/>
    <x v="35"/>
    <x v="20"/>
    <x v="27"/>
    <x v="0"/>
    <x v="1"/>
  </r>
  <r>
    <x v="29"/>
    <x v="2"/>
    <x v="183"/>
    <x v="10"/>
    <x v="126"/>
    <x v="50"/>
    <x v="125"/>
    <x v="0"/>
    <x v="1"/>
  </r>
  <r>
    <x v="29"/>
    <x v="21"/>
    <x v="184"/>
    <x v="4"/>
    <x v="139"/>
    <x v="62"/>
    <x v="119"/>
    <x v="0"/>
    <x v="1"/>
  </r>
  <r>
    <x v="29"/>
    <x v="41"/>
    <x v="185"/>
    <x v="11"/>
    <x v="40"/>
    <x v="15"/>
    <x v="47"/>
    <x v="0"/>
    <x v="1"/>
  </r>
  <r>
    <x v="30"/>
    <x v="8"/>
    <x v="186"/>
    <x v="10"/>
    <x v="120"/>
    <x v="53"/>
    <x v="109"/>
    <x v="0"/>
    <x v="1"/>
  </r>
  <r>
    <x v="30"/>
    <x v="83"/>
    <x v="188"/>
    <x v="11"/>
    <x v="38"/>
    <x v="16"/>
    <x v="36"/>
    <x v="0"/>
    <x v="1"/>
  </r>
  <r>
    <x v="30"/>
    <x v="64"/>
    <x v="187"/>
    <x v="4"/>
    <x v="152"/>
    <x v="63"/>
    <x v="132"/>
    <x v="0"/>
    <x v="1"/>
  </r>
  <r>
    <x v="30"/>
    <x v="96"/>
    <x v="189"/>
    <x v="9"/>
    <x v="21"/>
    <x v="14"/>
    <x v="12"/>
    <x v="0"/>
    <x v="4"/>
  </r>
  <r>
    <x v="30"/>
    <x v="102"/>
    <x v="190"/>
    <x v="6"/>
    <x v="1"/>
    <x v="2"/>
    <x v="0"/>
    <x v="0"/>
    <x v="1"/>
  </r>
  <r>
    <x v="30"/>
    <x v="145"/>
    <x v="192"/>
    <x v="6"/>
    <x v="4"/>
    <x v="2"/>
    <x v="3"/>
    <x v="0"/>
    <x v="1"/>
  </r>
  <r>
    <x v="30"/>
    <x v="142"/>
    <x v="191"/>
    <x v="9"/>
    <x v="16"/>
    <x v="14"/>
    <x v="6"/>
    <x v="0"/>
    <x v="4"/>
  </r>
  <r>
    <x v="30"/>
    <x v="132"/>
    <x v="198"/>
    <x v="4"/>
    <x v="82"/>
    <x v="70"/>
    <x v="48"/>
    <x v="0"/>
    <x v="2"/>
  </r>
  <r>
    <x v="11"/>
    <x v="63"/>
    <x v="80"/>
    <x v="3"/>
    <x v="127"/>
    <x v="64"/>
    <x v="104"/>
    <x v="0"/>
    <x v="1"/>
  </r>
  <r>
    <x v="24"/>
    <x v="124"/>
    <x v="156"/>
    <x v="7"/>
    <x v="71"/>
    <x v="31"/>
    <x v="72"/>
    <x v="0"/>
    <x v="1"/>
  </r>
  <r>
    <x v="26"/>
    <x v="108"/>
    <x v="169"/>
    <x v="12"/>
    <x v="46"/>
    <x v="25"/>
    <x v="34"/>
    <x v="0"/>
    <x v="4"/>
  </r>
  <r>
    <x v="26"/>
    <x v="142"/>
    <x v="170"/>
    <x v="12"/>
    <x v="41"/>
    <x v="25"/>
    <x v="25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9" firstHeaderRow="1" firstDataRow="2" firstDataCol="1" rowPageCount="1" colPageCount="1"/>
  <pivotFields count="9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5" t="n">
        <v>44835</v>
      </c>
      <c r="B2" s="6" t="n">
        <v>0.434027777777778</v>
      </c>
      <c r="C2" s="7" t="n">
        <v>13051</v>
      </c>
      <c r="D2" s="7" t="s">
        <v>9</v>
      </c>
      <c r="E2" s="7" t="n">
        <v>3180</v>
      </c>
      <c r="F2" s="7" t="n">
        <v>2780</v>
      </c>
      <c r="G2" s="8" t="n">
        <v>400</v>
      </c>
      <c r="H2" s="7" t="s">
        <v>10</v>
      </c>
      <c r="I2" s="7" t="s">
        <v>11</v>
      </c>
    </row>
    <row r="3" customFormat="false" ht="13.8" hidden="false" customHeight="false" outlineLevel="0" collapsed="false">
      <c r="A3" s="5" t="n">
        <v>44835</v>
      </c>
      <c r="B3" s="6" t="n">
        <v>0.258333333333333</v>
      </c>
      <c r="C3" s="7" t="n">
        <v>13030</v>
      </c>
      <c r="D3" s="7" t="s">
        <v>12</v>
      </c>
      <c r="E3" s="7" t="n">
        <v>3440</v>
      </c>
      <c r="F3" s="7" t="n">
        <v>2820</v>
      </c>
      <c r="G3" s="8" t="n">
        <v>620</v>
      </c>
      <c r="H3" s="7" t="s">
        <v>10</v>
      </c>
      <c r="I3" s="7" t="s">
        <v>11</v>
      </c>
    </row>
    <row r="4" customFormat="false" ht="13.8" hidden="false" customHeight="false" outlineLevel="0" collapsed="false">
      <c r="A4" s="5" t="n">
        <v>44835</v>
      </c>
      <c r="B4" s="6" t="n">
        <v>0.25</v>
      </c>
      <c r="C4" s="7" t="n">
        <v>13028</v>
      </c>
      <c r="D4" s="7" t="s">
        <v>13</v>
      </c>
      <c r="E4" s="7" t="n">
        <v>27540</v>
      </c>
      <c r="F4" s="7" t="n">
        <v>16040</v>
      </c>
      <c r="G4" s="8" t="n">
        <v>11500</v>
      </c>
      <c r="H4" s="7" t="s">
        <v>10</v>
      </c>
      <c r="I4" s="7" t="s">
        <v>11</v>
      </c>
    </row>
    <row r="5" customFormat="false" ht="13.8" hidden="false" customHeight="false" outlineLevel="0" collapsed="false">
      <c r="A5" s="5" t="n">
        <v>44835</v>
      </c>
      <c r="B5" s="6" t="n">
        <v>0.122222222222222</v>
      </c>
      <c r="C5" s="7" t="n">
        <v>13023</v>
      </c>
      <c r="D5" s="7" t="s">
        <v>14</v>
      </c>
      <c r="E5" s="7" t="n">
        <v>21200</v>
      </c>
      <c r="F5" s="7" t="n">
        <v>12660</v>
      </c>
      <c r="G5" s="8" t="n">
        <v>8540</v>
      </c>
      <c r="H5" s="7" t="s">
        <v>10</v>
      </c>
      <c r="I5" s="7" t="s">
        <v>11</v>
      </c>
    </row>
    <row r="6" customFormat="false" ht="13.8" hidden="false" customHeight="false" outlineLevel="0" collapsed="false">
      <c r="A6" s="5" t="n">
        <v>44835</v>
      </c>
      <c r="B6" s="6" t="n">
        <v>0.252777777777778</v>
      </c>
      <c r="C6" s="7" t="n">
        <v>13029</v>
      </c>
      <c r="D6" s="7" t="s">
        <v>14</v>
      </c>
      <c r="E6" s="7" t="n">
        <v>17940</v>
      </c>
      <c r="F6" s="7" t="n">
        <v>12680</v>
      </c>
      <c r="G6" s="8" t="n">
        <v>5260</v>
      </c>
      <c r="H6" s="7" t="s">
        <v>10</v>
      </c>
      <c r="I6" s="7" t="s">
        <v>11</v>
      </c>
    </row>
    <row r="7" customFormat="false" ht="13.8" hidden="false" customHeight="false" outlineLevel="0" collapsed="false">
      <c r="A7" s="5" t="n">
        <v>44835</v>
      </c>
      <c r="B7" s="6" t="n">
        <v>0.290277777777778</v>
      </c>
      <c r="C7" s="7" t="n">
        <v>13037</v>
      </c>
      <c r="D7" s="7" t="s">
        <v>15</v>
      </c>
      <c r="E7" s="7" t="n">
        <v>13660</v>
      </c>
      <c r="F7" s="7" t="n">
        <v>12420</v>
      </c>
      <c r="G7" s="8" t="n">
        <v>1240</v>
      </c>
      <c r="H7" s="7" t="s">
        <v>10</v>
      </c>
      <c r="I7" s="7" t="s">
        <v>11</v>
      </c>
    </row>
    <row r="8" customFormat="false" ht="13.8" hidden="false" customHeight="false" outlineLevel="0" collapsed="false">
      <c r="A8" s="5" t="n">
        <v>44836</v>
      </c>
      <c r="B8" s="6" t="n">
        <v>0.179166666666667</v>
      </c>
      <c r="C8" s="7" t="n">
        <v>13064</v>
      </c>
      <c r="D8" s="7" t="s">
        <v>14</v>
      </c>
      <c r="E8" s="7" t="n">
        <v>18360</v>
      </c>
      <c r="F8" s="7" t="n">
        <v>12860</v>
      </c>
      <c r="G8" s="8" t="n">
        <v>5500</v>
      </c>
      <c r="H8" s="7" t="s">
        <v>10</v>
      </c>
      <c r="I8" s="7" t="s">
        <v>11</v>
      </c>
    </row>
    <row r="9" customFormat="false" ht="13.8" hidden="false" customHeight="false" outlineLevel="0" collapsed="false">
      <c r="A9" s="5" t="n">
        <v>44836</v>
      </c>
      <c r="B9" s="6" t="n">
        <v>0.254166666666667</v>
      </c>
      <c r="C9" s="7" t="n">
        <v>13069</v>
      </c>
      <c r="D9" s="7" t="s">
        <v>13</v>
      </c>
      <c r="E9" s="7" t="n">
        <v>23560</v>
      </c>
      <c r="F9" s="7" t="n">
        <v>16100</v>
      </c>
      <c r="G9" s="8" t="n">
        <v>7460</v>
      </c>
      <c r="H9" s="7" t="s">
        <v>10</v>
      </c>
      <c r="I9" s="7" t="s">
        <v>11</v>
      </c>
    </row>
    <row r="10" customFormat="false" ht="13.8" hidden="false" customHeight="false" outlineLevel="0" collapsed="false">
      <c r="A10" s="5" t="n">
        <v>44836</v>
      </c>
      <c r="B10" s="6" t="n">
        <v>0.523611111111111</v>
      </c>
      <c r="C10" s="7" t="n">
        <v>13072</v>
      </c>
      <c r="D10" s="7" t="s">
        <v>16</v>
      </c>
      <c r="E10" s="7" t="n">
        <v>2640</v>
      </c>
      <c r="F10" s="7" t="n">
        <v>2400</v>
      </c>
      <c r="G10" s="8" t="n">
        <v>240</v>
      </c>
      <c r="H10" s="7" t="s">
        <v>10</v>
      </c>
      <c r="I10" s="7" t="s">
        <v>11</v>
      </c>
    </row>
    <row r="11" customFormat="false" ht="13.8" hidden="false" customHeight="false" outlineLevel="0" collapsed="false">
      <c r="A11" s="5" t="n">
        <v>44836</v>
      </c>
      <c r="B11" s="6" t="n">
        <v>0.516666666666667</v>
      </c>
      <c r="C11" s="7" t="n">
        <v>13071</v>
      </c>
      <c r="D11" s="7" t="s">
        <v>9</v>
      </c>
      <c r="E11" s="7" t="n">
        <v>3320</v>
      </c>
      <c r="F11" s="7" t="n">
        <v>2860</v>
      </c>
      <c r="G11" s="8" t="n">
        <v>460</v>
      </c>
      <c r="H11" s="7" t="s">
        <v>10</v>
      </c>
      <c r="I11" s="7" t="s">
        <v>11</v>
      </c>
    </row>
    <row r="12" customFormat="false" ht="13.8" hidden="false" customHeight="false" outlineLevel="0" collapsed="false">
      <c r="A12" s="5" t="n">
        <v>44836</v>
      </c>
      <c r="B12" s="6" t="n">
        <v>0.202777777777778</v>
      </c>
      <c r="C12" s="7" t="n">
        <v>13065</v>
      </c>
      <c r="D12" s="7" t="s">
        <v>12</v>
      </c>
      <c r="E12" s="7" t="n">
        <v>3840</v>
      </c>
      <c r="F12" s="7" t="n">
        <v>2780</v>
      </c>
      <c r="G12" s="8" t="n">
        <v>1060</v>
      </c>
      <c r="H12" s="7" t="s">
        <v>10</v>
      </c>
      <c r="I12" s="7" t="s">
        <v>11</v>
      </c>
    </row>
    <row r="13" customFormat="false" ht="13.8" hidden="false" customHeight="false" outlineLevel="0" collapsed="false">
      <c r="A13" s="5" t="n">
        <v>44837</v>
      </c>
      <c r="B13" s="6" t="n">
        <v>0.230555555555556</v>
      </c>
      <c r="C13" s="9" t="n">
        <v>13087</v>
      </c>
      <c r="D13" s="7" t="s">
        <v>17</v>
      </c>
      <c r="E13" s="7" t="n">
        <v>4720</v>
      </c>
      <c r="F13" s="7" t="n">
        <v>3760</v>
      </c>
      <c r="G13" s="8" t="n">
        <v>960</v>
      </c>
      <c r="H13" s="7" t="s">
        <v>10</v>
      </c>
      <c r="I13" s="7" t="s">
        <v>11</v>
      </c>
    </row>
    <row r="14" customFormat="false" ht="13.8" hidden="false" customHeight="false" outlineLevel="0" collapsed="false">
      <c r="A14" s="5" t="n">
        <v>44837</v>
      </c>
      <c r="B14" s="6" t="n">
        <v>0.245138888888889</v>
      </c>
      <c r="C14" s="7" t="n">
        <v>13088</v>
      </c>
      <c r="D14" s="7" t="s">
        <v>13</v>
      </c>
      <c r="E14" s="7" t="n">
        <v>26800</v>
      </c>
      <c r="F14" s="7" t="n">
        <v>16040</v>
      </c>
      <c r="G14" s="8" t="n">
        <v>10760</v>
      </c>
      <c r="H14" s="7" t="s">
        <v>10</v>
      </c>
      <c r="I14" s="7" t="s">
        <v>11</v>
      </c>
    </row>
    <row r="15" customFormat="false" ht="13.8" hidden="false" customHeight="false" outlineLevel="0" collapsed="false">
      <c r="A15" s="5" t="n">
        <v>44837</v>
      </c>
      <c r="B15" s="6" t="n">
        <v>0.0694444444444444</v>
      </c>
      <c r="C15" s="7" t="n">
        <v>13074</v>
      </c>
      <c r="D15" s="7" t="s">
        <v>14</v>
      </c>
      <c r="E15" s="7" t="n">
        <v>20620</v>
      </c>
      <c r="F15" s="7" t="n">
        <v>12800</v>
      </c>
      <c r="G15" s="8" t="n">
        <v>7820</v>
      </c>
      <c r="H15" s="7" t="s">
        <v>10</v>
      </c>
      <c r="I15" s="7" t="s">
        <v>11</v>
      </c>
    </row>
    <row r="16" customFormat="false" ht="13.8" hidden="false" customHeight="false" outlineLevel="0" collapsed="false">
      <c r="A16" s="5" t="n">
        <v>44837</v>
      </c>
      <c r="B16" s="6" t="n">
        <v>0.149305555555556</v>
      </c>
      <c r="C16" s="7" t="n">
        <v>13081</v>
      </c>
      <c r="D16" s="7" t="s">
        <v>14</v>
      </c>
      <c r="E16" s="7" t="n">
        <v>17940</v>
      </c>
      <c r="F16" s="7" t="n">
        <v>12800</v>
      </c>
      <c r="G16" s="8" t="n">
        <v>5140</v>
      </c>
      <c r="H16" s="7" t="s">
        <v>10</v>
      </c>
      <c r="I16" s="7" t="s">
        <v>11</v>
      </c>
    </row>
    <row r="17" customFormat="false" ht="13.8" hidden="false" customHeight="false" outlineLevel="0" collapsed="false">
      <c r="A17" s="5" t="n">
        <v>44837</v>
      </c>
      <c r="B17" s="6" t="n">
        <v>0.507638888888889</v>
      </c>
      <c r="C17" s="7" t="n">
        <v>13122</v>
      </c>
      <c r="D17" s="7" t="s">
        <v>9</v>
      </c>
      <c r="E17" s="7" t="n">
        <v>3280</v>
      </c>
      <c r="F17" s="7" t="n">
        <v>2860</v>
      </c>
      <c r="G17" s="8" t="n">
        <v>420</v>
      </c>
      <c r="H17" s="7" t="s">
        <v>10</v>
      </c>
      <c r="I17" s="7" t="s">
        <v>11</v>
      </c>
    </row>
    <row r="18" customFormat="false" ht="13.8" hidden="false" customHeight="false" outlineLevel="0" collapsed="false">
      <c r="A18" s="5" t="n">
        <v>44837</v>
      </c>
      <c r="B18" s="6" t="n">
        <v>0.530555555555556</v>
      </c>
      <c r="C18" s="7" t="n">
        <v>13128</v>
      </c>
      <c r="D18" s="7" t="s">
        <v>16</v>
      </c>
      <c r="E18" s="7" t="n">
        <v>2660</v>
      </c>
      <c r="F18" s="7" t="n">
        <v>2400</v>
      </c>
      <c r="G18" s="8" t="n">
        <v>260</v>
      </c>
      <c r="H18" s="7" t="s">
        <v>10</v>
      </c>
      <c r="I18" s="7" t="s">
        <v>11</v>
      </c>
    </row>
    <row r="19" customFormat="false" ht="13.8" hidden="false" customHeight="false" outlineLevel="0" collapsed="false">
      <c r="A19" s="5" t="n">
        <v>44837</v>
      </c>
      <c r="B19" s="6" t="n">
        <v>0.457638888888889</v>
      </c>
      <c r="C19" s="7" t="n">
        <v>3556</v>
      </c>
      <c r="D19" s="7" t="s">
        <v>18</v>
      </c>
      <c r="E19" s="7" t="n">
        <v>17360</v>
      </c>
      <c r="F19" s="7" t="n">
        <v>15760</v>
      </c>
      <c r="G19" s="8" t="n">
        <v>1600</v>
      </c>
      <c r="H19" s="7" t="s">
        <v>10</v>
      </c>
      <c r="I19" s="7" t="s">
        <v>19</v>
      </c>
    </row>
    <row r="20" customFormat="false" ht="13.8" hidden="false" customHeight="false" outlineLevel="0" collapsed="false">
      <c r="A20" s="5" t="n">
        <v>44837</v>
      </c>
      <c r="B20" s="6" t="n">
        <v>0.676388888888889</v>
      </c>
      <c r="C20" s="7" t="n">
        <v>13139</v>
      </c>
      <c r="D20" s="7" t="s">
        <v>9</v>
      </c>
      <c r="E20" s="7" t="n">
        <v>3040</v>
      </c>
      <c r="F20" s="7" t="n">
        <v>2860</v>
      </c>
      <c r="G20" s="8" t="n">
        <v>180</v>
      </c>
      <c r="H20" s="7" t="s">
        <v>10</v>
      </c>
      <c r="I20" s="7" t="s">
        <v>11</v>
      </c>
    </row>
    <row r="21" customFormat="false" ht="13.8" hidden="false" customHeight="false" outlineLevel="0" collapsed="false">
      <c r="A21" s="5" t="n">
        <v>44838</v>
      </c>
      <c r="B21" s="6" t="n">
        <v>0.173611111111111</v>
      </c>
      <c r="C21" s="7" t="n">
        <v>13153</v>
      </c>
      <c r="D21" s="7" t="s">
        <v>14</v>
      </c>
      <c r="E21" s="7" t="n">
        <v>16040</v>
      </c>
      <c r="F21" s="7" t="n">
        <v>12680</v>
      </c>
      <c r="G21" s="8" t="n">
        <v>3360</v>
      </c>
      <c r="H21" s="7" t="s">
        <v>10</v>
      </c>
      <c r="I21" s="7" t="s">
        <v>11</v>
      </c>
    </row>
    <row r="22" customFormat="false" ht="13.8" hidden="false" customHeight="false" outlineLevel="0" collapsed="false">
      <c r="A22" s="5" t="n">
        <v>44838</v>
      </c>
      <c r="B22" s="6" t="n">
        <v>0.105555555555556</v>
      </c>
      <c r="C22" s="7" t="n">
        <v>13144</v>
      </c>
      <c r="D22" s="7" t="s">
        <v>14</v>
      </c>
      <c r="E22" s="7" t="n">
        <v>20740</v>
      </c>
      <c r="F22" s="7" t="n">
        <v>12700</v>
      </c>
      <c r="G22" s="8" t="n">
        <v>8040</v>
      </c>
      <c r="H22" s="7" t="s">
        <v>10</v>
      </c>
      <c r="I22" s="7" t="s">
        <v>11</v>
      </c>
    </row>
    <row r="23" customFormat="false" ht="13.8" hidden="false" customHeight="false" outlineLevel="0" collapsed="false">
      <c r="A23" s="5" t="n">
        <v>44838</v>
      </c>
      <c r="B23" s="6" t="n">
        <v>0.25625</v>
      </c>
      <c r="C23" s="7" t="n">
        <v>13158</v>
      </c>
      <c r="D23" s="7" t="s">
        <v>17</v>
      </c>
      <c r="E23" s="7" t="n">
        <v>4480</v>
      </c>
      <c r="F23" s="7" t="n">
        <v>3760</v>
      </c>
      <c r="G23" s="8" t="n">
        <v>720</v>
      </c>
      <c r="H23" s="7" t="s">
        <v>10</v>
      </c>
      <c r="I23" s="7" t="s">
        <v>11</v>
      </c>
    </row>
    <row r="24" customFormat="false" ht="13.8" hidden="false" customHeight="false" outlineLevel="0" collapsed="false">
      <c r="A24" s="5" t="n">
        <v>44838</v>
      </c>
      <c r="B24" s="6" t="n">
        <v>0.238888888888889</v>
      </c>
      <c r="C24" s="7" t="n">
        <v>13157</v>
      </c>
      <c r="D24" s="7" t="s">
        <v>13</v>
      </c>
      <c r="E24" s="7" t="n">
        <v>26680</v>
      </c>
      <c r="F24" s="7" t="n">
        <v>16120</v>
      </c>
      <c r="G24" s="8" t="n">
        <v>10560</v>
      </c>
      <c r="H24" s="7" t="s">
        <v>10</v>
      </c>
      <c r="I24" s="7" t="s">
        <v>11</v>
      </c>
    </row>
    <row r="25" customFormat="false" ht="13.8" hidden="false" customHeight="false" outlineLevel="0" collapsed="false">
      <c r="A25" s="5" t="n">
        <v>44838</v>
      </c>
      <c r="B25" s="6" t="n">
        <v>0.513194444444444</v>
      </c>
      <c r="C25" s="7" t="n">
        <v>13182</v>
      </c>
      <c r="D25" s="7" t="s">
        <v>16</v>
      </c>
      <c r="E25" s="7" t="n">
        <v>2640</v>
      </c>
      <c r="F25" s="7" t="n">
        <v>2420</v>
      </c>
      <c r="G25" s="8" t="n">
        <v>220</v>
      </c>
      <c r="H25" s="7" t="s">
        <v>10</v>
      </c>
      <c r="I25" s="7" t="s">
        <v>11</v>
      </c>
    </row>
    <row r="26" customFormat="false" ht="13.8" hidden="false" customHeight="false" outlineLevel="0" collapsed="false">
      <c r="A26" s="5" t="n">
        <v>44838</v>
      </c>
      <c r="B26" s="6" t="n">
        <v>0.461805555555556</v>
      </c>
      <c r="C26" s="7" t="n">
        <v>13176</v>
      </c>
      <c r="D26" s="7" t="s">
        <v>9</v>
      </c>
      <c r="E26" s="7" t="n">
        <v>3180</v>
      </c>
      <c r="F26" s="7" t="n">
        <v>2860</v>
      </c>
      <c r="G26" s="8" t="n">
        <v>320</v>
      </c>
      <c r="H26" s="7" t="s">
        <v>10</v>
      </c>
      <c r="I26" s="7" t="s">
        <v>11</v>
      </c>
    </row>
    <row r="27" customFormat="false" ht="13.8" hidden="false" customHeight="false" outlineLevel="0" collapsed="false">
      <c r="A27" s="5" t="n">
        <v>44838</v>
      </c>
      <c r="B27" s="6" t="n">
        <v>0.499305555555555</v>
      </c>
      <c r="C27" s="7" t="n">
        <v>145448</v>
      </c>
      <c r="D27" s="7" t="s">
        <v>13</v>
      </c>
      <c r="E27" s="7" t="n">
        <v>17800</v>
      </c>
      <c r="F27" s="7" t="n">
        <v>15760</v>
      </c>
      <c r="G27" s="8" t="n">
        <v>2040</v>
      </c>
      <c r="H27" s="7" t="s">
        <v>10</v>
      </c>
      <c r="I27" s="7" t="s">
        <v>20</v>
      </c>
    </row>
    <row r="28" customFormat="false" ht="13.8" hidden="false" customHeight="false" outlineLevel="0" collapsed="false">
      <c r="A28" s="5" t="n">
        <v>44839</v>
      </c>
      <c r="B28" s="6" t="n">
        <v>0.229166666666667</v>
      </c>
      <c r="C28" s="7" t="n">
        <v>13208</v>
      </c>
      <c r="D28" s="7" t="s">
        <v>13</v>
      </c>
      <c r="E28" s="7" t="n">
        <v>24180</v>
      </c>
      <c r="F28" s="7" t="n">
        <v>15920</v>
      </c>
      <c r="G28" s="8" t="n">
        <v>8260</v>
      </c>
      <c r="H28" s="7" t="s">
        <v>10</v>
      </c>
      <c r="I28" s="7" t="s">
        <v>11</v>
      </c>
    </row>
    <row r="29" customFormat="false" ht="13.8" hidden="false" customHeight="false" outlineLevel="0" collapsed="false">
      <c r="A29" s="5" t="n">
        <v>44839</v>
      </c>
      <c r="B29" s="6" t="n">
        <v>0.255555555555556</v>
      </c>
      <c r="C29" s="7" t="n">
        <v>13209</v>
      </c>
      <c r="D29" s="7" t="s">
        <v>17</v>
      </c>
      <c r="E29" s="7" t="n">
        <v>4400</v>
      </c>
      <c r="F29" s="7" t="n">
        <v>3760</v>
      </c>
      <c r="G29" s="8" t="n">
        <v>640</v>
      </c>
      <c r="H29" s="7" t="s">
        <v>10</v>
      </c>
      <c r="I29" s="7" t="s">
        <v>11</v>
      </c>
    </row>
    <row r="30" customFormat="false" ht="13.8" hidden="false" customHeight="false" outlineLevel="0" collapsed="false">
      <c r="A30" s="5" t="n">
        <v>44839</v>
      </c>
      <c r="B30" s="6" t="n">
        <v>0.111805555555556</v>
      </c>
      <c r="C30" s="7" t="n">
        <v>13198</v>
      </c>
      <c r="D30" s="7" t="s">
        <v>14</v>
      </c>
      <c r="E30" s="7" t="n">
        <v>21280</v>
      </c>
      <c r="F30" s="7" t="n">
        <v>12660</v>
      </c>
      <c r="G30" s="8" t="n">
        <v>8620</v>
      </c>
      <c r="H30" s="7" t="s">
        <v>10</v>
      </c>
      <c r="I30" s="7" t="s">
        <v>11</v>
      </c>
    </row>
    <row r="31" customFormat="false" ht="13.8" hidden="false" customHeight="false" outlineLevel="0" collapsed="false">
      <c r="A31" s="5" t="n">
        <v>44839</v>
      </c>
      <c r="B31" s="6" t="n">
        <v>0.170833333333333</v>
      </c>
      <c r="C31" s="7" t="n">
        <v>13201</v>
      </c>
      <c r="D31" s="7" t="s">
        <v>14</v>
      </c>
      <c r="E31" s="7" t="n">
        <v>15480</v>
      </c>
      <c r="F31" s="7" t="n">
        <v>12640</v>
      </c>
      <c r="G31" s="8" t="n">
        <v>2840</v>
      </c>
      <c r="H31" s="7" t="s">
        <v>10</v>
      </c>
      <c r="I31" s="7" t="s">
        <v>11</v>
      </c>
    </row>
    <row r="32" customFormat="false" ht="13.8" hidden="false" customHeight="false" outlineLevel="0" collapsed="false">
      <c r="A32" s="5" t="n">
        <v>44837</v>
      </c>
      <c r="B32" s="6" t="n">
        <v>0.447222222222222</v>
      </c>
      <c r="C32" s="7" t="n">
        <v>13114</v>
      </c>
      <c r="D32" s="7" t="s">
        <v>13</v>
      </c>
      <c r="E32" s="7" t="n">
        <v>24140</v>
      </c>
      <c r="F32" s="7" t="n">
        <v>16040</v>
      </c>
      <c r="G32" s="8" t="n">
        <v>8100</v>
      </c>
      <c r="H32" s="7" t="s">
        <v>10</v>
      </c>
      <c r="I32" s="7" t="s">
        <v>11</v>
      </c>
    </row>
    <row r="33" customFormat="false" ht="13.8" hidden="false" customHeight="false" outlineLevel="0" collapsed="false">
      <c r="A33" s="5" t="n">
        <v>44837</v>
      </c>
      <c r="B33" s="6" t="n">
        <v>0.448611111111111</v>
      </c>
      <c r="C33" s="7" t="n">
        <v>13116</v>
      </c>
      <c r="D33" s="7" t="s">
        <v>14</v>
      </c>
      <c r="E33" s="7" t="n">
        <v>21400</v>
      </c>
      <c r="F33" s="7" t="n">
        <v>12640</v>
      </c>
      <c r="G33" s="8" t="n">
        <v>8760</v>
      </c>
      <c r="H33" s="7" t="s">
        <v>10</v>
      </c>
      <c r="I33" s="7" t="s">
        <v>11</v>
      </c>
    </row>
    <row r="34" customFormat="false" ht="13.8" hidden="false" customHeight="false" outlineLevel="0" collapsed="false">
      <c r="A34" s="5" t="n">
        <v>44839</v>
      </c>
      <c r="B34" s="6" t="n">
        <v>0.515972222222222</v>
      </c>
      <c r="C34" s="7" t="n">
        <v>13234</v>
      </c>
      <c r="D34" s="7" t="s">
        <v>16</v>
      </c>
      <c r="E34" s="7" t="n">
        <v>2640</v>
      </c>
      <c r="F34" s="7" t="n">
        <v>2420</v>
      </c>
      <c r="G34" s="8" t="n">
        <v>220</v>
      </c>
      <c r="H34" s="7" t="s">
        <v>10</v>
      </c>
      <c r="I34" s="7" t="s">
        <v>11</v>
      </c>
    </row>
    <row r="35" customFormat="false" ht="13.8" hidden="false" customHeight="false" outlineLevel="0" collapsed="false">
      <c r="A35" s="5" t="n">
        <v>44839</v>
      </c>
      <c r="B35" s="6" t="n">
        <v>0.529861111111111</v>
      </c>
      <c r="C35" s="7" t="n">
        <v>13236</v>
      </c>
      <c r="D35" s="7" t="s">
        <v>21</v>
      </c>
      <c r="E35" s="7" t="n">
        <v>6800</v>
      </c>
      <c r="F35" s="7" t="n">
        <v>5740</v>
      </c>
      <c r="G35" s="8" t="n">
        <v>1060</v>
      </c>
      <c r="H35" s="7" t="s">
        <v>10</v>
      </c>
      <c r="I35" s="7" t="s">
        <v>22</v>
      </c>
    </row>
    <row r="36" customFormat="false" ht="13.8" hidden="false" customHeight="false" outlineLevel="0" collapsed="false">
      <c r="A36" s="5" t="n">
        <v>44839</v>
      </c>
      <c r="B36" s="6" t="n">
        <v>0.359722222222222</v>
      </c>
      <c r="C36" s="7" t="n">
        <v>13216</v>
      </c>
      <c r="D36" s="7" t="s">
        <v>21</v>
      </c>
      <c r="E36" s="7" t="n">
        <v>6460</v>
      </c>
      <c r="F36" s="7" t="n">
        <v>5580</v>
      </c>
      <c r="G36" s="8" t="n">
        <v>880</v>
      </c>
      <c r="H36" s="7" t="s">
        <v>10</v>
      </c>
      <c r="I36" s="7" t="s">
        <v>22</v>
      </c>
    </row>
    <row r="37" customFormat="false" ht="13.8" hidden="false" customHeight="false" outlineLevel="0" collapsed="false">
      <c r="A37" s="5" t="n">
        <v>44840</v>
      </c>
      <c r="B37" s="6" t="n">
        <v>0.0979166666666667</v>
      </c>
      <c r="C37" s="7" t="n">
        <v>13248</v>
      </c>
      <c r="D37" s="7" t="s">
        <v>14</v>
      </c>
      <c r="E37" s="7" t="n">
        <v>20520</v>
      </c>
      <c r="F37" s="7" t="n">
        <v>12780</v>
      </c>
      <c r="G37" s="8" t="n">
        <v>7740</v>
      </c>
      <c r="H37" s="7" t="s">
        <v>10</v>
      </c>
      <c r="I37" s="7" t="s">
        <v>11</v>
      </c>
    </row>
    <row r="38" customFormat="false" ht="13.8" hidden="false" customHeight="false" outlineLevel="0" collapsed="false">
      <c r="A38" s="5" t="n">
        <v>44840</v>
      </c>
      <c r="B38" s="6" t="n">
        <v>0.15625</v>
      </c>
      <c r="C38" s="7" t="n">
        <v>13254</v>
      </c>
      <c r="D38" s="7" t="s">
        <v>14</v>
      </c>
      <c r="E38" s="7" t="n">
        <v>15420</v>
      </c>
      <c r="F38" s="7" t="n">
        <v>12780</v>
      </c>
      <c r="G38" s="8" t="n">
        <v>2640</v>
      </c>
      <c r="H38" s="7" t="s">
        <v>10</v>
      </c>
      <c r="I38" s="7" t="s">
        <v>11</v>
      </c>
    </row>
    <row r="39" customFormat="false" ht="13.8" hidden="false" customHeight="false" outlineLevel="0" collapsed="false">
      <c r="A39" s="5" t="n">
        <v>44840</v>
      </c>
      <c r="B39" s="6" t="n">
        <v>0.259722222222222</v>
      </c>
      <c r="C39" s="7" t="n">
        <v>13264</v>
      </c>
      <c r="D39" s="7" t="s">
        <v>17</v>
      </c>
      <c r="E39" s="7" t="n">
        <v>4320</v>
      </c>
      <c r="F39" s="7" t="n">
        <v>3760</v>
      </c>
      <c r="G39" s="8" t="n">
        <v>560</v>
      </c>
      <c r="H39" s="7" t="s">
        <v>10</v>
      </c>
      <c r="I39" s="7" t="s">
        <v>11</v>
      </c>
    </row>
    <row r="40" customFormat="false" ht="13.8" hidden="false" customHeight="false" outlineLevel="0" collapsed="false">
      <c r="A40" s="5" t="n">
        <v>44840</v>
      </c>
      <c r="B40" s="6" t="n">
        <v>0.113194444444444</v>
      </c>
      <c r="C40" s="7" t="n">
        <v>13252</v>
      </c>
      <c r="D40" s="7" t="s">
        <v>13</v>
      </c>
      <c r="E40" s="7" t="n">
        <v>23580</v>
      </c>
      <c r="F40" s="7" t="n">
        <v>15880</v>
      </c>
      <c r="G40" s="8" t="n">
        <v>7700</v>
      </c>
      <c r="H40" s="7" t="s">
        <v>10</v>
      </c>
      <c r="I40" s="7" t="s">
        <v>11</v>
      </c>
    </row>
    <row r="41" customFormat="false" ht="13.8" hidden="false" customHeight="false" outlineLevel="0" collapsed="false">
      <c r="A41" s="5" t="n">
        <v>44840</v>
      </c>
      <c r="B41" s="6" t="n">
        <v>0.231944444444444</v>
      </c>
      <c r="C41" s="7" t="n">
        <v>13260</v>
      </c>
      <c r="D41" s="7" t="s">
        <v>13</v>
      </c>
      <c r="E41" s="7" t="n">
        <v>21540</v>
      </c>
      <c r="F41" s="7" t="n">
        <v>15860</v>
      </c>
      <c r="G41" s="8" t="n">
        <v>5680</v>
      </c>
      <c r="H41" s="7" t="s">
        <v>10</v>
      </c>
      <c r="I41" s="7" t="s">
        <v>11</v>
      </c>
    </row>
    <row r="42" customFormat="false" ht="13.8" hidden="false" customHeight="false" outlineLevel="0" collapsed="false">
      <c r="A42" s="5" t="n">
        <v>44840</v>
      </c>
      <c r="B42" s="6" t="n">
        <v>0.343055555555555</v>
      </c>
      <c r="C42" s="7" t="n">
        <v>13272</v>
      </c>
      <c r="D42" s="7" t="s">
        <v>9</v>
      </c>
      <c r="E42" s="7" t="n">
        <v>3320</v>
      </c>
      <c r="F42" s="7" t="n">
        <v>2880</v>
      </c>
      <c r="G42" s="8" t="n">
        <v>440</v>
      </c>
      <c r="H42" s="7" t="s">
        <v>10</v>
      </c>
      <c r="I42" s="7" t="s">
        <v>23</v>
      </c>
    </row>
    <row r="43" customFormat="false" ht="13.8" hidden="false" customHeight="false" outlineLevel="0" collapsed="false">
      <c r="A43" s="5" t="n">
        <v>44840</v>
      </c>
      <c r="B43" s="6" t="n">
        <v>0.338194444444444</v>
      </c>
      <c r="C43" s="7" t="n">
        <v>13269</v>
      </c>
      <c r="D43" s="7" t="s">
        <v>12</v>
      </c>
      <c r="E43" s="7" t="n">
        <v>3320</v>
      </c>
      <c r="F43" s="7" t="n">
        <v>2700</v>
      </c>
      <c r="G43" s="8" t="n">
        <v>620</v>
      </c>
      <c r="H43" s="7" t="s">
        <v>10</v>
      </c>
      <c r="I43" s="7" t="s">
        <v>23</v>
      </c>
    </row>
    <row r="44" customFormat="false" ht="13.8" hidden="false" customHeight="false" outlineLevel="0" collapsed="false">
      <c r="A44" s="5" t="n">
        <v>44840</v>
      </c>
      <c r="B44" s="6" t="n">
        <v>0.511805555555555</v>
      </c>
      <c r="C44" s="7" t="n">
        <v>13288</v>
      </c>
      <c r="D44" s="7" t="s">
        <v>16</v>
      </c>
      <c r="E44" s="7" t="n">
        <v>2660</v>
      </c>
      <c r="F44" s="7" t="n">
        <v>2400</v>
      </c>
      <c r="G44" s="8" t="n">
        <v>260</v>
      </c>
      <c r="H44" s="7" t="s">
        <v>10</v>
      </c>
      <c r="I44" s="7" t="s">
        <v>11</v>
      </c>
    </row>
    <row r="45" customFormat="false" ht="13.8" hidden="false" customHeight="false" outlineLevel="0" collapsed="false">
      <c r="A45" s="5" t="n">
        <v>44840</v>
      </c>
      <c r="B45" s="6" t="n">
        <v>0.354166666666667</v>
      </c>
      <c r="C45" s="7" t="n">
        <v>13274</v>
      </c>
      <c r="D45" s="7" t="s">
        <v>21</v>
      </c>
      <c r="E45" s="7" t="n">
        <v>6520</v>
      </c>
      <c r="F45" s="7" t="n">
        <v>5560</v>
      </c>
      <c r="G45" s="8" t="n">
        <v>960</v>
      </c>
      <c r="H45" s="7" t="s">
        <v>10</v>
      </c>
      <c r="I45" s="7" t="s">
        <v>22</v>
      </c>
    </row>
    <row r="46" customFormat="false" ht="13.8" hidden="false" customHeight="false" outlineLevel="0" collapsed="false">
      <c r="A46" s="5" t="n">
        <v>44841</v>
      </c>
      <c r="B46" s="6" t="n">
        <v>0.272916666666667</v>
      </c>
      <c r="C46" s="7" t="n">
        <v>13314</v>
      </c>
      <c r="D46" s="7" t="s">
        <v>17</v>
      </c>
      <c r="E46" s="7" t="n">
        <v>4720</v>
      </c>
      <c r="F46" s="7" t="n">
        <v>3780</v>
      </c>
      <c r="G46" s="8" t="n">
        <v>940</v>
      </c>
      <c r="H46" s="7" t="s">
        <v>10</v>
      </c>
      <c r="I46" s="7" t="s">
        <v>11</v>
      </c>
    </row>
    <row r="47" customFormat="false" ht="13.8" hidden="false" customHeight="false" outlineLevel="0" collapsed="false">
      <c r="A47" s="5" t="n">
        <v>44841</v>
      </c>
      <c r="B47" s="6" t="n">
        <v>0.256944444444444</v>
      </c>
      <c r="C47" s="7" t="n">
        <v>13311</v>
      </c>
      <c r="D47" s="7" t="s">
        <v>13</v>
      </c>
      <c r="E47" s="7" t="n">
        <v>25380</v>
      </c>
      <c r="F47" s="7" t="n">
        <v>16540</v>
      </c>
      <c r="G47" s="8" t="n">
        <v>8840</v>
      </c>
      <c r="H47" s="7" t="s">
        <v>10</v>
      </c>
      <c r="I47" s="7" t="s">
        <v>11</v>
      </c>
    </row>
    <row r="48" customFormat="false" ht="13.8" hidden="false" customHeight="false" outlineLevel="0" collapsed="false">
      <c r="A48" s="5" t="n">
        <v>44841</v>
      </c>
      <c r="B48" s="6" t="n">
        <v>0.315277777777778</v>
      </c>
      <c r="C48" s="7" t="n">
        <v>13317</v>
      </c>
      <c r="D48" s="7" t="s">
        <v>15</v>
      </c>
      <c r="E48" s="7" t="n">
        <v>16660</v>
      </c>
      <c r="F48" s="7" t="n">
        <v>12660</v>
      </c>
      <c r="G48" s="8" t="n">
        <v>4000</v>
      </c>
      <c r="H48" s="7" t="s">
        <v>10</v>
      </c>
      <c r="I48" s="7" t="s">
        <v>11</v>
      </c>
    </row>
    <row r="49" customFormat="false" ht="13.8" hidden="false" customHeight="false" outlineLevel="0" collapsed="false">
      <c r="A49" s="5" t="n">
        <v>44841</v>
      </c>
      <c r="B49" s="6" t="n">
        <v>0.130555555555556</v>
      </c>
      <c r="C49" s="7" t="n">
        <v>13305</v>
      </c>
      <c r="D49" s="7" t="s">
        <v>15</v>
      </c>
      <c r="E49" s="7" t="n">
        <v>21440</v>
      </c>
      <c r="F49" s="7" t="n">
        <v>12600</v>
      </c>
      <c r="G49" s="8" t="n">
        <v>8840</v>
      </c>
      <c r="H49" s="7" t="s">
        <v>10</v>
      </c>
      <c r="I49" s="7" t="s">
        <v>11</v>
      </c>
    </row>
    <row r="50" customFormat="false" ht="13.8" hidden="false" customHeight="false" outlineLevel="0" collapsed="false">
      <c r="A50" s="5" t="n">
        <v>44841</v>
      </c>
      <c r="B50" s="6" t="n">
        <v>0.4375</v>
      </c>
      <c r="C50" s="7" t="n">
        <v>13327</v>
      </c>
      <c r="D50" s="7" t="s">
        <v>21</v>
      </c>
      <c r="E50" s="7" t="n">
        <v>6440</v>
      </c>
      <c r="F50" s="7" t="n">
        <v>5560</v>
      </c>
      <c r="G50" s="8" t="n">
        <v>880</v>
      </c>
      <c r="H50" s="7" t="s">
        <v>10</v>
      </c>
      <c r="I50" s="7" t="s">
        <v>22</v>
      </c>
    </row>
    <row r="51" customFormat="false" ht="13.8" hidden="false" customHeight="false" outlineLevel="0" collapsed="false">
      <c r="A51" s="5" t="n">
        <v>44841</v>
      </c>
      <c r="B51" s="6" t="n">
        <v>0.503472222222222</v>
      </c>
      <c r="C51" s="7" t="n">
        <v>13333</v>
      </c>
      <c r="D51" s="7" t="s">
        <v>16</v>
      </c>
      <c r="E51" s="7" t="n">
        <v>2700</v>
      </c>
      <c r="F51" s="7" t="n">
        <v>2400</v>
      </c>
      <c r="G51" s="8" t="n">
        <v>300</v>
      </c>
      <c r="H51" s="7" t="s">
        <v>10</v>
      </c>
      <c r="I51" s="7" t="s">
        <v>11</v>
      </c>
    </row>
    <row r="52" customFormat="false" ht="13.8" hidden="false" customHeight="false" outlineLevel="0" collapsed="false">
      <c r="A52" s="5" t="n">
        <v>44842</v>
      </c>
      <c r="B52" s="6" t="n">
        <v>0.264583333333333</v>
      </c>
      <c r="C52" s="7" t="n">
        <v>13356</v>
      </c>
      <c r="D52" s="7" t="s">
        <v>17</v>
      </c>
      <c r="E52" s="7" t="n">
        <v>4400</v>
      </c>
      <c r="F52" s="7" t="n">
        <v>3760</v>
      </c>
      <c r="G52" s="8" t="n">
        <v>640</v>
      </c>
      <c r="H52" s="7" t="s">
        <v>10</v>
      </c>
      <c r="I52" s="7" t="s">
        <v>11</v>
      </c>
    </row>
    <row r="53" customFormat="false" ht="13.8" hidden="false" customHeight="false" outlineLevel="0" collapsed="false">
      <c r="A53" s="5" t="n">
        <v>44842</v>
      </c>
      <c r="B53" s="6" t="n">
        <v>0.204861111111111</v>
      </c>
      <c r="C53" s="7" t="n">
        <v>13348</v>
      </c>
      <c r="D53" s="7" t="s">
        <v>15</v>
      </c>
      <c r="E53" s="7" t="n">
        <v>17080</v>
      </c>
      <c r="F53" s="7" t="n">
        <v>12500</v>
      </c>
      <c r="G53" s="8" t="n">
        <v>4580</v>
      </c>
      <c r="H53" s="7" t="s">
        <v>10</v>
      </c>
      <c r="I53" s="7" t="s">
        <v>11</v>
      </c>
    </row>
    <row r="54" customFormat="false" ht="13.8" hidden="false" customHeight="false" outlineLevel="0" collapsed="false">
      <c r="A54" s="5" t="n">
        <v>44842</v>
      </c>
      <c r="B54" s="6" t="n">
        <v>0.453472222222222</v>
      </c>
      <c r="C54" s="7" t="n">
        <v>13363</v>
      </c>
      <c r="D54" s="7" t="s">
        <v>21</v>
      </c>
      <c r="E54" s="7" t="n">
        <v>6500</v>
      </c>
      <c r="F54" s="7" t="n">
        <v>5540</v>
      </c>
      <c r="G54" s="8" t="n">
        <v>960</v>
      </c>
      <c r="H54" s="7" t="s">
        <v>10</v>
      </c>
      <c r="I54" s="7" t="s">
        <v>22</v>
      </c>
    </row>
    <row r="55" customFormat="false" ht="13.8" hidden="false" customHeight="false" outlineLevel="0" collapsed="false">
      <c r="A55" s="5" t="n">
        <v>44842</v>
      </c>
      <c r="B55" s="6" t="n">
        <v>0.13125</v>
      </c>
      <c r="C55" s="7" t="n">
        <v>13344</v>
      </c>
      <c r="D55" s="7" t="s">
        <v>15</v>
      </c>
      <c r="E55" s="7" t="n">
        <v>21400</v>
      </c>
      <c r="F55" s="7" t="n">
        <v>12500</v>
      </c>
      <c r="G55" s="8" t="n">
        <v>8900</v>
      </c>
      <c r="H55" s="7" t="s">
        <v>10</v>
      </c>
      <c r="I55" s="7" t="s">
        <v>11</v>
      </c>
    </row>
    <row r="56" customFormat="false" ht="13.8" hidden="false" customHeight="false" outlineLevel="0" collapsed="false">
      <c r="A56" s="5" t="n">
        <v>44842</v>
      </c>
      <c r="B56" s="6" t="n">
        <v>0.218055555555556</v>
      </c>
      <c r="C56" s="7" t="n">
        <v>13350</v>
      </c>
      <c r="D56" s="7" t="s">
        <v>13</v>
      </c>
      <c r="E56" s="7" t="n">
        <v>29080</v>
      </c>
      <c r="F56" s="7" t="n">
        <v>16780</v>
      </c>
      <c r="G56" s="8" t="n">
        <v>12300</v>
      </c>
      <c r="H56" s="7" t="s">
        <v>10</v>
      </c>
      <c r="I56" s="7" t="s">
        <v>11</v>
      </c>
    </row>
    <row r="57" customFormat="false" ht="13.8" hidden="false" customHeight="false" outlineLevel="0" collapsed="false">
      <c r="A57" s="5" t="n">
        <v>44842</v>
      </c>
      <c r="B57" s="6" t="n">
        <v>0.479861111111111</v>
      </c>
      <c r="C57" s="7" t="n">
        <v>13365</v>
      </c>
      <c r="D57" s="7" t="s">
        <v>16</v>
      </c>
      <c r="E57" s="7" t="n">
        <v>2740</v>
      </c>
      <c r="F57" s="7" t="n">
        <v>2420</v>
      </c>
      <c r="G57" s="8" t="n">
        <v>320</v>
      </c>
      <c r="H57" s="7" t="s">
        <v>10</v>
      </c>
      <c r="I57" s="7" t="s">
        <v>11</v>
      </c>
    </row>
    <row r="58" customFormat="false" ht="13.8" hidden="false" customHeight="false" outlineLevel="0" collapsed="false">
      <c r="A58" s="5" t="n">
        <v>44843</v>
      </c>
      <c r="B58" s="6" t="n">
        <v>0.242361111111111</v>
      </c>
      <c r="C58" s="7" t="n">
        <v>13379</v>
      </c>
      <c r="D58" s="7" t="s">
        <v>12</v>
      </c>
      <c r="E58" s="7" t="n">
        <v>3480</v>
      </c>
      <c r="F58" s="7" t="n">
        <v>2720</v>
      </c>
      <c r="G58" s="8" t="n">
        <v>760</v>
      </c>
      <c r="H58" s="7" t="s">
        <v>10</v>
      </c>
      <c r="I58" s="7" t="s">
        <v>11</v>
      </c>
    </row>
    <row r="59" customFormat="false" ht="13.8" hidden="false" customHeight="false" outlineLevel="0" collapsed="false">
      <c r="A59" s="5" t="n">
        <v>44843</v>
      </c>
      <c r="B59" s="6" t="n">
        <v>0.245833333333333</v>
      </c>
      <c r="C59" s="7" t="n">
        <v>13380</v>
      </c>
      <c r="D59" s="7" t="s">
        <v>15</v>
      </c>
      <c r="E59" s="7" t="n">
        <v>15920</v>
      </c>
      <c r="F59" s="7" t="n">
        <v>12620</v>
      </c>
      <c r="G59" s="8" t="n">
        <v>3300</v>
      </c>
      <c r="H59" s="7" t="s">
        <v>10</v>
      </c>
      <c r="I59" s="7" t="s">
        <v>11</v>
      </c>
    </row>
    <row r="60" customFormat="false" ht="13.8" hidden="false" customHeight="false" outlineLevel="0" collapsed="false">
      <c r="A60" s="5" t="n">
        <v>44843</v>
      </c>
      <c r="B60" s="6" t="n">
        <v>0.183333333333333</v>
      </c>
      <c r="C60" s="7" t="n">
        <v>13376</v>
      </c>
      <c r="D60" s="7" t="s">
        <v>13</v>
      </c>
      <c r="E60" s="7" t="n">
        <v>26860</v>
      </c>
      <c r="F60" s="7" t="n">
        <v>16040</v>
      </c>
      <c r="G60" s="8" t="n">
        <v>10820</v>
      </c>
      <c r="H60" s="7" t="s">
        <v>10</v>
      </c>
      <c r="I60" s="7" t="s">
        <v>11</v>
      </c>
    </row>
    <row r="61" customFormat="false" ht="13.8" hidden="false" customHeight="false" outlineLevel="0" collapsed="false">
      <c r="A61" s="5" t="n">
        <v>44843</v>
      </c>
      <c r="B61" s="6" t="n">
        <v>0.117361111111111</v>
      </c>
      <c r="C61" s="7" t="n">
        <v>13372</v>
      </c>
      <c r="D61" s="7" t="s">
        <v>15</v>
      </c>
      <c r="E61" s="7" t="n">
        <v>20780</v>
      </c>
      <c r="F61" s="7" t="n">
        <v>12560</v>
      </c>
      <c r="G61" s="8" t="n">
        <v>8220</v>
      </c>
      <c r="H61" s="7" t="s">
        <v>10</v>
      </c>
      <c r="I61" s="7" t="s">
        <v>11</v>
      </c>
    </row>
    <row r="62" customFormat="false" ht="13.8" hidden="false" customHeight="false" outlineLevel="0" collapsed="false">
      <c r="A62" s="5" t="n">
        <v>44843</v>
      </c>
      <c r="B62" s="6" t="n">
        <v>0.254861111111111</v>
      </c>
      <c r="C62" s="7" t="n">
        <v>13381</v>
      </c>
      <c r="D62" s="7" t="s">
        <v>13</v>
      </c>
      <c r="E62" s="7" t="n">
        <v>17100</v>
      </c>
      <c r="F62" s="7" t="n">
        <v>16000</v>
      </c>
      <c r="G62" s="8" t="n">
        <v>1100</v>
      </c>
      <c r="H62" s="7" t="s">
        <v>10</v>
      </c>
      <c r="I62" s="7" t="s">
        <v>11</v>
      </c>
    </row>
    <row r="63" customFormat="false" ht="13.8" hidden="false" customHeight="false" outlineLevel="0" collapsed="false">
      <c r="A63" s="5" t="n">
        <v>44843</v>
      </c>
      <c r="B63" s="6" t="n">
        <v>0.525694444444444</v>
      </c>
      <c r="C63" s="7" t="n">
        <v>13383</v>
      </c>
      <c r="D63" s="6" t="s">
        <v>16</v>
      </c>
      <c r="E63" s="7" t="n">
        <v>2740</v>
      </c>
      <c r="F63" s="7" t="n">
        <v>2460</v>
      </c>
      <c r="G63" s="8" t="n">
        <v>280</v>
      </c>
      <c r="H63" s="7" t="s">
        <v>10</v>
      </c>
      <c r="I63" s="7" t="s">
        <v>11</v>
      </c>
    </row>
    <row r="64" customFormat="false" ht="13.8" hidden="false" customHeight="false" outlineLevel="0" collapsed="false">
      <c r="A64" s="5" t="n">
        <v>44844</v>
      </c>
      <c r="B64" s="6" t="n">
        <v>0.100694444444444</v>
      </c>
      <c r="C64" s="7" t="n">
        <v>13386</v>
      </c>
      <c r="D64" s="7" t="s">
        <v>15</v>
      </c>
      <c r="E64" s="7" t="n">
        <v>20280</v>
      </c>
      <c r="F64" s="7" t="n">
        <v>12540</v>
      </c>
      <c r="G64" s="8" t="n">
        <v>7740</v>
      </c>
      <c r="H64" s="7" t="s">
        <v>10</v>
      </c>
      <c r="I64" s="7" t="s">
        <v>11</v>
      </c>
    </row>
    <row r="65" customFormat="false" ht="13.8" hidden="false" customHeight="false" outlineLevel="0" collapsed="false">
      <c r="A65" s="5" t="n">
        <v>44844</v>
      </c>
      <c r="B65" s="6" t="n">
        <v>0.261805555555556</v>
      </c>
      <c r="C65" s="7" t="n">
        <v>13402</v>
      </c>
      <c r="D65" s="7" t="s">
        <v>17</v>
      </c>
      <c r="E65" s="7" t="n">
        <v>4640</v>
      </c>
      <c r="F65" s="7" t="n">
        <v>3760</v>
      </c>
      <c r="G65" s="8" t="n">
        <v>880</v>
      </c>
      <c r="H65" s="7" t="s">
        <v>10</v>
      </c>
      <c r="I65" s="7" t="s">
        <v>11</v>
      </c>
    </row>
    <row r="66" customFormat="false" ht="13.8" hidden="false" customHeight="false" outlineLevel="0" collapsed="false">
      <c r="A66" s="5" t="n">
        <v>44844</v>
      </c>
      <c r="B66" s="6" t="n">
        <v>0.251388888888889</v>
      </c>
      <c r="C66" s="7" t="n">
        <v>13400</v>
      </c>
      <c r="D66" s="7" t="s">
        <v>13</v>
      </c>
      <c r="E66" s="7" t="n">
        <v>17700</v>
      </c>
      <c r="F66" s="7" t="n">
        <v>15940</v>
      </c>
      <c r="G66" s="8" t="n">
        <v>1760</v>
      </c>
      <c r="H66" s="7" t="s">
        <v>10</v>
      </c>
      <c r="I66" s="7" t="s">
        <v>11</v>
      </c>
    </row>
    <row r="67" customFormat="false" ht="13.8" hidden="false" customHeight="false" outlineLevel="0" collapsed="false">
      <c r="A67" s="5" t="n">
        <v>44844</v>
      </c>
      <c r="B67" s="6" t="n">
        <v>0.157638888888889</v>
      </c>
      <c r="C67" s="7" t="n">
        <v>13392</v>
      </c>
      <c r="D67" s="7" t="s">
        <v>13</v>
      </c>
      <c r="E67" s="7" t="n">
        <v>25920</v>
      </c>
      <c r="F67" s="7" t="n">
        <v>15980</v>
      </c>
      <c r="G67" s="8" t="n">
        <v>9940</v>
      </c>
      <c r="H67" s="7" t="s">
        <v>10</v>
      </c>
      <c r="I67" s="7" t="s">
        <v>11</v>
      </c>
    </row>
    <row r="68" customFormat="false" ht="13.8" hidden="false" customHeight="false" outlineLevel="0" collapsed="false">
      <c r="A68" s="5" t="n">
        <v>44844</v>
      </c>
      <c r="B68" s="6" t="n">
        <v>0.157638888888889</v>
      </c>
      <c r="C68" s="7" t="n">
        <v>13391</v>
      </c>
      <c r="D68" s="7" t="s">
        <v>15</v>
      </c>
      <c r="E68" s="7" t="n">
        <v>14580</v>
      </c>
      <c r="F68" s="7" t="n">
        <v>12480</v>
      </c>
      <c r="G68" s="8" t="n">
        <v>2100</v>
      </c>
      <c r="H68" s="7" t="s">
        <v>10</v>
      </c>
      <c r="I68" s="7" t="s">
        <v>11</v>
      </c>
    </row>
    <row r="69" customFormat="false" ht="13.8" hidden="false" customHeight="false" outlineLevel="0" collapsed="false">
      <c r="A69" s="5" t="n">
        <v>44844</v>
      </c>
      <c r="B69" s="6" t="n">
        <v>0.440972222222222</v>
      </c>
      <c r="C69" s="7" t="n">
        <v>3575</v>
      </c>
      <c r="D69" s="7" t="s">
        <v>13</v>
      </c>
      <c r="E69" s="7" t="n">
        <v>17480</v>
      </c>
      <c r="F69" s="7" t="n">
        <v>16000</v>
      </c>
      <c r="G69" s="8" t="n">
        <v>1480</v>
      </c>
      <c r="H69" s="7" t="s">
        <v>10</v>
      </c>
      <c r="I69" s="7" t="s">
        <v>19</v>
      </c>
    </row>
    <row r="70" customFormat="false" ht="13.8" hidden="false" customHeight="false" outlineLevel="0" collapsed="false">
      <c r="A70" s="5" t="n">
        <v>44844</v>
      </c>
      <c r="B70" s="6" t="n">
        <v>0.491666666666667</v>
      </c>
      <c r="C70" s="7" t="n">
        <v>13419</v>
      </c>
      <c r="D70" s="7" t="s">
        <v>16</v>
      </c>
      <c r="E70" s="7" t="n">
        <v>2600</v>
      </c>
      <c r="F70" s="7" t="n">
        <v>2380</v>
      </c>
      <c r="G70" s="8" t="n">
        <v>220</v>
      </c>
      <c r="H70" s="7" t="s">
        <v>10</v>
      </c>
      <c r="I70" s="7" t="s">
        <v>11</v>
      </c>
    </row>
    <row r="71" customFormat="false" ht="13.8" hidden="false" customHeight="false" outlineLevel="0" collapsed="false">
      <c r="A71" s="5" t="n">
        <v>44844</v>
      </c>
      <c r="B71" s="6" t="n">
        <v>0.559722222222222</v>
      </c>
      <c r="C71" s="7" t="n">
        <v>13427</v>
      </c>
      <c r="D71" s="7" t="s">
        <v>12</v>
      </c>
      <c r="E71" s="7" t="n">
        <v>3140</v>
      </c>
      <c r="F71" s="7" t="n">
        <v>2800</v>
      </c>
      <c r="G71" s="8" t="n">
        <v>340</v>
      </c>
      <c r="H71" s="7" t="s">
        <v>10</v>
      </c>
      <c r="I71" s="7" t="s">
        <v>23</v>
      </c>
    </row>
    <row r="72" customFormat="false" ht="13.8" hidden="false" customHeight="false" outlineLevel="0" collapsed="false">
      <c r="A72" s="5" t="n">
        <v>44845</v>
      </c>
      <c r="B72" s="6" t="n">
        <v>0.520138888888889</v>
      </c>
      <c r="C72" s="7" t="n">
        <v>13477</v>
      </c>
      <c r="D72" s="7" t="s">
        <v>21</v>
      </c>
      <c r="E72" s="7" t="n">
        <v>6320</v>
      </c>
      <c r="F72" s="7" t="n">
        <v>5620</v>
      </c>
      <c r="G72" s="8" t="n">
        <v>700</v>
      </c>
      <c r="H72" s="7" t="s">
        <v>10</v>
      </c>
      <c r="I72" s="7" t="s">
        <v>22</v>
      </c>
    </row>
    <row r="73" customFormat="false" ht="13.8" hidden="false" customHeight="false" outlineLevel="0" collapsed="false">
      <c r="A73" s="5" t="n">
        <v>44845</v>
      </c>
      <c r="B73" s="6" t="n">
        <v>0.124305555555556</v>
      </c>
      <c r="C73" s="7" t="n">
        <v>13447</v>
      </c>
      <c r="D73" s="7" t="s">
        <v>15</v>
      </c>
      <c r="E73" s="7" t="n">
        <v>20100</v>
      </c>
      <c r="F73" s="7" t="n">
        <v>12460</v>
      </c>
      <c r="G73" s="8" t="n">
        <v>7640</v>
      </c>
      <c r="H73" s="7" t="s">
        <v>10</v>
      </c>
      <c r="I73" s="7" t="s">
        <v>11</v>
      </c>
    </row>
    <row r="74" customFormat="false" ht="13.8" hidden="false" customHeight="false" outlineLevel="0" collapsed="false">
      <c r="A74" s="5" t="n">
        <v>44845</v>
      </c>
      <c r="B74" s="6" t="n">
        <v>0.18125</v>
      </c>
      <c r="C74" s="7" t="n">
        <v>13450</v>
      </c>
      <c r="D74" s="7" t="s">
        <v>18</v>
      </c>
      <c r="E74" s="7" t="n">
        <v>26000</v>
      </c>
      <c r="F74" s="7" t="n">
        <v>16040</v>
      </c>
      <c r="G74" s="8" t="n">
        <v>9960</v>
      </c>
      <c r="H74" s="7" t="s">
        <v>10</v>
      </c>
      <c r="I74" s="7" t="s">
        <v>11</v>
      </c>
    </row>
    <row r="75" customFormat="false" ht="13.8" hidden="false" customHeight="false" outlineLevel="0" collapsed="false">
      <c r="A75" s="5" t="n">
        <v>44845</v>
      </c>
      <c r="B75" s="6" t="n">
        <v>0.247916666666667</v>
      </c>
      <c r="C75" s="7" t="n">
        <v>13457</v>
      </c>
      <c r="D75" s="7" t="s">
        <v>18</v>
      </c>
      <c r="E75" s="7" t="n">
        <v>17200</v>
      </c>
      <c r="F75" s="7" t="n">
        <v>15740</v>
      </c>
      <c r="G75" s="8" t="n">
        <v>1460</v>
      </c>
      <c r="H75" s="7" t="s">
        <v>10</v>
      </c>
      <c r="I75" s="7" t="s">
        <v>11</v>
      </c>
    </row>
    <row r="76" customFormat="false" ht="13.8" hidden="false" customHeight="false" outlineLevel="0" collapsed="false">
      <c r="A76" s="5" t="n">
        <v>44845</v>
      </c>
      <c r="B76" s="6" t="n">
        <v>0.211111111111111</v>
      </c>
      <c r="C76" s="7" t="n">
        <v>13452</v>
      </c>
      <c r="D76" s="7" t="s">
        <v>12</v>
      </c>
      <c r="E76" s="7" t="n">
        <v>3600</v>
      </c>
      <c r="F76" s="7" t="n">
        <v>2800</v>
      </c>
      <c r="G76" s="8" t="n">
        <v>800</v>
      </c>
      <c r="H76" s="7" t="s">
        <v>10</v>
      </c>
      <c r="I76" s="7" t="s">
        <v>11</v>
      </c>
    </row>
    <row r="77" customFormat="false" ht="13.8" hidden="false" customHeight="false" outlineLevel="0" collapsed="false">
      <c r="A77" s="5" t="n">
        <v>44845</v>
      </c>
      <c r="B77" s="6" t="n">
        <v>0.247916666666667</v>
      </c>
      <c r="C77" s="7" t="n">
        <v>13456</v>
      </c>
      <c r="D77" s="7" t="s">
        <v>15</v>
      </c>
      <c r="E77" s="7" t="n">
        <v>16120</v>
      </c>
      <c r="F77" s="7" t="n">
        <v>12460</v>
      </c>
      <c r="G77" s="8" t="n">
        <v>3660</v>
      </c>
      <c r="H77" s="7" t="s">
        <v>10</v>
      </c>
      <c r="I77" s="7" t="s">
        <v>11</v>
      </c>
    </row>
    <row r="78" customFormat="false" ht="13.8" hidden="false" customHeight="false" outlineLevel="0" collapsed="false">
      <c r="A78" s="5" t="n">
        <v>44845</v>
      </c>
      <c r="B78" s="6" t="n">
        <v>0.500694444444444</v>
      </c>
      <c r="C78" s="7" t="n">
        <v>145821</v>
      </c>
      <c r="D78" s="7" t="s">
        <v>18</v>
      </c>
      <c r="E78" s="7" t="n">
        <v>19020</v>
      </c>
      <c r="F78" s="7" t="n">
        <v>15760</v>
      </c>
      <c r="G78" s="8" t="n">
        <v>3260</v>
      </c>
      <c r="H78" s="7" t="s">
        <v>10</v>
      </c>
      <c r="I78" s="7" t="s">
        <v>20</v>
      </c>
    </row>
    <row r="79" customFormat="false" ht="13.8" hidden="false" customHeight="false" outlineLevel="0" collapsed="false">
      <c r="A79" s="5" t="n">
        <v>44846</v>
      </c>
      <c r="B79" s="6" t="n">
        <v>0.5125</v>
      </c>
      <c r="C79" s="7" t="n">
        <v>13509</v>
      </c>
      <c r="D79" s="7" t="s">
        <v>16</v>
      </c>
      <c r="E79" s="7" t="n">
        <v>2580</v>
      </c>
      <c r="F79" s="7" t="n">
        <v>2420</v>
      </c>
      <c r="G79" s="8" t="n">
        <v>160</v>
      </c>
      <c r="H79" s="7" t="s">
        <v>10</v>
      </c>
      <c r="I79" s="7" t="s">
        <v>11</v>
      </c>
    </row>
    <row r="80" customFormat="false" ht="13.8" hidden="false" customHeight="false" outlineLevel="0" collapsed="false">
      <c r="A80" s="5" t="n">
        <v>44846</v>
      </c>
      <c r="B80" s="6" t="n">
        <v>0.193055555555556</v>
      </c>
      <c r="C80" s="7" t="n">
        <v>13498</v>
      </c>
      <c r="D80" s="7" t="s">
        <v>15</v>
      </c>
      <c r="E80" s="7" t="n">
        <v>22460</v>
      </c>
      <c r="F80" s="7" t="n">
        <v>12540</v>
      </c>
      <c r="G80" s="8" t="n">
        <v>9920</v>
      </c>
      <c r="H80" s="7" t="s">
        <v>10</v>
      </c>
      <c r="I80" s="7" t="s">
        <v>11</v>
      </c>
    </row>
    <row r="81" customFormat="false" ht="13.8" hidden="false" customHeight="false" outlineLevel="0" collapsed="false">
      <c r="A81" s="5" t="n">
        <v>44846</v>
      </c>
      <c r="B81" s="6" t="n">
        <v>0.252083333333333</v>
      </c>
      <c r="C81" s="7" t="n">
        <v>13503</v>
      </c>
      <c r="D81" s="7" t="s">
        <v>12</v>
      </c>
      <c r="E81" s="7" t="n">
        <v>3240</v>
      </c>
      <c r="F81" s="7" t="n">
        <v>2800</v>
      </c>
      <c r="G81" s="8" t="n">
        <v>440</v>
      </c>
      <c r="H81" s="7" t="s">
        <v>10</v>
      </c>
      <c r="I81" s="7" t="s">
        <v>11</v>
      </c>
    </row>
    <row r="82" customFormat="false" ht="13.8" hidden="false" customHeight="false" outlineLevel="0" collapsed="false">
      <c r="A82" s="5" t="n">
        <v>44846</v>
      </c>
      <c r="B82" s="6" t="n">
        <v>0.511805555555555</v>
      </c>
      <c r="C82" s="7" t="n">
        <v>13510</v>
      </c>
      <c r="D82" s="7" t="s">
        <v>9</v>
      </c>
      <c r="E82" s="7" t="n">
        <v>3180</v>
      </c>
      <c r="F82" s="7" t="n">
        <v>2880</v>
      </c>
      <c r="G82" s="8" t="n">
        <v>300</v>
      </c>
      <c r="H82" s="7" t="s">
        <v>10</v>
      </c>
      <c r="I82" s="7" t="s">
        <v>11</v>
      </c>
    </row>
    <row r="83" customFormat="false" ht="13.8" hidden="false" customHeight="false" outlineLevel="0" collapsed="false">
      <c r="A83" s="5" t="n">
        <v>44847</v>
      </c>
      <c r="B83" s="6" t="n">
        <v>0.244444444444444</v>
      </c>
      <c r="C83" s="7" t="n">
        <v>13525</v>
      </c>
      <c r="D83" s="7" t="s">
        <v>18</v>
      </c>
      <c r="E83" s="7" t="n">
        <v>26020</v>
      </c>
      <c r="F83" s="7" t="n">
        <v>15780</v>
      </c>
      <c r="G83" s="8" t="n">
        <v>10240</v>
      </c>
      <c r="H83" s="7" t="s">
        <v>10</v>
      </c>
      <c r="I83" s="7" t="s">
        <v>11</v>
      </c>
    </row>
    <row r="84" customFormat="false" ht="13.8" hidden="false" customHeight="false" outlineLevel="0" collapsed="false">
      <c r="A84" s="5" t="n">
        <v>44847</v>
      </c>
      <c r="B84" s="6" t="n">
        <v>0.259722222222222</v>
      </c>
      <c r="C84" s="7" t="n">
        <v>13526</v>
      </c>
      <c r="D84" s="7" t="s">
        <v>17</v>
      </c>
      <c r="E84" s="7" t="n">
        <v>4640</v>
      </c>
      <c r="F84" s="7" t="n">
        <v>3760</v>
      </c>
      <c r="G84" s="8" t="n">
        <v>880</v>
      </c>
      <c r="H84" s="7" t="s">
        <v>10</v>
      </c>
      <c r="I84" s="7" t="s">
        <v>11</v>
      </c>
    </row>
    <row r="85" customFormat="false" ht="13.8" hidden="false" customHeight="false" outlineLevel="0" collapsed="false">
      <c r="A85" s="5" t="n">
        <v>44847</v>
      </c>
      <c r="B85" s="6" t="n">
        <v>0.181944444444444</v>
      </c>
      <c r="C85" s="7" t="n">
        <v>13521</v>
      </c>
      <c r="D85" s="7" t="s">
        <v>15</v>
      </c>
      <c r="E85" s="7" t="n">
        <v>13780</v>
      </c>
      <c r="F85" s="7" t="n">
        <v>12520</v>
      </c>
      <c r="G85" s="8" t="n">
        <v>1260</v>
      </c>
      <c r="H85" s="7" t="s">
        <v>10</v>
      </c>
      <c r="I85" s="7" t="s">
        <v>11</v>
      </c>
    </row>
    <row r="86" customFormat="false" ht="13.8" hidden="false" customHeight="false" outlineLevel="0" collapsed="false">
      <c r="A86" s="5" t="n">
        <v>44847</v>
      </c>
      <c r="B86" s="6" t="n">
        <v>0.128472222222222</v>
      </c>
      <c r="C86" s="7" t="n">
        <v>13515</v>
      </c>
      <c r="D86" s="7" t="s">
        <v>15</v>
      </c>
      <c r="E86" s="7" t="n">
        <v>21340</v>
      </c>
      <c r="F86" s="7" t="n">
        <v>12520</v>
      </c>
      <c r="G86" s="8" t="n">
        <v>8820</v>
      </c>
      <c r="H86" s="7" t="s">
        <v>10</v>
      </c>
      <c r="I86" s="7" t="s">
        <v>11</v>
      </c>
    </row>
    <row r="87" customFormat="false" ht="13.8" hidden="false" customHeight="false" outlineLevel="0" collapsed="false">
      <c r="A87" s="5" t="n">
        <v>44847</v>
      </c>
      <c r="B87" s="6" t="n">
        <v>0.508333333333333</v>
      </c>
      <c r="C87" s="7" t="n">
        <v>13551</v>
      </c>
      <c r="D87" s="7" t="s">
        <v>21</v>
      </c>
      <c r="E87" s="7" t="n">
        <v>6800</v>
      </c>
      <c r="F87" s="7" t="n">
        <v>5580</v>
      </c>
      <c r="G87" s="8" t="n">
        <v>1220</v>
      </c>
      <c r="H87" s="7" t="s">
        <v>10</v>
      </c>
      <c r="I87" s="7" t="s">
        <v>22</v>
      </c>
    </row>
    <row r="88" customFormat="false" ht="13.8" hidden="false" customHeight="false" outlineLevel="0" collapsed="false">
      <c r="A88" s="5" t="n">
        <v>44847</v>
      </c>
      <c r="B88" s="6" t="n">
        <v>0.50625</v>
      </c>
      <c r="C88" s="7" t="n">
        <v>13548</v>
      </c>
      <c r="D88" s="7" t="s">
        <v>16</v>
      </c>
      <c r="E88" s="7" t="n">
        <v>2660</v>
      </c>
      <c r="F88" s="7" t="n">
        <v>2420</v>
      </c>
      <c r="G88" s="8" t="n">
        <v>240</v>
      </c>
      <c r="H88" s="7" t="s">
        <v>10</v>
      </c>
      <c r="I88" s="7" t="s">
        <v>11</v>
      </c>
    </row>
    <row r="89" customFormat="false" ht="13.8" hidden="false" customHeight="false" outlineLevel="0" collapsed="false">
      <c r="A89" s="5" t="n">
        <v>44848</v>
      </c>
      <c r="B89" s="6" t="n">
        <v>0.321527777777778</v>
      </c>
      <c r="C89" s="7" t="n">
        <v>13586</v>
      </c>
      <c r="D89" s="7" t="s">
        <v>21</v>
      </c>
      <c r="E89" s="7" t="n">
        <v>8020</v>
      </c>
      <c r="F89" s="7" t="n">
        <v>5580</v>
      </c>
      <c r="G89" s="8" t="n">
        <v>2440</v>
      </c>
      <c r="H89" s="7" t="s">
        <v>10</v>
      </c>
      <c r="I89" s="7" t="s">
        <v>11</v>
      </c>
    </row>
    <row r="90" customFormat="false" ht="13.8" hidden="false" customHeight="false" outlineLevel="0" collapsed="false">
      <c r="A90" s="5" t="n">
        <v>44848</v>
      </c>
      <c r="B90" s="6" t="n">
        <v>0.234027777777778</v>
      </c>
      <c r="C90" s="7" t="n">
        <v>13576</v>
      </c>
      <c r="D90" s="7" t="s">
        <v>15</v>
      </c>
      <c r="E90" s="7" t="n">
        <v>14540</v>
      </c>
      <c r="F90" s="7" t="n">
        <v>12440</v>
      </c>
      <c r="G90" s="8" t="n">
        <v>2100</v>
      </c>
      <c r="H90" s="7" t="s">
        <v>10</v>
      </c>
      <c r="I90" s="7" t="s">
        <v>11</v>
      </c>
    </row>
    <row r="91" customFormat="false" ht="13.8" hidden="false" customHeight="false" outlineLevel="0" collapsed="false">
      <c r="A91" s="5" t="n">
        <v>44848</v>
      </c>
      <c r="B91" s="6" t="n">
        <v>0.135416666666667</v>
      </c>
      <c r="C91" s="7" t="n">
        <v>13568</v>
      </c>
      <c r="D91" s="7" t="s">
        <v>15</v>
      </c>
      <c r="E91" s="7" t="n">
        <v>20280</v>
      </c>
      <c r="F91" s="7" t="n">
        <v>12460</v>
      </c>
      <c r="G91" s="8" t="n">
        <v>7820</v>
      </c>
      <c r="H91" s="7" t="s">
        <v>10</v>
      </c>
      <c r="I91" s="7" t="s">
        <v>11</v>
      </c>
    </row>
    <row r="92" customFormat="false" ht="13.8" hidden="false" customHeight="false" outlineLevel="0" collapsed="false">
      <c r="A92" s="5" t="n">
        <v>44848</v>
      </c>
      <c r="B92" s="6" t="n">
        <v>0.238888888888889</v>
      </c>
      <c r="C92" s="7" t="n">
        <v>13577</v>
      </c>
      <c r="D92" s="7" t="s">
        <v>13</v>
      </c>
      <c r="E92" s="7" t="n">
        <v>27340</v>
      </c>
      <c r="F92" s="7" t="n">
        <v>16100</v>
      </c>
      <c r="G92" s="8" t="n">
        <v>11240</v>
      </c>
      <c r="H92" s="7" t="s">
        <v>10</v>
      </c>
      <c r="I92" s="7" t="s">
        <v>11</v>
      </c>
    </row>
    <row r="93" customFormat="false" ht="13.8" hidden="false" customHeight="false" outlineLevel="0" collapsed="false">
      <c r="A93" s="5" t="n">
        <v>44848</v>
      </c>
      <c r="B93" s="6" t="n">
        <v>0.201388888888889</v>
      </c>
      <c r="C93" s="7" t="n">
        <v>13572</v>
      </c>
      <c r="D93" s="7" t="s">
        <v>12</v>
      </c>
      <c r="E93" s="7" t="n">
        <v>3380</v>
      </c>
      <c r="F93" s="7" t="n">
        <v>2780</v>
      </c>
      <c r="G93" s="8" t="n">
        <v>600</v>
      </c>
      <c r="H93" s="7" t="s">
        <v>10</v>
      </c>
      <c r="I93" s="7" t="s">
        <v>11</v>
      </c>
    </row>
    <row r="94" customFormat="false" ht="13.8" hidden="false" customHeight="false" outlineLevel="0" collapsed="false">
      <c r="A94" s="5" t="n">
        <v>44848</v>
      </c>
      <c r="B94" s="6" t="n">
        <v>0.506944444444444</v>
      </c>
      <c r="C94" s="7" t="n">
        <v>13604</v>
      </c>
      <c r="D94" s="7" t="s">
        <v>21</v>
      </c>
      <c r="E94" s="7" t="n">
        <v>7160</v>
      </c>
      <c r="F94" s="7" t="n">
        <v>5600</v>
      </c>
      <c r="G94" s="8" t="n">
        <v>1560</v>
      </c>
      <c r="H94" s="7" t="s">
        <v>10</v>
      </c>
      <c r="I94" s="7" t="s">
        <v>22</v>
      </c>
    </row>
    <row r="95" customFormat="false" ht="13.8" hidden="false" customHeight="false" outlineLevel="0" collapsed="false">
      <c r="A95" s="5" t="n">
        <v>44848</v>
      </c>
      <c r="B95" s="6" t="n">
        <v>0.507638888888889</v>
      </c>
      <c r="C95" s="7" t="n">
        <v>13603</v>
      </c>
      <c r="D95" s="7" t="s">
        <v>16</v>
      </c>
      <c r="E95" s="7" t="n">
        <v>2640</v>
      </c>
      <c r="F95" s="7" t="n">
        <v>2400</v>
      </c>
      <c r="G95" s="8" t="n">
        <v>240</v>
      </c>
      <c r="H95" s="7" t="s">
        <v>10</v>
      </c>
      <c r="I95" s="7" t="s">
        <v>11</v>
      </c>
    </row>
    <row r="96" customFormat="false" ht="13.8" hidden="false" customHeight="false" outlineLevel="0" collapsed="false">
      <c r="A96" s="5" t="n">
        <v>44849</v>
      </c>
      <c r="B96" s="6" t="n">
        <v>0.260416666666667</v>
      </c>
      <c r="C96" s="7" t="n">
        <v>13629</v>
      </c>
      <c r="D96" s="7" t="s">
        <v>12</v>
      </c>
      <c r="E96" s="7" t="n">
        <v>3320</v>
      </c>
      <c r="F96" s="7" t="n">
        <v>2720</v>
      </c>
      <c r="G96" s="8" t="n">
        <v>600</v>
      </c>
      <c r="H96" s="7" t="s">
        <v>10</v>
      </c>
      <c r="I96" s="7" t="s">
        <v>11</v>
      </c>
    </row>
    <row r="97" customFormat="false" ht="13.8" hidden="false" customHeight="false" outlineLevel="0" collapsed="false">
      <c r="A97" s="5" t="n">
        <v>44849</v>
      </c>
      <c r="B97" s="6" t="n">
        <v>0.458333333333333</v>
      </c>
      <c r="C97" s="7" t="n">
        <v>13640</v>
      </c>
      <c r="D97" s="7" t="s">
        <v>18</v>
      </c>
      <c r="E97" s="7" t="n">
        <v>26960</v>
      </c>
      <c r="F97" s="7" t="n">
        <v>15840</v>
      </c>
      <c r="G97" s="8" t="n">
        <v>11120</v>
      </c>
      <c r="H97" s="7" t="s">
        <v>10</v>
      </c>
      <c r="I97" s="7" t="s">
        <v>11</v>
      </c>
    </row>
    <row r="98" customFormat="false" ht="13.8" hidden="false" customHeight="false" outlineLevel="0" collapsed="false">
      <c r="A98" s="5" t="n">
        <v>44849</v>
      </c>
      <c r="B98" s="6" t="n">
        <v>0.441666666666667</v>
      </c>
      <c r="C98" s="7" t="n">
        <v>13637</v>
      </c>
      <c r="D98" s="7" t="s">
        <v>16</v>
      </c>
      <c r="E98" s="7" t="n">
        <v>2680</v>
      </c>
      <c r="F98" s="7" t="n">
        <v>2400</v>
      </c>
      <c r="G98" s="8" t="n">
        <v>280</v>
      </c>
      <c r="H98" s="7" t="s">
        <v>10</v>
      </c>
      <c r="I98" s="7" t="s">
        <v>11</v>
      </c>
    </row>
    <row r="99" customFormat="false" ht="13.8" hidden="false" customHeight="false" outlineLevel="0" collapsed="false">
      <c r="A99" s="5" t="n">
        <v>44849</v>
      </c>
      <c r="B99" s="6" t="n">
        <v>0.153472222222222</v>
      </c>
      <c r="C99" s="7" t="n">
        <v>13620</v>
      </c>
      <c r="D99" s="7" t="s">
        <v>15</v>
      </c>
      <c r="E99" s="7" t="n">
        <v>21200</v>
      </c>
      <c r="F99" s="7" t="n">
        <v>12540</v>
      </c>
      <c r="G99" s="8" t="n">
        <v>8660</v>
      </c>
      <c r="H99" s="7" t="s">
        <v>10</v>
      </c>
      <c r="I99" s="7" t="s">
        <v>11</v>
      </c>
    </row>
    <row r="100" customFormat="false" ht="13.8" hidden="false" customHeight="false" outlineLevel="0" collapsed="false">
      <c r="A100" s="5" t="n">
        <v>44849</v>
      </c>
      <c r="B100" s="6" t="n">
        <v>0.259722222222222</v>
      </c>
      <c r="C100" s="7" t="n">
        <v>13628</v>
      </c>
      <c r="D100" s="7" t="s">
        <v>15</v>
      </c>
      <c r="E100" s="7" t="n">
        <v>14640</v>
      </c>
      <c r="F100" s="7" t="n">
        <v>12620</v>
      </c>
      <c r="G100" s="8" t="n">
        <v>2020</v>
      </c>
      <c r="H100" s="7" t="s">
        <v>10</v>
      </c>
      <c r="I100" s="5" t="s">
        <v>11</v>
      </c>
    </row>
    <row r="101" customFormat="false" ht="13.8" hidden="false" customHeight="false" outlineLevel="0" collapsed="false">
      <c r="A101" s="5" t="n">
        <v>44850</v>
      </c>
      <c r="B101" s="6" t="n">
        <v>0.254861111111111</v>
      </c>
      <c r="C101" s="7" t="n">
        <v>13656</v>
      </c>
      <c r="D101" s="7" t="s">
        <v>12</v>
      </c>
      <c r="E101" s="7" t="n">
        <v>3300</v>
      </c>
      <c r="F101" s="7" t="n">
        <v>2820</v>
      </c>
      <c r="G101" s="8" t="n">
        <v>480</v>
      </c>
      <c r="H101" s="7" t="s">
        <v>10</v>
      </c>
      <c r="I101" s="7" t="s">
        <v>11</v>
      </c>
    </row>
    <row r="102" customFormat="false" ht="13.8" hidden="false" customHeight="false" outlineLevel="0" collapsed="false">
      <c r="A102" s="5" t="n">
        <v>44850</v>
      </c>
      <c r="B102" s="6" t="n">
        <v>0.116666666666667</v>
      </c>
      <c r="C102" s="7" t="n">
        <v>13647</v>
      </c>
      <c r="D102" s="7" t="s">
        <v>12</v>
      </c>
      <c r="E102" s="7" t="n">
        <v>3340</v>
      </c>
      <c r="F102" s="7" t="n">
        <v>2720</v>
      </c>
      <c r="G102" s="8" t="n">
        <v>620</v>
      </c>
      <c r="H102" s="7" t="s">
        <v>10</v>
      </c>
      <c r="I102" s="7" t="s">
        <v>11</v>
      </c>
    </row>
    <row r="103" customFormat="false" ht="13.8" hidden="false" customHeight="false" outlineLevel="0" collapsed="false">
      <c r="A103" s="5" t="n">
        <v>44850</v>
      </c>
      <c r="B103" s="6" t="n">
        <v>0.119444444444444</v>
      </c>
      <c r="C103" s="7" t="n">
        <v>13648</v>
      </c>
      <c r="D103" s="7" t="s">
        <v>15</v>
      </c>
      <c r="E103" s="7" t="n">
        <v>21160</v>
      </c>
      <c r="F103" s="7" t="n">
        <v>12580</v>
      </c>
      <c r="G103" s="8" t="n">
        <v>8580</v>
      </c>
      <c r="H103" s="7" t="s">
        <v>10</v>
      </c>
      <c r="I103" s="7" t="s">
        <v>11</v>
      </c>
    </row>
    <row r="104" customFormat="false" ht="13.8" hidden="false" customHeight="false" outlineLevel="0" collapsed="false">
      <c r="A104" s="5" t="n">
        <v>44850</v>
      </c>
      <c r="B104" s="6" t="n">
        <v>0.253472222222222</v>
      </c>
      <c r="C104" s="7" t="n">
        <v>13655</v>
      </c>
      <c r="D104" s="7" t="s">
        <v>15</v>
      </c>
      <c r="E104" s="7" t="n">
        <v>14980</v>
      </c>
      <c r="F104" s="7" t="n">
        <v>12460</v>
      </c>
      <c r="G104" s="8" t="n">
        <v>2520</v>
      </c>
      <c r="H104" s="7" t="s">
        <v>10</v>
      </c>
      <c r="I104" s="7" t="s">
        <v>11</v>
      </c>
    </row>
    <row r="105" customFormat="false" ht="13.8" hidden="false" customHeight="false" outlineLevel="0" collapsed="false">
      <c r="A105" s="5" t="n">
        <v>44850</v>
      </c>
      <c r="B105" s="6" t="n">
        <v>0.523611111111111</v>
      </c>
      <c r="C105" s="7" t="n">
        <v>13660</v>
      </c>
      <c r="D105" s="7" t="s">
        <v>16</v>
      </c>
      <c r="E105" s="7" t="n">
        <v>2540</v>
      </c>
      <c r="F105" s="7" t="n">
        <v>2380</v>
      </c>
      <c r="G105" s="8" t="n">
        <v>160</v>
      </c>
      <c r="H105" s="7" t="s">
        <v>10</v>
      </c>
      <c r="I105" s="7" t="s">
        <v>11</v>
      </c>
    </row>
    <row r="106" customFormat="false" ht="13.8" hidden="false" customHeight="false" outlineLevel="0" collapsed="false">
      <c r="A106" s="5" t="n">
        <v>44850</v>
      </c>
      <c r="B106" s="6" t="n">
        <v>0.440972222222222</v>
      </c>
      <c r="C106" s="7" t="n">
        <v>13659</v>
      </c>
      <c r="D106" s="7" t="s">
        <v>16</v>
      </c>
      <c r="E106" s="7" t="n">
        <v>2740</v>
      </c>
      <c r="F106" s="7" t="n">
        <v>2380</v>
      </c>
      <c r="G106" s="8" t="n">
        <v>360</v>
      </c>
      <c r="H106" s="7" t="s">
        <v>10</v>
      </c>
      <c r="I106" s="7" t="s">
        <v>11</v>
      </c>
    </row>
    <row r="107" customFormat="false" ht="13.8" hidden="false" customHeight="false" outlineLevel="0" collapsed="false">
      <c r="A107" s="5" t="n">
        <v>44851</v>
      </c>
      <c r="B107" s="6" t="n">
        <v>0.127777777777778</v>
      </c>
      <c r="C107" s="7" t="n">
        <v>13666</v>
      </c>
      <c r="D107" s="7" t="s">
        <v>15</v>
      </c>
      <c r="E107" s="7" t="n">
        <v>14920</v>
      </c>
      <c r="F107" s="7" t="n">
        <v>12440</v>
      </c>
      <c r="G107" s="8" t="n">
        <v>2480</v>
      </c>
      <c r="H107" s="7" t="s">
        <v>10</v>
      </c>
      <c r="I107" s="7" t="s">
        <v>11</v>
      </c>
    </row>
    <row r="108" customFormat="false" ht="13.8" hidden="false" customHeight="false" outlineLevel="0" collapsed="false">
      <c r="A108" s="5" t="n">
        <v>44851</v>
      </c>
      <c r="B108" s="6" t="n">
        <v>0.0791666666666667</v>
      </c>
      <c r="C108" s="7" t="n">
        <v>13662</v>
      </c>
      <c r="D108" s="7" t="s">
        <v>15</v>
      </c>
      <c r="E108" s="7" t="n">
        <v>20100</v>
      </c>
      <c r="F108" s="7" t="n">
        <v>12460</v>
      </c>
      <c r="G108" s="8" t="n">
        <v>7640</v>
      </c>
      <c r="H108" s="7" t="s">
        <v>10</v>
      </c>
      <c r="I108" s="7" t="s">
        <v>11</v>
      </c>
    </row>
    <row r="109" customFormat="false" ht="13.8" hidden="false" customHeight="false" outlineLevel="0" collapsed="false">
      <c r="A109" s="5" t="n">
        <v>44851</v>
      </c>
      <c r="B109" s="6" t="n">
        <v>0.234722222222222</v>
      </c>
      <c r="C109" s="7" t="n">
        <v>13676</v>
      </c>
      <c r="D109" s="7" t="s">
        <v>18</v>
      </c>
      <c r="E109" s="7" t="n">
        <v>26040</v>
      </c>
      <c r="F109" s="7" t="n">
        <v>15940</v>
      </c>
      <c r="G109" s="8" t="n">
        <v>10100</v>
      </c>
      <c r="H109" s="7" t="s">
        <v>10</v>
      </c>
      <c r="I109" s="7" t="s">
        <v>11</v>
      </c>
    </row>
    <row r="110" customFormat="false" ht="13.8" hidden="false" customHeight="false" outlineLevel="0" collapsed="false">
      <c r="A110" s="5" t="n">
        <v>44851</v>
      </c>
      <c r="B110" s="6" t="n">
        <v>0.260416666666667</v>
      </c>
      <c r="C110" s="7" t="n">
        <v>13678</v>
      </c>
      <c r="D110" s="7" t="s">
        <v>17</v>
      </c>
      <c r="E110" s="7" t="n">
        <v>4500</v>
      </c>
      <c r="F110" s="7" t="n">
        <v>3740</v>
      </c>
      <c r="G110" s="8" t="n">
        <v>760</v>
      </c>
      <c r="H110" s="7" t="s">
        <v>10</v>
      </c>
      <c r="I110" s="7" t="s">
        <v>11</v>
      </c>
    </row>
    <row r="111" customFormat="false" ht="13.8" hidden="false" customHeight="false" outlineLevel="0" collapsed="false">
      <c r="A111" s="5" t="n">
        <v>44850</v>
      </c>
      <c r="B111" s="6" t="n">
        <v>0.252083333333333</v>
      </c>
      <c r="C111" s="7" t="n">
        <v>13654</v>
      </c>
      <c r="D111" s="7" t="s">
        <v>18</v>
      </c>
      <c r="E111" s="7" t="n">
        <v>27760</v>
      </c>
      <c r="F111" s="7" t="n">
        <v>15880</v>
      </c>
      <c r="G111" s="8" t="n">
        <v>11880</v>
      </c>
      <c r="H111" s="7" t="s">
        <v>10</v>
      </c>
      <c r="I111" s="7" t="s">
        <v>11</v>
      </c>
    </row>
    <row r="112" customFormat="false" ht="13.8" hidden="false" customHeight="false" outlineLevel="0" collapsed="false">
      <c r="A112" s="5" t="n">
        <v>44851</v>
      </c>
      <c r="B112" s="6" t="n">
        <v>0.650694444444444</v>
      </c>
      <c r="C112" s="7" t="n">
        <v>13712</v>
      </c>
      <c r="D112" s="7" t="s">
        <v>9</v>
      </c>
      <c r="E112" s="7" t="n">
        <v>3060</v>
      </c>
      <c r="F112" s="7" t="n">
        <v>2860</v>
      </c>
      <c r="G112" s="8" t="n">
        <v>200</v>
      </c>
      <c r="H112" s="7" t="s">
        <v>10</v>
      </c>
      <c r="I112" s="7" t="s">
        <v>11</v>
      </c>
    </row>
    <row r="113" customFormat="false" ht="13.8" hidden="false" customHeight="false" outlineLevel="0" collapsed="false">
      <c r="A113" s="5" t="n">
        <v>44851</v>
      </c>
      <c r="B113" s="6" t="n">
        <v>0.530555555555556</v>
      </c>
      <c r="C113" s="7" t="n">
        <v>13701</v>
      </c>
      <c r="D113" s="7" t="s">
        <v>16</v>
      </c>
      <c r="E113" s="7" t="n">
        <v>2700</v>
      </c>
      <c r="F113" s="7" t="n">
        <v>2420</v>
      </c>
      <c r="G113" s="8" t="n">
        <v>280</v>
      </c>
      <c r="H113" s="7" t="s">
        <v>10</v>
      </c>
      <c r="I113" s="7" t="s">
        <v>11</v>
      </c>
    </row>
    <row r="114" customFormat="false" ht="13.8" hidden="false" customHeight="false" outlineLevel="0" collapsed="false">
      <c r="A114" s="5" t="n">
        <v>44851</v>
      </c>
      <c r="B114" s="6" t="n">
        <v>0.365972222222222</v>
      </c>
      <c r="C114" s="7" t="n">
        <v>13685</v>
      </c>
      <c r="D114" s="7" t="s">
        <v>16</v>
      </c>
      <c r="E114" s="7" t="n">
        <v>2640</v>
      </c>
      <c r="F114" s="7" t="n">
        <v>2420</v>
      </c>
      <c r="G114" s="8" t="n">
        <v>220</v>
      </c>
      <c r="H114" s="7" t="s">
        <v>10</v>
      </c>
      <c r="I114" s="7" t="s">
        <v>11</v>
      </c>
    </row>
    <row r="115" customFormat="false" ht="13.8" hidden="false" customHeight="false" outlineLevel="0" collapsed="false">
      <c r="A115" s="5" t="n">
        <v>44851</v>
      </c>
      <c r="B115" s="6" t="n">
        <v>0.4625</v>
      </c>
      <c r="C115" s="7" t="n">
        <v>3591</v>
      </c>
      <c r="D115" s="7" t="s">
        <v>18</v>
      </c>
      <c r="E115" s="7" t="n">
        <v>17760</v>
      </c>
      <c r="F115" s="7" t="n">
        <v>15760</v>
      </c>
      <c r="G115" s="8" t="n">
        <v>2000</v>
      </c>
      <c r="H115" s="7" t="s">
        <v>10</v>
      </c>
      <c r="I115" s="7" t="s">
        <v>19</v>
      </c>
    </row>
    <row r="116" customFormat="false" ht="13.8" hidden="false" customHeight="false" outlineLevel="0" collapsed="false">
      <c r="A116" s="5" t="n">
        <v>44852</v>
      </c>
      <c r="B116" s="6" t="n">
        <v>0.234722222222222</v>
      </c>
      <c r="C116" s="7" t="n">
        <v>13730</v>
      </c>
      <c r="D116" s="7" t="s">
        <v>18</v>
      </c>
      <c r="E116" s="7" t="n">
        <v>25700</v>
      </c>
      <c r="F116" s="7" t="n">
        <v>15980</v>
      </c>
      <c r="G116" s="8" t="n">
        <v>9720</v>
      </c>
      <c r="H116" s="7" t="s">
        <v>10</v>
      </c>
      <c r="I116" s="7" t="s">
        <v>11</v>
      </c>
    </row>
    <row r="117" customFormat="false" ht="13.8" hidden="false" customHeight="false" outlineLevel="0" collapsed="false">
      <c r="A117" s="5" t="n">
        <v>44852</v>
      </c>
      <c r="B117" s="6" t="n">
        <v>0.209722222222222</v>
      </c>
      <c r="C117" s="7" t="n">
        <v>13727</v>
      </c>
      <c r="D117" s="7" t="s">
        <v>12</v>
      </c>
      <c r="E117" s="7" t="n">
        <v>3180</v>
      </c>
      <c r="F117" s="7" t="n">
        <v>2600</v>
      </c>
      <c r="G117" s="8" t="n">
        <v>580</v>
      </c>
      <c r="H117" s="7" t="s">
        <v>10</v>
      </c>
      <c r="I117" s="7" t="s">
        <v>11</v>
      </c>
    </row>
    <row r="118" customFormat="false" ht="13.8" hidden="false" customHeight="false" outlineLevel="0" collapsed="false">
      <c r="A118" s="5" t="n">
        <v>44852</v>
      </c>
      <c r="B118" s="6" t="n">
        <v>0.256944444444444</v>
      </c>
      <c r="C118" s="7" t="n">
        <v>13731</v>
      </c>
      <c r="D118" s="7" t="s">
        <v>24</v>
      </c>
      <c r="E118" s="7" t="n">
        <v>21420</v>
      </c>
      <c r="F118" s="7" t="n">
        <v>12620</v>
      </c>
      <c r="G118" s="8" t="n">
        <v>8800</v>
      </c>
      <c r="H118" s="7" t="s">
        <v>10</v>
      </c>
      <c r="I118" s="7" t="s">
        <v>23</v>
      </c>
    </row>
    <row r="119" customFormat="false" ht="13.8" hidden="false" customHeight="false" outlineLevel="0" collapsed="false">
      <c r="A119" s="5" t="n">
        <v>44853</v>
      </c>
      <c r="B119" s="6" t="n">
        <v>0.323611111111111</v>
      </c>
      <c r="C119" s="7" t="n">
        <v>13783</v>
      </c>
      <c r="D119" s="7" t="s">
        <v>25</v>
      </c>
      <c r="E119" s="7" t="n">
        <v>17300</v>
      </c>
      <c r="F119" s="7" t="n">
        <v>15380</v>
      </c>
      <c r="G119" s="8" t="n">
        <v>1920</v>
      </c>
      <c r="H119" s="7" t="s">
        <v>10</v>
      </c>
      <c r="I119" s="7" t="s">
        <v>22</v>
      </c>
    </row>
    <row r="120" customFormat="false" ht="13.8" hidden="false" customHeight="false" outlineLevel="0" collapsed="false">
      <c r="A120" s="5" t="n">
        <v>44852</v>
      </c>
      <c r="B120" s="6" t="n">
        <v>0.507638888888889</v>
      </c>
      <c r="C120" s="7" t="n">
        <v>13754</v>
      </c>
      <c r="D120" s="7" t="s">
        <v>16</v>
      </c>
      <c r="E120" s="7" t="n">
        <v>2680</v>
      </c>
      <c r="F120" s="7" t="n">
        <v>2400</v>
      </c>
      <c r="G120" s="8" t="n">
        <v>280</v>
      </c>
      <c r="H120" s="7" t="s">
        <v>10</v>
      </c>
      <c r="I120" s="7" t="s">
        <v>11</v>
      </c>
    </row>
    <row r="121" customFormat="false" ht="13.8" hidden="false" customHeight="false" outlineLevel="0" collapsed="false">
      <c r="A121" s="5" t="n">
        <v>44852</v>
      </c>
      <c r="B121" s="6" t="n">
        <v>0.502777777777778</v>
      </c>
      <c r="C121" s="7" t="n">
        <v>146060</v>
      </c>
      <c r="D121" s="7" t="s">
        <v>18</v>
      </c>
      <c r="E121" s="7" t="n">
        <v>18080</v>
      </c>
      <c r="F121" s="7" t="n">
        <v>15820</v>
      </c>
      <c r="G121" s="8" t="n">
        <v>2260</v>
      </c>
      <c r="H121" s="7" t="s">
        <v>10</v>
      </c>
      <c r="I121" s="7" t="s">
        <v>20</v>
      </c>
    </row>
    <row r="122" customFormat="false" ht="13.8" hidden="false" customHeight="false" outlineLevel="0" collapsed="false">
      <c r="A122" s="5" t="n">
        <v>44853</v>
      </c>
      <c r="B122" s="6" t="n">
        <v>0.160416666666667</v>
      </c>
      <c r="C122" s="7" t="n">
        <v>13772</v>
      </c>
      <c r="D122" s="7" t="s">
        <v>24</v>
      </c>
      <c r="E122" s="7" t="n">
        <v>21660</v>
      </c>
      <c r="F122" s="7" t="n">
        <v>12540</v>
      </c>
      <c r="G122" s="8" t="n">
        <v>9120</v>
      </c>
      <c r="H122" s="7" t="s">
        <v>10</v>
      </c>
      <c r="I122" s="7" t="s">
        <v>23</v>
      </c>
    </row>
    <row r="123" customFormat="false" ht="13.8" hidden="false" customHeight="false" outlineLevel="0" collapsed="false">
      <c r="A123" s="5" t="n">
        <v>44853</v>
      </c>
      <c r="B123" s="6" t="n">
        <v>0.227083333333333</v>
      </c>
      <c r="C123" s="7" t="n">
        <v>13775</v>
      </c>
      <c r="D123" s="7" t="s">
        <v>18</v>
      </c>
      <c r="E123" s="7" t="n">
        <v>26460</v>
      </c>
      <c r="F123" s="7" t="n">
        <v>15980</v>
      </c>
      <c r="G123" s="8" t="n">
        <v>10480</v>
      </c>
      <c r="H123" s="7" t="s">
        <v>10</v>
      </c>
      <c r="I123" s="7" t="s">
        <v>11</v>
      </c>
    </row>
    <row r="124" customFormat="false" ht="13.8" hidden="false" customHeight="false" outlineLevel="0" collapsed="false">
      <c r="A124" s="5" t="n">
        <v>44853</v>
      </c>
      <c r="B124" s="6" t="n">
        <v>0.252083333333333</v>
      </c>
      <c r="C124" s="7" t="n">
        <v>13777</v>
      </c>
      <c r="D124" s="7" t="s">
        <v>17</v>
      </c>
      <c r="E124" s="7" t="n">
        <v>4280</v>
      </c>
      <c r="F124" s="7" t="n">
        <v>3780</v>
      </c>
      <c r="G124" s="8" t="n">
        <v>500</v>
      </c>
      <c r="H124" s="7" t="s">
        <v>10</v>
      </c>
      <c r="I124" s="7" t="s">
        <v>11</v>
      </c>
    </row>
    <row r="125" customFormat="false" ht="13.8" hidden="false" customHeight="false" outlineLevel="0" collapsed="false">
      <c r="A125" s="5" t="n">
        <v>44853</v>
      </c>
      <c r="B125" s="6" t="n">
        <v>0.506944444444444</v>
      </c>
      <c r="C125" s="7" t="n">
        <v>13801</v>
      </c>
      <c r="D125" s="7" t="s">
        <v>21</v>
      </c>
      <c r="E125" s="7" t="n">
        <v>6660</v>
      </c>
      <c r="F125" s="7" t="n">
        <v>5580</v>
      </c>
      <c r="G125" s="8" t="n">
        <v>1080</v>
      </c>
      <c r="H125" s="7" t="s">
        <v>10</v>
      </c>
      <c r="I125" s="7" t="s">
        <v>22</v>
      </c>
    </row>
    <row r="126" customFormat="false" ht="13.8" hidden="false" customHeight="false" outlineLevel="0" collapsed="false">
      <c r="A126" s="5" t="n">
        <v>44853</v>
      </c>
      <c r="B126" s="6" t="n">
        <v>0.509722222222222</v>
      </c>
      <c r="C126" s="7" t="n">
        <v>13798</v>
      </c>
      <c r="D126" s="7" t="s">
        <v>16</v>
      </c>
      <c r="E126" s="7" t="n">
        <v>2720</v>
      </c>
      <c r="F126" s="7" t="n">
        <v>2400</v>
      </c>
      <c r="G126" s="8" t="n">
        <v>320</v>
      </c>
      <c r="H126" s="7" t="s">
        <v>10</v>
      </c>
      <c r="I126" s="7" t="s">
        <v>11</v>
      </c>
    </row>
    <row r="127" customFormat="false" ht="13.8" hidden="false" customHeight="false" outlineLevel="0" collapsed="false">
      <c r="A127" s="5" t="n">
        <v>44853</v>
      </c>
      <c r="B127" s="6" t="n">
        <v>0.352083333333333</v>
      </c>
      <c r="C127" s="7" t="n">
        <v>13785</v>
      </c>
      <c r="D127" s="7" t="s">
        <v>21</v>
      </c>
      <c r="E127" s="7" t="n">
        <v>6560</v>
      </c>
      <c r="F127" s="7" t="n">
        <v>5600</v>
      </c>
      <c r="G127" s="8" t="n">
        <v>960</v>
      </c>
      <c r="H127" s="7" t="s">
        <v>10</v>
      </c>
      <c r="I127" s="7" t="s">
        <v>22</v>
      </c>
    </row>
    <row r="128" customFormat="false" ht="13.8" hidden="false" customHeight="false" outlineLevel="0" collapsed="false">
      <c r="A128" s="5" t="n">
        <v>44854</v>
      </c>
      <c r="B128" s="6" t="n">
        <v>0.255555555555556</v>
      </c>
      <c r="C128" s="7" t="n">
        <v>13829</v>
      </c>
      <c r="D128" s="7" t="s">
        <v>17</v>
      </c>
      <c r="E128" s="7" t="n">
        <v>4320</v>
      </c>
      <c r="F128" s="7" t="n">
        <v>3800</v>
      </c>
      <c r="G128" s="8" t="n">
        <v>520</v>
      </c>
      <c r="H128" s="7" t="s">
        <v>10</v>
      </c>
      <c r="I128" s="7" t="s">
        <v>11</v>
      </c>
    </row>
    <row r="129" customFormat="false" ht="13.8" hidden="false" customHeight="false" outlineLevel="0" collapsed="false">
      <c r="A129" s="5" t="n">
        <v>44854</v>
      </c>
      <c r="B129" s="6" t="n">
        <v>0.155555555555556</v>
      </c>
      <c r="C129" s="7" t="n">
        <v>13821</v>
      </c>
      <c r="D129" s="7" t="s">
        <v>14</v>
      </c>
      <c r="E129" s="7" t="n">
        <v>22220</v>
      </c>
      <c r="F129" s="7" t="n">
        <v>13200</v>
      </c>
      <c r="G129" s="8" t="n">
        <v>9020</v>
      </c>
      <c r="H129" s="7" t="s">
        <v>10</v>
      </c>
      <c r="I129" s="7" t="s">
        <v>11</v>
      </c>
    </row>
    <row r="130" customFormat="false" ht="13.8" hidden="false" customHeight="false" outlineLevel="0" collapsed="false">
      <c r="A130" s="5" t="n">
        <v>44854</v>
      </c>
      <c r="B130" s="6" t="n">
        <v>0.21875</v>
      </c>
      <c r="C130" s="7" t="n">
        <v>13826</v>
      </c>
      <c r="D130" s="7" t="s">
        <v>18</v>
      </c>
      <c r="E130" s="7" t="n">
        <v>25420</v>
      </c>
      <c r="F130" s="7" t="n">
        <v>15940</v>
      </c>
      <c r="G130" s="8" t="n">
        <v>9480</v>
      </c>
      <c r="H130" s="7" t="s">
        <v>10</v>
      </c>
      <c r="I130" s="7" t="s">
        <v>11</v>
      </c>
    </row>
    <row r="131" customFormat="false" ht="13.8" hidden="false" customHeight="false" outlineLevel="0" collapsed="false">
      <c r="A131" s="5" t="n">
        <v>44842</v>
      </c>
      <c r="B131" s="6" t="n">
        <v>0.34375</v>
      </c>
      <c r="C131" s="7" t="n">
        <v>13360</v>
      </c>
      <c r="D131" s="7" t="s">
        <v>26</v>
      </c>
      <c r="E131" s="7" t="n">
        <v>14160</v>
      </c>
      <c r="F131" s="7" t="n">
        <v>13220</v>
      </c>
      <c r="G131" s="8" t="n">
        <v>940</v>
      </c>
      <c r="H131" s="7" t="s">
        <v>10</v>
      </c>
      <c r="I131" s="7" t="s">
        <v>22</v>
      </c>
    </row>
    <row r="132" customFormat="false" ht="13.8" hidden="false" customHeight="false" outlineLevel="0" collapsed="false">
      <c r="A132" s="5" t="n">
        <v>44842</v>
      </c>
      <c r="B132" s="6" t="n">
        <v>0.34375</v>
      </c>
      <c r="C132" s="7" t="n">
        <v>13361</v>
      </c>
      <c r="D132" s="7" t="s">
        <v>27</v>
      </c>
      <c r="E132" s="7" t="n">
        <v>18740</v>
      </c>
      <c r="F132" s="7" t="n">
        <v>15940</v>
      </c>
      <c r="G132" s="8" t="n">
        <v>2800</v>
      </c>
      <c r="H132" s="7" t="s">
        <v>10</v>
      </c>
      <c r="I132" s="7" t="s">
        <v>22</v>
      </c>
    </row>
    <row r="133" customFormat="false" ht="13.8" hidden="false" customHeight="false" outlineLevel="0" collapsed="false">
      <c r="A133" s="5" t="n">
        <v>44854</v>
      </c>
      <c r="B133" s="6" t="n">
        <v>0.513888888888889</v>
      </c>
      <c r="C133" s="7" t="n">
        <v>13853</v>
      </c>
      <c r="D133" s="7" t="s">
        <v>21</v>
      </c>
      <c r="E133" s="7" t="n">
        <v>6540</v>
      </c>
      <c r="F133" s="7" t="n">
        <v>5580</v>
      </c>
      <c r="G133" s="8" t="n">
        <v>960</v>
      </c>
      <c r="H133" s="7" t="s">
        <v>10</v>
      </c>
      <c r="I133" s="7" t="s">
        <v>22</v>
      </c>
    </row>
    <row r="134" customFormat="false" ht="13.8" hidden="false" customHeight="false" outlineLevel="0" collapsed="false">
      <c r="A134" s="5" t="n">
        <v>44854</v>
      </c>
      <c r="B134" s="6" t="n">
        <v>0.427777777777778</v>
      </c>
      <c r="C134" s="7" t="n">
        <v>13844</v>
      </c>
      <c r="D134" s="7" t="s">
        <v>21</v>
      </c>
      <c r="E134" s="7" t="n">
        <v>6520</v>
      </c>
      <c r="F134" s="7" t="n">
        <v>5580</v>
      </c>
      <c r="G134" s="8" t="n">
        <v>940</v>
      </c>
      <c r="H134" s="7" t="s">
        <v>10</v>
      </c>
      <c r="I134" s="7" t="s">
        <v>22</v>
      </c>
    </row>
    <row r="135" customFormat="false" ht="13.8" hidden="false" customHeight="false" outlineLevel="0" collapsed="false">
      <c r="A135" s="5" t="n">
        <v>44854</v>
      </c>
      <c r="B135" s="6" t="n">
        <v>0.546527777777778</v>
      </c>
      <c r="C135" s="7" t="n">
        <v>13856</v>
      </c>
      <c r="D135" s="7" t="s">
        <v>9</v>
      </c>
      <c r="E135" s="7" t="n">
        <v>3320</v>
      </c>
      <c r="F135" s="7" t="n">
        <v>2860</v>
      </c>
      <c r="G135" s="8" t="n">
        <v>460</v>
      </c>
      <c r="H135" s="7" t="s">
        <v>10</v>
      </c>
      <c r="I135" s="7" t="s">
        <v>23</v>
      </c>
    </row>
    <row r="136" customFormat="false" ht="13.8" hidden="false" customHeight="false" outlineLevel="0" collapsed="false">
      <c r="A136" s="5" t="n">
        <v>44854</v>
      </c>
      <c r="B136" s="6" t="n">
        <v>0.511111111111111</v>
      </c>
      <c r="C136" s="7" t="n">
        <v>13851</v>
      </c>
      <c r="D136" s="7" t="s">
        <v>16</v>
      </c>
      <c r="E136" s="7" t="n">
        <v>2680</v>
      </c>
      <c r="F136" s="7" t="n">
        <v>2400</v>
      </c>
      <c r="G136" s="8" t="n">
        <v>280</v>
      </c>
      <c r="H136" s="7" t="s">
        <v>10</v>
      </c>
      <c r="I136" s="7" t="s">
        <v>11</v>
      </c>
    </row>
    <row r="137" customFormat="false" ht="13.8" hidden="false" customHeight="false" outlineLevel="0" collapsed="false">
      <c r="A137" s="5" t="n">
        <v>44854</v>
      </c>
      <c r="B137" s="6" t="n">
        <v>0.548611111111111</v>
      </c>
      <c r="C137" s="7" t="n">
        <v>13855</v>
      </c>
      <c r="D137" s="7" t="s">
        <v>12</v>
      </c>
      <c r="E137" s="7" t="n">
        <v>3360</v>
      </c>
      <c r="F137" s="7" t="n">
        <v>2760</v>
      </c>
      <c r="G137" s="8" t="n">
        <v>600</v>
      </c>
      <c r="H137" s="7" t="s">
        <v>10</v>
      </c>
      <c r="I137" s="7" t="s">
        <v>23</v>
      </c>
    </row>
    <row r="138" customFormat="false" ht="13.8" hidden="false" customHeight="false" outlineLevel="0" collapsed="false">
      <c r="A138" s="5" t="n">
        <v>44855</v>
      </c>
      <c r="B138" s="6" t="n">
        <v>0.25</v>
      </c>
      <c r="C138" s="7" t="n">
        <v>13876</v>
      </c>
      <c r="D138" s="7" t="s">
        <v>18</v>
      </c>
      <c r="E138" s="7" t="n">
        <v>18640</v>
      </c>
      <c r="F138" s="7" t="n">
        <v>15720</v>
      </c>
      <c r="G138" s="8" t="n">
        <v>2920</v>
      </c>
      <c r="H138" s="7" t="s">
        <v>10</v>
      </c>
      <c r="I138" s="7" t="s">
        <v>11</v>
      </c>
    </row>
    <row r="139" customFormat="false" ht="13.8" hidden="false" customHeight="false" outlineLevel="0" collapsed="false">
      <c r="A139" s="5" t="n">
        <v>44855</v>
      </c>
      <c r="B139" s="6" t="n">
        <v>0.177083333333333</v>
      </c>
      <c r="C139" s="7" t="n">
        <v>13873</v>
      </c>
      <c r="D139" s="7" t="s">
        <v>18</v>
      </c>
      <c r="E139" s="7" t="n">
        <v>25280</v>
      </c>
      <c r="F139" s="7" t="n">
        <v>15740</v>
      </c>
      <c r="G139" s="8" t="n">
        <v>9540</v>
      </c>
      <c r="H139" s="7" t="s">
        <v>10</v>
      </c>
      <c r="I139" s="7" t="s">
        <v>11</v>
      </c>
    </row>
    <row r="140" customFormat="false" ht="13.8" hidden="false" customHeight="false" outlineLevel="0" collapsed="false">
      <c r="A140" s="5" t="n">
        <v>44855</v>
      </c>
      <c r="B140" s="6" t="n">
        <v>0.15</v>
      </c>
      <c r="C140" s="7" t="n">
        <v>13870</v>
      </c>
      <c r="D140" s="7" t="s">
        <v>14</v>
      </c>
      <c r="E140" s="7" t="n">
        <v>22260</v>
      </c>
      <c r="F140" s="7" t="n">
        <v>13280</v>
      </c>
      <c r="G140" s="8" t="n">
        <v>8980</v>
      </c>
      <c r="H140" s="7" t="s">
        <v>10</v>
      </c>
      <c r="I140" s="7" t="s">
        <v>11</v>
      </c>
    </row>
    <row r="141" customFormat="false" ht="13.8" hidden="false" customHeight="false" outlineLevel="0" collapsed="false">
      <c r="A141" s="5" t="n">
        <v>44855</v>
      </c>
      <c r="B141" s="6" t="n">
        <v>0.254166666666667</v>
      </c>
      <c r="C141" s="7" t="n">
        <v>13877</v>
      </c>
      <c r="D141" s="7" t="s">
        <v>17</v>
      </c>
      <c r="E141" s="7" t="n">
        <v>4280</v>
      </c>
      <c r="F141" s="7" t="n">
        <v>3800</v>
      </c>
      <c r="G141" s="8" t="n">
        <v>480</v>
      </c>
      <c r="H141" s="7" t="s">
        <v>10</v>
      </c>
      <c r="I141" s="7" t="s">
        <v>11</v>
      </c>
    </row>
    <row r="142" customFormat="false" ht="13.8" hidden="false" customHeight="false" outlineLevel="0" collapsed="false">
      <c r="A142" s="5" t="n">
        <v>44856</v>
      </c>
      <c r="B142" s="6" t="n">
        <v>0.257638888888889</v>
      </c>
      <c r="C142" s="7" t="n">
        <v>13918</v>
      </c>
      <c r="D142" s="7" t="s">
        <v>17</v>
      </c>
      <c r="E142" s="7" t="n">
        <v>4500</v>
      </c>
      <c r="F142" s="7" t="n">
        <v>3700</v>
      </c>
      <c r="G142" s="8" t="n">
        <v>800</v>
      </c>
      <c r="H142" s="7" t="s">
        <v>10</v>
      </c>
      <c r="I142" s="7" t="s">
        <v>11</v>
      </c>
    </row>
    <row r="143" customFormat="false" ht="13.8" hidden="false" customHeight="false" outlineLevel="0" collapsed="false">
      <c r="A143" s="5" t="n">
        <v>44856</v>
      </c>
      <c r="B143" s="6" t="n">
        <v>0.242361111111111</v>
      </c>
      <c r="C143" s="7" t="n">
        <v>13917</v>
      </c>
      <c r="D143" s="7" t="s">
        <v>18</v>
      </c>
      <c r="E143" s="7" t="n">
        <v>26560</v>
      </c>
      <c r="F143" s="7" t="n">
        <v>15840</v>
      </c>
      <c r="G143" s="8" t="n">
        <v>10720</v>
      </c>
      <c r="H143" s="7" t="s">
        <v>10</v>
      </c>
      <c r="I143" s="7" t="s">
        <v>11</v>
      </c>
    </row>
    <row r="144" customFormat="false" ht="13.8" hidden="false" customHeight="false" outlineLevel="0" collapsed="false">
      <c r="A144" s="5" t="n">
        <v>44856</v>
      </c>
      <c r="B144" s="6" t="n">
        <v>0.213194444444444</v>
      </c>
      <c r="C144" s="7" t="n">
        <v>13913</v>
      </c>
      <c r="D144" s="7" t="s">
        <v>14</v>
      </c>
      <c r="E144" s="7" t="n">
        <v>15640</v>
      </c>
      <c r="F144" s="7" t="n">
        <v>13240</v>
      </c>
      <c r="G144" s="8" t="n">
        <v>2400</v>
      </c>
      <c r="H144" s="7" t="s">
        <v>10</v>
      </c>
      <c r="I144" s="7" t="s">
        <v>11</v>
      </c>
    </row>
    <row r="145" customFormat="false" ht="13.8" hidden="false" customHeight="false" outlineLevel="0" collapsed="false">
      <c r="A145" s="5" t="n">
        <v>44856</v>
      </c>
      <c r="B145" s="6" t="n">
        <v>0.136111111111111</v>
      </c>
      <c r="C145" s="7" t="n">
        <v>13907</v>
      </c>
      <c r="D145" s="7" t="s">
        <v>14</v>
      </c>
      <c r="E145" s="7" t="n">
        <v>21900</v>
      </c>
      <c r="F145" s="7" t="n">
        <v>13280</v>
      </c>
      <c r="G145" s="8" t="n">
        <v>8620</v>
      </c>
      <c r="H145" s="7" t="s">
        <v>10</v>
      </c>
      <c r="I145" s="7" t="s">
        <v>11</v>
      </c>
    </row>
    <row r="146" customFormat="false" ht="13.8" hidden="false" customHeight="false" outlineLevel="0" collapsed="false">
      <c r="A146" s="5" t="n">
        <v>44857</v>
      </c>
      <c r="B146" s="6" t="n">
        <v>0.125</v>
      </c>
      <c r="C146" s="7" t="n">
        <v>13933</v>
      </c>
      <c r="D146" s="7" t="s">
        <v>14</v>
      </c>
      <c r="E146" s="7" t="n">
        <v>23120</v>
      </c>
      <c r="F146" s="7" t="n">
        <v>13280</v>
      </c>
      <c r="G146" s="8" t="n">
        <v>9840</v>
      </c>
      <c r="H146" s="7" t="s">
        <v>10</v>
      </c>
      <c r="I146" s="7" t="s">
        <v>11</v>
      </c>
    </row>
    <row r="147" customFormat="false" ht="13.8" hidden="false" customHeight="false" outlineLevel="0" collapsed="false">
      <c r="A147" s="5" t="n">
        <v>44857</v>
      </c>
      <c r="B147" s="6" t="n">
        <v>0.222916666666667</v>
      </c>
      <c r="C147" s="7" t="n">
        <v>13937</v>
      </c>
      <c r="D147" s="7" t="s">
        <v>17</v>
      </c>
      <c r="E147" s="7" t="n">
        <v>4540</v>
      </c>
      <c r="F147" s="7" t="n">
        <v>3680</v>
      </c>
      <c r="G147" s="8" t="n">
        <v>860</v>
      </c>
      <c r="H147" s="7" t="s">
        <v>10</v>
      </c>
      <c r="I147" s="7" t="s">
        <v>11</v>
      </c>
    </row>
    <row r="148" customFormat="false" ht="13.8" hidden="false" customHeight="false" outlineLevel="0" collapsed="false">
      <c r="A148" s="5" t="n">
        <v>44857</v>
      </c>
      <c r="B148" s="6" t="n">
        <v>0.215972222222222</v>
      </c>
      <c r="C148" s="7" t="n">
        <v>13938</v>
      </c>
      <c r="D148" s="7" t="s">
        <v>14</v>
      </c>
      <c r="E148" s="7" t="n">
        <v>15960</v>
      </c>
      <c r="F148" s="7" t="n">
        <v>13220</v>
      </c>
      <c r="G148" s="8" t="n">
        <v>2740</v>
      </c>
      <c r="H148" s="7" t="s">
        <v>10</v>
      </c>
      <c r="I148" s="7" t="s">
        <v>11</v>
      </c>
    </row>
    <row r="149" customFormat="false" ht="13.8" hidden="false" customHeight="false" outlineLevel="0" collapsed="false">
      <c r="A149" s="5" t="n">
        <v>44857</v>
      </c>
      <c r="B149" s="6" t="n">
        <v>0.520138888888889</v>
      </c>
      <c r="C149" s="7" t="n">
        <v>13941</v>
      </c>
      <c r="D149" s="7" t="s">
        <v>9</v>
      </c>
      <c r="E149" s="7" t="n">
        <v>3040</v>
      </c>
      <c r="F149" s="7" t="n">
        <v>2860</v>
      </c>
      <c r="G149" s="8" t="n">
        <v>180</v>
      </c>
      <c r="H149" s="7" t="s">
        <v>10</v>
      </c>
      <c r="I149" s="7" t="s">
        <v>11</v>
      </c>
    </row>
    <row r="150" customFormat="false" ht="13.8" hidden="false" customHeight="false" outlineLevel="0" collapsed="false">
      <c r="A150" s="5" t="n">
        <v>44858</v>
      </c>
      <c r="B150" s="6" t="n">
        <v>0.124305555555556</v>
      </c>
      <c r="C150" s="7" t="n">
        <v>13948</v>
      </c>
      <c r="D150" s="7" t="s">
        <v>14</v>
      </c>
      <c r="E150" s="7" t="n">
        <v>22840</v>
      </c>
      <c r="F150" s="7" t="n">
        <v>13320</v>
      </c>
      <c r="G150" s="8" t="n">
        <v>9520</v>
      </c>
      <c r="H150" s="7" t="s">
        <v>10</v>
      </c>
      <c r="I150" s="7" t="s">
        <v>11</v>
      </c>
    </row>
    <row r="151" customFormat="false" ht="13.8" hidden="false" customHeight="false" outlineLevel="0" collapsed="false">
      <c r="A151" s="5" t="n">
        <v>44858</v>
      </c>
      <c r="B151" s="6" t="n">
        <v>0.198611111111111</v>
      </c>
      <c r="C151" s="7" t="n">
        <v>13953</v>
      </c>
      <c r="D151" s="7" t="s">
        <v>13</v>
      </c>
      <c r="E151" s="7" t="n">
        <v>27140</v>
      </c>
      <c r="F151" s="7" t="n">
        <v>15740</v>
      </c>
      <c r="G151" s="8" t="n">
        <v>11400</v>
      </c>
      <c r="H151" s="7" t="s">
        <v>10</v>
      </c>
      <c r="I151" s="7" t="s">
        <v>11</v>
      </c>
    </row>
    <row r="152" customFormat="false" ht="13.8" hidden="false" customHeight="false" outlineLevel="0" collapsed="false">
      <c r="A152" s="5" t="n">
        <v>44858</v>
      </c>
      <c r="B152" s="6" t="n">
        <v>0.211805555555556</v>
      </c>
      <c r="C152" s="7" t="n">
        <v>13954</v>
      </c>
      <c r="D152" s="7" t="s">
        <v>17</v>
      </c>
      <c r="E152" s="7" t="n">
        <v>4520</v>
      </c>
      <c r="F152" s="7" t="n">
        <v>3620</v>
      </c>
      <c r="G152" s="8" t="n">
        <v>900</v>
      </c>
      <c r="H152" s="7" t="s">
        <v>10</v>
      </c>
      <c r="I152" s="7" t="s">
        <v>11</v>
      </c>
    </row>
    <row r="153" customFormat="false" ht="13.8" hidden="false" customHeight="false" outlineLevel="0" collapsed="false">
      <c r="A153" s="5" t="n">
        <v>44858</v>
      </c>
      <c r="B153" s="6" t="n">
        <v>0.289583333333333</v>
      </c>
      <c r="C153" s="7" t="n">
        <v>13962</v>
      </c>
      <c r="D153" s="7" t="s">
        <v>13</v>
      </c>
      <c r="E153" s="7" t="n">
        <v>18140</v>
      </c>
      <c r="F153" s="7" t="n">
        <v>15920</v>
      </c>
      <c r="G153" s="8" t="n">
        <v>2220</v>
      </c>
      <c r="H153" s="7" t="s">
        <v>10</v>
      </c>
      <c r="I153" s="7" t="s">
        <v>11</v>
      </c>
    </row>
    <row r="154" customFormat="false" ht="13.8" hidden="false" customHeight="false" outlineLevel="0" collapsed="false">
      <c r="A154" s="5" t="n">
        <v>44858</v>
      </c>
      <c r="B154" s="6" t="n">
        <v>0.520138888888889</v>
      </c>
      <c r="C154" s="7" t="n">
        <v>13972</v>
      </c>
      <c r="D154" s="7" t="s">
        <v>16</v>
      </c>
      <c r="E154" s="7" t="n">
        <v>2660</v>
      </c>
      <c r="F154" s="7" t="n">
        <v>2400</v>
      </c>
      <c r="G154" s="8" t="n">
        <v>260</v>
      </c>
      <c r="H154" s="7" t="s">
        <v>10</v>
      </c>
      <c r="I154" s="7" t="s">
        <v>11</v>
      </c>
    </row>
    <row r="155" customFormat="false" ht="13.8" hidden="false" customHeight="false" outlineLevel="0" collapsed="false">
      <c r="A155" s="5" t="n">
        <v>44859</v>
      </c>
      <c r="B155" s="6" t="n">
        <v>0.254861111111111</v>
      </c>
      <c r="C155" s="7" t="n">
        <v>13992</v>
      </c>
      <c r="D155" s="7" t="s">
        <v>17</v>
      </c>
      <c r="E155" s="7" t="n">
        <v>4360</v>
      </c>
      <c r="F155" s="7" t="n">
        <v>3680</v>
      </c>
      <c r="G155" s="8" t="n">
        <v>680</v>
      </c>
      <c r="H155" s="7" t="s">
        <v>10</v>
      </c>
      <c r="I155" s="7" t="s">
        <v>11</v>
      </c>
    </row>
    <row r="156" customFormat="false" ht="13.8" hidden="false" customHeight="false" outlineLevel="0" collapsed="false">
      <c r="A156" s="5" t="n">
        <v>44859</v>
      </c>
      <c r="B156" s="6" t="n">
        <v>0.148611111111111</v>
      </c>
      <c r="C156" s="7" t="n">
        <v>13987</v>
      </c>
      <c r="D156" s="7" t="s">
        <v>14</v>
      </c>
      <c r="E156" s="7" t="n">
        <v>22100</v>
      </c>
      <c r="F156" s="7" t="n">
        <v>13300</v>
      </c>
      <c r="G156" s="8" t="n">
        <v>8800</v>
      </c>
      <c r="H156" s="7" t="s">
        <v>10</v>
      </c>
      <c r="I156" s="7" t="s">
        <v>11</v>
      </c>
    </row>
    <row r="157" customFormat="false" ht="13.8" hidden="false" customHeight="false" outlineLevel="0" collapsed="false">
      <c r="A157" s="5" t="n">
        <v>44859</v>
      </c>
      <c r="B157" s="6" t="n">
        <v>0.224305555555556</v>
      </c>
      <c r="C157" s="7" t="n">
        <v>13989</v>
      </c>
      <c r="D157" s="7" t="s">
        <v>13</v>
      </c>
      <c r="E157" s="7" t="n">
        <v>25520</v>
      </c>
      <c r="F157" s="7" t="n">
        <v>15880</v>
      </c>
      <c r="G157" s="8" t="n">
        <v>9640</v>
      </c>
      <c r="H157" s="7" t="s">
        <v>10</v>
      </c>
      <c r="I157" s="7" t="s">
        <v>11</v>
      </c>
    </row>
    <row r="158" customFormat="false" ht="13.8" hidden="false" customHeight="false" outlineLevel="0" collapsed="false">
      <c r="A158" s="5" t="n">
        <v>44858</v>
      </c>
      <c r="B158" s="6" t="n">
        <v>0.467361111111111</v>
      </c>
      <c r="C158" s="7" t="n">
        <v>3606</v>
      </c>
      <c r="D158" s="7" t="s">
        <v>13</v>
      </c>
      <c r="E158" s="7" t="n">
        <v>17520</v>
      </c>
      <c r="F158" s="7" t="n">
        <v>15720</v>
      </c>
      <c r="G158" s="8" t="n">
        <v>1800</v>
      </c>
      <c r="H158" s="7" t="s">
        <v>10</v>
      </c>
      <c r="I158" s="7" t="s">
        <v>19</v>
      </c>
    </row>
    <row r="159" customFormat="false" ht="13.8" hidden="false" customHeight="false" outlineLevel="0" collapsed="false">
      <c r="A159" s="5" t="n">
        <v>44859</v>
      </c>
      <c r="B159" s="6" t="n">
        <v>0.43125</v>
      </c>
      <c r="C159" s="7" t="n">
        <v>13999</v>
      </c>
      <c r="D159" s="7" t="s">
        <v>21</v>
      </c>
      <c r="E159" s="7" t="n">
        <v>6300</v>
      </c>
      <c r="F159" s="7" t="n">
        <v>5620</v>
      </c>
      <c r="G159" s="8" t="n">
        <v>680</v>
      </c>
      <c r="H159" s="7" t="s">
        <v>10</v>
      </c>
      <c r="I159" s="7" t="s">
        <v>22</v>
      </c>
    </row>
    <row r="160" customFormat="false" ht="13.8" hidden="false" customHeight="false" outlineLevel="0" collapsed="false">
      <c r="A160" s="5" t="n">
        <v>44859</v>
      </c>
      <c r="B160" s="6" t="n">
        <v>0.5</v>
      </c>
      <c r="C160" s="7" t="n">
        <v>14005</v>
      </c>
      <c r="D160" s="7" t="s">
        <v>16</v>
      </c>
      <c r="E160" s="7" t="n">
        <v>2660</v>
      </c>
      <c r="F160" s="7" t="n">
        <v>2380</v>
      </c>
      <c r="G160" s="8" t="n">
        <v>280</v>
      </c>
      <c r="H160" s="7" t="s">
        <v>10</v>
      </c>
      <c r="I160" s="7" t="s">
        <v>11</v>
      </c>
    </row>
    <row r="161" customFormat="false" ht="13.8" hidden="false" customHeight="false" outlineLevel="0" collapsed="false">
      <c r="A161" s="5" t="n">
        <v>44860</v>
      </c>
      <c r="B161" s="6" t="n">
        <v>0.55625</v>
      </c>
      <c r="C161" s="7" t="n">
        <v>146468</v>
      </c>
      <c r="D161" s="7" t="s">
        <v>13</v>
      </c>
      <c r="E161" s="7" t="n">
        <v>18280</v>
      </c>
      <c r="F161" s="7" t="n">
        <v>15780</v>
      </c>
      <c r="G161" s="8" t="n">
        <v>2500</v>
      </c>
      <c r="H161" s="7" t="s">
        <v>10</v>
      </c>
      <c r="I161" s="7" t="s">
        <v>20</v>
      </c>
    </row>
    <row r="162" customFormat="false" ht="13.8" hidden="false" customHeight="false" outlineLevel="0" collapsed="false">
      <c r="A162" s="5" t="n">
        <v>44860</v>
      </c>
      <c r="B162" s="6" t="n">
        <v>0.247222222222222</v>
      </c>
      <c r="C162" s="7" t="n">
        <v>14028</v>
      </c>
      <c r="D162" s="7" t="s">
        <v>13</v>
      </c>
      <c r="E162" s="7" t="n">
        <v>27020</v>
      </c>
      <c r="F162" s="7" t="n">
        <v>15800</v>
      </c>
      <c r="G162" s="8" t="n">
        <v>11220</v>
      </c>
      <c r="H162" s="7" t="s">
        <v>10</v>
      </c>
      <c r="I162" s="7" t="s">
        <v>11</v>
      </c>
    </row>
    <row r="163" customFormat="false" ht="13.8" hidden="false" customHeight="false" outlineLevel="0" collapsed="false">
      <c r="A163" s="5" t="n">
        <v>44860</v>
      </c>
      <c r="B163" s="6" t="n">
        <v>0.256944444444444</v>
      </c>
      <c r="C163" s="7" t="n">
        <v>14029</v>
      </c>
      <c r="D163" s="7" t="s">
        <v>17</v>
      </c>
      <c r="E163" s="7" t="n">
        <v>4240</v>
      </c>
      <c r="F163" s="7" t="n">
        <v>3700</v>
      </c>
      <c r="G163" s="8" t="n">
        <v>540</v>
      </c>
      <c r="H163" s="7" t="s">
        <v>10</v>
      </c>
      <c r="I163" s="7" t="s">
        <v>11</v>
      </c>
    </row>
    <row r="164" customFormat="false" ht="13.8" hidden="false" customHeight="false" outlineLevel="0" collapsed="false">
      <c r="A164" s="5" t="n">
        <v>44860</v>
      </c>
      <c r="B164" s="6" t="n">
        <v>0.152777777777778</v>
      </c>
      <c r="C164" s="7" t="n">
        <v>14023</v>
      </c>
      <c r="D164" s="7" t="s">
        <v>14</v>
      </c>
      <c r="E164" s="7" t="n">
        <v>21080</v>
      </c>
      <c r="F164" s="7" t="n">
        <v>13240</v>
      </c>
      <c r="G164" s="8" t="n">
        <v>7840</v>
      </c>
      <c r="H164" s="7" t="s">
        <v>10</v>
      </c>
      <c r="I164" s="7" t="s">
        <v>11</v>
      </c>
    </row>
    <row r="165" customFormat="false" ht="13.8" hidden="false" customHeight="false" outlineLevel="0" collapsed="false">
      <c r="A165" s="5" t="n">
        <v>44860</v>
      </c>
      <c r="B165" s="6" t="n">
        <v>0.498611111111111</v>
      </c>
      <c r="C165" s="7" t="n">
        <v>14045</v>
      </c>
      <c r="D165" s="7" t="s">
        <v>16</v>
      </c>
      <c r="E165" s="7" t="n">
        <v>2700</v>
      </c>
      <c r="F165" s="7" t="n">
        <v>2400</v>
      </c>
      <c r="G165" s="8" t="n">
        <v>300</v>
      </c>
      <c r="H165" s="7" t="s">
        <v>10</v>
      </c>
      <c r="I165" s="7" t="s">
        <v>11</v>
      </c>
    </row>
    <row r="166" customFormat="false" ht="13.8" hidden="false" customHeight="false" outlineLevel="0" collapsed="false">
      <c r="A166" s="5" t="n">
        <v>44860</v>
      </c>
      <c r="B166" s="6" t="n">
        <v>0.515277777777778</v>
      </c>
      <c r="C166" s="7" t="n">
        <v>14053</v>
      </c>
      <c r="D166" s="7" t="s">
        <v>21</v>
      </c>
      <c r="E166" s="7" t="n">
        <v>7040</v>
      </c>
      <c r="F166" s="7" t="n">
        <v>5700</v>
      </c>
      <c r="G166" s="8" t="n">
        <v>1340</v>
      </c>
      <c r="H166" s="7" t="s">
        <v>10</v>
      </c>
      <c r="I166" s="7" t="s">
        <v>22</v>
      </c>
    </row>
    <row r="167" customFormat="false" ht="13.8" hidden="false" customHeight="false" outlineLevel="0" collapsed="false">
      <c r="A167" s="5" t="n">
        <v>44860</v>
      </c>
      <c r="B167" s="6" t="n">
        <v>0.433333333333333</v>
      </c>
      <c r="C167" s="7" t="n">
        <v>14039</v>
      </c>
      <c r="D167" s="7" t="s">
        <v>21</v>
      </c>
      <c r="E167" s="7" t="n">
        <v>6680</v>
      </c>
      <c r="F167" s="7" t="n">
        <v>5700</v>
      </c>
      <c r="G167" s="8" t="n">
        <v>980</v>
      </c>
      <c r="H167" s="7" t="s">
        <v>10</v>
      </c>
      <c r="I167" s="7" t="s">
        <v>22</v>
      </c>
    </row>
    <row r="168" customFormat="false" ht="13.8" hidden="false" customHeight="false" outlineLevel="0" collapsed="false">
      <c r="A168" s="5" t="n">
        <v>44860</v>
      </c>
      <c r="B168" s="6" t="n">
        <v>0.527777777777778</v>
      </c>
      <c r="C168" s="7" t="n">
        <v>14052</v>
      </c>
      <c r="D168" s="7" t="s">
        <v>12</v>
      </c>
      <c r="E168" s="7" t="n">
        <v>3220</v>
      </c>
      <c r="F168" s="7" t="n">
        <v>2700</v>
      </c>
      <c r="G168" s="8" t="n">
        <v>520</v>
      </c>
      <c r="H168" s="7" t="s">
        <v>10</v>
      </c>
      <c r="I168" s="7" t="s">
        <v>23</v>
      </c>
    </row>
    <row r="169" customFormat="false" ht="13.8" hidden="false" customHeight="false" outlineLevel="0" collapsed="false">
      <c r="A169" s="5" t="n">
        <v>44861</v>
      </c>
      <c r="B169" s="6" t="n">
        <v>0.229166666666667</v>
      </c>
      <c r="C169" s="7" t="n">
        <v>14072</v>
      </c>
      <c r="D169" s="7" t="s">
        <v>13</v>
      </c>
      <c r="E169" s="7" t="n">
        <v>26060</v>
      </c>
      <c r="F169" s="7" t="n">
        <v>15880</v>
      </c>
      <c r="G169" s="8" t="n">
        <v>10180</v>
      </c>
      <c r="H169" s="7" t="s">
        <v>10</v>
      </c>
      <c r="I169" s="7" t="s">
        <v>11</v>
      </c>
    </row>
    <row r="170" customFormat="false" ht="13.8" hidden="false" customHeight="false" outlineLevel="0" collapsed="false">
      <c r="A170" s="5" t="n">
        <v>44861</v>
      </c>
      <c r="B170" s="6" t="n">
        <v>0.306944444444444</v>
      </c>
      <c r="C170" s="7" t="n">
        <v>14080</v>
      </c>
      <c r="D170" s="7" t="s">
        <v>14</v>
      </c>
      <c r="E170" s="7" t="n">
        <v>13480</v>
      </c>
      <c r="F170" s="7" t="n">
        <v>13200</v>
      </c>
      <c r="G170" s="8" t="n">
        <v>280</v>
      </c>
      <c r="H170" s="7" t="s">
        <v>10</v>
      </c>
      <c r="I170" s="7" t="s">
        <v>11</v>
      </c>
    </row>
    <row r="171" customFormat="false" ht="13.8" hidden="false" customHeight="false" outlineLevel="0" collapsed="false">
      <c r="A171" s="5" t="n">
        <v>44861</v>
      </c>
      <c r="B171" s="6" t="n">
        <v>0.261805555555556</v>
      </c>
      <c r="C171" s="7" t="n">
        <v>14075</v>
      </c>
      <c r="D171" s="7" t="s">
        <v>14</v>
      </c>
      <c r="E171" s="7" t="n">
        <v>20520</v>
      </c>
      <c r="F171" s="7" t="n">
        <v>13360</v>
      </c>
      <c r="G171" s="8" t="n">
        <v>7160</v>
      </c>
      <c r="H171" s="7" t="s">
        <v>10</v>
      </c>
      <c r="I171" s="7" t="s">
        <v>11</v>
      </c>
    </row>
    <row r="172" customFormat="false" ht="13.8" hidden="false" customHeight="false" outlineLevel="0" collapsed="false">
      <c r="A172" s="5" t="n">
        <v>44861</v>
      </c>
      <c r="B172" s="6" t="n">
        <v>0.213194444444444</v>
      </c>
      <c r="C172" s="7" t="n">
        <v>14071</v>
      </c>
      <c r="D172" s="7" t="s">
        <v>12</v>
      </c>
      <c r="E172" s="7" t="n">
        <v>3140</v>
      </c>
      <c r="F172" s="7" t="n">
        <v>2720</v>
      </c>
      <c r="G172" s="8" t="n">
        <v>420</v>
      </c>
      <c r="H172" s="7" t="s">
        <v>10</v>
      </c>
      <c r="I172" s="7" t="s">
        <v>11</v>
      </c>
    </row>
    <row r="173" customFormat="false" ht="13.8" hidden="false" customHeight="false" outlineLevel="0" collapsed="false">
      <c r="A173" s="5" t="n">
        <v>44861</v>
      </c>
      <c r="B173" s="6" t="n">
        <v>0.53125</v>
      </c>
      <c r="C173" s="7" t="n">
        <v>14093</v>
      </c>
      <c r="D173" s="7" t="s">
        <v>16</v>
      </c>
      <c r="E173" s="7" t="n">
        <v>2700</v>
      </c>
      <c r="F173" s="7" t="n">
        <v>2400</v>
      </c>
      <c r="G173" s="8" t="n">
        <v>300</v>
      </c>
      <c r="H173" s="7" t="s">
        <v>10</v>
      </c>
      <c r="I173" s="7" t="s">
        <v>11</v>
      </c>
    </row>
    <row r="174" customFormat="false" ht="13.8" hidden="false" customHeight="false" outlineLevel="0" collapsed="false">
      <c r="A174" s="5" t="n">
        <v>44861</v>
      </c>
      <c r="B174" s="6" t="n">
        <v>0.545833333333333</v>
      </c>
      <c r="C174" s="7" t="n">
        <v>14094</v>
      </c>
      <c r="D174" s="7" t="s">
        <v>12</v>
      </c>
      <c r="E174" s="7" t="n">
        <v>3080</v>
      </c>
      <c r="F174" s="7" t="n">
        <v>2700</v>
      </c>
      <c r="G174" s="8" t="n">
        <v>380</v>
      </c>
      <c r="H174" s="7" t="s">
        <v>10</v>
      </c>
      <c r="I174" s="7" t="s">
        <v>23</v>
      </c>
    </row>
    <row r="175" customFormat="false" ht="13.8" hidden="false" customHeight="false" outlineLevel="0" collapsed="false">
      <c r="A175" s="5" t="n">
        <v>44861</v>
      </c>
      <c r="B175" s="6" t="n">
        <v>0.461805555555556</v>
      </c>
      <c r="C175" s="7" t="n">
        <v>146507</v>
      </c>
      <c r="D175" s="7" t="s">
        <v>28</v>
      </c>
      <c r="E175" s="7" t="n">
        <v>18300</v>
      </c>
      <c r="F175" s="7" t="n">
        <v>16040</v>
      </c>
      <c r="G175" s="8" t="n">
        <v>2260</v>
      </c>
      <c r="H175" s="7" t="s">
        <v>10</v>
      </c>
      <c r="I175" s="7" t="s">
        <v>20</v>
      </c>
    </row>
    <row r="176" customFormat="false" ht="13.8" hidden="false" customHeight="false" outlineLevel="0" collapsed="false">
      <c r="A176" s="5" t="n">
        <v>44862</v>
      </c>
      <c r="B176" s="6" t="n">
        <v>0.171527777777778</v>
      </c>
      <c r="C176" s="7" t="n">
        <v>14105</v>
      </c>
      <c r="D176" s="7" t="s">
        <v>14</v>
      </c>
      <c r="E176" s="7" t="n">
        <v>21100</v>
      </c>
      <c r="F176" s="7" t="n">
        <v>13400</v>
      </c>
      <c r="G176" s="8" t="n">
        <v>7700</v>
      </c>
      <c r="H176" s="7" t="s">
        <v>10</v>
      </c>
      <c r="I176" s="7" t="s">
        <v>11</v>
      </c>
    </row>
    <row r="177" customFormat="false" ht="13.8" hidden="false" customHeight="false" outlineLevel="0" collapsed="false">
      <c r="A177" s="5" t="n">
        <v>44862</v>
      </c>
      <c r="B177" s="6" t="n">
        <v>0.258333333333333</v>
      </c>
      <c r="C177" s="7" t="n">
        <v>14112</v>
      </c>
      <c r="D177" s="7" t="s">
        <v>17</v>
      </c>
      <c r="E177" s="7" t="n">
        <v>4440</v>
      </c>
      <c r="F177" s="7" t="n">
        <v>3740</v>
      </c>
      <c r="G177" s="8" t="n">
        <v>700</v>
      </c>
      <c r="H177" s="7" t="s">
        <v>10</v>
      </c>
      <c r="I177" s="7" t="s">
        <v>11</v>
      </c>
    </row>
    <row r="178" customFormat="false" ht="13.8" hidden="false" customHeight="false" outlineLevel="0" collapsed="false">
      <c r="A178" s="5" t="n">
        <v>44862</v>
      </c>
      <c r="B178" s="6" t="n">
        <v>0.255555555555556</v>
      </c>
      <c r="C178" s="7" t="n">
        <v>14111</v>
      </c>
      <c r="D178" s="7" t="s">
        <v>13</v>
      </c>
      <c r="E178" s="7" t="n">
        <v>16920</v>
      </c>
      <c r="F178" s="7" t="n">
        <v>15720</v>
      </c>
      <c r="G178" s="8" t="n">
        <v>1200</v>
      </c>
      <c r="H178" s="7" t="s">
        <v>10</v>
      </c>
      <c r="I178" s="7" t="s">
        <v>11</v>
      </c>
    </row>
    <row r="179" customFormat="false" ht="13.8" hidden="false" customHeight="false" outlineLevel="0" collapsed="false">
      <c r="A179" s="5" t="n">
        <v>44862</v>
      </c>
      <c r="B179" s="6" t="n">
        <v>0.213888888888889</v>
      </c>
      <c r="C179" s="7" t="n">
        <v>14108</v>
      </c>
      <c r="D179" s="7" t="s">
        <v>13</v>
      </c>
      <c r="E179" s="7" t="n">
        <v>26500</v>
      </c>
      <c r="F179" s="7" t="n">
        <v>15720</v>
      </c>
      <c r="G179" s="8" t="n">
        <v>10780</v>
      </c>
      <c r="H179" s="7" t="s">
        <v>10</v>
      </c>
      <c r="I179" s="7" t="s">
        <v>11</v>
      </c>
    </row>
    <row r="180" customFormat="false" ht="13.8" hidden="false" customHeight="false" outlineLevel="0" collapsed="false">
      <c r="A180" s="5" t="n">
        <v>44862</v>
      </c>
      <c r="B180" s="6" t="n">
        <v>0.466666666666667</v>
      </c>
      <c r="C180" s="7" t="n">
        <v>14123</v>
      </c>
      <c r="D180" s="7" t="s">
        <v>28</v>
      </c>
      <c r="E180" s="7" t="n">
        <v>20120</v>
      </c>
      <c r="F180" s="7" t="n">
        <v>16160</v>
      </c>
      <c r="G180" s="8" t="n">
        <v>3960</v>
      </c>
      <c r="H180" s="7" t="s">
        <v>10</v>
      </c>
      <c r="I180" s="7" t="s">
        <v>23</v>
      </c>
    </row>
    <row r="181" customFormat="false" ht="13.8" hidden="false" customHeight="false" outlineLevel="0" collapsed="false">
      <c r="A181" s="5" t="n">
        <v>44862</v>
      </c>
      <c r="B181" s="6" t="n">
        <v>0.527083333333333</v>
      </c>
      <c r="C181" s="7" t="n">
        <v>14126</v>
      </c>
      <c r="D181" s="7" t="s">
        <v>16</v>
      </c>
      <c r="E181" s="7" t="n">
        <v>2560</v>
      </c>
      <c r="F181" s="7" t="n">
        <v>2320</v>
      </c>
      <c r="G181" s="8" t="n">
        <v>240</v>
      </c>
      <c r="H181" s="7" t="s">
        <v>10</v>
      </c>
      <c r="I181" s="7" t="s">
        <v>11</v>
      </c>
    </row>
    <row r="182" customFormat="false" ht="13.8" hidden="false" customHeight="false" outlineLevel="0" collapsed="false">
      <c r="A182" s="5" t="n">
        <v>44862</v>
      </c>
      <c r="B182" s="6" t="n">
        <v>0.360416666666667</v>
      </c>
      <c r="C182" s="7" t="n">
        <v>14117</v>
      </c>
      <c r="D182" s="7" t="s">
        <v>21</v>
      </c>
      <c r="E182" s="7" t="n">
        <v>6300</v>
      </c>
      <c r="F182" s="7" t="n">
        <v>5520</v>
      </c>
      <c r="G182" s="8" t="n">
        <v>780</v>
      </c>
      <c r="H182" s="7" t="s">
        <v>10</v>
      </c>
      <c r="I182" s="5" t="s">
        <v>22</v>
      </c>
    </row>
    <row r="183" customFormat="false" ht="13.8" hidden="false" customHeight="false" outlineLevel="0" collapsed="false">
      <c r="A183" s="5" t="n">
        <v>44863</v>
      </c>
      <c r="B183" s="6" t="n">
        <v>0.161111111111111</v>
      </c>
      <c r="C183" s="7" t="n">
        <v>14136</v>
      </c>
      <c r="D183" s="7" t="s">
        <v>14</v>
      </c>
      <c r="E183" s="7" t="n">
        <v>22300</v>
      </c>
      <c r="F183" s="7" t="n">
        <v>13480</v>
      </c>
      <c r="G183" s="8" t="n">
        <v>8820</v>
      </c>
      <c r="H183" s="7" t="s">
        <v>10</v>
      </c>
      <c r="I183" s="7" t="s">
        <v>11</v>
      </c>
    </row>
    <row r="184" customFormat="false" ht="13.8" hidden="false" customHeight="false" outlineLevel="0" collapsed="false">
      <c r="A184" s="5" t="n">
        <v>44863</v>
      </c>
      <c r="B184" s="6" t="n">
        <v>0.236111111111111</v>
      </c>
      <c r="C184" s="7" t="n">
        <v>14142</v>
      </c>
      <c r="D184" s="7" t="s">
        <v>13</v>
      </c>
      <c r="E184" s="7" t="n">
        <v>25820</v>
      </c>
      <c r="F184" s="7" t="n">
        <v>15980</v>
      </c>
      <c r="G184" s="8" t="n">
        <v>9840</v>
      </c>
      <c r="H184" s="7" t="s">
        <v>10</v>
      </c>
      <c r="I184" s="7" t="s">
        <v>11</v>
      </c>
    </row>
    <row r="185" customFormat="false" ht="13.8" hidden="false" customHeight="false" outlineLevel="0" collapsed="false">
      <c r="A185" s="5" t="n">
        <v>44863</v>
      </c>
      <c r="B185" s="6" t="n">
        <v>0.259027777777778</v>
      </c>
      <c r="C185" s="7" t="n">
        <v>14145</v>
      </c>
      <c r="D185" s="7" t="s">
        <v>17</v>
      </c>
      <c r="E185" s="7" t="n">
        <v>4500</v>
      </c>
      <c r="F185" s="7" t="n">
        <v>3780</v>
      </c>
      <c r="G185" s="8" t="n">
        <v>720</v>
      </c>
      <c r="H185" s="7" t="s">
        <v>10</v>
      </c>
      <c r="I185" s="7" t="s">
        <v>11</v>
      </c>
    </row>
    <row r="186" customFormat="false" ht="13.8" hidden="false" customHeight="false" outlineLevel="0" collapsed="false">
      <c r="A186" s="5" t="n">
        <v>44864</v>
      </c>
      <c r="B186" s="6" t="n">
        <v>0.0972222222222222</v>
      </c>
      <c r="C186" s="7" t="n">
        <v>14161</v>
      </c>
      <c r="D186" s="7" t="s">
        <v>14</v>
      </c>
      <c r="E186" s="7" t="n">
        <v>24440</v>
      </c>
      <c r="F186" s="7" t="n">
        <v>13240</v>
      </c>
      <c r="G186" s="8" t="n">
        <v>11200</v>
      </c>
      <c r="H186" s="7" t="s">
        <v>10</v>
      </c>
      <c r="I186" s="7" t="s">
        <v>11</v>
      </c>
    </row>
    <row r="187" customFormat="false" ht="13.8" hidden="false" customHeight="false" outlineLevel="0" collapsed="false">
      <c r="A187" s="5" t="n">
        <v>44864</v>
      </c>
      <c r="B187" s="6" t="n">
        <v>0.140972222222222</v>
      </c>
      <c r="C187" s="7" t="n">
        <v>14162</v>
      </c>
      <c r="D187" s="7" t="s">
        <v>13</v>
      </c>
      <c r="E187" s="7" t="n">
        <v>26360</v>
      </c>
      <c r="F187" s="7" t="n">
        <v>15800</v>
      </c>
      <c r="G187" s="8" t="n">
        <v>10560</v>
      </c>
      <c r="H187" s="7" t="s">
        <v>10</v>
      </c>
      <c r="I187" s="7" t="s">
        <v>11</v>
      </c>
    </row>
    <row r="188" customFormat="false" ht="13.8" hidden="false" customHeight="false" outlineLevel="0" collapsed="false">
      <c r="A188" s="5" t="n">
        <v>44864</v>
      </c>
      <c r="B188" s="6" t="n">
        <v>0.195833333333333</v>
      </c>
      <c r="C188" s="7" t="n">
        <v>14165</v>
      </c>
      <c r="D188" s="7" t="s">
        <v>17</v>
      </c>
      <c r="E188" s="7" t="n">
        <v>5100</v>
      </c>
      <c r="F188" s="7" t="n">
        <v>3620</v>
      </c>
      <c r="G188" s="8" t="n">
        <v>1480</v>
      </c>
      <c r="H188" s="7" t="s">
        <v>10</v>
      </c>
      <c r="I188" s="7" t="s">
        <v>11</v>
      </c>
    </row>
    <row r="189" customFormat="false" ht="13.8" hidden="false" customHeight="false" outlineLevel="0" collapsed="false">
      <c r="A189" s="5" t="n">
        <v>44865</v>
      </c>
      <c r="B189" s="6" t="n">
        <v>0.115972222222222</v>
      </c>
      <c r="C189" s="7" t="n">
        <v>14173</v>
      </c>
      <c r="D189" s="7" t="s">
        <v>14</v>
      </c>
      <c r="E189" s="7" t="n">
        <v>22980</v>
      </c>
      <c r="F189" s="7" t="n">
        <v>13320</v>
      </c>
      <c r="G189" s="8" t="n">
        <v>9660</v>
      </c>
      <c r="H189" s="7" t="s">
        <v>10</v>
      </c>
      <c r="I189" s="7" t="s">
        <v>11</v>
      </c>
    </row>
    <row r="190" customFormat="false" ht="13.8" hidden="false" customHeight="false" outlineLevel="0" collapsed="false">
      <c r="A190" s="5" t="n">
        <v>44865</v>
      </c>
      <c r="B190" s="6" t="n">
        <v>0.258333333333333</v>
      </c>
      <c r="C190" s="7" t="n">
        <v>14181</v>
      </c>
      <c r="D190" s="7" t="s">
        <v>17</v>
      </c>
      <c r="E190" s="7" t="n">
        <v>4640</v>
      </c>
      <c r="F190" s="7" t="n">
        <v>3680</v>
      </c>
      <c r="G190" s="8" t="n">
        <v>960</v>
      </c>
      <c r="H190" s="7" t="s">
        <v>10</v>
      </c>
      <c r="I190" s="7" t="s">
        <v>11</v>
      </c>
    </row>
    <row r="191" customFormat="false" ht="13.8" hidden="false" customHeight="false" outlineLevel="0" collapsed="false">
      <c r="A191" s="5" t="n">
        <v>44865</v>
      </c>
      <c r="B191" s="6" t="n">
        <v>0.238194444444444</v>
      </c>
      <c r="C191" s="7" t="n">
        <v>14180</v>
      </c>
      <c r="D191" s="7" t="s">
        <v>13</v>
      </c>
      <c r="E191" s="7" t="n">
        <v>28200</v>
      </c>
      <c r="F191" s="7" t="n">
        <v>15820</v>
      </c>
      <c r="G191" s="8" t="n">
        <v>12380</v>
      </c>
      <c r="H191" s="7" t="s">
        <v>10</v>
      </c>
      <c r="I191" s="7" t="s">
        <v>11</v>
      </c>
    </row>
    <row r="192" customFormat="false" ht="13.8" hidden="false" customHeight="false" outlineLevel="0" collapsed="false">
      <c r="A192" s="5" t="n">
        <v>44865</v>
      </c>
      <c r="B192" s="6" t="n">
        <v>0.332638888888889</v>
      </c>
      <c r="C192" s="7" t="n">
        <v>14186</v>
      </c>
      <c r="D192" s="7" t="s">
        <v>9</v>
      </c>
      <c r="E192" s="7" t="n">
        <v>3340</v>
      </c>
      <c r="F192" s="7" t="n">
        <v>2940</v>
      </c>
      <c r="G192" s="8" t="n">
        <v>400</v>
      </c>
      <c r="H192" s="7" t="s">
        <v>10</v>
      </c>
      <c r="I192" s="7" t="s">
        <v>22</v>
      </c>
    </row>
    <row r="193" customFormat="false" ht="13.8" hidden="false" customHeight="false" outlineLevel="0" collapsed="false">
      <c r="A193" s="5" t="n">
        <v>44865</v>
      </c>
      <c r="B193" s="6" t="n">
        <v>0.359027777777778</v>
      </c>
      <c r="C193" s="7" t="n">
        <v>14188</v>
      </c>
      <c r="D193" s="7" t="s">
        <v>16</v>
      </c>
      <c r="E193" s="7" t="n">
        <v>2560</v>
      </c>
      <c r="F193" s="7" t="n">
        <v>2400</v>
      </c>
      <c r="G193" s="8" t="n">
        <v>160</v>
      </c>
      <c r="H193" s="7" t="s">
        <v>10</v>
      </c>
      <c r="I193" s="7" t="s">
        <v>11</v>
      </c>
    </row>
    <row r="194" customFormat="false" ht="13.8" hidden="false" customHeight="false" outlineLevel="0" collapsed="false">
      <c r="A194" s="5" t="n">
        <v>44865</v>
      </c>
      <c r="B194" s="6" t="n">
        <v>0.520833333333333</v>
      </c>
      <c r="C194" s="7" t="n">
        <v>14201</v>
      </c>
      <c r="D194" s="7" t="s">
        <v>16</v>
      </c>
      <c r="E194" s="7" t="n">
        <v>2620</v>
      </c>
      <c r="F194" s="7" t="n">
        <v>2400</v>
      </c>
      <c r="G194" s="8" t="n">
        <v>220</v>
      </c>
      <c r="H194" s="7" t="s">
        <v>10</v>
      </c>
      <c r="I194" s="7" t="s">
        <v>11</v>
      </c>
    </row>
    <row r="195" customFormat="false" ht="13.8" hidden="false" customHeight="false" outlineLevel="0" collapsed="false">
      <c r="A195" s="5" t="n">
        <v>44865</v>
      </c>
      <c r="B195" s="6" t="n">
        <v>0.515972222222222</v>
      </c>
      <c r="C195" s="7" t="n">
        <v>14199</v>
      </c>
      <c r="D195" s="7" t="s">
        <v>9</v>
      </c>
      <c r="E195" s="7" t="n">
        <v>3220</v>
      </c>
      <c r="F195" s="7" t="n">
        <v>2940</v>
      </c>
      <c r="G195" s="8" t="n">
        <v>280</v>
      </c>
      <c r="H195" s="7" t="s">
        <v>10</v>
      </c>
      <c r="I195" s="7" t="s">
        <v>22</v>
      </c>
    </row>
    <row r="196" customFormat="false" ht="13.8" hidden="false" customHeight="false" outlineLevel="0" collapsed="false">
      <c r="A196" s="5" t="n">
        <v>44865</v>
      </c>
      <c r="B196" s="6" t="n">
        <v>0.506944444444444</v>
      </c>
      <c r="C196" s="7" t="s">
        <v>29</v>
      </c>
      <c r="D196" s="7" t="s">
        <v>13</v>
      </c>
      <c r="E196" s="7" t="n">
        <v>17560</v>
      </c>
      <c r="F196" s="7" t="n">
        <v>16000</v>
      </c>
      <c r="G196" s="8" t="n">
        <v>1560</v>
      </c>
      <c r="H196" s="7" t="s">
        <v>10</v>
      </c>
      <c r="I196" s="7" t="s">
        <v>19</v>
      </c>
    </row>
    <row r="197" customFormat="false" ht="13.8" hidden="false" customHeight="false" outlineLevel="0" collapsed="false">
      <c r="A197" s="5" t="n">
        <v>44846</v>
      </c>
      <c r="B197" s="6" t="n">
        <v>0.2375</v>
      </c>
      <c r="C197" s="7" t="n">
        <v>13501</v>
      </c>
      <c r="D197" s="7" t="s">
        <v>18</v>
      </c>
      <c r="E197" s="7" t="n">
        <v>25040</v>
      </c>
      <c r="F197" s="7" t="n">
        <v>15840</v>
      </c>
      <c r="G197" s="8" t="n">
        <v>9200</v>
      </c>
      <c r="H197" s="7" t="s">
        <v>10</v>
      </c>
      <c r="I197" s="7" t="s">
        <v>11</v>
      </c>
    </row>
    <row r="198" customFormat="false" ht="13.8" hidden="false" customHeight="false" outlineLevel="0" collapsed="false">
      <c r="A198" s="5" t="n">
        <v>44859</v>
      </c>
      <c r="B198" s="6" t="n">
        <v>0.491666666666667</v>
      </c>
      <c r="C198" s="7" t="n">
        <v>14003</v>
      </c>
      <c r="D198" s="7" t="s">
        <v>15</v>
      </c>
      <c r="E198" s="7" t="n">
        <v>16080</v>
      </c>
      <c r="F198" s="7" t="n">
        <v>12440</v>
      </c>
      <c r="G198" s="8" t="n">
        <v>3640</v>
      </c>
      <c r="H198" s="7" t="s">
        <v>10</v>
      </c>
      <c r="I198" s="7" t="s">
        <v>11</v>
      </c>
    </row>
    <row r="199" customFormat="false" ht="13.8" hidden="false" customHeight="false" outlineLevel="0" collapsed="false">
      <c r="A199" s="5" t="n">
        <v>44861</v>
      </c>
      <c r="B199" s="6" t="n">
        <v>0.431944444444444</v>
      </c>
      <c r="C199" s="7" t="n">
        <v>14087</v>
      </c>
      <c r="D199" s="7" t="s">
        <v>21</v>
      </c>
      <c r="E199" s="7" t="n">
        <v>6500</v>
      </c>
      <c r="F199" s="7" t="n">
        <v>5580</v>
      </c>
      <c r="G199" s="8" t="n">
        <v>920</v>
      </c>
      <c r="H199" s="7" t="s">
        <v>10</v>
      </c>
      <c r="I199" s="7" t="s">
        <v>22</v>
      </c>
    </row>
    <row r="200" customFormat="false" ht="13.8" hidden="false" customHeight="false" outlineLevel="0" collapsed="false">
      <c r="A200" s="5" t="n">
        <v>44861</v>
      </c>
      <c r="B200" s="6" t="n">
        <v>0.515972222222222</v>
      </c>
      <c r="C200" s="7" t="n">
        <v>14091</v>
      </c>
      <c r="D200" s="7" t="s">
        <v>21</v>
      </c>
      <c r="E200" s="7" t="n">
        <v>6260</v>
      </c>
      <c r="F200" s="7" t="n">
        <v>5580</v>
      </c>
      <c r="G200" s="8" t="n">
        <v>680</v>
      </c>
      <c r="H200" s="7" t="s">
        <v>10</v>
      </c>
      <c r="I200" s="7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3.8" zeroHeight="false" outlineLevelRow="0" outlineLevelCol="0"/>
  <cols>
    <col collapsed="false" customWidth="true" hidden="false" outlineLevel="0" max="1" min="1" style="10" width="14.8"/>
    <col collapsed="false" customWidth="false" hidden="false" outlineLevel="0" max="6" min="2" style="10" width="10.5"/>
    <col collapsed="false" customWidth="true" hidden="false" outlineLevel="0" max="7" min="7" style="10" width="17.13"/>
    <col collapsed="false" customWidth="false" hidden="false" outlineLevel="0" max="1024" min="8" style="10" width="10.5"/>
  </cols>
  <sheetData>
    <row r="1" customFormat="false" ht="13.8" hidden="false" customHeight="false" outlineLevel="0" collapsed="false">
      <c r="A1" s="11" t="s">
        <v>0</v>
      </c>
      <c r="B1" s="12" t="s">
        <v>30</v>
      </c>
    </row>
    <row r="3" customFormat="false" ht="13.8" hidden="false" customHeight="false" outlineLevel="0" collapsed="false">
      <c r="A3" s="13" t="s">
        <v>31</v>
      </c>
      <c r="B3" s="14" t="s">
        <v>32</v>
      </c>
      <c r="C3" s="15"/>
      <c r="D3" s="15"/>
      <c r="E3" s="15"/>
      <c r="F3" s="15"/>
      <c r="G3" s="16"/>
    </row>
    <row r="4" customFormat="false" ht="13.8" hidden="false" customHeight="false" outlineLevel="0" collapsed="false">
      <c r="A4" s="17" t="s">
        <v>3</v>
      </c>
      <c r="B4" s="18" t="s">
        <v>23</v>
      </c>
      <c r="C4" s="19" t="s">
        <v>11</v>
      </c>
      <c r="D4" s="19" t="s">
        <v>19</v>
      </c>
      <c r="E4" s="19" t="s">
        <v>20</v>
      </c>
      <c r="F4" s="19" t="s">
        <v>22</v>
      </c>
      <c r="G4" s="20" t="s">
        <v>33</v>
      </c>
    </row>
    <row r="5" customFormat="false" ht="13.8" hidden="false" customHeight="false" outlineLevel="0" collapsed="false">
      <c r="A5" s="21" t="s">
        <v>27</v>
      </c>
      <c r="B5" s="22"/>
      <c r="C5" s="23"/>
      <c r="D5" s="23"/>
      <c r="E5" s="23"/>
      <c r="F5" s="24" t="n">
        <v>2800</v>
      </c>
      <c r="G5" s="25" t="n">
        <v>2800</v>
      </c>
    </row>
    <row r="6" customFormat="false" ht="13.8" hidden="false" customHeight="false" outlineLevel="0" collapsed="false">
      <c r="A6" s="26" t="s">
        <v>28</v>
      </c>
      <c r="B6" s="27" t="n">
        <v>3960</v>
      </c>
      <c r="C6" s="28"/>
      <c r="D6" s="28"/>
      <c r="E6" s="29" t="n">
        <v>2260</v>
      </c>
      <c r="F6" s="30"/>
      <c r="G6" s="31" t="n">
        <v>6220</v>
      </c>
    </row>
    <row r="7" customFormat="false" ht="13.8" hidden="false" customHeight="false" outlineLevel="0" collapsed="false">
      <c r="A7" s="26" t="s">
        <v>12</v>
      </c>
      <c r="B7" s="27" t="n">
        <v>2460</v>
      </c>
      <c r="C7" s="29" t="n">
        <v>6980</v>
      </c>
      <c r="D7" s="28"/>
      <c r="E7" s="28"/>
      <c r="F7" s="30"/>
      <c r="G7" s="31" t="n">
        <v>9440</v>
      </c>
    </row>
    <row r="8" customFormat="false" ht="13.8" hidden="false" customHeight="false" outlineLevel="0" collapsed="false">
      <c r="A8" s="26" t="s">
        <v>18</v>
      </c>
      <c r="B8" s="32"/>
      <c r="C8" s="29" t="n">
        <v>116820</v>
      </c>
      <c r="D8" s="29" t="n">
        <v>3600</v>
      </c>
      <c r="E8" s="29" t="n">
        <v>5520</v>
      </c>
      <c r="F8" s="30"/>
      <c r="G8" s="31" t="n">
        <v>125940</v>
      </c>
    </row>
    <row r="9" customFormat="false" ht="13.8" hidden="false" customHeight="false" outlineLevel="0" collapsed="false">
      <c r="A9" s="26" t="s">
        <v>13</v>
      </c>
      <c r="B9" s="32"/>
      <c r="C9" s="29" t="n">
        <v>215440</v>
      </c>
      <c r="D9" s="29" t="n">
        <v>4840</v>
      </c>
      <c r="E9" s="29" t="n">
        <v>4540</v>
      </c>
      <c r="F9" s="30"/>
      <c r="G9" s="31" t="n">
        <v>224820</v>
      </c>
    </row>
    <row r="10" customFormat="false" ht="13.8" hidden="false" customHeight="false" outlineLevel="0" collapsed="false">
      <c r="A10" s="26" t="s">
        <v>26</v>
      </c>
      <c r="B10" s="32"/>
      <c r="C10" s="28"/>
      <c r="D10" s="28"/>
      <c r="E10" s="28"/>
      <c r="F10" s="33" t="n">
        <v>940</v>
      </c>
      <c r="G10" s="31" t="n">
        <v>940</v>
      </c>
    </row>
    <row r="11" customFormat="false" ht="13.8" hidden="false" customHeight="false" outlineLevel="0" collapsed="false">
      <c r="A11" s="26" t="s">
        <v>16</v>
      </c>
      <c r="B11" s="32"/>
      <c r="C11" s="29" t="n">
        <v>6900</v>
      </c>
      <c r="D11" s="28"/>
      <c r="E11" s="28"/>
      <c r="F11" s="30"/>
      <c r="G11" s="31" t="n">
        <v>6900</v>
      </c>
    </row>
    <row r="12" customFormat="false" ht="13.8" hidden="false" customHeight="false" outlineLevel="0" collapsed="false">
      <c r="A12" s="26" t="s">
        <v>15</v>
      </c>
      <c r="B12" s="32"/>
      <c r="C12" s="29" t="n">
        <v>125680</v>
      </c>
      <c r="D12" s="28"/>
      <c r="E12" s="28"/>
      <c r="F12" s="30"/>
      <c r="G12" s="31" t="n">
        <v>125680</v>
      </c>
    </row>
    <row r="13" customFormat="false" ht="13.8" hidden="false" customHeight="false" outlineLevel="0" collapsed="false">
      <c r="A13" s="26" t="s">
        <v>24</v>
      </c>
      <c r="B13" s="27" t="n">
        <v>17920</v>
      </c>
      <c r="C13" s="28"/>
      <c r="D13" s="28"/>
      <c r="E13" s="28"/>
      <c r="F13" s="30"/>
      <c r="G13" s="31" t="n">
        <v>17920</v>
      </c>
    </row>
    <row r="14" customFormat="false" ht="13.8" hidden="false" customHeight="false" outlineLevel="0" collapsed="false">
      <c r="A14" s="26" t="s">
        <v>9</v>
      </c>
      <c r="B14" s="27" t="n">
        <v>900</v>
      </c>
      <c r="C14" s="29" t="n">
        <v>2460</v>
      </c>
      <c r="D14" s="28"/>
      <c r="E14" s="28"/>
      <c r="F14" s="33" t="n">
        <v>680</v>
      </c>
      <c r="G14" s="31" t="n">
        <v>4040</v>
      </c>
    </row>
    <row r="15" customFormat="false" ht="13.8" hidden="false" customHeight="false" outlineLevel="0" collapsed="false">
      <c r="A15" s="26" t="s">
        <v>14</v>
      </c>
      <c r="B15" s="32"/>
      <c r="C15" s="29" t="n">
        <v>186840</v>
      </c>
      <c r="D15" s="28"/>
      <c r="E15" s="28"/>
      <c r="F15" s="30"/>
      <c r="G15" s="31" t="n">
        <v>186840</v>
      </c>
    </row>
    <row r="16" customFormat="false" ht="13.8" hidden="false" customHeight="false" outlineLevel="0" collapsed="false">
      <c r="A16" s="26" t="s">
        <v>17</v>
      </c>
      <c r="B16" s="32"/>
      <c r="C16" s="29" t="n">
        <v>16120</v>
      </c>
      <c r="D16" s="28"/>
      <c r="E16" s="28"/>
      <c r="F16" s="30"/>
      <c r="G16" s="31" t="n">
        <v>16120</v>
      </c>
    </row>
    <row r="17" customFormat="false" ht="13.8" hidden="false" customHeight="false" outlineLevel="0" collapsed="false">
      <c r="A17" s="26" t="s">
        <v>21</v>
      </c>
      <c r="B17" s="32"/>
      <c r="C17" s="29" t="n">
        <v>2440</v>
      </c>
      <c r="D17" s="28"/>
      <c r="E17" s="28"/>
      <c r="F17" s="33" t="n">
        <v>17540</v>
      </c>
      <c r="G17" s="31" t="n">
        <v>19980</v>
      </c>
    </row>
    <row r="18" customFormat="false" ht="13.8" hidden="false" customHeight="false" outlineLevel="0" collapsed="false">
      <c r="A18" s="26" t="s">
        <v>25</v>
      </c>
      <c r="B18" s="34"/>
      <c r="C18" s="35"/>
      <c r="D18" s="35"/>
      <c r="E18" s="35"/>
      <c r="F18" s="36" t="n">
        <v>1920</v>
      </c>
      <c r="G18" s="37" t="n">
        <v>1920</v>
      </c>
    </row>
    <row r="19" customFormat="false" ht="13.8" hidden="false" customHeight="false" outlineLevel="0" collapsed="false">
      <c r="A19" s="38" t="s">
        <v>33</v>
      </c>
      <c r="B19" s="39" t="n">
        <v>25240</v>
      </c>
      <c r="C19" s="40" t="n">
        <v>679680</v>
      </c>
      <c r="D19" s="40" t="n">
        <v>8440</v>
      </c>
      <c r="E19" s="40" t="n">
        <v>12320</v>
      </c>
      <c r="F19" s="41" t="n">
        <v>23880</v>
      </c>
      <c r="G19" s="42" t="n">
        <v>749560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9" activeCellId="0" sqref="H79"/>
    </sheetView>
  </sheetViews>
  <sheetFormatPr defaultColWidth="7.72265625" defaultRowHeight="13.8" zeroHeight="false" outlineLevelRow="0" outlineLevelCol="0"/>
  <cols>
    <col collapsed="false" customWidth="true" hidden="false" outlineLevel="0" max="1" min="1" style="43" width="15.1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7"/>
    <col collapsed="false" customWidth="true" hidden="false" outlineLevel="0" max="6" min="5" style="44" width="11.27"/>
    <col collapsed="false" customWidth="true" hidden="false" outlineLevel="0" max="7" min="7" style="44" width="13.47"/>
    <col collapsed="false" customWidth="true" hidden="false" outlineLevel="0" max="8" min="8" style="44" width="14.54"/>
    <col collapsed="false" customWidth="true" hidden="false" outlineLevel="0" max="9" min="9" style="44" width="15.87"/>
    <col collapsed="false" customWidth="fals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"/>
    <col collapsed="false" customWidth="true" hidden="false" outlineLevel="0" max="14" min="14" style="44" width="7.09"/>
    <col collapsed="false" customWidth="false" hidden="false" outlineLevel="0" max="1024" min="15" style="44" width="7.73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34</v>
      </c>
      <c r="C2" s="47" t="s">
        <v>23</v>
      </c>
      <c r="D2" s="47" t="s">
        <v>11</v>
      </c>
      <c r="E2" s="47" t="s">
        <v>19</v>
      </c>
      <c r="F2" s="47" t="s">
        <v>20</v>
      </c>
      <c r="G2" s="47" t="s">
        <v>35</v>
      </c>
      <c r="H2" s="48" t="s">
        <v>33</v>
      </c>
    </row>
    <row r="3" customFormat="false" ht="13.8" hidden="false" customHeight="false" outlineLevel="0" collapsed="false">
      <c r="A3" s="49" t="s">
        <v>27</v>
      </c>
      <c r="B3" s="50"/>
      <c r="C3" s="51"/>
      <c r="D3" s="51"/>
      <c r="E3" s="51"/>
      <c r="F3" s="51"/>
      <c r="G3" s="52" t="n">
        <v>2800</v>
      </c>
      <c r="H3" s="53" t="n">
        <f aca="false">SUM(B3:G3)</f>
        <v>2800</v>
      </c>
    </row>
    <row r="4" customFormat="false" ht="13.8" hidden="false" customHeight="false" outlineLevel="0" collapsed="false">
      <c r="A4" s="54" t="s">
        <v>28</v>
      </c>
      <c r="B4" s="55"/>
      <c r="C4" s="56" t="n">
        <v>3960</v>
      </c>
      <c r="D4" s="56"/>
      <c r="E4" s="56"/>
      <c r="F4" s="56" t="n">
        <v>2260</v>
      </c>
      <c r="G4" s="57"/>
      <c r="H4" s="53" t="n">
        <f aca="false">SUM(B4:G4)</f>
        <v>6220</v>
      </c>
    </row>
    <row r="5" customFormat="false" ht="13.8" hidden="false" customHeight="false" outlineLevel="0" collapsed="false">
      <c r="A5" s="54" t="s">
        <v>12</v>
      </c>
      <c r="B5" s="55"/>
      <c r="C5" s="56" t="n">
        <v>2460</v>
      </c>
      <c r="D5" s="56" t="n">
        <v>6980</v>
      </c>
      <c r="E5" s="56"/>
      <c r="F5" s="56"/>
      <c r="G5" s="57"/>
      <c r="H5" s="53" t="n">
        <f aca="false">SUM(B5:G5)</f>
        <v>9440</v>
      </c>
    </row>
    <row r="6" customFormat="false" ht="13.8" hidden="false" customHeight="false" outlineLevel="0" collapsed="false">
      <c r="A6" s="54" t="s">
        <v>18</v>
      </c>
      <c r="B6" s="55"/>
      <c r="C6" s="56"/>
      <c r="D6" s="56" t="n">
        <v>116820</v>
      </c>
      <c r="E6" s="56" t="n">
        <v>3600</v>
      </c>
      <c r="F6" s="56" t="n">
        <v>5520</v>
      </c>
      <c r="G6" s="57"/>
      <c r="H6" s="53" t="n">
        <f aca="false">SUM(B6:G6)</f>
        <v>125940</v>
      </c>
    </row>
    <row r="7" customFormat="false" ht="13.8" hidden="false" customHeight="false" outlineLevel="0" collapsed="false">
      <c r="A7" s="54" t="s">
        <v>13</v>
      </c>
      <c r="B7" s="55"/>
      <c r="C7" s="56"/>
      <c r="D7" s="56" t="n">
        <v>215440</v>
      </c>
      <c r="E7" s="56" t="n">
        <v>4840</v>
      </c>
      <c r="F7" s="56" t="n">
        <v>4540</v>
      </c>
      <c r="G7" s="57"/>
      <c r="H7" s="53" t="n">
        <f aca="false">SUM(B7:G7)</f>
        <v>224820</v>
      </c>
    </row>
    <row r="8" customFormat="false" ht="13.8" hidden="false" customHeight="false" outlineLevel="0" collapsed="false">
      <c r="A8" s="54" t="s">
        <v>26</v>
      </c>
      <c r="B8" s="55"/>
      <c r="C8" s="56"/>
      <c r="D8" s="56"/>
      <c r="E8" s="56"/>
      <c r="F8" s="56"/>
      <c r="G8" s="57" t="n">
        <v>940</v>
      </c>
      <c r="H8" s="53" t="n">
        <f aca="false">SUM(B8:G8)</f>
        <v>940</v>
      </c>
    </row>
    <row r="9" customFormat="false" ht="13.8" hidden="false" customHeight="false" outlineLevel="0" collapsed="false">
      <c r="A9" s="54" t="s">
        <v>16</v>
      </c>
      <c r="B9" s="55"/>
      <c r="C9" s="56"/>
      <c r="D9" s="56" t="n">
        <v>6900</v>
      </c>
      <c r="E9" s="56"/>
      <c r="F9" s="56"/>
      <c r="G9" s="57"/>
      <c r="H9" s="53" t="n">
        <f aca="false">SUM(B9:G9)</f>
        <v>6900</v>
      </c>
    </row>
    <row r="10" customFormat="false" ht="13.8" hidden="false" customHeight="false" outlineLevel="0" collapsed="false">
      <c r="A10" s="54" t="s">
        <v>15</v>
      </c>
      <c r="B10" s="55"/>
      <c r="C10" s="56"/>
      <c r="D10" s="56" t="n">
        <v>125680</v>
      </c>
      <c r="E10" s="56"/>
      <c r="F10" s="56"/>
      <c r="G10" s="57"/>
      <c r="H10" s="53" t="n">
        <f aca="false">SUM(B10:G10)</f>
        <v>125680</v>
      </c>
    </row>
    <row r="11" customFormat="false" ht="13.8" hidden="false" customHeight="false" outlineLevel="0" collapsed="false">
      <c r="A11" s="54" t="s">
        <v>24</v>
      </c>
      <c r="B11" s="55"/>
      <c r="C11" s="56" t="n">
        <v>17920</v>
      </c>
      <c r="D11" s="56"/>
      <c r="E11" s="56"/>
      <c r="F11" s="56"/>
      <c r="G11" s="57"/>
      <c r="H11" s="53" t="n">
        <f aca="false">SUM(B11:G11)</f>
        <v>17920</v>
      </c>
    </row>
    <row r="12" customFormat="false" ht="13.8" hidden="false" customHeight="false" outlineLevel="0" collapsed="false">
      <c r="A12" s="54" t="s">
        <v>9</v>
      </c>
      <c r="B12" s="55"/>
      <c r="C12" s="56" t="n">
        <v>900</v>
      </c>
      <c r="D12" s="56" t="n">
        <v>2460</v>
      </c>
      <c r="E12" s="56"/>
      <c r="F12" s="56"/>
      <c r="G12" s="57" t="n">
        <v>680</v>
      </c>
      <c r="H12" s="53" t="n">
        <f aca="false">SUM(B12:G12)</f>
        <v>4040</v>
      </c>
    </row>
    <row r="13" customFormat="false" ht="13.8" hidden="false" customHeight="false" outlineLevel="0" collapsed="false">
      <c r="A13" s="54" t="s">
        <v>14</v>
      </c>
      <c r="B13" s="55"/>
      <c r="C13" s="56"/>
      <c r="D13" s="56" t="n">
        <v>186840</v>
      </c>
      <c r="E13" s="56"/>
      <c r="F13" s="56"/>
      <c r="G13" s="57"/>
      <c r="H13" s="53" t="n">
        <f aca="false">SUM(B13:G13)</f>
        <v>186840</v>
      </c>
      <c r="I13" s="44" t="s">
        <v>36</v>
      </c>
    </row>
    <row r="14" customFormat="false" ht="13.8" hidden="false" customHeight="false" outlineLevel="0" collapsed="false">
      <c r="A14" s="58" t="s">
        <v>17</v>
      </c>
      <c r="B14" s="55"/>
      <c r="C14" s="56"/>
      <c r="D14" s="56" t="n">
        <v>16120</v>
      </c>
      <c r="E14" s="56"/>
      <c r="F14" s="56"/>
      <c r="G14" s="57"/>
      <c r="H14" s="53" t="n">
        <f aca="false">SUM(B14:G14)</f>
        <v>16120</v>
      </c>
    </row>
    <row r="15" customFormat="false" ht="13.8" hidden="false" customHeight="false" outlineLevel="0" collapsed="false">
      <c r="A15" s="58" t="s">
        <v>21</v>
      </c>
      <c r="B15" s="55"/>
      <c r="C15" s="56"/>
      <c r="D15" s="56" t="n">
        <v>2440</v>
      </c>
      <c r="E15" s="56"/>
      <c r="F15" s="56"/>
      <c r="G15" s="57" t="n">
        <v>17540</v>
      </c>
      <c r="H15" s="53" t="n">
        <f aca="false">SUM(B15:G15)</f>
        <v>19980</v>
      </c>
    </row>
    <row r="16" customFormat="false" ht="13.8" hidden="false" customHeight="false" outlineLevel="0" collapsed="false">
      <c r="A16" s="58" t="s">
        <v>25</v>
      </c>
      <c r="B16" s="59"/>
      <c r="C16" s="60"/>
      <c r="D16" s="60"/>
      <c r="E16" s="60"/>
      <c r="F16" s="60"/>
      <c r="G16" s="61" t="n">
        <v>1920</v>
      </c>
      <c r="H16" s="53" t="n">
        <f aca="false">SUM(B16:G16)</f>
        <v>1920</v>
      </c>
    </row>
    <row r="17" customFormat="false" ht="13.8" hidden="false" customHeight="false" outlineLevel="0" collapsed="false">
      <c r="A17" s="48" t="s">
        <v>33</v>
      </c>
      <c r="B17" s="62" t="n">
        <f aca="false">SUM(B3:B14)</f>
        <v>0</v>
      </c>
      <c r="C17" s="62" t="n">
        <f aca="false">SUM(C3:C14)</f>
        <v>25240</v>
      </c>
      <c r="D17" s="62" t="n">
        <f aca="false">SUM(D3:D16)</f>
        <v>679680</v>
      </c>
      <c r="E17" s="62" t="n">
        <f aca="false">SUM(E3:E16)</f>
        <v>8440</v>
      </c>
      <c r="F17" s="62" t="n">
        <f aca="false">SUM(F3:F16)</f>
        <v>12320</v>
      </c>
      <c r="G17" s="62" t="n">
        <f aca="false">SUM(G3:G16)</f>
        <v>23880</v>
      </c>
      <c r="H17" s="63" t="n">
        <f aca="false">SUM(B17:G17)</f>
        <v>749560</v>
      </c>
      <c r="L17" s="0"/>
      <c r="M17" s="0"/>
      <c r="N17" s="0"/>
      <c r="O17" s="0"/>
      <c r="P17" s="0"/>
      <c r="Q17" s="0"/>
    </row>
    <row r="18" customFormat="false" ht="13.8" hidden="false" customHeight="false" outlineLevel="0" collapsed="false">
      <c r="A18" s="64" t="s">
        <v>37</v>
      </c>
      <c r="B18" s="65" t="n">
        <f aca="false">+E83</f>
        <v>0</v>
      </c>
      <c r="C18" s="65" t="n">
        <f aca="false">+E77</f>
        <v>25240</v>
      </c>
      <c r="D18" s="65" t="n">
        <f aca="false">+F37</f>
        <v>679680</v>
      </c>
      <c r="E18" s="65" t="n">
        <f aca="false">+E67</f>
        <v>8440</v>
      </c>
      <c r="F18" s="65" t="n">
        <f aca="false">+E59</f>
        <v>12320</v>
      </c>
      <c r="G18" s="65" t="n">
        <f aca="false">+F49</f>
        <v>23880</v>
      </c>
      <c r="H18" s="66" t="n">
        <f aca="false">SUM(B18:G18)</f>
        <v>749560</v>
      </c>
      <c r="L18" s="0"/>
      <c r="M18" s="0"/>
      <c r="N18" s="0"/>
      <c r="O18" s="0"/>
      <c r="P18" s="0"/>
      <c r="Q18" s="0"/>
    </row>
    <row r="19" customFormat="false" ht="13.8" hidden="false" customHeight="false" outlineLevel="0" collapsed="false">
      <c r="C19" s="67"/>
      <c r="D19" s="67"/>
      <c r="E19" s="67"/>
      <c r="F19" s="67"/>
      <c r="G19" s="67"/>
      <c r="H19" s="67"/>
    </row>
    <row r="20" customFormat="false" ht="13.8" hidden="false" customHeight="false" outlineLevel="0" collapsed="false">
      <c r="C20" s="67"/>
      <c r="D20" s="67" t="s">
        <v>38</v>
      </c>
      <c r="E20" s="67" t="s">
        <v>39</v>
      </c>
      <c r="F20" s="67" t="s">
        <v>40</v>
      </c>
      <c r="G20" s="67"/>
      <c r="H20" s="67"/>
    </row>
    <row r="21" customFormat="false" ht="13.8" hidden="false" customHeight="false" outlineLevel="0" collapsed="false">
      <c r="A21" s="68" t="s">
        <v>41</v>
      </c>
      <c r="B21" s="68"/>
      <c r="C21" s="68"/>
      <c r="D21" s="69" t="n">
        <f aca="false">+F37+F49+E59+E67+E77+E83</f>
        <v>749560</v>
      </c>
      <c r="E21" s="70" t="n">
        <f aca="false">+G37+G49+F59+F67+F77+F83</f>
        <v>749560</v>
      </c>
      <c r="F21" s="69" t="n">
        <f aca="false">+E21-D21</f>
        <v>0</v>
      </c>
      <c r="G21" s="67"/>
      <c r="H21" s="67"/>
    </row>
    <row r="22" customFormat="false" ht="13.8" hidden="false" customHeight="false" outlineLevel="0" collapsed="false">
      <c r="C22" s="67"/>
      <c r="D22" s="67"/>
      <c r="E22" s="67"/>
      <c r="F22" s="67"/>
      <c r="G22" s="67"/>
      <c r="H22" s="67"/>
    </row>
    <row r="23" s="44" customFormat="true" ht="13.8" hidden="false" customHeight="false" outlineLevel="0" collapsed="false"/>
    <row r="24" customFormat="false" ht="13.8" hidden="false" customHeight="false" outlineLevel="0" collapsed="false">
      <c r="A24" s="67" t="s">
        <v>11</v>
      </c>
      <c r="B24" s="67"/>
      <c r="C24" s="67"/>
      <c r="D24" s="67"/>
      <c r="E24" s="67"/>
      <c r="F24" s="67"/>
      <c r="G24" s="67"/>
      <c r="H24" s="67"/>
    </row>
    <row r="25" customFormat="false" ht="13.8" hidden="false" customHeight="false" outlineLevel="0" collapsed="false">
      <c r="A25" s="43" t="s">
        <v>42</v>
      </c>
      <c r="B25" s="44" t="s">
        <v>43</v>
      </c>
      <c r="C25" s="58" t="s">
        <v>44</v>
      </c>
      <c r="D25" s="71" t="s">
        <v>45</v>
      </c>
      <c r="E25" s="58" t="s">
        <v>46</v>
      </c>
      <c r="F25" s="72" t="s">
        <v>47</v>
      </c>
      <c r="G25" s="58" t="s">
        <v>39</v>
      </c>
      <c r="H25" s="58"/>
    </row>
    <row r="26" customFormat="false" ht="13.8" hidden="false" customHeight="false" outlineLevel="0" collapsed="false">
      <c r="A26" s="73" t="n">
        <v>109</v>
      </c>
      <c r="B26" s="74" t="s">
        <v>48</v>
      </c>
      <c r="C26" s="75" t="s">
        <v>28</v>
      </c>
      <c r="D26" s="76"/>
      <c r="E26" s="75"/>
      <c r="F26" s="77"/>
      <c r="G26" s="78" t="n">
        <f aca="false">IFERROR(INDEX($B$3:$G$16,MATCH(C26,$A$3:$A$16,0),MATCH($A$24,$B$2:$G$2,0)),0)</f>
        <v>0</v>
      </c>
      <c r="H26" s="79" t="str">
        <f aca="false">IF(G26=F26,"Bien",G26-F26)</f>
        <v>Bien</v>
      </c>
    </row>
    <row r="27" customFormat="false" ht="13.8" hidden="false" customHeight="false" outlineLevel="0" collapsed="false">
      <c r="A27" s="80" t="n">
        <v>333</v>
      </c>
      <c r="B27" s="81" t="s">
        <v>49</v>
      </c>
      <c r="C27" s="82" t="s">
        <v>12</v>
      </c>
      <c r="D27" s="83" t="s">
        <v>50</v>
      </c>
      <c r="E27" s="58" t="s">
        <v>51</v>
      </c>
      <c r="F27" s="72" t="n">
        <v>6980</v>
      </c>
      <c r="G27" s="84" t="n">
        <f aca="false">IFERROR(INDEX($B$3:$G$16,MATCH(C27,$A$3:$A$16,0),MATCH($A$24,$B$2:$G$2,0)),0)</f>
        <v>6980</v>
      </c>
      <c r="H27" s="85" t="str">
        <f aca="false">IF(G27=F27,"Bien",G27-F27)</f>
        <v>Bien</v>
      </c>
    </row>
    <row r="28" customFormat="false" ht="14.9" hidden="false" customHeight="false" outlineLevel="0" collapsed="false">
      <c r="A28" s="86" t="n">
        <v>320</v>
      </c>
      <c r="B28" s="87" t="s">
        <v>52</v>
      </c>
      <c r="C28" s="58" t="s">
        <v>18</v>
      </c>
      <c r="D28" s="83" t="n">
        <v>1</v>
      </c>
      <c r="E28" s="58" t="s">
        <v>51</v>
      </c>
      <c r="F28" s="72" t="n">
        <v>116820</v>
      </c>
      <c r="G28" s="84" t="n">
        <f aca="false">IFERROR(INDEX($B$3:$G$16,MATCH(C28,$A$3:$A$16,0),MATCH($A$24,$B$2:$G$2,0)),0)</f>
        <v>116820</v>
      </c>
      <c r="H28" s="85" t="str">
        <f aca="false">IF(G28=F28,"Bien",G28-F28)</f>
        <v>Bien</v>
      </c>
    </row>
    <row r="29" customFormat="false" ht="14.9" hidden="false" customHeight="false" outlineLevel="0" collapsed="false">
      <c r="A29" s="86" t="n">
        <v>321</v>
      </c>
      <c r="B29" s="87" t="s">
        <v>53</v>
      </c>
      <c r="C29" s="58" t="s">
        <v>13</v>
      </c>
      <c r="D29" s="83" t="s">
        <v>50</v>
      </c>
      <c r="E29" s="58" t="s">
        <v>51</v>
      </c>
      <c r="F29" s="72" t="n">
        <v>215440</v>
      </c>
      <c r="G29" s="84" t="n">
        <f aca="false">IFERROR(INDEX($B$3:$G$16,MATCH(C29,$A$3:$A$16,0),MATCH($A$24,$B$2:$G$2,0)),0)</f>
        <v>215440</v>
      </c>
      <c r="H29" s="85" t="str">
        <f aca="false">IF(G29=F29,"Bien",G29-F29)</f>
        <v>Bien</v>
      </c>
    </row>
    <row r="30" customFormat="false" ht="13.8" hidden="false" customHeight="false" outlineLevel="0" collapsed="false">
      <c r="A30" s="80" t="n">
        <v>316</v>
      </c>
      <c r="B30" s="44" t="s">
        <v>54</v>
      </c>
      <c r="C30" s="58" t="s">
        <v>16</v>
      </c>
      <c r="D30" s="83" t="s">
        <v>50</v>
      </c>
      <c r="E30" s="58" t="s">
        <v>51</v>
      </c>
      <c r="F30" s="0" t="n">
        <v>6900</v>
      </c>
      <c r="G30" s="84" t="n">
        <f aca="false">IFERROR(INDEX($B$3:$G$16,MATCH(C30,$A$3:$A$16,0),MATCH($A$24,$B$2:$G$2,0)),0)</f>
        <v>6900</v>
      </c>
      <c r="H30" s="85" t="str">
        <f aca="false">IF(G30=F30,"Bien",G30-F30)</f>
        <v>Bien</v>
      </c>
    </row>
    <row r="31" customFormat="false" ht="14.9" hidden="false" customHeight="false" outlineLevel="0" collapsed="false">
      <c r="A31" s="86" t="n">
        <v>196</v>
      </c>
      <c r="B31" s="87" t="s">
        <v>55</v>
      </c>
      <c r="C31" s="58" t="s">
        <v>15</v>
      </c>
      <c r="D31" s="83" t="s">
        <v>50</v>
      </c>
      <c r="E31" s="58" t="s">
        <v>51</v>
      </c>
      <c r="F31" s="0" t="n">
        <v>125680</v>
      </c>
      <c r="G31" s="84" t="n">
        <f aca="false">IFERROR(INDEX($B$3:$G$16,MATCH(C31,$A$3:$A$16,0),MATCH($A$24,$B$2:$G$2,0)),0)</f>
        <v>125680</v>
      </c>
      <c r="H31" s="85" t="str">
        <f aca="false">IF(G31=F31,"Bien",G31-F31)</f>
        <v>Bien</v>
      </c>
      <c r="I31" s="44" t="s">
        <v>56</v>
      </c>
    </row>
    <row r="32" customFormat="false" ht="13.8" hidden="false" customHeight="false" outlineLevel="0" collapsed="false">
      <c r="A32" s="80" t="n">
        <v>309</v>
      </c>
      <c r="B32" s="44" t="s">
        <v>57</v>
      </c>
      <c r="C32" s="58" t="s">
        <v>9</v>
      </c>
      <c r="D32" s="83" t="s">
        <v>50</v>
      </c>
      <c r="E32" s="58" t="s">
        <v>51</v>
      </c>
      <c r="F32" s="0" t="n">
        <v>2460</v>
      </c>
      <c r="G32" s="84" t="n">
        <f aca="false">IFERROR(INDEX($B$3:$G$16,MATCH(C32,$A$3:$A$16,0),MATCH($A$24,$B$2:$G$2,0)),0)</f>
        <v>2460</v>
      </c>
      <c r="H32" s="85" t="str">
        <f aca="false">IF(G32=F32,"Bien",G32-F32)</f>
        <v>Bien</v>
      </c>
      <c r="L32" s="80"/>
      <c r="M32" s="88"/>
      <c r="N32" s="81"/>
    </row>
    <row r="33" customFormat="false" ht="14.9" hidden="false" customHeight="false" outlineLevel="0" collapsed="false">
      <c r="A33" s="80" t="n">
        <v>318</v>
      </c>
      <c r="B33" s="87" t="s">
        <v>55</v>
      </c>
      <c r="C33" s="58" t="s">
        <v>14</v>
      </c>
      <c r="D33" s="83" t="s">
        <v>50</v>
      </c>
      <c r="E33" s="58" t="s">
        <v>51</v>
      </c>
      <c r="F33" s="0" t="n">
        <v>186840</v>
      </c>
      <c r="G33" s="84" t="n">
        <f aca="false">IFERROR(INDEX($B$3:$G$16,MATCH(C33,$A$3:$A$16,0),MATCH($A$24,$B$2:$G$2,0)),0)</f>
        <v>186840</v>
      </c>
      <c r="H33" s="85" t="str">
        <f aca="false">IF(G33=F33,"Bien",G33-F33)</f>
        <v>Bien</v>
      </c>
      <c r="L33" s="80"/>
      <c r="M33" s="81"/>
      <c r="N33" s="81"/>
    </row>
    <row r="34" customFormat="false" ht="14.9" hidden="false" customHeight="false" outlineLevel="0" collapsed="false">
      <c r="A34" s="80" t="n">
        <v>310</v>
      </c>
      <c r="B34" s="87" t="s">
        <v>58</v>
      </c>
      <c r="C34" s="58" t="s">
        <v>17</v>
      </c>
      <c r="D34" s="83" t="n">
        <v>1</v>
      </c>
      <c r="E34" s="58" t="s">
        <v>59</v>
      </c>
      <c r="F34" s="0" t="n">
        <v>16120</v>
      </c>
      <c r="G34" s="84" t="n">
        <f aca="false">IFERROR(INDEX($B$3:$G$16,MATCH(C34,$A$3:$A$16,0),MATCH($A$24,$B$2:$G$2,0)),0)</f>
        <v>16120</v>
      </c>
      <c r="H34" s="85" t="str">
        <f aca="false">IF(G34=F34,"Bien",G34-F34)</f>
        <v>Bien</v>
      </c>
      <c r="N34" s="87"/>
    </row>
    <row r="35" customFormat="false" ht="13.8" hidden="false" customHeight="false" outlineLevel="0" collapsed="false">
      <c r="A35" s="80" t="n">
        <v>296</v>
      </c>
      <c r="B35" s="81" t="s">
        <v>60</v>
      </c>
      <c r="C35" s="81" t="s">
        <v>21</v>
      </c>
      <c r="D35" s="83" t="s">
        <v>50</v>
      </c>
      <c r="E35" s="58" t="s">
        <v>51</v>
      </c>
      <c r="F35" s="89" t="n">
        <v>2440</v>
      </c>
      <c r="G35" s="84" t="n">
        <f aca="false">IFERROR(INDEX($B$3:$G$16,MATCH(C35,$A$3:$A$16,0),MATCH($A$24,$B$2:$G$2,0)),0)</f>
        <v>2440</v>
      </c>
      <c r="H35" s="90" t="str">
        <f aca="false">IF(G35=F35,"Bien",G35-F35)</f>
        <v>Bien</v>
      </c>
      <c r="N35" s="87"/>
    </row>
    <row r="36" customFormat="false" ht="13.8" hidden="false" customHeight="false" outlineLevel="0" collapsed="false">
      <c r="A36" s="91"/>
      <c r="B36" s="92" t="s">
        <v>48</v>
      </c>
      <c r="C36" s="92" t="s">
        <v>25</v>
      </c>
      <c r="D36" s="93"/>
      <c r="E36" s="94"/>
      <c r="F36" s="95"/>
      <c r="G36" s="96" t="n">
        <f aca="false">IFERROR(INDEX($B$3:$G$14,MATCH(C36,$A$3:$A$14,0),MATCH($A$24,$B$2:$G$2,0)),0)</f>
        <v>0</v>
      </c>
      <c r="H36" s="97" t="str">
        <f aca="false">IF(G36=F36,"Bien",G36-F36)</f>
        <v>Bien</v>
      </c>
      <c r="I36" s="44" t="s">
        <v>61</v>
      </c>
      <c r="N36" s="87"/>
    </row>
    <row r="37" customFormat="false" ht="13.8" hidden="false" customHeight="false" outlineLevel="0" collapsed="false">
      <c r="C37" s="58"/>
      <c r="D37" s="71"/>
      <c r="E37" s="58"/>
      <c r="F37" s="98" t="n">
        <f aca="false">SUM(F26:F36)</f>
        <v>679680</v>
      </c>
      <c r="G37" s="99" t="n">
        <f aca="false">SUM(G26:G36)</f>
        <v>679680</v>
      </c>
      <c r="H37" s="58"/>
      <c r="I37" s="100" t="str">
        <f aca="false">IF(G37=D17,"OK","Revisar")</f>
        <v>OK</v>
      </c>
      <c r="L37" s="80"/>
      <c r="N37" s="58"/>
    </row>
    <row r="38" customFormat="false" ht="13.8" hidden="false" customHeight="false" outlineLevel="0" collapsed="false">
      <c r="A38" s="67" t="str">
        <f aca="false">+G2</f>
        <v>VOLUMINOSOS</v>
      </c>
      <c r="B38" s="67"/>
      <c r="C38" s="67"/>
      <c r="D38" s="67"/>
      <c r="E38" s="67"/>
      <c r="F38" s="67"/>
      <c r="G38" s="67"/>
      <c r="H38" s="67"/>
      <c r="L38" s="80"/>
      <c r="N38" s="58"/>
    </row>
    <row r="39" customFormat="false" ht="13.8" hidden="false" customHeight="false" outlineLevel="0" collapsed="false">
      <c r="C39" s="58" t="s">
        <v>44</v>
      </c>
      <c r="D39" s="71" t="s">
        <v>62</v>
      </c>
      <c r="E39" s="58" t="s">
        <v>63</v>
      </c>
      <c r="F39" s="98" t="s">
        <v>47</v>
      </c>
      <c r="G39" s="58" t="s">
        <v>39</v>
      </c>
      <c r="H39" s="58"/>
    </row>
    <row r="40" customFormat="false" ht="13.8" hidden="false" customHeight="false" outlineLevel="0" collapsed="false">
      <c r="A40" s="101" t="n">
        <v>109</v>
      </c>
      <c r="B40" s="74" t="s">
        <v>48</v>
      </c>
      <c r="C40" s="75" t="s">
        <v>28</v>
      </c>
      <c r="D40" s="102"/>
      <c r="E40" s="77"/>
      <c r="F40" s="77"/>
      <c r="G40" s="103" t="n">
        <f aca="false">IFERROR(INDEX($B$3:$G$16,MATCH(C40,$A$3:$A$16,0),MATCH($A$38,$B$2:$G$2,0)),0)</f>
        <v>0</v>
      </c>
      <c r="H40" s="104" t="str">
        <f aca="false">IF(G40=F40,"Bien",G40-F40)</f>
        <v>Bien</v>
      </c>
    </row>
    <row r="41" customFormat="false" ht="13.8" hidden="false" customHeight="false" outlineLevel="0" collapsed="false">
      <c r="A41" s="105" t="n">
        <v>333</v>
      </c>
      <c r="B41" s="44" t="s">
        <v>49</v>
      </c>
      <c r="C41" s="58" t="s">
        <v>12</v>
      </c>
      <c r="D41" s="106"/>
      <c r="E41" s="72"/>
      <c r="F41" s="72"/>
      <c r="G41" s="107" t="n">
        <f aca="false">IFERROR(INDEX($B$3:$G$16,MATCH(C41,$A$3:$A$16,0),MATCH($A$38,$B$2:$G$2,0)),0)</f>
        <v>0</v>
      </c>
      <c r="H41" s="108" t="str">
        <f aca="false">IF(G41=F41,"Bien",G41-F41)</f>
        <v>Bien</v>
      </c>
    </row>
    <row r="42" customFormat="false" ht="13.8" hidden="false" customHeight="false" outlineLevel="0" collapsed="false">
      <c r="A42" s="105" t="n">
        <v>316</v>
      </c>
      <c r="B42" s="81" t="s">
        <v>54</v>
      </c>
      <c r="C42" s="81" t="s">
        <v>16</v>
      </c>
      <c r="D42" s="106"/>
      <c r="E42" s="72"/>
      <c r="F42" s="72"/>
      <c r="G42" s="107" t="n">
        <f aca="false">IFERROR(INDEX($B$3:$G$16,MATCH(C42,$A$3:$A$16,0),MATCH($A$38,$B$2:$G$2,0)),0)</f>
        <v>0</v>
      </c>
      <c r="H42" s="108" t="str">
        <f aca="false">IF(G42=F42,"Bien",G42-F42)</f>
        <v>Bien</v>
      </c>
    </row>
    <row r="43" customFormat="false" ht="13.8" hidden="false" customHeight="false" outlineLevel="0" collapsed="false">
      <c r="A43" s="105" t="n">
        <v>309</v>
      </c>
      <c r="B43" s="44" t="s">
        <v>57</v>
      </c>
      <c r="C43" s="58" t="s">
        <v>9</v>
      </c>
      <c r="D43" s="106" t="n">
        <v>2</v>
      </c>
      <c r="E43" s="72" t="n">
        <v>2</v>
      </c>
      <c r="F43" s="72" t="n">
        <v>680</v>
      </c>
      <c r="G43" s="107" t="n">
        <f aca="false">IFERROR(INDEX($B$3:$G$16,MATCH(C43,$A$3:$A$16,0),MATCH($A$38,$B$2:$G$2,0)),0)</f>
        <v>680</v>
      </c>
      <c r="H43" s="109" t="str">
        <f aca="false">IF(G43=F43,"Bien",G43-F43)</f>
        <v>Bien</v>
      </c>
    </row>
    <row r="44" customFormat="false" ht="13.8" hidden="false" customHeight="false" outlineLevel="0" collapsed="false">
      <c r="A44" s="105" t="n">
        <v>296</v>
      </c>
      <c r="B44" s="81" t="s">
        <v>60</v>
      </c>
      <c r="C44" s="81" t="s">
        <v>21</v>
      </c>
      <c r="D44" s="110" t="n">
        <v>2</v>
      </c>
      <c r="E44" s="111" t="n">
        <v>18</v>
      </c>
      <c r="F44" s="111" t="n">
        <v>17540</v>
      </c>
      <c r="G44" s="107" t="n">
        <f aca="false">IFERROR(INDEX($B$3:$G$16,MATCH(C44,$A$3:$A$16,0),MATCH($A$38,$B$2:$G$2,0)),0)</f>
        <v>17540</v>
      </c>
      <c r="H44" s="109" t="str">
        <f aca="false">IF(G44=F44,"Bien",G44-F44)</f>
        <v>Bien</v>
      </c>
    </row>
    <row r="45" customFormat="false" ht="13.8" hidden="false" customHeight="false" outlineLevel="0" collapsed="false">
      <c r="A45" s="105"/>
      <c r="B45" s="112" t="s">
        <v>48</v>
      </c>
      <c r="C45" s="112" t="s">
        <v>25</v>
      </c>
      <c r="D45" s="110" t="n">
        <v>2</v>
      </c>
      <c r="E45" s="111" t="n">
        <v>1</v>
      </c>
      <c r="F45" s="111" t="n">
        <v>1920</v>
      </c>
      <c r="G45" s="107" t="n">
        <f aca="false">IFERROR(INDEX($B$3:$G$16,MATCH(C45,$A$3:$A$16,0),MATCH($A$38,$B$2:$G$2,0)),0)</f>
        <v>1920</v>
      </c>
      <c r="H45" s="108" t="str">
        <f aca="false">IF(G45=F45,"Bien",G45-F45)</f>
        <v>Bien</v>
      </c>
      <c r="I45" s="44" t="s">
        <v>64</v>
      </c>
    </row>
    <row r="46" customFormat="false" ht="13.8" hidden="false" customHeight="false" outlineLevel="0" collapsed="false">
      <c r="A46" s="105"/>
      <c r="B46" s="81"/>
      <c r="C46" s="112" t="s">
        <v>26</v>
      </c>
      <c r="D46" s="110" t="n">
        <v>2</v>
      </c>
      <c r="E46" s="111" t="n">
        <v>1</v>
      </c>
      <c r="F46" s="111" t="n">
        <v>940</v>
      </c>
      <c r="G46" s="107" t="n">
        <f aca="false">IFERROR(INDEX($B$3:$G$16,MATCH(C46,$A$3:$A$16,0),MATCH($A$38,$B$2:$G$2,0)),0)</f>
        <v>940</v>
      </c>
      <c r="H46" s="108" t="str">
        <f aca="false">IF(G46=F46,"Bien",G46-F46)</f>
        <v>Bien</v>
      </c>
      <c r="I46" s="44" t="s">
        <v>61</v>
      </c>
    </row>
    <row r="47" customFormat="false" ht="14.9" hidden="false" customHeight="false" outlineLevel="0" collapsed="false">
      <c r="A47" s="105"/>
      <c r="B47" s="113" t="s">
        <v>65</v>
      </c>
      <c r="C47" s="87" t="s">
        <v>66</v>
      </c>
      <c r="D47" s="110"/>
      <c r="E47" s="111"/>
      <c r="F47" s="111"/>
      <c r="G47" s="107" t="n">
        <f aca="false">IFERROR(INDEX($B$3:$G$16,MATCH(C47,$A$3:$A$16,0),MATCH($A$38,$B$2:$G$2,0)),0)</f>
        <v>0</v>
      </c>
      <c r="H47" s="108" t="str">
        <f aca="false">IF(G47=F47,"Bien",G47-F47)</f>
        <v>Bien</v>
      </c>
    </row>
    <row r="48" customFormat="false" ht="14.9" hidden="false" customHeight="false" outlineLevel="0" collapsed="false">
      <c r="A48" s="114"/>
      <c r="B48" s="115" t="s">
        <v>65</v>
      </c>
      <c r="C48" s="116" t="s">
        <v>27</v>
      </c>
      <c r="D48" s="117" t="n">
        <v>2</v>
      </c>
      <c r="E48" s="118" t="n">
        <v>1</v>
      </c>
      <c r="F48" s="118" t="n">
        <v>2800</v>
      </c>
      <c r="G48" s="119" t="n">
        <f aca="false">IFERROR(INDEX($B$3:$G$16,MATCH(C48,$A$3:$A$16,0),MATCH($A$38,$B$2:$G$2,0)),0)</f>
        <v>2800</v>
      </c>
      <c r="H48" s="120" t="str">
        <f aca="false">IF(G48=F48,"Bien",G48-F48)</f>
        <v>Bien</v>
      </c>
      <c r="I48" s="44" t="s">
        <v>61</v>
      </c>
    </row>
    <row r="49" s="44" customFormat="true" ht="13.8" hidden="false" customHeight="false" outlineLevel="0" collapsed="false">
      <c r="D49" s="71"/>
      <c r="E49" s="58"/>
      <c r="F49" s="98" t="n">
        <f aca="false">SUM(F40:F48)</f>
        <v>23880</v>
      </c>
      <c r="G49" s="99" t="n">
        <f aca="false">SUM(G40:G48)</f>
        <v>23880</v>
      </c>
      <c r="H49" s="58"/>
      <c r="I49" s="100" t="str">
        <f aca="false">+IF(G49=G17,"OK","Revisar")</f>
        <v>OK</v>
      </c>
    </row>
    <row r="50" customFormat="false" ht="13.8" hidden="false" customHeight="false" outlineLevel="0" collapsed="false">
      <c r="C50" s="58"/>
      <c r="D50" s="71"/>
      <c r="E50" s="58"/>
      <c r="F50" s="98"/>
      <c r="G50" s="99"/>
      <c r="H50" s="58"/>
    </row>
    <row r="51" customFormat="false" ht="13.8" hidden="false" customHeight="false" outlineLevel="0" collapsed="false">
      <c r="A51" s="67" t="s">
        <v>20</v>
      </c>
      <c r="B51" s="67"/>
      <c r="C51" s="67"/>
      <c r="D51" s="67"/>
      <c r="E51" s="67"/>
      <c r="F51" s="67"/>
      <c r="G51" s="67"/>
      <c r="H51" s="67"/>
    </row>
    <row r="52" customFormat="false" ht="13.8" hidden="false" customHeight="false" outlineLevel="0" collapsed="false">
      <c r="C52" s="121" t="s">
        <v>44</v>
      </c>
      <c r="D52" s="122" t="s">
        <v>63</v>
      </c>
      <c r="E52" s="123" t="s">
        <v>47</v>
      </c>
      <c r="F52" s="124" t="s">
        <v>39</v>
      </c>
      <c r="G52" s="58"/>
      <c r="H52" s="58"/>
    </row>
    <row r="53" customFormat="false" ht="13.8" hidden="false" customHeight="false" outlineLevel="0" collapsed="false">
      <c r="A53" s="125" t="n">
        <v>109</v>
      </c>
      <c r="B53" s="126" t="s">
        <v>48</v>
      </c>
      <c r="C53" s="75" t="s">
        <v>28</v>
      </c>
      <c r="D53" s="127" t="n">
        <v>1</v>
      </c>
      <c r="E53" s="128" t="n">
        <v>2260</v>
      </c>
      <c r="F53" s="129" t="n">
        <f aca="false">IFERROR(INDEX($B$3:$G$14,MATCH(C53,$A$3:$A$14,0),MATCH($A$51,$B$2:$G$2,0)),0)</f>
        <v>2260</v>
      </c>
      <c r="G53" s="104" t="str">
        <f aca="false">IF(F53=E53,"Bien",F53-E53)</f>
        <v>Bien</v>
      </c>
      <c r="H53" s="58"/>
    </row>
    <row r="54" customFormat="false" ht="14.9" hidden="false" customHeight="false" outlineLevel="0" collapsed="false">
      <c r="A54" s="130" t="n">
        <v>320</v>
      </c>
      <c r="B54" s="131" t="s">
        <v>52</v>
      </c>
      <c r="C54" s="58" t="s">
        <v>18</v>
      </c>
      <c r="D54" s="132" t="n">
        <v>2</v>
      </c>
      <c r="E54" s="133" t="n">
        <v>5520</v>
      </c>
      <c r="F54" s="134" t="n">
        <f aca="false">IFERROR(INDEX($B$3:$G$14,MATCH(C54,$A$3:$A$14,0),MATCH($A$51,$B$2:$G$2,0)),0)</f>
        <v>5520</v>
      </c>
      <c r="G54" s="108" t="str">
        <f aca="false">IF(F54=E54,"Bien",F54-E54)</f>
        <v>Bien</v>
      </c>
      <c r="H54" s="58"/>
    </row>
    <row r="55" customFormat="false" ht="14.9" hidden="false" customHeight="false" outlineLevel="0" collapsed="false">
      <c r="A55" s="130" t="n">
        <v>321</v>
      </c>
      <c r="B55" s="131" t="s">
        <v>53</v>
      </c>
      <c r="C55" s="58" t="s">
        <v>13</v>
      </c>
      <c r="D55" s="132" t="n">
        <v>2</v>
      </c>
      <c r="E55" s="133" t="n">
        <v>4540</v>
      </c>
      <c r="F55" s="134" t="n">
        <f aca="false">IFERROR(INDEX($B$3:$G$14,MATCH(C55,$A$3:$A$14,0),MATCH($A$51,$B$2:$G$2,0)),0)</f>
        <v>4540</v>
      </c>
      <c r="G55" s="108" t="str">
        <f aca="false">IF(F55=E55,"Bien",F55-E55)</f>
        <v>Bien</v>
      </c>
      <c r="H55" s="58"/>
    </row>
    <row r="56" customFormat="false" ht="13.8" hidden="false" customHeight="false" outlineLevel="0" collapsed="false">
      <c r="A56" s="135" t="n">
        <v>296</v>
      </c>
      <c r="B56" s="136" t="s">
        <v>60</v>
      </c>
      <c r="C56" s="58" t="s">
        <v>21</v>
      </c>
      <c r="D56" s="132"/>
      <c r="E56" s="137"/>
      <c r="F56" s="134" t="n">
        <f aca="false">IFERROR(INDEX($B$3:$G$14,MATCH(C56,$A$3:$A$14,0),MATCH($A$51,$B$2:$G$2,0)),0)</f>
        <v>0</v>
      </c>
      <c r="G56" s="108" t="str">
        <f aca="false">IF(F56=E56,"Bien",F56-E56)</f>
        <v>Bien</v>
      </c>
      <c r="H56" s="58"/>
    </row>
    <row r="57" customFormat="false" ht="14.9" hidden="false" customHeight="false" outlineLevel="0" collapsed="false">
      <c r="A57" s="130"/>
      <c r="B57" s="138"/>
      <c r="C57" s="139" t="s">
        <v>26</v>
      </c>
      <c r="D57" s="140"/>
      <c r="E57" s="141"/>
      <c r="F57" s="134" t="n">
        <f aca="false">IFERROR(INDEX($B$3:$G$14,MATCH(C57,$A$3:$A$14,0),MATCH($A$51,$B$2:$G$2,0)),0)</f>
        <v>0</v>
      </c>
      <c r="G57" s="108" t="str">
        <f aca="false">IF(F57=E57,"Bien",F57-E57)</f>
        <v>Bien</v>
      </c>
      <c r="H57" s="58"/>
    </row>
    <row r="58" customFormat="false" ht="13.8" hidden="false" customHeight="false" outlineLevel="0" collapsed="false">
      <c r="A58" s="142"/>
      <c r="B58" s="143" t="s">
        <v>48</v>
      </c>
      <c r="C58" s="92" t="s">
        <v>25</v>
      </c>
      <c r="D58" s="144"/>
      <c r="E58" s="145"/>
      <c r="F58" s="146" t="n">
        <f aca="false">IFERROR(INDEX($B$3:$G$14,MATCH(C58,$A$3:$A$14,0),MATCH($A$51,$B$2:$G$2,0)),0)</f>
        <v>0</v>
      </c>
      <c r="G58" s="120" t="str">
        <f aca="false">IF(F58=E58,"Bien",F58-E58)</f>
        <v>Bien</v>
      </c>
      <c r="H58" s="58"/>
    </row>
    <row r="59" customFormat="false" ht="13.8" hidden="false" customHeight="false" outlineLevel="0" collapsed="false">
      <c r="C59" s="58"/>
      <c r="D59" s="132"/>
      <c r="E59" s="99" t="n">
        <f aca="false">SUM(E53:E58)</f>
        <v>12320</v>
      </c>
      <c r="F59" s="99" t="n">
        <f aca="false">SUM(F53:F58)</f>
        <v>12320</v>
      </c>
      <c r="G59" s="58"/>
      <c r="H59" s="58"/>
      <c r="I59" s="100" t="str">
        <f aca="false">+IF(F59=F17,"OK","Revisar")</f>
        <v>OK</v>
      </c>
    </row>
    <row r="60" customFormat="false" ht="13.8" hidden="false" customHeight="false" outlineLevel="0" collapsed="false">
      <c r="A60" s="67" t="s">
        <v>19</v>
      </c>
      <c r="B60" s="67"/>
      <c r="C60" s="67"/>
      <c r="D60" s="67"/>
      <c r="E60" s="67"/>
      <c r="F60" s="67"/>
      <c r="G60" s="67"/>
      <c r="H60" s="58"/>
    </row>
    <row r="61" customFormat="false" ht="13.8" hidden="false" customHeight="false" outlineLevel="0" collapsed="false">
      <c r="C61" s="58" t="s">
        <v>44</v>
      </c>
      <c r="D61" s="71" t="s">
        <v>63</v>
      </c>
      <c r="E61" s="58" t="s">
        <v>47</v>
      </c>
      <c r="F61" s="98" t="s">
        <v>39</v>
      </c>
      <c r="G61" s="58"/>
      <c r="H61" s="58"/>
    </row>
    <row r="62" customFormat="false" ht="13.8" hidden="false" customHeight="false" outlineLevel="0" collapsed="false">
      <c r="A62" s="147" t="n">
        <v>109</v>
      </c>
      <c r="B62" s="148" t="s">
        <v>48</v>
      </c>
      <c r="C62" s="149" t="s">
        <v>28</v>
      </c>
      <c r="D62" s="150"/>
      <c r="E62" s="151"/>
      <c r="F62" s="152" t="n">
        <f aca="false">IFERROR(INDEX($B$3:$G$14,MATCH(C62,$A$3:$A$14,0),MATCH($A$60,$B$2:$G$2,0)),0)</f>
        <v>0</v>
      </c>
      <c r="G62" s="153" t="str">
        <f aca="false">IF(F62=E62,"Bien",F62-E62)</f>
        <v>Bien</v>
      </c>
      <c r="H62" s="58"/>
    </row>
    <row r="63" customFormat="false" ht="14.9" hidden="false" customHeight="false" outlineLevel="0" collapsed="false">
      <c r="A63" s="154" t="n">
        <v>320</v>
      </c>
      <c r="B63" s="87" t="s">
        <v>52</v>
      </c>
      <c r="C63" s="58" t="s">
        <v>18</v>
      </c>
      <c r="D63" s="140" t="n">
        <v>2</v>
      </c>
      <c r="E63" s="141" t="n">
        <v>3600</v>
      </c>
      <c r="F63" s="155" t="n">
        <f aca="false">IFERROR(INDEX($B$3:$G$14,MATCH(C63,$A$3:$A$14,0),MATCH($A$60,$B$2:$G$2,0)),0)</f>
        <v>3600</v>
      </c>
      <c r="G63" s="90" t="str">
        <f aca="false">IF(F63=E63,"Bien",F63-E63)</f>
        <v>Bien</v>
      </c>
      <c r="H63" s="58"/>
    </row>
    <row r="64" customFormat="false" ht="14.9" hidden="false" customHeight="false" outlineLevel="0" collapsed="false">
      <c r="A64" s="154" t="n">
        <v>321</v>
      </c>
      <c r="B64" s="87" t="s">
        <v>53</v>
      </c>
      <c r="C64" s="58" t="s">
        <v>13</v>
      </c>
      <c r="D64" s="140" t="n">
        <v>3</v>
      </c>
      <c r="E64" s="141" t="n">
        <v>4840</v>
      </c>
      <c r="F64" s="155" t="n">
        <f aca="false">IFERROR(INDEX($B$3:$G$14,MATCH(C64,$A$3:$A$14,0),MATCH($A$60,$B$2:$G$2,0)),0)</f>
        <v>4840</v>
      </c>
      <c r="G64" s="90" t="str">
        <f aca="false">IF(F64=E64,"Bien",F64-E64)</f>
        <v>Bien</v>
      </c>
      <c r="H64" s="58"/>
    </row>
    <row r="65" customFormat="false" ht="13.8" hidden="false" customHeight="false" outlineLevel="0" collapsed="false">
      <c r="A65" s="156" t="n">
        <v>296</v>
      </c>
      <c r="B65" s="44" t="s">
        <v>60</v>
      </c>
      <c r="C65" s="58" t="s">
        <v>21</v>
      </c>
      <c r="D65" s="140"/>
      <c r="E65" s="141"/>
      <c r="F65" s="155" t="n">
        <f aca="false">IFERROR(INDEX($B$3:$G$14,MATCH(C65,$A$3:$A$14,0),MATCH($A$60,$B$2:$G$2,0)),0)</f>
        <v>0</v>
      </c>
      <c r="G65" s="90" t="str">
        <f aca="false">IF(F65=E65,"Bien",F65-E65)</f>
        <v>Bien</v>
      </c>
      <c r="H65" s="58"/>
    </row>
    <row r="66" customFormat="false" ht="14.9" hidden="false" customHeight="false" outlineLevel="0" collapsed="false">
      <c r="A66" s="157"/>
      <c r="B66" s="158"/>
      <c r="C66" s="159" t="s">
        <v>26</v>
      </c>
      <c r="D66" s="160"/>
      <c r="E66" s="161"/>
      <c r="F66" s="162" t="n">
        <f aca="false">IFERROR(INDEX($B$3:$G$14,MATCH(C66,$A$3:$A$14,0),MATCH($A$60,$B$2:$G$2,0)),0)</f>
        <v>0</v>
      </c>
      <c r="G66" s="97" t="str">
        <f aca="false">IF(F66=E66,"Bien",F66-E66)</f>
        <v>Bien</v>
      </c>
      <c r="H66" s="58"/>
    </row>
    <row r="67" customFormat="false" ht="13.8" hidden="false" customHeight="false" outlineLevel="0" collapsed="false">
      <c r="C67" s="58"/>
      <c r="D67" s="132"/>
      <c r="E67" s="99" t="n">
        <f aca="false">SUM(E62:E66)</f>
        <v>8440</v>
      </c>
      <c r="F67" s="99" t="n">
        <f aca="false">SUM(F62:F66)</f>
        <v>8440</v>
      </c>
      <c r="G67" s="58"/>
      <c r="H67" s="58"/>
      <c r="I67" s="100" t="str">
        <f aca="false">+IF(F67=E17,"OK","Revisar")</f>
        <v>OK</v>
      </c>
    </row>
    <row r="68" customFormat="false" ht="13.8" hidden="false" customHeight="false" outlineLevel="0" collapsed="false">
      <c r="A68" s="67" t="s">
        <v>23</v>
      </c>
      <c r="B68" s="67"/>
      <c r="C68" s="67"/>
      <c r="D68" s="67"/>
      <c r="E68" s="67"/>
      <c r="F68" s="67"/>
      <c r="G68" s="67"/>
      <c r="H68" s="58"/>
    </row>
    <row r="69" customFormat="false" ht="13.8" hidden="false" customHeight="false" outlineLevel="0" collapsed="false">
      <c r="C69" s="58" t="s">
        <v>44</v>
      </c>
      <c r="D69" s="71" t="s">
        <v>63</v>
      </c>
      <c r="E69" s="58" t="s">
        <v>47</v>
      </c>
      <c r="F69" s="98" t="s">
        <v>39</v>
      </c>
      <c r="G69" s="58"/>
      <c r="H69" s="58"/>
    </row>
    <row r="70" customFormat="false" ht="13.8" hidden="false" customHeight="false" outlineLevel="0" collapsed="false">
      <c r="A70" s="101" t="n">
        <v>109</v>
      </c>
      <c r="B70" s="74" t="s">
        <v>48</v>
      </c>
      <c r="C70" s="75" t="s">
        <v>28</v>
      </c>
      <c r="D70" s="163" t="n">
        <v>1</v>
      </c>
      <c r="E70" s="164" t="n">
        <v>3960</v>
      </c>
      <c r="F70" s="78" t="n">
        <f aca="false">IFERROR(INDEX($B$3:$G$14,MATCH(C70,$A$3:$A$14,0),MATCH($A$68,$B$2:$G$2,0)),0)</f>
        <v>3960</v>
      </c>
      <c r="G70" s="104" t="str">
        <f aca="false">IF(F70=E70,"Bien",F70-E70)</f>
        <v>Bien</v>
      </c>
      <c r="H70" s="58"/>
    </row>
    <row r="71" customFormat="false" ht="13.8" hidden="false" customHeight="false" outlineLevel="0" collapsed="false">
      <c r="A71" s="105" t="n">
        <v>333</v>
      </c>
      <c r="B71" s="81" t="s">
        <v>49</v>
      </c>
      <c r="C71" s="81" t="s">
        <v>12</v>
      </c>
      <c r="D71" s="140" t="n">
        <v>5</v>
      </c>
      <c r="E71" s="165" t="n">
        <v>2460</v>
      </c>
      <c r="F71" s="84" t="n">
        <f aca="false">IFERROR(INDEX($B$3:$G$14,MATCH(C71,$A$3:$A$14,0),MATCH($A$68,$B$2:$G$2,0)),0)</f>
        <v>2460</v>
      </c>
      <c r="G71" s="108" t="str">
        <f aca="false">IF(F71=E71,"Bien",F71-E71)</f>
        <v>Bien</v>
      </c>
      <c r="H71" s="58"/>
    </row>
    <row r="72" customFormat="false" ht="14.9" hidden="false" customHeight="false" outlineLevel="0" collapsed="false">
      <c r="A72" s="166"/>
      <c r="B72" s="44" t="s">
        <v>65</v>
      </c>
      <c r="C72" s="87" t="s">
        <v>66</v>
      </c>
      <c r="D72" s="137"/>
      <c r="E72" s="167"/>
      <c r="F72" s="84" t="n">
        <f aca="false">IFERROR(INDEX($B$3:$G$14,MATCH(C72,$A$3:$A$14,0),MATCH($A$68,$B$2:$G$2,0)),0)</f>
        <v>0</v>
      </c>
      <c r="G72" s="108" t="str">
        <f aca="false">IF(F72=E72,"Bien",F72-E72)</f>
        <v>Bien</v>
      </c>
      <c r="H72" s="58"/>
    </row>
    <row r="73" customFormat="false" ht="13.8" hidden="false" customHeight="false" outlineLevel="0" collapsed="false">
      <c r="A73" s="105" t="n">
        <v>316</v>
      </c>
      <c r="B73" s="44" t="s">
        <v>54</v>
      </c>
      <c r="C73" s="58" t="s">
        <v>16</v>
      </c>
      <c r="D73" s="137"/>
      <c r="E73" s="167"/>
      <c r="F73" s="84" t="n">
        <f aca="false">IFERROR(INDEX($B$3:$G$14,MATCH(C73,$A$3:$A$14,0),MATCH($A$68,$B$2:$G$2,0)),0)</f>
        <v>0</v>
      </c>
      <c r="G73" s="108" t="str">
        <f aca="false">IF(F73=E73,"Bien",F73-E73)</f>
        <v>Bien</v>
      </c>
      <c r="H73" s="58"/>
    </row>
    <row r="74" customFormat="false" ht="13.8" hidden="false" customHeight="false" outlineLevel="0" collapsed="false">
      <c r="A74" s="105" t="n">
        <v>309</v>
      </c>
      <c r="B74" s="44" t="s">
        <v>57</v>
      </c>
      <c r="C74" s="58" t="s">
        <v>9</v>
      </c>
      <c r="D74" s="132" t="n">
        <v>2</v>
      </c>
      <c r="E74" s="165" t="n">
        <v>900</v>
      </c>
      <c r="F74" s="84" t="n">
        <f aca="false">IFERROR(INDEX($B$3:$G$14,MATCH(C74,$A$3:$A$14,0),MATCH($A$68,$B$2:$G$2,0)),0)</f>
        <v>900</v>
      </c>
      <c r="G74" s="108" t="str">
        <f aca="false">IF(F74=E74,"Bien",F74-E74)</f>
        <v>Bien</v>
      </c>
      <c r="H74" s="58"/>
    </row>
    <row r="75" customFormat="false" ht="13.8" hidden="false" customHeight="false" outlineLevel="0" collapsed="false">
      <c r="A75" s="105" t="n">
        <v>296</v>
      </c>
      <c r="B75" s="81" t="s">
        <v>60</v>
      </c>
      <c r="C75" s="81" t="s">
        <v>21</v>
      </c>
      <c r="D75" s="140"/>
      <c r="E75" s="165"/>
      <c r="F75" s="84" t="n">
        <f aca="false">IFERROR(INDEX($B$3:$G$14,MATCH(C75,$A$3:$A$14,0),MATCH($A$68,$B$2:$G$2,0)),0)</f>
        <v>0</v>
      </c>
      <c r="G75" s="108" t="str">
        <f aca="false">IF(F75=E75,"Bien",F75-E75)</f>
        <v>Bien</v>
      </c>
      <c r="H75" s="58"/>
    </row>
    <row r="76" customFormat="false" ht="13.8" hidden="false" customHeight="false" outlineLevel="0" collapsed="false">
      <c r="A76" s="114"/>
      <c r="B76" s="94" t="s">
        <v>60</v>
      </c>
      <c r="C76" s="94" t="s">
        <v>24</v>
      </c>
      <c r="D76" s="144" t="n">
        <v>2</v>
      </c>
      <c r="E76" s="168" t="n">
        <v>17920</v>
      </c>
      <c r="F76" s="96" t="n">
        <f aca="false">IFERROR(INDEX($B$3:$G$14,MATCH(C76,$A$3:$A$14,0),MATCH($A$68,$B$2:$G$2,0)),0)</f>
        <v>17920</v>
      </c>
      <c r="G76" s="120" t="str">
        <f aca="false">IF(F76=E76,"Bien",F76-E76)</f>
        <v>Bien</v>
      </c>
      <c r="H76" s="58" t="s">
        <v>64</v>
      </c>
    </row>
    <row r="77" customFormat="false" ht="13.8" hidden="false" customHeight="false" outlineLevel="0" collapsed="false">
      <c r="C77" s="58"/>
      <c r="D77" s="132"/>
      <c r="E77" s="99" t="n">
        <f aca="false">SUM(E70:E76)</f>
        <v>25240</v>
      </c>
      <c r="F77" s="99" t="n">
        <f aca="false">SUM(F70:F76)</f>
        <v>25240</v>
      </c>
      <c r="G77" s="58"/>
      <c r="H77" s="58"/>
      <c r="I77" s="100" t="str">
        <f aca="false">+IF(F77=C17,"OK","Revisar")</f>
        <v>OK</v>
      </c>
    </row>
    <row r="78" customFormat="false" ht="13.8" hidden="false" customHeight="false" outlineLevel="0" collapsed="false">
      <c r="A78" s="67" t="s">
        <v>34</v>
      </c>
      <c r="B78" s="67"/>
      <c r="C78" s="67"/>
      <c r="D78" s="67"/>
      <c r="E78" s="67"/>
      <c r="F78" s="67"/>
      <c r="G78" s="67"/>
      <c r="H78" s="58"/>
    </row>
    <row r="79" customFormat="false" ht="13.8" hidden="false" customHeight="false" outlineLevel="0" collapsed="false">
      <c r="C79" s="58" t="s">
        <v>44</v>
      </c>
      <c r="D79" s="71" t="s">
        <v>63</v>
      </c>
      <c r="E79" s="58" t="s">
        <v>47</v>
      </c>
      <c r="F79" s="98" t="s">
        <v>39</v>
      </c>
      <c r="G79" s="58"/>
      <c r="H79" s="58"/>
    </row>
    <row r="80" customFormat="false" ht="13.8" hidden="false" customHeight="false" outlineLevel="0" collapsed="false">
      <c r="A80" s="147" t="n">
        <v>109</v>
      </c>
      <c r="B80" s="148" t="s">
        <v>48</v>
      </c>
      <c r="C80" s="149" t="s">
        <v>28</v>
      </c>
      <c r="D80" s="150"/>
      <c r="E80" s="151"/>
      <c r="F80" s="152" t="n">
        <f aca="false">IFERROR(INDEX($B$3:$G$14,MATCH(C80,$A$3:$A$14,0),MATCH($A$78,$B$2:$G$2,0)),0)</f>
        <v>0</v>
      </c>
      <c r="G80" s="153" t="str">
        <f aca="false">IF(F80=E80,"Bien",F80-E80)</f>
        <v>Bien</v>
      </c>
      <c r="H80" s="58"/>
    </row>
    <row r="81" customFormat="false" ht="13.8" hidden="false" customHeight="false" outlineLevel="0" collapsed="false">
      <c r="A81" s="156" t="n">
        <v>309</v>
      </c>
      <c r="B81" s="44" t="s">
        <v>57</v>
      </c>
      <c r="C81" s="58" t="s">
        <v>9</v>
      </c>
      <c r="D81" s="132"/>
      <c r="E81" s="137"/>
      <c r="F81" s="155" t="n">
        <f aca="false">IFERROR(INDEX($B$3:$G$14,MATCH(C81,$A$3:$A$14,0),MATCH($A$78,$B$2:$G$2,0)),0)</f>
        <v>0</v>
      </c>
      <c r="G81" s="90" t="str">
        <f aca="false">IF(F81=E81,"Bien",F81-E81)</f>
        <v>Bien</v>
      </c>
      <c r="H81" s="58"/>
    </row>
    <row r="82" customFormat="false" ht="13.8" hidden="false" customHeight="false" outlineLevel="0" collapsed="false">
      <c r="A82" s="169" t="n">
        <v>296</v>
      </c>
      <c r="B82" s="158" t="s">
        <v>60</v>
      </c>
      <c r="C82" s="158" t="s">
        <v>21</v>
      </c>
      <c r="D82" s="160"/>
      <c r="E82" s="161"/>
      <c r="F82" s="162" t="n">
        <f aca="false">IFERROR(INDEX($B$3:$G$14,MATCH(C82,$A$3:$A$14,0),MATCH($A$78,$B$2:$G$2,0)),0)</f>
        <v>0</v>
      </c>
      <c r="G82" s="97" t="str">
        <f aca="false">IF(F82=E82,"Bien",F82-E82)</f>
        <v>Bien</v>
      </c>
      <c r="H82" s="58"/>
    </row>
    <row r="83" customFormat="false" ht="13.8" hidden="false" customHeight="false" outlineLevel="0" collapsed="false">
      <c r="C83" s="58"/>
      <c r="D83" s="132"/>
      <c r="E83" s="99" t="n">
        <f aca="false">SUM(E80:E82)</f>
        <v>0</v>
      </c>
      <c r="F83" s="99" t="n">
        <f aca="false">SUM(F80:F82)</f>
        <v>0</v>
      </c>
      <c r="G83" s="58"/>
      <c r="H83" s="58"/>
      <c r="I83" s="100" t="str">
        <f aca="false">+IF(F83=B17,"OK","Revisar")</f>
        <v>OK</v>
      </c>
    </row>
  </sheetData>
  <mergeCells count="7">
    <mergeCell ref="A21:C21"/>
    <mergeCell ref="A24:H24"/>
    <mergeCell ref="A38:H38"/>
    <mergeCell ref="A51:H51"/>
    <mergeCell ref="A60:G60"/>
    <mergeCell ref="A68:G68"/>
    <mergeCell ref="A78:G78"/>
  </mergeCells>
  <conditionalFormatting sqref="H26:H36">
    <cfRule type="cellIs" priority="2" operator="notEqual" aboveAverage="0" equalAverage="0" bottom="0" percent="0" rank="0" text="" dxfId="0">
      <formula>""bien""</formula>
    </cfRule>
  </conditionalFormatting>
  <conditionalFormatting sqref="H40">
    <cfRule type="cellIs" priority="3" operator="notEqual" aboveAverage="0" equalAverage="0" bottom="0" percent="0" rank="0" text="" dxfId="1">
      <formula>""bien""</formula>
    </cfRule>
  </conditionalFormatting>
  <conditionalFormatting sqref="H41:H48">
    <cfRule type="cellIs" priority="4" operator="notEqual" aboveAverage="0" equalAverage="0" bottom="0" percent="0" rank="0" text="" dxfId="2">
      <formula>""bien""</formula>
    </cfRule>
  </conditionalFormatting>
  <conditionalFormatting sqref="G53">
    <cfRule type="cellIs" priority="5" operator="notEqual" aboveAverage="0" equalAverage="0" bottom="0" percent="0" rank="0" text="" dxfId="3">
      <formula>""bien""</formula>
    </cfRule>
  </conditionalFormatting>
  <conditionalFormatting sqref="G54:G58">
    <cfRule type="cellIs" priority="6" operator="notEqual" aboveAverage="0" equalAverage="0" bottom="0" percent="0" rank="0" text="" dxfId="4">
      <formula>""bien""</formula>
    </cfRule>
  </conditionalFormatting>
  <conditionalFormatting sqref="G62">
    <cfRule type="cellIs" priority="7" operator="notEqual" aboveAverage="0" equalAverage="0" bottom="0" percent="0" rank="0" text="" dxfId="5">
      <formula>""bien""</formula>
    </cfRule>
  </conditionalFormatting>
  <conditionalFormatting sqref="G63:G66">
    <cfRule type="cellIs" priority="8" operator="notEqual" aboveAverage="0" equalAverage="0" bottom="0" percent="0" rank="0" text="" dxfId="6">
      <formula>""bien""</formula>
    </cfRule>
  </conditionalFormatting>
  <conditionalFormatting sqref="G70">
    <cfRule type="cellIs" priority="9" operator="notEqual" aboveAverage="0" equalAverage="0" bottom="0" percent="0" rank="0" text="" dxfId="7">
      <formula>""bien""</formula>
    </cfRule>
  </conditionalFormatting>
  <conditionalFormatting sqref="G71:G76">
    <cfRule type="cellIs" priority="10" operator="notEqual" aboveAverage="0" equalAverage="0" bottom="0" percent="0" rank="0" text="" dxfId="8">
      <formula>""bien""</formula>
    </cfRule>
  </conditionalFormatting>
  <conditionalFormatting sqref="G80">
    <cfRule type="cellIs" priority="11" operator="notEqual" aboveAverage="0" equalAverage="0" bottom="0" percent="0" rank="0" text="" dxfId="9">
      <formula>""bien""</formula>
    </cfRule>
  </conditionalFormatting>
  <conditionalFormatting sqref="G81:G82">
    <cfRule type="cellIs" priority="12" operator="notEqual" aboveAverage="0" equalAverage="0" bottom="0" percent="0" rank="0" text="" dxfId="10">
      <formula>""bien""</formula>
    </cfRule>
  </conditionalFormatting>
  <conditionalFormatting sqref="B18:G18">
    <cfRule type="cellIs" priority="13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392CF2-A619-491D-BB6A-251D993E9187}"/>
</file>

<file path=customXml/itemProps2.xml><?xml version="1.0" encoding="utf-8"?>
<ds:datastoreItem xmlns:ds="http://schemas.openxmlformats.org/officeDocument/2006/customXml" ds:itemID="{0A6D47B2-2B15-40AF-A374-06B6E2F28689}"/>
</file>

<file path=customXml/itemProps3.xml><?xml version="1.0" encoding="utf-8"?>
<ds:datastoreItem xmlns:ds="http://schemas.openxmlformats.org/officeDocument/2006/customXml" ds:itemID="{C493172F-9584-460C-9F93-D79C4A49B67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2022-11-07T11:53:41Z</dcterms:created>
  <dc:creator>Administrador</dc:creator>
  <dc:description/>
  <dc:language>es-ES</dc:language>
  <cp:lastModifiedBy/>
  <dcterms:modified xsi:type="dcterms:W3CDTF">2022-12-02T14:10:32Z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