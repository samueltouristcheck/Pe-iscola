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abla dinámica_Hoja1_1" sheetId="2" state="visible" r:id="rId3"/>
    <sheet name="certificacion_2_2_2" sheetId="3" state="visible" r:id="rId4"/>
  </sheets>
  <definedNames>
    <definedName function="false" hidden="true" localSheetId="0" name="_xlnm._FilterDatabase" vbProcedure="false">Hoja1!$A$1:$J$153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<sst xmlns="http://schemas.openxmlformats.org/spreadsheetml/2006/main" count="788" uniqueCount="65">
  <si>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</si>
  <si>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</si>
  <si>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</si>
  <si>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</si>
  <si>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</si>
  <si>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</si>
  <si>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</si>
  <si>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</si>
  <si>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</si>
  <si>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</si>
  <si>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1730KBZ</t>
  </si>
  <si>
    <t xml:space="preserve">PEÑISCOLA</t>
  </si>
  <si>
    <t xml:space="preserve">RSU</t>
  </si>
  <si>
    <t xml:space="preserve">X</t>
  </si>
  <si>
    <t xml:space="preserve">7542KBV</t>
  </si>
  <si>
    <t xml:space="preserve">7809JZX</t>
  </si>
  <si>
    <t xml:space="preserve">3686KBG</t>
  </si>
  <si>
    <t xml:space="preserve">7957JZS</t>
  </si>
  <si>
    <t xml:space="preserve">VOL</t>
  </si>
  <si>
    <t xml:space="preserve">6120JZX</t>
  </si>
  <si>
    <t xml:space="preserve">PODA</t>
  </si>
  <si>
    <t xml:space="preserve">1076KSZ</t>
  </si>
  <si>
    <t xml:space="preserve">SEL.ENV</t>
  </si>
  <si>
    <t xml:space="preserve">x</t>
  </si>
  <si>
    <t xml:space="preserve">SEL.PAP</t>
  </si>
  <si>
    <t xml:space="preserve">1821KBZ</t>
  </si>
  <si>
    <t xml:space="preserve">0315BGK</t>
  </si>
  <si>
    <t xml:space="preserve">2828CZW</t>
  </si>
  <si>
    <t xml:space="preserve">- todo -</t>
  </si>
  <si>
    <t xml:space="preserve">Suma - Carga</t>
  </si>
  <si>
    <t xml:space="preserve">Datos</t>
  </si>
  <si>
    <t xml:space="preserve">Total Resultado</t>
  </si>
  <si>
    <t xml:space="preserve">LIMP. PLAYA</t>
  </si>
  <si>
    <t xml:space="preserve">VOLUMINOSOS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</si>
  <si>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</si>
  <si>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</si>
  <si>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</si>
  <si>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</si>
  <si>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</si>
  <si>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</si>
  <si>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</si>
  <si>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</si>
  <si>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</si>
  <si>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</si>
  <si>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</si>
  <si>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</si>
  <si>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</si>
  <si>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2-3-4-5</t>
  </si>
  <si>
    <t xml:space="preserve">Noche</t>
  </si>
  <si>
    <t xml:space="preserve">Recolector 22 _ 1</t>
  </si>
  <si>
    <t xml:space="preserve">Recolector 22 _ 2</t>
  </si>
  <si>
    <t xml:space="preserve">volquete 4x4 LV</t>
  </si>
  <si>
    <t xml:space="preserve">Día/Noche</t>
  </si>
  <si>
    <t xml:space="preserve">Recolector 17</t>
  </si>
  <si>
    <t xml:space="preserve">5313GBZ</t>
  </si>
  <si>
    <t xml:space="preserve">Sustituya a 318</t>
  </si>
  <si>
    <t xml:space="preserve">volquete doble LV</t>
  </si>
  <si>
    <t xml:space="preserve">Recolector 5</t>
  </si>
  <si>
    <t xml:space="preserve">volquete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</si>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</sst>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9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#,##0;[RED]\-#,##0"/>
    <numFmt numFmtId="171" formatCode="General"/>
    <numFmt numFmtId="172" formatCode="#,##0.00"/>
  </numFmts>
  <fonts count="15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Lato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0"/>
    </font>
    <font>
      <b val="true"/>
      <sz val="11"/>
      <name val="Calibri"/>
      <family val="2"/>
    </font>
    <font>
      <sz val="10"/>
      <color rgb="FF000000"/>
      <name val="Frutiger 45 Light"/>
      <family val="2"/>
      <charset val="1"/>
    </font>
    <font>
      <sz val="11"/>
      <color rgb="FF000000"/>
      <name val="Frutiger 45 Light"/>
      <family val="2"/>
    </font>
    <font>
      <b val="true"/>
      <sz val="11"/>
      <color rgb="FFCE181E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7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0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6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26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2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0" borderId="2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8" fillId="2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2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9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12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0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3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3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70" fontId="9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7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3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4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4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0" borderId="4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9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4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4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5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4" borderId="4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4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2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6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6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7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8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9" fillId="0" borderId="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2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7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Esquina de la tabla dinámica" xfId="21"/>
    <cellStyle name="Valor de la tabla dinámica" xfId="22"/>
    <cellStyle name="Categoría de la tabla dinámica" xfId="23"/>
    <cellStyle name="Título de la tabla dinámica" xfId="24"/>
    <cellStyle name="Resultado de la tabla dinámica" xfId="25"/>
    <cellStyle name="Excel Built-in Explanatory Text" xfId="26"/>
  </cellStyles>
  <dxfs count="1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Lato"/>
        <charset val="1"/>
        <family val="2"/>
        <color rgb="FFCC0000"/>
        <sz val="11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52" createdVersion="3">
  <cacheSource type="worksheet">
    <worksheetSource ref="A1:J153" sheet="Hoja1"/>
  </cacheSource>
  <cacheFields count="10">
    <cacheField name="Fecha" numFmtId="0">
      <sharedItems containsSemiMixedTypes="0" containsNonDate="0" containsDate="1" containsString="0" minDate="2023-12-01T00:00:00" maxDate="2023-12-31T00:00:00" count="31"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</cacheField>
    <cacheField name="Fecha / hora" numFmtId="0">
      <sharedItems containsSemiMixedTypes="0" containsString="0" containsNumber="1" minValue="0.0888888888888889" maxValue="0.54375" count="128">
        <n v="0.0888888888888889"/>
        <n v="0.0958333333333333"/>
        <n v="0.102083333333333"/>
        <n v="0.104166666666667"/>
        <n v="0.110416666666667"/>
        <n v="0.116666666666667"/>
        <n v="0.127083333333333"/>
        <n v="0.128472222222222"/>
        <n v="0.13125"/>
        <n v="0.131944444444444"/>
        <n v="0.133333333333333"/>
        <n v="0.135416666666667"/>
        <n v="0.136111111111111"/>
        <n v="0.136805555555556"/>
        <n v="0.138194444444444"/>
        <n v="0.138888888888889"/>
        <n v="0.139583333333333"/>
        <n v="0.140277777777778"/>
        <n v="0.144444444444444"/>
        <n v="0.145833333333333"/>
        <n v="0.148611111111111"/>
        <n v="0.15625"/>
        <n v="0.158333333333333"/>
        <n v="0.167361111111111"/>
        <n v="0.168055555555556"/>
        <n v="0.16875"/>
        <n v="0.170833333333333"/>
        <n v="0.172916666666667"/>
        <n v="0.173611111111111"/>
        <n v="0.175"/>
        <n v="0.176388888888889"/>
        <n v="0.178472222222222"/>
        <n v="0.188194444444444"/>
        <n v="0.193055555555556"/>
        <n v="0.19375"/>
        <n v="0.197916666666667"/>
        <n v="0.199305555555556"/>
        <n v="0.206944444444444"/>
        <n v="0.211111111111111"/>
        <n v="0.213194444444444"/>
        <n v="0.213888888888889"/>
        <n v="0.214583333333333"/>
        <n v="0.215277777777778"/>
        <n v="0.216666666666667"/>
        <n v="0.218055555555556"/>
        <n v="0.220833333333333"/>
        <n v="0.222222222222222"/>
        <n v="0.222916666666667"/>
        <n v="0.225"/>
        <n v="0.225694444444444"/>
        <n v="0.227083333333333"/>
        <n v="0.227777777777778"/>
        <n v="0.23125"/>
        <n v="0.231944444444444"/>
        <n v="0.233333333333333"/>
        <n v="0.236111111111111"/>
        <n v="0.236805555555556"/>
        <n v="0.2375"/>
        <n v="0.238194444444444"/>
        <n v="0.238888888888889"/>
        <n v="0.240277777777778"/>
        <n v="0.240972222222222"/>
        <n v="0.242361111111111"/>
        <n v="0.245833333333333"/>
        <n v="0.246527777777778"/>
        <n v="0.249305555555556"/>
        <n v="0.25"/>
        <n v="0.252083333333333"/>
        <n v="0.252777777777778"/>
        <n v="0.253472222222222"/>
        <n v="0.254166666666667"/>
        <n v="0.254861111111111"/>
        <n v="0.255555555555556"/>
        <n v="0.257638888888889"/>
        <n v="0.259027777777778"/>
        <n v="0.264583333333333"/>
        <n v="0.313888888888889"/>
        <n v="0.342361111111111"/>
        <n v="0.346527777777778"/>
        <n v="0.366666666666667"/>
        <n v="0.371527777777778"/>
        <n v="0.375694444444445"/>
        <n v="0.379861111111111"/>
        <n v="0.420138888888889"/>
        <n v="0.420833333333333"/>
        <n v="0.43125"/>
        <n v="0.431944444444444"/>
        <n v="0.436805555555556"/>
        <n v="0.441666666666667"/>
        <n v="0.459722222222222"/>
        <n v="0.464583333333333"/>
        <n v="0.465972222222222"/>
        <n v="0.471527777777778"/>
        <n v="0.478472222222222"/>
        <n v="0.479166666666667"/>
        <n v="0.48125"/>
        <n v="0.481944444444444"/>
        <n v="0.482638888888889"/>
        <n v="0.484027777777778"/>
        <n v="0.484722222222222"/>
        <n v="0.486111111111111"/>
        <n v="0.4875"/>
        <n v="0.488194444444444"/>
        <n v="0.489583333333333"/>
        <n v="0.490277777777778"/>
        <n v="0.490972222222222"/>
        <n v="0.491666666666667"/>
        <n v="0.497222222222222"/>
        <n v="0.497916666666667"/>
        <n v="0.5"/>
        <n v="0.500694444444444"/>
        <n v="0.501388888888889"/>
        <n v="0.502083333333333"/>
        <n v="0.508333333333333"/>
        <n v="0.509722222222222"/>
        <n v="0.511111111111111"/>
        <n v="0.514583333333333"/>
        <n v="0.515277777777778"/>
        <n v="0.517361111111111"/>
        <n v="0.518055555555556"/>
        <n v="0.520833333333333"/>
        <n v="0.526388888888889"/>
        <n v="0.536805555555556"/>
        <n v="0.538194444444444"/>
        <n v="0.540972222222222"/>
        <n v="0.542361111111111"/>
        <n v="0.543055555555556"/>
        <n v="0.54375"/>
      </sharedItems>
    </cacheField>
    <cacheField name="Ticket" numFmtId="0">
      <sharedItems containsString="0" containsBlank="1" containsNumber="1" containsInteger="1" minValue="5097" maxValue="167515" count="152">
        <n v="5097"/>
        <n v="5126"/>
        <n v="5149"/>
        <n v="32564"/>
        <n v="32568"/>
        <n v="32571"/>
        <n v="32582"/>
        <n v="32589"/>
        <n v="32592"/>
        <n v="32605"/>
        <n v="32610"/>
        <n v="32616"/>
        <n v="32623"/>
        <n v="32628"/>
        <n v="32632"/>
        <n v="32640"/>
        <n v="32651"/>
        <n v="32652"/>
        <n v="32674"/>
        <n v="32678"/>
        <n v="32695"/>
        <n v="32698"/>
        <n v="32702"/>
        <n v="32708"/>
        <n v="32721"/>
        <n v="32728"/>
        <n v="32739"/>
        <n v="32743"/>
        <n v="32745"/>
        <n v="32785"/>
        <n v="32788"/>
        <n v="32790"/>
        <n v="32803"/>
        <n v="32810"/>
        <n v="32818"/>
        <n v="32831"/>
        <n v="32835"/>
        <n v="32836"/>
        <n v="32852"/>
        <n v="32865"/>
        <n v="32870"/>
        <n v="32874"/>
        <n v="32880"/>
        <n v="32881"/>
        <n v="32891"/>
        <n v="32892"/>
        <n v="32894"/>
        <n v="32899"/>
        <n v="32902"/>
        <n v="32911"/>
        <n v="32921"/>
        <n v="32922"/>
        <n v="32940"/>
        <n v="32943"/>
        <n v="32944"/>
        <n v="32962"/>
        <n v="32968"/>
        <n v="32969"/>
        <n v="32991"/>
        <n v="32999"/>
        <n v="33011"/>
        <n v="33016"/>
        <n v="33017"/>
        <n v="33029"/>
        <n v="33038"/>
        <n v="33040"/>
        <n v="33065"/>
        <n v="33073"/>
        <n v="33074"/>
        <n v="33093"/>
        <n v="33097"/>
        <n v="33099"/>
        <n v="33115"/>
        <n v="33116"/>
        <n v="33128"/>
        <n v="33142"/>
        <n v="33147"/>
        <n v="33161"/>
        <n v="33169"/>
        <n v="33171"/>
        <n v="33178"/>
        <n v="33181"/>
        <n v="33186"/>
        <n v="33190"/>
        <n v="33198"/>
        <n v="33207"/>
        <n v="33208"/>
        <n v="33244"/>
        <n v="33246"/>
        <n v="33252"/>
        <n v="33270"/>
        <n v="33290"/>
        <n v="33294"/>
        <n v="33298"/>
        <n v="33323"/>
        <n v="33324"/>
        <n v="33325"/>
        <n v="33346"/>
        <n v="33354"/>
        <n v="33355"/>
        <n v="33367"/>
        <n v="33394"/>
        <n v="33397"/>
        <n v="33400"/>
        <n v="33417"/>
        <n v="33420"/>
        <n v="33439"/>
        <n v="33446"/>
        <n v="33448"/>
        <n v="33460"/>
        <n v="33464"/>
        <n v="33468"/>
        <n v="33476"/>
        <n v="33479"/>
        <n v="33480"/>
        <n v="33492"/>
        <n v="33494"/>
        <n v="33495"/>
        <n v="33499"/>
        <n v="33527"/>
        <n v="33529"/>
        <n v="33546"/>
        <n v="33553"/>
        <n v="33554"/>
        <n v="33559"/>
        <n v="33578"/>
        <n v="33583"/>
        <n v="33598"/>
        <n v="33605"/>
        <n v="33606"/>
        <n v="33618"/>
        <n v="33630"/>
        <n v="33639"/>
        <n v="33643"/>
        <n v="33644"/>
        <n v="33658"/>
        <n v="33663"/>
        <n v="33674"/>
        <n v="33684"/>
        <n v="33685"/>
        <n v="33692"/>
        <n v="33693"/>
        <n v="33697"/>
        <n v="33700"/>
        <n v="33704"/>
        <n v="33714"/>
        <n v="33715"/>
        <n v="166718"/>
        <n v="166986"/>
        <n v="167332"/>
        <n v="167515"/>
        <m/>
      </sharedItems>
    </cacheField>
    <cacheField name="Matrícula" numFmtId="0">
      <sharedItems count="10">
        <s v="0315BGK"/>
        <s v="1076KSZ"/>
        <s v="1730KBZ"/>
        <s v="1821KBZ"/>
        <s v="2828CZW"/>
        <s v="3686KBG"/>
        <s v="6120JZX"/>
        <s v="7542KBV"/>
        <s v="7809JZX"/>
        <s v="7957JZS"/>
      </sharedItems>
    </cacheField>
    <cacheField name="Peso total" numFmtId="0">
      <sharedItems containsSemiMixedTypes="0" containsString="0" containsNumber="1" containsInteger="1" minValue="2460" maxValue="26180" count="122">
        <n v="2460"/>
        <n v="2540"/>
        <n v="2560"/>
        <n v="2580"/>
        <n v="2640"/>
        <n v="2660"/>
        <n v="2680"/>
        <n v="2720"/>
        <n v="2740"/>
        <n v="2780"/>
        <n v="2820"/>
        <n v="2840"/>
        <n v="3040"/>
        <n v="3060"/>
        <n v="3100"/>
        <n v="3140"/>
        <n v="3200"/>
        <n v="3240"/>
        <n v="3280"/>
        <n v="3340"/>
        <n v="3380"/>
        <n v="3440"/>
        <n v="3560"/>
        <n v="3580"/>
        <n v="3700"/>
        <n v="4000"/>
        <n v="4040"/>
        <n v="4060"/>
        <n v="4080"/>
        <n v="4100"/>
        <n v="4120"/>
        <n v="4160"/>
        <n v="4220"/>
        <n v="4260"/>
        <n v="4280"/>
        <n v="4360"/>
        <n v="4440"/>
        <n v="4460"/>
        <n v="4480"/>
        <n v="4560"/>
        <n v="4580"/>
        <n v="4600"/>
        <n v="4760"/>
        <n v="4800"/>
        <n v="4860"/>
        <n v="4920"/>
        <n v="4960"/>
        <n v="6220"/>
        <n v="6420"/>
        <n v="6500"/>
        <n v="6540"/>
        <n v="6660"/>
        <n v="6720"/>
        <n v="15100"/>
        <n v="16720"/>
        <n v="17020"/>
        <n v="17080"/>
        <n v="17140"/>
        <n v="17220"/>
        <n v="17240"/>
        <n v="17260"/>
        <n v="17320"/>
        <n v="17340"/>
        <n v="17380"/>
        <n v="17500"/>
        <n v="17540"/>
        <n v="17620"/>
        <n v="17640"/>
        <n v="17680"/>
        <n v="17760"/>
        <n v="17780"/>
        <n v="17840"/>
        <n v="17900"/>
        <n v="17940"/>
        <n v="18020"/>
        <n v="18080"/>
        <n v="18180"/>
        <n v="18260"/>
        <n v="18400"/>
        <n v="18440"/>
        <n v="18520"/>
        <n v="18640"/>
        <n v="18700"/>
        <n v="18820"/>
        <n v="18900"/>
        <n v="19000"/>
        <n v="19080"/>
        <n v="19100"/>
        <n v="19180"/>
        <n v="19320"/>
        <n v="19440"/>
        <n v="19540"/>
        <n v="20820"/>
        <n v="20860"/>
        <n v="21700"/>
        <n v="22060"/>
        <n v="22700"/>
        <n v="22740"/>
        <n v="23120"/>
        <n v="23520"/>
        <n v="23600"/>
        <n v="23640"/>
        <n v="23720"/>
        <n v="23800"/>
        <n v="23860"/>
        <n v="23960"/>
        <n v="23980"/>
        <n v="24040"/>
        <n v="24100"/>
        <n v="24360"/>
        <n v="24560"/>
        <n v="24580"/>
        <n v="24740"/>
        <n v="24840"/>
        <n v="24980"/>
        <n v="25040"/>
        <n v="25260"/>
        <n v="25360"/>
        <n v="25520"/>
        <n v="25980"/>
        <n v="26020"/>
        <n v="26180"/>
      </sharedItems>
    </cacheField>
    <cacheField name="Tara" numFmtId="0">
      <sharedItems containsSemiMixedTypes="0" containsString="0" containsNumber="1" containsInteger="1" minValue="2300" maxValue="16060" count="66">
        <n v="2300"/>
        <n v="2360"/>
        <n v="2380"/>
        <n v="2400"/>
        <n v="2420"/>
        <n v="2620"/>
        <n v="2680"/>
        <n v="2740"/>
        <n v="2760"/>
        <n v="2780"/>
        <n v="2800"/>
        <n v="2820"/>
        <n v="2840"/>
        <n v="2860"/>
        <n v="2880"/>
        <n v="2920"/>
        <n v="2940"/>
        <n v="3680"/>
        <n v="3720"/>
        <n v="3760"/>
        <n v="3780"/>
        <n v="3800"/>
        <n v="3820"/>
        <n v="5480"/>
        <n v="5580"/>
        <n v="5600"/>
        <n v="5660"/>
        <n v="5740"/>
        <n v="13040"/>
        <n v="13060"/>
        <n v="13080"/>
        <n v="13100"/>
        <n v="13120"/>
        <n v="13140"/>
        <n v="13160"/>
        <n v="13180"/>
        <n v="13220"/>
        <n v="13240"/>
        <n v="13320"/>
        <n v="13360"/>
        <n v="13380"/>
        <n v="13400"/>
        <n v="13420"/>
        <n v="13440"/>
        <n v="13460"/>
        <n v="15620"/>
        <n v="15660"/>
        <n v="15680"/>
        <n v="15700"/>
        <n v="15720"/>
        <n v="15740"/>
        <n v="15760"/>
        <n v="15780"/>
        <n v="15800"/>
        <n v="15820"/>
        <n v="15860"/>
        <n v="15880"/>
        <n v="15900"/>
        <n v="15920"/>
        <n v="15940"/>
        <n v="15960"/>
        <n v="15980"/>
        <n v="16000"/>
        <n v="16020"/>
        <n v="16040"/>
        <n v="16060"/>
      </sharedItems>
    </cacheField>
    <cacheField name="Carga" numFmtId="0">
      <sharedItems containsSemiMixedTypes="0" containsString="0" containsNumber="1" containsInteger="1" minValue="80" maxValue="10200" count="112">
        <n v="80"/>
        <n v="140"/>
        <n v="160"/>
        <n v="180"/>
        <n v="200"/>
        <n v="220"/>
        <n v="240"/>
        <n v="260"/>
        <n v="280"/>
        <n v="300"/>
        <n v="320"/>
        <n v="360"/>
        <n v="380"/>
        <n v="420"/>
        <n v="440"/>
        <n v="460"/>
        <n v="480"/>
        <n v="500"/>
        <n v="520"/>
        <n v="540"/>
        <n v="560"/>
        <n v="580"/>
        <n v="600"/>
        <n v="620"/>
        <n v="660"/>
        <n v="680"/>
        <n v="700"/>
        <n v="720"/>
        <n v="760"/>
        <n v="780"/>
        <n v="800"/>
        <n v="840"/>
        <n v="960"/>
        <n v="980"/>
        <n v="1000"/>
        <n v="1020"/>
        <n v="1060"/>
        <n v="1140"/>
        <n v="1160"/>
        <n v="1180"/>
        <n v="1300"/>
        <n v="1360"/>
        <n v="1380"/>
        <n v="1540"/>
        <n v="1560"/>
        <n v="1920"/>
        <n v="1940"/>
        <n v="2060"/>
        <n v="2160"/>
        <n v="2200"/>
        <n v="2380"/>
        <n v="3020"/>
        <n v="3060"/>
        <n v="3280"/>
        <n v="3640"/>
        <n v="3880"/>
        <n v="3920"/>
        <n v="3960"/>
        <n v="4100"/>
        <n v="4140"/>
        <n v="4200"/>
        <n v="4260"/>
        <n v="4360"/>
        <n v="4420"/>
        <n v="4500"/>
        <n v="4600"/>
        <n v="4780"/>
        <n v="4900"/>
        <n v="4960"/>
        <n v="5080"/>
        <n v="5200"/>
        <n v="5260"/>
        <n v="5380"/>
        <n v="5460"/>
        <n v="5540"/>
        <n v="5600"/>
        <n v="5660"/>
        <n v="5720"/>
        <n v="5980"/>
        <n v="6000"/>
        <n v="6040"/>
        <n v="6280"/>
        <n v="6300"/>
        <n v="6800"/>
        <n v="7080"/>
        <n v="7340"/>
        <n v="7540"/>
        <n v="7600"/>
        <n v="7660"/>
        <n v="7700"/>
        <n v="7780"/>
        <n v="7980"/>
        <n v="8040"/>
        <n v="8060"/>
        <n v="8100"/>
        <n v="8140"/>
        <n v="8180"/>
        <n v="8300"/>
        <n v="8320"/>
        <n v="8560"/>
        <n v="8600"/>
        <n v="8620"/>
        <n v="8980"/>
        <n v="9020"/>
        <n v="9060"/>
        <n v="9220"/>
        <n v="9280"/>
        <n v="9500"/>
        <n v="9520"/>
        <n v="9660"/>
        <n v="10160"/>
        <n v="10200"/>
      </sharedItems>
    </cacheField>
    <cacheField name="Población" numFmtId="0">
      <sharedItems count="1">
        <s v="PEÑISCOLA"/>
      </sharedItems>
    </cacheField>
    <cacheField name="Residuo" numFmtId="0">
      <sharedItems count="5">
        <s v="PODA"/>
        <s v="RSU"/>
        <s v="SEL.ENV"/>
        <s v="SEL.PAP"/>
        <s v="VOL"/>
      </sharedItems>
    </cacheField>
    <cacheField name="Revisado" numFmtId="0">
      <sharedItems count="1"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2">
  <r>
    <x v="0"/>
    <x v="46"/>
    <x v="4"/>
    <x v="2"/>
    <x v="96"/>
    <x v="45"/>
    <x v="84"/>
    <x v="0"/>
    <x v="1"/>
    <x v="0"/>
  </r>
  <r>
    <x v="0"/>
    <x v="8"/>
    <x v="3"/>
    <x v="7"/>
    <x v="68"/>
    <x v="42"/>
    <x v="61"/>
    <x v="0"/>
    <x v="1"/>
    <x v="0"/>
  </r>
  <r>
    <x v="0"/>
    <x v="72"/>
    <x v="5"/>
    <x v="8"/>
    <x v="29"/>
    <x v="22"/>
    <x v="8"/>
    <x v="0"/>
    <x v="1"/>
    <x v="0"/>
  </r>
  <r>
    <x v="0"/>
    <x v="93"/>
    <x v="7"/>
    <x v="5"/>
    <x v="7"/>
    <x v="4"/>
    <x v="9"/>
    <x v="0"/>
    <x v="1"/>
    <x v="0"/>
  </r>
  <r>
    <x v="0"/>
    <x v="116"/>
    <x v="8"/>
    <x v="9"/>
    <x v="47"/>
    <x v="25"/>
    <x v="23"/>
    <x v="0"/>
    <x v="4"/>
    <x v="0"/>
  </r>
  <r>
    <x v="0"/>
    <x v="84"/>
    <x v="6"/>
    <x v="6"/>
    <x v="15"/>
    <x v="14"/>
    <x v="7"/>
    <x v="0"/>
    <x v="0"/>
    <x v="0"/>
  </r>
  <r>
    <x v="1"/>
    <x v="41"/>
    <x v="10"/>
    <x v="2"/>
    <x v="112"/>
    <x v="51"/>
    <x v="102"/>
    <x v="0"/>
    <x v="1"/>
    <x v="0"/>
  </r>
  <r>
    <x v="1"/>
    <x v="19"/>
    <x v="9"/>
    <x v="7"/>
    <x v="85"/>
    <x v="41"/>
    <x v="75"/>
    <x v="0"/>
    <x v="1"/>
    <x v="0"/>
  </r>
  <r>
    <x v="1"/>
    <x v="70"/>
    <x v="11"/>
    <x v="8"/>
    <x v="34"/>
    <x v="21"/>
    <x v="16"/>
    <x v="0"/>
    <x v="1"/>
    <x v="0"/>
  </r>
  <r>
    <x v="2"/>
    <x v="26"/>
    <x v="13"/>
    <x v="8"/>
    <x v="35"/>
    <x v="21"/>
    <x v="20"/>
    <x v="0"/>
    <x v="1"/>
    <x v="0"/>
  </r>
  <r>
    <x v="2"/>
    <x v="0"/>
    <x v="12"/>
    <x v="7"/>
    <x v="77"/>
    <x v="39"/>
    <x v="67"/>
    <x v="0"/>
    <x v="1"/>
    <x v="0"/>
  </r>
  <r>
    <x v="2"/>
    <x v="42"/>
    <x v="14"/>
    <x v="2"/>
    <x v="104"/>
    <x v="49"/>
    <x v="95"/>
    <x v="0"/>
    <x v="1"/>
    <x v="0"/>
  </r>
  <r>
    <x v="3"/>
    <x v="115"/>
    <x v="18"/>
    <x v="6"/>
    <x v="13"/>
    <x v="13"/>
    <x v="4"/>
    <x v="0"/>
    <x v="1"/>
    <x v="0"/>
  </r>
  <r>
    <x v="3"/>
    <x v="123"/>
    <x v="19"/>
    <x v="1"/>
    <x v="20"/>
    <x v="9"/>
    <x v="22"/>
    <x v="0"/>
    <x v="0"/>
    <x v="0"/>
  </r>
  <r>
    <x v="3"/>
    <x v="3"/>
    <x v="15"/>
    <x v="7"/>
    <x v="78"/>
    <x v="43"/>
    <x v="68"/>
    <x v="0"/>
    <x v="1"/>
    <x v="0"/>
  </r>
  <r>
    <x v="3"/>
    <x v="63"/>
    <x v="16"/>
    <x v="2"/>
    <x v="102"/>
    <x v="47"/>
    <x v="92"/>
    <x v="0"/>
    <x v="1"/>
    <x v="0"/>
  </r>
  <r>
    <x v="3"/>
    <x v="71"/>
    <x v="17"/>
    <x v="8"/>
    <x v="35"/>
    <x v="21"/>
    <x v="20"/>
    <x v="0"/>
    <x v="1"/>
    <x v="0"/>
  </r>
  <r>
    <x v="4"/>
    <x v="53"/>
    <x v="21"/>
    <x v="8"/>
    <x v="33"/>
    <x v="20"/>
    <x v="16"/>
    <x v="0"/>
    <x v="1"/>
    <x v="0"/>
  </r>
  <r>
    <x v="4"/>
    <x v="36"/>
    <x v="20"/>
    <x v="7"/>
    <x v="77"/>
    <x v="35"/>
    <x v="69"/>
    <x v="0"/>
    <x v="1"/>
    <x v="0"/>
  </r>
  <r>
    <x v="4"/>
    <x v="67"/>
    <x v="22"/>
    <x v="2"/>
    <x v="99"/>
    <x v="50"/>
    <x v="90"/>
    <x v="0"/>
    <x v="1"/>
    <x v="0"/>
  </r>
  <r>
    <x v="3"/>
    <x v="109"/>
    <x v="0"/>
    <x v="2"/>
    <x v="60"/>
    <x v="49"/>
    <x v="43"/>
    <x v="0"/>
    <x v="2"/>
    <x v="0"/>
  </r>
  <r>
    <x v="4"/>
    <x v="106"/>
    <x v="147"/>
    <x v="2"/>
    <x v="69"/>
    <x v="48"/>
    <x v="47"/>
    <x v="0"/>
    <x v="3"/>
    <x v="0"/>
  </r>
  <r>
    <x v="4"/>
    <x v="77"/>
    <x v="23"/>
    <x v="6"/>
    <x v="19"/>
    <x v="9"/>
    <x v="20"/>
    <x v="0"/>
    <x v="4"/>
    <x v="0"/>
  </r>
  <r>
    <x v="4"/>
    <x v="121"/>
    <x v="25"/>
    <x v="5"/>
    <x v="10"/>
    <x v="1"/>
    <x v="15"/>
    <x v="0"/>
    <x v="1"/>
    <x v="0"/>
  </r>
  <r>
    <x v="4"/>
    <x v="90"/>
    <x v="24"/>
    <x v="6"/>
    <x v="24"/>
    <x v="7"/>
    <x v="32"/>
    <x v="0"/>
    <x v="4"/>
    <x v="0"/>
  </r>
  <r>
    <x v="5"/>
    <x v="4"/>
    <x v="26"/>
    <x v="7"/>
    <x v="83"/>
    <x v="34"/>
    <x v="76"/>
    <x v="0"/>
    <x v="1"/>
    <x v="0"/>
  </r>
  <r>
    <x v="5"/>
    <x v="47"/>
    <x v="28"/>
    <x v="2"/>
    <x v="116"/>
    <x v="50"/>
    <x v="108"/>
    <x v="0"/>
    <x v="1"/>
    <x v="0"/>
  </r>
  <r>
    <x v="5"/>
    <x v="23"/>
    <x v="27"/>
    <x v="1"/>
    <x v="16"/>
    <x v="11"/>
    <x v="12"/>
    <x v="0"/>
    <x v="1"/>
    <x v="0"/>
  </r>
  <r>
    <x v="6"/>
    <x v="96"/>
    <x v="33"/>
    <x v="5"/>
    <x v="0"/>
    <x v="2"/>
    <x v="0"/>
    <x v="0"/>
    <x v="1"/>
    <x v="0"/>
  </r>
  <r>
    <x v="6"/>
    <x v="48"/>
    <x v="30"/>
    <x v="2"/>
    <x v="113"/>
    <x v="52"/>
    <x v="104"/>
    <x v="0"/>
    <x v="1"/>
    <x v="0"/>
  </r>
  <r>
    <x v="6"/>
    <x v="50"/>
    <x v="31"/>
    <x v="8"/>
    <x v="45"/>
    <x v="20"/>
    <x v="37"/>
    <x v="0"/>
    <x v="1"/>
    <x v="0"/>
  </r>
  <r>
    <x v="6"/>
    <x v="86"/>
    <x v="32"/>
    <x v="6"/>
    <x v="16"/>
    <x v="8"/>
    <x v="14"/>
    <x v="0"/>
    <x v="1"/>
    <x v="0"/>
  </r>
  <r>
    <x v="6"/>
    <x v="32"/>
    <x v="29"/>
    <x v="7"/>
    <x v="65"/>
    <x v="32"/>
    <x v="63"/>
    <x v="0"/>
    <x v="1"/>
    <x v="0"/>
  </r>
  <r>
    <x v="6"/>
    <x v="125"/>
    <x v="34"/>
    <x v="1"/>
    <x v="14"/>
    <x v="16"/>
    <x v="2"/>
    <x v="0"/>
    <x v="0"/>
    <x v="0"/>
  </r>
  <r>
    <x v="7"/>
    <x v="29"/>
    <x v="36"/>
    <x v="2"/>
    <x v="119"/>
    <x v="52"/>
    <x v="111"/>
    <x v="0"/>
    <x v="1"/>
    <x v="0"/>
  </r>
  <r>
    <x v="7"/>
    <x v="101"/>
    <x v="38"/>
    <x v="5"/>
    <x v="8"/>
    <x v="2"/>
    <x v="11"/>
    <x v="0"/>
    <x v="1"/>
    <x v="0"/>
  </r>
  <r>
    <x v="7"/>
    <x v="5"/>
    <x v="35"/>
    <x v="7"/>
    <x v="91"/>
    <x v="37"/>
    <x v="82"/>
    <x v="0"/>
    <x v="1"/>
    <x v="0"/>
  </r>
  <r>
    <x v="7"/>
    <x v="30"/>
    <x v="37"/>
    <x v="8"/>
    <x v="38"/>
    <x v="18"/>
    <x v="28"/>
    <x v="0"/>
    <x v="1"/>
    <x v="0"/>
  </r>
  <r>
    <x v="8"/>
    <x v="71"/>
    <x v="41"/>
    <x v="8"/>
    <x v="41"/>
    <x v="19"/>
    <x v="31"/>
    <x v="0"/>
    <x v="1"/>
    <x v="0"/>
  </r>
  <r>
    <x v="8"/>
    <x v="43"/>
    <x v="40"/>
    <x v="2"/>
    <x v="120"/>
    <x v="55"/>
    <x v="110"/>
    <x v="0"/>
    <x v="1"/>
    <x v="0"/>
  </r>
  <r>
    <x v="8"/>
    <x v="91"/>
    <x v="42"/>
    <x v="5"/>
    <x v="1"/>
    <x v="1"/>
    <x v="3"/>
    <x v="0"/>
    <x v="1"/>
    <x v="0"/>
  </r>
  <r>
    <x v="8"/>
    <x v="21"/>
    <x v="39"/>
    <x v="7"/>
    <x v="86"/>
    <x v="31"/>
    <x v="78"/>
    <x v="0"/>
    <x v="1"/>
    <x v="0"/>
  </r>
  <r>
    <x v="8"/>
    <x v="98"/>
    <x v="43"/>
    <x v="9"/>
    <x v="50"/>
    <x v="23"/>
    <x v="36"/>
    <x v="0"/>
    <x v="4"/>
    <x v="0"/>
  </r>
  <r>
    <x v="9"/>
    <x v="92"/>
    <x v="48"/>
    <x v="5"/>
    <x v="3"/>
    <x v="1"/>
    <x v="5"/>
    <x v="0"/>
    <x v="1"/>
    <x v="0"/>
  </r>
  <r>
    <x v="9"/>
    <x v="11"/>
    <x v="44"/>
    <x v="7"/>
    <x v="93"/>
    <x v="38"/>
    <x v="86"/>
    <x v="0"/>
    <x v="1"/>
    <x v="0"/>
  </r>
  <r>
    <x v="9"/>
    <x v="40"/>
    <x v="47"/>
    <x v="8"/>
    <x v="42"/>
    <x v="19"/>
    <x v="34"/>
    <x v="0"/>
    <x v="1"/>
    <x v="0"/>
  </r>
  <r>
    <x v="9"/>
    <x v="35"/>
    <x v="46"/>
    <x v="2"/>
    <x v="71"/>
    <x v="47"/>
    <x v="48"/>
    <x v="0"/>
    <x v="1"/>
    <x v="0"/>
  </r>
  <r>
    <x v="9"/>
    <x v="17"/>
    <x v="45"/>
    <x v="2"/>
    <x v="117"/>
    <x v="48"/>
    <x v="109"/>
    <x v="0"/>
    <x v="1"/>
    <x v="0"/>
  </r>
  <r>
    <x v="10"/>
    <x v="73"/>
    <x v="51"/>
    <x v="8"/>
    <x v="38"/>
    <x v="19"/>
    <x v="27"/>
    <x v="0"/>
    <x v="1"/>
    <x v="0"/>
  </r>
  <r>
    <x v="10"/>
    <x v="52"/>
    <x v="50"/>
    <x v="2"/>
    <x v="114"/>
    <x v="51"/>
    <x v="105"/>
    <x v="0"/>
    <x v="1"/>
    <x v="0"/>
  </r>
  <r>
    <x v="10"/>
    <x v="18"/>
    <x v="49"/>
    <x v="7"/>
    <x v="79"/>
    <x v="29"/>
    <x v="72"/>
    <x v="0"/>
    <x v="1"/>
    <x v="0"/>
  </r>
  <r>
    <x v="11"/>
    <x v="113"/>
    <x v="53"/>
    <x v="9"/>
    <x v="50"/>
    <x v="23"/>
    <x v="36"/>
    <x v="0"/>
    <x v="4"/>
    <x v="0"/>
  </r>
  <r>
    <x v="10"/>
    <x v="116"/>
    <x v="54"/>
    <x v="6"/>
    <x v="20"/>
    <x v="12"/>
    <x v="19"/>
    <x v="0"/>
    <x v="1"/>
    <x v="0"/>
  </r>
  <r>
    <x v="10"/>
    <x v="95"/>
    <x v="52"/>
    <x v="5"/>
    <x v="1"/>
    <x v="3"/>
    <x v="1"/>
    <x v="0"/>
    <x v="1"/>
    <x v="0"/>
  </r>
  <r>
    <x v="10"/>
    <x v="116"/>
    <x v="1"/>
    <x v="2"/>
    <x v="67"/>
    <x v="48"/>
    <x v="46"/>
    <x v="0"/>
    <x v="2"/>
    <x v="0"/>
  </r>
  <r>
    <x v="11"/>
    <x v="16"/>
    <x v="55"/>
    <x v="7"/>
    <x v="73"/>
    <x v="28"/>
    <x v="67"/>
    <x v="0"/>
    <x v="1"/>
    <x v="0"/>
  </r>
  <r>
    <x v="11"/>
    <x v="61"/>
    <x v="56"/>
    <x v="2"/>
    <x v="109"/>
    <x v="51"/>
    <x v="100"/>
    <x v="0"/>
    <x v="1"/>
    <x v="0"/>
  </r>
  <r>
    <x v="11"/>
    <x v="67"/>
    <x v="57"/>
    <x v="8"/>
    <x v="34"/>
    <x v="19"/>
    <x v="18"/>
    <x v="0"/>
    <x v="1"/>
    <x v="0"/>
  </r>
  <r>
    <x v="11"/>
    <x v="126"/>
    <x v="59"/>
    <x v="6"/>
    <x v="21"/>
    <x v="14"/>
    <x v="20"/>
    <x v="0"/>
    <x v="0"/>
    <x v="0"/>
  </r>
  <r>
    <x v="11"/>
    <x v="99"/>
    <x v="58"/>
    <x v="5"/>
    <x v="5"/>
    <x v="3"/>
    <x v="7"/>
    <x v="0"/>
    <x v="1"/>
    <x v="0"/>
  </r>
  <r>
    <x v="12"/>
    <x v="9"/>
    <x v="60"/>
    <x v="7"/>
    <x v="70"/>
    <x v="42"/>
    <x v="62"/>
    <x v="0"/>
    <x v="1"/>
    <x v="0"/>
  </r>
  <r>
    <x v="12"/>
    <x v="54"/>
    <x v="61"/>
    <x v="3"/>
    <x v="101"/>
    <x v="59"/>
    <x v="89"/>
    <x v="0"/>
    <x v="1"/>
    <x v="0"/>
  </r>
  <r>
    <x v="12"/>
    <x v="71"/>
    <x v="62"/>
    <x v="8"/>
    <x v="29"/>
    <x v="22"/>
    <x v="8"/>
    <x v="0"/>
    <x v="1"/>
    <x v="0"/>
  </r>
  <r>
    <x v="12"/>
    <x v="93"/>
    <x v="64"/>
    <x v="5"/>
    <x v="3"/>
    <x v="2"/>
    <x v="4"/>
    <x v="0"/>
    <x v="1"/>
    <x v="0"/>
  </r>
  <r>
    <x v="12"/>
    <x v="94"/>
    <x v="65"/>
    <x v="0"/>
    <x v="66"/>
    <x v="65"/>
    <x v="44"/>
    <x v="0"/>
    <x v="4"/>
    <x v="0"/>
  </r>
  <r>
    <x v="12"/>
    <x v="82"/>
    <x v="63"/>
    <x v="9"/>
    <x v="52"/>
    <x v="27"/>
    <x v="33"/>
    <x v="0"/>
    <x v="4"/>
    <x v="0"/>
  </r>
  <r>
    <x v="12"/>
    <x v="83"/>
    <x v="148"/>
    <x v="3"/>
    <x v="55"/>
    <x v="56"/>
    <x v="37"/>
    <x v="0"/>
    <x v="3"/>
    <x v="0"/>
  </r>
  <r>
    <x v="13"/>
    <x v="6"/>
    <x v="66"/>
    <x v="7"/>
    <x v="76"/>
    <x v="41"/>
    <x v="66"/>
    <x v="0"/>
    <x v="1"/>
    <x v="0"/>
  </r>
  <r>
    <x v="13"/>
    <x v="69"/>
    <x v="68"/>
    <x v="8"/>
    <x v="30"/>
    <x v="22"/>
    <x v="9"/>
    <x v="0"/>
    <x v="1"/>
    <x v="0"/>
  </r>
  <r>
    <x v="13"/>
    <x v="60"/>
    <x v="67"/>
    <x v="3"/>
    <x v="108"/>
    <x v="62"/>
    <x v="94"/>
    <x v="0"/>
    <x v="1"/>
    <x v="0"/>
  </r>
  <r>
    <x v="13"/>
    <x v="124"/>
    <x v="71"/>
    <x v="1"/>
    <x v="11"/>
    <x v="6"/>
    <x v="2"/>
    <x v="0"/>
    <x v="0"/>
    <x v="0"/>
  </r>
  <r>
    <x v="13"/>
    <x v="119"/>
    <x v="70"/>
    <x v="9"/>
    <x v="48"/>
    <x v="24"/>
    <x v="31"/>
    <x v="0"/>
    <x v="4"/>
    <x v="0"/>
  </r>
  <r>
    <x v="13"/>
    <x v="97"/>
    <x v="69"/>
    <x v="5"/>
    <x v="2"/>
    <x v="1"/>
    <x v="4"/>
    <x v="0"/>
    <x v="1"/>
    <x v="0"/>
  </r>
  <r>
    <x v="14"/>
    <x v="65"/>
    <x v="73"/>
    <x v="8"/>
    <x v="26"/>
    <x v="20"/>
    <x v="7"/>
    <x v="0"/>
    <x v="1"/>
    <x v="0"/>
  </r>
  <r>
    <x v="14"/>
    <x v="66"/>
    <x v="72"/>
    <x v="7"/>
    <x v="59"/>
    <x v="33"/>
    <x v="58"/>
    <x v="0"/>
    <x v="1"/>
    <x v="0"/>
  </r>
  <r>
    <x v="14"/>
    <x v="120"/>
    <x v="76"/>
    <x v="2"/>
    <x v="94"/>
    <x v="46"/>
    <x v="80"/>
    <x v="0"/>
    <x v="1"/>
    <x v="0"/>
  </r>
  <r>
    <x v="14"/>
    <x v="78"/>
    <x v="74"/>
    <x v="3"/>
    <x v="89"/>
    <x v="64"/>
    <x v="53"/>
    <x v="0"/>
    <x v="1"/>
    <x v="0"/>
  </r>
  <r>
    <x v="14"/>
    <x v="104"/>
    <x v="75"/>
    <x v="5"/>
    <x v="6"/>
    <x v="1"/>
    <x v="10"/>
    <x v="0"/>
    <x v="1"/>
    <x v="0"/>
  </r>
  <r>
    <x v="15"/>
    <x v="59"/>
    <x v="79"/>
    <x v="2"/>
    <x v="98"/>
    <x v="52"/>
    <x v="85"/>
    <x v="0"/>
    <x v="1"/>
    <x v="0"/>
  </r>
  <r>
    <x v="15"/>
    <x v="10"/>
    <x v="77"/>
    <x v="7"/>
    <x v="84"/>
    <x v="43"/>
    <x v="73"/>
    <x v="0"/>
    <x v="1"/>
    <x v="0"/>
  </r>
  <r>
    <x v="15"/>
    <x v="57"/>
    <x v="78"/>
    <x v="8"/>
    <x v="34"/>
    <x v="21"/>
    <x v="16"/>
    <x v="0"/>
    <x v="1"/>
    <x v="0"/>
  </r>
  <r>
    <x v="16"/>
    <x v="2"/>
    <x v="81"/>
    <x v="7"/>
    <x v="81"/>
    <x v="40"/>
    <x v="71"/>
    <x v="0"/>
    <x v="1"/>
    <x v="0"/>
  </r>
  <r>
    <x v="16"/>
    <x v="31"/>
    <x v="82"/>
    <x v="8"/>
    <x v="37"/>
    <x v="20"/>
    <x v="25"/>
    <x v="0"/>
    <x v="1"/>
    <x v="0"/>
  </r>
  <r>
    <x v="16"/>
    <x v="75"/>
    <x v="83"/>
    <x v="2"/>
    <x v="95"/>
    <x v="52"/>
    <x v="81"/>
    <x v="0"/>
    <x v="1"/>
    <x v="0"/>
  </r>
  <r>
    <x v="17"/>
    <x v="42"/>
    <x v="85"/>
    <x v="8"/>
    <x v="40"/>
    <x v="21"/>
    <x v="29"/>
    <x v="0"/>
    <x v="1"/>
    <x v="0"/>
  </r>
  <r>
    <x v="17"/>
    <x v="4"/>
    <x v="84"/>
    <x v="7"/>
    <x v="57"/>
    <x v="35"/>
    <x v="57"/>
    <x v="0"/>
    <x v="1"/>
    <x v="0"/>
  </r>
  <r>
    <x v="17"/>
    <x v="64"/>
    <x v="86"/>
    <x v="2"/>
    <x v="107"/>
    <x v="49"/>
    <x v="98"/>
    <x v="0"/>
    <x v="1"/>
    <x v="0"/>
  </r>
  <r>
    <x v="18"/>
    <x v="38"/>
    <x v="88"/>
    <x v="3"/>
    <x v="100"/>
    <x v="59"/>
    <x v="88"/>
    <x v="0"/>
    <x v="1"/>
    <x v="0"/>
  </r>
  <r>
    <x v="18"/>
    <x v="13"/>
    <x v="87"/>
    <x v="7"/>
    <x v="62"/>
    <x v="42"/>
    <x v="56"/>
    <x v="0"/>
    <x v="1"/>
    <x v="0"/>
  </r>
  <r>
    <x v="18"/>
    <x v="69"/>
    <x v="89"/>
    <x v="8"/>
    <x v="28"/>
    <x v="22"/>
    <x v="7"/>
    <x v="0"/>
    <x v="1"/>
    <x v="0"/>
  </r>
  <r>
    <x v="18"/>
    <x v="79"/>
    <x v="149"/>
    <x v="0"/>
    <x v="58"/>
    <x v="58"/>
    <x v="40"/>
    <x v="0"/>
    <x v="3"/>
    <x v="0"/>
  </r>
  <r>
    <x v="18"/>
    <x v="95"/>
    <x v="90"/>
    <x v="0"/>
    <x v="75"/>
    <x v="56"/>
    <x v="49"/>
    <x v="0"/>
    <x v="4"/>
    <x v="0"/>
  </r>
  <r>
    <x v="19"/>
    <x v="39"/>
    <x v="92"/>
    <x v="2"/>
    <x v="103"/>
    <x v="54"/>
    <x v="91"/>
    <x v="0"/>
    <x v="1"/>
    <x v="0"/>
  </r>
  <r>
    <x v="19"/>
    <x v="13"/>
    <x v="91"/>
    <x v="7"/>
    <x v="64"/>
    <x v="39"/>
    <x v="59"/>
    <x v="0"/>
    <x v="1"/>
    <x v="0"/>
  </r>
  <r>
    <x v="19"/>
    <x v="74"/>
    <x v="93"/>
    <x v="8"/>
    <x v="31"/>
    <x v="21"/>
    <x v="11"/>
    <x v="0"/>
    <x v="1"/>
    <x v="0"/>
  </r>
  <r>
    <x v="19"/>
    <x v="104"/>
    <x v="95"/>
    <x v="6"/>
    <x v="22"/>
    <x v="13"/>
    <x v="26"/>
    <x v="0"/>
    <x v="4"/>
    <x v="0"/>
  </r>
  <r>
    <x v="19"/>
    <x v="103"/>
    <x v="96"/>
    <x v="9"/>
    <x v="51"/>
    <x v="26"/>
    <x v="34"/>
    <x v="0"/>
    <x v="4"/>
    <x v="0"/>
  </r>
  <r>
    <x v="19"/>
    <x v="102"/>
    <x v="94"/>
    <x v="5"/>
    <x v="2"/>
    <x v="2"/>
    <x v="3"/>
    <x v="0"/>
    <x v="1"/>
    <x v="0"/>
  </r>
  <r>
    <x v="20"/>
    <x v="85"/>
    <x v="100"/>
    <x v="6"/>
    <x v="16"/>
    <x v="12"/>
    <x v="11"/>
    <x v="0"/>
    <x v="4"/>
    <x v="0"/>
  </r>
  <r>
    <x v="20"/>
    <x v="12"/>
    <x v="97"/>
    <x v="7"/>
    <x v="54"/>
    <x v="30"/>
    <x v="54"/>
    <x v="0"/>
    <x v="1"/>
    <x v="0"/>
  </r>
  <r>
    <x v="20"/>
    <x v="55"/>
    <x v="98"/>
    <x v="8"/>
    <x v="27"/>
    <x v="20"/>
    <x v="8"/>
    <x v="0"/>
    <x v="1"/>
    <x v="0"/>
  </r>
  <r>
    <x v="20"/>
    <x v="57"/>
    <x v="99"/>
    <x v="2"/>
    <x v="107"/>
    <x v="50"/>
    <x v="97"/>
    <x v="0"/>
    <x v="1"/>
    <x v="0"/>
  </r>
  <r>
    <x v="21"/>
    <x v="105"/>
    <x v="105"/>
    <x v="5"/>
    <x v="4"/>
    <x v="3"/>
    <x v="6"/>
    <x v="0"/>
    <x v="1"/>
    <x v="0"/>
  </r>
  <r>
    <x v="21"/>
    <x v="15"/>
    <x v="101"/>
    <x v="7"/>
    <x v="55"/>
    <x v="33"/>
    <x v="55"/>
    <x v="0"/>
    <x v="1"/>
    <x v="0"/>
  </r>
  <r>
    <x v="21"/>
    <x v="55"/>
    <x v="103"/>
    <x v="8"/>
    <x v="32"/>
    <x v="19"/>
    <x v="15"/>
    <x v="0"/>
    <x v="1"/>
    <x v="0"/>
  </r>
  <r>
    <x v="21"/>
    <x v="87"/>
    <x v="104"/>
    <x v="6"/>
    <x v="19"/>
    <x v="12"/>
    <x v="17"/>
    <x v="0"/>
    <x v="4"/>
    <x v="0"/>
  </r>
  <r>
    <x v="21"/>
    <x v="34"/>
    <x v="102"/>
    <x v="2"/>
    <x v="106"/>
    <x v="53"/>
    <x v="96"/>
    <x v="0"/>
    <x v="1"/>
    <x v="0"/>
  </r>
  <r>
    <x v="27"/>
    <x v="80"/>
    <x v="130"/>
    <x v="4"/>
    <x v="53"/>
    <x v="35"/>
    <x v="45"/>
    <x v="0"/>
    <x v="4"/>
    <x v="0"/>
  </r>
  <r>
    <x v="22"/>
    <x v="12"/>
    <x v="106"/>
    <x v="7"/>
    <x v="61"/>
    <x v="32"/>
    <x v="60"/>
    <x v="0"/>
    <x v="1"/>
    <x v="0"/>
  </r>
  <r>
    <x v="22"/>
    <x v="45"/>
    <x v="107"/>
    <x v="3"/>
    <x v="97"/>
    <x v="59"/>
    <x v="83"/>
    <x v="0"/>
    <x v="1"/>
    <x v="0"/>
  </r>
  <r>
    <x v="22"/>
    <x v="58"/>
    <x v="108"/>
    <x v="8"/>
    <x v="36"/>
    <x v="20"/>
    <x v="24"/>
    <x v="0"/>
    <x v="1"/>
    <x v="0"/>
  </r>
  <r>
    <x v="23"/>
    <x v="4"/>
    <x v="109"/>
    <x v="7"/>
    <x v="80"/>
    <x v="38"/>
    <x v="70"/>
    <x v="0"/>
    <x v="1"/>
    <x v="0"/>
  </r>
  <r>
    <x v="23"/>
    <x v="114"/>
    <x v="112"/>
    <x v="6"/>
    <x v="16"/>
    <x v="15"/>
    <x v="8"/>
    <x v="0"/>
    <x v="1"/>
    <x v="0"/>
  </r>
  <r>
    <x v="23"/>
    <x v="30"/>
    <x v="110"/>
    <x v="3"/>
    <x v="105"/>
    <x v="57"/>
    <x v="93"/>
    <x v="0"/>
    <x v="1"/>
    <x v="0"/>
  </r>
  <r>
    <x v="23"/>
    <x v="33"/>
    <x v="111"/>
    <x v="8"/>
    <x v="39"/>
    <x v="19"/>
    <x v="30"/>
    <x v="0"/>
    <x v="1"/>
    <x v="0"/>
  </r>
  <r>
    <x v="24"/>
    <x v="28"/>
    <x v="113"/>
    <x v="3"/>
    <x v="87"/>
    <x v="64"/>
    <x v="52"/>
    <x v="0"/>
    <x v="1"/>
    <x v="0"/>
  </r>
  <r>
    <x v="24"/>
    <x v="27"/>
    <x v="114"/>
    <x v="8"/>
    <x v="32"/>
    <x v="17"/>
    <x v="19"/>
    <x v="0"/>
    <x v="1"/>
    <x v="0"/>
  </r>
  <r>
    <x v="25"/>
    <x v="110"/>
    <x v="120"/>
    <x v="3"/>
    <x v="56"/>
    <x v="57"/>
    <x v="39"/>
    <x v="0"/>
    <x v="1"/>
    <x v="0"/>
  </r>
  <r>
    <x v="25"/>
    <x v="25"/>
    <x v="116"/>
    <x v="8"/>
    <x v="25"/>
    <x v="17"/>
    <x v="10"/>
    <x v="0"/>
    <x v="1"/>
    <x v="0"/>
  </r>
  <r>
    <x v="25"/>
    <x v="24"/>
    <x v="117"/>
    <x v="7"/>
    <x v="92"/>
    <x v="36"/>
    <x v="87"/>
    <x v="0"/>
    <x v="1"/>
    <x v="0"/>
  </r>
  <r>
    <x v="25"/>
    <x v="108"/>
    <x v="119"/>
    <x v="5"/>
    <x v="6"/>
    <x v="3"/>
    <x v="8"/>
    <x v="0"/>
    <x v="1"/>
    <x v="0"/>
  </r>
  <r>
    <x v="25"/>
    <x v="37"/>
    <x v="118"/>
    <x v="3"/>
    <x v="62"/>
    <x v="61"/>
    <x v="41"/>
    <x v="0"/>
    <x v="1"/>
    <x v="0"/>
  </r>
  <r>
    <x v="25"/>
    <x v="14"/>
    <x v="115"/>
    <x v="3"/>
    <x v="118"/>
    <x v="63"/>
    <x v="107"/>
    <x v="0"/>
    <x v="1"/>
    <x v="0"/>
  </r>
  <r>
    <x v="26"/>
    <x v="51"/>
    <x v="122"/>
    <x v="3"/>
    <x v="116"/>
    <x v="61"/>
    <x v="106"/>
    <x v="0"/>
    <x v="1"/>
    <x v="0"/>
  </r>
  <r>
    <x v="26"/>
    <x v="8"/>
    <x v="121"/>
    <x v="7"/>
    <x v="72"/>
    <x v="41"/>
    <x v="64"/>
    <x v="0"/>
    <x v="1"/>
    <x v="0"/>
  </r>
  <r>
    <x v="26"/>
    <x v="68"/>
    <x v="123"/>
    <x v="8"/>
    <x v="33"/>
    <x v="20"/>
    <x v="16"/>
    <x v="0"/>
    <x v="1"/>
    <x v="0"/>
  </r>
  <r>
    <x v="26"/>
    <x v="111"/>
    <x v="125"/>
    <x v="6"/>
    <x v="23"/>
    <x v="9"/>
    <x v="30"/>
    <x v="0"/>
    <x v="4"/>
    <x v="0"/>
  </r>
  <r>
    <x v="26"/>
    <x v="76"/>
    <x v="124"/>
    <x v="6"/>
    <x v="20"/>
    <x v="9"/>
    <x v="22"/>
    <x v="0"/>
    <x v="4"/>
    <x v="0"/>
  </r>
  <r>
    <x v="26"/>
    <x v="127"/>
    <x v="126"/>
    <x v="1"/>
    <x v="18"/>
    <x v="12"/>
    <x v="14"/>
    <x v="0"/>
    <x v="0"/>
    <x v="0"/>
  </r>
  <r>
    <x v="26"/>
    <x v="83"/>
    <x v="151"/>
    <x v="3"/>
    <x v="78"/>
    <x v="63"/>
    <x v="50"/>
    <x v="0"/>
    <x v="2"/>
    <x v="0"/>
  </r>
  <r>
    <x v="20"/>
    <x v="112"/>
    <x v="150"/>
    <x v="2"/>
    <x v="82"/>
    <x v="47"/>
    <x v="51"/>
    <x v="0"/>
    <x v="3"/>
    <x v="0"/>
  </r>
  <r>
    <x v="17"/>
    <x v="107"/>
    <x v="2"/>
    <x v="3"/>
    <x v="63"/>
    <x v="62"/>
    <x v="42"/>
    <x v="0"/>
    <x v="2"/>
    <x v="0"/>
  </r>
  <r>
    <x v="28"/>
    <x v="88"/>
    <x v="135"/>
    <x v="5"/>
    <x v="5"/>
    <x v="2"/>
    <x v="8"/>
    <x v="0"/>
    <x v="1"/>
    <x v="0"/>
  </r>
  <r>
    <x v="28"/>
    <x v="117"/>
    <x v="136"/>
    <x v="1"/>
    <x v="18"/>
    <x v="11"/>
    <x v="15"/>
    <x v="0"/>
    <x v="0"/>
    <x v="0"/>
  </r>
  <r>
    <x v="28"/>
    <x v="50"/>
    <x v="133"/>
    <x v="3"/>
    <x v="111"/>
    <x v="60"/>
    <x v="101"/>
    <x v="0"/>
    <x v="1"/>
    <x v="0"/>
  </r>
  <r>
    <x v="28"/>
    <x v="56"/>
    <x v="134"/>
    <x v="8"/>
    <x v="43"/>
    <x v="22"/>
    <x v="33"/>
    <x v="0"/>
    <x v="1"/>
    <x v="0"/>
  </r>
  <r>
    <x v="28"/>
    <x v="7"/>
    <x v="132"/>
    <x v="7"/>
    <x v="74"/>
    <x v="42"/>
    <x v="65"/>
    <x v="0"/>
    <x v="1"/>
    <x v="0"/>
  </r>
  <r>
    <x v="29"/>
    <x v="22"/>
    <x v="137"/>
    <x v="7"/>
    <x v="84"/>
    <x v="39"/>
    <x v="74"/>
    <x v="0"/>
    <x v="1"/>
    <x v="0"/>
  </r>
  <r>
    <x v="29"/>
    <x v="54"/>
    <x v="138"/>
    <x v="3"/>
    <x v="121"/>
    <x v="63"/>
    <x v="110"/>
    <x v="0"/>
    <x v="1"/>
    <x v="0"/>
  </r>
  <r>
    <x v="29"/>
    <x v="62"/>
    <x v="139"/>
    <x v="8"/>
    <x v="44"/>
    <x v="21"/>
    <x v="36"/>
    <x v="0"/>
    <x v="1"/>
    <x v="0"/>
  </r>
  <r>
    <x v="29"/>
    <x v="100"/>
    <x v="141"/>
    <x v="9"/>
    <x v="49"/>
    <x v="23"/>
    <x v="35"/>
    <x v="0"/>
    <x v="4"/>
    <x v="0"/>
  </r>
  <r>
    <x v="29"/>
    <x v="89"/>
    <x v="140"/>
    <x v="5"/>
    <x v="3"/>
    <x v="2"/>
    <x v="4"/>
    <x v="0"/>
    <x v="1"/>
    <x v="0"/>
  </r>
  <r>
    <x v="30"/>
    <x v="44"/>
    <x v="143"/>
    <x v="3"/>
    <x v="110"/>
    <x v="62"/>
    <x v="99"/>
    <x v="0"/>
    <x v="1"/>
    <x v="0"/>
  </r>
  <r>
    <x v="30"/>
    <x v="81"/>
    <x v="145"/>
    <x v="1"/>
    <x v="12"/>
    <x v="5"/>
    <x v="13"/>
    <x v="0"/>
    <x v="1"/>
    <x v="0"/>
  </r>
  <r>
    <x v="30"/>
    <x v="108"/>
    <x v="146"/>
    <x v="5"/>
    <x v="5"/>
    <x v="2"/>
    <x v="8"/>
    <x v="0"/>
    <x v="1"/>
    <x v="0"/>
  </r>
  <r>
    <x v="30"/>
    <x v="1"/>
    <x v="142"/>
    <x v="7"/>
    <x v="90"/>
    <x v="43"/>
    <x v="79"/>
    <x v="0"/>
    <x v="1"/>
    <x v="0"/>
  </r>
  <r>
    <x v="30"/>
    <x v="31"/>
    <x v="144"/>
    <x v="8"/>
    <x v="46"/>
    <x v="21"/>
    <x v="38"/>
    <x v="0"/>
    <x v="1"/>
    <x v="0"/>
  </r>
  <r>
    <x v="27"/>
    <x v="118"/>
    <x v="131"/>
    <x v="5"/>
    <x v="9"/>
    <x v="0"/>
    <x v="16"/>
    <x v="0"/>
    <x v="1"/>
    <x v="0"/>
  </r>
  <r>
    <x v="27"/>
    <x v="49"/>
    <x v="128"/>
    <x v="3"/>
    <x v="115"/>
    <x v="63"/>
    <x v="103"/>
    <x v="0"/>
    <x v="1"/>
    <x v="0"/>
  </r>
  <r>
    <x v="27"/>
    <x v="67"/>
    <x v="129"/>
    <x v="8"/>
    <x v="35"/>
    <x v="20"/>
    <x v="21"/>
    <x v="0"/>
    <x v="1"/>
    <x v="0"/>
  </r>
  <r>
    <x v="27"/>
    <x v="20"/>
    <x v="127"/>
    <x v="7"/>
    <x v="88"/>
    <x v="44"/>
    <x v="77"/>
    <x v="0"/>
    <x v="1"/>
    <x v="0"/>
  </r>
  <r>
    <x v="15"/>
    <x v="122"/>
    <x v="80"/>
    <x v="1"/>
    <x v="17"/>
    <x v="10"/>
    <x v="14"/>
    <x v="0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G15" firstHeaderRow="1" firstDataRow="2" firstDataCol="1" rowPageCount="1" colPageCount="1"/>
  <pivotFields count="10">
    <pivotField axis="axisPage" compact="0" showAll="0" defaultSubtotal="0" outline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/>
    <pivotField compact="0" showAll="0"/>
    <pivotField axis="axisRow" compact="0" showAll="0" defaultSubtotal="0" outline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dataField="1" compact="0" showAll="0" outline="0"/>
    <pivotField compact="0" showAll="0"/>
    <pivotField axis="axisCol" compact="0" showAll="0" defaultSubtotal="0" outline="0">
      <items count="5">
        <item x="0"/>
        <item x="1"/>
        <item x="2"/>
        <item x="3"/>
        <item x="4"/>
      </items>
    </pivotField>
    <pivotField compact="0" showAll="0"/>
  </pivotFields>
  <rowFields count="1">
    <field x="3"/>
  </rowFields>
  <colFields count="1">
    <field x="8"/>
  </colFields>
  <pageFields count="1">
    <pageField fld="0" hier="-1"/>
  </pageFields>
  <dataFields count="1">
    <dataField name="Suma - Carga" fld="6" subtotal="sum" numFmtId="168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171875" defaultRowHeight="18" zeroHeight="false" outlineLevelRow="0" outlineLevelCol="0"/>
  <cols>
    <col collapsed="false" customWidth="true" hidden="false" outlineLevel="0" max="1" min="1" style="0" width="9.5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8" hidden="false" customHeight="false" outlineLevel="0" collapsed="false">
      <c r="A2" s="5" t="n">
        <v>45261</v>
      </c>
      <c r="B2" s="6" t="n">
        <v>0.222222222222222</v>
      </c>
      <c r="C2" s="7" t="n">
        <v>32568</v>
      </c>
      <c r="D2" s="7" t="s">
        <v>10</v>
      </c>
      <c r="E2" s="7" t="n">
        <v>22700</v>
      </c>
      <c r="F2" s="7" t="n">
        <v>15620</v>
      </c>
      <c r="G2" s="7" t="n">
        <v>7080</v>
      </c>
      <c r="H2" s="7" t="s">
        <v>11</v>
      </c>
      <c r="I2" s="7" t="s">
        <v>12</v>
      </c>
      <c r="J2" s="0" t="s">
        <v>13</v>
      </c>
    </row>
    <row r="3" customFormat="false" ht="18" hidden="false" customHeight="false" outlineLevel="0" collapsed="false">
      <c r="A3" s="5" t="n">
        <v>45261</v>
      </c>
      <c r="B3" s="6" t="n">
        <v>0.13125</v>
      </c>
      <c r="C3" s="7" t="n">
        <v>32564</v>
      </c>
      <c r="D3" s="7" t="s">
        <v>14</v>
      </c>
      <c r="E3" s="7" t="n">
        <v>17680</v>
      </c>
      <c r="F3" s="7" t="n">
        <v>13420</v>
      </c>
      <c r="G3" s="7" t="n">
        <v>4260</v>
      </c>
      <c r="H3" s="7" t="s">
        <v>11</v>
      </c>
      <c r="I3" s="7" t="s">
        <v>12</v>
      </c>
      <c r="J3" s="0" t="s">
        <v>13</v>
      </c>
    </row>
    <row r="4" customFormat="false" ht="18" hidden="false" customHeight="false" outlineLevel="0" collapsed="false">
      <c r="A4" s="5" t="n">
        <v>45261</v>
      </c>
      <c r="B4" s="6" t="n">
        <v>0.255555555555556</v>
      </c>
      <c r="C4" s="7" t="n">
        <v>32571</v>
      </c>
      <c r="D4" s="7" t="s">
        <v>15</v>
      </c>
      <c r="E4" s="7" t="n">
        <v>4100</v>
      </c>
      <c r="F4" s="7" t="n">
        <v>3820</v>
      </c>
      <c r="G4" s="7" t="n">
        <v>280</v>
      </c>
      <c r="H4" s="7" t="s">
        <v>11</v>
      </c>
      <c r="I4" s="7" t="s">
        <v>12</v>
      </c>
      <c r="J4" s="0" t="s">
        <v>13</v>
      </c>
    </row>
    <row r="5" customFormat="false" ht="18" hidden="false" customHeight="false" outlineLevel="0" collapsed="false">
      <c r="A5" s="5" t="n">
        <v>45261</v>
      </c>
      <c r="B5" s="6" t="n">
        <v>0.478472222222222</v>
      </c>
      <c r="C5" s="7" t="n">
        <v>32589</v>
      </c>
      <c r="D5" s="7" t="s">
        <v>16</v>
      </c>
      <c r="E5" s="7" t="n">
        <v>2720</v>
      </c>
      <c r="F5" s="7" t="n">
        <v>2420</v>
      </c>
      <c r="G5" s="7" t="n">
        <v>300</v>
      </c>
      <c r="H5" s="7" t="s">
        <v>11</v>
      </c>
      <c r="I5" s="7" t="s">
        <v>12</v>
      </c>
      <c r="J5" s="0" t="s">
        <v>13</v>
      </c>
    </row>
    <row r="6" customFormat="false" ht="18" hidden="false" customHeight="false" outlineLevel="0" collapsed="false">
      <c r="A6" s="5" t="n">
        <v>45261</v>
      </c>
      <c r="B6" s="6" t="n">
        <v>0.514583333333333</v>
      </c>
      <c r="C6" s="7" t="n">
        <v>32592</v>
      </c>
      <c r="D6" s="7" t="s">
        <v>17</v>
      </c>
      <c r="E6" s="7" t="n">
        <v>6220</v>
      </c>
      <c r="F6" s="7" t="n">
        <v>5600</v>
      </c>
      <c r="G6" s="7" t="n">
        <v>620</v>
      </c>
      <c r="H6" s="7" t="s">
        <v>11</v>
      </c>
      <c r="I6" s="7" t="s">
        <v>18</v>
      </c>
      <c r="J6" s="0" t="s">
        <v>13</v>
      </c>
    </row>
    <row r="7" customFormat="false" ht="18" hidden="false" customHeight="false" outlineLevel="0" collapsed="false">
      <c r="A7" s="5" t="n">
        <v>45261</v>
      </c>
      <c r="B7" s="6" t="n">
        <v>0.420833333333333</v>
      </c>
      <c r="C7" s="7" t="n">
        <v>32582</v>
      </c>
      <c r="D7" s="7" t="s">
        <v>19</v>
      </c>
      <c r="E7" s="7" t="n">
        <v>3140</v>
      </c>
      <c r="F7" s="7" t="n">
        <v>2880</v>
      </c>
      <c r="G7" s="7" t="n">
        <v>260</v>
      </c>
      <c r="H7" s="7" t="s">
        <v>11</v>
      </c>
      <c r="I7" s="7" t="s">
        <v>20</v>
      </c>
      <c r="J7" s="0" t="s">
        <v>13</v>
      </c>
    </row>
    <row r="8" customFormat="false" ht="18" hidden="false" customHeight="false" outlineLevel="0" collapsed="false">
      <c r="A8" s="5" t="n">
        <v>45262</v>
      </c>
      <c r="B8" s="6" t="n">
        <v>0.214583333333333</v>
      </c>
      <c r="C8" s="7" t="n">
        <v>32610</v>
      </c>
      <c r="D8" s="7" t="s">
        <v>10</v>
      </c>
      <c r="E8" s="7" t="n">
        <v>24740</v>
      </c>
      <c r="F8" s="7" t="n">
        <v>15760</v>
      </c>
      <c r="G8" s="7" t="n">
        <v>8980</v>
      </c>
      <c r="H8" s="7" t="s">
        <v>11</v>
      </c>
      <c r="I8" s="7" t="s">
        <v>12</v>
      </c>
      <c r="J8" s="0" t="s">
        <v>13</v>
      </c>
    </row>
    <row r="9" customFormat="false" ht="18" hidden="false" customHeight="false" outlineLevel="0" collapsed="false">
      <c r="A9" s="5" t="n">
        <v>45262</v>
      </c>
      <c r="B9" s="6" t="n">
        <v>0.145833333333333</v>
      </c>
      <c r="C9" s="7" t="n">
        <v>32605</v>
      </c>
      <c r="D9" s="7" t="s">
        <v>14</v>
      </c>
      <c r="E9" s="7" t="n">
        <v>19000</v>
      </c>
      <c r="F9" s="7" t="n">
        <v>13400</v>
      </c>
      <c r="G9" s="7" t="n">
        <v>5600</v>
      </c>
      <c r="H9" s="7" t="s">
        <v>11</v>
      </c>
      <c r="I9" s="7" t="s">
        <v>12</v>
      </c>
      <c r="J9" s="0" t="s">
        <v>13</v>
      </c>
    </row>
    <row r="10" customFormat="false" ht="18" hidden="false" customHeight="false" outlineLevel="0" collapsed="false">
      <c r="A10" s="5" t="n">
        <v>45262</v>
      </c>
      <c r="B10" s="6" t="n">
        <v>0.254166666666667</v>
      </c>
      <c r="C10" s="7" t="n">
        <v>32616</v>
      </c>
      <c r="D10" s="7" t="s">
        <v>15</v>
      </c>
      <c r="E10" s="7" t="n">
        <v>4280</v>
      </c>
      <c r="F10" s="7" t="n">
        <v>3800</v>
      </c>
      <c r="G10" s="7" t="n">
        <v>480</v>
      </c>
      <c r="H10" s="7" t="s">
        <v>11</v>
      </c>
      <c r="I10" s="7" t="s">
        <v>12</v>
      </c>
      <c r="J10" s="0" t="s">
        <v>13</v>
      </c>
    </row>
    <row r="11" customFormat="false" ht="18" hidden="false" customHeight="false" outlineLevel="0" collapsed="false">
      <c r="A11" s="5" t="n">
        <v>45263</v>
      </c>
      <c r="B11" s="6" t="n">
        <v>0.170833333333333</v>
      </c>
      <c r="C11" s="7" t="n">
        <v>32628</v>
      </c>
      <c r="D11" s="7" t="s">
        <v>15</v>
      </c>
      <c r="E11" s="7" t="n">
        <v>4360</v>
      </c>
      <c r="F11" s="7" t="n">
        <v>3800</v>
      </c>
      <c r="G11" s="7" t="n">
        <v>560</v>
      </c>
      <c r="H11" s="7" t="s">
        <v>11</v>
      </c>
      <c r="I11" s="7" t="s">
        <v>12</v>
      </c>
      <c r="J11" s="0" t="s">
        <v>13</v>
      </c>
    </row>
    <row r="12" customFormat="false" ht="18" hidden="false" customHeight="false" outlineLevel="0" collapsed="false">
      <c r="A12" s="5" t="n">
        <v>45263</v>
      </c>
      <c r="B12" s="6" t="n">
        <v>0.0888888888888889</v>
      </c>
      <c r="C12" s="7" t="n">
        <v>32623</v>
      </c>
      <c r="D12" s="7" t="s">
        <v>14</v>
      </c>
      <c r="E12" s="7" t="n">
        <v>18260</v>
      </c>
      <c r="F12" s="7" t="n">
        <v>13360</v>
      </c>
      <c r="G12" s="7" t="n">
        <v>4900</v>
      </c>
      <c r="H12" s="7" t="s">
        <v>11</v>
      </c>
      <c r="I12" s="7" t="s">
        <v>12</v>
      </c>
      <c r="J12" s="0" t="s">
        <v>13</v>
      </c>
    </row>
    <row r="13" customFormat="false" ht="18" hidden="false" customHeight="false" outlineLevel="0" collapsed="false">
      <c r="A13" s="5" t="n">
        <v>45263</v>
      </c>
      <c r="B13" s="6" t="n">
        <v>0.215277777777778</v>
      </c>
      <c r="C13" s="7" t="n">
        <v>32632</v>
      </c>
      <c r="D13" s="7" t="s">
        <v>10</v>
      </c>
      <c r="E13" s="7" t="n">
        <v>23860</v>
      </c>
      <c r="F13" s="7" t="n">
        <v>15720</v>
      </c>
      <c r="G13" s="7" t="n">
        <v>8140</v>
      </c>
      <c r="H13" s="7" t="s">
        <v>11</v>
      </c>
      <c r="I13" s="7" t="s">
        <v>12</v>
      </c>
      <c r="J13" s="0" t="s">
        <v>13</v>
      </c>
    </row>
    <row r="14" customFormat="false" ht="18" hidden="false" customHeight="false" outlineLevel="0" collapsed="false">
      <c r="A14" s="5" t="n">
        <v>45264</v>
      </c>
      <c r="B14" s="6" t="n">
        <v>0.511111111111111</v>
      </c>
      <c r="C14" s="7" t="n">
        <v>32674</v>
      </c>
      <c r="D14" s="7" t="s">
        <v>19</v>
      </c>
      <c r="E14" s="7" t="n">
        <v>3060</v>
      </c>
      <c r="F14" s="7" t="n">
        <v>2860</v>
      </c>
      <c r="G14" s="7" t="n">
        <v>200</v>
      </c>
      <c r="H14" s="7" t="s">
        <v>11</v>
      </c>
      <c r="I14" s="7" t="s">
        <v>12</v>
      </c>
      <c r="J14" s="0" t="s">
        <v>13</v>
      </c>
    </row>
    <row r="15" customFormat="false" ht="18" hidden="false" customHeight="false" outlineLevel="0" collapsed="false">
      <c r="A15" s="5" t="n">
        <v>45264</v>
      </c>
      <c r="B15" s="6" t="n">
        <v>0.538194444444444</v>
      </c>
      <c r="C15" s="7" t="n">
        <v>32678</v>
      </c>
      <c r="D15" s="7" t="s">
        <v>21</v>
      </c>
      <c r="E15" s="7" t="n">
        <v>3380</v>
      </c>
      <c r="F15" s="7" t="n">
        <v>2780</v>
      </c>
      <c r="G15" s="7" t="n">
        <v>600</v>
      </c>
      <c r="H15" s="7" t="s">
        <v>11</v>
      </c>
      <c r="I15" s="7" t="s">
        <v>20</v>
      </c>
      <c r="J15" s="0" t="s">
        <v>13</v>
      </c>
    </row>
    <row r="16" customFormat="false" ht="18" hidden="false" customHeight="false" outlineLevel="0" collapsed="false">
      <c r="A16" s="5" t="n">
        <v>45264</v>
      </c>
      <c r="B16" s="6" t="n">
        <v>0.104166666666667</v>
      </c>
      <c r="C16" s="7" t="n">
        <v>32640</v>
      </c>
      <c r="D16" s="7" t="s">
        <v>14</v>
      </c>
      <c r="E16" s="7" t="n">
        <v>18400</v>
      </c>
      <c r="F16" s="7" t="n">
        <v>13440</v>
      </c>
      <c r="G16" s="7" t="n">
        <v>4960</v>
      </c>
      <c r="H16" s="7" t="s">
        <v>11</v>
      </c>
      <c r="I16" s="7" t="s">
        <v>12</v>
      </c>
      <c r="J16" s="0" t="s">
        <v>13</v>
      </c>
    </row>
    <row r="17" customFormat="false" ht="18" hidden="false" customHeight="false" outlineLevel="0" collapsed="false">
      <c r="A17" s="5" t="n">
        <v>45264</v>
      </c>
      <c r="B17" s="6" t="n">
        <v>0.245833333333333</v>
      </c>
      <c r="C17" s="7" t="n">
        <v>32651</v>
      </c>
      <c r="D17" s="7" t="s">
        <v>10</v>
      </c>
      <c r="E17" s="7" t="n">
        <v>23720</v>
      </c>
      <c r="F17" s="7" t="n">
        <v>15680</v>
      </c>
      <c r="G17" s="7" t="n">
        <v>8040</v>
      </c>
      <c r="H17" s="7" t="s">
        <v>11</v>
      </c>
      <c r="I17" s="7" t="s">
        <v>12</v>
      </c>
      <c r="J17" s="0" t="s">
        <v>13</v>
      </c>
    </row>
    <row r="18" customFormat="false" ht="18" hidden="false" customHeight="false" outlineLevel="0" collapsed="false">
      <c r="A18" s="5" t="n">
        <v>45264</v>
      </c>
      <c r="B18" s="6" t="n">
        <v>0.254861111111111</v>
      </c>
      <c r="C18" s="7" t="n">
        <v>32652</v>
      </c>
      <c r="D18" s="7" t="s">
        <v>15</v>
      </c>
      <c r="E18" s="7" t="n">
        <v>4360</v>
      </c>
      <c r="F18" s="7" t="n">
        <v>3800</v>
      </c>
      <c r="G18" s="7" t="n">
        <v>560</v>
      </c>
      <c r="H18" s="7" t="s">
        <v>11</v>
      </c>
      <c r="I18" s="7" t="s">
        <v>12</v>
      </c>
      <c r="J18" s="0" t="s">
        <v>13</v>
      </c>
    </row>
    <row r="19" customFormat="false" ht="18" hidden="false" customHeight="false" outlineLevel="0" collapsed="false">
      <c r="A19" s="5" t="n">
        <v>45265</v>
      </c>
      <c r="B19" s="6" t="n">
        <v>0.231944444444444</v>
      </c>
      <c r="C19" s="7" t="n">
        <v>32698</v>
      </c>
      <c r="D19" s="7" t="s">
        <v>15</v>
      </c>
      <c r="E19" s="7" t="n">
        <v>4260</v>
      </c>
      <c r="F19" s="7" t="n">
        <v>3780</v>
      </c>
      <c r="G19" s="7" t="n">
        <v>480</v>
      </c>
      <c r="H19" s="7" t="s">
        <v>11</v>
      </c>
      <c r="I19" s="7" t="s">
        <v>12</v>
      </c>
      <c r="J19" s="0" t="s">
        <v>13</v>
      </c>
    </row>
    <row r="20" customFormat="false" ht="18" hidden="false" customHeight="false" outlineLevel="0" collapsed="false">
      <c r="A20" s="5" t="n">
        <v>45265</v>
      </c>
      <c r="B20" s="6" t="n">
        <v>0.199305555555556</v>
      </c>
      <c r="C20" s="7" t="n">
        <v>32695</v>
      </c>
      <c r="D20" s="7" t="s">
        <v>14</v>
      </c>
      <c r="E20" s="7" t="n">
        <v>18260</v>
      </c>
      <c r="F20" s="7" t="n">
        <v>13180</v>
      </c>
      <c r="G20" s="7" t="n">
        <v>5080</v>
      </c>
      <c r="H20" s="7" t="s">
        <v>11</v>
      </c>
      <c r="I20" s="7" t="s">
        <v>12</v>
      </c>
      <c r="J20" s="0" t="s">
        <v>13</v>
      </c>
    </row>
    <row r="21" customFormat="false" ht="18" hidden="false" customHeight="false" outlineLevel="0" collapsed="false">
      <c r="A21" s="5" t="n">
        <v>45265</v>
      </c>
      <c r="B21" s="6" t="n">
        <v>0.252083333333333</v>
      </c>
      <c r="C21" s="7" t="n">
        <v>32702</v>
      </c>
      <c r="D21" s="7" t="s">
        <v>10</v>
      </c>
      <c r="E21" s="7" t="n">
        <v>23520</v>
      </c>
      <c r="F21" s="7" t="n">
        <v>15740</v>
      </c>
      <c r="G21" s="7" t="n">
        <v>7780</v>
      </c>
      <c r="H21" s="7" t="s">
        <v>11</v>
      </c>
      <c r="I21" s="7" t="s">
        <v>12</v>
      </c>
      <c r="J21" s="0" t="s">
        <v>13</v>
      </c>
    </row>
    <row r="22" customFormat="false" ht="18" hidden="false" customHeight="false" outlineLevel="0" collapsed="false">
      <c r="A22" s="5" t="n">
        <v>45264</v>
      </c>
      <c r="B22" s="6" t="n">
        <v>0.5</v>
      </c>
      <c r="C22" s="7" t="n">
        <v>5097</v>
      </c>
      <c r="D22" s="7" t="s">
        <v>10</v>
      </c>
      <c r="E22" s="7" t="n">
        <v>17260</v>
      </c>
      <c r="F22" s="7" t="n">
        <v>15720</v>
      </c>
      <c r="G22" s="7" t="n">
        <v>1540</v>
      </c>
      <c r="H22" s="7" t="s">
        <v>11</v>
      </c>
      <c r="I22" s="7" t="s">
        <v>22</v>
      </c>
      <c r="J22" s="0" t="s">
        <v>23</v>
      </c>
    </row>
    <row r="23" customFormat="false" ht="18" hidden="false" customHeight="false" outlineLevel="0" collapsed="false">
      <c r="A23" s="5" t="n">
        <v>45265</v>
      </c>
      <c r="B23" s="6" t="n">
        <v>0.491666666666667</v>
      </c>
      <c r="C23" s="7" t="n">
        <v>166718</v>
      </c>
      <c r="D23" s="7" t="s">
        <v>10</v>
      </c>
      <c r="E23" s="7" t="n">
        <v>17760</v>
      </c>
      <c r="F23" s="7" t="n">
        <v>15700</v>
      </c>
      <c r="G23" s="7" t="n">
        <v>2060</v>
      </c>
      <c r="H23" s="7" t="s">
        <v>11</v>
      </c>
      <c r="I23" s="7" t="s">
        <v>24</v>
      </c>
      <c r="J23" s="0" t="s">
        <v>23</v>
      </c>
    </row>
    <row r="24" customFormat="false" ht="18" hidden="false" customHeight="false" outlineLevel="0" collapsed="false">
      <c r="A24" s="5" t="n">
        <v>45265</v>
      </c>
      <c r="B24" s="6" t="n">
        <v>0.342361111111111</v>
      </c>
      <c r="C24" s="7" t="n">
        <v>32708</v>
      </c>
      <c r="D24" s="7" t="s">
        <v>19</v>
      </c>
      <c r="E24" s="7" t="n">
        <v>3340</v>
      </c>
      <c r="F24" s="7" t="n">
        <v>2780</v>
      </c>
      <c r="G24" s="7" t="n">
        <v>560</v>
      </c>
      <c r="H24" s="7" t="s">
        <v>11</v>
      </c>
      <c r="I24" s="7" t="s">
        <v>18</v>
      </c>
      <c r="J24" s="0" t="s">
        <v>13</v>
      </c>
    </row>
    <row r="25" customFormat="false" ht="18" hidden="false" customHeight="false" outlineLevel="0" collapsed="false">
      <c r="A25" s="5" t="n">
        <v>45265</v>
      </c>
      <c r="B25" s="6" t="n">
        <v>0.526388888888889</v>
      </c>
      <c r="C25" s="7" t="n">
        <v>32728</v>
      </c>
      <c r="D25" s="7" t="s">
        <v>16</v>
      </c>
      <c r="E25" s="7" t="n">
        <v>2820</v>
      </c>
      <c r="F25" s="7" t="n">
        <v>2360</v>
      </c>
      <c r="G25" s="8" t="n">
        <v>460</v>
      </c>
      <c r="H25" s="7" t="s">
        <v>11</v>
      </c>
      <c r="I25" s="7" t="s">
        <v>12</v>
      </c>
      <c r="J25" s="0" t="s">
        <v>13</v>
      </c>
    </row>
    <row r="26" customFormat="false" ht="18" hidden="false" customHeight="false" outlineLevel="0" collapsed="false">
      <c r="A26" s="5" t="n">
        <v>45265</v>
      </c>
      <c r="B26" s="6" t="n">
        <v>0.464583333333333</v>
      </c>
      <c r="C26" s="7" t="n">
        <v>32721</v>
      </c>
      <c r="D26" s="7" t="s">
        <v>19</v>
      </c>
      <c r="E26" s="7" t="n">
        <v>3700</v>
      </c>
      <c r="F26" s="7" t="n">
        <v>2740</v>
      </c>
      <c r="G26" s="8" t="n">
        <v>960</v>
      </c>
      <c r="H26" s="7" t="s">
        <v>11</v>
      </c>
      <c r="I26" s="7" t="s">
        <v>18</v>
      </c>
      <c r="J26" s="0" t="s">
        <v>13</v>
      </c>
    </row>
    <row r="27" customFormat="false" ht="18" hidden="false" customHeight="false" outlineLevel="0" collapsed="false">
      <c r="A27" s="5" t="n">
        <v>45266</v>
      </c>
      <c r="B27" s="6" t="n">
        <v>0.110416666666667</v>
      </c>
      <c r="C27" s="7" t="n">
        <v>32739</v>
      </c>
      <c r="D27" s="7" t="s">
        <v>14</v>
      </c>
      <c r="E27" s="7" t="n">
        <v>18820</v>
      </c>
      <c r="F27" s="7" t="n">
        <v>13160</v>
      </c>
      <c r="G27" s="8" t="n">
        <v>5660</v>
      </c>
      <c r="H27" s="7" t="s">
        <v>11</v>
      </c>
      <c r="I27" s="7" t="s">
        <v>12</v>
      </c>
      <c r="J27" s="0" t="s">
        <v>13</v>
      </c>
    </row>
    <row r="28" customFormat="false" ht="18" hidden="false" customHeight="false" outlineLevel="0" collapsed="false">
      <c r="A28" s="5" t="n">
        <v>45266</v>
      </c>
      <c r="B28" s="6" t="n">
        <v>0.222916666666667</v>
      </c>
      <c r="C28" s="7" t="n">
        <v>32745</v>
      </c>
      <c r="D28" s="7" t="s">
        <v>10</v>
      </c>
      <c r="E28" s="7" t="n">
        <v>25260</v>
      </c>
      <c r="F28" s="7" t="n">
        <v>15740</v>
      </c>
      <c r="G28" s="8" t="n">
        <v>9520</v>
      </c>
      <c r="H28" s="7" t="s">
        <v>11</v>
      </c>
      <c r="I28" s="7" t="s">
        <v>12</v>
      </c>
      <c r="J28" s="0" t="s">
        <v>13</v>
      </c>
    </row>
    <row r="29" customFormat="false" ht="18" hidden="false" customHeight="false" outlineLevel="0" collapsed="false">
      <c r="A29" s="5" t="n">
        <v>45266</v>
      </c>
      <c r="B29" s="6" t="n">
        <v>0.167361111111111</v>
      </c>
      <c r="C29" s="7" t="n">
        <v>32743</v>
      </c>
      <c r="D29" s="7" t="s">
        <v>21</v>
      </c>
      <c r="E29" s="7" t="n">
        <v>3200</v>
      </c>
      <c r="F29" s="7" t="n">
        <v>2820</v>
      </c>
      <c r="G29" s="8" t="n">
        <v>380</v>
      </c>
      <c r="H29" s="7" t="s">
        <v>11</v>
      </c>
      <c r="I29" s="7" t="s">
        <v>12</v>
      </c>
      <c r="J29" s="0" t="s">
        <v>13</v>
      </c>
    </row>
    <row r="30" customFormat="false" ht="18" hidden="false" customHeight="false" outlineLevel="0" collapsed="false">
      <c r="A30" s="5" t="n">
        <v>45267</v>
      </c>
      <c r="B30" s="6" t="n">
        <v>0.481944444444444</v>
      </c>
      <c r="C30" s="7" t="n">
        <v>32810</v>
      </c>
      <c r="D30" s="7" t="s">
        <v>16</v>
      </c>
      <c r="E30" s="7" t="n">
        <v>2460</v>
      </c>
      <c r="F30" s="7" t="n">
        <v>2380</v>
      </c>
      <c r="G30" s="8" t="n">
        <v>80</v>
      </c>
      <c r="H30" s="7" t="s">
        <v>11</v>
      </c>
      <c r="I30" s="7" t="s">
        <v>12</v>
      </c>
      <c r="J30" s="0" t="s">
        <v>13</v>
      </c>
    </row>
    <row r="31" customFormat="false" ht="18" hidden="false" customHeight="false" outlineLevel="0" collapsed="false">
      <c r="A31" s="5" t="n">
        <v>45267</v>
      </c>
      <c r="B31" s="6" t="n">
        <v>0.225</v>
      </c>
      <c r="C31" s="7" t="n">
        <v>32788</v>
      </c>
      <c r="D31" s="7" t="s">
        <v>10</v>
      </c>
      <c r="E31" s="7" t="n">
        <v>24840</v>
      </c>
      <c r="F31" s="7" t="n">
        <v>15780</v>
      </c>
      <c r="G31" s="8" t="n">
        <v>9060</v>
      </c>
      <c r="H31" s="7" t="s">
        <v>11</v>
      </c>
      <c r="I31" s="7" t="s">
        <v>12</v>
      </c>
      <c r="J31" s="0" t="s">
        <v>13</v>
      </c>
    </row>
    <row r="32" customFormat="false" ht="18" hidden="false" customHeight="false" outlineLevel="0" collapsed="false">
      <c r="A32" s="5" t="n">
        <v>45267</v>
      </c>
      <c r="B32" s="6" t="n">
        <v>0.227083333333333</v>
      </c>
      <c r="C32" s="7" t="n">
        <v>32790</v>
      </c>
      <c r="D32" s="7" t="s">
        <v>15</v>
      </c>
      <c r="E32" s="7" t="n">
        <v>4920</v>
      </c>
      <c r="F32" s="7" t="n">
        <v>3780</v>
      </c>
      <c r="G32" s="8" t="n">
        <v>1140</v>
      </c>
      <c r="H32" s="7" t="s">
        <v>11</v>
      </c>
      <c r="I32" s="7" t="s">
        <v>12</v>
      </c>
      <c r="J32" s="0" t="s">
        <v>13</v>
      </c>
    </row>
    <row r="33" customFormat="false" ht="18" hidden="false" customHeight="false" outlineLevel="0" collapsed="false">
      <c r="A33" s="5" t="n">
        <v>45267</v>
      </c>
      <c r="B33" s="6" t="n">
        <v>0.431944444444444</v>
      </c>
      <c r="C33" s="7" t="n">
        <v>32803</v>
      </c>
      <c r="D33" s="7" t="s">
        <v>19</v>
      </c>
      <c r="E33" s="7" t="n">
        <v>3200</v>
      </c>
      <c r="F33" s="7" t="n">
        <v>2760</v>
      </c>
      <c r="G33" s="8" t="n">
        <v>440</v>
      </c>
      <c r="H33" s="7" t="s">
        <v>11</v>
      </c>
      <c r="I33" s="7" t="s">
        <v>12</v>
      </c>
      <c r="J33" s="0" t="s">
        <v>13</v>
      </c>
    </row>
    <row r="34" customFormat="false" ht="18" hidden="false" customHeight="false" outlineLevel="0" collapsed="false">
      <c r="A34" s="5" t="n">
        <v>45267</v>
      </c>
      <c r="B34" s="6" t="n">
        <v>0.188194444444444</v>
      </c>
      <c r="C34" s="7" t="n">
        <v>32785</v>
      </c>
      <c r="D34" s="7" t="s">
        <v>14</v>
      </c>
      <c r="E34" s="7" t="n">
        <v>17540</v>
      </c>
      <c r="F34" s="7" t="n">
        <v>13120</v>
      </c>
      <c r="G34" s="8" t="n">
        <v>4420</v>
      </c>
      <c r="H34" s="7" t="s">
        <v>11</v>
      </c>
      <c r="I34" s="7" t="s">
        <v>12</v>
      </c>
      <c r="J34" s="0" t="s">
        <v>13</v>
      </c>
    </row>
    <row r="35" customFormat="false" ht="18" hidden="false" customHeight="false" outlineLevel="0" collapsed="false">
      <c r="A35" s="5" t="n">
        <v>45267</v>
      </c>
      <c r="B35" s="6" t="n">
        <v>0.542361111111111</v>
      </c>
      <c r="C35" s="7" t="n">
        <v>32818</v>
      </c>
      <c r="D35" s="7" t="s">
        <v>21</v>
      </c>
      <c r="E35" s="7" t="n">
        <v>3100</v>
      </c>
      <c r="F35" s="7" t="n">
        <v>2940</v>
      </c>
      <c r="G35" s="8" t="n">
        <v>160</v>
      </c>
      <c r="H35" s="7" t="s">
        <v>11</v>
      </c>
      <c r="I35" s="7" t="s">
        <v>20</v>
      </c>
      <c r="J35" s="0" t="s">
        <v>13</v>
      </c>
    </row>
    <row r="36" customFormat="false" ht="18" hidden="false" customHeight="false" outlineLevel="0" collapsed="false">
      <c r="A36" s="5" t="n">
        <v>45268</v>
      </c>
      <c r="B36" s="6" t="n">
        <v>0.175</v>
      </c>
      <c r="C36" s="7" t="n">
        <v>32835</v>
      </c>
      <c r="D36" s="7" t="s">
        <v>10</v>
      </c>
      <c r="E36" s="7" t="n">
        <v>25980</v>
      </c>
      <c r="F36" s="7" t="n">
        <v>15780</v>
      </c>
      <c r="G36" s="8" t="n">
        <v>10200</v>
      </c>
      <c r="H36" s="7" t="s">
        <v>11</v>
      </c>
      <c r="I36" s="7" t="s">
        <v>12</v>
      </c>
      <c r="J36" s="0" t="s">
        <v>13</v>
      </c>
    </row>
    <row r="37" customFormat="false" ht="18" hidden="false" customHeight="false" outlineLevel="0" collapsed="false">
      <c r="A37" s="5" t="n">
        <v>45268</v>
      </c>
      <c r="B37" s="6" t="n">
        <v>0.4875</v>
      </c>
      <c r="C37" s="7" t="n">
        <v>32852</v>
      </c>
      <c r="D37" s="7" t="s">
        <v>16</v>
      </c>
      <c r="E37" s="7" t="n">
        <v>2740</v>
      </c>
      <c r="F37" s="7" t="n">
        <v>2380</v>
      </c>
      <c r="G37" s="8" t="n">
        <v>360</v>
      </c>
      <c r="H37" s="7" t="s">
        <v>11</v>
      </c>
      <c r="I37" s="7" t="s">
        <v>12</v>
      </c>
      <c r="J37" s="0" t="s">
        <v>13</v>
      </c>
    </row>
    <row r="38" customFormat="false" ht="18" hidden="false" customHeight="false" outlineLevel="0" collapsed="false">
      <c r="A38" s="5" t="n">
        <v>45268</v>
      </c>
      <c r="B38" s="6" t="n">
        <v>0.116666666666667</v>
      </c>
      <c r="C38" s="7" t="n">
        <v>32831</v>
      </c>
      <c r="D38" s="7" t="s">
        <v>14</v>
      </c>
      <c r="E38" s="7" t="n">
        <v>19540</v>
      </c>
      <c r="F38" s="7" t="n">
        <v>13240</v>
      </c>
      <c r="G38" s="8" t="n">
        <v>6300</v>
      </c>
      <c r="H38" s="7" t="s">
        <v>11</v>
      </c>
      <c r="I38" s="7" t="s">
        <v>12</v>
      </c>
      <c r="J38" s="0" t="s">
        <v>13</v>
      </c>
    </row>
    <row r="39" customFormat="false" ht="18" hidden="false" customHeight="false" outlineLevel="0" collapsed="false">
      <c r="A39" s="5" t="n">
        <v>45268</v>
      </c>
      <c r="B39" s="6" t="n">
        <v>0.176388888888889</v>
      </c>
      <c r="C39" s="7" t="n">
        <v>32836</v>
      </c>
      <c r="D39" s="7" t="s">
        <v>15</v>
      </c>
      <c r="E39" s="7" t="n">
        <v>4480</v>
      </c>
      <c r="F39" s="7" t="n">
        <v>3720</v>
      </c>
      <c r="G39" s="8" t="n">
        <v>760</v>
      </c>
      <c r="H39" s="7" t="s">
        <v>11</v>
      </c>
      <c r="I39" s="7" t="s">
        <v>12</v>
      </c>
      <c r="J39" s="0" t="s">
        <v>13</v>
      </c>
    </row>
    <row r="40" customFormat="false" ht="18" hidden="false" customHeight="false" outlineLevel="0" collapsed="false">
      <c r="A40" s="5" t="n">
        <v>45269</v>
      </c>
      <c r="B40" s="6" t="n">
        <v>0.254861111111111</v>
      </c>
      <c r="C40" s="7" t="n">
        <v>32874</v>
      </c>
      <c r="D40" s="7" t="s">
        <v>15</v>
      </c>
      <c r="E40" s="7" t="n">
        <v>4600</v>
      </c>
      <c r="F40" s="7" t="n">
        <v>3760</v>
      </c>
      <c r="G40" s="8" t="n">
        <v>840</v>
      </c>
      <c r="H40" s="7" t="s">
        <v>11</v>
      </c>
      <c r="I40" s="7" t="s">
        <v>12</v>
      </c>
      <c r="J40" s="0" t="s">
        <v>13</v>
      </c>
    </row>
    <row r="41" customFormat="false" ht="18" hidden="false" customHeight="false" outlineLevel="0" collapsed="false">
      <c r="A41" s="5" t="n">
        <v>45269</v>
      </c>
      <c r="B41" s="6" t="n">
        <v>0.216666666666667</v>
      </c>
      <c r="C41" s="7" t="n">
        <v>32870</v>
      </c>
      <c r="D41" s="7" t="s">
        <v>10</v>
      </c>
      <c r="E41" s="7" t="n">
        <v>26020</v>
      </c>
      <c r="F41" s="7" t="n">
        <v>15860</v>
      </c>
      <c r="G41" s="8" t="n">
        <v>10160</v>
      </c>
      <c r="H41" s="7" t="s">
        <v>11</v>
      </c>
      <c r="I41" s="7" t="s">
        <v>12</v>
      </c>
      <c r="J41" s="0" t="s">
        <v>13</v>
      </c>
    </row>
    <row r="42" customFormat="false" ht="18" hidden="false" customHeight="false" outlineLevel="0" collapsed="false">
      <c r="A42" s="5" t="n">
        <v>45269</v>
      </c>
      <c r="B42" s="6" t="n">
        <v>0.465972222222222</v>
      </c>
      <c r="C42" s="7" t="n">
        <v>32880</v>
      </c>
      <c r="D42" s="7" t="s">
        <v>16</v>
      </c>
      <c r="E42" s="7" t="n">
        <v>2540</v>
      </c>
      <c r="F42" s="7" t="n">
        <v>2360</v>
      </c>
      <c r="G42" s="8" t="n">
        <v>180</v>
      </c>
      <c r="H42" s="7" t="s">
        <v>11</v>
      </c>
      <c r="I42" s="7" t="s">
        <v>12</v>
      </c>
      <c r="J42" s="0" t="s">
        <v>13</v>
      </c>
    </row>
    <row r="43" customFormat="false" ht="18" hidden="false" customHeight="false" outlineLevel="0" collapsed="false">
      <c r="A43" s="5" t="n">
        <v>45269</v>
      </c>
      <c r="B43" s="6" t="n">
        <v>0.15625</v>
      </c>
      <c r="C43" s="7" t="n">
        <v>32865</v>
      </c>
      <c r="D43" s="7" t="s">
        <v>14</v>
      </c>
      <c r="E43" s="7" t="n">
        <v>19080</v>
      </c>
      <c r="F43" s="7" t="n">
        <v>13100</v>
      </c>
      <c r="G43" s="8" t="n">
        <v>5980</v>
      </c>
      <c r="H43" s="7" t="s">
        <v>11</v>
      </c>
      <c r="I43" s="7" t="s">
        <v>12</v>
      </c>
      <c r="J43" s="0" t="s">
        <v>13</v>
      </c>
    </row>
    <row r="44" customFormat="false" ht="18" hidden="false" customHeight="false" outlineLevel="0" collapsed="false">
      <c r="A44" s="5" t="n">
        <v>45269</v>
      </c>
      <c r="B44" s="6" t="n">
        <v>0.484027777777778</v>
      </c>
      <c r="C44" s="7" t="n">
        <v>32881</v>
      </c>
      <c r="D44" s="7" t="s">
        <v>17</v>
      </c>
      <c r="E44" s="7" t="n">
        <v>6540</v>
      </c>
      <c r="F44" s="7" t="n">
        <v>5480</v>
      </c>
      <c r="G44" s="8" t="n">
        <v>1060</v>
      </c>
      <c r="H44" s="7" t="s">
        <v>11</v>
      </c>
      <c r="I44" s="7" t="s">
        <v>18</v>
      </c>
      <c r="J44" s="0" t="s">
        <v>13</v>
      </c>
    </row>
    <row r="45" customFormat="false" ht="18" hidden="false" customHeight="false" outlineLevel="0" collapsed="false">
      <c r="A45" s="5" t="n">
        <v>45270</v>
      </c>
      <c r="B45" s="6" t="n">
        <v>0.471527777777778</v>
      </c>
      <c r="C45" s="7" t="n">
        <v>32902</v>
      </c>
      <c r="D45" s="7" t="s">
        <v>16</v>
      </c>
      <c r="E45" s="7" t="n">
        <v>2580</v>
      </c>
      <c r="F45" s="7" t="n">
        <v>2360</v>
      </c>
      <c r="G45" s="8" t="n">
        <v>220</v>
      </c>
      <c r="H45" s="7" t="s">
        <v>11</v>
      </c>
      <c r="I45" s="7" t="s">
        <v>12</v>
      </c>
      <c r="J45" s="0" t="s">
        <v>13</v>
      </c>
    </row>
    <row r="46" customFormat="false" ht="18" hidden="false" customHeight="false" outlineLevel="0" collapsed="false">
      <c r="A46" s="5" t="n">
        <v>45270</v>
      </c>
      <c r="B46" s="6" t="n">
        <v>0.135416666666667</v>
      </c>
      <c r="C46" s="7" t="n">
        <v>32891</v>
      </c>
      <c r="D46" s="7" t="s">
        <v>14</v>
      </c>
      <c r="E46" s="7" t="n">
        <v>20860</v>
      </c>
      <c r="F46" s="7" t="n">
        <v>13320</v>
      </c>
      <c r="G46" s="8" t="n">
        <v>7540</v>
      </c>
      <c r="H46" s="7" t="s">
        <v>11</v>
      </c>
      <c r="I46" s="7" t="s">
        <v>12</v>
      </c>
      <c r="J46" s="0" t="s">
        <v>13</v>
      </c>
    </row>
    <row r="47" customFormat="false" ht="18" hidden="false" customHeight="false" outlineLevel="0" collapsed="false">
      <c r="A47" s="5" t="n">
        <v>45270</v>
      </c>
      <c r="B47" s="6" t="n">
        <v>0.213888888888889</v>
      </c>
      <c r="C47" s="7" t="n">
        <v>32899</v>
      </c>
      <c r="D47" s="7" t="s">
        <v>15</v>
      </c>
      <c r="E47" s="7" t="n">
        <v>4760</v>
      </c>
      <c r="F47" s="7" t="n">
        <v>3760</v>
      </c>
      <c r="G47" s="8" t="n">
        <v>1000</v>
      </c>
      <c r="H47" s="7" t="s">
        <v>11</v>
      </c>
      <c r="I47" s="7" t="s">
        <v>12</v>
      </c>
      <c r="J47" s="0" t="s">
        <v>13</v>
      </c>
    </row>
    <row r="48" customFormat="false" ht="18" hidden="false" customHeight="false" outlineLevel="0" collapsed="false">
      <c r="A48" s="5" t="n">
        <v>45270</v>
      </c>
      <c r="B48" s="6" t="n">
        <v>0.197916666666667</v>
      </c>
      <c r="C48" s="7" t="n">
        <v>32894</v>
      </c>
      <c r="D48" s="7" t="s">
        <v>10</v>
      </c>
      <c r="E48" s="7" t="n">
        <v>17840</v>
      </c>
      <c r="F48" s="7" t="n">
        <v>15680</v>
      </c>
      <c r="G48" s="8" t="n">
        <v>2160</v>
      </c>
      <c r="H48" s="7" t="s">
        <v>11</v>
      </c>
      <c r="I48" s="7" t="s">
        <v>12</v>
      </c>
      <c r="J48" s="0" t="s">
        <v>13</v>
      </c>
    </row>
    <row r="49" customFormat="false" ht="18" hidden="false" customHeight="false" outlineLevel="0" collapsed="false">
      <c r="A49" s="5" t="n">
        <v>45270</v>
      </c>
      <c r="B49" s="6" t="n">
        <v>0.140277777777778</v>
      </c>
      <c r="C49" s="7" t="n">
        <v>32892</v>
      </c>
      <c r="D49" s="7" t="s">
        <v>10</v>
      </c>
      <c r="E49" s="7" t="n">
        <v>25360</v>
      </c>
      <c r="F49" s="7" t="n">
        <v>15700</v>
      </c>
      <c r="G49" s="8" t="n">
        <v>9660</v>
      </c>
      <c r="H49" s="7" t="s">
        <v>11</v>
      </c>
      <c r="I49" s="7" t="s">
        <v>12</v>
      </c>
      <c r="J49" s="0" t="s">
        <v>13</v>
      </c>
    </row>
    <row r="50" customFormat="false" ht="18" hidden="false" customHeight="false" outlineLevel="0" collapsed="false">
      <c r="A50" s="5" t="n">
        <v>45271</v>
      </c>
      <c r="B50" s="6" t="n">
        <v>0.257638888888889</v>
      </c>
      <c r="C50" s="7" t="n">
        <v>32922</v>
      </c>
      <c r="D50" s="7" t="s">
        <v>15</v>
      </c>
      <c r="E50" s="7" t="n">
        <v>4480</v>
      </c>
      <c r="F50" s="7" t="n">
        <v>3760</v>
      </c>
      <c r="G50" s="8" t="n">
        <v>720</v>
      </c>
      <c r="H50" s="7" t="s">
        <v>11</v>
      </c>
      <c r="I50" s="7" t="s">
        <v>12</v>
      </c>
      <c r="J50" s="0" t="s">
        <v>13</v>
      </c>
    </row>
    <row r="51" customFormat="false" ht="18" hidden="false" customHeight="false" outlineLevel="0" collapsed="false">
      <c r="A51" s="5" t="n">
        <v>45271</v>
      </c>
      <c r="B51" s="6" t="n">
        <v>0.23125</v>
      </c>
      <c r="C51" s="7" t="n">
        <v>32921</v>
      </c>
      <c r="D51" s="7" t="s">
        <v>10</v>
      </c>
      <c r="E51" s="7" t="n">
        <v>24980</v>
      </c>
      <c r="F51" s="7" t="n">
        <v>15760</v>
      </c>
      <c r="G51" s="8" t="n">
        <v>9220</v>
      </c>
      <c r="H51" s="7" t="s">
        <v>11</v>
      </c>
      <c r="I51" s="7" t="s">
        <v>12</v>
      </c>
      <c r="J51" s="0" t="s">
        <v>13</v>
      </c>
    </row>
    <row r="52" customFormat="false" ht="18" hidden="false" customHeight="false" outlineLevel="0" collapsed="false">
      <c r="A52" s="5" t="n">
        <v>45271</v>
      </c>
      <c r="B52" s="6" t="n">
        <v>0.144444444444444</v>
      </c>
      <c r="C52" s="7" t="n">
        <v>32911</v>
      </c>
      <c r="D52" s="7" t="s">
        <v>14</v>
      </c>
      <c r="E52" s="7" t="n">
        <v>18440</v>
      </c>
      <c r="F52" s="7" t="n">
        <v>13060</v>
      </c>
      <c r="G52" s="8" t="n">
        <v>5380</v>
      </c>
      <c r="H52" s="7" t="s">
        <v>11</v>
      </c>
      <c r="I52" s="7" t="s">
        <v>12</v>
      </c>
      <c r="J52" s="0" t="s">
        <v>13</v>
      </c>
    </row>
    <row r="53" customFormat="false" ht="18" hidden="false" customHeight="false" outlineLevel="0" collapsed="false">
      <c r="A53" s="5" t="n">
        <v>45272</v>
      </c>
      <c r="B53" s="6" t="n">
        <v>0.508333333333333</v>
      </c>
      <c r="C53" s="7" t="n">
        <v>32943</v>
      </c>
      <c r="D53" s="7" t="s">
        <v>17</v>
      </c>
      <c r="E53" s="7" t="n">
        <v>6540</v>
      </c>
      <c r="F53" s="7" t="n">
        <v>5480</v>
      </c>
      <c r="G53" s="8" t="n">
        <v>1060</v>
      </c>
      <c r="H53" s="7" t="s">
        <v>11</v>
      </c>
      <c r="I53" s="7" t="s">
        <v>18</v>
      </c>
      <c r="J53" s="0" t="s">
        <v>13</v>
      </c>
    </row>
    <row r="54" customFormat="false" ht="18" hidden="false" customHeight="false" outlineLevel="0" collapsed="false">
      <c r="A54" s="5" t="n">
        <v>45271</v>
      </c>
      <c r="B54" s="6" t="n">
        <v>0.514583333333333</v>
      </c>
      <c r="C54" s="7" t="n">
        <v>32944</v>
      </c>
      <c r="D54" s="7" t="s">
        <v>19</v>
      </c>
      <c r="E54" s="7" t="n">
        <v>3380</v>
      </c>
      <c r="F54" s="7" t="n">
        <v>2840</v>
      </c>
      <c r="G54" s="8" t="n">
        <v>540</v>
      </c>
      <c r="H54" s="7" t="s">
        <v>11</v>
      </c>
      <c r="I54" s="7" t="s">
        <v>12</v>
      </c>
      <c r="J54" s="0" t="s">
        <v>13</v>
      </c>
    </row>
    <row r="55" customFormat="false" ht="18" hidden="false" customHeight="false" outlineLevel="0" collapsed="false">
      <c r="A55" s="5" t="n">
        <v>45271</v>
      </c>
      <c r="B55" s="6" t="n">
        <v>0.48125</v>
      </c>
      <c r="C55" s="7" t="n">
        <v>32940</v>
      </c>
      <c r="D55" s="7" t="s">
        <v>16</v>
      </c>
      <c r="E55" s="7" t="n">
        <v>2540</v>
      </c>
      <c r="F55" s="7" t="n">
        <v>2400</v>
      </c>
      <c r="G55" s="8" t="n">
        <v>140</v>
      </c>
      <c r="H55" s="7" t="s">
        <v>11</v>
      </c>
      <c r="I55" s="7" t="s">
        <v>12</v>
      </c>
      <c r="J55" s="0" t="s">
        <v>13</v>
      </c>
    </row>
    <row r="56" customFormat="false" ht="18" hidden="false" customHeight="false" outlineLevel="0" collapsed="false">
      <c r="A56" s="5" t="n">
        <v>45271</v>
      </c>
      <c r="B56" s="6" t="n">
        <v>0.514583333333333</v>
      </c>
      <c r="C56" s="7" t="n">
        <v>5126</v>
      </c>
      <c r="D56" s="7" t="s">
        <v>10</v>
      </c>
      <c r="E56" s="7" t="n">
        <v>17640</v>
      </c>
      <c r="F56" s="7" t="n">
        <v>15700</v>
      </c>
      <c r="G56" s="8" t="n">
        <v>1940</v>
      </c>
      <c r="H56" s="7" t="s">
        <v>11</v>
      </c>
      <c r="I56" s="7" t="s">
        <v>22</v>
      </c>
      <c r="J56" s="0" t="s">
        <v>23</v>
      </c>
    </row>
    <row r="57" customFormat="false" ht="18" hidden="false" customHeight="false" outlineLevel="0" collapsed="false">
      <c r="A57" s="5" t="n">
        <v>45272</v>
      </c>
      <c r="B57" s="6" t="n">
        <v>0.139583333333333</v>
      </c>
      <c r="C57" s="7" t="n">
        <v>32962</v>
      </c>
      <c r="D57" s="7" t="s">
        <v>14</v>
      </c>
      <c r="E57" s="7" t="n">
        <v>17940</v>
      </c>
      <c r="F57" s="7" t="n">
        <v>13040</v>
      </c>
      <c r="G57" s="8" t="n">
        <v>4900</v>
      </c>
      <c r="H57" s="7" t="s">
        <v>11</v>
      </c>
      <c r="I57" s="7" t="s">
        <v>12</v>
      </c>
      <c r="J57" s="0" t="s">
        <v>13</v>
      </c>
    </row>
    <row r="58" customFormat="false" ht="18" hidden="false" customHeight="false" outlineLevel="0" collapsed="false">
      <c r="A58" s="5" t="n">
        <v>45272</v>
      </c>
      <c r="B58" s="6" t="n">
        <v>0.240972222222222</v>
      </c>
      <c r="C58" s="7" t="n">
        <v>32968</v>
      </c>
      <c r="D58" s="7" t="s">
        <v>10</v>
      </c>
      <c r="E58" s="7" t="n">
        <v>24360</v>
      </c>
      <c r="F58" s="7" t="n">
        <v>15760</v>
      </c>
      <c r="G58" s="8" t="n">
        <v>8600</v>
      </c>
      <c r="H58" s="7" t="s">
        <v>11</v>
      </c>
      <c r="I58" s="7" t="s">
        <v>12</v>
      </c>
      <c r="J58" s="0" t="s">
        <v>13</v>
      </c>
    </row>
    <row r="59" customFormat="false" ht="18" hidden="false" customHeight="false" outlineLevel="0" collapsed="false">
      <c r="A59" s="5" t="n">
        <v>45272</v>
      </c>
      <c r="B59" s="6" t="n">
        <v>0.252083333333333</v>
      </c>
      <c r="C59" s="7" t="n">
        <v>32969</v>
      </c>
      <c r="D59" s="7" t="s">
        <v>15</v>
      </c>
      <c r="E59" s="7" t="n">
        <v>4280</v>
      </c>
      <c r="F59" s="7" t="n">
        <v>3760</v>
      </c>
      <c r="G59" s="8" t="n">
        <v>520</v>
      </c>
      <c r="H59" s="7" t="s">
        <v>11</v>
      </c>
      <c r="I59" s="7" t="s">
        <v>12</v>
      </c>
      <c r="J59" s="0" t="s">
        <v>13</v>
      </c>
    </row>
    <row r="60" customFormat="false" ht="18" hidden="false" customHeight="false" outlineLevel="0" collapsed="false">
      <c r="A60" s="5" t="n">
        <v>45272</v>
      </c>
      <c r="B60" s="6" t="n">
        <v>0.543055555555556</v>
      </c>
      <c r="C60" s="7" t="n">
        <v>32999</v>
      </c>
      <c r="D60" s="7" t="s">
        <v>19</v>
      </c>
      <c r="E60" s="7" t="n">
        <v>3440</v>
      </c>
      <c r="F60" s="7" t="n">
        <v>2880</v>
      </c>
      <c r="G60" s="8" t="n">
        <v>560</v>
      </c>
      <c r="H60" s="7" t="s">
        <v>11</v>
      </c>
      <c r="I60" s="7" t="s">
        <v>20</v>
      </c>
      <c r="J60" s="0" t="s">
        <v>13</v>
      </c>
    </row>
    <row r="61" customFormat="false" ht="18" hidden="false" customHeight="false" outlineLevel="0" collapsed="false">
      <c r="A61" s="5" t="n">
        <v>45272</v>
      </c>
      <c r="B61" s="6" t="n">
        <v>0.484722222222222</v>
      </c>
      <c r="C61" s="7" t="n">
        <v>32991</v>
      </c>
      <c r="D61" s="7" t="s">
        <v>16</v>
      </c>
      <c r="E61" s="7" t="n">
        <v>2660</v>
      </c>
      <c r="F61" s="7" t="n">
        <v>2400</v>
      </c>
      <c r="G61" s="8" t="n">
        <v>260</v>
      </c>
      <c r="H61" s="7" t="s">
        <v>11</v>
      </c>
      <c r="I61" s="7" t="s">
        <v>12</v>
      </c>
      <c r="J61" s="0" t="s">
        <v>13</v>
      </c>
    </row>
    <row r="62" customFormat="false" ht="18" hidden="false" customHeight="false" outlineLevel="0" collapsed="false">
      <c r="A62" s="5" t="n">
        <v>45273</v>
      </c>
      <c r="B62" s="6" t="n">
        <v>0.131944444444444</v>
      </c>
      <c r="C62" s="7" t="n">
        <v>33011</v>
      </c>
      <c r="D62" s="7" t="s">
        <v>14</v>
      </c>
      <c r="E62" s="7" t="n">
        <v>17780</v>
      </c>
      <c r="F62" s="7" t="n">
        <v>13420</v>
      </c>
      <c r="G62" s="8" t="n">
        <v>4360</v>
      </c>
      <c r="H62" s="7" t="s">
        <v>11</v>
      </c>
      <c r="I62" s="7" t="s">
        <v>12</v>
      </c>
      <c r="J62" s="0" t="s">
        <v>13</v>
      </c>
    </row>
    <row r="63" customFormat="false" ht="18" hidden="false" customHeight="false" outlineLevel="0" collapsed="false">
      <c r="A63" s="5" t="n">
        <v>45273</v>
      </c>
      <c r="B63" s="6" t="n">
        <v>0.233333333333333</v>
      </c>
      <c r="C63" s="7" t="n">
        <v>33016</v>
      </c>
      <c r="D63" s="7" t="s">
        <v>25</v>
      </c>
      <c r="E63" s="7" t="n">
        <v>23640</v>
      </c>
      <c r="F63" s="7" t="n">
        <v>15940</v>
      </c>
      <c r="G63" s="8" t="n">
        <v>7700</v>
      </c>
      <c r="H63" s="7" t="s">
        <v>11</v>
      </c>
      <c r="I63" s="7" t="s">
        <v>12</v>
      </c>
      <c r="J63" s="0" t="s">
        <v>13</v>
      </c>
    </row>
    <row r="64" customFormat="false" ht="18" hidden="false" customHeight="false" outlineLevel="0" collapsed="false">
      <c r="A64" s="5" t="n">
        <v>45273</v>
      </c>
      <c r="B64" s="6" t="n">
        <v>0.254861111111111</v>
      </c>
      <c r="C64" s="7" t="n">
        <v>33017</v>
      </c>
      <c r="D64" s="7" t="s">
        <v>15</v>
      </c>
      <c r="E64" s="7" t="n">
        <v>4100</v>
      </c>
      <c r="F64" s="7" t="n">
        <v>3820</v>
      </c>
      <c r="G64" s="8" t="n">
        <v>280</v>
      </c>
      <c r="H64" s="7" t="s">
        <v>11</v>
      </c>
      <c r="I64" s="7" t="s">
        <v>12</v>
      </c>
      <c r="J64" s="0" t="s">
        <v>13</v>
      </c>
    </row>
    <row r="65" customFormat="false" ht="18" hidden="false" customHeight="false" outlineLevel="0" collapsed="false">
      <c r="A65" s="5" t="n">
        <v>45273</v>
      </c>
      <c r="B65" s="6" t="n">
        <v>0.478472222222222</v>
      </c>
      <c r="C65" s="7" t="n">
        <v>33038</v>
      </c>
      <c r="D65" s="7" t="s">
        <v>16</v>
      </c>
      <c r="E65" s="7" t="n">
        <v>2580</v>
      </c>
      <c r="F65" s="7" t="n">
        <v>2380</v>
      </c>
      <c r="G65" s="8" t="n">
        <v>200</v>
      </c>
      <c r="H65" s="7" t="s">
        <v>11</v>
      </c>
      <c r="I65" s="7" t="s">
        <v>12</v>
      </c>
      <c r="J65" s="0" t="s">
        <v>13</v>
      </c>
    </row>
    <row r="66" customFormat="false" ht="18" hidden="false" customHeight="false" outlineLevel="0" collapsed="false">
      <c r="A66" s="5" t="n">
        <v>45273</v>
      </c>
      <c r="B66" s="6" t="n">
        <v>0.479166666666667</v>
      </c>
      <c r="C66" s="7" t="n">
        <v>33040</v>
      </c>
      <c r="D66" s="7" t="s">
        <v>26</v>
      </c>
      <c r="E66" s="7" t="n">
        <v>17620</v>
      </c>
      <c r="F66" s="7" t="n">
        <v>16060</v>
      </c>
      <c r="G66" s="8" t="n">
        <v>1560</v>
      </c>
      <c r="H66" s="7" t="s">
        <v>11</v>
      </c>
      <c r="I66" s="7" t="s">
        <v>18</v>
      </c>
      <c r="J66" s="0" t="s">
        <v>13</v>
      </c>
    </row>
    <row r="67" customFormat="false" ht="18" hidden="false" customHeight="false" outlineLevel="0" collapsed="false">
      <c r="A67" s="5" t="n">
        <v>45273</v>
      </c>
      <c r="B67" s="6" t="n">
        <v>0.379861111111111</v>
      </c>
      <c r="C67" s="7" t="n">
        <v>33029</v>
      </c>
      <c r="D67" s="7" t="s">
        <v>17</v>
      </c>
      <c r="E67" s="7" t="n">
        <v>6720</v>
      </c>
      <c r="F67" s="7" t="n">
        <v>5740</v>
      </c>
      <c r="G67" s="8" t="n">
        <v>980</v>
      </c>
      <c r="H67" s="7" t="s">
        <v>11</v>
      </c>
      <c r="I67" s="7" t="s">
        <v>18</v>
      </c>
      <c r="J67" s="0" t="s">
        <v>13</v>
      </c>
    </row>
    <row r="68" customFormat="false" ht="18" hidden="false" customHeight="false" outlineLevel="0" collapsed="false">
      <c r="A68" s="5" t="n">
        <v>45273</v>
      </c>
      <c r="B68" s="6" t="n">
        <v>0.420138888888889</v>
      </c>
      <c r="C68" s="7" t="n">
        <v>166986</v>
      </c>
      <c r="D68" s="7" t="s">
        <v>25</v>
      </c>
      <c r="E68" s="7" t="n">
        <v>17020</v>
      </c>
      <c r="F68" s="7" t="n">
        <v>15880</v>
      </c>
      <c r="G68" s="8" t="n">
        <v>1140</v>
      </c>
      <c r="H68" s="7" t="s">
        <v>11</v>
      </c>
      <c r="I68" s="7" t="s">
        <v>24</v>
      </c>
      <c r="J68" s="0" t="s">
        <v>23</v>
      </c>
    </row>
    <row r="69" customFormat="false" ht="18" hidden="false" customHeight="false" outlineLevel="0" collapsed="false">
      <c r="A69" s="5" t="n">
        <v>45274</v>
      </c>
      <c r="B69" s="6" t="n">
        <v>0.127083333333333</v>
      </c>
      <c r="C69" s="7" t="n">
        <v>33065</v>
      </c>
      <c r="D69" s="7" t="s">
        <v>14</v>
      </c>
      <c r="E69" s="7" t="n">
        <v>18180</v>
      </c>
      <c r="F69" s="7" t="n">
        <v>13400</v>
      </c>
      <c r="G69" s="8" t="n">
        <v>4780</v>
      </c>
      <c r="H69" s="7" t="s">
        <v>11</v>
      </c>
      <c r="I69" s="7" t="s">
        <v>12</v>
      </c>
      <c r="J69" s="0" t="s">
        <v>13</v>
      </c>
    </row>
    <row r="70" customFormat="false" ht="18" hidden="false" customHeight="false" outlineLevel="0" collapsed="false">
      <c r="A70" s="5" t="n">
        <v>45274</v>
      </c>
      <c r="B70" s="6" t="n">
        <v>0.253472222222222</v>
      </c>
      <c r="C70" s="7" t="n">
        <v>33074</v>
      </c>
      <c r="D70" s="7" t="s">
        <v>15</v>
      </c>
      <c r="E70" s="7" t="n">
        <v>4120</v>
      </c>
      <c r="F70" s="7" t="n">
        <v>3820</v>
      </c>
      <c r="G70" s="8" t="n">
        <v>300</v>
      </c>
      <c r="H70" s="7" t="s">
        <v>11</v>
      </c>
      <c r="I70" s="7" t="s">
        <v>12</v>
      </c>
      <c r="J70" s="0" t="s">
        <v>13</v>
      </c>
    </row>
    <row r="71" customFormat="false" ht="18" hidden="false" customHeight="false" outlineLevel="0" collapsed="false">
      <c r="A71" s="5" t="n">
        <v>45274</v>
      </c>
      <c r="B71" s="6" t="n">
        <v>0.240277777777778</v>
      </c>
      <c r="C71" s="7" t="n">
        <v>33073</v>
      </c>
      <c r="D71" s="7" t="s">
        <v>25</v>
      </c>
      <c r="E71" s="7" t="n">
        <v>24100</v>
      </c>
      <c r="F71" s="7" t="n">
        <v>16000</v>
      </c>
      <c r="G71" s="8" t="n">
        <v>8100</v>
      </c>
      <c r="H71" s="7" t="s">
        <v>11</v>
      </c>
      <c r="I71" s="7" t="s">
        <v>12</v>
      </c>
      <c r="J71" s="0" t="s">
        <v>13</v>
      </c>
    </row>
    <row r="72" customFormat="false" ht="18" hidden="false" customHeight="false" outlineLevel="0" collapsed="false">
      <c r="A72" s="5" t="n">
        <v>45274</v>
      </c>
      <c r="B72" s="6" t="n">
        <v>0.540972222222222</v>
      </c>
      <c r="C72" s="7" t="n">
        <v>33099</v>
      </c>
      <c r="D72" s="7" t="s">
        <v>21</v>
      </c>
      <c r="E72" s="7" t="n">
        <v>2840</v>
      </c>
      <c r="F72" s="7" t="n">
        <v>2680</v>
      </c>
      <c r="G72" s="8" t="n">
        <v>160</v>
      </c>
      <c r="H72" s="7" t="s">
        <v>11</v>
      </c>
      <c r="I72" s="7" t="s">
        <v>20</v>
      </c>
      <c r="J72" s="0" t="s">
        <v>13</v>
      </c>
    </row>
    <row r="73" customFormat="false" ht="18" hidden="false" customHeight="false" outlineLevel="0" collapsed="false">
      <c r="A73" s="5" t="n">
        <v>45274</v>
      </c>
      <c r="B73" s="6" t="n">
        <v>0.518055555555556</v>
      </c>
      <c r="C73" s="7" t="n">
        <v>33097</v>
      </c>
      <c r="D73" s="7" t="s">
        <v>17</v>
      </c>
      <c r="E73" s="7" t="n">
        <v>6420</v>
      </c>
      <c r="F73" s="7" t="n">
        <v>5580</v>
      </c>
      <c r="G73" s="8" t="n">
        <v>840</v>
      </c>
      <c r="H73" s="7" t="s">
        <v>11</v>
      </c>
      <c r="I73" s="7" t="s">
        <v>18</v>
      </c>
      <c r="J73" s="0" t="s">
        <v>13</v>
      </c>
    </row>
    <row r="74" customFormat="false" ht="18" hidden="false" customHeight="false" outlineLevel="0" collapsed="false">
      <c r="A74" s="5" t="n">
        <v>45274</v>
      </c>
      <c r="B74" s="6" t="n">
        <v>0.482638888888889</v>
      </c>
      <c r="C74" s="7" t="n">
        <v>33093</v>
      </c>
      <c r="D74" s="7" t="s">
        <v>16</v>
      </c>
      <c r="E74" s="7" t="n">
        <v>2560</v>
      </c>
      <c r="F74" s="7" t="n">
        <v>2360</v>
      </c>
      <c r="G74" s="8" t="n">
        <v>200</v>
      </c>
      <c r="H74" s="7" t="s">
        <v>11</v>
      </c>
      <c r="I74" s="7" t="s">
        <v>12</v>
      </c>
      <c r="J74" s="0" t="s">
        <v>13</v>
      </c>
    </row>
    <row r="75" customFormat="false" ht="18" hidden="false" customHeight="false" outlineLevel="0" collapsed="false">
      <c r="A75" s="5" t="n">
        <v>45275</v>
      </c>
      <c r="B75" s="6" t="n">
        <v>0.249305555555556</v>
      </c>
      <c r="C75" s="7" t="n">
        <v>33116</v>
      </c>
      <c r="D75" s="7" t="s">
        <v>15</v>
      </c>
      <c r="E75" s="7" t="n">
        <v>4040</v>
      </c>
      <c r="F75" s="7" t="n">
        <v>3780</v>
      </c>
      <c r="G75" s="8" t="n">
        <v>260</v>
      </c>
      <c r="H75" s="7" t="s">
        <v>11</v>
      </c>
      <c r="I75" s="7" t="s">
        <v>12</v>
      </c>
      <c r="J75" s="0" t="s">
        <v>13</v>
      </c>
    </row>
    <row r="76" customFormat="false" ht="18" hidden="false" customHeight="false" outlineLevel="0" collapsed="false">
      <c r="A76" s="5" t="n">
        <v>45275</v>
      </c>
      <c r="B76" s="6" t="n">
        <v>0.25</v>
      </c>
      <c r="C76" s="7" t="n">
        <v>33115</v>
      </c>
      <c r="D76" s="7" t="s">
        <v>14</v>
      </c>
      <c r="E76" s="7" t="n">
        <v>17240</v>
      </c>
      <c r="F76" s="7" t="n">
        <v>13140</v>
      </c>
      <c r="G76" s="8" t="n">
        <v>4100</v>
      </c>
      <c r="H76" s="7" t="s">
        <v>11</v>
      </c>
      <c r="I76" s="7" t="s">
        <v>12</v>
      </c>
      <c r="J76" s="0" t="s">
        <v>13</v>
      </c>
    </row>
    <row r="77" customFormat="false" ht="18" hidden="false" customHeight="false" outlineLevel="0" collapsed="false">
      <c r="A77" s="5" t="n">
        <v>45275</v>
      </c>
      <c r="B77" s="6" t="n">
        <v>0.520833333333333</v>
      </c>
      <c r="C77" s="7" t="n">
        <v>33147</v>
      </c>
      <c r="D77" s="7" t="s">
        <v>10</v>
      </c>
      <c r="E77" s="7" t="n">
        <v>21700</v>
      </c>
      <c r="F77" s="7" t="n">
        <v>15660</v>
      </c>
      <c r="G77" s="8" t="n">
        <v>6040</v>
      </c>
      <c r="H77" s="7" t="s">
        <v>11</v>
      </c>
      <c r="I77" s="7" t="s">
        <v>12</v>
      </c>
      <c r="J77" s="0" t="s">
        <v>13</v>
      </c>
    </row>
    <row r="78" customFormat="false" ht="18" hidden="false" customHeight="false" outlineLevel="0" collapsed="false">
      <c r="A78" s="5" t="n">
        <v>45275</v>
      </c>
      <c r="B78" s="6" t="n">
        <v>0.346527777777778</v>
      </c>
      <c r="C78" s="7" t="n">
        <v>33128</v>
      </c>
      <c r="D78" s="7" t="s">
        <v>25</v>
      </c>
      <c r="E78" s="7" t="n">
        <v>19320</v>
      </c>
      <c r="F78" s="7" t="n">
        <v>16040</v>
      </c>
      <c r="G78" s="8" t="n">
        <v>3280</v>
      </c>
      <c r="H78" s="7" t="s">
        <v>11</v>
      </c>
      <c r="I78" s="7" t="s">
        <v>12</v>
      </c>
      <c r="J78" s="0" t="s">
        <v>13</v>
      </c>
    </row>
    <row r="79" customFormat="false" ht="18" hidden="false" customHeight="false" outlineLevel="0" collapsed="false">
      <c r="A79" s="5" t="n">
        <v>45275</v>
      </c>
      <c r="B79" s="6" t="n">
        <v>0.490277777777778</v>
      </c>
      <c r="C79" s="7" t="n">
        <v>33142</v>
      </c>
      <c r="D79" s="7" t="s">
        <v>16</v>
      </c>
      <c r="E79" s="7" t="n">
        <v>2680</v>
      </c>
      <c r="F79" s="7" t="n">
        <v>2360</v>
      </c>
      <c r="G79" s="8" t="n">
        <v>320</v>
      </c>
      <c r="H79" s="7" t="s">
        <v>11</v>
      </c>
      <c r="I79" s="7" t="s">
        <v>12</v>
      </c>
      <c r="J79" s="0" t="s">
        <v>13</v>
      </c>
    </row>
    <row r="80" customFormat="false" ht="18" hidden="false" customHeight="false" outlineLevel="0" collapsed="false">
      <c r="A80" s="5" t="n">
        <v>45276</v>
      </c>
      <c r="B80" s="6" t="n">
        <v>0.238888888888889</v>
      </c>
      <c r="C80" s="7" t="n">
        <v>33171</v>
      </c>
      <c r="D80" s="7" t="s">
        <v>10</v>
      </c>
      <c r="E80" s="7" t="n">
        <v>23120</v>
      </c>
      <c r="F80" s="7" t="n">
        <v>15780</v>
      </c>
      <c r="G80" s="8" t="n">
        <v>7340</v>
      </c>
      <c r="H80" s="7" t="s">
        <v>11</v>
      </c>
      <c r="I80" s="7" t="s">
        <v>12</v>
      </c>
      <c r="J80" s="0" t="s">
        <v>13</v>
      </c>
    </row>
    <row r="81" customFormat="false" ht="18" hidden="false" customHeight="false" outlineLevel="0" collapsed="false">
      <c r="A81" s="5" t="n">
        <v>45276</v>
      </c>
      <c r="B81" s="6" t="n">
        <v>0.133333333333333</v>
      </c>
      <c r="C81" s="7" t="n">
        <v>33161</v>
      </c>
      <c r="D81" s="7" t="s">
        <v>14</v>
      </c>
      <c r="E81" s="7" t="n">
        <v>18900</v>
      </c>
      <c r="F81" s="7" t="n">
        <v>13440</v>
      </c>
      <c r="G81" s="8" t="n">
        <v>5460</v>
      </c>
      <c r="H81" s="7" t="s">
        <v>11</v>
      </c>
      <c r="I81" s="7" t="s">
        <v>12</v>
      </c>
      <c r="J81" s="0" t="s">
        <v>13</v>
      </c>
    </row>
    <row r="82" customFormat="false" ht="18" hidden="false" customHeight="false" outlineLevel="0" collapsed="false">
      <c r="A82" s="5" t="n">
        <v>45276</v>
      </c>
      <c r="B82" s="6" t="n">
        <v>0.2375</v>
      </c>
      <c r="C82" s="7" t="n">
        <v>33169</v>
      </c>
      <c r="D82" s="7" t="s">
        <v>15</v>
      </c>
      <c r="E82" s="7" t="n">
        <v>4280</v>
      </c>
      <c r="F82" s="7" t="n">
        <v>3800</v>
      </c>
      <c r="G82" s="8" t="n">
        <v>480</v>
      </c>
      <c r="H82" s="7" t="s">
        <v>11</v>
      </c>
      <c r="I82" s="7" t="s">
        <v>12</v>
      </c>
      <c r="J82" s="0" t="s">
        <v>13</v>
      </c>
    </row>
    <row r="83" customFormat="false" ht="18" hidden="false" customHeight="false" outlineLevel="0" collapsed="false">
      <c r="A83" s="5" t="n">
        <v>45277</v>
      </c>
      <c r="B83" s="6" t="n">
        <v>0.102083333333333</v>
      </c>
      <c r="C83" s="7" t="n">
        <v>33181</v>
      </c>
      <c r="D83" s="7" t="s">
        <v>14</v>
      </c>
      <c r="E83" s="7" t="n">
        <v>18640</v>
      </c>
      <c r="F83" s="7" t="n">
        <v>13380</v>
      </c>
      <c r="G83" s="8" t="n">
        <v>5260</v>
      </c>
      <c r="H83" s="7" t="s">
        <v>11</v>
      </c>
      <c r="I83" s="7" t="s">
        <v>12</v>
      </c>
      <c r="J83" s="0" t="s">
        <v>13</v>
      </c>
    </row>
    <row r="84" customFormat="false" ht="18" hidden="false" customHeight="false" outlineLevel="0" collapsed="false">
      <c r="A84" s="5" t="n">
        <v>45277</v>
      </c>
      <c r="B84" s="6" t="n">
        <v>0.178472222222222</v>
      </c>
      <c r="C84" s="7" t="n">
        <v>33186</v>
      </c>
      <c r="D84" s="7" t="s">
        <v>15</v>
      </c>
      <c r="E84" s="7" t="n">
        <v>4460</v>
      </c>
      <c r="F84" s="7" t="n">
        <v>3780</v>
      </c>
      <c r="G84" s="8" t="n">
        <v>680</v>
      </c>
      <c r="H84" s="7" t="s">
        <v>11</v>
      </c>
      <c r="I84" s="7" t="s">
        <v>12</v>
      </c>
      <c r="J84" s="0" t="s">
        <v>13</v>
      </c>
    </row>
    <row r="85" customFormat="false" ht="18" hidden="false" customHeight="false" outlineLevel="0" collapsed="false">
      <c r="A85" s="5" t="n">
        <v>45277</v>
      </c>
      <c r="B85" s="6" t="n">
        <v>0.264583333333333</v>
      </c>
      <c r="C85" s="7" t="n">
        <v>33190</v>
      </c>
      <c r="D85" s="7" t="s">
        <v>10</v>
      </c>
      <c r="E85" s="7" t="n">
        <v>22060</v>
      </c>
      <c r="F85" s="7" t="n">
        <v>15780</v>
      </c>
      <c r="G85" s="8" t="n">
        <v>6280</v>
      </c>
      <c r="H85" s="7" t="s">
        <v>11</v>
      </c>
      <c r="I85" s="7" t="s">
        <v>12</v>
      </c>
      <c r="J85" s="0" t="s">
        <v>13</v>
      </c>
    </row>
    <row r="86" customFormat="false" ht="18" hidden="false" customHeight="false" outlineLevel="0" collapsed="false">
      <c r="A86" s="5" t="n">
        <v>45278</v>
      </c>
      <c r="B86" s="6" t="n">
        <v>0.215277777777778</v>
      </c>
      <c r="C86" s="7" t="n">
        <v>33207</v>
      </c>
      <c r="D86" s="7" t="s">
        <v>15</v>
      </c>
      <c r="E86" s="7" t="n">
        <v>4580</v>
      </c>
      <c r="F86" s="7" t="n">
        <v>3800</v>
      </c>
      <c r="G86" s="8" t="n">
        <v>780</v>
      </c>
      <c r="H86" s="7" t="s">
        <v>11</v>
      </c>
      <c r="I86" s="7" t="s">
        <v>12</v>
      </c>
      <c r="J86" s="0" t="s">
        <v>13</v>
      </c>
    </row>
    <row r="87" customFormat="false" ht="18" hidden="false" customHeight="false" outlineLevel="0" collapsed="false">
      <c r="A87" s="5" t="n">
        <v>45278</v>
      </c>
      <c r="B87" s="6" t="n">
        <v>0.110416666666667</v>
      </c>
      <c r="C87" s="7" t="n">
        <v>33198</v>
      </c>
      <c r="D87" s="7" t="s">
        <v>14</v>
      </c>
      <c r="E87" s="7" t="n">
        <v>17140</v>
      </c>
      <c r="F87" s="7" t="n">
        <v>13180</v>
      </c>
      <c r="G87" s="8" t="n">
        <v>3960</v>
      </c>
      <c r="H87" s="7" t="s">
        <v>11</v>
      </c>
      <c r="I87" s="7" t="s">
        <v>12</v>
      </c>
      <c r="J87" s="0" t="s">
        <v>13</v>
      </c>
    </row>
    <row r="88" customFormat="false" ht="18" hidden="false" customHeight="false" outlineLevel="0" collapsed="false">
      <c r="A88" s="5" t="n">
        <v>45278</v>
      </c>
      <c r="B88" s="6" t="n">
        <v>0.246527777777778</v>
      </c>
      <c r="C88" s="7" t="n">
        <v>33208</v>
      </c>
      <c r="D88" s="7" t="s">
        <v>10</v>
      </c>
      <c r="E88" s="7" t="n">
        <v>24040</v>
      </c>
      <c r="F88" s="7" t="n">
        <v>15720</v>
      </c>
      <c r="G88" s="8" t="n">
        <v>8320</v>
      </c>
      <c r="H88" s="7" t="s">
        <v>11</v>
      </c>
      <c r="I88" s="7" t="s">
        <v>12</v>
      </c>
      <c r="J88" s="0" t="s">
        <v>13</v>
      </c>
    </row>
    <row r="89" customFormat="false" ht="18" hidden="false" customHeight="false" outlineLevel="0" collapsed="false">
      <c r="A89" s="5" t="n">
        <v>45279</v>
      </c>
      <c r="B89" s="6" t="n">
        <v>0.211111111111111</v>
      </c>
      <c r="C89" s="7" t="n">
        <v>33246</v>
      </c>
      <c r="D89" s="7" t="s">
        <v>25</v>
      </c>
      <c r="E89" s="7" t="n">
        <v>23600</v>
      </c>
      <c r="F89" s="7" t="n">
        <v>15940</v>
      </c>
      <c r="G89" s="8" t="n">
        <v>7660</v>
      </c>
      <c r="H89" s="7" t="s">
        <v>11</v>
      </c>
      <c r="I89" s="7" t="s">
        <v>12</v>
      </c>
      <c r="J89" s="0" t="s">
        <v>13</v>
      </c>
    </row>
    <row r="90" customFormat="false" ht="18" hidden="false" customHeight="false" outlineLevel="0" collapsed="false">
      <c r="A90" s="5" t="n">
        <v>45279</v>
      </c>
      <c r="B90" s="6" t="n">
        <v>0.136805555555556</v>
      </c>
      <c r="C90" s="7" t="n">
        <v>33244</v>
      </c>
      <c r="D90" s="7" t="s">
        <v>14</v>
      </c>
      <c r="E90" s="7" t="n">
        <v>17340</v>
      </c>
      <c r="F90" s="7" t="n">
        <v>13420</v>
      </c>
      <c r="G90" s="8" t="n">
        <v>3920</v>
      </c>
      <c r="H90" s="7" t="s">
        <v>11</v>
      </c>
      <c r="I90" s="7" t="s">
        <v>12</v>
      </c>
      <c r="J90" s="0" t="s">
        <v>13</v>
      </c>
    </row>
    <row r="91" customFormat="false" ht="18" hidden="false" customHeight="false" outlineLevel="0" collapsed="false">
      <c r="A91" s="5" t="n">
        <v>45279</v>
      </c>
      <c r="B91" s="6" t="n">
        <v>0.253472222222222</v>
      </c>
      <c r="C91" s="7" t="n">
        <v>33252</v>
      </c>
      <c r="D91" s="7" t="s">
        <v>15</v>
      </c>
      <c r="E91" s="7" t="n">
        <v>4080</v>
      </c>
      <c r="F91" s="7" t="n">
        <v>3820</v>
      </c>
      <c r="G91" s="8" t="n">
        <v>260</v>
      </c>
      <c r="H91" s="7" t="s">
        <v>11</v>
      </c>
      <c r="I91" s="7" t="s">
        <v>12</v>
      </c>
      <c r="J91" s="0" t="s">
        <v>13</v>
      </c>
    </row>
    <row r="92" customFormat="false" ht="18" hidden="false" customHeight="false" outlineLevel="0" collapsed="false">
      <c r="A92" s="5" t="n">
        <v>45279</v>
      </c>
      <c r="B92" s="6" t="n">
        <v>0.366666666666667</v>
      </c>
      <c r="C92" s="7" t="n">
        <v>167332</v>
      </c>
      <c r="D92" s="7" t="s">
        <v>26</v>
      </c>
      <c r="E92" s="7" t="n">
        <v>17220</v>
      </c>
      <c r="F92" s="7" t="n">
        <v>15920</v>
      </c>
      <c r="G92" s="8" t="n">
        <v>1300</v>
      </c>
      <c r="H92" s="7" t="s">
        <v>11</v>
      </c>
      <c r="I92" s="7" t="s">
        <v>24</v>
      </c>
      <c r="J92" s="0" t="s">
        <v>23</v>
      </c>
    </row>
    <row r="93" customFormat="false" ht="18" hidden="false" customHeight="false" outlineLevel="0" collapsed="false">
      <c r="A93" s="5" t="n">
        <v>45279</v>
      </c>
      <c r="B93" s="6" t="n">
        <v>0.48125</v>
      </c>
      <c r="C93" s="7" t="n">
        <v>33270</v>
      </c>
      <c r="D93" s="7" t="s">
        <v>26</v>
      </c>
      <c r="E93" s="7" t="n">
        <v>18080</v>
      </c>
      <c r="F93" s="7" t="n">
        <v>15880</v>
      </c>
      <c r="G93" s="8" t="n">
        <v>2200</v>
      </c>
      <c r="H93" s="7" t="s">
        <v>11</v>
      </c>
      <c r="I93" s="7" t="s">
        <v>18</v>
      </c>
      <c r="J93" s="0" t="s">
        <v>13</v>
      </c>
    </row>
    <row r="94" customFormat="false" ht="18" hidden="false" customHeight="false" outlineLevel="0" collapsed="false">
      <c r="A94" s="5" t="n">
        <v>45280</v>
      </c>
      <c r="B94" s="6" t="n">
        <v>0.213194444444444</v>
      </c>
      <c r="C94" s="7" t="n">
        <v>33294</v>
      </c>
      <c r="D94" s="7" t="s">
        <v>10</v>
      </c>
      <c r="E94" s="7" t="n">
        <v>23800</v>
      </c>
      <c r="F94" s="7" t="n">
        <v>15820</v>
      </c>
      <c r="G94" s="8" t="n">
        <v>7980</v>
      </c>
      <c r="H94" s="7" t="s">
        <v>11</v>
      </c>
      <c r="I94" s="5" t="s">
        <v>12</v>
      </c>
      <c r="J94" s="0" t="s">
        <v>13</v>
      </c>
    </row>
    <row r="95" customFormat="false" ht="18" hidden="false" customHeight="false" outlineLevel="0" collapsed="false">
      <c r="A95" s="5" t="n">
        <v>45280</v>
      </c>
      <c r="B95" s="6" t="n">
        <v>0.136805555555556</v>
      </c>
      <c r="C95" s="7" t="n">
        <v>33290</v>
      </c>
      <c r="D95" s="7" t="s">
        <v>14</v>
      </c>
      <c r="E95" s="7" t="n">
        <v>17500</v>
      </c>
      <c r="F95" s="7" t="n">
        <v>13360</v>
      </c>
      <c r="G95" s="8" t="n">
        <v>4140</v>
      </c>
      <c r="H95" s="7" t="s">
        <v>11</v>
      </c>
      <c r="I95" s="7" t="s">
        <v>12</v>
      </c>
      <c r="J95" s="0" t="s">
        <v>13</v>
      </c>
    </row>
    <row r="96" customFormat="false" ht="18" hidden="false" customHeight="false" outlineLevel="0" collapsed="false">
      <c r="A96" s="5" t="n">
        <v>45280</v>
      </c>
      <c r="B96" s="6" t="n">
        <v>0.259027777777778</v>
      </c>
      <c r="C96" s="7" t="n">
        <v>33298</v>
      </c>
      <c r="D96" s="7" t="s">
        <v>15</v>
      </c>
      <c r="E96" s="7" t="n">
        <v>4160</v>
      </c>
      <c r="F96" s="7" t="n">
        <v>3800</v>
      </c>
      <c r="G96" s="8" t="n">
        <v>360</v>
      </c>
      <c r="H96" s="7" t="s">
        <v>11</v>
      </c>
      <c r="I96" s="7" t="s">
        <v>12</v>
      </c>
      <c r="J96" s="0" t="s">
        <v>13</v>
      </c>
    </row>
    <row r="97" customFormat="false" ht="18" hidden="false" customHeight="false" outlineLevel="0" collapsed="false">
      <c r="A97" s="5" t="n">
        <v>45280</v>
      </c>
      <c r="B97" s="6" t="n">
        <v>0.490277777777778</v>
      </c>
      <c r="C97" s="7" t="n">
        <v>33324</v>
      </c>
      <c r="D97" s="7" t="s">
        <v>19</v>
      </c>
      <c r="E97" s="7" t="n">
        <v>3560</v>
      </c>
      <c r="F97" s="7" t="n">
        <v>2860</v>
      </c>
      <c r="G97" s="8" t="n">
        <v>700</v>
      </c>
      <c r="H97" s="7" t="s">
        <v>11</v>
      </c>
      <c r="I97" s="7" t="s">
        <v>18</v>
      </c>
      <c r="J97" s="0" t="s">
        <v>13</v>
      </c>
    </row>
    <row r="98" customFormat="false" ht="18" hidden="false" customHeight="false" outlineLevel="0" collapsed="false">
      <c r="A98" s="5" t="n">
        <v>45280</v>
      </c>
      <c r="B98" s="6" t="n">
        <v>0.489583333333333</v>
      </c>
      <c r="C98" s="7" t="n">
        <v>33325</v>
      </c>
      <c r="D98" s="7" t="s">
        <v>17</v>
      </c>
      <c r="E98" s="7" t="n">
        <v>6660</v>
      </c>
      <c r="F98" s="7" t="n">
        <v>5660</v>
      </c>
      <c r="G98" s="8" t="n">
        <v>1000</v>
      </c>
      <c r="H98" s="7" t="s">
        <v>11</v>
      </c>
      <c r="I98" s="7" t="s">
        <v>18</v>
      </c>
      <c r="J98" s="0" t="s">
        <v>13</v>
      </c>
    </row>
    <row r="99" customFormat="false" ht="18" hidden="false" customHeight="false" outlineLevel="0" collapsed="false">
      <c r="A99" s="5" t="n">
        <v>45280</v>
      </c>
      <c r="B99" s="6" t="n">
        <v>0.488194444444444</v>
      </c>
      <c r="C99" s="7" t="n">
        <v>33323</v>
      </c>
      <c r="D99" s="7" t="s">
        <v>16</v>
      </c>
      <c r="E99" s="7" t="n">
        <v>2560</v>
      </c>
      <c r="F99" s="7" t="n">
        <v>2380</v>
      </c>
      <c r="G99" s="8" t="n">
        <v>180</v>
      </c>
      <c r="H99" s="7" t="s">
        <v>11</v>
      </c>
      <c r="I99" s="7" t="s">
        <v>12</v>
      </c>
      <c r="J99" s="0" t="s">
        <v>13</v>
      </c>
    </row>
    <row r="100" customFormat="false" ht="18" hidden="false" customHeight="false" outlineLevel="0" collapsed="false">
      <c r="A100" s="5" t="n">
        <v>45281</v>
      </c>
      <c r="B100" s="6" t="n">
        <v>0.43125</v>
      </c>
      <c r="C100" s="7" t="n">
        <v>33367</v>
      </c>
      <c r="D100" s="7" t="s">
        <v>19</v>
      </c>
      <c r="E100" s="7" t="n">
        <v>3200</v>
      </c>
      <c r="F100" s="7" t="n">
        <v>2840</v>
      </c>
      <c r="G100" s="8" t="n">
        <v>360</v>
      </c>
      <c r="H100" s="7" t="s">
        <v>11</v>
      </c>
      <c r="I100" s="7" t="s">
        <v>18</v>
      </c>
      <c r="J100" s="0" t="s">
        <v>13</v>
      </c>
    </row>
    <row r="101" customFormat="false" ht="18" hidden="false" customHeight="false" outlineLevel="0" collapsed="false">
      <c r="A101" s="5" t="n">
        <v>45281</v>
      </c>
      <c r="B101" s="6" t="n">
        <v>0.136111111111111</v>
      </c>
      <c r="C101" s="7" t="n">
        <v>33346</v>
      </c>
      <c r="D101" s="7" t="s">
        <v>14</v>
      </c>
      <c r="E101" s="7" t="n">
        <v>16720</v>
      </c>
      <c r="F101" s="7" t="n">
        <v>13080</v>
      </c>
      <c r="G101" s="8" t="n">
        <v>3640</v>
      </c>
      <c r="H101" s="7" t="s">
        <v>11</v>
      </c>
      <c r="I101" s="7" t="s">
        <v>12</v>
      </c>
      <c r="J101" s="0" t="s">
        <v>13</v>
      </c>
    </row>
    <row r="102" customFormat="false" ht="18" hidden="false" customHeight="false" outlineLevel="0" collapsed="false">
      <c r="A102" s="5" t="n">
        <v>45281</v>
      </c>
      <c r="B102" s="6" t="n">
        <v>0.236111111111111</v>
      </c>
      <c r="C102" s="7" t="n">
        <v>33354</v>
      </c>
      <c r="D102" s="7" t="s">
        <v>15</v>
      </c>
      <c r="E102" s="7" t="n">
        <v>4060</v>
      </c>
      <c r="F102" s="7" t="n">
        <v>3780</v>
      </c>
      <c r="G102" s="8" t="n">
        <v>280</v>
      </c>
      <c r="H102" s="7" t="s">
        <v>11</v>
      </c>
      <c r="I102" s="7" t="s">
        <v>12</v>
      </c>
      <c r="J102" s="0" t="s">
        <v>13</v>
      </c>
    </row>
    <row r="103" customFormat="false" ht="18" hidden="false" customHeight="false" outlineLevel="0" collapsed="false">
      <c r="A103" s="5" t="n">
        <v>45281</v>
      </c>
      <c r="B103" s="6" t="n">
        <v>0.2375</v>
      </c>
      <c r="C103" s="7" t="n">
        <v>33355</v>
      </c>
      <c r="D103" s="7" t="s">
        <v>10</v>
      </c>
      <c r="E103" s="7" t="n">
        <v>24040</v>
      </c>
      <c r="F103" s="7" t="n">
        <v>15740</v>
      </c>
      <c r="G103" s="8" t="n">
        <v>8300</v>
      </c>
      <c r="H103" s="7" t="s">
        <v>11</v>
      </c>
      <c r="I103" s="7" t="s">
        <v>12</v>
      </c>
      <c r="J103" s="0" t="s">
        <v>13</v>
      </c>
    </row>
    <row r="104" customFormat="false" ht="18" hidden="false" customHeight="false" outlineLevel="0" collapsed="false">
      <c r="A104" s="5" t="n">
        <v>45282</v>
      </c>
      <c r="B104" s="6" t="n">
        <v>0.490972222222222</v>
      </c>
      <c r="C104" s="7" t="n">
        <v>33420</v>
      </c>
      <c r="D104" s="7" t="s">
        <v>16</v>
      </c>
      <c r="E104" s="7" t="n">
        <v>2640</v>
      </c>
      <c r="F104" s="7" t="n">
        <v>2400</v>
      </c>
      <c r="G104" s="8" t="n">
        <v>240</v>
      </c>
      <c r="H104" s="7" t="s">
        <v>11</v>
      </c>
      <c r="I104" s="7" t="s">
        <v>12</v>
      </c>
      <c r="J104" s="0" t="s">
        <v>13</v>
      </c>
    </row>
    <row r="105" customFormat="false" ht="18" hidden="false" customHeight="false" outlineLevel="0" collapsed="false">
      <c r="A105" s="5" t="n">
        <v>45282</v>
      </c>
      <c r="B105" s="6" t="n">
        <v>0.138888888888889</v>
      </c>
      <c r="C105" s="7" t="n">
        <v>33394</v>
      </c>
      <c r="D105" s="7" t="s">
        <v>14</v>
      </c>
      <c r="E105" s="7" t="n">
        <v>17020</v>
      </c>
      <c r="F105" s="7" t="n">
        <v>13140</v>
      </c>
      <c r="G105" s="8" t="n">
        <v>3880</v>
      </c>
      <c r="H105" s="7" t="s">
        <v>11</v>
      </c>
      <c r="I105" s="7" t="s">
        <v>12</v>
      </c>
      <c r="J105" s="0" t="s">
        <v>13</v>
      </c>
    </row>
    <row r="106" customFormat="false" ht="18" hidden="false" customHeight="false" outlineLevel="0" collapsed="false">
      <c r="A106" s="5" t="n">
        <v>45282</v>
      </c>
      <c r="B106" s="6" t="n">
        <v>0.236111111111111</v>
      </c>
      <c r="C106" s="7" t="n">
        <v>33400</v>
      </c>
      <c r="D106" s="7" t="s">
        <v>15</v>
      </c>
      <c r="E106" s="7" t="n">
        <v>4220</v>
      </c>
      <c r="F106" s="7" t="n">
        <v>3760</v>
      </c>
      <c r="G106" s="8" t="n">
        <v>460</v>
      </c>
      <c r="H106" s="7" t="s">
        <v>11</v>
      </c>
      <c r="I106" s="7" t="s">
        <v>12</v>
      </c>
      <c r="J106" s="0" t="s">
        <v>13</v>
      </c>
    </row>
    <row r="107" customFormat="false" ht="18" hidden="false" customHeight="false" outlineLevel="0" collapsed="false">
      <c r="A107" s="5" t="n">
        <v>45282</v>
      </c>
      <c r="B107" s="6" t="n">
        <v>0.436805555555556</v>
      </c>
      <c r="C107" s="7" t="n">
        <v>33417</v>
      </c>
      <c r="D107" s="7" t="s">
        <v>19</v>
      </c>
      <c r="E107" s="7" t="n">
        <v>3340</v>
      </c>
      <c r="F107" s="7" t="n">
        <v>2840</v>
      </c>
      <c r="G107" s="8" t="n">
        <v>500</v>
      </c>
      <c r="H107" s="7" t="s">
        <v>11</v>
      </c>
      <c r="I107" s="7" t="s">
        <v>18</v>
      </c>
      <c r="J107" s="0" t="s">
        <v>13</v>
      </c>
    </row>
    <row r="108" customFormat="false" ht="18" hidden="false" customHeight="false" outlineLevel="0" collapsed="false">
      <c r="A108" s="5" t="n">
        <v>45282</v>
      </c>
      <c r="B108" s="6" t="n">
        <v>0.19375</v>
      </c>
      <c r="C108" s="7" t="n">
        <v>33397</v>
      </c>
      <c r="D108" s="7" t="s">
        <v>10</v>
      </c>
      <c r="E108" s="7" t="n">
        <v>23980</v>
      </c>
      <c r="F108" s="7" t="n">
        <v>15800</v>
      </c>
      <c r="G108" s="8" t="n">
        <v>8180</v>
      </c>
      <c r="H108" s="7" t="s">
        <v>11</v>
      </c>
      <c r="I108" s="7" t="s">
        <v>12</v>
      </c>
      <c r="J108" s="0" t="s">
        <v>13</v>
      </c>
    </row>
    <row r="109" customFormat="false" ht="18" hidden="false" customHeight="false" outlineLevel="0" collapsed="false">
      <c r="A109" s="5" t="n">
        <v>45288</v>
      </c>
      <c r="B109" s="6" t="n">
        <v>0.371527777777778</v>
      </c>
      <c r="C109" s="7" t="n">
        <v>33618</v>
      </c>
      <c r="D109" s="7" t="s">
        <v>27</v>
      </c>
      <c r="E109" s="7" t="n">
        <v>15100</v>
      </c>
      <c r="F109" s="7" t="n">
        <v>13180</v>
      </c>
      <c r="G109" s="8" t="n">
        <v>1920</v>
      </c>
      <c r="H109" s="7" t="s">
        <v>11</v>
      </c>
      <c r="I109" s="7" t="s">
        <v>18</v>
      </c>
      <c r="J109" s="0" t="s">
        <v>13</v>
      </c>
    </row>
    <row r="110" customFormat="false" ht="18" hidden="false" customHeight="false" outlineLevel="0" collapsed="false">
      <c r="A110" s="5" t="n">
        <v>45283</v>
      </c>
      <c r="B110" s="6" t="n">
        <v>0.136111111111111</v>
      </c>
      <c r="C110" s="7" t="n">
        <v>33439</v>
      </c>
      <c r="D110" s="7" t="s">
        <v>14</v>
      </c>
      <c r="E110" s="7" t="n">
        <v>17320</v>
      </c>
      <c r="F110" s="7" t="n">
        <v>13120</v>
      </c>
      <c r="G110" s="8" t="n">
        <v>4200</v>
      </c>
      <c r="H110" s="7" t="s">
        <v>11</v>
      </c>
      <c r="I110" s="7" t="s">
        <v>12</v>
      </c>
      <c r="J110" s="0" t="s">
        <v>13</v>
      </c>
    </row>
    <row r="111" customFormat="false" ht="18" hidden="false" customHeight="false" outlineLevel="0" collapsed="false">
      <c r="A111" s="5" t="n">
        <v>45283</v>
      </c>
      <c r="B111" s="6" t="n">
        <v>0.220833333333333</v>
      </c>
      <c r="C111" s="7" t="n">
        <v>33446</v>
      </c>
      <c r="D111" s="7" t="s">
        <v>25</v>
      </c>
      <c r="E111" s="7" t="n">
        <v>22740</v>
      </c>
      <c r="F111" s="7" t="n">
        <v>15940</v>
      </c>
      <c r="G111" s="8" t="n">
        <v>6800</v>
      </c>
      <c r="H111" s="7" t="s">
        <v>11</v>
      </c>
      <c r="I111" s="7" t="s">
        <v>12</v>
      </c>
      <c r="J111" s="0" t="s">
        <v>13</v>
      </c>
    </row>
    <row r="112" customFormat="false" ht="18" hidden="false" customHeight="false" outlineLevel="0" collapsed="false">
      <c r="A112" s="5" t="n">
        <v>45283</v>
      </c>
      <c r="B112" s="6" t="n">
        <v>0.238194444444444</v>
      </c>
      <c r="C112" s="7" t="n">
        <v>33448</v>
      </c>
      <c r="D112" s="7" t="s">
        <v>15</v>
      </c>
      <c r="E112" s="7" t="n">
        <v>4440</v>
      </c>
      <c r="F112" s="7" t="n">
        <v>3780</v>
      </c>
      <c r="G112" s="8" t="n">
        <v>660</v>
      </c>
      <c r="H112" s="7" t="s">
        <v>11</v>
      </c>
      <c r="I112" s="7" t="s">
        <v>12</v>
      </c>
      <c r="J112" s="0" t="s">
        <v>13</v>
      </c>
    </row>
    <row r="113" customFormat="false" ht="18" hidden="false" customHeight="false" outlineLevel="0" collapsed="false">
      <c r="A113" s="5" t="n">
        <v>45284</v>
      </c>
      <c r="B113" s="6" t="n">
        <v>0.110416666666667</v>
      </c>
      <c r="C113" s="7" t="n">
        <v>33460</v>
      </c>
      <c r="D113" s="7" t="s">
        <v>14</v>
      </c>
      <c r="E113" s="7" t="n">
        <v>18520</v>
      </c>
      <c r="F113" s="7" t="n">
        <v>13320</v>
      </c>
      <c r="G113" s="8" t="n">
        <v>5200</v>
      </c>
      <c r="H113" s="7" t="s">
        <v>11</v>
      </c>
      <c r="I113" s="7" t="s">
        <v>12</v>
      </c>
      <c r="J113" s="0" t="s">
        <v>13</v>
      </c>
    </row>
    <row r="114" customFormat="false" ht="18" hidden="false" customHeight="false" outlineLevel="0" collapsed="false">
      <c r="A114" s="5" t="n">
        <v>45284</v>
      </c>
      <c r="B114" s="6" t="n">
        <v>0.509722222222222</v>
      </c>
      <c r="C114" s="7" t="n">
        <v>33476</v>
      </c>
      <c r="D114" s="7" t="s">
        <v>19</v>
      </c>
      <c r="E114" s="7" t="n">
        <v>3200</v>
      </c>
      <c r="F114" s="7" t="n">
        <v>2920</v>
      </c>
      <c r="G114" s="8" t="n">
        <v>280</v>
      </c>
      <c r="H114" s="7" t="s">
        <v>11</v>
      </c>
      <c r="I114" s="7" t="s">
        <v>12</v>
      </c>
      <c r="J114" s="0" t="s">
        <v>13</v>
      </c>
    </row>
    <row r="115" customFormat="false" ht="18" hidden="false" customHeight="false" outlineLevel="0" collapsed="false">
      <c r="A115" s="5" t="n">
        <v>45284</v>
      </c>
      <c r="B115" s="6" t="n">
        <v>0.176388888888889</v>
      </c>
      <c r="C115" s="7" t="n">
        <v>33464</v>
      </c>
      <c r="D115" s="7" t="s">
        <v>25</v>
      </c>
      <c r="E115" s="7" t="n">
        <v>23960</v>
      </c>
      <c r="F115" s="7" t="n">
        <v>15900</v>
      </c>
      <c r="G115" s="8" t="n">
        <v>8060</v>
      </c>
      <c r="H115" s="7" t="s">
        <v>11</v>
      </c>
      <c r="I115" s="7" t="s">
        <v>12</v>
      </c>
      <c r="J115" s="0" t="s">
        <v>13</v>
      </c>
    </row>
    <row r="116" customFormat="false" ht="18" hidden="false" customHeight="false" outlineLevel="0" collapsed="false">
      <c r="A116" s="5" t="n">
        <v>45284</v>
      </c>
      <c r="B116" s="6" t="n">
        <v>0.193055555555556</v>
      </c>
      <c r="C116" s="7" t="n">
        <v>33468</v>
      </c>
      <c r="D116" s="7" t="s">
        <v>15</v>
      </c>
      <c r="E116" s="7" t="n">
        <v>4560</v>
      </c>
      <c r="F116" s="7" t="n">
        <v>3760</v>
      </c>
      <c r="G116" s="8" t="n">
        <v>800</v>
      </c>
      <c r="H116" s="7" t="s">
        <v>11</v>
      </c>
      <c r="I116" s="7" t="s">
        <v>12</v>
      </c>
      <c r="J116" s="0" t="s">
        <v>13</v>
      </c>
    </row>
    <row r="117" customFormat="false" ht="18" hidden="false" customHeight="false" outlineLevel="0" collapsed="false">
      <c r="A117" s="5" t="n">
        <v>45285</v>
      </c>
      <c r="B117" s="6" t="n">
        <v>0.173611111111111</v>
      </c>
      <c r="C117" s="7" t="n">
        <v>33479</v>
      </c>
      <c r="D117" s="7" t="s">
        <v>25</v>
      </c>
      <c r="E117" s="7" t="n">
        <v>19100</v>
      </c>
      <c r="F117" s="7" t="n">
        <v>16040</v>
      </c>
      <c r="G117" s="8" t="n">
        <v>3060</v>
      </c>
      <c r="H117" s="7" t="s">
        <v>11</v>
      </c>
      <c r="I117" s="7" t="s">
        <v>12</v>
      </c>
      <c r="J117" s="0" t="s">
        <v>13</v>
      </c>
    </row>
    <row r="118" customFormat="false" ht="18" hidden="false" customHeight="false" outlineLevel="0" collapsed="false">
      <c r="A118" s="5" t="n">
        <v>45285</v>
      </c>
      <c r="B118" s="6" t="n">
        <v>0.172916666666667</v>
      </c>
      <c r="C118" s="7" t="n">
        <v>33480</v>
      </c>
      <c r="D118" s="7" t="s">
        <v>15</v>
      </c>
      <c r="E118" s="7" t="n">
        <v>4220</v>
      </c>
      <c r="F118" s="7" t="n">
        <v>3680</v>
      </c>
      <c r="G118" s="8" t="n">
        <v>540</v>
      </c>
      <c r="H118" s="7" t="s">
        <v>11</v>
      </c>
      <c r="I118" s="7" t="s">
        <v>12</v>
      </c>
      <c r="J118" s="0" t="s">
        <v>13</v>
      </c>
    </row>
    <row r="119" customFormat="false" ht="18" hidden="false" customHeight="false" outlineLevel="0" collapsed="false">
      <c r="A119" s="5" t="n">
        <v>45286</v>
      </c>
      <c r="B119" s="6" t="n">
        <v>0.500694444444444</v>
      </c>
      <c r="C119" s="7" t="n">
        <v>33529</v>
      </c>
      <c r="D119" s="7" t="s">
        <v>25</v>
      </c>
      <c r="E119" s="7" t="n">
        <v>17080</v>
      </c>
      <c r="F119" s="7" t="n">
        <v>15900</v>
      </c>
      <c r="G119" s="8" t="n">
        <v>1180</v>
      </c>
      <c r="H119" s="7" t="s">
        <v>11</v>
      </c>
      <c r="I119" s="7" t="s">
        <v>12</v>
      </c>
      <c r="J119" s="0" t="s">
        <v>13</v>
      </c>
    </row>
    <row r="120" customFormat="false" ht="18" hidden="false" customHeight="false" outlineLevel="0" collapsed="false">
      <c r="A120" s="5" t="n">
        <v>45286</v>
      </c>
      <c r="B120" s="6" t="n">
        <v>0.16875</v>
      </c>
      <c r="C120" s="7" t="n">
        <v>33494</v>
      </c>
      <c r="D120" s="7" t="s">
        <v>15</v>
      </c>
      <c r="E120" s="7" t="n">
        <v>4000</v>
      </c>
      <c r="F120" s="7" t="n">
        <v>3680</v>
      </c>
      <c r="G120" s="8" t="n">
        <v>320</v>
      </c>
      <c r="H120" s="7" t="s">
        <v>11</v>
      </c>
      <c r="I120" s="7" t="s">
        <v>12</v>
      </c>
      <c r="J120" s="0" t="s">
        <v>13</v>
      </c>
    </row>
    <row r="121" customFormat="false" ht="18" hidden="false" customHeight="false" outlineLevel="0" collapsed="false">
      <c r="A121" s="5" t="n">
        <v>45286</v>
      </c>
      <c r="B121" s="6" t="n">
        <v>0.168055555555556</v>
      </c>
      <c r="C121" s="7" t="n">
        <v>33495</v>
      </c>
      <c r="D121" s="7" t="s">
        <v>14</v>
      </c>
      <c r="E121" s="7" t="n">
        <v>20820</v>
      </c>
      <c r="F121" s="7" t="n">
        <v>13220</v>
      </c>
      <c r="G121" s="8" t="n">
        <v>7600</v>
      </c>
      <c r="H121" s="7" t="s">
        <v>11</v>
      </c>
      <c r="I121" s="7" t="s">
        <v>12</v>
      </c>
      <c r="J121" s="0" t="s">
        <v>13</v>
      </c>
    </row>
    <row r="122" customFormat="false" ht="18" hidden="false" customHeight="false" outlineLevel="0" collapsed="false">
      <c r="A122" s="9" t="n">
        <v>45286</v>
      </c>
      <c r="B122" s="6" t="n">
        <v>0.497916666666667</v>
      </c>
      <c r="C122" s="7" t="n">
        <v>33527</v>
      </c>
      <c r="D122" s="7" t="s">
        <v>16</v>
      </c>
      <c r="E122" s="7" t="n">
        <v>2680</v>
      </c>
      <c r="F122" s="7" t="n">
        <v>2400</v>
      </c>
      <c r="G122" s="8" t="n">
        <v>280</v>
      </c>
      <c r="H122" s="7" t="s">
        <v>11</v>
      </c>
      <c r="I122" s="7" t="s">
        <v>12</v>
      </c>
      <c r="J122" s="0" t="s">
        <v>13</v>
      </c>
    </row>
    <row r="123" customFormat="false" ht="18" hidden="false" customHeight="false" outlineLevel="0" collapsed="false">
      <c r="A123" s="5" t="n">
        <v>45286</v>
      </c>
      <c r="B123" s="6" t="n">
        <v>0.206944444444444</v>
      </c>
      <c r="C123" s="7" t="n">
        <v>33499</v>
      </c>
      <c r="D123" s="7" t="s">
        <v>25</v>
      </c>
      <c r="E123" s="7" t="n">
        <v>17340</v>
      </c>
      <c r="F123" s="7" t="n">
        <v>15980</v>
      </c>
      <c r="G123" s="8" t="n">
        <v>1360</v>
      </c>
      <c r="H123" s="7" t="s">
        <v>11</v>
      </c>
      <c r="I123" s="7" t="s">
        <v>12</v>
      </c>
      <c r="J123" s="0" t="s">
        <v>13</v>
      </c>
    </row>
    <row r="124" customFormat="false" ht="18" hidden="false" customHeight="false" outlineLevel="0" collapsed="false">
      <c r="A124" s="5" t="n">
        <v>45286</v>
      </c>
      <c r="B124" s="6" t="n">
        <v>0.138194444444444</v>
      </c>
      <c r="C124" s="7" t="n">
        <v>33492</v>
      </c>
      <c r="D124" s="7" t="s">
        <v>25</v>
      </c>
      <c r="E124" s="7" t="n">
        <v>25520</v>
      </c>
      <c r="F124" s="7" t="n">
        <v>16020</v>
      </c>
      <c r="G124" s="8" t="n">
        <v>9500</v>
      </c>
      <c r="H124" s="7" t="s">
        <v>11</v>
      </c>
      <c r="I124" s="7" t="s">
        <v>12</v>
      </c>
      <c r="J124" s="0" t="s">
        <v>13</v>
      </c>
    </row>
    <row r="125" customFormat="false" ht="18" hidden="false" customHeight="false" outlineLevel="0" collapsed="false">
      <c r="A125" s="5" t="n">
        <v>45287</v>
      </c>
      <c r="B125" s="6" t="n">
        <v>0.227777777777778</v>
      </c>
      <c r="C125" s="7" t="n">
        <v>33553</v>
      </c>
      <c r="D125" s="7" t="s">
        <v>25</v>
      </c>
      <c r="E125" s="7" t="n">
        <v>25260</v>
      </c>
      <c r="F125" s="7" t="n">
        <v>15980</v>
      </c>
      <c r="G125" s="8" t="n">
        <v>9280</v>
      </c>
      <c r="H125" s="7" t="s">
        <v>11</v>
      </c>
      <c r="I125" s="7" t="s">
        <v>12</v>
      </c>
      <c r="J125" s="0" t="s">
        <v>13</v>
      </c>
    </row>
    <row r="126" customFormat="false" ht="18" hidden="false" customHeight="false" outlineLevel="0" collapsed="false">
      <c r="A126" s="5" t="n">
        <v>45287</v>
      </c>
      <c r="B126" s="6" t="n">
        <v>0.13125</v>
      </c>
      <c r="C126" s="7" t="n">
        <v>33546</v>
      </c>
      <c r="D126" s="7" t="s">
        <v>14</v>
      </c>
      <c r="E126" s="7" t="n">
        <v>17900</v>
      </c>
      <c r="F126" s="7" t="n">
        <v>13400</v>
      </c>
      <c r="G126" s="8" t="n">
        <v>4500</v>
      </c>
      <c r="H126" s="7" t="s">
        <v>11</v>
      </c>
      <c r="I126" s="7" t="s">
        <v>12</v>
      </c>
      <c r="J126" s="0" t="s">
        <v>13</v>
      </c>
    </row>
    <row r="127" customFormat="false" ht="18" hidden="false" customHeight="false" outlineLevel="0" collapsed="false">
      <c r="A127" s="5" t="n">
        <v>45287</v>
      </c>
      <c r="B127" s="6" t="n">
        <v>0.252777777777778</v>
      </c>
      <c r="C127" s="7" t="n">
        <v>33554</v>
      </c>
      <c r="D127" s="7" t="s">
        <v>15</v>
      </c>
      <c r="E127" s="7" t="n">
        <v>4260</v>
      </c>
      <c r="F127" s="7" t="n">
        <v>3780</v>
      </c>
      <c r="G127" s="8" t="n">
        <v>480</v>
      </c>
      <c r="H127" s="7" t="s">
        <v>11</v>
      </c>
      <c r="I127" s="7" t="s">
        <v>12</v>
      </c>
      <c r="J127" s="0" t="s">
        <v>13</v>
      </c>
    </row>
    <row r="128" customFormat="false" ht="18" hidden="false" customHeight="false" outlineLevel="0" collapsed="false">
      <c r="A128" s="5" t="n">
        <v>45287</v>
      </c>
      <c r="B128" s="6" t="n">
        <v>0.501388888888889</v>
      </c>
      <c r="C128" s="7" t="n">
        <v>33578</v>
      </c>
      <c r="D128" s="7" t="s">
        <v>19</v>
      </c>
      <c r="E128" s="7" t="n">
        <v>3580</v>
      </c>
      <c r="F128" s="7" t="n">
        <v>2780</v>
      </c>
      <c r="G128" s="8" t="n">
        <v>800</v>
      </c>
      <c r="H128" s="7" t="s">
        <v>11</v>
      </c>
      <c r="I128" s="7" t="s">
        <v>18</v>
      </c>
      <c r="J128" s="0" t="s">
        <v>13</v>
      </c>
    </row>
    <row r="129" customFormat="false" ht="18" hidden="false" customHeight="false" outlineLevel="0" collapsed="false">
      <c r="A129" s="5" t="n">
        <v>45287</v>
      </c>
      <c r="B129" s="6" t="n">
        <v>0.313888888888889</v>
      </c>
      <c r="C129" s="7" t="n">
        <v>33559</v>
      </c>
      <c r="D129" s="7" t="s">
        <v>19</v>
      </c>
      <c r="E129" s="7" t="n">
        <v>3380</v>
      </c>
      <c r="F129" s="7" t="n">
        <v>2780</v>
      </c>
      <c r="G129" s="8" t="n">
        <v>600</v>
      </c>
      <c r="H129" s="7" t="s">
        <v>11</v>
      </c>
      <c r="I129" s="7" t="s">
        <v>18</v>
      </c>
      <c r="J129" s="0" t="s">
        <v>13</v>
      </c>
    </row>
    <row r="130" customFormat="false" ht="18" hidden="false" customHeight="false" outlineLevel="0" collapsed="false">
      <c r="A130" s="5" t="n">
        <v>45287</v>
      </c>
      <c r="B130" s="6" t="n">
        <v>0.54375</v>
      </c>
      <c r="C130" s="7" t="n">
        <v>33583</v>
      </c>
      <c r="D130" s="7" t="s">
        <v>21</v>
      </c>
      <c r="E130" s="7" t="n">
        <v>3280</v>
      </c>
      <c r="F130" s="7" t="n">
        <v>2840</v>
      </c>
      <c r="G130" s="8" t="n">
        <v>440</v>
      </c>
      <c r="H130" s="7" t="s">
        <v>11</v>
      </c>
      <c r="I130" s="7" t="s">
        <v>20</v>
      </c>
      <c r="J130" s="0" t="s">
        <v>13</v>
      </c>
    </row>
    <row r="131" customFormat="false" ht="18" hidden="false" customHeight="false" outlineLevel="0" collapsed="false">
      <c r="A131" s="5" t="n">
        <v>45287</v>
      </c>
      <c r="B131" s="6" t="n">
        <v>0.420138888888889</v>
      </c>
      <c r="C131" s="7"/>
      <c r="D131" s="7" t="s">
        <v>25</v>
      </c>
      <c r="E131" s="7" t="n">
        <v>18400</v>
      </c>
      <c r="F131" s="7" t="n">
        <v>16020</v>
      </c>
      <c r="G131" s="8" t="n">
        <v>2380</v>
      </c>
      <c r="H131" s="7" t="s">
        <v>11</v>
      </c>
      <c r="I131" s="7" t="s">
        <v>22</v>
      </c>
      <c r="J131" s="0" t="s">
        <v>23</v>
      </c>
    </row>
    <row r="132" customFormat="false" ht="18" hidden="false" customHeight="false" outlineLevel="0" collapsed="false">
      <c r="A132" s="5" t="n">
        <v>45281</v>
      </c>
      <c r="B132" s="6" t="n">
        <v>0.502083333333333</v>
      </c>
      <c r="C132" s="7" t="n">
        <v>167515</v>
      </c>
      <c r="D132" s="7" t="s">
        <v>10</v>
      </c>
      <c r="E132" s="7" t="n">
        <v>18700</v>
      </c>
      <c r="F132" s="7" t="n">
        <v>15680</v>
      </c>
      <c r="G132" s="8" t="n">
        <v>3020</v>
      </c>
      <c r="H132" s="7" t="s">
        <v>11</v>
      </c>
      <c r="I132" s="7" t="s">
        <v>24</v>
      </c>
      <c r="J132" s="0" t="s">
        <v>23</v>
      </c>
    </row>
    <row r="133" customFormat="false" ht="18" hidden="false" customHeight="false" outlineLevel="0" collapsed="false">
      <c r="A133" s="5" t="n">
        <v>45278</v>
      </c>
      <c r="B133" s="6" t="n">
        <v>0.497222222222222</v>
      </c>
      <c r="C133" s="7" t="n">
        <v>5149</v>
      </c>
      <c r="D133" s="7" t="s">
        <v>25</v>
      </c>
      <c r="E133" s="7" t="n">
        <v>17380</v>
      </c>
      <c r="F133" s="7" t="n">
        <v>16000</v>
      </c>
      <c r="G133" s="8" t="n">
        <v>1380</v>
      </c>
      <c r="H133" s="7" t="s">
        <v>11</v>
      </c>
      <c r="I133" s="7" t="s">
        <v>22</v>
      </c>
      <c r="J133" s="0" t="s">
        <v>23</v>
      </c>
    </row>
    <row r="134" customFormat="false" ht="18" hidden="false" customHeight="false" outlineLevel="0" collapsed="false">
      <c r="A134" s="5" t="n">
        <v>45289</v>
      </c>
      <c r="B134" s="6" t="n">
        <v>0.441666666666667</v>
      </c>
      <c r="C134" s="7" t="n">
        <v>33658</v>
      </c>
      <c r="D134" s="7" t="s">
        <v>16</v>
      </c>
      <c r="E134" s="7" t="n">
        <v>2660</v>
      </c>
      <c r="F134" s="7" t="n">
        <v>2380</v>
      </c>
      <c r="G134" s="8" t="n">
        <v>280</v>
      </c>
      <c r="H134" s="7" t="s">
        <v>11</v>
      </c>
      <c r="I134" s="7" t="s">
        <v>12</v>
      </c>
      <c r="J134" s="0" t="s">
        <v>13</v>
      </c>
    </row>
    <row r="135" customFormat="false" ht="18" hidden="false" customHeight="false" outlineLevel="0" collapsed="false">
      <c r="A135" s="5" t="n">
        <v>45289</v>
      </c>
      <c r="B135" s="6" t="n">
        <v>0.515277777777778</v>
      </c>
      <c r="C135" s="7" t="n">
        <v>33663</v>
      </c>
      <c r="D135" s="7" t="s">
        <v>21</v>
      </c>
      <c r="E135" s="7" t="n">
        <v>3280</v>
      </c>
      <c r="F135" s="7" t="n">
        <v>2820</v>
      </c>
      <c r="G135" s="8" t="n">
        <v>460</v>
      </c>
      <c r="H135" s="7" t="s">
        <v>11</v>
      </c>
      <c r="I135" s="7" t="s">
        <v>20</v>
      </c>
      <c r="J135" s="0" t="s">
        <v>13</v>
      </c>
    </row>
    <row r="136" customFormat="false" ht="18" hidden="false" customHeight="false" outlineLevel="0" collapsed="false">
      <c r="A136" s="5" t="n">
        <v>45289</v>
      </c>
      <c r="B136" s="6" t="n">
        <v>0.227083333333333</v>
      </c>
      <c r="C136" s="7" t="n">
        <v>33643</v>
      </c>
      <c r="D136" s="7" t="s">
        <v>25</v>
      </c>
      <c r="E136" s="7" t="n">
        <v>24580</v>
      </c>
      <c r="F136" s="7" t="n">
        <v>15960</v>
      </c>
      <c r="G136" s="8" t="n">
        <v>8620</v>
      </c>
      <c r="H136" s="7" t="s">
        <v>11</v>
      </c>
      <c r="I136" s="7" t="s">
        <v>12</v>
      </c>
      <c r="J136" s="0" t="s">
        <v>13</v>
      </c>
    </row>
    <row r="137" customFormat="false" ht="18" hidden="false" customHeight="false" outlineLevel="0" collapsed="false">
      <c r="A137" s="5" t="n">
        <v>45289</v>
      </c>
      <c r="B137" s="6" t="n">
        <v>0.236805555555556</v>
      </c>
      <c r="C137" s="7" t="n">
        <v>33644</v>
      </c>
      <c r="D137" s="7" t="s">
        <v>15</v>
      </c>
      <c r="E137" s="7" t="n">
        <v>4800</v>
      </c>
      <c r="F137" s="7" t="n">
        <v>3820</v>
      </c>
      <c r="G137" s="8" t="n">
        <v>980</v>
      </c>
      <c r="H137" s="7" t="s">
        <v>11</v>
      </c>
      <c r="I137" s="7" t="s">
        <v>12</v>
      </c>
      <c r="J137" s="0" t="s">
        <v>13</v>
      </c>
    </row>
    <row r="138" customFormat="false" ht="18" hidden="false" customHeight="false" outlineLevel="0" collapsed="false">
      <c r="A138" s="5" t="n">
        <v>45289</v>
      </c>
      <c r="B138" s="6" t="n">
        <v>0.128472222222222</v>
      </c>
      <c r="C138" s="7" t="n">
        <v>33639</v>
      </c>
      <c r="D138" s="7" t="s">
        <v>14</v>
      </c>
      <c r="E138" s="7" t="n">
        <v>18020</v>
      </c>
      <c r="F138" s="7" t="n">
        <v>13420</v>
      </c>
      <c r="G138" s="8" t="n">
        <v>4600</v>
      </c>
      <c r="H138" s="7" t="s">
        <v>11</v>
      </c>
      <c r="I138" s="7" t="s">
        <v>12</v>
      </c>
      <c r="J138" s="0" t="s">
        <v>13</v>
      </c>
    </row>
    <row r="139" customFormat="false" ht="18" hidden="false" customHeight="false" outlineLevel="0" collapsed="false">
      <c r="A139" s="5" t="n">
        <v>45290</v>
      </c>
      <c r="B139" s="6" t="n">
        <v>0.158333333333333</v>
      </c>
      <c r="C139" s="7" t="n">
        <v>33674</v>
      </c>
      <c r="D139" s="7" t="s">
        <v>14</v>
      </c>
      <c r="E139" s="7" t="n">
        <v>18900</v>
      </c>
      <c r="F139" s="7" t="n">
        <v>13360</v>
      </c>
      <c r="G139" s="8" t="n">
        <v>5540</v>
      </c>
      <c r="H139" s="7" t="s">
        <v>11</v>
      </c>
      <c r="I139" s="7" t="s">
        <v>12</v>
      </c>
      <c r="J139" s="0" t="s">
        <v>13</v>
      </c>
    </row>
    <row r="140" customFormat="false" ht="18" hidden="false" customHeight="false" outlineLevel="0" collapsed="false">
      <c r="A140" s="5" t="n">
        <v>45290</v>
      </c>
      <c r="B140" s="6" t="n">
        <v>0.233333333333333</v>
      </c>
      <c r="C140" s="7" t="n">
        <v>33684</v>
      </c>
      <c r="D140" s="7" t="s">
        <v>25</v>
      </c>
      <c r="E140" s="7" t="n">
        <v>26180</v>
      </c>
      <c r="F140" s="7" t="n">
        <v>16020</v>
      </c>
      <c r="G140" s="8" t="n">
        <v>10160</v>
      </c>
      <c r="H140" s="7" t="s">
        <v>11</v>
      </c>
      <c r="I140" s="7" t="s">
        <v>12</v>
      </c>
      <c r="J140" s="0" t="s">
        <v>13</v>
      </c>
    </row>
    <row r="141" customFormat="false" ht="18" hidden="false" customHeight="false" outlineLevel="0" collapsed="false">
      <c r="A141" s="5" t="n">
        <v>45290</v>
      </c>
      <c r="B141" s="6" t="n">
        <v>0.242361111111111</v>
      </c>
      <c r="C141" s="7" t="n">
        <v>33685</v>
      </c>
      <c r="D141" s="7" t="s">
        <v>15</v>
      </c>
      <c r="E141" s="7" t="n">
        <v>4860</v>
      </c>
      <c r="F141" s="7" t="n">
        <v>3800</v>
      </c>
      <c r="G141" s="8" t="n">
        <v>1060</v>
      </c>
      <c r="H141" s="7" t="s">
        <v>11</v>
      </c>
      <c r="I141" s="7" t="s">
        <v>12</v>
      </c>
      <c r="J141" s="0" t="s">
        <v>13</v>
      </c>
    </row>
    <row r="142" customFormat="false" ht="18" hidden="false" customHeight="false" outlineLevel="0" collapsed="false">
      <c r="A142" s="5" t="n">
        <v>45290</v>
      </c>
      <c r="B142" s="6" t="n">
        <v>0.486111111111111</v>
      </c>
      <c r="C142" s="7" t="n">
        <v>33693</v>
      </c>
      <c r="D142" s="7" t="s">
        <v>17</v>
      </c>
      <c r="E142" s="7" t="n">
        <v>6500</v>
      </c>
      <c r="F142" s="7" t="n">
        <v>5480</v>
      </c>
      <c r="G142" s="8" t="n">
        <v>1020</v>
      </c>
      <c r="H142" s="7" t="s">
        <v>11</v>
      </c>
      <c r="I142" s="7" t="s">
        <v>18</v>
      </c>
      <c r="J142" s="0" t="s">
        <v>13</v>
      </c>
    </row>
    <row r="143" customFormat="false" ht="18" hidden="false" customHeight="false" outlineLevel="0" collapsed="false">
      <c r="A143" s="5" t="n">
        <v>45290</v>
      </c>
      <c r="B143" s="6" t="n">
        <v>0.459722222222222</v>
      </c>
      <c r="C143" s="7" t="n">
        <v>33692</v>
      </c>
      <c r="D143" s="7" t="s">
        <v>16</v>
      </c>
      <c r="E143" s="7" t="n">
        <v>2580</v>
      </c>
      <c r="F143" s="7" t="n">
        <v>2380</v>
      </c>
      <c r="G143" s="8" t="n">
        <v>200</v>
      </c>
      <c r="H143" s="7" t="s">
        <v>11</v>
      </c>
      <c r="I143" s="7" t="s">
        <v>12</v>
      </c>
      <c r="J143" s="0" t="s">
        <v>13</v>
      </c>
    </row>
    <row r="144" customFormat="false" ht="18" hidden="false" customHeight="false" outlineLevel="0" collapsed="false">
      <c r="A144" s="5" t="n">
        <v>45291</v>
      </c>
      <c r="B144" s="10" t="n">
        <v>0.218055555555556</v>
      </c>
      <c r="C144" s="11" t="n">
        <v>33700</v>
      </c>
      <c r="D144" s="11" t="s">
        <v>25</v>
      </c>
      <c r="E144" s="7" t="n">
        <v>24560</v>
      </c>
      <c r="F144" s="7" t="n">
        <v>16000</v>
      </c>
      <c r="G144" s="8" t="n">
        <v>8560</v>
      </c>
      <c r="H144" s="7" t="s">
        <v>11</v>
      </c>
      <c r="I144" s="7" t="s">
        <v>12</v>
      </c>
      <c r="J144" s="0" t="s">
        <v>13</v>
      </c>
    </row>
    <row r="145" customFormat="false" ht="18" hidden="false" customHeight="false" outlineLevel="0" collapsed="false">
      <c r="A145" s="5" t="n">
        <v>45291</v>
      </c>
      <c r="B145" s="6" t="n">
        <v>0.375694444444445</v>
      </c>
      <c r="C145" s="7" t="n">
        <v>33714</v>
      </c>
      <c r="D145" s="7" t="s">
        <v>21</v>
      </c>
      <c r="E145" s="7" t="n">
        <v>3040</v>
      </c>
      <c r="F145" s="7" t="n">
        <v>2620</v>
      </c>
      <c r="G145" s="8" t="n">
        <v>420</v>
      </c>
      <c r="H145" s="7" t="s">
        <v>11</v>
      </c>
      <c r="I145" s="7" t="s">
        <v>12</v>
      </c>
      <c r="J145" s="0" t="s">
        <v>13</v>
      </c>
    </row>
    <row r="146" customFormat="false" ht="18" hidden="false" customHeight="false" outlineLevel="0" collapsed="false">
      <c r="A146" s="5" t="n">
        <v>45291</v>
      </c>
      <c r="B146" s="6" t="n">
        <v>0.497916666666667</v>
      </c>
      <c r="C146" s="7" t="n">
        <v>33715</v>
      </c>
      <c r="D146" s="7" t="s">
        <v>16</v>
      </c>
      <c r="E146" s="7" t="n">
        <v>2660</v>
      </c>
      <c r="F146" s="7" t="n">
        <v>2380</v>
      </c>
      <c r="G146" s="8" t="n">
        <v>280</v>
      </c>
      <c r="H146" s="7" t="s">
        <v>11</v>
      </c>
      <c r="I146" s="7" t="s">
        <v>12</v>
      </c>
      <c r="J146" s="0" t="s">
        <v>13</v>
      </c>
    </row>
    <row r="147" customFormat="false" ht="18" hidden="false" customHeight="false" outlineLevel="0" collapsed="false">
      <c r="A147" s="5" t="n">
        <v>45291</v>
      </c>
      <c r="B147" s="6" t="n">
        <v>0.0958333333333333</v>
      </c>
      <c r="C147" s="7" t="n">
        <v>33697</v>
      </c>
      <c r="D147" s="7" t="s">
        <v>14</v>
      </c>
      <c r="E147" s="7" t="n">
        <v>19440</v>
      </c>
      <c r="F147" s="7" t="n">
        <v>13440</v>
      </c>
      <c r="G147" s="8" t="n">
        <v>6000</v>
      </c>
      <c r="H147" s="7" t="s">
        <v>11</v>
      </c>
      <c r="I147" s="7" t="s">
        <v>12</v>
      </c>
      <c r="J147" s="0" t="s">
        <v>13</v>
      </c>
    </row>
    <row r="148" customFormat="false" ht="18" hidden="false" customHeight="false" outlineLevel="0" collapsed="false">
      <c r="A148" s="5" t="n">
        <v>45291</v>
      </c>
      <c r="B148" s="6" t="n">
        <v>0.178472222222222</v>
      </c>
      <c r="C148" s="7" t="n">
        <v>33704</v>
      </c>
      <c r="D148" s="7" t="s">
        <v>15</v>
      </c>
      <c r="E148" s="7" t="n">
        <v>4960</v>
      </c>
      <c r="F148" s="7" t="n">
        <v>3800</v>
      </c>
      <c r="G148" s="8" t="n">
        <v>1160</v>
      </c>
      <c r="H148" s="7" t="s">
        <v>11</v>
      </c>
      <c r="I148" s="7" t="s">
        <v>12</v>
      </c>
      <c r="J148" s="0" t="s">
        <v>13</v>
      </c>
    </row>
    <row r="149" customFormat="false" ht="18" hidden="false" customHeight="false" outlineLevel="0" collapsed="false">
      <c r="A149" s="5" t="n">
        <v>45288</v>
      </c>
      <c r="B149" s="6" t="n">
        <v>0.517361111111111</v>
      </c>
      <c r="C149" s="7" t="n">
        <v>33630</v>
      </c>
      <c r="D149" s="7" t="s">
        <v>16</v>
      </c>
      <c r="E149" s="7" t="n">
        <v>2780</v>
      </c>
      <c r="F149" s="7" t="n">
        <v>2300</v>
      </c>
      <c r="G149" s="8" t="n">
        <v>480</v>
      </c>
      <c r="H149" s="7" t="s">
        <v>11</v>
      </c>
      <c r="I149" s="7" t="s">
        <v>12</v>
      </c>
      <c r="J149" s="0" t="s">
        <v>13</v>
      </c>
    </row>
    <row r="150" customFormat="false" ht="18" hidden="false" customHeight="false" outlineLevel="0" collapsed="false">
      <c r="A150" s="5" t="n">
        <v>45288</v>
      </c>
      <c r="B150" s="6" t="n">
        <v>0.225694444444444</v>
      </c>
      <c r="C150" s="7" t="n">
        <v>33605</v>
      </c>
      <c r="D150" s="7" t="s">
        <v>25</v>
      </c>
      <c r="E150" s="7" t="n">
        <v>25040</v>
      </c>
      <c r="F150" s="7" t="n">
        <v>16020</v>
      </c>
      <c r="G150" s="8" t="n">
        <v>9020</v>
      </c>
      <c r="H150" s="7" t="s">
        <v>11</v>
      </c>
      <c r="I150" s="7" t="s">
        <v>12</v>
      </c>
      <c r="J150" s="0" t="s">
        <v>13</v>
      </c>
    </row>
    <row r="151" customFormat="false" ht="18" hidden="false" customHeight="false" outlineLevel="0" collapsed="false">
      <c r="A151" s="5" t="n">
        <v>45288</v>
      </c>
      <c r="B151" s="6" t="n">
        <v>0.252083333333333</v>
      </c>
      <c r="C151" s="7" t="n">
        <v>33606</v>
      </c>
      <c r="D151" s="7" t="s">
        <v>15</v>
      </c>
      <c r="E151" s="7" t="n">
        <v>4360</v>
      </c>
      <c r="F151" s="7" t="n">
        <v>3780</v>
      </c>
      <c r="G151" s="8" t="n">
        <v>580</v>
      </c>
      <c r="H151" s="7" t="s">
        <v>11</v>
      </c>
      <c r="I151" s="7" t="s">
        <v>12</v>
      </c>
      <c r="J151" s="0" t="s">
        <v>13</v>
      </c>
    </row>
    <row r="152" customFormat="false" ht="18" hidden="false" customHeight="false" outlineLevel="0" collapsed="false">
      <c r="A152" s="5" t="n">
        <v>45288</v>
      </c>
      <c r="B152" s="6" t="n">
        <v>0.148611111111111</v>
      </c>
      <c r="C152" s="7" t="n">
        <v>33598</v>
      </c>
      <c r="D152" s="7" t="s">
        <v>14</v>
      </c>
      <c r="E152" s="7" t="n">
        <v>19180</v>
      </c>
      <c r="F152" s="7" t="n">
        <v>13460</v>
      </c>
      <c r="G152" s="8" t="n">
        <v>5720</v>
      </c>
      <c r="H152" s="7" t="s">
        <v>11</v>
      </c>
      <c r="I152" s="7" t="s">
        <v>12</v>
      </c>
      <c r="J152" s="0" t="s">
        <v>13</v>
      </c>
    </row>
    <row r="153" customFormat="false" ht="18" hidden="false" customHeight="false" outlineLevel="0" collapsed="false">
      <c r="A153" s="5" t="n">
        <v>45276</v>
      </c>
      <c r="B153" s="6" t="n">
        <v>0.536805555555556</v>
      </c>
      <c r="C153" s="7" t="n">
        <v>33178</v>
      </c>
      <c r="D153" s="7" t="s">
        <v>21</v>
      </c>
      <c r="E153" s="7" t="n">
        <v>3240</v>
      </c>
      <c r="F153" s="7" t="n">
        <v>2800</v>
      </c>
      <c r="G153" s="8" t="n">
        <v>440</v>
      </c>
      <c r="H153" s="7" t="s">
        <v>11</v>
      </c>
      <c r="I153" s="7" t="s">
        <v>12</v>
      </c>
      <c r="J153" s="0" t="s">
        <v>13</v>
      </c>
    </row>
  </sheetData>
  <autoFilter ref="A1:J15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4921875" defaultRowHeight="12.8" zeroHeight="false" outlineLevelRow="0" outlineLevelCol="0"/>
  <sheetData>
    <row r="1" customFormat="false" ht="12.8" hidden="false" customHeight="false" outlineLevel="0" collapsed="false">
      <c r="A1" s="12" t="s">
        <v>0</v>
      </c>
      <c r="B1" s="13" t="s">
        <v>28</v>
      </c>
    </row>
    <row r="3" customFormat="false" ht="12.8" hidden="false" customHeight="false" outlineLevel="0" collapsed="false">
      <c r="A3" s="14" t="s">
        <v>29</v>
      </c>
      <c r="B3" s="15" t="s">
        <v>30</v>
      </c>
      <c r="C3" s="16"/>
      <c r="D3" s="16"/>
      <c r="E3" s="16"/>
      <c r="F3" s="16"/>
      <c r="G3" s="17"/>
    </row>
    <row r="4" customFormat="false" ht="12.8" hidden="false" customHeight="false" outlineLevel="0" collapsed="false">
      <c r="A4" s="18" t="s">
        <v>3</v>
      </c>
      <c r="B4" s="19" t="s">
        <v>20</v>
      </c>
      <c r="C4" s="20" t="s">
        <v>12</v>
      </c>
      <c r="D4" s="20" t="s">
        <v>22</v>
      </c>
      <c r="E4" s="20" t="s">
        <v>24</v>
      </c>
      <c r="F4" s="20" t="s">
        <v>18</v>
      </c>
      <c r="G4" s="21" t="s">
        <v>31</v>
      </c>
    </row>
    <row r="5" customFormat="false" ht="12.8" hidden="false" customHeight="false" outlineLevel="0" collapsed="false">
      <c r="A5" s="22" t="s">
        <v>26</v>
      </c>
      <c r="B5" s="23"/>
      <c r="C5" s="24"/>
      <c r="D5" s="24"/>
      <c r="E5" s="25" t="n">
        <v>1300</v>
      </c>
      <c r="F5" s="26" t="n">
        <v>3760</v>
      </c>
      <c r="G5" s="27" t="n">
        <v>5060</v>
      </c>
    </row>
    <row r="6" customFormat="false" ht="12.8" hidden="false" customHeight="false" outlineLevel="0" collapsed="false">
      <c r="A6" s="28" t="s">
        <v>21</v>
      </c>
      <c r="B6" s="29" t="n">
        <v>1820</v>
      </c>
      <c r="C6" s="30" t="n">
        <v>1240</v>
      </c>
      <c r="D6" s="31"/>
      <c r="E6" s="31"/>
      <c r="F6" s="32"/>
      <c r="G6" s="33" t="n">
        <v>3060</v>
      </c>
    </row>
    <row r="7" customFormat="false" ht="12.8" hidden="false" customHeight="false" outlineLevel="0" collapsed="false">
      <c r="A7" s="28" t="s">
        <v>10</v>
      </c>
      <c r="B7" s="34"/>
      <c r="C7" s="30" t="n">
        <v>161040</v>
      </c>
      <c r="D7" s="30" t="n">
        <v>3480</v>
      </c>
      <c r="E7" s="30" t="n">
        <v>5080</v>
      </c>
      <c r="F7" s="32"/>
      <c r="G7" s="33" t="n">
        <v>169600</v>
      </c>
    </row>
    <row r="8" customFormat="false" ht="12.8" hidden="false" customHeight="false" outlineLevel="0" collapsed="false">
      <c r="A8" s="28" t="s">
        <v>25</v>
      </c>
      <c r="B8" s="34"/>
      <c r="C8" s="30" t="n">
        <v>102340</v>
      </c>
      <c r="D8" s="30" t="n">
        <v>3760</v>
      </c>
      <c r="E8" s="30" t="n">
        <v>1140</v>
      </c>
      <c r="F8" s="32"/>
      <c r="G8" s="33" t="n">
        <v>107240</v>
      </c>
    </row>
    <row r="9" customFormat="false" ht="12.8" hidden="false" customHeight="false" outlineLevel="0" collapsed="false">
      <c r="A9" s="28" t="s">
        <v>27</v>
      </c>
      <c r="B9" s="34"/>
      <c r="C9" s="31"/>
      <c r="D9" s="31"/>
      <c r="E9" s="31"/>
      <c r="F9" s="35" t="n">
        <v>1920</v>
      </c>
      <c r="G9" s="33" t="n">
        <v>1920</v>
      </c>
    </row>
    <row r="10" customFormat="false" ht="12.8" hidden="false" customHeight="false" outlineLevel="0" collapsed="false">
      <c r="A10" s="28" t="s">
        <v>16</v>
      </c>
      <c r="B10" s="34"/>
      <c r="C10" s="30" t="n">
        <v>4660</v>
      </c>
      <c r="D10" s="31"/>
      <c r="E10" s="31"/>
      <c r="F10" s="32"/>
      <c r="G10" s="33" t="n">
        <v>4660</v>
      </c>
    </row>
    <row r="11" customFormat="false" ht="12.8" hidden="false" customHeight="false" outlineLevel="0" collapsed="false">
      <c r="A11" s="28" t="s">
        <v>19</v>
      </c>
      <c r="B11" s="29" t="n">
        <v>820</v>
      </c>
      <c r="C11" s="30" t="n">
        <v>1460</v>
      </c>
      <c r="D11" s="31"/>
      <c r="E11" s="31"/>
      <c r="F11" s="35" t="n">
        <v>4480</v>
      </c>
      <c r="G11" s="33" t="n">
        <v>6760</v>
      </c>
    </row>
    <row r="12" customFormat="false" ht="12.8" hidden="false" customHeight="false" outlineLevel="0" collapsed="false">
      <c r="A12" s="28" t="s">
        <v>14</v>
      </c>
      <c r="B12" s="34"/>
      <c r="C12" s="30" t="n">
        <v>151840</v>
      </c>
      <c r="D12" s="31"/>
      <c r="E12" s="31"/>
      <c r="F12" s="32"/>
      <c r="G12" s="33" t="n">
        <v>151840</v>
      </c>
    </row>
    <row r="13" customFormat="false" ht="12.8" hidden="false" customHeight="false" outlineLevel="0" collapsed="false">
      <c r="A13" s="28" t="s">
        <v>15</v>
      </c>
      <c r="B13" s="34"/>
      <c r="C13" s="30" t="n">
        <v>18060</v>
      </c>
      <c r="D13" s="31"/>
      <c r="E13" s="31"/>
      <c r="F13" s="32"/>
      <c r="G13" s="33" t="n">
        <v>18060</v>
      </c>
    </row>
    <row r="14" customFormat="false" ht="12.8" hidden="false" customHeight="false" outlineLevel="0" collapsed="false">
      <c r="A14" s="28" t="s">
        <v>17</v>
      </c>
      <c r="B14" s="36"/>
      <c r="C14" s="37"/>
      <c r="D14" s="37"/>
      <c r="E14" s="37"/>
      <c r="F14" s="38" t="n">
        <v>6580</v>
      </c>
      <c r="G14" s="39" t="n">
        <v>6580</v>
      </c>
    </row>
    <row r="15" customFormat="false" ht="12.8" hidden="false" customHeight="false" outlineLevel="0" collapsed="false">
      <c r="A15" s="40" t="s">
        <v>31</v>
      </c>
      <c r="B15" s="41" t="n">
        <v>2640</v>
      </c>
      <c r="C15" s="42" t="n">
        <v>440640</v>
      </c>
      <c r="D15" s="42" t="n">
        <v>7240</v>
      </c>
      <c r="E15" s="42" t="n">
        <v>7520</v>
      </c>
      <c r="F15" s="43" t="n">
        <v>16740</v>
      </c>
      <c r="G15" s="44" t="n">
        <v>474780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1" activeCellId="0" sqref="E71"/>
    </sheetView>
  </sheetViews>
  <sheetFormatPr defaultColWidth="10.4921875" defaultRowHeight="14" zeroHeight="false" outlineLevelRow="0" outlineLevelCol="0"/>
  <cols>
    <col collapsed="false" customWidth="true" hidden="false" outlineLevel="0" max="1" min="1" style="45" width="15.1"/>
    <col collapsed="false" customWidth="true" hidden="false" outlineLevel="0" max="2" min="2" style="46" width="17.71"/>
    <col collapsed="false" customWidth="true" hidden="false" outlineLevel="0" max="3" min="3" style="46" width="10.71"/>
    <col collapsed="false" customWidth="true" hidden="false" outlineLevel="0" max="4" min="4" style="45" width="13.46"/>
    <col collapsed="false" customWidth="true" hidden="false" outlineLevel="0" max="6" min="5" style="46" width="11.26"/>
    <col collapsed="false" customWidth="true" hidden="false" outlineLevel="0" max="7" min="7" style="46" width="13.46"/>
    <col collapsed="false" customWidth="true" hidden="false" outlineLevel="0" max="8" min="8" style="46" width="14.53"/>
    <col collapsed="false" customWidth="true" hidden="false" outlineLevel="0" max="9" min="9" style="46" width="15.85"/>
    <col collapsed="false" customWidth="true" hidden="false" outlineLevel="0" max="11" min="10" style="46" width="7.72"/>
    <col collapsed="false" customWidth="true" hidden="false" outlineLevel="0" max="12" min="12" style="46" width="8.17"/>
    <col collapsed="false" customWidth="true" hidden="false" outlineLevel="0" max="13" min="13" style="46" width="12.79"/>
    <col collapsed="false" customWidth="true" hidden="false" outlineLevel="0" max="14" min="14" style="0" width="7.08"/>
    <col collapsed="false" customWidth="true" hidden="false" outlineLevel="0" max="1024" min="15" style="0" width="7.72"/>
  </cols>
  <sheetData>
    <row r="1" customFormat="false" ht="13.8" hidden="false" customHeight="false" outlineLevel="0" collapsed="false">
      <c r="A1" s="45" t="n">
        <v>1</v>
      </c>
      <c r="B1" s="45" t="n">
        <v>2</v>
      </c>
      <c r="C1" s="45" t="n">
        <v>3</v>
      </c>
      <c r="D1" s="45" t="n">
        <v>4</v>
      </c>
      <c r="E1" s="45" t="n">
        <v>5</v>
      </c>
      <c r="F1" s="45" t="n">
        <v>6</v>
      </c>
      <c r="G1" s="45" t="n">
        <v>7</v>
      </c>
    </row>
    <row r="2" customFormat="false" ht="13.8" hidden="false" customHeight="false" outlineLevel="0" collapsed="false">
      <c r="A2" s="47" t="s">
        <v>3</v>
      </c>
      <c r="B2" s="48" t="s">
        <v>32</v>
      </c>
      <c r="C2" s="49" t="s">
        <v>20</v>
      </c>
      <c r="D2" s="49" t="s">
        <v>12</v>
      </c>
      <c r="E2" s="49" t="s">
        <v>22</v>
      </c>
      <c r="F2" s="49" t="s">
        <v>24</v>
      </c>
      <c r="G2" s="49" t="s">
        <v>33</v>
      </c>
      <c r="H2" s="50" t="s">
        <v>31</v>
      </c>
    </row>
    <row r="3" customFormat="false" ht="13.8" hidden="false" customHeight="false" outlineLevel="0" collapsed="false">
      <c r="A3" s="51" t="s">
        <v>26</v>
      </c>
      <c r="B3" s="52"/>
      <c r="C3" s="53"/>
      <c r="D3" s="53"/>
      <c r="E3" s="53"/>
      <c r="F3" s="53" t="n">
        <v>1300</v>
      </c>
      <c r="G3" s="54" t="n">
        <v>3760</v>
      </c>
      <c r="H3" s="55" t="n">
        <f aca="false">SUM(B3:G3)</f>
        <v>5060</v>
      </c>
    </row>
    <row r="4" customFormat="false" ht="13.8" hidden="false" customHeight="false" outlineLevel="0" collapsed="false">
      <c r="A4" s="56" t="s">
        <v>21</v>
      </c>
      <c r="B4" s="57"/>
      <c r="C4" s="58" t="n">
        <v>1820</v>
      </c>
      <c r="D4" s="58" t="n">
        <v>1240</v>
      </c>
      <c r="E4" s="58"/>
      <c r="F4" s="58"/>
      <c r="G4" s="59"/>
      <c r="H4" s="55" t="n">
        <f aca="false">SUM(B4:G4)</f>
        <v>3060</v>
      </c>
    </row>
    <row r="5" customFormat="false" ht="13.8" hidden="false" customHeight="false" outlineLevel="0" collapsed="false">
      <c r="A5" s="56" t="s">
        <v>10</v>
      </c>
      <c r="B5" s="57"/>
      <c r="C5" s="58"/>
      <c r="D5" s="58" t="n">
        <v>161040</v>
      </c>
      <c r="E5" s="58" t="n">
        <v>3480</v>
      </c>
      <c r="F5" s="58" t="n">
        <v>5080</v>
      </c>
      <c r="G5" s="59"/>
      <c r="H5" s="55" t="n">
        <f aca="false">SUM(B5:G5)</f>
        <v>169600</v>
      </c>
    </row>
    <row r="6" customFormat="false" ht="13.8" hidden="false" customHeight="false" outlineLevel="0" collapsed="false">
      <c r="A6" s="56" t="s">
        <v>25</v>
      </c>
      <c r="B6" s="57"/>
      <c r="C6" s="58"/>
      <c r="D6" s="58" t="n">
        <v>102340</v>
      </c>
      <c r="E6" s="58" t="n">
        <v>3760</v>
      </c>
      <c r="F6" s="58" t="n">
        <v>1140</v>
      </c>
      <c r="G6" s="59"/>
      <c r="H6" s="55" t="n">
        <f aca="false">SUM(B6:G6)</f>
        <v>107240</v>
      </c>
    </row>
    <row r="7" customFormat="false" ht="13.8" hidden="false" customHeight="false" outlineLevel="0" collapsed="false">
      <c r="A7" s="56" t="s">
        <v>27</v>
      </c>
      <c r="B7" s="57"/>
      <c r="C7" s="58"/>
      <c r="D7" s="58"/>
      <c r="E7" s="58"/>
      <c r="F7" s="58"/>
      <c r="G7" s="59" t="n">
        <v>1920</v>
      </c>
      <c r="H7" s="55" t="n">
        <f aca="false">SUM(B7:G7)</f>
        <v>1920</v>
      </c>
    </row>
    <row r="8" customFormat="false" ht="13.8" hidden="false" customHeight="false" outlineLevel="0" collapsed="false">
      <c r="A8" s="56" t="s">
        <v>16</v>
      </c>
      <c r="B8" s="57"/>
      <c r="C8" s="58"/>
      <c r="D8" s="58" t="n">
        <v>4660</v>
      </c>
      <c r="E8" s="58"/>
      <c r="F8" s="58"/>
      <c r="G8" s="59"/>
      <c r="H8" s="55" t="n">
        <f aca="false">SUM(B8:G8)</f>
        <v>4660</v>
      </c>
    </row>
    <row r="9" customFormat="false" ht="13.8" hidden="false" customHeight="false" outlineLevel="0" collapsed="false">
      <c r="A9" s="56" t="s">
        <v>19</v>
      </c>
      <c r="B9" s="57"/>
      <c r="C9" s="58" t="n">
        <v>820</v>
      </c>
      <c r="D9" s="58" t="n">
        <v>1460</v>
      </c>
      <c r="E9" s="58"/>
      <c r="F9" s="58"/>
      <c r="G9" s="59" t="n">
        <v>4480</v>
      </c>
      <c r="H9" s="55" t="n">
        <f aca="false">SUM(B9:G9)</f>
        <v>6760</v>
      </c>
    </row>
    <row r="10" customFormat="false" ht="13.8" hidden="false" customHeight="false" outlineLevel="0" collapsed="false">
      <c r="A10" s="56" t="s">
        <v>14</v>
      </c>
      <c r="B10" s="57"/>
      <c r="C10" s="58"/>
      <c r="D10" s="58" t="n">
        <v>151840</v>
      </c>
      <c r="E10" s="58"/>
      <c r="F10" s="58"/>
      <c r="G10" s="59"/>
      <c r="H10" s="55" t="n">
        <f aca="false">SUM(B10:G10)</f>
        <v>151840</v>
      </c>
    </row>
    <row r="11" customFormat="false" ht="13.8" hidden="false" customHeight="false" outlineLevel="0" collapsed="false">
      <c r="A11" s="56" t="s">
        <v>15</v>
      </c>
      <c r="B11" s="57"/>
      <c r="C11" s="58"/>
      <c r="D11" s="58" t="n">
        <v>18060</v>
      </c>
      <c r="E11" s="58"/>
      <c r="F11" s="58"/>
      <c r="G11" s="59"/>
      <c r="H11" s="55" t="n">
        <f aca="false">SUM(B11:G11)</f>
        <v>18060</v>
      </c>
    </row>
    <row r="12" customFormat="false" ht="13.8" hidden="false" customHeight="false" outlineLevel="0" collapsed="false">
      <c r="A12" s="56" t="s">
        <v>17</v>
      </c>
      <c r="B12" s="57"/>
      <c r="C12" s="58"/>
      <c r="D12" s="58"/>
      <c r="E12" s="58"/>
      <c r="F12" s="58"/>
      <c r="G12" s="59" t="n">
        <v>6580</v>
      </c>
      <c r="H12" s="55" t="n">
        <f aca="false">SUM(B12:G12)</f>
        <v>6580</v>
      </c>
    </row>
    <row r="13" customFormat="false" ht="13.8" hidden="false" customHeight="false" outlineLevel="0" collapsed="false">
      <c r="A13" s="56"/>
      <c r="B13" s="60"/>
      <c r="C13" s="61"/>
      <c r="D13" s="61"/>
      <c r="E13" s="61"/>
      <c r="F13" s="61"/>
      <c r="G13" s="62"/>
      <c r="H13" s="55" t="n">
        <f aca="false">SUM(B13:G13)</f>
        <v>0</v>
      </c>
    </row>
    <row r="14" customFormat="false" ht="13.8" hidden="false" customHeight="false" outlineLevel="0" collapsed="false">
      <c r="A14" s="46"/>
      <c r="B14" s="63"/>
      <c r="C14" s="63"/>
      <c r="D14" s="63"/>
      <c r="E14" s="63"/>
      <c r="F14" s="63"/>
      <c r="G14" s="63"/>
      <c r="H14" s="55" t="n">
        <f aca="false">SUM(B14:G14)</f>
        <v>0</v>
      </c>
    </row>
    <row r="15" customFormat="false" ht="13.8" hidden="false" customHeight="false" outlineLevel="0" collapsed="false">
      <c r="A15" s="50" t="s">
        <v>31</v>
      </c>
      <c r="B15" s="64" t="n">
        <f aca="false">SUM(B3:B14)</f>
        <v>0</v>
      </c>
      <c r="C15" s="64" t="n">
        <f aca="false">SUM(C3:C14)</f>
        <v>2640</v>
      </c>
      <c r="D15" s="64" t="n">
        <f aca="false">SUM(D3:D14)</f>
        <v>440640</v>
      </c>
      <c r="E15" s="64" t="n">
        <f aca="false">SUM(E3:E14)</f>
        <v>7240</v>
      </c>
      <c r="F15" s="64" t="n">
        <f aca="false">SUM(F3:F14)</f>
        <v>7520</v>
      </c>
      <c r="G15" s="64" t="n">
        <f aca="false">SUM(G3:G14)</f>
        <v>16740</v>
      </c>
      <c r="H15" s="65" t="n">
        <f aca="false">SUM(B15:G15)</f>
        <v>474780</v>
      </c>
    </row>
    <row r="16" customFormat="false" ht="13.8" hidden="false" customHeight="false" outlineLevel="0" collapsed="false">
      <c r="A16" s="66" t="s">
        <v>34</v>
      </c>
      <c r="B16" s="67" t="n">
        <f aca="false">+E79</f>
        <v>0</v>
      </c>
      <c r="C16" s="67" t="n">
        <f aca="false">+E73</f>
        <v>2640</v>
      </c>
      <c r="D16" s="67" t="n">
        <f aca="false">+F35</f>
        <v>440640</v>
      </c>
      <c r="E16" s="67" t="n">
        <f aca="false">+E64</f>
        <v>7240</v>
      </c>
      <c r="F16" s="67" t="n">
        <f aca="false">+E56</f>
        <v>7520</v>
      </c>
      <c r="G16" s="67" t="n">
        <f aca="false">+F46</f>
        <v>16740</v>
      </c>
      <c r="H16" s="68" t="n">
        <f aca="false">SUM(B16:G16)</f>
        <v>474780</v>
      </c>
    </row>
    <row r="17" customFormat="false" ht="13.8" hidden="false" customHeight="false" outlineLevel="0" collapsed="false">
      <c r="C17" s="69"/>
      <c r="D17" s="69"/>
      <c r="E17" s="69"/>
      <c r="F17" s="69"/>
      <c r="G17" s="69"/>
      <c r="H17" s="69"/>
    </row>
    <row r="18" customFormat="false" ht="13.8" hidden="false" customHeight="false" outlineLevel="0" collapsed="false">
      <c r="C18" s="69"/>
      <c r="D18" s="69" t="s">
        <v>35</v>
      </c>
      <c r="E18" s="69" t="s">
        <v>36</v>
      </c>
      <c r="F18" s="69" t="s">
        <v>37</v>
      </c>
      <c r="G18" s="69"/>
      <c r="H18" s="69"/>
    </row>
    <row r="19" customFormat="false" ht="13.8" hidden="false" customHeight="false" outlineLevel="0" collapsed="false">
      <c r="A19" s="70" t="s">
        <v>38</v>
      </c>
      <c r="B19" s="70"/>
      <c r="C19" s="70"/>
      <c r="D19" s="71" t="n">
        <f aca="false">+F35+F46+E56+E64+E73+E79</f>
        <v>474780</v>
      </c>
      <c r="E19" s="72" t="n">
        <f aca="false">+G35+G46+F56+F64+F73+F79</f>
        <v>474780</v>
      </c>
      <c r="F19" s="71" t="n">
        <f aca="false">+E19-D19</f>
        <v>0</v>
      </c>
      <c r="G19" s="69"/>
      <c r="H19" s="69"/>
    </row>
    <row r="20" customFormat="false" ht="13.8" hidden="false" customHeight="false" outlineLevel="0" collapsed="false">
      <c r="C20" s="69"/>
      <c r="D20" s="69"/>
      <c r="E20" s="69"/>
      <c r="F20" s="69"/>
      <c r="G20" s="69"/>
      <c r="H20" s="69"/>
    </row>
    <row r="21" customFormat="false" ht="13.8" hidden="false" customHeight="false" outlineLevel="0" collapsed="false">
      <c r="A21" s="46"/>
      <c r="D21" s="46"/>
    </row>
    <row r="22" customFormat="false" ht="13.8" hidden="false" customHeight="false" outlineLevel="0" collapsed="false">
      <c r="A22" s="69" t="s">
        <v>12</v>
      </c>
      <c r="B22" s="69"/>
      <c r="C22" s="69"/>
      <c r="D22" s="69"/>
      <c r="E22" s="69"/>
      <c r="F22" s="69"/>
      <c r="G22" s="69"/>
      <c r="H22" s="69"/>
    </row>
    <row r="23" customFormat="false" ht="13.8" hidden="false" customHeight="false" outlineLevel="0" collapsed="false">
      <c r="A23" s="45" t="s">
        <v>39</v>
      </c>
      <c r="B23" s="46" t="s">
        <v>40</v>
      </c>
      <c r="C23" s="73" t="s">
        <v>41</v>
      </c>
      <c r="D23" s="74" t="s">
        <v>42</v>
      </c>
      <c r="E23" s="73" t="s">
        <v>43</v>
      </c>
      <c r="F23" s="75" t="s">
        <v>44</v>
      </c>
      <c r="G23" s="73" t="s">
        <v>36</v>
      </c>
      <c r="H23" s="73"/>
    </row>
    <row r="24" customFormat="false" ht="13.8" hidden="false" customHeight="false" outlineLevel="0" collapsed="false">
      <c r="A24" s="76" t="n">
        <v>109</v>
      </c>
      <c r="B24" s="77" t="s">
        <v>45</v>
      </c>
      <c r="C24" s="78" t="s">
        <v>26</v>
      </c>
      <c r="D24" s="79"/>
      <c r="E24" s="78"/>
      <c r="F24" s="80"/>
      <c r="G24" s="81" t="n">
        <f aca="false">IFERROR(INDEX($B$3:$G$14,MATCH(C24,$A$3:$A$14,0),MATCH($A$22,$B$2:$G$2,0)),0)</f>
        <v>0</v>
      </c>
      <c r="H24" s="82" t="str">
        <f aca="false">IF(G24=F24,"Bien",G24-F24)</f>
        <v>Bien</v>
      </c>
    </row>
    <row r="25" customFormat="false" ht="13.8" hidden="false" customHeight="false" outlineLevel="0" collapsed="false">
      <c r="A25" s="83" t="n">
        <v>333</v>
      </c>
      <c r="B25" s="84" t="s">
        <v>46</v>
      </c>
      <c r="C25" s="85" t="s">
        <v>21</v>
      </c>
      <c r="D25" s="79" t="s">
        <v>47</v>
      </c>
      <c r="E25" s="73" t="s">
        <v>48</v>
      </c>
      <c r="F25" s="86" t="n">
        <v>1240</v>
      </c>
      <c r="G25" s="87" t="n">
        <f aca="false">IFERROR(INDEX($B$3:$G$14,MATCH(C25,$A$3:$A$14,0),MATCH($A$22,$B$2:$G$2,0)),0)</f>
        <v>1240</v>
      </c>
      <c r="H25" s="88" t="str">
        <f aca="false">IF(G25=F25,"Bien",G25-F25)</f>
        <v>Bien</v>
      </c>
    </row>
    <row r="26" customFormat="false" ht="14.9" hidden="false" customHeight="false" outlineLevel="0" collapsed="false">
      <c r="A26" s="89" t="n">
        <v>320</v>
      </c>
      <c r="B26" s="90" t="s">
        <v>49</v>
      </c>
      <c r="C26" s="73" t="s">
        <v>10</v>
      </c>
      <c r="D26" s="79" t="s">
        <v>47</v>
      </c>
      <c r="E26" s="73" t="s">
        <v>48</v>
      </c>
      <c r="F26" s="86" t="n">
        <v>161040</v>
      </c>
      <c r="G26" s="87" t="n">
        <f aca="false">IFERROR(INDEX($B$3:$G$14,MATCH(C26,$A$3:$A$14,0),MATCH($A$22,$B$2:$G$2,0)),0)</f>
        <v>161040</v>
      </c>
      <c r="H26" s="88" t="str">
        <f aca="false">IF(G26=F26,"Bien",G26-F26)</f>
        <v>Bien</v>
      </c>
    </row>
    <row r="27" customFormat="false" ht="14.9" hidden="false" customHeight="false" outlineLevel="0" collapsed="false">
      <c r="A27" s="89" t="n">
        <v>321</v>
      </c>
      <c r="B27" s="90" t="s">
        <v>50</v>
      </c>
      <c r="C27" s="73" t="s">
        <v>25</v>
      </c>
      <c r="D27" s="79" t="s">
        <v>47</v>
      </c>
      <c r="E27" s="73" t="s">
        <v>48</v>
      </c>
      <c r="F27" s="86" t="n">
        <v>102340</v>
      </c>
      <c r="G27" s="87" t="n">
        <f aca="false">IFERROR(INDEX($B$3:$G$14,MATCH(C27,$A$3:$A$14,0),MATCH($A$22,$B$2:$G$2,0)),0)</f>
        <v>102340</v>
      </c>
      <c r="H27" s="88" t="str">
        <f aca="false">IF(G27=F27,"Bien",G27-F27)</f>
        <v>Bien</v>
      </c>
    </row>
    <row r="28" customFormat="false" ht="13.8" hidden="false" customHeight="false" outlineLevel="0" collapsed="false">
      <c r="A28" s="83" t="n">
        <v>316</v>
      </c>
      <c r="B28" s="46" t="s">
        <v>51</v>
      </c>
      <c r="C28" s="73" t="s">
        <v>16</v>
      </c>
      <c r="D28" s="79" t="s">
        <v>47</v>
      </c>
      <c r="E28" s="73" t="s">
        <v>52</v>
      </c>
      <c r="F28" s="91" t="n">
        <v>4660</v>
      </c>
      <c r="G28" s="87" t="n">
        <f aca="false">IFERROR(INDEX($B$3:$G$14,MATCH(C28,$A$3:$A$14,0),MATCH($A$22,$B$2:$G$2,0)),0)</f>
        <v>4660</v>
      </c>
      <c r="H28" s="88" t="str">
        <f aca="false">IF(G28=F28,"Bien",G28-F28)</f>
        <v>Bien</v>
      </c>
    </row>
    <row r="29" customFormat="false" ht="14.9" hidden="false" customHeight="false" outlineLevel="0" collapsed="false">
      <c r="A29" s="89" t="n">
        <v>196</v>
      </c>
      <c r="B29" s="90" t="s">
        <v>53</v>
      </c>
      <c r="C29" s="73" t="s">
        <v>54</v>
      </c>
      <c r="D29" s="79"/>
      <c r="E29" s="73"/>
      <c r="F29" s="91"/>
      <c r="G29" s="87" t="n">
        <f aca="false">IFERROR(INDEX($B$3:$G$14,MATCH(C29,$A$3:$A$14,0),MATCH($A$22,$B$2:$G$2,0)),0)</f>
        <v>0</v>
      </c>
      <c r="H29" s="88" t="str">
        <f aca="false">IF(G29=F29,"Bien",G29-F29)</f>
        <v>Bien</v>
      </c>
      <c r="I29" s="46" t="s">
        <v>55</v>
      </c>
    </row>
    <row r="30" customFormat="false" ht="13.8" hidden="false" customHeight="false" outlineLevel="0" collapsed="false">
      <c r="A30" s="83" t="n">
        <v>309</v>
      </c>
      <c r="B30" s="46" t="s">
        <v>56</v>
      </c>
      <c r="C30" s="73" t="s">
        <v>19</v>
      </c>
      <c r="D30" s="79" t="s">
        <v>47</v>
      </c>
      <c r="E30" s="73" t="s">
        <v>52</v>
      </c>
      <c r="F30" s="91" t="n">
        <v>1460</v>
      </c>
      <c r="G30" s="87" t="n">
        <f aca="false">IFERROR(INDEX($B$3:$G$14,MATCH(C30,$A$3:$A$14,0),MATCH($A$22,$B$2:$G$2,0)),0)</f>
        <v>1460</v>
      </c>
      <c r="H30" s="88" t="str">
        <f aca="false">IF(G30=F30,"Bien",G30-F30)</f>
        <v>Bien</v>
      </c>
      <c r="L30" s="92"/>
      <c r="M30" s="93"/>
      <c r="N30" s="94"/>
    </row>
    <row r="31" customFormat="false" ht="14.9" hidden="false" customHeight="false" outlineLevel="0" collapsed="false">
      <c r="A31" s="83" t="n">
        <v>318</v>
      </c>
      <c r="B31" s="90" t="s">
        <v>53</v>
      </c>
      <c r="C31" s="73" t="s">
        <v>14</v>
      </c>
      <c r="D31" s="79" t="s">
        <v>47</v>
      </c>
      <c r="E31" s="73" t="s">
        <v>48</v>
      </c>
      <c r="F31" s="91" t="n">
        <v>151840</v>
      </c>
      <c r="G31" s="87" t="n">
        <f aca="false">IFERROR(INDEX($B$3:$G$14,MATCH(C31,$A$3:$A$14,0),MATCH($A$22,$B$2:$G$2,0)),0)</f>
        <v>151840</v>
      </c>
      <c r="H31" s="88" t="str">
        <f aca="false">IF(G31=F31,"Bien",G31-F31)</f>
        <v>Bien</v>
      </c>
      <c r="L31" s="92"/>
      <c r="M31" s="84"/>
      <c r="N31" s="94"/>
    </row>
    <row r="32" customFormat="false" ht="14.9" hidden="false" customHeight="false" outlineLevel="0" collapsed="false">
      <c r="A32" s="83" t="n">
        <v>310</v>
      </c>
      <c r="B32" s="90" t="s">
        <v>57</v>
      </c>
      <c r="C32" s="84" t="s">
        <v>15</v>
      </c>
      <c r="D32" s="79" t="s">
        <v>47</v>
      </c>
      <c r="E32" s="73" t="s">
        <v>48</v>
      </c>
      <c r="F32" s="91" t="n">
        <v>18060</v>
      </c>
      <c r="G32" s="87" t="n">
        <f aca="false">IFERROR(INDEX($B$3:$G$14,MATCH(C32,$A$3:$A$14,0),MATCH($A$22,$B$2:$G$2,0)),0)</f>
        <v>18060</v>
      </c>
      <c r="H32" s="88" t="str">
        <f aca="false">IF(G32=F32,"Bien",G32-F32)</f>
        <v>Bien</v>
      </c>
      <c r="N32" s="90"/>
    </row>
    <row r="33" customFormat="false" ht="13.8" hidden="false" customHeight="false" outlineLevel="0" collapsed="false">
      <c r="A33" s="83" t="n">
        <v>296</v>
      </c>
      <c r="B33" s="84" t="s">
        <v>58</v>
      </c>
      <c r="C33" s="84" t="s">
        <v>17</v>
      </c>
      <c r="D33" s="95"/>
      <c r="E33" s="73"/>
      <c r="F33" s="96"/>
      <c r="G33" s="87" t="n">
        <f aca="false">IFERROR(INDEX($B$3:$G$14,MATCH(C33,$A$3:$A$14,0),MATCH($A$22,$B$2:$G$2,0)),0)</f>
        <v>0</v>
      </c>
      <c r="H33" s="97" t="str">
        <f aca="false">IF(G33=F33,"Bien",G33-F33)</f>
        <v>Bien</v>
      </c>
      <c r="N33" s="90"/>
    </row>
    <row r="34" customFormat="false" ht="13.8" hidden="false" customHeight="false" outlineLevel="0" collapsed="false">
      <c r="A34" s="98"/>
      <c r="B34" s="99" t="s">
        <v>45</v>
      </c>
      <c r="C34" s="99" t="s">
        <v>59</v>
      </c>
      <c r="D34" s="100"/>
      <c r="E34" s="101"/>
      <c r="F34" s="102"/>
      <c r="G34" s="103" t="n">
        <f aca="false">IFERROR(INDEX($B$3:$G$14,MATCH(C34,$A$3:$A$14,0),MATCH($A$22,$B$2:$G$2,0)),0)</f>
        <v>0</v>
      </c>
      <c r="H34" s="104" t="str">
        <f aca="false">IF(G34=F34,"Bien",G34-F34)</f>
        <v>Bien</v>
      </c>
      <c r="I34" s="46" t="s">
        <v>60</v>
      </c>
      <c r="N34" s="90"/>
    </row>
    <row r="35" customFormat="false" ht="13.8" hidden="false" customHeight="false" outlineLevel="0" collapsed="false">
      <c r="C35" s="73"/>
      <c r="D35" s="74"/>
      <c r="E35" s="73"/>
      <c r="F35" s="105" t="n">
        <f aca="false">SUM(F24:F34)</f>
        <v>440640</v>
      </c>
      <c r="G35" s="106" t="n">
        <f aca="false">SUM(G24:G34)</f>
        <v>440640</v>
      </c>
      <c r="H35" s="73"/>
      <c r="I35" s="107" t="str">
        <f aca="false">IF(G35=D15,"OK","Revisar")</f>
        <v>OK</v>
      </c>
      <c r="L35" s="92"/>
      <c r="N35" s="73"/>
    </row>
    <row r="36" customFormat="false" ht="13.8" hidden="false" customHeight="false" outlineLevel="0" collapsed="false">
      <c r="A36" s="69" t="str">
        <f aca="false">+G2</f>
        <v>VOLUMINOSOS</v>
      </c>
      <c r="B36" s="69"/>
      <c r="C36" s="69"/>
      <c r="D36" s="69"/>
      <c r="E36" s="69"/>
      <c r="F36" s="69"/>
      <c r="G36" s="69"/>
      <c r="H36" s="69"/>
      <c r="L36" s="92"/>
      <c r="N36" s="73"/>
    </row>
    <row r="37" customFormat="false" ht="13.8" hidden="false" customHeight="false" outlineLevel="0" collapsed="false">
      <c r="C37" s="73" t="s">
        <v>41</v>
      </c>
      <c r="D37" s="74" t="s">
        <v>61</v>
      </c>
      <c r="E37" s="73" t="s">
        <v>62</v>
      </c>
      <c r="F37" s="105" t="s">
        <v>44</v>
      </c>
      <c r="G37" s="73" t="s">
        <v>36</v>
      </c>
      <c r="H37" s="73"/>
    </row>
    <row r="38" customFormat="false" ht="13.8" hidden="false" customHeight="false" outlineLevel="0" collapsed="false">
      <c r="A38" s="76" t="n">
        <v>109</v>
      </c>
      <c r="B38" s="77" t="s">
        <v>45</v>
      </c>
      <c r="C38" s="78" t="s">
        <v>26</v>
      </c>
      <c r="D38" s="108" t="n">
        <v>2</v>
      </c>
      <c r="E38" s="80" t="n">
        <v>2</v>
      </c>
      <c r="F38" s="80" t="n">
        <v>3760</v>
      </c>
      <c r="G38" s="109" t="n">
        <f aca="false">IFERROR(INDEX($B$3:$G$14,MATCH(C38,$A$3:$A$14,0),MATCH($A$36,$B$2:$G$2,0)),0)</f>
        <v>3760</v>
      </c>
      <c r="H38" s="110" t="str">
        <f aca="false">IF(G38=F38,"Bien",G38-F38)</f>
        <v>Bien</v>
      </c>
    </row>
    <row r="39" customFormat="false" ht="13.8" hidden="false" customHeight="false" outlineLevel="0" collapsed="false">
      <c r="A39" s="83" t="n">
        <v>333</v>
      </c>
      <c r="B39" s="46" t="s">
        <v>46</v>
      </c>
      <c r="C39" s="73" t="s">
        <v>21</v>
      </c>
      <c r="D39" s="111"/>
      <c r="E39" s="75"/>
      <c r="F39" s="75"/>
      <c r="G39" s="112" t="n">
        <f aca="false">IFERROR(INDEX($B$3:$G$14,MATCH(C39,$A$3:$A$14,0),MATCH($A$36,$B$2:$G$2,0)),0)</f>
        <v>0</v>
      </c>
      <c r="H39" s="113" t="str">
        <f aca="false">IF(G39=F39,"Bien",G39-F39)</f>
        <v>Bien</v>
      </c>
    </row>
    <row r="40" customFormat="false" ht="13.8" hidden="false" customHeight="false" outlineLevel="0" collapsed="false">
      <c r="A40" s="83" t="n">
        <v>316</v>
      </c>
      <c r="B40" s="84" t="s">
        <v>51</v>
      </c>
      <c r="C40" s="84" t="s">
        <v>16</v>
      </c>
      <c r="D40" s="111"/>
      <c r="E40" s="75"/>
      <c r="F40" s="75"/>
      <c r="G40" s="112" t="n">
        <f aca="false">IFERROR(INDEX($B$3:$G$14,MATCH(C40,$A$3:$A$14,0),MATCH($A$36,$B$2:$G$2,0)),0)</f>
        <v>0</v>
      </c>
      <c r="H40" s="113" t="str">
        <f aca="false">IF(G40=F40,"Bien",G40-F40)</f>
        <v>Bien</v>
      </c>
    </row>
    <row r="41" customFormat="false" ht="13.8" hidden="false" customHeight="false" outlineLevel="0" collapsed="false">
      <c r="A41" s="83" t="n">
        <v>309</v>
      </c>
      <c r="B41" s="46" t="s">
        <v>56</v>
      </c>
      <c r="C41" s="73" t="s">
        <v>19</v>
      </c>
      <c r="D41" s="111" t="n">
        <v>2</v>
      </c>
      <c r="E41" s="75" t="n">
        <v>7</v>
      </c>
      <c r="F41" s="75" t="n">
        <v>4480</v>
      </c>
      <c r="G41" s="112" t="n">
        <f aca="false">IFERROR(INDEX($B$3:$G$14,MATCH(C41,$A$3:$A$14,0),MATCH($A$36,$B$2:$G$2,0)),0)</f>
        <v>4480</v>
      </c>
      <c r="H41" s="114" t="str">
        <f aca="false">IF(G41=F41,"Bien",G41-F41)</f>
        <v>Bien</v>
      </c>
    </row>
    <row r="42" customFormat="false" ht="13.8" hidden="false" customHeight="false" outlineLevel="0" collapsed="false">
      <c r="A42" s="83" t="n">
        <v>296</v>
      </c>
      <c r="B42" s="84" t="s">
        <v>58</v>
      </c>
      <c r="C42" s="84" t="s">
        <v>17</v>
      </c>
      <c r="D42" s="115" t="n">
        <v>2</v>
      </c>
      <c r="E42" s="116" t="n">
        <v>7</v>
      </c>
      <c r="F42" s="116" t="n">
        <v>6580</v>
      </c>
      <c r="G42" s="112" t="n">
        <f aca="false">IFERROR(INDEX($B$3:$G$14,MATCH(C42,$A$3:$A$14,0),MATCH($A$36,$B$2:$G$2,0)),0)</f>
        <v>6580</v>
      </c>
      <c r="H42" s="114" t="str">
        <f aca="false">IF(G42=F42,"Bien",G42-F42)</f>
        <v>Bien</v>
      </c>
    </row>
    <row r="43" customFormat="false" ht="13.8" hidden="false" customHeight="false" outlineLevel="0" collapsed="false">
      <c r="A43" s="83"/>
      <c r="B43" s="117" t="s">
        <v>45</v>
      </c>
      <c r="C43" s="117" t="s">
        <v>59</v>
      </c>
      <c r="D43" s="115"/>
      <c r="E43" s="116"/>
      <c r="F43" s="116"/>
      <c r="G43" s="112" t="n">
        <f aca="false">IFERROR(INDEX($B$3:$G$14,MATCH(C43,$A$3:$A$14,0),MATCH($A$36,$B$2:$G$2,0)),0)</f>
        <v>0</v>
      </c>
      <c r="H43" s="113" t="str">
        <f aca="false">IF(G43=F43,"Bien",G43-F43)</f>
        <v>Bien</v>
      </c>
    </row>
    <row r="44" customFormat="false" ht="13.8" hidden="false" customHeight="false" outlineLevel="0" collapsed="false">
      <c r="A44" s="83"/>
      <c r="B44" s="84"/>
      <c r="C44" s="117" t="s">
        <v>27</v>
      </c>
      <c r="D44" s="115" t="n">
        <v>2</v>
      </c>
      <c r="E44" s="116" t="n">
        <v>1</v>
      </c>
      <c r="F44" s="116" t="n">
        <v>1920</v>
      </c>
      <c r="G44" s="112" t="n">
        <f aca="false">IFERROR(INDEX($B$3:$G$14,MATCH(C44,$A$3:$A$14,0),MATCH($A$36,$B$2:$G$2,0)),0)</f>
        <v>1920</v>
      </c>
      <c r="H44" s="113" t="str">
        <f aca="false">IF(G44=F44,"Bien",G44-F44)</f>
        <v>Bien</v>
      </c>
    </row>
    <row r="45" customFormat="false" ht="14.9" hidden="false" customHeight="false" outlineLevel="0" collapsed="false">
      <c r="A45" s="98"/>
      <c r="B45" s="118" t="s">
        <v>63</v>
      </c>
      <c r="C45" s="119" t="s">
        <v>64</v>
      </c>
      <c r="D45" s="120"/>
      <c r="E45" s="121"/>
      <c r="F45" s="121"/>
      <c r="G45" s="122" t="n">
        <f aca="false">IFERROR(INDEX($B$3:$G$14,MATCH(C45,$A$3:$A$14,0),MATCH($A$36,$B$2:$G$2,0)),0)</f>
        <v>0</v>
      </c>
      <c r="H45" s="123" t="str">
        <f aca="false">IF(G45=F45,"Bien",G45-F45)</f>
        <v>Bien</v>
      </c>
    </row>
    <row r="46" customFormat="false" ht="13.8" hidden="false" customHeight="false" outlineLevel="0" collapsed="false">
      <c r="A46" s="46"/>
      <c r="D46" s="74"/>
      <c r="E46" s="73"/>
      <c r="F46" s="105" t="n">
        <f aca="false">SUM(F38:F45)</f>
        <v>16740</v>
      </c>
      <c r="G46" s="106" t="n">
        <f aca="false">SUM(G38:G45)</f>
        <v>16740</v>
      </c>
      <c r="H46" s="73"/>
      <c r="I46" s="107" t="str">
        <f aca="false">+IF(G46=G15,"OK","Revisar")</f>
        <v>OK</v>
      </c>
    </row>
    <row r="47" customFormat="false" ht="13.8" hidden="false" customHeight="false" outlineLevel="0" collapsed="false">
      <c r="C47" s="73"/>
      <c r="D47" s="74"/>
      <c r="E47" s="73"/>
      <c r="F47" s="105"/>
      <c r="G47" s="106"/>
      <c r="H47" s="73"/>
    </row>
    <row r="48" customFormat="false" ht="13.8" hidden="false" customHeight="false" outlineLevel="0" collapsed="false">
      <c r="A48" s="69" t="s">
        <v>24</v>
      </c>
      <c r="B48" s="69"/>
      <c r="C48" s="69"/>
      <c r="D48" s="69"/>
      <c r="E48" s="69"/>
      <c r="F48" s="69"/>
      <c r="G48" s="69"/>
      <c r="H48" s="69"/>
    </row>
    <row r="49" customFormat="false" ht="13.8" hidden="false" customHeight="false" outlineLevel="0" collapsed="false">
      <c r="C49" s="124" t="s">
        <v>41</v>
      </c>
      <c r="D49" s="125" t="s">
        <v>62</v>
      </c>
      <c r="E49" s="126" t="s">
        <v>44</v>
      </c>
      <c r="F49" s="127" t="s">
        <v>36</v>
      </c>
      <c r="G49" s="73"/>
      <c r="H49" s="73"/>
    </row>
    <row r="50" customFormat="false" ht="13.8" hidden="false" customHeight="false" outlineLevel="0" collapsed="false">
      <c r="A50" s="128" t="n">
        <v>109</v>
      </c>
      <c r="B50" s="129" t="s">
        <v>45</v>
      </c>
      <c r="C50" s="78" t="s">
        <v>26</v>
      </c>
      <c r="D50" s="130" t="n">
        <v>1</v>
      </c>
      <c r="E50" s="131" t="n">
        <v>1300</v>
      </c>
      <c r="F50" s="132" t="n">
        <f aca="false">IFERROR(INDEX($B$3:$G$14,MATCH(C50,$A$3:$A$14,0),MATCH($A$48,$B$2:$G$2,0)),0)</f>
        <v>1300</v>
      </c>
      <c r="G50" s="110" t="str">
        <f aca="false">IF(F50=E50,"Bien",F50-E50)</f>
        <v>Bien</v>
      </c>
      <c r="H50" s="73"/>
    </row>
    <row r="51" customFormat="false" ht="14.9" hidden="false" customHeight="false" outlineLevel="0" collapsed="false">
      <c r="A51" s="133" t="n">
        <v>320</v>
      </c>
      <c r="B51" s="134" t="s">
        <v>49</v>
      </c>
      <c r="C51" s="73" t="s">
        <v>10</v>
      </c>
      <c r="D51" s="135" t="n">
        <v>2</v>
      </c>
      <c r="E51" s="136" t="n">
        <v>5080</v>
      </c>
      <c r="F51" s="137" t="n">
        <f aca="false">IFERROR(INDEX($B$3:$G$14,MATCH(C51,$A$3:$A$14,0),MATCH($A$48,$B$2:$G$2,0)),0)</f>
        <v>5080</v>
      </c>
      <c r="G51" s="113" t="str">
        <f aca="false">IF(F51=E51,"Bien",F51-E51)</f>
        <v>Bien</v>
      </c>
      <c r="H51" s="73"/>
    </row>
    <row r="52" customFormat="false" ht="14.9" hidden="false" customHeight="false" outlineLevel="0" collapsed="false">
      <c r="A52" s="133" t="n">
        <v>321</v>
      </c>
      <c r="B52" s="134" t="s">
        <v>50</v>
      </c>
      <c r="C52" s="73" t="s">
        <v>25</v>
      </c>
      <c r="D52" s="135" t="n">
        <v>1</v>
      </c>
      <c r="E52" s="136" t="n">
        <v>1140</v>
      </c>
      <c r="F52" s="137" t="n">
        <f aca="false">IFERROR(INDEX($B$3:$G$14,MATCH(C52,$A$3:$A$14,0),MATCH($A$48,$B$2:$G$2,0)),0)</f>
        <v>1140</v>
      </c>
      <c r="G52" s="113" t="str">
        <f aca="false">IF(F52=E52,"Bien",F52-E52)</f>
        <v>Bien</v>
      </c>
      <c r="H52" s="73"/>
    </row>
    <row r="53" customFormat="false" ht="13.8" hidden="false" customHeight="false" outlineLevel="0" collapsed="false">
      <c r="A53" s="138" t="n">
        <v>296</v>
      </c>
      <c r="B53" s="139" t="s">
        <v>58</v>
      </c>
      <c r="C53" s="73" t="s">
        <v>17</v>
      </c>
      <c r="D53" s="135"/>
      <c r="E53" s="140"/>
      <c r="F53" s="137" t="n">
        <f aca="false">IFERROR(INDEX($B$3:$G$14,MATCH(C53,$A$3:$A$14,0),MATCH($A$48,$B$2:$G$2,0)),0)</f>
        <v>0</v>
      </c>
      <c r="G53" s="113" t="str">
        <f aca="false">IF(F53=E53,"Bien",F53-E53)</f>
        <v>Bien</v>
      </c>
      <c r="H53" s="73"/>
    </row>
    <row r="54" customFormat="false" ht="14.9" hidden="false" customHeight="false" outlineLevel="0" collapsed="false">
      <c r="A54" s="133"/>
      <c r="B54" s="141"/>
      <c r="C54" s="142" t="s">
        <v>27</v>
      </c>
      <c r="D54" s="143"/>
      <c r="E54" s="144"/>
      <c r="F54" s="137" t="n">
        <f aca="false">IFERROR(INDEX($B$3:$G$14,MATCH(C54,$A$3:$A$14,0),MATCH($A$48,$B$2:$G$2,0)),0)</f>
        <v>0</v>
      </c>
      <c r="G54" s="113" t="str">
        <f aca="false">IF(F54=E54,"Bien",F54-E54)</f>
        <v>Bien</v>
      </c>
      <c r="H54" s="73"/>
    </row>
    <row r="55" customFormat="false" ht="13.8" hidden="false" customHeight="false" outlineLevel="0" collapsed="false">
      <c r="A55" s="145"/>
      <c r="B55" s="146" t="s">
        <v>45</v>
      </c>
      <c r="C55" s="99" t="s">
        <v>59</v>
      </c>
      <c r="D55" s="147"/>
      <c r="E55" s="148"/>
      <c r="F55" s="149" t="n">
        <f aca="false">IFERROR(INDEX($B$3:$G$14,MATCH(C55,$A$3:$A$14,0),MATCH($A$48,$B$2:$G$2,0)),0)</f>
        <v>0</v>
      </c>
      <c r="G55" s="123" t="str">
        <f aca="false">IF(F55=E55,"Bien",F55-E55)</f>
        <v>Bien</v>
      </c>
      <c r="H55" s="73"/>
    </row>
    <row r="56" customFormat="false" ht="13.8" hidden="false" customHeight="false" outlineLevel="0" collapsed="false">
      <c r="C56" s="73"/>
      <c r="D56" s="135"/>
      <c r="E56" s="106" t="n">
        <f aca="false">SUM(E50:E55)</f>
        <v>7520</v>
      </c>
      <c r="F56" s="106" t="n">
        <f aca="false">SUM(F50:F55)</f>
        <v>7520</v>
      </c>
      <c r="G56" s="73"/>
      <c r="H56" s="73"/>
      <c r="I56" s="107" t="str">
        <f aca="false">+IF(F56=F15,"OK","Revisar")</f>
        <v>OK</v>
      </c>
    </row>
    <row r="57" customFormat="false" ht="13.8" hidden="false" customHeight="false" outlineLevel="0" collapsed="false">
      <c r="A57" s="69" t="s">
        <v>22</v>
      </c>
      <c r="B57" s="69"/>
      <c r="C57" s="69"/>
      <c r="D57" s="69"/>
      <c r="E57" s="69"/>
      <c r="F57" s="69"/>
      <c r="G57" s="69"/>
      <c r="H57" s="73"/>
    </row>
    <row r="58" customFormat="false" ht="13.8" hidden="false" customHeight="false" outlineLevel="0" collapsed="false">
      <c r="C58" s="73" t="s">
        <v>41</v>
      </c>
      <c r="D58" s="74" t="s">
        <v>62</v>
      </c>
      <c r="E58" s="73" t="s">
        <v>44</v>
      </c>
      <c r="F58" s="105" t="s">
        <v>36</v>
      </c>
      <c r="G58" s="73"/>
      <c r="H58" s="73"/>
    </row>
    <row r="59" customFormat="false" ht="13.8" hidden="false" customHeight="false" outlineLevel="0" collapsed="false">
      <c r="A59" s="150" t="n">
        <v>109</v>
      </c>
      <c r="B59" s="151" t="s">
        <v>45</v>
      </c>
      <c r="C59" s="152" t="s">
        <v>26</v>
      </c>
      <c r="D59" s="153"/>
      <c r="E59" s="154"/>
      <c r="F59" s="155" t="n">
        <f aca="false">IFERROR(INDEX($B$3:$G$14,MATCH(C59,$A$3:$A$14,0),MATCH($A$57,$B$2:$G$2,0)),0)</f>
        <v>0</v>
      </c>
      <c r="G59" s="156" t="str">
        <f aca="false">IF(F59=E59,"Bien",F59-E59)</f>
        <v>Bien</v>
      </c>
      <c r="H59" s="73"/>
    </row>
    <row r="60" customFormat="false" ht="14.9" hidden="false" customHeight="false" outlineLevel="0" collapsed="false">
      <c r="A60" s="157" t="n">
        <v>320</v>
      </c>
      <c r="B60" s="90" t="s">
        <v>49</v>
      </c>
      <c r="C60" s="73" t="s">
        <v>10</v>
      </c>
      <c r="D60" s="143" t="n">
        <v>2</v>
      </c>
      <c r="E60" s="144" t="n">
        <v>3480</v>
      </c>
      <c r="F60" s="87" t="n">
        <f aca="false">IFERROR(INDEX($B$3:$G$14,MATCH(C60,$A$3:$A$14,0),MATCH($A$57,$B$2:$G$2,0)),0)</f>
        <v>3480</v>
      </c>
      <c r="G60" s="97" t="str">
        <f aca="false">IF(F60=E60,"Bien",F60-E60)</f>
        <v>Bien</v>
      </c>
      <c r="H60" s="73"/>
    </row>
    <row r="61" customFormat="false" ht="14.9" hidden="false" customHeight="false" outlineLevel="0" collapsed="false">
      <c r="A61" s="157" t="n">
        <v>321</v>
      </c>
      <c r="B61" s="90" t="s">
        <v>50</v>
      </c>
      <c r="C61" s="73" t="s">
        <v>25</v>
      </c>
      <c r="D61" s="143" t="n">
        <v>2</v>
      </c>
      <c r="E61" s="144" t="n">
        <v>3760</v>
      </c>
      <c r="F61" s="87" t="n">
        <f aca="false">IFERROR(INDEX($B$3:$G$14,MATCH(C61,$A$3:$A$14,0),MATCH($A$57,$B$2:$G$2,0)),0)</f>
        <v>3760</v>
      </c>
      <c r="G61" s="97" t="str">
        <f aca="false">IF(F61=E61,"Bien",F61-E61)</f>
        <v>Bien</v>
      </c>
      <c r="H61" s="73"/>
    </row>
    <row r="62" customFormat="false" ht="13.8" hidden="false" customHeight="false" outlineLevel="0" collapsed="false">
      <c r="A62" s="158" t="n">
        <v>296</v>
      </c>
      <c r="B62" s="46" t="s">
        <v>58</v>
      </c>
      <c r="C62" s="73" t="s">
        <v>17</v>
      </c>
      <c r="D62" s="143"/>
      <c r="E62" s="144"/>
      <c r="F62" s="87" t="n">
        <f aca="false">IFERROR(INDEX($B$3:$G$14,MATCH(C62,$A$3:$A$14,0),MATCH($A$57,$B$2:$G$2,0)),0)</f>
        <v>0</v>
      </c>
      <c r="G62" s="97" t="str">
        <f aca="false">IF(F62=E62,"Bien",F62-E62)</f>
        <v>Bien</v>
      </c>
      <c r="H62" s="73"/>
    </row>
    <row r="63" customFormat="false" ht="14.9" hidden="false" customHeight="false" outlineLevel="0" collapsed="false">
      <c r="A63" s="159"/>
      <c r="B63" s="160"/>
      <c r="C63" s="161" t="s">
        <v>27</v>
      </c>
      <c r="D63" s="162"/>
      <c r="E63" s="163"/>
      <c r="F63" s="164" t="n">
        <f aca="false">IFERROR(INDEX($B$3:$G$14,MATCH(C63,$A$3:$A$14,0),MATCH($A$57,$B$2:$G$2,0)),0)</f>
        <v>0</v>
      </c>
      <c r="G63" s="104" t="str">
        <f aca="false">IF(F63=E63,"Bien",F63-E63)</f>
        <v>Bien</v>
      </c>
      <c r="H63" s="73"/>
    </row>
    <row r="64" customFormat="false" ht="13.8" hidden="false" customHeight="false" outlineLevel="0" collapsed="false">
      <c r="C64" s="73"/>
      <c r="D64" s="135"/>
      <c r="E64" s="106" t="n">
        <f aca="false">SUM(E59:E63)</f>
        <v>7240</v>
      </c>
      <c r="F64" s="106" t="n">
        <f aca="false">SUM(F59:F63)</f>
        <v>7240</v>
      </c>
      <c r="G64" s="73"/>
      <c r="H64" s="73"/>
      <c r="I64" s="107" t="str">
        <f aca="false">+IF(F64=E15,"OK","Revisar")</f>
        <v>OK</v>
      </c>
    </row>
    <row r="65" customFormat="false" ht="13.8" hidden="false" customHeight="false" outlineLevel="0" collapsed="false">
      <c r="A65" s="69" t="s">
        <v>20</v>
      </c>
      <c r="B65" s="69"/>
      <c r="C65" s="69"/>
      <c r="D65" s="69"/>
      <c r="E65" s="69"/>
      <c r="F65" s="69"/>
      <c r="G65" s="69"/>
      <c r="H65" s="73"/>
    </row>
    <row r="66" customFormat="false" ht="13.8" hidden="false" customHeight="false" outlineLevel="0" collapsed="false">
      <c r="C66" s="73" t="s">
        <v>41</v>
      </c>
      <c r="D66" s="74" t="s">
        <v>62</v>
      </c>
      <c r="E66" s="73" t="s">
        <v>44</v>
      </c>
      <c r="F66" s="105" t="s">
        <v>36</v>
      </c>
      <c r="G66" s="73"/>
      <c r="H66" s="73"/>
    </row>
    <row r="67" customFormat="false" ht="13.8" hidden="false" customHeight="false" outlineLevel="0" collapsed="false">
      <c r="A67" s="150" t="n">
        <v>109</v>
      </c>
      <c r="B67" s="151" t="s">
        <v>45</v>
      </c>
      <c r="C67" s="152" t="s">
        <v>26</v>
      </c>
      <c r="D67" s="165"/>
      <c r="E67" s="154"/>
      <c r="F67" s="155" t="n">
        <f aca="false">IFERROR(INDEX($B$3:$G$14,MATCH(C67,$A$3:$A$14,0),MATCH($A$65,$B$2:$G$2,0)),0)</f>
        <v>0</v>
      </c>
      <c r="G67" s="156" t="str">
        <f aca="false">IF(F67=E67,"Bien",F67-E67)</f>
        <v>Bien</v>
      </c>
      <c r="H67" s="73"/>
    </row>
    <row r="68" customFormat="false" ht="13.8" hidden="false" customHeight="false" outlineLevel="0" collapsed="false">
      <c r="A68" s="158" t="n">
        <v>333</v>
      </c>
      <c r="B68" s="84" t="s">
        <v>46</v>
      </c>
      <c r="C68" s="84" t="s">
        <v>21</v>
      </c>
      <c r="D68" s="143" t="n">
        <v>5</v>
      </c>
      <c r="E68" s="166" t="n">
        <v>1820</v>
      </c>
      <c r="F68" s="87" t="n">
        <f aca="false">IFERROR(INDEX($B$3:$G$14,MATCH(C68,$A$3:$A$14,0),MATCH($A$65,$B$2:$G$2,0)),0)</f>
        <v>1820</v>
      </c>
      <c r="G68" s="97" t="str">
        <f aca="false">IF(F68=E68,"Bien",F68-E68)</f>
        <v>Bien</v>
      </c>
      <c r="H68" s="73"/>
    </row>
    <row r="69" customFormat="false" ht="14.9" hidden="false" customHeight="false" outlineLevel="0" collapsed="false">
      <c r="A69" s="167"/>
      <c r="B69" s="46" t="s">
        <v>63</v>
      </c>
      <c r="C69" s="90" t="s">
        <v>64</v>
      </c>
      <c r="D69" s="140"/>
      <c r="E69" s="140"/>
      <c r="F69" s="87" t="n">
        <f aca="false">IFERROR(INDEX($B$3:$G$14,MATCH(C69,$A$3:$A$14,0),MATCH($A$65,$B$2:$G$2,0)),0)</f>
        <v>0</v>
      </c>
      <c r="G69" s="97" t="str">
        <f aca="false">IF(F69=E69,"Bien",F69-E69)</f>
        <v>Bien</v>
      </c>
      <c r="H69" s="73"/>
    </row>
    <row r="70" customFormat="false" ht="13.8" hidden="false" customHeight="false" outlineLevel="0" collapsed="false">
      <c r="A70" s="158" t="n">
        <v>316</v>
      </c>
      <c r="B70" s="46" t="s">
        <v>51</v>
      </c>
      <c r="C70" s="73" t="s">
        <v>16</v>
      </c>
      <c r="D70" s="140"/>
      <c r="E70" s="140"/>
      <c r="F70" s="87" t="n">
        <f aca="false">IFERROR(INDEX($B$3:$G$14,MATCH(C70,$A$3:$A$14,0),MATCH($A$65,$B$2:$G$2,0)),0)</f>
        <v>0</v>
      </c>
      <c r="G70" s="97" t="str">
        <f aca="false">IF(F70=E70,"Bien",F70-E70)</f>
        <v>Bien</v>
      </c>
      <c r="H70" s="73"/>
    </row>
    <row r="71" customFormat="false" ht="13.8" hidden="false" customHeight="false" outlineLevel="0" collapsed="false">
      <c r="A71" s="158" t="n">
        <v>309</v>
      </c>
      <c r="B71" s="46" t="s">
        <v>56</v>
      </c>
      <c r="C71" s="73" t="s">
        <v>19</v>
      </c>
      <c r="D71" s="135" t="n">
        <v>1</v>
      </c>
      <c r="E71" s="136" t="n">
        <v>820</v>
      </c>
      <c r="F71" s="87" t="n">
        <f aca="false">IFERROR(INDEX($B$3:$G$14,MATCH(C71,$A$3:$A$14,0),MATCH($A$65,$B$2:$G$2,0)),0)</f>
        <v>820</v>
      </c>
      <c r="G71" s="97" t="str">
        <f aca="false">IF(F71=E71,"Bien",F71-E71)</f>
        <v>Bien</v>
      </c>
      <c r="H71" s="73"/>
    </row>
    <row r="72" customFormat="false" ht="13.8" hidden="false" customHeight="false" outlineLevel="0" collapsed="false">
      <c r="A72" s="168" t="n">
        <v>296</v>
      </c>
      <c r="B72" s="160" t="s">
        <v>58</v>
      </c>
      <c r="C72" s="160" t="s">
        <v>17</v>
      </c>
      <c r="D72" s="162"/>
      <c r="E72" s="169"/>
      <c r="F72" s="164" t="n">
        <f aca="false">IFERROR(INDEX($B$3:$G$14,MATCH(C72,$A$3:$A$14,0),MATCH($A$65,$B$2:$G$2,0)),0)</f>
        <v>0</v>
      </c>
      <c r="G72" s="104" t="str">
        <f aca="false">IF(F72=E72,"Bien",F72-E72)</f>
        <v>Bien</v>
      </c>
      <c r="H72" s="73"/>
    </row>
    <row r="73" customFormat="false" ht="13.8" hidden="false" customHeight="false" outlineLevel="0" collapsed="false">
      <c r="C73" s="73"/>
      <c r="D73" s="135"/>
      <c r="E73" s="106" t="n">
        <f aca="false">SUM(E67:E72)</f>
        <v>2640</v>
      </c>
      <c r="F73" s="106" t="n">
        <f aca="false">SUM(F67:F72)</f>
        <v>2640</v>
      </c>
      <c r="G73" s="73"/>
      <c r="H73" s="73"/>
      <c r="I73" s="107" t="str">
        <f aca="false">+IF(F73=C15,"OK","Revisar")</f>
        <v>OK</v>
      </c>
    </row>
    <row r="74" customFormat="false" ht="13.8" hidden="false" customHeight="false" outlineLevel="0" collapsed="false">
      <c r="A74" s="69" t="s">
        <v>32</v>
      </c>
      <c r="B74" s="69"/>
      <c r="C74" s="69"/>
      <c r="D74" s="69"/>
      <c r="E74" s="69"/>
      <c r="F74" s="69"/>
      <c r="G74" s="69"/>
      <c r="H74" s="73"/>
    </row>
    <row r="75" customFormat="false" ht="13.8" hidden="false" customHeight="false" outlineLevel="0" collapsed="false">
      <c r="C75" s="73" t="s">
        <v>41</v>
      </c>
      <c r="D75" s="74" t="s">
        <v>62</v>
      </c>
      <c r="E75" s="73" t="s">
        <v>44</v>
      </c>
      <c r="F75" s="105" t="s">
        <v>36</v>
      </c>
      <c r="G75" s="73"/>
      <c r="H75" s="73"/>
    </row>
    <row r="76" customFormat="false" ht="13.8" hidden="false" customHeight="false" outlineLevel="0" collapsed="false">
      <c r="A76" s="150" t="n">
        <v>109</v>
      </c>
      <c r="B76" s="151" t="s">
        <v>45</v>
      </c>
      <c r="C76" s="152" t="s">
        <v>26</v>
      </c>
      <c r="D76" s="153"/>
      <c r="E76" s="154"/>
      <c r="F76" s="155" t="n">
        <f aca="false">IFERROR(INDEX($B$3:$G$14,MATCH(C76,$A$3:$A$14,0),MATCH($A$74,$B$2:$G$2,0)),0)</f>
        <v>0</v>
      </c>
      <c r="G76" s="156" t="str">
        <f aca="false">IF(F76=E76,"Bien",F76-E76)</f>
        <v>Bien</v>
      </c>
      <c r="H76" s="73"/>
    </row>
    <row r="77" customFormat="false" ht="13.8" hidden="false" customHeight="false" outlineLevel="0" collapsed="false">
      <c r="A77" s="158" t="n">
        <v>309</v>
      </c>
      <c r="B77" s="46" t="s">
        <v>56</v>
      </c>
      <c r="C77" s="73" t="s">
        <v>19</v>
      </c>
      <c r="D77" s="135"/>
      <c r="E77" s="140"/>
      <c r="F77" s="87" t="n">
        <f aca="false">IFERROR(INDEX($B$3:$G$14,MATCH(C77,$A$3:$A$14,0),MATCH($A$74,$B$2:$G$2,0)),0)</f>
        <v>0</v>
      </c>
      <c r="G77" s="97" t="str">
        <f aca="false">IF(F77=E77,"Bien",F77-E77)</f>
        <v>Bien</v>
      </c>
      <c r="H77" s="73"/>
    </row>
    <row r="78" customFormat="false" ht="13.8" hidden="false" customHeight="false" outlineLevel="0" collapsed="false">
      <c r="A78" s="168" t="n">
        <v>296</v>
      </c>
      <c r="B78" s="160" t="s">
        <v>58</v>
      </c>
      <c r="C78" s="160" t="s">
        <v>17</v>
      </c>
      <c r="D78" s="162"/>
      <c r="E78" s="163"/>
      <c r="F78" s="164" t="n">
        <f aca="false">IFERROR(INDEX($B$3:$G$14,MATCH(C78,$A$3:$A$14,0),MATCH($A$74,$B$2:$G$2,0)),0)</f>
        <v>0</v>
      </c>
      <c r="G78" s="104" t="str">
        <f aca="false">IF(F78=E78,"Bien",F78-E78)</f>
        <v>Bien</v>
      </c>
      <c r="H78" s="73"/>
    </row>
    <row r="79" customFormat="false" ht="13.8" hidden="false" customHeight="false" outlineLevel="0" collapsed="false">
      <c r="C79" s="73"/>
      <c r="D79" s="135"/>
      <c r="E79" s="106" t="n">
        <f aca="false">SUM(E76:E78)</f>
        <v>0</v>
      </c>
      <c r="F79" s="106" t="n">
        <f aca="false">SUM(F76:F78)</f>
        <v>0</v>
      </c>
      <c r="G79" s="73"/>
      <c r="H79" s="73"/>
      <c r="I79" s="107" t="str">
        <f aca="false">+IF(F79=B15,"OK","Revisar")</f>
        <v>OK</v>
      </c>
    </row>
  </sheetData>
  <mergeCells count="7">
    <mergeCell ref="A19:C19"/>
    <mergeCell ref="A22:H22"/>
    <mergeCell ref="A36:H36"/>
    <mergeCell ref="A48:H48"/>
    <mergeCell ref="A57:G57"/>
    <mergeCell ref="A65:G65"/>
    <mergeCell ref="A74:G74"/>
  </mergeCells>
  <conditionalFormatting sqref="H24:H34">
    <cfRule type="cellIs" priority="2" operator="notEqual" aboveAverage="0" equalAverage="0" bottom="0" percent="0" rank="0" text="" dxfId="2">
      <formula>""bien""</formula>
    </cfRule>
  </conditionalFormatting>
  <conditionalFormatting sqref="H38">
    <cfRule type="cellIs" priority="3" operator="notEqual" aboveAverage="0" equalAverage="0" bottom="0" percent="0" rank="0" text="" dxfId="3">
      <formula>""bien""</formula>
    </cfRule>
  </conditionalFormatting>
  <conditionalFormatting sqref="H39:H45">
    <cfRule type="cellIs" priority="4" operator="notEqual" aboveAverage="0" equalAverage="0" bottom="0" percent="0" rank="0" text="" dxfId="4">
      <formula>""bien""</formula>
    </cfRule>
  </conditionalFormatting>
  <conditionalFormatting sqref="G50">
    <cfRule type="cellIs" priority="5" operator="notEqual" aboveAverage="0" equalAverage="0" bottom="0" percent="0" rank="0" text="" dxfId="5">
      <formula>""bien""</formula>
    </cfRule>
  </conditionalFormatting>
  <conditionalFormatting sqref="G51:G55">
    <cfRule type="cellIs" priority="6" operator="notEqual" aboveAverage="0" equalAverage="0" bottom="0" percent="0" rank="0" text="" dxfId="6">
      <formula>""bien""</formula>
    </cfRule>
  </conditionalFormatting>
  <conditionalFormatting sqref="G59">
    <cfRule type="cellIs" priority="7" operator="notEqual" aboveAverage="0" equalAverage="0" bottom="0" percent="0" rank="0" text="" dxfId="7">
      <formula>""bien""</formula>
    </cfRule>
  </conditionalFormatting>
  <conditionalFormatting sqref="G60:G63">
    <cfRule type="cellIs" priority="8" operator="notEqual" aboveAverage="0" equalAverage="0" bottom="0" percent="0" rank="0" text="" dxfId="8">
      <formula>""bien""</formula>
    </cfRule>
  </conditionalFormatting>
  <conditionalFormatting sqref="G67">
    <cfRule type="cellIs" priority="9" operator="notEqual" aboveAverage="0" equalAverage="0" bottom="0" percent="0" rank="0" text="" dxfId="9">
      <formula>""bien""</formula>
    </cfRule>
  </conditionalFormatting>
  <conditionalFormatting sqref="G68:G72">
    <cfRule type="cellIs" priority="10" operator="notEqual" aboveAverage="0" equalAverage="0" bottom="0" percent="0" rank="0" text="" dxfId="10">
      <formula>""bien""</formula>
    </cfRule>
  </conditionalFormatting>
  <conditionalFormatting sqref="G76">
    <cfRule type="cellIs" priority="11" operator="notEqual" aboveAverage="0" equalAverage="0" bottom="0" percent="0" rank="0" text="" dxfId="11">
      <formula>""bien""</formula>
    </cfRule>
  </conditionalFormatting>
  <conditionalFormatting sqref="G77:G78">
    <cfRule type="cellIs" priority="12" operator="notEqual" aboveAverage="0" equalAverage="0" bottom="0" percent="0" rank="0" text="" dxfId="12">
      <formula>""bien""</formula>
    </cfRule>
  </conditionalFormatting>
  <conditionalFormatting sqref="B16:G16">
    <cfRule type="cellIs" priority="13" operator="notEqual" aboveAverage="0" equalAverage="0" bottom="0" percent="0" rank="0" text="" dxfId="13">
      <formula>#REF!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arpeta" ma:contentTypeID="0x012000D96F098ED5E78F49B4E623047188DB6F" ma:contentTypeVersion="0" ma:contentTypeDescription="Crear nueva carpeta." ma:contentTypeScope="" ma:versionID="e9eb27d8e2cb7f102e8d4388d8cfd20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8145ba8b14c3a68460a880463bfe2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Número secundario de elemento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Recuento secundario de carpetas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A8F167-A712-4289-BDD0-34C71CB5E9E9}"/>
</file>

<file path=customXml/itemProps2.xml><?xml version="1.0" encoding="utf-8"?>
<ds:datastoreItem xmlns:ds="http://schemas.openxmlformats.org/officeDocument/2006/customXml" ds:itemID="{C75F8FE1-4702-4C4D-88C6-B72CB0A7E94D}"/>
</file>

<file path=customXml/itemProps3.xml><?xml version="1.0" encoding="utf-8"?>
<ds:datastoreItem xmlns:ds="http://schemas.openxmlformats.org/officeDocument/2006/customXml" ds:itemID="{FD035A44-7219-4786-BCC2-5B98BC2CDF0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2024-01-04T07:40:34Z</dcterms:created>
  <dc:creator>Eliseo Castell Marín</dc:creator>
  <dc:description/>
  <dc:language>es-ES</dc:language>
  <cp:lastModifiedBy/>
  <dcterms:modified xsi:type="dcterms:W3CDTF">2024-02-05T09:43:53Z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