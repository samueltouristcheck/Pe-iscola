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<sst xmlns="http://schemas.openxmlformats.org/spreadsheetml/2006/main" count="33" uniqueCount="33">
  <si>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Nombre Hotel</t>
  </si>
  <si>
    <t xml:space="preserve">Envases mezclados</t>
  </si>
  <si>
    <t xml:space="preserve">Orgánica</t>
  </si>
  <si>
    <t xml:space="preserve">Papel</t>
  </si>
  <si>
    <t xml:space="preserve">mes</t>
  </si>
  <si>
    <t xml:space="preserve">Total Envases</t>
  </si>
  <si>
    <t xml:space="preserve">Total Orgánica</t>
  </si>
  <si>
    <t xml:space="preserve">Total Papel</t>
  </si>
  <si>
    <t xml:space="preserve">APARTHOTEL JARDINES DEL PLAZA</t>
  </si>
  <si>
    <t xml:space="preserve">CAMPING EDÉN</t>
  </si>
  <si>
    <t xml:space="preserve">CAMPING EL CID</t>
  </si>
  <si>
    <t xml:space="preserve">CAMPING FERRER</t>
  </si>
  <si>
    <t xml:space="preserve">CAMPING LA VOLTA</t>
  </si>
  <si>
    <t xml:space="preserve">CAMPING LOS PINOS</t>
  </si>
  <si>
    <t xml:space="preserve">CAMPING VIZMAR</t>
  </si>
  <si>
    <t xml:space="preserve">GRAN HOTEL PEÑÍSCOLA</t>
  </si>
  <si>
    <t xml:space="preserve">HOSTERÍA DEL MAR</t>
  </si>
  <si>
    <t xml:space="preserve">HOTEL ACUALANDIA</t>
  </si>
  <si>
    <t xml:space="preserve">HOTEL ACUASOL</t>
  </si>
  <si>
    <t xml:space="preserve">HOTEL ACUAZUL</t>
  </si>
  <si>
    <t xml:space="preserve">HOTEL ÁGORA</t>
  </si>
  <si>
    <t xml:space="preserve">HOTEL BODEGÓN 2000</t>
  </si>
  <si>
    <t xml:space="preserve">HOTEL CASABLANCA</t>
  </si>
  <si>
    <t xml:space="preserve">HOTEL CASTILLO DE PEÑÍSCOLA</t>
  </si>
  <si>
    <t xml:space="preserve">HOTEL DON CARLOS</t>
  </si>
  <si>
    <t xml:space="preserve">HOTEL HEY</t>
  </si>
  <si>
    <t xml:space="preserve">HOTEL MARÍA CRISTINA</t>
  </si>
  <si>
    <t xml:space="preserve">HOTEL PALACE</t>
  </si>
  <si>
    <t xml:space="preserve">HOTEL PAPA LUNA</t>
  </si>
  <si>
    <t xml:space="preserve">HOTEL PEÑÍSCOLA PLAZA SUITES</t>
  </si>
  <si>
    <t xml:space="preserve">HOTEL PORTO CRISTO</t>
  </si>
  <si>
    <t xml:space="preserve">HOTEL PRADO</t>
  </si>
  <si>
    <t xml:space="preserve">HOTEL PUERTO MAR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</si>
</sst>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mm"/>
  </numFmts>
  <fonts count="4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171875" defaultRowHeight="13.8" zeroHeight="false" outlineLevelRow="0" outlineLevelCol="0"/>
  <cols>
    <col collapsed="false" customWidth="true" hidden="false" outlineLevel="0" max="1" min="1" style="0" width="34.58"/>
    <col collapsed="false" customWidth="true" hidden="false" outlineLevel="0" max="2" min="2" style="0" width="18.26"/>
    <col collapsed="false" customWidth="true" hidden="false" outlineLevel="0" max="6" min="6" style="0" width="13.2"/>
    <col collapsed="false" customWidth="true" hidden="false" outlineLevel="0" max="7" min="7" style="0" width="13.45"/>
    <col collapsed="false" customWidth="true" hidden="false" outlineLevel="0" max="8" min="8" style="0" width="10.54"/>
    <col collapsed="false" customWidth="true" hidden="false" outlineLevel="0" max="16384" min="16383" style="0" width="10.49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1" t="s">
        <v>8</v>
      </c>
      <c r="B2" s="2" t="n">
        <v>0</v>
      </c>
      <c r="C2" s="2" t="n">
        <v>1833.83399209486</v>
      </c>
      <c r="D2" s="2" t="n">
        <v>0</v>
      </c>
      <c r="E2" s="3" t="n">
        <v>45809</v>
      </c>
      <c r="F2" s="2" t="n">
        <f aca="false">+$B$27</f>
        <v>7720</v>
      </c>
      <c r="G2" s="2" t="n">
        <f aca="false">+$C$27</f>
        <v>165700</v>
      </c>
      <c r="H2" s="2" t="n">
        <f aca="false">+$D$27</f>
        <v>15280</v>
      </c>
    </row>
    <row r="3" customFormat="false" ht="13.8" hidden="false" customHeight="false" outlineLevel="0" collapsed="false">
      <c r="A3" s="1" t="s">
        <v>9</v>
      </c>
      <c r="B3" s="2" t="n">
        <v>390</v>
      </c>
      <c r="C3" s="2" t="n">
        <v>16373.5177865613</v>
      </c>
      <c r="D3" s="2" t="n">
        <v>630.262172284644</v>
      </c>
      <c r="E3" s="3" t="n">
        <v>45809</v>
      </c>
      <c r="F3" s="2" t="n">
        <f aca="false">+$B$27</f>
        <v>7720</v>
      </c>
      <c r="G3" s="2" t="n">
        <f aca="false">+$C$27</f>
        <v>165700</v>
      </c>
      <c r="H3" s="2" t="n">
        <f aca="false">+$D$27</f>
        <v>15280</v>
      </c>
    </row>
    <row r="4" customFormat="false" ht="13.8" hidden="false" customHeight="false" outlineLevel="0" collapsed="false">
      <c r="A4" s="1" t="s">
        <v>10</v>
      </c>
      <c r="B4" s="2" t="n">
        <v>90</v>
      </c>
      <c r="C4" s="2" t="n">
        <v>1047.90513833992</v>
      </c>
      <c r="D4" s="2" t="n">
        <v>135.056179775281</v>
      </c>
      <c r="E4" s="3" t="n">
        <v>45809</v>
      </c>
      <c r="F4" s="2" t="n">
        <f aca="false">+$B$27</f>
        <v>7720</v>
      </c>
      <c r="G4" s="2" t="n">
        <f aca="false">+$C$27</f>
        <v>165700</v>
      </c>
      <c r="H4" s="2" t="n">
        <f aca="false">+$D$27</f>
        <v>15280</v>
      </c>
    </row>
    <row r="5" customFormat="false" ht="13.8" hidden="false" customHeight="false" outlineLevel="0" collapsed="false">
      <c r="A5" s="1" t="s">
        <v>11</v>
      </c>
      <c r="B5" s="2" t="n">
        <v>210</v>
      </c>
      <c r="C5" s="2" t="n">
        <v>2881.73913043478</v>
      </c>
      <c r="D5" s="2" t="n">
        <v>360.149812734082</v>
      </c>
      <c r="E5" s="3" t="n">
        <v>45809</v>
      </c>
      <c r="F5" s="2" t="n">
        <f aca="false">+$B$27</f>
        <v>7720</v>
      </c>
      <c r="G5" s="2" t="n">
        <f aca="false">+$C$27</f>
        <v>165700</v>
      </c>
      <c r="H5" s="2" t="n">
        <f aca="false">+$D$27</f>
        <v>15280</v>
      </c>
    </row>
    <row r="6" customFormat="false" ht="13.8" hidden="false" customHeight="false" outlineLevel="0" collapsed="false">
      <c r="A6" s="1" t="s">
        <v>12</v>
      </c>
      <c r="B6" s="2" t="n">
        <v>90</v>
      </c>
      <c r="C6" s="2" t="n">
        <v>523.952569169961</v>
      </c>
      <c r="D6" s="2" t="n">
        <v>135.056179775281</v>
      </c>
      <c r="E6" s="3" t="n">
        <v>45809</v>
      </c>
      <c r="F6" s="2" t="n">
        <f aca="false">+$B$27</f>
        <v>7720</v>
      </c>
      <c r="G6" s="2" t="n">
        <f aca="false">+$C$27</f>
        <v>165700</v>
      </c>
      <c r="H6" s="2" t="n">
        <f aca="false">+$D$27</f>
        <v>15280</v>
      </c>
    </row>
    <row r="7" customFormat="false" ht="13.8" hidden="false" customHeight="false" outlineLevel="0" collapsed="false">
      <c r="A7" s="1" t="s">
        <v>13</v>
      </c>
      <c r="B7" s="2" t="n">
        <v>240</v>
      </c>
      <c r="C7" s="2" t="n">
        <v>3667.66798418972</v>
      </c>
      <c r="D7" s="2" t="n">
        <v>225.093632958802</v>
      </c>
      <c r="E7" s="3" t="n">
        <v>45809</v>
      </c>
      <c r="F7" s="2" t="n">
        <f aca="false">+$B$27</f>
        <v>7720</v>
      </c>
      <c r="G7" s="2" t="n">
        <f aca="false">+$C$27</f>
        <v>165700</v>
      </c>
      <c r="H7" s="2" t="n">
        <f aca="false">+$D$27</f>
        <v>15280</v>
      </c>
    </row>
    <row r="8" customFormat="false" ht="13.8" hidden="false" customHeight="false" outlineLevel="0" collapsed="false">
      <c r="A8" s="1" t="s">
        <v>14</v>
      </c>
      <c r="B8" s="2" t="n">
        <v>150</v>
      </c>
      <c r="C8" s="2" t="n">
        <v>2095.81027667984</v>
      </c>
      <c r="D8" s="2" t="n">
        <v>180.074906367041</v>
      </c>
      <c r="E8" s="3" t="n">
        <v>45809</v>
      </c>
      <c r="F8" s="2" t="n">
        <f aca="false">+$B$27</f>
        <v>7720</v>
      </c>
      <c r="G8" s="2" t="n">
        <f aca="false">+$C$27</f>
        <v>165700</v>
      </c>
      <c r="H8" s="2" t="n">
        <f aca="false">+$D$27</f>
        <v>15280</v>
      </c>
    </row>
    <row r="9" customFormat="false" ht="13.8" hidden="false" customHeight="false" outlineLevel="0" collapsed="false">
      <c r="A9" s="1" t="s">
        <v>15</v>
      </c>
      <c r="B9" s="2" t="n">
        <v>0</v>
      </c>
      <c r="C9" s="2" t="n">
        <v>12181.8972332016</v>
      </c>
      <c r="D9" s="2" t="n">
        <v>0</v>
      </c>
      <c r="E9" s="3" t="n">
        <v>45809</v>
      </c>
      <c r="F9" s="2" t="n">
        <f aca="false">+$B$27</f>
        <v>7720</v>
      </c>
      <c r="G9" s="2" t="n">
        <f aca="false">+$C$27</f>
        <v>165700</v>
      </c>
      <c r="H9" s="2" t="n">
        <f aca="false">+$D$27</f>
        <v>15280</v>
      </c>
    </row>
    <row r="10" customFormat="false" ht="13.8" hidden="false" customHeight="false" outlineLevel="0" collapsed="false">
      <c r="A10" s="1" t="s">
        <v>16</v>
      </c>
      <c r="B10" s="2" t="n">
        <v>210</v>
      </c>
      <c r="C10" s="2" t="n">
        <v>4977.54940711463</v>
      </c>
      <c r="D10" s="2" t="n">
        <v>1125.46816479401</v>
      </c>
      <c r="E10" s="3" t="n">
        <v>45809</v>
      </c>
      <c r="F10" s="2" t="n">
        <f aca="false">+$B$27</f>
        <v>7720</v>
      </c>
      <c r="G10" s="2" t="n">
        <f aca="false">+$C$27</f>
        <v>165700</v>
      </c>
      <c r="H10" s="2" t="n">
        <f aca="false">+$D$27</f>
        <v>15280</v>
      </c>
    </row>
    <row r="11" customFormat="false" ht="13.8" hidden="false" customHeight="false" outlineLevel="0" collapsed="false">
      <c r="A11" s="1" t="s">
        <v>17</v>
      </c>
      <c r="B11" s="2" t="n">
        <v>180</v>
      </c>
      <c r="C11" s="2" t="n">
        <v>10741.0276679842</v>
      </c>
      <c r="D11" s="2" t="n">
        <v>1215.50561797753</v>
      </c>
      <c r="E11" s="3" t="n">
        <v>45809</v>
      </c>
      <c r="F11" s="2" t="n">
        <f aca="false">+$B$27</f>
        <v>7720</v>
      </c>
      <c r="G11" s="2" t="n">
        <f aca="false">+$C$27</f>
        <v>165700</v>
      </c>
      <c r="H11" s="2" t="n">
        <f aca="false">+$D$27</f>
        <v>15280</v>
      </c>
    </row>
    <row r="12" customFormat="false" ht="13.8" hidden="false" customHeight="false" outlineLevel="0" collapsed="false">
      <c r="A12" s="1" t="s">
        <v>18</v>
      </c>
      <c r="B12" s="2" t="n">
        <v>780</v>
      </c>
      <c r="C12" s="2" t="n">
        <v>2750.75098814229</v>
      </c>
      <c r="D12" s="2" t="n">
        <v>1125.46816479401</v>
      </c>
      <c r="E12" s="3" t="n">
        <v>45809</v>
      </c>
      <c r="F12" s="2" t="n">
        <f aca="false">+$B$27</f>
        <v>7720</v>
      </c>
      <c r="G12" s="2" t="n">
        <f aca="false">+$C$27</f>
        <v>165700</v>
      </c>
      <c r="H12" s="2" t="n">
        <f aca="false">+$D$27</f>
        <v>15280</v>
      </c>
    </row>
    <row r="13" customFormat="false" ht="13.8" hidden="false" customHeight="false" outlineLevel="0" collapsed="false">
      <c r="A13" s="1" t="s">
        <v>19</v>
      </c>
      <c r="B13" s="2" t="n">
        <v>240</v>
      </c>
      <c r="C13" s="2" t="n">
        <v>11788.9328063241</v>
      </c>
      <c r="D13" s="2" t="n">
        <v>810.337078651685</v>
      </c>
      <c r="E13" s="3" t="n">
        <v>45809</v>
      </c>
      <c r="F13" s="2" t="n">
        <f aca="false">+$B$27</f>
        <v>7720</v>
      </c>
      <c r="G13" s="2" t="n">
        <f aca="false">+$C$27</f>
        <v>165700</v>
      </c>
      <c r="H13" s="2" t="n">
        <f aca="false">+$D$27</f>
        <v>15280</v>
      </c>
    </row>
    <row r="14" customFormat="false" ht="13.8" hidden="false" customHeight="false" outlineLevel="0" collapsed="false">
      <c r="A14" s="1" t="s">
        <v>20</v>
      </c>
      <c r="B14" s="2" t="n">
        <v>90</v>
      </c>
      <c r="C14" s="2" t="n">
        <v>10872.0158102767</v>
      </c>
      <c r="D14" s="2" t="n">
        <v>2521.04868913858</v>
      </c>
      <c r="E14" s="3" t="n">
        <v>45809</v>
      </c>
      <c r="F14" s="2" t="n">
        <f aca="false">+$B$27</f>
        <v>7720</v>
      </c>
      <c r="G14" s="2" t="n">
        <f aca="false">+$C$27</f>
        <v>165700</v>
      </c>
      <c r="H14" s="2" t="n">
        <f aca="false">+$D$27</f>
        <v>15280</v>
      </c>
    </row>
    <row r="15" customFormat="false" ht="13.8" hidden="false" customHeight="false" outlineLevel="0" collapsed="false">
      <c r="A15" s="1" t="s">
        <v>21</v>
      </c>
      <c r="B15" s="2" t="n">
        <v>60</v>
      </c>
      <c r="C15" s="2" t="n">
        <v>0</v>
      </c>
      <c r="D15" s="2" t="n">
        <v>135.056179775281</v>
      </c>
      <c r="E15" s="3" t="n">
        <v>45809</v>
      </c>
      <c r="F15" s="2" t="n">
        <f aca="false">+$B$27</f>
        <v>7720</v>
      </c>
      <c r="G15" s="2" t="n">
        <f aca="false">+$C$27</f>
        <v>165700</v>
      </c>
      <c r="H15" s="2" t="n">
        <f aca="false">+$D$27</f>
        <v>15280</v>
      </c>
    </row>
    <row r="16" customFormat="false" ht="13.8" hidden="false" customHeight="false" outlineLevel="0" collapsed="false">
      <c r="A16" s="1" t="s">
        <v>22</v>
      </c>
      <c r="B16" s="2" t="n">
        <v>420</v>
      </c>
      <c r="C16" s="2" t="n">
        <v>10479.0513833992</v>
      </c>
      <c r="D16" s="2" t="n">
        <v>900.374531835206</v>
      </c>
      <c r="E16" s="3" t="n">
        <v>45809</v>
      </c>
      <c r="F16" s="2" t="n">
        <f aca="false">+$B$27</f>
        <v>7720</v>
      </c>
      <c r="G16" s="2" t="n">
        <f aca="false">+$C$27</f>
        <v>165700</v>
      </c>
      <c r="H16" s="2" t="n">
        <f aca="false">+$D$27</f>
        <v>15280</v>
      </c>
    </row>
    <row r="17" customFormat="false" ht="13.8" hidden="false" customHeight="false" outlineLevel="0" collapsed="false">
      <c r="A17" s="1" t="s">
        <v>23</v>
      </c>
      <c r="B17" s="2" t="n">
        <v>0</v>
      </c>
      <c r="C17" s="2" t="n">
        <v>0</v>
      </c>
      <c r="D17" s="2" t="n">
        <v>450.187265917603</v>
      </c>
      <c r="E17" s="3" t="n">
        <v>45809</v>
      </c>
      <c r="F17" s="2" t="n">
        <f aca="false">+$B$27</f>
        <v>7720</v>
      </c>
      <c r="G17" s="2" t="n">
        <f aca="false">+$C$27</f>
        <v>165700</v>
      </c>
      <c r="H17" s="2" t="n">
        <f aca="false">+$D$27</f>
        <v>15280</v>
      </c>
    </row>
    <row r="18" customFormat="false" ht="13.8" hidden="false" customHeight="false" outlineLevel="0" collapsed="false">
      <c r="A18" s="1" t="s">
        <v>24</v>
      </c>
      <c r="B18" s="2" t="n">
        <v>90</v>
      </c>
      <c r="C18" s="2" t="n">
        <v>3667.66798418972</v>
      </c>
      <c r="D18" s="2" t="n">
        <v>225.093632958802</v>
      </c>
      <c r="E18" s="3" t="n">
        <v>45809</v>
      </c>
      <c r="F18" s="2" t="n">
        <f aca="false">+$B$27</f>
        <v>7720</v>
      </c>
      <c r="G18" s="2" t="n">
        <f aca="false">+$C$27</f>
        <v>165700</v>
      </c>
      <c r="H18" s="2" t="n">
        <f aca="false">+$D$27</f>
        <v>15280</v>
      </c>
    </row>
    <row r="19" customFormat="false" ht="13.8" hidden="false" customHeight="false" outlineLevel="0" collapsed="false">
      <c r="A19" s="1" t="s">
        <v>25</v>
      </c>
      <c r="B19" s="2" t="n">
        <v>0</v>
      </c>
      <c r="C19" s="2" t="n">
        <v>3143.71541501976</v>
      </c>
      <c r="D19" s="2" t="n">
        <v>135.056179775281</v>
      </c>
      <c r="E19" s="3" t="n">
        <v>45809</v>
      </c>
      <c r="F19" s="2" t="n">
        <f aca="false">+$B$27</f>
        <v>7720</v>
      </c>
      <c r="G19" s="2" t="n">
        <f aca="false">+$C$27</f>
        <v>165700</v>
      </c>
      <c r="H19" s="2" t="n">
        <f aca="false">+$D$27</f>
        <v>15280</v>
      </c>
    </row>
    <row r="20" customFormat="false" ht="13.8" hidden="false" customHeight="false" outlineLevel="0" collapsed="false">
      <c r="A20" s="1" t="s">
        <v>26</v>
      </c>
      <c r="B20" s="2" t="n">
        <v>210</v>
      </c>
      <c r="C20" s="2" t="n">
        <v>3667.66798418972</v>
      </c>
      <c r="D20" s="2" t="n">
        <v>360.149812734082</v>
      </c>
      <c r="E20" s="3" t="n">
        <v>45809</v>
      </c>
      <c r="F20" s="2" t="n">
        <f aca="false">+$B$27</f>
        <v>7720</v>
      </c>
      <c r="G20" s="2" t="n">
        <f aca="false">+$C$27</f>
        <v>165700</v>
      </c>
      <c r="H20" s="2" t="n">
        <f aca="false">+$D$27</f>
        <v>15280</v>
      </c>
    </row>
    <row r="21" customFormat="false" ht="13.8" hidden="false" customHeight="false" outlineLevel="0" collapsed="false">
      <c r="A21" s="1" t="s">
        <v>27</v>
      </c>
      <c r="B21" s="2" t="n">
        <v>420</v>
      </c>
      <c r="C21" s="2" t="n">
        <v>6418.41897233202</v>
      </c>
      <c r="D21" s="2" t="n">
        <v>360.149812734082</v>
      </c>
      <c r="E21" s="3" t="n">
        <v>45809</v>
      </c>
      <c r="F21" s="2" t="n">
        <f aca="false">+$B$27</f>
        <v>7720</v>
      </c>
      <c r="G21" s="2" t="n">
        <f aca="false">+$C$27</f>
        <v>165700</v>
      </c>
      <c r="H21" s="2" t="n">
        <f aca="false">+$D$27</f>
        <v>15280</v>
      </c>
    </row>
    <row r="22" customFormat="false" ht="13.8" hidden="false" customHeight="false" outlineLevel="0" collapsed="false">
      <c r="A22" s="1" t="s">
        <v>28</v>
      </c>
      <c r="B22" s="2" t="n">
        <v>1320</v>
      </c>
      <c r="C22" s="2" t="n">
        <v>14146.7193675889</v>
      </c>
      <c r="D22" s="2" t="n">
        <v>0</v>
      </c>
      <c r="E22" s="3" t="n">
        <v>45809</v>
      </c>
      <c r="F22" s="2" t="n">
        <f aca="false">+$B$27</f>
        <v>7720</v>
      </c>
      <c r="G22" s="2" t="n">
        <f aca="false">+$C$27</f>
        <v>165700</v>
      </c>
      <c r="H22" s="2" t="n">
        <f aca="false">+$D$27</f>
        <v>15280</v>
      </c>
    </row>
    <row r="23" customFormat="false" ht="13.8" hidden="false" customHeight="false" outlineLevel="0" collapsed="false">
      <c r="A23" s="1" t="s">
        <v>29</v>
      </c>
      <c r="B23" s="2" t="n">
        <v>1720</v>
      </c>
      <c r="C23" s="2" t="n">
        <v>20565.1383399209</v>
      </c>
      <c r="D23" s="2" t="n">
        <v>3260</v>
      </c>
      <c r="E23" s="3" t="n">
        <v>45809</v>
      </c>
      <c r="F23" s="2" t="n">
        <f aca="false">+$B$27</f>
        <v>7720</v>
      </c>
      <c r="G23" s="2" t="n">
        <f aca="false">+$C$27</f>
        <v>165700</v>
      </c>
      <c r="H23" s="2" t="n">
        <f aca="false">+$D$27</f>
        <v>15280</v>
      </c>
    </row>
    <row r="24" customFormat="false" ht="13.8" hidden="false" customHeight="false" outlineLevel="0" collapsed="false">
      <c r="A24" s="1" t="s">
        <v>30</v>
      </c>
      <c r="B24" s="2" t="n">
        <v>120</v>
      </c>
      <c r="C24" s="2" t="n">
        <v>13360.790513834</v>
      </c>
      <c r="D24" s="2" t="n">
        <v>270.112359550562</v>
      </c>
      <c r="E24" s="3" t="n">
        <v>45809</v>
      </c>
      <c r="F24" s="2" t="n">
        <f aca="false">+$B$27</f>
        <v>7720</v>
      </c>
      <c r="G24" s="2" t="n">
        <f aca="false">+$C$27</f>
        <v>165700</v>
      </c>
      <c r="H24" s="2" t="n">
        <f aca="false">+$D$27</f>
        <v>15280</v>
      </c>
    </row>
    <row r="25" customFormat="false" ht="13.8" hidden="false" customHeight="false" outlineLevel="0" collapsed="false">
      <c r="A25" s="1" t="s">
        <v>31</v>
      </c>
      <c r="B25" s="2" t="n">
        <v>450</v>
      </c>
      <c r="C25" s="2" t="n">
        <v>8514.22924901186</v>
      </c>
      <c r="D25" s="2" t="n">
        <v>360.149812734082</v>
      </c>
      <c r="E25" s="3" t="n">
        <v>45809</v>
      </c>
      <c r="F25" s="2" t="n">
        <f aca="false">+$B$27</f>
        <v>7720</v>
      </c>
      <c r="G25" s="2" t="n">
        <f aca="false">+$C$27</f>
        <v>165700</v>
      </c>
      <c r="H25" s="2" t="n">
        <f aca="false">+$D$27</f>
        <v>15280</v>
      </c>
    </row>
    <row r="26" customFormat="false" ht="13.8" hidden="false" customHeight="false" outlineLevel="0" collapsed="false">
      <c r="A26" s="0" t="s">
        <v>32</v>
      </c>
      <c r="B26" s="2" t="n">
        <v>240</v>
      </c>
      <c r="C26" s="2" t="n">
        <v>0</v>
      </c>
      <c r="D26" s="2" t="n">
        <v>360.149812734082</v>
      </c>
      <c r="E26" s="3" t="n">
        <v>45809</v>
      </c>
      <c r="F26" s="2" t="n">
        <f aca="false">+$B$27</f>
        <v>7720</v>
      </c>
      <c r="G26" s="2" t="n">
        <f aca="false">+$C$27</f>
        <v>165700</v>
      </c>
      <c r="H26" s="2" t="n">
        <f aca="false">+$D$27</f>
        <v>15280</v>
      </c>
    </row>
    <row r="27" customFormat="false" ht="13.8" hidden="false" customHeight="false" outlineLevel="0" collapsed="false">
      <c r="B27" s="2" t="n">
        <f aca="false">SUM(B2:B26)</f>
        <v>7720</v>
      </c>
      <c r="C27" s="2" t="n">
        <f aca="false">SUM(C2:C26)</f>
        <v>165700</v>
      </c>
      <c r="D27" s="2" t="n">
        <f aca="false">SUM(D2:D26)</f>
        <v>15280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C4CB67-846A-4FED-A14F-F66579A2A182}"/>
</file>

<file path=customXml/itemProps2.xml><?xml version="1.0" encoding="utf-8"?>
<ds:datastoreItem xmlns:ds="http://schemas.openxmlformats.org/officeDocument/2006/customXml" ds:itemID="{685D16F7-38A4-4665-8B5C-1A7F446A62E0}"/>
</file>

<file path=customXml/itemProps3.xml><?xml version="1.0" encoding="utf-8"?>
<ds:datastoreItem xmlns:ds="http://schemas.openxmlformats.org/officeDocument/2006/customXml" ds:itemID="{07CCA598-60B0-444C-94E5-39D2CF9009D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Castell Marín</dc:creator>
  <dc:description/>
  <cp:lastModifiedBy/>
  <cp:revision>2</cp:revision>
  <dcterms:created xsi:type="dcterms:W3CDTF">2025-07-10T09:30:53Z</dcterms:created>
  <dcterms:modified xsi:type="dcterms:W3CDTF">2025-07-11T08:22:53Z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