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Hoja1!$A$1:$J$204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<sst xmlns="http://schemas.openxmlformats.org/spreadsheetml/2006/main" count="1000" uniqueCount="65">
  <si>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</si>
  <si>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</si>
  <si>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</si>
  <si>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</si>
  <si>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</si>
  <si>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</si>
  <si>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</si>
  <si>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</si>
  <si>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</si>
  <si>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</si>
  <si>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</si>
  <si>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</t>
  </si>
  <si>
    <t xml:space="preserve">RSU</t>
  </si>
  <si>
    <t xml:space="preserve">x</t>
  </si>
  <si>
    <t xml:space="preserve">1821KBZ</t>
  </si>
  <si>
    <t xml:space="preserve">1076KSZ</t>
  </si>
  <si>
    <t xml:space="preserve">3686KBG</t>
  </si>
  <si>
    <t xml:space="preserve">PODA</t>
  </si>
  <si>
    <t xml:space="preserve">7957JZS</t>
  </si>
  <si>
    <t xml:space="preserve">VOL</t>
  </si>
  <si>
    <t xml:space="preserve">6120JZX</t>
  </si>
  <si>
    <t xml:space="preserve">7809JZX</t>
  </si>
  <si>
    <t xml:space="preserve">1730KBZ</t>
  </si>
  <si>
    <t xml:space="preserve">SEL.ENV</t>
  </si>
  <si>
    <t xml:space="preserve">6151DMS</t>
  </si>
  <si>
    <t xml:space="preserve">SEL.PAP</t>
  </si>
  <si>
    <t xml:space="preserve">0315BGK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</si>
  <si>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</si>
  <si>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</si>
  <si>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</si>
  <si>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</si>
  <si>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</si>
  <si>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</si>
  <si>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</si>
  <si>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</si>
  <si>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</si>
  <si>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</si>
  <si>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</si>
  <si>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</si>
  <si>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</si>
  <si>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</si>
  <si>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</si>
  <si>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</si>
  <si>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</si>
  <si>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</si>
  <si>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</si>
  <si>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</si>
  <si>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Noche</t>
  </si>
  <si>
    <t xml:space="preserve">Recolector 22 _ 1</t>
  </si>
  <si>
    <t xml:space="preserve">Día/Noche</t>
  </si>
  <si>
    <t xml:space="preserve">Recolector 22 _ 2</t>
  </si>
  <si>
    <t xml:space="preserve">volquete 4x4 LV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</si>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</sst>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4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5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3" createdVersion="3">
  <cacheSource type="worksheet">
    <worksheetSource ref="A1:J204" sheet="Hoja1"/>
  </cacheSource>
  <cacheFields count="10">
    <cacheField name="Fecha" numFmtId="0">
      <sharedItems containsSemiMixedTypes="0" containsNonDate="0" containsDate="1" containsString="0" minDate="2023-11-01T00:00:00" maxDate="2023-11-30T00:00:00" count="30"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</sharedItems>
    </cacheField>
    <cacheField name="Fecha / hora" numFmtId="0">
      <sharedItems containsSemiMixedTypes="0" containsString="0" containsNumber="1" minValue="0.0923611111111111" maxValue="0.938194444444444" count="158">
        <n v="0.0923611111111111"/>
        <n v="0.111805555555556"/>
        <n v="0.115277777777778"/>
        <n v="0.11875"/>
        <n v="0.125694444444444"/>
        <n v="0.127083333333333"/>
        <n v="0.13125"/>
        <n v="0.1375"/>
        <n v="0.138194444444444"/>
        <n v="0.140972222222222"/>
        <n v="0.141666666666667"/>
        <n v="0.14375"/>
        <n v="0.145833333333333"/>
        <n v="0.150694444444444"/>
        <n v="0.151388888888889"/>
        <n v="0.152777777777778"/>
        <n v="0.15625"/>
        <n v="0.158333333333333"/>
        <n v="0.159722222222222"/>
        <n v="0.161111111111111"/>
        <n v="0.163194444444444"/>
        <n v="0.167361111111111"/>
        <n v="0.169444444444444"/>
        <n v="0.170138888888889"/>
        <n v="0.171527777777778"/>
        <n v="0.172916666666667"/>
        <n v="0.175"/>
        <n v="0.175694444444444"/>
        <n v="0.179166666666667"/>
        <n v="0.1875"/>
        <n v="0.197222222222222"/>
        <n v="0.201388888888889"/>
        <n v="0.202083333333333"/>
        <n v="0.204861111111111"/>
        <n v="0.20625"/>
        <n v="0.206944444444444"/>
        <n v="0.207638888888889"/>
        <n v="0.209027777777778"/>
        <n v="0.2125"/>
        <n v="0.213194444444444"/>
        <n v="0.214583333333333"/>
        <n v="0.218055555555556"/>
        <n v="0.21875"/>
        <n v="0.219444444444444"/>
        <n v="0.222916666666667"/>
        <n v="0.223611111111111"/>
        <n v="0.225694444444444"/>
        <n v="0.229861111111111"/>
        <n v="0.234722222222222"/>
        <n v="0.236111111111111"/>
        <n v="0.2375"/>
        <n v="0.238194444444444"/>
        <n v="0.238888888888889"/>
        <n v="0.239583333333333"/>
        <n v="0.241666666666667"/>
        <n v="0.245138888888889"/>
        <n v="0.245833333333333"/>
        <n v="0.247222222222222"/>
        <n v="0.247916666666667"/>
        <n v="0.252777777777778"/>
        <n v="0.253472222222222"/>
        <n v="0.254166666666667"/>
        <n v="0.255555555555556"/>
        <n v="0.25625"/>
        <n v="0.257638888888889"/>
        <n v="0.259027777777778"/>
        <n v="0.2625"/>
        <n v="0.265277777777778"/>
        <n v="0.280555555555556"/>
        <n v="0.283333333333333"/>
        <n v="0.291666666666667"/>
        <n v="0.297916666666667"/>
        <n v="0.300694444444444"/>
        <n v="0.302083333333333"/>
        <n v="0.315972222222222"/>
        <n v="0.336805555555556"/>
        <n v="0.340972222222222"/>
        <n v="0.345833333333333"/>
        <n v="0.346527777777778"/>
        <n v="0.352083333333333"/>
        <n v="0.35625"/>
        <n v="0.365277777777778"/>
        <n v="0.375"/>
        <n v="0.376388888888889"/>
        <n v="0.386111111111111"/>
        <n v="0.390277777777778"/>
        <n v="0.390972222222222"/>
        <n v="0.426388888888889"/>
        <n v="0.428472222222222"/>
        <n v="0.429861111111111"/>
        <n v="0.430555555555556"/>
        <n v="0.43125"/>
        <n v="0.431944444444444"/>
        <n v="0.435416666666667"/>
        <n v="0.440277777777778"/>
        <n v="0.44375"/>
        <n v="0.445138888888889"/>
        <n v="0.452083333333333"/>
        <n v="0.452777777777778"/>
        <n v="0.456944444444444"/>
        <n v="0.457638888888889"/>
        <n v="0.467361111111111"/>
        <n v="0.46875"/>
        <n v="0.472222222222222"/>
        <n v="0.473611111111111"/>
        <n v="0.479166666666667"/>
        <n v="0.480555555555556"/>
        <n v="0.481944444444444"/>
        <n v="0.486805555555556"/>
        <n v="0.4875"/>
        <n v="0.488888888888889"/>
        <n v="0.491666666666667"/>
        <n v="0.493055555555556"/>
        <n v="0.495138888888889"/>
        <n v="0.495833333333333"/>
        <n v="0.497222222222222"/>
        <n v="0.497916666666667"/>
        <n v="0.499305555555556"/>
        <n v="0.501388888888889"/>
        <n v="0.502083333333333"/>
        <n v="0.503472222222222"/>
        <n v="0.504861111111111"/>
        <n v="0.50625"/>
        <n v="0.506944444444444"/>
        <n v="0.507638888888889"/>
        <n v="0.508333333333333"/>
        <n v="0.509722222222222"/>
        <n v="0.510416666666667"/>
        <n v="0.511111111111111"/>
        <n v="0.511805555555556"/>
        <n v="0.5125"/>
        <n v="0.513888888888889"/>
        <n v="0.514583333333333"/>
        <n v="0.515277777777778"/>
        <n v="0.515972222222222"/>
        <n v="0.516666666666667"/>
        <n v="0.518055555555556"/>
        <n v="0.51875"/>
        <n v="0.520833333333333"/>
        <n v="0.529861111111111"/>
        <n v="0.533333333333333"/>
        <n v="0.534027777777778"/>
        <n v="0.534722222222222"/>
        <n v="0.535416666666667"/>
        <n v="0.536111111111111"/>
        <n v="0.536805555555556"/>
        <n v="0.5375"/>
        <n v="0.538194444444444"/>
        <n v="0.538888888888889"/>
        <n v="0.539583333333333"/>
        <n v="0.541666666666667"/>
        <n v="0.542361111111111"/>
        <n v="0.543055555555556"/>
        <n v="0.54375"/>
        <n v="0.545138888888889"/>
        <n v="0.545833333333333"/>
        <n v="0.783333333333333"/>
        <n v="0.938194444444444"/>
      </sharedItems>
    </cacheField>
    <cacheField name="Ticket" numFmtId="0">
      <sharedItems containsSemiMixedTypes="0" containsString="0" containsNumber="1" containsInteger="1" minValue="4993" maxValue="166269" count="203">
        <n v="4993"/>
        <n v="5023"/>
        <n v="5068"/>
        <n v="5084"/>
        <n v="31320"/>
        <n v="31327"/>
        <n v="31328"/>
        <n v="31329"/>
        <n v="31346"/>
        <n v="31352"/>
        <n v="31354"/>
        <n v="31357"/>
        <n v="31362"/>
        <n v="31374"/>
        <n v="31375"/>
        <n v="31380"/>
        <n v="31391"/>
        <n v="31394"/>
        <n v="31397"/>
        <n v="31398"/>
        <n v="31435"/>
        <n v="31436"/>
        <n v="31442"/>
        <n v="31443"/>
        <n v="31451"/>
        <n v="31460"/>
        <n v="31461"/>
        <n v="31462"/>
        <n v="31468"/>
        <n v="31475"/>
        <n v="31481"/>
        <n v="31485"/>
        <n v="31506"/>
        <n v="31522"/>
        <n v="31526"/>
        <n v="31533"/>
        <n v="31536"/>
        <n v="31540"/>
        <n v="31566"/>
        <n v="31585"/>
        <n v="31587"/>
        <n v="31591"/>
        <n v="31598"/>
        <n v="31603"/>
        <n v="31604"/>
        <n v="31615"/>
        <n v="31617"/>
        <n v="31619"/>
        <n v="31620"/>
        <n v="31639"/>
        <n v="31646"/>
        <n v="31649"/>
        <n v="31664"/>
        <n v="31669"/>
        <n v="31673"/>
        <n v="31674"/>
        <n v="31699"/>
        <n v="31701"/>
        <n v="31727"/>
        <n v="31730"/>
        <n v="31733"/>
        <n v="31752"/>
        <n v="31756"/>
        <n v="31761"/>
        <n v="31764"/>
        <n v="31772"/>
        <n v="31778"/>
        <n v="31780"/>
        <n v="31784"/>
        <n v="31787"/>
        <n v="31799"/>
        <n v="31803"/>
        <n v="31804"/>
        <n v="31819"/>
        <n v="31822"/>
        <n v="31831"/>
        <n v="31834"/>
        <n v="31852"/>
        <n v="31854"/>
        <n v="31856"/>
        <n v="31862"/>
        <n v="31866"/>
        <n v="31875"/>
        <n v="31883"/>
        <n v="31888"/>
        <n v="31893"/>
        <n v="31912"/>
        <n v="31914"/>
        <n v="31920"/>
        <n v="31921"/>
        <n v="31925"/>
        <n v="31932"/>
        <n v="31935"/>
        <n v="31948"/>
        <n v="31950"/>
        <n v="31953"/>
        <n v="31977"/>
        <n v="31985"/>
        <n v="31986"/>
        <n v="31993"/>
        <n v="31994"/>
        <n v="32001"/>
        <n v="32015"/>
        <n v="32016"/>
        <n v="32017"/>
        <n v="32020"/>
        <n v="32035"/>
        <n v="32038"/>
        <n v="32042"/>
        <n v="32053"/>
        <n v="32056"/>
        <n v="32063"/>
        <n v="32065"/>
        <n v="32066"/>
        <n v="32079"/>
        <n v="32084"/>
        <n v="32089"/>
        <n v="32097"/>
        <n v="32104"/>
        <n v="32106"/>
        <n v="32109"/>
        <n v="32113"/>
        <n v="32116"/>
        <n v="32127"/>
        <n v="32129"/>
        <n v="32144"/>
        <n v="32152"/>
        <n v="32156"/>
        <n v="32158"/>
        <n v="32173"/>
        <n v="32184"/>
        <n v="32185"/>
        <n v="32203"/>
        <n v="32204"/>
        <n v="32205"/>
        <n v="32216"/>
        <n v="32224"/>
        <n v="32225"/>
        <n v="32231"/>
        <n v="32236"/>
        <n v="32240"/>
        <n v="32243"/>
        <n v="32244"/>
        <n v="32245"/>
        <n v="32262"/>
        <n v="32265"/>
        <n v="32266"/>
        <n v="32273"/>
        <n v="32275"/>
        <n v="32279"/>
        <n v="32280"/>
        <n v="32286"/>
        <n v="32292"/>
        <n v="32293"/>
        <n v="32298"/>
        <n v="32300"/>
        <n v="32302"/>
        <n v="32303"/>
        <n v="32304"/>
        <n v="32320"/>
        <n v="32324"/>
        <n v="32326"/>
        <n v="32330"/>
        <n v="32333"/>
        <n v="32335"/>
        <n v="32340"/>
        <n v="32342"/>
        <n v="32345"/>
        <n v="32349"/>
        <n v="32350"/>
        <n v="32360"/>
        <n v="32367"/>
        <n v="32368"/>
        <n v="32383"/>
        <n v="32390"/>
        <n v="32393"/>
        <n v="32394"/>
        <n v="32415"/>
        <n v="32417"/>
        <n v="32421"/>
        <n v="32427"/>
        <n v="32440"/>
        <n v="32447"/>
        <n v="32448"/>
        <n v="32464"/>
        <n v="32466"/>
        <n v="32471"/>
        <n v="32484"/>
        <n v="32486"/>
        <n v="32493"/>
        <n v="32496"/>
        <n v="32497"/>
        <n v="32514"/>
        <n v="32520"/>
        <n v="32523"/>
        <n v="32545"/>
        <n v="32550"/>
        <n v="32552"/>
        <n v="165149"/>
        <n v="165371"/>
        <n v="165577"/>
        <n v="165930"/>
        <n v="166269"/>
      </sharedItems>
    </cacheField>
    <cacheField name="Matrícula" numFmtId="0">
      <sharedItems count="10">
        <s v="0315BGK"/>
        <s v="1076KSZ"/>
        <s v="1730KBZ"/>
        <s v="1821KBZ"/>
        <s v="3686KBG"/>
        <s v="6120JZX"/>
        <s v="6151DMS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480" maxValue="26140" count="155">
        <n v="2480"/>
        <n v="2500"/>
        <n v="2520"/>
        <n v="2540"/>
        <n v="2580"/>
        <n v="2600"/>
        <n v="2620"/>
        <n v="2640"/>
        <n v="2660"/>
        <n v="2680"/>
        <n v="2800"/>
        <n v="2820"/>
        <n v="2860"/>
        <n v="2880"/>
        <n v="3000"/>
        <n v="3060"/>
        <n v="3080"/>
        <n v="3100"/>
        <n v="3140"/>
        <n v="3160"/>
        <n v="3180"/>
        <n v="3220"/>
        <n v="3300"/>
        <n v="3320"/>
        <n v="3380"/>
        <n v="3400"/>
        <n v="3440"/>
        <n v="3480"/>
        <n v="3500"/>
        <n v="3520"/>
        <n v="3540"/>
        <n v="3580"/>
        <n v="3600"/>
        <n v="3620"/>
        <n v="3660"/>
        <n v="3680"/>
        <n v="3700"/>
        <n v="3720"/>
        <n v="3760"/>
        <n v="3780"/>
        <n v="3820"/>
        <n v="3860"/>
        <n v="3960"/>
        <n v="3980"/>
        <n v="4000"/>
        <n v="4020"/>
        <n v="4060"/>
        <n v="4100"/>
        <n v="4120"/>
        <n v="4140"/>
        <n v="4160"/>
        <n v="4180"/>
        <n v="4200"/>
        <n v="4220"/>
        <n v="4240"/>
        <n v="4260"/>
        <n v="4280"/>
        <n v="4300"/>
        <n v="4340"/>
        <n v="4360"/>
        <n v="4460"/>
        <n v="4520"/>
        <n v="4560"/>
        <n v="4600"/>
        <n v="5840"/>
        <n v="6020"/>
        <n v="6180"/>
        <n v="6220"/>
        <n v="6460"/>
        <n v="6480"/>
        <n v="6520"/>
        <n v="6540"/>
        <n v="6580"/>
        <n v="6600"/>
        <n v="6620"/>
        <n v="6640"/>
        <n v="6860"/>
        <n v="6980"/>
        <n v="7120"/>
        <n v="7240"/>
        <n v="7260"/>
        <n v="13280"/>
        <n v="14520"/>
        <n v="16800"/>
        <n v="16880"/>
        <n v="16920"/>
        <n v="16980"/>
        <n v="17060"/>
        <n v="17140"/>
        <n v="17220"/>
        <n v="17280"/>
        <n v="17320"/>
        <n v="17360"/>
        <n v="17440"/>
        <n v="17500"/>
        <n v="17540"/>
        <n v="17560"/>
        <n v="17600"/>
        <n v="17640"/>
        <n v="17700"/>
        <n v="17760"/>
        <n v="17780"/>
        <n v="17880"/>
        <n v="17940"/>
        <n v="17960"/>
        <n v="18020"/>
        <n v="18300"/>
        <n v="18340"/>
        <n v="18380"/>
        <n v="18480"/>
        <n v="18520"/>
        <n v="18560"/>
        <n v="18600"/>
        <n v="18660"/>
        <n v="18680"/>
        <n v="18820"/>
        <n v="19100"/>
        <n v="19260"/>
        <n v="19280"/>
        <n v="19560"/>
        <n v="19640"/>
        <n v="19700"/>
        <n v="20000"/>
        <n v="20680"/>
        <n v="20880"/>
        <n v="20900"/>
        <n v="20960"/>
        <n v="21260"/>
        <n v="22960"/>
        <n v="23020"/>
        <n v="23060"/>
        <n v="23120"/>
        <n v="23280"/>
        <n v="23380"/>
        <n v="23700"/>
        <n v="23780"/>
        <n v="23860"/>
        <n v="23940"/>
        <n v="24020"/>
        <n v="24200"/>
        <n v="24260"/>
        <n v="24360"/>
        <n v="24380"/>
        <n v="24400"/>
        <n v="24520"/>
        <n v="24820"/>
        <n v="25100"/>
        <n v="25160"/>
        <n v="25360"/>
        <n v="25480"/>
        <n v="25500"/>
        <n v="25520"/>
        <n v="25580"/>
        <n v="25660"/>
        <n v="26140"/>
      </sharedItems>
    </cacheField>
    <cacheField name="Tara" numFmtId="0">
      <sharedItems containsSemiMixedTypes="0" containsString="0" containsNumber="1" containsInteger="1" minValue="2340" maxValue="18860" count="76">
        <n v="2340"/>
        <n v="2360"/>
        <n v="2380"/>
        <n v="2400"/>
        <n v="2660"/>
        <n v="2680"/>
        <n v="2700"/>
        <n v="2720"/>
        <n v="2760"/>
        <n v="2780"/>
        <n v="2800"/>
        <n v="2820"/>
        <n v="2840"/>
        <n v="2860"/>
        <n v="2880"/>
        <n v="2920"/>
        <n v="2940"/>
        <n v="2960"/>
        <n v="3660"/>
        <n v="3680"/>
        <n v="3740"/>
        <n v="3760"/>
        <n v="3780"/>
        <n v="3800"/>
        <n v="3820"/>
        <n v="5460"/>
        <n v="5480"/>
        <n v="5500"/>
        <n v="5520"/>
        <n v="5540"/>
        <n v="5560"/>
        <n v="5580"/>
        <n v="5600"/>
        <n v="5620"/>
        <n v="13040"/>
        <n v="13060"/>
        <n v="13080"/>
        <n v="13100"/>
        <n v="13120"/>
        <n v="13140"/>
        <n v="13160"/>
        <n v="13200"/>
        <n v="13240"/>
        <n v="13320"/>
        <n v="13360"/>
        <n v="13380"/>
        <n v="13400"/>
        <n v="13420"/>
        <n v="13440"/>
        <n v="13580"/>
        <n v="13660"/>
        <n v="13740"/>
        <n v="1564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40"/>
        <n v="16060"/>
        <n v="16080"/>
        <n v="16120"/>
        <n v="18860"/>
      </sharedItems>
    </cacheField>
    <cacheField name="Carga" numFmtId="0">
      <sharedItems containsSemiMixedTypes="0" containsString="0" containsNumber="1" containsInteger="1" minValue="80" maxValue="10360" count="125">
        <n v="8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40"/>
        <n v="760"/>
        <n v="780"/>
        <n v="800"/>
        <n v="820"/>
        <n v="840"/>
        <n v="860"/>
        <n v="880"/>
        <n v="900"/>
        <n v="920"/>
        <n v="940"/>
        <n v="960"/>
        <n v="980"/>
        <n v="1020"/>
        <n v="1040"/>
        <n v="1060"/>
        <n v="1080"/>
        <n v="1100"/>
        <n v="1120"/>
        <n v="1140"/>
        <n v="1220"/>
        <n v="1260"/>
        <n v="1280"/>
        <n v="1300"/>
        <n v="1320"/>
        <n v="1380"/>
        <n v="1420"/>
        <n v="1440"/>
        <n v="1580"/>
        <n v="1660"/>
        <n v="1780"/>
        <n v="1840"/>
        <n v="1860"/>
        <n v="1980"/>
        <n v="2000"/>
        <n v="2220"/>
        <n v="2380"/>
        <n v="2400"/>
        <n v="2720"/>
        <n v="2840"/>
        <n v="3100"/>
        <n v="3720"/>
        <n v="3900"/>
        <n v="3940"/>
        <n v="4040"/>
        <n v="4080"/>
        <n v="4400"/>
        <n v="4480"/>
        <n v="4580"/>
        <n v="4640"/>
        <n v="4800"/>
        <n v="4820"/>
        <n v="5080"/>
        <n v="5180"/>
        <n v="5240"/>
        <n v="5440"/>
        <n v="5620"/>
        <n v="5680"/>
        <n v="5700"/>
        <n v="6020"/>
        <n v="6040"/>
        <n v="6120"/>
        <n v="6480"/>
        <n v="6680"/>
        <n v="7020"/>
        <n v="7120"/>
        <n v="7240"/>
        <n v="7300"/>
        <n v="7520"/>
        <n v="7580"/>
        <n v="7720"/>
        <n v="7740"/>
        <n v="7820"/>
        <n v="7840"/>
        <n v="8180"/>
        <n v="8200"/>
        <n v="8260"/>
        <n v="8300"/>
        <n v="8340"/>
        <n v="8520"/>
        <n v="8540"/>
        <n v="8580"/>
        <n v="8680"/>
        <n v="8740"/>
        <n v="8800"/>
        <n v="9000"/>
        <n v="9140"/>
        <n v="9260"/>
        <n v="9360"/>
        <n v="9520"/>
        <n v="9660"/>
        <n v="9860"/>
        <n v="9900"/>
        <n v="10360"/>
      </sharedItems>
    </cacheField>
    <cacheField name="Población" numFmtId="0">
      <sharedItems count="1">
        <s v="PEÑISCOLA"/>
      </sharedItems>
    </cacheField>
    <cacheField name="Residuo" numFmtId="0">
      <sharedItems count="5">
        <s v="PODA"/>
        <s v="RSU"/>
        <s v="SEL.ENV"/>
        <s v="SEL.PAP"/>
        <s v="VOL"/>
      </sharedItems>
    </cacheField>
    <cacheField name="revisado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">
  <r>
    <x v="0"/>
    <x v="37"/>
    <x v="6"/>
    <x v="7"/>
    <x v="126"/>
    <x v="38"/>
    <x v="104"/>
    <x v="0"/>
    <x v="1"/>
    <x v="0"/>
  </r>
  <r>
    <x v="0"/>
    <x v="5"/>
    <x v="4"/>
    <x v="3"/>
    <x v="131"/>
    <x v="64"/>
    <x v="97"/>
    <x v="0"/>
    <x v="1"/>
    <x v="0"/>
  </r>
  <r>
    <x v="0"/>
    <x v="54"/>
    <x v="7"/>
    <x v="3"/>
    <x v="114"/>
    <x v="62"/>
    <x v="70"/>
    <x v="0"/>
    <x v="1"/>
    <x v="0"/>
  </r>
  <r>
    <x v="0"/>
    <x v="34"/>
    <x v="5"/>
    <x v="1"/>
    <x v="25"/>
    <x v="10"/>
    <x v="25"/>
    <x v="0"/>
    <x v="1"/>
    <x v="0"/>
  </r>
  <r>
    <x v="1"/>
    <x v="46"/>
    <x v="10"/>
    <x v="1"/>
    <x v="23"/>
    <x v="10"/>
    <x v="21"/>
    <x v="0"/>
    <x v="1"/>
    <x v="0"/>
  </r>
  <r>
    <x v="1"/>
    <x v="32"/>
    <x v="9"/>
    <x v="7"/>
    <x v="102"/>
    <x v="36"/>
    <x v="81"/>
    <x v="0"/>
    <x v="1"/>
    <x v="0"/>
  </r>
  <r>
    <x v="1"/>
    <x v="10"/>
    <x v="8"/>
    <x v="3"/>
    <x v="141"/>
    <x v="59"/>
    <x v="112"/>
    <x v="0"/>
    <x v="1"/>
    <x v="0"/>
  </r>
  <r>
    <x v="1"/>
    <x v="50"/>
    <x v="11"/>
    <x v="3"/>
    <x v="97"/>
    <x v="58"/>
    <x v="62"/>
    <x v="0"/>
    <x v="1"/>
    <x v="0"/>
  </r>
  <r>
    <x v="1"/>
    <x v="106"/>
    <x v="14"/>
    <x v="4"/>
    <x v="6"/>
    <x v="1"/>
    <x v="8"/>
    <x v="0"/>
    <x v="1"/>
    <x v="0"/>
  </r>
  <r>
    <x v="1"/>
    <x v="141"/>
    <x v="15"/>
    <x v="1"/>
    <x v="15"/>
    <x v="10"/>
    <x v="8"/>
    <x v="0"/>
    <x v="0"/>
    <x v="0"/>
  </r>
  <r>
    <x v="1"/>
    <x v="105"/>
    <x v="13"/>
    <x v="9"/>
    <x v="71"/>
    <x v="27"/>
    <x v="45"/>
    <x v="0"/>
    <x v="4"/>
    <x v="0"/>
  </r>
  <r>
    <x v="1"/>
    <x v="76"/>
    <x v="12"/>
    <x v="9"/>
    <x v="72"/>
    <x v="27"/>
    <x v="47"/>
    <x v="0"/>
    <x v="4"/>
    <x v="0"/>
  </r>
  <r>
    <x v="2"/>
    <x v="60"/>
    <x v="19"/>
    <x v="1"/>
    <x v="18"/>
    <x v="13"/>
    <x v="9"/>
    <x v="0"/>
    <x v="1"/>
    <x v="0"/>
  </r>
  <r>
    <x v="2"/>
    <x v="16"/>
    <x v="17"/>
    <x v="7"/>
    <x v="109"/>
    <x v="46"/>
    <x v="83"/>
    <x v="0"/>
    <x v="1"/>
    <x v="0"/>
  </r>
  <r>
    <x v="2"/>
    <x v="9"/>
    <x v="16"/>
    <x v="3"/>
    <x v="132"/>
    <x v="55"/>
    <x v="100"/>
    <x v="0"/>
    <x v="1"/>
    <x v="0"/>
  </r>
  <r>
    <x v="2"/>
    <x v="59"/>
    <x v="18"/>
    <x v="3"/>
    <x v="95"/>
    <x v="54"/>
    <x v="63"/>
    <x v="0"/>
    <x v="1"/>
    <x v="0"/>
  </r>
  <r>
    <x v="3"/>
    <x v="62"/>
    <x v="22"/>
    <x v="1"/>
    <x v="26"/>
    <x v="13"/>
    <x v="24"/>
    <x v="0"/>
    <x v="1"/>
    <x v="0"/>
  </r>
  <r>
    <x v="3"/>
    <x v="13"/>
    <x v="20"/>
    <x v="7"/>
    <x v="124"/>
    <x v="44"/>
    <x v="99"/>
    <x v="0"/>
    <x v="1"/>
    <x v="0"/>
  </r>
  <r>
    <x v="3"/>
    <x v="65"/>
    <x v="23"/>
    <x v="3"/>
    <x v="110"/>
    <x v="60"/>
    <x v="69"/>
    <x v="0"/>
    <x v="1"/>
    <x v="0"/>
  </r>
  <r>
    <x v="3"/>
    <x v="15"/>
    <x v="21"/>
    <x v="3"/>
    <x v="142"/>
    <x v="62"/>
    <x v="111"/>
    <x v="0"/>
    <x v="1"/>
    <x v="0"/>
  </r>
  <r>
    <x v="3"/>
    <x v="109"/>
    <x v="24"/>
    <x v="1"/>
    <x v="18"/>
    <x v="5"/>
    <x v="18"/>
    <x v="0"/>
    <x v="1"/>
    <x v="0"/>
  </r>
  <r>
    <x v="4"/>
    <x v="121"/>
    <x v="28"/>
    <x v="5"/>
    <x v="20"/>
    <x v="12"/>
    <x v="12"/>
    <x v="0"/>
    <x v="1"/>
    <x v="0"/>
  </r>
  <r>
    <x v="4"/>
    <x v="24"/>
    <x v="26"/>
    <x v="3"/>
    <x v="129"/>
    <x v="65"/>
    <x v="96"/>
    <x v="0"/>
    <x v="1"/>
    <x v="0"/>
  </r>
  <r>
    <x v="4"/>
    <x v="4"/>
    <x v="25"/>
    <x v="7"/>
    <x v="122"/>
    <x v="43"/>
    <x v="94"/>
    <x v="0"/>
    <x v="1"/>
    <x v="0"/>
  </r>
  <r>
    <x v="4"/>
    <x v="35"/>
    <x v="27"/>
    <x v="8"/>
    <x v="54"/>
    <x v="20"/>
    <x v="20"/>
    <x v="0"/>
    <x v="1"/>
    <x v="0"/>
  </r>
  <r>
    <x v="5"/>
    <x v="61"/>
    <x v="31"/>
    <x v="8"/>
    <x v="59"/>
    <x v="22"/>
    <x v="24"/>
    <x v="0"/>
    <x v="1"/>
    <x v="0"/>
  </r>
  <r>
    <x v="5"/>
    <x v="36"/>
    <x v="30"/>
    <x v="3"/>
    <x v="123"/>
    <x v="63"/>
    <x v="82"/>
    <x v="0"/>
    <x v="1"/>
    <x v="0"/>
  </r>
  <r>
    <x v="5"/>
    <x v="6"/>
    <x v="29"/>
    <x v="7"/>
    <x v="99"/>
    <x v="35"/>
    <x v="80"/>
    <x v="0"/>
    <x v="1"/>
    <x v="0"/>
  </r>
  <r>
    <x v="5"/>
    <x v="108"/>
    <x v="32"/>
    <x v="4"/>
    <x v="8"/>
    <x v="2"/>
    <x v="9"/>
    <x v="0"/>
    <x v="1"/>
    <x v="0"/>
  </r>
  <r>
    <x v="5"/>
    <x v="156"/>
    <x v="33"/>
    <x v="2"/>
    <x v="125"/>
    <x v="73"/>
    <x v="82"/>
    <x v="0"/>
    <x v="1"/>
    <x v="0"/>
  </r>
  <r>
    <x v="6"/>
    <x v="65"/>
    <x v="37"/>
    <x v="8"/>
    <x v="57"/>
    <x v="23"/>
    <x v="20"/>
    <x v="0"/>
    <x v="1"/>
    <x v="0"/>
  </r>
  <r>
    <x v="6"/>
    <x v="1"/>
    <x v="34"/>
    <x v="2"/>
    <x v="140"/>
    <x v="72"/>
    <x v="106"/>
    <x v="0"/>
    <x v="1"/>
    <x v="0"/>
  </r>
  <r>
    <x v="6"/>
    <x v="51"/>
    <x v="36"/>
    <x v="2"/>
    <x v="116"/>
    <x v="70"/>
    <x v="71"/>
    <x v="0"/>
    <x v="1"/>
    <x v="0"/>
  </r>
  <r>
    <x v="6"/>
    <x v="12"/>
    <x v="35"/>
    <x v="7"/>
    <x v="104"/>
    <x v="45"/>
    <x v="79"/>
    <x v="0"/>
    <x v="1"/>
    <x v="0"/>
  </r>
  <r>
    <x v="6"/>
    <x v="116"/>
    <x v="38"/>
    <x v="4"/>
    <x v="11"/>
    <x v="2"/>
    <x v="17"/>
    <x v="0"/>
    <x v="1"/>
    <x v="0"/>
  </r>
  <r>
    <x v="7"/>
    <x v="25"/>
    <x v="39"/>
    <x v="8"/>
    <x v="63"/>
    <x v="22"/>
    <x v="35"/>
    <x v="0"/>
    <x v="1"/>
    <x v="0"/>
  </r>
  <r>
    <x v="7"/>
    <x v="60"/>
    <x v="41"/>
    <x v="8"/>
    <x v="61"/>
    <x v="21"/>
    <x v="32"/>
    <x v="0"/>
    <x v="1"/>
    <x v="0"/>
  </r>
  <r>
    <x v="7"/>
    <x v="39"/>
    <x v="40"/>
    <x v="2"/>
    <x v="135"/>
    <x v="71"/>
    <x v="102"/>
    <x v="0"/>
    <x v="1"/>
    <x v="0"/>
  </r>
  <r>
    <x v="7"/>
    <x v="139"/>
    <x v="48"/>
    <x v="1"/>
    <x v="20"/>
    <x v="9"/>
    <x v="15"/>
    <x v="0"/>
    <x v="0"/>
    <x v="0"/>
  </r>
  <r>
    <x v="7"/>
    <x v="123"/>
    <x v="47"/>
    <x v="9"/>
    <x v="73"/>
    <x v="25"/>
    <x v="50"/>
    <x v="0"/>
    <x v="4"/>
    <x v="0"/>
  </r>
  <r>
    <x v="7"/>
    <x v="85"/>
    <x v="44"/>
    <x v="9"/>
    <x v="74"/>
    <x v="26"/>
    <x v="50"/>
    <x v="0"/>
    <x v="4"/>
    <x v="0"/>
  </r>
  <r>
    <x v="7"/>
    <x v="71"/>
    <x v="42"/>
    <x v="9"/>
    <x v="80"/>
    <x v="26"/>
    <x v="61"/>
    <x v="0"/>
    <x v="4"/>
    <x v="0"/>
  </r>
  <r>
    <x v="7"/>
    <x v="83"/>
    <x v="43"/>
    <x v="5"/>
    <x v="19"/>
    <x v="12"/>
    <x v="11"/>
    <x v="0"/>
    <x v="1"/>
    <x v="0"/>
  </r>
  <r>
    <x v="7"/>
    <x v="118"/>
    <x v="46"/>
    <x v="4"/>
    <x v="3"/>
    <x v="1"/>
    <x v="4"/>
    <x v="0"/>
    <x v="1"/>
    <x v="0"/>
  </r>
  <r>
    <x v="7"/>
    <x v="104"/>
    <x v="45"/>
    <x v="5"/>
    <x v="28"/>
    <x v="12"/>
    <x v="28"/>
    <x v="0"/>
    <x v="4"/>
    <x v="0"/>
  </r>
  <r>
    <x v="7"/>
    <x v="99"/>
    <x v="0"/>
    <x v="2"/>
    <x v="127"/>
    <x v="75"/>
    <x v="68"/>
    <x v="0"/>
    <x v="2"/>
    <x v="0"/>
  </r>
  <r>
    <x v="8"/>
    <x v="46"/>
    <x v="50"/>
    <x v="8"/>
    <x v="49"/>
    <x v="21"/>
    <x v="14"/>
    <x v="0"/>
    <x v="1"/>
    <x v="0"/>
  </r>
  <r>
    <x v="8"/>
    <x v="55"/>
    <x v="51"/>
    <x v="2"/>
    <x v="150"/>
    <x v="69"/>
    <x v="120"/>
    <x v="0"/>
    <x v="1"/>
    <x v="0"/>
  </r>
  <r>
    <x v="8"/>
    <x v="17"/>
    <x v="49"/>
    <x v="6"/>
    <x v="101"/>
    <x v="51"/>
    <x v="75"/>
    <x v="0"/>
    <x v="1"/>
    <x v="0"/>
  </r>
  <r>
    <x v="6"/>
    <x v="138"/>
    <x v="198"/>
    <x v="2"/>
    <x v="103"/>
    <x v="68"/>
    <x v="64"/>
    <x v="0"/>
    <x v="3"/>
    <x v="0"/>
  </r>
  <r>
    <x v="8"/>
    <x v="153"/>
    <x v="54"/>
    <x v="5"/>
    <x v="32"/>
    <x v="13"/>
    <x v="31"/>
    <x v="0"/>
    <x v="0"/>
    <x v="0"/>
  </r>
  <r>
    <x v="8"/>
    <x v="95"/>
    <x v="52"/>
    <x v="5"/>
    <x v="39"/>
    <x v="13"/>
    <x v="40"/>
    <x v="0"/>
    <x v="0"/>
    <x v="0"/>
  </r>
  <r>
    <x v="8"/>
    <x v="107"/>
    <x v="53"/>
    <x v="4"/>
    <x v="9"/>
    <x v="1"/>
    <x v="11"/>
    <x v="0"/>
    <x v="1"/>
    <x v="0"/>
  </r>
  <r>
    <x v="8"/>
    <x v="152"/>
    <x v="55"/>
    <x v="1"/>
    <x v="30"/>
    <x v="9"/>
    <x v="32"/>
    <x v="0"/>
    <x v="0"/>
    <x v="0"/>
  </r>
  <r>
    <x v="9"/>
    <x v="51"/>
    <x v="56"/>
    <x v="6"/>
    <x v="118"/>
    <x v="49"/>
    <x v="89"/>
    <x v="0"/>
    <x v="1"/>
    <x v="0"/>
  </r>
  <r>
    <x v="9"/>
    <x v="66"/>
    <x v="57"/>
    <x v="8"/>
    <x v="45"/>
    <x v="19"/>
    <x v="12"/>
    <x v="0"/>
    <x v="1"/>
    <x v="0"/>
  </r>
  <r>
    <x v="9"/>
    <x v="78"/>
    <x v="199"/>
    <x v="0"/>
    <x v="86"/>
    <x v="74"/>
    <x v="37"/>
    <x v="0"/>
    <x v="3"/>
    <x v="0"/>
  </r>
  <r>
    <x v="9"/>
    <x v="102"/>
    <x v="58"/>
    <x v="4"/>
    <x v="6"/>
    <x v="1"/>
    <x v="8"/>
    <x v="0"/>
    <x v="1"/>
    <x v="0"/>
  </r>
  <r>
    <x v="9"/>
    <x v="131"/>
    <x v="60"/>
    <x v="3"/>
    <x v="134"/>
    <x v="64"/>
    <x v="103"/>
    <x v="0"/>
    <x v="1"/>
    <x v="0"/>
  </r>
  <r>
    <x v="9"/>
    <x v="114"/>
    <x v="59"/>
    <x v="1"/>
    <x v="53"/>
    <x v="9"/>
    <x v="58"/>
    <x v="0"/>
    <x v="0"/>
    <x v="0"/>
  </r>
  <r>
    <x v="10"/>
    <x v="67"/>
    <x v="64"/>
    <x v="4"/>
    <x v="2"/>
    <x v="0"/>
    <x v="4"/>
    <x v="0"/>
    <x v="1"/>
    <x v="0"/>
  </r>
  <r>
    <x v="10"/>
    <x v="45"/>
    <x v="62"/>
    <x v="8"/>
    <x v="51"/>
    <x v="18"/>
    <x v="21"/>
    <x v="0"/>
    <x v="1"/>
    <x v="0"/>
  </r>
  <r>
    <x v="10"/>
    <x v="21"/>
    <x v="61"/>
    <x v="6"/>
    <x v="121"/>
    <x v="50"/>
    <x v="91"/>
    <x v="0"/>
    <x v="1"/>
    <x v="0"/>
  </r>
  <r>
    <x v="10"/>
    <x v="110"/>
    <x v="65"/>
    <x v="4"/>
    <x v="0"/>
    <x v="0"/>
    <x v="2"/>
    <x v="0"/>
    <x v="1"/>
    <x v="0"/>
  </r>
  <r>
    <x v="10"/>
    <x v="57"/>
    <x v="63"/>
    <x v="3"/>
    <x v="153"/>
    <x v="58"/>
    <x v="123"/>
    <x v="0"/>
    <x v="1"/>
    <x v="0"/>
  </r>
  <r>
    <x v="11"/>
    <x v="43"/>
    <x v="68"/>
    <x v="3"/>
    <x v="143"/>
    <x v="56"/>
    <x v="113"/>
    <x v="0"/>
    <x v="1"/>
    <x v="0"/>
  </r>
  <r>
    <x v="11"/>
    <x v="127"/>
    <x v="69"/>
    <x v="1"/>
    <x v="10"/>
    <x v="7"/>
    <x v="0"/>
    <x v="0"/>
    <x v="1"/>
    <x v="0"/>
  </r>
  <r>
    <x v="11"/>
    <x v="23"/>
    <x v="66"/>
    <x v="7"/>
    <x v="120"/>
    <x v="40"/>
    <x v="93"/>
    <x v="0"/>
    <x v="1"/>
    <x v="0"/>
  </r>
  <r>
    <x v="11"/>
    <x v="28"/>
    <x v="67"/>
    <x v="1"/>
    <x v="31"/>
    <x v="5"/>
    <x v="39"/>
    <x v="0"/>
    <x v="1"/>
    <x v="0"/>
  </r>
  <r>
    <x v="12"/>
    <x v="53"/>
    <x v="71"/>
    <x v="8"/>
    <x v="62"/>
    <x v="23"/>
    <x v="32"/>
    <x v="0"/>
    <x v="1"/>
    <x v="0"/>
  </r>
  <r>
    <x v="12"/>
    <x v="54"/>
    <x v="72"/>
    <x v="3"/>
    <x v="147"/>
    <x v="65"/>
    <x v="118"/>
    <x v="0"/>
    <x v="1"/>
    <x v="0"/>
  </r>
  <r>
    <x v="12"/>
    <x v="31"/>
    <x v="70"/>
    <x v="7"/>
    <x v="108"/>
    <x v="39"/>
    <x v="85"/>
    <x v="0"/>
    <x v="1"/>
    <x v="0"/>
  </r>
  <r>
    <x v="12"/>
    <x v="146"/>
    <x v="75"/>
    <x v="1"/>
    <x v="28"/>
    <x v="6"/>
    <x v="34"/>
    <x v="0"/>
    <x v="0"/>
    <x v="0"/>
  </r>
  <r>
    <x v="12"/>
    <x v="155"/>
    <x v="76"/>
    <x v="5"/>
    <x v="29"/>
    <x v="13"/>
    <x v="28"/>
    <x v="0"/>
    <x v="0"/>
    <x v="0"/>
  </r>
  <r>
    <x v="12"/>
    <x v="91"/>
    <x v="73"/>
    <x v="5"/>
    <x v="29"/>
    <x v="13"/>
    <x v="28"/>
    <x v="0"/>
    <x v="0"/>
    <x v="0"/>
  </r>
  <r>
    <x v="12"/>
    <x v="96"/>
    <x v="74"/>
    <x v="4"/>
    <x v="8"/>
    <x v="3"/>
    <x v="8"/>
    <x v="0"/>
    <x v="1"/>
    <x v="0"/>
  </r>
  <r>
    <x v="12"/>
    <x v="157"/>
    <x v="1"/>
    <x v="3"/>
    <x v="83"/>
    <x v="58"/>
    <x v="45"/>
    <x v="0"/>
    <x v="2"/>
    <x v="0"/>
  </r>
  <r>
    <x v="13"/>
    <x v="52"/>
    <x v="79"/>
    <x v="8"/>
    <x v="56"/>
    <x v="22"/>
    <x v="20"/>
    <x v="0"/>
    <x v="1"/>
    <x v="0"/>
  </r>
  <r>
    <x v="13"/>
    <x v="42"/>
    <x v="78"/>
    <x v="3"/>
    <x v="149"/>
    <x v="61"/>
    <x v="121"/>
    <x v="0"/>
    <x v="1"/>
    <x v="0"/>
  </r>
  <r>
    <x v="13"/>
    <x v="33"/>
    <x v="77"/>
    <x v="7"/>
    <x v="107"/>
    <x v="37"/>
    <x v="85"/>
    <x v="0"/>
    <x v="1"/>
    <x v="0"/>
  </r>
  <r>
    <x v="13"/>
    <x v="75"/>
    <x v="81"/>
    <x v="9"/>
    <x v="78"/>
    <x v="29"/>
    <x v="59"/>
    <x v="0"/>
    <x v="4"/>
    <x v="0"/>
  </r>
  <r>
    <x v="13"/>
    <x v="117"/>
    <x v="84"/>
    <x v="9"/>
    <x v="79"/>
    <x v="25"/>
    <x v="61"/>
    <x v="0"/>
    <x v="4"/>
    <x v="0"/>
  </r>
  <r>
    <x v="13"/>
    <x v="101"/>
    <x v="83"/>
    <x v="1"/>
    <x v="16"/>
    <x v="6"/>
    <x v="14"/>
    <x v="0"/>
    <x v="0"/>
    <x v="0"/>
  </r>
  <r>
    <x v="13"/>
    <x v="68"/>
    <x v="80"/>
    <x v="5"/>
    <x v="17"/>
    <x v="15"/>
    <x v="4"/>
    <x v="0"/>
    <x v="0"/>
    <x v="0"/>
  </r>
  <r>
    <x v="13"/>
    <x v="143"/>
    <x v="85"/>
    <x v="5"/>
    <x v="24"/>
    <x v="11"/>
    <x v="23"/>
    <x v="0"/>
    <x v="0"/>
    <x v="0"/>
  </r>
  <r>
    <x v="13"/>
    <x v="87"/>
    <x v="82"/>
    <x v="5"/>
    <x v="28"/>
    <x v="11"/>
    <x v="29"/>
    <x v="0"/>
    <x v="0"/>
    <x v="0"/>
  </r>
  <r>
    <x v="13"/>
    <x v="121"/>
    <x v="200"/>
    <x v="3"/>
    <x v="104"/>
    <x v="57"/>
    <x v="66"/>
    <x v="0"/>
    <x v="3"/>
    <x v="0"/>
  </r>
  <r>
    <x v="14"/>
    <x v="26"/>
    <x v="87"/>
    <x v="3"/>
    <x v="139"/>
    <x v="63"/>
    <x v="109"/>
    <x v="0"/>
    <x v="1"/>
    <x v="0"/>
  </r>
  <r>
    <x v="14"/>
    <x v="61"/>
    <x v="88"/>
    <x v="3"/>
    <x v="85"/>
    <x v="63"/>
    <x v="46"/>
    <x v="0"/>
    <x v="1"/>
    <x v="0"/>
  </r>
  <r>
    <x v="14"/>
    <x v="64"/>
    <x v="89"/>
    <x v="8"/>
    <x v="49"/>
    <x v="20"/>
    <x v="15"/>
    <x v="0"/>
    <x v="1"/>
    <x v="0"/>
  </r>
  <r>
    <x v="14"/>
    <x v="15"/>
    <x v="86"/>
    <x v="7"/>
    <x v="105"/>
    <x v="41"/>
    <x v="82"/>
    <x v="0"/>
    <x v="1"/>
    <x v="0"/>
  </r>
  <r>
    <x v="14"/>
    <x v="77"/>
    <x v="91"/>
    <x v="4"/>
    <x v="5"/>
    <x v="3"/>
    <x v="5"/>
    <x v="0"/>
    <x v="1"/>
    <x v="0"/>
  </r>
  <r>
    <x v="14"/>
    <x v="113"/>
    <x v="93"/>
    <x v="4"/>
    <x v="4"/>
    <x v="2"/>
    <x v="5"/>
    <x v="0"/>
    <x v="1"/>
    <x v="0"/>
  </r>
  <r>
    <x v="14"/>
    <x v="132"/>
    <x v="94"/>
    <x v="9"/>
    <x v="67"/>
    <x v="32"/>
    <x v="26"/>
    <x v="0"/>
    <x v="4"/>
    <x v="0"/>
  </r>
  <r>
    <x v="14"/>
    <x v="86"/>
    <x v="92"/>
    <x v="9"/>
    <x v="73"/>
    <x v="33"/>
    <x v="43"/>
    <x v="0"/>
    <x v="4"/>
    <x v="0"/>
  </r>
  <r>
    <x v="14"/>
    <x v="69"/>
    <x v="90"/>
    <x v="5"/>
    <x v="22"/>
    <x v="16"/>
    <x v="13"/>
    <x v="0"/>
    <x v="0"/>
    <x v="0"/>
  </r>
  <r>
    <x v="14"/>
    <x v="140"/>
    <x v="95"/>
    <x v="5"/>
    <x v="36"/>
    <x v="13"/>
    <x v="36"/>
    <x v="0"/>
    <x v="0"/>
    <x v="0"/>
  </r>
  <r>
    <x v="15"/>
    <x v="12"/>
    <x v="96"/>
    <x v="7"/>
    <x v="115"/>
    <x v="39"/>
    <x v="88"/>
    <x v="0"/>
    <x v="1"/>
    <x v="0"/>
  </r>
  <r>
    <x v="15"/>
    <x v="64"/>
    <x v="98"/>
    <x v="8"/>
    <x v="55"/>
    <x v="21"/>
    <x v="20"/>
    <x v="0"/>
    <x v="1"/>
    <x v="0"/>
  </r>
  <r>
    <x v="15"/>
    <x v="72"/>
    <x v="99"/>
    <x v="7"/>
    <x v="81"/>
    <x v="34"/>
    <x v="7"/>
    <x v="0"/>
    <x v="1"/>
    <x v="0"/>
  </r>
  <r>
    <x v="15"/>
    <x v="53"/>
    <x v="97"/>
    <x v="2"/>
    <x v="152"/>
    <x v="56"/>
    <x v="122"/>
    <x v="0"/>
    <x v="1"/>
    <x v="0"/>
  </r>
  <r>
    <x v="15"/>
    <x v="129"/>
    <x v="104"/>
    <x v="9"/>
    <x v="77"/>
    <x v="32"/>
    <x v="56"/>
    <x v="0"/>
    <x v="4"/>
    <x v="0"/>
  </r>
  <r>
    <x v="15"/>
    <x v="142"/>
    <x v="105"/>
    <x v="5"/>
    <x v="33"/>
    <x v="17"/>
    <x v="28"/>
    <x v="0"/>
    <x v="0"/>
    <x v="0"/>
  </r>
  <r>
    <x v="15"/>
    <x v="81"/>
    <x v="101"/>
    <x v="9"/>
    <x v="70"/>
    <x v="32"/>
    <x v="40"/>
    <x v="0"/>
    <x v="4"/>
    <x v="0"/>
  </r>
  <r>
    <x v="15"/>
    <x v="122"/>
    <x v="103"/>
    <x v="7"/>
    <x v="82"/>
    <x v="37"/>
    <x v="57"/>
    <x v="0"/>
    <x v="4"/>
    <x v="0"/>
  </r>
  <r>
    <x v="15"/>
    <x v="130"/>
    <x v="102"/>
    <x v="4"/>
    <x v="1"/>
    <x v="2"/>
    <x v="1"/>
    <x v="0"/>
    <x v="1"/>
    <x v="0"/>
  </r>
  <r>
    <x v="15"/>
    <x v="73"/>
    <x v="100"/>
    <x v="5"/>
    <x v="24"/>
    <x v="12"/>
    <x v="22"/>
    <x v="0"/>
    <x v="1"/>
    <x v="0"/>
  </r>
  <r>
    <x v="16"/>
    <x v="18"/>
    <x v="106"/>
    <x v="7"/>
    <x v="96"/>
    <x v="36"/>
    <x v="78"/>
    <x v="0"/>
    <x v="1"/>
    <x v="0"/>
  </r>
  <r>
    <x v="16"/>
    <x v="62"/>
    <x v="108"/>
    <x v="8"/>
    <x v="48"/>
    <x v="20"/>
    <x v="14"/>
    <x v="0"/>
    <x v="1"/>
    <x v="0"/>
  </r>
  <r>
    <x v="16"/>
    <x v="36"/>
    <x v="107"/>
    <x v="2"/>
    <x v="133"/>
    <x v="53"/>
    <x v="101"/>
    <x v="0"/>
    <x v="1"/>
    <x v="0"/>
  </r>
  <r>
    <x v="16"/>
    <x v="90"/>
    <x v="110"/>
    <x v="5"/>
    <x v="46"/>
    <x v="12"/>
    <x v="51"/>
    <x v="0"/>
    <x v="0"/>
    <x v="0"/>
  </r>
  <r>
    <x v="16"/>
    <x v="126"/>
    <x v="113"/>
    <x v="5"/>
    <x v="27"/>
    <x v="16"/>
    <x v="22"/>
    <x v="0"/>
    <x v="0"/>
    <x v="0"/>
  </r>
  <r>
    <x v="16"/>
    <x v="87"/>
    <x v="109"/>
    <x v="9"/>
    <x v="69"/>
    <x v="31"/>
    <x v="39"/>
    <x v="0"/>
    <x v="4"/>
    <x v="0"/>
  </r>
  <r>
    <x v="16"/>
    <x v="125"/>
    <x v="112"/>
    <x v="1"/>
    <x v="29"/>
    <x v="5"/>
    <x v="36"/>
    <x v="0"/>
    <x v="0"/>
    <x v="0"/>
  </r>
  <r>
    <x v="16"/>
    <x v="122"/>
    <x v="111"/>
    <x v="4"/>
    <x v="7"/>
    <x v="2"/>
    <x v="8"/>
    <x v="0"/>
    <x v="1"/>
    <x v="0"/>
  </r>
  <r>
    <x v="17"/>
    <x v="8"/>
    <x v="114"/>
    <x v="7"/>
    <x v="113"/>
    <x v="34"/>
    <x v="87"/>
    <x v="0"/>
    <x v="1"/>
    <x v="0"/>
  </r>
  <r>
    <x v="17"/>
    <x v="111"/>
    <x v="117"/>
    <x v="1"/>
    <x v="14"/>
    <x v="5"/>
    <x v="11"/>
    <x v="0"/>
    <x v="1"/>
    <x v="0"/>
  </r>
  <r>
    <x v="17"/>
    <x v="60"/>
    <x v="116"/>
    <x v="8"/>
    <x v="52"/>
    <x v="20"/>
    <x v="18"/>
    <x v="0"/>
    <x v="1"/>
    <x v="0"/>
  </r>
  <r>
    <x v="17"/>
    <x v="40"/>
    <x v="115"/>
    <x v="2"/>
    <x v="154"/>
    <x v="59"/>
    <x v="124"/>
    <x v="0"/>
    <x v="1"/>
    <x v="0"/>
  </r>
  <r>
    <x v="18"/>
    <x v="2"/>
    <x v="118"/>
    <x v="7"/>
    <x v="119"/>
    <x v="48"/>
    <x v="92"/>
    <x v="0"/>
    <x v="1"/>
    <x v="0"/>
  </r>
  <r>
    <x v="18"/>
    <x v="29"/>
    <x v="120"/>
    <x v="8"/>
    <x v="60"/>
    <x v="24"/>
    <x v="27"/>
    <x v="0"/>
    <x v="1"/>
    <x v="0"/>
  </r>
  <r>
    <x v="18"/>
    <x v="112"/>
    <x v="121"/>
    <x v="4"/>
    <x v="3"/>
    <x v="2"/>
    <x v="3"/>
    <x v="0"/>
    <x v="1"/>
    <x v="0"/>
  </r>
  <r>
    <x v="18"/>
    <x v="20"/>
    <x v="119"/>
    <x v="2"/>
    <x v="140"/>
    <x v="57"/>
    <x v="110"/>
    <x v="0"/>
    <x v="1"/>
    <x v="0"/>
  </r>
  <r>
    <x v="19"/>
    <x v="41"/>
    <x v="123"/>
    <x v="2"/>
    <x v="145"/>
    <x v="61"/>
    <x v="116"/>
    <x v="0"/>
    <x v="1"/>
    <x v="0"/>
  </r>
  <r>
    <x v="19"/>
    <x v="0"/>
    <x v="122"/>
    <x v="7"/>
    <x v="91"/>
    <x v="45"/>
    <x v="74"/>
    <x v="0"/>
    <x v="1"/>
    <x v="0"/>
  </r>
  <r>
    <x v="19"/>
    <x v="60"/>
    <x v="124"/>
    <x v="8"/>
    <x v="54"/>
    <x v="23"/>
    <x v="17"/>
    <x v="0"/>
    <x v="1"/>
    <x v="0"/>
  </r>
  <r>
    <x v="19"/>
    <x v="153"/>
    <x v="128"/>
    <x v="1"/>
    <x v="37"/>
    <x v="9"/>
    <x v="41"/>
    <x v="0"/>
    <x v="0"/>
    <x v="0"/>
  </r>
  <r>
    <x v="19"/>
    <x v="89"/>
    <x v="125"/>
    <x v="1"/>
    <x v="25"/>
    <x v="6"/>
    <x v="30"/>
    <x v="0"/>
    <x v="0"/>
    <x v="0"/>
  </r>
  <r>
    <x v="19"/>
    <x v="151"/>
    <x v="127"/>
    <x v="5"/>
    <x v="50"/>
    <x v="13"/>
    <x v="54"/>
    <x v="0"/>
    <x v="0"/>
    <x v="0"/>
  </r>
  <r>
    <x v="19"/>
    <x v="124"/>
    <x v="126"/>
    <x v="4"/>
    <x v="9"/>
    <x v="2"/>
    <x v="10"/>
    <x v="0"/>
    <x v="1"/>
    <x v="0"/>
  </r>
  <r>
    <x v="19"/>
    <x v="140"/>
    <x v="2"/>
    <x v="2"/>
    <x v="88"/>
    <x v="55"/>
    <x v="58"/>
    <x v="0"/>
    <x v="2"/>
    <x v="0"/>
  </r>
  <r>
    <x v="20"/>
    <x v="56"/>
    <x v="130"/>
    <x v="8"/>
    <x v="47"/>
    <x v="23"/>
    <x v="10"/>
    <x v="0"/>
    <x v="1"/>
    <x v="0"/>
  </r>
  <r>
    <x v="20"/>
    <x v="3"/>
    <x v="129"/>
    <x v="7"/>
    <x v="87"/>
    <x v="40"/>
    <x v="73"/>
    <x v="0"/>
    <x v="1"/>
    <x v="0"/>
  </r>
  <r>
    <x v="20"/>
    <x v="63"/>
    <x v="131"/>
    <x v="2"/>
    <x v="138"/>
    <x v="56"/>
    <x v="108"/>
    <x v="0"/>
    <x v="1"/>
    <x v="0"/>
  </r>
  <r>
    <x v="20"/>
    <x v="145"/>
    <x v="134"/>
    <x v="5"/>
    <x v="43"/>
    <x v="13"/>
    <x v="49"/>
    <x v="0"/>
    <x v="0"/>
    <x v="0"/>
  </r>
  <r>
    <x v="20"/>
    <x v="143"/>
    <x v="133"/>
    <x v="1"/>
    <x v="42"/>
    <x v="5"/>
    <x v="53"/>
    <x v="0"/>
    <x v="0"/>
    <x v="0"/>
  </r>
  <r>
    <x v="20"/>
    <x v="136"/>
    <x v="201"/>
    <x v="2"/>
    <x v="92"/>
    <x v="55"/>
    <x v="60"/>
    <x v="0"/>
    <x v="3"/>
    <x v="0"/>
  </r>
  <r>
    <x v="21"/>
    <x v="60"/>
    <x v="137"/>
    <x v="2"/>
    <x v="144"/>
    <x v="56"/>
    <x v="115"/>
    <x v="0"/>
    <x v="1"/>
    <x v="0"/>
  </r>
  <r>
    <x v="21"/>
    <x v="58"/>
    <x v="136"/>
    <x v="8"/>
    <x v="47"/>
    <x v="23"/>
    <x v="10"/>
    <x v="0"/>
    <x v="1"/>
    <x v="0"/>
  </r>
  <r>
    <x v="21"/>
    <x v="11"/>
    <x v="135"/>
    <x v="7"/>
    <x v="112"/>
    <x v="47"/>
    <x v="84"/>
    <x v="0"/>
    <x v="1"/>
    <x v="0"/>
  </r>
  <r>
    <x v="20"/>
    <x v="123"/>
    <x v="132"/>
    <x v="4"/>
    <x v="10"/>
    <x v="2"/>
    <x v="16"/>
    <x v="0"/>
    <x v="1"/>
    <x v="0"/>
  </r>
  <r>
    <x v="21"/>
    <x v="92"/>
    <x v="139"/>
    <x v="1"/>
    <x v="27"/>
    <x v="6"/>
    <x v="33"/>
    <x v="0"/>
    <x v="0"/>
    <x v="0"/>
  </r>
  <r>
    <x v="21"/>
    <x v="115"/>
    <x v="140"/>
    <x v="4"/>
    <x v="6"/>
    <x v="2"/>
    <x v="7"/>
    <x v="0"/>
    <x v="1"/>
    <x v="0"/>
  </r>
  <r>
    <x v="21"/>
    <x v="80"/>
    <x v="138"/>
    <x v="9"/>
    <x v="69"/>
    <x v="30"/>
    <x v="40"/>
    <x v="0"/>
    <x v="4"/>
    <x v="0"/>
  </r>
  <r>
    <x v="21"/>
    <x v="145"/>
    <x v="143"/>
    <x v="1"/>
    <x v="28"/>
    <x v="5"/>
    <x v="35"/>
    <x v="0"/>
    <x v="0"/>
    <x v="0"/>
  </r>
  <r>
    <x v="21"/>
    <x v="144"/>
    <x v="142"/>
    <x v="5"/>
    <x v="25"/>
    <x v="16"/>
    <x v="18"/>
    <x v="0"/>
    <x v="0"/>
    <x v="0"/>
  </r>
  <r>
    <x v="21"/>
    <x v="128"/>
    <x v="141"/>
    <x v="9"/>
    <x v="76"/>
    <x v="29"/>
    <x v="55"/>
    <x v="0"/>
    <x v="4"/>
    <x v="0"/>
  </r>
  <r>
    <x v="22"/>
    <x v="33"/>
    <x v="144"/>
    <x v="7"/>
    <x v="84"/>
    <x v="40"/>
    <x v="72"/>
    <x v="0"/>
    <x v="1"/>
    <x v="0"/>
  </r>
  <r>
    <x v="22"/>
    <x v="61"/>
    <x v="146"/>
    <x v="2"/>
    <x v="137"/>
    <x v="54"/>
    <x v="107"/>
    <x v="0"/>
    <x v="1"/>
    <x v="0"/>
  </r>
  <r>
    <x v="22"/>
    <x v="51"/>
    <x v="145"/>
    <x v="8"/>
    <x v="52"/>
    <x v="22"/>
    <x v="16"/>
    <x v="0"/>
    <x v="1"/>
    <x v="0"/>
  </r>
  <r>
    <x v="22"/>
    <x v="94"/>
    <x v="148"/>
    <x v="4"/>
    <x v="6"/>
    <x v="2"/>
    <x v="7"/>
    <x v="0"/>
    <x v="1"/>
    <x v="0"/>
  </r>
  <r>
    <x v="22"/>
    <x v="82"/>
    <x v="147"/>
    <x v="9"/>
    <x v="75"/>
    <x v="33"/>
    <x v="44"/>
    <x v="0"/>
    <x v="4"/>
    <x v="0"/>
  </r>
  <r>
    <x v="22"/>
    <x v="148"/>
    <x v="149"/>
    <x v="5"/>
    <x v="38"/>
    <x v="14"/>
    <x v="38"/>
    <x v="0"/>
    <x v="0"/>
    <x v="0"/>
  </r>
  <r>
    <x v="22"/>
    <x v="149"/>
    <x v="150"/>
    <x v="1"/>
    <x v="28"/>
    <x v="8"/>
    <x v="31"/>
    <x v="0"/>
    <x v="0"/>
    <x v="0"/>
  </r>
  <r>
    <x v="23"/>
    <x v="49"/>
    <x v="153"/>
    <x v="8"/>
    <x v="53"/>
    <x v="22"/>
    <x v="17"/>
    <x v="0"/>
    <x v="1"/>
    <x v="0"/>
  </r>
  <r>
    <x v="23"/>
    <x v="7"/>
    <x v="151"/>
    <x v="7"/>
    <x v="99"/>
    <x v="38"/>
    <x v="79"/>
    <x v="0"/>
    <x v="1"/>
    <x v="0"/>
  </r>
  <r>
    <x v="23"/>
    <x v="48"/>
    <x v="152"/>
    <x v="2"/>
    <x v="142"/>
    <x v="52"/>
    <x v="114"/>
    <x v="0"/>
    <x v="1"/>
    <x v="0"/>
  </r>
  <r>
    <x v="23"/>
    <x v="74"/>
    <x v="154"/>
    <x v="9"/>
    <x v="66"/>
    <x v="32"/>
    <x v="24"/>
    <x v="0"/>
    <x v="4"/>
    <x v="0"/>
  </r>
  <r>
    <x v="23"/>
    <x v="134"/>
    <x v="157"/>
    <x v="5"/>
    <x v="40"/>
    <x v="14"/>
    <x v="41"/>
    <x v="0"/>
    <x v="0"/>
    <x v="0"/>
  </r>
  <r>
    <x v="23"/>
    <x v="88"/>
    <x v="155"/>
    <x v="5"/>
    <x v="43"/>
    <x v="14"/>
    <x v="48"/>
    <x v="0"/>
    <x v="0"/>
    <x v="0"/>
  </r>
  <r>
    <x v="23"/>
    <x v="137"/>
    <x v="158"/>
    <x v="1"/>
    <x v="21"/>
    <x v="5"/>
    <x v="22"/>
    <x v="0"/>
    <x v="0"/>
    <x v="0"/>
  </r>
  <r>
    <x v="23"/>
    <x v="120"/>
    <x v="156"/>
    <x v="9"/>
    <x v="64"/>
    <x v="32"/>
    <x v="7"/>
    <x v="0"/>
    <x v="0"/>
    <x v="0"/>
  </r>
  <r>
    <x v="24"/>
    <x v="79"/>
    <x v="162"/>
    <x v="0"/>
    <x v="85"/>
    <x v="68"/>
    <x v="42"/>
    <x v="0"/>
    <x v="4"/>
    <x v="0"/>
  </r>
  <r>
    <x v="24"/>
    <x v="103"/>
    <x v="164"/>
    <x v="1"/>
    <x v="13"/>
    <x v="4"/>
    <x v="6"/>
    <x v="0"/>
    <x v="1"/>
    <x v="0"/>
  </r>
  <r>
    <x v="24"/>
    <x v="30"/>
    <x v="159"/>
    <x v="7"/>
    <x v="111"/>
    <x v="38"/>
    <x v="86"/>
    <x v="0"/>
    <x v="1"/>
    <x v="0"/>
  </r>
  <r>
    <x v="24"/>
    <x v="63"/>
    <x v="160"/>
    <x v="8"/>
    <x v="59"/>
    <x v="19"/>
    <x v="29"/>
    <x v="0"/>
    <x v="1"/>
    <x v="0"/>
  </r>
  <r>
    <x v="24"/>
    <x v="66"/>
    <x v="161"/>
    <x v="2"/>
    <x v="148"/>
    <x v="70"/>
    <x v="119"/>
    <x v="0"/>
    <x v="1"/>
    <x v="0"/>
  </r>
  <r>
    <x v="24"/>
    <x v="97"/>
    <x v="163"/>
    <x v="0"/>
    <x v="106"/>
    <x v="66"/>
    <x v="67"/>
    <x v="0"/>
    <x v="4"/>
    <x v="0"/>
  </r>
  <r>
    <x v="25"/>
    <x v="119"/>
    <x v="169"/>
    <x v="1"/>
    <x v="12"/>
    <x v="4"/>
    <x v="5"/>
    <x v="0"/>
    <x v="1"/>
    <x v="0"/>
  </r>
  <r>
    <x v="25"/>
    <x v="114"/>
    <x v="168"/>
    <x v="5"/>
    <x v="37"/>
    <x v="13"/>
    <x v="37"/>
    <x v="0"/>
    <x v="1"/>
    <x v="0"/>
  </r>
  <r>
    <x v="25"/>
    <x v="12"/>
    <x v="165"/>
    <x v="7"/>
    <x v="117"/>
    <x v="42"/>
    <x v="90"/>
    <x v="0"/>
    <x v="1"/>
    <x v="0"/>
  </r>
  <r>
    <x v="25"/>
    <x v="22"/>
    <x v="166"/>
    <x v="8"/>
    <x v="58"/>
    <x v="19"/>
    <x v="28"/>
    <x v="0"/>
    <x v="1"/>
    <x v="0"/>
  </r>
  <r>
    <x v="25"/>
    <x v="47"/>
    <x v="167"/>
    <x v="2"/>
    <x v="151"/>
    <x v="63"/>
    <x v="121"/>
    <x v="0"/>
    <x v="1"/>
    <x v="0"/>
  </r>
  <r>
    <x v="26"/>
    <x v="55"/>
    <x v="171"/>
    <x v="2"/>
    <x v="128"/>
    <x v="67"/>
    <x v="95"/>
    <x v="0"/>
    <x v="1"/>
    <x v="0"/>
  </r>
  <r>
    <x v="26"/>
    <x v="62"/>
    <x v="172"/>
    <x v="8"/>
    <x v="49"/>
    <x v="20"/>
    <x v="15"/>
    <x v="0"/>
    <x v="1"/>
    <x v="0"/>
  </r>
  <r>
    <x v="26"/>
    <x v="19"/>
    <x v="170"/>
    <x v="7"/>
    <x v="89"/>
    <x v="39"/>
    <x v="76"/>
    <x v="0"/>
    <x v="1"/>
    <x v="0"/>
  </r>
  <r>
    <x v="26"/>
    <x v="150"/>
    <x v="175"/>
    <x v="5"/>
    <x v="41"/>
    <x v="14"/>
    <x v="43"/>
    <x v="0"/>
    <x v="0"/>
    <x v="0"/>
  </r>
  <r>
    <x v="26"/>
    <x v="151"/>
    <x v="176"/>
    <x v="1"/>
    <x v="40"/>
    <x v="9"/>
    <x v="45"/>
    <x v="0"/>
    <x v="0"/>
    <x v="0"/>
  </r>
  <r>
    <x v="26"/>
    <x v="88"/>
    <x v="173"/>
    <x v="1"/>
    <x v="31"/>
    <x v="6"/>
    <x v="38"/>
    <x v="0"/>
    <x v="0"/>
    <x v="0"/>
  </r>
  <r>
    <x v="26"/>
    <x v="135"/>
    <x v="174"/>
    <x v="9"/>
    <x v="68"/>
    <x v="27"/>
    <x v="42"/>
    <x v="0"/>
    <x v="4"/>
    <x v="0"/>
  </r>
  <r>
    <x v="26"/>
    <x v="84"/>
    <x v="3"/>
    <x v="2"/>
    <x v="90"/>
    <x v="55"/>
    <x v="59"/>
    <x v="0"/>
    <x v="2"/>
    <x v="0"/>
  </r>
  <r>
    <x v="27"/>
    <x v="27"/>
    <x v="177"/>
    <x v="7"/>
    <x v="100"/>
    <x v="38"/>
    <x v="80"/>
    <x v="0"/>
    <x v="1"/>
    <x v="0"/>
  </r>
  <r>
    <x v="27"/>
    <x v="63"/>
    <x v="179"/>
    <x v="8"/>
    <x v="46"/>
    <x v="18"/>
    <x v="15"/>
    <x v="0"/>
    <x v="1"/>
    <x v="0"/>
  </r>
  <r>
    <x v="27"/>
    <x v="31"/>
    <x v="178"/>
    <x v="2"/>
    <x v="146"/>
    <x v="68"/>
    <x v="117"/>
    <x v="0"/>
    <x v="1"/>
    <x v="0"/>
  </r>
  <r>
    <x v="27"/>
    <x v="147"/>
    <x v="183"/>
    <x v="5"/>
    <x v="44"/>
    <x v="13"/>
    <x v="50"/>
    <x v="0"/>
    <x v="0"/>
    <x v="0"/>
  </r>
  <r>
    <x v="27"/>
    <x v="70"/>
    <x v="180"/>
    <x v="1"/>
    <x v="35"/>
    <x v="8"/>
    <x v="40"/>
    <x v="0"/>
    <x v="0"/>
    <x v="0"/>
  </r>
  <r>
    <x v="27"/>
    <x v="88"/>
    <x v="181"/>
    <x v="1"/>
    <x v="30"/>
    <x v="5"/>
    <x v="37"/>
    <x v="0"/>
    <x v="1"/>
    <x v="0"/>
  </r>
  <r>
    <x v="27"/>
    <x v="149"/>
    <x v="182"/>
    <x v="1"/>
    <x v="25"/>
    <x v="6"/>
    <x v="30"/>
    <x v="0"/>
    <x v="0"/>
    <x v="0"/>
  </r>
  <r>
    <x v="27"/>
    <x v="131"/>
    <x v="202"/>
    <x v="2"/>
    <x v="98"/>
    <x v="52"/>
    <x v="65"/>
    <x v="0"/>
    <x v="3"/>
    <x v="0"/>
  </r>
  <r>
    <x v="28"/>
    <x v="38"/>
    <x v="185"/>
    <x v="2"/>
    <x v="130"/>
    <x v="58"/>
    <x v="98"/>
    <x v="0"/>
    <x v="1"/>
    <x v="0"/>
  </r>
  <r>
    <x v="28"/>
    <x v="61"/>
    <x v="186"/>
    <x v="8"/>
    <x v="55"/>
    <x v="22"/>
    <x v="19"/>
    <x v="0"/>
    <x v="1"/>
    <x v="0"/>
  </r>
  <r>
    <x v="28"/>
    <x v="17"/>
    <x v="184"/>
    <x v="7"/>
    <x v="94"/>
    <x v="37"/>
    <x v="77"/>
    <x v="0"/>
    <x v="1"/>
    <x v="0"/>
  </r>
  <r>
    <x v="28"/>
    <x v="155"/>
    <x v="191"/>
    <x v="5"/>
    <x v="31"/>
    <x v="12"/>
    <x v="31"/>
    <x v="0"/>
    <x v="0"/>
    <x v="0"/>
  </r>
  <r>
    <x v="28"/>
    <x v="93"/>
    <x v="187"/>
    <x v="5"/>
    <x v="34"/>
    <x v="12"/>
    <x v="35"/>
    <x v="0"/>
    <x v="0"/>
    <x v="0"/>
  </r>
  <r>
    <x v="28"/>
    <x v="154"/>
    <x v="190"/>
    <x v="1"/>
    <x v="25"/>
    <x v="8"/>
    <x v="27"/>
    <x v="0"/>
    <x v="0"/>
    <x v="0"/>
  </r>
  <r>
    <x v="29"/>
    <x v="61"/>
    <x v="194"/>
    <x v="8"/>
    <x v="50"/>
    <x v="21"/>
    <x v="15"/>
    <x v="0"/>
    <x v="1"/>
    <x v="0"/>
  </r>
  <r>
    <x v="29"/>
    <x v="44"/>
    <x v="193"/>
    <x v="2"/>
    <x v="136"/>
    <x v="54"/>
    <x v="105"/>
    <x v="0"/>
    <x v="1"/>
    <x v="0"/>
  </r>
  <r>
    <x v="29"/>
    <x v="14"/>
    <x v="192"/>
    <x v="7"/>
    <x v="93"/>
    <x v="34"/>
    <x v="77"/>
    <x v="0"/>
    <x v="1"/>
    <x v="0"/>
  </r>
  <r>
    <x v="29"/>
    <x v="138"/>
    <x v="196"/>
    <x v="9"/>
    <x v="69"/>
    <x v="28"/>
    <x v="42"/>
    <x v="0"/>
    <x v="4"/>
    <x v="0"/>
  </r>
  <r>
    <x v="29"/>
    <x v="98"/>
    <x v="195"/>
    <x v="5"/>
    <x v="35"/>
    <x v="14"/>
    <x v="34"/>
    <x v="0"/>
    <x v="0"/>
    <x v="0"/>
  </r>
  <r>
    <x v="29"/>
    <x v="141"/>
    <x v="197"/>
    <x v="5"/>
    <x v="49"/>
    <x v="14"/>
    <x v="52"/>
    <x v="0"/>
    <x v="0"/>
    <x v="0"/>
  </r>
  <r>
    <x v="28"/>
    <x v="100"/>
    <x v="188"/>
    <x v="9"/>
    <x v="72"/>
    <x v="30"/>
    <x v="44"/>
    <x v="0"/>
    <x v="4"/>
    <x v="0"/>
  </r>
  <r>
    <x v="28"/>
    <x v="133"/>
    <x v="189"/>
    <x v="9"/>
    <x v="65"/>
    <x v="29"/>
    <x v="19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5" firstHeaderRow="1" firstDataRow="2" firstDataCol="1" rowPageCount="1" colPageCount="1"/>
  <pivotFields count="10">
    <pivotField axis="axisPage" compact="0" showAll="0" defaultSubtotal="0" outline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8" hidden="false" customHeight="false" outlineLevel="0" collapsed="false">
      <c r="A2" s="5" t="n">
        <v>45231</v>
      </c>
      <c r="B2" s="6" t="n">
        <v>0.209027777777778</v>
      </c>
      <c r="C2" s="7" t="n">
        <v>31328</v>
      </c>
      <c r="D2" s="7" t="s">
        <v>10</v>
      </c>
      <c r="E2" s="7" t="n">
        <v>20960</v>
      </c>
      <c r="F2" s="7" t="n">
        <v>13120</v>
      </c>
      <c r="G2" s="7" t="n">
        <v>7840</v>
      </c>
      <c r="H2" s="7" t="s">
        <v>11</v>
      </c>
      <c r="I2" s="7" t="s">
        <v>12</v>
      </c>
      <c r="J2" s="0" t="s">
        <v>13</v>
      </c>
    </row>
    <row r="3" customFormat="false" ht="18" hidden="false" customHeight="false" outlineLevel="0" collapsed="false">
      <c r="A3" s="5" t="n">
        <v>45231</v>
      </c>
      <c r="B3" s="6" t="n">
        <v>0.127083333333333</v>
      </c>
      <c r="C3" s="7" t="n">
        <v>31320</v>
      </c>
      <c r="D3" s="7" t="s">
        <v>14</v>
      </c>
      <c r="E3" s="7" t="n">
        <v>23120</v>
      </c>
      <c r="F3" s="7" t="n">
        <v>15880</v>
      </c>
      <c r="G3" s="7" t="n">
        <v>7240</v>
      </c>
      <c r="H3" s="7" t="s">
        <v>11</v>
      </c>
      <c r="I3" s="5" t="s">
        <v>12</v>
      </c>
      <c r="J3" s="0" t="s">
        <v>13</v>
      </c>
    </row>
    <row r="4" customFormat="false" ht="18" hidden="false" customHeight="false" outlineLevel="0" collapsed="false">
      <c r="A4" s="5" t="n">
        <v>45231</v>
      </c>
      <c r="B4" s="6" t="n">
        <v>0.241666666666667</v>
      </c>
      <c r="C4" s="7" t="n">
        <v>31329</v>
      </c>
      <c r="D4" s="7" t="s">
        <v>14</v>
      </c>
      <c r="E4" s="7" t="n">
        <v>18680</v>
      </c>
      <c r="F4" s="7" t="n">
        <v>15840</v>
      </c>
      <c r="G4" s="7" t="n">
        <v>2840</v>
      </c>
      <c r="H4" s="7" t="s">
        <v>11</v>
      </c>
      <c r="I4" s="7" t="s">
        <v>12</v>
      </c>
      <c r="J4" s="0" t="s">
        <v>13</v>
      </c>
    </row>
    <row r="5" customFormat="false" ht="18" hidden="false" customHeight="false" outlineLevel="0" collapsed="false">
      <c r="A5" s="5" t="n">
        <v>45231</v>
      </c>
      <c r="B5" s="6" t="n">
        <v>0.20625</v>
      </c>
      <c r="C5" s="7" t="n">
        <v>31327</v>
      </c>
      <c r="D5" s="7" t="s">
        <v>15</v>
      </c>
      <c r="E5" s="7" t="n">
        <v>3400</v>
      </c>
      <c r="F5" s="7" t="n">
        <v>2800</v>
      </c>
      <c r="G5" s="7" t="n">
        <v>600</v>
      </c>
      <c r="H5" s="7" t="s">
        <v>11</v>
      </c>
      <c r="I5" s="7" t="s">
        <v>12</v>
      </c>
      <c r="J5" s="0" t="s">
        <v>13</v>
      </c>
    </row>
    <row r="6" customFormat="false" ht="18" hidden="false" customHeight="false" outlineLevel="0" collapsed="false">
      <c r="A6" s="5" t="n">
        <v>45232</v>
      </c>
      <c r="B6" s="6" t="n">
        <v>0.225694444444444</v>
      </c>
      <c r="C6" s="7" t="n">
        <v>31354</v>
      </c>
      <c r="D6" s="7" t="s">
        <v>15</v>
      </c>
      <c r="E6" s="7" t="n">
        <v>3320</v>
      </c>
      <c r="F6" s="7" t="n">
        <v>2800</v>
      </c>
      <c r="G6" s="7" t="n">
        <v>520</v>
      </c>
      <c r="H6" s="7" t="s">
        <v>11</v>
      </c>
      <c r="I6" s="7" t="s">
        <v>12</v>
      </c>
      <c r="J6" s="0" t="s">
        <v>13</v>
      </c>
    </row>
    <row r="7" customFormat="false" ht="18" hidden="false" customHeight="false" outlineLevel="0" collapsed="false">
      <c r="A7" s="5" t="n">
        <v>45232</v>
      </c>
      <c r="B7" s="6" t="n">
        <v>0.202083333333333</v>
      </c>
      <c r="C7" s="7" t="n">
        <v>31352</v>
      </c>
      <c r="D7" s="7" t="s">
        <v>10</v>
      </c>
      <c r="E7" s="7" t="n">
        <v>17880</v>
      </c>
      <c r="F7" s="7" t="n">
        <v>13080</v>
      </c>
      <c r="G7" s="7" t="n">
        <v>4800</v>
      </c>
      <c r="H7" s="7" t="s">
        <v>11</v>
      </c>
      <c r="I7" s="7" t="s">
        <v>12</v>
      </c>
      <c r="J7" s="0" t="s">
        <v>13</v>
      </c>
    </row>
    <row r="8" customFormat="false" ht="18" hidden="false" customHeight="false" outlineLevel="0" collapsed="false">
      <c r="A8" s="5" t="n">
        <v>45232</v>
      </c>
      <c r="B8" s="6" t="n">
        <v>0.141666666666667</v>
      </c>
      <c r="C8" s="7" t="n">
        <v>31346</v>
      </c>
      <c r="D8" s="7" t="s">
        <v>14</v>
      </c>
      <c r="E8" s="7" t="n">
        <v>24360</v>
      </c>
      <c r="F8" s="7" t="n">
        <v>15780</v>
      </c>
      <c r="G8" s="7" t="n">
        <v>8580</v>
      </c>
      <c r="H8" s="7" t="s">
        <v>11</v>
      </c>
      <c r="I8" s="7" t="s">
        <v>12</v>
      </c>
      <c r="J8" s="0" t="s">
        <v>13</v>
      </c>
    </row>
    <row r="9" customFormat="false" ht="18" hidden="false" customHeight="false" outlineLevel="0" collapsed="false">
      <c r="A9" s="5" t="n">
        <v>45232</v>
      </c>
      <c r="B9" s="6" t="n">
        <v>0.2375</v>
      </c>
      <c r="C9" s="7" t="n">
        <v>31357</v>
      </c>
      <c r="D9" s="7" t="s">
        <v>14</v>
      </c>
      <c r="E9" s="7" t="n">
        <v>17600</v>
      </c>
      <c r="F9" s="7" t="n">
        <v>15760</v>
      </c>
      <c r="G9" s="7" t="n">
        <v>1840</v>
      </c>
      <c r="H9" s="7" t="s">
        <v>11</v>
      </c>
      <c r="I9" s="7" t="s">
        <v>12</v>
      </c>
      <c r="J9" s="0" t="s">
        <v>13</v>
      </c>
    </row>
    <row r="10" customFormat="false" ht="18" hidden="false" customHeight="false" outlineLevel="0" collapsed="false">
      <c r="A10" s="5" t="n">
        <v>45232</v>
      </c>
      <c r="B10" s="6" t="n">
        <v>0.480555555555556</v>
      </c>
      <c r="C10" s="7" t="n">
        <v>31375</v>
      </c>
      <c r="D10" s="7" t="s">
        <v>16</v>
      </c>
      <c r="E10" s="7" t="n">
        <v>2620</v>
      </c>
      <c r="F10" s="7" t="n">
        <v>2360</v>
      </c>
      <c r="G10" s="7" t="n">
        <v>260</v>
      </c>
      <c r="H10" s="7" t="s">
        <v>11</v>
      </c>
      <c r="I10" s="7" t="s">
        <v>12</v>
      </c>
      <c r="J10" s="0" t="s">
        <v>13</v>
      </c>
    </row>
    <row r="11" customFormat="false" ht="18" hidden="false" customHeight="false" outlineLevel="0" collapsed="false">
      <c r="A11" s="5" t="n">
        <v>45232</v>
      </c>
      <c r="B11" s="6" t="n">
        <v>0.534027777777778</v>
      </c>
      <c r="C11" s="7" t="n">
        <v>31380</v>
      </c>
      <c r="D11" s="7" t="s">
        <v>15</v>
      </c>
      <c r="E11" s="7" t="n">
        <v>3060</v>
      </c>
      <c r="F11" s="7" t="n">
        <v>2800</v>
      </c>
      <c r="G11" s="7" t="n">
        <v>260</v>
      </c>
      <c r="H11" s="7" t="s">
        <v>11</v>
      </c>
      <c r="I11" s="7" t="s">
        <v>17</v>
      </c>
      <c r="J11" s="0" t="s">
        <v>13</v>
      </c>
    </row>
    <row r="12" customFormat="false" ht="18" hidden="false" customHeight="false" outlineLevel="0" collapsed="false">
      <c r="A12" s="5" t="n">
        <v>45232</v>
      </c>
      <c r="B12" s="6" t="n">
        <v>0.479166666666667</v>
      </c>
      <c r="C12" s="7" t="n">
        <v>31374</v>
      </c>
      <c r="D12" s="7" t="s">
        <v>18</v>
      </c>
      <c r="E12" s="7" t="n">
        <v>6540</v>
      </c>
      <c r="F12" s="7" t="n">
        <v>5500</v>
      </c>
      <c r="G12" s="7" t="n">
        <v>1040</v>
      </c>
      <c r="H12" s="7" t="s">
        <v>11</v>
      </c>
      <c r="I12" s="7" t="s">
        <v>19</v>
      </c>
      <c r="J12" s="0" t="s">
        <v>13</v>
      </c>
    </row>
    <row r="13" customFormat="false" ht="18" hidden="false" customHeight="false" outlineLevel="0" collapsed="false">
      <c r="A13" s="5" t="n">
        <v>45232</v>
      </c>
      <c r="B13" s="6" t="n">
        <v>0.340972222222222</v>
      </c>
      <c r="C13" s="7" t="n">
        <v>31362</v>
      </c>
      <c r="D13" s="7" t="s">
        <v>18</v>
      </c>
      <c r="E13" s="7" t="n">
        <v>6580</v>
      </c>
      <c r="F13" s="7" t="n">
        <v>5500</v>
      </c>
      <c r="G13" s="7" t="n">
        <v>1080</v>
      </c>
      <c r="H13" s="7" t="s">
        <v>11</v>
      </c>
      <c r="I13" s="7" t="s">
        <v>19</v>
      </c>
      <c r="J13" s="0" t="s">
        <v>13</v>
      </c>
    </row>
    <row r="14" customFormat="false" ht="18" hidden="false" customHeight="false" outlineLevel="0" collapsed="false">
      <c r="A14" s="5" t="n">
        <v>45233</v>
      </c>
      <c r="B14" s="6" t="n">
        <v>0.253472222222222</v>
      </c>
      <c r="C14" s="7" t="n">
        <v>31398</v>
      </c>
      <c r="D14" s="7" t="s">
        <v>15</v>
      </c>
      <c r="E14" s="7" t="n">
        <v>3140</v>
      </c>
      <c r="F14" s="7" t="n">
        <v>2860</v>
      </c>
      <c r="G14" s="7" t="n">
        <v>280</v>
      </c>
      <c r="H14" s="7" t="s">
        <v>11</v>
      </c>
      <c r="I14" s="7" t="s">
        <v>12</v>
      </c>
      <c r="J14" s="0" t="s">
        <v>13</v>
      </c>
    </row>
    <row r="15" customFormat="false" ht="18" hidden="false" customHeight="false" outlineLevel="0" collapsed="false">
      <c r="A15" s="5" t="n">
        <v>45233</v>
      </c>
      <c r="B15" s="6" t="n">
        <v>0.15625</v>
      </c>
      <c r="C15" s="7" t="n">
        <v>31394</v>
      </c>
      <c r="D15" s="7" t="s">
        <v>10</v>
      </c>
      <c r="E15" s="7" t="n">
        <v>18480</v>
      </c>
      <c r="F15" s="7" t="n">
        <v>13400</v>
      </c>
      <c r="G15" s="7" t="n">
        <v>5080</v>
      </c>
      <c r="H15" s="7" t="s">
        <v>11</v>
      </c>
      <c r="I15" s="7" t="s">
        <v>12</v>
      </c>
      <c r="J15" s="0" t="s">
        <v>13</v>
      </c>
    </row>
    <row r="16" customFormat="false" ht="18" hidden="false" customHeight="false" outlineLevel="0" collapsed="false">
      <c r="A16" s="5" t="n">
        <v>45233</v>
      </c>
      <c r="B16" s="6" t="n">
        <v>0.140972222222222</v>
      </c>
      <c r="C16" s="7" t="n">
        <v>31391</v>
      </c>
      <c r="D16" s="7" t="s">
        <v>14</v>
      </c>
      <c r="E16" s="7" t="n">
        <v>23280</v>
      </c>
      <c r="F16" s="7" t="n">
        <v>15700</v>
      </c>
      <c r="G16" s="7" t="n">
        <v>7580</v>
      </c>
      <c r="H16" s="7" t="s">
        <v>11</v>
      </c>
      <c r="I16" s="7" t="s">
        <v>12</v>
      </c>
      <c r="J16" s="0" t="s">
        <v>13</v>
      </c>
    </row>
    <row r="17" customFormat="false" ht="18" hidden="false" customHeight="false" outlineLevel="0" collapsed="false">
      <c r="A17" s="5" t="n">
        <v>45233</v>
      </c>
      <c r="B17" s="6" t="n">
        <v>0.252777777777778</v>
      </c>
      <c r="C17" s="7" t="n">
        <v>31397</v>
      </c>
      <c r="D17" s="7" t="s">
        <v>14</v>
      </c>
      <c r="E17" s="7" t="n">
        <v>17540</v>
      </c>
      <c r="F17" s="7" t="n">
        <v>15680</v>
      </c>
      <c r="G17" s="8" t="n">
        <v>1860</v>
      </c>
      <c r="H17" s="7" t="s">
        <v>11</v>
      </c>
      <c r="I17" s="7" t="s">
        <v>12</v>
      </c>
      <c r="J17" s="0" t="s">
        <v>13</v>
      </c>
    </row>
    <row r="18" customFormat="false" ht="18" hidden="false" customHeight="false" outlineLevel="0" collapsed="false">
      <c r="A18" s="5" t="n">
        <v>45234</v>
      </c>
      <c r="B18" s="6" t="n">
        <v>0.255555555555556</v>
      </c>
      <c r="C18" s="7" t="n">
        <v>31442</v>
      </c>
      <c r="D18" s="7" t="s">
        <v>15</v>
      </c>
      <c r="E18" s="7" t="n">
        <v>3440</v>
      </c>
      <c r="F18" s="7" t="n">
        <v>2860</v>
      </c>
      <c r="G18" s="8" t="n">
        <v>580</v>
      </c>
      <c r="H18" s="7" t="s">
        <v>11</v>
      </c>
      <c r="I18" s="7" t="s">
        <v>12</v>
      </c>
      <c r="J18" s="0" t="s">
        <v>13</v>
      </c>
    </row>
    <row r="19" customFormat="false" ht="18" hidden="false" customHeight="false" outlineLevel="0" collapsed="false">
      <c r="A19" s="5" t="n">
        <v>45234</v>
      </c>
      <c r="B19" s="6" t="n">
        <v>0.150694444444444</v>
      </c>
      <c r="C19" s="7" t="n">
        <v>31435</v>
      </c>
      <c r="D19" s="7" t="s">
        <v>10</v>
      </c>
      <c r="E19" s="7" t="n">
        <v>20880</v>
      </c>
      <c r="F19" s="7" t="n">
        <v>13360</v>
      </c>
      <c r="G19" s="8" t="n">
        <v>7520</v>
      </c>
      <c r="H19" s="7" t="s">
        <v>11</v>
      </c>
      <c r="I19" s="7" t="s">
        <v>12</v>
      </c>
      <c r="J19" s="0" t="s">
        <v>13</v>
      </c>
    </row>
    <row r="20" customFormat="false" ht="18" hidden="false" customHeight="false" outlineLevel="0" collapsed="false">
      <c r="A20" s="5" t="n">
        <v>45234</v>
      </c>
      <c r="B20" s="6" t="n">
        <v>0.259027777777778</v>
      </c>
      <c r="C20" s="7" t="n">
        <v>31443</v>
      </c>
      <c r="D20" s="7" t="s">
        <v>14</v>
      </c>
      <c r="E20" s="7" t="n">
        <v>18520</v>
      </c>
      <c r="F20" s="7" t="n">
        <v>15800</v>
      </c>
      <c r="G20" s="8" t="n">
        <v>2720</v>
      </c>
      <c r="H20" s="7" t="s">
        <v>11</v>
      </c>
      <c r="I20" s="7" t="s">
        <v>12</v>
      </c>
      <c r="J20" s="0" t="s">
        <v>13</v>
      </c>
    </row>
    <row r="21" customFormat="false" ht="18" hidden="false" customHeight="false" outlineLevel="0" collapsed="false">
      <c r="A21" s="5" t="n">
        <v>45234</v>
      </c>
      <c r="B21" s="6" t="n">
        <v>0.152777777777778</v>
      </c>
      <c r="C21" s="7" t="n">
        <v>31436</v>
      </c>
      <c r="D21" s="7" t="s">
        <v>14</v>
      </c>
      <c r="E21" s="7" t="n">
        <v>24380</v>
      </c>
      <c r="F21" s="7" t="n">
        <v>15840</v>
      </c>
      <c r="G21" s="8" t="n">
        <v>8540</v>
      </c>
      <c r="H21" s="7" t="s">
        <v>11</v>
      </c>
      <c r="I21" s="7" t="s">
        <v>12</v>
      </c>
      <c r="J21" s="0" t="s">
        <v>13</v>
      </c>
    </row>
    <row r="22" customFormat="false" ht="18" hidden="false" customHeight="false" outlineLevel="0" collapsed="false">
      <c r="A22" s="5" t="n">
        <v>45234</v>
      </c>
      <c r="B22" s="6" t="n">
        <v>0.4875</v>
      </c>
      <c r="C22" s="7" t="n">
        <v>31451</v>
      </c>
      <c r="D22" s="7" t="s">
        <v>15</v>
      </c>
      <c r="E22" s="7" t="n">
        <v>3140</v>
      </c>
      <c r="F22" s="7" t="n">
        <v>2680</v>
      </c>
      <c r="G22" s="8" t="n">
        <v>460</v>
      </c>
      <c r="H22" s="7" t="s">
        <v>11</v>
      </c>
      <c r="I22" s="7" t="s">
        <v>12</v>
      </c>
      <c r="J22" s="0" t="s">
        <v>13</v>
      </c>
    </row>
    <row r="23" customFormat="false" ht="18" hidden="false" customHeight="false" outlineLevel="0" collapsed="false">
      <c r="A23" s="5" t="n">
        <v>45235</v>
      </c>
      <c r="B23" s="6" t="n">
        <v>0.504861111111111</v>
      </c>
      <c r="C23" s="7" t="n">
        <v>31468</v>
      </c>
      <c r="D23" s="7" t="s">
        <v>20</v>
      </c>
      <c r="E23" s="7" t="n">
        <v>3180</v>
      </c>
      <c r="F23" s="7" t="n">
        <v>2840</v>
      </c>
      <c r="G23" s="8" t="n">
        <v>340</v>
      </c>
      <c r="H23" s="7" t="s">
        <v>11</v>
      </c>
      <c r="I23" s="7" t="s">
        <v>12</v>
      </c>
      <c r="J23" s="0" t="s">
        <v>13</v>
      </c>
    </row>
    <row r="24" customFormat="false" ht="18" hidden="false" customHeight="false" outlineLevel="0" collapsed="false">
      <c r="A24" s="5" t="n">
        <v>45235</v>
      </c>
      <c r="B24" s="6" t="n">
        <v>0.171527777777778</v>
      </c>
      <c r="C24" s="7" t="n">
        <v>31461</v>
      </c>
      <c r="D24" s="7" t="s">
        <v>14</v>
      </c>
      <c r="E24" s="7" t="n">
        <v>23020</v>
      </c>
      <c r="F24" s="7" t="n">
        <v>15900</v>
      </c>
      <c r="G24" s="8" t="n">
        <v>7120</v>
      </c>
      <c r="H24" s="7" t="s">
        <v>11</v>
      </c>
      <c r="I24" s="7" t="s">
        <v>12</v>
      </c>
      <c r="J24" s="0" t="s">
        <v>13</v>
      </c>
    </row>
    <row r="25" customFormat="false" ht="18" hidden="false" customHeight="false" outlineLevel="0" collapsed="false">
      <c r="A25" s="5" t="n">
        <v>45235</v>
      </c>
      <c r="B25" s="6" t="n">
        <v>0.125694444444444</v>
      </c>
      <c r="C25" s="7" t="n">
        <v>31460</v>
      </c>
      <c r="D25" s="7" t="s">
        <v>10</v>
      </c>
      <c r="E25" s="7" t="n">
        <v>20000</v>
      </c>
      <c r="F25" s="7" t="n">
        <v>13320</v>
      </c>
      <c r="G25" s="8" t="n">
        <v>6680</v>
      </c>
      <c r="H25" s="7" t="s">
        <v>11</v>
      </c>
      <c r="I25" s="7" t="s">
        <v>12</v>
      </c>
      <c r="J25" s="0" t="s">
        <v>13</v>
      </c>
    </row>
    <row r="26" customFormat="false" ht="18" hidden="false" customHeight="false" outlineLevel="0" collapsed="false">
      <c r="A26" s="5" t="n">
        <v>45235</v>
      </c>
      <c r="B26" s="6" t="n">
        <v>0.206944444444444</v>
      </c>
      <c r="C26" s="7" t="n">
        <v>31462</v>
      </c>
      <c r="D26" s="7" t="s">
        <v>21</v>
      </c>
      <c r="E26" s="7" t="n">
        <v>4240</v>
      </c>
      <c r="F26" s="7" t="n">
        <v>3740</v>
      </c>
      <c r="G26" s="8" t="n">
        <v>500</v>
      </c>
      <c r="H26" s="7" t="s">
        <v>11</v>
      </c>
      <c r="I26" s="7" t="s">
        <v>12</v>
      </c>
      <c r="J26" s="0" t="s">
        <v>13</v>
      </c>
    </row>
    <row r="27" customFormat="false" ht="18" hidden="false" customHeight="false" outlineLevel="0" collapsed="false">
      <c r="A27" s="5" t="n">
        <v>45236</v>
      </c>
      <c r="B27" s="6" t="n">
        <v>0.254166666666667</v>
      </c>
      <c r="C27" s="7" t="n">
        <v>31485</v>
      </c>
      <c r="D27" s="7" t="s">
        <v>21</v>
      </c>
      <c r="E27" s="7" t="n">
        <v>4360</v>
      </c>
      <c r="F27" s="7" t="n">
        <v>3780</v>
      </c>
      <c r="G27" s="8" t="n">
        <v>580</v>
      </c>
      <c r="H27" s="7" t="s">
        <v>11</v>
      </c>
      <c r="I27" s="7" t="s">
        <v>12</v>
      </c>
      <c r="J27" s="0" t="s">
        <v>13</v>
      </c>
    </row>
    <row r="28" customFormat="false" ht="18" hidden="false" customHeight="false" outlineLevel="0" collapsed="false">
      <c r="A28" s="5" t="n">
        <v>45236</v>
      </c>
      <c r="B28" s="6" t="n">
        <v>0.207638888888889</v>
      </c>
      <c r="C28" s="7" t="n">
        <v>31481</v>
      </c>
      <c r="D28" s="7" t="s">
        <v>14</v>
      </c>
      <c r="E28" s="7" t="n">
        <v>20680</v>
      </c>
      <c r="F28" s="7" t="n">
        <v>15860</v>
      </c>
      <c r="G28" s="8" t="n">
        <v>4820</v>
      </c>
      <c r="H28" s="7" t="s">
        <v>11</v>
      </c>
      <c r="I28" s="7" t="s">
        <v>12</v>
      </c>
      <c r="J28" s="0" t="s">
        <v>13</v>
      </c>
    </row>
    <row r="29" customFormat="false" ht="18" hidden="false" customHeight="false" outlineLevel="0" collapsed="false">
      <c r="A29" s="5" t="n">
        <v>45236</v>
      </c>
      <c r="B29" s="6" t="n">
        <v>0.13125</v>
      </c>
      <c r="C29" s="7" t="n">
        <v>31475</v>
      </c>
      <c r="D29" s="7" t="s">
        <v>10</v>
      </c>
      <c r="E29" s="7" t="n">
        <v>17700</v>
      </c>
      <c r="F29" s="7" t="n">
        <v>13060</v>
      </c>
      <c r="G29" s="8" t="n">
        <v>4640</v>
      </c>
      <c r="H29" s="7" t="s">
        <v>11</v>
      </c>
      <c r="I29" s="7" t="s">
        <v>12</v>
      </c>
      <c r="J29" s="0" t="s">
        <v>13</v>
      </c>
    </row>
    <row r="30" customFormat="false" ht="18" hidden="false" customHeight="false" outlineLevel="0" collapsed="false">
      <c r="A30" s="5" t="n">
        <v>45236</v>
      </c>
      <c r="B30" s="6" t="n">
        <v>0.486805555555556</v>
      </c>
      <c r="C30" s="7" t="n">
        <v>31506</v>
      </c>
      <c r="D30" s="7" t="s">
        <v>16</v>
      </c>
      <c r="E30" s="7" t="n">
        <v>2660</v>
      </c>
      <c r="F30" s="7" t="n">
        <v>2380</v>
      </c>
      <c r="G30" s="8" t="n">
        <v>280</v>
      </c>
      <c r="H30" s="7" t="s">
        <v>11</v>
      </c>
      <c r="I30" s="7" t="s">
        <v>12</v>
      </c>
      <c r="J30" s="0" t="s">
        <v>13</v>
      </c>
    </row>
    <row r="31" customFormat="false" ht="18" hidden="false" customHeight="false" outlineLevel="0" collapsed="false">
      <c r="A31" s="5" t="n">
        <v>45236</v>
      </c>
      <c r="B31" s="6" t="n">
        <v>0.783333333333333</v>
      </c>
      <c r="C31" s="7" t="n">
        <v>31522</v>
      </c>
      <c r="D31" s="7" t="s">
        <v>22</v>
      </c>
      <c r="E31" s="7" t="n">
        <v>20900</v>
      </c>
      <c r="F31" s="7" t="n">
        <v>16080</v>
      </c>
      <c r="G31" s="8" t="n">
        <v>4820</v>
      </c>
      <c r="H31" s="7" t="s">
        <v>11</v>
      </c>
      <c r="I31" s="7" t="s">
        <v>12</v>
      </c>
      <c r="J31" s="0" t="s">
        <v>13</v>
      </c>
    </row>
    <row r="32" customFormat="false" ht="18" hidden="false" customHeight="false" outlineLevel="0" collapsed="false">
      <c r="A32" s="5" t="n">
        <v>45237</v>
      </c>
      <c r="B32" s="6" t="n">
        <v>0.259027777777778</v>
      </c>
      <c r="C32" s="7" t="n">
        <v>31540</v>
      </c>
      <c r="D32" s="7" t="s">
        <v>21</v>
      </c>
      <c r="E32" s="7" t="n">
        <v>4300</v>
      </c>
      <c r="F32" s="7" t="n">
        <v>3800</v>
      </c>
      <c r="G32" s="8" t="n">
        <v>500</v>
      </c>
      <c r="H32" s="7" t="s">
        <v>11</v>
      </c>
      <c r="I32" s="7" t="s">
        <v>12</v>
      </c>
      <c r="J32" s="0" t="s">
        <v>13</v>
      </c>
    </row>
    <row r="33" customFormat="false" ht="18" hidden="false" customHeight="false" outlineLevel="0" collapsed="false">
      <c r="A33" s="5" t="n">
        <v>45237</v>
      </c>
      <c r="B33" s="6" t="n">
        <v>0.111805555555556</v>
      </c>
      <c r="C33" s="7" t="n">
        <v>31526</v>
      </c>
      <c r="D33" s="7" t="s">
        <v>22</v>
      </c>
      <c r="E33" s="7" t="n">
        <v>24260</v>
      </c>
      <c r="F33" s="7" t="n">
        <v>16060</v>
      </c>
      <c r="G33" s="8" t="n">
        <v>8200</v>
      </c>
      <c r="H33" s="7" t="s">
        <v>11</v>
      </c>
      <c r="I33" s="7" t="s">
        <v>12</v>
      </c>
      <c r="J33" s="0" t="s">
        <v>13</v>
      </c>
    </row>
    <row r="34" customFormat="false" ht="18" hidden="false" customHeight="false" outlineLevel="0" collapsed="false">
      <c r="A34" s="5" t="n">
        <v>45237</v>
      </c>
      <c r="B34" s="6" t="n">
        <v>0.238194444444444</v>
      </c>
      <c r="C34" s="7" t="n">
        <v>31536</v>
      </c>
      <c r="D34" s="7" t="s">
        <v>22</v>
      </c>
      <c r="E34" s="7" t="n">
        <v>19100</v>
      </c>
      <c r="F34" s="7" t="n">
        <v>16000</v>
      </c>
      <c r="G34" s="8" t="n">
        <v>3100</v>
      </c>
      <c r="H34" s="7" t="s">
        <v>11</v>
      </c>
      <c r="I34" s="7" t="s">
        <v>12</v>
      </c>
      <c r="J34" s="0" t="s">
        <v>13</v>
      </c>
    </row>
    <row r="35" customFormat="false" ht="18" hidden="false" customHeight="false" outlineLevel="0" collapsed="false">
      <c r="A35" s="5" t="n">
        <v>45237</v>
      </c>
      <c r="B35" s="6" t="n">
        <v>0.145833333333333</v>
      </c>
      <c r="C35" s="7" t="n">
        <v>31533</v>
      </c>
      <c r="D35" s="7" t="s">
        <v>10</v>
      </c>
      <c r="E35" s="7" t="n">
        <v>17960</v>
      </c>
      <c r="F35" s="7" t="n">
        <v>13380</v>
      </c>
      <c r="G35" s="8" t="n">
        <v>4580</v>
      </c>
      <c r="H35" s="7" t="s">
        <v>11</v>
      </c>
      <c r="I35" s="7" t="s">
        <v>12</v>
      </c>
      <c r="J35" s="0" t="s">
        <v>13</v>
      </c>
    </row>
    <row r="36" customFormat="false" ht="18" hidden="false" customHeight="false" outlineLevel="0" collapsed="false">
      <c r="A36" s="5" t="n">
        <v>45237</v>
      </c>
      <c r="B36" s="6" t="n">
        <v>0.497916666666667</v>
      </c>
      <c r="C36" s="7" t="n">
        <v>31566</v>
      </c>
      <c r="D36" s="7" t="s">
        <v>16</v>
      </c>
      <c r="E36" s="7" t="n">
        <v>2820</v>
      </c>
      <c r="F36" s="7" t="n">
        <v>2380</v>
      </c>
      <c r="G36" s="8" t="n">
        <v>440</v>
      </c>
      <c r="H36" s="7" t="s">
        <v>11</v>
      </c>
      <c r="I36" s="7" t="s">
        <v>12</v>
      </c>
      <c r="J36" s="0" t="s">
        <v>13</v>
      </c>
    </row>
    <row r="37" customFormat="false" ht="18" hidden="false" customHeight="false" outlineLevel="0" collapsed="false">
      <c r="A37" s="5" t="n">
        <v>45238</v>
      </c>
      <c r="B37" s="6" t="n">
        <v>0.172916666666667</v>
      </c>
      <c r="C37" s="7" t="n">
        <v>31585</v>
      </c>
      <c r="D37" s="7" t="s">
        <v>21</v>
      </c>
      <c r="E37" s="7" t="n">
        <v>4600</v>
      </c>
      <c r="F37" s="7" t="n">
        <v>3780</v>
      </c>
      <c r="G37" s="8" t="n">
        <v>820</v>
      </c>
      <c r="H37" s="7" t="s">
        <v>11</v>
      </c>
      <c r="I37" s="7" t="s">
        <v>12</v>
      </c>
      <c r="J37" s="0" t="s">
        <v>13</v>
      </c>
    </row>
    <row r="38" customFormat="false" ht="18" hidden="false" customHeight="false" outlineLevel="0" collapsed="false">
      <c r="A38" s="5" t="n">
        <v>45238</v>
      </c>
      <c r="B38" s="6" t="n">
        <v>0.253472222222222</v>
      </c>
      <c r="C38" s="7" t="n">
        <v>31591</v>
      </c>
      <c r="D38" s="7" t="s">
        <v>21</v>
      </c>
      <c r="E38" s="7" t="n">
        <v>4520</v>
      </c>
      <c r="F38" s="7" t="n">
        <v>3760</v>
      </c>
      <c r="G38" s="8" t="n">
        <v>760</v>
      </c>
      <c r="H38" s="7" t="s">
        <v>11</v>
      </c>
      <c r="I38" s="7" t="s">
        <v>12</v>
      </c>
      <c r="J38" s="0" t="s">
        <v>13</v>
      </c>
    </row>
    <row r="39" customFormat="false" ht="18" hidden="false" customHeight="false" outlineLevel="0" collapsed="false">
      <c r="A39" s="5" t="n">
        <v>45238</v>
      </c>
      <c r="B39" s="6" t="n">
        <v>0.213194444444444</v>
      </c>
      <c r="C39" s="7" t="n">
        <v>31587</v>
      </c>
      <c r="D39" s="7" t="s">
        <v>22</v>
      </c>
      <c r="E39" s="7" t="n">
        <v>23780</v>
      </c>
      <c r="F39" s="7" t="n">
        <v>16040</v>
      </c>
      <c r="G39" s="8" t="n">
        <v>7740</v>
      </c>
      <c r="H39" s="7" t="s">
        <v>11</v>
      </c>
      <c r="I39" s="7" t="s">
        <v>12</v>
      </c>
      <c r="J39" s="0" t="s">
        <v>13</v>
      </c>
    </row>
    <row r="40" customFormat="false" ht="18" hidden="false" customHeight="false" outlineLevel="0" collapsed="false">
      <c r="A40" s="5" t="n">
        <v>45238</v>
      </c>
      <c r="B40" s="6" t="n">
        <v>0.529861111111111</v>
      </c>
      <c r="C40" s="7" t="n">
        <v>31620</v>
      </c>
      <c r="D40" s="7" t="s">
        <v>15</v>
      </c>
      <c r="E40" s="7" t="n">
        <v>3180</v>
      </c>
      <c r="F40" s="7" t="n">
        <v>2780</v>
      </c>
      <c r="G40" s="8" t="n">
        <v>400</v>
      </c>
      <c r="H40" s="7" t="s">
        <v>11</v>
      </c>
      <c r="I40" s="7" t="s">
        <v>17</v>
      </c>
      <c r="J40" s="0" t="s">
        <v>13</v>
      </c>
    </row>
    <row r="41" customFormat="false" ht="18" hidden="false" customHeight="false" outlineLevel="0" collapsed="false">
      <c r="A41" s="5" t="n">
        <v>45238</v>
      </c>
      <c r="B41" s="6" t="n">
        <v>0.506944444444444</v>
      </c>
      <c r="C41" s="7" t="n">
        <v>31619</v>
      </c>
      <c r="D41" s="7" t="s">
        <v>18</v>
      </c>
      <c r="E41" s="7" t="n">
        <v>6600</v>
      </c>
      <c r="F41" s="7" t="n">
        <v>5460</v>
      </c>
      <c r="G41" s="8" t="n">
        <v>1140</v>
      </c>
      <c r="H41" s="7" t="s">
        <v>11</v>
      </c>
      <c r="I41" s="7" t="s">
        <v>19</v>
      </c>
      <c r="J41" s="0" t="s">
        <v>13</v>
      </c>
    </row>
    <row r="42" customFormat="false" ht="18" hidden="false" customHeight="false" outlineLevel="0" collapsed="false">
      <c r="A42" s="5" t="n">
        <v>45238</v>
      </c>
      <c r="B42" s="6" t="n">
        <v>0.390277777777778</v>
      </c>
      <c r="C42" s="9" t="n">
        <v>31604</v>
      </c>
      <c r="D42" s="9" t="s">
        <v>18</v>
      </c>
      <c r="E42" s="9" t="n">
        <v>6620</v>
      </c>
      <c r="F42" s="9" t="n">
        <v>5480</v>
      </c>
      <c r="G42" s="9" t="n">
        <v>1140</v>
      </c>
      <c r="H42" s="7" t="s">
        <v>11</v>
      </c>
      <c r="I42" s="9" t="s">
        <v>19</v>
      </c>
      <c r="J42" s="0" t="s">
        <v>13</v>
      </c>
    </row>
    <row r="43" customFormat="false" ht="18" hidden="false" customHeight="false" outlineLevel="0" collapsed="false">
      <c r="A43" s="5" t="n">
        <v>45238</v>
      </c>
      <c r="B43" s="6" t="n">
        <v>0.297916666666667</v>
      </c>
      <c r="C43" s="9" t="n">
        <v>31598</v>
      </c>
      <c r="D43" s="9" t="s">
        <v>18</v>
      </c>
      <c r="E43" s="9" t="n">
        <v>7260</v>
      </c>
      <c r="F43" s="9" t="n">
        <v>5480</v>
      </c>
      <c r="G43" s="9" t="n">
        <v>1780</v>
      </c>
      <c r="H43" s="7" t="s">
        <v>11</v>
      </c>
      <c r="I43" s="9" t="s">
        <v>19</v>
      </c>
      <c r="J43" s="0" t="s">
        <v>13</v>
      </c>
    </row>
    <row r="44" customFormat="false" ht="18" hidden="false" customHeight="false" outlineLevel="0" collapsed="false">
      <c r="A44" s="5" t="n">
        <v>45238</v>
      </c>
      <c r="B44" s="6" t="n">
        <v>0.376388888888889</v>
      </c>
      <c r="C44" s="7" t="n">
        <v>31603</v>
      </c>
      <c r="D44" s="7" t="s">
        <v>20</v>
      </c>
      <c r="E44" s="7" t="n">
        <v>3160</v>
      </c>
      <c r="F44" s="7" t="n">
        <v>2840</v>
      </c>
      <c r="G44" s="8" t="n">
        <v>320</v>
      </c>
      <c r="H44" s="7" t="s">
        <v>11</v>
      </c>
      <c r="I44" s="7" t="s">
        <v>12</v>
      </c>
      <c r="J44" s="0" t="s">
        <v>13</v>
      </c>
    </row>
    <row r="45" customFormat="false" ht="18" hidden="false" customHeight="false" outlineLevel="0" collapsed="false">
      <c r="A45" s="5" t="n">
        <v>45238</v>
      </c>
      <c r="B45" s="6" t="n">
        <v>0.501388888888889</v>
      </c>
      <c r="C45" s="7" t="n">
        <v>31617</v>
      </c>
      <c r="D45" s="7" t="s">
        <v>16</v>
      </c>
      <c r="E45" s="7" t="n">
        <v>2540</v>
      </c>
      <c r="F45" s="7" t="n">
        <v>2360</v>
      </c>
      <c r="G45" s="8" t="n">
        <v>180</v>
      </c>
      <c r="H45" s="7" t="s">
        <v>11</v>
      </c>
      <c r="I45" s="7" t="s">
        <v>12</v>
      </c>
      <c r="J45" s="0" t="s">
        <v>13</v>
      </c>
    </row>
    <row r="46" customFormat="false" ht="18" hidden="false" customHeight="false" outlineLevel="0" collapsed="false">
      <c r="A46" s="5" t="n">
        <v>45238</v>
      </c>
      <c r="B46" s="6" t="n">
        <v>0.473611111111111</v>
      </c>
      <c r="C46" s="7" t="n">
        <v>31615</v>
      </c>
      <c r="D46" s="7" t="s">
        <v>20</v>
      </c>
      <c r="E46" s="7" t="n">
        <v>3500</v>
      </c>
      <c r="F46" s="7" t="n">
        <v>2840</v>
      </c>
      <c r="G46" s="8" t="n">
        <v>660</v>
      </c>
      <c r="H46" s="7" t="s">
        <v>11</v>
      </c>
      <c r="I46" s="7" t="s">
        <v>19</v>
      </c>
      <c r="J46" s="0" t="s">
        <v>13</v>
      </c>
    </row>
    <row r="47" customFormat="false" ht="18" hidden="true" customHeight="false" outlineLevel="0" collapsed="false">
      <c r="A47" s="5" t="n">
        <v>45238</v>
      </c>
      <c r="B47" s="6" t="n">
        <v>0.456944444444444</v>
      </c>
      <c r="C47" s="7" t="n">
        <v>4993</v>
      </c>
      <c r="D47" s="7" t="s">
        <v>22</v>
      </c>
      <c r="E47" s="7" t="n">
        <v>21260</v>
      </c>
      <c r="F47" s="7" t="n">
        <v>18860</v>
      </c>
      <c r="G47" s="8" t="n">
        <v>2400</v>
      </c>
      <c r="H47" s="7" t="s">
        <v>11</v>
      </c>
      <c r="I47" s="7" t="s">
        <v>23</v>
      </c>
      <c r="J47" s="0" t="s">
        <v>13</v>
      </c>
    </row>
    <row r="48" customFormat="false" ht="18" hidden="false" customHeight="false" outlineLevel="0" collapsed="false">
      <c r="A48" s="5" t="n">
        <v>45239</v>
      </c>
      <c r="B48" s="6" t="n">
        <v>0.225694444444444</v>
      </c>
      <c r="C48" s="7" t="n">
        <v>31646</v>
      </c>
      <c r="D48" s="7" t="s">
        <v>21</v>
      </c>
      <c r="E48" s="7" t="n">
        <v>4140</v>
      </c>
      <c r="F48" s="7" t="n">
        <v>3760</v>
      </c>
      <c r="G48" s="8" t="n">
        <v>380</v>
      </c>
      <c r="H48" s="7" t="s">
        <v>11</v>
      </c>
      <c r="I48" s="7" t="s">
        <v>12</v>
      </c>
      <c r="J48" s="0" t="s">
        <v>13</v>
      </c>
    </row>
    <row r="49" customFormat="false" ht="18" hidden="false" customHeight="false" outlineLevel="0" collapsed="false">
      <c r="A49" s="5" t="n">
        <v>45239</v>
      </c>
      <c r="B49" s="6" t="n">
        <v>0.245138888888889</v>
      </c>
      <c r="C49" s="7" t="n">
        <v>31649</v>
      </c>
      <c r="D49" s="7" t="s">
        <v>22</v>
      </c>
      <c r="E49" s="7" t="n">
        <v>25500</v>
      </c>
      <c r="F49" s="7" t="n">
        <v>15980</v>
      </c>
      <c r="G49" s="8" t="n">
        <v>9520</v>
      </c>
      <c r="H49" s="7" t="s">
        <v>11</v>
      </c>
      <c r="I49" s="7" t="s">
        <v>12</v>
      </c>
      <c r="J49" s="0" t="s">
        <v>13</v>
      </c>
    </row>
    <row r="50" customFormat="false" ht="18" hidden="false" customHeight="false" outlineLevel="0" collapsed="false">
      <c r="A50" s="5" t="n">
        <v>45239</v>
      </c>
      <c r="B50" s="6" t="n">
        <v>0.158333333333333</v>
      </c>
      <c r="C50" s="7" t="n">
        <v>31639</v>
      </c>
      <c r="D50" s="7" t="s">
        <v>24</v>
      </c>
      <c r="E50" s="7" t="n">
        <v>17780</v>
      </c>
      <c r="F50" s="7" t="n">
        <v>13740</v>
      </c>
      <c r="G50" s="8" t="n">
        <v>4040</v>
      </c>
      <c r="H50" s="7" t="s">
        <v>11</v>
      </c>
      <c r="I50" s="7" t="s">
        <v>12</v>
      </c>
      <c r="J50" s="0" t="s">
        <v>13</v>
      </c>
    </row>
    <row r="51" customFormat="false" ht="18" hidden="true" customHeight="false" outlineLevel="0" collapsed="false">
      <c r="A51" s="5" t="n">
        <v>45237</v>
      </c>
      <c r="B51" s="6" t="n">
        <v>0.520833333333333</v>
      </c>
      <c r="C51" s="7" t="n">
        <v>165149</v>
      </c>
      <c r="D51" s="7" t="s">
        <v>22</v>
      </c>
      <c r="E51" s="7" t="n">
        <v>17940</v>
      </c>
      <c r="F51" s="7" t="n">
        <v>15960</v>
      </c>
      <c r="G51" s="8" t="n">
        <v>1980</v>
      </c>
      <c r="H51" s="7" t="s">
        <v>11</v>
      </c>
      <c r="I51" s="7" t="s">
        <v>25</v>
      </c>
      <c r="J51" s="0" t="s">
        <v>13</v>
      </c>
    </row>
    <row r="52" customFormat="false" ht="18" hidden="false" customHeight="false" outlineLevel="0" collapsed="false">
      <c r="A52" s="5" t="n">
        <v>45239</v>
      </c>
      <c r="B52" s="6" t="n">
        <v>0.54375</v>
      </c>
      <c r="C52" s="7" t="n">
        <v>31673</v>
      </c>
      <c r="D52" s="7" t="s">
        <v>20</v>
      </c>
      <c r="E52" s="7" t="n">
        <v>3600</v>
      </c>
      <c r="F52" s="7" t="n">
        <v>2860</v>
      </c>
      <c r="G52" s="8" t="n">
        <v>740</v>
      </c>
      <c r="H52" s="7" t="s">
        <v>11</v>
      </c>
      <c r="I52" s="7" t="s">
        <v>17</v>
      </c>
      <c r="J52" s="0" t="s">
        <v>13</v>
      </c>
    </row>
    <row r="53" customFormat="false" ht="18" hidden="false" customHeight="false" outlineLevel="0" collapsed="false">
      <c r="A53" s="5" t="n">
        <v>45239</v>
      </c>
      <c r="B53" s="6" t="n">
        <v>0.44375</v>
      </c>
      <c r="C53" s="7" t="n">
        <v>31664</v>
      </c>
      <c r="D53" s="7" t="s">
        <v>20</v>
      </c>
      <c r="E53" s="7" t="n">
        <v>3780</v>
      </c>
      <c r="F53" s="7" t="n">
        <v>2860</v>
      </c>
      <c r="G53" s="8" t="n">
        <v>920</v>
      </c>
      <c r="H53" s="7" t="s">
        <v>11</v>
      </c>
      <c r="I53" s="7" t="s">
        <v>17</v>
      </c>
      <c r="J53" s="0" t="s">
        <v>13</v>
      </c>
    </row>
    <row r="54" customFormat="false" ht="18" hidden="false" customHeight="false" outlineLevel="0" collapsed="false">
      <c r="A54" s="5" t="n">
        <v>45239</v>
      </c>
      <c r="B54" s="6" t="n">
        <v>0.481944444444444</v>
      </c>
      <c r="C54" s="7" t="n">
        <v>31669</v>
      </c>
      <c r="D54" s="7" t="s">
        <v>16</v>
      </c>
      <c r="E54" s="7" t="n">
        <v>2680</v>
      </c>
      <c r="F54" s="7" t="n">
        <v>2360</v>
      </c>
      <c r="G54" s="8" t="n">
        <v>320</v>
      </c>
      <c r="H54" s="7" t="s">
        <v>11</v>
      </c>
      <c r="I54" s="7" t="s">
        <v>12</v>
      </c>
      <c r="J54" s="0" t="s">
        <v>13</v>
      </c>
    </row>
    <row r="55" customFormat="false" ht="18" hidden="false" customHeight="false" outlineLevel="0" collapsed="false">
      <c r="A55" s="5" t="n">
        <v>45239</v>
      </c>
      <c r="B55" s="6" t="n">
        <v>0.543055555555556</v>
      </c>
      <c r="C55" s="7" t="n">
        <v>31674</v>
      </c>
      <c r="D55" s="7" t="s">
        <v>15</v>
      </c>
      <c r="E55" s="7" t="n">
        <v>3540</v>
      </c>
      <c r="F55" s="7" t="n">
        <v>2780</v>
      </c>
      <c r="G55" s="8" t="n">
        <v>760</v>
      </c>
      <c r="H55" s="7" t="s">
        <v>11</v>
      </c>
      <c r="I55" s="7" t="s">
        <v>17</v>
      </c>
      <c r="J55" s="0" t="s">
        <v>13</v>
      </c>
    </row>
    <row r="56" customFormat="false" ht="18" hidden="false" customHeight="false" outlineLevel="0" collapsed="false">
      <c r="A56" s="5" t="n">
        <v>45240</v>
      </c>
      <c r="B56" s="6" t="n">
        <v>0.238194444444444</v>
      </c>
      <c r="C56" s="7" t="n">
        <v>31699</v>
      </c>
      <c r="D56" s="7" t="s">
        <v>24</v>
      </c>
      <c r="E56" s="7" t="n">
        <v>19280</v>
      </c>
      <c r="F56" s="7" t="n">
        <v>13580</v>
      </c>
      <c r="G56" s="8" t="n">
        <v>5700</v>
      </c>
      <c r="H56" s="7" t="s">
        <v>11</v>
      </c>
      <c r="I56" s="7" t="s">
        <v>12</v>
      </c>
      <c r="J56" s="0" t="s">
        <v>13</v>
      </c>
    </row>
    <row r="57" customFormat="false" ht="18" hidden="false" customHeight="false" outlineLevel="0" collapsed="false">
      <c r="A57" s="5" t="n">
        <v>45240</v>
      </c>
      <c r="B57" s="6" t="n">
        <v>0.2625</v>
      </c>
      <c r="C57" s="7" t="n">
        <v>31701</v>
      </c>
      <c r="D57" s="7" t="s">
        <v>21</v>
      </c>
      <c r="E57" s="7" t="n">
        <v>4020</v>
      </c>
      <c r="F57" s="7" t="n">
        <v>3680</v>
      </c>
      <c r="G57" s="8" t="n">
        <v>340</v>
      </c>
      <c r="H57" s="7" t="s">
        <v>11</v>
      </c>
      <c r="I57" s="7" t="s">
        <v>12</v>
      </c>
      <c r="J57" s="0" t="s">
        <v>13</v>
      </c>
    </row>
    <row r="58" customFormat="false" ht="18" hidden="true" customHeight="false" outlineLevel="0" collapsed="false">
      <c r="A58" s="5" t="n">
        <v>45240</v>
      </c>
      <c r="B58" s="6" t="n">
        <v>0.346527777777778</v>
      </c>
      <c r="C58" s="7" t="n">
        <v>165371</v>
      </c>
      <c r="D58" s="7" t="s">
        <v>26</v>
      </c>
      <c r="E58" s="7" t="n">
        <v>16980</v>
      </c>
      <c r="F58" s="7" t="n">
        <v>16120</v>
      </c>
      <c r="G58" s="8" t="n">
        <v>860</v>
      </c>
      <c r="H58" s="7" t="s">
        <v>11</v>
      </c>
      <c r="I58" s="7" t="s">
        <v>25</v>
      </c>
      <c r="J58" s="0" t="s">
        <v>13</v>
      </c>
    </row>
    <row r="59" customFormat="false" ht="18" hidden="false" customHeight="false" outlineLevel="0" collapsed="false">
      <c r="A59" s="5" t="n">
        <v>45240</v>
      </c>
      <c r="B59" s="6" t="n">
        <v>0.46875</v>
      </c>
      <c r="C59" s="7" t="n">
        <v>31727</v>
      </c>
      <c r="D59" s="7" t="s">
        <v>16</v>
      </c>
      <c r="E59" s="7" t="n">
        <v>2620</v>
      </c>
      <c r="F59" s="7" t="n">
        <v>2360</v>
      </c>
      <c r="G59" s="8" t="n">
        <v>260</v>
      </c>
      <c r="H59" s="7" t="s">
        <v>11</v>
      </c>
      <c r="I59" s="7" t="s">
        <v>12</v>
      </c>
      <c r="J59" s="0" t="s">
        <v>13</v>
      </c>
    </row>
    <row r="60" customFormat="false" ht="18" hidden="false" customHeight="false" outlineLevel="0" collapsed="false">
      <c r="A60" s="5" t="n">
        <v>45240</v>
      </c>
      <c r="B60" s="6" t="n">
        <v>0.513888888888889</v>
      </c>
      <c r="C60" s="7" t="n">
        <v>31733</v>
      </c>
      <c r="D60" s="7" t="s">
        <v>14</v>
      </c>
      <c r="E60" s="7" t="n">
        <v>23700</v>
      </c>
      <c r="F60" s="7" t="n">
        <v>15880</v>
      </c>
      <c r="G60" s="8" t="n">
        <v>7820</v>
      </c>
      <c r="H60" s="7" t="s">
        <v>11</v>
      </c>
      <c r="I60" s="7" t="s">
        <v>12</v>
      </c>
      <c r="J60" s="0" t="s">
        <v>13</v>
      </c>
    </row>
    <row r="61" customFormat="false" ht="18" hidden="false" customHeight="false" outlineLevel="0" collapsed="false">
      <c r="A61" s="5" t="n">
        <v>45240</v>
      </c>
      <c r="B61" s="6" t="n">
        <v>0.495833333333333</v>
      </c>
      <c r="C61" s="7" t="n">
        <v>31730</v>
      </c>
      <c r="D61" s="7" t="s">
        <v>15</v>
      </c>
      <c r="E61" s="7" t="n">
        <v>4220</v>
      </c>
      <c r="F61" s="7" t="n">
        <v>2780</v>
      </c>
      <c r="G61" s="8" t="n">
        <v>1440</v>
      </c>
      <c r="H61" s="7" t="s">
        <v>11</v>
      </c>
      <c r="I61" s="7" t="s">
        <v>17</v>
      </c>
      <c r="J61" s="0" t="s">
        <v>13</v>
      </c>
    </row>
    <row r="62" customFormat="false" ht="18" hidden="false" customHeight="false" outlineLevel="0" collapsed="false">
      <c r="A62" s="5" t="n">
        <v>45241</v>
      </c>
      <c r="B62" s="6" t="n">
        <v>0.265277777777778</v>
      </c>
      <c r="C62" s="7" t="n">
        <v>31764</v>
      </c>
      <c r="D62" s="7" t="s">
        <v>16</v>
      </c>
      <c r="E62" s="7" t="n">
        <v>2520</v>
      </c>
      <c r="F62" s="7" t="n">
        <v>2340</v>
      </c>
      <c r="G62" s="8" t="n">
        <v>180</v>
      </c>
      <c r="H62" s="7" t="s">
        <v>11</v>
      </c>
      <c r="I62" s="7" t="s">
        <v>12</v>
      </c>
      <c r="J62" s="0" t="s">
        <v>13</v>
      </c>
    </row>
    <row r="63" customFormat="false" ht="18" hidden="false" customHeight="false" outlineLevel="0" collapsed="false">
      <c r="A63" s="5" t="n">
        <v>45241</v>
      </c>
      <c r="B63" s="6" t="n">
        <v>0.223611111111111</v>
      </c>
      <c r="C63" s="7" t="n">
        <v>31756</v>
      </c>
      <c r="D63" s="7" t="s">
        <v>21</v>
      </c>
      <c r="E63" s="7" t="n">
        <v>4180</v>
      </c>
      <c r="F63" s="7" t="n">
        <v>3660</v>
      </c>
      <c r="G63" s="8" t="n">
        <v>520</v>
      </c>
      <c r="H63" s="7" t="s">
        <v>11</v>
      </c>
      <c r="I63" s="7" t="s">
        <v>12</v>
      </c>
      <c r="J63" s="0" t="s">
        <v>13</v>
      </c>
    </row>
    <row r="64" customFormat="false" ht="18" hidden="false" customHeight="false" outlineLevel="0" collapsed="false">
      <c r="A64" s="5" t="n">
        <v>45241</v>
      </c>
      <c r="B64" s="6" t="n">
        <v>0.167361111111111</v>
      </c>
      <c r="C64" s="7" t="n">
        <v>31752</v>
      </c>
      <c r="D64" s="7" t="s">
        <v>24</v>
      </c>
      <c r="E64" s="7" t="n">
        <v>19700</v>
      </c>
      <c r="F64" s="7" t="n">
        <v>13660</v>
      </c>
      <c r="G64" s="8" t="n">
        <v>6040</v>
      </c>
      <c r="H64" s="7" t="s">
        <v>11</v>
      </c>
      <c r="I64" s="7" t="s">
        <v>12</v>
      </c>
      <c r="J64" s="0" t="s">
        <v>13</v>
      </c>
    </row>
    <row r="65" customFormat="false" ht="18" hidden="false" customHeight="false" outlineLevel="0" collapsed="false">
      <c r="A65" s="5" t="n">
        <v>45241</v>
      </c>
      <c r="B65" s="6" t="n">
        <v>0.488888888888889</v>
      </c>
      <c r="C65" s="7" t="n">
        <v>31772</v>
      </c>
      <c r="D65" s="7" t="s">
        <v>16</v>
      </c>
      <c r="E65" s="7" t="n">
        <v>2480</v>
      </c>
      <c r="F65" s="7" t="n">
        <v>2340</v>
      </c>
      <c r="G65" s="8" t="n">
        <v>140</v>
      </c>
      <c r="H65" s="7" t="s">
        <v>11</v>
      </c>
      <c r="I65" s="7" t="s">
        <v>12</v>
      </c>
      <c r="J65" s="0" t="s">
        <v>13</v>
      </c>
    </row>
    <row r="66" customFormat="false" ht="18" hidden="false" customHeight="false" outlineLevel="0" collapsed="false">
      <c r="A66" s="5" t="n">
        <v>45241</v>
      </c>
      <c r="B66" s="6" t="n">
        <v>0.247222222222222</v>
      </c>
      <c r="C66" s="7" t="n">
        <v>31761</v>
      </c>
      <c r="D66" s="7" t="s">
        <v>14</v>
      </c>
      <c r="E66" s="7" t="n">
        <v>25660</v>
      </c>
      <c r="F66" s="7" t="n">
        <v>15760</v>
      </c>
      <c r="G66" s="8" t="n">
        <v>9900</v>
      </c>
      <c r="H66" s="7" t="s">
        <v>11</v>
      </c>
      <c r="I66" s="7" t="s">
        <v>12</v>
      </c>
      <c r="J66" s="0" t="s">
        <v>13</v>
      </c>
    </row>
    <row r="67" customFormat="false" ht="18" hidden="false" customHeight="false" outlineLevel="0" collapsed="false">
      <c r="A67" s="5" t="n">
        <v>45242</v>
      </c>
      <c r="B67" s="6" t="n">
        <v>0.219444444444444</v>
      </c>
      <c r="C67" s="7" t="n">
        <v>31784</v>
      </c>
      <c r="D67" s="7" t="s">
        <v>14</v>
      </c>
      <c r="E67" s="7" t="n">
        <v>24400</v>
      </c>
      <c r="F67" s="7" t="n">
        <v>15720</v>
      </c>
      <c r="G67" s="8" t="n">
        <v>8680</v>
      </c>
      <c r="H67" s="7" t="s">
        <v>11</v>
      </c>
      <c r="I67" s="7" t="s">
        <v>12</v>
      </c>
      <c r="J67" s="0" t="s">
        <v>13</v>
      </c>
    </row>
    <row r="68" customFormat="false" ht="18" hidden="false" customHeight="false" outlineLevel="0" collapsed="false">
      <c r="A68" s="5" t="n">
        <v>45242</v>
      </c>
      <c r="B68" s="6" t="n">
        <v>0.510416666666667</v>
      </c>
      <c r="C68" s="7" t="n">
        <v>31787</v>
      </c>
      <c r="D68" s="7" t="s">
        <v>15</v>
      </c>
      <c r="E68" s="7" t="n">
        <v>2800</v>
      </c>
      <c r="F68" s="7" t="n">
        <v>2720</v>
      </c>
      <c r="G68" s="8" t="n">
        <v>80</v>
      </c>
      <c r="H68" s="7" t="s">
        <v>11</v>
      </c>
      <c r="I68" s="7" t="s">
        <v>12</v>
      </c>
      <c r="J68" s="0" t="s">
        <v>13</v>
      </c>
    </row>
    <row r="69" customFormat="false" ht="18" hidden="false" customHeight="false" outlineLevel="0" collapsed="false">
      <c r="A69" s="5" t="n">
        <v>45242</v>
      </c>
      <c r="B69" s="6" t="n">
        <v>0.170138888888889</v>
      </c>
      <c r="C69" s="7" t="n">
        <v>31778</v>
      </c>
      <c r="D69" s="7" t="s">
        <v>10</v>
      </c>
      <c r="E69" s="7" t="n">
        <v>19640</v>
      </c>
      <c r="F69" s="7" t="n">
        <v>13160</v>
      </c>
      <c r="G69" s="8" t="n">
        <v>6480</v>
      </c>
      <c r="H69" s="7" t="s">
        <v>11</v>
      </c>
      <c r="I69" s="7" t="s">
        <v>12</v>
      </c>
      <c r="J69" s="0" t="s">
        <v>13</v>
      </c>
    </row>
    <row r="70" customFormat="false" ht="18" hidden="false" customHeight="false" outlineLevel="0" collapsed="false">
      <c r="A70" s="5" t="n">
        <v>45242</v>
      </c>
      <c r="B70" s="6" t="n">
        <v>0.179166666666667</v>
      </c>
      <c r="C70" s="7" t="n">
        <v>31780</v>
      </c>
      <c r="D70" s="7" t="s">
        <v>15</v>
      </c>
      <c r="E70" s="7" t="n">
        <v>3580</v>
      </c>
      <c r="F70" s="7" t="n">
        <v>2680</v>
      </c>
      <c r="G70" s="8" t="n">
        <v>900</v>
      </c>
      <c r="H70" s="7" t="s">
        <v>11</v>
      </c>
      <c r="I70" s="7" t="s">
        <v>12</v>
      </c>
      <c r="J70" s="0" t="s">
        <v>13</v>
      </c>
    </row>
    <row r="71" customFormat="false" ht="18" hidden="false" customHeight="false" outlineLevel="0" collapsed="false">
      <c r="A71" s="5" t="n">
        <v>45243</v>
      </c>
      <c r="B71" s="6" t="n">
        <v>0.239583333333333</v>
      </c>
      <c r="C71" s="7" t="n">
        <v>31803</v>
      </c>
      <c r="D71" s="7" t="s">
        <v>21</v>
      </c>
      <c r="E71" s="7" t="n">
        <v>4560</v>
      </c>
      <c r="F71" s="7" t="n">
        <v>3800</v>
      </c>
      <c r="G71" s="8" t="n">
        <v>760</v>
      </c>
      <c r="H71" s="7" t="s">
        <v>11</v>
      </c>
      <c r="I71" s="7" t="s">
        <v>12</v>
      </c>
      <c r="J71" s="0" t="s">
        <v>13</v>
      </c>
    </row>
    <row r="72" customFormat="false" ht="18" hidden="false" customHeight="false" outlineLevel="0" collapsed="false">
      <c r="A72" s="5" t="n">
        <v>45243</v>
      </c>
      <c r="B72" s="6" t="n">
        <v>0.241666666666667</v>
      </c>
      <c r="C72" s="7" t="n">
        <v>31804</v>
      </c>
      <c r="D72" s="7" t="s">
        <v>14</v>
      </c>
      <c r="E72" s="7" t="n">
        <v>25160</v>
      </c>
      <c r="F72" s="7" t="n">
        <v>15900</v>
      </c>
      <c r="G72" s="8" t="n">
        <v>9260</v>
      </c>
      <c r="H72" s="7" t="s">
        <v>11</v>
      </c>
      <c r="I72" s="7" t="s">
        <v>12</v>
      </c>
      <c r="J72" s="0" t="s">
        <v>13</v>
      </c>
    </row>
    <row r="73" customFormat="false" ht="18" hidden="false" customHeight="false" outlineLevel="0" collapsed="false">
      <c r="A73" s="5" t="n">
        <v>45243</v>
      </c>
      <c r="B73" s="6" t="n">
        <v>0.201388888888889</v>
      </c>
      <c r="C73" s="7" t="n">
        <v>31799</v>
      </c>
      <c r="D73" s="7" t="s">
        <v>10</v>
      </c>
      <c r="E73" s="7" t="n">
        <v>18380</v>
      </c>
      <c r="F73" s="7" t="n">
        <v>13140</v>
      </c>
      <c r="G73" s="8" t="n">
        <v>5240</v>
      </c>
      <c r="H73" s="7" t="s">
        <v>11</v>
      </c>
      <c r="I73" s="7" t="s">
        <v>12</v>
      </c>
      <c r="J73" s="0" t="s">
        <v>13</v>
      </c>
    </row>
    <row r="74" customFormat="false" ht="18" hidden="false" customHeight="false" outlineLevel="0" collapsed="false">
      <c r="A74" s="5" t="n">
        <v>45243</v>
      </c>
      <c r="B74" s="6" t="n">
        <v>0.5375</v>
      </c>
      <c r="C74" s="7" t="n">
        <v>31831</v>
      </c>
      <c r="D74" s="7" t="s">
        <v>15</v>
      </c>
      <c r="E74" s="7" t="n">
        <v>3500</v>
      </c>
      <c r="F74" s="7" t="n">
        <v>2700</v>
      </c>
      <c r="G74" s="8" t="n">
        <v>800</v>
      </c>
      <c r="H74" s="7" t="s">
        <v>11</v>
      </c>
      <c r="I74" s="7" t="s">
        <v>17</v>
      </c>
      <c r="J74" s="0" t="s">
        <v>13</v>
      </c>
    </row>
    <row r="75" customFormat="false" ht="18" hidden="false" customHeight="false" outlineLevel="0" collapsed="false">
      <c r="A75" s="5" t="n">
        <v>45243</v>
      </c>
      <c r="B75" s="6" t="n">
        <v>0.545833333333333</v>
      </c>
      <c r="C75" s="7" t="n">
        <v>31834</v>
      </c>
      <c r="D75" s="7" t="s">
        <v>20</v>
      </c>
      <c r="E75" s="7" t="n">
        <v>3520</v>
      </c>
      <c r="F75" s="7" t="n">
        <v>2860</v>
      </c>
      <c r="G75" s="8" t="n">
        <v>660</v>
      </c>
      <c r="H75" s="7" t="s">
        <v>11</v>
      </c>
      <c r="I75" s="7" t="s">
        <v>17</v>
      </c>
      <c r="J75" s="0" t="s">
        <v>13</v>
      </c>
    </row>
    <row r="76" customFormat="false" ht="18" hidden="false" customHeight="false" outlineLevel="0" collapsed="false">
      <c r="A76" s="5" t="n">
        <v>45243</v>
      </c>
      <c r="B76" s="6" t="n">
        <v>0.43125</v>
      </c>
      <c r="C76" s="7" t="n">
        <v>31819</v>
      </c>
      <c r="D76" s="7" t="s">
        <v>20</v>
      </c>
      <c r="E76" s="7" t="n">
        <v>3520</v>
      </c>
      <c r="F76" s="7" t="n">
        <v>2860</v>
      </c>
      <c r="G76" s="8" t="n">
        <v>660</v>
      </c>
      <c r="H76" s="7" t="s">
        <v>11</v>
      </c>
      <c r="I76" s="7" t="s">
        <v>17</v>
      </c>
      <c r="J76" s="0" t="s">
        <v>13</v>
      </c>
    </row>
    <row r="77" customFormat="false" ht="18" hidden="false" customHeight="false" outlineLevel="0" collapsed="false">
      <c r="A77" s="5" t="n">
        <v>45243</v>
      </c>
      <c r="B77" s="6" t="n">
        <v>0.445138888888889</v>
      </c>
      <c r="C77" s="7" t="n">
        <v>31822</v>
      </c>
      <c r="D77" s="7" t="s">
        <v>16</v>
      </c>
      <c r="E77" s="7" t="n">
        <v>2660</v>
      </c>
      <c r="F77" s="7" t="n">
        <v>2400</v>
      </c>
      <c r="G77" s="8" t="n">
        <v>260</v>
      </c>
      <c r="H77" s="7" t="s">
        <v>11</v>
      </c>
      <c r="I77" s="7" t="s">
        <v>12</v>
      </c>
      <c r="J77" s="0" t="s">
        <v>13</v>
      </c>
    </row>
    <row r="78" customFormat="false" ht="18" hidden="true" customHeight="false" outlineLevel="0" collapsed="false">
      <c r="A78" s="5" t="n">
        <v>45243</v>
      </c>
      <c r="B78" s="6" t="n">
        <v>0.938194444444444</v>
      </c>
      <c r="C78" s="7" t="n">
        <v>5023</v>
      </c>
      <c r="D78" s="7" t="s">
        <v>14</v>
      </c>
      <c r="E78" s="7" t="n">
        <v>16800</v>
      </c>
      <c r="F78" s="7" t="n">
        <v>15760</v>
      </c>
      <c r="G78" s="8" t="n">
        <v>1040</v>
      </c>
      <c r="H78" s="7" t="s">
        <v>11</v>
      </c>
      <c r="I78" s="7" t="s">
        <v>23</v>
      </c>
      <c r="J78" s="0" t="s">
        <v>13</v>
      </c>
    </row>
    <row r="79" customFormat="false" ht="18" hidden="false" customHeight="false" outlineLevel="0" collapsed="false">
      <c r="A79" s="5" t="n">
        <v>45244</v>
      </c>
      <c r="B79" s="6" t="n">
        <v>0.238888888888889</v>
      </c>
      <c r="C79" s="7" t="n">
        <v>31856</v>
      </c>
      <c r="D79" s="7" t="s">
        <v>21</v>
      </c>
      <c r="E79" s="7" t="n">
        <v>4280</v>
      </c>
      <c r="F79" s="7" t="n">
        <v>3780</v>
      </c>
      <c r="G79" s="8" t="n">
        <v>500</v>
      </c>
      <c r="H79" s="7" t="s">
        <v>11</v>
      </c>
      <c r="I79" s="7" t="s">
        <v>12</v>
      </c>
      <c r="J79" s="0" t="s">
        <v>13</v>
      </c>
    </row>
    <row r="80" customFormat="false" ht="18" hidden="false" customHeight="false" outlineLevel="0" collapsed="false">
      <c r="A80" s="5" t="n">
        <v>45244</v>
      </c>
      <c r="B80" s="6" t="n">
        <v>0.21875</v>
      </c>
      <c r="C80" s="7" t="n">
        <v>31854</v>
      </c>
      <c r="D80" s="7" t="s">
        <v>14</v>
      </c>
      <c r="E80" s="7" t="n">
        <v>25480</v>
      </c>
      <c r="F80" s="7" t="n">
        <v>15820</v>
      </c>
      <c r="G80" s="8" t="n">
        <v>9660</v>
      </c>
      <c r="H80" s="7" t="s">
        <v>11</v>
      </c>
      <c r="I80" s="7" t="s">
        <v>12</v>
      </c>
      <c r="J80" s="0" t="s">
        <v>13</v>
      </c>
    </row>
    <row r="81" customFormat="false" ht="18" hidden="false" customHeight="false" outlineLevel="0" collapsed="false">
      <c r="A81" s="5" t="n">
        <v>45244</v>
      </c>
      <c r="B81" s="6" t="n">
        <v>0.204861111111111</v>
      </c>
      <c r="C81" s="7" t="n">
        <v>31852</v>
      </c>
      <c r="D81" s="7" t="s">
        <v>10</v>
      </c>
      <c r="E81" s="7" t="n">
        <v>18340</v>
      </c>
      <c r="F81" s="7" t="n">
        <v>13100</v>
      </c>
      <c r="G81" s="8" t="n">
        <v>5240</v>
      </c>
      <c r="H81" s="7" t="s">
        <v>11</v>
      </c>
      <c r="I81" s="7" t="s">
        <v>12</v>
      </c>
      <c r="J81" s="0" t="s">
        <v>13</v>
      </c>
    </row>
    <row r="82" customFormat="false" ht="18" hidden="false" customHeight="false" outlineLevel="0" collapsed="false">
      <c r="A82" s="5" t="n">
        <v>45244</v>
      </c>
      <c r="B82" s="6" t="n">
        <v>0.336805555555556</v>
      </c>
      <c r="C82" s="7" t="n">
        <v>31866</v>
      </c>
      <c r="D82" s="7" t="s">
        <v>18</v>
      </c>
      <c r="E82" s="7" t="n">
        <v>7120</v>
      </c>
      <c r="F82" s="7" t="n">
        <v>5540</v>
      </c>
      <c r="G82" s="8" t="n">
        <v>1580</v>
      </c>
      <c r="H82" s="7" t="s">
        <v>11</v>
      </c>
      <c r="I82" s="7" t="s">
        <v>19</v>
      </c>
      <c r="J82" s="0" t="s">
        <v>13</v>
      </c>
    </row>
    <row r="83" customFormat="false" ht="18" hidden="false" customHeight="false" outlineLevel="0" collapsed="false">
      <c r="A83" s="5" t="n">
        <v>45244</v>
      </c>
      <c r="B83" s="6" t="n">
        <v>0.499305555555556</v>
      </c>
      <c r="C83" s="7" t="n">
        <v>31888</v>
      </c>
      <c r="D83" s="7" t="s">
        <v>18</v>
      </c>
      <c r="E83" s="7" t="n">
        <v>7240</v>
      </c>
      <c r="F83" s="7" t="n">
        <v>5460</v>
      </c>
      <c r="G83" s="8" t="n">
        <v>1780</v>
      </c>
      <c r="H83" s="7" t="s">
        <v>11</v>
      </c>
      <c r="I83" s="7" t="s">
        <v>19</v>
      </c>
      <c r="J83" s="0" t="s">
        <v>13</v>
      </c>
    </row>
    <row r="84" customFormat="false" ht="18" hidden="false" customHeight="false" outlineLevel="0" collapsed="false">
      <c r="A84" s="5" t="n">
        <v>45244</v>
      </c>
      <c r="B84" s="6" t="n">
        <v>0.467361111111111</v>
      </c>
      <c r="C84" s="7" t="n">
        <v>31883</v>
      </c>
      <c r="D84" s="7" t="s">
        <v>15</v>
      </c>
      <c r="E84" s="7" t="n">
        <v>3080</v>
      </c>
      <c r="F84" s="7" t="n">
        <v>2700</v>
      </c>
      <c r="G84" s="8" t="n">
        <v>380</v>
      </c>
      <c r="H84" s="7" t="s">
        <v>11</v>
      </c>
      <c r="I84" s="7" t="s">
        <v>17</v>
      </c>
      <c r="J84" s="0" t="s">
        <v>13</v>
      </c>
    </row>
    <row r="85" customFormat="false" ht="18" hidden="false" customHeight="false" outlineLevel="0" collapsed="false">
      <c r="A85" s="5" t="n">
        <v>45244</v>
      </c>
      <c r="B85" s="6" t="n">
        <v>0.280555555555556</v>
      </c>
      <c r="C85" s="7" t="n">
        <v>31862</v>
      </c>
      <c r="D85" s="7" t="s">
        <v>20</v>
      </c>
      <c r="E85" s="7" t="n">
        <v>3100</v>
      </c>
      <c r="F85" s="7" t="n">
        <v>2920</v>
      </c>
      <c r="G85" s="8" t="n">
        <v>180</v>
      </c>
      <c r="H85" s="7" t="s">
        <v>11</v>
      </c>
      <c r="I85" s="7" t="s">
        <v>17</v>
      </c>
      <c r="J85" s="0" t="s">
        <v>13</v>
      </c>
    </row>
    <row r="86" customFormat="false" ht="18" hidden="false" customHeight="false" outlineLevel="0" collapsed="false">
      <c r="A86" s="5" t="n">
        <v>45244</v>
      </c>
      <c r="B86" s="6" t="n">
        <v>0.535416666666667</v>
      </c>
      <c r="C86" s="7" t="n">
        <v>31893</v>
      </c>
      <c r="D86" s="7" t="s">
        <v>20</v>
      </c>
      <c r="E86" s="7" t="n">
        <v>3380</v>
      </c>
      <c r="F86" s="7" t="n">
        <v>2820</v>
      </c>
      <c r="G86" s="8" t="n">
        <v>560</v>
      </c>
      <c r="H86" s="7" t="s">
        <v>11</v>
      </c>
      <c r="I86" s="7" t="s">
        <v>17</v>
      </c>
      <c r="J86" s="0" t="s">
        <v>13</v>
      </c>
    </row>
    <row r="87" customFormat="false" ht="18" hidden="false" customHeight="false" outlineLevel="0" collapsed="false">
      <c r="A87" s="5" t="n">
        <v>45244</v>
      </c>
      <c r="B87" s="6" t="n">
        <v>0.426388888888889</v>
      </c>
      <c r="C87" s="7" t="n">
        <v>31875</v>
      </c>
      <c r="D87" s="7" t="s">
        <v>20</v>
      </c>
      <c r="E87" s="7" t="n">
        <v>3500</v>
      </c>
      <c r="F87" s="7" t="n">
        <v>2820</v>
      </c>
      <c r="G87" s="8" t="n">
        <v>680</v>
      </c>
      <c r="H87" s="7" t="s">
        <v>11</v>
      </c>
      <c r="I87" s="7" t="s">
        <v>17</v>
      </c>
      <c r="J87" s="0" t="s">
        <v>13</v>
      </c>
    </row>
    <row r="88" customFormat="false" ht="18" hidden="true" customHeight="false" outlineLevel="0" collapsed="false">
      <c r="A88" s="5" t="n">
        <v>45244</v>
      </c>
      <c r="B88" s="6" t="n">
        <v>0.504861111111111</v>
      </c>
      <c r="C88" s="7" t="n">
        <v>165577</v>
      </c>
      <c r="D88" s="7" t="s">
        <v>14</v>
      </c>
      <c r="E88" s="7" t="n">
        <v>17960</v>
      </c>
      <c r="F88" s="7" t="n">
        <v>15740</v>
      </c>
      <c r="G88" s="8" t="n">
        <v>2220</v>
      </c>
      <c r="H88" s="7" t="s">
        <v>11</v>
      </c>
      <c r="I88" s="7" t="s">
        <v>25</v>
      </c>
      <c r="J88" s="0" t="s">
        <v>13</v>
      </c>
    </row>
    <row r="89" customFormat="false" ht="18" hidden="false" customHeight="false" outlineLevel="0" collapsed="false">
      <c r="A89" s="5" t="n">
        <v>45245</v>
      </c>
      <c r="B89" s="6" t="n">
        <v>0.175</v>
      </c>
      <c r="C89" s="7" t="n">
        <v>31914</v>
      </c>
      <c r="D89" s="7" t="s">
        <v>14</v>
      </c>
      <c r="E89" s="7" t="n">
        <v>24200</v>
      </c>
      <c r="F89" s="7" t="n">
        <v>15860</v>
      </c>
      <c r="G89" s="8" t="n">
        <v>8340</v>
      </c>
      <c r="H89" s="7" t="s">
        <v>11</v>
      </c>
      <c r="I89" s="7" t="s">
        <v>12</v>
      </c>
      <c r="J89" s="0" t="s">
        <v>13</v>
      </c>
    </row>
    <row r="90" customFormat="false" ht="18" hidden="false" customHeight="false" outlineLevel="0" collapsed="false">
      <c r="A90" s="5" t="n">
        <v>45245</v>
      </c>
      <c r="B90" s="6" t="n">
        <v>0.254166666666667</v>
      </c>
      <c r="C90" s="7" t="n">
        <v>31920</v>
      </c>
      <c r="D90" s="7" t="s">
        <v>14</v>
      </c>
      <c r="E90" s="7" t="n">
        <v>16920</v>
      </c>
      <c r="F90" s="7" t="n">
        <v>15860</v>
      </c>
      <c r="G90" s="8" t="n">
        <v>1060</v>
      </c>
      <c r="H90" s="7" t="s">
        <v>11</v>
      </c>
      <c r="I90" s="7" t="s">
        <v>12</v>
      </c>
      <c r="J90" s="0" t="s">
        <v>13</v>
      </c>
    </row>
    <row r="91" customFormat="false" ht="18" hidden="false" customHeight="false" outlineLevel="0" collapsed="false">
      <c r="A91" s="5" t="n">
        <v>45245</v>
      </c>
      <c r="B91" s="6" t="n">
        <v>0.257638888888889</v>
      </c>
      <c r="C91" s="7" t="n">
        <v>31921</v>
      </c>
      <c r="D91" s="7" t="s">
        <v>21</v>
      </c>
      <c r="E91" s="7" t="n">
        <v>4140</v>
      </c>
      <c r="F91" s="7" t="n">
        <v>3740</v>
      </c>
      <c r="G91" s="8" t="n">
        <v>400</v>
      </c>
      <c r="H91" s="7" t="s">
        <v>11</v>
      </c>
      <c r="I91" s="7" t="s">
        <v>12</v>
      </c>
      <c r="J91" s="0" t="s">
        <v>13</v>
      </c>
    </row>
    <row r="92" customFormat="false" ht="18" hidden="false" customHeight="false" outlineLevel="0" collapsed="false">
      <c r="A92" s="5" t="n">
        <v>45245</v>
      </c>
      <c r="B92" s="6" t="n">
        <v>0.152777777777778</v>
      </c>
      <c r="C92" s="7" t="n">
        <v>31912</v>
      </c>
      <c r="D92" s="7" t="s">
        <v>10</v>
      </c>
      <c r="E92" s="7" t="n">
        <v>18020</v>
      </c>
      <c r="F92" s="7" t="n">
        <v>13200</v>
      </c>
      <c r="G92" s="8" t="n">
        <v>4820</v>
      </c>
      <c r="H92" s="7" t="s">
        <v>11</v>
      </c>
      <c r="I92" s="7" t="s">
        <v>12</v>
      </c>
      <c r="J92" s="0" t="s">
        <v>13</v>
      </c>
    </row>
    <row r="93" customFormat="false" ht="18" hidden="false" customHeight="false" outlineLevel="0" collapsed="false">
      <c r="A93" s="5" t="n">
        <v>45245</v>
      </c>
      <c r="B93" s="6" t="n">
        <v>0.345833333333333</v>
      </c>
      <c r="C93" s="7" t="n">
        <v>31932</v>
      </c>
      <c r="D93" s="7" t="s">
        <v>16</v>
      </c>
      <c r="E93" s="7" t="n">
        <v>2600</v>
      </c>
      <c r="F93" s="7" t="n">
        <v>2400</v>
      </c>
      <c r="G93" s="8" t="n">
        <v>200</v>
      </c>
      <c r="H93" s="7" t="s">
        <v>11</v>
      </c>
      <c r="I93" s="7" t="s">
        <v>12</v>
      </c>
      <c r="J93" s="0" t="s">
        <v>13</v>
      </c>
    </row>
    <row r="94" customFormat="false" ht="18" hidden="false" customHeight="false" outlineLevel="0" collapsed="false">
      <c r="A94" s="5" t="n">
        <v>45245</v>
      </c>
      <c r="B94" s="6" t="n">
        <v>0.495138888888889</v>
      </c>
      <c r="C94" s="7" t="n">
        <v>31948</v>
      </c>
      <c r="D94" s="7" t="s">
        <v>16</v>
      </c>
      <c r="E94" s="7" t="n">
        <v>2580</v>
      </c>
      <c r="F94" s="7" t="n">
        <v>2380</v>
      </c>
      <c r="G94" s="8" t="n">
        <v>200</v>
      </c>
      <c r="H94" s="7" t="s">
        <v>11</v>
      </c>
      <c r="I94" s="7" t="s">
        <v>12</v>
      </c>
      <c r="J94" s="0" t="s">
        <v>13</v>
      </c>
    </row>
    <row r="95" customFormat="false" ht="18" hidden="false" customHeight="false" outlineLevel="0" collapsed="false">
      <c r="A95" s="5" t="n">
        <v>45245</v>
      </c>
      <c r="B95" s="6" t="n">
        <v>0.514583333333333</v>
      </c>
      <c r="C95" s="7" t="n">
        <v>31950</v>
      </c>
      <c r="D95" s="7" t="s">
        <v>18</v>
      </c>
      <c r="E95" s="7" t="n">
        <v>6220</v>
      </c>
      <c r="F95" s="7" t="n">
        <v>5600</v>
      </c>
      <c r="G95" s="8" t="n">
        <v>620</v>
      </c>
      <c r="H95" s="7" t="s">
        <v>11</v>
      </c>
      <c r="I95" s="5" t="s">
        <v>19</v>
      </c>
      <c r="J95" s="0" t="s">
        <v>13</v>
      </c>
    </row>
    <row r="96" customFormat="false" ht="18" hidden="false" customHeight="false" outlineLevel="0" collapsed="false">
      <c r="A96" s="5" t="n">
        <v>45245</v>
      </c>
      <c r="B96" s="6" t="n">
        <v>0.390972222222222</v>
      </c>
      <c r="C96" s="7" t="n">
        <v>31935</v>
      </c>
      <c r="D96" s="7" t="s">
        <v>18</v>
      </c>
      <c r="E96" s="7" t="n">
        <v>6600</v>
      </c>
      <c r="F96" s="7" t="n">
        <v>5620</v>
      </c>
      <c r="G96" s="8" t="n">
        <v>980</v>
      </c>
      <c r="H96" s="7" t="s">
        <v>11</v>
      </c>
      <c r="I96" s="7" t="s">
        <v>19</v>
      </c>
      <c r="J96" s="0" t="s">
        <v>13</v>
      </c>
    </row>
    <row r="97" customFormat="false" ht="18" hidden="false" customHeight="false" outlineLevel="0" collapsed="false">
      <c r="A97" s="5" t="n">
        <v>45245</v>
      </c>
      <c r="B97" s="6" t="n">
        <v>0.283333333333333</v>
      </c>
      <c r="C97" s="7" t="n">
        <v>31925</v>
      </c>
      <c r="D97" s="7" t="s">
        <v>20</v>
      </c>
      <c r="E97" s="7" t="n">
        <v>3300</v>
      </c>
      <c r="F97" s="7" t="n">
        <v>2940</v>
      </c>
      <c r="G97" s="8" t="n">
        <v>360</v>
      </c>
      <c r="H97" s="7" t="s">
        <v>11</v>
      </c>
      <c r="I97" s="7" t="s">
        <v>17</v>
      </c>
      <c r="J97" s="0" t="s">
        <v>13</v>
      </c>
    </row>
    <row r="98" customFormat="false" ht="18" hidden="false" customHeight="false" outlineLevel="0" collapsed="false">
      <c r="A98" s="5" t="n">
        <v>45245</v>
      </c>
      <c r="B98" s="6" t="n">
        <v>0.533333333333333</v>
      </c>
      <c r="C98" s="7" t="n">
        <v>31953</v>
      </c>
      <c r="D98" s="7" t="s">
        <v>20</v>
      </c>
      <c r="E98" s="7" t="n">
        <v>3700</v>
      </c>
      <c r="F98" s="7" t="n">
        <v>2860</v>
      </c>
      <c r="G98" s="8" t="n">
        <v>840</v>
      </c>
      <c r="H98" s="7" t="s">
        <v>11</v>
      </c>
      <c r="I98" s="7" t="s">
        <v>17</v>
      </c>
      <c r="J98" s="0" t="s">
        <v>13</v>
      </c>
    </row>
    <row r="99" customFormat="false" ht="18" hidden="false" customHeight="false" outlineLevel="0" collapsed="false">
      <c r="A99" s="5" t="n">
        <v>45246</v>
      </c>
      <c r="B99" s="6" t="n">
        <v>0.145833333333333</v>
      </c>
      <c r="C99" s="7" t="n">
        <v>31977</v>
      </c>
      <c r="D99" s="7" t="s">
        <v>10</v>
      </c>
      <c r="E99" s="7" t="n">
        <v>18820</v>
      </c>
      <c r="F99" s="7" t="n">
        <v>13140</v>
      </c>
      <c r="G99" s="8" t="n">
        <v>5680</v>
      </c>
      <c r="H99" s="7" t="s">
        <v>11</v>
      </c>
      <c r="I99" s="7" t="s">
        <v>12</v>
      </c>
      <c r="J99" s="0" t="s">
        <v>13</v>
      </c>
    </row>
    <row r="100" customFormat="false" ht="18" hidden="false" customHeight="false" outlineLevel="0" collapsed="false">
      <c r="A100" s="5" t="n">
        <v>45246</v>
      </c>
      <c r="B100" s="6" t="n">
        <v>0.257638888888889</v>
      </c>
      <c r="C100" s="7" t="n">
        <v>31986</v>
      </c>
      <c r="D100" s="7" t="s">
        <v>21</v>
      </c>
      <c r="E100" s="7" t="n">
        <v>4260</v>
      </c>
      <c r="F100" s="7" t="n">
        <v>3760</v>
      </c>
      <c r="G100" s="8" t="n">
        <v>500</v>
      </c>
      <c r="H100" s="7" t="s">
        <v>11</v>
      </c>
      <c r="I100" s="7" t="s">
        <v>12</v>
      </c>
      <c r="J100" s="0" t="s">
        <v>13</v>
      </c>
    </row>
    <row r="101" customFormat="false" ht="18" hidden="false" customHeight="false" outlineLevel="0" collapsed="false">
      <c r="A101" s="5" t="n">
        <v>45246</v>
      </c>
      <c r="B101" s="6" t="n">
        <v>0.300694444444444</v>
      </c>
      <c r="C101" s="7" t="n">
        <v>31993</v>
      </c>
      <c r="D101" s="7" t="s">
        <v>10</v>
      </c>
      <c r="E101" s="7" t="n">
        <v>13280</v>
      </c>
      <c r="F101" s="7" t="n">
        <v>13040</v>
      </c>
      <c r="G101" s="8" t="n">
        <v>240</v>
      </c>
      <c r="H101" s="7" t="s">
        <v>11</v>
      </c>
      <c r="I101" s="7" t="s">
        <v>12</v>
      </c>
      <c r="J101" s="0" t="s">
        <v>13</v>
      </c>
    </row>
    <row r="102" customFormat="false" ht="18" hidden="false" customHeight="false" outlineLevel="0" collapsed="false">
      <c r="A102" s="5" t="n">
        <v>45246</v>
      </c>
      <c r="B102" s="6" t="n">
        <v>0.239583333333333</v>
      </c>
      <c r="C102" s="7" t="n">
        <v>31985</v>
      </c>
      <c r="D102" s="7" t="s">
        <v>22</v>
      </c>
      <c r="E102" s="7" t="n">
        <v>25580</v>
      </c>
      <c r="F102" s="7" t="n">
        <v>15720</v>
      </c>
      <c r="G102" s="8" t="n">
        <v>9860</v>
      </c>
      <c r="H102" s="7" t="s">
        <v>11</v>
      </c>
      <c r="I102" s="7" t="s">
        <v>12</v>
      </c>
      <c r="J102" s="0" t="s">
        <v>13</v>
      </c>
    </row>
    <row r="103" customFormat="false" ht="18" hidden="false" customHeight="false" outlineLevel="0" collapsed="false">
      <c r="A103" s="5" t="n">
        <v>45246</v>
      </c>
      <c r="B103" s="6" t="n">
        <v>0.511805555555556</v>
      </c>
      <c r="C103" s="7" t="n">
        <v>32017</v>
      </c>
      <c r="D103" s="7" t="s">
        <v>18</v>
      </c>
      <c r="E103" s="7" t="n">
        <v>6980</v>
      </c>
      <c r="F103" s="7" t="n">
        <v>5600</v>
      </c>
      <c r="G103" s="8" t="n">
        <v>1380</v>
      </c>
      <c r="H103" s="7" t="s">
        <v>11</v>
      </c>
      <c r="I103" s="7" t="s">
        <v>19</v>
      </c>
      <c r="J103" s="0" t="s">
        <v>13</v>
      </c>
    </row>
    <row r="104" customFormat="false" ht="18" hidden="false" customHeight="false" outlineLevel="0" collapsed="false">
      <c r="A104" s="5" t="n">
        <v>45246</v>
      </c>
      <c r="B104" s="6" t="n">
        <v>0.534722222222222</v>
      </c>
      <c r="C104" s="7" t="n">
        <v>32020</v>
      </c>
      <c r="D104" s="7" t="s">
        <v>20</v>
      </c>
      <c r="E104" s="7" t="n">
        <v>3620</v>
      </c>
      <c r="F104" s="7" t="n">
        <v>2960</v>
      </c>
      <c r="G104" s="8" t="n">
        <v>660</v>
      </c>
      <c r="H104" s="7" t="s">
        <v>11</v>
      </c>
      <c r="I104" s="7" t="s">
        <v>17</v>
      </c>
      <c r="J104" s="0" t="s">
        <v>13</v>
      </c>
    </row>
    <row r="105" customFormat="false" ht="18" hidden="false" customHeight="false" outlineLevel="0" collapsed="false">
      <c r="A105" s="5" t="n">
        <v>45246</v>
      </c>
      <c r="B105" s="6" t="n">
        <v>0.365277777777778</v>
      </c>
      <c r="C105" s="7" t="n">
        <v>32001</v>
      </c>
      <c r="D105" s="7" t="s">
        <v>18</v>
      </c>
      <c r="E105" s="7" t="n">
        <v>6520</v>
      </c>
      <c r="F105" s="7" t="n">
        <v>5600</v>
      </c>
      <c r="G105" s="8" t="n">
        <v>920</v>
      </c>
      <c r="H105" s="7" t="s">
        <v>11</v>
      </c>
      <c r="I105" s="7" t="s">
        <v>19</v>
      </c>
      <c r="J105" s="0" t="s">
        <v>13</v>
      </c>
    </row>
    <row r="106" customFormat="false" ht="18" hidden="false" customHeight="false" outlineLevel="0" collapsed="false">
      <c r="A106" s="5" t="n">
        <v>45246</v>
      </c>
      <c r="B106" s="6" t="n">
        <v>0.50625</v>
      </c>
      <c r="C106" s="7" t="n">
        <v>32016</v>
      </c>
      <c r="D106" s="7" t="s">
        <v>10</v>
      </c>
      <c r="E106" s="7" t="n">
        <v>14520</v>
      </c>
      <c r="F106" s="7" t="n">
        <v>13100</v>
      </c>
      <c r="G106" s="8" t="n">
        <v>1420</v>
      </c>
      <c r="H106" s="7" t="s">
        <v>11</v>
      </c>
      <c r="I106" s="7" t="s">
        <v>19</v>
      </c>
      <c r="J106" s="0" t="s">
        <v>13</v>
      </c>
    </row>
    <row r="107" customFormat="false" ht="18" hidden="false" customHeight="false" outlineLevel="0" collapsed="false">
      <c r="A107" s="5" t="n">
        <v>45246</v>
      </c>
      <c r="B107" s="6" t="n">
        <v>0.5125</v>
      </c>
      <c r="C107" s="7" t="n">
        <v>32015</v>
      </c>
      <c r="D107" s="7" t="s">
        <v>16</v>
      </c>
      <c r="E107" s="7" t="n">
        <v>2500</v>
      </c>
      <c r="F107" s="7" t="n">
        <v>2380</v>
      </c>
      <c r="G107" s="8" t="n">
        <v>120</v>
      </c>
      <c r="H107" s="7" t="s">
        <v>11</v>
      </c>
      <c r="I107" s="7" t="s">
        <v>12</v>
      </c>
      <c r="J107" s="0" t="s">
        <v>13</v>
      </c>
    </row>
    <row r="108" customFormat="false" ht="18" hidden="false" customHeight="false" outlineLevel="0" collapsed="false">
      <c r="A108" s="5" t="n">
        <v>45246</v>
      </c>
      <c r="B108" s="6" t="n">
        <v>0.302083333333333</v>
      </c>
      <c r="C108" s="7" t="n">
        <v>31994</v>
      </c>
      <c r="D108" s="7" t="s">
        <v>20</v>
      </c>
      <c r="E108" s="7" t="n">
        <v>3380</v>
      </c>
      <c r="F108" s="7" t="n">
        <v>2840</v>
      </c>
      <c r="G108" s="8" t="n">
        <v>540</v>
      </c>
      <c r="H108" s="7" t="s">
        <v>11</v>
      </c>
      <c r="I108" s="7" t="s">
        <v>12</v>
      </c>
      <c r="J108" s="0" t="s">
        <v>13</v>
      </c>
    </row>
    <row r="109" customFormat="false" ht="18" hidden="false" customHeight="false" outlineLevel="0" collapsed="false">
      <c r="A109" s="5" t="n">
        <v>45247</v>
      </c>
      <c r="B109" s="6" t="n">
        <v>0.159722222222222</v>
      </c>
      <c r="C109" s="7" t="n">
        <v>32035</v>
      </c>
      <c r="D109" s="7" t="s">
        <v>10</v>
      </c>
      <c r="E109" s="7" t="n">
        <v>17560</v>
      </c>
      <c r="F109" s="7" t="n">
        <v>13080</v>
      </c>
      <c r="G109" s="8" t="n">
        <v>4480</v>
      </c>
      <c r="H109" s="7" t="s">
        <v>11</v>
      </c>
      <c r="I109" s="7" t="s">
        <v>12</v>
      </c>
      <c r="J109" s="0" t="s">
        <v>13</v>
      </c>
    </row>
    <row r="110" customFormat="false" ht="18" hidden="false" customHeight="false" outlineLevel="0" collapsed="false">
      <c r="A110" s="5" t="n">
        <v>45247</v>
      </c>
      <c r="B110" s="6" t="n">
        <v>0.255555555555556</v>
      </c>
      <c r="C110" s="7" t="n">
        <v>32042</v>
      </c>
      <c r="D110" s="7" t="s">
        <v>21</v>
      </c>
      <c r="E110" s="7" t="n">
        <v>4120</v>
      </c>
      <c r="F110" s="7" t="n">
        <v>3740</v>
      </c>
      <c r="G110" s="8" t="n">
        <v>380</v>
      </c>
      <c r="H110" s="7" t="s">
        <v>11</v>
      </c>
      <c r="I110" s="7" t="s">
        <v>12</v>
      </c>
      <c r="J110" s="0" t="s">
        <v>13</v>
      </c>
    </row>
    <row r="111" customFormat="false" ht="18" hidden="false" customHeight="false" outlineLevel="0" collapsed="false">
      <c r="A111" s="5" t="n">
        <v>45247</v>
      </c>
      <c r="B111" s="6" t="n">
        <v>0.207638888888889</v>
      </c>
      <c r="C111" s="7" t="n">
        <v>32038</v>
      </c>
      <c r="D111" s="7" t="s">
        <v>22</v>
      </c>
      <c r="E111" s="7" t="n">
        <v>23380</v>
      </c>
      <c r="F111" s="7" t="n">
        <v>15660</v>
      </c>
      <c r="G111" s="8" t="n">
        <v>7720</v>
      </c>
      <c r="H111" s="7" t="s">
        <v>11</v>
      </c>
      <c r="I111" s="7" t="s">
        <v>12</v>
      </c>
      <c r="J111" s="0" t="s">
        <v>13</v>
      </c>
    </row>
    <row r="112" customFormat="false" ht="18" hidden="false" customHeight="false" outlineLevel="0" collapsed="false">
      <c r="A112" s="5" t="n">
        <v>45247</v>
      </c>
      <c r="B112" s="6" t="n">
        <v>0.430555555555556</v>
      </c>
      <c r="C112" s="7" t="n">
        <v>32056</v>
      </c>
      <c r="D112" s="7" t="s">
        <v>20</v>
      </c>
      <c r="E112" s="7" t="n">
        <v>4060</v>
      </c>
      <c r="F112" s="7" t="n">
        <v>2840</v>
      </c>
      <c r="G112" s="8" t="n">
        <v>1220</v>
      </c>
      <c r="H112" s="7" t="s">
        <v>11</v>
      </c>
      <c r="I112" s="7" t="s">
        <v>17</v>
      </c>
      <c r="J112" s="0" t="s">
        <v>13</v>
      </c>
    </row>
    <row r="113" customFormat="false" ht="18" hidden="false" customHeight="false" outlineLevel="0" collapsed="false">
      <c r="A113" s="5" t="n">
        <v>45247</v>
      </c>
      <c r="B113" s="6" t="n">
        <v>0.509722222222222</v>
      </c>
      <c r="C113" s="7" t="n">
        <v>32066</v>
      </c>
      <c r="D113" s="7" t="s">
        <v>20</v>
      </c>
      <c r="E113" s="7" t="n">
        <v>3480</v>
      </c>
      <c r="F113" s="7" t="n">
        <v>2940</v>
      </c>
      <c r="G113" s="8" t="n">
        <v>540</v>
      </c>
      <c r="H113" s="7" t="s">
        <v>11</v>
      </c>
      <c r="I113" s="7" t="s">
        <v>17</v>
      </c>
      <c r="J113" s="0" t="s">
        <v>13</v>
      </c>
    </row>
    <row r="114" customFormat="false" ht="18" hidden="false" customHeight="false" outlineLevel="0" collapsed="false">
      <c r="A114" s="5" t="n">
        <v>45247</v>
      </c>
      <c r="B114" s="6" t="n">
        <v>0.426388888888889</v>
      </c>
      <c r="C114" s="7" t="n">
        <v>32053</v>
      </c>
      <c r="D114" s="7" t="s">
        <v>18</v>
      </c>
      <c r="E114" s="7" t="n">
        <v>6480</v>
      </c>
      <c r="F114" s="7" t="n">
        <v>5580</v>
      </c>
      <c r="G114" s="8" t="n">
        <v>900</v>
      </c>
      <c r="H114" s="7" t="s">
        <v>11</v>
      </c>
      <c r="I114" s="7" t="s">
        <v>19</v>
      </c>
      <c r="J114" s="0" t="s">
        <v>13</v>
      </c>
    </row>
    <row r="115" customFormat="false" ht="18" hidden="false" customHeight="false" outlineLevel="0" collapsed="false">
      <c r="A115" s="5" t="n">
        <v>45247</v>
      </c>
      <c r="B115" s="6" t="n">
        <v>0.508333333333333</v>
      </c>
      <c r="C115" s="7" t="n">
        <v>32065</v>
      </c>
      <c r="D115" s="7" t="s">
        <v>15</v>
      </c>
      <c r="E115" s="7" t="n">
        <v>3520</v>
      </c>
      <c r="F115" s="7" t="n">
        <v>2680</v>
      </c>
      <c r="G115" s="8" t="n">
        <v>840</v>
      </c>
      <c r="H115" s="7" t="s">
        <v>11</v>
      </c>
      <c r="I115" s="7" t="s">
        <v>17</v>
      </c>
      <c r="J115" s="0" t="s">
        <v>13</v>
      </c>
    </row>
    <row r="116" customFormat="false" ht="18" hidden="false" customHeight="false" outlineLevel="0" collapsed="false">
      <c r="A116" s="5" t="n">
        <v>45247</v>
      </c>
      <c r="B116" s="6" t="n">
        <v>0.50625</v>
      </c>
      <c r="C116" s="7" t="n">
        <v>32063</v>
      </c>
      <c r="D116" s="7" t="s">
        <v>16</v>
      </c>
      <c r="E116" s="7" t="n">
        <v>2640</v>
      </c>
      <c r="F116" s="7" t="n">
        <v>2380</v>
      </c>
      <c r="G116" s="8" t="n">
        <v>260</v>
      </c>
      <c r="H116" s="7" t="s">
        <v>11</v>
      </c>
      <c r="I116" s="7" t="s">
        <v>12</v>
      </c>
      <c r="J116" s="0" t="s">
        <v>13</v>
      </c>
    </row>
    <row r="117" customFormat="false" ht="18" hidden="false" customHeight="false" outlineLevel="0" collapsed="false">
      <c r="A117" s="5" t="n">
        <v>45248</v>
      </c>
      <c r="B117" s="6" t="n">
        <v>0.138194444444444</v>
      </c>
      <c r="C117" s="7" t="n">
        <v>32079</v>
      </c>
      <c r="D117" s="7" t="s">
        <v>10</v>
      </c>
      <c r="E117" s="7" t="n">
        <v>18660</v>
      </c>
      <c r="F117" s="7" t="n">
        <v>13040</v>
      </c>
      <c r="G117" s="8" t="n">
        <v>5620</v>
      </c>
      <c r="H117" s="7" t="s">
        <v>11</v>
      </c>
      <c r="I117" s="7" t="s">
        <v>12</v>
      </c>
      <c r="J117" s="0" t="s">
        <v>13</v>
      </c>
    </row>
    <row r="118" customFormat="false" ht="18" hidden="false" customHeight="false" outlineLevel="0" collapsed="false">
      <c r="A118" s="5" t="n">
        <v>45248</v>
      </c>
      <c r="B118" s="6" t="n">
        <v>0.491666666666667</v>
      </c>
      <c r="C118" s="7" t="n">
        <v>32097</v>
      </c>
      <c r="D118" s="7" t="s">
        <v>15</v>
      </c>
      <c r="E118" s="7" t="n">
        <v>3000</v>
      </c>
      <c r="F118" s="7" t="n">
        <v>2680</v>
      </c>
      <c r="G118" s="8" t="n">
        <v>320</v>
      </c>
      <c r="H118" s="7" t="s">
        <v>11</v>
      </c>
      <c r="I118" s="7" t="s">
        <v>12</v>
      </c>
      <c r="J118" s="0" t="s">
        <v>13</v>
      </c>
    </row>
    <row r="119" customFormat="false" ht="18" hidden="false" customHeight="false" outlineLevel="0" collapsed="false">
      <c r="A119" s="5" t="n">
        <v>45248</v>
      </c>
      <c r="B119" s="6" t="n">
        <v>0.253472222222222</v>
      </c>
      <c r="C119" s="7" t="n">
        <v>32089</v>
      </c>
      <c r="D119" s="7" t="s">
        <v>21</v>
      </c>
      <c r="E119" s="7" t="n">
        <v>4200</v>
      </c>
      <c r="F119" s="7" t="n">
        <v>3740</v>
      </c>
      <c r="G119" s="8" t="n">
        <v>460</v>
      </c>
      <c r="H119" s="7" t="s">
        <v>11</v>
      </c>
      <c r="I119" s="7" t="s">
        <v>12</v>
      </c>
      <c r="J119" s="0" t="s">
        <v>13</v>
      </c>
    </row>
    <row r="120" customFormat="false" ht="18" hidden="false" customHeight="false" outlineLevel="0" collapsed="false">
      <c r="A120" s="5" t="n">
        <v>45248</v>
      </c>
      <c r="B120" s="6" t="n">
        <v>0.214583333333333</v>
      </c>
      <c r="C120" s="7" t="n">
        <v>32084</v>
      </c>
      <c r="D120" s="7" t="s">
        <v>22</v>
      </c>
      <c r="E120" s="7" t="n">
        <v>26140</v>
      </c>
      <c r="F120" s="7" t="n">
        <v>15780</v>
      </c>
      <c r="G120" s="8" t="n">
        <v>10360</v>
      </c>
      <c r="H120" s="7" t="s">
        <v>11</v>
      </c>
      <c r="I120" s="7" t="s">
        <v>12</v>
      </c>
      <c r="J120" s="0" t="s">
        <v>13</v>
      </c>
    </row>
    <row r="121" customFormat="false" ht="18" hidden="false" customHeight="false" outlineLevel="0" collapsed="false">
      <c r="A121" s="5" t="n">
        <v>45249</v>
      </c>
      <c r="B121" s="6" t="n">
        <v>0.115277777777778</v>
      </c>
      <c r="C121" s="7" t="n">
        <v>32104</v>
      </c>
      <c r="D121" s="7" t="s">
        <v>10</v>
      </c>
      <c r="E121" s="7" t="n">
        <v>19560</v>
      </c>
      <c r="F121" s="7" t="n">
        <v>13440</v>
      </c>
      <c r="G121" s="8" t="n">
        <v>6120</v>
      </c>
      <c r="H121" s="7" t="s">
        <v>11</v>
      </c>
      <c r="I121" s="7" t="s">
        <v>12</v>
      </c>
      <c r="J121" s="0" t="s">
        <v>13</v>
      </c>
    </row>
    <row r="122" customFormat="false" ht="18" hidden="false" customHeight="false" outlineLevel="0" collapsed="false">
      <c r="A122" s="5" t="n">
        <v>45249</v>
      </c>
      <c r="B122" s="6" t="n">
        <v>0.1875</v>
      </c>
      <c r="C122" s="7" t="n">
        <v>32109</v>
      </c>
      <c r="D122" s="7" t="s">
        <v>21</v>
      </c>
      <c r="E122" s="7" t="n">
        <v>4460</v>
      </c>
      <c r="F122" s="7" t="n">
        <v>3820</v>
      </c>
      <c r="G122" s="8" t="n">
        <v>640</v>
      </c>
      <c r="H122" s="7" t="s">
        <v>11</v>
      </c>
      <c r="I122" s="7" t="s">
        <v>12</v>
      </c>
      <c r="J122" s="0" t="s">
        <v>13</v>
      </c>
    </row>
    <row r="123" customFormat="false" ht="18" hidden="false" customHeight="false" outlineLevel="0" collapsed="false">
      <c r="A123" s="5" t="n">
        <v>45249</v>
      </c>
      <c r="B123" s="6" t="n">
        <v>0.493055555555556</v>
      </c>
      <c r="C123" s="7" t="n">
        <v>32113</v>
      </c>
      <c r="D123" s="7" t="s">
        <v>16</v>
      </c>
      <c r="E123" s="7" t="n">
        <v>2540</v>
      </c>
      <c r="F123" s="7" t="n">
        <v>2380</v>
      </c>
      <c r="G123" s="8" t="n">
        <v>160</v>
      </c>
      <c r="H123" s="7" t="s">
        <v>11</v>
      </c>
      <c r="I123" s="7" t="s">
        <v>12</v>
      </c>
      <c r="J123" s="0" t="s">
        <v>13</v>
      </c>
    </row>
    <row r="124" customFormat="false" ht="18" hidden="false" customHeight="false" outlineLevel="0" collapsed="false">
      <c r="A124" s="5" t="n">
        <v>45249</v>
      </c>
      <c r="B124" s="6" t="n">
        <v>0.163194444444444</v>
      </c>
      <c r="C124" s="7" t="n">
        <v>32106</v>
      </c>
      <c r="D124" s="7" t="s">
        <v>22</v>
      </c>
      <c r="E124" s="7" t="n">
        <v>24260</v>
      </c>
      <c r="F124" s="7" t="n">
        <v>15740</v>
      </c>
      <c r="G124" s="8" t="n">
        <v>8520</v>
      </c>
      <c r="H124" s="7" t="s">
        <v>11</v>
      </c>
      <c r="I124" s="7" t="s">
        <v>12</v>
      </c>
      <c r="J124" s="0" t="s">
        <v>13</v>
      </c>
    </row>
    <row r="125" customFormat="false" ht="18" hidden="false" customHeight="false" outlineLevel="0" collapsed="false">
      <c r="A125" s="5" t="n">
        <v>45250</v>
      </c>
      <c r="B125" s="6" t="n">
        <v>0.218055555555556</v>
      </c>
      <c r="C125" s="7" t="n">
        <v>32127</v>
      </c>
      <c r="D125" s="7" t="s">
        <v>22</v>
      </c>
      <c r="E125" s="7" t="n">
        <v>24820</v>
      </c>
      <c r="F125" s="7" t="n">
        <v>15820</v>
      </c>
      <c r="G125" s="8" t="n">
        <v>9000</v>
      </c>
      <c r="H125" s="7" t="s">
        <v>11</v>
      </c>
      <c r="I125" s="7" t="s">
        <v>12</v>
      </c>
      <c r="J125" s="0" t="s">
        <v>13</v>
      </c>
    </row>
    <row r="126" customFormat="false" ht="18" hidden="false" customHeight="false" outlineLevel="0" collapsed="false">
      <c r="A126" s="5" t="n">
        <v>45250</v>
      </c>
      <c r="B126" s="6" t="n">
        <v>0.0923611111111111</v>
      </c>
      <c r="C126" s="7" t="n">
        <v>32116</v>
      </c>
      <c r="D126" s="7" t="s">
        <v>10</v>
      </c>
      <c r="E126" s="7" t="n">
        <v>17320</v>
      </c>
      <c r="F126" s="7" t="n">
        <v>13380</v>
      </c>
      <c r="G126" s="8" t="n">
        <v>3940</v>
      </c>
      <c r="H126" s="7" t="s">
        <v>11</v>
      </c>
      <c r="I126" s="7" t="s">
        <v>12</v>
      </c>
      <c r="J126" s="0" t="s">
        <v>13</v>
      </c>
    </row>
    <row r="127" customFormat="false" ht="18" hidden="false" customHeight="false" outlineLevel="0" collapsed="false">
      <c r="A127" s="5" t="n">
        <v>45250</v>
      </c>
      <c r="B127" s="6" t="n">
        <v>0.253472222222222</v>
      </c>
      <c r="C127" s="7" t="n">
        <v>32129</v>
      </c>
      <c r="D127" s="7" t="s">
        <v>21</v>
      </c>
      <c r="E127" s="7" t="n">
        <v>4240</v>
      </c>
      <c r="F127" s="7" t="n">
        <v>3800</v>
      </c>
      <c r="G127" s="8" t="n">
        <v>440</v>
      </c>
      <c r="H127" s="7" t="s">
        <v>11</v>
      </c>
      <c r="I127" s="7" t="s">
        <v>12</v>
      </c>
      <c r="J127" s="0" t="s">
        <v>13</v>
      </c>
    </row>
    <row r="128" customFormat="false" ht="18" hidden="false" customHeight="false" outlineLevel="0" collapsed="false">
      <c r="A128" s="5" t="n">
        <v>45250</v>
      </c>
      <c r="B128" s="6" t="n">
        <v>0.54375</v>
      </c>
      <c r="C128" s="7" t="n">
        <v>32158</v>
      </c>
      <c r="D128" s="7" t="s">
        <v>15</v>
      </c>
      <c r="E128" s="7" t="n">
        <v>3720</v>
      </c>
      <c r="F128" s="7" t="n">
        <v>2780</v>
      </c>
      <c r="G128" s="8" t="n">
        <v>940</v>
      </c>
      <c r="H128" s="7" t="s">
        <v>11</v>
      </c>
      <c r="I128" s="7" t="s">
        <v>17</v>
      </c>
      <c r="J128" s="0" t="s">
        <v>13</v>
      </c>
    </row>
    <row r="129" customFormat="false" ht="18" hidden="false" customHeight="false" outlineLevel="0" collapsed="false">
      <c r="A129" s="5" t="n">
        <v>45250</v>
      </c>
      <c r="B129" s="6" t="n">
        <v>0.429861111111111</v>
      </c>
      <c r="C129" s="7" t="n">
        <v>32144</v>
      </c>
      <c r="D129" s="7" t="s">
        <v>15</v>
      </c>
      <c r="E129" s="7" t="n">
        <v>3400</v>
      </c>
      <c r="F129" s="7" t="n">
        <v>2700</v>
      </c>
      <c r="G129" s="8" t="n">
        <v>700</v>
      </c>
      <c r="H129" s="7" t="s">
        <v>11</v>
      </c>
      <c r="I129" s="7" t="s">
        <v>17</v>
      </c>
      <c r="J129" s="0" t="s">
        <v>13</v>
      </c>
    </row>
    <row r="130" customFormat="false" ht="18" hidden="false" customHeight="false" outlineLevel="0" collapsed="false">
      <c r="A130" s="5" t="n">
        <v>45250</v>
      </c>
      <c r="B130" s="6" t="n">
        <v>0.542361111111111</v>
      </c>
      <c r="C130" s="7" t="n">
        <v>32156</v>
      </c>
      <c r="D130" s="7" t="s">
        <v>20</v>
      </c>
      <c r="E130" s="7" t="n">
        <v>4160</v>
      </c>
      <c r="F130" s="7" t="n">
        <v>2860</v>
      </c>
      <c r="G130" s="8" t="n">
        <v>1300</v>
      </c>
      <c r="H130" s="7" t="s">
        <v>11</v>
      </c>
      <c r="I130" s="7" t="s">
        <v>17</v>
      </c>
      <c r="J130" s="0" t="s">
        <v>13</v>
      </c>
    </row>
    <row r="131" customFormat="false" ht="18" hidden="false" customHeight="false" outlineLevel="0" collapsed="false">
      <c r="A131" s="5" t="n">
        <v>45250</v>
      </c>
      <c r="B131" s="6" t="n">
        <v>0.507638888888889</v>
      </c>
      <c r="C131" s="7" t="n">
        <v>32152</v>
      </c>
      <c r="D131" s="7" t="s">
        <v>16</v>
      </c>
      <c r="E131" s="7" t="n">
        <v>2680</v>
      </c>
      <c r="F131" s="7" t="n">
        <v>2380</v>
      </c>
      <c r="G131" s="8" t="n">
        <v>300</v>
      </c>
      <c r="H131" s="7" t="s">
        <v>11</v>
      </c>
      <c r="I131" s="7" t="s">
        <v>12</v>
      </c>
      <c r="J131" s="0" t="s">
        <v>13</v>
      </c>
    </row>
    <row r="132" customFormat="false" ht="18" hidden="true" customHeight="false" outlineLevel="0" collapsed="false">
      <c r="A132" s="5" t="n">
        <v>45250</v>
      </c>
      <c r="B132" s="6" t="n">
        <v>0.533333333333333</v>
      </c>
      <c r="C132" s="7" t="n">
        <v>5068</v>
      </c>
      <c r="D132" s="7" t="s">
        <v>22</v>
      </c>
      <c r="E132" s="7" t="n">
        <v>17140</v>
      </c>
      <c r="F132" s="7" t="n">
        <v>15700</v>
      </c>
      <c r="G132" s="8" t="n">
        <v>1440</v>
      </c>
      <c r="H132" s="7" t="s">
        <v>11</v>
      </c>
      <c r="I132" s="7" t="s">
        <v>23</v>
      </c>
      <c r="J132" s="0" t="s">
        <v>13</v>
      </c>
    </row>
    <row r="133" customFormat="false" ht="18" hidden="false" customHeight="false" outlineLevel="0" collapsed="false">
      <c r="A133" s="5" t="n">
        <v>45251</v>
      </c>
      <c r="B133" s="6" t="n">
        <v>0.245833333333333</v>
      </c>
      <c r="C133" s="7" t="n">
        <v>32184</v>
      </c>
      <c r="D133" s="7" t="s">
        <v>21</v>
      </c>
      <c r="E133" s="7" t="n">
        <v>4100</v>
      </c>
      <c r="F133" s="7" t="n">
        <v>3800</v>
      </c>
      <c r="G133" s="8" t="n">
        <v>300</v>
      </c>
      <c r="H133" s="7" t="s">
        <v>11</v>
      </c>
      <c r="I133" s="7" t="s">
        <v>12</v>
      </c>
      <c r="J133" s="0" t="s">
        <v>13</v>
      </c>
    </row>
    <row r="134" customFormat="false" ht="18" hidden="false" customHeight="false" outlineLevel="0" collapsed="false">
      <c r="A134" s="5" t="n">
        <v>45251</v>
      </c>
      <c r="B134" s="6" t="n">
        <v>0.11875</v>
      </c>
      <c r="C134" s="7" t="n">
        <v>32173</v>
      </c>
      <c r="D134" s="7" t="s">
        <v>10</v>
      </c>
      <c r="E134" s="7" t="n">
        <v>17060</v>
      </c>
      <c r="F134" s="7" t="n">
        <v>13160</v>
      </c>
      <c r="G134" s="8" t="n">
        <v>3900</v>
      </c>
      <c r="H134" s="7" t="s">
        <v>11</v>
      </c>
      <c r="I134" s="7" t="s">
        <v>12</v>
      </c>
      <c r="J134" s="0" t="s">
        <v>13</v>
      </c>
    </row>
    <row r="135" customFormat="false" ht="18" hidden="false" customHeight="false" outlineLevel="0" collapsed="false">
      <c r="A135" s="5" t="n">
        <v>45251</v>
      </c>
      <c r="B135" s="6" t="n">
        <v>0.25625</v>
      </c>
      <c r="C135" s="7" t="n">
        <v>32185</v>
      </c>
      <c r="D135" s="7" t="s">
        <v>22</v>
      </c>
      <c r="E135" s="7" t="n">
        <v>24020</v>
      </c>
      <c r="F135" s="7" t="n">
        <v>15720</v>
      </c>
      <c r="G135" s="8" t="n">
        <v>8300</v>
      </c>
      <c r="H135" s="7" t="s">
        <v>11</v>
      </c>
      <c r="I135" s="7" t="s">
        <v>12</v>
      </c>
      <c r="J135" s="0" t="s">
        <v>13</v>
      </c>
    </row>
    <row r="136" customFormat="false" ht="18" hidden="false" customHeight="false" outlineLevel="0" collapsed="false">
      <c r="A136" s="5" t="n">
        <v>45251</v>
      </c>
      <c r="B136" s="6" t="n">
        <v>0.536805555555556</v>
      </c>
      <c r="C136" s="7" t="n">
        <v>32205</v>
      </c>
      <c r="D136" s="7" t="s">
        <v>20</v>
      </c>
      <c r="E136" s="7" t="n">
        <v>3980</v>
      </c>
      <c r="F136" s="7" t="n">
        <v>2860</v>
      </c>
      <c r="G136" s="8" t="n">
        <v>1120</v>
      </c>
      <c r="H136" s="7" t="s">
        <v>11</v>
      </c>
      <c r="I136" s="7" t="s">
        <v>17</v>
      </c>
      <c r="J136" s="0" t="s">
        <v>13</v>
      </c>
    </row>
    <row r="137" customFormat="false" ht="18" hidden="false" customHeight="false" outlineLevel="0" collapsed="false">
      <c r="A137" s="5" t="n">
        <v>45251</v>
      </c>
      <c r="B137" s="6" t="n">
        <v>0.535416666666667</v>
      </c>
      <c r="C137" s="7" t="n">
        <v>32204</v>
      </c>
      <c r="D137" s="7" t="s">
        <v>15</v>
      </c>
      <c r="E137" s="7" t="n">
        <v>3960</v>
      </c>
      <c r="F137" s="7" t="n">
        <v>2680</v>
      </c>
      <c r="G137" s="8" t="n">
        <v>1280</v>
      </c>
      <c r="H137" s="7" t="s">
        <v>11</v>
      </c>
      <c r="I137" s="7" t="s">
        <v>17</v>
      </c>
      <c r="J137" s="0" t="s">
        <v>13</v>
      </c>
    </row>
    <row r="138" customFormat="false" ht="18" hidden="true" customHeight="false" outlineLevel="0" collapsed="false">
      <c r="A138" s="5" t="n">
        <v>45251</v>
      </c>
      <c r="B138" s="6" t="n">
        <v>0.518055555555556</v>
      </c>
      <c r="C138" s="7" t="n">
        <v>165930</v>
      </c>
      <c r="D138" s="7" t="s">
        <v>22</v>
      </c>
      <c r="E138" s="7" t="n">
        <v>17360</v>
      </c>
      <c r="F138" s="7" t="n">
        <v>15700</v>
      </c>
      <c r="G138" s="8" t="n">
        <v>1660</v>
      </c>
      <c r="H138" s="7" t="s">
        <v>11</v>
      </c>
      <c r="I138" s="7" t="s">
        <v>25</v>
      </c>
      <c r="J138" s="0" t="s">
        <v>13</v>
      </c>
    </row>
    <row r="139" customFormat="false" ht="18" hidden="false" customHeight="false" outlineLevel="0" collapsed="false">
      <c r="A139" s="5" t="n">
        <v>45252</v>
      </c>
      <c r="B139" s="6" t="n">
        <v>0.253472222222222</v>
      </c>
      <c r="C139" s="7" t="n">
        <v>32225</v>
      </c>
      <c r="D139" s="7" t="s">
        <v>22</v>
      </c>
      <c r="E139" s="7" t="n">
        <v>24520</v>
      </c>
      <c r="F139" s="7" t="n">
        <v>15720</v>
      </c>
      <c r="G139" s="8" t="n">
        <v>8800</v>
      </c>
      <c r="H139" s="7" t="s">
        <v>11</v>
      </c>
      <c r="I139" s="7" t="s">
        <v>12</v>
      </c>
      <c r="J139" s="0" t="s">
        <v>13</v>
      </c>
    </row>
    <row r="140" customFormat="false" ht="18" hidden="false" customHeight="false" outlineLevel="0" collapsed="false">
      <c r="A140" s="5" t="n">
        <v>45252</v>
      </c>
      <c r="B140" s="6" t="n">
        <v>0.247916666666667</v>
      </c>
      <c r="C140" s="7" t="n">
        <v>32224</v>
      </c>
      <c r="D140" s="7" t="s">
        <v>21</v>
      </c>
      <c r="E140" s="7" t="n">
        <v>4100</v>
      </c>
      <c r="F140" s="7" t="n">
        <v>3800</v>
      </c>
      <c r="G140" s="8" t="n">
        <v>300</v>
      </c>
      <c r="H140" s="7" t="s">
        <v>11</v>
      </c>
      <c r="I140" s="7" t="s">
        <v>12</v>
      </c>
      <c r="J140" s="0" t="s">
        <v>13</v>
      </c>
    </row>
    <row r="141" customFormat="false" ht="18" hidden="false" customHeight="false" outlineLevel="0" collapsed="false">
      <c r="A141" s="5" t="n">
        <v>45252</v>
      </c>
      <c r="B141" s="6" t="n">
        <v>0.14375</v>
      </c>
      <c r="C141" s="7" t="n">
        <v>32216</v>
      </c>
      <c r="D141" s="7" t="s">
        <v>10</v>
      </c>
      <c r="E141" s="7" t="n">
        <v>18600</v>
      </c>
      <c r="F141" s="7" t="n">
        <v>13420</v>
      </c>
      <c r="G141" s="8" t="n">
        <v>5180</v>
      </c>
      <c r="H141" s="7" t="s">
        <v>11</v>
      </c>
      <c r="I141" s="7" t="s">
        <v>12</v>
      </c>
      <c r="J141" s="0" t="s">
        <v>13</v>
      </c>
    </row>
    <row r="142" customFormat="false" ht="18" hidden="false" customHeight="false" outlineLevel="0" collapsed="false">
      <c r="A142" s="5" t="n">
        <v>45251</v>
      </c>
      <c r="B142" s="6" t="n">
        <v>0.506944444444444</v>
      </c>
      <c r="C142" s="7" t="n">
        <v>32203</v>
      </c>
      <c r="D142" s="7" t="s">
        <v>16</v>
      </c>
      <c r="E142" s="7" t="n">
        <v>2800</v>
      </c>
      <c r="F142" s="7" t="n">
        <v>2380</v>
      </c>
      <c r="G142" s="8" t="n">
        <v>420</v>
      </c>
      <c r="H142" s="7" t="s">
        <v>11</v>
      </c>
      <c r="I142" s="7" t="s">
        <v>12</v>
      </c>
      <c r="J142" s="0" t="s">
        <v>13</v>
      </c>
    </row>
    <row r="143" customFormat="false" ht="18" hidden="false" customHeight="false" outlineLevel="0" collapsed="false">
      <c r="A143" s="5" t="n">
        <v>45252</v>
      </c>
      <c r="B143" s="6" t="n">
        <v>0.431944444444444</v>
      </c>
      <c r="C143" s="7" t="n">
        <v>32236</v>
      </c>
      <c r="D143" s="7" t="s">
        <v>15</v>
      </c>
      <c r="E143" s="7" t="n">
        <v>3480</v>
      </c>
      <c r="F143" s="7" t="n">
        <v>2700</v>
      </c>
      <c r="G143" s="8" t="n">
        <v>780</v>
      </c>
      <c r="H143" s="7" t="s">
        <v>11</v>
      </c>
      <c r="I143" s="7" t="s">
        <v>17</v>
      </c>
      <c r="J143" s="0" t="s">
        <v>13</v>
      </c>
    </row>
    <row r="144" customFormat="false" ht="18" hidden="false" customHeight="false" outlineLevel="0" collapsed="false">
      <c r="A144" s="5" t="n">
        <v>45252</v>
      </c>
      <c r="B144" s="6" t="n">
        <v>0.497222222222222</v>
      </c>
      <c r="C144" s="7" t="n">
        <v>32240</v>
      </c>
      <c r="D144" s="7" t="s">
        <v>16</v>
      </c>
      <c r="E144" s="7" t="n">
        <v>2620</v>
      </c>
      <c r="F144" s="7" t="n">
        <v>2380</v>
      </c>
      <c r="G144" s="8" t="n">
        <v>240</v>
      </c>
      <c r="H144" s="7" t="s">
        <v>11</v>
      </c>
      <c r="I144" s="7" t="s">
        <v>12</v>
      </c>
      <c r="J144" s="0" t="s">
        <v>13</v>
      </c>
    </row>
    <row r="145" customFormat="false" ht="18" hidden="false" customHeight="false" outlineLevel="0" collapsed="false">
      <c r="A145" s="5" t="n">
        <v>45252</v>
      </c>
      <c r="B145" s="6" t="n">
        <v>0.35625</v>
      </c>
      <c r="C145" s="7" t="n">
        <v>32231</v>
      </c>
      <c r="D145" s="7" t="s">
        <v>18</v>
      </c>
      <c r="E145" s="7" t="n">
        <v>6480</v>
      </c>
      <c r="F145" s="7" t="n">
        <v>5560</v>
      </c>
      <c r="G145" s="8" t="n">
        <v>920</v>
      </c>
      <c r="H145" s="7" t="s">
        <v>11</v>
      </c>
      <c r="I145" s="7" t="s">
        <v>19</v>
      </c>
      <c r="J145" s="0" t="s">
        <v>13</v>
      </c>
    </row>
    <row r="146" customFormat="false" ht="18" hidden="false" customHeight="false" outlineLevel="0" collapsed="false">
      <c r="A146" s="5" t="n">
        <v>45252</v>
      </c>
      <c r="B146" s="6" t="n">
        <v>0.536805555555556</v>
      </c>
      <c r="C146" s="7" t="n">
        <v>32245</v>
      </c>
      <c r="D146" s="7" t="s">
        <v>15</v>
      </c>
      <c r="E146" s="7" t="n">
        <v>3500</v>
      </c>
      <c r="F146" s="7" t="n">
        <v>2680</v>
      </c>
      <c r="G146" s="8" t="n">
        <v>820</v>
      </c>
      <c r="H146" s="7" t="s">
        <v>11</v>
      </c>
      <c r="I146" s="7" t="s">
        <v>17</v>
      </c>
      <c r="J146" s="0" t="s">
        <v>13</v>
      </c>
    </row>
    <row r="147" customFormat="false" ht="18" hidden="false" customHeight="false" outlineLevel="0" collapsed="false">
      <c r="A147" s="5" t="n">
        <v>45252</v>
      </c>
      <c r="B147" s="6" t="n">
        <v>0.536111111111111</v>
      </c>
      <c r="C147" s="7" t="n">
        <v>32244</v>
      </c>
      <c r="D147" s="7" t="s">
        <v>20</v>
      </c>
      <c r="E147" s="7" t="n">
        <v>3400</v>
      </c>
      <c r="F147" s="7" t="n">
        <v>2940</v>
      </c>
      <c r="G147" s="8" t="n">
        <v>460</v>
      </c>
      <c r="H147" s="7" t="s">
        <v>11</v>
      </c>
      <c r="I147" s="7" t="s">
        <v>17</v>
      </c>
      <c r="J147" s="0" t="s">
        <v>13</v>
      </c>
    </row>
    <row r="148" customFormat="false" ht="18" hidden="false" customHeight="false" outlineLevel="0" collapsed="false">
      <c r="A148" s="5" t="n">
        <v>45252</v>
      </c>
      <c r="B148" s="6" t="n">
        <v>0.511111111111111</v>
      </c>
      <c r="C148" s="7" t="n">
        <v>32243</v>
      </c>
      <c r="D148" s="7" t="s">
        <v>18</v>
      </c>
      <c r="E148" s="7" t="n">
        <v>6860</v>
      </c>
      <c r="F148" s="7" t="n">
        <v>5540</v>
      </c>
      <c r="G148" s="8" t="n">
        <v>1320</v>
      </c>
      <c r="H148" s="7" t="s">
        <v>11</v>
      </c>
      <c r="I148" s="7" t="s">
        <v>19</v>
      </c>
      <c r="J148" s="0" t="s">
        <v>13</v>
      </c>
    </row>
    <row r="149" customFormat="false" ht="18" hidden="false" customHeight="false" outlineLevel="0" collapsed="false">
      <c r="A149" s="5" t="n">
        <v>45253</v>
      </c>
      <c r="B149" s="6" t="n">
        <v>0.204861111111111</v>
      </c>
      <c r="C149" s="7" t="n">
        <v>32262</v>
      </c>
      <c r="D149" s="7" t="s">
        <v>10</v>
      </c>
      <c r="E149" s="7" t="n">
        <v>16880</v>
      </c>
      <c r="F149" s="7" t="n">
        <v>13160</v>
      </c>
      <c r="G149" s="8" t="n">
        <v>3720</v>
      </c>
      <c r="H149" s="7" t="s">
        <v>11</v>
      </c>
      <c r="I149" s="7" t="s">
        <v>12</v>
      </c>
      <c r="J149" s="0" t="s">
        <v>13</v>
      </c>
    </row>
    <row r="150" customFormat="false" ht="18" hidden="false" customHeight="false" outlineLevel="0" collapsed="false">
      <c r="A150" s="5" t="n">
        <v>45253</v>
      </c>
      <c r="B150" s="6" t="n">
        <v>0.254166666666667</v>
      </c>
      <c r="C150" s="7" t="n">
        <v>32266</v>
      </c>
      <c r="D150" s="7" t="s">
        <v>22</v>
      </c>
      <c r="E150" s="7" t="n">
        <v>23940</v>
      </c>
      <c r="F150" s="7" t="n">
        <v>15680</v>
      </c>
      <c r="G150" s="8" t="n">
        <v>8260</v>
      </c>
      <c r="H150" s="7" t="s">
        <v>11</v>
      </c>
      <c r="I150" s="7" t="s">
        <v>12</v>
      </c>
      <c r="J150" s="0" t="s">
        <v>13</v>
      </c>
    </row>
    <row r="151" customFormat="false" ht="18" hidden="false" customHeight="false" outlineLevel="0" collapsed="false">
      <c r="A151" s="5" t="n">
        <v>45253</v>
      </c>
      <c r="B151" s="6" t="n">
        <v>0.238194444444444</v>
      </c>
      <c r="C151" s="7" t="n">
        <v>32265</v>
      </c>
      <c r="D151" s="7" t="s">
        <v>21</v>
      </c>
      <c r="E151" s="7" t="n">
        <v>4200</v>
      </c>
      <c r="F151" s="7" t="n">
        <v>3780</v>
      </c>
      <c r="G151" s="8" t="n">
        <v>420</v>
      </c>
      <c r="H151" s="7" t="s">
        <v>11</v>
      </c>
      <c r="I151" s="7" t="s">
        <v>12</v>
      </c>
      <c r="J151" s="0" t="s">
        <v>13</v>
      </c>
    </row>
    <row r="152" customFormat="false" ht="18" hidden="false" customHeight="false" outlineLevel="0" collapsed="false">
      <c r="A152" s="5" t="n">
        <v>45253</v>
      </c>
      <c r="B152" s="6" t="n">
        <v>0.440277777777778</v>
      </c>
      <c r="C152" s="7" t="n">
        <v>32275</v>
      </c>
      <c r="D152" s="7" t="s">
        <v>16</v>
      </c>
      <c r="E152" s="7" t="n">
        <v>2620</v>
      </c>
      <c r="F152" s="7" t="n">
        <v>2380</v>
      </c>
      <c r="G152" s="8" t="n">
        <v>240</v>
      </c>
      <c r="H152" s="7" t="s">
        <v>11</v>
      </c>
      <c r="I152" s="7" t="s">
        <v>12</v>
      </c>
      <c r="J152" s="0" t="s">
        <v>13</v>
      </c>
    </row>
    <row r="153" customFormat="false" ht="18" hidden="false" customHeight="false" outlineLevel="0" collapsed="false">
      <c r="A153" s="5" t="n">
        <v>45253</v>
      </c>
      <c r="B153" s="6" t="n">
        <v>0.375</v>
      </c>
      <c r="C153" s="7" t="n">
        <v>32273</v>
      </c>
      <c r="D153" s="7" t="s">
        <v>18</v>
      </c>
      <c r="E153" s="7" t="n">
        <v>6640</v>
      </c>
      <c r="F153" s="7" t="n">
        <v>5620</v>
      </c>
      <c r="G153" s="8" t="n">
        <v>1020</v>
      </c>
      <c r="H153" s="7" t="s">
        <v>11</v>
      </c>
      <c r="I153" s="7" t="s">
        <v>19</v>
      </c>
      <c r="J153" s="0" t="s">
        <v>13</v>
      </c>
    </row>
    <row r="154" customFormat="false" ht="18" hidden="false" customHeight="false" outlineLevel="0" collapsed="false">
      <c r="A154" s="5" t="n">
        <v>45253</v>
      </c>
      <c r="B154" s="6" t="n">
        <v>0.538888888888889</v>
      </c>
      <c r="C154" s="7" t="n">
        <v>32279</v>
      </c>
      <c r="D154" s="7" t="s">
        <v>20</v>
      </c>
      <c r="E154" s="7" t="n">
        <v>3760</v>
      </c>
      <c r="F154" s="7" t="n">
        <v>2880</v>
      </c>
      <c r="G154" s="8" t="n">
        <v>880</v>
      </c>
      <c r="H154" s="7" t="s">
        <v>11</v>
      </c>
      <c r="I154" s="7" t="s">
        <v>17</v>
      </c>
      <c r="J154" s="0" t="s">
        <v>13</v>
      </c>
    </row>
    <row r="155" customFormat="false" ht="18" hidden="false" customHeight="false" outlineLevel="0" collapsed="false">
      <c r="A155" s="5" t="n">
        <v>45253</v>
      </c>
      <c r="B155" s="6" t="n">
        <v>0.539583333333333</v>
      </c>
      <c r="C155" s="7" t="n">
        <v>32280</v>
      </c>
      <c r="D155" s="7" t="s">
        <v>15</v>
      </c>
      <c r="E155" s="7" t="n">
        <v>3500</v>
      </c>
      <c r="F155" s="7" t="n">
        <v>2760</v>
      </c>
      <c r="G155" s="8" t="n">
        <v>740</v>
      </c>
      <c r="H155" s="7" t="s">
        <v>11</v>
      </c>
      <c r="I155" s="7" t="s">
        <v>17</v>
      </c>
      <c r="J155" s="0" t="s">
        <v>13</v>
      </c>
    </row>
    <row r="156" customFormat="false" ht="18" hidden="false" customHeight="false" outlineLevel="0" collapsed="false">
      <c r="A156" s="5" t="n">
        <v>45254</v>
      </c>
      <c r="B156" s="6" t="n">
        <v>0.236111111111111</v>
      </c>
      <c r="C156" s="7" t="n">
        <v>32293</v>
      </c>
      <c r="D156" s="7" t="s">
        <v>21</v>
      </c>
      <c r="E156" s="7" t="n">
        <v>4220</v>
      </c>
      <c r="F156" s="7" t="n">
        <v>3780</v>
      </c>
      <c r="G156" s="8" t="n">
        <v>440</v>
      </c>
      <c r="H156" s="7" t="s">
        <v>11</v>
      </c>
      <c r="I156" s="7" t="s">
        <v>12</v>
      </c>
      <c r="J156" s="0" t="s">
        <v>13</v>
      </c>
    </row>
    <row r="157" customFormat="false" ht="18" hidden="false" customHeight="false" outlineLevel="0" collapsed="false">
      <c r="A157" s="5" t="n">
        <v>45254</v>
      </c>
      <c r="B157" s="6" t="n">
        <v>0.1375</v>
      </c>
      <c r="C157" s="7" t="n">
        <v>32286</v>
      </c>
      <c r="D157" s="7" t="s">
        <v>10</v>
      </c>
      <c r="E157" s="7" t="n">
        <v>17700</v>
      </c>
      <c r="F157" s="7" t="n">
        <v>13120</v>
      </c>
      <c r="G157" s="8" t="n">
        <v>4580</v>
      </c>
      <c r="H157" s="7" t="s">
        <v>11</v>
      </c>
      <c r="I157" s="7" t="s">
        <v>12</v>
      </c>
      <c r="J157" s="0" t="s">
        <v>13</v>
      </c>
    </row>
    <row r="158" customFormat="false" ht="18" hidden="false" customHeight="false" outlineLevel="0" collapsed="false">
      <c r="A158" s="5" t="n">
        <v>45254</v>
      </c>
      <c r="B158" s="6" t="n">
        <v>0.234722222222222</v>
      </c>
      <c r="C158" s="7" t="n">
        <v>32292</v>
      </c>
      <c r="D158" s="7" t="s">
        <v>22</v>
      </c>
      <c r="E158" s="7" t="n">
        <v>24380</v>
      </c>
      <c r="F158" s="7" t="n">
        <v>15640</v>
      </c>
      <c r="G158" s="8" t="n">
        <v>8740</v>
      </c>
      <c r="H158" s="7" t="s">
        <v>11</v>
      </c>
      <c r="I158" s="7" t="s">
        <v>12</v>
      </c>
      <c r="J158" s="0" t="s">
        <v>13</v>
      </c>
    </row>
    <row r="159" customFormat="false" ht="18" hidden="false" customHeight="false" outlineLevel="0" collapsed="false">
      <c r="A159" s="5" t="n">
        <v>45254</v>
      </c>
      <c r="B159" s="6" t="n">
        <v>0.315972222222222</v>
      </c>
      <c r="C159" s="7" t="n">
        <v>32298</v>
      </c>
      <c r="D159" s="7" t="s">
        <v>18</v>
      </c>
      <c r="E159" s="7" t="n">
        <v>6180</v>
      </c>
      <c r="F159" s="7" t="n">
        <v>5600</v>
      </c>
      <c r="G159" s="8" t="n">
        <v>580</v>
      </c>
      <c r="H159" s="7" t="s">
        <v>11</v>
      </c>
      <c r="I159" s="7" t="s">
        <v>19</v>
      </c>
      <c r="J159" s="0" t="s">
        <v>13</v>
      </c>
    </row>
    <row r="160" customFormat="false" ht="18" hidden="false" customHeight="false" outlineLevel="0" collapsed="false">
      <c r="A160" s="5" t="n">
        <v>45254</v>
      </c>
      <c r="B160" s="6" t="n">
        <v>0.515972222222222</v>
      </c>
      <c r="C160" s="7" t="n">
        <v>32303</v>
      </c>
      <c r="D160" s="7" t="s">
        <v>20</v>
      </c>
      <c r="E160" s="7" t="n">
        <v>3820</v>
      </c>
      <c r="F160" s="7" t="n">
        <v>2880</v>
      </c>
      <c r="G160" s="8" t="n">
        <v>940</v>
      </c>
      <c r="H160" s="7" t="s">
        <v>11</v>
      </c>
      <c r="I160" s="7" t="s">
        <v>17</v>
      </c>
      <c r="J160" s="0" t="s">
        <v>13</v>
      </c>
    </row>
    <row r="161" customFormat="false" ht="18" hidden="false" customHeight="false" outlineLevel="0" collapsed="false">
      <c r="A161" s="5" t="n">
        <v>45254</v>
      </c>
      <c r="B161" s="6" t="n">
        <v>0.428472222222222</v>
      </c>
      <c r="C161" s="7" t="n">
        <v>32300</v>
      </c>
      <c r="D161" s="7" t="s">
        <v>20</v>
      </c>
      <c r="E161" s="7" t="n">
        <v>3980</v>
      </c>
      <c r="F161" s="7" t="n">
        <v>2880</v>
      </c>
      <c r="G161" s="8" t="n">
        <v>1100</v>
      </c>
      <c r="H161" s="7" t="s">
        <v>11</v>
      </c>
      <c r="I161" s="7" t="s">
        <v>17</v>
      </c>
      <c r="J161" s="0" t="s">
        <v>13</v>
      </c>
    </row>
    <row r="162" customFormat="false" ht="18" hidden="false" customHeight="false" outlineLevel="0" collapsed="false">
      <c r="A162" s="5" t="n">
        <v>45254</v>
      </c>
      <c r="B162" s="6" t="n">
        <v>0.51875</v>
      </c>
      <c r="C162" s="7" t="n">
        <v>32304</v>
      </c>
      <c r="D162" s="7" t="s">
        <v>15</v>
      </c>
      <c r="E162" s="7" t="n">
        <v>3220</v>
      </c>
      <c r="F162" s="7" t="n">
        <v>2680</v>
      </c>
      <c r="G162" s="8" t="n">
        <v>540</v>
      </c>
      <c r="H162" s="7" t="s">
        <v>11</v>
      </c>
      <c r="I162" s="7" t="s">
        <v>17</v>
      </c>
      <c r="J162" s="0" t="s">
        <v>13</v>
      </c>
    </row>
    <row r="163" customFormat="false" ht="18" hidden="false" customHeight="false" outlineLevel="0" collapsed="false">
      <c r="A163" s="5" t="n">
        <v>45254</v>
      </c>
      <c r="B163" s="6" t="n">
        <v>0.503472222222222</v>
      </c>
      <c r="C163" s="7" t="n">
        <v>32302</v>
      </c>
      <c r="D163" s="7" t="s">
        <v>18</v>
      </c>
      <c r="E163" s="7" t="n">
        <v>5840</v>
      </c>
      <c r="F163" s="7" t="n">
        <v>5600</v>
      </c>
      <c r="G163" s="8" t="n">
        <v>240</v>
      </c>
      <c r="H163" s="7" t="s">
        <v>11</v>
      </c>
      <c r="I163" s="7" t="s">
        <v>17</v>
      </c>
      <c r="J163" s="0" t="s">
        <v>13</v>
      </c>
    </row>
    <row r="164" customFormat="false" ht="18" hidden="false" customHeight="false" outlineLevel="0" collapsed="false">
      <c r="A164" s="5" t="n">
        <v>45255</v>
      </c>
      <c r="B164" s="6" t="n">
        <v>0.352083333333333</v>
      </c>
      <c r="C164" s="7" t="n">
        <v>32330</v>
      </c>
      <c r="D164" s="7" t="s">
        <v>26</v>
      </c>
      <c r="E164" s="7" t="n">
        <v>16920</v>
      </c>
      <c r="F164" s="7" t="n">
        <v>15960</v>
      </c>
      <c r="G164" s="8" t="n">
        <v>960</v>
      </c>
      <c r="H164" s="7" t="s">
        <v>11</v>
      </c>
      <c r="I164" s="7" t="s">
        <v>19</v>
      </c>
      <c r="J164" s="0" t="s">
        <v>13</v>
      </c>
    </row>
    <row r="165" customFormat="false" ht="18" hidden="false" customHeight="false" outlineLevel="0" collapsed="false">
      <c r="A165" s="5" t="n">
        <v>45255</v>
      </c>
      <c r="B165" s="6" t="n">
        <v>0.472222222222222</v>
      </c>
      <c r="C165" s="7" t="n">
        <v>32335</v>
      </c>
      <c r="D165" s="7" t="s">
        <v>15</v>
      </c>
      <c r="E165" s="7" t="n">
        <v>2880</v>
      </c>
      <c r="F165" s="7" t="n">
        <v>2660</v>
      </c>
      <c r="G165" s="8" t="n">
        <v>220</v>
      </c>
      <c r="H165" s="7" t="s">
        <v>11</v>
      </c>
      <c r="I165" s="7" t="s">
        <v>12</v>
      </c>
      <c r="J165" s="0" t="s">
        <v>13</v>
      </c>
    </row>
    <row r="166" customFormat="false" ht="18" hidden="false" customHeight="false" outlineLevel="0" collapsed="false">
      <c r="A166" s="5" t="n">
        <v>45255</v>
      </c>
      <c r="B166" s="6" t="n">
        <v>0.197222222222222</v>
      </c>
      <c r="C166" s="7" t="n">
        <v>32320</v>
      </c>
      <c r="D166" s="7" t="s">
        <v>10</v>
      </c>
      <c r="E166" s="7" t="n">
        <v>18560</v>
      </c>
      <c r="F166" s="7" t="n">
        <v>13120</v>
      </c>
      <c r="G166" s="8" t="n">
        <v>5440</v>
      </c>
      <c r="H166" s="7" t="s">
        <v>11</v>
      </c>
      <c r="I166" s="7" t="s">
        <v>12</v>
      </c>
      <c r="J166" s="0" t="s">
        <v>13</v>
      </c>
    </row>
    <row r="167" customFormat="false" ht="18" hidden="false" customHeight="false" outlineLevel="0" collapsed="false">
      <c r="A167" s="5" t="n">
        <v>45255</v>
      </c>
      <c r="B167" s="6" t="n">
        <v>0.25625</v>
      </c>
      <c r="C167" s="7" t="n">
        <v>32324</v>
      </c>
      <c r="D167" s="7" t="s">
        <v>21</v>
      </c>
      <c r="E167" s="7" t="n">
        <v>4360</v>
      </c>
      <c r="F167" s="7" t="n">
        <v>3680</v>
      </c>
      <c r="G167" s="8" t="n">
        <v>680</v>
      </c>
      <c r="H167" s="7" t="s">
        <v>11</v>
      </c>
      <c r="I167" s="7" t="s">
        <v>12</v>
      </c>
      <c r="J167" s="0" t="s">
        <v>13</v>
      </c>
    </row>
    <row r="168" customFormat="false" ht="18" hidden="false" customHeight="false" outlineLevel="0" collapsed="false">
      <c r="A168" s="5" t="n">
        <v>45255</v>
      </c>
      <c r="B168" s="6" t="n">
        <v>0.2625</v>
      </c>
      <c r="C168" s="7" t="n">
        <v>32326</v>
      </c>
      <c r="D168" s="7" t="s">
        <v>22</v>
      </c>
      <c r="E168" s="7" t="n">
        <v>25360</v>
      </c>
      <c r="F168" s="7" t="n">
        <v>16000</v>
      </c>
      <c r="G168" s="8" t="n">
        <v>9360</v>
      </c>
      <c r="H168" s="7" t="s">
        <v>11</v>
      </c>
      <c r="I168" s="7" t="s">
        <v>12</v>
      </c>
      <c r="J168" s="0" t="s">
        <v>13</v>
      </c>
    </row>
    <row r="169" customFormat="false" ht="18" hidden="false" customHeight="false" outlineLevel="0" collapsed="false">
      <c r="A169" s="5" t="n">
        <v>45255</v>
      </c>
      <c r="B169" s="6" t="n">
        <v>0.452083333333333</v>
      </c>
      <c r="C169" s="7" t="n">
        <v>32333</v>
      </c>
      <c r="D169" s="7" t="s">
        <v>26</v>
      </c>
      <c r="E169" s="7" t="n">
        <v>18300</v>
      </c>
      <c r="F169" s="7" t="n">
        <v>15920</v>
      </c>
      <c r="G169" s="8" t="n">
        <v>2380</v>
      </c>
      <c r="H169" s="7" t="s">
        <v>11</v>
      </c>
      <c r="I169" s="7" t="s">
        <v>19</v>
      </c>
      <c r="J169" s="0" t="s">
        <v>13</v>
      </c>
    </row>
    <row r="170" customFormat="false" ht="18" hidden="false" customHeight="false" outlineLevel="0" collapsed="false">
      <c r="A170" s="5" t="n">
        <v>45256</v>
      </c>
      <c r="B170" s="6" t="n">
        <v>0.502083333333333</v>
      </c>
      <c r="C170" s="7" t="n">
        <v>32350</v>
      </c>
      <c r="D170" s="7" t="s">
        <v>15</v>
      </c>
      <c r="E170" s="7" t="n">
        <v>2860</v>
      </c>
      <c r="F170" s="7" t="n">
        <v>2660</v>
      </c>
      <c r="G170" s="8" t="n">
        <v>200</v>
      </c>
      <c r="H170" s="7" t="s">
        <v>11</v>
      </c>
      <c r="I170" s="7" t="s">
        <v>12</v>
      </c>
      <c r="J170" s="0" t="s">
        <v>13</v>
      </c>
    </row>
    <row r="171" customFormat="false" ht="18" hidden="false" customHeight="false" outlineLevel="0" collapsed="false">
      <c r="A171" s="5" t="n">
        <v>45256</v>
      </c>
      <c r="B171" s="6" t="n">
        <v>0.495833333333333</v>
      </c>
      <c r="C171" s="7" t="n">
        <v>32349</v>
      </c>
      <c r="D171" s="7" t="s">
        <v>20</v>
      </c>
      <c r="E171" s="7" t="n">
        <v>3720</v>
      </c>
      <c r="F171" s="7" t="n">
        <v>2860</v>
      </c>
      <c r="G171" s="8" t="n">
        <v>860</v>
      </c>
      <c r="H171" s="7" t="s">
        <v>11</v>
      </c>
      <c r="I171" s="7" t="s">
        <v>12</v>
      </c>
      <c r="J171" s="0" t="s">
        <v>13</v>
      </c>
    </row>
    <row r="172" customFormat="false" ht="18" hidden="false" customHeight="false" outlineLevel="0" collapsed="false">
      <c r="A172" s="5" t="n">
        <v>45256</v>
      </c>
      <c r="B172" s="6" t="n">
        <v>0.145833333333333</v>
      </c>
      <c r="C172" s="7" t="n">
        <v>32340</v>
      </c>
      <c r="D172" s="7" t="s">
        <v>10</v>
      </c>
      <c r="E172" s="7" t="n">
        <v>19260</v>
      </c>
      <c r="F172" s="7" t="n">
        <v>13240</v>
      </c>
      <c r="G172" s="8" t="n">
        <v>6020</v>
      </c>
      <c r="H172" s="7" t="s">
        <v>11</v>
      </c>
      <c r="I172" s="7" t="s">
        <v>12</v>
      </c>
      <c r="J172" s="0" t="s">
        <v>13</v>
      </c>
    </row>
    <row r="173" customFormat="false" ht="18" hidden="false" customHeight="false" outlineLevel="0" collapsed="false">
      <c r="A173" s="5" t="n">
        <v>45256</v>
      </c>
      <c r="B173" s="6" t="n">
        <v>0.169444444444444</v>
      </c>
      <c r="C173" s="7" t="n">
        <v>32342</v>
      </c>
      <c r="D173" s="7" t="s">
        <v>21</v>
      </c>
      <c r="E173" s="7" t="n">
        <v>4340</v>
      </c>
      <c r="F173" s="7" t="n">
        <v>3680</v>
      </c>
      <c r="G173" s="8" t="n">
        <v>660</v>
      </c>
      <c r="H173" s="7" t="s">
        <v>11</v>
      </c>
      <c r="I173" s="7" t="s">
        <v>12</v>
      </c>
      <c r="J173" s="0" t="s">
        <v>13</v>
      </c>
    </row>
    <row r="174" customFormat="false" ht="18" hidden="false" customHeight="false" outlineLevel="0" collapsed="false">
      <c r="A174" s="5" t="n">
        <v>45256</v>
      </c>
      <c r="B174" s="6" t="n">
        <v>0.229861111111111</v>
      </c>
      <c r="C174" s="7" t="n">
        <v>32345</v>
      </c>
      <c r="D174" s="7" t="s">
        <v>22</v>
      </c>
      <c r="E174" s="7" t="n">
        <v>25520</v>
      </c>
      <c r="F174" s="7" t="n">
        <v>15860</v>
      </c>
      <c r="G174" s="8" t="n">
        <v>9660</v>
      </c>
      <c r="H174" s="7" t="s">
        <v>11</v>
      </c>
      <c r="I174" s="7" t="s">
        <v>12</v>
      </c>
      <c r="J174" s="0" t="s">
        <v>13</v>
      </c>
    </row>
    <row r="175" customFormat="false" ht="18" hidden="false" customHeight="false" outlineLevel="0" collapsed="false">
      <c r="A175" s="5" t="n">
        <v>45257</v>
      </c>
      <c r="B175" s="6" t="n">
        <v>0.245138888888889</v>
      </c>
      <c r="C175" s="7" t="n">
        <v>32367</v>
      </c>
      <c r="D175" s="7" t="s">
        <v>22</v>
      </c>
      <c r="E175" s="7" t="n">
        <v>22960</v>
      </c>
      <c r="F175" s="7" t="n">
        <v>15940</v>
      </c>
      <c r="G175" s="8" t="n">
        <v>7020</v>
      </c>
      <c r="H175" s="7" t="s">
        <v>11</v>
      </c>
      <c r="I175" s="7" t="s">
        <v>12</v>
      </c>
      <c r="J175" s="0" t="s">
        <v>13</v>
      </c>
    </row>
    <row r="176" customFormat="false" ht="18" hidden="false" customHeight="false" outlineLevel="0" collapsed="false">
      <c r="A176" s="5" t="n">
        <v>45257</v>
      </c>
      <c r="B176" s="6" t="n">
        <v>0.255555555555556</v>
      </c>
      <c r="C176" s="7" t="n">
        <v>32368</v>
      </c>
      <c r="D176" s="7" t="s">
        <v>21</v>
      </c>
      <c r="E176" s="7" t="n">
        <v>4140</v>
      </c>
      <c r="F176" s="7" t="n">
        <v>3740</v>
      </c>
      <c r="G176" s="8" t="n">
        <v>400</v>
      </c>
      <c r="H176" s="7" t="s">
        <v>11</v>
      </c>
      <c r="I176" s="7" t="s">
        <v>12</v>
      </c>
      <c r="J176" s="0" t="s">
        <v>13</v>
      </c>
    </row>
    <row r="177" customFormat="false" ht="18" hidden="false" customHeight="false" outlineLevel="0" collapsed="false">
      <c r="A177" s="5" t="n">
        <v>45257</v>
      </c>
      <c r="B177" s="6" t="n">
        <v>0.161111111111111</v>
      </c>
      <c r="C177" s="7" t="n">
        <v>32360</v>
      </c>
      <c r="D177" s="7" t="s">
        <v>10</v>
      </c>
      <c r="E177" s="7" t="n">
        <v>17220</v>
      </c>
      <c r="F177" s="7" t="n">
        <v>13140</v>
      </c>
      <c r="G177" s="8" t="n">
        <v>4080</v>
      </c>
      <c r="H177" s="7" t="s">
        <v>11</v>
      </c>
      <c r="I177" s="7" t="s">
        <v>12</v>
      </c>
      <c r="J177" s="0" t="s">
        <v>13</v>
      </c>
    </row>
    <row r="178" customFormat="false" ht="18" hidden="false" customHeight="false" outlineLevel="0" collapsed="false">
      <c r="A178" s="5" t="n">
        <v>45257</v>
      </c>
      <c r="B178" s="6" t="n">
        <v>0.541666666666667</v>
      </c>
      <c r="C178" s="7" t="n">
        <v>32393</v>
      </c>
      <c r="D178" s="7" t="s">
        <v>20</v>
      </c>
      <c r="E178" s="7" t="n">
        <v>3860</v>
      </c>
      <c r="F178" s="7" t="n">
        <v>2880</v>
      </c>
      <c r="G178" s="8" t="n">
        <v>980</v>
      </c>
      <c r="H178" s="7" t="s">
        <v>11</v>
      </c>
      <c r="I178" s="7" t="s">
        <v>17</v>
      </c>
      <c r="J178" s="0" t="s">
        <v>13</v>
      </c>
    </row>
    <row r="179" customFormat="false" ht="18" hidden="false" customHeight="false" outlineLevel="0" collapsed="false">
      <c r="A179" s="5" t="n">
        <v>45257</v>
      </c>
      <c r="B179" s="6" t="n">
        <v>0.542361111111111</v>
      </c>
      <c r="C179" s="7" t="n">
        <v>32394</v>
      </c>
      <c r="D179" s="7" t="s">
        <v>15</v>
      </c>
      <c r="E179" s="7" t="n">
        <v>3820</v>
      </c>
      <c r="F179" s="7" t="n">
        <v>2780</v>
      </c>
      <c r="G179" s="8" t="n">
        <v>1040</v>
      </c>
      <c r="H179" s="7" t="s">
        <v>11</v>
      </c>
      <c r="I179" s="7" t="s">
        <v>17</v>
      </c>
      <c r="J179" s="0" t="s">
        <v>13</v>
      </c>
    </row>
    <row r="180" customFormat="false" ht="18" hidden="false" customHeight="false" outlineLevel="0" collapsed="false">
      <c r="A180" s="5" t="n">
        <v>45257</v>
      </c>
      <c r="B180" s="6" t="n">
        <v>0.428472222222222</v>
      </c>
      <c r="C180" s="7" t="n">
        <v>32383</v>
      </c>
      <c r="D180" s="7" t="s">
        <v>15</v>
      </c>
      <c r="E180" s="7" t="n">
        <v>3580</v>
      </c>
      <c r="F180" s="7" t="n">
        <v>2700</v>
      </c>
      <c r="G180" s="8" t="n">
        <v>880</v>
      </c>
      <c r="H180" s="7" t="s">
        <v>11</v>
      </c>
      <c r="I180" s="7" t="s">
        <v>17</v>
      </c>
      <c r="J180" s="0" t="s">
        <v>13</v>
      </c>
    </row>
    <row r="181" customFormat="false" ht="18" hidden="false" customHeight="false" outlineLevel="0" collapsed="false">
      <c r="A181" s="5" t="n">
        <v>45257</v>
      </c>
      <c r="B181" s="6" t="n">
        <v>0.516666666666667</v>
      </c>
      <c r="C181" s="7" t="n">
        <v>32390</v>
      </c>
      <c r="D181" s="7" t="s">
        <v>18</v>
      </c>
      <c r="E181" s="7" t="n">
        <v>6460</v>
      </c>
      <c r="F181" s="7" t="n">
        <v>5500</v>
      </c>
      <c r="G181" s="8" t="n">
        <v>960</v>
      </c>
      <c r="H181" s="7" t="s">
        <v>11</v>
      </c>
      <c r="I181" s="7" t="s">
        <v>19</v>
      </c>
      <c r="J181" s="0" t="s">
        <v>13</v>
      </c>
    </row>
    <row r="182" customFormat="false" ht="18" hidden="true" customHeight="false" outlineLevel="0" collapsed="false">
      <c r="A182" s="5" t="n">
        <v>45257</v>
      </c>
      <c r="B182" s="6" t="n">
        <v>0.386111111111111</v>
      </c>
      <c r="C182" s="7" t="n">
        <v>5084</v>
      </c>
      <c r="D182" s="7" t="s">
        <v>22</v>
      </c>
      <c r="E182" s="7" t="n">
        <v>17280</v>
      </c>
      <c r="F182" s="7" t="n">
        <v>15700</v>
      </c>
      <c r="G182" s="8" t="n">
        <v>1580</v>
      </c>
      <c r="H182" s="7" t="s">
        <v>11</v>
      </c>
      <c r="I182" s="5" t="s">
        <v>23</v>
      </c>
      <c r="J182" s="0" t="s">
        <v>13</v>
      </c>
    </row>
    <row r="183" customFormat="false" ht="18" hidden="false" customHeight="false" outlineLevel="0" collapsed="false">
      <c r="A183" s="5" t="n">
        <v>45258</v>
      </c>
      <c r="B183" s="6" t="n">
        <v>0.175694444444444</v>
      </c>
      <c r="C183" s="7" t="n">
        <v>32415</v>
      </c>
      <c r="D183" s="7" t="s">
        <v>10</v>
      </c>
      <c r="E183" s="7" t="n">
        <v>17760</v>
      </c>
      <c r="F183" s="7" t="n">
        <v>13120</v>
      </c>
      <c r="G183" s="8" t="n">
        <v>4640</v>
      </c>
      <c r="H183" s="7" t="s">
        <v>11</v>
      </c>
      <c r="I183" s="7" t="s">
        <v>12</v>
      </c>
      <c r="J183" s="0" t="s">
        <v>13</v>
      </c>
    </row>
    <row r="184" customFormat="false" ht="18" hidden="false" customHeight="false" outlineLevel="0" collapsed="false">
      <c r="A184" s="5" t="n">
        <v>45258</v>
      </c>
      <c r="B184" s="6" t="n">
        <v>0.25625</v>
      </c>
      <c r="C184" s="7" t="n">
        <v>32421</v>
      </c>
      <c r="D184" s="7" t="s">
        <v>21</v>
      </c>
      <c r="E184" s="7" t="n">
        <v>4060</v>
      </c>
      <c r="F184" s="7" t="n">
        <v>3660</v>
      </c>
      <c r="G184" s="8" t="n">
        <v>400</v>
      </c>
      <c r="H184" s="7" t="s">
        <v>11</v>
      </c>
      <c r="I184" s="7" t="s">
        <v>12</v>
      </c>
      <c r="J184" s="0" t="s">
        <v>13</v>
      </c>
    </row>
    <row r="185" customFormat="false" ht="18" hidden="false" customHeight="false" outlineLevel="0" collapsed="false">
      <c r="A185" s="5" t="n">
        <v>45258</v>
      </c>
      <c r="B185" s="6" t="n">
        <v>0.201388888888889</v>
      </c>
      <c r="C185" s="7" t="n">
        <v>32417</v>
      </c>
      <c r="D185" s="7" t="s">
        <v>22</v>
      </c>
      <c r="E185" s="7" t="n">
        <v>25100</v>
      </c>
      <c r="F185" s="7" t="n">
        <v>15960</v>
      </c>
      <c r="G185" s="8" t="n">
        <v>9140</v>
      </c>
      <c r="H185" s="7" t="s">
        <v>11</v>
      </c>
      <c r="I185" s="7" t="s">
        <v>12</v>
      </c>
      <c r="J185" s="0" t="s">
        <v>13</v>
      </c>
    </row>
    <row r="186" customFormat="false" ht="18" hidden="false" customHeight="false" outlineLevel="0" collapsed="false">
      <c r="A186" s="5" t="n">
        <v>45258</v>
      </c>
      <c r="B186" s="6" t="n">
        <v>0.538194444444444</v>
      </c>
      <c r="C186" s="7" t="n">
        <v>32448</v>
      </c>
      <c r="D186" s="7" t="s">
        <v>20</v>
      </c>
      <c r="E186" s="7" t="n">
        <v>4000</v>
      </c>
      <c r="F186" s="7" t="n">
        <v>2860</v>
      </c>
      <c r="G186" s="8" t="n">
        <v>1140</v>
      </c>
      <c r="H186" s="7" t="s">
        <v>11</v>
      </c>
      <c r="I186" s="7" t="s">
        <v>17</v>
      </c>
      <c r="J186" s="0" t="s">
        <v>13</v>
      </c>
    </row>
    <row r="187" customFormat="false" ht="18" hidden="false" customHeight="false" outlineLevel="0" collapsed="false">
      <c r="A187" s="5" t="n">
        <v>45258</v>
      </c>
      <c r="B187" s="6" t="n">
        <v>0.291666666666667</v>
      </c>
      <c r="C187" s="7" t="n">
        <v>32427</v>
      </c>
      <c r="D187" s="7" t="s">
        <v>15</v>
      </c>
      <c r="E187" s="7" t="n">
        <v>3680</v>
      </c>
      <c r="F187" s="7" t="n">
        <v>2760</v>
      </c>
      <c r="G187" s="8" t="n">
        <v>920</v>
      </c>
      <c r="H187" s="7" t="s">
        <v>11</v>
      </c>
      <c r="I187" s="7" t="s">
        <v>17</v>
      </c>
      <c r="J187" s="0" t="s">
        <v>13</v>
      </c>
    </row>
    <row r="188" customFormat="false" ht="18" hidden="false" customHeight="false" outlineLevel="0" collapsed="false">
      <c r="A188" s="5" t="n">
        <v>45258</v>
      </c>
      <c r="B188" s="6" t="n">
        <v>0.428472222222222</v>
      </c>
      <c r="C188" s="7" t="n">
        <v>32440</v>
      </c>
      <c r="D188" s="7" t="s">
        <v>15</v>
      </c>
      <c r="E188" s="7" t="n">
        <v>3540</v>
      </c>
      <c r="F188" s="7" t="n">
        <v>2680</v>
      </c>
      <c r="G188" s="8" t="n">
        <v>860</v>
      </c>
      <c r="H188" s="7" t="s">
        <v>11</v>
      </c>
      <c r="I188" s="7" t="s">
        <v>12</v>
      </c>
      <c r="J188" s="0" t="s">
        <v>13</v>
      </c>
    </row>
    <row r="189" customFormat="false" ht="18" hidden="false" customHeight="false" outlineLevel="0" collapsed="false">
      <c r="A189" s="5" t="n">
        <v>45258</v>
      </c>
      <c r="B189" s="6" t="n">
        <v>0.539583333333333</v>
      </c>
      <c r="C189" s="7" t="n">
        <v>32447</v>
      </c>
      <c r="D189" s="7" t="s">
        <v>15</v>
      </c>
      <c r="E189" s="7" t="n">
        <v>3400</v>
      </c>
      <c r="F189" s="7" t="n">
        <v>2700</v>
      </c>
      <c r="G189" s="8" t="n">
        <v>700</v>
      </c>
      <c r="H189" s="7" t="s">
        <v>11</v>
      </c>
      <c r="I189" s="7" t="s">
        <v>17</v>
      </c>
      <c r="J189" s="0" t="s">
        <v>13</v>
      </c>
    </row>
    <row r="190" customFormat="false" ht="18" hidden="true" customHeight="false" outlineLevel="0" collapsed="false">
      <c r="A190" s="5" t="n">
        <v>45258</v>
      </c>
      <c r="B190" s="6" t="n">
        <v>0.513888888888889</v>
      </c>
      <c r="C190" s="7" t="n">
        <v>166269</v>
      </c>
      <c r="D190" s="7" t="s">
        <v>22</v>
      </c>
      <c r="E190" s="7" t="n">
        <v>17640</v>
      </c>
      <c r="F190" s="7" t="n">
        <v>15640</v>
      </c>
      <c r="G190" s="8" t="n">
        <v>2000</v>
      </c>
      <c r="H190" s="7" t="s">
        <v>11</v>
      </c>
      <c r="I190" s="7" t="s">
        <v>25</v>
      </c>
      <c r="J190" s="0" t="s">
        <v>13</v>
      </c>
    </row>
    <row r="191" customFormat="false" ht="18" hidden="false" customHeight="false" outlineLevel="0" collapsed="false">
      <c r="A191" s="5" t="n">
        <v>45259</v>
      </c>
      <c r="B191" s="6" t="n">
        <v>0.2125</v>
      </c>
      <c r="C191" s="7" t="n">
        <v>32466</v>
      </c>
      <c r="D191" s="7" t="s">
        <v>22</v>
      </c>
      <c r="E191" s="7" t="n">
        <v>23060</v>
      </c>
      <c r="F191" s="7" t="n">
        <v>15760</v>
      </c>
      <c r="G191" s="8" t="n">
        <v>7300</v>
      </c>
      <c r="H191" s="7" t="s">
        <v>11</v>
      </c>
      <c r="I191" s="7" t="s">
        <v>12</v>
      </c>
      <c r="J191" s="0" t="s">
        <v>13</v>
      </c>
    </row>
    <row r="192" customFormat="false" ht="18" hidden="false" customHeight="false" outlineLevel="0" collapsed="false">
      <c r="A192" s="5" t="n">
        <v>45259</v>
      </c>
      <c r="B192" s="6" t="n">
        <v>0.254166666666667</v>
      </c>
      <c r="C192" s="7" t="n">
        <v>32471</v>
      </c>
      <c r="D192" s="7" t="s">
        <v>21</v>
      </c>
      <c r="E192" s="7" t="n">
        <v>4260</v>
      </c>
      <c r="F192" s="7" t="n">
        <v>3780</v>
      </c>
      <c r="G192" s="8" t="n">
        <v>480</v>
      </c>
      <c r="H192" s="7" t="s">
        <v>11</v>
      </c>
      <c r="I192" s="7" t="s">
        <v>12</v>
      </c>
      <c r="J192" s="0" t="s">
        <v>13</v>
      </c>
    </row>
    <row r="193" customFormat="false" ht="18" hidden="false" customHeight="false" outlineLevel="0" collapsed="false">
      <c r="A193" s="5" t="n">
        <v>45259</v>
      </c>
      <c r="B193" s="6" t="n">
        <v>0.158333333333333</v>
      </c>
      <c r="C193" s="7" t="n">
        <v>32464</v>
      </c>
      <c r="D193" s="7" t="s">
        <v>10</v>
      </c>
      <c r="E193" s="7" t="n">
        <v>17500</v>
      </c>
      <c r="F193" s="7" t="n">
        <v>13100</v>
      </c>
      <c r="G193" s="8" t="n">
        <v>4400</v>
      </c>
      <c r="H193" s="7" t="s">
        <v>11</v>
      </c>
      <c r="I193" s="7" t="s">
        <v>12</v>
      </c>
      <c r="J193" s="0" t="s">
        <v>13</v>
      </c>
    </row>
    <row r="194" customFormat="false" ht="18" hidden="false" customHeight="false" outlineLevel="0" collapsed="false">
      <c r="A194" s="5" t="n">
        <v>45259</v>
      </c>
      <c r="B194" s="6" t="n">
        <v>0.545833333333333</v>
      </c>
      <c r="C194" s="7" t="n">
        <v>32497</v>
      </c>
      <c r="D194" s="7" t="s">
        <v>20</v>
      </c>
      <c r="E194" s="7" t="n">
        <v>3580</v>
      </c>
      <c r="F194" s="7" t="n">
        <v>2840</v>
      </c>
      <c r="G194" s="8" t="n">
        <v>740</v>
      </c>
      <c r="H194" s="7" t="s">
        <v>11</v>
      </c>
      <c r="I194" s="7" t="s">
        <v>17</v>
      </c>
      <c r="J194" s="0" t="s">
        <v>13</v>
      </c>
    </row>
    <row r="195" customFormat="false" ht="18" hidden="false" customHeight="false" outlineLevel="0" collapsed="false">
      <c r="A195" s="5" t="n">
        <v>45259</v>
      </c>
      <c r="B195" s="6" t="n">
        <v>0.435416666666667</v>
      </c>
      <c r="C195" s="7" t="n">
        <v>32484</v>
      </c>
      <c r="D195" s="7" t="s">
        <v>20</v>
      </c>
      <c r="E195" s="7" t="n">
        <v>3660</v>
      </c>
      <c r="F195" s="7" t="n">
        <v>2840</v>
      </c>
      <c r="G195" s="8" t="n">
        <v>820</v>
      </c>
      <c r="H195" s="7" t="s">
        <v>11</v>
      </c>
      <c r="I195" s="7" t="s">
        <v>17</v>
      </c>
      <c r="J195" s="0" t="s">
        <v>13</v>
      </c>
    </row>
    <row r="196" customFormat="false" ht="18" hidden="false" customHeight="false" outlineLevel="0" collapsed="false">
      <c r="A196" s="5" t="n">
        <v>45259</v>
      </c>
      <c r="B196" s="6" t="n">
        <v>0.545138888888889</v>
      </c>
      <c r="C196" s="7" t="n">
        <v>32496</v>
      </c>
      <c r="D196" s="7" t="s">
        <v>15</v>
      </c>
      <c r="E196" s="7" t="n">
        <v>3400</v>
      </c>
      <c r="F196" s="7" t="n">
        <v>2760</v>
      </c>
      <c r="G196" s="8" t="n">
        <v>640</v>
      </c>
      <c r="H196" s="7" t="s">
        <v>11</v>
      </c>
      <c r="I196" s="7" t="s">
        <v>17</v>
      </c>
      <c r="J196" s="0" t="s">
        <v>13</v>
      </c>
    </row>
    <row r="197" customFormat="false" ht="18" hidden="false" customHeight="false" outlineLevel="0" collapsed="false">
      <c r="A197" s="5" t="n">
        <v>45260</v>
      </c>
      <c r="B197" s="6" t="n">
        <v>0.254166666666667</v>
      </c>
      <c r="C197" s="7" t="n">
        <v>32523</v>
      </c>
      <c r="D197" s="7" t="s">
        <v>21</v>
      </c>
      <c r="E197" s="7" t="n">
        <v>4160</v>
      </c>
      <c r="F197" s="7" t="n">
        <v>3760</v>
      </c>
      <c r="G197" s="8" t="n">
        <v>400</v>
      </c>
      <c r="H197" s="7" t="s">
        <v>11</v>
      </c>
      <c r="I197" s="5" t="s">
        <v>12</v>
      </c>
      <c r="J197" s="0" t="s">
        <v>13</v>
      </c>
    </row>
    <row r="198" customFormat="false" ht="18" hidden="false" customHeight="false" outlineLevel="0" collapsed="false">
      <c r="A198" s="5" t="n">
        <v>45260</v>
      </c>
      <c r="B198" s="6" t="n">
        <v>0.222916666666667</v>
      </c>
      <c r="C198" s="7" t="n">
        <v>32520</v>
      </c>
      <c r="D198" s="7" t="s">
        <v>22</v>
      </c>
      <c r="E198" s="7" t="n">
        <v>23860</v>
      </c>
      <c r="F198" s="7" t="n">
        <v>15680</v>
      </c>
      <c r="G198" s="8" t="n">
        <v>8180</v>
      </c>
      <c r="H198" s="7" t="s">
        <v>11</v>
      </c>
      <c r="I198" s="7" t="s">
        <v>12</v>
      </c>
      <c r="J198" s="0" t="s">
        <v>13</v>
      </c>
    </row>
    <row r="199" customFormat="false" ht="18" hidden="false" customHeight="false" outlineLevel="0" collapsed="false">
      <c r="A199" s="5" t="n">
        <v>45260</v>
      </c>
      <c r="B199" s="6" t="n">
        <v>0.151388888888889</v>
      </c>
      <c r="C199" s="7" t="n">
        <v>32514</v>
      </c>
      <c r="D199" s="7" t="s">
        <v>10</v>
      </c>
      <c r="E199" s="7" t="n">
        <v>17440</v>
      </c>
      <c r="F199" s="7" t="n">
        <v>13040</v>
      </c>
      <c r="G199" s="8" t="n">
        <v>4400</v>
      </c>
      <c r="H199" s="7" t="s">
        <v>11</v>
      </c>
      <c r="I199" s="7" t="s">
        <v>12</v>
      </c>
      <c r="J199" s="0" t="s">
        <v>13</v>
      </c>
    </row>
    <row r="200" customFormat="false" ht="18" hidden="false" customHeight="false" outlineLevel="0" collapsed="false">
      <c r="A200" s="5" t="n">
        <v>45260</v>
      </c>
      <c r="B200" s="6" t="n">
        <v>0.520833333333333</v>
      </c>
      <c r="C200" s="7" t="n">
        <v>32550</v>
      </c>
      <c r="D200" s="7" t="s">
        <v>18</v>
      </c>
      <c r="E200" s="7" t="n">
        <v>6480</v>
      </c>
      <c r="F200" s="7" t="n">
        <v>5520</v>
      </c>
      <c r="G200" s="8" t="n">
        <v>960</v>
      </c>
      <c r="H200" s="7" t="s">
        <v>11</v>
      </c>
      <c r="I200" s="7" t="s">
        <v>19</v>
      </c>
      <c r="J200" s="0" t="s">
        <v>13</v>
      </c>
    </row>
    <row r="201" customFormat="false" ht="18" hidden="false" customHeight="false" outlineLevel="0" collapsed="false">
      <c r="A201" s="5" t="n">
        <v>45260</v>
      </c>
      <c r="B201" s="6" t="n">
        <v>0.452777777777778</v>
      </c>
      <c r="C201" s="7" t="n">
        <v>32545</v>
      </c>
      <c r="D201" s="7" t="s">
        <v>20</v>
      </c>
      <c r="E201" s="7" t="n">
        <v>3680</v>
      </c>
      <c r="F201" s="7" t="n">
        <v>2880</v>
      </c>
      <c r="G201" s="8" t="n">
        <v>800</v>
      </c>
      <c r="H201" s="7" t="s">
        <v>11</v>
      </c>
      <c r="I201" s="7" t="s">
        <v>17</v>
      </c>
      <c r="J201" s="0" t="s">
        <v>13</v>
      </c>
    </row>
    <row r="202" customFormat="false" ht="18" hidden="false" customHeight="false" outlineLevel="0" collapsed="false">
      <c r="A202" s="5" t="n">
        <v>45260</v>
      </c>
      <c r="B202" s="6" t="n">
        <v>0.534027777777778</v>
      </c>
      <c r="C202" s="7" t="n">
        <v>32552</v>
      </c>
      <c r="D202" s="7" t="s">
        <v>20</v>
      </c>
      <c r="E202" s="7" t="n">
        <v>4140</v>
      </c>
      <c r="F202" s="7" t="n">
        <v>2880</v>
      </c>
      <c r="G202" s="8" t="n">
        <v>1260</v>
      </c>
      <c r="H202" s="7" t="s">
        <v>11</v>
      </c>
      <c r="I202" s="7" t="s">
        <v>17</v>
      </c>
      <c r="J202" s="0" t="s">
        <v>13</v>
      </c>
    </row>
    <row r="203" customFormat="false" ht="18" hidden="false" customHeight="false" outlineLevel="0" collapsed="false">
      <c r="A203" s="5" t="n">
        <v>45259</v>
      </c>
      <c r="B203" s="6" t="n">
        <v>0.457638888888889</v>
      </c>
      <c r="C203" s="7" t="n">
        <v>32486</v>
      </c>
      <c r="D203" s="7" t="s">
        <v>18</v>
      </c>
      <c r="E203" s="7" t="n">
        <v>6580</v>
      </c>
      <c r="F203" s="7" t="n">
        <v>5560</v>
      </c>
      <c r="G203" s="8" t="n">
        <v>1020</v>
      </c>
      <c r="H203" s="7" t="s">
        <v>11</v>
      </c>
      <c r="I203" s="7" t="s">
        <v>19</v>
      </c>
      <c r="J203" s="0" t="s">
        <v>13</v>
      </c>
    </row>
    <row r="204" customFormat="false" ht="18" hidden="false" customHeight="false" outlineLevel="0" collapsed="false">
      <c r="A204" s="5" t="n">
        <v>45259</v>
      </c>
      <c r="B204" s="6" t="n">
        <v>0.515277777777778</v>
      </c>
      <c r="C204" s="7" t="n">
        <v>32493</v>
      </c>
      <c r="D204" s="7" t="s">
        <v>18</v>
      </c>
      <c r="E204" s="7" t="n">
        <v>6020</v>
      </c>
      <c r="F204" s="7" t="n">
        <v>5540</v>
      </c>
      <c r="G204" s="8" t="n">
        <v>480</v>
      </c>
      <c r="H204" s="7" t="s">
        <v>11</v>
      </c>
      <c r="I204" s="7" t="s">
        <v>19</v>
      </c>
      <c r="J204" s="0" t="s">
        <v>13</v>
      </c>
    </row>
  </sheetData>
  <autoFilter ref="A1:J204">
    <filterColumn colId="8">
      <filters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5" activeCellId="0" sqref="B5"/>
    </sheetView>
  </sheetViews>
  <sheetFormatPr defaultColWidth="10.4921875" defaultRowHeight="12.8" zeroHeight="false" outlineLevelRow="0" outlineLevelCol="0"/>
  <cols>
    <col collapsed="false" customWidth="true" hidden="false" outlineLevel="0" max="6" min="6" style="0" width="7.89"/>
    <col collapsed="false" customWidth="true" hidden="false" outlineLevel="0" max="7" min="7" style="0" width="15.95"/>
  </cols>
  <sheetData>
    <row r="1" customFormat="false" ht="12.8" hidden="false" customHeight="false" outlineLevel="0" collapsed="false">
      <c r="A1" s="10" t="s">
        <v>0</v>
      </c>
      <c r="B1" s="11" t="s">
        <v>27</v>
      </c>
    </row>
    <row r="3" customFormat="false" ht="12.8" hidden="false" customHeight="false" outlineLevel="0" collapsed="false">
      <c r="A3" s="12" t="s">
        <v>28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3</v>
      </c>
      <c r="B4" s="17" t="s">
        <v>17</v>
      </c>
      <c r="C4" s="18" t="s">
        <v>12</v>
      </c>
      <c r="D4" s="18" t="s">
        <v>23</v>
      </c>
      <c r="E4" s="18" t="s">
        <v>25</v>
      </c>
      <c r="F4" s="18" t="s">
        <v>19</v>
      </c>
      <c r="G4" s="19" t="s">
        <v>29</v>
      </c>
    </row>
    <row r="5" customFormat="false" ht="12.8" hidden="false" customHeight="false" outlineLevel="0" collapsed="false">
      <c r="A5" s="20" t="s">
        <v>26</v>
      </c>
      <c r="B5" s="21"/>
      <c r="C5" s="22"/>
      <c r="D5" s="22"/>
      <c r="E5" s="23" t="n">
        <v>860</v>
      </c>
      <c r="F5" s="24" t="n">
        <v>3340</v>
      </c>
      <c r="G5" s="25" t="n">
        <v>4200</v>
      </c>
    </row>
    <row r="6" customFormat="false" ht="12.8" hidden="false" customHeight="false" outlineLevel="0" collapsed="false">
      <c r="A6" s="26" t="s">
        <v>15</v>
      </c>
      <c r="B6" s="27" t="n">
        <v>14860</v>
      </c>
      <c r="C6" s="28" t="n">
        <v>5020</v>
      </c>
      <c r="D6" s="29"/>
      <c r="E6" s="29"/>
      <c r="F6" s="30"/>
      <c r="G6" s="31" t="n">
        <v>19880</v>
      </c>
    </row>
    <row r="7" customFormat="false" ht="12.8" hidden="false" customHeight="false" outlineLevel="0" collapsed="false">
      <c r="A7" s="26" t="s">
        <v>22</v>
      </c>
      <c r="B7" s="32"/>
      <c r="C7" s="28" t="n">
        <v>163600</v>
      </c>
      <c r="D7" s="28" t="n">
        <v>5420</v>
      </c>
      <c r="E7" s="28" t="n">
        <v>5640</v>
      </c>
      <c r="F7" s="30"/>
      <c r="G7" s="31" t="n">
        <v>174660</v>
      </c>
    </row>
    <row r="8" customFormat="false" ht="12.8" hidden="false" customHeight="false" outlineLevel="0" collapsed="false">
      <c r="A8" s="26" t="s">
        <v>14</v>
      </c>
      <c r="B8" s="32"/>
      <c r="C8" s="28" t="n">
        <v>107860</v>
      </c>
      <c r="D8" s="28" t="n">
        <v>1040</v>
      </c>
      <c r="E8" s="28" t="n">
        <v>2220</v>
      </c>
      <c r="F8" s="30"/>
      <c r="G8" s="31" t="n">
        <v>111120</v>
      </c>
    </row>
    <row r="9" customFormat="false" ht="12.8" hidden="false" customHeight="false" outlineLevel="0" collapsed="false">
      <c r="A9" s="26" t="s">
        <v>16</v>
      </c>
      <c r="B9" s="32"/>
      <c r="C9" s="28" t="n">
        <v>4460</v>
      </c>
      <c r="D9" s="29"/>
      <c r="E9" s="29"/>
      <c r="F9" s="30"/>
      <c r="G9" s="31" t="n">
        <v>4460</v>
      </c>
    </row>
    <row r="10" customFormat="false" ht="12.8" hidden="false" customHeight="false" outlineLevel="0" collapsed="false">
      <c r="A10" s="26" t="s">
        <v>20</v>
      </c>
      <c r="B10" s="27" t="n">
        <v>19560</v>
      </c>
      <c r="C10" s="28" t="n">
        <v>2060</v>
      </c>
      <c r="D10" s="29"/>
      <c r="E10" s="29"/>
      <c r="F10" s="33" t="n">
        <v>660</v>
      </c>
      <c r="G10" s="31" t="n">
        <v>22280</v>
      </c>
    </row>
    <row r="11" customFormat="false" ht="12.8" hidden="false" customHeight="false" outlineLevel="0" collapsed="false">
      <c r="A11" s="26" t="s">
        <v>24</v>
      </c>
      <c r="B11" s="32"/>
      <c r="C11" s="28" t="n">
        <v>15780</v>
      </c>
      <c r="D11" s="29"/>
      <c r="E11" s="29"/>
      <c r="F11" s="30"/>
      <c r="G11" s="31" t="n">
        <v>15780</v>
      </c>
    </row>
    <row r="12" customFormat="false" ht="12.8" hidden="false" customHeight="false" outlineLevel="0" collapsed="false">
      <c r="A12" s="26" t="s">
        <v>10</v>
      </c>
      <c r="B12" s="32"/>
      <c r="C12" s="28" t="n">
        <v>135360</v>
      </c>
      <c r="D12" s="29"/>
      <c r="E12" s="29"/>
      <c r="F12" s="33" t="n">
        <v>1420</v>
      </c>
      <c r="G12" s="31" t="n">
        <v>136780</v>
      </c>
    </row>
    <row r="13" customFormat="false" ht="12.8" hidden="false" customHeight="false" outlineLevel="0" collapsed="false">
      <c r="A13" s="26" t="s">
        <v>21</v>
      </c>
      <c r="B13" s="32"/>
      <c r="C13" s="28" t="n">
        <v>12960</v>
      </c>
      <c r="D13" s="29"/>
      <c r="E13" s="29"/>
      <c r="F13" s="30"/>
      <c r="G13" s="31" t="n">
        <v>12960</v>
      </c>
    </row>
    <row r="14" customFormat="false" ht="12.8" hidden="false" customHeight="false" outlineLevel="0" collapsed="false">
      <c r="A14" s="26" t="s">
        <v>18</v>
      </c>
      <c r="B14" s="34" t="n">
        <v>240</v>
      </c>
      <c r="C14" s="35"/>
      <c r="D14" s="35"/>
      <c r="E14" s="35"/>
      <c r="F14" s="36" t="n">
        <v>21600</v>
      </c>
      <c r="G14" s="37" t="n">
        <v>21840</v>
      </c>
    </row>
    <row r="15" customFormat="false" ht="12.8" hidden="false" customHeight="false" outlineLevel="0" collapsed="false">
      <c r="A15" s="38" t="s">
        <v>29</v>
      </c>
      <c r="B15" s="39" t="n">
        <v>34660</v>
      </c>
      <c r="C15" s="40" t="n">
        <v>447100</v>
      </c>
      <c r="D15" s="40" t="n">
        <v>6460</v>
      </c>
      <c r="E15" s="40" t="n">
        <v>8720</v>
      </c>
      <c r="F15" s="41" t="n">
        <v>27020</v>
      </c>
      <c r="G15" s="42" t="n">
        <v>523960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9" activeCellId="0" sqref="D19"/>
    </sheetView>
  </sheetViews>
  <sheetFormatPr defaultColWidth="10.4921875" defaultRowHeight="14" zeroHeight="false" outlineLevelRow="0" outlineLevelCol="0"/>
  <cols>
    <col collapsed="false" customWidth="true" hidden="false" outlineLevel="0" max="1" min="1" style="43" width="15.1"/>
    <col collapsed="false" customWidth="true" hidden="false" outlineLevel="0" max="2" min="2" style="44" width="17.71"/>
    <col collapsed="false" customWidth="true" hidden="false" outlineLevel="0" max="3" min="3" style="44" width="10.71"/>
    <col collapsed="false" customWidth="true" hidden="false" outlineLevel="0" max="4" min="4" style="43" width="13.46"/>
    <col collapsed="false" customWidth="true" hidden="false" outlineLevel="0" max="6" min="5" style="44" width="11.26"/>
    <col collapsed="false" customWidth="true" hidden="false" outlineLevel="0" max="7" min="7" style="44" width="13.46"/>
    <col collapsed="false" customWidth="true" hidden="false" outlineLevel="0" max="8" min="8" style="44" width="14.53"/>
    <col collapsed="false" customWidth="true" hidden="false" outlineLevel="0" max="9" min="9" style="44" width="15.85"/>
    <col collapsed="false" customWidth="true" hidden="false" outlineLevel="0" max="11" min="10" style="44" width="7.72"/>
    <col collapsed="false" customWidth="true" hidden="false" outlineLevel="0" max="12" min="12" style="44" width="8.17"/>
    <col collapsed="false" customWidth="true" hidden="false" outlineLevel="0" max="13" min="13" style="44" width="12.79"/>
    <col collapsed="false" customWidth="true" hidden="false" outlineLevel="0" max="14" min="14" style="44" width="7.08"/>
    <col collapsed="false" customWidth="true" hidden="false" outlineLevel="0" max="1024" min="15" style="0" width="7.72"/>
  </cols>
  <sheetData>
    <row r="1" customFormat="false" ht="13.8" hidden="false" customHeight="false" outlineLevel="0" collapsed="false">
      <c r="A1" s="43" t="n">
        <v>1</v>
      </c>
      <c r="B1" s="43" t="n">
        <v>2</v>
      </c>
      <c r="C1" s="43" t="n">
        <v>3</v>
      </c>
      <c r="D1" s="43" t="n">
        <v>4</v>
      </c>
      <c r="E1" s="43" t="n">
        <v>5</v>
      </c>
      <c r="F1" s="43" t="n">
        <v>6</v>
      </c>
      <c r="G1" s="43" t="n">
        <v>7</v>
      </c>
    </row>
    <row r="2" customFormat="false" ht="13.8" hidden="false" customHeight="false" outlineLevel="0" collapsed="false">
      <c r="A2" s="45" t="s">
        <v>3</v>
      </c>
      <c r="B2" s="46" t="s">
        <v>30</v>
      </c>
      <c r="C2" s="47" t="s">
        <v>17</v>
      </c>
      <c r="D2" s="47" t="s">
        <v>12</v>
      </c>
      <c r="E2" s="47" t="s">
        <v>23</v>
      </c>
      <c r="F2" s="47" t="s">
        <v>25</v>
      </c>
      <c r="G2" s="47" t="s">
        <v>31</v>
      </c>
      <c r="H2" s="48" t="s">
        <v>29</v>
      </c>
    </row>
    <row r="3" customFormat="false" ht="13.8" hidden="false" customHeight="false" outlineLevel="0" collapsed="false">
      <c r="A3" s="49" t="s">
        <v>26</v>
      </c>
      <c r="B3" s="50"/>
      <c r="C3" s="51"/>
      <c r="D3" s="51"/>
      <c r="E3" s="51"/>
      <c r="F3" s="51" t="n">
        <v>860</v>
      </c>
      <c r="G3" s="52" t="n">
        <v>3340</v>
      </c>
      <c r="H3" s="53" t="n">
        <f aca="false">SUM(B3:G3)</f>
        <v>4200</v>
      </c>
    </row>
    <row r="4" customFormat="false" ht="13.8" hidden="false" customHeight="false" outlineLevel="0" collapsed="false">
      <c r="A4" s="54" t="s">
        <v>15</v>
      </c>
      <c r="B4" s="55"/>
      <c r="C4" s="56" t="n">
        <v>14860</v>
      </c>
      <c r="D4" s="56" t="n">
        <v>5020</v>
      </c>
      <c r="E4" s="56"/>
      <c r="F4" s="56"/>
      <c r="G4" s="57"/>
      <c r="H4" s="53" t="n">
        <f aca="false">SUM(B4:G4)</f>
        <v>19880</v>
      </c>
    </row>
    <row r="5" customFormat="false" ht="13.8" hidden="false" customHeight="false" outlineLevel="0" collapsed="false">
      <c r="A5" s="54" t="s">
        <v>22</v>
      </c>
      <c r="B5" s="55"/>
      <c r="C5" s="56"/>
      <c r="D5" s="56" t="n">
        <v>163600</v>
      </c>
      <c r="E5" s="56" t="n">
        <v>5420</v>
      </c>
      <c r="F5" s="56" t="n">
        <v>5640</v>
      </c>
      <c r="G5" s="57"/>
      <c r="H5" s="53" t="n">
        <f aca="false">SUM(B5:G5)</f>
        <v>174660</v>
      </c>
    </row>
    <row r="6" customFormat="false" ht="13.8" hidden="false" customHeight="false" outlineLevel="0" collapsed="false">
      <c r="A6" s="54" t="s">
        <v>14</v>
      </c>
      <c r="B6" s="55"/>
      <c r="C6" s="56"/>
      <c r="D6" s="56" t="n">
        <v>107860</v>
      </c>
      <c r="E6" s="56" t="n">
        <v>1040</v>
      </c>
      <c r="F6" s="56" t="n">
        <v>2220</v>
      </c>
      <c r="G6" s="57"/>
      <c r="H6" s="53" t="n">
        <f aca="false">SUM(B6:G6)</f>
        <v>111120</v>
      </c>
    </row>
    <row r="7" customFormat="false" ht="13.8" hidden="false" customHeight="false" outlineLevel="0" collapsed="false">
      <c r="A7" s="54" t="s">
        <v>16</v>
      </c>
      <c r="B7" s="55"/>
      <c r="C7" s="56"/>
      <c r="D7" s="56" t="n">
        <v>4460</v>
      </c>
      <c r="E7" s="56"/>
      <c r="F7" s="56"/>
      <c r="G7" s="57"/>
      <c r="H7" s="53" t="n">
        <f aca="false">SUM(B7:G7)</f>
        <v>4460</v>
      </c>
    </row>
    <row r="8" customFormat="false" ht="13.8" hidden="false" customHeight="false" outlineLevel="0" collapsed="false">
      <c r="A8" s="54" t="s">
        <v>20</v>
      </c>
      <c r="B8" s="55"/>
      <c r="C8" s="56" t="n">
        <v>19560</v>
      </c>
      <c r="D8" s="56" t="n">
        <v>2060</v>
      </c>
      <c r="E8" s="56"/>
      <c r="F8" s="56"/>
      <c r="G8" s="57" t="n">
        <v>660</v>
      </c>
      <c r="H8" s="53" t="n">
        <f aca="false">SUM(B8:G8)</f>
        <v>22280</v>
      </c>
    </row>
    <row r="9" customFormat="false" ht="13.8" hidden="false" customHeight="false" outlineLevel="0" collapsed="false">
      <c r="A9" s="54" t="s">
        <v>24</v>
      </c>
      <c r="B9" s="55"/>
      <c r="C9" s="56"/>
      <c r="D9" s="56" t="n">
        <v>15780</v>
      </c>
      <c r="E9" s="56"/>
      <c r="F9" s="56"/>
      <c r="G9" s="57"/>
      <c r="H9" s="53" t="n">
        <f aca="false">SUM(B9:G9)</f>
        <v>15780</v>
      </c>
    </row>
    <row r="10" customFormat="false" ht="13.8" hidden="false" customHeight="false" outlineLevel="0" collapsed="false">
      <c r="A10" s="54" t="s">
        <v>10</v>
      </c>
      <c r="B10" s="55"/>
      <c r="C10" s="56"/>
      <c r="D10" s="56" t="n">
        <v>135360</v>
      </c>
      <c r="E10" s="56"/>
      <c r="F10" s="56"/>
      <c r="G10" s="57" t="n">
        <v>1420</v>
      </c>
      <c r="H10" s="53" t="n">
        <f aca="false">SUM(B10:G10)</f>
        <v>136780</v>
      </c>
    </row>
    <row r="11" customFormat="false" ht="13.8" hidden="false" customHeight="false" outlineLevel="0" collapsed="false">
      <c r="A11" s="54" t="s">
        <v>21</v>
      </c>
      <c r="B11" s="55"/>
      <c r="C11" s="56"/>
      <c r="D11" s="56" t="n">
        <v>12960</v>
      </c>
      <c r="E11" s="56"/>
      <c r="F11" s="56"/>
      <c r="G11" s="57"/>
      <c r="H11" s="53" t="n">
        <f aca="false">SUM(B11:G11)</f>
        <v>12960</v>
      </c>
    </row>
    <row r="12" customFormat="false" ht="13.8" hidden="false" customHeight="false" outlineLevel="0" collapsed="false">
      <c r="A12" s="54" t="s">
        <v>18</v>
      </c>
      <c r="B12" s="55"/>
      <c r="C12" s="56" t="n">
        <v>240</v>
      </c>
      <c r="D12" s="56"/>
      <c r="E12" s="56"/>
      <c r="F12" s="56"/>
      <c r="G12" s="57" t="n">
        <v>21600</v>
      </c>
      <c r="H12" s="53" t="n">
        <f aca="false">SUM(B12:G12)</f>
        <v>21840</v>
      </c>
    </row>
    <row r="13" customFormat="false" ht="13.8" hidden="false" customHeight="false" outlineLevel="0" collapsed="false">
      <c r="A13" s="54"/>
      <c r="B13" s="58"/>
      <c r="C13" s="59"/>
      <c r="D13" s="59"/>
      <c r="E13" s="59"/>
      <c r="F13" s="59"/>
      <c r="G13" s="60"/>
      <c r="H13" s="53" t="n">
        <f aca="false">SUM(B13:G13)</f>
        <v>0</v>
      </c>
      <c r="I13" s="44" t="s">
        <v>32</v>
      </c>
    </row>
    <row r="14" customFormat="false" ht="13.8" hidden="false" customHeight="false" outlineLevel="0" collapsed="false">
      <c r="A14" s="44"/>
      <c r="B14" s="61"/>
      <c r="C14" s="61"/>
      <c r="D14" s="61"/>
      <c r="E14" s="61"/>
      <c r="F14" s="61"/>
      <c r="G14" s="61"/>
      <c r="H14" s="53" t="n">
        <f aca="false">SUM(B14:G14)</f>
        <v>0</v>
      </c>
    </row>
    <row r="15" customFormat="false" ht="13.8" hidden="false" customHeight="false" outlineLevel="0" collapsed="false">
      <c r="A15" s="48" t="s">
        <v>29</v>
      </c>
      <c r="B15" s="62" t="n">
        <f aca="false">SUM(B3:B14)</f>
        <v>0</v>
      </c>
      <c r="C15" s="62" t="n">
        <f aca="false">SUM(C3:C14)</f>
        <v>34660</v>
      </c>
      <c r="D15" s="62" t="n">
        <f aca="false">SUM(D3:D14)</f>
        <v>447100</v>
      </c>
      <c r="E15" s="62" t="n">
        <f aca="false">SUM(E3:E14)</f>
        <v>6460</v>
      </c>
      <c r="F15" s="62" t="n">
        <f aca="false">SUM(F3:F14)</f>
        <v>8720</v>
      </c>
      <c r="G15" s="62" t="n">
        <f aca="false">SUM(G3:G14)</f>
        <v>27020</v>
      </c>
      <c r="H15" s="63" t="n">
        <f aca="false">SUM(B15:G15)</f>
        <v>523960</v>
      </c>
    </row>
    <row r="16" customFormat="false" ht="13.8" hidden="false" customHeight="false" outlineLevel="0" collapsed="false">
      <c r="A16" s="64" t="s">
        <v>33</v>
      </c>
      <c r="B16" s="65" t="n">
        <f aca="false">+E81</f>
        <v>0</v>
      </c>
      <c r="C16" s="65" t="n">
        <f aca="false">+E75</f>
        <v>34660</v>
      </c>
      <c r="D16" s="65" t="n">
        <f aca="false">+F36</f>
        <v>447100</v>
      </c>
      <c r="E16" s="65" t="n">
        <f aca="false">+E66</f>
        <v>6460</v>
      </c>
      <c r="F16" s="65" t="n">
        <f aca="false">+E58</f>
        <v>8720</v>
      </c>
      <c r="G16" s="65" t="n">
        <f aca="false">+F48</f>
        <v>27020</v>
      </c>
      <c r="H16" s="66" t="n">
        <f aca="false">SUM(B16:G16)</f>
        <v>523960</v>
      </c>
    </row>
    <row r="17" customFormat="false" ht="13.8" hidden="false" customHeight="false" outlineLevel="0" collapsed="false">
      <c r="C17" s="67"/>
      <c r="D17" s="67"/>
      <c r="E17" s="67"/>
      <c r="F17" s="67"/>
      <c r="G17" s="67"/>
      <c r="H17" s="67"/>
    </row>
    <row r="18" customFormat="false" ht="13.8" hidden="false" customHeight="false" outlineLevel="0" collapsed="false">
      <c r="C18" s="67"/>
      <c r="D18" s="67" t="s">
        <v>34</v>
      </c>
      <c r="E18" s="67" t="s">
        <v>35</v>
      </c>
      <c r="F18" s="67" t="s">
        <v>36</v>
      </c>
      <c r="G18" s="67"/>
      <c r="H18" s="67"/>
    </row>
    <row r="19" customFormat="false" ht="13.8" hidden="false" customHeight="false" outlineLevel="0" collapsed="false">
      <c r="A19" s="68" t="s">
        <v>37</v>
      </c>
      <c r="B19" s="68"/>
      <c r="C19" s="68"/>
      <c r="D19" s="69" t="n">
        <f aca="false">+F36+F48+E58+E66+E75+E81</f>
        <v>523960</v>
      </c>
      <c r="E19" s="70" t="n">
        <f aca="false">+G36+G48+F58+F66+F75+F81</f>
        <v>523960</v>
      </c>
      <c r="F19" s="69" t="n">
        <f aca="false">+E19-D19</f>
        <v>0</v>
      </c>
      <c r="G19" s="67"/>
      <c r="H19" s="67"/>
    </row>
    <row r="20" customFormat="false" ht="13.8" hidden="false" customHeight="false" outlineLevel="0" collapsed="false">
      <c r="C20" s="67"/>
      <c r="D20" s="67"/>
      <c r="E20" s="67"/>
      <c r="F20" s="67"/>
      <c r="G20" s="67"/>
      <c r="H20" s="67"/>
    </row>
    <row r="21" customFormat="false" ht="13.8" hidden="false" customHeight="false" outlineLevel="0" collapsed="false">
      <c r="A21" s="44"/>
      <c r="D21" s="44"/>
    </row>
    <row r="22" customFormat="false" ht="13.8" hidden="false" customHeight="false" outlineLevel="0" collapsed="false">
      <c r="A22" s="67" t="s">
        <v>12</v>
      </c>
      <c r="B22" s="67"/>
      <c r="C22" s="67"/>
      <c r="D22" s="67"/>
      <c r="E22" s="67"/>
      <c r="F22" s="67"/>
      <c r="G22" s="67"/>
      <c r="H22" s="67"/>
    </row>
    <row r="23" customFormat="false" ht="13.8" hidden="false" customHeight="false" outlineLevel="0" collapsed="false">
      <c r="A23" s="43" t="s">
        <v>38</v>
      </c>
      <c r="B23" s="44" t="s">
        <v>39</v>
      </c>
      <c r="C23" s="71" t="s">
        <v>40</v>
      </c>
      <c r="D23" s="72" t="s">
        <v>41</v>
      </c>
      <c r="E23" s="71" t="s">
        <v>42</v>
      </c>
      <c r="F23" s="73" t="s">
        <v>43</v>
      </c>
      <c r="G23" s="71" t="s">
        <v>35</v>
      </c>
      <c r="H23" s="71"/>
    </row>
    <row r="24" customFormat="false" ht="13.8" hidden="false" customHeight="false" outlineLevel="0" collapsed="false">
      <c r="A24" s="74" t="n">
        <v>109</v>
      </c>
      <c r="B24" s="75" t="s">
        <v>44</v>
      </c>
      <c r="C24" s="76" t="s">
        <v>26</v>
      </c>
      <c r="D24" s="77"/>
      <c r="E24" s="76"/>
      <c r="F24" s="78"/>
      <c r="G24" s="79" t="n">
        <f aca="false">IFERROR(INDEX($B$3:$G$14,MATCH(C24,$A$3:$A$14,0),MATCH($A$22,$B$2:$G$2,0)),0)</f>
        <v>0</v>
      </c>
      <c r="H24" s="80" t="str">
        <f aca="false">IF(G24=F24,"Bien",G24-F24)</f>
        <v>Bien</v>
      </c>
    </row>
    <row r="25" customFormat="false" ht="13.8" hidden="false" customHeight="false" outlineLevel="0" collapsed="false">
      <c r="A25" s="81" t="n">
        <v>333</v>
      </c>
      <c r="B25" s="82" t="s">
        <v>45</v>
      </c>
      <c r="C25" s="83" t="s">
        <v>15</v>
      </c>
      <c r="D25" s="84" t="s">
        <v>46</v>
      </c>
      <c r="E25" s="71" t="s">
        <v>47</v>
      </c>
      <c r="F25" s="73" t="n">
        <v>5020</v>
      </c>
      <c r="G25" s="85" t="n">
        <f aca="false">IFERROR(INDEX($B$3:$G$14,MATCH(C25,$A$3:$A$14,0),MATCH($A$22,$B$2:$G$2,0)),0)</f>
        <v>5020</v>
      </c>
      <c r="H25" s="86" t="str">
        <f aca="false">IF(G25=F25,"Bien",G25-F25)</f>
        <v>Bien</v>
      </c>
    </row>
    <row r="26" customFormat="false" ht="14.9" hidden="false" customHeight="false" outlineLevel="0" collapsed="false">
      <c r="A26" s="87" t="n">
        <v>320</v>
      </c>
      <c r="B26" s="88" t="s">
        <v>48</v>
      </c>
      <c r="C26" s="71" t="s">
        <v>22</v>
      </c>
      <c r="D26" s="84" t="s">
        <v>46</v>
      </c>
      <c r="E26" s="71" t="s">
        <v>49</v>
      </c>
      <c r="F26" s="73" t="n">
        <v>163600</v>
      </c>
      <c r="G26" s="85" t="n">
        <f aca="false">IFERROR(INDEX($B$3:$G$14,MATCH(C26,$A$3:$A$14,0),MATCH($A$22,$B$2:$G$2,0)),0)</f>
        <v>163600</v>
      </c>
      <c r="H26" s="86" t="str">
        <f aca="false">IF(G26=F26,"Bien",G26-F26)</f>
        <v>Bien</v>
      </c>
    </row>
    <row r="27" customFormat="false" ht="14.9" hidden="false" customHeight="false" outlineLevel="0" collapsed="false">
      <c r="A27" s="87" t="n">
        <v>321</v>
      </c>
      <c r="B27" s="88" t="s">
        <v>50</v>
      </c>
      <c r="C27" s="71" t="s">
        <v>14</v>
      </c>
      <c r="D27" s="84" t="s">
        <v>46</v>
      </c>
      <c r="E27" s="71" t="s">
        <v>49</v>
      </c>
      <c r="F27" s="73" t="n">
        <v>107860</v>
      </c>
      <c r="G27" s="85" t="n">
        <f aca="false">IFERROR(INDEX($B$3:$G$14,MATCH(C27,$A$3:$A$14,0),MATCH($A$22,$B$2:$G$2,0)),0)</f>
        <v>107860</v>
      </c>
      <c r="H27" s="86" t="str">
        <f aca="false">IF(G27=F27,"Bien",G27-F27)</f>
        <v>Bien</v>
      </c>
    </row>
    <row r="28" customFormat="false" ht="13.8" hidden="false" customHeight="false" outlineLevel="0" collapsed="false">
      <c r="A28" s="81" t="n">
        <v>316</v>
      </c>
      <c r="B28" s="44" t="s">
        <v>51</v>
      </c>
      <c r="C28" s="71" t="s">
        <v>16</v>
      </c>
      <c r="D28" s="84" t="s">
        <v>46</v>
      </c>
      <c r="E28" s="71" t="s">
        <v>49</v>
      </c>
      <c r="F28" s="73" t="n">
        <v>4460</v>
      </c>
      <c r="G28" s="85" t="n">
        <f aca="false">IFERROR(INDEX($B$3:$G$14,MATCH(C28,$A$3:$A$14,0),MATCH($A$22,$B$2:$G$2,0)),0)</f>
        <v>4460</v>
      </c>
      <c r="H28" s="86" t="str">
        <f aca="false">IF(G28=F28,"Bien",G28-F28)</f>
        <v>Bien</v>
      </c>
    </row>
    <row r="29" customFormat="false" ht="14.9" hidden="false" customHeight="false" outlineLevel="0" collapsed="false">
      <c r="A29" s="87" t="n">
        <v>196</v>
      </c>
      <c r="B29" s="88" t="s">
        <v>52</v>
      </c>
      <c r="C29" s="71" t="s">
        <v>53</v>
      </c>
      <c r="D29" s="84"/>
      <c r="E29" s="71"/>
      <c r="F29" s="73"/>
      <c r="G29" s="85" t="n">
        <f aca="false">IFERROR(INDEX($B$3:$G$14,MATCH(C29,$A$3:$A$14,0),MATCH($A$22,$B$2:$G$2,0)),0)</f>
        <v>0</v>
      </c>
      <c r="H29" s="86" t="str">
        <f aca="false">IF(G29=F29,"Bien",G29-F29)</f>
        <v>Bien</v>
      </c>
      <c r="I29" s="44" t="s">
        <v>54</v>
      </c>
    </row>
    <row r="30" customFormat="false" ht="13.8" hidden="false" customHeight="false" outlineLevel="0" collapsed="false">
      <c r="A30" s="81" t="n">
        <v>309</v>
      </c>
      <c r="B30" s="44" t="s">
        <v>55</v>
      </c>
      <c r="C30" s="71" t="s">
        <v>20</v>
      </c>
      <c r="D30" s="84" t="s">
        <v>46</v>
      </c>
      <c r="E30" s="71" t="s">
        <v>49</v>
      </c>
      <c r="F30" s="73" t="n">
        <v>2060</v>
      </c>
      <c r="G30" s="85" t="n">
        <f aca="false">IFERROR(INDEX($B$3:$G$14,MATCH(C30,$A$3:$A$14,0),MATCH($A$22,$B$2:$G$2,0)),0)</f>
        <v>2060</v>
      </c>
      <c r="H30" s="86" t="str">
        <f aca="false">IF(G30=F30,"Bien",G30-F30)</f>
        <v>Bien</v>
      </c>
      <c r="L30" s="89"/>
      <c r="M30" s="90"/>
      <c r="N30" s="91"/>
    </row>
    <row r="31" customFormat="false" ht="14.9" hidden="false" customHeight="false" outlineLevel="0" collapsed="false">
      <c r="A31" s="81" t="n">
        <v>318</v>
      </c>
      <c r="B31" s="88" t="s">
        <v>52</v>
      </c>
      <c r="C31" s="71" t="s">
        <v>10</v>
      </c>
      <c r="D31" s="84" t="s">
        <v>46</v>
      </c>
      <c r="E31" s="71" t="s">
        <v>49</v>
      </c>
      <c r="F31" s="73" t="n">
        <v>135360</v>
      </c>
      <c r="G31" s="85" t="n">
        <f aca="false">IFERROR(INDEX($B$3:$G$14,MATCH(C31,$A$3:$A$14,0),MATCH($A$22,$B$2:$G$2,0)),0)</f>
        <v>135360</v>
      </c>
      <c r="H31" s="86" t="str">
        <f aca="false">IF(G31=F31,"Bien",G31-F31)</f>
        <v>Bien</v>
      </c>
      <c r="L31" s="89"/>
      <c r="M31" s="82"/>
      <c r="N31" s="91"/>
    </row>
    <row r="32" customFormat="false" ht="14.9" hidden="false" customHeight="false" outlineLevel="0" collapsed="false">
      <c r="A32" s="81" t="n">
        <v>310</v>
      </c>
      <c r="B32" s="88" t="s">
        <v>56</v>
      </c>
      <c r="C32" s="82" t="s">
        <v>21</v>
      </c>
      <c r="D32" s="84" t="s">
        <v>46</v>
      </c>
      <c r="E32" s="71" t="s">
        <v>47</v>
      </c>
      <c r="F32" s="73" t="n">
        <v>12960</v>
      </c>
      <c r="G32" s="85" t="n">
        <f aca="false">IFERROR(INDEX($B$3:$G$14,MATCH(C32,$A$3:$A$14,0),MATCH($A$22,$B$2:$G$2,0)),0)</f>
        <v>12960</v>
      </c>
      <c r="H32" s="86" t="str">
        <f aca="false">IF(G32=F32,"Bien",G32-F32)</f>
        <v>Bien</v>
      </c>
      <c r="N32" s="88"/>
    </row>
    <row r="33" customFormat="false" ht="13.8" hidden="false" customHeight="false" outlineLevel="0" collapsed="false">
      <c r="A33" s="81" t="n">
        <v>296</v>
      </c>
      <c r="B33" s="82" t="s">
        <v>57</v>
      </c>
      <c r="C33" s="82" t="s">
        <v>18</v>
      </c>
      <c r="D33" s="84"/>
      <c r="E33" s="71"/>
      <c r="F33" s="73"/>
      <c r="G33" s="85" t="n">
        <f aca="false">IFERROR(INDEX($B$3:$G$14,MATCH(C33,$A$3:$A$14,0),MATCH($A$22,$B$2:$G$2,0)),0)</f>
        <v>0</v>
      </c>
      <c r="H33" s="92" t="str">
        <f aca="false">IF(G33=F33,"Bien",G33-F33)</f>
        <v>Bien</v>
      </c>
      <c r="N33" s="88"/>
    </row>
    <row r="34" customFormat="false" ht="14.9" hidden="false" customHeight="false" outlineLevel="0" collapsed="false">
      <c r="A34" s="81"/>
      <c r="B34" s="88" t="s">
        <v>52</v>
      </c>
      <c r="C34" s="71" t="s">
        <v>24</v>
      </c>
      <c r="D34" s="84" t="s">
        <v>46</v>
      </c>
      <c r="E34" s="71" t="s">
        <v>49</v>
      </c>
      <c r="F34" s="73" t="n">
        <v>15780</v>
      </c>
      <c r="G34" s="85" t="n">
        <f aca="false">IFERROR(INDEX($B$3:$G$14,MATCH(C34,$A$3:$A$14,0),MATCH($A$22,$B$2:$G$2,0)),0)</f>
        <v>15780</v>
      </c>
      <c r="H34" s="86" t="str">
        <f aca="false">IF(G34=F34,"Bien",G34-F34)</f>
        <v>Bien</v>
      </c>
      <c r="I34" s="44" t="s">
        <v>54</v>
      </c>
      <c r="N34" s="88"/>
    </row>
    <row r="35" customFormat="false" ht="13.8" hidden="false" customHeight="false" outlineLevel="0" collapsed="false">
      <c r="A35" s="93"/>
      <c r="B35" s="94" t="s">
        <v>44</v>
      </c>
      <c r="C35" s="94" t="s">
        <v>58</v>
      </c>
      <c r="D35" s="95"/>
      <c r="E35" s="96"/>
      <c r="F35" s="97"/>
      <c r="G35" s="98" t="n">
        <f aca="false">IFERROR(INDEX($B$3:$G$14,MATCH(C35,$A$3:$A$14,0),MATCH($A$22,$B$2:$G$2,0)),0)</f>
        <v>0</v>
      </c>
      <c r="H35" s="99" t="str">
        <f aca="false">IF(G35=F35,"Bien",G35-F35)</f>
        <v>Bien</v>
      </c>
      <c r="I35" s="44" t="s">
        <v>59</v>
      </c>
      <c r="N35" s="88"/>
    </row>
    <row r="36" customFormat="false" ht="13.8" hidden="false" customHeight="false" outlineLevel="0" collapsed="false">
      <c r="C36" s="71"/>
      <c r="D36" s="72"/>
      <c r="E36" s="71"/>
      <c r="F36" s="100" t="n">
        <f aca="false">SUM(F24:F35)</f>
        <v>447100</v>
      </c>
      <c r="G36" s="101" t="n">
        <f aca="false">SUM(G24:G35)</f>
        <v>447100</v>
      </c>
      <c r="H36" s="71"/>
      <c r="I36" s="102" t="str">
        <f aca="false">IF(G36=D15,"OK","Revisar")</f>
        <v>OK</v>
      </c>
      <c r="L36" s="89"/>
      <c r="N36" s="71"/>
    </row>
    <row r="37" customFormat="false" ht="13.8" hidden="false" customHeight="false" outlineLevel="0" collapsed="false">
      <c r="A37" s="67" t="str">
        <f aca="false">+G2</f>
        <v>VOLUMINOSOS</v>
      </c>
      <c r="B37" s="67"/>
      <c r="C37" s="67"/>
      <c r="D37" s="67"/>
      <c r="E37" s="67"/>
      <c r="F37" s="67"/>
      <c r="G37" s="67"/>
      <c r="H37" s="67"/>
      <c r="L37" s="89"/>
      <c r="N37" s="71"/>
    </row>
    <row r="38" customFormat="false" ht="13.8" hidden="false" customHeight="false" outlineLevel="0" collapsed="false">
      <c r="C38" s="71" t="s">
        <v>40</v>
      </c>
      <c r="D38" s="72" t="s">
        <v>60</v>
      </c>
      <c r="E38" s="71" t="s">
        <v>61</v>
      </c>
      <c r="F38" s="100" t="s">
        <v>43</v>
      </c>
      <c r="G38" s="71" t="s">
        <v>35</v>
      </c>
      <c r="H38" s="71"/>
    </row>
    <row r="39" customFormat="false" ht="13.8" hidden="false" customHeight="false" outlineLevel="0" collapsed="false">
      <c r="A39" s="74" t="n">
        <v>109</v>
      </c>
      <c r="B39" s="75" t="s">
        <v>44</v>
      </c>
      <c r="C39" s="76" t="s">
        <v>26</v>
      </c>
      <c r="D39" s="103" t="n">
        <v>2</v>
      </c>
      <c r="E39" s="78" t="n">
        <v>2</v>
      </c>
      <c r="F39" s="78" t="n">
        <v>3340</v>
      </c>
      <c r="G39" s="104" t="n">
        <f aca="false">IFERROR(INDEX($B$3:$G$14,MATCH(C39,$A$3:$A$14,0),MATCH($A$37,$B$2:$G$2,0)),0)</f>
        <v>3340</v>
      </c>
      <c r="H39" s="105" t="str">
        <f aca="false">IF(G39=F39,"Bien",G39-F39)</f>
        <v>Bien</v>
      </c>
    </row>
    <row r="40" customFormat="false" ht="13.8" hidden="false" customHeight="false" outlineLevel="0" collapsed="false">
      <c r="A40" s="81" t="n">
        <v>333</v>
      </c>
      <c r="B40" s="44" t="s">
        <v>45</v>
      </c>
      <c r="C40" s="71" t="s">
        <v>15</v>
      </c>
      <c r="D40" s="106"/>
      <c r="E40" s="73"/>
      <c r="F40" s="73"/>
      <c r="G40" s="107" t="n">
        <f aca="false">IFERROR(INDEX($B$3:$G$14,MATCH(C40,$A$3:$A$14,0),MATCH($A$37,$B$2:$G$2,0)),0)</f>
        <v>0</v>
      </c>
      <c r="H40" s="108" t="str">
        <f aca="false">IF(G40=F40,"Bien",G40-F40)</f>
        <v>Bien</v>
      </c>
    </row>
    <row r="41" customFormat="false" ht="13.8" hidden="false" customHeight="false" outlineLevel="0" collapsed="false">
      <c r="A41" s="81" t="n">
        <v>316</v>
      </c>
      <c r="B41" s="82" t="s">
        <v>51</v>
      </c>
      <c r="C41" s="82" t="s">
        <v>16</v>
      </c>
      <c r="D41" s="106"/>
      <c r="E41" s="73"/>
      <c r="F41" s="73"/>
      <c r="G41" s="107" t="n">
        <f aca="false">IFERROR(INDEX($B$3:$G$14,MATCH(C41,$A$3:$A$14,0),MATCH($A$37,$B$2:$G$2,0)),0)</f>
        <v>0</v>
      </c>
      <c r="H41" s="108" t="str">
        <f aca="false">IF(G41=F41,"Bien",G41-F41)</f>
        <v>Bien</v>
      </c>
    </row>
    <row r="42" customFormat="false" ht="13.8" hidden="false" customHeight="false" outlineLevel="0" collapsed="false">
      <c r="A42" s="81" t="n">
        <v>309</v>
      </c>
      <c r="B42" s="44" t="s">
        <v>55</v>
      </c>
      <c r="C42" s="71" t="s">
        <v>20</v>
      </c>
      <c r="D42" s="106" t="n">
        <v>2</v>
      </c>
      <c r="E42" s="73" t="n">
        <v>1</v>
      </c>
      <c r="F42" s="73" t="n">
        <v>660</v>
      </c>
      <c r="G42" s="107" t="n">
        <f aca="false">IFERROR(INDEX($B$3:$G$14,MATCH(C42,$A$3:$A$14,0),MATCH($A$37,$B$2:$G$2,0)),0)</f>
        <v>660</v>
      </c>
      <c r="H42" s="109" t="str">
        <f aca="false">IF(G42=F42,"Bien",G42-F42)</f>
        <v>Bien</v>
      </c>
    </row>
    <row r="43" customFormat="false" ht="13.8" hidden="false" customHeight="false" outlineLevel="0" collapsed="false">
      <c r="A43" s="81" t="n">
        <v>296</v>
      </c>
      <c r="B43" s="82" t="s">
        <v>57</v>
      </c>
      <c r="C43" s="82" t="s">
        <v>18</v>
      </c>
      <c r="D43" s="110" t="n">
        <v>2</v>
      </c>
      <c r="E43" s="111" t="n">
        <v>20</v>
      </c>
      <c r="F43" s="111" t="n">
        <v>21600</v>
      </c>
      <c r="G43" s="107" t="n">
        <f aca="false">IFERROR(INDEX($B$3:$G$14,MATCH(C43,$A$3:$A$14,0),MATCH($A$37,$B$2:$G$2,0)),0)</f>
        <v>21600</v>
      </c>
      <c r="H43" s="109" t="str">
        <f aca="false">IF(G43=F43,"Bien",G43-F43)</f>
        <v>Bien</v>
      </c>
    </row>
    <row r="44" customFormat="false" ht="13.8" hidden="false" customHeight="false" outlineLevel="0" collapsed="false">
      <c r="A44" s="81" t="n">
        <v>318</v>
      </c>
      <c r="B44" s="82" t="s">
        <v>52</v>
      </c>
      <c r="C44" s="82" t="s">
        <v>10</v>
      </c>
      <c r="D44" s="110" t="n">
        <v>2</v>
      </c>
      <c r="E44" s="111" t="n">
        <v>1</v>
      </c>
      <c r="F44" s="111" t="n">
        <v>1420</v>
      </c>
      <c r="G44" s="107" t="n">
        <f aca="false">IFERROR(INDEX($B$3:$G$14,MATCH(C44,$A$3:$A$14,0),MATCH($A$37,$B$2:$G$2,0)),0)</f>
        <v>1420</v>
      </c>
      <c r="H44" s="109" t="str">
        <f aca="false">IF(G44=F44,"Bien",G44-F44)</f>
        <v>Bien</v>
      </c>
    </row>
    <row r="45" customFormat="false" ht="13.8" hidden="false" customHeight="false" outlineLevel="0" collapsed="false">
      <c r="A45" s="81"/>
      <c r="B45" s="112" t="s">
        <v>44</v>
      </c>
      <c r="C45" s="112" t="s">
        <v>58</v>
      </c>
      <c r="D45" s="110"/>
      <c r="E45" s="111"/>
      <c r="F45" s="111"/>
      <c r="G45" s="107" t="n">
        <f aca="false">IFERROR(INDEX($B$3:$G$14,MATCH(C45,$A$3:$A$14,0),MATCH($A$37,$B$2:$G$2,0)),0)</f>
        <v>0</v>
      </c>
      <c r="H45" s="108" t="str">
        <f aca="false">IF(G45=F45,"Bien",G45-F45)</f>
        <v>Bien</v>
      </c>
    </row>
    <row r="46" customFormat="false" ht="13.8" hidden="false" customHeight="false" outlineLevel="0" collapsed="false">
      <c r="A46" s="81"/>
      <c r="B46" s="82"/>
      <c r="C46" s="112" t="s">
        <v>62</v>
      </c>
      <c r="D46" s="110"/>
      <c r="E46" s="111"/>
      <c r="F46" s="111"/>
      <c r="G46" s="107" t="n">
        <f aca="false">IFERROR(INDEX($B$3:$G$14,MATCH(C46,$A$3:$A$14,0),MATCH($A$37,$B$2:$G$2,0)),0)</f>
        <v>0</v>
      </c>
      <c r="H46" s="108" t="str">
        <f aca="false">IF(G46=F46,"Bien",G46-F46)</f>
        <v>Bien</v>
      </c>
    </row>
    <row r="47" customFormat="false" ht="14.9" hidden="false" customHeight="false" outlineLevel="0" collapsed="false">
      <c r="A47" s="93"/>
      <c r="B47" s="113" t="s">
        <v>63</v>
      </c>
      <c r="C47" s="114" t="s">
        <v>64</v>
      </c>
      <c r="D47" s="115"/>
      <c r="E47" s="116"/>
      <c r="F47" s="116"/>
      <c r="G47" s="117" t="n">
        <f aca="false">IFERROR(INDEX($B$3:$G$14,MATCH(C47,$A$3:$A$14,0),MATCH($A$37,$B$2:$G$2,0)),0)</f>
        <v>0</v>
      </c>
      <c r="H47" s="118" t="str">
        <f aca="false">IF(G47=F47,"Bien",G47-F47)</f>
        <v>Bien</v>
      </c>
    </row>
    <row r="48" customFormat="false" ht="13.8" hidden="false" customHeight="false" outlineLevel="0" collapsed="false">
      <c r="A48" s="44"/>
      <c r="D48" s="72"/>
      <c r="E48" s="71"/>
      <c r="F48" s="100" t="n">
        <f aca="false">SUM(F39:F47)</f>
        <v>27020</v>
      </c>
      <c r="G48" s="101" t="n">
        <f aca="false">SUM(G39:G47)</f>
        <v>27020</v>
      </c>
      <c r="H48" s="71"/>
      <c r="I48" s="102" t="str">
        <f aca="false">+IF(G48=G15,"OK","Revisar")</f>
        <v>OK</v>
      </c>
    </row>
    <row r="49" customFormat="false" ht="13.8" hidden="false" customHeight="false" outlineLevel="0" collapsed="false">
      <c r="C49" s="71"/>
      <c r="D49" s="72"/>
      <c r="E49" s="71"/>
      <c r="F49" s="100"/>
      <c r="G49" s="101"/>
      <c r="H49" s="71"/>
    </row>
    <row r="50" customFormat="false" ht="13.8" hidden="false" customHeight="false" outlineLevel="0" collapsed="false">
      <c r="A50" s="67" t="s">
        <v>25</v>
      </c>
      <c r="B50" s="67"/>
      <c r="C50" s="67"/>
      <c r="D50" s="67"/>
      <c r="E50" s="67"/>
      <c r="F50" s="67"/>
      <c r="G50" s="67"/>
      <c r="H50" s="67"/>
    </row>
    <row r="51" customFormat="false" ht="13.8" hidden="false" customHeight="false" outlineLevel="0" collapsed="false">
      <c r="C51" s="119" t="s">
        <v>40</v>
      </c>
      <c r="D51" s="120" t="s">
        <v>61</v>
      </c>
      <c r="E51" s="121" t="s">
        <v>43</v>
      </c>
      <c r="F51" s="122" t="s">
        <v>35</v>
      </c>
      <c r="G51" s="71"/>
      <c r="H51" s="71"/>
    </row>
    <row r="52" customFormat="false" ht="13.8" hidden="false" customHeight="false" outlineLevel="0" collapsed="false">
      <c r="A52" s="123" t="n">
        <v>109</v>
      </c>
      <c r="B52" s="124" t="s">
        <v>44</v>
      </c>
      <c r="C52" s="76" t="s">
        <v>26</v>
      </c>
      <c r="D52" s="125" t="n">
        <v>1</v>
      </c>
      <c r="E52" s="126" t="n">
        <v>860</v>
      </c>
      <c r="F52" s="127" t="n">
        <f aca="false">IFERROR(INDEX($B$3:$G$14,MATCH(C52,$A$3:$A$14,0),MATCH($A$50,$B$2:$G$2,0)),0)</f>
        <v>860</v>
      </c>
      <c r="G52" s="105" t="str">
        <f aca="false">IF(F52=E52,"Bien",F52-E52)</f>
        <v>Bien</v>
      </c>
      <c r="H52" s="71"/>
    </row>
    <row r="53" customFormat="false" ht="14.9" hidden="false" customHeight="false" outlineLevel="0" collapsed="false">
      <c r="A53" s="128" t="n">
        <v>320</v>
      </c>
      <c r="B53" s="129" t="s">
        <v>48</v>
      </c>
      <c r="C53" s="71" t="s">
        <v>22</v>
      </c>
      <c r="D53" s="130" t="n">
        <v>3</v>
      </c>
      <c r="E53" s="131" t="n">
        <v>5640</v>
      </c>
      <c r="F53" s="132" t="n">
        <f aca="false">IFERROR(INDEX($B$3:$G$14,MATCH(C53,$A$3:$A$14,0),MATCH($A$50,$B$2:$G$2,0)),0)</f>
        <v>5640</v>
      </c>
      <c r="G53" s="108" t="str">
        <f aca="false">IF(F53=E53,"Bien",F53-E53)</f>
        <v>Bien</v>
      </c>
      <c r="H53" s="71"/>
    </row>
    <row r="54" customFormat="false" ht="14.9" hidden="false" customHeight="false" outlineLevel="0" collapsed="false">
      <c r="A54" s="128" t="n">
        <v>321</v>
      </c>
      <c r="B54" s="129" t="s">
        <v>50</v>
      </c>
      <c r="C54" s="71" t="s">
        <v>14</v>
      </c>
      <c r="D54" s="130" t="n">
        <v>1</v>
      </c>
      <c r="E54" s="131" t="n">
        <v>2220</v>
      </c>
      <c r="F54" s="132" t="n">
        <f aca="false">IFERROR(INDEX($B$3:$G$14,MATCH(C54,$A$3:$A$14,0),MATCH($A$50,$B$2:$G$2,0)),0)</f>
        <v>2220</v>
      </c>
      <c r="G54" s="108" t="str">
        <f aca="false">IF(F54=E54,"Bien",F54-E54)</f>
        <v>Bien</v>
      </c>
      <c r="H54" s="71"/>
    </row>
    <row r="55" customFormat="false" ht="13.8" hidden="false" customHeight="false" outlineLevel="0" collapsed="false">
      <c r="A55" s="133" t="n">
        <v>296</v>
      </c>
      <c r="B55" s="134" t="s">
        <v>57</v>
      </c>
      <c r="C55" s="71" t="s">
        <v>18</v>
      </c>
      <c r="D55" s="130"/>
      <c r="E55" s="135"/>
      <c r="F55" s="132" t="n">
        <f aca="false">IFERROR(INDEX($B$3:$G$14,MATCH(C55,$A$3:$A$14,0),MATCH($A$50,$B$2:$G$2,0)),0)</f>
        <v>0</v>
      </c>
      <c r="G55" s="108" t="str">
        <f aca="false">IF(F55=E55,"Bien",F55-E55)</f>
        <v>Bien</v>
      </c>
      <c r="H55" s="71"/>
    </row>
    <row r="56" customFormat="false" ht="14.9" hidden="false" customHeight="false" outlineLevel="0" collapsed="false">
      <c r="A56" s="128"/>
      <c r="B56" s="136"/>
      <c r="C56" s="137" t="s">
        <v>62</v>
      </c>
      <c r="D56" s="138"/>
      <c r="E56" s="139"/>
      <c r="F56" s="132" t="n">
        <f aca="false">IFERROR(INDEX($B$3:$G$14,MATCH(C56,$A$3:$A$14,0),MATCH($A$50,$B$2:$G$2,0)),0)</f>
        <v>0</v>
      </c>
      <c r="G56" s="108" t="str">
        <f aca="false">IF(F56=E56,"Bien",F56-E56)</f>
        <v>Bien</v>
      </c>
      <c r="H56" s="71"/>
    </row>
    <row r="57" customFormat="false" ht="13.8" hidden="false" customHeight="false" outlineLevel="0" collapsed="false">
      <c r="A57" s="140"/>
      <c r="B57" s="141" t="s">
        <v>44</v>
      </c>
      <c r="C57" s="94" t="s">
        <v>58</v>
      </c>
      <c r="D57" s="142"/>
      <c r="E57" s="143"/>
      <c r="F57" s="144" t="n">
        <f aca="false">IFERROR(INDEX($B$3:$G$14,MATCH(C57,$A$3:$A$14,0),MATCH($A$50,$B$2:$G$2,0)),0)</f>
        <v>0</v>
      </c>
      <c r="G57" s="118" t="str">
        <f aca="false">IF(F57=E57,"Bien",F57-E57)</f>
        <v>Bien</v>
      </c>
      <c r="H57" s="71"/>
    </row>
    <row r="58" customFormat="false" ht="13.8" hidden="false" customHeight="false" outlineLevel="0" collapsed="false">
      <c r="C58" s="71"/>
      <c r="D58" s="130"/>
      <c r="E58" s="101" t="n">
        <f aca="false">SUM(E52:E57)</f>
        <v>8720</v>
      </c>
      <c r="F58" s="101" t="n">
        <f aca="false">SUM(F52:F57)</f>
        <v>8720</v>
      </c>
      <c r="G58" s="71"/>
      <c r="H58" s="71"/>
      <c r="I58" s="102" t="str">
        <f aca="false">+IF(F58=F15,"OK","Revisar")</f>
        <v>OK</v>
      </c>
    </row>
    <row r="59" customFormat="false" ht="13.8" hidden="false" customHeight="false" outlineLevel="0" collapsed="false">
      <c r="A59" s="67" t="s">
        <v>23</v>
      </c>
      <c r="B59" s="67"/>
      <c r="C59" s="67"/>
      <c r="D59" s="67"/>
      <c r="E59" s="67"/>
      <c r="F59" s="67"/>
      <c r="G59" s="67"/>
      <c r="H59" s="71"/>
    </row>
    <row r="60" customFormat="false" ht="13.8" hidden="false" customHeight="false" outlineLevel="0" collapsed="false">
      <c r="C60" s="71" t="s">
        <v>40</v>
      </c>
      <c r="D60" s="72" t="s">
        <v>61</v>
      </c>
      <c r="E60" s="71" t="s">
        <v>43</v>
      </c>
      <c r="F60" s="100" t="s">
        <v>35</v>
      </c>
      <c r="G60" s="71"/>
      <c r="H60" s="71"/>
    </row>
    <row r="61" customFormat="false" ht="13.8" hidden="false" customHeight="false" outlineLevel="0" collapsed="false">
      <c r="A61" s="145" t="n">
        <v>109</v>
      </c>
      <c r="B61" s="146" t="s">
        <v>44</v>
      </c>
      <c r="C61" s="147" t="s">
        <v>26</v>
      </c>
      <c r="D61" s="148"/>
      <c r="E61" s="149"/>
      <c r="F61" s="150" t="n">
        <f aca="false">IFERROR(INDEX($B$3:$G$14,MATCH(C61,$A$3:$A$14,0),MATCH($A$59,$B$2:$G$2,0)),0)</f>
        <v>0</v>
      </c>
      <c r="G61" s="151" t="str">
        <f aca="false">IF(F61=E61,"Bien",F61-E61)</f>
        <v>Bien</v>
      </c>
      <c r="H61" s="71"/>
    </row>
    <row r="62" customFormat="false" ht="14.9" hidden="false" customHeight="false" outlineLevel="0" collapsed="false">
      <c r="A62" s="152" t="n">
        <v>320</v>
      </c>
      <c r="B62" s="88" t="s">
        <v>48</v>
      </c>
      <c r="C62" s="71" t="s">
        <v>22</v>
      </c>
      <c r="D62" s="138" t="n">
        <v>3</v>
      </c>
      <c r="E62" s="139" t="n">
        <v>5420</v>
      </c>
      <c r="F62" s="85" t="n">
        <f aca="false">IFERROR(INDEX($B$3:$G$14,MATCH(C62,$A$3:$A$14,0),MATCH($A$59,$B$2:$G$2,0)),0)</f>
        <v>5420</v>
      </c>
      <c r="G62" s="92" t="str">
        <f aca="false">IF(F62=E62,"Bien",F62-E62)</f>
        <v>Bien</v>
      </c>
      <c r="H62" s="71"/>
    </row>
    <row r="63" customFormat="false" ht="14.9" hidden="false" customHeight="false" outlineLevel="0" collapsed="false">
      <c r="A63" s="152" t="n">
        <v>321</v>
      </c>
      <c r="B63" s="88" t="s">
        <v>50</v>
      </c>
      <c r="C63" s="71" t="s">
        <v>14</v>
      </c>
      <c r="D63" s="138" t="n">
        <v>1</v>
      </c>
      <c r="E63" s="139" t="n">
        <v>1040</v>
      </c>
      <c r="F63" s="85" t="n">
        <f aca="false">IFERROR(INDEX($B$3:$G$14,MATCH(C63,$A$3:$A$14,0),MATCH($A$59,$B$2:$G$2,0)),0)</f>
        <v>1040</v>
      </c>
      <c r="G63" s="92" t="str">
        <f aca="false">IF(F63=E63,"Bien",F63-E63)</f>
        <v>Bien</v>
      </c>
      <c r="H63" s="71"/>
    </row>
    <row r="64" customFormat="false" ht="13.8" hidden="false" customHeight="false" outlineLevel="0" collapsed="false">
      <c r="A64" s="153" t="n">
        <v>296</v>
      </c>
      <c r="B64" s="44" t="s">
        <v>57</v>
      </c>
      <c r="C64" s="71" t="s">
        <v>18</v>
      </c>
      <c r="D64" s="138"/>
      <c r="E64" s="139"/>
      <c r="F64" s="85" t="n">
        <f aca="false">IFERROR(INDEX($B$3:$G$14,MATCH(C64,$A$3:$A$14,0),MATCH($A$59,$B$2:$G$2,0)),0)</f>
        <v>0</v>
      </c>
      <c r="G64" s="92" t="str">
        <f aca="false">IF(F64=E64,"Bien",F64-E64)</f>
        <v>Bien</v>
      </c>
      <c r="H64" s="71"/>
    </row>
    <row r="65" customFormat="false" ht="14.9" hidden="false" customHeight="false" outlineLevel="0" collapsed="false">
      <c r="A65" s="154"/>
      <c r="B65" s="155"/>
      <c r="C65" s="156" t="s">
        <v>62</v>
      </c>
      <c r="D65" s="157"/>
      <c r="E65" s="158"/>
      <c r="F65" s="159" t="n">
        <f aca="false">IFERROR(INDEX($B$3:$G$14,MATCH(C65,$A$3:$A$14,0),MATCH($A$59,$B$2:$G$2,0)),0)</f>
        <v>0</v>
      </c>
      <c r="G65" s="99" t="str">
        <f aca="false">IF(F65=E65,"Bien",F65-E65)</f>
        <v>Bien</v>
      </c>
      <c r="H65" s="71"/>
    </row>
    <row r="66" customFormat="false" ht="13.8" hidden="false" customHeight="false" outlineLevel="0" collapsed="false">
      <c r="C66" s="71"/>
      <c r="D66" s="130"/>
      <c r="E66" s="101" t="n">
        <f aca="false">SUM(E61:E65)</f>
        <v>6460</v>
      </c>
      <c r="F66" s="101" t="n">
        <f aca="false">SUM(F61:F65)</f>
        <v>6460</v>
      </c>
      <c r="G66" s="71"/>
      <c r="H66" s="71"/>
      <c r="I66" s="102" t="str">
        <f aca="false">+IF(F66=E15,"OK","Revisar")</f>
        <v>OK</v>
      </c>
    </row>
    <row r="67" customFormat="false" ht="13.8" hidden="false" customHeight="false" outlineLevel="0" collapsed="false">
      <c r="A67" s="67" t="s">
        <v>17</v>
      </c>
      <c r="B67" s="67"/>
      <c r="C67" s="67"/>
      <c r="D67" s="67"/>
      <c r="E67" s="67"/>
      <c r="F67" s="67"/>
      <c r="G67" s="67"/>
      <c r="H67" s="71"/>
    </row>
    <row r="68" customFormat="false" ht="13.8" hidden="false" customHeight="false" outlineLevel="0" collapsed="false">
      <c r="C68" s="71" t="s">
        <v>40</v>
      </c>
      <c r="D68" s="72" t="s">
        <v>61</v>
      </c>
      <c r="E68" s="71" t="s">
        <v>43</v>
      </c>
      <c r="F68" s="100" t="s">
        <v>35</v>
      </c>
      <c r="G68" s="71"/>
      <c r="H68" s="71"/>
    </row>
    <row r="69" customFormat="false" ht="13.8" hidden="false" customHeight="false" outlineLevel="0" collapsed="false">
      <c r="A69" s="145" t="n">
        <v>109</v>
      </c>
      <c r="B69" s="146" t="s">
        <v>44</v>
      </c>
      <c r="C69" s="147" t="s">
        <v>26</v>
      </c>
      <c r="D69" s="160"/>
      <c r="E69" s="149"/>
      <c r="F69" s="150" t="n">
        <f aca="false">IFERROR(INDEX($B$3:$G$14,MATCH(C69,$A$3:$A$14,0),MATCH($A$67,$B$2:$G$2,0)),0)</f>
        <v>0</v>
      </c>
      <c r="G69" s="151" t="str">
        <f aca="false">IF(F69=E69,"Bien",F69-E69)</f>
        <v>Bien</v>
      </c>
      <c r="H69" s="71"/>
    </row>
    <row r="70" customFormat="false" ht="13.8" hidden="false" customHeight="false" outlineLevel="0" collapsed="false">
      <c r="A70" s="153" t="n">
        <v>333</v>
      </c>
      <c r="B70" s="82" t="s">
        <v>45</v>
      </c>
      <c r="C70" s="82" t="s">
        <v>15</v>
      </c>
      <c r="D70" s="138" t="n">
        <v>19</v>
      </c>
      <c r="E70" s="161" t="n">
        <v>14860</v>
      </c>
      <c r="F70" s="85" t="n">
        <f aca="false">IFERROR(INDEX($B$3:$G$14,MATCH(C70,$A$3:$A$14,0),MATCH($A$67,$B$2:$G$2,0)),0)</f>
        <v>14860</v>
      </c>
      <c r="G70" s="92" t="str">
        <f aca="false">IF(F70=E70,"Bien",F70-E70)</f>
        <v>Bien</v>
      </c>
      <c r="H70" s="71"/>
    </row>
    <row r="71" customFormat="false" ht="14.9" hidden="false" customHeight="false" outlineLevel="0" collapsed="false">
      <c r="A71" s="162"/>
      <c r="B71" s="44" t="s">
        <v>63</v>
      </c>
      <c r="C71" s="88" t="s">
        <v>64</v>
      </c>
      <c r="D71" s="135"/>
      <c r="E71" s="135"/>
      <c r="F71" s="85" t="n">
        <f aca="false">IFERROR(INDEX($B$3:$G$14,MATCH(C71,$A$3:$A$14,0),MATCH($A$67,$B$2:$G$2,0)),0)</f>
        <v>0</v>
      </c>
      <c r="G71" s="92" t="str">
        <f aca="false">IF(F71=E71,"Bien",F71-E71)</f>
        <v>Bien</v>
      </c>
      <c r="H71" s="71"/>
    </row>
    <row r="72" customFormat="false" ht="13.8" hidden="false" customHeight="false" outlineLevel="0" collapsed="false">
      <c r="A72" s="153" t="n">
        <v>316</v>
      </c>
      <c r="B72" s="44" t="s">
        <v>51</v>
      </c>
      <c r="C72" s="71" t="s">
        <v>16</v>
      </c>
      <c r="D72" s="135"/>
      <c r="E72" s="135"/>
      <c r="F72" s="85" t="n">
        <f aca="false">IFERROR(INDEX($B$3:$G$14,MATCH(C72,$A$3:$A$14,0),MATCH($A$67,$B$2:$G$2,0)),0)</f>
        <v>0</v>
      </c>
      <c r="G72" s="92" t="str">
        <f aca="false">IF(F72=E72,"Bien",F72-E72)</f>
        <v>Bien</v>
      </c>
      <c r="H72" s="71"/>
    </row>
    <row r="73" customFormat="false" ht="13.8" hidden="false" customHeight="false" outlineLevel="0" collapsed="false">
      <c r="A73" s="153" t="n">
        <v>309</v>
      </c>
      <c r="B73" s="44" t="s">
        <v>55</v>
      </c>
      <c r="C73" s="71" t="s">
        <v>20</v>
      </c>
      <c r="D73" s="130" t="n">
        <v>24</v>
      </c>
      <c r="E73" s="131" t="n">
        <v>19560</v>
      </c>
      <c r="F73" s="85" t="n">
        <f aca="false">IFERROR(INDEX($B$3:$G$14,MATCH(C73,$A$3:$A$14,0),MATCH($A$67,$B$2:$G$2,0)),0)</f>
        <v>19560</v>
      </c>
      <c r="G73" s="92" t="str">
        <f aca="false">IF(F73=E73,"Bien",F73-E73)</f>
        <v>Bien</v>
      </c>
      <c r="H73" s="71"/>
    </row>
    <row r="74" customFormat="false" ht="13.8" hidden="false" customHeight="false" outlineLevel="0" collapsed="false">
      <c r="A74" s="163" t="n">
        <v>296</v>
      </c>
      <c r="B74" s="155" t="s">
        <v>57</v>
      </c>
      <c r="C74" s="155" t="s">
        <v>18</v>
      </c>
      <c r="D74" s="157" t="n">
        <v>1</v>
      </c>
      <c r="E74" s="164" t="n">
        <v>240</v>
      </c>
      <c r="F74" s="159" t="n">
        <f aca="false">IFERROR(INDEX($B$3:$G$14,MATCH(C74,$A$3:$A$14,0),MATCH($A$67,$B$2:$G$2,0)),0)</f>
        <v>240</v>
      </c>
      <c r="G74" s="99" t="str">
        <f aca="false">IF(F74=E74,"Bien",F74-E74)</f>
        <v>Bien</v>
      </c>
      <c r="H74" s="71"/>
    </row>
    <row r="75" customFormat="false" ht="13.8" hidden="false" customHeight="false" outlineLevel="0" collapsed="false">
      <c r="C75" s="71"/>
      <c r="D75" s="130"/>
      <c r="E75" s="101" t="n">
        <f aca="false">SUM(E69:E74)</f>
        <v>34660</v>
      </c>
      <c r="F75" s="101" t="n">
        <f aca="false">SUM(F69:F74)</f>
        <v>34660</v>
      </c>
      <c r="G75" s="71"/>
      <c r="H75" s="71"/>
      <c r="I75" s="102" t="str">
        <f aca="false">+IF(F75=C15,"OK","Revisar")</f>
        <v>OK</v>
      </c>
    </row>
    <row r="76" customFormat="false" ht="13.8" hidden="false" customHeight="false" outlineLevel="0" collapsed="false">
      <c r="A76" s="67" t="s">
        <v>30</v>
      </c>
      <c r="B76" s="67"/>
      <c r="C76" s="67"/>
      <c r="D76" s="67"/>
      <c r="E76" s="67"/>
      <c r="F76" s="67"/>
      <c r="G76" s="67"/>
      <c r="H76" s="71"/>
    </row>
    <row r="77" customFormat="false" ht="13.8" hidden="false" customHeight="false" outlineLevel="0" collapsed="false">
      <c r="C77" s="71" t="s">
        <v>40</v>
      </c>
      <c r="D77" s="72" t="s">
        <v>61</v>
      </c>
      <c r="E77" s="71" t="s">
        <v>43</v>
      </c>
      <c r="F77" s="100" t="s">
        <v>35</v>
      </c>
      <c r="G77" s="71"/>
      <c r="H77" s="71"/>
    </row>
    <row r="78" customFormat="false" ht="13.8" hidden="false" customHeight="false" outlineLevel="0" collapsed="false">
      <c r="A78" s="145" t="n">
        <v>109</v>
      </c>
      <c r="B78" s="146" t="s">
        <v>44</v>
      </c>
      <c r="C78" s="147" t="s">
        <v>26</v>
      </c>
      <c r="D78" s="148"/>
      <c r="E78" s="149"/>
      <c r="F78" s="150" t="n">
        <f aca="false">IFERROR(INDEX($B$3:$G$14,MATCH(C78,$A$3:$A$14,0),MATCH($A$76,$B$2:$G$2,0)),0)</f>
        <v>0</v>
      </c>
      <c r="G78" s="151" t="str">
        <f aca="false">IF(F78=E78,"Bien",F78-E78)</f>
        <v>Bien</v>
      </c>
      <c r="H78" s="71"/>
    </row>
    <row r="79" customFormat="false" ht="13.8" hidden="false" customHeight="false" outlineLevel="0" collapsed="false">
      <c r="A79" s="153" t="n">
        <v>309</v>
      </c>
      <c r="B79" s="44" t="s">
        <v>55</v>
      </c>
      <c r="C79" s="71" t="s">
        <v>20</v>
      </c>
      <c r="D79" s="130"/>
      <c r="E79" s="135"/>
      <c r="F79" s="85" t="n">
        <f aca="false">IFERROR(INDEX($B$3:$G$14,MATCH(C79,$A$3:$A$14,0),MATCH($A$76,$B$2:$G$2,0)),0)</f>
        <v>0</v>
      </c>
      <c r="G79" s="92" t="str">
        <f aca="false">IF(F79=E79,"Bien",F79-E79)</f>
        <v>Bien</v>
      </c>
      <c r="H79" s="71"/>
    </row>
    <row r="80" customFormat="false" ht="13.8" hidden="false" customHeight="false" outlineLevel="0" collapsed="false">
      <c r="A80" s="163" t="n">
        <v>296</v>
      </c>
      <c r="B80" s="155" t="s">
        <v>57</v>
      </c>
      <c r="C80" s="155" t="s">
        <v>18</v>
      </c>
      <c r="D80" s="157"/>
      <c r="E80" s="158"/>
      <c r="F80" s="159" t="n">
        <f aca="false">IFERROR(INDEX($B$3:$G$14,MATCH(C80,$A$3:$A$14,0),MATCH($A$76,$B$2:$G$2,0)),0)</f>
        <v>0</v>
      </c>
      <c r="G80" s="99" t="str">
        <f aca="false">IF(F80=E80,"Bien",F80-E80)</f>
        <v>Bien</v>
      </c>
      <c r="H80" s="71"/>
    </row>
    <row r="81" customFormat="false" ht="13.8" hidden="false" customHeight="false" outlineLevel="0" collapsed="false">
      <c r="C81" s="71"/>
      <c r="D81" s="130"/>
      <c r="E81" s="101" t="n">
        <f aca="false">SUM(E78:E80)</f>
        <v>0</v>
      </c>
      <c r="F81" s="101" t="n">
        <f aca="false">SUM(F78:F80)</f>
        <v>0</v>
      </c>
      <c r="G81" s="71"/>
      <c r="H81" s="71"/>
      <c r="I81" s="102" t="str">
        <f aca="false">+IF(F81=B15,"OK","Revisar")</f>
        <v>OK</v>
      </c>
    </row>
  </sheetData>
  <mergeCells count="7">
    <mergeCell ref="A19:C19"/>
    <mergeCell ref="A22:H22"/>
    <mergeCell ref="A37:H37"/>
    <mergeCell ref="A50:H50"/>
    <mergeCell ref="A59:G59"/>
    <mergeCell ref="A67:G67"/>
    <mergeCell ref="A76:G76"/>
  </mergeCells>
  <conditionalFormatting sqref="H24:H35">
    <cfRule type="cellIs" priority="2" operator="notEqual" aboveAverage="0" equalAverage="0" bottom="0" percent="0" rank="0" text="" dxfId="2">
      <formula>""bien""</formula>
    </cfRule>
  </conditionalFormatting>
  <conditionalFormatting sqref="H39">
    <cfRule type="cellIs" priority="3" operator="notEqual" aboveAverage="0" equalAverage="0" bottom="0" percent="0" rank="0" text="" dxfId="3">
      <formula>""bien""</formula>
    </cfRule>
  </conditionalFormatting>
  <conditionalFormatting sqref="H40:H47">
    <cfRule type="cellIs" priority="4" operator="notEqual" aboveAverage="0" equalAverage="0" bottom="0" percent="0" rank="0" text="" dxfId="4">
      <formula>""bien""</formula>
    </cfRule>
  </conditionalFormatting>
  <conditionalFormatting sqref="G52">
    <cfRule type="cellIs" priority="5" operator="notEqual" aboveAverage="0" equalAverage="0" bottom="0" percent="0" rank="0" text="" dxfId="5">
      <formula>""bien""</formula>
    </cfRule>
  </conditionalFormatting>
  <conditionalFormatting sqref="G53:G57">
    <cfRule type="cellIs" priority="6" operator="notEqual" aboveAverage="0" equalAverage="0" bottom="0" percent="0" rank="0" text="" dxfId="6">
      <formula>""bien""</formula>
    </cfRule>
  </conditionalFormatting>
  <conditionalFormatting sqref="G61">
    <cfRule type="cellIs" priority="7" operator="notEqual" aboveAverage="0" equalAverage="0" bottom="0" percent="0" rank="0" text="" dxfId="7">
      <formula>""bien""</formula>
    </cfRule>
  </conditionalFormatting>
  <conditionalFormatting sqref="G62:G65">
    <cfRule type="cellIs" priority="8" operator="notEqual" aboveAverage="0" equalAverage="0" bottom="0" percent="0" rank="0" text="" dxfId="8">
      <formula>""bien""</formula>
    </cfRule>
  </conditionalFormatting>
  <conditionalFormatting sqref="G69">
    <cfRule type="cellIs" priority="9" operator="notEqual" aboveAverage="0" equalAverage="0" bottom="0" percent="0" rank="0" text="" dxfId="9">
      <formula>""bien""</formula>
    </cfRule>
  </conditionalFormatting>
  <conditionalFormatting sqref="G70:G74">
    <cfRule type="cellIs" priority="10" operator="notEqual" aboveAverage="0" equalAverage="0" bottom="0" percent="0" rank="0" text="" dxfId="10">
      <formula>""bien""</formula>
    </cfRule>
  </conditionalFormatting>
  <conditionalFormatting sqref="G78">
    <cfRule type="cellIs" priority="11" operator="notEqual" aboveAverage="0" equalAverage="0" bottom="0" percent="0" rank="0" text="" dxfId="11">
      <formula>""bien""</formula>
    </cfRule>
  </conditionalFormatting>
  <conditionalFormatting sqref="G79:G80">
    <cfRule type="cellIs" priority="12" operator="notEqual" aboveAverage="0" equalAverage="0" bottom="0" percent="0" rank="0" text="" dxfId="12">
      <formula>""bien""</formula>
    </cfRule>
  </conditionalFormatting>
  <conditionalFormatting sqref="B16:G16">
    <cfRule type="cellIs" priority="13" operator="notEqual" aboveAverage="0" equalAverage="0" bottom="0" percent="0" rank="0" text="" dxfId="13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932F14-DF19-43DE-AD18-9951689F2DAE}"/>
</file>

<file path=customXml/itemProps2.xml><?xml version="1.0" encoding="utf-8"?>
<ds:datastoreItem xmlns:ds="http://schemas.openxmlformats.org/officeDocument/2006/customXml" ds:itemID="{53F77F6F-8939-488C-A306-A5E501F86864}"/>
</file>

<file path=customXml/itemProps3.xml><?xml version="1.0" encoding="utf-8"?>
<ds:datastoreItem xmlns:ds="http://schemas.openxmlformats.org/officeDocument/2006/customXml" ds:itemID="{EFBC2615-B4AD-4B80-AD0A-AA55427EBAA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2023-12-04T07:21:37Z</dcterms:created>
  <dc:creator>Eliseo Castell Marín</dc:creator>
  <dc:description/>
  <dc:language>es-ES</dc:language>
  <cp:lastModifiedBy/>
  <dcterms:modified xsi:type="dcterms:W3CDTF">2023-12-11T14:43:49Z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