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  <sheet name="Tabla dinámica_Hoja1_1" sheetId="2" state="visible" r:id="rId3"/>
    <sheet name="certificacion_2_2_2" sheetId="3" state="visible" r:id="rId4"/>
  </sheets>
  <definedNames>
    <definedName function="false" hidden="true" localSheetId="0" name="_xlnm._FilterDatabase" vbProcedure="false">Hoja1!$A$1:$J$252</definedName>
  </definedName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<sst xmlns="http://schemas.openxmlformats.org/spreadsheetml/2006/main" count="1186" uniqueCount="64">
  <si>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</si>
  <si>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</si>
  <si>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</si>
  <si>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</si>
  <si>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</si>
  <si>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</si>
  <si>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</si>
  <si>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</si>
  <si>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</si>
  <si>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Revisión</t>
  </si>
  <si>
    <t xml:space="preserve">7809JZX</t>
  </si>
  <si>
    <t xml:space="preserve">PEÑISCOLA </t>
  </si>
  <si>
    <t xml:space="preserve">RSU</t>
  </si>
  <si>
    <t xml:space="preserve">x</t>
  </si>
  <si>
    <t xml:space="preserve">7542KBV</t>
  </si>
  <si>
    <t xml:space="preserve">1821KBZ</t>
  </si>
  <si>
    <t xml:space="preserve">SEL.ENV</t>
  </si>
  <si>
    <t xml:space="preserve">1076KSZ</t>
  </si>
  <si>
    <t xml:space="preserve">PODA</t>
  </si>
  <si>
    <t xml:space="preserve">6120JZX</t>
  </si>
  <si>
    <t xml:space="preserve">3686KBG</t>
  </si>
  <si>
    <t xml:space="preserve">7957JZS</t>
  </si>
  <si>
    <t xml:space="preserve">VOL</t>
  </si>
  <si>
    <t xml:space="preserve">0315BGK</t>
  </si>
  <si>
    <t xml:space="preserve">SEL.PAP</t>
  </si>
  <si>
    <t xml:space="preserve">1730KBZ</t>
  </si>
  <si>
    <t xml:space="preserve">5313GBZ</t>
  </si>
  <si>
    <t xml:space="preserve">- todo -</t>
  </si>
  <si>
    <t xml:space="preserve">Suma - Carga</t>
  </si>
  <si>
    <t xml:space="preserve">Total Resultado</t>
  </si>
  <si>
    <t xml:space="preserve">LIMP. PLAYA</t>
  </si>
  <si>
    <t xml:space="preserve">VOLUMINOSOS</t>
  </si>
  <si>
    <t xml:space="preserve">sustituye 0315BGK</t>
  </si>
  <si>
    <t xml:space="preserve">Certificado</t>
  </si>
  <si>
    <t xml:space="preserve">CERTIFICADO</t>
  </si>
  <si>
    <t xml:space="preserve">REVISADO</t>
  </si>
  <si>
    <t xml:space="preserve">DIFERENCIA</t>
  </si>
  <si>
    <t xml:space="preserve">TOTAL CERTIFICACIÓN</t>
  </si>
  <si>
    <t xml:space="preserve">N.º vehículo</t>
  </si>
  <si>
    <t xml:space="preserve">Tipo</t>
  </si>
  <si>
    <t xml:space="preserve">MATRICULA</t>
  </si>
  <si>
    <t xml:space="preserve">RUTA</t>
  </si>
  <si>
    <t xml:space="preserve">HORARIO</t>
  </si>
  <si>
    <t xml:space="preserve">CARGA</t>
  </si>
  <si>
    <t xml:space="preserve">MULTILIFT GRÚA</t>
  </si>
  <si>
    <t xml:space="preserve">Volquete Jardinería</t>
  </si>
  <si>
    <t xml:space="preserve">Dia/Noche</t>
  </si>
  <si>
    <t xml:space="preserve">Recolector 22 _ 1</t>
  </si>
  <si>
    <t xml:space="preserve">2-3-4-5</t>
  </si>
  <si>
    <t xml:space="preserve">Recolector 22 _ 2</t>
  </si>
  <si>
    <t xml:space="preserve">volquete 4x4 LV</t>
  </si>
  <si>
    <t xml:space="preserve">Recolector 17</t>
  </si>
  <si>
    <t xml:space="preserve">Sustituya a 318</t>
  </si>
  <si>
    <t xml:space="preserve">volquete doble LV</t>
  </si>
  <si>
    <t xml:space="preserve">Recolector 5</t>
  </si>
  <si>
    <t xml:space="preserve">volquete</t>
  </si>
  <si>
    <t xml:space="preserve">Día</t>
  </si>
  <si>
    <t xml:space="preserve">8500BYJ</t>
  </si>
  <si>
    <t xml:space="preserve">Sustituya a 109</t>
  </si>
  <si>
    <t xml:space="preserve">N.º OPERARIOS</t>
  </si>
  <si>
    <t xml:space="preserve">FRECUENCIA</t>
  </si>
  <si>
    <t xml:space="preserve">2828CZW</t>
  </si>
  <si>
    <t xml:space="preserve">Camión FOBESA</t>
  </si>
  <si>
    <t xml:space="preserve">5936GJY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</si>
</sst>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\-YY"/>
    <numFmt numFmtId="166" formatCode="H:MM"/>
    <numFmt numFmtId="167" formatCode="#,##0"/>
    <numFmt numFmtId="168" formatCode="DD/MM/YYYY"/>
    <numFmt numFmtId="169" formatCode="#,##0;[RED]\-#,##0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0"/>
    </font>
    <font>
      <b val="true"/>
      <sz val="11"/>
      <name val="Calibri"/>
      <family val="2"/>
    </font>
    <font>
      <sz val="11"/>
      <color rgb="FF000000"/>
      <name val="Frutiger 45 Light"/>
      <family val="2"/>
    </font>
    <font>
      <b val="true"/>
      <sz val="11"/>
      <color rgb="FFCE181E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BCC"/>
        <bgColor rgb="FFFFF9AE"/>
      </patternFill>
    </fill>
    <fill>
      <patternFill patternType="solid">
        <fgColor rgb="FFFFF9AE"/>
        <bgColor rgb="FFFFFBCC"/>
      </patternFill>
    </fill>
    <fill>
      <patternFill patternType="solid">
        <fgColor rgb="FFFCD3C1"/>
        <bgColor rgb="FFFFCCCC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6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26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7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1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0" fillId="0" borderId="1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0" fillId="0" borderId="12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0" fillId="0" borderId="1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7" fillId="0" borderId="2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0" fillId="0" borderId="1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0" fillId="0" borderId="1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0" fillId="0" borderId="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0" fillId="0" borderId="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0" fillId="0" borderId="1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27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7" fillId="2" borderId="27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2" borderId="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9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9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9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9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29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29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8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3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3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0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4" fontId="8" fillId="0" borderId="0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1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3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1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3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3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32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29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3" borderId="29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33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3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34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34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1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9" fontId="8" fillId="0" borderId="31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3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3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35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6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7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7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38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3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9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29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29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4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33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34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41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7" fontId="8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42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4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7" fontId="8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5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4" borderId="43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31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3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44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1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2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2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2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2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8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6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3" borderId="3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6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7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8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8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7" fontId="8" fillId="0" borderId="8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2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6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8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3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Campo de la tabla dinámica" xfId="20" builtinId="53" customBuiltin="true"/>
    <cellStyle name="Esquina de la tabla dinámica" xfId="21" builtinId="53" customBuiltin="true"/>
    <cellStyle name="Valor de la tabla dinámica" xfId="22" builtinId="53" customBuiltin="true"/>
    <cellStyle name="Categoría de la tabla dinámica" xfId="23" builtinId="53" customBuiltin="true"/>
    <cellStyle name="Título de la tabla dinámica" xfId="24" builtinId="53" customBuiltin="true"/>
    <cellStyle name="Resultado de la tabla dinámica" xfId="25" builtinId="53" customBuiltin="true"/>
    <cellStyle name="Excel Built-in Explanatory Text" xfId="26" builtinId="53" customBuiltin="true"/>
  </cellStyles>
  <dxfs count="4">
    <dxf>
      <alignment horizontal="general" vertical="bottom" textRotation="0" wrapText="false" indent="0" shrinkToFit="false" readingOrder="1"/>
    </dxf>
    <dxf>
      <alignment horizontal="general" vertical="bottom" textRotation="0" wrapText="false" indent="0" shrinkToFit="false" readingOrder="1"/>
    </dxf>
    <dxf>
      <alignment horizontal="general" vertical="bottom" textRotation="0" wrapText="false" indent="0" shrinkToFit="false" readingOrder="1"/>
    </dxf>
    <dxf>
      <alignment horizontal="general" vertical="bottom" textRotation="0" wrapText="false" indent="0" shrinkToFit="false" readingOrder="1"/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CC"/>
      <rgbColor rgb="FFCCFFFF"/>
      <rgbColor rgb="FF660066"/>
      <rgbColor rgb="FFFF8080"/>
      <rgbColor rgb="FF0066CC"/>
      <rgbColor rgb="FFFF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9AE"/>
      <rgbColor rgb="FF99CCFF"/>
      <rgbColor rgb="FFFF99CC"/>
      <rgbColor rgb="FFCC99FF"/>
      <rgbColor rgb="FFFCD3C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E18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51">
  <cacheSource type="worksheet">
    <worksheetSource ref="A1:J252" sheet="Hoja1"/>
  </cacheSource>
  <cacheFields count="10">
    <cacheField name="Fecha" numFmtId="0">
      <sharedItems count="31" containsMixedTypes="0" containsSemiMixedTypes="0" containsString="0" containsNumber="1">
        <n v="44682"/>
        <n v="44683"/>
        <n v="44684"/>
        <n v="44685"/>
        <n v="44686"/>
        <n v="44687"/>
        <n v="44688"/>
        <n v="44689"/>
        <n v="44690"/>
        <n v="44691"/>
        <n v="44692"/>
        <n v="44693"/>
        <n v="44694"/>
        <n v="44695"/>
        <n v="44696"/>
        <n v="44697"/>
        <n v="44698"/>
        <n v="44699"/>
        <n v="44700"/>
        <n v="44701"/>
        <n v="44702"/>
        <n v="44703"/>
        <n v="44704"/>
        <n v="44705"/>
        <n v="44706"/>
        <n v="44707"/>
        <n v="44708"/>
        <n v="44709"/>
        <n v="44710"/>
        <n v="44711"/>
        <n v="44712"/>
      </sharedItems>
    </cacheField>
    <cacheField name="Fecha / hora" numFmtId="0">
      <sharedItems count="194" containsMixedTypes="0" containsSemiMixedTypes="0" containsString="0" containsNumber="1">
        <n v="0.0256944444444444"/>
        <n v="0.0298611111111111"/>
        <n v="0.0472222222222222"/>
        <n v="0.0576388888888889"/>
        <n v="0.0618055555555556"/>
        <n v="0.0680555555555555"/>
        <n v="0.0736111111111111"/>
        <n v="0.0784722222222222"/>
        <n v="0.0791666666666667"/>
        <n v="0.08125"/>
        <n v="0.0833333333333333"/>
        <n v="0.0847222222222222"/>
        <n v="0.0854166666666667"/>
        <n v="0.0861111111111111"/>
        <n v="0.0895833333333333"/>
        <n v="0.0951388888888889"/>
        <n v="0.0958333333333333"/>
        <n v="0.0993055555555556"/>
        <n v="0.101388888888889"/>
        <n v="0.105555555555556"/>
        <n v="0.113194444444444"/>
        <n v="0.113888888888889"/>
        <n v="0.114583333333333"/>
        <n v="0.115277777777778"/>
        <n v="0.117361111111111"/>
        <n v="0.11875"/>
        <n v="0.119444444444444"/>
        <n v="0.120138888888889"/>
        <n v="0.122222222222222"/>
        <n v="0.123611111111111"/>
        <n v="0.125694444444444"/>
        <n v="0.127083333333333"/>
        <n v="0.128472222222222"/>
        <n v="0.129861111111111"/>
        <n v="0.132638888888889"/>
        <n v="0.134722222222222"/>
        <n v="0.135416666666667"/>
        <n v="0.138194444444444"/>
        <n v="0.138888888888889"/>
        <n v="0.141666666666667"/>
        <n v="0.142361111111111"/>
        <n v="0.146527777777778"/>
        <n v="0.152083333333333"/>
        <n v="0.152777777777778"/>
        <n v="0.153472222222222"/>
        <n v="0.154166666666667"/>
        <n v="0.154861111111111"/>
        <n v="0.155555555555556"/>
        <n v="0.15625"/>
        <n v="0.160416666666667"/>
        <n v="0.161805555555556"/>
        <n v="0.163888888888889"/>
        <n v="0.16875"/>
        <n v="0.170138888888889"/>
        <n v="0.171527777777778"/>
        <n v="0.173611111111111"/>
        <n v="0.182638888888889"/>
        <n v="0.183333333333333"/>
        <n v="0.185416666666667"/>
        <n v="0.188194444444444"/>
        <n v="0.189583333333333"/>
        <n v="0.195138888888889"/>
        <n v="0.195833333333333"/>
        <n v="0.200694444444444"/>
        <n v="0.205555555555556"/>
        <n v="0.208333333333333"/>
        <n v="0.2125"/>
        <n v="0.213194444444444"/>
        <n v="0.215972222222222"/>
        <n v="0.216666666666667"/>
        <n v="0.217361111111111"/>
        <n v="0.220833333333333"/>
        <n v="0.221527777777778"/>
        <n v="0.222222222222222"/>
        <n v="0.223611111111111"/>
        <n v="0.228472222222222"/>
        <n v="0.23125"/>
        <n v="0.231944444444444"/>
        <n v="0.233333333333333"/>
        <n v="0.234722222222222"/>
        <n v="0.236805555555556"/>
        <n v="0.238194444444444"/>
        <n v="0.239583333333333"/>
        <n v="0.240277777777778"/>
        <n v="0.241666666666667"/>
        <n v="0.24375"/>
        <n v="0.245138888888889"/>
        <n v="0.245833333333333"/>
        <n v="0.246527777777778"/>
        <n v="0.247916666666667"/>
        <n v="0.248611111111111"/>
        <n v="0.249305555555556"/>
        <n v="0.25"/>
        <n v="0.250694444444444"/>
        <n v="0.251388888888889"/>
        <n v="0.252083333333333"/>
        <n v="0.252777777777778"/>
        <n v="0.253472222222222"/>
        <n v="0.254166666666667"/>
        <n v="0.254861111111111"/>
        <n v="0.255555555555556"/>
        <n v="0.25625"/>
        <n v="0.258333333333333"/>
        <n v="0.259027777777778"/>
        <n v="0.259722222222222"/>
        <n v="0.261111111111111"/>
        <n v="0.261805555555556"/>
        <n v="0.304861111111111"/>
        <n v="0.313888888888889"/>
        <n v="0.330555555555556"/>
        <n v="0.340972222222222"/>
        <n v="0.342361111111111"/>
        <n v="0.345833333333333"/>
        <n v="0.346527777777778"/>
        <n v="0.35"/>
        <n v="0.354166666666667"/>
        <n v="0.35625"/>
        <n v="0.359722222222222"/>
        <n v="0.364583333333333"/>
        <n v="0.367361111111111"/>
        <n v="0.370833333333333"/>
        <n v="0.377777777777778"/>
        <n v="0.379861111111111"/>
        <n v="0.395138888888889"/>
        <n v="0.424305555555556"/>
        <n v="0.426388888888889"/>
        <n v="0.429166666666667"/>
        <n v="0.430555555555556"/>
        <n v="0.431944444444444"/>
        <n v="0.432638888888889"/>
        <n v="0.433333333333333"/>
        <n v="0.434722222222222"/>
        <n v="0.436805555555555"/>
        <n v="0.438194444444444"/>
        <n v="0.451388888888889"/>
        <n v="0.452777777777778"/>
        <n v="0.454861111111111"/>
        <n v="0.456944444444444"/>
        <n v="0.460416666666667"/>
        <n v="0.461111111111111"/>
        <n v="0.463194444444444"/>
        <n v="0.465972222222222"/>
        <n v="0.467361111111111"/>
        <n v="0.468055555555555"/>
        <n v="0.469444444444444"/>
        <n v="0.480555555555556"/>
        <n v="0.484027777777778"/>
        <n v="0.490277777777778"/>
        <n v="0.490972222222222"/>
        <n v="0.49375"/>
        <n v="0.495138888888889"/>
        <n v="0.497222222222222"/>
        <n v="0.5"/>
        <n v="0.501388888888889"/>
        <n v="0.502083333333333"/>
        <n v="0.502777777777778"/>
        <n v="0.503472222222222"/>
        <n v="0.504166666666667"/>
        <n v="0.505555555555556"/>
        <n v="0.50625"/>
        <n v="0.509027777777778"/>
        <n v="0.509722222222222"/>
        <n v="0.511111111111111"/>
        <n v="0.511805555555555"/>
        <n v="0.5125"/>
        <n v="0.513194444444444"/>
        <n v="0.514583333333333"/>
        <n v="0.515277777777778"/>
        <n v="0.516666666666667"/>
        <n v="0.517361111111111"/>
        <n v="0.518055555555556"/>
        <n v="0.51875"/>
        <n v="0.521527777777778"/>
        <n v="0.522222222222222"/>
        <n v="0.523611111111111"/>
        <n v="0.524305555555556"/>
        <n v="0.526388888888889"/>
        <n v="0.527777777777778"/>
        <n v="0.528472222222222"/>
        <n v="0.529166666666667"/>
        <n v="0.530555555555556"/>
        <n v="0.532638888888889"/>
        <n v="0.534027777777778"/>
        <n v="0.538194444444444"/>
        <n v="0.539583333333333"/>
        <n v="0.540277777777778"/>
        <n v="0.541666666666667"/>
        <n v="0.54375"/>
        <n v="0.544444444444444"/>
        <n v="0.545833333333333"/>
        <n v="0.546527777777778"/>
        <n v="0.550694444444444"/>
        <n v="0.666666666666667"/>
        <n v="0.969444444444444"/>
      </sharedItems>
    </cacheField>
    <cacheField name="Ticket" numFmtId="0">
      <sharedItems count="250" containsMixedTypes="1" containsSemiMixedTypes="1" containsString="0" containsNumber="1">
        <n v="2017"/>
        <n v="2841"/>
        <n v="2877"/>
        <n v="2896"/>
        <n v="2907"/>
        <n v="4464"/>
        <n v="4469"/>
        <n v="4473"/>
        <n v="4476"/>
        <n v="4477"/>
        <n v="4481"/>
        <n v="4489"/>
        <n v="4494"/>
        <n v="4495"/>
        <n v="4500"/>
        <n v="4502"/>
        <n v="4510"/>
        <n v="4513"/>
        <n v="4522"/>
        <n v="4526"/>
        <n v="4544"/>
        <n v="4550"/>
        <n v="4551"/>
        <n v="4554"/>
        <n v="4574"/>
        <n v="4576"/>
        <n v="4580"/>
        <n v="4598"/>
        <n v="4606"/>
        <n v="4607"/>
        <n v="4608"/>
        <n v="4623"/>
        <n v="4624"/>
        <n v="4631"/>
        <n v="4635"/>
        <n v="4638"/>
        <n v="4640"/>
        <n v="4648"/>
        <n v="4649"/>
        <n v="4668"/>
        <n v="4677"/>
        <n v="4678"/>
        <n v="4679"/>
        <n v="4687"/>
        <n v="4689"/>
        <n v="4693"/>
        <n v="4701"/>
        <n v="4715"/>
        <n v="4716"/>
        <n v="4744"/>
        <n v="4745"/>
        <n v="4752"/>
        <n v="4753"/>
        <n v="4786"/>
        <n v="4787"/>
        <n v="4789"/>
        <n v="4792"/>
        <n v="4808"/>
        <n v="4810"/>
        <n v="4816"/>
        <n v="4817"/>
        <n v="4818"/>
        <n v="4824"/>
        <n v="4832"/>
        <n v="4835"/>
        <n v="4836"/>
        <n v="4839"/>
        <n v="4842"/>
        <n v="4844"/>
        <n v="4849"/>
        <n v="4851"/>
        <n v="4860"/>
        <n v="4861"/>
        <n v="4866"/>
        <n v="4876"/>
        <n v="4887"/>
        <n v="4890"/>
        <n v="4896"/>
        <n v="4898"/>
        <n v="4899"/>
        <n v="4903"/>
        <n v="4909"/>
        <n v="4915"/>
        <n v="4921"/>
        <n v="4934"/>
        <n v="4939"/>
        <n v="4940"/>
        <n v="4941"/>
        <n v="4946"/>
        <n v="4950"/>
        <n v="4953"/>
        <n v="4955"/>
        <n v="4958"/>
        <n v="4965"/>
        <n v="4970"/>
        <n v="4971"/>
        <n v="4977"/>
        <n v="4983"/>
        <n v="4986"/>
        <n v="4993"/>
        <n v="4994"/>
        <n v="5000"/>
        <n v="5006"/>
        <n v="5007"/>
        <n v="5008"/>
        <n v="5020"/>
        <n v="5022"/>
        <n v="5029"/>
        <n v="5036"/>
        <n v="5039"/>
        <n v="5040"/>
        <n v="5047"/>
        <n v="5054"/>
        <n v="5058"/>
        <n v="5059"/>
        <n v="5060"/>
        <n v="5065"/>
        <n v="5066"/>
        <n v="5074"/>
        <n v="5081"/>
        <n v="5082"/>
        <n v="5096"/>
        <n v="5098"/>
        <n v="5121"/>
        <n v="5125"/>
        <n v="5128"/>
        <n v="5131"/>
        <n v="5134"/>
        <n v="5154"/>
        <n v="5182"/>
        <n v="5184"/>
        <n v="5187"/>
        <n v="5191"/>
        <n v="5192"/>
        <n v="5198"/>
        <n v="5208"/>
        <n v="5212"/>
        <n v="5218"/>
        <n v="5223"/>
        <n v="5224"/>
        <n v="5244"/>
        <n v="5245"/>
        <n v="5248"/>
        <n v="5253"/>
        <n v="5254"/>
        <n v="5268"/>
        <n v="5279"/>
        <n v="5282"/>
        <n v="5302"/>
        <n v="5304"/>
        <n v="5309"/>
        <n v="5311"/>
        <n v="5312"/>
        <n v="5325"/>
        <n v="5327"/>
        <n v="5339"/>
        <n v="5352"/>
        <n v="5354"/>
        <n v="5361"/>
        <n v="5362"/>
        <n v="5363"/>
        <n v="5372"/>
        <n v="5375"/>
        <n v="5382"/>
        <n v="5384"/>
        <n v="5385"/>
        <n v="5388"/>
        <n v="5391"/>
        <n v="5392"/>
        <n v="5394"/>
        <n v="5396"/>
        <n v="5401"/>
        <n v="5409"/>
        <n v="5410"/>
        <n v="5425"/>
        <n v="5433"/>
        <n v="5449"/>
        <n v="5458"/>
        <n v="5463"/>
        <n v="5464"/>
        <n v="5476"/>
        <n v="5480"/>
        <n v="5483"/>
        <n v="5488"/>
        <n v="5492"/>
        <n v="5494"/>
        <n v="5501"/>
        <n v="5503"/>
        <n v="5508"/>
        <n v="5509"/>
        <n v="5514"/>
        <n v="5516"/>
        <n v="5524"/>
        <n v="5531"/>
        <n v="5535"/>
        <n v="5536"/>
        <n v="5537"/>
        <n v="5538"/>
        <n v="5549"/>
        <n v="5556"/>
        <n v="5560"/>
        <n v="5561"/>
        <n v="5575"/>
        <n v="5580"/>
        <n v="5582"/>
        <n v="5600"/>
        <n v="5607"/>
        <n v="5609"/>
        <n v="5614"/>
        <n v="5615"/>
        <n v="5630"/>
        <n v="5638"/>
        <n v="5640"/>
        <n v="5646"/>
        <n v="5649"/>
        <n v="5653"/>
        <n v="5657"/>
        <n v="5661"/>
        <n v="5662"/>
        <n v="5671"/>
        <n v="5673"/>
        <n v="5681"/>
        <n v="5683"/>
        <n v="5684"/>
        <n v="5687"/>
        <n v="5690"/>
        <n v="5692"/>
        <n v="5699"/>
        <n v="5700"/>
        <n v="5707"/>
        <n v="5708"/>
        <n v="5717"/>
        <n v="5734"/>
        <n v="5736"/>
        <n v="5742"/>
        <n v="5751"/>
        <n v="5752"/>
        <n v="5759"/>
        <n v="5761"/>
        <n v="5762"/>
        <n v="5791"/>
        <n v="5795"/>
        <n v="5797"/>
        <n v="5803"/>
        <n v="17540"/>
        <n v="138863"/>
        <n v="139275"/>
        <n v="139466"/>
        <n v="139723"/>
        <m/>
      </sharedItems>
    </cacheField>
    <cacheField name="Matrícula" numFmtId="0">
      <sharedItems count="10" containsMixedTypes="0" containsSemiMixedTypes="0" containsString="1" containsNumber="0">
        <s v="0315BGK"/>
        <s v="1076KSZ"/>
        <s v="1730KBZ"/>
        <s v="1821KBZ"/>
        <s v="3686KBG"/>
        <s v="5313GBZ"/>
        <s v="6120JZX"/>
        <s v="7542KBV"/>
        <s v="7809JZX"/>
        <s v="7957JZS"/>
      </sharedItems>
    </cacheField>
    <cacheField name="Peso total" numFmtId="0">
      <sharedItems count="184" containsMixedTypes="0" containsSemiMixedTypes="0" containsString="0" containsNumber="1">
        <n v="2600"/>
        <n v="2620"/>
        <n v="2640"/>
        <n v="2660"/>
        <n v="2680"/>
        <n v="2700"/>
        <n v="2720"/>
        <n v="2740"/>
        <n v="2760"/>
        <n v="2860"/>
        <n v="2880"/>
        <n v="2900"/>
        <n v="3020"/>
        <n v="3040"/>
        <n v="3060"/>
        <n v="3100"/>
        <n v="3120"/>
        <n v="3140"/>
        <n v="3200"/>
        <n v="3220"/>
        <n v="3240"/>
        <n v="3260"/>
        <n v="3280"/>
        <n v="3300"/>
        <n v="3320"/>
        <n v="3340"/>
        <n v="3360"/>
        <n v="3380"/>
        <n v="3400"/>
        <n v="3420"/>
        <n v="3440"/>
        <n v="3460"/>
        <n v="3500"/>
        <n v="3520"/>
        <n v="3660"/>
        <n v="3700"/>
        <n v="3780"/>
        <n v="3800"/>
        <n v="3920"/>
        <n v="4100"/>
        <n v="4120"/>
        <n v="4180"/>
        <n v="4240"/>
        <n v="4320"/>
        <n v="4460"/>
        <n v="4500"/>
        <n v="4520"/>
        <n v="4700"/>
        <n v="4720"/>
        <n v="4740"/>
        <n v="4780"/>
        <n v="4800"/>
        <n v="4820"/>
        <n v="4940"/>
        <n v="4960"/>
        <n v="5920"/>
        <n v="5980"/>
        <n v="6120"/>
        <n v="6200"/>
        <n v="6320"/>
        <n v="6360"/>
        <n v="6420"/>
        <n v="6460"/>
        <n v="6520"/>
        <n v="6540"/>
        <n v="6560"/>
        <n v="6580"/>
        <n v="6600"/>
        <n v="6660"/>
        <n v="6740"/>
        <n v="6780"/>
        <n v="6840"/>
        <n v="7040"/>
        <n v="14380"/>
        <n v="14440"/>
        <n v="14920"/>
        <n v="15080"/>
        <n v="15540"/>
        <n v="15620"/>
        <n v="15700"/>
        <n v="15760"/>
        <n v="15840"/>
        <n v="15880"/>
        <n v="15900"/>
        <n v="16040"/>
        <n v="16220"/>
        <n v="16320"/>
        <n v="16480"/>
        <n v="16500"/>
        <n v="16520"/>
        <n v="16600"/>
        <n v="16760"/>
        <n v="16840"/>
        <n v="17000"/>
        <n v="17080"/>
        <n v="17300"/>
        <n v="17540"/>
        <n v="17560"/>
        <n v="17580"/>
        <n v="17780"/>
        <n v="17880"/>
        <n v="18140"/>
        <n v="18220"/>
        <n v="18520"/>
        <n v="18540"/>
        <n v="18600"/>
        <n v="18800"/>
        <n v="19160"/>
        <n v="19340"/>
        <n v="19520"/>
        <n v="19560"/>
        <n v="19660"/>
        <n v="19680"/>
        <n v="19780"/>
        <n v="19860"/>
        <n v="19880"/>
        <n v="19960"/>
        <n v="20020"/>
        <n v="20060"/>
        <n v="20280"/>
        <n v="20320"/>
        <n v="20400"/>
        <n v="20420"/>
        <n v="20520"/>
        <n v="20620"/>
        <n v="20640"/>
        <n v="20700"/>
        <n v="20740"/>
        <n v="20920"/>
        <n v="20940"/>
        <n v="20980"/>
        <n v="21000"/>
        <n v="21020"/>
        <n v="21060"/>
        <n v="21080"/>
        <n v="21200"/>
        <n v="21260"/>
        <n v="21280"/>
        <n v="21300"/>
        <n v="21360"/>
        <n v="21400"/>
        <n v="21420"/>
        <n v="21460"/>
        <n v="21480"/>
        <n v="21520"/>
        <n v="21580"/>
        <n v="21720"/>
        <n v="21860"/>
        <n v="21900"/>
        <n v="22020"/>
        <n v="22440"/>
        <n v="22460"/>
        <n v="22480"/>
        <n v="22640"/>
        <n v="22900"/>
        <n v="23060"/>
        <n v="23320"/>
        <n v="23360"/>
        <n v="23500"/>
        <n v="23620"/>
        <n v="23680"/>
        <n v="23840"/>
        <n v="23860"/>
        <n v="23880"/>
        <n v="24080"/>
        <n v="24160"/>
        <n v="24520"/>
        <n v="24620"/>
        <n v="24780"/>
        <n v="24820"/>
        <n v="24840"/>
        <n v="25000"/>
        <n v="25220"/>
        <n v="25620"/>
        <n v="25700"/>
        <n v="26380"/>
        <n v="26900"/>
        <n v="26960"/>
        <n v="27160"/>
        <n v="27460"/>
        <n v="27500"/>
        <n v="27640"/>
        <n v="27860"/>
        <n v="28120"/>
      </sharedItems>
    </cacheField>
    <cacheField name="Tara" numFmtId="0">
      <sharedItems count="80" containsMixedTypes="0" containsSemiMixedTypes="0" containsString="0" containsNumber="1">
        <n v="2300"/>
        <n v="2320"/>
        <n v="2360"/>
        <n v="2380"/>
        <n v="2400"/>
        <n v="2420"/>
        <n v="2440"/>
        <n v="2480"/>
        <n v="2620"/>
        <n v="2680"/>
        <n v="2700"/>
        <n v="2720"/>
        <n v="2740"/>
        <n v="2760"/>
        <n v="2780"/>
        <n v="2800"/>
        <n v="2820"/>
        <n v="2840"/>
        <n v="2860"/>
        <n v="2880"/>
        <n v="2900"/>
        <n v="2940"/>
        <n v="2960"/>
        <n v="3560"/>
        <n v="3580"/>
        <n v="3600"/>
        <n v="3680"/>
        <n v="3700"/>
        <n v="3720"/>
        <n v="3740"/>
        <n v="3760"/>
        <n v="3780"/>
        <n v="3800"/>
        <n v="3820"/>
        <n v="5500"/>
        <n v="5560"/>
        <n v="5580"/>
        <n v="5600"/>
        <n v="5620"/>
        <n v="5680"/>
        <n v="5700"/>
        <n v="12440"/>
        <n v="12520"/>
        <n v="12640"/>
        <n v="12660"/>
        <n v="12680"/>
        <n v="12700"/>
        <n v="12720"/>
        <n v="12740"/>
        <n v="12760"/>
        <n v="12780"/>
        <n v="12800"/>
        <n v="12820"/>
        <n v="12840"/>
        <n v="12860"/>
        <n v="12880"/>
        <n v="12900"/>
        <n v="12920"/>
        <n v="12960"/>
        <n v="13000"/>
        <n v="15660"/>
        <n v="15760"/>
        <n v="15780"/>
        <n v="15800"/>
        <n v="15820"/>
        <n v="15840"/>
        <n v="15860"/>
        <n v="15880"/>
        <n v="15900"/>
        <n v="15920"/>
        <n v="15940"/>
        <n v="15960"/>
        <n v="15980"/>
        <n v="16000"/>
        <n v="16020"/>
        <n v="16040"/>
        <n v="16080"/>
        <n v="16100"/>
        <n v="16160"/>
        <n v="16200"/>
      </sharedItems>
    </cacheField>
    <cacheField name="Carga" numFmtId="0">
      <sharedItems count="159" containsMixedTypes="0" containsSemiMixedTypes="0" containsString="0" containsNumber="1">
        <n v="160"/>
        <n v="180"/>
        <n v="200"/>
        <n v="220"/>
        <n v="240"/>
        <n v="260"/>
        <n v="280"/>
        <n v="300"/>
        <n v="320"/>
        <n v="340"/>
        <n v="360"/>
        <n v="380"/>
        <n v="400"/>
        <n v="420"/>
        <n v="440"/>
        <n v="480"/>
        <n v="500"/>
        <n v="520"/>
        <n v="540"/>
        <n v="560"/>
        <n v="580"/>
        <n v="600"/>
        <n v="620"/>
        <n v="640"/>
        <n v="660"/>
        <n v="680"/>
        <n v="700"/>
        <n v="720"/>
        <n v="760"/>
        <n v="780"/>
        <n v="800"/>
        <n v="820"/>
        <n v="840"/>
        <n v="860"/>
        <n v="880"/>
        <n v="900"/>
        <n v="920"/>
        <n v="940"/>
        <n v="960"/>
        <n v="980"/>
        <n v="1000"/>
        <n v="1020"/>
        <n v="1040"/>
        <n v="1060"/>
        <n v="1080"/>
        <n v="1120"/>
        <n v="1140"/>
        <n v="1160"/>
        <n v="1180"/>
        <n v="1200"/>
        <n v="1260"/>
        <n v="1340"/>
        <n v="1440"/>
        <n v="1720"/>
        <n v="1740"/>
        <n v="1800"/>
        <n v="1820"/>
        <n v="1880"/>
        <n v="2020"/>
        <n v="2160"/>
        <n v="2380"/>
        <n v="2520"/>
        <n v="2740"/>
        <n v="2760"/>
        <n v="2820"/>
        <n v="2840"/>
        <n v="2880"/>
        <n v="2920"/>
        <n v="2940"/>
        <n v="2980"/>
        <n v="3200"/>
        <n v="3220"/>
        <n v="3320"/>
        <n v="3440"/>
        <n v="3520"/>
        <n v="3560"/>
        <n v="3580"/>
        <n v="3640"/>
        <n v="3660"/>
        <n v="3680"/>
        <n v="3720"/>
        <n v="3760"/>
        <n v="3780"/>
        <n v="3860"/>
        <n v="3940"/>
        <n v="4000"/>
        <n v="4020"/>
        <n v="4060"/>
        <n v="4200"/>
        <n v="4260"/>
        <n v="4320"/>
        <n v="4380"/>
        <n v="4460"/>
        <n v="4540"/>
        <n v="4660"/>
        <n v="4780"/>
        <n v="4800"/>
        <n v="4840"/>
        <n v="4860"/>
        <n v="5140"/>
        <n v="5200"/>
        <n v="5360"/>
        <n v="5460"/>
        <n v="5640"/>
        <n v="5720"/>
        <n v="5800"/>
        <n v="6300"/>
        <n v="6420"/>
        <n v="6600"/>
        <n v="6760"/>
        <n v="6940"/>
        <n v="7160"/>
        <n v="7340"/>
        <n v="7420"/>
        <n v="7520"/>
        <n v="7620"/>
        <n v="7640"/>
        <n v="7660"/>
        <n v="7800"/>
        <n v="7920"/>
        <n v="8060"/>
        <n v="8100"/>
        <n v="8140"/>
        <n v="8160"/>
        <n v="8200"/>
        <n v="8220"/>
        <n v="8300"/>
        <n v="8320"/>
        <n v="8420"/>
        <n v="8460"/>
        <n v="8500"/>
        <n v="8560"/>
        <n v="8620"/>
        <n v="8660"/>
        <n v="8680"/>
        <n v="8700"/>
        <n v="8720"/>
        <n v="8740"/>
        <n v="8780"/>
        <n v="8840"/>
        <n v="8860"/>
        <n v="8920"/>
        <n v="9120"/>
        <n v="9140"/>
        <n v="9200"/>
        <n v="9240"/>
        <n v="9600"/>
        <n v="9680"/>
        <n v="9900"/>
        <n v="10480"/>
        <n v="10580"/>
        <n v="10900"/>
        <n v="11000"/>
        <n v="11300"/>
        <n v="11380"/>
        <n v="11440"/>
        <n v="11720"/>
        <n v="12040"/>
        <n v="12220"/>
      </sharedItems>
    </cacheField>
    <cacheField name="Población" numFmtId="0">
      <sharedItems count="1" containsMixedTypes="0" containsSemiMixedTypes="0" containsString="1" containsNumber="0">
        <s v="PEÑISCOLA "/>
      </sharedItems>
    </cacheField>
    <cacheField name="Residuo" numFmtId="0">
      <sharedItems count="5" containsMixedTypes="0" containsSemiMixedTypes="0" containsString="1" containsNumber="0">
        <s v="PODA"/>
        <s v="RSU"/>
        <s v="SEL.ENV"/>
        <s v="SEL.PAP"/>
        <s v="VOL"/>
      </sharedItems>
    </cacheField>
    <cacheField name="Revisión" numFmtId="0">
      <sharedItems count="2" containsMixedTypes="1" containsSemiMixedTypes="1" containsString="1" containsNumber="0">
        <s v="x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1">
  <r>
    <x v="0"/>
    <x v="72"/>
    <x v="8"/>
    <x v="8"/>
    <x v="53"/>
    <x v="25"/>
    <x v="51"/>
    <x v="0"/>
    <x v="1"/>
    <x v="0"/>
  </r>
  <r>
    <x v="0"/>
    <x v="31"/>
    <x v="6"/>
    <x v="7"/>
    <x v="151"/>
    <x v="54"/>
    <x v="146"/>
    <x v="0"/>
    <x v="1"/>
    <x v="0"/>
  </r>
  <r>
    <x v="0"/>
    <x v="74"/>
    <x v="9"/>
    <x v="7"/>
    <x v="92"/>
    <x v="52"/>
    <x v="86"/>
    <x v="0"/>
    <x v="1"/>
    <x v="0"/>
  </r>
  <r>
    <x v="0"/>
    <x v="65"/>
    <x v="7"/>
    <x v="3"/>
    <x v="155"/>
    <x v="68"/>
    <x v="111"/>
    <x v="0"/>
    <x v="1"/>
    <x v="0"/>
  </r>
  <r>
    <x v="0"/>
    <x v="2"/>
    <x v="5"/>
    <x v="3"/>
    <x v="134"/>
    <x v="70"/>
    <x v="99"/>
    <x v="0"/>
    <x v="1"/>
    <x v="0"/>
  </r>
  <r>
    <x v="1"/>
    <x v="11"/>
    <x v="10"/>
    <x v="7"/>
    <x v="138"/>
    <x v="55"/>
    <x v="128"/>
    <x v="0"/>
    <x v="1"/>
    <x v="0"/>
  </r>
  <r>
    <x v="1"/>
    <x v="86"/>
    <x v="12"/>
    <x v="3"/>
    <x v="177"/>
    <x v="71"/>
    <x v="152"/>
    <x v="0"/>
    <x v="1"/>
    <x v="0"/>
  </r>
  <r>
    <x v="1"/>
    <x v="55"/>
    <x v="11"/>
    <x v="7"/>
    <x v="90"/>
    <x v="44"/>
    <x v="84"/>
    <x v="0"/>
    <x v="1"/>
    <x v="0"/>
  </r>
  <r>
    <x v="1"/>
    <x v="96"/>
    <x v="13"/>
    <x v="8"/>
    <x v="53"/>
    <x v="30"/>
    <x v="48"/>
    <x v="0"/>
    <x v="1"/>
    <x v="0"/>
  </r>
  <r>
    <x v="1"/>
    <x v="162"/>
    <x v="1"/>
    <x v="3"/>
    <x v="91"/>
    <x v="61"/>
    <x v="40"/>
    <x v="0"/>
    <x v="2"/>
    <x v="0"/>
  </r>
  <r>
    <x v="1"/>
    <x v="189"/>
    <x v="19"/>
    <x v="1"/>
    <x v="23"/>
    <x v="13"/>
    <x v="18"/>
    <x v="0"/>
    <x v="0"/>
    <x v="0"/>
  </r>
  <r>
    <x v="1"/>
    <x v="167"/>
    <x v="18"/>
    <x v="6"/>
    <x v="19"/>
    <x v="21"/>
    <x v="6"/>
    <x v="0"/>
    <x v="1"/>
    <x v="0"/>
  </r>
  <r>
    <x v="1"/>
    <x v="134"/>
    <x v="17"/>
    <x v="6"/>
    <x v="30"/>
    <x v="22"/>
    <x v="15"/>
    <x v="0"/>
    <x v="1"/>
    <x v="0"/>
  </r>
  <r>
    <x v="1"/>
    <x v="111"/>
    <x v="14"/>
    <x v="6"/>
    <x v="18"/>
    <x v="19"/>
    <x v="8"/>
    <x v="0"/>
    <x v="1"/>
    <x v="0"/>
  </r>
  <r>
    <x v="1"/>
    <x v="133"/>
    <x v="16"/>
    <x v="4"/>
    <x v="1"/>
    <x v="4"/>
    <x v="3"/>
    <x v="0"/>
    <x v="1"/>
    <x v="0"/>
  </r>
  <r>
    <x v="1"/>
    <x v="120"/>
    <x v="15"/>
    <x v="4"/>
    <x v="3"/>
    <x v="4"/>
    <x v="5"/>
    <x v="0"/>
    <x v="1"/>
    <x v="0"/>
  </r>
  <r>
    <x v="2"/>
    <x v="57"/>
    <x v="21"/>
    <x v="7"/>
    <x v="79"/>
    <x v="50"/>
    <x v="67"/>
    <x v="0"/>
    <x v="1"/>
    <x v="0"/>
  </r>
  <r>
    <x v="2"/>
    <x v="146"/>
    <x v="25"/>
    <x v="6"/>
    <x v="26"/>
    <x v="21"/>
    <x v="13"/>
    <x v="0"/>
    <x v="1"/>
    <x v="0"/>
  </r>
  <r>
    <x v="2"/>
    <x v="84"/>
    <x v="23"/>
    <x v="3"/>
    <x v="180"/>
    <x v="79"/>
    <x v="153"/>
    <x v="0"/>
    <x v="1"/>
    <x v="0"/>
  </r>
  <r>
    <x v="2"/>
    <x v="60"/>
    <x v="22"/>
    <x v="8"/>
    <x v="45"/>
    <x v="24"/>
    <x v="36"/>
    <x v="0"/>
    <x v="1"/>
    <x v="0"/>
  </r>
  <r>
    <x v="2"/>
    <x v="153"/>
    <x v="26"/>
    <x v="9"/>
    <x v="70"/>
    <x v="38"/>
    <x v="47"/>
    <x v="0"/>
    <x v="4"/>
    <x v="0"/>
  </r>
  <r>
    <x v="2"/>
    <x v="140"/>
    <x v="24"/>
    <x v="4"/>
    <x v="4"/>
    <x v="4"/>
    <x v="6"/>
    <x v="0"/>
    <x v="1"/>
    <x v="0"/>
  </r>
  <r>
    <x v="2"/>
    <x v="23"/>
    <x v="20"/>
    <x v="7"/>
    <x v="140"/>
    <x v="47"/>
    <x v="134"/>
    <x v="0"/>
    <x v="1"/>
    <x v="0"/>
  </r>
  <r>
    <x v="3"/>
    <x v="76"/>
    <x v="28"/>
    <x v="3"/>
    <x v="158"/>
    <x v="67"/>
    <x v="115"/>
    <x v="0"/>
    <x v="1"/>
    <x v="0"/>
  </r>
  <r>
    <x v="3"/>
    <x v="99"/>
    <x v="30"/>
    <x v="8"/>
    <x v="40"/>
    <x v="28"/>
    <x v="12"/>
    <x v="0"/>
    <x v="1"/>
    <x v="0"/>
  </r>
  <r>
    <x v="3"/>
    <x v="29"/>
    <x v="27"/>
    <x v="7"/>
    <x v="117"/>
    <x v="45"/>
    <x v="112"/>
    <x v="0"/>
    <x v="1"/>
    <x v="0"/>
  </r>
  <r>
    <x v="3"/>
    <x v="97"/>
    <x v="29"/>
    <x v="7"/>
    <x v="73"/>
    <x v="44"/>
    <x v="53"/>
    <x v="0"/>
    <x v="1"/>
    <x v="0"/>
  </r>
  <r>
    <x v="3"/>
    <x v="157"/>
    <x v="35"/>
    <x v="4"/>
    <x v="3"/>
    <x v="4"/>
    <x v="5"/>
    <x v="0"/>
    <x v="1"/>
    <x v="0"/>
  </r>
  <r>
    <x v="3"/>
    <x v="154"/>
    <x v="36"/>
    <x v="9"/>
    <x v="58"/>
    <x v="39"/>
    <x v="17"/>
    <x v="0"/>
    <x v="4"/>
    <x v="0"/>
  </r>
  <r>
    <x v="3"/>
    <x v="119"/>
    <x v="31"/>
    <x v="9"/>
    <x v="61"/>
    <x v="37"/>
    <x v="31"/>
    <x v="0"/>
    <x v="4"/>
    <x v="0"/>
  </r>
  <r>
    <x v="3"/>
    <x v="121"/>
    <x v="32"/>
    <x v="6"/>
    <x v="35"/>
    <x v="15"/>
    <x v="35"/>
    <x v="0"/>
    <x v="4"/>
    <x v="0"/>
  </r>
  <r>
    <x v="3"/>
    <x v="144"/>
    <x v="34"/>
    <x v="0"/>
    <x v="103"/>
    <x v="73"/>
    <x v="61"/>
    <x v="0"/>
    <x v="4"/>
    <x v="0"/>
  </r>
  <r>
    <x v="3"/>
    <x v="136"/>
    <x v="33"/>
    <x v="1"/>
    <x v="18"/>
    <x v="10"/>
    <x v="16"/>
    <x v="0"/>
    <x v="0"/>
    <x v="0"/>
  </r>
  <r>
    <x v="3"/>
    <x v="186"/>
    <x v="37"/>
    <x v="1"/>
    <x v="22"/>
    <x v="14"/>
    <x v="16"/>
    <x v="0"/>
    <x v="0"/>
    <x v="0"/>
  </r>
  <r>
    <x v="3"/>
    <x v="190"/>
    <x v="38"/>
    <x v="6"/>
    <x v="25"/>
    <x v="20"/>
    <x v="14"/>
    <x v="0"/>
    <x v="0"/>
    <x v="0"/>
  </r>
  <r>
    <x v="3"/>
    <x v="173"/>
    <x v="245"/>
    <x v="3"/>
    <x v="106"/>
    <x v="72"/>
    <x v="64"/>
    <x v="0"/>
    <x v="3"/>
    <x v="0"/>
  </r>
  <r>
    <x v="4"/>
    <x v="25"/>
    <x v="39"/>
    <x v="7"/>
    <x v="125"/>
    <x v="53"/>
    <x v="118"/>
    <x v="0"/>
    <x v="1"/>
    <x v="0"/>
  </r>
  <r>
    <x v="4"/>
    <x v="90"/>
    <x v="40"/>
    <x v="3"/>
    <x v="179"/>
    <x v="74"/>
    <x v="155"/>
    <x v="0"/>
    <x v="1"/>
    <x v="0"/>
  </r>
  <r>
    <x v="4"/>
    <x v="98"/>
    <x v="41"/>
    <x v="7"/>
    <x v="75"/>
    <x v="49"/>
    <x v="59"/>
    <x v="0"/>
    <x v="1"/>
    <x v="0"/>
  </r>
  <r>
    <x v="4"/>
    <x v="105"/>
    <x v="42"/>
    <x v="8"/>
    <x v="41"/>
    <x v="26"/>
    <x v="16"/>
    <x v="0"/>
    <x v="1"/>
    <x v="0"/>
  </r>
  <r>
    <x v="4"/>
    <x v="112"/>
    <x v="44"/>
    <x v="9"/>
    <x v="69"/>
    <x v="40"/>
    <x v="42"/>
    <x v="0"/>
    <x v="1"/>
    <x v="0"/>
  </r>
  <r>
    <x v="4"/>
    <x v="110"/>
    <x v="43"/>
    <x v="1"/>
    <x v="32"/>
    <x v="10"/>
    <x v="30"/>
    <x v="0"/>
    <x v="0"/>
    <x v="0"/>
  </r>
  <r>
    <x v="4"/>
    <x v="122"/>
    <x v="45"/>
    <x v="6"/>
    <x v="32"/>
    <x v="19"/>
    <x v="22"/>
    <x v="0"/>
    <x v="0"/>
    <x v="0"/>
  </r>
  <r>
    <x v="4"/>
    <x v="134"/>
    <x v="46"/>
    <x v="1"/>
    <x v="20"/>
    <x v="10"/>
    <x v="18"/>
    <x v="0"/>
    <x v="0"/>
    <x v="0"/>
  </r>
  <r>
    <x v="4"/>
    <x v="182"/>
    <x v="47"/>
    <x v="9"/>
    <x v="57"/>
    <x v="39"/>
    <x v="14"/>
    <x v="0"/>
    <x v="4"/>
    <x v="0"/>
  </r>
  <r>
    <x v="4"/>
    <x v="179"/>
    <x v="48"/>
    <x v="4"/>
    <x v="5"/>
    <x v="3"/>
    <x v="8"/>
    <x v="0"/>
    <x v="1"/>
    <x v="0"/>
  </r>
  <r>
    <x v="5"/>
    <x v="40"/>
    <x v="49"/>
    <x v="7"/>
    <x v="144"/>
    <x v="48"/>
    <x v="138"/>
    <x v="0"/>
    <x v="1"/>
    <x v="0"/>
  </r>
  <r>
    <x v="5"/>
    <x v="48"/>
    <x v="50"/>
    <x v="3"/>
    <x v="172"/>
    <x v="77"/>
    <x v="142"/>
    <x v="0"/>
    <x v="1"/>
    <x v="0"/>
  </r>
  <r>
    <x v="5"/>
    <x v="89"/>
    <x v="51"/>
    <x v="8"/>
    <x v="44"/>
    <x v="32"/>
    <x v="24"/>
    <x v="0"/>
    <x v="1"/>
    <x v="0"/>
  </r>
  <r>
    <x v="5"/>
    <x v="104"/>
    <x v="52"/>
    <x v="3"/>
    <x v="121"/>
    <x v="76"/>
    <x v="90"/>
    <x v="0"/>
    <x v="1"/>
    <x v="0"/>
  </r>
  <r>
    <x v="5"/>
    <x v="160"/>
    <x v="53"/>
    <x v="6"/>
    <x v="33"/>
    <x v="19"/>
    <x v="23"/>
    <x v="0"/>
    <x v="0"/>
    <x v="0"/>
  </r>
  <r>
    <x v="5"/>
    <x v="169"/>
    <x v="55"/>
    <x v="4"/>
    <x v="3"/>
    <x v="3"/>
    <x v="6"/>
    <x v="0"/>
    <x v="1"/>
    <x v="0"/>
  </r>
  <r>
    <x v="5"/>
    <x v="161"/>
    <x v="54"/>
    <x v="1"/>
    <x v="36"/>
    <x v="10"/>
    <x v="44"/>
    <x v="0"/>
    <x v="0"/>
    <x v="0"/>
  </r>
  <r>
    <x v="5"/>
    <x v="181"/>
    <x v="56"/>
    <x v="9"/>
    <x v="66"/>
    <x v="37"/>
    <x v="39"/>
    <x v="0"/>
    <x v="4"/>
    <x v="0"/>
  </r>
  <r>
    <x v="6"/>
    <x v="28"/>
    <x v="57"/>
    <x v="7"/>
    <x v="131"/>
    <x v="53"/>
    <x v="123"/>
    <x v="0"/>
    <x v="1"/>
    <x v="0"/>
  </r>
  <r>
    <x v="6"/>
    <x v="43"/>
    <x v="58"/>
    <x v="3"/>
    <x v="161"/>
    <x v="75"/>
    <x v="118"/>
    <x v="0"/>
    <x v="1"/>
    <x v="0"/>
  </r>
  <r>
    <x v="6"/>
    <x v="100"/>
    <x v="59"/>
    <x v="7"/>
    <x v="95"/>
    <x v="49"/>
    <x v="93"/>
    <x v="0"/>
    <x v="1"/>
    <x v="0"/>
  </r>
  <r>
    <x v="6"/>
    <x v="101"/>
    <x v="60"/>
    <x v="3"/>
    <x v="112"/>
    <x v="74"/>
    <x v="78"/>
    <x v="0"/>
    <x v="1"/>
    <x v="0"/>
  </r>
  <r>
    <x v="6"/>
    <x v="103"/>
    <x v="61"/>
    <x v="8"/>
    <x v="46"/>
    <x v="27"/>
    <x v="31"/>
    <x v="0"/>
    <x v="1"/>
    <x v="0"/>
  </r>
  <r>
    <x v="6"/>
    <x v="148"/>
    <x v="62"/>
    <x v="4"/>
    <x v="3"/>
    <x v="2"/>
    <x v="7"/>
    <x v="0"/>
    <x v="1"/>
    <x v="0"/>
  </r>
  <r>
    <x v="7"/>
    <x v="37"/>
    <x v="63"/>
    <x v="7"/>
    <x v="156"/>
    <x v="48"/>
    <x v="150"/>
    <x v="0"/>
    <x v="1"/>
    <x v="0"/>
  </r>
  <r>
    <x v="7"/>
    <x v="44"/>
    <x v="64"/>
    <x v="3"/>
    <x v="170"/>
    <x v="73"/>
    <x v="139"/>
    <x v="0"/>
    <x v="1"/>
    <x v="0"/>
  </r>
  <r>
    <x v="7"/>
    <x v="68"/>
    <x v="65"/>
    <x v="8"/>
    <x v="48"/>
    <x v="23"/>
    <x v="47"/>
    <x v="0"/>
    <x v="1"/>
    <x v="0"/>
  </r>
  <r>
    <x v="7"/>
    <x v="105"/>
    <x v="66"/>
    <x v="3"/>
    <x v="117"/>
    <x v="71"/>
    <x v="87"/>
    <x v="0"/>
    <x v="1"/>
    <x v="0"/>
  </r>
  <r>
    <x v="7"/>
    <x v="143"/>
    <x v="67"/>
    <x v="4"/>
    <x v="5"/>
    <x v="5"/>
    <x v="6"/>
    <x v="0"/>
    <x v="1"/>
    <x v="0"/>
  </r>
  <r>
    <x v="8"/>
    <x v="1"/>
    <x v="68"/>
    <x v="7"/>
    <x v="99"/>
    <x v="59"/>
    <x v="95"/>
    <x v="0"/>
    <x v="1"/>
    <x v="0"/>
  </r>
  <r>
    <x v="8"/>
    <x v="47"/>
    <x v="69"/>
    <x v="3"/>
    <x v="159"/>
    <x v="77"/>
    <x v="114"/>
    <x v="0"/>
    <x v="1"/>
    <x v="0"/>
  </r>
  <r>
    <x v="8"/>
    <x v="54"/>
    <x v="70"/>
    <x v="7"/>
    <x v="128"/>
    <x v="49"/>
    <x v="123"/>
    <x v="0"/>
    <x v="1"/>
    <x v="0"/>
  </r>
  <r>
    <x v="8"/>
    <x v="85"/>
    <x v="71"/>
    <x v="8"/>
    <x v="49"/>
    <x v="32"/>
    <x v="37"/>
    <x v="0"/>
    <x v="1"/>
    <x v="0"/>
  </r>
  <r>
    <x v="8"/>
    <x v="106"/>
    <x v="72"/>
    <x v="3"/>
    <x v="116"/>
    <x v="77"/>
    <x v="83"/>
    <x v="0"/>
    <x v="1"/>
    <x v="0"/>
  </r>
  <r>
    <x v="9"/>
    <x v="19"/>
    <x v="75"/>
    <x v="2"/>
    <x v="183"/>
    <x v="68"/>
    <x v="158"/>
    <x v="0"/>
    <x v="1"/>
    <x v="0"/>
  </r>
  <r>
    <x v="9"/>
    <x v="101"/>
    <x v="78"/>
    <x v="8"/>
    <x v="39"/>
    <x v="25"/>
    <x v="16"/>
    <x v="0"/>
    <x v="1"/>
    <x v="0"/>
  </r>
  <r>
    <x v="9"/>
    <x v="90"/>
    <x v="77"/>
    <x v="7"/>
    <x v="77"/>
    <x v="51"/>
    <x v="62"/>
    <x v="0"/>
    <x v="1"/>
    <x v="0"/>
  </r>
  <r>
    <x v="9"/>
    <x v="41"/>
    <x v="76"/>
    <x v="7"/>
    <x v="136"/>
    <x v="49"/>
    <x v="130"/>
    <x v="0"/>
    <x v="1"/>
    <x v="0"/>
  </r>
  <r>
    <x v="9"/>
    <x v="105"/>
    <x v="79"/>
    <x v="2"/>
    <x v="145"/>
    <x v="66"/>
    <x v="104"/>
    <x v="0"/>
    <x v="1"/>
    <x v="0"/>
  </r>
  <r>
    <x v="8"/>
    <x v="149"/>
    <x v="74"/>
    <x v="4"/>
    <x v="6"/>
    <x v="4"/>
    <x v="8"/>
    <x v="0"/>
    <x v="1"/>
    <x v="0"/>
  </r>
  <r>
    <x v="8"/>
    <x v="113"/>
    <x v="73"/>
    <x v="4"/>
    <x v="3"/>
    <x v="5"/>
    <x v="4"/>
    <x v="0"/>
    <x v="1"/>
    <x v="0"/>
  </r>
  <r>
    <x v="9"/>
    <x v="108"/>
    <x v="80"/>
    <x v="9"/>
    <x v="62"/>
    <x v="36"/>
    <x v="34"/>
    <x v="0"/>
    <x v="4"/>
    <x v="0"/>
  </r>
  <r>
    <x v="9"/>
    <x v="163"/>
    <x v="82"/>
    <x v="9"/>
    <x v="60"/>
    <x v="34"/>
    <x v="33"/>
    <x v="0"/>
    <x v="4"/>
    <x v="0"/>
  </r>
  <r>
    <x v="9"/>
    <x v="142"/>
    <x v="81"/>
    <x v="4"/>
    <x v="6"/>
    <x v="4"/>
    <x v="8"/>
    <x v="0"/>
    <x v="1"/>
    <x v="0"/>
  </r>
  <r>
    <x v="10"/>
    <x v="101"/>
    <x v="84"/>
    <x v="8"/>
    <x v="51"/>
    <x v="26"/>
    <x v="45"/>
    <x v="0"/>
    <x v="1"/>
    <x v="0"/>
  </r>
  <r>
    <x v="10"/>
    <x v="132"/>
    <x v="88"/>
    <x v="4"/>
    <x v="2"/>
    <x v="6"/>
    <x v="2"/>
    <x v="0"/>
    <x v="1"/>
    <x v="0"/>
  </r>
  <r>
    <x v="10"/>
    <x v="117"/>
    <x v="86"/>
    <x v="8"/>
    <x v="46"/>
    <x v="29"/>
    <x v="29"/>
    <x v="0"/>
    <x v="1"/>
    <x v="0"/>
  </r>
  <r>
    <x v="10"/>
    <x v="115"/>
    <x v="87"/>
    <x v="9"/>
    <x v="64"/>
    <x v="40"/>
    <x v="32"/>
    <x v="0"/>
    <x v="4"/>
    <x v="0"/>
  </r>
  <r>
    <x v="10"/>
    <x v="176"/>
    <x v="89"/>
    <x v="9"/>
    <x v="59"/>
    <x v="40"/>
    <x v="22"/>
    <x v="0"/>
    <x v="4"/>
    <x v="0"/>
  </r>
  <r>
    <x v="11"/>
    <x v="95"/>
    <x v="95"/>
    <x v="5"/>
    <x v="81"/>
    <x v="42"/>
    <x v="72"/>
    <x v="0"/>
    <x v="1"/>
    <x v="0"/>
  </r>
  <r>
    <x v="11"/>
    <x v="18"/>
    <x v="92"/>
    <x v="5"/>
    <x v="114"/>
    <x v="41"/>
    <x v="113"/>
    <x v="0"/>
    <x v="1"/>
    <x v="0"/>
  </r>
  <r>
    <x v="10"/>
    <x v="9"/>
    <x v="83"/>
    <x v="2"/>
    <x v="115"/>
    <x v="67"/>
    <x v="85"/>
    <x v="0"/>
    <x v="1"/>
    <x v="0"/>
  </r>
  <r>
    <x v="11"/>
    <x v="0"/>
    <x v="91"/>
    <x v="2"/>
    <x v="175"/>
    <x v="68"/>
    <x v="149"/>
    <x v="0"/>
    <x v="1"/>
    <x v="0"/>
  </r>
  <r>
    <x v="11"/>
    <x v="87"/>
    <x v="94"/>
    <x v="2"/>
    <x v="171"/>
    <x v="67"/>
    <x v="142"/>
    <x v="0"/>
    <x v="1"/>
    <x v="0"/>
  </r>
  <r>
    <x v="11"/>
    <x v="65"/>
    <x v="93"/>
    <x v="1"/>
    <x v="25"/>
    <x v="10"/>
    <x v="23"/>
    <x v="0"/>
    <x v="1"/>
    <x v="0"/>
  </r>
  <r>
    <x v="10"/>
    <x v="190"/>
    <x v="90"/>
    <x v="1"/>
    <x v="22"/>
    <x v="9"/>
    <x v="21"/>
    <x v="0"/>
    <x v="0"/>
    <x v="0"/>
  </r>
  <r>
    <x v="11"/>
    <x v="191"/>
    <x v="98"/>
    <x v="6"/>
    <x v="23"/>
    <x v="18"/>
    <x v="14"/>
    <x v="0"/>
    <x v="0"/>
    <x v="0"/>
  </r>
  <r>
    <x v="11"/>
    <x v="107"/>
    <x v="96"/>
    <x v="4"/>
    <x v="7"/>
    <x v="4"/>
    <x v="9"/>
    <x v="0"/>
    <x v="1"/>
    <x v="0"/>
  </r>
  <r>
    <x v="11"/>
    <x v="163"/>
    <x v="97"/>
    <x v="4"/>
    <x v="0"/>
    <x v="3"/>
    <x v="3"/>
    <x v="0"/>
    <x v="1"/>
    <x v="0"/>
  </r>
  <r>
    <x v="11"/>
    <x v="176"/>
    <x v="246"/>
    <x v="2"/>
    <x v="105"/>
    <x v="60"/>
    <x v="68"/>
    <x v="0"/>
    <x v="3"/>
    <x v="0"/>
  </r>
  <r>
    <x v="11"/>
    <x v="193"/>
    <x v="99"/>
    <x v="7"/>
    <x v="123"/>
    <x v="54"/>
    <x v="117"/>
    <x v="0"/>
    <x v="1"/>
    <x v="0"/>
  </r>
  <r>
    <x v="12"/>
    <x v="33"/>
    <x v="101"/>
    <x v="7"/>
    <x v="123"/>
    <x v="47"/>
    <x v="118"/>
    <x v="0"/>
    <x v="1"/>
    <x v="0"/>
  </r>
  <r>
    <x v="12"/>
    <x v="80"/>
    <x v="102"/>
    <x v="7"/>
    <x v="80"/>
    <x v="52"/>
    <x v="68"/>
    <x v="0"/>
    <x v="1"/>
    <x v="0"/>
  </r>
  <r>
    <x v="12"/>
    <x v="8"/>
    <x v="100"/>
    <x v="2"/>
    <x v="122"/>
    <x v="67"/>
    <x v="93"/>
    <x v="0"/>
    <x v="1"/>
    <x v="0"/>
  </r>
  <r>
    <x v="12"/>
    <x v="89"/>
    <x v="103"/>
    <x v="2"/>
    <x v="157"/>
    <x v="65"/>
    <x v="114"/>
    <x v="0"/>
    <x v="1"/>
    <x v="0"/>
  </r>
  <r>
    <x v="12"/>
    <x v="99"/>
    <x v="104"/>
    <x v="8"/>
    <x v="42"/>
    <x v="24"/>
    <x v="24"/>
    <x v="0"/>
    <x v="1"/>
    <x v="0"/>
  </r>
  <r>
    <x v="12"/>
    <x v="166"/>
    <x v="0"/>
    <x v="4"/>
    <x v="4"/>
    <x v="3"/>
    <x v="7"/>
    <x v="0"/>
    <x v="1"/>
    <x v="0"/>
  </r>
  <r>
    <x v="12"/>
    <x v="184"/>
    <x v="105"/>
    <x v="1"/>
    <x v="21"/>
    <x v="13"/>
    <x v="16"/>
    <x v="0"/>
    <x v="0"/>
    <x v="0"/>
  </r>
  <r>
    <x v="12"/>
    <x v="159"/>
    <x v="2"/>
    <x v="2"/>
    <x v="103"/>
    <x v="61"/>
    <x v="63"/>
    <x v="0"/>
    <x v="2"/>
    <x v="0"/>
  </r>
  <r>
    <x v="13"/>
    <x v="24"/>
    <x v="107"/>
    <x v="7"/>
    <x v="147"/>
    <x v="44"/>
    <x v="144"/>
    <x v="0"/>
    <x v="1"/>
    <x v="0"/>
  </r>
  <r>
    <x v="13"/>
    <x v="99"/>
    <x v="109"/>
    <x v="8"/>
    <x v="44"/>
    <x v="25"/>
    <x v="33"/>
    <x v="0"/>
    <x v="1"/>
    <x v="0"/>
  </r>
  <r>
    <x v="13"/>
    <x v="6"/>
    <x v="106"/>
    <x v="2"/>
    <x v="152"/>
    <x v="67"/>
    <x v="108"/>
    <x v="0"/>
    <x v="1"/>
    <x v="0"/>
  </r>
  <r>
    <x v="13"/>
    <x v="78"/>
    <x v="108"/>
    <x v="2"/>
    <x v="123"/>
    <x v="66"/>
    <x v="94"/>
    <x v="0"/>
    <x v="1"/>
    <x v="0"/>
  </r>
  <r>
    <x v="13"/>
    <x v="100"/>
    <x v="110"/>
    <x v="7"/>
    <x v="86"/>
    <x v="48"/>
    <x v="76"/>
    <x v="0"/>
    <x v="1"/>
    <x v="0"/>
  </r>
  <r>
    <x v="13"/>
    <x v="156"/>
    <x v="111"/>
    <x v="1"/>
    <x v="17"/>
    <x v="10"/>
    <x v="14"/>
    <x v="0"/>
    <x v="1"/>
    <x v="0"/>
  </r>
  <r>
    <x v="14"/>
    <x v="81"/>
    <x v="115"/>
    <x v="7"/>
    <x v="107"/>
    <x v="54"/>
    <x v="106"/>
    <x v="0"/>
    <x v="1"/>
    <x v="0"/>
  </r>
  <r>
    <x v="14"/>
    <x v="175"/>
    <x v="117"/>
    <x v="1"/>
    <x v="11"/>
    <x v="9"/>
    <x v="3"/>
    <x v="0"/>
    <x v="1"/>
    <x v="0"/>
  </r>
  <r>
    <x v="14"/>
    <x v="127"/>
    <x v="116"/>
    <x v="1"/>
    <x v="17"/>
    <x v="10"/>
    <x v="14"/>
    <x v="0"/>
    <x v="1"/>
    <x v="0"/>
  </r>
  <r>
    <x v="14"/>
    <x v="20"/>
    <x v="112"/>
    <x v="7"/>
    <x v="133"/>
    <x v="48"/>
    <x v="127"/>
    <x v="0"/>
    <x v="1"/>
    <x v="0"/>
  </r>
  <r>
    <x v="14"/>
    <x v="71"/>
    <x v="113"/>
    <x v="2"/>
    <x v="182"/>
    <x v="64"/>
    <x v="157"/>
    <x v="0"/>
    <x v="1"/>
    <x v="0"/>
  </r>
  <r>
    <x v="14"/>
    <x v="78"/>
    <x v="114"/>
    <x v="1"/>
    <x v="38"/>
    <x v="11"/>
    <x v="49"/>
    <x v="0"/>
    <x v="1"/>
    <x v="0"/>
  </r>
  <r>
    <x v="15"/>
    <x v="104"/>
    <x v="120"/>
    <x v="8"/>
    <x v="52"/>
    <x v="33"/>
    <x v="40"/>
    <x v="0"/>
    <x v="1"/>
    <x v="0"/>
  </r>
  <r>
    <x v="15"/>
    <x v="12"/>
    <x v="249"/>
    <x v="7"/>
    <x v="149"/>
    <x v="50"/>
    <x v="145"/>
    <x v="0"/>
    <x v="1"/>
    <x v="0"/>
  </r>
  <r>
    <x v="15"/>
    <x v="51"/>
    <x v="118"/>
    <x v="7"/>
    <x v="93"/>
    <x v="48"/>
    <x v="89"/>
    <x v="0"/>
    <x v="1"/>
    <x v="0"/>
  </r>
  <r>
    <x v="15"/>
    <x v="79"/>
    <x v="119"/>
    <x v="2"/>
    <x v="178"/>
    <x v="62"/>
    <x v="154"/>
    <x v="0"/>
    <x v="1"/>
    <x v="0"/>
  </r>
  <r>
    <x v="15"/>
    <x v="137"/>
    <x v="121"/>
    <x v="4"/>
    <x v="5"/>
    <x v="4"/>
    <x v="7"/>
    <x v="0"/>
    <x v="1"/>
    <x v="0"/>
  </r>
  <r>
    <x v="16"/>
    <x v="58"/>
    <x v="125"/>
    <x v="1"/>
    <x v="25"/>
    <x v="11"/>
    <x v="22"/>
    <x v="0"/>
    <x v="1"/>
    <x v="0"/>
  </r>
  <r>
    <x v="15"/>
    <x v="145"/>
    <x v="122"/>
    <x v="6"/>
    <x v="30"/>
    <x v="17"/>
    <x v="21"/>
    <x v="0"/>
    <x v="1"/>
    <x v="0"/>
  </r>
  <r>
    <x v="16"/>
    <x v="26"/>
    <x v="124"/>
    <x v="2"/>
    <x v="167"/>
    <x v="73"/>
    <x v="132"/>
    <x v="0"/>
    <x v="1"/>
    <x v="0"/>
  </r>
  <r>
    <x v="16"/>
    <x v="71"/>
    <x v="126"/>
    <x v="2"/>
    <x v="126"/>
    <x v="68"/>
    <x v="96"/>
    <x v="0"/>
    <x v="1"/>
    <x v="0"/>
  </r>
  <r>
    <x v="16"/>
    <x v="17"/>
    <x v="123"/>
    <x v="7"/>
    <x v="120"/>
    <x v="45"/>
    <x v="116"/>
    <x v="0"/>
    <x v="1"/>
    <x v="0"/>
  </r>
  <r>
    <x v="16"/>
    <x v="89"/>
    <x v="127"/>
    <x v="7"/>
    <x v="88"/>
    <x v="54"/>
    <x v="77"/>
    <x v="0"/>
    <x v="1"/>
    <x v="0"/>
  </r>
  <r>
    <x v="16"/>
    <x v="150"/>
    <x v="247"/>
    <x v="0"/>
    <x v="100"/>
    <x v="66"/>
    <x v="58"/>
    <x v="0"/>
    <x v="3"/>
    <x v="0"/>
  </r>
  <r>
    <x v="16"/>
    <x v="138"/>
    <x v="128"/>
    <x v="4"/>
    <x v="1"/>
    <x v="4"/>
    <x v="3"/>
    <x v="0"/>
    <x v="1"/>
    <x v="0"/>
  </r>
  <r>
    <x v="17"/>
    <x v="42"/>
    <x v="130"/>
    <x v="2"/>
    <x v="166"/>
    <x v="66"/>
    <x v="133"/>
    <x v="0"/>
    <x v="1"/>
    <x v="0"/>
  </r>
  <r>
    <x v="17"/>
    <x v="34"/>
    <x v="129"/>
    <x v="7"/>
    <x v="130"/>
    <x v="50"/>
    <x v="124"/>
    <x v="0"/>
    <x v="1"/>
    <x v="0"/>
  </r>
  <r>
    <x v="17"/>
    <x v="59"/>
    <x v="131"/>
    <x v="7"/>
    <x v="78"/>
    <x v="48"/>
    <x v="66"/>
    <x v="0"/>
    <x v="1"/>
    <x v="0"/>
  </r>
  <r>
    <x v="17"/>
    <x v="101"/>
    <x v="133"/>
    <x v="8"/>
    <x v="46"/>
    <x v="33"/>
    <x v="26"/>
    <x v="0"/>
    <x v="1"/>
    <x v="0"/>
  </r>
  <r>
    <x v="17"/>
    <x v="97"/>
    <x v="132"/>
    <x v="2"/>
    <x v="110"/>
    <x v="65"/>
    <x v="80"/>
    <x v="0"/>
    <x v="1"/>
    <x v="0"/>
  </r>
  <r>
    <x v="17"/>
    <x v="152"/>
    <x v="137"/>
    <x v="4"/>
    <x v="3"/>
    <x v="3"/>
    <x v="6"/>
    <x v="0"/>
    <x v="1"/>
    <x v="0"/>
  </r>
  <r>
    <x v="17"/>
    <x v="177"/>
    <x v="139"/>
    <x v="9"/>
    <x v="71"/>
    <x v="36"/>
    <x v="50"/>
    <x v="0"/>
    <x v="4"/>
    <x v="0"/>
  </r>
  <r>
    <x v="17"/>
    <x v="176"/>
    <x v="138"/>
    <x v="6"/>
    <x v="33"/>
    <x v="17"/>
    <x v="25"/>
    <x v="0"/>
    <x v="4"/>
    <x v="0"/>
  </r>
  <r>
    <x v="17"/>
    <x v="126"/>
    <x v="135"/>
    <x v="6"/>
    <x v="28"/>
    <x v="18"/>
    <x v="18"/>
    <x v="0"/>
    <x v="4"/>
    <x v="0"/>
  </r>
  <r>
    <x v="18"/>
    <x v="89"/>
    <x v="144"/>
    <x v="7"/>
    <x v="82"/>
    <x v="56"/>
    <x v="69"/>
    <x v="0"/>
    <x v="1"/>
    <x v="0"/>
  </r>
  <r>
    <x v="18"/>
    <x v="36"/>
    <x v="140"/>
    <x v="7"/>
    <x v="135"/>
    <x v="48"/>
    <x v="129"/>
    <x v="0"/>
    <x v="1"/>
    <x v="0"/>
  </r>
  <r>
    <x v="17"/>
    <x v="109"/>
    <x v="134"/>
    <x v="9"/>
    <x v="63"/>
    <x v="36"/>
    <x v="37"/>
    <x v="0"/>
    <x v="4"/>
    <x v="0"/>
  </r>
  <r>
    <x v="17"/>
    <x v="135"/>
    <x v="136"/>
    <x v="9"/>
    <x v="68"/>
    <x v="36"/>
    <x v="44"/>
    <x v="0"/>
    <x v="4"/>
    <x v="0"/>
  </r>
  <r>
    <x v="18"/>
    <x v="69"/>
    <x v="142"/>
    <x v="1"/>
    <x v="27"/>
    <x v="11"/>
    <x v="24"/>
    <x v="0"/>
    <x v="1"/>
    <x v="0"/>
  </r>
  <r>
    <x v="18"/>
    <x v="160"/>
    <x v="147"/>
    <x v="9"/>
    <x v="65"/>
    <x v="35"/>
    <x v="40"/>
    <x v="0"/>
    <x v="4"/>
    <x v="0"/>
  </r>
  <r>
    <x v="18"/>
    <x v="153"/>
    <x v="146"/>
    <x v="4"/>
    <x v="5"/>
    <x v="3"/>
    <x v="8"/>
    <x v="0"/>
    <x v="1"/>
    <x v="0"/>
  </r>
  <r>
    <x v="18"/>
    <x v="118"/>
    <x v="145"/>
    <x v="9"/>
    <x v="63"/>
    <x v="35"/>
    <x v="38"/>
    <x v="0"/>
    <x v="4"/>
    <x v="0"/>
  </r>
  <r>
    <x v="19"/>
    <x v="73"/>
    <x v="150"/>
    <x v="1"/>
    <x v="29"/>
    <x v="10"/>
    <x v="27"/>
    <x v="0"/>
    <x v="1"/>
    <x v="0"/>
  </r>
  <r>
    <x v="19"/>
    <x v="92"/>
    <x v="151"/>
    <x v="7"/>
    <x v="74"/>
    <x v="46"/>
    <x v="54"/>
    <x v="0"/>
    <x v="1"/>
    <x v="0"/>
  </r>
  <r>
    <x v="19"/>
    <x v="50"/>
    <x v="149"/>
    <x v="7"/>
    <x v="143"/>
    <x v="43"/>
    <x v="139"/>
    <x v="0"/>
    <x v="1"/>
    <x v="0"/>
  </r>
  <r>
    <x v="19"/>
    <x v="45"/>
    <x v="148"/>
    <x v="3"/>
    <x v="168"/>
    <x v="66"/>
    <x v="141"/>
    <x v="0"/>
    <x v="1"/>
    <x v="0"/>
  </r>
  <r>
    <x v="19"/>
    <x v="97"/>
    <x v="152"/>
    <x v="3"/>
    <x v="109"/>
    <x v="65"/>
    <x v="79"/>
    <x v="0"/>
    <x v="1"/>
    <x v="0"/>
  </r>
  <r>
    <x v="19"/>
    <x v="160"/>
    <x v="3"/>
    <x v="3"/>
    <x v="98"/>
    <x v="61"/>
    <x v="56"/>
    <x v="0"/>
    <x v="2"/>
    <x v="0"/>
  </r>
  <r>
    <x v="19"/>
    <x v="124"/>
    <x v="153"/>
    <x v="1"/>
    <x v="18"/>
    <x v="9"/>
    <x v="17"/>
    <x v="0"/>
    <x v="1"/>
    <x v="0"/>
  </r>
  <r>
    <x v="19"/>
    <x v="185"/>
    <x v="155"/>
    <x v="1"/>
    <x v="32"/>
    <x v="14"/>
    <x v="27"/>
    <x v="0"/>
    <x v="0"/>
    <x v="0"/>
  </r>
  <r>
    <x v="19"/>
    <x v="130"/>
    <x v="154"/>
    <x v="4"/>
    <x v="2"/>
    <x v="3"/>
    <x v="5"/>
    <x v="0"/>
    <x v="1"/>
    <x v="0"/>
  </r>
  <r>
    <x v="20"/>
    <x v="178"/>
    <x v="248"/>
    <x v="3"/>
    <x v="105"/>
    <x v="61"/>
    <x v="65"/>
    <x v="0"/>
    <x v="3"/>
    <x v="1"/>
  </r>
  <r>
    <x v="20"/>
    <x v="96"/>
    <x v="159"/>
    <x v="7"/>
    <x v="89"/>
    <x v="48"/>
    <x v="82"/>
    <x v="0"/>
    <x v="1"/>
    <x v="0"/>
  </r>
  <r>
    <x v="20"/>
    <x v="35"/>
    <x v="157"/>
    <x v="7"/>
    <x v="148"/>
    <x v="49"/>
    <x v="143"/>
    <x v="0"/>
    <x v="1"/>
    <x v="0"/>
  </r>
  <r>
    <x v="20"/>
    <x v="99"/>
    <x v="160"/>
    <x v="1"/>
    <x v="34"/>
    <x v="10"/>
    <x v="38"/>
    <x v="0"/>
    <x v="1"/>
    <x v="0"/>
  </r>
  <r>
    <x v="20"/>
    <x v="157"/>
    <x v="161"/>
    <x v="1"/>
    <x v="13"/>
    <x v="8"/>
    <x v="13"/>
    <x v="0"/>
    <x v="1"/>
    <x v="0"/>
  </r>
  <r>
    <x v="20"/>
    <x v="32"/>
    <x v="156"/>
    <x v="3"/>
    <x v="165"/>
    <x v="66"/>
    <x v="126"/>
    <x v="0"/>
    <x v="1"/>
    <x v="0"/>
  </r>
  <r>
    <x v="20"/>
    <x v="91"/>
    <x v="158"/>
    <x v="3"/>
    <x v="119"/>
    <x v="64"/>
    <x v="92"/>
    <x v="0"/>
    <x v="1"/>
    <x v="0"/>
  </r>
  <r>
    <x v="21"/>
    <x v="70"/>
    <x v="166"/>
    <x v="1"/>
    <x v="37"/>
    <x v="16"/>
    <x v="39"/>
    <x v="0"/>
    <x v="1"/>
    <x v="0"/>
  </r>
  <r>
    <x v="21"/>
    <x v="67"/>
    <x v="165"/>
    <x v="3"/>
    <x v="113"/>
    <x v="69"/>
    <x v="83"/>
    <x v="0"/>
    <x v="1"/>
    <x v="0"/>
  </r>
  <r>
    <x v="21"/>
    <x v="32"/>
    <x v="163"/>
    <x v="3"/>
    <x v="176"/>
    <x v="73"/>
    <x v="151"/>
    <x v="0"/>
    <x v="1"/>
    <x v="0"/>
  </r>
  <r>
    <x v="21"/>
    <x v="66"/>
    <x v="164"/>
    <x v="7"/>
    <x v="94"/>
    <x v="46"/>
    <x v="91"/>
    <x v="0"/>
    <x v="1"/>
    <x v="0"/>
  </r>
  <r>
    <x v="21"/>
    <x v="13"/>
    <x v="162"/>
    <x v="7"/>
    <x v="137"/>
    <x v="47"/>
    <x v="131"/>
    <x v="0"/>
    <x v="1"/>
    <x v="0"/>
  </r>
  <r>
    <x v="21"/>
    <x v="168"/>
    <x v="168"/>
    <x v="1"/>
    <x v="15"/>
    <x v="10"/>
    <x v="12"/>
    <x v="0"/>
    <x v="1"/>
    <x v="0"/>
  </r>
  <r>
    <x v="21"/>
    <x v="125"/>
    <x v="167"/>
    <x v="1"/>
    <x v="18"/>
    <x v="10"/>
    <x v="16"/>
    <x v="0"/>
    <x v="1"/>
    <x v="0"/>
  </r>
  <r>
    <x v="22"/>
    <x v="10"/>
    <x v="169"/>
    <x v="7"/>
    <x v="141"/>
    <x v="45"/>
    <x v="137"/>
    <x v="0"/>
    <x v="1"/>
    <x v="0"/>
  </r>
  <r>
    <x v="22"/>
    <x v="14"/>
    <x v="170"/>
    <x v="3"/>
    <x v="153"/>
    <x v="67"/>
    <x v="109"/>
    <x v="0"/>
    <x v="1"/>
    <x v="0"/>
  </r>
  <r>
    <x v="22"/>
    <x v="93"/>
    <x v="173"/>
    <x v="3"/>
    <x v="164"/>
    <x v="66"/>
    <x v="125"/>
    <x v="0"/>
    <x v="1"/>
    <x v="0"/>
  </r>
  <r>
    <x v="22"/>
    <x v="92"/>
    <x v="172"/>
    <x v="8"/>
    <x v="50"/>
    <x v="31"/>
    <x v="40"/>
    <x v="0"/>
    <x v="1"/>
    <x v="0"/>
  </r>
  <r>
    <x v="22"/>
    <x v="49"/>
    <x v="171"/>
    <x v="7"/>
    <x v="85"/>
    <x v="44"/>
    <x v="75"/>
    <x v="0"/>
    <x v="1"/>
    <x v="0"/>
  </r>
  <r>
    <x v="22"/>
    <x v="174"/>
    <x v="175"/>
    <x v="6"/>
    <x v="18"/>
    <x v="19"/>
    <x v="8"/>
    <x v="0"/>
    <x v="4"/>
    <x v="0"/>
  </r>
  <r>
    <x v="22"/>
    <x v="129"/>
    <x v="174"/>
    <x v="4"/>
    <x v="3"/>
    <x v="3"/>
    <x v="6"/>
    <x v="0"/>
    <x v="1"/>
    <x v="0"/>
  </r>
  <r>
    <x v="23"/>
    <x v="123"/>
    <x v="180"/>
    <x v="1"/>
    <x v="32"/>
    <x v="10"/>
    <x v="30"/>
    <x v="0"/>
    <x v="0"/>
    <x v="0"/>
  </r>
  <r>
    <x v="23"/>
    <x v="151"/>
    <x v="183"/>
    <x v="1"/>
    <x v="28"/>
    <x v="9"/>
    <x v="27"/>
    <x v="0"/>
    <x v="0"/>
    <x v="0"/>
  </r>
  <r>
    <x v="23"/>
    <x v="183"/>
    <x v="185"/>
    <x v="1"/>
    <x v="16"/>
    <x v="9"/>
    <x v="14"/>
    <x v="0"/>
    <x v="1"/>
    <x v="0"/>
  </r>
  <r>
    <x v="23"/>
    <x v="56"/>
    <x v="177"/>
    <x v="1"/>
    <x v="27"/>
    <x v="8"/>
    <x v="28"/>
    <x v="0"/>
    <x v="1"/>
    <x v="0"/>
  </r>
  <r>
    <x v="23"/>
    <x v="166"/>
    <x v="184"/>
    <x v="6"/>
    <x v="30"/>
    <x v="18"/>
    <x v="20"/>
    <x v="0"/>
    <x v="0"/>
    <x v="0"/>
  </r>
  <r>
    <x v="23"/>
    <x v="135"/>
    <x v="182"/>
    <x v="6"/>
    <x v="31"/>
    <x v="18"/>
    <x v="21"/>
    <x v="0"/>
    <x v="0"/>
    <x v="0"/>
  </r>
  <r>
    <x v="23"/>
    <x v="88"/>
    <x v="179"/>
    <x v="3"/>
    <x v="181"/>
    <x v="69"/>
    <x v="156"/>
    <x v="0"/>
    <x v="1"/>
    <x v="0"/>
  </r>
  <r>
    <x v="23"/>
    <x v="128"/>
    <x v="181"/>
    <x v="4"/>
    <x v="6"/>
    <x v="4"/>
    <x v="8"/>
    <x v="0"/>
    <x v="1"/>
    <x v="0"/>
  </r>
  <r>
    <x v="23"/>
    <x v="17"/>
    <x v="176"/>
    <x v="7"/>
    <x v="136"/>
    <x v="51"/>
    <x v="129"/>
    <x v="0"/>
    <x v="1"/>
    <x v="0"/>
  </r>
  <r>
    <x v="23"/>
    <x v="87"/>
    <x v="178"/>
    <x v="7"/>
    <x v="87"/>
    <x v="58"/>
    <x v="74"/>
    <x v="0"/>
    <x v="1"/>
    <x v="0"/>
  </r>
  <r>
    <x v="24"/>
    <x v="57"/>
    <x v="189"/>
    <x v="1"/>
    <x v="10"/>
    <x v="11"/>
    <x v="0"/>
    <x v="0"/>
    <x v="1"/>
    <x v="0"/>
  </r>
  <r>
    <x v="24"/>
    <x v="8"/>
    <x v="186"/>
    <x v="3"/>
    <x v="139"/>
    <x v="78"/>
    <x v="100"/>
    <x v="0"/>
    <x v="1"/>
    <x v="0"/>
  </r>
  <r>
    <x v="24"/>
    <x v="84"/>
    <x v="191"/>
    <x v="3"/>
    <x v="154"/>
    <x v="71"/>
    <x v="110"/>
    <x v="0"/>
    <x v="1"/>
    <x v="0"/>
  </r>
  <r>
    <x v="24"/>
    <x v="21"/>
    <x v="187"/>
    <x v="7"/>
    <x v="144"/>
    <x v="50"/>
    <x v="137"/>
    <x v="0"/>
    <x v="1"/>
    <x v="0"/>
  </r>
  <r>
    <x v="24"/>
    <x v="57"/>
    <x v="188"/>
    <x v="7"/>
    <x v="76"/>
    <x v="46"/>
    <x v="60"/>
    <x v="0"/>
    <x v="1"/>
    <x v="0"/>
  </r>
  <r>
    <x v="24"/>
    <x v="83"/>
    <x v="190"/>
    <x v="8"/>
    <x v="43"/>
    <x v="32"/>
    <x v="17"/>
    <x v="0"/>
    <x v="1"/>
    <x v="0"/>
  </r>
  <r>
    <x v="24"/>
    <x v="164"/>
    <x v="4"/>
    <x v="3"/>
    <x v="97"/>
    <x v="61"/>
    <x v="55"/>
    <x v="0"/>
    <x v="2"/>
    <x v="0"/>
  </r>
  <r>
    <x v="24"/>
    <x v="173"/>
    <x v="195"/>
    <x v="4"/>
    <x v="4"/>
    <x v="5"/>
    <x v="5"/>
    <x v="0"/>
    <x v="1"/>
    <x v="0"/>
  </r>
  <r>
    <x v="24"/>
    <x v="188"/>
    <x v="197"/>
    <x v="1"/>
    <x v="31"/>
    <x v="15"/>
    <x v="24"/>
    <x v="0"/>
    <x v="0"/>
    <x v="0"/>
  </r>
  <r>
    <x v="24"/>
    <x v="131"/>
    <x v="193"/>
    <x v="9"/>
    <x v="72"/>
    <x v="37"/>
    <x v="52"/>
    <x v="0"/>
    <x v="4"/>
    <x v="0"/>
  </r>
  <r>
    <x v="24"/>
    <x v="180"/>
    <x v="196"/>
    <x v="9"/>
    <x v="69"/>
    <x v="37"/>
    <x v="46"/>
    <x v="0"/>
    <x v="4"/>
    <x v="0"/>
  </r>
  <r>
    <x v="24"/>
    <x v="155"/>
    <x v="194"/>
    <x v="6"/>
    <x v="36"/>
    <x v="18"/>
    <x v="36"/>
    <x v="0"/>
    <x v="4"/>
    <x v="0"/>
  </r>
  <r>
    <x v="24"/>
    <x v="114"/>
    <x v="192"/>
    <x v="6"/>
    <x v="34"/>
    <x v="18"/>
    <x v="30"/>
    <x v="0"/>
    <x v="4"/>
    <x v="0"/>
  </r>
  <r>
    <x v="25"/>
    <x v="75"/>
    <x v="200"/>
    <x v="3"/>
    <x v="108"/>
    <x v="68"/>
    <x v="73"/>
    <x v="0"/>
    <x v="1"/>
    <x v="0"/>
  </r>
  <r>
    <x v="25"/>
    <x v="15"/>
    <x v="198"/>
    <x v="7"/>
    <x v="127"/>
    <x v="45"/>
    <x v="120"/>
    <x v="0"/>
    <x v="1"/>
    <x v="0"/>
  </r>
  <r>
    <x v="25"/>
    <x v="61"/>
    <x v="199"/>
    <x v="1"/>
    <x v="24"/>
    <x v="10"/>
    <x v="22"/>
    <x v="0"/>
    <x v="1"/>
    <x v="0"/>
  </r>
  <r>
    <x v="25"/>
    <x v="16"/>
    <x v="249"/>
    <x v="3"/>
    <x v="163"/>
    <x v="71"/>
    <x v="119"/>
    <x v="0"/>
    <x v="1"/>
    <x v="0"/>
  </r>
  <r>
    <x v="25"/>
    <x v="88"/>
    <x v="201"/>
    <x v="7"/>
    <x v="84"/>
    <x v="52"/>
    <x v="71"/>
    <x v="0"/>
    <x v="1"/>
    <x v="0"/>
  </r>
  <r>
    <x v="25"/>
    <x v="170"/>
    <x v="244"/>
    <x v="3"/>
    <x v="96"/>
    <x v="60"/>
    <x v="57"/>
    <x v="0"/>
    <x v="3"/>
    <x v="0"/>
  </r>
  <r>
    <x v="25"/>
    <x v="171"/>
    <x v="204"/>
    <x v="4"/>
    <x v="0"/>
    <x v="1"/>
    <x v="6"/>
    <x v="0"/>
    <x v="1"/>
    <x v="0"/>
  </r>
  <r>
    <x v="25"/>
    <x v="141"/>
    <x v="202"/>
    <x v="1"/>
    <x v="9"/>
    <x v="9"/>
    <x v="1"/>
    <x v="0"/>
    <x v="0"/>
    <x v="0"/>
  </r>
  <r>
    <x v="25"/>
    <x v="158"/>
    <x v="203"/>
    <x v="6"/>
    <x v="27"/>
    <x v="16"/>
    <x v="19"/>
    <x v="0"/>
    <x v="1"/>
    <x v="0"/>
  </r>
  <r>
    <x v="26"/>
    <x v="102"/>
    <x v="209"/>
    <x v="8"/>
    <x v="47"/>
    <x v="30"/>
    <x v="37"/>
    <x v="0"/>
    <x v="1"/>
    <x v="0"/>
  </r>
  <r>
    <x v="26"/>
    <x v="62"/>
    <x v="207"/>
    <x v="7"/>
    <x v="83"/>
    <x v="46"/>
    <x v="70"/>
    <x v="0"/>
    <x v="1"/>
    <x v="0"/>
  </r>
  <r>
    <x v="26"/>
    <x v="4"/>
    <x v="205"/>
    <x v="3"/>
    <x v="150"/>
    <x v="74"/>
    <x v="107"/>
    <x v="0"/>
    <x v="1"/>
    <x v="0"/>
  </r>
  <r>
    <x v="26"/>
    <x v="27"/>
    <x v="206"/>
    <x v="7"/>
    <x v="129"/>
    <x v="43"/>
    <x v="126"/>
    <x v="0"/>
    <x v="1"/>
    <x v="0"/>
  </r>
  <r>
    <x v="26"/>
    <x v="77"/>
    <x v="208"/>
    <x v="3"/>
    <x v="169"/>
    <x v="71"/>
    <x v="140"/>
    <x v="0"/>
    <x v="1"/>
    <x v="0"/>
  </r>
  <r>
    <x v="26"/>
    <x v="170"/>
    <x v="211"/>
    <x v="4"/>
    <x v="8"/>
    <x v="4"/>
    <x v="10"/>
    <x v="0"/>
    <x v="1"/>
    <x v="0"/>
  </r>
  <r>
    <x v="26"/>
    <x v="129"/>
    <x v="210"/>
    <x v="9"/>
    <x v="67"/>
    <x v="36"/>
    <x v="41"/>
    <x v="0"/>
    <x v="4"/>
    <x v="0"/>
  </r>
  <r>
    <x v="26"/>
    <x v="172"/>
    <x v="212"/>
    <x v="9"/>
    <x v="55"/>
    <x v="36"/>
    <x v="9"/>
    <x v="0"/>
    <x v="4"/>
    <x v="0"/>
  </r>
  <r>
    <x v="27"/>
    <x v="94"/>
    <x v="217"/>
    <x v="1"/>
    <x v="16"/>
    <x v="12"/>
    <x v="11"/>
    <x v="0"/>
    <x v="1"/>
    <x v="0"/>
  </r>
  <r>
    <x v="27"/>
    <x v="52"/>
    <x v="215"/>
    <x v="1"/>
    <x v="29"/>
    <x v="12"/>
    <x v="25"/>
    <x v="0"/>
    <x v="1"/>
    <x v="0"/>
  </r>
  <r>
    <x v="27"/>
    <x v="64"/>
    <x v="216"/>
    <x v="3"/>
    <x v="146"/>
    <x v="69"/>
    <x v="105"/>
    <x v="0"/>
    <x v="1"/>
    <x v="0"/>
  </r>
  <r>
    <x v="27"/>
    <x v="99"/>
    <x v="218"/>
    <x v="7"/>
    <x v="102"/>
    <x v="54"/>
    <x v="101"/>
    <x v="0"/>
    <x v="1"/>
    <x v="0"/>
  </r>
  <r>
    <x v="27"/>
    <x v="22"/>
    <x v="214"/>
    <x v="7"/>
    <x v="128"/>
    <x v="50"/>
    <x v="122"/>
    <x v="0"/>
    <x v="1"/>
    <x v="0"/>
  </r>
  <r>
    <x v="27"/>
    <x v="134"/>
    <x v="219"/>
    <x v="4"/>
    <x v="6"/>
    <x v="0"/>
    <x v="13"/>
    <x v="0"/>
    <x v="1"/>
    <x v="0"/>
  </r>
  <r>
    <x v="27"/>
    <x v="7"/>
    <x v="213"/>
    <x v="3"/>
    <x v="162"/>
    <x v="70"/>
    <x v="119"/>
    <x v="0"/>
    <x v="1"/>
    <x v="0"/>
  </r>
  <r>
    <x v="28"/>
    <x v="53"/>
    <x v="221"/>
    <x v="3"/>
    <x v="173"/>
    <x v="70"/>
    <x v="147"/>
    <x v="0"/>
    <x v="1"/>
    <x v="0"/>
  </r>
  <r>
    <x v="28"/>
    <x v="88"/>
    <x v="224"/>
    <x v="3"/>
    <x v="118"/>
    <x v="66"/>
    <x v="88"/>
    <x v="0"/>
    <x v="1"/>
    <x v="0"/>
  </r>
  <r>
    <x v="28"/>
    <x v="63"/>
    <x v="223"/>
    <x v="1"/>
    <x v="36"/>
    <x v="11"/>
    <x v="43"/>
    <x v="0"/>
    <x v="1"/>
    <x v="0"/>
  </r>
  <r>
    <x v="28"/>
    <x v="63"/>
    <x v="222"/>
    <x v="7"/>
    <x v="132"/>
    <x v="51"/>
    <x v="125"/>
    <x v="0"/>
    <x v="1"/>
    <x v="0"/>
  </r>
  <r>
    <x v="28"/>
    <x v="3"/>
    <x v="220"/>
    <x v="7"/>
    <x v="142"/>
    <x v="48"/>
    <x v="136"/>
    <x v="0"/>
    <x v="1"/>
    <x v="0"/>
  </r>
  <r>
    <x v="28"/>
    <x v="139"/>
    <x v="225"/>
    <x v="4"/>
    <x v="8"/>
    <x v="5"/>
    <x v="9"/>
    <x v="0"/>
    <x v="1"/>
    <x v="0"/>
  </r>
  <r>
    <x v="29"/>
    <x v="99"/>
    <x v="230"/>
    <x v="8"/>
    <x v="54"/>
    <x v="33"/>
    <x v="46"/>
    <x v="0"/>
    <x v="1"/>
    <x v="0"/>
  </r>
  <r>
    <x v="29"/>
    <x v="38"/>
    <x v="227"/>
    <x v="7"/>
    <x v="101"/>
    <x v="45"/>
    <x v="102"/>
    <x v="0"/>
    <x v="1"/>
    <x v="0"/>
  </r>
  <r>
    <x v="29"/>
    <x v="5"/>
    <x v="226"/>
    <x v="7"/>
    <x v="141"/>
    <x v="46"/>
    <x v="136"/>
    <x v="0"/>
    <x v="1"/>
    <x v="0"/>
  </r>
  <r>
    <x v="29"/>
    <x v="96"/>
    <x v="229"/>
    <x v="3"/>
    <x v="124"/>
    <x v="62"/>
    <x v="97"/>
    <x v="0"/>
    <x v="1"/>
    <x v="0"/>
  </r>
  <r>
    <x v="29"/>
    <x v="46"/>
    <x v="228"/>
    <x v="3"/>
    <x v="174"/>
    <x v="63"/>
    <x v="148"/>
    <x v="0"/>
    <x v="1"/>
    <x v="0"/>
  </r>
  <r>
    <x v="29"/>
    <x v="118"/>
    <x v="231"/>
    <x v="4"/>
    <x v="1"/>
    <x v="4"/>
    <x v="3"/>
    <x v="0"/>
    <x v="1"/>
    <x v="0"/>
  </r>
  <r>
    <x v="29"/>
    <x v="192"/>
    <x v="234"/>
    <x v="6"/>
    <x v="14"/>
    <x v="19"/>
    <x v="1"/>
    <x v="0"/>
    <x v="1"/>
    <x v="0"/>
  </r>
  <r>
    <x v="29"/>
    <x v="165"/>
    <x v="232"/>
    <x v="1"/>
    <x v="12"/>
    <x v="10"/>
    <x v="8"/>
    <x v="0"/>
    <x v="0"/>
    <x v="0"/>
  </r>
  <r>
    <x v="29"/>
    <x v="175"/>
    <x v="233"/>
    <x v="6"/>
    <x v="19"/>
    <x v="18"/>
    <x v="10"/>
    <x v="0"/>
    <x v="1"/>
    <x v="0"/>
  </r>
  <r>
    <x v="30"/>
    <x v="93"/>
    <x v="239"/>
    <x v="3"/>
    <x v="127"/>
    <x v="67"/>
    <x v="98"/>
    <x v="0"/>
    <x v="1"/>
    <x v="0"/>
  </r>
  <r>
    <x v="30"/>
    <x v="65"/>
    <x v="237"/>
    <x v="1"/>
    <x v="24"/>
    <x v="11"/>
    <x v="21"/>
    <x v="0"/>
    <x v="1"/>
    <x v="0"/>
  </r>
  <r>
    <x v="30"/>
    <x v="30"/>
    <x v="236"/>
    <x v="3"/>
    <x v="160"/>
    <x v="67"/>
    <x v="118"/>
    <x v="0"/>
    <x v="1"/>
    <x v="0"/>
  </r>
  <r>
    <x v="30"/>
    <x v="25"/>
    <x v="235"/>
    <x v="7"/>
    <x v="132"/>
    <x v="57"/>
    <x v="121"/>
    <x v="0"/>
    <x v="1"/>
    <x v="0"/>
  </r>
  <r>
    <x v="30"/>
    <x v="82"/>
    <x v="238"/>
    <x v="7"/>
    <x v="104"/>
    <x v="56"/>
    <x v="103"/>
    <x v="0"/>
    <x v="1"/>
    <x v="0"/>
  </r>
  <r>
    <x v="30"/>
    <x v="147"/>
    <x v="240"/>
    <x v="4"/>
    <x v="2"/>
    <x v="7"/>
    <x v="0"/>
    <x v="0"/>
    <x v="1"/>
    <x v="0"/>
  </r>
  <r>
    <x v="30"/>
    <x v="154"/>
    <x v="241"/>
    <x v="9"/>
    <x v="56"/>
    <x v="35"/>
    <x v="13"/>
    <x v="0"/>
    <x v="4"/>
    <x v="0"/>
  </r>
  <r>
    <x v="30"/>
    <x v="165"/>
    <x v="242"/>
    <x v="6"/>
    <x v="26"/>
    <x v="19"/>
    <x v="15"/>
    <x v="0"/>
    <x v="1"/>
    <x v="0"/>
  </r>
  <r>
    <x v="30"/>
    <x v="187"/>
    <x v="243"/>
    <x v="1"/>
    <x v="14"/>
    <x v="15"/>
    <x v="5"/>
    <x v="0"/>
    <x v="0"/>
    <x v="0"/>
  </r>
  <r>
    <x v="10"/>
    <x v="116"/>
    <x v="85"/>
    <x v="1"/>
    <x v="17"/>
    <x v="10"/>
    <x v="14"/>
    <x v="0"/>
    <x v="4"/>
    <x v="0"/>
  </r>
  <r>
    <x v="18"/>
    <x v="39"/>
    <x v="141"/>
    <x v="2"/>
    <x v="167"/>
    <x v="69"/>
    <x v="135"/>
    <x v="0"/>
    <x v="1"/>
    <x v="0"/>
  </r>
  <r>
    <x v="18"/>
    <x v="89"/>
    <x v="143"/>
    <x v="2"/>
    <x v="111"/>
    <x v="68"/>
    <x v="81"/>
    <x v="0"/>
    <x v="1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1" outlineData="1">
  <location ref="A3:G15" firstHeaderRow="1" firstDataRow="2" firstDataCol="1" rowPageCount="1" colPageCount="1"/>
  <pivotFields count="10">
    <pivotField axis="axisPage" showAll="0"/>
    <pivotField showAll="0"/>
    <pivotField showAll="0"/>
    <pivotField axis="axisRow" showAll="0"/>
    <pivotField showAll="0"/>
    <pivotField showAll="0"/>
    <pivotField dataField="1" showAll="0"/>
    <pivotField showAll="0"/>
    <pivotField axis="axisCol" showAll="0"/>
    <pivotField showAll="0"/>
  </pivotFields>
  <rowFields count="1">
    <field x="3"/>
  </rowFields>
  <colFields count="1">
    <field x="8"/>
  </colFields>
  <pageFields count="1">
    <pageField fld="0" hier="-1"/>
  </pageFields>
  <dataFields count="1">
    <dataField fld="6" subtotal="sum"/>
  </dataFields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2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8" activeCellId="0" sqref="A158:I158"/>
    </sheetView>
  </sheetViews>
  <sheetFormatPr defaultRowHeight="15" zeroHeight="false" outlineLevelRow="0" outlineLevelCol="0"/>
  <cols>
    <col collapsed="false" customWidth="true" hidden="false" outlineLevel="0" max="1025" min="1" style="0" width="10.61"/>
  </cols>
  <sheetData>
    <row r="1" customFormat="false" ht="13.8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5" hidden="false" customHeight="false" outlineLevel="0" collapsed="false">
      <c r="A2" s="5" t="n">
        <v>44682</v>
      </c>
      <c r="B2" s="6" t="n">
        <v>0.221527777777778</v>
      </c>
      <c r="C2" s="7" t="n">
        <v>4476</v>
      </c>
      <c r="D2" s="7" t="s">
        <v>10</v>
      </c>
      <c r="E2" s="7" t="n">
        <v>4940</v>
      </c>
      <c r="F2" s="7" t="n">
        <v>3600</v>
      </c>
      <c r="G2" s="8" t="n">
        <v>1340</v>
      </c>
      <c r="H2" s="7" t="s">
        <v>11</v>
      </c>
      <c r="I2" s="7" t="s">
        <v>12</v>
      </c>
      <c r="J2" s="0" t="s">
        <v>13</v>
      </c>
    </row>
    <row r="3" customFormat="false" ht="15" hidden="false" customHeight="false" outlineLevel="0" collapsed="false">
      <c r="A3" s="5" t="n">
        <v>44682</v>
      </c>
      <c r="B3" s="6" t="n">
        <v>0.127083333333333</v>
      </c>
      <c r="C3" s="7" t="n">
        <v>4469</v>
      </c>
      <c r="D3" s="7" t="s">
        <v>14</v>
      </c>
      <c r="E3" s="7" t="n">
        <v>22460</v>
      </c>
      <c r="F3" s="7" t="n">
        <v>12860</v>
      </c>
      <c r="G3" s="8" t="n">
        <v>9600</v>
      </c>
      <c r="H3" s="7" t="s">
        <v>11</v>
      </c>
      <c r="I3" s="7" t="s">
        <v>12</v>
      </c>
      <c r="J3" s="0" t="s">
        <v>13</v>
      </c>
    </row>
    <row r="4" customFormat="false" ht="15" hidden="false" customHeight="false" outlineLevel="0" collapsed="false">
      <c r="A4" s="5" t="n">
        <v>44682</v>
      </c>
      <c r="B4" s="6" t="n">
        <v>0.223611111111111</v>
      </c>
      <c r="C4" s="7" t="n">
        <v>4477</v>
      </c>
      <c r="D4" s="7" t="s">
        <v>14</v>
      </c>
      <c r="E4" s="7" t="n">
        <v>16840</v>
      </c>
      <c r="F4" s="7" t="n">
        <v>12820</v>
      </c>
      <c r="G4" s="8" t="n">
        <v>4020</v>
      </c>
      <c r="H4" s="7" t="s">
        <v>11</v>
      </c>
      <c r="I4" s="7" t="s">
        <v>12</v>
      </c>
      <c r="J4" s="0" t="s">
        <v>13</v>
      </c>
    </row>
    <row r="5" customFormat="false" ht="15" hidden="false" customHeight="false" outlineLevel="0" collapsed="false">
      <c r="A5" s="5" t="n">
        <v>44682</v>
      </c>
      <c r="B5" s="6" t="n">
        <v>0.208333333333333</v>
      </c>
      <c r="C5" s="7" t="n">
        <v>4473</v>
      </c>
      <c r="D5" s="7" t="s">
        <v>15</v>
      </c>
      <c r="E5" s="7" t="n">
        <v>23060</v>
      </c>
      <c r="F5" s="7" t="n">
        <v>15900</v>
      </c>
      <c r="G5" s="8" t="n">
        <v>7160</v>
      </c>
      <c r="H5" s="7" t="s">
        <v>11</v>
      </c>
      <c r="I5" s="7" t="s">
        <v>12</v>
      </c>
      <c r="J5" s="0" t="s">
        <v>13</v>
      </c>
    </row>
    <row r="6" customFormat="false" ht="15" hidden="false" customHeight="false" outlineLevel="0" collapsed="false">
      <c r="A6" s="5" t="n">
        <v>44682</v>
      </c>
      <c r="B6" s="6" t="n">
        <v>0.0472222222222222</v>
      </c>
      <c r="C6" s="7" t="n">
        <v>4464</v>
      </c>
      <c r="D6" s="7" t="s">
        <v>15</v>
      </c>
      <c r="E6" s="7" t="n">
        <v>21080</v>
      </c>
      <c r="F6" s="7" t="n">
        <v>15940</v>
      </c>
      <c r="G6" s="8" t="n">
        <v>5140</v>
      </c>
      <c r="H6" s="7" t="s">
        <v>11</v>
      </c>
      <c r="I6" s="7" t="s">
        <v>12</v>
      </c>
      <c r="J6" s="0" t="s">
        <v>13</v>
      </c>
    </row>
    <row r="7" customFormat="false" ht="15" hidden="false" customHeight="false" outlineLevel="0" collapsed="false">
      <c r="A7" s="5" t="n">
        <v>44683</v>
      </c>
      <c r="B7" s="6" t="n">
        <v>0.0847222222222222</v>
      </c>
      <c r="C7" s="7" t="n">
        <v>4481</v>
      </c>
      <c r="D7" s="7" t="s">
        <v>14</v>
      </c>
      <c r="E7" s="7" t="n">
        <v>21300</v>
      </c>
      <c r="F7" s="7" t="n">
        <v>12880</v>
      </c>
      <c r="G7" s="8" t="n">
        <v>8420</v>
      </c>
      <c r="H7" s="7" t="s">
        <v>11</v>
      </c>
      <c r="I7" s="7" t="s">
        <v>12</v>
      </c>
      <c r="J7" s="0" t="s">
        <v>13</v>
      </c>
    </row>
    <row r="8" customFormat="false" ht="15" hidden="false" customHeight="false" outlineLevel="0" collapsed="false">
      <c r="A8" s="5" t="n">
        <v>44683</v>
      </c>
      <c r="B8" s="6" t="n">
        <v>0.245138888888889</v>
      </c>
      <c r="C8" s="7" t="n">
        <v>4494</v>
      </c>
      <c r="D8" s="7" t="s">
        <v>15</v>
      </c>
      <c r="E8" s="7" t="n">
        <v>26960</v>
      </c>
      <c r="F8" s="7" t="n">
        <v>15960</v>
      </c>
      <c r="G8" s="8" t="n">
        <v>11000</v>
      </c>
      <c r="H8" s="7" t="s">
        <v>11</v>
      </c>
      <c r="I8" s="7" t="s">
        <v>12</v>
      </c>
      <c r="J8" s="0" t="s">
        <v>13</v>
      </c>
    </row>
    <row r="9" customFormat="false" ht="15" hidden="false" customHeight="false" outlineLevel="0" collapsed="false">
      <c r="A9" s="5" t="n">
        <v>44683</v>
      </c>
      <c r="B9" s="6" t="n">
        <v>0.173611111111111</v>
      </c>
      <c r="C9" s="7" t="n">
        <v>4489</v>
      </c>
      <c r="D9" s="7" t="s">
        <v>14</v>
      </c>
      <c r="E9" s="7" t="n">
        <v>16600</v>
      </c>
      <c r="F9" s="7" t="n">
        <v>12660</v>
      </c>
      <c r="G9" s="8" t="n">
        <v>3940</v>
      </c>
      <c r="H9" s="7" t="s">
        <v>11</v>
      </c>
      <c r="I9" s="7" t="s">
        <v>12</v>
      </c>
      <c r="J9" s="0" t="s">
        <v>13</v>
      </c>
    </row>
    <row r="10" customFormat="false" ht="15" hidden="false" customHeight="false" outlineLevel="0" collapsed="false">
      <c r="A10" s="5" t="n">
        <v>44683</v>
      </c>
      <c r="B10" s="6" t="n">
        <v>0.252777777777778</v>
      </c>
      <c r="C10" s="7" t="n">
        <v>4495</v>
      </c>
      <c r="D10" s="7" t="s">
        <v>10</v>
      </c>
      <c r="E10" s="7" t="n">
        <v>4940</v>
      </c>
      <c r="F10" s="7" t="n">
        <v>3760</v>
      </c>
      <c r="G10" s="8" t="n">
        <v>1180</v>
      </c>
      <c r="H10" s="7" t="s">
        <v>11</v>
      </c>
      <c r="I10" s="7" t="s">
        <v>12</v>
      </c>
      <c r="J10" s="0" t="s">
        <v>13</v>
      </c>
    </row>
    <row r="11" customFormat="false" ht="15" hidden="false" customHeight="false" outlineLevel="0" collapsed="false">
      <c r="A11" s="5" t="n">
        <v>44683</v>
      </c>
      <c r="B11" s="6" t="n">
        <v>0.511111111111111</v>
      </c>
      <c r="C11" s="7" t="n">
        <v>2841</v>
      </c>
      <c r="D11" s="7" t="s">
        <v>15</v>
      </c>
      <c r="E11" s="7" t="n">
        <v>16760</v>
      </c>
      <c r="F11" s="7" t="n">
        <v>15760</v>
      </c>
      <c r="G11" s="8" t="n">
        <v>1000</v>
      </c>
      <c r="H11" s="7" t="s">
        <v>11</v>
      </c>
      <c r="I11" s="7" t="s">
        <v>16</v>
      </c>
      <c r="J11" s="0" t="s">
        <v>13</v>
      </c>
    </row>
    <row r="12" customFormat="false" ht="15" hidden="false" customHeight="false" outlineLevel="0" collapsed="false">
      <c r="A12" s="5" t="n">
        <v>44683</v>
      </c>
      <c r="B12" s="6" t="n">
        <v>0.545833333333333</v>
      </c>
      <c r="C12" s="7" t="n">
        <v>4526</v>
      </c>
      <c r="D12" s="7" t="s">
        <v>17</v>
      </c>
      <c r="E12" s="7" t="n">
        <v>3300</v>
      </c>
      <c r="F12" s="7" t="n">
        <v>2760</v>
      </c>
      <c r="G12" s="8" t="n">
        <v>540</v>
      </c>
      <c r="H12" s="7" t="s">
        <v>11</v>
      </c>
      <c r="I12" s="7" t="s">
        <v>18</v>
      </c>
      <c r="J12" s="0" t="s">
        <v>13</v>
      </c>
    </row>
    <row r="13" customFormat="false" ht="15" hidden="false" customHeight="false" outlineLevel="0" collapsed="false">
      <c r="A13" s="5" t="n">
        <v>44683</v>
      </c>
      <c r="B13" s="6" t="n">
        <v>0.515277777777778</v>
      </c>
      <c r="C13" s="9" t="n">
        <v>4522</v>
      </c>
      <c r="D13" s="7" t="s">
        <v>19</v>
      </c>
      <c r="E13" s="7" t="n">
        <v>3220</v>
      </c>
      <c r="F13" s="7" t="n">
        <v>2940</v>
      </c>
      <c r="G13" s="8" t="n">
        <v>280</v>
      </c>
      <c r="H13" s="7" t="s">
        <v>11</v>
      </c>
      <c r="I13" s="7" t="s">
        <v>12</v>
      </c>
      <c r="J13" s="0" t="s">
        <v>13</v>
      </c>
    </row>
    <row r="14" customFormat="false" ht="15" hidden="false" customHeight="false" outlineLevel="0" collapsed="false">
      <c r="A14" s="5" t="n">
        <v>44683</v>
      </c>
      <c r="B14" s="6" t="n">
        <v>0.451388888888889</v>
      </c>
      <c r="C14" s="7" t="n">
        <v>4513</v>
      </c>
      <c r="D14" s="7" t="s">
        <v>19</v>
      </c>
      <c r="E14" s="7" t="n">
        <v>3440</v>
      </c>
      <c r="F14" s="7" t="n">
        <v>2960</v>
      </c>
      <c r="G14" s="8" t="n">
        <v>480</v>
      </c>
      <c r="H14" s="7" t="s">
        <v>11</v>
      </c>
      <c r="I14" s="7" t="s">
        <v>12</v>
      </c>
      <c r="J14" s="0" t="s">
        <v>13</v>
      </c>
    </row>
    <row r="15" customFormat="false" ht="15" hidden="false" customHeight="false" outlineLevel="0" collapsed="false">
      <c r="A15" s="5" t="n">
        <v>44683</v>
      </c>
      <c r="B15" s="6" t="n">
        <v>0.342361111111111</v>
      </c>
      <c r="C15" s="7" t="n">
        <v>4500</v>
      </c>
      <c r="D15" s="7" t="s">
        <v>19</v>
      </c>
      <c r="E15" s="7" t="n">
        <v>3200</v>
      </c>
      <c r="F15" s="7" t="n">
        <v>2880</v>
      </c>
      <c r="G15" s="8" t="n">
        <v>320</v>
      </c>
      <c r="H15" s="7" t="s">
        <v>11</v>
      </c>
      <c r="I15" s="7" t="s">
        <v>12</v>
      </c>
      <c r="J15" s="0" t="s">
        <v>13</v>
      </c>
    </row>
    <row r="16" customFormat="false" ht="15" hidden="false" customHeight="false" outlineLevel="0" collapsed="false">
      <c r="A16" s="5" t="n">
        <v>44683</v>
      </c>
      <c r="B16" s="6" t="n">
        <v>0.438194444444444</v>
      </c>
      <c r="C16" s="7" t="n">
        <v>4510</v>
      </c>
      <c r="D16" s="7" t="s">
        <v>20</v>
      </c>
      <c r="E16" s="7" t="n">
        <v>2620</v>
      </c>
      <c r="F16" s="7" t="n">
        <v>2400</v>
      </c>
      <c r="G16" s="8" t="n">
        <v>220</v>
      </c>
      <c r="H16" s="7" t="s">
        <v>11</v>
      </c>
      <c r="I16" s="7" t="s">
        <v>12</v>
      </c>
      <c r="J16" s="0" t="s">
        <v>13</v>
      </c>
    </row>
    <row r="17" customFormat="false" ht="15" hidden="false" customHeight="false" outlineLevel="0" collapsed="false">
      <c r="A17" s="5" t="n">
        <v>44683</v>
      </c>
      <c r="B17" s="6" t="n">
        <v>0.370833333333333</v>
      </c>
      <c r="C17" s="7" t="n">
        <v>4502</v>
      </c>
      <c r="D17" s="7" t="s">
        <v>20</v>
      </c>
      <c r="E17" s="7" t="n">
        <v>2660</v>
      </c>
      <c r="F17" s="7" t="n">
        <v>2400</v>
      </c>
      <c r="G17" s="8" t="n">
        <v>260</v>
      </c>
      <c r="H17" s="7" t="s">
        <v>11</v>
      </c>
      <c r="I17" s="7" t="s">
        <v>12</v>
      </c>
      <c r="J17" s="0" t="s">
        <v>13</v>
      </c>
    </row>
    <row r="18" customFormat="false" ht="15" hidden="false" customHeight="false" outlineLevel="0" collapsed="false">
      <c r="A18" s="5" t="n">
        <v>44684</v>
      </c>
      <c r="B18" s="6" t="n">
        <v>0.183333333333333</v>
      </c>
      <c r="C18" s="7" t="n">
        <v>4550</v>
      </c>
      <c r="D18" s="7" t="s">
        <v>14</v>
      </c>
      <c r="E18" s="7" t="n">
        <v>15700</v>
      </c>
      <c r="F18" s="7" t="n">
        <v>12780</v>
      </c>
      <c r="G18" s="8" t="n">
        <v>2920</v>
      </c>
      <c r="H18" s="7" t="s">
        <v>11</v>
      </c>
      <c r="I18" s="7" t="s">
        <v>12</v>
      </c>
      <c r="J18" s="0" t="s">
        <v>13</v>
      </c>
    </row>
    <row r="19" customFormat="false" ht="15" hidden="false" customHeight="false" outlineLevel="0" collapsed="false">
      <c r="A19" s="5" t="n">
        <v>44684</v>
      </c>
      <c r="B19" s="6" t="n">
        <v>0.484027777777778</v>
      </c>
      <c r="C19" s="7" t="n">
        <v>4576</v>
      </c>
      <c r="D19" s="7" t="s">
        <v>19</v>
      </c>
      <c r="E19" s="7" t="n">
        <v>3360</v>
      </c>
      <c r="F19" s="7" t="n">
        <v>2940</v>
      </c>
      <c r="G19" s="8" t="n">
        <v>420</v>
      </c>
      <c r="H19" s="7" t="s">
        <v>11</v>
      </c>
      <c r="I19" s="7" t="s">
        <v>12</v>
      </c>
      <c r="J19" s="0" t="s">
        <v>13</v>
      </c>
    </row>
    <row r="20" customFormat="false" ht="15" hidden="false" customHeight="false" outlineLevel="0" collapsed="false">
      <c r="A20" s="5" t="n">
        <v>44684</v>
      </c>
      <c r="B20" s="6" t="n">
        <v>0.241666666666667</v>
      </c>
      <c r="C20" s="7" t="n">
        <v>4554</v>
      </c>
      <c r="D20" s="7" t="s">
        <v>15</v>
      </c>
      <c r="E20" s="7" t="n">
        <v>27500</v>
      </c>
      <c r="F20" s="7" t="n">
        <v>16200</v>
      </c>
      <c r="G20" s="8" t="n">
        <v>11300</v>
      </c>
      <c r="H20" s="7" t="s">
        <v>11</v>
      </c>
      <c r="I20" s="7" t="s">
        <v>12</v>
      </c>
      <c r="J20" s="0" t="s">
        <v>13</v>
      </c>
    </row>
    <row r="21" customFormat="false" ht="15" hidden="false" customHeight="false" outlineLevel="0" collapsed="false">
      <c r="A21" s="5" t="n">
        <v>44684</v>
      </c>
      <c r="B21" s="6" t="n">
        <v>0.189583333333333</v>
      </c>
      <c r="C21" s="7" t="n">
        <v>4551</v>
      </c>
      <c r="D21" s="7" t="s">
        <v>10</v>
      </c>
      <c r="E21" s="7" t="n">
        <v>4500</v>
      </c>
      <c r="F21" s="7" t="n">
        <v>3580</v>
      </c>
      <c r="G21" s="8" t="n">
        <v>920</v>
      </c>
      <c r="H21" s="7" t="s">
        <v>11</v>
      </c>
      <c r="I21" s="7" t="s">
        <v>12</v>
      </c>
      <c r="J21" s="0" t="s">
        <v>13</v>
      </c>
    </row>
    <row r="22" customFormat="false" ht="15" hidden="false" customHeight="false" outlineLevel="0" collapsed="false">
      <c r="A22" s="5" t="n">
        <v>44684</v>
      </c>
      <c r="B22" s="6" t="n">
        <v>0.501388888888889</v>
      </c>
      <c r="C22" s="7" t="n">
        <v>4580</v>
      </c>
      <c r="D22" s="7" t="s">
        <v>21</v>
      </c>
      <c r="E22" s="7" t="n">
        <v>6780</v>
      </c>
      <c r="F22" s="7" t="n">
        <v>5620</v>
      </c>
      <c r="G22" s="8" t="n">
        <v>1160</v>
      </c>
      <c r="H22" s="7" t="s">
        <v>11</v>
      </c>
      <c r="I22" s="7" t="s">
        <v>22</v>
      </c>
      <c r="J22" s="0" t="s">
        <v>13</v>
      </c>
    </row>
    <row r="23" customFormat="false" ht="15" hidden="false" customHeight="false" outlineLevel="0" collapsed="false">
      <c r="A23" s="5" t="n">
        <v>44684</v>
      </c>
      <c r="B23" s="6" t="n">
        <v>0.463194444444444</v>
      </c>
      <c r="C23" s="7" t="n">
        <v>4574</v>
      </c>
      <c r="D23" s="7" t="s">
        <v>20</v>
      </c>
      <c r="E23" s="7" t="n">
        <v>2680</v>
      </c>
      <c r="F23" s="7" t="n">
        <v>2400</v>
      </c>
      <c r="G23" s="8" t="n">
        <v>280</v>
      </c>
      <c r="H23" s="7" t="s">
        <v>11</v>
      </c>
      <c r="I23" s="7" t="s">
        <v>12</v>
      </c>
      <c r="J23" s="0" t="s">
        <v>13</v>
      </c>
    </row>
    <row r="24" customFormat="false" ht="15" hidden="false" customHeight="false" outlineLevel="0" collapsed="false">
      <c r="A24" s="5" t="n">
        <v>44684</v>
      </c>
      <c r="B24" s="6" t="n">
        <v>0.115277777777778</v>
      </c>
      <c r="C24" s="7" t="n">
        <v>4544</v>
      </c>
      <c r="D24" s="7" t="s">
        <v>14</v>
      </c>
      <c r="E24" s="7" t="n">
        <v>21400</v>
      </c>
      <c r="F24" s="7" t="n">
        <v>12720</v>
      </c>
      <c r="G24" s="8" t="n">
        <v>8680</v>
      </c>
      <c r="H24" s="7" t="s">
        <v>11</v>
      </c>
      <c r="I24" s="7" t="s">
        <v>12</v>
      </c>
      <c r="J24" s="0" t="s">
        <v>13</v>
      </c>
    </row>
    <row r="25" customFormat="false" ht="15" hidden="false" customHeight="false" outlineLevel="0" collapsed="false">
      <c r="A25" s="5" t="n">
        <v>44685</v>
      </c>
      <c r="B25" s="6" t="n">
        <v>0.23125</v>
      </c>
      <c r="C25" s="7" t="n">
        <v>4606</v>
      </c>
      <c r="D25" s="7" t="s">
        <v>15</v>
      </c>
      <c r="E25" s="7" t="n">
        <v>23500</v>
      </c>
      <c r="F25" s="7" t="n">
        <v>15880</v>
      </c>
      <c r="G25" s="8" t="n">
        <v>7620</v>
      </c>
      <c r="H25" s="7" t="s">
        <v>11</v>
      </c>
      <c r="I25" s="7" t="s">
        <v>12</v>
      </c>
      <c r="J25" s="0" t="s">
        <v>13</v>
      </c>
    </row>
    <row r="26" customFormat="false" ht="15" hidden="false" customHeight="false" outlineLevel="0" collapsed="false">
      <c r="A26" s="5" t="n">
        <v>44685</v>
      </c>
      <c r="B26" s="6" t="n">
        <v>0.254861111111111</v>
      </c>
      <c r="C26" s="7" t="n">
        <v>4608</v>
      </c>
      <c r="D26" s="7" t="s">
        <v>10</v>
      </c>
      <c r="E26" s="7" t="n">
        <v>4120</v>
      </c>
      <c r="F26" s="7" t="n">
        <v>3720</v>
      </c>
      <c r="G26" s="8" t="n">
        <v>400</v>
      </c>
      <c r="H26" s="7" t="s">
        <v>11</v>
      </c>
      <c r="I26" s="7" t="s">
        <v>12</v>
      </c>
      <c r="J26" s="0" t="s">
        <v>13</v>
      </c>
    </row>
    <row r="27" customFormat="false" ht="15" hidden="false" customHeight="false" outlineLevel="0" collapsed="false">
      <c r="A27" s="5" t="n">
        <v>44685</v>
      </c>
      <c r="B27" s="6" t="n">
        <v>0.123611111111111</v>
      </c>
      <c r="C27" s="7" t="n">
        <v>4598</v>
      </c>
      <c r="D27" s="7" t="s">
        <v>14</v>
      </c>
      <c r="E27" s="7" t="n">
        <v>20020</v>
      </c>
      <c r="F27" s="7" t="n">
        <v>12680</v>
      </c>
      <c r="G27" s="8" t="n">
        <v>7340</v>
      </c>
      <c r="H27" s="7" t="s">
        <v>11</v>
      </c>
      <c r="I27" s="7" t="s">
        <v>12</v>
      </c>
      <c r="J27" s="0" t="s">
        <v>13</v>
      </c>
    </row>
    <row r="28" customFormat="false" ht="15" hidden="false" customHeight="false" outlineLevel="0" collapsed="false">
      <c r="A28" s="5" t="n">
        <v>44685</v>
      </c>
      <c r="B28" s="6" t="n">
        <v>0.253472222222222</v>
      </c>
      <c r="C28" s="7" t="n">
        <v>4607</v>
      </c>
      <c r="D28" s="7" t="s">
        <v>14</v>
      </c>
      <c r="E28" s="7" t="n">
        <v>14380</v>
      </c>
      <c r="F28" s="7" t="n">
        <v>12660</v>
      </c>
      <c r="G28" s="8" t="n">
        <v>1720</v>
      </c>
      <c r="H28" s="7" t="s">
        <v>11</v>
      </c>
      <c r="I28" s="7" t="s">
        <v>12</v>
      </c>
      <c r="J28" s="0" t="s">
        <v>13</v>
      </c>
    </row>
    <row r="29" customFormat="false" ht="15" hidden="false" customHeight="false" outlineLevel="0" collapsed="false">
      <c r="A29" s="5" t="n">
        <v>44685</v>
      </c>
      <c r="B29" s="6" t="n">
        <v>0.504166666666667</v>
      </c>
      <c r="C29" s="7" t="n">
        <v>4638</v>
      </c>
      <c r="D29" s="7" t="s">
        <v>20</v>
      </c>
      <c r="E29" s="7" t="n">
        <v>2660</v>
      </c>
      <c r="F29" s="7" t="n">
        <v>2400</v>
      </c>
      <c r="G29" s="8" t="n">
        <v>260</v>
      </c>
      <c r="H29" s="7" t="s">
        <v>11</v>
      </c>
      <c r="I29" s="7" t="s">
        <v>12</v>
      </c>
      <c r="J29" s="0" t="s">
        <v>13</v>
      </c>
    </row>
    <row r="30" customFormat="false" ht="15" hidden="false" customHeight="false" outlineLevel="0" collapsed="false">
      <c r="A30" s="5" t="n">
        <v>44685</v>
      </c>
      <c r="B30" s="6" t="n">
        <v>0.502083333333333</v>
      </c>
      <c r="C30" s="7" t="n">
        <v>4640</v>
      </c>
      <c r="D30" s="7" t="s">
        <v>21</v>
      </c>
      <c r="E30" s="7" t="n">
        <v>6200</v>
      </c>
      <c r="F30" s="7" t="n">
        <v>5680</v>
      </c>
      <c r="G30" s="8" t="n">
        <v>520</v>
      </c>
      <c r="H30" s="7" t="s">
        <v>11</v>
      </c>
      <c r="I30" s="7" t="s">
        <v>22</v>
      </c>
      <c r="J30" s="0" t="s">
        <v>13</v>
      </c>
    </row>
    <row r="31" customFormat="false" ht="15" hidden="false" customHeight="false" outlineLevel="0" collapsed="false">
      <c r="A31" s="5" t="n">
        <v>44685</v>
      </c>
      <c r="B31" s="6" t="n">
        <v>0.367361111111111</v>
      </c>
      <c r="C31" s="7" t="n">
        <v>4623</v>
      </c>
      <c r="D31" s="7" t="s">
        <v>21</v>
      </c>
      <c r="E31" s="7" t="n">
        <v>6420</v>
      </c>
      <c r="F31" s="7" t="n">
        <v>5600</v>
      </c>
      <c r="G31" s="8" t="n">
        <v>820</v>
      </c>
      <c r="H31" s="7" t="s">
        <v>11</v>
      </c>
      <c r="I31" s="7" t="s">
        <v>22</v>
      </c>
      <c r="J31" s="0" t="s">
        <v>13</v>
      </c>
    </row>
    <row r="32" customFormat="false" ht="15" hidden="false" customHeight="false" outlineLevel="0" collapsed="false">
      <c r="A32" s="5" t="n">
        <v>44685</v>
      </c>
      <c r="B32" s="6" t="n">
        <v>0.377777777777778</v>
      </c>
      <c r="C32" s="7" t="n">
        <v>4624</v>
      </c>
      <c r="D32" s="7" t="s">
        <v>19</v>
      </c>
      <c r="E32" s="7" t="n">
        <v>3700</v>
      </c>
      <c r="F32" s="7" t="n">
        <v>2800</v>
      </c>
      <c r="G32" s="8" t="n">
        <v>900</v>
      </c>
      <c r="H32" s="7" t="s">
        <v>11</v>
      </c>
      <c r="I32" s="7" t="s">
        <v>22</v>
      </c>
      <c r="J32" s="0" t="s">
        <v>13</v>
      </c>
    </row>
    <row r="33" customFormat="false" ht="15" hidden="false" customHeight="false" outlineLevel="0" collapsed="false">
      <c r="A33" s="5" t="n">
        <v>44685</v>
      </c>
      <c r="B33" s="6" t="n">
        <v>0.469444444444444</v>
      </c>
      <c r="C33" s="7" t="n">
        <v>4635</v>
      </c>
      <c r="D33" s="7" t="s">
        <v>23</v>
      </c>
      <c r="E33" s="7" t="n">
        <v>18520</v>
      </c>
      <c r="F33" s="7" t="n">
        <v>16000</v>
      </c>
      <c r="G33" s="8" t="n">
        <v>2520</v>
      </c>
      <c r="H33" s="7" t="s">
        <v>11</v>
      </c>
      <c r="I33" s="7" t="s">
        <v>22</v>
      </c>
      <c r="J33" s="0" t="s">
        <v>13</v>
      </c>
    </row>
    <row r="34" customFormat="false" ht="15" hidden="false" customHeight="false" outlineLevel="0" collapsed="false">
      <c r="A34" s="5" t="n">
        <v>44685</v>
      </c>
      <c r="B34" s="6" t="n">
        <v>0.454861111111111</v>
      </c>
      <c r="C34" s="7" t="n">
        <v>4631</v>
      </c>
      <c r="D34" s="7" t="s">
        <v>17</v>
      </c>
      <c r="E34" s="7" t="n">
        <v>3200</v>
      </c>
      <c r="F34" s="7" t="n">
        <v>2700</v>
      </c>
      <c r="G34" s="8" t="n">
        <v>500</v>
      </c>
      <c r="H34" s="7" t="s">
        <v>11</v>
      </c>
      <c r="I34" s="7" t="s">
        <v>18</v>
      </c>
      <c r="J34" s="0" t="s">
        <v>13</v>
      </c>
    </row>
    <row r="35" customFormat="false" ht="15" hidden="false" customHeight="false" outlineLevel="0" collapsed="false">
      <c r="A35" s="5" t="n">
        <v>44685</v>
      </c>
      <c r="B35" s="6" t="n">
        <v>0.541666666666667</v>
      </c>
      <c r="C35" s="7" t="n">
        <v>4648</v>
      </c>
      <c r="D35" s="7" t="s">
        <v>17</v>
      </c>
      <c r="E35" s="7" t="n">
        <v>3280</v>
      </c>
      <c r="F35" s="7" t="n">
        <v>2780</v>
      </c>
      <c r="G35" s="8" t="n">
        <v>500</v>
      </c>
      <c r="H35" s="7" t="s">
        <v>11</v>
      </c>
      <c r="I35" s="7" t="s">
        <v>18</v>
      </c>
      <c r="J35" s="0" t="s">
        <v>13</v>
      </c>
    </row>
    <row r="36" customFormat="false" ht="15" hidden="false" customHeight="false" outlineLevel="0" collapsed="false">
      <c r="A36" s="5" t="n">
        <v>44685</v>
      </c>
      <c r="B36" s="6" t="n">
        <v>0.546527777777778</v>
      </c>
      <c r="C36" s="7" t="n">
        <v>4649</v>
      </c>
      <c r="D36" s="7" t="s">
        <v>19</v>
      </c>
      <c r="E36" s="7" t="n">
        <v>3340</v>
      </c>
      <c r="F36" s="7" t="n">
        <v>2900</v>
      </c>
      <c r="G36" s="8" t="n">
        <v>440</v>
      </c>
      <c r="H36" s="7" t="s">
        <v>11</v>
      </c>
      <c r="I36" s="7" t="s">
        <v>18</v>
      </c>
      <c r="J36" s="0" t="s">
        <v>13</v>
      </c>
    </row>
    <row r="37" customFormat="false" ht="15" hidden="false" customHeight="false" outlineLevel="0" collapsed="false">
      <c r="A37" s="5" t="n">
        <v>44685</v>
      </c>
      <c r="B37" s="6" t="n">
        <v>0.522222222222222</v>
      </c>
      <c r="C37" s="7" t="n">
        <v>138863</v>
      </c>
      <c r="D37" s="7" t="s">
        <v>15</v>
      </c>
      <c r="E37" s="7" t="n">
        <v>18800</v>
      </c>
      <c r="F37" s="7" t="n">
        <v>15980</v>
      </c>
      <c r="G37" s="8" t="n">
        <v>2820</v>
      </c>
      <c r="H37" s="7" t="s">
        <v>11</v>
      </c>
      <c r="I37" s="7" t="s">
        <v>24</v>
      </c>
      <c r="J37" s="0" t="s">
        <v>13</v>
      </c>
    </row>
    <row r="38" customFormat="false" ht="15" hidden="false" customHeight="false" outlineLevel="0" collapsed="false">
      <c r="A38" s="5" t="n">
        <v>44686</v>
      </c>
      <c r="B38" s="6" t="n">
        <v>0.11875</v>
      </c>
      <c r="C38" s="7" t="n">
        <v>4668</v>
      </c>
      <c r="D38" s="7" t="s">
        <v>14</v>
      </c>
      <c r="E38" s="7" t="n">
        <v>20640</v>
      </c>
      <c r="F38" s="7" t="n">
        <v>12840</v>
      </c>
      <c r="G38" s="8" t="n">
        <v>7800</v>
      </c>
      <c r="H38" s="7" t="s">
        <v>11</v>
      </c>
      <c r="I38" s="7" t="s">
        <v>12</v>
      </c>
      <c r="J38" s="0" t="s">
        <v>13</v>
      </c>
    </row>
    <row r="39" customFormat="false" ht="15" hidden="false" customHeight="false" outlineLevel="0" collapsed="false">
      <c r="A39" s="5" t="n">
        <v>44686</v>
      </c>
      <c r="B39" s="6" t="n">
        <v>0.248611111111111</v>
      </c>
      <c r="C39" s="7" t="n">
        <v>4677</v>
      </c>
      <c r="D39" s="7" t="s">
        <v>15</v>
      </c>
      <c r="E39" s="7" t="n">
        <v>27460</v>
      </c>
      <c r="F39" s="7" t="n">
        <v>16020</v>
      </c>
      <c r="G39" s="8" t="n">
        <v>11440</v>
      </c>
      <c r="H39" s="7" t="s">
        <v>11</v>
      </c>
      <c r="I39" s="7" t="s">
        <v>12</v>
      </c>
      <c r="J39" s="0" t="s">
        <v>13</v>
      </c>
    </row>
    <row r="40" customFormat="false" ht="15" hidden="false" customHeight="false" outlineLevel="0" collapsed="false">
      <c r="A40" s="5" t="n">
        <v>44686</v>
      </c>
      <c r="B40" s="6" t="n">
        <v>0.254166666666667</v>
      </c>
      <c r="C40" s="7" t="n">
        <v>4678</v>
      </c>
      <c r="D40" s="7" t="s">
        <v>14</v>
      </c>
      <c r="E40" s="7" t="n">
        <v>14920</v>
      </c>
      <c r="F40" s="7" t="n">
        <v>12760</v>
      </c>
      <c r="G40" s="8" t="n">
        <v>2160</v>
      </c>
      <c r="H40" s="7" t="s">
        <v>11</v>
      </c>
      <c r="I40" s="7" t="s">
        <v>12</v>
      </c>
      <c r="J40" s="0" t="s">
        <v>13</v>
      </c>
    </row>
    <row r="41" customFormat="false" ht="15" hidden="false" customHeight="false" outlineLevel="0" collapsed="false">
      <c r="A41" s="5" t="n">
        <v>44686</v>
      </c>
      <c r="B41" s="6" t="n">
        <v>0.261111111111111</v>
      </c>
      <c r="C41" s="7" t="n">
        <v>4679</v>
      </c>
      <c r="D41" s="7" t="s">
        <v>10</v>
      </c>
      <c r="E41" s="7" t="n">
        <v>4180</v>
      </c>
      <c r="F41" s="7" t="n">
        <v>3680</v>
      </c>
      <c r="G41" s="8" t="n">
        <v>500</v>
      </c>
      <c r="H41" s="7" t="s">
        <v>11</v>
      </c>
      <c r="I41" s="7" t="s">
        <v>12</v>
      </c>
      <c r="J41" s="0" t="s">
        <v>13</v>
      </c>
    </row>
    <row r="42" customFormat="false" ht="15" hidden="false" customHeight="false" outlineLevel="0" collapsed="false">
      <c r="A42" s="5" t="n">
        <v>44686</v>
      </c>
      <c r="B42" s="6" t="n">
        <v>0.345833333333333</v>
      </c>
      <c r="C42" s="7" t="n">
        <v>4689</v>
      </c>
      <c r="D42" s="7" t="s">
        <v>21</v>
      </c>
      <c r="E42" s="7" t="n">
        <v>6740</v>
      </c>
      <c r="F42" s="7" t="n">
        <v>5700</v>
      </c>
      <c r="G42" s="8" t="n">
        <v>1040</v>
      </c>
      <c r="H42" s="7" t="s">
        <v>11</v>
      </c>
      <c r="I42" s="7" t="s">
        <v>12</v>
      </c>
      <c r="J42" s="0" t="s">
        <v>13</v>
      </c>
    </row>
    <row r="43" customFormat="false" ht="15" hidden="false" customHeight="false" outlineLevel="0" collapsed="false">
      <c r="A43" s="5" t="n">
        <v>44686</v>
      </c>
      <c r="B43" s="6" t="n">
        <v>0.340972222222222</v>
      </c>
      <c r="C43" s="7" t="n">
        <v>4687</v>
      </c>
      <c r="D43" s="7" t="s">
        <v>17</v>
      </c>
      <c r="E43" s="7" t="n">
        <v>3500</v>
      </c>
      <c r="F43" s="7" t="n">
        <v>2700</v>
      </c>
      <c r="G43" s="8" t="n">
        <v>800</v>
      </c>
      <c r="H43" s="7" t="s">
        <v>11</v>
      </c>
      <c r="I43" s="7" t="s">
        <v>18</v>
      </c>
      <c r="J43" s="0" t="s">
        <v>13</v>
      </c>
    </row>
    <row r="44" customFormat="false" ht="15" hidden="false" customHeight="false" outlineLevel="0" collapsed="false">
      <c r="A44" s="5" t="n">
        <v>44686</v>
      </c>
      <c r="B44" s="6" t="n">
        <v>0.379861111111111</v>
      </c>
      <c r="C44" s="7" t="n">
        <v>4693</v>
      </c>
      <c r="D44" s="7" t="s">
        <v>19</v>
      </c>
      <c r="E44" s="7" t="n">
        <v>3500</v>
      </c>
      <c r="F44" s="7" t="n">
        <v>2880</v>
      </c>
      <c r="G44" s="8" t="n">
        <v>620</v>
      </c>
      <c r="H44" s="7" t="s">
        <v>11</v>
      </c>
      <c r="I44" s="7" t="s">
        <v>18</v>
      </c>
      <c r="J44" s="0" t="s">
        <v>13</v>
      </c>
    </row>
    <row r="45" customFormat="false" ht="15" hidden="false" customHeight="false" outlineLevel="0" collapsed="false">
      <c r="A45" s="5" t="n">
        <v>44686</v>
      </c>
      <c r="B45" s="6" t="n">
        <v>0.451388888888889</v>
      </c>
      <c r="C45" s="7" t="n">
        <v>4701</v>
      </c>
      <c r="D45" s="7" t="s">
        <v>17</v>
      </c>
      <c r="E45" s="7" t="n">
        <v>3240</v>
      </c>
      <c r="F45" s="7" t="n">
        <v>2700</v>
      </c>
      <c r="G45" s="8" t="n">
        <v>540</v>
      </c>
      <c r="H45" s="7" t="s">
        <v>11</v>
      </c>
      <c r="I45" s="7" t="s">
        <v>18</v>
      </c>
      <c r="J45" s="0" t="s">
        <v>13</v>
      </c>
    </row>
    <row r="46" customFormat="false" ht="15" hidden="false" customHeight="false" outlineLevel="0" collapsed="false">
      <c r="A46" s="5" t="n">
        <v>44686</v>
      </c>
      <c r="B46" s="6" t="n">
        <v>0.534027777777778</v>
      </c>
      <c r="C46" s="7" t="n">
        <v>4715</v>
      </c>
      <c r="D46" s="7" t="s">
        <v>21</v>
      </c>
      <c r="E46" s="7" t="n">
        <v>6120</v>
      </c>
      <c r="F46" s="7" t="n">
        <v>5680</v>
      </c>
      <c r="G46" s="8" t="n">
        <v>440</v>
      </c>
      <c r="H46" s="7" t="s">
        <v>11</v>
      </c>
      <c r="I46" s="7" t="s">
        <v>22</v>
      </c>
      <c r="J46" s="0" t="s">
        <v>13</v>
      </c>
    </row>
    <row r="47" customFormat="false" ht="15" hidden="false" customHeight="false" outlineLevel="0" collapsed="false">
      <c r="A47" s="5" t="n">
        <v>44686</v>
      </c>
      <c r="B47" s="6" t="n">
        <v>0.529166666666667</v>
      </c>
      <c r="C47" s="7" t="n">
        <v>4716</v>
      </c>
      <c r="D47" s="7" t="s">
        <v>20</v>
      </c>
      <c r="E47" s="7" t="n">
        <v>2700</v>
      </c>
      <c r="F47" s="7" t="n">
        <v>2380</v>
      </c>
      <c r="G47" s="8" t="n">
        <v>320</v>
      </c>
      <c r="H47" s="7" t="s">
        <v>11</v>
      </c>
      <c r="I47" s="7" t="s">
        <v>12</v>
      </c>
      <c r="J47" s="0" t="s">
        <v>13</v>
      </c>
    </row>
    <row r="48" customFormat="false" ht="15" hidden="false" customHeight="false" outlineLevel="0" collapsed="false">
      <c r="A48" s="5" t="n">
        <v>44687</v>
      </c>
      <c r="B48" s="6" t="n">
        <v>0.142361111111111</v>
      </c>
      <c r="C48" s="7" t="n">
        <v>4744</v>
      </c>
      <c r="D48" s="7" t="s">
        <v>14</v>
      </c>
      <c r="E48" s="7" t="n">
        <v>21520</v>
      </c>
      <c r="F48" s="7" t="n">
        <v>12740</v>
      </c>
      <c r="G48" s="8" t="n">
        <v>8780</v>
      </c>
      <c r="H48" s="7" t="s">
        <v>11</v>
      </c>
      <c r="I48" s="7" t="s">
        <v>12</v>
      </c>
      <c r="J48" s="0" t="s">
        <v>13</v>
      </c>
    </row>
    <row r="49" customFormat="false" ht="15" hidden="false" customHeight="false" outlineLevel="0" collapsed="false">
      <c r="A49" s="5" t="n">
        <v>44687</v>
      </c>
      <c r="B49" s="6" t="n">
        <v>0.15625</v>
      </c>
      <c r="C49" s="7" t="n">
        <v>4745</v>
      </c>
      <c r="D49" s="7" t="s">
        <v>15</v>
      </c>
      <c r="E49" s="7" t="n">
        <v>25220</v>
      </c>
      <c r="F49" s="7" t="n">
        <v>16100</v>
      </c>
      <c r="G49" s="8" t="n">
        <v>9120</v>
      </c>
      <c r="H49" s="7" t="s">
        <v>11</v>
      </c>
      <c r="I49" s="7" t="s">
        <v>12</v>
      </c>
      <c r="J49" s="0" t="s">
        <v>13</v>
      </c>
    </row>
    <row r="50" customFormat="false" ht="13.8" hidden="false" customHeight="false" outlineLevel="0" collapsed="false">
      <c r="A50" s="5" t="n">
        <v>44687</v>
      </c>
      <c r="B50" s="6" t="n">
        <v>0.247916666666667</v>
      </c>
      <c r="C50" s="7" t="n">
        <v>4752</v>
      </c>
      <c r="D50" s="7" t="s">
        <v>10</v>
      </c>
      <c r="E50" s="7" t="n">
        <v>4460</v>
      </c>
      <c r="F50" s="7" t="n">
        <v>3800</v>
      </c>
      <c r="G50" s="8" t="n">
        <v>660</v>
      </c>
      <c r="H50" s="7" t="s">
        <v>11</v>
      </c>
      <c r="I50" s="7" t="s">
        <v>12</v>
      </c>
      <c r="J50" s="0" t="s">
        <v>13</v>
      </c>
    </row>
    <row r="51" customFormat="false" ht="15" hidden="false" customHeight="false" outlineLevel="0" collapsed="false">
      <c r="A51" s="5" t="n">
        <v>44687</v>
      </c>
      <c r="B51" s="6" t="n">
        <v>0.259722222222222</v>
      </c>
      <c r="C51" s="7" t="n">
        <v>4753</v>
      </c>
      <c r="D51" s="7" t="s">
        <v>15</v>
      </c>
      <c r="E51" s="7" t="n">
        <v>20400</v>
      </c>
      <c r="F51" s="7" t="n">
        <v>16080</v>
      </c>
      <c r="G51" s="8" t="n">
        <v>4320</v>
      </c>
      <c r="H51" s="7" t="s">
        <v>11</v>
      </c>
      <c r="I51" s="7" t="s">
        <v>12</v>
      </c>
      <c r="J51" s="0" t="s">
        <v>13</v>
      </c>
    </row>
    <row r="52" customFormat="false" ht="15" hidden="false" customHeight="false" outlineLevel="0" collapsed="false">
      <c r="A52" s="5" t="n">
        <v>44687</v>
      </c>
      <c r="B52" s="6" t="n">
        <v>0.509027777777778</v>
      </c>
      <c r="C52" s="7" t="n">
        <v>4786</v>
      </c>
      <c r="D52" s="7" t="s">
        <v>19</v>
      </c>
      <c r="E52" s="7" t="n">
        <v>3520</v>
      </c>
      <c r="F52" s="7" t="n">
        <v>2880</v>
      </c>
      <c r="G52" s="8" t="n">
        <v>640</v>
      </c>
      <c r="H52" s="7" t="s">
        <v>11</v>
      </c>
      <c r="I52" s="7" t="s">
        <v>18</v>
      </c>
      <c r="J52" s="0" t="s">
        <v>13</v>
      </c>
    </row>
    <row r="53" customFormat="false" ht="15" hidden="false" customHeight="false" outlineLevel="0" collapsed="false">
      <c r="A53" s="5" t="n">
        <v>44687</v>
      </c>
      <c r="B53" s="6" t="n">
        <v>0.517361111111111</v>
      </c>
      <c r="C53" s="7" t="n">
        <v>4789</v>
      </c>
      <c r="D53" s="7" t="s">
        <v>20</v>
      </c>
      <c r="E53" s="7" t="n">
        <v>2660</v>
      </c>
      <c r="F53" s="7" t="n">
        <v>2380</v>
      </c>
      <c r="G53" s="8" t="n">
        <v>280</v>
      </c>
      <c r="H53" s="7" t="s">
        <v>11</v>
      </c>
      <c r="I53" s="7" t="s">
        <v>12</v>
      </c>
      <c r="J53" s="0" t="s">
        <v>13</v>
      </c>
    </row>
    <row r="54" customFormat="false" ht="15" hidden="false" customHeight="false" outlineLevel="0" collapsed="false">
      <c r="A54" s="5" t="n">
        <v>44687</v>
      </c>
      <c r="B54" s="6" t="n">
        <v>0.509722222222222</v>
      </c>
      <c r="C54" s="7" t="n">
        <v>4787</v>
      </c>
      <c r="D54" s="7" t="s">
        <v>17</v>
      </c>
      <c r="E54" s="7" t="n">
        <v>3780</v>
      </c>
      <c r="F54" s="7" t="n">
        <v>2700</v>
      </c>
      <c r="G54" s="8" t="n">
        <v>1080</v>
      </c>
      <c r="H54" s="7" t="s">
        <v>11</v>
      </c>
      <c r="I54" s="7" t="s">
        <v>18</v>
      </c>
      <c r="J54" s="0" t="s">
        <v>13</v>
      </c>
    </row>
    <row r="55" customFormat="false" ht="15" hidden="false" customHeight="false" outlineLevel="0" collapsed="false">
      <c r="A55" s="5" t="n">
        <v>44687</v>
      </c>
      <c r="B55" s="6" t="n">
        <v>0.532638888888889</v>
      </c>
      <c r="C55" s="7" t="n">
        <v>4792</v>
      </c>
      <c r="D55" s="7" t="s">
        <v>21</v>
      </c>
      <c r="E55" s="7" t="n">
        <v>6580</v>
      </c>
      <c r="F55" s="7" t="n">
        <v>5600</v>
      </c>
      <c r="G55" s="8" t="n">
        <v>980</v>
      </c>
      <c r="H55" s="7" t="s">
        <v>11</v>
      </c>
      <c r="I55" s="7" t="s">
        <v>22</v>
      </c>
      <c r="J55" s="0" t="s">
        <v>13</v>
      </c>
    </row>
    <row r="56" customFormat="false" ht="15" hidden="false" customHeight="false" outlineLevel="0" collapsed="false">
      <c r="A56" s="5" t="n">
        <v>44688</v>
      </c>
      <c r="B56" s="6" t="n">
        <v>0.122222222222222</v>
      </c>
      <c r="C56" s="7" t="n">
        <v>4808</v>
      </c>
      <c r="D56" s="7" t="s">
        <v>14</v>
      </c>
      <c r="E56" s="7" t="n">
        <v>21000</v>
      </c>
      <c r="F56" s="7" t="n">
        <v>12840</v>
      </c>
      <c r="G56" s="8" t="n">
        <v>8160</v>
      </c>
      <c r="H56" s="7" t="s">
        <v>11</v>
      </c>
      <c r="I56" s="7" t="s">
        <v>12</v>
      </c>
      <c r="J56" s="0" t="s">
        <v>13</v>
      </c>
    </row>
    <row r="57" customFormat="false" ht="15" hidden="false" customHeight="false" outlineLevel="0" collapsed="false">
      <c r="A57" s="5" t="n">
        <v>44688</v>
      </c>
      <c r="B57" s="6" t="n">
        <v>0.152777777777778</v>
      </c>
      <c r="C57" s="7" t="n">
        <v>4810</v>
      </c>
      <c r="D57" s="7" t="s">
        <v>15</v>
      </c>
      <c r="E57" s="7" t="n">
        <v>23840</v>
      </c>
      <c r="F57" s="7" t="n">
        <v>16040</v>
      </c>
      <c r="G57" s="8" t="n">
        <v>7800</v>
      </c>
      <c r="H57" s="7" t="s">
        <v>11</v>
      </c>
      <c r="I57" s="7" t="s">
        <v>12</v>
      </c>
      <c r="J57" s="0" t="s">
        <v>13</v>
      </c>
    </row>
    <row r="58" customFormat="false" ht="15" hidden="false" customHeight="false" outlineLevel="0" collapsed="false">
      <c r="A58" s="5" t="n">
        <v>44688</v>
      </c>
      <c r="B58" s="6" t="n">
        <v>0.255555555555556</v>
      </c>
      <c r="C58" s="7" t="n">
        <v>4816</v>
      </c>
      <c r="D58" s="7" t="s">
        <v>14</v>
      </c>
      <c r="E58" s="7" t="n">
        <v>17300</v>
      </c>
      <c r="F58" s="7" t="n">
        <v>12760</v>
      </c>
      <c r="G58" s="8" t="n">
        <v>4540</v>
      </c>
      <c r="H58" s="7" t="s">
        <v>11</v>
      </c>
      <c r="I58" s="7" t="s">
        <v>12</v>
      </c>
      <c r="J58" s="0" t="s">
        <v>13</v>
      </c>
    </row>
    <row r="59" customFormat="false" ht="15" hidden="false" customHeight="false" outlineLevel="0" collapsed="false">
      <c r="A59" s="5" t="n">
        <v>44688</v>
      </c>
      <c r="B59" s="6" t="n">
        <v>0.25625</v>
      </c>
      <c r="C59" s="7" t="n">
        <v>4817</v>
      </c>
      <c r="D59" s="7" t="s">
        <v>15</v>
      </c>
      <c r="E59" s="7" t="n">
        <v>19680</v>
      </c>
      <c r="F59" s="7" t="n">
        <v>16020</v>
      </c>
      <c r="G59" s="8" t="n">
        <v>3660</v>
      </c>
      <c r="H59" s="7" t="s">
        <v>11</v>
      </c>
      <c r="I59" s="7" t="s">
        <v>12</v>
      </c>
      <c r="J59" s="0" t="s">
        <v>13</v>
      </c>
    </row>
    <row r="60" customFormat="false" ht="15" hidden="false" customHeight="false" outlineLevel="0" collapsed="false">
      <c r="A60" s="5" t="n">
        <v>44688</v>
      </c>
      <c r="B60" s="6" t="n">
        <v>0.259027777777778</v>
      </c>
      <c r="C60" s="7" t="n">
        <v>4818</v>
      </c>
      <c r="D60" s="6" t="s">
        <v>10</v>
      </c>
      <c r="E60" s="7" t="n">
        <v>4520</v>
      </c>
      <c r="F60" s="7" t="n">
        <v>3700</v>
      </c>
      <c r="G60" s="8" t="n">
        <v>820</v>
      </c>
      <c r="H60" s="7" t="s">
        <v>11</v>
      </c>
      <c r="I60" s="7" t="s">
        <v>12</v>
      </c>
      <c r="J60" s="0" t="s">
        <v>13</v>
      </c>
    </row>
    <row r="61" customFormat="false" ht="15" hidden="false" customHeight="false" outlineLevel="0" collapsed="false">
      <c r="A61" s="5" t="n">
        <v>44688</v>
      </c>
      <c r="B61" s="6" t="n">
        <v>0.490972222222222</v>
      </c>
      <c r="C61" s="7" t="n">
        <v>4824</v>
      </c>
      <c r="D61" s="7" t="s">
        <v>20</v>
      </c>
      <c r="E61" s="7" t="n">
        <v>2660</v>
      </c>
      <c r="F61" s="7" t="n">
        <v>2360</v>
      </c>
      <c r="G61" s="8" t="n">
        <v>300</v>
      </c>
      <c r="H61" s="7" t="s">
        <v>11</v>
      </c>
      <c r="I61" s="7" t="s">
        <v>12</v>
      </c>
      <c r="J61" s="0" t="s">
        <v>13</v>
      </c>
    </row>
    <row r="62" customFormat="false" ht="15" hidden="false" customHeight="false" outlineLevel="0" collapsed="false">
      <c r="A62" s="5" t="n">
        <v>44689</v>
      </c>
      <c r="B62" s="6" t="n">
        <v>0.138194444444444</v>
      </c>
      <c r="C62" s="7" t="n">
        <v>4832</v>
      </c>
      <c r="D62" s="7" t="s">
        <v>14</v>
      </c>
      <c r="E62" s="7" t="n">
        <v>23320</v>
      </c>
      <c r="F62" s="7" t="n">
        <v>12740</v>
      </c>
      <c r="G62" s="8" t="n">
        <v>10580</v>
      </c>
      <c r="H62" s="7" t="s">
        <v>11</v>
      </c>
      <c r="I62" s="7" t="s">
        <v>12</v>
      </c>
      <c r="J62" s="0" t="s">
        <v>13</v>
      </c>
    </row>
    <row r="63" customFormat="false" ht="15" hidden="false" customHeight="false" outlineLevel="0" collapsed="false">
      <c r="A63" s="5" t="n">
        <v>44689</v>
      </c>
      <c r="B63" s="6" t="n">
        <v>0.153472222222222</v>
      </c>
      <c r="C63" s="7" t="n">
        <v>4835</v>
      </c>
      <c r="D63" s="7" t="s">
        <v>15</v>
      </c>
      <c r="E63" s="7" t="n">
        <v>24840</v>
      </c>
      <c r="F63" s="7" t="n">
        <v>16000</v>
      </c>
      <c r="G63" s="8" t="n">
        <v>8840</v>
      </c>
      <c r="H63" s="7" t="s">
        <v>11</v>
      </c>
      <c r="I63" s="7" t="s">
        <v>12</v>
      </c>
      <c r="J63" s="0" t="s">
        <v>13</v>
      </c>
    </row>
    <row r="64" customFormat="false" ht="15" hidden="false" customHeight="false" outlineLevel="0" collapsed="false">
      <c r="A64" s="5" t="n">
        <v>44689</v>
      </c>
      <c r="B64" s="6" t="n">
        <v>0.215972222222222</v>
      </c>
      <c r="C64" s="7" t="n">
        <v>4836</v>
      </c>
      <c r="D64" s="7" t="s">
        <v>10</v>
      </c>
      <c r="E64" s="7" t="n">
        <v>4720</v>
      </c>
      <c r="F64" s="7" t="n">
        <v>3560</v>
      </c>
      <c r="G64" s="8" t="n">
        <v>1160</v>
      </c>
      <c r="H64" s="7" t="s">
        <v>11</v>
      </c>
      <c r="I64" s="7" t="s">
        <v>12</v>
      </c>
      <c r="J64" s="0" t="s">
        <v>13</v>
      </c>
    </row>
    <row r="65" customFormat="false" ht="15" hidden="false" customHeight="false" outlineLevel="0" collapsed="false">
      <c r="A65" s="5" t="n">
        <v>44689</v>
      </c>
      <c r="B65" s="6" t="n">
        <v>0.261111111111111</v>
      </c>
      <c r="C65" s="7" t="n">
        <v>4839</v>
      </c>
      <c r="D65" s="7" t="s">
        <v>15</v>
      </c>
      <c r="E65" s="7" t="n">
        <v>20020</v>
      </c>
      <c r="F65" s="7" t="n">
        <v>15960</v>
      </c>
      <c r="G65" s="8" t="n">
        <v>4060</v>
      </c>
      <c r="H65" s="7" t="s">
        <v>11</v>
      </c>
      <c r="I65" s="7" t="s">
        <v>12</v>
      </c>
      <c r="J65" s="0" t="s">
        <v>13</v>
      </c>
    </row>
    <row r="66" customFormat="false" ht="15" hidden="false" customHeight="false" outlineLevel="0" collapsed="false">
      <c r="A66" s="5" t="n">
        <v>44689</v>
      </c>
      <c r="B66" s="6" t="n">
        <v>0.468055555555555</v>
      </c>
      <c r="C66" s="7" t="n">
        <v>4842</v>
      </c>
      <c r="D66" s="7" t="s">
        <v>20</v>
      </c>
      <c r="E66" s="7" t="n">
        <v>2700</v>
      </c>
      <c r="F66" s="7" t="n">
        <v>2420</v>
      </c>
      <c r="G66" s="8" t="n">
        <v>280</v>
      </c>
      <c r="H66" s="7" t="s">
        <v>11</v>
      </c>
      <c r="I66" s="7" t="s">
        <v>12</v>
      </c>
      <c r="J66" s="0" t="s">
        <v>13</v>
      </c>
    </row>
    <row r="67" customFormat="false" ht="15" hidden="false" customHeight="false" outlineLevel="0" collapsed="false">
      <c r="A67" s="5" t="n">
        <v>44690</v>
      </c>
      <c r="B67" s="6" t="n">
        <v>0.0298611111111111</v>
      </c>
      <c r="C67" s="7" t="n">
        <v>4844</v>
      </c>
      <c r="D67" s="7" t="s">
        <v>14</v>
      </c>
      <c r="E67" s="7" t="n">
        <v>17780</v>
      </c>
      <c r="F67" s="7" t="n">
        <v>13000</v>
      </c>
      <c r="G67" s="8" t="n">
        <v>4780</v>
      </c>
      <c r="H67" s="7" t="s">
        <v>11</v>
      </c>
      <c r="I67" s="7" t="s">
        <v>12</v>
      </c>
      <c r="J67" s="0" t="s">
        <v>13</v>
      </c>
    </row>
    <row r="68" customFormat="false" ht="15" hidden="false" customHeight="false" outlineLevel="0" collapsed="false">
      <c r="A68" s="5" t="n">
        <v>44690</v>
      </c>
      <c r="B68" s="6" t="n">
        <v>0.155555555555556</v>
      </c>
      <c r="C68" s="7" t="n">
        <v>4849</v>
      </c>
      <c r="D68" s="7" t="s">
        <v>15</v>
      </c>
      <c r="E68" s="7" t="n">
        <v>23620</v>
      </c>
      <c r="F68" s="7" t="n">
        <v>16100</v>
      </c>
      <c r="G68" s="8" t="n">
        <v>7520</v>
      </c>
      <c r="H68" s="7" t="s">
        <v>11</v>
      </c>
      <c r="I68" s="7" t="s">
        <v>12</v>
      </c>
      <c r="J68" s="0" t="s">
        <v>13</v>
      </c>
    </row>
    <row r="69" customFormat="false" ht="15" hidden="false" customHeight="false" outlineLevel="0" collapsed="false">
      <c r="A69" s="5" t="n">
        <v>44690</v>
      </c>
      <c r="B69" s="6" t="n">
        <v>0.171527777777778</v>
      </c>
      <c r="C69" s="7" t="n">
        <v>4851</v>
      </c>
      <c r="D69" s="7" t="s">
        <v>14</v>
      </c>
      <c r="E69" s="7" t="n">
        <v>20920</v>
      </c>
      <c r="F69" s="7" t="n">
        <v>12760</v>
      </c>
      <c r="G69" s="8" t="n">
        <v>8160</v>
      </c>
      <c r="H69" s="7" t="s">
        <v>11</v>
      </c>
      <c r="I69" s="7" t="s">
        <v>12</v>
      </c>
      <c r="J69" s="0" t="s">
        <v>13</v>
      </c>
    </row>
    <row r="70" customFormat="false" ht="15" hidden="false" customHeight="false" outlineLevel="0" collapsed="false">
      <c r="A70" s="5" t="n">
        <v>44690</v>
      </c>
      <c r="B70" s="6" t="n">
        <v>0.24375</v>
      </c>
      <c r="C70" s="7" t="n">
        <v>4860</v>
      </c>
      <c r="D70" s="7" t="s">
        <v>10</v>
      </c>
      <c r="E70" s="7" t="n">
        <v>4740</v>
      </c>
      <c r="F70" s="7" t="n">
        <v>3800</v>
      </c>
      <c r="G70" s="8" t="n">
        <v>940</v>
      </c>
      <c r="H70" s="7" t="s">
        <v>11</v>
      </c>
      <c r="I70" s="7" t="s">
        <v>12</v>
      </c>
      <c r="J70" s="0" t="s">
        <v>13</v>
      </c>
    </row>
    <row r="71" customFormat="false" ht="15" hidden="false" customHeight="false" outlineLevel="0" collapsed="false">
      <c r="A71" s="5" t="n">
        <v>44690</v>
      </c>
      <c r="B71" s="6" t="n">
        <v>0.261805555555556</v>
      </c>
      <c r="C71" s="7" t="n">
        <v>4861</v>
      </c>
      <c r="D71" s="7" t="s">
        <v>15</v>
      </c>
      <c r="E71" s="7" t="n">
        <v>19960</v>
      </c>
      <c r="F71" s="7" t="n">
        <v>16100</v>
      </c>
      <c r="G71" s="8" t="n">
        <v>3860</v>
      </c>
      <c r="H71" s="7" t="s">
        <v>11</v>
      </c>
      <c r="I71" s="7" t="s">
        <v>12</v>
      </c>
      <c r="J71" s="0" t="s">
        <v>13</v>
      </c>
    </row>
    <row r="72" customFormat="false" ht="15" hidden="false" customHeight="false" outlineLevel="0" collapsed="false">
      <c r="A72" s="5" t="n">
        <v>44691</v>
      </c>
      <c r="B72" s="6" t="n">
        <v>0.105555555555556</v>
      </c>
      <c r="C72" s="7" t="n">
        <v>4887</v>
      </c>
      <c r="D72" s="7" t="s">
        <v>25</v>
      </c>
      <c r="E72" s="7" t="n">
        <v>28120</v>
      </c>
      <c r="F72" s="7" t="n">
        <v>15900</v>
      </c>
      <c r="G72" s="8" t="n">
        <v>12220</v>
      </c>
      <c r="H72" s="7" t="s">
        <v>11</v>
      </c>
      <c r="I72" s="7" t="s">
        <v>12</v>
      </c>
      <c r="J72" s="0" t="s">
        <v>13</v>
      </c>
    </row>
    <row r="73" customFormat="false" ht="15" hidden="false" customHeight="false" outlineLevel="0" collapsed="false">
      <c r="A73" s="5" t="n">
        <v>44691</v>
      </c>
      <c r="B73" s="6" t="n">
        <v>0.25625</v>
      </c>
      <c r="C73" s="7" t="n">
        <v>4898</v>
      </c>
      <c r="D73" s="7" t="s">
        <v>10</v>
      </c>
      <c r="E73" s="7" t="n">
        <v>4100</v>
      </c>
      <c r="F73" s="7" t="n">
        <v>3600</v>
      </c>
      <c r="G73" s="8" t="n">
        <v>500</v>
      </c>
      <c r="H73" s="7" t="s">
        <v>11</v>
      </c>
      <c r="I73" s="7" t="s">
        <v>12</v>
      </c>
      <c r="J73" s="0" t="s">
        <v>13</v>
      </c>
    </row>
    <row r="74" customFormat="false" ht="15" hidden="false" customHeight="false" outlineLevel="0" collapsed="false">
      <c r="A74" s="5" t="n">
        <v>44691</v>
      </c>
      <c r="B74" s="6" t="n">
        <v>0.248611111111111</v>
      </c>
      <c r="C74" s="7" t="n">
        <v>4896</v>
      </c>
      <c r="D74" s="7" t="s">
        <v>14</v>
      </c>
      <c r="E74" s="7" t="n">
        <v>15540</v>
      </c>
      <c r="F74" s="7" t="n">
        <v>12800</v>
      </c>
      <c r="G74" s="8" t="n">
        <v>2740</v>
      </c>
      <c r="H74" s="7" t="s">
        <v>11</v>
      </c>
      <c r="I74" s="7" t="s">
        <v>12</v>
      </c>
      <c r="J74" s="0" t="s">
        <v>13</v>
      </c>
    </row>
    <row r="75" customFormat="false" ht="15" hidden="false" customHeight="false" outlineLevel="0" collapsed="false">
      <c r="A75" s="5" t="n">
        <v>44691</v>
      </c>
      <c r="B75" s="6" t="n">
        <v>0.146527777777778</v>
      </c>
      <c r="C75" s="7" t="n">
        <v>4890</v>
      </c>
      <c r="D75" s="7" t="s">
        <v>14</v>
      </c>
      <c r="E75" s="7" t="n">
        <v>21260</v>
      </c>
      <c r="F75" s="7" t="n">
        <v>12760</v>
      </c>
      <c r="G75" s="8" t="n">
        <v>8500</v>
      </c>
      <c r="H75" s="7" t="s">
        <v>11</v>
      </c>
      <c r="I75" s="7" t="s">
        <v>12</v>
      </c>
      <c r="J75" s="0" t="s">
        <v>13</v>
      </c>
    </row>
    <row r="76" customFormat="false" ht="15" hidden="false" customHeight="false" outlineLevel="0" collapsed="false">
      <c r="A76" s="5" t="n">
        <v>44691</v>
      </c>
      <c r="B76" s="6" t="n">
        <v>0.261111111111111</v>
      </c>
      <c r="C76" s="7" t="n">
        <v>4899</v>
      </c>
      <c r="D76" s="7" t="s">
        <v>25</v>
      </c>
      <c r="E76" s="7" t="n">
        <v>21580</v>
      </c>
      <c r="F76" s="7" t="n">
        <v>15860</v>
      </c>
      <c r="G76" s="8" t="n">
        <v>5720</v>
      </c>
      <c r="H76" s="7" t="s">
        <v>11</v>
      </c>
      <c r="I76" s="7" t="s">
        <v>12</v>
      </c>
      <c r="J76" s="0" t="s">
        <v>13</v>
      </c>
    </row>
    <row r="77" customFormat="false" ht="15" hidden="false" customHeight="false" outlineLevel="0" collapsed="false">
      <c r="A77" s="5" t="n">
        <v>44690</v>
      </c>
      <c r="B77" s="6" t="n">
        <v>0.49375</v>
      </c>
      <c r="C77" s="7" t="n">
        <v>4876</v>
      </c>
      <c r="D77" s="7" t="s">
        <v>20</v>
      </c>
      <c r="E77" s="7" t="n">
        <v>2720</v>
      </c>
      <c r="F77" s="7" t="n">
        <v>2400</v>
      </c>
      <c r="G77" s="8" t="n">
        <v>320</v>
      </c>
      <c r="H77" s="7" t="s">
        <v>11</v>
      </c>
      <c r="I77" s="7" t="s">
        <v>12</v>
      </c>
      <c r="J77" s="0" t="s">
        <v>13</v>
      </c>
    </row>
    <row r="78" customFormat="false" ht="15" hidden="false" customHeight="false" outlineLevel="0" collapsed="false">
      <c r="A78" s="5" t="n">
        <v>44690</v>
      </c>
      <c r="B78" s="6" t="n">
        <v>0.346527777777778</v>
      </c>
      <c r="C78" s="7" t="n">
        <v>4866</v>
      </c>
      <c r="D78" s="7" t="s">
        <v>20</v>
      </c>
      <c r="E78" s="7" t="n">
        <v>2660</v>
      </c>
      <c r="F78" s="7" t="n">
        <v>2420</v>
      </c>
      <c r="G78" s="8" t="n">
        <v>240</v>
      </c>
      <c r="H78" s="7" t="s">
        <v>11</v>
      </c>
      <c r="I78" s="7" t="s">
        <v>12</v>
      </c>
      <c r="J78" s="0" t="s">
        <v>13</v>
      </c>
    </row>
    <row r="79" customFormat="false" ht="15" hidden="false" customHeight="false" outlineLevel="0" collapsed="false">
      <c r="A79" s="5" t="n">
        <v>44691</v>
      </c>
      <c r="B79" s="6" t="n">
        <v>0.313888888888889</v>
      </c>
      <c r="C79" s="7" t="n">
        <v>4903</v>
      </c>
      <c r="D79" s="7" t="s">
        <v>21</v>
      </c>
      <c r="E79" s="7" t="n">
        <v>6460</v>
      </c>
      <c r="F79" s="7" t="n">
        <v>5580</v>
      </c>
      <c r="G79" s="8" t="n">
        <v>880</v>
      </c>
      <c r="H79" s="7" t="s">
        <v>11</v>
      </c>
      <c r="I79" s="7" t="s">
        <v>22</v>
      </c>
      <c r="J79" s="0" t="s">
        <v>13</v>
      </c>
    </row>
    <row r="80" customFormat="false" ht="15" hidden="false" customHeight="false" outlineLevel="0" collapsed="false">
      <c r="A80" s="5" t="n">
        <v>44691</v>
      </c>
      <c r="B80" s="6" t="n">
        <v>0.511805555555555</v>
      </c>
      <c r="C80" s="7" t="n">
        <v>4915</v>
      </c>
      <c r="D80" s="7" t="s">
        <v>21</v>
      </c>
      <c r="E80" s="7" t="n">
        <v>6360</v>
      </c>
      <c r="F80" s="7" t="n">
        <v>5500</v>
      </c>
      <c r="G80" s="8" t="n">
        <v>860</v>
      </c>
      <c r="H80" s="7" t="s">
        <v>11</v>
      </c>
      <c r="I80" s="7" t="s">
        <v>22</v>
      </c>
      <c r="J80" s="0" t="s">
        <v>13</v>
      </c>
    </row>
    <row r="81" customFormat="false" ht="15" hidden="false" customHeight="false" outlineLevel="0" collapsed="false">
      <c r="A81" s="5" t="n">
        <v>44691</v>
      </c>
      <c r="B81" s="6" t="n">
        <v>0.467361111111111</v>
      </c>
      <c r="C81" s="7" t="n">
        <v>4909</v>
      </c>
      <c r="D81" s="7" t="s">
        <v>20</v>
      </c>
      <c r="E81" s="7" t="n">
        <v>2720</v>
      </c>
      <c r="F81" s="7" t="n">
        <v>2400</v>
      </c>
      <c r="G81" s="8" t="n">
        <v>320</v>
      </c>
      <c r="H81" s="7" t="s">
        <v>11</v>
      </c>
      <c r="I81" s="7" t="s">
        <v>12</v>
      </c>
      <c r="J81" s="0" t="s">
        <v>13</v>
      </c>
    </row>
    <row r="82" customFormat="false" ht="15" hidden="false" customHeight="false" outlineLevel="0" collapsed="false">
      <c r="A82" s="5" t="n">
        <v>44692</v>
      </c>
      <c r="B82" s="6" t="n">
        <v>0.25625</v>
      </c>
      <c r="C82" s="7" t="n">
        <v>4934</v>
      </c>
      <c r="D82" s="7" t="s">
        <v>10</v>
      </c>
      <c r="E82" s="7" t="n">
        <v>4800</v>
      </c>
      <c r="F82" s="7" t="n">
        <v>3680</v>
      </c>
      <c r="G82" s="8" t="n">
        <v>1120</v>
      </c>
      <c r="H82" s="7" t="s">
        <v>11</v>
      </c>
      <c r="I82" s="7" t="s">
        <v>12</v>
      </c>
      <c r="J82" s="0" t="s">
        <v>13</v>
      </c>
    </row>
    <row r="83" customFormat="false" ht="15" hidden="false" customHeight="false" outlineLevel="0" collapsed="false">
      <c r="A83" s="5" t="n">
        <v>44692</v>
      </c>
      <c r="B83" s="6" t="n">
        <v>0.436805555555555</v>
      </c>
      <c r="C83" s="7" t="n">
        <v>4946</v>
      </c>
      <c r="D83" s="7" t="s">
        <v>20</v>
      </c>
      <c r="E83" s="7" t="n">
        <v>2640</v>
      </c>
      <c r="F83" s="7" t="n">
        <v>2440</v>
      </c>
      <c r="G83" s="8" t="n">
        <v>200</v>
      </c>
      <c r="H83" s="7" t="s">
        <v>11</v>
      </c>
      <c r="I83" s="7" t="s">
        <v>12</v>
      </c>
      <c r="J83" s="0" t="s">
        <v>13</v>
      </c>
    </row>
    <row r="84" customFormat="false" ht="15" hidden="false" customHeight="false" outlineLevel="0" collapsed="false">
      <c r="A84" s="5" t="n">
        <v>44692</v>
      </c>
      <c r="B84" s="6" t="n">
        <v>0.359722222222222</v>
      </c>
      <c r="C84" s="7" t="n">
        <v>4940</v>
      </c>
      <c r="D84" s="7" t="s">
        <v>10</v>
      </c>
      <c r="E84" s="7" t="n">
        <v>4520</v>
      </c>
      <c r="F84" s="7" t="n">
        <v>3740</v>
      </c>
      <c r="G84" s="8" t="n">
        <v>780</v>
      </c>
      <c r="H84" s="7" t="s">
        <v>11</v>
      </c>
      <c r="I84" s="7" t="s">
        <v>12</v>
      </c>
      <c r="J84" s="0" t="s">
        <v>13</v>
      </c>
    </row>
    <row r="85" customFormat="false" ht="15" hidden="false" customHeight="false" outlineLevel="0" collapsed="false">
      <c r="A85" s="5" t="n">
        <v>44692</v>
      </c>
      <c r="B85" s="6" t="n">
        <v>0.354166666666667</v>
      </c>
      <c r="C85" s="7" t="n">
        <v>4941</v>
      </c>
      <c r="D85" s="7" t="s">
        <v>21</v>
      </c>
      <c r="E85" s="7" t="n">
        <v>6540</v>
      </c>
      <c r="F85" s="7" t="n">
        <v>5700</v>
      </c>
      <c r="G85" s="8" t="n">
        <v>840</v>
      </c>
      <c r="H85" s="7" t="s">
        <v>11</v>
      </c>
      <c r="I85" s="7" t="s">
        <v>22</v>
      </c>
      <c r="J85" s="0" t="s">
        <v>13</v>
      </c>
    </row>
    <row r="86" customFormat="false" ht="15" hidden="false" customHeight="false" outlineLevel="0" collapsed="false">
      <c r="A86" s="5" t="n">
        <v>44692</v>
      </c>
      <c r="B86" s="6" t="n">
        <v>0.526388888888889</v>
      </c>
      <c r="C86" s="7" t="n">
        <v>4950</v>
      </c>
      <c r="D86" s="7" t="s">
        <v>21</v>
      </c>
      <c r="E86" s="7" t="n">
        <v>6320</v>
      </c>
      <c r="F86" s="7" t="n">
        <v>5700</v>
      </c>
      <c r="G86" s="8" t="n">
        <v>620</v>
      </c>
      <c r="H86" s="7" t="s">
        <v>11</v>
      </c>
      <c r="I86" s="7" t="s">
        <v>22</v>
      </c>
      <c r="J86" s="0" t="s">
        <v>13</v>
      </c>
    </row>
    <row r="87" customFormat="false" ht="15" hidden="false" customHeight="false" outlineLevel="0" collapsed="false">
      <c r="A87" s="5" t="n">
        <v>44693</v>
      </c>
      <c r="B87" s="6" t="n">
        <v>0.252083333333333</v>
      </c>
      <c r="C87" s="7" t="n">
        <v>4971</v>
      </c>
      <c r="D87" s="7" t="s">
        <v>26</v>
      </c>
      <c r="E87" s="7" t="n">
        <v>15840</v>
      </c>
      <c r="F87" s="7" t="n">
        <v>12520</v>
      </c>
      <c r="G87" s="8" t="n">
        <v>3320</v>
      </c>
      <c r="H87" s="7" t="s">
        <v>11</v>
      </c>
      <c r="I87" s="7" t="s">
        <v>12</v>
      </c>
      <c r="J87" s="0" t="s">
        <v>13</v>
      </c>
    </row>
    <row r="88" customFormat="false" ht="15" hidden="false" customHeight="false" outlineLevel="0" collapsed="false">
      <c r="A88" s="5" t="n">
        <v>44693</v>
      </c>
      <c r="B88" s="6" t="n">
        <v>0.101388888888889</v>
      </c>
      <c r="C88" s="7" t="n">
        <v>4958</v>
      </c>
      <c r="D88" s="7" t="s">
        <v>26</v>
      </c>
      <c r="E88" s="7" t="n">
        <v>19860</v>
      </c>
      <c r="F88" s="7" t="n">
        <v>12440</v>
      </c>
      <c r="G88" s="8" t="n">
        <v>7420</v>
      </c>
      <c r="H88" s="7" t="s">
        <v>11</v>
      </c>
      <c r="I88" s="7" t="s">
        <v>12</v>
      </c>
      <c r="J88" s="0" t="s">
        <v>13</v>
      </c>
    </row>
    <row r="89" customFormat="false" ht="15" hidden="false" customHeight="false" outlineLevel="0" collapsed="false">
      <c r="A89" s="5" t="n">
        <v>44692</v>
      </c>
      <c r="B89" s="6" t="n">
        <v>0.08125</v>
      </c>
      <c r="C89" s="7" t="n">
        <v>4921</v>
      </c>
      <c r="D89" s="7" t="s">
        <v>25</v>
      </c>
      <c r="E89" s="7" t="n">
        <v>19880</v>
      </c>
      <c r="F89" s="7" t="n">
        <v>15880</v>
      </c>
      <c r="G89" s="8" t="n">
        <v>4000</v>
      </c>
      <c r="H89" s="7" t="s">
        <v>11</v>
      </c>
      <c r="I89" s="7" t="s">
        <v>12</v>
      </c>
      <c r="J89" s="0" t="s">
        <v>13</v>
      </c>
    </row>
    <row r="90" customFormat="false" ht="15" hidden="false" customHeight="false" outlineLevel="0" collapsed="false">
      <c r="A90" s="5" t="n">
        <v>44693</v>
      </c>
      <c r="B90" s="6" t="n">
        <v>0.0256944444444444</v>
      </c>
      <c r="C90" s="7" t="n">
        <v>4955</v>
      </c>
      <c r="D90" s="7" t="s">
        <v>25</v>
      </c>
      <c r="E90" s="7" t="n">
        <v>26380</v>
      </c>
      <c r="F90" s="7" t="n">
        <v>15900</v>
      </c>
      <c r="G90" s="8" t="n">
        <v>10480</v>
      </c>
      <c r="H90" s="7" t="s">
        <v>11</v>
      </c>
      <c r="I90" s="7" t="s">
        <v>12</v>
      </c>
      <c r="J90" s="0" t="s">
        <v>13</v>
      </c>
    </row>
    <row r="91" customFormat="false" ht="15" hidden="false" customHeight="false" outlineLevel="0" collapsed="false">
      <c r="A91" s="5" t="n">
        <v>44693</v>
      </c>
      <c r="B91" s="6" t="n">
        <v>0.245833333333333</v>
      </c>
      <c r="C91" s="7" t="n">
        <v>4970</v>
      </c>
      <c r="D91" s="7" t="s">
        <v>25</v>
      </c>
      <c r="E91" s="7" t="n">
        <v>25000</v>
      </c>
      <c r="F91" s="7" t="n">
        <v>15880</v>
      </c>
      <c r="G91" s="8" t="n">
        <v>9120</v>
      </c>
      <c r="H91" s="7" t="s">
        <v>11</v>
      </c>
      <c r="I91" s="5" t="s">
        <v>12</v>
      </c>
      <c r="J91" s="0" t="s">
        <v>13</v>
      </c>
    </row>
    <row r="92" customFormat="false" ht="15" hidden="false" customHeight="false" outlineLevel="0" collapsed="false">
      <c r="A92" s="5" t="n">
        <v>44693</v>
      </c>
      <c r="B92" s="6" t="n">
        <v>0.208333333333333</v>
      </c>
      <c r="C92" s="7" t="n">
        <v>4965</v>
      </c>
      <c r="D92" s="7" t="s">
        <v>17</v>
      </c>
      <c r="E92" s="7" t="n">
        <v>3340</v>
      </c>
      <c r="F92" s="7" t="n">
        <v>2700</v>
      </c>
      <c r="G92" s="8" t="n">
        <v>640</v>
      </c>
      <c r="H92" s="7" t="s">
        <v>11</v>
      </c>
      <c r="I92" s="7" t="s">
        <v>12</v>
      </c>
      <c r="J92" s="0" t="s">
        <v>13</v>
      </c>
    </row>
    <row r="93" customFormat="false" ht="15" hidden="false" customHeight="false" outlineLevel="0" collapsed="false">
      <c r="A93" s="5" t="n">
        <v>44692</v>
      </c>
      <c r="B93" s="6" t="n">
        <v>0.546527777777778</v>
      </c>
      <c r="C93" s="7" t="n">
        <v>4953</v>
      </c>
      <c r="D93" s="7" t="s">
        <v>17</v>
      </c>
      <c r="E93" s="7" t="n">
        <v>3280</v>
      </c>
      <c r="F93" s="7" t="n">
        <v>2680</v>
      </c>
      <c r="G93" s="8" t="n">
        <v>600</v>
      </c>
      <c r="H93" s="7" t="s">
        <v>11</v>
      </c>
      <c r="I93" s="7" t="s">
        <v>18</v>
      </c>
      <c r="J93" s="0" t="s">
        <v>13</v>
      </c>
    </row>
    <row r="94" customFormat="false" ht="15" hidden="false" customHeight="false" outlineLevel="0" collapsed="false">
      <c r="A94" s="5" t="n">
        <v>44693</v>
      </c>
      <c r="B94" s="6" t="n">
        <v>0.550694444444444</v>
      </c>
      <c r="C94" s="7" t="n">
        <v>4986</v>
      </c>
      <c r="D94" s="7" t="s">
        <v>19</v>
      </c>
      <c r="E94" s="7" t="n">
        <v>3300</v>
      </c>
      <c r="F94" s="7" t="n">
        <v>2860</v>
      </c>
      <c r="G94" s="8" t="n">
        <v>440</v>
      </c>
      <c r="H94" s="7" t="s">
        <v>11</v>
      </c>
      <c r="I94" s="7" t="s">
        <v>18</v>
      </c>
      <c r="J94" s="0" t="s">
        <v>13</v>
      </c>
    </row>
    <row r="95" customFormat="false" ht="15" hidden="false" customHeight="false" outlineLevel="0" collapsed="false">
      <c r="A95" s="5" t="n">
        <v>44693</v>
      </c>
      <c r="B95" s="6" t="n">
        <v>0.304861111111111</v>
      </c>
      <c r="C95" s="7" t="n">
        <v>4977</v>
      </c>
      <c r="D95" s="7" t="s">
        <v>20</v>
      </c>
      <c r="E95" s="7" t="n">
        <v>2740</v>
      </c>
      <c r="F95" s="7" t="n">
        <v>2400</v>
      </c>
      <c r="G95" s="8" t="n">
        <v>340</v>
      </c>
      <c r="H95" s="7" t="s">
        <v>11</v>
      </c>
      <c r="I95" s="7" t="s">
        <v>12</v>
      </c>
      <c r="J95" s="0" t="s">
        <v>13</v>
      </c>
    </row>
    <row r="96" customFormat="false" ht="15" hidden="false" customHeight="false" outlineLevel="0" collapsed="false">
      <c r="A96" s="5" t="n">
        <v>44693</v>
      </c>
      <c r="B96" s="6" t="n">
        <v>0.511805555555555</v>
      </c>
      <c r="C96" s="7" t="n">
        <v>4983</v>
      </c>
      <c r="D96" s="7" t="s">
        <v>20</v>
      </c>
      <c r="E96" s="7" t="n">
        <v>2600</v>
      </c>
      <c r="F96" s="7" t="n">
        <v>2380</v>
      </c>
      <c r="G96" s="8" t="n">
        <v>220</v>
      </c>
      <c r="H96" s="7" t="s">
        <v>11</v>
      </c>
      <c r="I96" s="7" t="s">
        <v>12</v>
      </c>
      <c r="J96" s="0" t="s">
        <v>13</v>
      </c>
    </row>
    <row r="97" customFormat="false" ht="15" hidden="false" customHeight="false" outlineLevel="0" collapsed="false">
      <c r="A97" s="5" t="n">
        <v>44693</v>
      </c>
      <c r="B97" s="6" t="n">
        <v>0.526388888888889</v>
      </c>
      <c r="C97" s="7" t="n">
        <v>139275</v>
      </c>
      <c r="D97" s="7" t="s">
        <v>25</v>
      </c>
      <c r="E97" s="7" t="n">
        <v>18600</v>
      </c>
      <c r="F97" s="7" t="n">
        <v>15660</v>
      </c>
      <c r="G97" s="8" t="n">
        <v>2940</v>
      </c>
      <c r="H97" s="7" t="s">
        <v>11</v>
      </c>
      <c r="I97" s="7" t="s">
        <v>24</v>
      </c>
      <c r="J97" s="0" t="s">
        <v>13</v>
      </c>
    </row>
    <row r="98" customFormat="false" ht="15" hidden="false" customHeight="false" outlineLevel="0" collapsed="false">
      <c r="A98" s="5" t="n">
        <v>44693</v>
      </c>
      <c r="B98" s="6" t="n">
        <v>0.969444444444444</v>
      </c>
      <c r="C98" s="7" t="n">
        <v>4993</v>
      </c>
      <c r="D98" s="7" t="s">
        <v>14</v>
      </c>
      <c r="E98" s="7" t="n">
        <v>20520</v>
      </c>
      <c r="F98" s="7" t="n">
        <v>12860</v>
      </c>
      <c r="G98" s="8" t="n">
        <v>7660</v>
      </c>
      <c r="H98" s="7" t="s">
        <v>11</v>
      </c>
      <c r="I98" s="7" t="s">
        <v>12</v>
      </c>
      <c r="J98" s="0" t="s">
        <v>13</v>
      </c>
    </row>
    <row r="99" customFormat="false" ht="13.8" hidden="false" customHeight="false" outlineLevel="0" collapsed="false">
      <c r="A99" s="5" t="n">
        <v>44694</v>
      </c>
      <c r="B99" s="6" t="n">
        <v>0.129861111111111</v>
      </c>
      <c r="C99" s="7" t="n">
        <v>5000</v>
      </c>
      <c r="D99" s="7" t="s">
        <v>14</v>
      </c>
      <c r="E99" s="7" t="n">
        <v>20520</v>
      </c>
      <c r="F99" s="7" t="n">
        <v>12720</v>
      </c>
      <c r="G99" s="8" t="n">
        <v>7800</v>
      </c>
      <c r="H99" s="7" t="s">
        <v>11</v>
      </c>
      <c r="I99" s="7" t="s">
        <v>12</v>
      </c>
      <c r="J99" s="0" t="s">
        <v>13</v>
      </c>
    </row>
    <row r="100" customFormat="false" ht="15" hidden="false" customHeight="false" outlineLevel="0" collapsed="false">
      <c r="A100" s="5" t="n">
        <v>44694</v>
      </c>
      <c r="B100" s="6" t="n">
        <v>0.236805555555556</v>
      </c>
      <c r="C100" s="7" t="n">
        <v>5006</v>
      </c>
      <c r="D100" s="7" t="s">
        <v>14</v>
      </c>
      <c r="E100" s="7" t="n">
        <v>15760</v>
      </c>
      <c r="F100" s="7" t="n">
        <v>12820</v>
      </c>
      <c r="G100" s="8" t="n">
        <v>2940</v>
      </c>
      <c r="H100" s="7" t="s">
        <v>11</v>
      </c>
      <c r="I100" s="7" t="s">
        <v>12</v>
      </c>
      <c r="J100" s="0" t="s">
        <v>13</v>
      </c>
    </row>
    <row r="101" customFormat="false" ht="15" hidden="false" customHeight="false" outlineLevel="0" collapsed="false">
      <c r="A101" s="5" t="n">
        <v>44694</v>
      </c>
      <c r="B101" s="6" t="n">
        <v>0.0791666666666667</v>
      </c>
      <c r="C101" s="7" t="n">
        <v>4994</v>
      </c>
      <c r="D101" s="7" t="s">
        <v>25</v>
      </c>
      <c r="E101" s="7" t="n">
        <v>20420</v>
      </c>
      <c r="F101" s="7" t="n">
        <v>15880</v>
      </c>
      <c r="G101" s="8" t="n">
        <v>4540</v>
      </c>
      <c r="H101" s="7" t="s">
        <v>11</v>
      </c>
      <c r="I101" s="7" t="s">
        <v>12</v>
      </c>
      <c r="J101" s="0" t="s">
        <v>13</v>
      </c>
    </row>
    <row r="102" customFormat="false" ht="15" hidden="false" customHeight="false" outlineLevel="0" collapsed="false">
      <c r="A102" s="5" t="n">
        <v>44694</v>
      </c>
      <c r="B102" s="6" t="n">
        <v>0.247916666666667</v>
      </c>
      <c r="C102" s="7" t="n">
        <v>5007</v>
      </c>
      <c r="D102" s="7" t="s">
        <v>25</v>
      </c>
      <c r="E102" s="7" t="n">
        <v>23360</v>
      </c>
      <c r="F102" s="7" t="n">
        <v>15840</v>
      </c>
      <c r="G102" s="8" t="n">
        <v>7520</v>
      </c>
      <c r="H102" s="7" t="s">
        <v>11</v>
      </c>
      <c r="I102" s="7" t="s">
        <v>12</v>
      </c>
      <c r="J102" s="0" t="s">
        <v>13</v>
      </c>
    </row>
    <row r="103" customFormat="false" ht="15" hidden="false" customHeight="false" outlineLevel="0" collapsed="false">
      <c r="A103" s="5" t="n">
        <v>44694</v>
      </c>
      <c r="B103" s="6" t="n">
        <v>0.254861111111111</v>
      </c>
      <c r="C103" s="7" t="n">
        <v>5008</v>
      </c>
      <c r="D103" s="7" t="s">
        <v>10</v>
      </c>
      <c r="E103" s="7" t="n">
        <v>4240</v>
      </c>
      <c r="F103" s="7" t="n">
        <v>3580</v>
      </c>
      <c r="G103" s="8" t="n">
        <v>660</v>
      </c>
      <c r="H103" s="7" t="s">
        <v>11</v>
      </c>
      <c r="I103" s="7" t="s">
        <v>12</v>
      </c>
      <c r="J103" s="0" t="s">
        <v>13</v>
      </c>
    </row>
    <row r="104" customFormat="false" ht="15" hidden="false" customHeight="false" outlineLevel="0" collapsed="false">
      <c r="A104" s="5" t="n">
        <v>44694</v>
      </c>
      <c r="B104" s="6" t="n">
        <v>0.514583333333333</v>
      </c>
      <c r="C104" s="7" t="n">
        <v>2017</v>
      </c>
      <c r="D104" s="7" t="s">
        <v>20</v>
      </c>
      <c r="E104" s="7" t="n">
        <v>2680</v>
      </c>
      <c r="F104" s="7" t="n">
        <v>2380</v>
      </c>
      <c r="G104" s="8" t="n">
        <v>300</v>
      </c>
      <c r="H104" s="7" t="s">
        <v>11</v>
      </c>
      <c r="I104" s="7" t="s">
        <v>12</v>
      </c>
      <c r="J104" s="0" t="s">
        <v>13</v>
      </c>
    </row>
    <row r="105" customFormat="false" ht="15" hidden="false" customHeight="false" outlineLevel="0" collapsed="false">
      <c r="A105" s="5" t="n">
        <v>44694</v>
      </c>
      <c r="B105" s="6" t="n">
        <v>0.539583333333333</v>
      </c>
      <c r="C105" s="7" t="n">
        <v>5020</v>
      </c>
      <c r="D105" s="7" t="s">
        <v>17</v>
      </c>
      <c r="E105" s="7" t="n">
        <v>3260</v>
      </c>
      <c r="F105" s="7" t="n">
        <v>2760</v>
      </c>
      <c r="G105" s="8" t="n">
        <v>500</v>
      </c>
      <c r="H105" s="7" t="s">
        <v>11</v>
      </c>
      <c r="I105" s="7" t="s">
        <v>18</v>
      </c>
      <c r="J105" s="0" t="s">
        <v>13</v>
      </c>
    </row>
    <row r="106" customFormat="false" ht="15" hidden="false" customHeight="false" outlineLevel="0" collapsed="false">
      <c r="A106" s="5" t="n">
        <v>44694</v>
      </c>
      <c r="B106" s="6" t="n">
        <v>0.50625</v>
      </c>
      <c r="C106" s="7" t="n">
        <v>2877</v>
      </c>
      <c r="D106" s="7" t="s">
        <v>25</v>
      </c>
      <c r="E106" s="7" t="n">
        <v>18520</v>
      </c>
      <c r="F106" s="7" t="n">
        <v>15760</v>
      </c>
      <c r="G106" s="8" t="n">
        <v>2760</v>
      </c>
      <c r="H106" s="7" t="s">
        <v>11</v>
      </c>
      <c r="I106" s="7" t="s">
        <v>16</v>
      </c>
      <c r="J106" s="0" t="s">
        <v>13</v>
      </c>
    </row>
    <row r="107" customFormat="false" ht="15" hidden="false" customHeight="false" outlineLevel="0" collapsed="false">
      <c r="A107" s="5" t="n">
        <v>44695</v>
      </c>
      <c r="B107" s="6" t="n">
        <v>0.117361111111111</v>
      </c>
      <c r="C107" s="7" t="n">
        <v>5029</v>
      </c>
      <c r="D107" s="7" t="s">
        <v>14</v>
      </c>
      <c r="E107" s="7" t="n">
        <v>21860</v>
      </c>
      <c r="F107" s="7" t="n">
        <v>12660</v>
      </c>
      <c r="G107" s="8" t="n">
        <v>9200</v>
      </c>
      <c r="H107" s="7" t="s">
        <v>11</v>
      </c>
      <c r="I107" s="7" t="s">
        <v>12</v>
      </c>
      <c r="J107" s="0" t="s">
        <v>13</v>
      </c>
    </row>
    <row r="108" customFormat="false" ht="15" hidden="false" customHeight="false" outlineLevel="0" collapsed="false">
      <c r="A108" s="5" t="n">
        <v>44695</v>
      </c>
      <c r="B108" s="6" t="n">
        <v>0.254861111111111</v>
      </c>
      <c r="C108" s="7" t="n">
        <v>5039</v>
      </c>
      <c r="D108" s="7" t="s">
        <v>10</v>
      </c>
      <c r="E108" s="7" t="n">
        <v>4460</v>
      </c>
      <c r="F108" s="7" t="n">
        <v>3600</v>
      </c>
      <c r="G108" s="8" t="n">
        <v>860</v>
      </c>
      <c r="H108" s="7" t="s">
        <v>11</v>
      </c>
      <c r="I108" s="7" t="s">
        <v>12</v>
      </c>
      <c r="J108" s="0" t="s">
        <v>13</v>
      </c>
    </row>
    <row r="109" customFormat="false" ht="15" hidden="false" customHeight="false" outlineLevel="0" collapsed="false">
      <c r="A109" s="5" t="n">
        <v>44695</v>
      </c>
      <c r="B109" s="6" t="n">
        <v>0.0736111111111111</v>
      </c>
      <c r="C109" s="7" t="n">
        <v>5022</v>
      </c>
      <c r="D109" s="7" t="s">
        <v>25</v>
      </c>
      <c r="E109" s="7" t="n">
        <v>22480</v>
      </c>
      <c r="F109" s="7" t="n">
        <v>15880</v>
      </c>
      <c r="G109" s="8" t="n">
        <v>6600</v>
      </c>
      <c r="H109" s="5" t="s">
        <v>11</v>
      </c>
      <c r="I109" s="7" t="s">
        <v>12</v>
      </c>
      <c r="J109" s="0" t="s">
        <v>13</v>
      </c>
    </row>
    <row r="110" customFormat="false" ht="15" hidden="false" customHeight="false" outlineLevel="0" collapsed="false">
      <c r="A110" s="5" t="n">
        <v>44695</v>
      </c>
      <c r="B110" s="6" t="n">
        <v>0.233333333333333</v>
      </c>
      <c r="C110" s="7" t="n">
        <v>5036</v>
      </c>
      <c r="D110" s="7" t="s">
        <v>25</v>
      </c>
      <c r="E110" s="7" t="n">
        <v>20520</v>
      </c>
      <c r="F110" s="7" t="n">
        <v>15860</v>
      </c>
      <c r="G110" s="8" t="n">
        <v>4660</v>
      </c>
      <c r="H110" s="7" t="s">
        <v>11</v>
      </c>
      <c r="I110" s="7" t="s">
        <v>12</v>
      </c>
      <c r="J110" s="0" t="s">
        <v>13</v>
      </c>
    </row>
    <row r="111" customFormat="false" ht="15" hidden="false" customHeight="false" outlineLevel="0" collapsed="false">
      <c r="A111" s="5" t="n">
        <v>44695</v>
      </c>
      <c r="B111" s="6" t="n">
        <v>0.255555555555556</v>
      </c>
      <c r="C111" s="7" t="n">
        <v>5040</v>
      </c>
      <c r="D111" s="7" t="s">
        <v>14</v>
      </c>
      <c r="E111" s="7" t="n">
        <v>16320</v>
      </c>
      <c r="F111" s="7" t="n">
        <v>12740</v>
      </c>
      <c r="G111" s="8" t="n">
        <v>3580</v>
      </c>
      <c r="H111" s="7" t="s">
        <v>11</v>
      </c>
      <c r="I111" s="7" t="s">
        <v>12</v>
      </c>
      <c r="J111" s="0" t="s">
        <v>13</v>
      </c>
    </row>
    <row r="112" customFormat="false" ht="15" hidden="false" customHeight="false" outlineLevel="0" collapsed="false">
      <c r="A112" s="5" t="n">
        <v>44695</v>
      </c>
      <c r="B112" s="6" t="n">
        <v>0.503472222222222</v>
      </c>
      <c r="C112" s="7" t="n">
        <v>5047</v>
      </c>
      <c r="D112" s="7" t="s">
        <v>17</v>
      </c>
      <c r="E112" s="7" t="n">
        <v>3140</v>
      </c>
      <c r="F112" s="7" t="n">
        <v>2700</v>
      </c>
      <c r="G112" s="8" t="n">
        <v>440</v>
      </c>
      <c r="H112" s="7" t="s">
        <v>11</v>
      </c>
      <c r="I112" s="7" t="s">
        <v>12</v>
      </c>
      <c r="J112" s="0" t="s">
        <v>13</v>
      </c>
    </row>
    <row r="113" customFormat="false" ht="15" hidden="false" customHeight="false" outlineLevel="0" collapsed="false">
      <c r="A113" s="5" t="n">
        <v>44696</v>
      </c>
      <c r="B113" s="6" t="n">
        <v>0.238194444444444</v>
      </c>
      <c r="C113" s="7" t="n">
        <v>5060</v>
      </c>
      <c r="D113" s="7" t="s">
        <v>14</v>
      </c>
      <c r="E113" s="7" t="n">
        <v>19160</v>
      </c>
      <c r="F113" s="7" t="n">
        <v>12860</v>
      </c>
      <c r="G113" s="8" t="n">
        <v>6300</v>
      </c>
      <c r="H113" s="7" t="s">
        <v>11</v>
      </c>
      <c r="I113" s="7" t="s">
        <v>12</v>
      </c>
      <c r="J113" s="0" t="s">
        <v>13</v>
      </c>
    </row>
    <row r="114" customFormat="false" ht="15" hidden="false" customHeight="false" outlineLevel="0" collapsed="false">
      <c r="A114" s="5" t="n">
        <v>44696</v>
      </c>
      <c r="B114" s="6" t="n">
        <v>0.524305555555556</v>
      </c>
      <c r="C114" s="7" t="n">
        <v>5066</v>
      </c>
      <c r="D114" s="7" t="s">
        <v>17</v>
      </c>
      <c r="E114" s="7" t="n">
        <v>2900</v>
      </c>
      <c r="F114" s="7" t="n">
        <v>2680</v>
      </c>
      <c r="G114" s="8" t="n">
        <v>220</v>
      </c>
      <c r="H114" s="7" t="s">
        <v>11</v>
      </c>
      <c r="I114" s="7" t="s">
        <v>12</v>
      </c>
      <c r="J114" s="0" t="s">
        <v>13</v>
      </c>
    </row>
    <row r="115" customFormat="false" ht="15" hidden="false" customHeight="false" outlineLevel="0" collapsed="false">
      <c r="A115" s="5" t="n">
        <v>44696</v>
      </c>
      <c r="B115" s="6" t="n">
        <v>0.430555555555556</v>
      </c>
      <c r="C115" s="7" t="n">
        <v>5065</v>
      </c>
      <c r="D115" s="7" t="s">
        <v>17</v>
      </c>
      <c r="E115" s="7" t="n">
        <v>3140</v>
      </c>
      <c r="F115" s="7" t="n">
        <v>2700</v>
      </c>
      <c r="G115" s="8" t="n">
        <v>440</v>
      </c>
      <c r="H115" s="7" t="s">
        <v>11</v>
      </c>
      <c r="I115" s="7" t="s">
        <v>12</v>
      </c>
      <c r="J115" s="0" t="s">
        <v>13</v>
      </c>
    </row>
    <row r="116" customFormat="false" ht="15" hidden="false" customHeight="false" outlineLevel="0" collapsed="false">
      <c r="A116" s="5" t="n">
        <v>44696</v>
      </c>
      <c r="B116" s="6" t="n">
        <v>0.113194444444444</v>
      </c>
      <c r="C116" s="7" t="n">
        <v>5054</v>
      </c>
      <c r="D116" s="7" t="s">
        <v>14</v>
      </c>
      <c r="E116" s="7" t="n">
        <v>21060</v>
      </c>
      <c r="F116" s="7" t="n">
        <v>12740</v>
      </c>
      <c r="G116" s="8" t="n">
        <v>8320</v>
      </c>
      <c r="H116" s="7" t="s">
        <v>11</v>
      </c>
      <c r="I116" s="7" t="s">
        <v>12</v>
      </c>
      <c r="J116" s="0" t="s">
        <v>13</v>
      </c>
    </row>
    <row r="117" customFormat="false" ht="15" hidden="false" customHeight="false" outlineLevel="0" collapsed="false">
      <c r="A117" s="5" t="n">
        <v>44696</v>
      </c>
      <c r="B117" s="6" t="n">
        <v>0.220833333333333</v>
      </c>
      <c r="C117" s="7" t="n">
        <v>5058</v>
      </c>
      <c r="D117" s="7" t="s">
        <v>25</v>
      </c>
      <c r="E117" s="7" t="n">
        <v>27860</v>
      </c>
      <c r="F117" s="7" t="n">
        <v>15820</v>
      </c>
      <c r="G117" s="8" t="n">
        <v>12040</v>
      </c>
      <c r="H117" s="7" t="s">
        <v>11</v>
      </c>
      <c r="I117" s="7" t="s">
        <v>12</v>
      </c>
      <c r="J117" s="0" t="s">
        <v>13</v>
      </c>
    </row>
    <row r="118" customFormat="false" ht="15" hidden="false" customHeight="false" outlineLevel="0" collapsed="false">
      <c r="A118" s="5" t="n">
        <v>44696</v>
      </c>
      <c r="B118" s="6" t="n">
        <v>0.233333333333333</v>
      </c>
      <c r="C118" s="7" t="n">
        <v>5059</v>
      </c>
      <c r="D118" s="7" t="s">
        <v>17</v>
      </c>
      <c r="E118" s="7" t="n">
        <v>3920</v>
      </c>
      <c r="F118" s="7" t="n">
        <v>2720</v>
      </c>
      <c r="G118" s="8" t="n">
        <v>1200</v>
      </c>
      <c r="H118" s="7" t="s">
        <v>11</v>
      </c>
      <c r="I118" s="7" t="s">
        <v>12</v>
      </c>
      <c r="J118" s="0" t="s">
        <v>13</v>
      </c>
    </row>
    <row r="119" customFormat="false" ht="15" hidden="false" customHeight="false" outlineLevel="0" collapsed="false">
      <c r="A119" s="5" t="n">
        <v>44697</v>
      </c>
      <c r="B119" s="6" t="n">
        <v>0.259722222222222</v>
      </c>
      <c r="C119" s="7" t="n">
        <v>5082</v>
      </c>
      <c r="D119" s="7" t="s">
        <v>10</v>
      </c>
      <c r="E119" s="7" t="n">
        <v>4820</v>
      </c>
      <c r="F119" s="7" t="n">
        <v>3820</v>
      </c>
      <c r="G119" s="8" t="n">
        <v>1000</v>
      </c>
      <c r="H119" s="7" t="s">
        <v>11</v>
      </c>
      <c r="I119" s="7" t="s">
        <v>12</v>
      </c>
      <c r="J119" s="0" t="s">
        <v>13</v>
      </c>
    </row>
    <row r="120" customFormat="false" ht="15" hidden="false" customHeight="false" outlineLevel="0" collapsed="false">
      <c r="A120" s="5" t="n">
        <v>44697</v>
      </c>
      <c r="B120" s="6" t="n">
        <v>0.0854166666666667</v>
      </c>
      <c r="C120" s="7"/>
      <c r="D120" s="7" t="s">
        <v>14</v>
      </c>
      <c r="E120" s="7" t="n">
        <v>22020</v>
      </c>
      <c r="F120" s="7" t="n">
        <v>12780</v>
      </c>
      <c r="G120" s="8" t="n">
        <v>9240</v>
      </c>
      <c r="H120" s="7" t="s">
        <v>11</v>
      </c>
      <c r="I120" s="7" t="s">
        <v>12</v>
      </c>
      <c r="J120" s="0" t="s">
        <v>13</v>
      </c>
    </row>
    <row r="121" customFormat="false" ht="15" hidden="false" customHeight="false" outlineLevel="0" collapsed="false">
      <c r="A121" s="5" t="n">
        <v>44697</v>
      </c>
      <c r="B121" s="6" t="n">
        <v>0.163888888888889</v>
      </c>
      <c r="C121" s="7" t="n">
        <v>5074</v>
      </c>
      <c r="D121" s="7" t="s">
        <v>14</v>
      </c>
      <c r="E121" s="7" t="n">
        <v>17000</v>
      </c>
      <c r="F121" s="7" t="n">
        <v>12740</v>
      </c>
      <c r="G121" s="8" t="n">
        <v>4260</v>
      </c>
      <c r="H121" s="7" t="s">
        <v>11</v>
      </c>
      <c r="I121" s="7" t="s">
        <v>12</v>
      </c>
      <c r="J121" s="0" t="s">
        <v>13</v>
      </c>
    </row>
    <row r="122" customFormat="false" ht="15" hidden="false" customHeight="false" outlineLevel="0" collapsed="false">
      <c r="A122" s="5" t="n">
        <v>44697</v>
      </c>
      <c r="B122" s="6" t="n">
        <v>0.234722222222222</v>
      </c>
      <c r="C122" s="7" t="n">
        <v>5081</v>
      </c>
      <c r="D122" s="7" t="s">
        <v>25</v>
      </c>
      <c r="E122" s="7" t="n">
        <v>27160</v>
      </c>
      <c r="F122" s="7" t="n">
        <v>15780</v>
      </c>
      <c r="G122" s="8" t="n">
        <v>11380</v>
      </c>
      <c r="H122" s="7" t="s">
        <v>11</v>
      </c>
      <c r="I122" s="7" t="s">
        <v>12</v>
      </c>
      <c r="J122" s="0" t="s">
        <v>13</v>
      </c>
    </row>
    <row r="123" customFormat="false" ht="15" hidden="false" customHeight="false" outlineLevel="0" collapsed="false">
      <c r="A123" s="5" t="n">
        <v>44697</v>
      </c>
      <c r="B123" s="6" t="n">
        <v>0.456944444444444</v>
      </c>
      <c r="C123" s="7" t="n">
        <v>5096</v>
      </c>
      <c r="D123" s="7" t="s">
        <v>20</v>
      </c>
      <c r="E123" s="7" t="n">
        <v>2700</v>
      </c>
      <c r="F123" s="7" t="n">
        <v>2400</v>
      </c>
      <c r="G123" s="8" t="n">
        <v>300</v>
      </c>
      <c r="H123" s="7" t="s">
        <v>11</v>
      </c>
      <c r="I123" s="7" t="s">
        <v>12</v>
      </c>
      <c r="J123" s="0" t="s">
        <v>13</v>
      </c>
    </row>
    <row r="124" customFormat="false" ht="15" hidden="false" customHeight="false" outlineLevel="0" collapsed="false">
      <c r="A124" s="5" t="n">
        <v>44698</v>
      </c>
      <c r="B124" s="6" t="n">
        <v>0.185416666666667</v>
      </c>
      <c r="C124" s="7" t="n">
        <v>5128</v>
      </c>
      <c r="D124" s="7" t="s">
        <v>17</v>
      </c>
      <c r="E124" s="7" t="n">
        <v>3340</v>
      </c>
      <c r="F124" s="7" t="n">
        <v>2720</v>
      </c>
      <c r="G124" s="8" t="n">
        <v>620</v>
      </c>
      <c r="H124" s="7" t="s">
        <v>11</v>
      </c>
      <c r="I124" s="7" t="s">
        <v>12</v>
      </c>
      <c r="J124" s="0" t="s">
        <v>13</v>
      </c>
    </row>
    <row r="125" customFormat="false" ht="15" hidden="false" customHeight="false" outlineLevel="0" collapsed="false">
      <c r="A125" s="5" t="n">
        <v>44697</v>
      </c>
      <c r="B125" s="6" t="n">
        <v>0.480555555555556</v>
      </c>
      <c r="C125" s="7" t="n">
        <v>5098</v>
      </c>
      <c r="D125" s="7" t="s">
        <v>19</v>
      </c>
      <c r="E125" s="7" t="n">
        <v>3440</v>
      </c>
      <c r="F125" s="7" t="n">
        <v>2840</v>
      </c>
      <c r="G125" s="8" t="n">
        <v>600</v>
      </c>
      <c r="H125" s="7" t="s">
        <v>11</v>
      </c>
      <c r="I125" s="7" t="s">
        <v>12</v>
      </c>
      <c r="J125" s="0" t="s">
        <v>13</v>
      </c>
    </row>
    <row r="126" customFormat="false" ht="15" hidden="false" customHeight="false" outlineLevel="0" collapsed="false">
      <c r="A126" s="5" t="n">
        <v>44698</v>
      </c>
      <c r="B126" s="6" t="n">
        <v>0.119444444444444</v>
      </c>
      <c r="C126" s="7" t="n">
        <v>5125</v>
      </c>
      <c r="D126" s="7" t="s">
        <v>25</v>
      </c>
      <c r="E126" s="7" t="n">
        <v>24620</v>
      </c>
      <c r="F126" s="7" t="n">
        <v>16000</v>
      </c>
      <c r="G126" s="8" t="n">
        <v>8620</v>
      </c>
      <c r="H126" s="7" t="s">
        <v>11</v>
      </c>
      <c r="I126" s="7" t="s">
        <v>12</v>
      </c>
      <c r="J126" s="0" t="s">
        <v>13</v>
      </c>
    </row>
    <row r="127" customFormat="false" ht="15" hidden="false" customHeight="false" outlineLevel="0" collapsed="false">
      <c r="A127" s="5" t="n">
        <v>44698</v>
      </c>
      <c r="B127" s="6" t="n">
        <v>0.220833333333333</v>
      </c>
      <c r="C127" s="7" t="n">
        <v>5131</v>
      </c>
      <c r="D127" s="7" t="s">
        <v>25</v>
      </c>
      <c r="E127" s="7" t="n">
        <v>20700</v>
      </c>
      <c r="F127" s="7" t="n">
        <v>15900</v>
      </c>
      <c r="G127" s="8" t="n">
        <v>4800</v>
      </c>
      <c r="H127" s="7" t="s">
        <v>11</v>
      </c>
      <c r="I127" s="7" t="s">
        <v>12</v>
      </c>
      <c r="J127" s="0" t="s">
        <v>13</v>
      </c>
    </row>
    <row r="128" customFormat="false" ht="15" hidden="false" customHeight="false" outlineLevel="0" collapsed="false">
      <c r="A128" s="5" t="n">
        <v>44698</v>
      </c>
      <c r="B128" s="6" t="n">
        <v>0.0993055555555556</v>
      </c>
      <c r="C128" s="7" t="n">
        <v>5121</v>
      </c>
      <c r="D128" s="7" t="s">
        <v>14</v>
      </c>
      <c r="E128" s="7" t="n">
        <v>20320</v>
      </c>
      <c r="F128" s="7" t="n">
        <v>12680</v>
      </c>
      <c r="G128" s="8" t="n">
        <v>7640</v>
      </c>
      <c r="H128" s="7" t="s">
        <v>11</v>
      </c>
      <c r="I128" s="7" t="s">
        <v>12</v>
      </c>
      <c r="J128" s="0" t="s">
        <v>13</v>
      </c>
    </row>
    <row r="129" customFormat="false" ht="15" hidden="false" customHeight="false" outlineLevel="0" collapsed="false">
      <c r="A129" s="5" t="n">
        <v>44698</v>
      </c>
      <c r="B129" s="6" t="n">
        <v>0.247916666666667</v>
      </c>
      <c r="C129" s="7" t="n">
        <v>5134</v>
      </c>
      <c r="D129" s="7" t="s">
        <v>14</v>
      </c>
      <c r="E129" s="7" t="n">
        <v>16500</v>
      </c>
      <c r="F129" s="7" t="n">
        <v>12860</v>
      </c>
      <c r="G129" s="8" t="n">
        <v>3640</v>
      </c>
      <c r="H129" s="7" t="s">
        <v>11</v>
      </c>
      <c r="I129" s="7" t="s">
        <v>12</v>
      </c>
      <c r="J129" s="0" t="s">
        <v>13</v>
      </c>
    </row>
    <row r="130" customFormat="false" ht="15" hidden="false" customHeight="false" outlineLevel="0" collapsed="false">
      <c r="A130" s="5" t="n">
        <v>44698</v>
      </c>
      <c r="B130" s="6" t="n">
        <v>0.495138888888889</v>
      </c>
      <c r="C130" s="7" t="n">
        <v>139466</v>
      </c>
      <c r="D130" s="7" t="s">
        <v>23</v>
      </c>
      <c r="E130" s="7" t="n">
        <v>17880</v>
      </c>
      <c r="F130" s="7" t="n">
        <v>15860</v>
      </c>
      <c r="G130" s="8" t="n">
        <v>2020</v>
      </c>
      <c r="H130" s="7" t="s">
        <v>11</v>
      </c>
      <c r="I130" s="7" t="s">
        <v>24</v>
      </c>
      <c r="J130" s="0" t="s">
        <v>13</v>
      </c>
    </row>
    <row r="131" customFormat="false" ht="15" hidden="false" customHeight="false" outlineLevel="0" collapsed="false">
      <c r="A131" s="5" t="n">
        <v>44698</v>
      </c>
      <c r="B131" s="6" t="n">
        <v>0.460416666666667</v>
      </c>
      <c r="C131" s="7" t="n">
        <v>5154</v>
      </c>
      <c r="D131" s="7" t="s">
        <v>20</v>
      </c>
      <c r="E131" s="7" t="n">
        <v>2620</v>
      </c>
      <c r="F131" s="7" t="n">
        <v>2400</v>
      </c>
      <c r="G131" s="8" t="n">
        <v>220</v>
      </c>
      <c r="H131" s="7" t="s">
        <v>11</v>
      </c>
      <c r="I131" s="7" t="s">
        <v>12</v>
      </c>
      <c r="J131" s="0" t="s">
        <v>13</v>
      </c>
    </row>
    <row r="132" customFormat="false" ht="15" hidden="false" customHeight="false" outlineLevel="0" collapsed="false">
      <c r="A132" s="5" t="n">
        <v>44699</v>
      </c>
      <c r="B132" s="6" t="n">
        <v>0.152083333333333</v>
      </c>
      <c r="C132" s="7" t="n">
        <v>5184</v>
      </c>
      <c r="D132" s="7" t="s">
        <v>25</v>
      </c>
      <c r="E132" s="7" t="n">
        <v>24520</v>
      </c>
      <c r="F132" s="7" t="n">
        <v>15860</v>
      </c>
      <c r="G132" s="8" t="n">
        <v>8660</v>
      </c>
      <c r="H132" s="7" t="s">
        <v>11</v>
      </c>
      <c r="I132" s="7" t="s">
        <v>12</v>
      </c>
      <c r="J132" s="0" t="s">
        <v>13</v>
      </c>
    </row>
    <row r="133" customFormat="false" ht="15" hidden="false" customHeight="false" outlineLevel="0" collapsed="false">
      <c r="A133" s="5" t="n">
        <v>44699</v>
      </c>
      <c r="B133" s="6" t="n">
        <v>0.132638888888889</v>
      </c>
      <c r="C133" s="7" t="n">
        <v>5182</v>
      </c>
      <c r="D133" s="7" t="s">
        <v>14</v>
      </c>
      <c r="E133" s="7" t="n">
        <v>20980</v>
      </c>
      <c r="F133" s="7" t="n">
        <v>12780</v>
      </c>
      <c r="G133" s="8" t="n">
        <v>8200</v>
      </c>
      <c r="H133" s="7" t="s">
        <v>11</v>
      </c>
      <c r="I133" s="7" t="s">
        <v>12</v>
      </c>
      <c r="J133" s="0" t="s">
        <v>13</v>
      </c>
    </row>
    <row r="134" customFormat="false" ht="15" hidden="false" customHeight="false" outlineLevel="0" collapsed="false">
      <c r="A134" s="5" t="n">
        <v>44699</v>
      </c>
      <c r="B134" s="6" t="n">
        <v>0.188194444444444</v>
      </c>
      <c r="C134" s="7" t="n">
        <v>5187</v>
      </c>
      <c r="D134" s="7" t="s">
        <v>14</v>
      </c>
      <c r="E134" s="7" t="n">
        <v>15620</v>
      </c>
      <c r="F134" s="7" t="n">
        <v>12740</v>
      </c>
      <c r="G134" s="8" t="n">
        <v>2880</v>
      </c>
      <c r="H134" s="7" t="s">
        <v>11</v>
      </c>
      <c r="I134" s="7" t="s">
        <v>12</v>
      </c>
      <c r="J134" s="0" t="s">
        <v>13</v>
      </c>
    </row>
    <row r="135" customFormat="false" ht="15" hidden="false" customHeight="false" outlineLevel="0" collapsed="false">
      <c r="A135" s="5" t="n">
        <v>44699</v>
      </c>
      <c r="B135" s="6" t="n">
        <v>0.25625</v>
      </c>
      <c r="C135" s="7" t="n">
        <v>5192</v>
      </c>
      <c r="D135" s="7" t="s">
        <v>10</v>
      </c>
      <c r="E135" s="7" t="n">
        <v>4520</v>
      </c>
      <c r="F135" s="7" t="n">
        <v>3820</v>
      </c>
      <c r="G135" s="8" t="n">
        <v>700</v>
      </c>
      <c r="H135" s="7" t="s">
        <v>11</v>
      </c>
      <c r="I135" s="7" t="s">
        <v>12</v>
      </c>
      <c r="J135" s="0" t="s">
        <v>13</v>
      </c>
    </row>
    <row r="136" customFormat="false" ht="15" hidden="false" customHeight="false" outlineLevel="0" collapsed="false">
      <c r="A136" s="5" t="n">
        <v>44699</v>
      </c>
      <c r="B136" s="6" t="n">
        <v>0.253472222222222</v>
      </c>
      <c r="C136" s="7" t="n">
        <v>5191</v>
      </c>
      <c r="D136" s="7" t="s">
        <v>25</v>
      </c>
      <c r="E136" s="7" t="n">
        <v>19560</v>
      </c>
      <c r="F136" s="7" t="n">
        <v>15840</v>
      </c>
      <c r="G136" s="8" t="n">
        <v>3720</v>
      </c>
      <c r="H136" s="7" t="s">
        <v>11</v>
      </c>
      <c r="I136" s="7" t="s">
        <v>12</v>
      </c>
      <c r="J136" s="0" t="s">
        <v>13</v>
      </c>
    </row>
    <row r="137" customFormat="false" ht="15" hidden="false" customHeight="false" outlineLevel="0" collapsed="false">
      <c r="A137" s="5" t="n">
        <v>44699</v>
      </c>
      <c r="B137" s="6" t="n">
        <v>0.5</v>
      </c>
      <c r="C137" s="7" t="n">
        <v>5218</v>
      </c>
      <c r="D137" s="7" t="s">
        <v>20</v>
      </c>
      <c r="E137" s="7" t="n">
        <v>2660</v>
      </c>
      <c r="F137" s="7" t="n">
        <v>2380</v>
      </c>
      <c r="G137" s="8" t="n">
        <v>280</v>
      </c>
      <c r="H137" s="7" t="s">
        <v>11</v>
      </c>
      <c r="I137" s="7" t="s">
        <v>12</v>
      </c>
      <c r="J137" s="0" t="s">
        <v>13</v>
      </c>
    </row>
    <row r="138" customFormat="false" ht="15" hidden="false" customHeight="false" outlineLevel="0" collapsed="false">
      <c r="A138" s="5" t="n">
        <v>44699</v>
      </c>
      <c r="B138" s="6" t="n">
        <v>0.527777777777778</v>
      </c>
      <c r="C138" s="7" t="n">
        <v>5224</v>
      </c>
      <c r="D138" s="7" t="s">
        <v>21</v>
      </c>
      <c r="E138" s="7" t="n">
        <v>6840</v>
      </c>
      <c r="F138" s="7" t="n">
        <v>5580</v>
      </c>
      <c r="G138" s="8" t="n">
        <v>1260</v>
      </c>
      <c r="H138" s="7" t="s">
        <v>11</v>
      </c>
      <c r="I138" s="7" t="s">
        <v>22</v>
      </c>
      <c r="J138" s="0" t="s">
        <v>13</v>
      </c>
    </row>
    <row r="139" customFormat="false" ht="15" hidden="false" customHeight="false" outlineLevel="0" collapsed="false">
      <c r="A139" s="5" t="n">
        <v>44699</v>
      </c>
      <c r="B139" s="6" t="n">
        <v>0.526388888888889</v>
      </c>
      <c r="C139" s="7" t="n">
        <v>5223</v>
      </c>
      <c r="D139" s="7" t="s">
        <v>19</v>
      </c>
      <c r="E139" s="7" t="n">
        <v>3520</v>
      </c>
      <c r="F139" s="7" t="n">
        <v>2840</v>
      </c>
      <c r="G139" s="8" t="n">
        <v>680</v>
      </c>
      <c r="H139" s="7" t="s">
        <v>11</v>
      </c>
      <c r="I139" s="7" t="s">
        <v>22</v>
      </c>
      <c r="J139" s="0" t="s">
        <v>13</v>
      </c>
    </row>
    <row r="140" customFormat="false" ht="15" hidden="false" customHeight="false" outlineLevel="0" collapsed="false">
      <c r="A140" s="5" t="n">
        <v>44699</v>
      </c>
      <c r="B140" s="6" t="n">
        <v>0.429166666666667</v>
      </c>
      <c r="C140" s="7" t="n">
        <v>5208</v>
      </c>
      <c r="D140" s="7" t="s">
        <v>19</v>
      </c>
      <c r="E140" s="7" t="n">
        <v>3400</v>
      </c>
      <c r="F140" s="7" t="n">
        <v>2860</v>
      </c>
      <c r="G140" s="8" t="n">
        <v>540</v>
      </c>
      <c r="H140" s="7" t="s">
        <v>11</v>
      </c>
      <c r="I140" s="7" t="s">
        <v>22</v>
      </c>
      <c r="J140" s="0" t="s">
        <v>13</v>
      </c>
    </row>
    <row r="141" customFormat="false" ht="15" hidden="false" customHeight="false" outlineLevel="0" collapsed="false">
      <c r="A141" s="5" t="n">
        <v>44700</v>
      </c>
      <c r="B141" s="6" t="n">
        <v>0.247916666666667</v>
      </c>
      <c r="C141" s="7" t="n">
        <v>5254</v>
      </c>
      <c r="D141" s="7" t="s">
        <v>14</v>
      </c>
      <c r="E141" s="7" t="n">
        <v>15880</v>
      </c>
      <c r="F141" s="7" t="n">
        <v>12900</v>
      </c>
      <c r="G141" s="8" t="n">
        <v>2980</v>
      </c>
      <c r="H141" s="7" t="s">
        <v>11</v>
      </c>
      <c r="I141" s="7" t="s">
        <v>12</v>
      </c>
      <c r="J141" s="0" t="s">
        <v>13</v>
      </c>
    </row>
    <row r="142" customFormat="false" ht="15" hidden="false" customHeight="false" outlineLevel="0" collapsed="false">
      <c r="A142" s="5" t="n">
        <v>44700</v>
      </c>
      <c r="B142" s="6" t="n">
        <v>0.135416666666667</v>
      </c>
      <c r="C142" s="7" t="n">
        <v>5244</v>
      </c>
      <c r="D142" s="7" t="s">
        <v>14</v>
      </c>
      <c r="E142" s="7" t="n">
        <v>21200</v>
      </c>
      <c r="F142" s="7" t="n">
        <v>12740</v>
      </c>
      <c r="G142" s="8" t="n">
        <v>8460</v>
      </c>
      <c r="H142" s="7" t="s">
        <v>11</v>
      </c>
      <c r="I142" s="7" t="s">
        <v>12</v>
      </c>
      <c r="J142" s="0" t="s">
        <v>13</v>
      </c>
    </row>
    <row r="143" customFormat="false" ht="15" hidden="false" customHeight="false" outlineLevel="0" collapsed="false">
      <c r="A143" s="5" t="n">
        <v>44699</v>
      </c>
      <c r="B143" s="6" t="n">
        <v>0.330555555555556</v>
      </c>
      <c r="C143" s="7" t="n">
        <v>5198</v>
      </c>
      <c r="D143" s="7" t="s">
        <v>21</v>
      </c>
      <c r="E143" s="7" t="n">
        <v>6520</v>
      </c>
      <c r="F143" s="7" t="n">
        <v>5580</v>
      </c>
      <c r="G143" s="8" t="n">
        <v>940</v>
      </c>
      <c r="H143" s="7" t="s">
        <v>11</v>
      </c>
      <c r="I143" s="7" t="s">
        <v>22</v>
      </c>
      <c r="J143" s="0" t="s">
        <v>13</v>
      </c>
    </row>
    <row r="144" customFormat="false" ht="15" hidden="false" customHeight="false" outlineLevel="0" collapsed="false">
      <c r="A144" s="5" t="n">
        <v>44699</v>
      </c>
      <c r="B144" s="6" t="n">
        <v>0.452777777777778</v>
      </c>
      <c r="C144" s="7" t="n">
        <v>5212</v>
      </c>
      <c r="D144" s="7" t="s">
        <v>21</v>
      </c>
      <c r="E144" s="7" t="n">
        <v>6660</v>
      </c>
      <c r="F144" s="7" t="n">
        <v>5580</v>
      </c>
      <c r="G144" s="8" t="n">
        <v>1080</v>
      </c>
      <c r="H144" s="7" t="s">
        <v>11</v>
      </c>
      <c r="I144" s="7" t="s">
        <v>22</v>
      </c>
      <c r="J144" s="0" t="s">
        <v>13</v>
      </c>
    </row>
    <row r="145" customFormat="false" ht="15" hidden="false" customHeight="false" outlineLevel="0" collapsed="false">
      <c r="A145" s="5" t="n">
        <v>44700</v>
      </c>
      <c r="B145" s="6" t="n">
        <v>0.216666666666667</v>
      </c>
      <c r="C145" s="7" t="n">
        <v>5248</v>
      </c>
      <c r="D145" s="7" t="s">
        <v>17</v>
      </c>
      <c r="E145" s="7" t="n">
        <v>3380</v>
      </c>
      <c r="F145" s="7" t="n">
        <v>2720</v>
      </c>
      <c r="G145" s="8" t="n">
        <v>660</v>
      </c>
      <c r="H145" s="7" t="s">
        <v>11</v>
      </c>
      <c r="I145" s="7" t="s">
        <v>12</v>
      </c>
      <c r="J145" s="0" t="s">
        <v>13</v>
      </c>
    </row>
    <row r="146" customFormat="false" ht="15" hidden="false" customHeight="false" outlineLevel="0" collapsed="false">
      <c r="A146" s="5" t="n">
        <v>44700</v>
      </c>
      <c r="B146" s="6" t="n">
        <v>0.509027777777778</v>
      </c>
      <c r="C146" s="7" t="n">
        <v>5282</v>
      </c>
      <c r="D146" s="7" t="s">
        <v>21</v>
      </c>
      <c r="E146" s="7" t="n">
        <v>6560</v>
      </c>
      <c r="F146" s="7" t="n">
        <v>5560</v>
      </c>
      <c r="G146" s="8" t="n">
        <v>1000</v>
      </c>
      <c r="H146" s="7" t="s">
        <v>11</v>
      </c>
      <c r="I146" s="7" t="s">
        <v>22</v>
      </c>
      <c r="J146" s="0" t="s">
        <v>13</v>
      </c>
    </row>
    <row r="147" customFormat="false" ht="15" hidden="false" customHeight="false" outlineLevel="0" collapsed="false">
      <c r="A147" s="5" t="n">
        <v>44700</v>
      </c>
      <c r="B147" s="6" t="n">
        <v>0.501388888888889</v>
      </c>
      <c r="C147" s="7" t="n">
        <v>5279</v>
      </c>
      <c r="D147" s="7" t="s">
        <v>20</v>
      </c>
      <c r="E147" s="7" t="n">
        <v>2700</v>
      </c>
      <c r="F147" s="7" t="n">
        <v>2380</v>
      </c>
      <c r="G147" s="8" t="n">
        <v>320</v>
      </c>
      <c r="H147" s="7" t="s">
        <v>11</v>
      </c>
      <c r="I147" s="7" t="s">
        <v>12</v>
      </c>
      <c r="J147" s="0" t="s">
        <v>13</v>
      </c>
    </row>
    <row r="148" customFormat="false" ht="15" hidden="false" customHeight="false" outlineLevel="0" collapsed="false">
      <c r="A148" s="5" t="n">
        <v>44700</v>
      </c>
      <c r="B148" s="6" t="n">
        <v>0.364583333333333</v>
      </c>
      <c r="C148" s="7" t="n">
        <v>5268</v>
      </c>
      <c r="D148" s="7" t="s">
        <v>21</v>
      </c>
      <c r="E148" s="7" t="n">
        <v>6520</v>
      </c>
      <c r="F148" s="7" t="n">
        <v>5560</v>
      </c>
      <c r="G148" s="8" t="n">
        <v>960</v>
      </c>
      <c r="H148" s="7" t="s">
        <v>11</v>
      </c>
      <c r="I148" s="7" t="s">
        <v>22</v>
      </c>
      <c r="J148" s="0" t="s">
        <v>13</v>
      </c>
    </row>
    <row r="149" customFormat="false" ht="13.8" hidden="false" customHeight="false" outlineLevel="0" collapsed="false">
      <c r="A149" s="5" t="n">
        <v>44701</v>
      </c>
      <c r="B149" s="6" t="n">
        <v>0.222222222222222</v>
      </c>
      <c r="C149" s="7" t="n">
        <v>5309</v>
      </c>
      <c r="D149" s="7" t="s">
        <v>17</v>
      </c>
      <c r="E149" s="7" t="n">
        <v>3420</v>
      </c>
      <c r="F149" s="7" t="n">
        <v>2700</v>
      </c>
      <c r="G149" s="8" t="n">
        <v>720</v>
      </c>
      <c r="H149" s="7" t="s">
        <v>11</v>
      </c>
      <c r="I149" s="7" t="s">
        <v>12</v>
      </c>
      <c r="J149" s="0" t="s">
        <v>13</v>
      </c>
    </row>
    <row r="150" customFormat="false" ht="15" hidden="false" customHeight="false" outlineLevel="0" collapsed="false">
      <c r="A150" s="5" t="n">
        <v>44701</v>
      </c>
      <c r="B150" s="6" t="n">
        <v>0.25</v>
      </c>
      <c r="C150" s="7" t="n">
        <v>5311</v>
      </c>
      <c r="D150" s="7" t="s">
        <v>14</v>
      </c>
      <c r="E150" s="7" t="n">
        <v>14440</v>
      </c>
      <c r="F150" s="7" t="n">
        <v>12700</v>
      </c>
      <c r="G150" s="8" t="n">
        <v>1740</v>
      </c>
      <c r="H150" s="7" t="s">
        <v>11</v>
      </c>
      <c r="I150" s="7" t="s">
        <v>12</v>
      </c>
      <c r="J150" s="0" t="s">
        <v>13</v>
      </c>
    </row>
    <row r="151" customFormat="false" ht="15" hidden="false" customHeight="false" outlineLevel="0" collapsed="false">
      <c r="A151" s="5" t="n">
        <v>44701</v>
      </c>
      <c r="B151" s="6" t="n">
        <v>0.161805555555556</v>
      </c>
      <c r="C151" s="7" t="n">
        <v>5304</v>
      </c>
      <c r="D151" s="7" t="s">
        <v>14</v>
      </c>
      <c r="E151" s="7" t="n">
        <v>21480</v>
      </c>
      <c r="F151" s="7" t="n">
        <v>12640</v>
      </c>
      <c r="G151" s="8" t="n">
        <v>8840</v>
      </c>
      <c r="H151" s="7" t="s">
        <v>11</v>
      </c>
      <c r="I151" s="7" t="s">
        <v>12</v>
      </c>
      <c r="J151" s="0" t="s">
        <v>13</v>
      </c>
    </row>
    <row r="152" customFormat="false" ht="15" hidden="false" customHeight="false" outlineLevel="0" collapsed="false">
      <c r="A152" s="5" t="n">
        <v>44701</v>
      </c>
      <c r="B152" s="6" t="n">
        <v>0.154166666666667</v>
      </c>
      <c r="C152" s="7" t="n">
        <v>5302</v>
      </c>
      <c r="D152" s="7" t="s">
        <v>15</v>
      </c>
      <c r="E152" s="7" t="n">
        <v>24780</v>
      </c>
      <c r="F152" s="7" t="n">
        <v>15860</v>
      </c>
      <c r="G152" s="8" t="n">
        <v>8920</v>
      </c>
      <c r="H152" s="7" t="s">
        <v>11</v>
      </c>
      <c r="I152" s="7" t="s">
        <v>12</v>
      </c>
      <c r="J152" s="0" t="s">
        <v>13</v>
      </c>
    </row>
    <row r="153" customFormat="false" ht="15" hidden="false" customHeight="false" outlineLevel="0" collapsed="false">
      <c r="A153" s="5" t="n">
        <v>44701</v>
      </c>
      <c r="B153" s="6" t="n">
        <v>0.253472222222222</v>
      </c>
      <c r="C153" s="7" t="n">
        <v>5312</v>
      </c>
      <c r="D153" s="7" t="s">
        <v>15</v>
      </c>
      <c r="E153" s="7" t="n">
        <v>19520</v>
      </c>
      <c r="F153" s="7" t="n">
        <v>15840</v>
      </c>
      <c r="G153" s="8" t="n">
        <v>3680</v>
      </c>
      <c r="H153" s="7" t="s">
        <v>11</v>
      </c>
      <c r="I153" s="7" t="s">
        <v>12</v>
      </c>
      <c r="J153" s="0" t="s">
        <v>13</v>
      </c>
    </row>
    <row r="154" customFormat="false" ht="15" hidden="false" customHeight="false" outlineLevel="0" collapsed="false">
      <c r="A154" s="5" t="n">
        <v>44701</v>
      </c>
      <c r="B154" s="6" t="n">
        <v>0.509027777777778</v>
      </c>
      <c r="C154" s="7" t="n">
        <v>2896</v>
      </c>
      <c r="D154" s="7" t="s">
        <v>15</v>
      </c>
      <c r="E154" s="7" t="n">
        <v>17580</v>
      </c>
      <c r="F154" s="7" t="n">
        <v>15760</v>
      </c>
      <c r="G154" s="8" t="n">
        <v>1820</v>
      </c>
      <c r="H154" s="7" t="s">
        <v>11</v>
      </c>
      <c r="I154" s="7" t="s">
        <v>16</v>
      </c>
      <c r="J154" s="0" t="s">
        <v>13</v>
      </c>
    </row>
    <row r="155" customFormat="false" ht="15" hidden="false" customHeight="false" outlineLevel="0" collapsed="false">
      <c r="A155" s="5" t="n">
        <v>44701</v>
      </c>
      <c r="B155" s="6" t="n">
        <v>0.424305555555556</v>
      </c>
      <c r="C155" s="7" t="n">
        <v>5325</v>
      </c>
      <c r="D155" s="7" t="s">
        <v>17</v>
      </c>
      <c r="E155" s="7" t="n">
        <v>3200</v>
      </c>
      <c r="F155" s="7" t="n">
        <v>2680</v>
      </c>
      <c r="G155" s="8" t="n">
        <v>520</v>
      </c>
      <c r="H155" s="7" t="s">
        <v>11</v>
      </c>
      <c r="I155" s="7" t="s">
        <v>12</v>
      </c>
      <c r="J155" s="0" t="s">
        <v>13</v>
      </c>
    </row>
    <row r="156" customFormat="false" ht="15" hidden="false" customHeight="false" outlineLevel="0" collapsed="false">
      <c r="A156" s="5" t="n">
        <v>44701</v>
      </c>
      <c r="B156" s="6" t="n">
        <v>0.540277777777778</v>
      </c>
      <c r="C156" s="7" t="n">
        <v>5339</v>
      </c>
      <c r="D156" s="7" t="s">
        <v>17</v>
      </c>
      <c r="E156" s="7" t="n">
        <v>3500</v>
      </c>
      <c r="F156" s="7" t="n">
        <v>2780</v>
      </c>
      <c r="G156" s="8" t="n">
        <v>720</v>
      </c>
      <c r="H156" s="7" t="s">
        <v>11</v>
      </c>
      <c r="I156" s="7" t="s">
        <v>18</v>
      </c>
      <c r="J156" s="0" t="s">
        <v>13</v>
      </c>
    </row>
    <row r="157" customFormat="false" ht="15" hidden="false" customHeight="false" outlineLevel="0" collapsed="false">
      <c r="A157" s="5" t="n">
        <v>44701</v>
      </c>
      <c r="B157" s="6" t="n">
        <v>0.433333333333333</v>
      </c>
      <c r="C157" s="7" t="n">
        <v>5327</v>
      </c>
      <c r="D157" s="7" t="s">
        <v>20</v>
      </c>
      <c r="E157" s="7" t="n">
        <v>2640</v>
      </c>
      <c r="F157" s="7" t="n">
        <v>2380</v>
      </c>
      <c r="G157" s="8" t="n">
        <v>260</v>
      </c>
      <c r="H157" s="7" t="s">
        <v>11</v>
      </c>
      <c r="I157" s="7" t="s">
        <v>12</v>
      </c>
      <c r="J157" s="0" t="s">
        <v>13</v>
      </c>
    </row>
    <row r="158" customFormat="false" ht="15" hidden="false" customHeight="false" outlineLevel="0" collapsed="false">
      <c r="A158" s="5" t="n">
        <v>44702</v>
      </c>
      <c r="B158" s="6" t="n">
        <v>0.528472222222222</v>
      </c>
      <c r="C158" s="7" t="n">
        <v>139723</v>
      </c>
      <c r="D158" s="7" t="s">
        <v>15</v>
      </c>
      <c r="E158" s="7" t="n">
        <v>18600</v>
      </c>
      <c r="F158" s="7" t="n">
        <v>15760</v>
      </c>
      <c r="G158" s="8" t="n">
        <v>2840</v>
      </c>
      <c r="H158" s="7" t="s">
        <v>11</v>
      </c>
      <c r="I158" s="7" t="s">
        <v>24</v>
      </c>
    </row>
    <row r="159" customFormat="false" ht="13.8" hidden="false" customHeight="false" outlineLevel="0" collapsed="false">
      <c r="A159" s="5" t="n">
        <v>44702</v>
      </c>
      <c r="B159" s="6" t="n">
        <v>0.252777777777778</v>
      </c>
      <c r="C159" s="7" t="n">
        <v>5362</v>
      </c>
      <c r="D159" s="7" t="s">
        <v>14</v>
      </c>
      <c r="E159" s="7" t="n">
        <v>16520</v>
      </c>
      <c r="F159" s="7" t="n">
        <v>12740</v>
      </c>
      <c r="G159" s="8" t="n">
        <v>3780</v>
      </c>
      <c r="H159" s="7" t="s">
        <v>11</v>
      </c>
      <c r="I159" s="7" t="s">
        <v>12</v>
      </c>
      <c r="J159" s="0" t="s">
        <v>13</v>
      </c>
    </row>
    <row r="160" customFormat="false" ht="15" hidden="false" customHeight="false" outlineLevel="0" collapsed="false">
      <c r="A160" s="5" t="n">
        <v>44702</v>
      </c>
      <c r="B160" s="6" t="n">
        <v>0.134722222222222</v>
      </c>
      <c r="C160" s="7" t="n">
        <v>5354</v>
      </c>
      <c r="D160" s="7" t="s">
        <v>14</v>
      </c>
      <c r="E160" s="7" t="n">
        <v>21900</v>
      </c>
      <c r="F160" s="7" t="n">
        <v>12760</v>
      </c>
      <c r="G160" s="8" t="n">
        <v>9140</v>
      </c>
      <c r="H160" s="7" t="s">
        <v>11</v>
      </c>
      <c r="I160" s="7" t="s">
        <v>12</v>
      </c>
      <c r="J160" s="0" t="s">
        <v>13</v>
      </c>
    </row>
    <row r="161" customFormat="false" ht="15" hidden="false" customHeight="false" outlineLevel="0" collapsed="false">
      <c r="A161" s="5" t="n">
        <v>44702</v>
      </c>
      <c r="B161" s="6" t="n">
        <v>0.254861111111111</v>
      </c>
      <c r="C161" s="7" t="n">
        <v>5363</v>
      </c>
      <c r="D161" s="7" t="s">
        <v>17</v>
      </c>
      <c r="E161" s="7" t="n">
        <v>3660</v>
      </c>
      <c r="F161" s="7" t="n">
        <v>2700</v>
      </c>
      <c r="G161" s="8" t="n">
        <v>960</v>
      </c>
      <c r="H161" s="7" t="s">
        <v>11</v>
      </c>
      <c r="I161" s="7" t="s">
        <v>12</v>
      </c>
      <c r="J161" s="0" t="s">
        <v>13</v>
      </c>
    </row>
    <row r="162" customFormat="false" ht="15" hidden="false" customHeight="false" outlineLevel="0" collapsed="false">
      <c r="A162" s="5" t="n">
        <v>44702</v>
      </c>
      <c r="B162" s="6" t="n">
        <v>0.504166666666667</v>
      </c>
      <c r="C162" s="7" t="n">
        <v>5372</v>
      </c>
      <c r="D162" s="7" t="s">
        <v>17</v>
      </c>
      <c r="E162" s="7" t="n">
        <v>3040</v>
      </c>
      <c r="F162" s="7" t="n">
        <v>2620</v>
      </c>
      <c r="G162" s="8" t="n">
        <v>420</v>
      </c>
      <c r="H162" s="7" t="s">
        <v>11</v>
      </c>
      <c r="I162" s="7" t="s">
        <v>12</v>
      </c>
      <c r="J162" s="0" t="s">
        <v>13</v>
      </c>
    </row>
    <row r="163" customFormat="false" ht="15" hidden="false" customHeight="false" outlineLevel="0" collapsed="false">
      <c r="A163" s="5" t="n">
        <v>44702</v>
      </c>
      <c r="B163" s="6" t="n">
        <v>0.128472222222222</v>
      </c>
      <c r="C163" s="7" t="n">
        <v>5352</v>
      </c>
      <c r="D163" s="7" t="s">
        <v>15</v>
      </c>
      <c r="E163" s="7" t="n">
        <v>24160</v>
      </c>
      <c r="F163" s="7" t="n">
        <v>15860</v>
      </c>
      <c r="G163" s="8" t="n">
        <v>8300</v>
      </c>
      <c r="H163" s="7" t="s">
        <v>11</v>
      </c>
      <c r="I163" s="7" t="s">
        <v>12</v>
      </c>
      <c r="J163" s="0" t="s">
        <v>13</v>
      </c>
    </row>
    <row r="164" customFormat="false" ht="15" hidden="false" customHeight="false" outlineLevel="0" collapsed="false">
      <c r="A164" s="5" t="n">
        <v>44702</v>
      </c>
      <c r="B164" s="6" t="n">
        <v>0.249305555555556</v>
      </c>
      <c r="C164" s="7" t="n">
        <v>5361</v>
      </c>
      <c r="D164" s="7" t="s">
        <v>15</v>
      </c>
      <c r="E164" s="7" t="n">
        <v>20280</v>
      </c>
      <c r="F164" s="7" t="n">
        <v>15820</v>
      </c>
      <c r="G164" s="8" t="n">
        <v>4460</v>
      </c>
      <c r="H164" s="7" t="s">
        <v>11</v>
      </c>
      <c r="I164" s="7" t="s">
        <v>12</v>
      </c>
      <c r="J164" s="0" t="s">
        <v>13</v>
      </c>
    </row>
    <row r="165" customFormat="false" ht="15" hidden="false" customHeight="false" outlineLevel="0" collapsed="false">
      <c r="A165" s="5" t="n">
        <v>44703</v>
      </c>
      <c r="B165" s="6" t="n">
        <v>0.217361111111111</v>
      </c>
      <c r="C165" s="7" t="n">
        <v>5388</v>
      </c>
      <c r="D165" s="7" t="s">
        <v>17</v>
      </c>
      <c r="E165" s="7" t="n">
        <v>3800</v>
      </c>
      <c r="F165" s="7" t="n">
        <v>2820</v>
      </c>
      <c r="G165" s="8" t="n">
        <v>980</v>
      </c>
      <c r="H165" s="7" t="s">
        <v>11</v>
      </c>
      <c r="I165" s="7" t="s">
        <v>12</v>
      </c>
      <c r="J165" s="0" t="s">
        <v>13</v>
      </c>
    </row>
    <row r="166" customFormat="false" ht="15" hidden="false" customHeight="false" outlineLevel="0" collapsed="false">
      <c r="A166" s="5" t="n">
        <v>44703</v>
      </c>
      <c r="B166" s="6" t="n">
        <v>0.213194444444444</v>
      </c>
      <c r="C166" s="7" t="n">
        <v>5385</v>
      </c>
      <c r="D166" s="7" t="s">
        <v>15</v>
      </c>
      <c r="E166" s="7" t="n">
        <v>19780</v>
      </c>
      <c r="F166" s="7" t="n">
        <v>15920</v>
      </c>
      <c r="G166" s="8" t="n">
        <v>3860</v>
      </c>
      <c r="H166" s="7" t="s">
        <v>11</v>
      </c>
      <c r="I166" s="7" t="s">
        <v>12</v>
      </c>
      <c r="J166" s="0" t="s">
        <v>13</v>
      </c>
    </row>
    <row r="167" customFormat="false" ht="15" hidden="false" customHeight="false" outlineLevel="0" collapsed="false">
      <c r="A167" s="5" t="n">
        <v>44703</v>
      </c>
      <c r="B167" s="6" t="n">
        <v>0.128472222222222</v>
      </c>
      <c r="C167" s="7" t="n">
        <v>5382</v>
      </c>
      <c r="D167" s="7" t="s">
        <v>15</v>
      </c>
      <c r="E167" s="7" t="n">
        <v>26900</v>
      </c>
      <c r="F167" s="7" t="n">
        <v>16000</v>
      </c>
      <c r="G167" s="8" t="n">
        <v>10900</v>
      </c>
      <c r="H167" s="7" t="s">
        <v>11</v>
      </c>
      <c r="I167" s="7" t="s">
        <v>12</v>
      </c>
      <c r="J167" s="0" t="s">
        <v>13</v>
      </c>
    </row>
    <row r="168" customFormat="false" ht="15" hidden="false" customHeight="false" outlineLevel="0" collapsed="false">
      <c r="A168" s="5" t="n">
        <v>44703</v>
      </c>
      <c r="B168" s="6" t="n">
        <v>0.2125</v>
      </c>
      <c r="C168" s="7" t="n">
        <v>5384</v>
      </c>
      <c r="D168" s="7" t="s">
        <v>14</v>
      </c>
      <c r="E168" s="7" t="n">
        <v>17080</v>
      </c>
      <c r="F168" s="7" t="n">
        <v>12700</v>
      </c>
      <c r="G168" s="8" t="n">
        <v>4380</v>
      </c>
      <c r="H168" s="7" t="s">
        <v>11</v>
      </c>
      <c r="I168" s="7" t="s">
        <v>12</v>
      </c>
      <c r="J168" s="0" t="s">
        <v>13</v>
      </c>
    </row>
    <row r="169" customFormat="false" ht="15" hidden="false" customHeight="false" outlineLevel="0" collapsed="false">
      <c r="A169" s="5" t="n">
        <v>44703</v>
      </c>
      <c r="B169" s="6" t="n">
        <v>0.0861111111111111</v>
      </c>
      <c r="C169" s="7" t="n">
        <v>5375</v>
      </c>
      <c r="D169" s="7" t="s">
        <v>14</v>
      </c>
      <c r="E169" s="7" t="n">
        <v>21280</v>
      </c>
      <c r="F169" s="7" t="n">
        <v>12720</v>
      </c>
      <c r="G169" s="8" t="n">
        <v>8560</v>
      </c>
      <c r="H169" s="7" t="s">
        <v>11</v>
      </c>
      <c r="I169" s="5" t="s">
        <v>12</v>
      </c>
      <c r="J169" s="0" t="s">
        <v>13</v>
      </c>
    </row>
    <row r="170" customFormat="false" ht="15" hidden="false" customHeight="false" outlineLevel="0" collapsed="false">
      <c r="A170" s="5" t="n">
        <v>44703</v>
      </c>
      <c r="B170" s="6" t="n">
        <v>0.516666666666667</v>
      </c>
      <c r="C170" s="7" t="n">
        <v>5392</v>
      </c>
      <c r="D170" s="7" t="s">
        <v>17</v>
      </c>
      <c r="E170" s="7" t="n">
        <v>3100</v>
      </c>
      <c r="F170" s="7" t="n">
        <v>2700</v>
      </c>
      <c r="G170" s="8" t="n">
        <v>400</v>
      </c>
      <c r="H170" s="7" t="s">
        <v>11</v>
      </c>
      <c r="I170" s="7" t="s">
        <v>12</v>
      </c>
      <c r="J170" s="0" t="s">
        <v>13</v>
      </c>
    </row>
    <row r="171" customFormat="false" ht="15" hidden="false" customHeight="false" outlineLevel="0" collapsed="false">
      <c r="A171" s="5" t="n">
        <v>44703</v>
      </c>
      <c r="B171" s="6" t="n">
        <v>0.426388888888889</v>
      </c>
      <c r="C171" s="7" t="n">
        <v>5391</v>
      </c>
      <c r="D171" s="7" t="s">
        <v>17</v>
      </c>
      <c r="E171" s="7" t="n">
        <v>3200</v>
      </c>
      <c r="F171" s="7" t="n">
        <v>2700</v>
      </c>
      <c r="G171" s="8" t="n">
        <v>500</v>
      </c>
      <c r="H171" s="7" t="s">
        <v>11</v>
      </c>
      <c r="I171" s="7" t="s">
        <v>12</v>
      </c>
      <c r="J171" s="0" t="s">
        <v>13</v>
      </c>
    </row>
    <row r="172" customFormat="false" ht="15" hidden="false" customHeight="false" outlineLevel="0" collapsed="false">
      <c r="A172" s="5" t="n">
        <v>44704</v>
      </c>
      <c r="B172" s="6" t="n">
        <v>0.0833333333333333</v>
      </c>
      <c r="C172" s="7" t="n">
        <v>5394</v>
      </c>
      <c r="D172" s="7" t="s">
        <v>14</v>
      </c>
      <c r="E172" s="7" t="n">
        <v>21420</v>
      </c>
      <c r="F172" s="7" t="n">
        <v>12680</v>
      </c>
      <c r="G172" s="8" t="n">
        <v>8740</v>
      </c>
      <c r="H172" s="7" t="s">
        <v>11</v>
      </c>
      <c r="I172" s="7" t="s">
        <v>12</v>
      </c>
      <c r="J172" s="0" t="s">
        <v>13</v>
      </c>
    </row>
    <row r="173" customFormat="false" ht="15" hidden="false" customHeight="false" outlineLevel="0" collapsed="false">
      <c r="A173" s="5" t="n">
        <v>44704</v>
      </c>
      <c r="B173" s="6" t="n">
        <v>0.0895833333333333</v>
      </c>
      <c r="C173" s="7" t="n">
        <v>5396</v>
      </c>
      <c r="D173" s="7" t="s">
        <v>15</v>
      </c>
      <c r="E173" s="7" t="n">
        <v>22640</v>
      </c>
      <c r="F173" s="7" t="n">
        <v>15880</v>
      </c>
      <c r="G173" s="8" t="n">
        <v>6760</v>
      </c>
      <c r="H173" s="7" t="s">
        <v>11</v>
      </c>
      <c r="I173" s="7" t="s">
        <v>12</v>
      </c>
      <c r="J173" s="0" t="s">
        <v>13</v>
      </c>
    </row>
    <row r="174" customFormat="false" ht="15" hidden="false" customHeight="false" outlineLevel="0" collapsed="false">
      <c r="A174" s="5" t="n">
        <v>44704</v>
      </c>
      <c r="B174" s="6" t="n">
        <v>0.250694444444444</v>
      </c>
      <c r="C174" s="7" t="n">
        <v>5410</v>
      </c>
      <c r="D174" s="7" t="s">
        <v>15</v>
      </c>
      <c r="E174" s="7" t="n">
        <v>24080</v>
      </c>
      <c r="F174" s="7" t="n">
        <v>15860</v>
      </c>
      <c r="G174" s="8" t="n">
        <v>8220</v>
      </c>
      <c r="H174" s="7" t="s">
        <v>11</v>
      </c>
      <c r="I174" s="7" t="s">
        <v>12</v>
      </c>
      <c r="J174" s="0" t="s">
        <v>13</v>
      </c>
    </row>
    <row r="175" customFormat="false" ht="15" hidden="false" customHeight="false" outlineLevel="0" collapsed="false">
      <c r="A175" s="5" t="n">
        <v>44704</v>
      </c>
      <c r="B175" s="6" t="n">
        <v>0.25</v>
      </c>
      <c r="C175" s="7" t="n">
        <v>5409</v>
      </c>
      <c r="D175" s="7" t="s">
        <v>10</v>
      </c>
      <c r="E175" s="7" t="n">
        <v>4780</v>
      </c>
      <c r="F175" s="7" t="n">
        <v>3780</v>
      </c>
      <c r="G175" s="8" t="n">
        <v>1000</v>
      </c>
      <c r="H175" s="7" t="s">
        <v>11</v>
      </c>
      <c r="I175" s="7" t="s">
        <v>12</v>
      </c>
      <c r="J175" s="0" t="s">
        <v>13</v>
      </c>
    </row>
    <row r="176" customFormat="false" ht="15" hidden="false" customHeight="false" outlineLevel="0" collapsed="false">
      <c r="A176" s="5" t="n">
        <v>44704</v>
      </c>
      <c r="B176" s="6" t="n">
        <v>0.160416666666667</v>
      </c>
      <c r="C176" s="7" t="n">
        <v>5401</v>
      </c>
      <c r="D176" s="7" t="s">
        <v>14</v>
      </c>
      <c r="E176" s="7" t="n">
        <v>16220</v>
      </c>
      <c r="F176" s="7" t="n">
        <v>12660</v>
      </c>
      <c r="G176" s="8" t="n">
        <v>3560</v>
      </c>
      <c r="H176" s="7" t="s">
        <v>11</v>
      </c>
      <c r="I176" s="7" t="s">
        <v>12</v>
      </c>
      <c r="J176" s="0" t="s">
        <v>13</v>
      </c>
    </row>
    <row r="177" customFormat="false" ht="15" hidden="false" customHeight="false" outlineLevel="0" collapsed="false">
      <c r="A177" s="5" t="n">
        <v>44704</v>
      </c>
      <c r="B177" s="6" t="n">
        <v>0.523611111111111</v>
      </c>
      <c r="C177" s="7" t="n">
        <v>5433</v>
      </c>
      <c r="D177" s="7" t="s">
        <v>19</v>
      </c>
      <c r="E177" s="7" t="n">
        <v>3200</v>
      </c>
      <c r="F177" s="7" t="n">
        <v>2880</v>
      </c>
      <c r="G177" s="8" t="n">
        <v>320</v>
      </c>
      <c r="H177" s="7" t="s">
        <v>11</v>
      </c>
      <c r="I177" s="7" t="s">
        <v>22</v>
      </c>
      <c r="J177" s="0" t="s">
        <v>13</v>
      </c>
    </row>
    <row r="178" customFormat="false" ht="15" hidden="false" customHeight="false" outlineLevel="0" collapsed="false">
      <c r="A178" s="5" t="n">
        <v>44704</v>
      </c>
      <c r="B178" s="6" t="n">
        <v>0.432638888888889</v>
      </c>
      <c r="C178" s="7" t="n">
        <v>5425</v>
      </c>
      <c r="D178" s="7" t="s">
        <v>20</v>
      </c>
      <c r="E178" s="7" t="n">
        <v>2660</v>
      </c>
      <c r="F178" s="7" t="n">
        <v>2380</v>
      </c>
      <c r="G178" s="8" t="n">
        <v>280</v>
      </c>
      <c r="H178" s="7" t="s">
        <v>11</v>
      </c>
      <c r="I178" s="7" t="s">
        <v>12</v>
      </c>
      <c r="J178" s="0" t="s">
        <v>13</v>
      </c>
    </row>
    <row r="179" customFormat="false" ht="15" hidden="false" customHeight="false" outlineLevel="0" collapsed="false">
      <c r="A179" s="5" t="n">
        <v>44705</v>
      </c>
      <c r="B179" s="6" t="n">
        <v>0.395138888888889</v>
      </c>
      <c r="C179" s="7" t="n">
        <v>5476</v>
      </c>
      <c r="D179" s="7" t="s">
        <v>17</v>
      </c>
      <c r="E179" s="7" t="n">
        <v>3500</v>
      </c>
      <c r="F179" s="7" t="n">
        <v>2700</v>
      </c>
      <c r="G179" s="8" t="n">
        <v>800</v>
      </c>
      <c r="H179" s="7" t="s">
        <v>11</v>
      </c>
      <c r="I179" s="7" t="s">
        <v>18</v>
      </c>
      <c r="J179" s="0" t="s">
        <v>13</v>
      </c>
    </row>
    <row r="180" customFormat="false" ht="15" hidden="false" customHeight="false" outlineLevel="0" collapsed="false">
      <c r="A180" s="5" t="n">
        <v>44705</v>
      </c>
      <c r="B180" s="6" t="n">
        <v>0.497222222222222</v>
      </c>
      <c r="C180" s="7" t="n">
        <v>5488</v>
      </c>
      <c r="D180" s="7" t="s">
        <v>17</v>
      </c>
      <c r="E180" s="7" t="n">
        <v>3400</v>
      </c>
      <c r="F180" s="7" t="n">
        <v>2680</v>
      </c>
      <c r="G180" s="8" t="n">
        <v>720</v>
      </c>
      <c r="H180" s="7" t="s">
        <v>11</v>
      </c>
      <c r="I180" s="7" t="s">
        <v>18</v>
      </c>
      <c r="J180" s="0" t="s">
        <v>13</v>
      </c>
    </row>
    <row r="181" customFormat="false" ht="15" hidden="false" customHeight="false" outlineLevel="0" collapsed="false">
      <c r="A181" s="5" t="n">
        <v>44705</v>
      </c>
      <c r="B181" s="6" t="n">
        <v>0.538194444444444</v>
      </c>
      <c r="C181" s="7" t="n">
        <v>5494</v>
      </c>
      <c r="D181" s="7" t="s">
        <v>17</v>
      </c>
      <c r="E181" s="7" t="n">
        <v>3120</v>
      </c>
      <c r="F181" s="7" t="n">
        <v>2680</v>
      </c>
      <c r="G181" s="8" t="n">
        <v>440</v>
      </c>
      <c r="H181" s="7" t="s">
        <v>11</v>
      </c>
      <c r="I181" s="7" t="s">
        <v>12</v>
      </c>
      <c r="J181" s="0" t="s">
        <v>13</v>
      </c>
    </row>
    <row r="182" customFormat="false" ht="15" hidden="false" customHeight="false" outlineLevel="0" collapsed="false">
      <c r="A182" s="5" t="n">
        <v>44705</v>
      </c>
      <c r="B182" s="6" t="n">
        <v>0.182638888888889</v>
      </c>
      <c r="C182" s="7" t="n">
        <v>5458</v>
      </c>
      <c r="D182" s="7" t="s">
        <v>17</v>
      </c>
      <c r="E182" s="7" t="n">
        <v>3380</v>
      </c>
      <c r="F182" s="7" t="n">
        <v>2620</v>
      </c>
      <c r="G182" s="8" t="n">
        <v>760</v>
      </c>
      <c r="H182" s="7" t="s">
        <v>11</v>
      </c>
      <c r="I182" s="7" t="s">
        <v>12</v>
      </c>
      <c r="J182" s="0" t="s">
        <v>13</v>
      </c>
    </row>
    <row r="183" customFormat="false" ht="15" hidden="false" customHeight="false" outlineLevel="0" collapsed="false">
      <c r="A183" s="5" t="n">
        <v>44705</v>
      </c>
      <c r="B183" s="6" t="n">
        <v>0.514583333333333</v>
      </c>
      <c r="C183" s="7" t="n">
        <v>5492</v>
      </c>
      <c r="D183" s="7" t="s">
        <v>19</v>
      </c>
      <c r="E183" s="7" t="n">
        <v>3440</v>
      </c>
      <c r="F183" s="7" t="n">
        <v>2860</v>
      </c>
      <c r="G183" s="8" t="n">
        <v>580</v>
      </c>
      <c r="H183" s="7" t="s">
        <v>11</v>
      </c>
      <c r="I183" s="7" t="s">
        <v>18</v>
      </c>
      <c r="J183" s="0" t="s">
        <v>13</v>
      </c>
    </row>
    <row r="184" customFormat="false" ht="15" hidden="false" customHeight="false" outlineLevel="0" collapsed="false">
      <c r="A184" s="5" t="n">
        <v>44705</v>
      </c>
      <c r="B184" s="6" t="n">
        <v>0.452777777777778</v>
      </c>
      <c r="C184" s="7" t="n">
        <v>5483</v>
      </c>
      <c r="D184" s="7" t="s">
        <v>19</v>
      </c>
      <c r="E184" s="7" t="n">
        <v>3460</v>
      </c>
      <c r="F184" s="7" t="n">
        <v>2860</v>
      </c>
      <c r="G184" s="8" t="n">
        <v>600</v>
      </c>
      <c r="H184" s="7" t="s">
        <v>11</v>
      </c>
      <c r="I184" s="7" t="s">
        <v>18</v>
      </c>
      <c r="J184" s="0" t="s">
        <v>13</v>
      </c>
    </row>
    <row r="185" customFormat="false" ht="15" hidden="false" customHeight="false" outlineLevel="0" collapsed="false">
      <c r="A185" s="5" t="n">
        <v>44705</v>
      </c>
      <c r="B185" s="6" t="n">
        <v>0.246527777777778</v>
      </c>
      <c r="C185" s="7" t="n">
        <v>5464</v>
      </c>
      <c r="D185" s="7" t="s">
        <v>15</v>
      </c>
      <c r="E185" s="7" t="n">
        <v>27640</v>
      </c>
      <c r="F185" s="7" t="n">
        <v>15920</v>
      </c>
      <c r="G185" s="8" t="n">
        <v>11720</v>
      </c>
      <c r="H185" s="7" t="s">
        <v>11</v>
      </c>
      <c r="I185" s="7" t="s">
        <v>12</v>
      </c>
      <c r="J185" s="0" t="s">
        <v>13</v>
      </c>
    </row>
    <row r="186" customFormat="false" ht="15" hidden="false" customHeight="false" outlineLevel="0" collapsed="false">
      <c r="A186" s="5" t="n">
        <v>44705</v>
      </c>
      <c r="B186" s="6" t="n">
        <v>0.431944444444444</v>
      </c>
      <c r="C186" s="7" t="n">
        <v>5480</v>
      </c>
      <c r="D186" s="7" t="s">
        <v>20</v>
      </c>
      <c r="E186" s="7" t="n">
        <v>2720</v>
      </c>
      <c r="F186" s="7" t="n">
        <v>2400</v>
      </c>
      <c r="G186" s="8" t="n">
        <v>320</v>
      </c>
      <c r="H186" s="7" t="s">
        <v>11</v>
      </c>
      <c r="I186" s="7" t="s">
        <v>12</v>
      </c>
      <c r="J186" s="0" t="s">
        <v>13</v>
      </c>
    </row>
    <row r="187" customFormat="false" ht="15" hidden="false" customHeight="false" outlineLevel="0" collapsed="false">
      <c r="A187" s="5" t="n">
        <v>44705</v>
      </c>
      <c r="B187" s="6" t="n">
        <v>0.0993055555555556</v>
      </c>
      <c r="C187" s="7" t="n">
        <v>5449</v>
      </c>
      <c r="D187" s="7" t="s">
        <v>14</v>
      </c>
      <c r="E187" s="7" t="n">
        <v>21260</v>
      </c>
      <c r="F187" s="7" t="n">
        <v>12800</v>
      </c>
      <c r="G187" s="8" t="n">
        <v>8460</v>
      </c>
      <c r="H187" s="7" t="s">
        <v>11</v>
      </c>
      <c r="I187" s="7" t="s">
        <v>12</v>
      </c>
      <c r="J187" s="0" t="s">
        <v>13</v>
      </c>
    </row>
    <row r="188" customFormat="false" ht="15" hidden="false" customHeight="false" outlineLevel="0" collapsed="false">
      <c r="A188" s="5" t="n">
        <v>44705</v>
      </c>
      <c r="B188" s="6" t="n">
        <v>0.245833333333333</v>
      </c>
      <c r="C188" s="7" t="n">
        <v>5463</v>
      </c>
      <c r="D188" s="7" t="s">
        <v>14</v>
      </c>
      <c r="E188" s="7" t="n">
        <v>16480</v>
      </c>
      <c r="F188" s="7" t="n">
        <v>12960</v>
      </c>
      <c r="G188" s="8" t="n">
        <v>3520</v>
      </c>
      <c r="H188" s="7" t="s">
        <v>11</v>
      </c>
      <c r="I188" s="7" t="s">
        <v>12</v>
      </c>
      <c r="J188" s="0" t="s">
        <v>13</v>
      </c>
    </row>
    <row r="189" customFormat="false" ht="15" hidden="false" customHeight="false" outlineLevel="0" collapsed="false">
      <c r="A189" s="5" t="n">
        <v>44706</v>
      </c>
      <c r="B189" s="6" t="n">
        <v>0.183333333333333</v>
      </c>
      <c r="C189" s="7" t="n">
        <v>5509</v>
      </c>
      <c r="D189" s="7" t="s">
        <v>17</v>
      </c>
      <c r="E189" s="7" t="n">
        <v>2880</v>
      </c>
      <c r="F189" s="7" t="n">
        <v>2720</v>
      </c>
      <c r="G189" s="8" t="n">
        <v>160</v>
      </c>
      <c r="H189" s="7" t="s">
        <v>11</v>
      </c>
      <c r="I189" s="7" t="s">
        <v>12</v>
      </c>
      <c r="J189" s="0" t="s">
        <v>13</v>
      </c>
    </row>
    <row r="190" customFormat="false" ht="15" hidden="false" customHeight="false" outlineLevel="0" collapsed="false">
      <c r="A190" s="5" t="n">
        <v>44706</v>
      </c>
      <c r="B190" s="6" t="n">
        <v>0.0791666666666667</v>
      </c>
      <c r="C190" s="7" t="n">
        <v>5501</v>
      </c>
      <c r="D190" s="7" t="s">
        <v>15</v>
      </c>
      <c r="E190" s="7" t="n">
        <v>21360</v>
      </c>
      <c r="F190" s="7" t="n">
        <v>16160</v>
      </c>
      <c r="G190" s="8" t="n">
        <v>5200</v>
      </c>
      <c r="H190" s="7" t="s">
        <v>11</v>
      </c>
      <c r="I190" s="7" t="s">
        <v>12</v>
      </c>
      <c r="J190" s="0" t="s">
        <v>13</v>
      </c>
    </row>
    <row r="191" customFormat="false" ht="15" hidden="false" customHeight="false" outlineLevel="0" collapsed="false">
      <c r="A191" s="5" t="n">
        <v>44706</v>
      </c>
      <c r="B191" s="6" t="n">
        <v>0.241666666666667</v>
      </c>
      <c r="C191" s="7" t="n">
        <v>5516</v>
      </c>
      <c r="D191" s="7" t="s">
        <v>15</v>
      </c>
      <c r="E191" s="7" t="n">
        <v>22900</v>
      </c>
      <c r="F191" s="7" t="n">
        <v>15960</v>
      </c>
      <c r="G191" s="8" t="n">
        <v>6940</v>
      </c>
      <c r="H191" s="7" t="s">
        <v>11</v>
      </c>
      <c r="I191" s="7" t="s">
        <v>12</v>
      </c>
      <c r="J191" s="0" t="s">
        <v>13</v>
      </c>
    </row>
    <row r="192" customFormat="false" ht="15" hidden="false" customHeight="false" outlineLevel="0" collapsed="false">
      <c r="A192" s="5" t="n">
        <v>44706</v>
      </c>
      <c r="B192" s="6" t="n">
        <v>0.113888888888889</v>
      </c>
      <c r="C192" s="7" t="n">
        <v>5503</v>
      </c>
      <c r="D192" s="7" t="s">
        <v>14</v>
      </c>
      <c r="E192" s="7" t="n">
        <v>21520</v>
      </c>
      <c r="F192" s="7" t="n">
        <v>12780</v>
      </c>
      <c r="G192" s="8" t="n">
        <v>8740</v>
      </c>
      <c r="H192" s="7" t="s">
        <v>11</v>
      </c>
      <c r="I192" s="7" t="s">
        <v>12</v>
      </c>
      <c r="J192" s="0" t="s">
        <v>13</v>
      </c>
    </row>
    <row r="193" customFormat="false" ht="15" hidden="false" customHeight="false" outlineLevel="0" collapsed="false">
      <c r="A193" s="5" t="n">
        <v>44706</v>
      </c>
      <c r="B193" s="6" t="n">
        <v>0.183333333333333</v>
      </c>
      <c r="C193" s="7" t="n">
        <v>5508</v>
      </c>
      <c r="D193" s="7" t="s">
        <v>14</v>
      </c>
      <c r="E193" s="7" t="n">
        <v>15080</v>
      </c>
      <c r="F193" s="7" t="n">
        <v>12700</v>
      </c>
      <c r="G193" s="8" t="n">
        <v>2380</v>
      </c>
      <c r="H193" s="7" t="s">
        <v>11</v>
      </c>
      <c r="I193" s="7" t="s">
        <v>12</v>
      </c>
      <c r="J193" s="0" t="s">
        <v>13</v>
      </c>
    </row>
    <row r="194" customFormat="false" ht="15" hidden="false" customHeight="false" outlineLevel="0" collapsed="false">
      <c r="A194" s="5" t="n">
        <v>44706</v>
      </c>
      <c r="B194" s="6" t="n">
        <v>0.240277777777778</v>
      </c>
      <c r="C194" s="7" t="n">
        <v>5514</v>
      </c>
      <c r="D194" s="7" t="s">
        <v>10</v>
      </c>
      <c r="E194" s="7" t="n">
        <v>4320</v>
      </c>
      <c r="F194" s="7" t="n">
        <v>3800</v>
      </c>
      <c r="G194" s="8" t="n">
        <v>520</v>
      </c>
      <c r="H194" s="7" t="s">
        <v>11</v>
      </c>
      <c r="I194" s="7" t="s">
        <v>12</v>
      </c>
      <c r="J194" s="0" t="s">
        <v>13</v>
      </c>
    </row>
    <row r="195" customFormat="false" ht="15" hidden="false" customHeight="false" outlineLevel="0" collapsed="false">
      <c r="A195" s="5" t="n">
        <v>44706</v>
      </c>
      <c r="B195" s="6" t="n">
        <v>0.5125</v>
      </c>
      <c r="C195" s="7" t="n">
        <v>2907</v>
      </c>
      <c r="D195" s="7" t="s">
        <v>15</v>
      </c>
      <c r="E195" s="7" t="n">
        <v>17560</v>
      </c>
      <c r="F195" s="7" t="n">
        <v>15760</v>
      </c>
      <c r="G195" s="8" t="n">
        <v>1800</v>
      </c>
      <c r="H195" s="7" t="s">
        <v>11</v>
      </c>
      <c r="I195" s="7" t="s">
        <v>16</v>
      </c>
      <c r="J195" s="0" t="s">
        <v>13</v>
      </c>
    </row>
    <row r="196" customFormat="false" ht="15" hidden="false" customHeight="false" outlineLevel="0" collapsed="false">
      <c r="A196" s="5" t="n">
        <v>44706</v>
      </c>
      <c r="B196" s="6" t="n">
        <v>0.522222222222222</v>
      </c>
      <c r="C196" s="7" t="n">
        <v>5536</v>
      </c>
      <c r="D196" s="7" t="s">
        <v>20</v>
      </c>
      <c r="E196" s="7" t="n">
        <v>2680</v>
      </c>
      <c r="F196" s="7" t="n">
        <v>2420</v>
      </c>
      <c r="G196" s="8" t="n">
        <v>260</v>
      </c>
      <c r="H196" s="7" t="s">
        <v>11</v>
      </c>
      <c r="I196" s="7" t="s">
        <v>12</v>
      </c>
      <c r="J196" s="0" t="s">
        <v>13</v>
      </c>
    </row>
    <row r="197" customFormat="false" ht="15" hidden="false" customHeight="false" outlineLevel="0" collapsed="false">
      <c r="A197" s="5" t="n">
        <v>44706</v>
      </c>
      <c r="B197" s="6" t="n">
        <v>0.544444444444444</v>
      </c>
      <c r="C197" s="7" t="n">
        <v>5538</v>
      </c>
      <c r="D197" s="7" t="s">
        <v>17</v>
      </c>
      <c r="E197" s="7" t="n">
        <v>3460</v>
      </c>
      <c r="F197" s="7" t="n">
        <v>2800</v>
      </c>
      <c r="G197" s="8" t="n">
        <v>660</v>
      </c>
      <c r="H197" s="7" t="s">
        <v>11</v>
      </c>
      <c r="I197" s="7" t="s">
        <v>18</v>
      </c>
      <c r="J197" s="0" t="s">
        <v>13</v>
      </c>
    </row>
    <row r="198" customFormat="false" ht="15" hidden="false" customHeight="false" outlineLevel="0" collapsed="false">
      <c r="A198" s="5" t="n">
        <v>44706</v>
      </c>
      <c r="B198" s="6" t="n">
        <v>0.434722222222222</v>
      </c>
      <c r="C198" s="7" t="n">
        <v>5531</v>
      </c>
      <c r="D198" s="7" t="s">
        <v>21</v>
      </c>
      <c r="E198" s="7" t="n">
        <v>7040</v>
      </c>
      <c r="F198" s="7" t="n">
        <v>5600</v>
      </c>
      <c r="G198" s="8" t="n">
        <v>1440</v>
      </c>
      <c r="H198" s="7" t="s">
        <v>11</v>
      </c>
      <c r="I198" s="7" t="s">
        <v>22</v>
      </c>
      <c r="J198" s="0" t="s">
        <v>13</v>
      </c>
    </row>
    <row r="199" customFormat="false" ht="15" hidden="false" customHeight="false" outlineLevel="0" collapsed="false">
      <c r="A199" s="5" t="n">
        <v>44706</v>
      </c>
      <c r="B199" s="6" t="n">
        <v>0.530555555555556</v>
      </c>
      <c r="C199" s="7" t="n">
        <v>5537</v>
      </c>
      <c r="D199" s="7" t="s">
        <v>21</v>
      </c>
      <c r="E199" s="7" t="n">
        <v>6740</v>
      </c>
      <c r="F199" s="7" t="n">
        <v>5600</v>
      </c>
      <c r="G199" s="8" t="n">
        <v>1140</v>
      </c>
      <c r="H199" s="7" t="s">
        <v>11</v>
      </c>
      <c r="I199" s="7" t="s">
        <v>22</v>
      </c>
      <c r="J199" s="0" t="s">
        <v>13</v>
      </c>
    </row>
    <row r="200" customFormat="false" ht="15" hidden="false" customHeight="false" outlineLevel="0" collapsed="false">
      <c r="A200" s="5" t="n">
        <v>44706</v>
      </c>
      <c r="B200" s="6" t="n">
        <v>0.502777777777778</v>
      </c>
      <c r="C200" s="7" t="n">
        <v>5535</v>
      </c>
      <c r="D200" s="7" t="s">
        <v>19</v>
      </c>
      <c r="E200" s="7" t="n">
        <v>3780</v>
      </c>
      <c r="F200" s="7" t="n">
        <v>2860</v>
      </c>
      <c r="G200" s="8" t="n">
        <v>920</v>
      </c>
      <c r="H200" s="7" t="s">
        <v>11</v>
      </c>
      <c r="I200" s="7" t="s">
        <v>22</v>
      </c>
      <c r="J200" s="0" t="s">
        <v>13</v>
      </c>
    </row>
    <row r="201" customFormat="false" ht="15" hidden="false" customHeight="false" outlineLevel="0" collapsed="false">
      <c r="A201" s="5" t="n">
        <v>44706</v>
      </c>
      <c r="B201" s="6" t="n">
        <v>0.35</v>
      </c>
      <c r="C201" s="7" t="n">
        <v>5524</v>
      </c>
      <c r="D201" s="7" t="s">
        <v>19</v>
      </c>
      <c r="E201" s="7" t="n">
        <v>3660</v>
      </c>
      <c r="F201" s="7" t="n">
        <v>2860</v>
      </c>
      <c r="G201" s="8" t="n">
        <v>800</v>
      </c>
      <c r="H201" s="7" t="s">
        <v>11</v>
      </c>
      <c r="I201" s="7" t="s">
        <v>22</v>
      </c>
      <c r="J201" s="0" t="s">
        <v>13</v>
      </c>
    </row>
    <row r="202" customFormat="false" ht="15" hidden="false" customHeight="false" outlineLevel="0" collapsed="false">
      <c r="A202" s="5" t="n">
        <v>44707</v>
      </c>
      <c r="B202" s="6" t="n">
        <v>0.228472222222222</v>
      </c>
      <c r="C202" s="7" t="n">
        <v>5560</v>
      </c>
      <c r="D202" s="7" t="s">
        <v>15</v>
      </c>
      <c r="E202" s="7" t="n">
        <v>19340</v>
      </c>
      <c r="F202" s="7" t="n">
        <v>15900</v>
      </c>
      <c r="G202" s="8" t="n">
        <v>3440</v>
      </c>
      <c r="H202" s="7" t="s">
        <v>11</v>
      </c>
      <c r="I202" s="7" t="s">
        <v>12</v>
      </c>
      <c r="J202" s="0" t="s">
        <v>13</v>
      </c>
    </row>
    <row r="203" customFormat="false" ht="15" hidden="false" customHeight="false" outlineLevel="0" collapsed="false">
      <c r="A203" s="5" t="n">
        <v>44707</v>
      </c>
      <c r="B203" s="6" t="n">
        <v>0.0951388888888889</v>
      </c>
      <c r="C203" s="7" t="n">
        <v>5549</v>
      </c>
      <c r="D203" s="7" t="s">
        <v>14</v>
      </c>
      <c r="E203" s="7" t="n">
        <v>20740</v>
      </c>
      <c r="F203" s="7" t="n">
        <v>12680</v>
      </c>
      <c r="G203" s="8" t="n">
        <v>8060</v>
      </c>
      <c r="H203" s="7" t="s">
        <v>11</v>
      </c>
      <c r="I203" s="7" t="s">
        <v>12</v>
      </c>
      <c r="J203" s="0" t="s">
        <v>13</v>
      </c>
    </row>
    <row r="204" customFormat="false" ht="15" hidden="false" customHeight="false" outlineLevel="0" collapsed="false">
      <c r="A204" s="5" t="n">
        <v>44707</v>
      </c>
      <c r="B204" s="6" t="n">
        <v>0.195138888888889</v>
      </c>
      <c r="C204" s="7" t="n">
        <v>5556</v>
      </c>
      <c r="D204" s="7" t="s">
        <v>17</v>
      </c>
      <c r="E204" s="7" t="n">
        <v>3320</v>
      </c>
      <c r="F204" s="7" t="n">
        <v>2700</v>
      </c>
      <c r="G204" s="8" t="n">
        <v>620</v>
      </c>
      <c r="H204" s="7" t="s">
        <v>11</v>
      </c>
      <c r="I204" s="7" t="s">
        <v>12</v>
      </c>
      <c r="J204" s="0" t="s">
        <v>13</v>
      </c>
    </row>
    <row r="205" customFormat="false" ht="15" hidden="false" customHeight="false" outlineLevel="0" collapsed="false">
      <c r="A205" s="5" t="n">
        <v>44707</v>
      </c>
      <c r="B205" s="6" t="n">
        <v>0.0958333333333333</v>
      </c>
      <c r="C205" s="7"/>
      <c r="D205" s="7" t="s">
        <v>15</v>
      </c>
      <c r="E205" s="7" t="n">
        <v>23880</v>
      </c>
      <c r="F205" s="7" t="n">
        <v>15960</v>
      </c>
      <c r="G205" s="8" t="n">
        <v>7920</v>
      </c>
      <c r="H205" s="7" t="s">
        <v>11</v>
      </c>
      <c r="I205" s="7" t="s">
        <v>12</v>
      </c>
      <c r="J205" s="0" t="s">
        <v>13</v>
      </c>
    </row>
    <row r="206" customFormat="false" ht="15" hidden="false" customHeight="false" outlineLevel="0" collapsed="false">
      <c r="A206" s="5" t="n">
        <v>44707</v>
      </c>
      <c r="B206" s="6" t="n">
        <v>0.246527777777778</v>
      </c>
      <c r="C206" s="7" t="n">
        <v>5561</v>
      </c>
      <c r="D206" s="7" t="s">
        <v>14</v>
      </c>
      <c r="E206" s="7" t="n">
        <v>16040</v>
      </c>
      <c r="F206" s="7" t="n">
        <v>12820</v>
      </c>
      <c r="G206" s="8" t="n">
        <v>3220</v>
      </c>
      <c r="H206" s="7" t="s">
        <v>11</v>
      </c>
      <c r="I206" s="7" t="s">
        <v>12</v>
      </c>
      <c r="J206" s="0" t="s">
        <v>13</v>
      </c>
    </row>
    <row r="207" customFormat="false" ht="15" hidden="false" customHeight="false" outlineLevel="0" collapsed="false">
      <c r="A207" s="5" t="n">
        <v>44707</v>
      </c>
      <c r="B207" s="6" t="n">
        <v>0.518055555555556</v>
      </c>
      <c r="C207" s="7" t="n">
        <v>17540</v>
      </c>
      <c r="D207" s="7" t="s">
        <v>15</v>
      </c>
      <c r="E207" s="7" t="n">
        <v>17540</v>
      </c>
      <c r="F207" s="7" t="n">
        <v>15660</v>
      </c>
      <c r="G207" s="8" t="n">
        <v>1880</v>
      </c>
      <c r="H207" s="7" t="s">
        <v>11</v>
      </c>
      <c r="I207" s="7" t="s">
        <v>24</v>
      </c>
      <c r="J207" s="0" t="s">
        <v>13</v>
      </c>
    </row>
    <row r="208" customFormat="false" ht="15" hidden="false" customHeight="false" outlineLevel="0" collapsed="false">
      <c r="A208" s="5" t="n">
        <v>44707</v>
      </c>
      <c r="B208" s="6" t="n">
        <v>0.51875</v>
      </c>
      <c r="C208" s="7" t="n">
        <v>5582</v>
      </c>
      <c r="D208" s="7" t="s">
        <v>20</v>
      </c>
      <c r="E208" s="7" t="n">
        <v>2600</v>
      </c>
      <c r="F208" s="7" t="n">
        <v>2320</v>
      </c>
      <c r="G208" s="8" t="n">
        <v>280</v>
      </c>
      <c r="H208" s="7" t="s">
        <v>11</v>
      </c>
      <c r="I208" s="7" t="s">
        <v>12</v>
      </c>
      <c r="J208" s="0" t="s">
        <v>13</v>
      </c>
    </row>
    <row r="209" customFormat="false" ht="15" hidden="false" customHeight="false" outlineLevel="0" collapsed="false">
      <c r="A209" s="5" t="n">
        <v>44707</v>
      </c>
      <c r="B209" s="6" t="n">
        <v>0.465972222222222</v>
      </c>
      <c r="C209" s="7" t="n">
        <v>5575</v>
      </c>
      <c r="D209" s="7" t="s">
        <v>17</v>
      </c>
      <c r="E209" s="7" t="n">
        <v>2860</v>
      </c>
      <c r="F209" s="7" t="n">
        <v>2680</v>
      </c>
      <c r="G209" s="8" t="n">
        <v>180</v>
      </c>
      <c r="H209" s="7" t="s">
        <v>11</v>
      </c>
      <c r="I209" s="7" t="s">
        <v>18</v>
      </c>
      <c r="J209" s="0" t="s">
        <v>13</v>
      </c>
    </row>
    <row r="210" customFormat="false" ht="15" hidden="false" customHeight="false" outlineLevel="0" collapsed="false">
      <c r="A210" s="5" t="n">
        <v>44707</v>
      </c>
      <c r="B210" s="6" t="n">
        <v>0.505555555555556</v>
      </c>
      <c r="C210" s="7" t="n">
        <v>5580</v>
      </c>
      <c r="D210" s="7" t="s">
        <v>19</v>
      </c>
      <c r="E210" s="7" t="n">
        <v>3380</v>
      </c>
      <c r="F210" s="7" t="n">
        <v>2820</v>
      </c>
      <c r="G210" s="8" t="n">
        <v>560</v>
      </c>
      <c r="H210" s="7" t="s">
        <v>11</v>
      </c>
      <c r="I210" s="7" t="s">
        <v>12</v>
      </c>
      <c r="J210" s="0" t="s">
        <v>13</v>
      </c>
    </row>
    <row r="211" customFormat="false" ht="15" hidden="false" customHeight="false" outlineLevel="0" collapsed="false">
      <c r="A211" s="5" t="n">
        <v>44708</v>
      </c>
      <c r="B211" s="6" t="n">
        <v>0.258333333333333</v>
      </c>
      <c r="C211" s="7" t="n">
        <v>5615</v>
      </c>
      <c r="D211" s="7" t="s">
        <v>10</v>
      </c>
      <c r="E211" s="7" t="n">
        <v>4700</v>
      </c>
      <c r="F211" s="7" t="n">
        <v>3760</v>
      </c>
      <c r="G211" s="8" t="n">
        <v>940</v>
      </c>
      <c r="H211" s="7" t="s">
        <v>11</v>
      </c>
      <c r="I211" s="7" t="s">
        <v>12</v>
      </c>
      <c r="J211" s="0" t="s">
        <v>13</v>
      </c>
    </row>
    <row r="212" customFormat="false" ht="15" hidden="false" customHeight="false" outlineLevel="0" collapsed="false">
      <c r="A212" s="5" t="n">
        <v>44708</v>
      </c>
      <c r="B212" s="6" t="n">
        <v>0.195833333333333</v>
      </c>
      <c r="C212" s="7" t="n">
        <v>5609</v>
      </c>
      <c r="D212" s="7" t="s">
        <v>14</v>
      </c>
      <c r="E212" s="7" t="n">
        <v>15900</v>
      </c>
      <c r="F212" s="7" t="n">
        <v>12700</v>
      </c>
      <c r="G212" s="8" t="n">
        <v>3200</v>
      </c>
      <c r="H212" s="7" t="s">
        <v>11</v>
      </c>
      <c r="I212" s="7" t="s">
        <v>12</v>
      </c>
      <c r="J212" s="0" t="s">
        <v>13</v>
      </c>
    </row>
    <row r="213" customFormat="false" ht="15" hidden="false" customHeight="false" outlineLevel="0" collapsed="false">
      <c r="A213" s="5" t="n">
        <v>44708</v>
      </c>
      <c r="B213" s="6" t="n">
        <v>0.0618055555555556</v>
      </c>
      <c r="C213" s="7" t="n">
        <v>5600</v>
      </c>
      <c r="D213" s="7" t="s">
        <v>15</v>
      </c>
      <c r="E213" s="7" t="n">
        <v>22440</v>
      </c>
      <c r="F213" s="7" t="n">
        <v>16020</v>
      </c>
      <c r="G213" s="8" t="n">
        <v>6420</v>
      </c>
      <c r="H213" s="7" t="s">
        <v>11</v>
      </c>
      <c r="I213" s="7" t="s">
        <v>12</v>
      </c>
      <c r="J213" s="0" t="s">
        <v>13</v>
      </c>
    </row>
    <row r="214" customFormat="false" ht="15" hidden="false" customHeight="false" outlineLevel="0" collapsed="false">
      <c r="A214" s="5" t="n">
        <v>44708</v>
      </c>
      <c r="B214" s="6" t="n">
        <v>0.120138888888889</v>
      </c>
      <c r="C214" s="7" t="n">
        <v>5607</v>
      </c>
      <c r="D214" s="7" t="s">
        <v>14</v>
      </c>
      <c r="E214" s="7" t="n">
        <v>20940</v>
      </c>
      <c r="F214" s="7" t="n">
        <v>12640</v>
      </c>
      <c r="G214" s="8" t="n">
        <v>8300</v>
      </c>
      <c r="H214" s="7" t="s">
        <v>11</v>
      </c>
      <c r="I214" s="7" t="s">
        <v>12</v>
      </c>
      <c r="J214" s="0" t="s">
        <v>13</v>
      </c>
    </row>
    <row r="215" customFormat="false" ht="15" hidden="false" customHeight="false" outlineLevel="0" collapsed="false">
      <c r="A215" s="5" t="n">
        <v>44708</v>
      </c>
      <c r="B215" s="6" t="n">
        <v>0.231944444444444</v>
      </c>
      <c r="C215" s="7" t="n">
        <v>5614</v>
      </c>
      <c r="D215" s="7" t="s">
        <v>15</v>
      </c>
      <c r="E215" s="7" t="n">
        <v>24820</v>
      </c>
      <c r="F215" s="7" t="n">
        <v>15960</v>
      </c>
      <c r="G215" s="8" t="n">
        <v>8860</v>
      </c>
      <c r="H215" s="7" t="s">
        <v>11</v>
      </c>
      <c r="I215" s="7" t="s">
        <v>12</v>
      </c>
      <c r="J215" s="0" t="s">
        <v>13</v>
      </c>
    </row>
    <row r="216" customFormat="false" ht="15" hidden="false" customHeight="false" outlineLevel="0" collapsed="false">
      <c r="A216" s="5" t="n">
        <v>44708</v>
      </c>
      <c r="B216" s="6" t="n">
        <v>0.518055555555556</v>
      </c>
      <c r="C216" s="7" t="n">
        <v>5638</v>
      </c>
      <c r="D216" s="7" t="s">
        <v>20</v>
      </c>
      <c r="E216" s="7" t="n">
        <v>2760</v>
      </c>
      <c r="F216" s="7" t="n">
        <v>2400</v>
      </c>
      <c r="G216" s="8" t="n">
        <v>360</v>
      </c>
      <c r="H216" s="7" t="s">
        <v>11</v>
      </c>
      <c r="I216" s="7" t="s">
        <v>12</v>
      </c>
      <c r="J216" s="0" t="s">
        <v>13</v>
      </c>
    </row>
    <row r="217" customFormat="false" ht="15" hidden="false" customHeight="false" outlineLevel="0" collapsed="false">
      <c r="A217" s="5" t="n">
        <v>44708</v>
      </c>
      <c r="B217" s="6" t="n">
        <v>0.432638888888889</v>
      </c>
      <c r="C217" s="7" t="n">
        <v>5630</v>
      </c>
      <c r="D217" s="7" t="s">
        <v>21</v>
      </c>
      <c r="E217" s="7" t="n">
        <v>6600</v>
      </c>
      <c r="F217" s="7" t="n">
        <v>5580</v>
      </c>
      <c r="G217" s="8" t="n">
        <v>1020</v>
      </c>
      <c r="H217" s="7" t="s">
        <v>11</v>
      </c>
      <c r="I217" s="7" t="s">
        <v>22</v>
      </c>
      <c r="J217" s="0" t="s">
        <v>13</v>
      </c>
    </row>
    <row r="218" customFormat="false" ht="15" hidden="false" customHeight="false" outlineLevel="0" collapsed="false">
      <c r="A218" s="5" t="n">
        <v>44708</v>
      </c>
      <c r="B218" s="6" t="n">
        <v>0.521527777777778</v>
      </c>
      <c r="C218" s="7" t="n">
        <v>5640</v>
      </c>
      <c r="D218" s="7" t="s">
        <v>21</v>
      </c>
      <c r="E218" s="7" t="n">
        <v>5920</v>
      </c>
      <c r="F218" s="7" t="n">
        <v>5580</v>
      </c>
      <c r="G218" s="8" t="n">
        <v>340</v>
      </c>
      <c r="H218" s="7" t="s">
        <v>11</v>
      </c>
      <c r="I218" s="7" t="s">
        <v>22</v>
      </c>
      <c r="J218" s="0" t="s">
        <v>13</v>
      </c>
    </row>
    <row r="219" customFormat="false" ht="15" hidden="false" customHeight="false" outlineLevel="0" collapsed="false">
      <c r="A219" s="5" t="n">
        <v>44709</v>
      </c>
      <c r="B219" s="6" t="n">
        <v>0.251388888888889</v>
      </c>
      <c r="C219" s="7" t="n">
        <v>5661</v>
      </c>
      <c r="D219" s="7" t="s">
        <v>17</v>
      </c>
      <c r="E219" s="7" t="n">
        <v>3120</v>
      </c>
      <c r="F219" s="7" t="n">
        <v>2740</v>
      </c>
      <c r="G219" s="8" t="n">
        <v>380</v>
      </c>
      <c r="H219" s="7" t="s">
        <v>11</v>
      </c>
      <c r="I219" s="7" t="s">
        <v>12</v>
      </c>
      <c r="J219" s="0" t="s">
        <v>13</v>
      </c>
    </row>
    <row r="220" customFormat="false" ht="15" hidden="false" customHeight="false" outlineLevel="0" collapsed="false">
      <c r="A220" s="5" t="n">
        <v>44709</v>
      </c>
      <c r="B220" s="6" t="n">
        <v>0.16875</v>
      </c>
      <c r="C220" s="7" t="n">
        <v>5653</v>
      </c>
      <c r="D220" s="7" t="s">
        <v>17</v>
      </c>
      <c r="E220" s="7" t="n">
        <v>3420</v>
      </c>
      <c r="F220" s="7" t="n">
        <v>2740</v>
      </c>
      <c r="G220" s="8" t="n">
        <v>680</v>
      </c>
      <c r="H220" s="7" t="s">
        <v>11</v>
      </c>
      <c r="I220" s="7" t="s">
        <v>12</v>
      </c>
      <c r="J220" s="0" t="s">
        <v>13</v>
      </c>
    </row>
    <row r="221" customFormat="false" ht="15" hidden="false" customHeight="false" outlineLevel="0" collapsed="false">
      <c r="A221" s="5" t="n">
        <v>44709</v>
      </c>
      <c r="B221" s="6" t="n">
        <v>0.205555555555556</v>
      </c>
      <c r="C221" s="7" t="n">
        <v>5657</v>
      </c>
      <c r="D221" s="7" t="s">
        <v>15</v>
      </c>
      <c r="E221" s="7" t="n">
        <v>21720</v>
      </c>
      <c r="F221" s="7" t="n">
        <v>15920</v>
      </c>
      <c r="G221" s="8" t="n">
        <v>5800</v>
      </c>
      <c r="H221" s="7" t="s">
        <v>11</v>
      </c>
      <c r="I221" s="7" t="s">
        <v>12</v>
      </c>
      <c r="J221" s="0" t="s">
        <v>13</v>
      </c>
    </row>
    <row r="222" customFormat="false" ht="15" hidden="false" customHeight="false" outlineLevel="0" collapsed="false">
      <c r="A222" s="5" t="n">
        <v>44709</v>
      </c>
      <c r="B222" s="6" t="n">
        <v>0.254861111111111</v>
      </c>
      <c r="C222" s="7" t="n">
        <v>5662</v>
      </c>
      <c r="D222" s="7" t="s">
        <v>14</v>
      </c>
      <c r="E222" s="7" t="n">
        <v>18220</v>
      </c>
      <c r="F222" s="7" t="n">
        <v>12860</v>
      </c>
      <c r="G222" s="8" t="n">
        <v>5360</v>
      </c>
      <c r="H222" s="7" t="s">
        <v>11</v>
      </c>
      <c r="I222" s="7" t="s">
        <v>12</v>
      </c>
      <c r="J222" s="0" t="s">
        <v>13</v>
      </c>
    </row>
    <row r="223" customFormat="false" ht="15" hidden="false" customHeight="false" outlineLevel="0" collapsed="false">
      <c r="A223" s="5" t="n">
        <v>44709</v>
      </c>
      <c r="B223" s="6" t="n">
        <v>0.114583333333333</v>
      </c>
      <c r="C223" s="7" t="n">
        <v>5649</v>
      </c>
      <c r="D223" s="7" t="s">
        <v>14</v>
      </c>
      <c r="E223" s="7" t="n">
        <v>20920</v>
      </c>
      <c r="F223" s="7" t="n">
        <v>12780</v>
      </c>
      <c r="G223" s="8" t="n">
        <v>8140</v>
      </c>
      <c r="H223" s="7" t="s">
        <v>11</v>
      </c>
      <c r="I223" s="7" t="s">
        <v>12</v>
      </c>
      <c r="J223" s="0" t="s">
        <v>13</v>
      </c>
    </row>
    <row r="224" customFormat="false" ht="15" hidden="false" customHeight="false" outlineLevel="0" collapsed="false">
      <c r="A224" s="5" t="n">
        <v>44709</v>
      </c>
      <c r="B224" s="6" t="n">
        <v>0.451388888888889</v>
      </c>
      <c r="C224" s="7" t="n">
        <v>5671</v>
      </c>
      <c r="D224" s="7" t="s">
        <v>20</v>
      </c>
      <c r="E224" s="7" t="n">
        <v>2720</v>
      </c>
      <c r="F224" s="7" t="n">
        <v>2300</v>
      </c>
      <c r="G224" s="8" t="n">
        <v>420</v>
      </c>
      <c r="H224" s="7" t="s">
        <v>11</v>
      </c>
      <c r="I224" s="7" t="s">
        <v>12</v>
      </c>
      <c r="J224" s="0" t="s">
        <v>13</v>
      </c>
    </row>
    <row r="225" customFormat="false" ht="15" hidden="false" customHeight="false" outlineLevel="0" collapsed="false">
      <c r="A225" s="5" t="n">
        <v>44709</v>
      </c>
      <c r="B225" s="6" t="n">
        <v>0.0784722222222222</v>
      </c>
      <c r="C225" s="7" t="n">
        <v>5646</v>
      </c>
      <c r="D225" s="7" t="s">
        <v>15</v>
      </c>
      <c r="E225" s="7" t="n">
        <v>23860</v>
      </c>
      <c r="F225" s="7" t="n">
        <v>15940</v>
      </c>
      <c r="G225" s="8" t="n">
        <v>7920</v>
      </c>
      <c r="H225" s="7" t="s">
        <v>11</v>
      </c>
      <c r="I225" s="7" t="s">
        <v>12</v>
      </c>
      <c r="J225" s="0" t="s">
        <v>13</v>
      </c>
    </row>
    <row r="226" customFormat="false" ht="15" hidden="false" customHeight="false" outlineLevel="0" collapsed="false">
      <c r="A226" s="5" t="n">
        <v>44710</v>
      </c>
      <c r="B226" s="6" t="n">
        <v>0.170138888888889</v>
      </c>
      <c r="C226" s="7" t="n">
        <v>5681</v>
      </c>
      <c r="D226" s="7" t="s">
        <v>15</v>
      </c>
      <c r="E226" s="7" t="n">
        <v>25620</v>
      </c>
      <c r="F226" s="7" t="n">
        <v>15940</v>
      </c>
      <c r="G226" s="8" t="n">
        <v>9680</v>
      </c>
      <c r="H226" s="7" t="s">
        <v>11</v>
      </c>
      <c r="I226" s="7" t="s">
        <v>12</v>
      </c>
      <c r="J226" s="0" t="s">
        <v>13</v>
      </c>
    </row>
    <row r="227" customFormat="false" ht="15" hidden="false" customHeight="false" outlineLevel="0" collapsed="false">
      <c r="A227" s="5" t="n">
        <v>44710</v>
      </c>
      <c r="B227" s="6" t="n">
        <v>0.246527777777778</v>
      </c>
      <c r="C227" s="7" t="n">
        <v>5687</v>
      </c>
      <c r="D227" s="7" t="s">
        <v>15</v>
      </c>
      <c r="E227" s="7" t="n">
        <v>20060</v>
      </c>
      <c r="F227" s="7" t="n">
        <v>15860</v>
      </c>
      <c r="G227" s="8" t="n">
        <v>4200</v>
      </c>
      <c r="H227" s="7" t="s">
        <v>11</v>
      </c>
      <c r="I227" s="7" t="s">
        <v>12</v>
      </c>
      <c r="J227" s="0" t="s">
        <v>13</v>
      </c>
    </row>
    <row r="228" customFormat="false" ht="15" hidden="false" customHeight="false" outlineLevel="0" collapsed="false">
      <c r="A228" s="5" t="n">
        <v>44710</v>
      </c>
      <c r="B228" s="6" t="n">
        <v>0.200694444444444</v>
      </c>
      <c r="C228" s="7" t="n">
        <v>5684</v>
      </c>
      <c r="D228" s="7" t="s">
        <v>17</v>
      </c>
      <c r="E228" s="7" t="n">
        <v>3780</v>
      </c>
      <c r="F228" s="7" t="n">
        <v>2720</v>
      </c>
      <c r="G228" s="8" t="n">
        <v>1060</v>
      </c>
      <c r="H228" s="7" t="s">
        <v>11</v>
      </c>
      <c r="I228" s="7" t="s">
        <v>12</v>
      </c>
      <c r="J228" s="0" t="s">
        <v>13</v>
      </c>
    </row>
    <row r="229" customFormat="false" ht="15" hidden="false" customHeight="false" outlineLevel="0" collapsed="false">
      <c r="A229" s="5" t="n">
        <v>44710</v>
      </c>
      <c r="B229" s="6" t="n">
        <v>0.200694444444444</v>
      </c>
      <c r="C229" s="7" t="n">
        <v>5683</v>
      </c>
      <c r="D229" s="7" t="s">
        <v>14</v>
      </c>
      <c r="E229" s="7" t="n">
        <v>21020</v>
      </c>
      <c r="F229" s="7" t="n">
        <v>12800</v>
      </c>
      <c r="G229" s="8" t="n">
        <v>8220</v>
      </c>
      <c r="H229" s="7" t="s">
        <v>11</v>
      </c>
      <c r="I229" s="7" t="s">
        <v>12</v>
      </c>
      <c r="J229" s="0" t="s">
        <v>13</v>
      </c>
    </row>
    <row r="230" customFormat="false" ht="15" hidden="false" customHeight="false" outlineLevel="0" collapsed="false">
      <c r="A230" s="5" t="n">
        <v>44710</v>
      </c>
      <c r="B230" s="6" t="n">
        <v>0.0576388888888889</v>
      </c>
      <c r="C230" s="7" t="n">
        <v>5673</v>
      </c>
      <c r="D230" s="7" t="s">
        <v>14</v>
      </c>
      <c r="E230" s="7" t="n">
        <v>21460</v>
      </c>
      <c r="F230" s="7" t="n">
        <v>12740</v>
      </c>
      <c r="G230" s="8" t="n">
        <v>8720</v>
      </c>
      <c r="H230" s="7" t="s">
        <v>11</v>
      </c>
      <c r="I230" s="7" t="s">
        <v>12</v>
      </c>
      <c r="J230" s="0" t="s">
        <v>13</v>
      </c>
    </row>
    <row r="231" customFormat="false" ht="15" hidden="false" customHeight="false" outlineLevel="0" collapsed="false">
      <c r="A231" s="5" t="n">
        <v>44710</v>
      </c>
      <c r="B231" s="6" t="n">
        <v>0.461111111111111</v>
      </c>
      <c r="C231" s="7" t="n">
        <v>5690</v>
      </c>
      <c r="D231" s="7" t="s">
        <v>20</v>
      </c>
      <c r="E231" s="7" t="n">
        <v>2760</v>
      </c>
      <c r="F231" s="7" t="n">
        <v>2420</v>
      </c>
      <c r="G231" s="8" t="n">
        <v>340</v>
      </c>
      <c r="H231" s="7" t="s">
        <v>11</v>
      </c>
      <c r="I231" s="7" t="s">
        <v>12</v>
      </c>
      <c r="J231" s="0" t="s">
        <v>13</v>
      </c>
    </row>
    <row r="232" customFormat="false" ht="15" hidden="false" customHeight="false" outlineLevel="0" collapsed="false">
      <c r="A232" s="5" t="n">
        <v>44711</v>
      </c>
      <c r="B232" s="6" t="n">
        <v>0.254861111111111</v>
      </c>
      <c r="C232" s="7" t="n">
        <v>5708</v>
      </c>
      <c r="D232" s="7" t="s">
        <v>10</v>
      </c>
      <c r="E232" s="7" t="n">
        <v>4960</v>
      </c>
      <c r="F232" s="7" t="n">
        <v>3820</v>
      </c>
      <c r="G232" s="8" t="n">
        <v>1140</v>
      </c>
      <c r="H232" s="7" t="s">
        <v>11</v>
      </c>
      <c r="I232" s="7" t="s">
        <v>12</v>
      </c>
      <c r="J232" s="0" t="s">
        <v>13</v>
      </c>
    </row>
    <row r="233" customFormat="false" ht="15" hidden="false" customHeight="false" outlineLevel="0" collapsed="false">
      <c r="A233" s="5" t="n">
        <v>44711</v>
      </c>
      <c r="B233" s="6" t="n">
        <v>0.138888888888889</v>
      </c>
      <c r="C233" s="7" t="n">
        <v>5699</v>
      </c>
      <c r="D233" s="7" t="s">
        <v>14</v>
      </c>
      <c r="E233" s="7" t="n">
        <v>18140</v>
      </c>
      <c r="F233" s="7" t="n">
        <v>12680</v>
      </c>
      <c r="G233" s="8" t="n">
        <v>5460</v>
      </c>
      <c r="H233" s="7" t="s">
        <v>11</v>
      </c>
      <c r="I233" s="7" t="s">
        <v>12</v>
      </c>
      <c r="J233" s="0" t="s">
        <v>13</v>
      </c>
    </row>
    <row r="234" customFormat="false" ht="15" hidden="false" customHeight="false" outlineLevel="0" collapsed="false">
      <c r="A234" s="5" t="n">
        <v>44711</v>
      </c>
      <c r="B234" s="6" t="n">
        <v>0.0680555555555555</v>
      </c>
      <c r="C234" s="7" t="n">
        <v>5692</v>
      </c>
      <c r="D234" s="7" t="s">
        <v>14</v>
      </c>
      <c r="E234" s="7" t="n">
        <v>21420</v>
      </c>
      <c r="F234" s="7" t="n">
        <v>12700</v>
      </c>
      <c r="G234" s="8" t="n">
        <v>8720</v>
      </c>
      <c r="H234" s="7" t="s">
        <v>11</v>
      </c>
      <c r="I234" s="7" t="s">
        <v>12</v>
      </c>
      <c r="J234" s="0" t="s">
        <v>13</v>
      </c>
    </row>
    <row r="235" customFormat="false" ht="15" hidden="false" customHeight="false" outlineLevel="0" collapsed="false">
      <c r="A235" s="5" t="n">
        <v>44711</v>
      </c>
      <c r="B235" s="6" t="n">
        <v>0.252777777777778</v>
      </c>
      <c r="C235" s="7" t="n">
        <v>5707</v>
      </c>
      <c r="D235" s="7" t="s">
        <v>15</v>
      </c>
      <c r="E235" s="7" t="n">
        <v>20620</v>
      </c>
      <c r="F235" s="7" t="n">
        <v>15780</v>
      </c>
      <c r="G235" s="8" t="n">
        <v>4840</v>
      </c>
      <c r="H235" s="7" t="s">
        <v>11</v>
      </c>
      <c r="I235" s="7" t="s">
        <v>12</v>
      </c>
      <c r="J235" s="0" t="s">
        <v>13</v>
      </c>
    </row>
    <row r="236" customFormat="false" ht="15" hidden="false" customHeight="false" outlineLevel="0" collapsed="false">
      <c r="A236" s="5" t="n">
        <v>44711</v>
      </c>
      <c r="B236" s="6" t="n">
        <v>0.154861111111111</v>
      </c>
      <c r="C236" s="7" t="n">
        <v>5700</v>
      </c>
      <c r="D236" s="7" t="s">
        <v>15</v>
      </c>
      <c r="E236" s="7" t="n">
        <v>25700</v>
      </c>
      <c r="F236" s="7" t="n">
        <v>15800</v>
      </c>
      <c r="G236" s="8" t="n">
        <v>9900</v>
      </c>
      <c r="H236" s="7" t="s">
        <v>11</v>
      </c>
      <c r="I236" s="7" t="s">
        <v>12</v>
      </c>
      <c r="J236" s="0" t="s">
        <v>13</v>
      </c>
    </row>
    <row r="237" customFormat="false" ht="15" hidden="false" customHeight="false" outlineLevel="0" collapsed="false">
      <c r="A237" s="5" t="n">
        <v>44711</v>
      </c>
      <c r="B237" s="6" t="n">
        <v>0.364583333333333</v>
      </c>
      <c r="C237" s="7" t="n">
        <v>5717</v>
      </c>
      <c r="D237" s="7" t="s">
        <v>20</v>
      </c>
      <c r="E237" s="7" t="n">
        <v>2620</v>
      </c>
      <c r="F237" s="7" t="n">
        <v>2400</v>
      </c>
      <c r="G237" s="8" t="n">
        <v>220</v>
      </c>
      <c r="H237" s="7" t="s">
        <v>11</v>
      </c>
      <c r="I237" s="7" t="s">
        <v>12</v>
      </c>
      <c r="J237" s="0" t="s">
        <v>13</v>
      </c>
    </row>
    <row r="238" customFormat="false" ht="15" hidden="false" customHeight="false" outlineLevel="0" collapsed="false">
      <c r="A238" s="5" t="n">
        <v>44711</v>
      </c>
      <c r="B238" s="6" t="n">
        <v>0.666666666666667</v>
      </c>
      <c r="C238" s="7" t="n">
        <v>5742</v>
      </c>
      <c r="D238" s="7" t="s">
        <v>19</v>
      </c>
      <c r="E238" s="7" t="n">
        <v>3060</v>
      </c>
      <c r="F238" s="7" t="n">
        <v>2880</v>
      </c>
      <c r="G238" s="8" t="n">
        <v>180</v>
      </c>
      <c r="H238" s="7" t="s">
        <v>11</v>
      </c>
      <c r="I238" s="7" t="s">
        <v>12</v>
      </c>
      <c r="J238" s="0" t="s">
        <v>13</v>
      </c>
    </row>
    <row r="239" customFormat="false" ht="15" hidden="false" customHeight="false" outlineLevel="0" collapsed="false">
      <c r="A239" s="5" t="n">
        <v>44711</v>
      </c>
      <c r="B239" s="6" t="n">
        <v>0.513194444444444</v>
      </c>
      <c r="C239" s="7" t="n">
        <v>5734</v>
      </c>
      <c r="D239" s="7" t="s">
        <v>17</v>
      </c>
      <c r="E239" s="7" t="n">
        <v>3020</v>
      </c>
      <c r="F239" s="7" t="n">
        <v>2700</v>
      </c>
      <c r="G239" s="8" t="n">
        <v>320</v>
      </c>
      <c r="H239" s="7" t="s">
        <v>11</v>
      </c>
      <c r="I239" s="7" t="s">
        <v>18</v>
      </c>
      <c r="J239" s="0" t="s">
        <v>13</v>
      </c>
    </row>
    <row r="240" customFormat="false" ht="15" hidden="false" customHeight="false" outlineLevel="0" collapsed="false">
      <c r="A240" s="5" t="n">
        <v>44711</v>
      </c>
      <c r="B240" s="6" t="n">
        <v>0.524305555555556</v>
      </c>
      <c r="C240" s="7" t="n">
        <v>5736</v>
      </c>
      <c r="D240" s="7" t="s">
        <v>19</v>
      </c>
      <c r="E240" s="7" t="n">
        <v>3220</v>
      </c>
      <c r="F240" s="7" t="n">
        <v>2860</v>
      </c>
      <c r="G240" s="8" t="n">
        <v>360</v>
      </c>
      <c r="H240" s="7" t="s">
        <v>11</v>
      </c>
      <c r="I240" s="7" t="s">
        <v>12</v>
      </c>
      <c r="J240" s="0" t="s">
        <v>13</v>
      </c>
    </row>
    <row r="241" customFormat="false" ht="15" hidden="false" customHeight="false" outlineLevel="0" collapsed="false">
      <c r="A241" s="5" t="n">
        <v>44712</v>
      </c>
      <c r="B241" s="6" t="n">
        <v>0.250694444444444</v>
      </c>
      <c r="C241" s="7" t="n">
        <v>5762</v>
      </c>
      <c r="D241" s="7" t="s">
        <v>15</v>
      </c>
      <c r="E241" s="7" t="n">
        <v>20740</v>
      </c>
      <c r="F241" s="7" t="n">
        <v>15880</v>
      </c>
      <c r="G241" s="8" t="n">
        <v>4860</v>
      </c>
      <c r="H241" s="7" t="s">
        <v>11</v>
      </c>
      <c r="I241" s="7" t="s">
        <v>12</v>
      </c>
      <c r="J241" s="0" t="s">
        <v>13</v>
      </c>
    </row>
    <row r="242" customFormat="false" ht="15" hidden="false" customHeight="false" outlineLevel="0" collapsed="false">
      <c r="A242" s="5" t="n">
        <v>44712</v>
      </c>
      <c r="B242" s="6" t="n">
        <v>0.208333333333333</v>
      </c>
      <c r="C242" s="7" t="n">
        <v>5759</v>
      </c>
      <c r="D242" s="7" t="s">
        <v>17</v>
      </c>
      <c r="E242" s="7" t="n">
        <v>3320</v>
      </c>
      <c r="F242" s="7" t="n">
        <v>2720</v>
      </c>
      <c r="G242" s="8" t="n">
        <v>600</v>
      </c>
      <c r="H242" s="7" t="s">
        <v>11</v>
      </c>
      <c r="I242" s="7" t="s">
        <v>12</v>
      </c>
      <c r="J242" s="0" t="s">
        <v>13</v>
      </c>
    </row>
    <row r="243" customFormat="false" ht="15" hidden="false" customHeight="false" outlineLevel="0" collapsed="false">
      <c r="A243" s="5" t="n">
        <v>44712</v>
      </c>
      <c r="B243" s="6" t="n">
        <v>0.125694444444444</v>
      </c>
      <c r="C243" s="7" t="n">
        <v>5752</v>
      </c>
      <c r="D243" s="7" t="s">
        <v>15</v>
      </c>
      <c r="E243" s="7" t="n">
        <v>23680</v>
      </c>
      <c r="F243" s="7" t="n">
        <v>15880</v>
      </c>
      <c r="G243" s="8" t="n">
        <v>7800</v>
      </c>
      <c r="H243" s="7" t="s">
        <v>11</v>
      </c>
      <c r="I243" s="7" t="s">
        <v>12</v>
      </c>
      <c r="J243" s="0" t="s">
        <v>13</v>
      </c>
    </row>
    <row r="244" customFormat="false" ht="15" hidden="false" customHeight="false" outlineLevel="0" collapsed="false">
      <c r="A244" s="5" t="n">
        <v>44712</v>
      </c>
      <c r="B244" s="6" t="n">
        <v>0.11875</v>
      </c>
      <c r="C244" s="7" t="n">
        <v>5751</v>
      </c>
      <c r="D244" s="7" t="s">
        <v>14</v>
      </c>
      <c r="E244" s="7" t="n">
        <v>21020</v>
      </c>
      <c r="F244" s="7" t="n">
        <v>12920</v>
      </c>
      <c r="G244" s="8" t="n">
        <v>8100</v>
      </c>
      <c r="H244" s="7" t="s">
        <v>11</v>
      </c>
      <c r="I244" s="7" t="s">
        <v>12</v>
      </c>
      <c r="J244" s="0" t="s">
        <v>13</v>
      </c>
    </row>
    <row r="245" customFormat="false" ht="15" hidden="false" customHeight="false" outlineLevel="0" collapsed="false">
      <c r="A245" s="5" t="n">
        <v>44712</v>
      </c>
      <c r="B245" s="6" t="n">
        <v>0.239583333333333</v>
      </c>
      <c r="C245" s="7" t="n">
        <v>5761</v>
      </c>
      <c r="D245" s="7" t="s">
        <v>14</v>
      </c>
      <c r="E245" s="7" t="n">
        <v>18540</v>
      </c>
      <c r="F245" s="7" t="n">
        <v>12900</v>
      </c>
      <c r="G245" s="8" t="n">
        <v>5640</v>
      </c>
      <c r="H245" s="7" t="s">
        <v>11</v>
      </c>
      <c r="I245" s="7" t="s">
        <v>12</v>
      </c>
      <c r="J245" s="0" t="s">
        <v>13</v>
      </c>
    </row>
    <row r="246" customFormat="false" ht="15" hidden="false" customHeight="false" outlineLevel="0" collapsed="false">
      <c r="A246" s="5" t="n">
        <v>44712</v>
      </c>
      <c r="B246" s="6" t="n">
        <v>0.490277777777778</v>
      </c>
      <c r="C246" s="7" t="n">
        <v>5791</v>
      </c>
      <c r="D246" s="7" t="s">
        <v>20</v>
      </c>
      <c r="E246" s="7" t="n">
        <v>2640</v>
      </c>
      <c r="F246" s="7" t="n">
        <v>2480</v>
      </c>
      <c r="G246" s="8" t="n">
        <v>160</v>
      </c>
      <c r="H246" s="7" t="s">
        <v>11</v>
      </c>
      <c r="I246" s="7" t="s">
        <v>12</v>
      </c>
      <c r="J246" s="0" t="s">
        <v>13</v>
      </c>
    </row>
    <row r="247" customFormat="false" ht="15" hidden="false" customHeight="false" outlineLevel="0" collapsed="false">
      <c r="A247" s="5" t="n">
        <v>44712</v>
      </c>
      <c r="B247" s="6" t="n">
        <v>0.502083333333333</v>
      </c>
      <c r="C247" s="7" t="n">
        <v>5795</v>
      </c>
      <c r="D247" s="7" t="s">
        <v>21</v>
      </c>
      <c r="E247" s="7" t="n">
        <v>5980</v>
      </c>
      <c r="F247" s="7" t="n">
        <v>5560</v>
      </c>
      <c r="G247" s="8" t="n">
        <v>420</v>
      </c>
      <c r="H247" s="7" t="s">
        <v>11</v>
      </c>
      <c r="I247" s="7" t="s">
        <v>22</v>
      </c>
      <c r="J247" s="0" t="s">
        <v>13</v>
      </c>
    </row>
    <row r="248" customFormat="false" ht="15" hidden="false" customHeight="false" outlineLevel="0" collapsed="false">
      <c r="A248" s="5" t="n">
        <v>44712</v>
      </c>
      <c r="B248" s="6" t="n">
        <v>0.513194444444444</v>
      </c>
      <c r="C248" s="7" t="n">
        <v>5797</v>
      </c>
      <c r="D248" s="7" t="s">
        <v>19</v>
      </c>
      <c r="E248" s="7" t="n">
        <v>3360</v>
      </c>
      <c r="F248" s="7" t="n">
        <v>2880</v>
      </c>
      <c r="G248" s="8" t="n">
        <v>480</v>
      </c>
      <c r="H248" s="7" t="s">
        <v>11</v>
      </c>
      <c r="I248" s="7" t="s">
        <v>12</v>
      </c>
      <c r="J248" s="0" t="s">
        <v>13</v>
      </c>
    </row>
    <row r="249" customFormat="false" ht="15" hidden="false" customHeight="false" outlineLevel="0" collapsed="false">
      <c r="A249" s="5" t="n">
        <v>44712</v>
      </c>
      <c r="B249" s="6" t="n">
        <v>0.54375</v>
      </c>
      <c r="C249" s="7" t="n">
        <v>5803</v>
      </c>
      <c r="D249" s="7" t="s">
        <v>17</v>
      </c>
      <c r="E249" s="7" t="n">
        <v>3060</v>
      </c>
      <c r="F249" s="7" t="n">
        <v>2800</v>
      </c>
      <c r="G249" s="8" t="n">
        <v>260</v>
      </c>
      <c r="H249" s="7" t="s">
        <v>11</v>
      </c>
      <c r="I249" s="7" t="s">
        <v>18</v>
      </c>
      <c r="J249" s="0" t="s">
        <v>13</v>
      </c>
    </row>
    <row r="250" customFormat="false" ht="15" hidden="false" customHeight="false" outlineLevel="0" collapsed="false">
      <c r="A250" s="5" t="n">
        <v>44692</v>
      </c>
      <c r="B250" s="6" t="n">
        <v>0.35625</v>
      </c>
      <c r="C250" s="7" t="n">
        <v>4939</v>
      </c>
      <c r="D250" s="7" t="s">
        <v>17</v>
      </c>
      <c r="E250" s="7" t="n">
        <v>3140</v>
      </c>
      <c r="F250" s="7" t="n">
        <v>2700</v>
      </c>
      <c r="G250" s="8" t="n">
        <v>440</v>
      </c>
      <c r="H250" s="7" t="s">
        <v>11</v>
      </c>
      <c r="I250" s="7" t="s">
        <v>22</v>
      </c>
      <c r="J250" s="0" t="s">
        <v>13</v>
      </c>
    </row>
    <row r="251" customFormat="false" ht="15" hidden="false" customHeight="false" outlineLevel="0" collapsed="false">
      <c r="A251" s="5" t="n">
        <v>44700</v>
      </c>
      <c r="B251" s="6" t="n">
        <v>0.141666666666667</v>
      </c>
      <c r="C251" s="7" t="n">
        <v>5245</v>
      </c>
      <c r="D251" s="7" t="s">
        <v>25</v>
      </c>
      <c r="E251" s="7" t="n">
        <v>24620</v>
      </c>
      <c r="F251" s="7" t="n">
        <v>15920</v>
      </c>
      <c r="G251" s="8" t="n">
        <v>8700</v>
      </c>
      <c r="H251" s="7" t="s">
        <v>11</v>
      </c>
      <c r="I251" s="7" t="s">
        <v>12</v>
      </c>
      <c r="J251" s="0" t="s">
        <v>13</v>
      </c>
    </row>
    <row r="252" customFormat="false" ht="15" hidden="false" customHeight="false" outlineLevel="0" collapsed="false">
      <c r="A252" s="5" t="n">
        <v>44700</v>
      </c>
      <c r="B252" s="6" t="n">
        <v>0.247916666666667</v>
      </c>
      <c r="C252" s="7" t="n">
        <v>5253</v>
      </c>
      <c r="D252" s="7" t="s">
        <v>25</v>
      </c>
      <c r="E252" s="7" t="n">
        <v>19660</v>
      </c>
      <c r="F252" s="7" t="n">
        <v>15900</v>
      </c>
      <c r="G252" s="8" t="n">
        <v>3760</v>
      </c>
      <c r="H252" s="7" t="s">
        <v>11</v>
      </c>
      <c r="I252" s="7" t="s">
        <v>12</v>
      </c>
      <c r="J252" s="0" t="s">
        <v>13</v>
      </c>
    </row>
  </sheetData>
  <autoFilter ref="A1:J252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5" activeCellId="1" sqref="A158:I158 B5"/>
    </sheetView>
  </sheetViews>
  <sheetFormatPr defaultRowHeight="12.8" zeroHeight="false" outlineLevelRow="0" outlineLevelCol="0"/>
  <cols>
    <col collapsed="false" customWidth="true" hidden="false" outlineLevel="0" max="1025" min="1" style="0" width="10.5"/>
  </cols>
  <sheetData>
    <row r="1" customFormat="false" ht="12.8" hidden="false" customHeight="false" outlineLevel="0" collapsed="false">
      <c r="A1" s="10" t="s">
        <v>0</v>
      </c>
      <c r="B1" s="11" t="s">
        <v>27</v>
      </c>
    </row>
    <row r="3" customFormat="false" ht="12.8" hidden="false" customHeight="false" outlineLevel="0" collapsed="false">
      <c r="A3" s="12" t="s">
        <v>28</v>
      </c>
      <c r="B3" s="13" t="s">
        <v>8</v>
      </c>
      <c r="C3" s="14"/>
      <c r="D3" s="14"/>
      <c r="E3" s="14"/>
      <c r="F3" s="14"/>
      <c r="G3" s="15"/>
    </row>
    <row r="4" customFormat="false" ht="12.8" hidden="false" customHeight="false" outlineLevel="0" collapsed="false">
      <c r="A4" s="16" t="s">
        <v>3</v>
      </c>
      <c r="B4" s="17" t="s">
        <v>18</v>
      </c>
      <c r="C4" s="18" t="s">
        <v>12</v>
      </c>
      <c r="D4" s="18" t="s">
        <v>16</v>
      </c>
      <c r="E4" s="18" t="s">
        <v>24</v>
      </c>
      <c r="F4" s="18" t="s">
        <v>22</v>
      </c>
      <c r="G4" s="19" t="s">
        <v>29</v>
      </c>
    </row>
    <row r="5" customFormat="false" ht="12.8" hidden="false" customHeight="false" outlineLevel="0" collapsed="false">
      <c r="A5" s="20" t="s">
        <v>23</v>
      </c>
      <c r="B5" s="21"/>
      <c r="C5" s="22"/>
      <c r="D5" s="22"/>
      <c r="E5" s="23" t="n">
        <v>2020</v>
      </c>
      <c r="F5" s="24" t="n">
        <v>2520</v>
      </c>
      <c r="G5" s="25" t="n">
        <v>4540</v>
      </c>
    </row>
    <row r="6" customFormat="false" ht="12.8" hidden="false" customHeight="false" outlineLevel="0" collapsed="false">
      <c r="A6" s="26" t="s">
        <v>17</v>
      </c>
      <c r="B6" s="27" t="n">
        <v>8720</v>
      </c>
      <c r="C6" s="28" t="n">
        <v>13420</v>
      </c>
      <c r="D6" s="29"/>
      <c r="E6" s="29"/>
      <c r="F6" s="30" t="n">
        <v>440</v>
      </c>
      <c r="G6" s="31" t="n">
        <v>22580</v>
      </c>
    </row>
    <row r="7" customFormat="false" ht="12.8" hidden="false" customHeight="false" outlineLevel="0" collapsed="false">
      <c r="A7" s="26" t="s">
        <v>25</v>
      </c>
      <c r="B7" s="32"/>
      <c r="C7" s="28" t="n">
        <v>126540</v>
      </c>
      <c r="D7" s="28" t="n">
        <v>2760</v>
      </c>
      <c r="E7" s="28" t="n">
        <v>2940</v>
      </c>
      <c r="F7" s="33"/>
      <c r="G7" s="31" t="n">
        <v>132240</v>
      </c>
    </row>
    <row r="8" customFormat="false" ht="12.8" hidden="false" customHeight="false" outlineLevel="0" collapsed="false">
      <c r="A8" s="26" t="s">
        <v>15</v>
      </c>
      <c r="B8" s="32"/>
      <c r="C8" s="28" t="n">
        <v>263440</v>
      </c>
      <c r="D8" s="28" t="n">
        <v>4620</v>
      </c>
      <c r="E8" s="28" t="n">
        <v>7540</v>
      </c>
      <c r="F8" s="33"/>
      <c r="G8" s="31" t="n">
        <v>275600</v>
      </c>
    </row>
    <row r="9" customFormat="false" ht="12.8" hidden="false" customHeight="false" outlineLevel="0" collapsed="false">
      <c r="A9" s="26" t="s">
        <v>20</v>
      </c>
      <c r="B9" s="32"/>
      <c r="C9" s="28" t="n">
        <v>8160</v>
      </c>
      <c r="D9" s="29"/>
      <c r="E9" s="29"/>
      <c r="F9" s="33"/>
      <c r="G9" s="31" t="n">
        <v>8160</v>
      </c>
    </row>
    <row r="10" customFormat="false" ht="12.8" hidden="false" customHeight="false" outlineLevel="0" collapsed="false">
      <c r="A10" s="26" t="s">
        <v>26</v>
      </c>
      <c r="B10" s="32"/>
      <c r="C10" s="28" t="n">
        <v>10740</v>
      </c>
      <c r="D10" s="29"/>
      <c r="E10" s="29"/>
      <c r="F10" s="33"/>
      <c r="G10" s="31" t="n">
        <v>10740</v>
      </c>
    </row>
    <row r="11" customFormat="false" ht="12.8" hidden="false" customHeight="false" outlineLevel="0" collapsed="false">
      <c r="A11" s="26" t="s">
        <v>19</v>
      </c>
      <c r="B11" s="27" t="n">
        <v>3320</v>
      </c>
      <c r="C11" s="28" t="n">
        <v>3680</v>
      </c>
      <c r="D11" s="29"/>
      <c r="E11" s="29"/>
      <c r="F11" s="30" t="n">
        <v>4160</v>
      </c>
      <c r="G11" s="31" t="n">
        <v>11160</v>
      </c>
    </row>
    <row r="12" customFormat="false" ht="12.8" hidden="false" customHeight="false" outlineLevel="0" collapsed="false">
      <c r="A12" s="26" t="s">
        <v>14</v>
      </c>
      <c r="B12" s="32"/>
      <c r="C12" s="28" t="n">
        <v>358920</v>
      </c>
      <c r="D12" s="29"/>
      <c r="E12" s="29"/>
      <c r="F12" s="33"/>
      <c r="G12" s="31" t="n">
        <v>358920</v>
      </c>
    </row>
    <row r="13" customFormat="false" ht="12.8" hidden="false" customHeight="false" outlineLevel="0" collapsed="false">
      <c r="A13" s="26" t="s">
        <v>10</v>
      </c>
      <c r="B13" s="32"/>
      <c r="C13" s="28" t="n">
        <v>17140</v>
      </c>
      <c r="D13" s="29"/>
      <c r="E13" s="29"/>
      <c r="F13" s="33"/>
      <c r="G13" s="31" t="n">
        <v>17140</v>
      </c>
    </row>
    <row r="14" customFormat="false" ht="12.8" hidden="false" customHeight="false" outlineLevel="0" collapsed="false">
      <c r="A14" s="26" t="s">
        <v>21</v>
      </c>
      <c r="B14" s="34"/>
      <c r="C14" s="35" t="n">
        <v>1040</v>
      </c>
      <c r="D14" s="36"/>
      <c r="E14" s="36"/>
      <c r="F14" s="37" t="n">
        <v>16720</v>
      </c>
      <c r="G14" s="38" t="n">
        <v>17760</v>
      </c>
    </row>
    <row r="15" customFormat="false" ht="12.8" hidden="false" customHeight="false" outlineLevel="0" collapsed="false">
      <c r="A15" s="39" t="s">
        <v>29</v>
      </c>
      <c r="B15" s="40" t="n">
        <v>12040</v>
      </c>
      <c r="C15" s="41" t="n">
        <v>803080</v>
      </c>
      <c r="D15" s="41" t="n">
        <v>7380</v>
      </c>
      <c r="E15" s="41" t="n">
        <v>12500</v>
      </c>
      <c r="F15" s="42" t="n">
        <v>23840</v>
      </c>
      <c r="G15" s="43" t="n">
        <v>858840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7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72" activeCellId="1" sqref="A158:I158 D72"/>
    </sheetView>
  </sheetViews>
  <sheetFormatPr defaultRowHeight="14" zeroHeight="false" outlineLevelRow="0" outlineLevelCol="0"/>
  <cols>
    <col collapsed="false" customWidth="true" hidden="false" outlineLevel="0" max="1" min="1" style="44" width="15.11"/>
    <col collapsed="false" customWidth="true" hidden="false" outlineLevel="0" max="2" min="2" style="45" width="17.73"/>
    <col collapsed="false" customWidth="true" hidden="false" outlineLevel="0" max="3" min="3" style="45" width="10.72"/>
    <col collapsed="false" customWidth="true" hidden="false" outlineLevel="0" max="4" min="4" style="44" width="13.47"/>
    <col collapsed="false" customWidth="true" hidden="false" outlineLevel="0" max="6" min="5" style="45" width="11.27"/>
    <col collapsed="false" customWidth="true" hidden="false" outlineLevel="0" max="7" min="7" style="45" width="13.47"/>
    <col collapsed="false" customWidth="true" hidden="false" outlineLevel="0" max="8" min="8" style="45" width="14.54"/>
    <col collapsed="false" customWidth="true" hidden="false" outlineLevel="0" max="9" min="9" style="45" width="15.87"/>
    <col collapsed="false" customWidth="true" hidden="false" outlineLevel="0" max="11" min="10" style="45" width="7.73"/>
    <col collapsed="false" customWidth="true" hidden="false" outlineLevel="0" max="12" min="12" style="45" width="8.18"/>
    <col collapsed="false" customWidth="true" hidden="false" outlineLevel="0" max="13" min="13" style="45" width="12.8"/>
    <col collapsed="false" customWidth="true" hidden="false" outlineLevel="0" max="14" min="14" style="45" width="7.09"/>
    <col collapsed="false" customWidth="true" hidden="false" outlineLevel="0" max="1025" min="15" style="45" width="7.73"/>
  </cols>
  <sheetData>
    <row r="1" customFormat="false" ht="13.8" hidden="false" customHeight="false" outlineLevel="0" collapsed="false">
      <c r="A1" s="44" t="n">
        <v>1</v>
      </c>
      <c r="B1" s="44" t="n">
        <v>2</v>
      </c>
      <c r="C1" s="44" t="n">
        <v>3</v>
      </c>
      <c r="D1" s="44" t="n">
        <v>4</v>
      </c>
      <c r="E1" s="44" t="n">
        <v>5</v>
      </c>
      <c r="F1" s="44" t="n">
        <v>6</v>
      </c>
      <c r="G1" s="44" t="n">
        <v>7</v>
      </c>
    </row>
    <row r="2" customFormat="false" ht="13.8" hidden="false" customHeight="false" outlineLevel="0" collapsed="false">
      <c r="A2" s="46" t="s">
        <v>3</v>
      </c>
      <c r="B2" s="47" t="s">
        <v>30</v>
      </c>
      <c r="C2" s="48" t="s">
        <v>18</v>
      </c>
      <c r="D2" s="48" t="s">
        <v>12</v>
      </c>
      <c r="E2" s="48" t="s">
        <v>16</v>
      </c>
      <c r="F2" s="48" t="s">
        <v>24</v>
      </c>
      <c r="G2" s="48" t="s">
        <v>31</v>
      </c>
      <c r="H2" s="49" t="s">
        <v>29</v>
      </c>
    </row>
    <row r="3" customFormat="false" ht="13.8" hidden="false" customHeight="false" outlineLevel="0" collapsed="false">
      <c r="A3" s="50" t="s">
        <v>23</v>
      </c>
      <c r="B3" s="51"/>
      <c r="C3" s="52"/>
      <c r="D3" s="52"/>
      <c r="E3" s="52"/>
      <c r="F3" s="52" t="n">
        <v>2020</v>
      </c>
      <c r="G3" s="53" t="n">
        <v>2520</v>
      </c>
      <c r="H3" s="54" t="n">
        <f aca="false">SUM(B3:G3)</f>
        <v>4540</v>
      </c>
    </row>
    <row r="4" customFormat="false" ht="13.8" hidden="false" customHeight="false" outlineLevel="0" collapsed="false">
      <c r="A4" s="55" t="s">
        <v>17</v>
      </c>
      <c r="B4" s="56"/>
      <c r="C4" s="57" t="n">
        <v>8720</v>
      </c>
      <c r="D4" s="57" t="n">
        <v>13420</v>
      </c>
      <c r="E4" s="57"/>
      <c r="F4" s="57"/>
      <c r="G4" s="58" t="n">
        <v>440</v>
      </c>
      <c r="H4" s="54" t="n">
        <f aca="false">SUM(B4:G4)</f>
        <v>22580</v>
      </c>
    </row>
    <row r="5" customFormat="false" ht="13.8" hidden="false" customHeight="false" outlineLevel="0" collapsed="false">
      <c r="A5" s="55" t="s">
        <v>25</v>
      </c>
      <c r="B5" s="56"/>
      <c r="C5" s="57"/>
      <c r="D5" s="57" t="n">
        <v>126540</v>
      </c>
      <c r="E5" s="57" t="n">
        <v>2760</v>
      </c>
      <c r="F5" s="57" t="n">
        <v>2940</v>
      </c>
      <c r="G5" s="58"/>
      <c r="H5" s="54" t="n">
        <f aca="false">SUM(B5:G5)</f>
        <v>132240</v>
      </c>
    </row>
    <row r="6" customFormat="false" ht="13.8" hidden="false" customHeight="false" outlineLevel="0" collapsed="false">
      <c r="A6" s="55" t="s">
        <v>15</v>
      </c>
      <c r="B6" s="56"/>
      <c r="C6" s="57"/>
      <c r="D6" s="57" t="n">
        <v>263440</v>
      </c>
      <c r="E6" s="57" t="n">
        <v>4620</v>
      </c>
      <c r="F6" s="57" t="n">
        <v>7540</v>
      </c>
      <c r="G6" s="58"/>
      <c r="H6" s="54" t="n">
        <f aca="false">SUM(B6:G6)</f>
        <v>275600</v>
      </c>
    </row>
    <row r="7" customFormat="false" ht="13.8" hidden="false" customHeight="false" outlineLevel="0" collapsed="false">
      <c r="A7" s="55" t="s">
        <v>20</v>
      </c>
      <c r="B7" s="56"/>
      <c r="C7" s="57"/>
      <c r="D7" s="57" t="n">
        <v>8160</v>
      </c>
      <c r="E7" s="57"/>
      <c r="F7" s="57"/>
      <c r="G7" s="58"/>
      <c r="H7" s="54" t="n">
        <f aca="false">SUM(B7:G7)</f>
        <v>8160</v>
      </c>
    </row>
    <row r="8" customFormat="false" ht="13.8" hidden="false" customHeight="false" outlineLevel="0" collapsed="false">
      <c r="A8" s="55" t="s">
        <v>26</v>
      </c>
      <c r="B8" s="56"/>
      <c r="C8" s="57"/>
      <c r="D8" s="57" t="n">
        <v>10740</v>
      </c>
      <c r="E8" s="57"/>
      <c r="F8" s="57"/>
      <c r="G8" s="58"/>
      <c r="H8" s="54" t="n">
        <f aca="false">SUM(B8:G8)</f>
        <v>10740</v>
      </c>
    </row>
    <row r="9" customFormat="false" ht="13.8" hidden="false" customHeight="false" outlineLevel="0" collapsed="false">
      <c r="A9" s="55" t="s">
        <v>19</v>
      </c>
      <c r="B9" s="56"/>
      <c r="C9" s="57" t="n">
        <v>3320</v>
      </c>
      <c r="D9" s="57" t="n">
        <v>3680</v>
      </c>
      <c r="E9" s="57"/>
      <c r="F9" s="57"/>
      <c r="G9" s="58" t="n">
        <v>4160</v>
      </c>
      <c r="H9" s="54" t="n">
        <f aca="false">SUM(B9:G9)</f>
        <v>11160</v>
      </c>
    </row>
    <row r="10" customFormat="false" ht="13.8" hidden="false" customHeight="false" outlineLevel="0" collapsed="false">
      <c r="A10" s="55" t="s">
        <v>14</v>
      </c>
      <c r="B10" s="56"/>
      <c r="C10" s="57"/>
      <c r="D10" s="57" t="n">
        <v>358920</v>
      </c>
      <c r="E10" s="57"/>
      <c r="F10" s="57"/>
      <c r="G10" s="58"/>
      <c r="H10" s="54" t="n">
        <f aca="false">SUM(B10:G10)</f>
        <v>358920</v>
      </c>
    </row>
    <row r="11" customFormat="false" ht="13.8" hidden="false" customHeight="false" outlineLevel="0" collapsed="false">
      <c r="A11" s="55" t="s">
        <v>10</v>
      </c>
      <c r="B11" s="56"/>
      <c r="C11" s="57"/>
      <c r="D11" s="57" t="n">
        <v>17140</v>
      </c>
      <c r="E11" s="57"/>
      <c r="F11" s="57"/>
      <c r="G11" s="58"/>
      <c r="H11" s="54" t="n">
        <f aca="false">SUM(B11:G11)</f>
        <v>17140</v>
      </c>
    </row>
    <row r="12" customFormat="false" ht="13.8" hidden="false" customHeight="false" outlineLevel="0" collapsed="false">
      <c r="A12" s="55" t="s">
        <v>21</v>
      </c>
      <c r="B12" s="56"/>
      <c r="C12" s="57"/>
      <c r="D12" s="57" t="n">
        <v>1040</v>
      </c>
      <c r="E12" s="57"/>
      <c r="F12" s="57"/>
      <c r="G12" s="58" t="n">
        <v>16720</v>
      </c>
      <c r="H12" s="54" t="n">
        <f aca="false">SUM(B12:G12)</f>
        <v>17760</v>
      </c>
    </row>
    <row r="13" customFormat="false" ht="13.8" hidden="false" customHeight="false" outlineLevel="0" collapsed="false">
      <c r="A13" s="55"/>
      <c r="B13" s="59"/>
      <c r="C13" s="60"/>
      <c r="D13" s="60"/>
      <c r="E13" s="60"/>
      <c r="F13" s="60"/>
      <c r="G13" s="61"/>
      <c r="H13" s="54" t="n">
        <f aca="false">SUM(B13:G13)</f>
        <v>0</v>
      </c>
      <c r="I13" s="45" t="s">
        <v>32</v>
      </c>
    </row>
    <row r="14" s="45" customFormat="true" ht="13.8" hidden="false" customHeight="false" outlineLevel="0" collapsed="false">
      <c r="B14" s="62"/>
      <c r="C14" s="62"/>
      <c r="D14" s="62"/>
      <c r="E14" s="62"/>
      <c r="F14" s="62"/>
      <c r="G14" s="62"/>
      <c r="H14" s="54" t="n">
        <f aca="false">SUM(B14:G14)</f>
        <v>0</v>
      </c>
    </row>
    <row r="15" customFormat="false" ht="13.8" hidden="false" customHeight="false" outlineLevel="0" collapsed="false">
      <c r="A15" s="49" t="s">
        <v>29</v>
      </c>
      <c r="B15" s="63" t="n">
        <f aca="false">SUM(B3:B14)</f>
        <v>0</v>
      </c>
      <c r="C15" s="63" t="n">
        <f aca="false">SUM(C3:C14)</f>
        <v>12040</v>
      </c>
      <c r="D15" s="63" t="n">
        <f aca="false">SUM(D3:D14)</f>
        <v>803080</v>
      </c>
      <c r="E15" s="63" t="n">
        <f aca="false">SUM(E3:E14)</f>
        <v>7380</v>
      </c>
      <c r="F15" s="63" t="n">
        <f aca="false">SUM(F3:F14)</f>
        <v>12500</v>
      </c>
      <c r="G15" s="63" t="n">
        <f aca="false">SUM(G3:G14)</f>
        <v>23840</v>
      </c>
      <c r="H15" s="64" t="n">
        <f aca="false">SUM(B15:G15)</f>
        <v>858840</v>
      </c>
    </row>
    <row r="16" customFormat="false" ht="15" hidden="false" customHeight="false" outlineLevel="0" collapsed="false">
      <c r="A16" s="65" t="s">
        <v>33</v>
      </c>
      <c r="B16" s="66" t="n">
        <f aca="false">+E79</f>
        <v>0</v>
      </c>
      <c r="C16" s="66" t="n">
        <f aca="false">+E73</f>
        <v>12040</v>
      </c>
      <c r="D16" s="66" t="n">
        <f aca="false">+F35</f>
        <v>803080</v>
      </c>
      <c r="E16" s="66" t="n">
        <f aca="false">+E64</f>
        <v>7380</v>
      </c>
      <c r="F16" s="66" t="n">
        <f aca="false">+E56</f>
        <v>12500</v>
      </c>
      <c r="G16" s="66" t="n">
        <f aca="false">+F46</f>
        <v>23840</v>
      </c>
      <c r="H16" s="67" t="n">
        <f aca="false">SUM(B16:G16)</f>
        <v>858840</v>
      </c>
    </row>
    <row r="17" customFormat="false" ht="14.5" hidden="false" customHeight="false" outlineLevel="0" collapsed="false">
      <c r="C17" s="68"/>
      <c r="D17" s="68"/>
      <c r="E17" s="68"/>
      <c r="F17" s="68"/>
      <c r="G17" s="68"/>
      <c r="H17" s="68"/>
    </row>
    <row r="18" customFormat="false" ht="14.5" hidden="false" customHeight="false" outlineLevel="0" collapsed="false">
      <c r="C18" s="68"/>
      <c r="D18" s="68" t="s">
        <v>34</v>
      </c>
      <c r="E18" s="68" t="s">
        <v>35</v>
      </c>
      <c r="F18" s="68" t="s">
        <v>36</v>
      </c>
      <c r="G18" s="68"/>
      <c r="H18" s="68"/>
    </row>
    <row r="19" customFormat="false" ht="14.5" hidden="false" customHeight="false" outlineLevel="0" collapsed="false">
      <c r="A19" s="69" t="s">
        <v>37</v>
      </c>
      <c r="B19" s="69"/>
      <c r="C19" s="69"/>
      <c r="D19" s="70" t="n">
        <f aca="false">+F35+F46+E56+E64+E73+E79</f>
        <v>858840</v>
      </c>
      <c r="E19" s="71" t="n">
        <f aca="false">+G35+G46+F56+F64+F73+F79</f>
        <v>858840</v>
      </c>
      <c r="F19" s="70" t="n">
        <f aca="false">+E19-D19</f>
        <v>0</v>
      </c>
      <c r="G19" s="68"/>
      <c r="H19" s="68"/>
    </row>
    <row r="20" customFormat="false" ht="14.5" hidden="false" customHeight="false" outlineLevel="0" collapsed="false">
      <c r="C20" s="68"/>
      <c r="D20" s="68"/>
      <c r="E20" s="68"/>
      <c r="F20" s="68"/>
      <c r="G20" s="68"/>
      <c r="H20" s="68"/>
    </row>
    <row r="21" s="45" customFormat="true" ht="14" hidden="false" customHeight="false" outlineLevel="0" collapsed="false"/>
    <row r="22" customFormat="false" ht="14.5" hidden="false" customHeight="false" outlineLevel="0" collapsed="false">
      <c r="A22" s="68" t="s">
        <v>12</v>
      </c>
      <c r="B22" s="68"/>
      <c r="C22" s="68"/>
      <c r="D22" s="68"/>
      <c r="E22" s="68"/>
      <c r="F22" s="68"/>
      <c r="G22" s="68"/>
      <c r="H22" s="68"/>
    </row>
    <row r="23" customFormat="false" ht="14.5" hidden="false" customHeight="false" outlineLevel="0" collapsed="false">
      <c r="A23" s="44" t="s">
        <v>38</v>
      </c>
      <c r="B23" s="45" t="s">
        <v>39</v>
      </c>
      <c r="C23" s="72" t="s">
        <v>40</v>
      </c>
      <c r="D23" s="73" t="s">
        <v>41</v>
      </c>
      <c r="E23" s="72" t="s">
        <v>42</v>
      </c>
      <c r="F23" s="74" t="s">
        <v>43</v>
      </c>
      <c r="G23" s="72" t="s">
        <v>35</v>
      </c>
      <c r="H23" s="72"/>
    </row>
    <row r="24" customFormat="false" ht="15" hidden="false" customHeight="false" outlineLevel="0" collapsed="false">
      <c r="A24" s="75" t="n">
        <v>109</v>
      </c>
      <c r="B24" s="76" t="s">
        <v>44</v>
      </c>
      <c r="C24" s="77" t="s">
        <v>23</v>
      </c>
      <c r="D24" s="78"/>
      <c r="E24" s="77"/>
      <c r="F24" s="79"/>
      <c r="G24" s="80" t="n">
        <f aca="false">IFERROR(INDEX($B$3:$G$14,MATCH(C24,$A$3:$A$14,0),MATCH($A$22,$B$2:$G$2,0)),0)</f>
        <v>0</v>
      </c>
      <c r="H24" s="81" t="str">
        <f aca="false">IF(G24=F24,"Bien",G24-F24)</f>
        <v>Bien</v>
      </c>
    </row>
    <row r="25" customFormat="false" ht="15" hidden="false" customHeight="false" outlineLevel="0" collapsed="false">
      <c r="A25" s="82" t="n">
        <v>333</v>
      </c>
      <c r="B25" s="83" t="s">
        <v>45</v>
      </c>
      <c r="C25" s="84" t="s">
        <v>17</v>
      </c>
      <c r="D25" s="85" t="n">
        <v>1</v>
      </c>
      <c r="E25" s="72" t="s">
        <v>46</v>
      </c>
      <c r="F25" s="74" t="n">
        <v>13420</v>
      </c>
      <c r="G25" s="86" t="n">
        <f aca="false">IFERROR(INDEX($B$3:$G$14,MATCH(C25,$A$3:$A$14,0),MATCH($A$22,$B$2:$G$2,0)),0)</f>
        <v>13420</v>
      </c>
      <c r="H25" s="87" t="str">
        <f aca="false">IF(G25=F25,"Bien",G25-F25)</f>
        <v>Bien</v>
      </c>
    </row>
    <row r="26" customFormat="false" ht="14.15" hidden="false" customHeight="false" outlineLevel="0" collapsed="false">
      <c r="A26" s="88" t="n">
        <v>320</v>
      </c>
      <c r="B26" s="89" t="s">
        <v>47</v>
      </c>
      <c r="C26" s="72" t="s">
        <v>25</v>
      </c>
      <c r="D26" s="85" t="s">
        <v>48</v>
      </c>
      <c r="E26" s="72" t="s">
        <v>46</v>
      </c>
      <c r="F26" s="74" t="n">
        <v>126540</v>
      </c>
      <c r="G26" s="86" t="n">
        <f aca="false">IFERROR(INDEX($B$3:$G$14,MATCH(C26,$A$3:$A$14,0),MATCH($A$22,$B$2:$G$2,0)),0)</f>
        <v>126540</v>
      </c>
      <c r="H26" s="87" t="str">
        <f aca="false">IF(G26=F26,"Bien",G26-F26)</f>
        <v>Bien</v>
      </c>
    </row>
    <row r="27" customFormat="false" ht="14.15" hidden="false" customHeight="false" outlineLevel="0" collapsed="false">
      <c r="A27" s="88" t="n">
        <v>321</v>
      </c>
      <c r="B27" s="89" t="s">
        <v>49</v>
      </c>
      <c r="C27" s="72" t="s">
        <v>15</v>
      </c>
      <c r="D27" s="85" t="s">
        <v>48</v>
      </c>
      <c r="E27" s="72" t="s">
        <v>46</v>
      </c>
      <c r="F27" s="74" t="n">
        <v>263440</v>
      </c>
      <c r="G27" s="86" t="n">
        <f aca="false">IFERROR(INDEX($B$3:$G$14,MATCH(C27,$A$3:$A$14,0),MATCH($A$22,$B$2:$G$2,0)),0)</f>
        <v>263440</v>
      </c>
      <c r="H27" s="87" t="str">
        <f aca="false">IF(G27=F27,"Bien",G27-F27)</f>
        <v>Bien</v>
      </c>
    </row>
    <row r="28" customFormat="false" ht="14.15" hidden="false" customHeight="false" outlineLevel="0" collapsed="false">
      <c r="A28" s="82" t="n">
        <v>316</v>
      </c>
      <c r="B28" s="45" t="s">
        <v>50</v>
      </c>
      <c r="C28" s="72" t="s">
        <v>20</v>
      </c>
      <c r="D28" s="85" t="s">
        <v>48</v>
      </c>
      <c r="E28" s="72" t="s">
        <v>46</v>
      </c>
      <c r="F28" s="0" t="n">
        <v>8160</v>
      </c>
      <c r="G28" s="86" t="n">
        <f aca="false">IFERROR(INDEX($B$3:$G$14,MATCH(C28,$A$3:$A$14,0),MATCH($A$22,$B$2:$G$2,0)),0)</f>
        <v>8160</v>
      </c>
      <c r="H28" s="87" t="str">
        <f aca="false">IF(G28=F28,"Bien",G28-F28)</f>
        <v>Bien</v>
      </c>
    </row>
    <row r="29" customFormat="false" ht="14.15" hidden="false" customHeight="false" outlineLevel="0" collapsed="false">
      <c r="A29" s="88" t="n">
        <v>196</v>
      </c>
      <c r="B29" s="89" t="s">
        <v>51</v>
      </c>
      <c r="C29" s="72" t="s">
        <v>26</v>
      </c>
      <c r="D29" s="85" t="s">
        <v>48</v>
      </c>
      <c r="E29" s="72" t="s">
        <v>46</v>
      </c>
      <c r="F29" s="0" t="n">
        <v>10740</v>
      </c>
      <c r="G29" s="86" t="n">
        <f aca="false">IFERROR(INDEX($B$3:$G$14,MATCH(C29,$A$3:$A$14,0),MATCH($A$22,$B$2:$G$2,0)),0)</f>
        <v>10740</v>
      </c>
      <c r="H29" s="87" t="str">
        <f aca="false">IF(G29=F29,"Bien",G29-F29)</f>
        <v>Bien</v>
      </c>
      <c r="I29" s="45" t="s">
        <v>52</v>
      </c>
    </row>
    <row r="30" customFormat="false" ht="14.15" hidden="false" customHeight="false" outlineLevel="0" collapsed="false">
      <c r="A30" s="82" t="n">
        <v>309</v>
      </c>
      <c r="B30" s="45" t="s">
        <v>53</v>
      </c>
      <c r="C30" s="72" t="s">
        <v>19</v>
      </c>
      <c r="D30" s="85" t="s">
        <v>48</v>
      </c>
      <c r="E30" s="72" t="s">
        <v>46</v>
      </c>
      <c r="F30" s="0" t="n">
        <v>3680</v>
      </c>
      <c r="G30" s="86" t="n">
        <f aca="false">IFERROR(INDEX($B$3:$G$14,MATCH(C30,$A$3:$A$14,0),MATCH($A$22,$B$2:$G$2,0)),0)</f>
        <v>3680</v>
      </c>
      <c r="H30" s="87" t="str">
        <f aca="false">IF(G30=F30,"Bien",G30-F30)</f>
        <v>Bien</v>
      </c>
      <c r="L30" s="82"/>
      <c r="M30" s="90"/>
      <c r="N30" s="83"/>
    </row>
    <row r="31" customFormat="false" ht="14.15" hidden="false" customHeight="false" outlineLevel="0" collapsed="false">
      <c r="A31" s="82" t="n">
        <v>318</v>
      </c>
      <c r="B31" s="89" t="s">
        <v>51</v>
      </c>
      <c r="C31" s="72" t="s">
        <v>14</v>
      </c>
      <c r="D31" s="85" t="s">
        <v>48</v>
      </c>
      <c r="E31" s="72" t="s">
        <v>46</v>
      </c>
      <c r="F31" s="0" t="n">
        <v>358920</v>
      </c>
      <c r="G31" s="86" t="n">
        <f aca="false">IFERROR(INDEX($B$3:$G$14,MATCH(C31,$A$3:$A$14,0),MATCH($A$22,$B$2:$G$2,0)),0)</f>
        <v>358920</v>
      </c>
      <c r="H31" s="87" t="str">
        <f aca="false">IF(G31=F31,"Bien",G31-F31)</f>
        <v>Bien</v>
      </c>
      <c r="L31" s="82"/>
      <c r="M31" s="83"/>
      <c r="N31" s="83"/>
    </row>
    <row r="32" customFormat="false" ht="14.15" hidden="false" customHeight="false" outlineLevel="0" collapsed="false">
      <c r="A32" s="82" t="n">
        <v>310</v>
      </c>
      <c r="B32" s="89" t="s">
        <v>54</v>
      </c>
      <c r="C32" s="83" t="s">
        <v>10</v>
      </c>
      <c r="D32" s="85" t="n">
        <v>1</v>
      </c>
      <c r="E32" s="72" t="s">
        <v>46</v>
      </c>
      <c r="F32" s="0" t="n">
        <v>17140</v>
      </c>
      <c r="G32" s="86" t="n">
        <f aca="false">IFERROR(INDEX($B$3:$G$14,MATCH(C32,$A$3:$A$14,0),MATCH($A$22,$B$2:$G$2,0)),0)</f>
        <v>17140</v>
      </c>
      <c r="H32" s="87" t="str">
        <f aca="false">IF(G32=F32,"Bien",G32-F32)</f>
        <v>Bien</v>
      </c>
      <c r="N32" s="89"/>
    </row>
    <row r="33" customFormat="false" ht="14.15" hidden="false" customHeight="false" outlineLevel="0" collapsed="false">
      <c r="A33" s="82" t="n">
        <v>296</v>
      </c>
      <c r="B33" s="83" t="s">
        <v>55</v>
      </c>
      <c r="C33" s="83" t="s">
        <v>21</v>
      </c>
      <c r="D33" s="85" t="s">
        <v>48</v>
      </c>
      <c r="E33" s="72" t="s">
        <v>56</v>
      </c>
      <c r="F33" s="91" t="n">
        <v>1040</v>
      </c>
      <c r="G33" s="86" t="n">
        <f aca="false">IFERROR(INDEX($B$3:$G$14,MATCH(C33,$A$3:$A$14,0),MATCH($A$22,$B$2:$G$2,0)),0)</f>
        <v>1040</v>
      </c>
      <c r="H33" s="87" t="str">
        <f aca="false">IF(G33=F33,"Bien",G33-F33)</f>
        <v>Bien</v>
      </c>
      <c r="N33" s="89"/>
    </row>
    <row r="34" customFormat="false" ht="15" hidden="false" customHeight="false" outlineLevel="0" collapsed="false">
      <c r="A34" s="92"/>
      <c r="B34" s="93" t="s">
        <v>44</v>
      </c>
      <c r="C34" s="93" t="s">
        <v>57</v>
      </c>
      <c r="D34" s="94"/>
      <c r="E34" s="95"/>
      <c r="F34" s="96"/>
      <c r="G34" s="97" t="n">
        <f aca="false">IFERROR(INDEX($B$3:$G$14,MATCH(C34,$A$3:$A$14,0),MATCH($A$22,$B$2:$G$2,0)),0)</f>
        <v>0</v>
      </c>
      <c r="H34" s="98" t="str">
        <f aca="false">IF(G34=F34,"Bien",G34-F34)</f>
        <v>Bien</v>
      </c>
      <c r="I34" s="45" t="s">
        <v>58</v>
      </c>
      <c r="N34" s="89"/>
    </row>
    <row r="35" customFormat="false" ht="13.8" hidden="false" customHeight="false" outlineLevel="0" collapsed="false">
      <c r="C35" s="72"/>
      <c r="D35" s="73"/>
      <c r="E35" s="72"/>
      <c r="F35" s="99" t="n">
        <f aca="false">SUM(F24:F34)</f>
        <v>803080</v>
      </c>
      <c r="G35" s="100" t="n">
        <f aca="false">SUM(G24:G34)</f>
        <v>803080</v>
      </c>
      <c r="H35" s="72"/>
      <c r="I35" s="101" t="str">
        <f aca="false">IF(G35=D15,"OK","Revisar")</f>
        <v>OK</v>
      </c>
      <c r="L35" s="82"/>
      <c r="N35" s="72"/>
    </row>
    <row r="36" customFormat="false" ht="14.5" hidden="false" customHeight="false" outlineLevel="0" collapsed="false">
      <c r="A36" s="68" t="str">
        <f aca="false">+G2</f>
        <v>VOLUMINOSOS</v>
      </c>
      <c r="B36" s="68"/>
      <c r="C36" s="68"/>
      <c r="D36" s="68"/>
      <c r="E36" s="68"/>
      <c r="F36" s="68"/>
      <c r="G36" s="68"/>
      <c r="H36" s="68"/>
      <c r="L36" s="82"/>
      <c r="N36" s="72"/>
    </row>
    <row r="37" customFormat="false" ht="14.5" hidden="false" customHeight="false" outlineLevel="0" collapsed="false">
      <c r="C37" s="72" t="s">
        <v>40</v>
      </c>
      <c r="D37" s="73" t="s">
        <v>59</v>
      </c>
      <c r="E37" s="72" t="s">
        <v>60</v>
      </c>
      <c r="F37" s="99" t="s">
        <v>43</v>
      </c>
      <c r="G37" s="72" t="s">
        <v>35</v>
      </c>
      <c r="H37" s="72"/>
    </row>
    <row r="38" customFormat="false" ht="15" hidden="false" customHeight="false" outlineLevel="0" collapsed="false">
      <c r="A38" s="75" t="n">
        <v>109</v>
      </c>
      <c r="B38" s="76" t="s">
        <v>44</v>
      </c>
      <c r="C38" s="77" t="s">
        <v>23</v>
      </c>
      <c r="D38" s="102" t="n">
        <v>2</v>
      </c>
      <c r="E38" s="79" t="n">
        <v>1</v>
      </c>
      <c r="F38" s="79" t="n">
        <v>2520</v>
      </c>
      <c r="G38" s="103" t="n">
        <f aca="false">IFERROR(INDEX($B$3:$G$14,MATCH(C38,$A$3:$A$14,0),MATCH($A$36,$B$2:$G$2,0)),0)</f>
        <v>2520</v>
      </c>
      <c r="H38" s="104" t="str">
        <f aca="false">IF(G38=F38,"Bien",G38-F38)</f>
        <v>Bien</v>
      </c>
    </row>
    <row r="39" customFormat="false" ht="15" hidden="false" customHeight="false" outlineLevel="0" collapsed="false">
      <c r="A39" s="82" t="n">
        <v>333</v>
      </c>
      <c r="B39" s="45" t="s">
        <v>45</v>
      </c>
      <c r="C39" s="72" t="s">
        <v>17</v>
      </c>
      <c r="D39" s="105" t="n">
        <v>2</v>
      </c>
      <c r="E39" s="74" t="n">
        <v>1</v>
      </c>
      <c r="F39" s="74" t="n">
        <v>440</v>
      </c>
      <c r="G39" s="106" t="n">
        <f aca="false">IFERROR(INDEX($B$3:$G$14,MATCH(C39,$A$3:$A$14,0),MATCH($A$36,$B$2:$G$2,0)),0)</f>
        <v>440</v>
      </c>
      <c r="H39" s="107" t="str">
        <f aca="false">IF(G39=F39,"Bien",G39-F39)</f>
        <v>Bien</v>
      </c>
    </row>
    <row r="40" customFormat="false" ht="15" hidden="false" customHeight="false" outlineLevel="0" collapsed="false">
      <c r="A40" s="82" t="n">
        <v>316</v>
      </c>
      <c r="B40" s="83" t="s">
        <v>50</v>
      </c>
      <c r="C40" s="83" t="s">
        <v>20</v>
      </c>
      <c r="D40" s="105"/>
      <c r="E40" s="74"/>
      <c r="F40" s="74"/>
      <c r="G40" s="106" t="n">
        <f aca="false">IFERROR(INDEX($B$3:$G$14,MATCH(C40,$A$3:$A$14,0),MATCH($A$36,$B$2:$G$2,0)),0)</f>
        <v>0</v>
      </c>
      <c r="H40" s="108" t="str">
        <f aca="false">IF(G40=F40,"Bien",G40-F40)</f>
        <v>Bien</v>
      </c>
    </row>
    <row r="41" customFormat="false" ht="14.9" hidden="false" customHeight="false" outlineLevel="0" collapsed="false">
      <c r="A41" s="82" t="n">
        <v>309</v>
      </c>
      <c r="B41" s="45" t="s">
        <v>53</v>
      </c>
      <c r="C41" s="72" t="s">
        <v>19</v>
      </c>
      <c r="D41" s="105" t="n">
        <v>2</v>
      </c>
      <c r="E41" s="74" t="n">
        <v>6</v>
      </c>
      <c r="F41" s="74" t="n">
        <v>4160</v>
      </c>
      <c r="G41" s="106" t="n">
        <f aca="false">IFERROR(INDEX($B$3:$G$14,MATCH(C41,$A$3:$A$14,0),MATCH($A$36,$B$2:$G$2,0)),0)</f>
        <v>4160</v>
      </c>
      <c r="H41" s="107" t="str">
        <f aca="false">IF(G41=F41,"Bien",G41-F41)</f>
        <v>Bien</v>
      </c>
    </row>
    <row r="42" customFormat="false" ht="14.9" hidden="false" customHeight="false" outlineLevel="0" collapsed="false">
      <c r="A42" s="82" t="n">
        <v>296</v>
      </c>
      <c r="B42" s="83" t="s">
        <v>55</v>
      </c>
      <c r="C42" s="83" t="s">
        <v>21</v>
      </c>
      <c r="D42" s="109" t="n">
        <v>2</v>
      </c>
      <c r="E42" s="110" t="n">
        <v>19</v>
      </c>
      <c r="F42" s="110" t="n">
        <v>16720</v>
      </c>
      <c r="G42" s="106" t="n">
        <f aca="false">IFERROR(INDEX($B$3:$G$14,MATCH(C42,$A$3:$A$14,0),MATCH($A$36,$B$2:$G$2,0)),0)</f>
        <v>16720</v>
      </c>
      <c r="H42" s="107" t="str">
        <f aca="false">IF(G42=F42,"Bien",G42-F42)</f>
        <v>Bien</v>
      </c>
    </row>
    <row r="43" customFormat="false" ht="14.9" hidden="false" customHeight="false" outlineLevel="0" collapsed="false">
      <c r="A43" s="82"/>
      <c r="B43" s="111" t="s">
        <v>44</v>
      </c>
      <c r="C43" s="111" t="s">
        <v>57</v>
      </c>
      <c r="D43" s="109"/>
      <c r="E43" s="110"/>
      <c r="F43" s="110"/>
      <c r="G43" s="106" t="n">
        <f aca="false">IFERROR(INDEX($B$3:$G$14,MATCH(C43,$A$3:$A$14,0),MATCH($A$36,$B$2:$G$2,0)),0)</f>
        <v>0</v>
      </c>
      <c r="H43" s="108" t="str">
        <f aca="false">IF(G43=F43,"Bien",G43-F43)</f>
        <v>Bien</v>
      </c>
    </row>
    <row r="44" customFormat="false" ht="14.9" hidden="false" customHeight="false" outlineLevel="0" collapsed="false">
      <c r="A44" s="82"/>
      <c r="B44" s="83"/>
      <c r="C44" s="111" t="s">
        <v>61</v>
      </c>
      <c r="D44" s="109"/>
      <c r="E44" s="110"/>
      <c r="F44" s="110"/>
      <c r="G44" s="106" t="n">
        <f aca="false">IFERROR(INDEX($B$3:$G$14,MATCH(C44,$A$3:$A$14,0),MATCH($A$36,$B$2:$G$2,0)),0)</f>
        <v>0</v>
      </c>
      <c r="H44" s="108" t="str">
        <f aca="false">IF(G44=F44,"Bien",G44-F44)</f>
        <v>Bien</v>
      </c>
    </row>
    <row r="45" customFormat="false" ht="14.9" hidden="false" customHeight="false" outlineLevel="0" collapsed="false">
      <c r="A45" s="92"/>
      <c r="B45" s="112" t="s">
        <v>62</v>
      </c>
      <c r="C45" s="113" t="s">
        <v>63</v>
      </c>
      <c r="D45" s="114"/>
      <c r="E45" s="115"/>
      <c r="F45" s="115"/>
      <c r="G45" s="116" t="n">
        <f aca="false">IFERROR(INDEX($B$3:$G$14,MATCH(C45,$A$3:$A$14,0),MATCH($A$36,$B$2:$G$2,0)),0)</f>
        <v>0</v>
      </c>
      <c r="H45" s="117" t="str">
        <f aca="false">IF(G45=F45,"Bien",G45-F45)</f>
        <v>Bien</v>
      </c>
    </row>
    <row r="46" s="45" customFormat="true" ht="13.8" hidden="false" customHeight="false" outlineLevel="0" collapsed="false">
      <c r="D46" s="73"/>
      <c r="E46" s="72"/>
      <c r="F46" s="99" t="n">
        <f aca="false">SUM(F38:F45)</f>
        <v>23840</v>
      </c>
      <c r="G46" s="100" t="n">
        <f aca="false">SUM(G38:G45)</f>
        <v>23840</v>
      </c>
      <c r="H46" s="72"/>
      <c r="I46" s="101" t="str">
        <f aca="false">+IF(G46=G15,"OK","Revisar")</f>
        <v>OK</v>
      </c>
    </row>
    <row r="47" customFormat="false" ht="14.5" hidden="false" customHeight="false" outlineLevel="0" collapsed="false">
      <c r="C47" s="72"/>
      <c r="D47" s="73"/>
      <c r="E47" s="72"/>
      <c r="F47" s="99"/>
      <c r="G47" s="100"/>
      <c r="H47" s="72"/>
    </row>
    <row r="48" customFormat="false" ht="14.5" hidden="false" customHeight="false" outlineLevel="0" collapsed="false">
      <c r="A48" s="68" t="s">
        <v>24</v>
      </c>
      <c r="B48" s="68"/>
      <c r="C48" s="68"/>
      <c r="D48" s="68"/>
      <c r="E48" s="68"/>
      <c r="F48" s="68"/>
      <c r="G48" s="68"/>
      <c r="H48" s="68"/>
    </row>
    <row r="49" customFormat="false" ht="13.8" hidden="false" customHeight="false" outlineLevel="0" collapsed="false">
      <c r="C49" s="118" t="s">
        <v>40</v>
      </c>
      <c r="D49" s="119" t="s">
        <v>60</v>
      </c>
      <c r="E49" s="120" t="s">
        <v>43</v>
      </c>
      <c r="F49" s="121" t="s">
        <v>35</v>
      </c>
      <c r="G49" s="72"/>
      <c r="H49" s="72"/>
    </row>
    <row r="50" customFormat="false" ht="15" hidden="false" customHeight="false" outlineLevel="0" collapsed="false">
      <c r="A50" s="122" t="n">
        <v>109</v>
      </c>
      <c r="B50" s="123" t="s">
        <v>44</v>
      </c>
      <c r="C50" s="77" t="s">
        <v>23</v>
      </c>
      <c r="D50" s="124" t="n">
        <v>1</v>
      </c>
      <c r="E50" s="125" t="n">
        <v>2020</v>
      </c>
      <c r="F50" s="126" t="n">
        <f aca="false">IFERROR(INDEX($B$3:$G$14,MATCH(C50,$A$3:$A$14,0),MATCH($A$48,$B$2:$G$2,0)),0)</f>
        <v>2020</v>
      </c>
      <c r="G50" s="127" t="str">
        <f aca="false">IF(F50=E50,"Bien",F50-E50)</f>
        <v>Bien</v>
      </c>
      <c r="H50" s="72"/>
    </row>
    <row r="51" customFormat="false" ht="15" hidden="false" customHeight="false" outlineLevel="0" collapsed="false">
      <c r="A51" s="128" t="n">
        <v>320</v>
      </c>
      <c r="B51" s="129" t="s">
        <v>47</v>
      </c>
      <c r="C51" s="72" t="s">
        <v>25</v>
      </c>
      <c r="D51" s="130" t="n">
        <v>1</v>
      </c>
      <c r="E51" s="131" t="n">
        <v>2940</v>
      </c>
      <c r="F51" s="132" t="n">
        <f aca="false">IFERROR(INDEX($B$3:$G$14,MATCH(C51,$A$3:$A$14,0),MATCH($A$48,$B$2:$G$2,0)),0)</f>
        <v>2940</v>
      </c>
      <c r="G51" s="108" t="str">
        <f aca="false">IF(F51=E51,"Bien",F51-E51)</f>
        <v>Bien</v>
      </c>
      <c r="H51" s="72"/>
    </row>
    <row r="52" customFormat="false" ht="15" hidden="false" customHeight="false" outlineLevel="0" collapsed="false">
      <c r="A52" s="128" t="n">
        <v>321</v>
      </c>
      <c r="B52" s="129" t="s">
        <v>49</v>
      </c>
      <c r="C52" s="72" t="s">
        <v>15</v>
      </c>
      <c r="D52" s="130" t="n">
        <v>3</v>
      </c>
      <c r="E52" s="131" t="n">
        <v>7540</v>
      </c>
      <c r="F52" s="132" t="n">
        <f aca="false">IFERROR(INDEX($B$3:$G$14,MATCH(C52,$A$3:$A$14,0),MATCH($A$48,$B$2:$G$2,0)),0)</f>
        <v>7540</v>
      </c>
      <c r="G52" s="108" t="str">
        <f aca="false">IF(F52=E52,"Bien",F52-E52)</f>
        <v>Bien</v>
      </c>
      <c r="H52" s="72"/>
    </row>
    <row r="53" customFormat="false" ht="15" hidden="false" customHeight="false" outlineLevel="0" collapsed="false">
      <c r="A53" s="133" t="n">
        <v>296</v>
      </c>
      <c r="B53" s="134" t="s">
        <v>55</v>
      </c>
      <c r="C53" s="72" t="s">
        <v>21</v>
      </c>
      <c r="D53" s="130"/>
      <c r="E53" s="135"/>
      <c r="F53" s="132" t="n">
        <f aca="false">IFERROR(INDEX($B$3:$G$14,MATCH(C53,$A$3:$A$14,0),MATCH($A$48,$B$2:$G$2,0)),0)</f>
        <v>0</v>
      </c>
      <c r="G53" s="108" t="str">
        <f aca="false">IF(F53=E53,"Bien",F53-E53)</f>
        <v>Bien</v>
      </c>
      <c r="H53" s="72"/>
    </row>
    <row r="54" customFormat="false" ht="15" hidden="false" customHeight="false" outlineLevel="0" collapsed="false">
      <c r="A54" s="128"/>
      <c r="B54" s="136"/>
      <c r="C54" s="137" t="s">
        <v>61</v>
      </c>
      <c r="D54" s="138"/>
      <c r="E54" s="139"/>
      <c r="F54" s="132" t="n">
        <f aca="false">IFERROR(INDEX($B$3:$G$14,MATCH(C54,$A$3:$A$14,0),MATCH($A$48,$B$2:$G$2,0)),0)</f>
        <v>0</v>
      </c>
      <c r="G54" s="108" t="str">
        <f aca="false">IF(F54=E54,"Bien",F54-E54)</f>
        <v>Bien</v>
      </c>
      <c r="H54" s="72"/>
    </row>
    <row r="55" customFormat="false" ht="15" hidden="false" customHeight="false" outlineLevel="0" collapsed="false">
      <c r="A55" s="140"/>
      <c r="B55" s="141" t="s">
        <v>44</v>
      </c>
      <c r="C55" s="93" t="s">
        <v>57</v>
      </c>
      <c r="D55" s="142"/>
      <c r="E55" s="143"/>
      <c r="F55" s="144" t="n">
        <f aca="false">IFERROR(INDEX($B$3:$G$14,MATCH(C55,$A$3:$A$14,0),MATCH($A$48,$B$2:$G$2,0)),0)</f>
        <v>0</v>
      </c>
      <c r="G55" s="117" t="str">
        <f aca="false">IF(F55=E55,"Bien",F55-E55)</f>
        <v>Bien</v>
      </c>
      <c r="H55" s="72"/>
    </row>
    <row r="56" customFormat="false" ht="13.8" hidden="false" customHeight="false" outlineLevel="0" collapsed="false">
      <c r="C56" s="72"/>
      <c r="D56" s="130"/>
      <c r="E56" s="100" t="n">
        <f aca="false">SUM(E50:E55)</f>
        <v>12500</v>
      </c>
      <c r="F56" s="100" t="n">
        <f aca="false">SUM(F50:F55)</f>
        <v>12500</v>
      </c>
      <c r="G56" s="72"/>
      <c r="H56" s="72"/>
      <c r="I56" s="101" t="str">
        <f aca="false">+IF(F56=F15,"OK","Revisar")</f>
        <v>OK</v>
      </c>
    </row>
    <row r="57" customFormat="false" ht="14.5" hidden="false" customHeight="false" outlineLevel="0" collapsed="false">
      <c r="A57" s="68" t="s">
        <v>16</v>
      </c>
      <c r="B57" s="68"/>
      <c r="C57" s="68"/>
      <c r="D57" s="68"/>
      <c r="E57" s="68"/>
      <c r="F57" s="68"/>
      <c r="G57" s="68"/>
      <c r="H57" s="72"/>
    </row>
    <row r="58" customFormat="false" ht="14.5" hidden="false" customHeight="false" outlineLevel="0" collapsed="false">
      <c r="C58" s="72" t="s">
        <v>40</v>
      </c>
      <c r="D58" s="73" t="s">
        <v>60</v>
      </c>
      <c r="E58" s="72" t="s">
        <v>43</v>
      </c>
      <c r="F58" s="99" t="s">
        <v>35</v>
      </c>
      <c r="G58" s="72"/>
      <c r="H58" s="72"/>
    </row>
    <row r="59" customFormat="false" ht="15" hidden="false" customHeight="false" outlineLevel="0" collapsed="false">
      <c r="A59" s="145" t="n">
        <v>109</v>
      </c>
      <c r="B59" s="146" t="s">
        <v>44</v>
      </c>
      <c r="C59" s="147" t="s">
        <v>23</v>
      </c>
      <c r="D59" s="148"/>
      <c r="E59" s="149"/>
      <c r="F59" s="150" t="n">
        <f aca="false">IFERROR(INDEX($B$3:$G$14,MATCH(C59,$A$3:$A$14,0),MATCH($A$57,$B$2:$G$2,0)),0)</f>
        <v>0</v>
      </c>
      <c r="G59" s="151" t="str">
        <f aca="false">IF(F59=E59,"Bien",F59-E59)</f>
        <v>Bien</v>
      </c>
      <c r="H59" s="72"/>
    </row>
    <row r="60" customFormat="false" ht="15" hidden="false" customHeight="false" outlineLevel="0" collapsed="false">
      <c r="A60" s="152" t="n">
        <v>320</v>
      </c>
      <c r="B60" s="89" t="s">
        <v>47</v>
      </c>
      <c r="C60" s="72" t="s">
        <v>25</v>
      </c>
      <c r="D60" s="138" t="n">
        <v>1</v>
      </c>
      <c r="E60" s="139" t="n">
        <v>2760</v>
      </c>
      <c r="F60" s="86" t="n">
        <f aca="false">IFERROR(INDEX($B$3:$G$14,MATCH(C60,$A$3:$A$14,0),MATCH($A$57,$B$2:$G$2,0)),0)</f>
        <v>2760</v>
      </c>
      <c r="G60" s="153" t="str">
        <f aca="false">IF(F60=E60,"Bien",F60-E60)</f>
        <v>Bien</v>
      </c>
      <c r="H60" s="72"/>
    </row>
    <row r="61" customFormat="false" ht="15" hidden="false" customHeight="false" outlineLevel="0" collapsed="false">
      <c r="A61" s="152" t="n">
        <v>321</v>
      </c>
      <c r="B61" s="89" t="s">
        <v>49</v>
      </c>
      <c r="C61" s="72" t="s">
        <v>15</v>
      </c>
      <c r="D61" s="138" t="n">
        <v>3</v>
      </c>
      <c r="E61" s="139" t="n">
        <v>4620</v>
      </c>
      <c r="F61" s="86" t="n">
        <f aca="false">IFERROR(INDEX($B$3:$G$14,MATCH(C61,$A$3:$A$14,0),MATCH($A$57,$B$2:$G$2,0)),0)</f>
        <v>4620</v>
      </c>
      <c r="G61" s="153" t="str">
        <f aca="false">IF(F61=E61,"Bien",F61-E61)</f>
        <v>Bien</v>
      </c>
      <c r="H61" s="72"/>
    </row>
    <row r="62" customFormat="false" ht="15" hidden="false" customHeight="false" outlineLevel="0" collapsed="false">
      <c r="A62" s="154" t="n">
        <v>296</v>
      </c>
      <c r="B62" s="45" t="s">
        <v>55</v>
      </c>
      <c r="C62" s="72" t="s">
        <v>21</v>
      </c>
      <c r="D62" s="138"/>
      <c r="E62" s="139"/>
      <c r="F62" s="86" t="n">
        <f aca="false">IFERROR(INDEX($B$3:$G$14,MATCH(C62,$A$3:$A$14,0),MATCH($A$57,$B$2:$G$2,0)),0)</f>
        <v>0</v>
      </c>
      <c r="G62" s="153" t="str">
        <f aca="false">IF(F62=E62,"Bien",F62-E62)</f>
        <v>Bien</v>
      </c>
      <c r="H62" s="72"/>
    </row>
    <row r="63" customFormat="false" ht="15" hidden="false" customHeight="false" outlineLevel="0" collapsed="false">
      <c r="A63" s="155"/>
      <c r="B63" s="156"/>
      <c r="C63" s="157" t="s">
        <v>61</v>
      </c>
      <c r="D63" s="158"/>
      <c r="E63" s="159"/>
      <c r="F63" s="160" t="n">
        <f aca="false">IFERROR(INDEX($B$3:$G$14,MATCH(C63,$A$3:$A$14,0),MATCH($A$57,$B$2:$G$2,0)),0)</f>
        <v>0</v>
      </c>
      <c r="G63" s="98" t="str">
        <f aca="false">IF(F63=E63,"Bien",F63-E63)</f>
        <v>Bien</v>
      </c>
      <c r="H63" s="72"/>
    </row>
    <row r="64" customFormat="false" ht="13.8" hidden="false" customHeight="false" outlineLevel="0" collapsed="false">
      <c r="C64" s="72"/>
      <c r="D64" s="130"/>
      <c r="E64" s="100" t="n">
        <f aca="false">SUM(E59:E63)</f>
        <v>7380</v>
      </c>
      <c r="F64" s="100" t="n">
        <f aca="false">SUM(F59:F63)</f>
        <v>7380</v>
      </c>
      <c r="G64" s="72"/>
      <c r="H64" s="72"/>
      <c r="I64" s="101" t="str">
        <f aca="false">+IF(F64=E15,"OK","Revisar")</f>
        <v>OK</v>
      </c>
    </row>
    <row r="65" customFormat="false" ht="14.5" hidden="false" customHeight="false" outlineLevel="0" collapsed="false">
      <c r="A65" s="68" t="s">
        <v>18</v>
      </c>
      <c r="B65" s="68"/>
      <c r="C65" s="68"/>
      <c r="D65" s="68"/>
      <c r="E65" s="68"/>
      <c r="F65" s="68"/>
      <c r="G65" s="68"/>
      <c r="H65" s="72"/>
    </row>
    <row r="66" customFormat="false" ht="14.5" hidden="false" customHeight="false" outlineLevel="0" collapsed="false">
      <c r="C66" s="72" t="s">
        <v>40</v>
      </c>
      <c r="D66" s="73" t="s">
        <v>60</v>
      </c>
      <c r="E66" s="72" t="s">
        <v>43</v>
      </c>
      <c r="F66" s="99" t="s">
        <v>35</v>
      </c>
      <c r="G66" s="72"/>
      <c r="H66" s="72"/>
    </row>
    <row r="67" customFormat="false" ht="15" hidden="false" customHeight="false" outlineLevel="0" collapsed="false">
      <c r="A67" s="145" t="n">
        <v>109</v>
      </c>
      <c r="B67" s="146" t="s">
        <v>44</v>
      </c>
      <c r="C67" s="147" t="s">
        <v>23</v>
      </c>
      <c r="D67" s="161"/>
      <c r="E67" s="149"/>
      <c r="F67" s="150" t="n">
        <f aca="false">IFERROR(INDEX($B$3:$G$14,MATCH(C67,$A$3:$A$14,0),MATCH($A$65,$B$2:$G$2,0)),0)</f>
        <v>0</v>
      </c>
      <c r="G67" s="151" t="str">
        <f aca="false">IF(F67=E67,"Bien",F67-E67)</f>
        <v>Bien</v>
      </c>
      <c r="H67" s="72"/>
    </row>
    <row r="68" customFormat="false" ht="15" hidden="false" customHeight="false" outlineLevel="0" collapsed="false">
      <c r="A68" s="154" t="n">
        <v>333</v>
      </c>
      <c r="B68" s="83" t="s">
        <v>45</v>
      </c>
      <c r="C68" s="83" t="s">
        <v>17</v>
      </c>
      <c r="D68" s="138" t="n">
        <v>15</v>
      </c>
      <c r="E68" s="162" t="n">
        <v>8720</v>
      </c>
      <c r="F68" s="86" t="n">
        <f aca="false">IFERROR(INDEX($B$3:$G$14,MATCH(C68,$A$3:$A$14,0),MATCH($A$65,$B$2:$G$2,0)),0)</f>
        <v>8720</v>
      </c>
      <c r="G68" s="153" t="str">
        <f aca="false">IF(F68=E68,"Bien",F68-E68)</f>
        <v>Bien</v>
      </c>
      <c r="H68" s="72"/>
    </row>
    <row r="69" customFormat="false" ht="15" hidden="false" customHeight="false" outlineLevel="0" collapsed="false">
      <c r="A69" s="163"/>
      <c r="B69" s="45" t="s">
        <v>62</v>
      </c>
      <c r="C69" s="89" t="s">
        <v>63</v>
      </c>
      <c r="D69" s="135"/>
      <c r="E69" s="135"/>
      <c r="F69" s="86" t="n">
        <f aca="false">IFERROR(INDEX($B$3:$G$14,MATCH(C69,$A$3:$A$14,0),MATCH($A$65,$B$2:$G$2,0)),0)</f>
        <v>0</v>
      </c>
      <c r="G69" s="153" t="str">
        <f aca="false">IF(F69=E69,"Bien",F69-E69)</f>
        <v>Bien</v>
      </c>
      <c r="H69" s="72"/>
    </row>
    <row r="70" customFormat="false" ht="15" hidden="false" customHeight="false" outlineLevel="0" collapsed="false">
      <c r="A70" s="154" t="n">
        <v>316</v>
      </c>
      <c r="B70" s="45" t="s">
        <v>50</v>
      </c>
      <c r="C70" s="72" t="s">
        <v>20</v>
      </c>
      <c r="D70" s="135"/>
      <c r="E70" s="135"/>
      <c r="F70" s="86" t="n">
        <f aca="false">IFERROR(INDEX($B$3:$G$14,MATCH(C70,$A$3:$A$14,0),MATCH($A$65,$B$2:$G$2,0)),0)</f>
        <v>0</v>
      </c>
      <c r="G70" s="153" t="str">
        <f aca="false">IF(F70=E70,"Bien",F70-E70)</f>
        <v>Bien</v>
      </c>
      <c r="H70" s="72"/>
    </row>
    <row r="71" customFormat="false" ht="15" hidden="false" customHeight="false" outlineLevel="0" collapsed="false">
      <c r="A71" s="154" t="n">
        <v>309</v>
      </c>
      <c r="B71" s="45" t="s">
        <v>53</v>
      </c>
      <c r="C71" s="72" t="s">
        <v>19</v>
      </c>
      <c r="D71" s="130" t="n">
        <v>6</v>
      </c>
      <c r="E71" s="131" t="n">
        <v>3320</v>
      </c>
      <c r="F71" s="86" t="n">
        <f aca="false">IFERROR(INDEX($B$3:$G$14,MATCH(C71,$A$3:$A$14,0),MATCH($A$65,$B$2:$G$2,0)),0)</f>
        <v>3320</v>
      </c>
      <c r="G71" s="153" t="str">
        <f aca="false">IF(F71=E71,"Bien",F71-E71)</f>
        <v>Bien</v>
      </c>
      <c r="H71" s="72"/>
    </row>
    <row r="72" customFormat="false" ht="15" hidden="false" customHeight="false" outlineLevel="0" collapsed="false">
      <c r="A72" s="164" t="n">
        <v>296</v>
      </c>
      <c r="B72" s="156" t="s">
        <v>55</v>
      </c>
      <c r="C72" s="156" t="s">
        <v>21</v>
      </c>
      <c r="D72" s="158"/>
      <c r="E72" s="165"/>
      <c r="F72" s="160" t="n">
        <f aca="false">IFERROR(INDEX($B$3:$G$14,MATCH(C72,$A$3:$A$14,0),MATCH($A$65,$B$2:$G$2,0)),0)</f>
        <v>0</v>
      </c>
      <c r="G72" s="98" t="str">
        <f aca="false">IF(F72=E72,"Bien",F72-E72)</f>
        <v>Bien</v>
      </c>
      <c r="H72" s="72"/>
    </row>
    <row r="73" customFormat="false" ht="13.8" hidden="false" customHeight="false" outlineLevel="0" collapsed="false">
      <c r="C73" s="72"/>
      <c r="D73" s="130"/>
      <c r="E73" s="100" t="n">
        <f aca="false">SUM(E67:E72)</f>
        <v>12040</v>
      </c>
      <c r="F73" s="100" t="n">
        <f aca="false">SUM(F67:F72)</f>
        <v>12040</v>
      </c>
      <c r="G73" s="72"/>
      <c r="H73" s="72"/>
      <c r="I73" s="101" t="str">
        <f aca="false">+IF(F73=C15,"OK","Revisar")</f>
        <v>OK</v>
      </c>
    </row>
    <row r="74" customFormat="false" ht="14.5" hidden="false" customHeight="false" outlineLevel="0" collapsed="false">
      <c r="A74" s="68" t="s">
        <v>30</v>
      </c>
      <c r="B74" s="68"/>
      <c r="C74" s="68"/>
      <c r="D74" s="68"/>
      <c r="E74" s="68"/>
      <c r="F74" s="68"/>
      <c r="G74" s="68"/>
      <c r="H74" s="72"/>
    </row>
    <row r="75" customFormat="false" ht="14.5" hidden="false" customHeight="false" outlineLevel="0" collapsed="false">
      <c r="C75" s="72" t="s">
        <v>40</v>
      </c>
      <c r="D75" s="73" t="s">
        <v>60</v>
      </c>
      <c r="E75" s="72" t="s">
        <v>43</v>
      </c>
      <c r="F75" s="99" t="s">
        <v>35</v>
      </c>
      <c r="G75" s="72"/>
      <c r="H75" s="72"/>
    </row>
    <row r="76" customFormat="false" ht="15" hidden="false" customHeight="false" outlineLevel="0" collapsed="false">
      <c r="A76" s="145" t="n">
        <v>109</v>
      </c>
      <c r="B76" s="146" t="s">
        <v>44</v>
      </c>
      <c r="C76" s="147" t="s">
        <v>23</v>
      </c>
      <c r="D76" s="148"/>
      <c r="E76" s="149"/>
      <c r="F76" s="150" t="n">
        <f aca="false">IFERROR(INDEX($B$3:$G$14,MATCH(C76,$A$3:$A$14,0),MATCH($A$74,$B$2:$G$2,0)),0)</f>
        <v>0</v>
      </c>
      <c r="G76" s="151" t="str">
        <f aca="false">IF(F76=E76,"Bien",F76-E76)</f>
        <v>Bien</v>
      </c>
      <c r="H76" s="72"/>
    </row>
    <row r="77" customFormat="false" ht="15" hidden="false" customHeight="false" outlineLevel="0" collapsed="false">
      <c r="A77" s="154" t="n">
        <v>309</v>
      </c>
      <c r="B77" s="45" t="s">
        <v>53</v>
      </c>
      <c r="C77" s="72" t="s">
        <v>19</v>
      </c>
      <c r="D77" s="130"/>
      <c r="E77" s="135"/>
      <c r="F77" s="86" t="n">
        <f aca="false">IFERROR(INDEX($B$3:$G$14,MATCH(C77,$A$3:$A$14,0),MATCH($A$74,$B$2:$G$2,0)),0)</f>
        <v>0</v>
      </c>
      <c r="G77" s="153" t="str">
        <f aca="false">IF(F77=E77,"Bien",F77-E77)</f>
        <v>Bien</v>
      </c>
      <c r="H77" s="72"/>
    </row>
    <row r="78" customFormat="false" ht="15" hidden="false" customHeight="false" outlineLevel="0" collapsed="false">
      <c r="A78" s="164" t="n">
        <v>296</v>
      </c>
      <c r="B78" s="156" t="s">
        <v>55</v>
      </c>
      <c r="C78" s="156" t="s">
        <v>21</v>
      </c>
      <c r="D78" s="158"/>
      <c r="E78" s="159"/>
      <c r="F78" s="160" t="n">
        <f aca="false">IFERROR(INDEX($B$3:$G$14,MATCH(C78,$A$3:$A$14,0),MATCH($A$74,$B$2:$G$2,0)),0)</f>
        <v>0</v>
      </c>
      <c r="G78" s="98" t="str">
        <f aca="false">IF(F78=E78,"Bien",F78-E78)</f>
        <v>Bien</v>
      </c>
      <c r="H78" s="72"/>
    </row>
    <row r="79" customFormat="false" ht="13.8" hidden="false" customHeight="false" outlineLevel="0" collapsed="false">
      <c r="C79" s="72"/>
      <c r="D79" s="130"/>
      <c r="E79" s="100" t="n">
        <f aca="false">SUM(E76:E78)</f>
        <v>0</v>
      </c>
      <c r="F79" s="100" t="n">
        <f aca="false">SUM(F76:F78)</f>
        <v>0</v>
      </c>
      <c r="G79" s="72"/>
      <c r="H79" s="72"/>
      <c r="I79" s="101" t="str">
        <f aca="false">+IF(F79=B15,"OK","Revisar")</f>
        <v>OK</v>
      </c>
    </row>
  </sheetData>
  <mergeCells count="7">
    <mergeCell ref="A19:C19"/>
    <mergeCell ref="A22:H22"/>
    <mergeCell ref="A36:H36"/>
    <mergeCell ref="A48:H48"/>
    <mergeCell ref="A57:G57"/>
    <mergeCell ref="A65:G65"/>
    <mergeCell ref="A74:G74"/>
  </mergeCells>
  <conditionalFormatting sqref="H24:H34">
    <cfRule type="cellIs" priority="2" operator="notEqual" aboveAverage="0" equalAverage="0" bottom="0" percent="0" rank="0" text="" dxfId="0">
      <formula>""bien""</formula>
    </cfRule>
  </conditionalFormatting>
  <conditionalFormatting sqref="H38">
    <cfRule type="cellIs" priority="3" operator="notEqual" aboveAverage="0" equalAverage="0" bottom="0" percent="0" rank="0" text="" dxfId="1">
      <formula>""bien""</formula>
    </cfRule>
  </conditionalFormatting>
  <conditionalFormatting sqref="H39:H45">
    <cfRule type="cellIs" priority="4" operator="notEqual" aboveAverage="0" equalAverage="0" bottom="0" percent="0" rank="0" text="" dxfId="1">
      <formula>""bien""</formula>
    </cfRule>
  </conditionalFormatting>
  <conditionalFormatting sqref="G50">
    <cfRule type="cellIs" priority="5" operator="notEqual" aboveAverage="0" equalAverage="0" bottom="0" percent="0" rank="0" text="" dxfId="1">
      <formula>""bien""</formula>
    </cfRule>
  </conditionalFormatting>
  <conditionalFormatting sqref="G51:G55">
    <cfRule type="cellIs" priority="6" operator="notEqual" aboveAverage="0" equalAverage="0" bottom="0" percent="0" rank="0" text="" dxfId="1">
      <formula>""bien""</formula>
    </cfRule>
  </conditionalFormatting>
  <conditionalFormatting sqref="G59">
    <cfRule type="cellIs" priority="7" operator="notEqual" aboveAverage="0" equalAverage="0" bottom="0" percent="0" rank="0" text="" dxfId="1">
      <formula>""bien""</formula>
    </cfRule>
  </conditionalFormatting>
  <conditionalFormatting sqref="G60:G63">
    <cfRule type="cellIs" priority="8" operator="notEqual" aboveAverage="0" equalAverage="0" bottom="0" percent="0" rank="0" text="" dxfId="2">
      <formula>""bien""</formula>
    </cfRule>
  </conditionalFormatting>
  <conditionalFormatting sqref="G67">
    <cfRule type="cellIs" priority="9" operator="notEqual" aboveAverage="0" equalAverage="0" bottom="0" percent="0" rank="0" text="" dxfId="2">
      <formula>""bien""</formula>
    </cfRule>
  </conditionalFormatting>
  <conditionalFormatting sqref="G68:G72">
    <cfRule type="cellIs" priority="10" operator="notEqual" aboveAverage="0" equalAverage="0" bottom="0" percent="0" rank="0" text="" dxfId="2">
      <formula>""bien""</formula>
    </cfRule>
  </conditionalFormatting>
  <conditionalFormatting sqref="G76">
    <cfRule type="cellIs" priority="11" operator="notEqual" aboveAverage="0" equalAverage="0" bottom="0" percent="0" rank="0" text="" dxfId="2">
      <formula>""bien""</formula>
    </cfRule>
  </conditionalFormatting>
  <conditionalFormatting sqref="G77:G78">
    <cfRule type="cellIs" priority="12" operator="notEqual" aboveAverage="0" equalAverage="0" bottom="0" percent="0" rank="0" text="" dxfId="2">
      <formula>""bien""</formula>
    </cfRule>
  </conditionalFormatting>
  <conditionalFormatting sqref="C16">
    <cfRule type="cellIs" priority="13" operator="notEqual" aboveAverage="0" equalAverage="0" bottom="0" percent="0" rank="0" text="" dxfId="3">
      <formula>#REF!</formula>
    </cfRule>
  </conditionalFormatting>
  <conditionalFormatting sqref="B16">
    <cfRule type="cellIs" priority="14" operator="notEqual" aboveAverage="0" equalAverage="0" bottom="0" percent="0" rank="0" text="" dxfId="3">
      <formula>#REF!</formula>
    </cfRule>
  </conditionalFormatting>
  <conditionalFormatting sqref="D16">
    <cfRule type="cellIs" priority="15" operator="notEqual" aboveAverage="0" equalAverage="0" bottom="0" percent="0" rank="0" text="" dxfId="3">
      <formula>#REF!</formula>
    </cfRule>
  </conditionalFormatting>
  <conditionalFormatting sqref="E16">
    <cfRule type="cellIs" priority="16" operator="notEqual" aboveAverage="0" equalAverage="0" bottom="0" percent="0" rank="0" text="" dxfId="3">
      <formula>#REF!</formula>
    </cfRule>
  </conditionalFormatting>
  <conditionalFormatting sqref="F16">
    <cfRule type="cellIs" priority="17" operator="notEqual" aboveAverage="0" equalAverage="0" bottom="0" percent="0" rank="0" text="" dxfId="3">
      <formula>#REF!</formula>
    </cfRule>
  </conditionalFormatting>
  <conditionalFormatting sqref="G16">
    <cfRule type="cellIs" priority="18" operator="notEqual" aboveAverage="0" equalAverage="0" bottom="0" percent="0" rank="0" text="" dxfId="3">
      <formula>#REF!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1244</TotalTime>
  <Application>LibreOffice/5.4.7.2$Windows_X86_64 LibreOffice_project/c838ef25c16710f8838b1faec480ebba495259d0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2022-06-02T09:41:45Z</dcterms:created>
  <dc:creator>usuario</dc:creator>
  <dc:description/>
  <dc:language>es-ES</dc:language>
  <cp:lastModifiedBy>JORGE AZUARA ROCA</cp:lastModifiedBy>
  <dcterms:modified xsi:type="dcterms:W3CDTF">2022-06-22T08:34:28Z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0x012000D96F098ED5E78F49B4E623047188DB6F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