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_rels/pivotTable2.xml.rels" ContentType="application/vnd.openxmlformats-package.relationships+xml"/>
  <Override PartName="/xl/pivotTables/_rels/pivotTable1.xml.rels" ContentType="application/vnd.openxmlformats-package.relationships+xml"/>
  <Override PartName="/xl/pivotTables/pivotTable2.xml" ContentType="application/vnd.openxmlformats-officedocument.spreadsheetml.pivotTable+xml"/>
  <Override PartName="/xl/pivotTables/pivotTable1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pivotCache/_rels/pivotCacheDefinition1.xml.rels" ContentType="application/vnd.openxmlformats-package.relationships+xml"/>
  <Override PartName="/xl/pivotCache/_rels/pivotCacheDefinition2.xml.rels" ContentType="application/vnd.openxmlformats-package.relationships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  <sheet name="Tabla dinámica_Hoja1_2" sheetId="2" state="visible" r:id="rId3"/>
    <sheet name="Tabla dinámica_Hoja1_1" sheetId="3" state="visible" r:id="rId4"/>
    <sheet name="certificacion_2" sheetId="4" state="visible" r:id="rId5"/>
  </sheets>
  <definedNames>
    <definedName function="false" hidden="true" localSheetId="0" name="_xlnm._FilterDatabase" vbProcedure="false">Hoja1!$A$1:$J$219</definedName>
  </definedNames>
  <calcPr iterateCount="100" refMode="A1" iterate="false" iterateDelta="0.0001"/>
  <pivotCaches>
    <pivotCache cacheId="1" r:id="rId7"/>
    <pivotCache cacheId="2" r:id="rId8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<sst xmlns="http://schemas.openxmlformats.org/spreadsheetml/2006/main" count="1055" uniqueCount="61">
  <si>
    <t xml:space="preserve">Fecha</t>
  </si>
  <si>
    <t xml:space="preserve">Fecha / hora</t>
  </si>
  <si>
    <t xml:space="preserve">Ticket</t>
  </si>
  <si>
    <t xml:space="preserve">Matrícula</t>
  </si>
  <si>
    <t xml:space="preserve">Peso total</t>
  </si>
  <si>
    <t xml:space="preserve">Tara</t>
  </si>
  <si>
    <t xml:space="preserve">Carga</t>
  </si>
  <si>
    <t xml:space="preserve">Población</t>
  </si>
  <si>
    <t xml:space="preserve">Residuo</t>
  </si>
  <si>
    <t xml:space="preserve">Revisado</t>
  </si>
  <si>
    <t xml:space="preserve">6120JZX</t>
  </si>
  <si>
    <t xml:space="preserve">PEÑISCOLA</t>
  </si>
  <si>
    <t xml:space="preserve">VOL</t>
  </si>
  <si>
    <t xml:space="preserve">x</t>
  </si>
  <si>
    <t xml:space="preserve">7542KBV</t>
  </si>
  <si>
    <t xml:space="preserve">RSU</t>
  </si>
  <si>
    <t xml:space="preserve">7809JZX</t>
  </si>
  <si>
    <t xml:space="preserve">1821KBZ</t>
  </si>
  <si>
    <t xml:space="preserve">1076KSZ</t>
  </si>
  <si>
    <t xml:space="preserve">PODA</t>
  </si>
  <si>
    <t xml:space="preserve">1730KBZ</t>
  </si>
  <si>
    <t xml:space="preserve">SEL.PAP</t>
  </si>
  <si>
    <t xml:space="preserve">SEL.ENV</t>
  </si>
  <si>
    <t xml:space="preserve">3686KBG</t>
  </si>
  <si>
    <t xml:space="preserve">0315BGK</t>
  </si>
  <si>
    <t xml:space="preserve">7957JZS</t>
  </si>
  <si>
    <t xml:space="preserve">LIMP.PLAYA</t>
  </si>
  <si>
    <t xml:space="preserve">- todo -</t>
  </si>
  <si>
    <t xml:space="preserve">Suma - Carga</t>
  </si>
  <si>
    <t xml:space="preserve">Total Resultado</t>
  </si>
  <si>
    <t xml:space="preserve">Datos</t>
  </si>
  <si>
    <t xml:space="preserve">LIMP. PLAYA</t>
  </si>
  <si>
    <t xml:space="preserve">VOLUMINOSOS</t>
  </si>
  <si>
    <t xml:space="preserve">N.º vehículo</t>
  </si>
  <si>
    <t xml:space="preserve">Tipo</t>
  </si>
  <si>
    <t xml:space="preserve">MATRICULA</t>
  </si>
  <si>
    <t xml:space="preserve">RUTA</t>
  </si>
  <si>
    <t xml:space="preserve">HORARIO</t>
  </si>
  <si>
    <t xml:space="preserve">CARGA</t>
  </si>
  <si>
    <t xml:space="preserve">REVISADO</t>
  </si>
  <si>
    <t xml:space="preserve">MULTILIFT GRUA</t>
  </si>
  <si>
    <t xml:space="preserve">Volquete Jardineria</t>
  </si>
  <si>
    <t xml:space="preserve">Dia/Noche</t>
  </si>
  <si>
    <t xml:space="preserve">Recolector 22 _ 1</t>
  </si>
  <si>
    <t xml:space="preserve">2-3-4-5</t>
  </si>
  <si>
    <t xml:space="preserve">Recolector 22 _ 2</t>
  </si>
  <si>
    <t xml:space="preserve">volquete 4x4 LV</t>
  </si>
  <si>
    <t xml:space="preserve">Recolector 17</t>
  </si>
  <si>
    <t xml:space="preserve">5313GBZ</t>
  </si>
  <si>
    <t xml:space="preserve">Sustituya a 318</t>
  </si>
  <si>
    <t xml:space="preserve">volquete doble LV</t>
  </si>
  <si>
    <t xml:space="preserve">Recolector 5</t>
  </si>
  <si>
    <t xml:space="preserve">Noche</t>
  </si>
  <si>
    <t xml:space="preserve">8500BYJ</t>
  </si>
  <si>
    <t xml:space="preserve">Sustituya a 109</t>
  </si>
  <si>
    <t xml:space="preserve">N.º OPERARIOS</t>
  </si>
  <si>
    <t xml:space="preserve">FRECUENCIA</t>
  </si>
  <si>
    <t xml:space="preserve">volquete</t>
  </si>
  <si>
    <t xml:space="preserve">2828CZW</t>
  </si>
  <si>
    <t xml:space="preserve">Camión FOBESA </t>
  </si>
  <si>
    <t xml:space="preserve">5936GJY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</si>
</sst>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\-MM\-YY"/>
    <numFmt numFmtId="166" formatCode="H:MM"/>
    <numFmt numFmtId="167" formatCode="#,##0"/>
    <numFmt numFmtId="168" formatCode="DD/MM/YYYY"/>
    <numFmt numFmtId="169" formatCode="#,##0;[RED]\-#,##0"/>
  </numFmts>
  <fonts count="9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b val="true"/>
      <sz val="10"/>
      <name val="Arial"/>
      <family val="2"/>
      <charset val="1"/>
    </font>
    <font>
      <sz val="10"/>
      <color rgb="FF000000"/>
      <name val="Arial"/>
      <family val="2"/>
      <charset val="1"/>
    </font>
    <font>
      <b val="true"/>
      <sz val="11"/>
      <color rgb="FFCE181E"/>
      <name val="Calibri"/>
      <family val="2"/>
      <charset val="1"/>
    </font>
    <font>
      <sz val="11"/>
      <name val="Frutiger 45 Light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FCD3C1"/>
      </patternFill>
    </fill>
    <fill>
      <patternFill patternType="solid">
        <fgColor rgb="FFFFF9AE"/>
        <bgColor rgb="FFFFFFCC"/>
      </patternFill>
    </fill>
    <fill>
      <patternFill patternType="solid">
        <fgColor rgb="FFFCD3C1"/>
        <bgColor rgb="FFD9D9D9"/>
      </patternFill>
    </fill>
  </fills>
  <borders count="4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hair"/>
      <right style="thin"/>
      <top style="hair"/>
      <bottom style="thin"/>
      <diagonal/>
    </border>
    <border diagonalUp="false" diagonalDown="false">
      <left style="thin"/>
      <right/>
      <top style="hair"/>
      <bottom style="thin"/>
      <diagonal/>
    </border>
    <border diagonalUp="false" diagonalDown="false">
      <left/>
      <right/>
      <top style="hair"/>
      <bottom style="thin"/>
      <diagonal/>
    </border>
    <border diagonalUp="false" diagonalDown="false">
      <left style="thin"/>
      <right style="hair"/>
      <top style="hair"/>
      <bottom style="thin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hair"/>
      <right style="hair"/>
      <top style="hair"/>
      <bottom/>
      <diagonal/>
    </border>
    <border diagonalUp="false" diagonalDown="false">
      <left style="hair"/>
      <right style="thin"/>
      <top style="hair"/>
      <bottom style="hair"/>
      <diagonal/>
    </border>
    <border diagonalUp="false" diagonalDown="false">
      <left/>
      <right/>
      <top style="hair"/>
      <bottom style="hair"/>
      <diagonal/>
    </border>
    <border diagonalUp="false" diagonalDown="false">
      <left style="hair"/>
      <right/>
      <top style="hair"/>
      <bottom/>
      <diagonal/>
    </border>
    <border diagonalUp="false" diagonalDown="false">
      <left/>
      <right/>
      <top style="hair"/>
      <bottom/>
      <diagonal/>
    </border>
    <border diagonalUp="false" diagonalDown="false">
      <left/>
      <right style="hair"/>
      <top style="hair"/>
      <bottom/>
      <diagonal/>
    </border>
    <border diagonalUp="false" diagonalDown="false">
      <left style="hair"/>
      <right/>
      <top/>
      <bottom/>
      <diagonal/>
    </border>
    <border diagonalUp="false" diagonalDown="false">
      <left/>
      <right style="hair"/>
      <top/>
      <bottom/>
      <diagonal/>
    </border>
    <border diagonalUp="false" diagonalDown="false">
      <left style="hair"/>
      <right/>
      <top/>
      <bottom style="hair"/>
      <diagonal/>
    </border>
    <border diagonalUp="false" diagonalDown="false">
      <left/>
      <right/>
      <top/>
      <bottom style="hair"/>
      <diagonal/>
    </border>
    <border diagonalUp="false" diagonalDown="false">
      <left/>
      <right style="hair"/>
      <top/>
      <bottom style="hair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0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8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9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8" fontId="0" fillId="0" borderId="10" xfId="23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1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3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4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5" xfId="23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6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2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7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8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9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0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21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22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3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4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5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1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3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4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5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0" xfId="22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8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7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9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0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1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22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3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4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5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6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2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28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29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3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3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2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3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3" borderId="3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3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7" fontId="0" fillId="3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3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justify" vertical="bottom" textRotation="0" wrapText="tru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9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4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4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3" borderId="4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3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39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4" borderId="40" xfId="0" applyFont="true" applyBorder="true" applyAlignment="true" applyProtection="false">
      <alignment horizontal="justify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3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12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Campo de la tabla dinámica" xfId="20" builtinId="53" customBuiltin="true"/>
    <cellStyle name="Esquina de la tabla dinámica" xfId="21" builtinId="53" customBuiltin="true"/>
    <cellStyle name="Valor de la tabla dinámica" xfId="22" builtinId="53" customBuiltin="true"/>
    <cellStyle name="Categoría de la tabla dinámica" xfId="23" builtinId="53" customBuiltin="true"/>
    <cellStyle name="Título de la tabla dinámica" xfId="24" builtinId="53" customBuiltin="true"/>
    <cellStyle name="Resultado de la tabla dinámica" xfId="25" builtinId="53" customBuiltin="true"/>
  </cellStyles>
  <colors>
    <indexedColors>
      <rgbColor rgb="FF000000"/>
      <rgbColor rgb="FFFFFFFF"/>
      <rgbColor rgb="FFCE181E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9AE"/>
      <rgbColor rgb="FF99CCFF"/>
      <rgbColor rgb="FFFF99CC"/>
      <rgbColor rgb="FFCC99FF"/>
      <rgbColor rgb="FFFCD3C1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<Relationship Id="rId7" Type="http://schemas.openxmlformats.org/officeDocument/2006/relationships/pivotCacheDefinition" Target="pivotCache/pivotCacheDefinition1.xml"/><Relationship Id="rId8" Type="http://schemas.openxmlformats.org/officeDocument/2006/relationships/pivotCacheDefinition" Target="pivotCache/pivotCacheDefinition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_rels/pivotCacheDefinition2.xml.rels><?xml version="1.0" encoding="UTF-8"?>
<Relationships xmlns="http://schemas.openxmlformats.org/package/2006/relationships"><Relationship Id="rId1" Type="http://schemas.openxmlformats.org/officeDocument/2006/relationships/pivotCacheRecords" Target="pivotCacheRecords2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18">
  <cacheSource type="worksheet">
    <worksheetSource ref="A1:I219" sheet="Hoja1"/>
  </cacheSource>
  <cacheFields count="9">
    <cacheField name="Fecha" numFmtId="0">
      <sharedItems count="31" containsMixedTypes="0" containsSemiMixedTypes="0" containsString="0" containsNumber="1">
        <n v="44105"/>
        <n v="44106"/>
        <n v="44107"/>
        <n v="44108"/>
        <n v="44109"/>
        <n v="44110"/>
        <n v="44111"/>
        <n v="44112"/>
        <n v="44113"/>
        <n v="44114"/>
        <n v="44115"/>
        <n v="44116"/>
        <n v="44117"/>
        <n v="44118"/>
        <n v="44119"/>
        <n v="44120"/>
        <n v="44121"/>
        <n v="44122"/>
        <n v="44123"/>
        <n v="44124"/>
        <n v="44125"/>
        <n v="44126"/>
        <n v="44127"/>
        <n v="44128"/>
        <n v="44129"/>
        <n v="44130"/>
        <n v="44131"/>
        <n v="44132"/>
        <n v="44133"/>
        <n v="44134"/>
        <n v="44135"/>
      </sharedItems>
    </cacheField>
    <cacheField name="Fecha / hora" numFmtId="0">
      <sharedItems count="166" containsMixedTypes="0" containsSemiMixedTypes="0" containsString="0" containsNumber="1">
        <n v="0.103472222222222"/>
        <n v="0.104861111111111"/>
        <n v="0.10625"/>
        <n v="0.106944444444444"/>
        <n v="0.111805555555556"/>
        <n v="0.116666666666667"/>
        <n v="0.117361111111111"/>
        <n v="0.11875"/>
        <n v="0.120138888888889"/>
        <n v="0.122916666666667"/>
        <n v="0.125694444444444"/>
        <n v="0.129166666666667"/>
        <n v="0.131944444444444"/>
        <n v="0.135416666666667"/>
        <n v="0.136111111111111"/>
        <n v="0.136805555555556"/>
        <n v="0.138888888888889"/>
        <n v="0.140277777777778"/>
        <n v="0.140972222222222"/>
        <n v="0.142361111111111"/>
        <n v="0.145138888888889"/>
        <n v="0.147916666666667"/>
        <n v="0.149305555555556"/>
        <n v="0.156944444444444"/>
        <n v="0.157638888888889"/>
        <n v="0.164583333333333"/>
        <n v="0.166666666666667"/>
        <n v="0.16875"/>
        <n v="0.170138888888889"/>
        <n v="0.172916666666667"/>
        <n v="0.178472222222222"/>
        <n v="0.181944444444444"/>
        <n v="0.185416666666667"/>
        <n v="0.186111111111111"/>
        <n v="0.192361111111111"/>
        <n v="0.202083333333333"/>
        <n v="0.204166666666667"/>
        <n v="0.209027777777778"/>
        <n v="0.211111111111111"/>
        <n v="0.2125"/>
        <n v="0.214583333333333"/>
        <n v="0.215277777777778"/>
        <n v="0.222222222222222"/>
        <n v="0.231944444444444"/>
        <n v="0.2375"/>
        <n v="0.239583333333333"/>
        <n v="0.240972222222222"/>
        <n v="0.241666666666667"/>
        <n v="0.243055555555556"/>
        <n v="0.244444444444444"/>
        <n v="0.245138888888889"/>
        <n v="0.25"/>
        <n v="0.252083333333333"/>
        <n v="0.252777777777778"/>
        <n v="0.253472222222222"/>
        <n v="0.25625"/>
        <n v="0.256944444444444"/>
        <n v="0.257638888888889"/>
        <n v="0.258333333333333"/>
        <n v="0.259722222222222"/>
        <n v="0.260416666666667"/>
        <n v="0.261111111111111"/>
        <n v="0.2625"/>
        <n v="0.263194444444444"/>
        <n v="0.263888888888889"/>
        <n v="0.264583333333333"/>
        <n v="0.265277777777778"/>
        <n v="0.265972222222222"/>
        <n v="0.267361111111111"/>
        <n v="0.268055555555556"/>
        <n v="0.270138888888889"/>
        <n v="0.272222222222222"/>
        <n v="0.273611111111111"/>
        <n v="0.274305555555555"/>
        <n v="0.275"/>
        <n v="0.277083333333333"/>
        <n v="0.279166666666667"/>
        <n v="0.281944444444444"/>
        <n v="0.282638888888889"/>
        <n v="0.283333333333333"/>
        <n v="0.329166666666667"/>
        <n v="0.330555555555556"/>
        <n v="0.333333333333333"/>
        <n v="0.343055555555555"/>
        <n v="0.344444444444444"/>
        <n v="0.352083333333333"/>
        <n v="0.352777777777778"/>
        <n v="0.35625"/>
        <n v="0.357638888888889"/>
        <n v="0.3625"/>
        <n v="0.363888888888889"/>
        <n v="0.364583333333333"/>
        <n v="0.365972222222222"/>
        <n v="0.366666666666667"/>
        <n v="0.378472222222222"/>
        <n v="0.390277777777778"/>
        <n v="0.423611111111111"/>
        <n v="0.434027777777778"/>
        <n v="0.434722222222222"/>
        <n v="0.436111111111111"/>
        <n v="0.436805555555555"/>
        <n v="0.438194444444444"/>
        <n v="0.438888888888889"/>
        <n v="0.439583333333333"/>
        <n v="0.440277777777778"/>
        <n v="0.440972222222222"/>
        <n v="0.444444444444444"/>
        <n v="0.447222222222222"/>
        <n v="0.447916666666667"/>
        <n v="0.453472222222222"/>
        <n v="0.45625"/>
        <n v="0.456944444444444"/>
        <n v="0.458333333333333"/>
        <n v="0.459027777777778"/>
        <n v="0.461805555555556"/>
        <n v="0.464583333333333"/>
        <n v="0.469444444444444"/>
        <n v="0.474305555555556"/>
        <n v="0.479861111111111"/>
        <n v="0.488888888888889"/>
        <n v="0.49375"/>
        <n v="0.496527777777778"/>
        <n v="0.497916666666667"/>
        <n v="0.498611111111111"/>
        <n v="0.500694444444445"/>
        <n v="0.501388888888889"/>
        <n v="0.502777777777778"/>
        <n v="0.504166666666667"/>
        <n v="0.505555555555556"/>
        <n v="0.509027777777778"/>
        <n v="0.510416666666667"/>
        <n v="0.5125"/>
        <n v="0.514583333333333"/>
        <n v="0.516666666666667"/>
        <n v="0.517361111111111"/>
        <n v="0.518055555555556"/>
        <n v="0.51875"/>
        <n v="0.520833333333333"/>
        <n v="0.522916666666667"/>
        <n v="0.524305555555556"/>
        <n v="0.526388888888889"/>
        <n v="0.527083333333333"/>
        <n v="0.528472222222222"/>
        <n v="0.529166666666667"/>
        <n v="0.530555555555556"/>
        <n v="0.53125"/>
        <n v="0.531944444444445"/>
        <n v="0.536111111111111"/>
        <n v="0.536805555555556"/>
        <n v="0.538194444444444"/>
        <n v="0.538888888888889"/>
        <n v="0.539583333333333"/>
        <n v="0.540277777777778"/>
        <n v="0.540972222222222"/>
        <n v="0.541666666666667"/>
        <n v="0.542361111111111"/>
        <n v="0.544444444444444"/>
        <n v="0.545138888888889"/>
        <n v="0.546527777777778"/>
        <n v="0.547222222222222"/>
        <n v="0.547916666666667"/>
        <n v="0.548611111111111"/>
        <n v="0.55"/>
        <n v="0.550694444444444"/>
        <n v="0.552777777777778"/>
        <n v="0.736111111111111"/>
      </sharedItems>
    </cacheField>
    <cacheField name="Ticket" numFmtId="0">
      <sharedItems count="217" containsMixedTypes="0" containsSemiMixedTypes="0" containsString="0" containsNumber="1">
        <n v="816"/>
        <n v="831"/>
        <n v="843"/>
        <n v="853"/>
        <n v="107720"/>
        <n v="107721"/>
        <n v="107808"/>
        <n v="107850"/>
        <n v="107851"/>
        <n v="107874"/>
        <n v="107875"/>
        <n v="107897"/>
        <n v="107898"/>
        <n v="107902"/>
        <n v="107950"/>
        <n v="107955"/>
        <n v="107956"/>
        <n v="107992"/>
        <n v="107993"/>
        <n v="108021"/>
        <n v="108022"/>
        <n v="108074"/>
        <n v="108085"/>
        <n v="108086"/>
        <n v="108124"/>
        <n v="108125"/>
        <n v="108164"/>
        <n v="108170"/>
        <n v="108208"/>
        <n v="108209"/>
        <n v="108231"/>
        <n v="108244"/>
        <n v="108245"/>
        <n v="108251"/>
        <n v="108252"/>
        <n v="108253"/>
        <n v="108301"/>
        <n v="108302"/>
        <n v="108318"/>
        <n v="108319"/>
        <n v="108320"/>
        <n v="108401"/>
        <n v="108402"/>
        <n v="108478"/>
        <n v="108479"/>
        <n v="108537"/>
        <n v="108538"/>
        <n v="108544"/>
        <n v="108593"/>
        <n v="108596"/>
        <n v="108616"/>
        <n v="108622"/>
        <n v="108636"/>
        <n v="108685"/>
        <n v="108686"/>
        <n v="108704"/>
        <n v="108705"/>
        <n v="108716"/>
        <n v="108717"/>
        <n v="108719"/>
        <n v="108765"/>
        <n v="108766"/>
        <n v="108785"/>
        <n v="108791"/>
        <n v="108853"/>
        <n v="108855"/>
        <n v="108858"/>
        <n v="108897"/>
        <n v="108960"/>
        <n v="108993"/>
        <n v="109002"/>
        <n v="109004"/>
        <n v="109018"/>
        <n v="109034"/>
        <n v="109042"/>
        <n v="109043"/>
        <n v="109089"/>
        <n v="109090"/>
        <n v="109110"/>
        <n v="109111"/>
        <n v="109113"/>
        <n v="109245"/>
        <n v="109303"/>
        <n v="109304"/>
        <n v="130852"/>
        <n v="130860"/>
        <n v="130861"/>
        <n v="130891"/>
        <n v="130892"/>
        <n v="130897"/>
        <n v="130903"/>
        <n v="130930"/>
        <n v="130931"/>
        <n v="130937"/>
        <n v="130938"/>
        <n v="130942"/>
        <n v="130949"/>
        <n v="130954"/>
        <n v="130955"/>
        <n v="130960"/>
        <n v="130965"/>
        <n v="130968"/>
        <n v="130976"/>
        <n v="130977"/>
        <n v="131022"/>
        <n v="131025"/>
        <n v="131028"/>
        <n v="131072"/>
        <n v="131079"/>
        <n v="131081"/>
        <n v="131103"/>
        <n v="131122"/>
        <n v="131129"/>
        <n v="131130"/>
        <n v="131152"/>
        <n v="131168"/>
        <n v="131171"/>
        <n v="131175"/>
        <n v="131187"/>
        <n v="131200"/>
        <n v="131205"/>
        <n v="131210"/>
        <n v="131216"/>
        <n v="131223"/>
        <n v="131224"/>
        <n v="131225"/>
        <n v="131230"/>
        <n v="131235"/>
        <n v="131238"/>
        <n v="131242"/>
        <n v="131246"/>
        <n v="131251"/>
        <n v="131252"/>
        <n v="131255"/>
        <n v="131260"/>
        <n v="131267"/>
        <n v="131270"/>
        <n v="131309"/>
        <n v="131313"/>
        <n v="131317"/>
        <n v="131319"/>
        <n v="131356"/>
        <n v="131363"/>
        <n v="131365"/>
        <n v="131380"/>
        <n v="131399"/>
        <n v="131408"/>
        <n v="131411"/>
        <n v="131431"/>
        <n v="131439"/>
        <n v="131450"/>
        <n v="131452"/>
        <n v="131454"/>
        <n v="131456"/>
        <n v="131462"/>
        <n v="131465"/>
        <n v="131472"/>
        <n v="131481"/>
        <n v="131484"/>
        <n v="131498"/>
        <n v="131504"/>
        <n v="131519"/>
        <n v="131527"/>
        <n v="131531"/>
        <n v="131544"/>
        <n v="131557"/>
        <n v="131562"/>
        <n v="131565"/>
        <n v="131575"/>
        <n v="131601"/>
        <n v="131606"/>
        <n v="131610"/>
        <n v="131644"/>
        <n v="131651"/>
        <n v="131654"/>
        <n v="131656"/>
        <n v="131693"/>
        <n v="131696"/>
        <n v="131699"/>
        <n v="131702"/>
        <n v="131708"/>
        <n v="131713"/>
        <n v="131716"/>
        <n v="131719"/>
        <n v="131726"/>
        <n v="131734"/>
        <n v="131738"/>
        <n v="131779"/>
        <n v="131784"/>
        <n v="131787"/>
        <n v="131810"/>
        <n v="131822"/>
        <n v="131828"/>
        <n v="131833"/>
        <n v="131852"/>
        <n v="131858"/>
        <n v="131863"/>
        <n v="131865"/>
        <n v="131866"/>
        <n v="131869"/>
        <n v="131870"/>
        <n v="131874"/>
        <n v="131881"/>
        <n v="131883"/>
        <n v="131887"/>
        <n v="131888"/>
        <n v="131890"/>
        <n v="131892"/>
        <n v="131893"/>
        <n v="131905"/>
        <n v="131909"/>
        <n v="131911"/>
        <n v="131916"/>
        <n v="131917"/>
        <n v="131918"/>
        <n v="131919"/>
        <n v="131920"/>
      </sharedItems>
    </cacheField>
    <cacheField name="Matrícula" numFmtId="0">
      <sharedItems count="9" containsMixedTypes="0" containsSemiMixedTypes="0" containsString="1" containsNumber="0">
        <s v="0315BGK"/>
        <s v="1076KSZ"/>
        <s v="1730KBZ"/>
        <s v="1821KBZ"/>
        <s v="3686KBG"/>
        <s v="6120JZX"/>
        <s v="7542KBV"/>
        <s v="7809JZX"/>
        <s v="7957JZS"/>
      </sharedItems>
    </cacheField>
    <cacheField name="Peso total" numFmtId="0">
      <sharedItems count="158" containsMixedTypes="0" containsSemiMixedTypes="0" containsString="0" containsNumber="1">
        <n v="2500"/>
        <n v="2540"/>
        <n v="2560"/>
        <n v="2580"/>
        <n v="2600"/>
        <n v="2620"/>
        <n v="2640"/>
        <n v="2660"/>
        <n v="2820"/>
        <n v="2860"/>
        <n v="2900"/>
        <n v="2940"/>
        <n v="2960"/>
        <n v="3020"/>
        <n v="3040"/>
        <n v="3060"/>
        <n v="3080"/>
        <n v="3100"/>
        <n v="3120"/>
        <n v="3140"/>
        <n v="3160"/>
        <n v="3180"/>
        <n v="3200"/>
        <n v="3220"/>
        <n v="3240"/>
        <n v="3260"/>
        <n v="3280"/>
        <n v="3300"/>
        <n v="3320"/>
        <n v="3340"/>
        <n v="3360"/>
        <n v="3380"/>
        <n v="3400"/>
        <n v="3420"/>
        <n v="3440"/>
        <n v="3460"/>
        <n v="3480"/>
        <n v="3560"/>
        <n v="3640"/>
        <n v="3660"/>
        <n v="4040"/>
        <n v="4120"/>
        <n v="4140"/>
        <n v="4160"/>
        <n v="4180"/>
        <n v="4220"/>
        <n v="4240"/>
        <n v="4260"/>
        <n v="4280"/>
        <n v="4300"/>
        <n v="4320"/>
        <n v="4340"/>
        <n v="4400"/>
        <n v="4420"/>
        <n v="4440"/>
        <n v="4500"/>
        <n v="4540"/>
        <n v="4640"/>
        <n v="4660"/>
        <n v="4760"/>
        <n v="4840"/>
        <n v="4880"/>
        <n v="5960"/>
        <n v="6040"/>
        <n v="6320"/>
        <n v="6440"/>
        <n v="6600"/>
        <n v="6620"/>
        <n v="6660"/>
        <n v="6680"/>
        <n v="6720"/>
        <n v="6760"/>
        <n v="7600"/>
        <n v="13720"/>
        <n v="16080"/>
        <n v="16140"/>
        <n v="16220"/>
        <n v="16720"/>
        <n v="16760"/>
        <n v="16900"/>
        <n v="16960"/>
        <n v="17060"/>
        <n v="17080"/>
        <n v="17260"/>
        <n v="17440"/>
        <n v="17460"/>
        <n v="17520"/>
        <n v="17560"/>
        <n v="17580"/>
        <n v="17640"/>
        <n v="17660"/>
        <n v="17700"/>
        <n v="17720"/>
        <n v="17740"/>
        <n v="17800"/>
        <n v="17980"/>
        <n v="18020"/>
        <n v="18040"/>
        <n v="18140"/>
        <n v="18160"/>
        <n v="18220"/>
        <n v="18420"/>
        <n v="18540"/>
        <n v="18560"/>
        <n v="18740"/>
        <n v="18860"/>
        <n v="18960"/>
        <n v="19260"/>
        <n v="19660"/>
        <n v="19860"/>
        <n v="19900"/>
        <n v="20480"/>
        <n v="20540"/>
        <n v="20740"/>
        <n v="21460"/>
        <n v="22060"/>
        <n v="22180"/>
        <n v="22340"/>
        <n v="22660"/>
        <n v="22860"/>
        <n v="23100"/>
        <n v="23120"/>
        <n v="23260"/>
        <n v="23720"/>
        <n v="23740"/>
        <n v="23920"/>
        <n v="24000"/>
        <n v="24200"/>
        <n v="24580"/>
        <n v="24660"/>
        <n v="24880"/>
        <n v="25040"/>
        <n v="25060"/>
        <n v="25160"/>
        <n v="25180"/>
        <n v="25400"/>
        <n v="25500"/>
        <n v="25640"/>
        <n v="25700"/>
        <n v="25760"/>
        <n v="25820"/>
        <n v="25840"/>
        <n v="25940"/>
        <n v="26040"/>
        <n v="26140"/>
        <n v="26160"/>
        <n v="26300"/>
        <n v="26400"/>
        <n v="26460"/>
        <n v="26600"/>
        <n v="26640"/>
        <n v="26860"/>
        <n v="26960"/>
        <n v="27080"/>
        <n v="28240"/>
        <n v="29020"/>
        <n v="29420"/>
        <n v="31340"/>
      </sharedItems>
    </cacheField>
    <cacheField name="Tara" numFmtId="0">
      <sharedItems count="86" containsMixedTypes="0" containsSemiMixedTypes="0" containsString="0" containsNumber="1">
        <n v="2300"/>
        <n v="2320"/>
        <n v="2360"/>
        <n v="2380"/>
        <n v="2400"/>
        <n v="2680"/>
        <n v="2700"/>
        <n v="2720"/>
        <n v="2760"/>
        <n v="2780"/>
        <n v="2800"/>
        <n v="2820"/>
        <n v="2840"/>
        <n v="2860"/>
        <n v="2880"/>
        <n v="2900"/>
        <n v="2920"/>
        <n v="3060"/>
        <n v="3080"/>
        <n v="3100"/>
        <n v="3120"/>
        <n v="3140"/>
        <n v="3160"/>
        <n v="3180"/>
        <n v="3280"/>
        <n v="3300"/>
        <n v="3340"/>
        <n v="3360"/>
        <n v="3400"/>
        <n v="3420"/>
        <n v="3440"/>
        <n v="3600"/>
        <n v="3640"/>
        <n v="3700"/>
        <n v="3740"/>
        <n v="3760"/>
        <n v="3780"/>
        <n v="3800"/>
        <n v="3820"/>
        <n v="5560"/>
        <n v="5600"/>
        <n v="5700"/>
        <n v="5960"/>
        <n v="6320"/>
        <n v="6600"/>
        <n v="6620"/>
        <n v="6720"/>
        <n v="12760"/>
        <n v="12780"/>
        <n v="12820"/>
        <n v="12840"/>
        <n v="12860"/>
        <n v="12880"/>
        <n v="12900"/>
        <n v="12920"/>
        <n v="12940"/>
        <n v="12960"/>
        <n v="13020"/>
        <n v="13040"/>
        <n v="13060"/>
        <n v="13100"/>
        <n v="15300"/>
        <n v="15700"/>
        <n v="15720"/>
        <n v="15740"/>
        <n v="15760"/>
        <n v="15800"/>
        <n v="15840"/>
        <n v="15860"/>
        <n v="15880"/>
        <n v="15900"/>
        <n v="15920"/>
        <n v="15940"/>
        <n v="15960"/>
        <n v="15980"/>
        <n v="16000"/>
        <n v="16020"/>
        <n v="16040"/>
        <n v="16060"/>
        <n v="16080"/>
        <n v="16100"/>
        <n v="16160"/>
        <n v="16260"/>
        <n v="16280"/>
        <n v="18020"/>
        <n v="19560"/>
      </sharedItems>
    </cacheField>
    <cacheField name="Carga" numFmtId="0">
      <sharedItems count="125" containsMixedTypes="0" containsSemiMixedTypes="0" containsString="0" containsNumber="1">
        <n v="20"/>
        <n v="40"/>
        <n v="60"/>
        <n v="80"/>
        <n v="100"/>
        <n v="120"/>
        <n v="140"/>
        <n v="160"/>
        <n v="180"/>
        <n v="200"/>
        <n v="240"/>
        <n v="260"/>
        <n v="280"/>
        <n v="300"/>
        <n v="320"/>
        <n v="340"/>
        <n v="360"/>
        <n v="380"/>
        <n v="420"/>
        <n v="440"/>
        <n v="460"/>
        <n v="480"/>
        <n v="500"/>
        <n v="540"/>
        <n v="560"/>
        <n v="580"/>
        <n v="600"/>
        <n v="620"/>
        <n v="640"/>
        <n v="680"/>
        <n v="700"/>
        <n v="720"/>
        <n v="760"/>
        <n v="780"/>
        <n v="820"/>
        <n v="900"/>
        <n v="920"/>
        <n v="1020"/>
        <n v="1120"/>
        <n v="1240"/>
        <n v="1280"/>
        <n v="1580"/>
        <n v="1680"/>
        <n v="1700"/>
        <n v="1760"/>
        <n v="1840"/>
        <n v="1880"/>
        <n v="1940"/>
        <n v="2000"/>
        <n v="2040"/>
        <n v="2140"/>
        <n v="2220"/>
        <n v="2320"/>
        <n v="3300"/>
        <n v="3360"/>
        <n v="3400"/>
        <n v="3800"/>
        <n v="3820"/>
        <n v="3840"/>
        <n v="3960"/>
        <n v="4120"/>
        <n v="4220"/>
        <n v="4300"/>
        <n v="4380"/>
        <n v="4460"/>
        <n v="4480"/>
        <n v="4620"/>
        <n v="4720"/>
        <n v="4740"/>
        <n v="4760"/>
        <n v="4980"/>
        <n v="5000"/>
        <n v="5160"/>
        <n v="5440"/>
        <n v="5520"/>
        <n v="5560"/>
        <n v="5620"/>
        <n v="5660"/>
        <n v="5720"/>
        <n v="5860"/>
        <n v="5900"/>
        <n v="6220"/>
        <n v="6340"/>
        <n v="6600"/>
        <n v="6800"/>
        <n v="7040"/>
        <n v="7120"/>
        <n v="7260"/>
        <n v="7620"/>
        <n v="7820"/>
        <n v="8140"/>
        <n v="8420"/>
        <n v="8440"/>
        <n v="8780"/>
        <n v="8900"/>
        <n v="9020"/>
        <n v="9140"/>
        <n v="9260"/>
        <n v="9280"/>
        <n v="9300"/>
        <n v="9320"/>
        <n v="9360"/>
        <n v="9580"/>
        <n v="9660"/>
        <n v="9820"/>
        <n v="9900"/>
        <n v="9980"/>
        <n v="10000"/>
        <n v="10060"/>
        <n v="10180"/>
        <n v="10300"/>
        <n v="10380"/>
        <n v="10400"/>
        <n v="10680"/>
        <n v="10720"/>
        <n v="10760"/>
        <n v="11000"/>
        <n v="11020"/>
        <n v="11240"/>
        <n v="11340"/>
        <n v="11560"/>
        <n v="12940"/>
        <n v="13720"/>
        <n v="14120"/>
        <n v="16040"/>
      </sharedItems>
    </cacheField>
    <cacheField name="Población" numFmtId="0">
      <sharedItems count="1" containsMixedTypes="0" containsSemiMixedTypes="0" containsString="1" containsNumber="0">
        <s v="PEÑISCOLA"/>
      </sharedItems>
    </cacheField>
    <cacheField name="Residuo" numFmtId="0">
      <sharedItems count="6" containsMixedTypes="0" containsSemiMixedTypes="0" containsString="1" containsNumber="0">
        <s v="LIMP.PLAYA"/>
        <s v="PODA"/>
        <s v="RSU"/>
        <s v="SEL.ENV"/>
        <s v="SEL.PAP"/>
        <s v="VOL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cordCount="218">
  <cacheSource type="worksheet">
    <worksheetSource ref="A1:J219" sheet="Hoja1"/>
  </cacheSource>
  <cacheFields count="10">
    <cacheField name="Fecha" numFmtId="0">
      <sharedItems count="31" containsMixedTypes="0" containsSemiMixedTypes="0" containsString="0" containsNumber="1">
        <n v="44105"/>
        <n v="44106"/>
        <n v="44107"/>
        <n v="44108"/>
        <n v="44109"/>
        <n v="44110"/>
        <n v="44111"/>
        <n v="44112"/>
        <n v="44113"/>
        <n v="44114"/>
        <n v="44115"/>
        <n v="44116"/>
        <n v="44117"/>
        <n v="44118"/>
        <n v="44119"/>
        <n v="44120"/>
        <n v="44121"/>
        <n v="44122"/>
        <n v="44123"/>
        <n v="44124"/>
        <n v="44125"/>
        <n v="44126"/>
        <n v="44127"/>
        <n v="44128"/>
        <n v="44129"/>
        <n v="44130"/>
        <n v="44131"/>
        <n v="44132"/>
        <n v="44133"/>
        <n v="44134"/>
        <n v="44135"/>
      </sharedItems>
    </cacheField>
    <cacheField name="Fecha / hora" numFmtId="0">
      <sharedItems count="166" containsMixedTypes="0" containsSemiMixedTypes="0" containsString="0" containsNumber="1">
        <n v="0.103472222222222"/>
        <n v="0.104861111111111"/>
        <n v="0.10625"/>
        <n v="0.106944444444444"/>
        <n v="0.111805555555556"/>
        <n v="0.116666666666667"/>
        <n v="0.117361111111111"/>
        <n v="0.11875"/>
        <n v="0.120138888888889"/>
        <n v="0.122916666666667"/>
        <n v="0.125694444444444"/>
        <n v="0.129166666666667"/>
        <n v="0.131944444444444"/>
        <n v="0.135416666666667"/>
        <n v="0.136111111111111"/>
        <n v="0.136805555555556"/>
        <n v="0.138888888888889"/>
        <n v="0.140277777777778"/>
        <n v="0.140972222222222"/>
        <n v="0.142361111111111"/>
        <n v="0.145138888888889"/>
        <n v="0.147916666666667"/>
        <n v="0.149305555555556"/>
        <n v="0.156944444444444"/>
        <n v="0.157638888888889"/>
        <n v="0.164583333333333"/>
        <n v="0.166666666666667"/>
        <n v="0.16875"/>
        <n v="0.170138888888889"/>
        <n v="0.172916666666667"/>
        <n v="0.178472222222222"/>
        <n v="0.181944444444444"/>
        <n v="0.185416666666667"/>
        <n v="0.186111111111111"/>
        <n v="0.192361111111111"/>
        <n v="0.202083333333333"/>
        <n v="0.204166666666667"/>
        <n v="0.209027777777778"/>
        <n v="0.211111111111111"/>
        <n v="0.2125"/>
        <n v="0.214583333333333"/>
        <n v="0.215277777777778"/>
        <n v="0.222222222222222"/>
        <n v="0.231944444444444"/>
        <n v="0.2375"/>
        <n v="0.239583333333333"/>
        <n v="0.240972222222222"/>
        <n v="0.241666666666667"/>
        <n v="0.243055555555556"/>
        <n v="0.244444444444444"/>
        <n v="0.245138888888889"/>
        <n v="0.25"/>
        <n v="0.252083333333333"/>
        <n v="0.252777777777778"/>
        <n v="0.253472222222222"/>
        <n v="0.25625"/>
        <n v="0.256944444444444"/>
        <n v="0.257638888888889"/>
        <n v="0.258333333333333"/>
        <n v="0.259722222222222"/>
        <n v="0.260416666666667"/>
        <n v="0.261111111111111"/>
        <n v="0.2625"/>
        <n v="0.263194444444444"/>
        <n v="0.263888888888889"/>
        <n v="0.264583333333333"/>
        <n v="0.265277777777778"/>
        <n v="0.265972222222222"/>
        <n v="0.267361111111111"/>
        <n v="0.268055555555556"/>
        <n v="0.270138888888889"/>
        <n v="0.272222222222222"/>
        <n v="0.273611111111111"/>
        <n v="0.274305555555555"/>
        <n v="0.275"/>
        <n v="0.277083333333333"/>
        <n v="0.279166666666667"/>
        <n v="0.281944444444444"/>
        <n v="0.282638888888889"/>
        <n v="0.283333333333333"/>
        <n v="0.329166666666667"/>
        <n v="0.330555555555556"/>
        <n v="0.333333333333333"/>
        <n v="0.343055555555555"/>
        <n v="0.344444444444444"/>
        <n v="0.352083333333333"/>
        <n v="0.352777777777778"/>
        <n v="0.35625"/>
        <n v="0.357638888888889"/>
        <n v="0.3625"/>
        <n v="0.363888888888889"/>
        <n v="0.364583333333333"/>
        <n v="0.365972222222222"/>
        <n v="0.366666666666667"/>
        <n v="0.378472222222222"/>
        <n v="0.390277777777778"/>
        <n v="0.423611111111111"/>
        <n v="0.434027777777778"/>
        <n v="0.434722222222222"/>
        <n v="0.436111111111111"/>
        <n v="0.436805555555555"/>
        <n v="0.438194444444444"/>
        <n v="0.438888888888889"/>
        <n v="0.439583333333333"/>
        <n v="0.440277777777778"/>
        <n v="0.440972222222222"/>
        <n v="0.444444444444444"/>
        <n v="0.447222222222222"/>
        <n v="0.447916666666667"/>
        <n v="0.453472222222222"/>
        <n v="0.45625"/>
        <n v="0.456944444444444"/>
        <n v="0.458333333333333"/>
        <n v="0.459027777777778"/>
        <n v="0.461805555555556"/>
        <n v="0.464583333333333"/>
        <n v="0.469444444444444"/>
        <n v="0.474305555555556"/>
        <n v="0.479861111111111"/>
        <n v="0.488888888888889"/>
        <n v="0.49375"/>
        <n v="0.496527777777778"/>
        <n v="0.497916666666667"/>
        <n v="0.498611111111111"/>
        <n v="0.500694444444445"/>
        <n v="0.501388888888889"/>
        <n v="0.502777777777778"/>
        <n v="0.504166666666667"/>
        <n v="0.505555555555556"/>
        <n v="0.509027777777778"/>
        <n v="0.510416666666667"/>
        <n v="0.5125"/>
        <n v="0.514583333333333"/>
        <n v="0.516666666666667"/>
        <n v="0.517361111111111"/>
        <n v="0.518055555555556"/>
        <n v="0.51875"/>
        <n v="0.520833333333333"/>
        <n v="0.522916666666667"/>
        <n v="0.524305555555556"/>
        <n v="0.526388888888889"/>
        <n v="0.527083333333333"/>
        <n v="0.528472222222222"/>
        <n v="0.529166666666667"/>
        <n v="0.530555555555556"/>
        <n v="0.53125"/>
        <n v="0.531944444444445"/>
        <n v="0.536111111111111"/>
        <n v="0.536805555555556"/>
        <n v="0.538194444444444"/>
        <n v="0.538888888888889"/>
        <n v="0.539583333333333"/>
        <n v="0.540277777777778"/>
        <n v="0.540972222222222"/>
        <n v="0.541666666666667"/>
        <n v="0.542361111111111"/>
        <n v="0.544444444444444"/>
        <n v="0.545138888888889"/>
        <n v="0.546527777777778"/>
        <n v="0.547222222222222"/>
        <n v="0.547916666666667"/>
        <n v="0.548611111111111"/>
        <n v="0.55"/>
        <n v="0.550694444444444"/>
        <n v="0.552777777777778"/>
        <n v="0.736111111111111"/>
      </sharedItems>
    </cacheField>
    <cacheField name="Ticket" numFmtId="0">
      <sharedItems count="217" containsMixedTypes="0" containsSemiMixedTypes="0" containsString="0" containsNumber="1">
        <n v="816"/>
        <n v="831"/>
        <n v="843"/>
        <n v="853"/>
        <n v="107720"/>
        <n v="107721"/>
        <n v="107808"/>
        <n v="107850"/>
        <n v="107851"/>
        <n v="107874"/>
        <n v="107875"/>
        <n v="107897"/>
        <n v="107898"/>
        <n v="107902"/>
        <n v="107950"/>
        <n v="107955"/>
        <n v="107956"/>
        <n v="107992"/>
        <n v="107993"/>
        <n v="108021"/>
        <n v="108022"/>
        <n v="108074"/>
        <n v="108085"/>
        <n v="108086"/>
        <n v="108124"/>
        <n v="108125"/>
        <n v="108164"/>
        <n v="108170"/>
        <n v="108208"/>
        <n v="108209"/>
        <n v="108231"/>
        <n v="108244"/>
        <n v="108245"/>
        <n v="108251"/>
        <n v="108252"/>
        <n v="108253"/>
        <n v="108301"/>
        <n v="108302"/>
        <n v="108318"/>
        <n v="108319"/>
        <n v="108320"/>
        <n v="108401"/>
        <n v="108402"/>
        <n v="108478"/>
        <n v="108479"/>
        <n v="108537"/>
        <n v="108538"/>
        <n v="108544"/>
        <n v="108593"/>
        <n v="108596"/>
        <n v="108616"/>
        <n v="108622"/>
        <n v="108636"/>
        <n v="108685"/>
        <n v="108686"/>
        <n v="108704"/>
        <n v="108705"/>
        <n v="108716"/>
        <n v="108717"/>
        <n v="108719"/>
        <n v="108765"/>
        <n v="108766"/>
        <n v="108785"/>
        <n v="108791"/>
        <n v="108853"/>
        <n v="108855"/>
        <n v="108858"/>
        <n v="108897"/>
        <n v="108960"/>
        <n v="108993"/>
        <n v="109002"/>
        <n v="109004"/>
        <n v="109018"/>
        <n v="109034"/>
        <n v="109042"/>
        <n v="109043"/>
        <n v="109089"/>
        <n v="109090"/>
        <n v="109110"/>
        <n v="109111"/>
        <n v="109113"/>
        <n v="109245"/>
        <n v="109303"/>
        <n v="109304"/>
        <n v="130852"/>
        <n v="130860"/>
        <n v="130861"/>
        <n v="130891"/>
        <n v="130892"/>
        <n v="130897"/>
        <n v="130903"/>
        <n v="130930"/>
        <n v="130931"/>
        <n v="130937"/>
        <n v="130938"/>
        <n v="130942"/>
        <n v="130949"/>
        <n v="130954"/>
        <n v="130955"/>
        <n v="130960"/>
        <n v="130965"/>
        <n v="130968"/>
        <n v="130976"/>
        <n v="130977"/>
        <n v="131022"/>
        <n v="131025"/>
        <n v="131028"/>
        <n v="131072"/>
        <n v="131079"/>
        <n v="131081"/>
        <n v="131103"/>
        <n v="131122"/>
        <n v="131129"/>
        <n v="131130"/>
        <n v="131152"/>
        <n v="131168"/>
        <n v="131171"/>
        <n v="131175"/>
        <n v="131187"/>
        <n v="131200"/>
        <n v="131205"/>
        <n v="131210"/>
        <n v="131216"/>
        <n v="131223"/>
        <n v="131224"/>
        <n v="131225"/>
        <n v="131230"/>
        <n v="131235"/>
        <n v="131238"/>
        <n v="131242"/>
        <n v="131246"/>
        <n v="131251"/>
        <n v="131252"/>
        <n v="131255"/>
        <n v="131260"/>
        <n v="131267"/>
        <n v="131270"/>
        <n v="131309"/>
        <n v="131313"/>
        <n v="131317"/>
        <n v="131319"/>
        <n v="131356"/>
        <n v="131363"/>
        <n v="131365"/>
        <n v="131380"/>
        <n v="131399"/>
        <n v="131408"/>
        <n v="131411"/>
        <n v="131431"/>
        <n v="131439"/>
        <n v="131450"/>
        <n v="131452"/>
        <n v="131454"/>
        <n v="131456"/>
        <n v="131462"/>
        <n v="131465"/>
        <n v="131472"/>
        <n v="131481"/>
        <n v="131484"/>
        <n v="131498"/>
        <n v="131504"/>
        <n v="131519"/>
        <n v="131527"/>
        <n v="131531"/>
        <n v="131544"/>
        <n v="131557"/>
        <n v="131562"/>
        <n v="131565"/>
        <n v="131575"/>
        <n v="131601"/>
        <n v="131606"/>
        <n v="131610"/>
        <n v="131644"/>
        <n v="131651"/>
        <n v="131654"/>
        <n v="131656"/>
        <n v="131693"/>
        <n v="131696"/>
        <n v="131699"/>
        <n v="131702"/>
        <n v="131708"/>
        <n v="131713"/>
        <n v="131716"/>
        <n v="131719"/>
        <n v="131726"/>
        <n v="131734"/>
        <n v="131738"/>
        <n v="131779"/>
        <n v="131784"/>
        <n v="131787"/>
        <n v="131810"/>
        <n v="131822"/>
        <n v="131828"/>
        <n v="131833"/>
        <n v="131852"/>
        <n v="131858"/>
        <n v="131863"/>
        <n v="131865"/>
        <n v="131866"/>
        <n v="131869"/>
        <n v="131870"/>
        <n v="131874"/>
        <n v="131881"/>
        <n v="131883"/>
        <n v="131887"/>
        <n v="131888"/>
        <n v="131890"/>
        <n v="131892"/>
        <n v="131893"/>
        <n v="131905"/>
        <n v="131909"/>
        <n v="131911"/>
        <n v="131916"/>
        <n v="131917"/>
        <n v="131918"/>
        <n v="131919"/>
        <n v="131920"/>
      </sharedItems>
    </cacheField>
    <cacheField name="Matrícula" numFmtId="0">
      <sharedItems count="9" containsMixedTypes="0" containsSemiMixedTypes="0" containsString="1" containsNumber="0">
        <s v="0315BGK"/>
        <s v="1076KSZ"/>
        <s v="1730KBZ"/>
        <s v="1821KBZ"/>
        <s v="3686KBG"/>
        <s v="6120JZX"/>
        <s v="7542KBV"/>
        <s v="7809JZX"/>
        <s v="7957JZS"/>
      </sharedItems>
    </cacheField>
    <cacheField name="Peso total" numFmtId="0">
      <sharedItems count="158" containsMixedTypes="0" containsSemiMixedTypes="0" containsString="0" containsNumber="1">
        <n v="2500"/>
        <n v="2540"/>
        <n v="2560"/>
        <n v="2580"/>
        <n v="2600"/>
        <n v="2620"/>
        <n v="2640"/>
        <n v="2660"/>
        <n v="2820"/>
        <n v="2860"/>
        <n v="2900"/>
        <n v="2940"/>
        <n v="2960"/>
        <n v="3020"/>
        <n v="3040"/>
        <n v="3060"/>
        <n v="3080"/>
        <n v="3100"/>
        <n v="3120"/>
        <n v="3140"/>
        <n v="3160"/>
        <n v="3180"/>
        <n v="3200"/>
        <n v="3220"/>
        <n v="3240"/>
        <n v="3260"/>
        <n v="3280"/>
        <n v="3300"/>
        <n v="3320"/>
        <n v="3340"/>
        <n v="3360"/>
        <n v="3380"/>
        <n v="3400"/>
        <n v="3420"/>
        <n v="3440"/>
        <n v="3460"/>
        <n v="3480"/>
        <n v="3560"/>
        <n v="3640"/>
        <n v="3660"/>
        <n v="4040"/>
        <n v="4120"/>
        <n v="4140"/>
        <n v="4160"/>
        <n v="4180"/>
        <n v="4220"/>
        <n v="4240"/>
        <n v="4260"/>
        <n v="4280"/>
        <n v="4300"/>
        <n v="4320"/>
        <n v="4340"/>
        <n v="4400"/>
        <n v="4420"/>
        <n v="4440"/>
        <n v="4500"/>
        <n v="4540"/>
        <n v="4640"/>
        <n v="4660"/>
        <n v="4760"/>
        <n v="4840"/>
        <n v="4880"/>
        <n v="5960"/>
        <n v="6040"/>
        <n v="6320"/>
        <n v="6440"/>
        <n v="6600"/>
        <n v="6620"/>
        <n v="6660"/>
        <n v="6680"/>
        <n v="6720"/>
        <n v="6760"/>
        <n v="7600"/>
        <n v="13720"/>
        <n v="16080"/>
        <n v="16140"/>
        <n v="16220"/>
        <n v="16720"/>
        <n v="16760"/>
        <n v="16900"/>
        <n v="16960"/>
        <n v="17060"/>
        <n v="17080"/>
        <n v="17260"/>
        <n v="17440"/>
        <n v="17460"/>
        <n v="17520"/>
        <n v="17560"/>
        <n v="17580"/>
        <n v="17640"/>
        <n v="17660"/>
        <n v="17700"/>
        <n v="17720"/>
        <n v="17740"/>
        <n v="17800"/>
        <n v="17980"/>
        <n v="18020"/>
        <n v="18040"/>
        <n v="18140"/>
        <n v="18160"/>
        <n v="18220"/>
        <n v="18420"/>
        <n v="18540"/>
        <n v="18560"/>
        <n v="18740"/>
        <n v="18860"/>
        <n v="18960"/>
        <n v="19260"/>
        <n v="19660"/>
        <n v="19860"/>
        <n v="19900"/>
        <n v="20480"/>
        <n v="20540"/>
        <n v="20740"/>
        <n v="21460"/>
        <n v="22060"/>
        <n v="22180"/>
        <n v="22340"/>
        <n v="22660"/>
        <n v="22860"/>
        <n v="23100"/>
        <n v="23120"/>
        <n v="23260"/>
        <n v="23720"/>
        <n v="23740"/>
        <n v="23920"/>
        <n v="24000"/>
        <n v="24200"/>
        <n v="24580"/>
        <n v="24660"/>
        <n v="24880"/>
        <n v="25040"/>
        <n v="25060"/>
        <n v="25160"/>
        <n v="25180"/>
        <n v="25400"/>
        <n v="25500"/>
        <n v="25640"/>
        <n v="25700"/>
        <n v="25760"/>
        <n v="25820"/>
        <n v="25840"/>
        <n v="25940"/>
        <n v="26040"/>
        <n v="26140"/>
        <n v="26160"/>
        <n v="26300"/>
        <n v="26400"/>
        <n v="26460"/>
        <n v="26600"/>
        <n v="26640"/>
        <n v="26860"/>
        <n v="26960"/>
        <n v="27080"/>
        <n v="28240"/>
        <n v="29020"/>
        <n v="29420"/>
        <n v="31340"/>
      </sharedItems>
    </cacheField>
    <cacheField name="Tara" numFmtId="0">
      <sharedItems count="86" containsMixedTypes="0" containsSemiMixedTypes="0" containsString="0" containsNumber="1">
        <n v="2300"/>
        <n v="2320"/>
        <n v="2360"/>
        <n v="2380"/>
        <n v="2400"/>
        <n v="2680"/>
        <n v="2700"/>
        <n v="2720"/>
        <n v="2760"/>
        <n v="2780"/>
        <n v="2800"/>
        <n v="2820"/>
        <n v="2840"/>
        <n v="2860"/>
        <n v="2880"/>
        <n v="2900"/>
        <n v="2920"/>
        <n v="3060"/>
        <n v="3080"/>
        <n v="3100"/>
        <n v="3120"/>
        <n v="3140"/>
        <n v="3160"/>
        <n v="3180"/>
        <n v="3280"/>
        <n v="3300"/>
        <n v="3340"/>
        <n v="3360"/>
        <n v="3400"/>
        <n v="3420"/>
        <n v="3440"/>
        <n v="3600"/>
        <n v="3640"/>
        <n v="3700"/>
        <n v="3740"/>
        <n v="3760"/>
        <n v="3780"/>
        <n v="3800"/>
        <n v="3820"/>
        <n v="5560"/>
        <n v="5600"/>
        <n v="5700"/>
        <n v="5960"/>
        <n v="6320"/>
        <n v="6600"/>
        <n v="6620"/>
        <n v="6720"/>
        <n v="12760"/>
        <n v="12780"/>
        <n v="12820"/>
        <n v="12840"/>
        <n v="12860"/>
        <n v="12880"/>
        <n v="12900"/>
        <n v="12920"/>
        <n v="12940"/>
        <n v="12960"/>
        <n v="13020"/>
        <n v="13040"/>
        <n v="13060"/>
        <n v="13100"/>
        <n v="15300"/>
        <n v="15700"/>
        <n v="15720"/>
        <n v="15740"/>
        <n v="15760"/>
        <n v="15800"/>
        <n v="15840"/>
        <n v="15860"/>
        <n v="15880"/>
        <n v="15900"/>
        <n v="15920"/>
        <n v="15940"/>
        <n v="15960"/>
        <n v="15980"/>
        <n v="16000"/>
        <n v="16020"/>
        <n v="16040"/>
        <n v="16060"/>
        <n v="16080"/>
        <n v="16100"/>
        <n v="16160"/>
        <n v="16260"/>
        <n v="16280"/>
        <n v="18020"/>
        <n v="19560"/>
      </sharedItems>
    </cacheField>
    <cacheField name="Carga" numFmtId="0">
      <sharedItems count="125" containsMixedTypes="0" containsSemiMixedTypes="0" containsString="0" containsNumber="1">
        <n v="20"/>
        <n v="40"/>
        <n v="60"/>
        <n v="80"/>
        <n v="100"/>
        <n v="120"/>
        <n v="140"/>
        <n v="160"/>
        <n v="180"/>
        <n v="200"/>
        <n v="240"/>
        <n v="260"/>
        <n v="280"/>
        <n v="300"/>
        <n v="320"/>
        <n v="340"/>
        <n v="360"/>
        <n v="380"/>
        <n v="420"/>
        <n v="440"/>
        <n v="460"/>
        <n v="480"/>
        <n v="500"/>
        <n v="540"/>
        <n v="560"/>
        <n v="580"/>
        <n v="600"/>
        <n v="620"/>
        <n v="640"/>
        <n v="680"/>
        <n v="700"/>
        <n v="720"/>
        <n v="760"/>
        <n v="780"/>
        <n v="820"/>
        <n v="900"/>
        <n v="920"/>
        <n v="1020"/>
        <n v="1120"/>
        <n v="1240"/>
        <n v="1280"/>
        <n v="1580"/>
        <n v="1680"/>
        <n v="1700"/>
        <n v="1760"/>
        <n v="1840"/>
        <n v="1880"/>
        <n v="1940"/>
        <n v="2000"/>
        <n v="2040"/>
        <n v="2140"/>
        <n v="2220"/>
        <n v="2320"/>
        <n v="3300"/>
        <n v="3360"/>
        <n v="3400"/>
        <n v="3800"/>
        <n v="3820"/>
        <n v="3840"/>
        <n v="3960"/>
        <n v="4120"/>
        <n v="4220"/>
        <n v="4300"/>
        <n v="4380"/>
        <n v="4460"/>
        <n v="4480"/>
        <n v="4620"/>
        <n v="4720"/>
        <n v="4740"/>
        <n v="4760"/>
        <n v="4980"/>
        <n v="5000"/>
        <n v="5160"/>
        <n v="5440"/>
        <n v="5520"/>
        <n v="5560"/>
        <n v="5620"/>
        <n v="5660"/>
        <n v="5720"/>
        <n v="5860"/>
        <n v="5900"/>
        <n v="6220"/>
        <n v="6340"/>
        <n v="6600"/>
        <n v="6800"/>
        <n v="7040"/>
        <n v="7120"/>
        <n v="7260"/>
        <n v="7620"/>
        <n v="7820"/>
        <n v="8140"/>
        <n v="8420"/>
        <n v="8440"/>
        <n v="8780"/>
        <n v="8900"/>
        <n v="9020"/>
        <n v="9140"/>
        <n v="9260"/>
        <n v="9280"/>
        <n v="9300"/>
        <n v="9320"/>
        <n v="9360"/>
        <n v="9580"/>
        <n v="9660"/>
        <n v="9820"/>
        <n v="9900"/>
        <n v="9980"/>
        <n v="10000"/>
        <n v="10060"/>
        <n v="10180"/>
        <n v="10300"/>
        <n v="10380"/>
        <n v="10400"/>
        <n v="10680"/>
        <n v="10720"/>
        <n v="10760"/>
        <n v="11000"/>
        <n v="11020"/>
        <n v="11240"/>
        <n v="11340"/>
        <n v="11560"/>
        <n v="12940"/>
        <n v="13720"/>
        <n v="14120"/>
        <n v="16040"/>
      </sharedItems>
    </cacheField>
    <cacheField name="Población" numFmtId="0">
      <sharedItems count="1" containsMixedTypes="0" containsSemiMixedTypes="0" containsString="1" containsNumber="0">
        <s v="PEÑISCOLA"/>
      </sharedItems>
    </cacheField>
    <cacheField name="Residuo" numFmtId="0">
      <sharedItems count="6" containsMixedTypes="0" containsSemiMixedTypes="0" containsString="1" containsNumber="0">
        <s v="LIMP.PLAYA"/>
        <s v="PODA"/>
        <s v="RSU"/>
        <s v="SEL.ENV"/>
        <s v="SEL.PAP"/>
        <s v="VOL"/>
      </sharedItems>
    </cacheField>
    <cacheField name="Revisado" numFmtId="0">
      <sharedItems count="2" containsMixedTypes="1" containsSemiMixedTypes="1" containsString="1" containsNumber="0">
        <s v="x"/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18">
  <r>
    <x v="0"/>
    <x v="145"/>
    <x v="4"/>
    <x v="5"/>
    <x v="23"/>
    <x v="13"/>
    <x v="16"/>
    <x v="0"/>
    <x v="5"/>
  </r>
  <r>
    <x v="0"/>
    <x v="146"/>
    <x v="5"/>
    <x v="5"/>
    <x v="9"/>
    <x v="11"/>
    <x v="1"/>
    <x v="0"/>
    <x v="5"/>
  </r>
  <r>
    <x v="0"/>
    <x v="19"/>
    <x v="84"/>
    <x v="6"/>
    <x v="102"/>
    <x v="54"/>
    <x v="76"/>
    <x v="0"/>
    <x v="2"/>
  </r>
  <r>
    <x v="0"/>
    <x v="58"/>
    <x v="85"/>
    <x v="7"/>
    <x v="47"/>
    <x v="35"/>
    <x v="22"/>
    <x v="0"/>
    <x v="2"/>
  </r>
  <r>
    <x v="0"/>
    <x v="70"/>
    <x v="86"/>
    <x v="3"/>
    <x v="151"/>
    <x v="80"/>
    <x v="115"/>
    <x v="0"/>
    <x v="2"/>
  </r>
  <r>
    <x v="1"/>
    <x v="158"/>
    <x v="6"/>
    <x v="1"/>
    <x v="10"/>
    <x v="7"/>
    <x v="8"/>
    <x v="0"/>
    <x v="1"/>
  </r>
  <r>
    <x v="1"/>
    <x v="2"/>
    <x v="87"/>
    <x v="2"/>
    <x v="114"/>
    <x v="66"/>
    <x v="77"/>
    <x v="0"/>
    <x v="2"/>
  </r>
  <r>
    <x v="1"/>
    <x v="9"/>
    <x v="88"/>
    <x v="6"/>
    <x v="106"/>
    <x v="60"/>
    <x v="79"/>
    <x v="0"/>
    <x v="2"/>
  </r>
  <r>
    <x v="1"/>
    <x v="25"/>
    <x v="89"/>
    <x v="3"/>
    <x v="110"/>
    <x v="79"/>
    <x v="57"/>
    <x v="0"/>
    <x v="2"/>
  </r>
  <r>
    <x v="1"/>
    <x v="55"/>
    <x v="90"/>
    <x v="7"/>
    <x v="51"/>
    <x v="36"/>
    <x v="24"/>
    <x v="0"/>
    <x v="2"/>
  </r>
  <r>
    <x v="2"/>
    <x v="135"/>
    <x v="7"/>
    <x v="5"/>
    <x v="18"/>
    <x v="13"/>
    <x v="11"/>
    <x v="0"/>
    <x v="5"/>
  </r>
  <r>
    <x v="2"/>
    <x v="139"/>
    <x v="8"/>
    <x v="5"/>
    <x v="20"/>
    <x v="20"/>
    <x v="1"/>
    <x v="0"/>
    <x v="5"/>
  </r>
  <r>
    <x v="2"/>
    <x v="25"/>
    <x v="91"/>
    <x v="3"/>
    <x v="109"/>
    <x v="78"/>
    <x v="56"/>
    <x v="0"/>
    <x v="2"/>
  </r>
  <r>
    <x v="2"/>
    <x v="34"/>
    <x v="92"/>
    <x v="6"/>
    <x v="107"/>
    <x v="54"/>
    <x v="82"/>
    <x v="0"/>
    <x v="2"/>
  </r>
  <r>
    <x v="2"/>
    <x v="61"/>
    <x v="93"/>
    <x v="7"/>
    <x v="48"/>
    <x v="37"/>
    <x v="21"/>
    <x v="0"/>
    <x v="2"/>
  </r>
  <r>
    <x v="2"/>
    <x v="74"/>
    <x v="94"/>
    <x v="2"/>
    <x v="119"/>
    <x v="64"/>
    <x v="86"/>
    <x v="0"/>
    <x v="2"/>
  </r>
  <r>
    <x v="2"/>
    <x v="105"/>
    <x v="95"/>
    <x v="5"/>
    <x v="19"/>
    <x v="11"/>
    <x v="14"/>
    <x v="0"/>
    <x v="2"/>
  </r>
  <r>
    <x v="3"/>
    <x v="6"/>
    <x v="96"/>
    <x v="6"/>
    <x v="105"/>
    <x v="56"/>
    <x v="80"/>
    <x v="0"/>
    <x v="2"/>
  </r>
  <r>
    <x v="3"/>
    <x v="33"/>
    <x v="97"/>
    <x v="7"/>
    <x v="57"/>
    <x v="34"/>
    <x v="35"/>
    <x v="0"/>
    <x v="2"/>
  </r>
  <r>
    <x v="3"/>
    <x v="43"/>
    <x v="98"/>
    <x v="2"/>
    <x v="153"/>
    <x v="67"/>
    <x v="118"/>
    <x v="0"/>
    <x v="2"/>
  </r>
  <r>
    <x v="3"/>
    <x v="103"/>
    <x v="99"/>
    <x v="5"/>
    <x v="17"/>
    <x v="10"/>
    <x v="13"/>
    <x v="0"/>
    <x v="2"/>
  </r>
  <r>
    <x v="4"/>
    <x v="101"/>
    <x v="9"/>
    <x v="5"/>
    <x v="26"/>
    <x v="10"/>
    <x v="21"/>
    <x v="0"/>
    <x v="5"/>
  </r>
  <r>
    <x v="4"/>
    <x v="103"/>
    <x v="10"/>
    <x v="5"/>
    <x v="10"/>
    <x v="10"/>
    <x v="4"/>
    <x v="0"/>
    <x v="5"/>
  </r>
  <r>
    <x v="4"/>
    <x v="153"/>
    <x v="11"/>
    <x v="5"/>
    <x v="37"/>
    <x v="9"/>
    <x v="33"/>
    <x v="0"/>
    <x v="5"/>
  </r>
  <r>
    <x v="4"/>
    <x v="154"/>
    <x v="12"/>
    <x v="5"/>
    <x v="8"/>
    <x v="9"/>
    <x v="1"/>
    <x v="0"/>
    <x v="5"/>
  </r>
  <r>
    <x v="4"/>
    <x v="161"/>
    <x v="13"/>
    <x v="1"/>
    <x v="16"/>
    <x v="7"/>
    <x v="16"/>
    <x v="0"/>
    <x v="1"/>
  </r>
  <r>
    <x v="4"/>
    <x v="10"/>
    <x v="100"/>
    <x v="6"/>
    <x v="83"/>
    <x v="48"/>
    <x v="65"/>
    <x v="0"/>
    <x v="2"/>
  </r>
  <r>
    <x v="4"/>
    <x v="27"/>
    <x v="101"/>
    <x v="3"/>
    <x v="112"/>
    <x v="81"/>
    <x v="63"/>
    <x v="0"/>
    <x v="2"/>
  </r>
  <r>
    <x v="4"/>
    <x v="56"/>
    <x v="102"/>
    <x v="7"/>
    <x v="54"/>
    <x v="35"/>
    <x v="29"/>
    <x v="0"/>
    <x v="2"/>
  </r>
  <r>
    <x v="4"/>
    <x v="73"/>
    <x v="103"/>
    <x v="2"/>
    <x v="118"/>
    <x v="68"/>
    <x v="84"/>
    <x v="0"/>
    <x v="2"/>
  </r>
  <r>
    <x v="5"/>
    <x v="129"/>
    <x v="14"/>
    <x v="2"/>
    <x v="85"/>
    <x v="62"/>
    <x v="44"/>
    <x v="0"/>
    <x v="4"/>
  </r>
  <r>
    <x v="5"/>
    <x v="149"/>
    <x v="15"/>
    <x v="5"/>
    <x v="21"/>
    <x v="11"/>
    <x v="16"/>
    <x v="0"/>
    <x v="5"/>
  </r>
  <r>
    <x v="5"/>
    <x v="151"/>
    <x v="16"/>
    <x v="5"/>
    <x v="26"/>
    <x v="23"/>
    <x v="4"/>
    <x v="0"/>
    <x v="5"/>
  </r>
  <r>
    <x v="5"/>
    <x v="36"/>
    <x v="104"/>
    <x v="6"/>
    <x v="101"/>
    <x v="51"/>
    <x v="75"/>
    <x v="0"/>
    <x v="2"/>
  </r>
  <r>
    <x v="5"/>
    <x v="51"/>
    <x v="105"/>
    <x v="2"/>
    <x v="132"/>
    <x v="65"/>
    <x v="99"/>
    <x v="0"/>
    <x v="2"/>
  </r>
  <r>
    <x v="5"/>
    <x v="63"/>
    <x v="106"/>
    <x v="7"/>
    <x v="41"/>
    <x v="35"/>
    <x v="16"/>
    <x v="0"/>
    <x v="2"/>
  </r>
  <r>
    <x v="6"/>
    <x v="137"/>
    <x v="0"/>
    <x v="2"/>
    <x v="97"/>
    <x v="63"/>
    <x v="52"/>
    <x v="0"/>
    <x v="3"/>
  </r>
  <r>
    <x v="6"/>
    <x v="89"/>
    <x v="17"/>
    <x v="5"/>
    <x v="27"/>
    <x v="11"/>
    <x v="21"/>
    <x v="0"/>
    <x v="5"/>
  </r>
  <r>
    <x v="6"/>
    <x v="90"/>
    <x v="18"/>
    <x v="5"/>
    <x v="28"/>
    <x v="25"/>
    <x v="0"/>
    <x v="0"/>
    <x v="5"/>
  </r>
  <r>
    <x v="6"/>
    <x v="126"/>
    <x v="19"/>
    <x v="5"/>
    <x v="34"/>
    <x v="12"/>
    <x v="26"/>
    <x v="0"/>
    <x v="5"/>
  </r>
  <r>
    <x v="6"/>
    <x v="127"/>
    <x v="20"/>
    <x v="5"/>
    <x v="35"/>
    <x v="30"/>
    <x v="0"/>
    <x v="0"/>
    <x v="5"/>
  </r>
  <r>
    <x v="6"/>
    <x v="15"/>
    <x v="107"/>
    <x v="6"/>
    <x v="82"/>
    <x v="48"/>
    <x v="62"/>
    <x v="0"/>
    <x v="2"/>
  </r>
  <r>
    <x v="6"/>
    <x v="57"/>
    <x v="108"/>
    <x v="7"/>
    <x v="40"/>
    <x v="33"/>
    <x v="15"/>
    <x v="0"/>
    <x v="2"/>
  </r>
  <r>
    <x v="6"/>
    <x v="69"/>
    <x v="109"/>
    <x v="2"/>
    <x v="140"/>
    <x v="67"/>
    <x v="106"/>
    <x v="0"/>
    <x v="2"/>
  </r>
  <r>
    <x v="6"/>
    <x v="120"/>
    <x v="110"/>
    <x v="4"/>
    <x v="2"/>
    <x v="0"/>
    <x v="11"/>
    <x v="0"/>
    <x v="2"/>
  </r>
  <r>
    <x v="7"/>
    <x v="117"/>
    <x v="21"/>
    <x v="1"/>
    <x v="11"/>
    <x v="6"/>
    <x v="10"/>
    <x v="0"/>
    <x v="1"/>
  </r>
  <r>
    <x v="7"/>
    <x v="148"/>
    <x v="22"/>
    <x v="5"/>
    <x v="19"/>
    <x v="10"/>
    <x v="15"/>
    <x v="0"/>
    <x v="5"/>
  </r>
  <r>
    <x v="7"/>
    <x v="152"/>
    <x v="23"/>
    <x v="5"/>
    <x v="20"/>
    <x v="21"/>
    <x v="0"/>
    <x v="0"/>
    <x v="5"/>
  </r>
  <r>
    <x v="7"/>
    <x v="15"/>
    <x v="111"/>
    <x v="6"/>
    <x v="97"/>
    <x v="52"/>
    <x v="72"/>
    <x v="0"/>
    <x v="2"/>
  </r>
  <r>
    <x v="7"/>
    <x v="47"/>
    <x v="112"/>
    <x v="2"/>
    <x v="139"/>
    <x v="68"/>
    <x v="105"/>
    <x v="0"/>
    <x v="2"/>
  </r>
  <r>
    <x v="7"/>
    <x v="59"/>
    <x v="113"/>
    <x v="7"/>
    <x v="41"/>
    <x v="34"/>
    <x v="17"/>
    <x v="0"/>
    <x v="2"/>
  </r>
  <r>
    <x v="7"/>
    <x v="140"/>
    <x v="114"/>
    <x v="4"/>
    <x v="6"/>
    <x v="3"/>
    <x v="11"/>
    <x v="0"/>
    <x v="2"/>
  </r>
  <r>
    <x v="8"/>
    <x v="16"/>
    <x v="115"/>
    <x v="6"/>
    <x v="89"/>
    <x v="53"/>
    <x v="68"/>
    <x v="0"/>
    <x v="2"/>
  </r>
  <r>
    <x v="8"/>
    <x v="35"/>
    <x v="116"/>
    <x v="2"/>
    <x v="128"/>
    <x v="66"/>
    <x v="93"/>
    <x v="0"/>
    <x v="2"/>
  </r>
  <r>
    <x v="8"/>
    <x v="42"/>
    <x v="117"/>
    <x v="7"/>
    <x v="49"/>
    <x v="35"/>
    <x v="23"/>
    <x v="0"/>
    <x v="2"/>
  </r>
  <r>
    <x v="8"/>
    <x v="108"/>
    <x v="118"/>
    <x v="4"/>
    <x v="5"/>
    <x v="3"/>
    <x v="10"/>
    <x v="0"/>
    <x v="2"/>
  </r>
  <r>
    <x v="9"/>
    <x v="15"/>
    <x v="119"/>
    <x v="6"/>
    <x v="111"/>
    <x v="51"/>
    <x v="88"/>
    <x v="0"/>
    <x v="2"/>
  </r>
  <r>
    <x v="9"/>
    <x v="32"/>
    <x v="120"/>
    <x v="2"/>
    <x v="148"/>
    <x v="64"/>
    <x v="114"/>
    <x v="0"/>
    <x v="2"/>
  </r>
  <r>
    <x v="9"/>
    <x v="65"/>
    <x v="121"/>
    <x v="7"/>
    <x v="59"/>
    <x v="34"/>
    <x v="37"/>
    <x v="0"/>
    <x v="2"/>
  </r>
  <r>
    <x v="9"/>
    <x v="137"/>
    <x v="122"/>
    <x v="4"/>
    <x v="3"/>
    <x v="4"/>
    <x v="8"/>
    <x v="0"/>
    <x v="2"/>
  </r>
  <r>
    <x v="10"/>
    <x v="24"/>
    <x v="123"/>
    <x v="2"/>
    <x v="152"/>
    <x v="72"/>
    <x v="117"/>
    <x v="0"/>
    <x v="2"/>
  </r>
  <r>
    <x v="10"/>
    <x v="38"/>
    <x v="124"/>
    <x v="7"/>
    <x v="60"/>
    <x v="31"/>
    <x v="39"/>
    <x v="0"/>
    <x v="2"/>
  </r>
  <r>
    <x v="10"/>
    <x v="41"/>
    <x v="125"/>
    <x v="6"/>
    <x v="125"/>
    <x v="54"/>
    <x v="116"/>
    <x v="0"/>
    <x v="2"/>
  </r>
  <r>
    <x v="10"/>
    <x v="106"/>
    <x v="126"/>
    <x v="4"/>
    <x v="3"/>
    <x v="1"/>
    <x v="11"/>
    <x v="0"/>
    <x v="2"/>
  </r>
  <r>
    <x v="11"/>
    <x v="4"/>
    <x v="127"/>
    <x v="6"/>
    <x v="116"/>
    <x v="54"/>
    <x v="97"/>
    <x v="0"/>
    <x v="2"/>
  </r>
  <r>
    <x v="11"/>
    <x v="26"/>
    <x v="128"/>
    <x v="2"/>
    <x v="130"/>
    <x v="68"/>
    <x v="95"/>
    <x v="0"/>
    <x v="2"/>
  </r>
  <r>
    <x v="11"/>
    <x v="40"/>
    <x v="129"/>
    <x v="7"/>
    <x v="61"/>
    <x v="35"/>
    <x v="38"/>
    <x v="0"/>
    <x v="2"/>
  </r>
  <r>
    <x v="11"/>
    <x v="55"/>
    <x v="130"/>
    <x v="2"/>
    <x v="115"/>
    <x v="67"/>
    <x v="81"/>
    <x v="0"/>
    <x v="2"/>
  </r>
  <r>
    <x v="11"/>
    <x v="107"/>
    <x v="131"/>
    <x v="4"/>
    <x v="7"/>
    <x v="2"/>
    <x v="13"/>
    <x v="0"/>
    <x v="2"/>
  </r>
  <r>
    <x v="11"/>
    <x v="152"/>
    <x v="132"/>
    <x v="4"/>
    <x v="2"/>
    <x v="2"/>
    <x v="9"/>
    <x v="0"/>
    <x v="2"/>
  </r>
  <r>
    <x v="12"/>
    <x v="83"/>
    <x v="24"/>
    <x v="0"/>
    <x v="108"/>
    <x v="82"/>
    <x v="55"/>
    <x v="0"/>
    <x v="5"/>
  </r>
  <r>
    <x v="12"/>
    <x v="84"/>
    <x v="25"/>
    <x v="0"/>
    <x v="108"/>
    <x v="85"/>
    <x v="4"/>
    <x v="0"/>
    <x v="5"/>
  </r>
  <r>
    <x v="12"/>
    <x v="128"/>
    <x v="26"/>
    <x v="0"/>
    <x v="84"/>
    <x v="68"/>
    <x v="41"/>
    <x v="0"/>
    <x v="5"/>
  </r>
  <r>
    <x v="12"/>
    <x v="145"/>
    <x v="27"/>
    <x v="2"/>
    <x v="90"/>
    <x v="63"/>
    <x v="47"/>
    <x v="0"/>
    <x v="4"/>
  </r>
  <r>
    <x v="12"/>
    <x v="1"/>
    <x v="133"/>
    <x v="6"/>
    <x v="117"/>
    <x v="57"/>
    <x v="100"/>
    <x v="0"/>
    <x v="2"/>
  </r>
  <r>
    <x v="12"/>
    <x v="31"/>
    <x v="134"/>
    <x v="2"/>
    <x v="144"/>
    <x v="65"/>
    <x v="111"/>
    <x v="0"/>
    <x v="2"/>
  </r>
  <r>
    <x v="12"/>
    <x v="61"/>
    <x v="135"/>
    <x v="7"/>
    <x v="58"/>
    <x v="34"/>
    <x v="36"/>
    <x v="0"/>
    <x v="2"/>
  </r>
  <r>
    <x v="12"/>
    <x v="78"/>
    <x v="136"/>
    <x v="2"/>
    <x v="113"/>
    <x v="64"/>
    <x v="71"/>
    <x v="0"/>
    <x v="2"/>
  </r>
  <r>
    <x v="13"/>
    <x v="137"/>
    <x v="1"/>
    <x v="2"/>
    <x v="88"/>
    <x v="64"/>
    <x v="45"/>
    <x v="0"/>
    <x v="3"/>
  </r>
  <r>
    <x v="13"/>
    <x v="87"/>
    <x v="28"/>
    <x v="8"/>
    <x v="70"/>
    <x v="41"/>
    <x v="37"/>
    <x v="0"/>
    <x v="5"/>
  </r>
  <r>
    <x v="13"/>
    <x v="88"/>
    <x v="29"/>
    <x v="8"/>
    <x v="71"/>
    <x v="46"/>
    <x v="1"/>
    <x v="0"/>
    <x v="5"/>
  </r>
  <r>
    <x v="13"/>
    <x v="116"/>
    <x v="30"/>
    <x v="5"/>
    <x v="38"/>
    <x v="16"/>
    <x v="31"/>
    <x v="0"/>
    <x v="5"/>
  </r>
  <r>
    <x v="13"/>
    <x v="134"/>
    <x v="31"/>
    <x v="8"/>
    <x v="62"/>
    <x v="40"/>
    <x v="16"/>
    <x v="0"/>
    <x v="5"/>
  </r>
  <r>
    <x v="13"/>
    <x v="136"/>
    <x v="32"/>
    <x v="8"/>
    <x v="63"/>
    <x v="42"/>
    <x v="3"/>
    <x v="0"/>
    <x v="5"/>
  </r>
  <r>
    <x v="13"/>
    <x v="158"/>
    <x v="33"/>
    <x v="5"/>
    <x v="30"/>
    <x v="16"/>
    <x v="19"/>
    <x v="0"/>
    <x v="5"/>
  </r>
  <r>
    <x v="13"/>
    <x v="160"/>
    <x v="34"/>
    <x v="5"/>
    <x v="32"/>
    <x v="27"/>
    <x v="1"/>
    <x v="0"/>
    <x v="5"/>
  </r>
  <r>
    <x v="13"/>
    <x v="162"/>
    <x v="35"/>
    <x v="1"/>
    <x v="26"/>
    <x v="6"/>
    <x v="25"/>
    <x v="0"/>
    <x v="1"/>
  </r>
  <r>
    <x v="13"/>
    <x v="11"/>
    <x v="137"/>
    <x v="6"/>
    <x v="108"/>
    <x v="59"/>
    <x v="83"/>
    <x v="0"/>
    <x v="2"/>
  </r>
  <r>
    <x v="13"/>
    <x v="37"/>
    <x v="138"/>
    <x v="2"/>
    <x v="133"/>
    <x v="68"/>
    <x v="99"/>
    <x v="0"/>
    <x v="2"/>
  </r>
  <r>
    <x v="13"/>
    <x v="60"/>
    <x v="139"/>
    <x v="7"/>
    <x v="46"/>
    <x v="36"/>
    <x v="20"/>
    <x v="0"/>
    <x v="2"/>
  </r>
  <r>
    <x v="13"/>
    <x v="67"/>
    <x v="140"/>
    <x v="2"/>
    <x v="92"/>
    <x v="67"/>
    <x v="46"/>
    <x v="0"/>
    <x v="2"/>
  </r>
  <r>
    <x v="14"/>
    <x v="111"/>
    <x v="36"/>
    <x v="5"/>
    <x v="34"/>
    <x v="11"/>
    <x v="27"/>
    <x v="0"/>
    <x v="5"/>
  </r>
  <r>
    <x v="14"/>
    <x v="113"/>
    <x v="37"/>
    <x v="5"/>
    <x v="35"/>
    <x v="30"/>
    <x v="0"/>
    <x v="0"/>
    <x v="5"/>
  </r>
  <r>
    <x v="14"/>
    <x v="157"/>
    <x v="38"/>
    <x v="1"/>
    <x v="32"/>
    <x v="6"/>
    <x v="30"/>
    <x v="0"/>
    <x v="1"/>
  </r>
  <r>
    <x v="14"/>
    <x v="159"/>
    <x v="39"/>
    <x v="5"/>
    <x v="15"/>
    <x v="10"/>
    <x v="11"/>
    <x v="0"/>
    <x v="5"/>
  </r>
  <r>
    <x v="14"/>
    <x v="160"/>
    <x v="40"/>
    <x v="5"/>
    <x v="17"/>
    <x v="17"/>
    <x v="1"/>
    <x v="0"/>
    <x v="5"/>
  </r>
  <r>
    <x v="14"/>
    <x v="22"/>
    <x v="141"/>
    <x v="6"/>
    <x v="103"/>
    <x v="50"/>
    <x v="78"/>
    <x v="0"/>
    <x v="2"/>
  </r>
  <r>
    <x v="14"/>
    <x v="63"/>
    <x v="142"/>
    <x v="7"/>
    <x v="42"/>
    <x v="35"/>
    <x v="17"/>
    <x v="0"/>
    <x v="2"/>
  </r>
  <r>
    <x v="14"/>
    <x v="75"/>
    <x v="143"/>
    <x v="2"/>
    <x v="143"/>
    <x v="68"/>
    <x v="109"/>
    <x v="0"/>
    <x v="2"/>
  </r>
  <r>
    <x v="14"/>
    <x v="104"/>
    <x v="144"/>
    <x v="4"/>
    <x v="4"/>
    <x v="4"/>
    <x v="9"/>
    <x v="0"/>
    <x v="2"/>
  </r>
  <r>
    <x v="15"/>
    <x v="152"/>
    <x v="41"/>
    <x v="5"/>
    <x v="20"/>
    <x v="13"/>
    <x v="13"/>
    <x v="0"/>
    <x v="5"/>
  </r>
  <r>
    <x v="15"/>
    <x v="155"/>
    <x v="42"/>
    <x v="5"/>
    <x v="21"/>
    <x v="22"/>
    <x v="0"/>
    <x v="0"/>
    <x v="5"/>
  </r>
  <r>
    <x v="15"/>
    <x v="3"/>
    <x v="145"/>
    <x v="6"/>
    <x v="100"/>
    <x v="48"/>
    <x v="73"/>
    <x v="0"/>
    <x v="2"/>
  </r>
  <r>
    <x v="15"/>
    <x v="62"/>
    <x v="146"/>
    <x v="7"/>
    <x v="41"/>
    <x v="34"/>
    <x v="17"/>
    <x v="0"/>
    <x v="2"/>
  </r>
  <r>
    <x v="15"/>
    <x v="77"/>
    <x v="147"/>
    <x v="2"/>
    <x v="145"/>
    <x v="68"/>
    <x v="110"/>
    <x v="0"/>
    <x v="2"/>
  </r>
  <r>
    <x v="15"/>
    <x v="125"/>
    <x v="148"/>
    <x v="4"/>
    <x v="6"/>
    <x v="3"/>
    <x v="11"/>
    <x v="0"/>
    <x v="2"/>
  </r>
  <r>
    <x v="16"/>
    <x v="137"/>
    <x v="43"/>
    <x v="5"/>
    <x v="34"/>
    <x v="14"/>
    <x v="24"/>
    <x v="0"/>
    <x v="5"/>
  </r>
  <r>
    <x v="16"/>
    <x v="137"/>
    <x v="44"/>
    <x v="5"/>
    <x v="36"/>
    <x v="30"/>
    <x v="1"/>
    <x v="0"/>
    <x v="5"/>
  </r>
  <r>
    <x v="16"/>
    <x v="4"/>
    <x v="149"/>
    <x v="6"/>
    <x v="77"/>
    <x v="52"/>
    <x v="58"/>
    <x v="0"/>
    <x v="2"/>
  </r>
  <r>
    <x v="16"/>
    <x v="66"/>
    <x v="150"/>
    <x v="7"/>
    <x v="50"/>
    <x v="36"/>
    <x v="23"/>
    <x v="0"/>
    <x v="2"/>
  </r>
  <r>
    <x v="16"/>
    <x v="79"/>
    <x v="151"/>
    <x v="2"/>
    <x v="142"/>
    <x v="73"/>
    <x v="106"/>
    <x v="0"/>
    <x v="2"/>
  </r>
  <r>
    <x v="16"/>
    <x v="123"/>
    <x v="152"/>
    <x v="4"/>
    <x v="3"/>
    <x v="3"/>
    <x v="9"/>
    <x v="0"/>
    <x v="2"/>
  </r>
  <r>
    <x v="17"/>
    <x v="0"/>
    <x v="153"/>
    <x v="6"/>
    <x v="102"/>
    <x v="57"/>
    <x v="74"/>
    <x v="0"/>
    <x v="2"/>
  </r>
  <r>
    <x v="17"/>
    <x v="29"/>
    <x v="154"/>
    <x v="7"/>
    <x v="55"/>
    <x v="34"/>
    <x v="32"/>
    <x v="0"/>
    <x v="2"/>
  </r>
  <r>
    <x v="17"/>
    <x v="54"/>
    <x v="155"/>
    <x v="2"/>
    <x v="149"/>
    <x v="71"/>
    <x v="113"/>
    <x v="0"/>
    <x v="2"/>
  </r>
  <r>
    <x v="18"/>
    <x v="129"/>
    <x v="45"/>
    <x v="5"/>
    <x v="33"/>
    <x v="12"/>
    <x v="25"/>
    <x v="0"/>
    <x v="5"/>
  </r>
  <r>
    <x v="18"/>
    <x v="130"/>
    <x v="46"/>
    <x v="5"/>
    <x v="36"/>
    <x v="29"/>
    <x v="2"/>
    <x v="0"/>
    <x v="5"/>
  </r>
  <r>
    <x v="18"/>
    <x v="141"/>
    <x v="47"/>
    <x v="2"/>
    <x v="91"/>
    <x v="75"/>
    <x v="43"/>
    <x v="0"/>
    <x v="4"/>
  </r>
  <r>
    <x v="18"/>
    <x v="19"/>
    <x v="156"/>
    <x v="6"/>
    <x v="80"/>
    <x v="50"/>
    <x v="60"/>
    <x v="0"/>
    <x v="2"/>
  </r>
  <r>
    <x v="18"/>
    <x v="57"/>
    <x v="157"/>
    <x v="7"/>
    <x v="52"/>
    <x v="33"/>
    <x v="30"/>
    <x v="0"/>
    <x v="2"/>
  </r>
  <r>
    <x v="18"/>
    <x v="71"/>
    <x v="158"/>
    <x v="2"/>
    <x v="146"/>
    <x v="70"/>
    <x v="112"/>
    <x v="0"/>
    <x v="2"/>
  </r>
  <r>
    <x v="18"/>
    <x v="112"/>
    <x v="159"/>
    <x v="4"/>
    <x v="7"/>
    <x v="2"/>
    <x v="13"/>
    <x v="0"/>
    <x v="2"/>
  </r>
  <r>
    <x v="18"/>
    <x v="133"/>
    <x v="160"/>
    <x v="4"/>
    <x v="0"/>
    <x v="2"/>
    <x v="6"/>
    <x v="0"/>
    <x v="2"/>
  </r>
  <r>
    <x v="19"/>
    <x v="89"/>
    <x v="48"/>
    <x v="5"/>
    <x v="31"/>
    <x v="26"/>
    <x v="1"/>
    <x v="0"/>
    <x v="5"/>
  </r>
  <r>
    <x v="19"/>
    <x v="92"/>
    <x v="49"/>
    <x v="5"/>
    <x v="29"/>
    <x v="8"/>
    <x v="25"/>
    <x v="0"/>
    <x v="5"/>
  </r>
  <r>
    <x v="19"/>
    <x v="114"/>
    <x v="50"/>
    <x v="1"/>
    <x v="23"/>
    <x v="5"/>
    <x v="23"/>
    <x v="0"/>
    <x v="1"/>
  </r>
  <r>
    <x v="19"/>
    <x v="119"/>
    <x v="51"/>
    <x v="5"/>
    <x v="32"/>
    <x v="8"/>
    <x v="28"/>
    <x v="0"/>
    <x v="5"/>
  </r>
  <r>
    <x v="19"/>
    <x v="147"/>
    <x v="52"/>
    <x v="1"/>
    <x v="22"/>
    <x v="9"/>
    <x v="18"/>
    <x v="0"/>
    <x v="1"/>
  </r>
  <r>
    <x v="19"/>
    <x v="14"/>
    <x v="161"/>
    <x v="6"/>
    <x v="93"/>
    <x v="47"/>
    <x v="70"/>
    <x v="0"/>
    <x v="2"/>
  </r>
  <r>
    <x v="19"/>
    <x v="68"/>
    <x v="162"/>
    <x v="7"/>
    <x v="42"/>
    <x v="35"/>
    <x v="17"/>
    <x v="0"/>
    <x v="2"/>
  </r>
  <r>
    <x v="19"/>
    <x v="75"/>
    <x v="163"/>
    <x v="2"/>
    <x v="143"/>
    <x v="74"/>
    <x v="108"/>
    <x v="0"/>
    <x v="2"/>
  </r>
  <r>
    <x v="19"/>
    <x v="131"/>
    <x v="164"/>
    <x v="4"/>
    <x v="7"/>
    <x v="4"/>
    <x v="11"/>
    <x v="0"/>
    <x v="2"/>
  </r>
  <r>
    <x v="20"/>
    <x v="137"/>
    <x v="2"/>
    <x v="3"/>
    <x v="84"/>
    <x v="65"/>
    <x v="42"/>
    <x v="0"/>
    <x v="3"/>
  </r>
  <r>
    <x v="20"/>
    <x v="102"/>
    <x v="53"/>
    <x v="5"/>
    <x v="38"/>
    <x v="16"/>
    <x v="31"/>
    <x v="0"/>
    <x v="5"/>
  </r>
  <r>
    <x v="20"/>
    <x v="102"/>
    <x v="53"/>
    <x v="5"/>
    <x v="39"/>
    <x v="32"/>
    <x v="0"/>
    <x v="0"/>
    <x v="5"/>
  </r>
  <r>
    <x v="20"/>
    <x v="103"/>
    <x v="54"/>
    <x v="1"/>
    <x v="25"/>
    <x v="5"/>
    <x v="25"/>
    <x v="0"/>
    <x v="1"/>
  </r>
  <r>
    <x v="20"/>
    <x v="124"/>
    <x v="55"/>
    <x v="5"/>
    <x v="29"/>
    <x v="24"/>
    <x v="2"/>
    <x v="0"/>
    <x v="5"/>
  </r>
  <r>
    <x v="20"/>
    <x v="124"/>
    <x v="56"/>
    <x v="5"/>
    <x v="26"/>
    <x v="16"/>
    <x v="16"/>
    <x v="0"/>
    <x v="5"/>
  </r>
  <r>
    <x v="20"/>
    <x v="143"/>
    <x v="57"/>
    <x v="5"/>
    <x v="20"/>
    <x v="15"/>
    <x v="11"/>
    <x v="0"/>
    <x v="5"/>
  </r>
  <r>
    <x v="20"/>
    <x v="143"/>
    <x v="58"/>
    <x v="5"/>
    <x v="21"/>
    <x v="22"/>
    <x v="0"/>
    <x v="0"/>
    <x v="5"/>
  </r>
  <r>
    <x v="20"/>
    <x v="152"/>
    <x v="59"/>
    <x v="1"/>
    <x v="18"/>
    <x v="9"/>
    <x v="15"/>
    <x v="0"/>
    <x v="1"/>
  </r>
  <r>
    <x v="20"/>
    <x v="17"/>
    <x v="165"/>
    <x v="6"/>
    <x v="89"/>
    <x v="54"/>
    <x v="67"/>
    <x v="0"/>
    <x v="2"/>
  </r>
  <r>
    <x v="20"/>
    <x v="48"/>
    <x v="166"/>
    <x v="2"/>
    <x v="147"/>
    <x v="76"/>
    <x v="111"/>
    <x v="0"/>
    <x v="2"/>
  </r>
  <r>
    <x v="20"/>
    <x v="55"/>
    <x v="167"/>
    <x v="7"/>
    <x v="45"/>
    <x v="35"/>
    <x v="20"/>
    <x v="0"/>
    <x v="2"/>
  </r>
  <r>
    <x v="20"/>
    <x v="95"/>
    <x v="168"/>
    <x v="6"/>
    <x v="73"/>
    <x v="53"/>
    <x v="34"/>
    <x v="0"/>
    <x v="2"/>
  </r>
  <r>
    <x v="21"/>
    <x v="13"/>
    <x v="169"/>
    <x v="6"/>
    <x v="79"/>
    <x v="55"/>
    <x v="59"/>
    <x v="0"/>
    <x v="2"/>
  </r>
  <r>
    <x v="21"/>
    <x v="46"/>
    <x v="170"/>
    <x v="2"/>
    <x v="137"/>
    <x v="74"/>
    <x v="103"/>
    <x v="0"/>
    <x v="2"/>
  </r>
  <r>
    <x v="21"/>
    <x v="60"/>
    <x v="171"/>
    <x v="7"/>
    <x v="44"/>
    <x v="34"/>
    <x v="19"/>
    <x v="0"/>
    <x v="2"/>
  </r>
  <r>
    <x v="21"/>
    <x v="99"/>
    <x v="60"/>
    <x v="5"/>
    <x v="17"/>
    <x v="10"/>
    <x v="13"/>
    <x v="0"/>
    <x v="5"/>
  </r>
  <r>
    <x v="21"/>
    <x v="100"/>
    <x v="61"/>
    <x v="5"/>
    <x v="19"/>
    <x v="19"/>
    <x v="1"/>
    <x v="0"/>
    <x v="5"/>
  </r>
  <r>
    <x v="21"/>
    <x v="162"/>
    <x v="63"/>
    <x v="5"/>
    <x v="14"/>
    <x v="10"/>
    <x v="10"/>
    <x v="0"/>
    <x v="5"/>
  </r>
  <r>
    <x v="21"/>
    <x v="142"/>
    <x v="62"/>
    <x v="1"/>
    <x v="22"/>
    <x v="7"/>
    <x v="21"/>
    <x v="0"/>
    <x v="1"/>
  </r>
  <r>
    <x v="22"/>
    <x v="30"/>
    <x v="173"/>
    <x v="3"/>
    <x v="95"/>
    <x v="67"/>
    <x v="50"/>
    <x v="0"/>
    <x v="2"/>
  </r>
  <r>
    <x v="22"/>
    <x v="8"/>
    <x v="172"/>
    <x v="6"/>
    <x v="75"/>
    <x v="48"/>
    <x v="54"/>
    <x v="0"/>
    <x v="2"/>
  </r>
  <r>
    <x v="22"/>
    <x v="59"/>
    <x v="175"/>
    <x v="7"/>
    <x v="47"/>
    <x v="37"/>
    <x v="20"/>
    <x v="0"/>
    <x v="2"/>
  </r>
  <r>
    <x v="22"/>
    <x v="45"/>
    <x v="174"/>
    <x v="2"/>
    <x v="120"/>
    <x v="78"/>
    <x v="85"/>
    <x v="0"/>
    <x v="2"/>
  </r>
  <r>
    <x v="22"/>
    <x v="164"/>
    <x v="66"/>
    <x v="1"/>
    <x v="20"/>
    <x v="12"/>
    <x v="14"/>
    <x v="0"/>
    <x v="1"/>
  </r>
  <r>
    <x v="22"/>
    <x v="154"/>
    <x v="64"/>
    <x v="5"/>
    <x v="32"/>
    <x v="6"/>
    <x v="30"/>
    <x v="0"/>
    <x v="5"/>
  </r>
  <r>
    <x v="22"/>
    <x v="160"/>
    <x v="65"/>
    <x v="5"/>
    <x v="33"/>
    <x v="28"/>
    <x v="0"/>
    <x v="0"/>
    <x v="5"/>
  </r>
  <r>
    <x v="23"/>
    <x v="96"/>
    <x v="67"/>
    <x v="8"/>
    <x v="72"/>
    <x v="39"/>
    <x v="49"/>
    <x v="0"/>
    <x v="5"/>
  </r>
  <r>
    <x v="23"/>
    <x v="62"/>
    <x v="179"/>
    <x v="7"/>
    <x v="49"/>
    <x v="35"/>
    <x v="23"/>
    <x v="0"/>
    <x v="2"/>
  </r>
  <r>
    <x v="23"/>
    <x v="20"/>
    <x v="176"/>
    <x v="6"/>
    <x v="104"/>
    <x v="52"/>
    <x v="79"/>
    <x v="0"/>
    <x v="2"/>
  </r>
  <r>
    <x v="23"/>
    <x v="28"/>
    <x v="177"/>
    <x v="3"/>
    <x v="109"/>
    <x v="70"/>
    <x v="59"/>
    <x v="0"/>
    <x v="2"/>
  </r>
  <r>
    <x v="23"/>
    <x v="163"/>
    <x v="180"/>
    <x v="5"/>
    <x v="24"/>
    <x v="10"/>
    <x v="19"/>
    <x v="0"/>
    <x v="2"/>
  </r>
  <r>
    <x v="23"/>
    <x v="41"/>
    <x v="178"/>
    <x v="2"/>
    <x v="122"/>
    <x v="75"/>
    <x v="87"/>
    <x v="0"/>
    <x v="2"/>
  </r>
  <r>
    <x v="24"/>
    <x v="23"/>
    <x v="182"/>
    <x v="7"/>
    <x v="56"/>
    <x v="35"/>
    <x v="33"/>
    <x v="0"/>
    <x v="2"/>
  </r>
  <r>
    <x v="24"/>
    <x v="39"/>
    <x v="183"/>
    <x v="2"/>
    <x v="131"/>
    <x v="65"/>
    <x v="98"/>
    <x v="0"/>
    <x v="2"/>
  </r>
  <r>
    <x v="24"/>
    <x v="5"/>
    <x v="181"/>
    <x v="6"/>
    <x v="94"/>
    <x v="58"/>
    <x v="69"/>
    <x v="0"/>
    <x v="2"/>
  </r>
  <r>
    <x v="25"/>
    <x v="11"/>
    <x v="184"/>
    <x v="6"/>
    <x v="86"/>
    <x v="59"/>
    <x v="64"/>
    <x v="0"/>
    <x v="2"/>
  </r>
  <r>
    <x v="25"/>
    <x v="76"/>
    <x v="186"/>
    <x v="3"/>
    <x v="141"/>
    <x v="67"/>
    <x v="107"/>
    <x v="0"/>
    <x v="2"/>
  </r>
  <r>
    <x v="25"/>
    <x v="49"/>
    <x v="185"/>
    <x v="7"/>
    <x v="53"/>
    <x v="38"/>
    <x v="26"/>
    <x v="0"/>
    <x v="2"/>
  </r>
  <r>
    <x v="25"/>
    <x v="165"/>
    <x v="3"/>
    <x v="3"/>
    <x v="78"/>
    <x v="64"/>
    <x v="37"/>
    <x v="0"/>
    <x v="3"/>
  </r>
  <r>
    <x v="25"/>
    <x v="156"/>
    <x v="68"/>
    <x v="1"/>
    <x v="12"/>
    <x v="11"/>
    <x v="6"/>
    <x v="0"/>
    <x v="1"/>
  </r>
  <r>
    <x v="26"/>
    <x v="72"/>
    <x v="189"/>
    <x v="3"/>
    <x v="135"/>
    <x v="64"/>
    <x v="103"/>
    <x v="0"/>
    <x v="2"/>
  </r>
  <r>
    <x v="26"/>
    <x v="44"/>
    <x v="188"/>
    <x v="7"/>
    <x v="43"/>
    <x v="36"/>
    <x v="17"/>
    <x v="0"/>
    <x v="2"/>
  </r>
  <r>
    <x v="26"/>
    <x v="21"/>
    <x v="187"/>
    <x v="6"/>
    <x v="76"/>
    <x v="54"/>
    <x v="53"/>
    <x v="0"/>
    <x v="2"/>
  </r>
  <r>
    <x v="26"/>
    <x v="91"/>
    <x v="70"/>
    <x v="0"/>
    <x v="96"/>
    <x v="76"/>
    <x v="48"/>
    <x v="0"/>
    <x v="5"/>
  </r>
  <r>
    <x v="26"/>
    <x v="93"/>
    <x v="71"/>
    <x v="0"/>
    <x v="98"/>
    <x v="84"/>
    <x v="5"/>
    <x v="0"/>
    <x v="5"/>
  </r>
  <r>
    <x v="26"/>
    <x v="105"/>
    <x v="72"/>
    <x v="0"/>
    <x v="87"/>
    <x v="83"/>
    <x v="40"/>
    <x v="0"/>
    <x v="5"/>
  </r>
  <r>
    <x v="26"/>
    <x v="132"/>
    <x v="73"/>
    <x v="3"/>
    <x v="99"/>
    <x v="72"/>
    <x v="51"/>
    <x v="0"/>
    <x v="4"/>
  </r>
  <r>
    <x v="26"/>
    <x v="82"/>
    <x v="69"/>
    <x v="5"/>
    <x v="34"/>
    <x v="10"/>
    <x v="28"/>
    <x v="0"/>
    <x v="5"/>
  </r>
  <r>
    <x v="26"/>
    <x v="162"/>
    <x v="75"/>
    <x v="5"/>
    <x v="20"/>
    <x v="18"/>
    <x v="3"/>
    <x v="0"/>
    <x v="5"/>
  </r>
  <r>
    <x v="26"/>
    <x v="162"/>
    <x v="74"/>
    <x v="5"/>
    <x v="16"/>
    <x v="10"/>
    <x v="12"/>
    <x v="0"/>
    <x v="5"/>
  </r>
  <r>
    <x v="26"/>
    <x v="152"/>
    <x v="190"/>
    <x v="4"/>
    <x v="4"/>
    <x v="1"/>
    <x v="12"/>
    <x v="0"/>
    <x v="2"/>
  </r>
  <r>
    <x v="27"/>
    <x v="77"/>
    <x v="193"/>
    <x v="3"/>
    <x v="138"/>
    <x v="69"/>
    <x v="104"/>
    <x v="0"/>
    <x v="2"/>
  </r>
  <r>
    <x v="27"/>
    <x v="7"/>
    <x v="191"/>
    <x v="6"/>
    <x v="88"/>
    <x v="50"/>
    <x v="68"/>
    <x v="0"/>
    <x v="2"/>
  </r>
  <r>
    <x v="27"/>
    <x v="50"/>
    <x v="192"/>
    <x v="7"/>
    <x v="45"/>
    <x v="35"/>
    <x v="20"/>
    <x v="0"/>
    <x v="2"/>
  </r>
  <r>
    <x v="27"/>
    <x v="97"/>
    <x v="76"/>
    <x v="8"/>
    <x v="67"/>
    <x v="41"/>
    <x v="36"/>
    <x v="0"/>
    <x v="5"/>
  </r>
  <r>
    <x v="27"/>
    <x v="98"/>
    <x v="77"/>
    <x v="8"/>
    <x v="69"/>
    <x v="45"/>
    <x v="2"/>
    <x v="0"/>
    <x v="5"/>
  </r>
  <r>
    <x v="27"/>
    <x v="135"/>
    <x v="78"/>
    <x v="8"/>
    <x v="66"/>
    <x v="41"/>
    <x v="35"/>
    <x v="0"/>
    <x v="5"/>
  </r>
  <r>
    <x v="27"/>
    <x v="137"/>
    <x v="79"/>
    <x v="8"/>
    <x v="68"/>
    <x v="44"/>
    <x v="2"/>
    <x v="0"/>
    <x v="5"/>
  </r>
  <r>
    <x v="27"/>
    <x v="138"/>
    <x v="80"/>
    <x v="1"/>
    <x v="13"/>
    <x v="11"/>
    <x v="9"/>
    <x v="0"/>
    <x v="1"/>
  </r>
  <r>
    <x v="28"/>
    <x v="18"/>
    <x v="194"/>
    <x v="6"/>
    <x v="74"/>
    <x v="48"/>
    <x v="53"/>
    <x v="0"/>
    <x v="2"/>
  </r>
  <r>
    <x v="28"/>
    <x v="53"/>
    <x v="195"/>
    <x v="7"/>
    <x v="46"/>
    <x v="36"/>
    <x v="20"/>
    <x v="0"/>
    <x v="2"/>
  </r>
  <r>
    <x v="28"/>
    <x v="74"/>
    <x v="196"/>
    <x v="3"/>
    <x v="126"/>
    <x v="68"/>
    <x v="90"/>
    <x v="0"/>
    <x v="2"/>
  </r>
  <r>
    <x v="28"/>
    <x v="110"/>
    <x v="200"/>
    <x v="0"/>
    <x v="155"/>
    <x v="61"/>
    <x v="122"/>
    <x v="0"/>
    <x v="0"/>
  </r>
  <r>
    <x v="28"/>
    <x v="94"/>
    <x v="199"/>
    <x v="0"/>
    <x v="151"/>
    <x v="61"/>
    <x v="120"/>
    <x v="0"/>
    <x v="0"/>
  </r>
  <r>
    <x v="28"/>
    <x v="85"/>
    <x v="198"/>
    <x v="0"/>
    <x v="129"/>
    <x v="61"/>
    <x v="101"/>
    <x v="0"/>
    <x v="0"/>
  </r>
  <r>
    <x v="28"/>
    <x v="80"/>
    <x v="197"/>
    <x v="0"/>
    <x v="121"/>
    <x v="61"/>
    <x v="89"/>
    <x v="0"/>
    <x v="0"/>
  </r>
  <r>
    <x v="29"/>
    <x v="52"/>
    <x v="202"/>
    <x v="7"/>
    <x v="43"/>
    <x v="37"/>
    <x v="16"/>
    <x v="0"/>
    <x v="2"/>
  </r>
  <r>
    <x v="29"/>
    <x v="12"/>
    <x v="201"/>
    <x v="6"/>
    <x v="81"/>
    <x v="50"/>
    <x v="61"/>
    <x v="0"/>
    <x v="2"/>
  </r>
  <r>
    <x v="29"/>
    <x v="65"/>
    <x v="203"/>
    <x v="2"/>
    <x v="134"/>
    <x v="77"/>
    <x v="96"/>
    <x v="0"/>
    <x v="2"/>
  </r>
  <r>
    <x v="29"/>
    <x v="150"/>
    <x v="81"/>
    <x v="1"/>
    <x v="18"/>
    <x v="12"/>
    <x v="12"/>
    <x v="0"/>
    <x v="1"/>
  </r>
  <r>
    <x v="29"/>
    <x v="102"/>
    <x v="206"/>
    <x v="5"/>
    <x v="25"/>
    <x v="12"/>
    <x v="18"/>
    <x v="0"/>
    <x v="2"/>
  </r>
  <r>
    <x v="29"/>
    <x v="118"/>
    <x v="208"/>
    <x v="0"/>
    <x v="156"/>
    <x v="61"/>
    <x v="123"/>
    <x v="0"/>
    <x v="0"/>
  </r>
  <r>
    <x v="29"/>
    <x v="109"/>
    <x v="207"/>
    <x v="0"/>
    <x v="154"/>
    <x v="61"/>
    <x v="121"/>
    <x v="0"/>
    <x v="0"/>
  </r>
  <r>
    <x v="29"/>
    <x v="90"/>
    <x v="205"/>
    <x v="0"/>
    <x v="150"/>
    <x v="61"/>
    <x v="119"/>
    <x v="0"/>
    <x v="0"/>
  </r>
  <r>
    <x v="29"/>
    <x v="81"/>
    <x v="204"/>
    <x v="0"/>
    <x v="127"/>
    <x v="61"/>
    <x v="94"/>
    <x v="0"/>
    <x v="0"/>
  </r>
  <r>
    <x v="30"/>
    <x v="122"/>
    <x v="82"/>
    <x v="8"/>
    <x v="64"/>
    <x v="40"/>
    <x v="31"/>
    <x v="0"/>
    <x v="5"/>
  </r>
  <r>
    <x v="30"/>
    <x v="130"/>
    <x v="83"/>
    <x v="8"/>
    <x v="65"/>
    <x v="43"/>
    <x v="5"/>
    <x v="0"/>
    <x v="5"/>
  </r>
  <r>
    <x v="30"/>
    <x v="144"/>
    <x v="216"/>
    <x v="4"/>
    <x v="1"/>
    <x v="3"/>
    <x v="7"/>
    <x v="0"/>
    <x v="2"/>
  </r>
  <r>
    <x v="30"/>
    <x v="115"/>
    <x v="214"/>
    <x v="0"/>
    <x v="138"/>
    <x v="61"/>
    <x v="112"/>
    <x v="0"/>
    <x v="0"/>
  </r>
  <r>
    <x v="30"/>
    <x v="121"/>
    <x v="215"/>
    <x v="0"/>
    <x v="157"/>
    <x v="61"/>
    <x v="124"/>
    <x v="0"/>
    <x v="0"/>
  </r>
  <r>
    <x v="30"/>
    <x v="106"/>
    <x v="213"/>
    <x v="0"/>
    <x v="123"/>
    <x v="61"/>
    <x v="91"/>
    <x v="0"/>
    <x v="0"/>
  </r>
  <r>
    <x v="30"/>
    <x v="86"/>
    <x v="212"/>
    <x v="0"/>
    <x v="124"/>
    <x v="61"/>
    <x v="92"/>
    <x v="0"/>
    <x v="0"/>
  </r>
  <r>
    <x v="30"/>
    <x v="24"/>
    <x v="209"/>
    <x v="6"/>
    <x v="84"/>
    <x v="49"/>
    <x v="66"/>
    <x v="0"/>
    <x v="2"/>
  </r>
  <r>
    <x v="30"/>
    <x v="64"/>
    <x v="211"/>
    <x v="2"/>
    <x v="136"/>
    <x v="71"/>
    <x v="102"/>
    <x v="0"/>
    <x v="2"/>
  </r>
  <r>
    <x v="30"/>
    <x v="61"/>
    <x v="210"/>
    <x v="7"/>
    <x v="45"/>
    <x v="35"/>
    <x v="20"/>
    <x v="0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218">
  <r>
    <x v="0"/>
    <x v="145"/>
    <x v="4"/>
    <x v="5"/>
    <x v="23"/>
    <x v="13"/>
    <x v="16"/>
    <x v="0"/>
    <x v="5"/>
    <x v="1"/>
  </r>
  <r>
    <x v="0"/>
    <x v="146"/>
    <x v="5"/>
    <x v="5"/>
    <x v="9"/>
    <x v="11"/>
    <x v="1"/>
    <x v="0"/>
    <x v="5"/>
    <x v="1"/>
  </r>
  <r>
    <x v="0"/>
    <x v="19"/>
    <x v="84"/>
    <x v="6"/>
    <x v="102"/>
    <x v="54"/>
    <x v="76"/>
    <x v="0"/>
    <x v="2"/>
    <x v="1"/>
  </r>
  <r>
    <x v="0"/>
    <x v="58"/>
    <x v="85"/>
    <x v="7"/>
    <x v="47"/>
    <x v="35"/>
    <x v="22"/>
    <x v="0"/>
    <x v="2"/>
    <x v="1"/>
  </r>
  <r>
    <x v="0"/>
    <x v="70"/>
    <x v="86"/>
    <x v="3"/>
    <x v="151"/>
    <x v="80"/>
    <x v="115"/>
    <x v="0"/>
    <x v="2"/>
    <x v="1"/>
  </r>
  <r>
    <x v="1"/>
    <x v="158"/>
    <x v="6"/>
    <x v="1"/>
    <x v="10"/>
    <x v="7"/>
    <x v="8"/>
    <x v="0"/>
    <x v="1"/>
    <x v="1"/>
  </r>
  <r>
    <x v="1"/>
    <x v="2"/>
    <x v="87"/>
    <x v="2"/>
    <x v="114"/>
    <x v="66"/>
    <x v="77"/>
    <x v="0"/>
    <x v="2"/>
    <x v="1"/>
  </r>
  <r>
    <x v="1"/>
    <x v="9"/>
    <x v="88"/>
    <x v="6"/>
    <x v="106"/>
    <x v="60"/>
    <x v="79"/>
    <x v="0"/>
    <x v="2"/>
    <x v="1"/>
  </r>
  <r>
    <x v="1"/>
    <x v="25"/>
    <x v="89"/>
    <x v="3"/>
    <x v="110"/>
    <x v="79"/>
    <x v="57"/>
    <x v="0"/>
    <x v="2"/>
    <x v="1"/>
  </r>
  <r>
    <x v="1"/>
    <x v="55"/>
    <x v="90"/>
    <x v="7"/>
    <x v="51"/>
    <x v="36"/>
    <x v="24"/>
    <x v="0"/>
    <x v="2"/>
    <x v="1"/>
  </r>
  <r>
    <x v="2"/>
    <x v="135"/>
    <x v="7"/>
    <x v="5"/>
    <x v="18"/>
    <x v="13"/>
    <x v="11"/>
    <x v="0"/>
    <x v="5"/>
    <x v="1"/>
  </r>
  <r>
    <x v="2"/>
    <x v="139"/>
    <x v="8"/>
    <x v="5"/>
    <x v="20"/>
    <x v="20"/>
    <x v="1"/>
    <x v="0"/>
    <x v="5"/>
    <x v="1"/>
  </r>
  <r>
    <x v="2"/>
    <x v="25"/>
    <x v="91"/>
    <x v="3"/>
    <x v="109"/>
    <x v="78"/>
    <x v="56"/>
    <x v="0"/>
    <x v="2"/>
    <x v="1"/>
  </r>
  <r>
    <x v="2"/>
    <x v="34"/>
    <x v="92"/>
    <x v="6"/>
    <x v="107"/>
    <x v="54"/>
    <x v="82"/>
    <x v="0"/>
    <x v="2"/>
    <x v="1"/>
  </r>
  <r>
    <x v="2"/>
    <x v="61"/>
    <x v="93"/>
    <x v="7"/>
    <x v="48"/>
    <x v="37"/>
    <x v="21"/>
    <x v="0"/>
    <x v="2"/>
    <x v="1"/>
  </r>
  <r>
    <x v="2"/>
    <x v="74"/>
    <x v="94"/>
    <x v="2"/>
    <x v="119"/>
    <x v="64"/>
    <x v="86"/>
    <x v="0"/>
    <x v="2"/>
    <x v="1"/>
  </r>
  <r>
    <x v="2"/>
    <x v="105"/>
    <x v="95"/>
    <x v="5"/>
    <x v="19"/>
    <x v="11"/>
    <x v="14"/>
    <x v="0"/>
    <x v="2"/>
    <x v="1"/>
  </r>
  <r>
    <x v="3"/>
    <x v="6"/>
    <x v="96"/>
    <x v="6"/>
    <x v="105"/>
    <x v="56"/>
    <x v="80"/>
    <x v="0"/>
    <x v="2"/>
    <x v="1"/>
  </r>
  <r>
    <x v="3"/>
    <x v="33"/>
    <x v="97"/>
    <x v="7"/>
    <x v="57"/>
    <x v="34"/>
    <x v="35"/>
    <x v="0"/>
    <x v="2"/>
    <x v="1"/>
  </r>
  <r>
    <x v="3"/>
    <x v="43"/>
    <x v="98"/>
    <x v="2"/>
    <x v="153"/>
    <x v="67"/>
    <x v="118"/>
    <x v="0"/>
    <x v="2"/>
    <x v="1"/>
  </r>
  <r>
    <x v="3"/>
    <x v="103"/>
    <x v="99"/>
    <x v="5"/>
    <x v="17"/>
    <x v="10"/>
    <x v="13"/>
    <x v="0"/>
    <x v="2"/>
    <x v="1"/>
  </r>
  <r>
    <x v="4"/>
    <x v="101"/>
    <x v="9"/>
    <x v="5"/>
    <x v="26"/>
    <x v="10"/>
    <x v="21"/>
    <x v="0"/>
    <x v="5"/>
    <x v="1"/>
  </r>
  <r>
    <x v="4"/>
    <x v="103"/>
    <x v="10"/>
    <x v="5"/>
    <x v="10"/>
    <x v="10"/>
    <x v="4"/>
    <x v="0"/>
    <x v="5"/>
    <x v="1"/>
  </r>
  <r>
    <x v="4"/>
    <x v="153"/>
    <x v="11"/>
    <x v="5"/>
    <x v="37"/>
    <x v="9"/>
    <x v="33"/>
    <x v="0"/>
    <x v="5"/>
    <x v="1"/>
  </r>
  <r>
    <x v="4"/>
    <x v="154"/>
    <x v="12"/>
    <x v="5"/>
    <x v="8"/>
    <x v="9"/>
    <x v="1"/>
    <x v="0"/>
    <x v="5"/>
    <x v="1"/>
  </r>
  <r>
    <x v="4"/>
    <x v="161"/>
    <x v="13"/>
    <x v="1"/>
    <x v="16"/>
    <x v="7"/>
    <x v="16"/>
    <x v="0"/>
    <x v="1"/>
    <x v="1"/>
  </r>
  <r>
    <x v="4"/>
    <x v="10"/>
    <x v="100"/>
    <x v="6"/>
    <x v="83"/>
    <x v="48"/>
    <x v="65"/>
    <x v="0"/>
    <x v="2"/>
    <x v="1"/>
  </r>
  <r>
    <x v="4"/>
    <x v="27"/>
    <x v="101"/>
    <x v="3"/>
    <x v="112"/>
    <x v="81"/>
    <x v="63"/>
    <x v="0"/>
    <x v="2"/>
    <x v="1"/>
  </r>
  <r>
    <x v="4"/>
    <x v="56"/>
    <x v="102"/>
    <x v="7"/>
    <x v="54"/>
    <x v="35"/>
    <x v="29"/>
    <x v="0"/>
    <x v="2"/>
    <x v="1"/>
  </r>
  <r>
    <x v="4"/>
    <x v="73"/>
    <x v="103"/>
    <x v="2"/>
    <x v="118"/>
    <x v="68"/>
    <x v="84"/>
    <x v="0"/>
    <x v="2"/>
    <x v="1"/>
  </r>
  <r>
    <x v="5"/>
    <x v="129"/>
    <x v="14"/>
    <x v="2"/>
    <x v="85"/>
    <x v="62"/>
    <x v="44"/>
    <x v="0"/>
    <x v="4"/>
    <x v="0"/>
  </r>
  <r>
    <x v="5"/>
    <x v="149"/>
    <x v="15"/>
    <x v="5"/>
    <x v="21"/>
    <x v="11"/>
    <x v="16"/>
    <x v="0"/>
    <x v="5"/>
    <x v="1"/>
  </r>
  <r>
    <x v="5"/>
    <x v="151"/>
    <x v="16"/>
    <x v="5"/>
    <x v="26"/>
    <x v="23"/>
    <x v="4"/>
    <x v="0"/>
    <x v="5"/>
    <x v="1"/>
  </r>
  <r>
    <x v="5"/>
    <x v="36"/>
    <x v="104"/>
    <x v="6"/>
    <x v="101"/>
    <x v="51"/>
    <x v="75"/>
    <x v="0"/>
    <x v="2"/>
    <x v="1"/>
  </r>
  <r>
    <x v="5"/>
    <x v="51"/>
    <x v="105"/>
    <x v="2"/>
    <x v="132"/>
    <x v="65"/>
    <x v="99"/>
    <x v="0"/>
    <x v="2"/>
    <x v="1"/>
  </r>
  <r>
    <x v="5"/>
    <x v="63"/>
    <x v="106"/>
    <x v="7"/>
    <x v="41"/>
    <x v="35"/>
    <x v="16"/>
    <x v="0"/>
    <x v="2"/>
    <x v="1"/>
  </r>
  <r>
    <x v="6"/>
    <x v="137"/>
    <x v="0"/>
    <x v="2"/>
    <x v="97"/>
    <x v="63"/>
    <x v="52"/>
    <x v="0"/>
    <x v="3"/>
    <x v="0"/>
  </r>
  <r>
    <x v="6"/>
    <x v="89"/>
    <x v="17"/>
    <x v="5"/>
    <x v="27"/>
    <x v="11"/>
    <x v="21"/>
    <x v="0"/>
    <x v="5"/>
    <x v="1"/>
  </r>
  <r>
    <x v="6"/>
    <x v="90"/>
    <x v="18"/>
    <x v="5"/>
    <x v="28"/>
    <x v="25"/>
    <x v="0"/>
    <x v="0"/>
    <x v="5"/>
    <x v="1"/>
  </r>
  <r>
    <x v="6"/>
    <x v="126"/>
    <x v="19"/>
    <x v="5"/>
    <x v="34"/>
    <x v="12"/>
    <x v="26"/>
    <x v="0"/>
    <x v="5"/>
    <x v="1"/>
  </r>
  <r>
    <x v="6"/>
    <x v="127"/>
    <x v="20"/>
    <x v="5"/>
    <x v="35"/>
    <x v="30"/>
    <x v="0"/>
    <x v="0"/>
    <x v="5"/>
    <x v="1"/>
  </r>
  <r>
    <x v="6"/>
    <x v="15"/>
    <x v="107"/>
    <x v="6"/>
    <x v="82"/>
    <x v="48"/>
    <x v="62"/>
    <x v="0"/>
    <x v="2"/>
    <x v="1"/>
  </r>
  <r>
    <x v="6"/>
    <x v="57"/>
    <x v="108"/>
    <x v="7"/>
    <x v="40"/>
    <x v="33"/>
    <x v="15"/>
    <x v="0"/>
    <x v="2"/>
    <x v="1"/>
  </r>
  <r>
    <x v="6"/>
    <x v="69"/>
    <x v="109"/>
    <x v="2"/>
    <x v="140"/>
    <x v="67"/>
    <x v="106"/>
    <x v="0"/>
    <x v="2"/>
    <x v="1"/>
  </r>
  <r>
    <x v="6"/>
    <x v="120"/>
    <x v="110"/>
    <x v="4"/>
    <x v="2"/>
    <x v="0"/>
    <x v="11"/>
    <x v="0"/>
    <x v="2"/>
    <x v="1"/>
  </r>
  <r>
    <x v="7"/>
    <x v="117"/>
    <x v="21"/>
    <x v="1"/>
    <x v="11"/>
    <x v="6"/>
    <x v="10"/>
    <x v="0"/>
    <x v="1"/>
    <x v="1"/>
  </r>
  <r>
    <x v="7"/>
    <x v="148"/>
    <x v="22"/>
    <x v="5"/>
    <x v="19"/>
    <x v="10"/>
    <x v="15"/>
    <x v="0"/>
    <x v="5"/>
    <x v="1"/>
  </r>
  <r>
    <x v="7"/>
    <x v="152"/>
    <x v="23"/>
    <x v="5"/>
    <x v="20"/>
    <x v="21"/>
    <x v="0"/>
    <x v="0"/>
    <x v="5"/>
    <x v="1"/>
  </r>
  <r>
    <x v="7"/>
    <x v="15"/>
    <x v="111"/>
    <x v="6"/>
    <x v="97"/>
    <x v="52"/>
    <x v="72"/>
    <x v="0"/>
    <x v="2"/>
    <x v="1"/>
  </r>
  <r>
    <x v="7"/>
    <x v="47"/>
    <x v="112"/>
    <x v="2"/>
    <x v="139"/>
    <x v="68"/>
    <x v="105"/>
    <x v="0"/>
    <x v="2"/>
    <x v="1"/>
  </r>
  <r>
    <x v="7"/>
    <x v="59"/>
    <x v="113"/>
    <x v="7"/>
    <x v="41"/>
    <x v="34"/>
    <x v="17"/>
    <x v="0"/>
    <x v="2"/>
    <x v="1"/>
  </r>
  <r>
    <x v="7"/>
    <x v="140"/>
    <x v="114"/>
    <x v="4"/>
    <x v="6"/>
    <x v="3"/>
    <x v="11"/>
    <x v="0"/>
    <x v="2"/>
    <x v="1"/>
  </r>
  <r>
    <x v="8"/>
    <x v="16"/>
    <x v="115"/>
    <x v="6"/>
    <x v="89"/>
    <x v="53"/>
    <x v="68"/>
    <x v="0"/>
    <x v="2"/>
    <x v="1"/>
  </r>
  <r>
    <x v="8"/>
    <x v="35"/>
    <x v="116"/>
    <x v="2"/>
    <x v="128"/>
    <x v="66"/>
    <x v="93"/>
    <x v="0"/>
    <x v="2"/>
    <x v="1"/>
  </r>
  <r>
    <x v="8"/>
    <x v="42"/>
    <x v="117"/>
    <x v="7"/>
    <x v="49"/>
    <x v="35"/>
    <x v="23"/>
    <x v="0"/>
    <x v="2"/>
    <x v="1"/>
  </r>
  <r>
    <x v="8"/>
    <x v="108"/>
    <x v="118"/>
    <x v="4"/>
    <x v="5"/>
    <x v="3"/>
    <x v="10"/>
    <x v="0"/>
    <x v="2"/>
    <x v="1"/>
  </r>
  <r>
    <x v="9"/>
    <x v="15"/>
    <x v="119"/>
    <x v="6"/>
    <x v="111"/>
    <x v="51"/>
    <x v="88"/>
    <x v="0"/>
    <x v="2"/>
    <x v="1"/>
  </r>
  <r>
    <x v="9"/>
    <x v="32"/>
    <x v="120"/>
    <x v="2"/>
    <x v="148"/>
    <x v="64"/>
    <x v="114"/>
    <x v="0"/>
    <x v="2"/>
    <x v="1"/>
  </r>
  <r>
    <x v="9"/>
    <x v="65"/>
    <x v="121"/>
    <x v="7"/>
    <x v="59"/>
    <x v="34"/>
    <x v="37"/>
    <x v="0"/>
    <x v="2"/>
    <x v="1"/>
  </r>
  <r>
    <x v="9"/>
    <x v="137"/>
    <x v="122"/>
    <x v="4"/>
    <x v="3"/>
    <x v="4"/>
    <x v="8"/>
    <x v="0"/>
    <x v="2"/>
    <x v="1"/>
  </r>
  <r>
    <x v="10"/>
    <x v="24"/>
    <x v="123"/>
    <x v="2"/>
    <x v="152"/>
    <x v="72"/>
    <x v="117"/>
    <x v="0"/>
    <x v="2"/>
    <x v="1"/>
  </r>
  <r>
    <x v="10"/>
    <x v="38"/>
    <x v="124"/>
    <x v="7"/>
    <x v="60"/>
    <x v="31"/>
    <x v="39"/>
    <x v="0"/>
    <x v="2"/>
    <x v="1"/>
  </r>
  <r>
    <x v="10"/>
    <x v="41"/>
    <x v="125"/>
    <x v="6"/>
    <x v="125"/>
    <x v="54"/>
    <x v="116"/>
    <x v="0"/>
    <x v="2"/>
    <x v="1"/>
  </r>
  <r>
    <x v="10"/>
    <x v="106"/>
    <x v="126"/>
    <x v="4"/>
    <x v="3"/>
    <x v="1"/>
    <x v="11"/>
    <x v="0"/>
    <x v="2"/>
    <x v="1"/>
  </r>
  <r>
    <x v="11"/>
    <x v="4"/>
    <x v="127"/>
    <x v="6"/>
    <x v="116"/>
    <x v="54"/>
    <x v="97"/>
    <x v="0"/>
    <x v="2"/>
    <x v="0"/>
  </r>
  <r>
    <x v="11"/>
    <x v="26"/>
    <x v="128"/>
    <x v="2"/>
    <x v="130"/>
    <x v="68"/>
    <x v="95"/>
    <x v="0"/>
    <x v="2"/>
    <x v="0"/>
  </r>
  <r>
    <x v="11"/>
    <x v="40"/>
    <x v="129"/>
    <x v="7"/>
    <x v="61"/>
    <x v="35"/>
    <x v="38"/>
    <x v="0"/>
    <x v="2"/>
    <x v="0"/>
  </r>
  <r>
    <x v="11"/>
    <x v="55"/>
    <x v="130"/>
    <x v="2"/>
    <x v="115"/>
    <x v="67"/>
    <x v="81"/>
    <x v="0"/>
    <x v="2"/>
    <x v="0"/>
  </r>
  <r>
    <x v="11"/>
    <x v="107"/>
    <x v="131"/>
    <x v="4"/>
    <x v="7"/>
    <x v="2"/>
    <x v="13"/>
    <x v="0"/>
    <x v="2"/>
    <x v="0"/>
  </r>
  <r>
    <x v="11"/>
    <x v="152"/>
    <x v="132"/>
    <x v="4"/>
    <x v="2"/>
    <x v="2"/>
    <x v="9"/>
    <x v="0"/>
    <x v="2"/>
    <x v="0"/>
  </r>
  <r>
    <x v="12"/>
    <x v="83"/>
    <x v="24"/>
    <x v="0"/>
    <x v="108"/>
    <x v="82"/>
    <x v="55"/>
    <x v="0"/>
    <x v="5"/>
    <x v="0"/>
  </r>
  <r>
    <x v="12"/>
    <x v="84"/>
    <x v="25"/>
    <x v="0"/>
    <x v="108"/>
    <x v="85"/>
    <x v="4"/>
    <x v="0"/>
    <x v="5"/>
    <x v="0"/>
  </r>
  <r>
    <x v="12"/>
    <x v="128"/>
    <x v="26"/>
    <x v="0"/>
    <x v="84"/>
    <x v="68"/>
    <x v="41"/>
    <x v="0"/>
    <x v="5"/>
    <x v="0"/>
  </r>
  <r>
    <x v="12"/>
    <x v="145"/>
    <x v="27"/>
    <x v="2"/>
    <x v="90"/>
    <x v="63"/>
    <x v="47"/>
    <x v="0"/>
    <x v="4"/>
    <x v="0"/>
  </r>
  <r>
    <x v="12"/>
    <x v="1"/>
    <x v="133"/>
    <x v="6"/>
    <x v="117"/>
    <x v="57"/>
    <x v="100"/>
    <x v="0"/>
    <x v="2"/>
    <x v="0"/>
  </r>
  <r>
    <x v="12"/>
    <x v="31"/>
    <x v="134"/>
    <x v="2"/>
    <x v="144"/>
    <x v="65"/>
    <x v="111"/>
    <x v="0"/>
    <x v="2"/>
    <x v="0"/>
  </r>
  <r>
    <x v="12"/>
    <x v="61"/>
    <x v="135"/>
    <x v="7"/>
    <x v="58"/>
    <x v="34"/>
    <x v="36"/>
    <x v="0"/>
    <x v="2"/>
    <x v="0"/>
  </r>
  <r>
    <x v="12"/>
    <x v="78"/>
    <x v="136"/>
    <x v="2"/>
    <x v="113"/>
    <x v="64"/>
    <x v="71"/>
    <x v="0"/>
    <x v="2"/>
    <x v="0"/>
  </r>
  <r>
    <x v="13"/>
    <x v="137"/>
    <x v="1"/>
    <x v="2"/>
    <x v="88"/>
    <x v="64"/>
    <x v="45"/>
    <x v="0"/>
    <x v="3"/>
    <x v="0"/>
  </r>
  <r>
    <x v="13"/>
    <x v="87"/>
    <x v="28"/>
    <x v="8"/>
    <x v="70"/>
    <x v="41"/>
    <x v="37"/>
    <x v="0"/>
    <x v="5"/>
    <x v="0"/>
  </r>
  <r>
    <x v="13"/>
    <x v="88"/>
    <x v="29"/>
    <x v="8"/>
    <x v="71"/>
    <x v="46"/>
    <x v="1"/>
    <x v="0"/>
    <x v="5"/>
    <x v="0"/>
  </r>
  <r>
    <x v="13"/>
    <x v="116"/>
    <x v="30"/>
    <x v="5"/>
    <x v="38"/>
    <x v="16"/>
    <x v="31"/>
    <x v="0"/>
    <x v="5"/>
    <x v="0"/>
  </r>
  <r>
    <x v="13"/>
    <x v="134"/>
    <x v="31"/>
    <x v="8"/>
    <x v="62"/>
    <x v="40"/>
    <x v="16"/>
    <x v="0"/>
    <x v="5"/>
    <x v="0"/>
  </r>
  <r>
    <x v="13"/>
    <x v="136"/>
    <x v="32"/>
    <x v="8"/>
    <x v="63"/>
    <x v="42"/>
    <x v="3"/>
    <x v="0"/>
    <x v="5"/>
    <x v="0"/>
  </r>
  <r>
    <x v="13"/>
    <x v="158"/>
    <x v="33"/>
    <x v="5"/>
    <x v="30"/>
    <x v="16"/>
    <x v="19"/>
    <x v="0"/>
    <x v="5"/>
    <x v="0"/>
  </r>
  <r>
    <x v="13"/>
    <x v="160"/>
    <x v="34"/>
    <x v="5"/>
    <x v="32"/>
    <x v="27"/>
    <x v="1"/>
    <x v="0"/>
    <x v="5"/>
    <x v="0"/>
  </r>
  <r>
    <x v="13"/>
    <x v="162"/>
    <x v="35"/>
    <x v="1"/>
    <x v="26"/>
    <x v="6"/>
    <x v="25"/>
    <x v="0"/>
    <x v="1"/>
    <x v="0"/>
  </r>
  <r>
    <x v="13"/>
    <x v="11"/>
    <x v="137"/>
    <x v="6"/>
    <x v="108"/>
    <x v="59"/>
    <x v="83"/>
    <x v="0"/>
    <x v="2"/>
    <x v="0"/>
  </r>
  <r>
    <x v="13"/>
    <x v="37"/>
    <x v="138"/>
    <x v="2"/>
    <x v="133"/>
    <x v="68"/>
    <x v="99"/>
    <x v="0"/>
    <x v="2"/>
    <x v="0"/>
  </r>
  <r>
    <x v="13"/>
    <x v="60"/>
    <x v="139"/>
    <x v="7"/>
    <x v="46"/>
    <x v="36"/>
    <x v="20"/>
    <x v="0"/>
    <x v="2"/>
    <x v="0"/>
  </r>
  <r>
    <x v="13"/>
    <x v="67"/>
    <x v="140"/>
    <x v="2"/>
    <x v="92"/>
    <x v="67"/>
    <x v="46"/>
    <x v="0"/>
    <x v="2"/>
    <x v="0"/>
  </r>
  <r>
    <x v="14"/>
    <x v="111"/>
    <x v="36"/>
    <x v="5"/>
    <x v="34"/>
    <x v="11"/>
    <x v="27"/>
    <x v="0"/>
    <x v="5"/>
    <x v="0"/>
  </r>
  <r>
    <x v="14"/>
    <x v="113"/>
    <x v="37"/>
    <x v="5"/>
    <x v="35"/>
    <x v="30"/>
    <x v="0"/>
    <x v="0"/>
    <x v="5"/>
    <x v="0"/>
  </r>
  <r>
    <x v="14"/>
    <x v="157"/>
    <x v="38"/>
    <x v="1"/>
    <x v="32"/>
    <x v="6"/>
    <x v="30"/>
    <x v="0"/>
    <x v="1"/>
    <x v="0"/>
  </r>
  <r>
    <x v="14"/>
    <x v="159"/>
    <x v="39"/>
    <x v="5"/>
    <x v="15"/>
    <x v="10"/>
    <x v="11"/>
    <x v="0"/>
    <x v="5"/>
    <x v="0"/>
  </r>
  <r>
    <x v="14"/>
    <x v="160"/>
    <x v="40"/>
    <x v="5"/>
    <x v="17"/>
    <x v="17"/>
    <x v="1"/>
    <x v="0"/>
    <x v="5"/>
    <x v="0"/>
  </r>
  <r>
    <x v="14"/>
    <x v="22"/>
    <x v="141"/>
    <x v="6"/>
    <x v="103"/>
    <x v="50"/>
    <x v="78"/>
    <x v="0"/>
    <x v="2"/>
    <x v="0"/>
  </r>
  <r>
    <x v="14"/>
    <x v="63"/>
    <x v="142"/>
    <x v="7"/>
    <x v="42"/>
    <x v="35"/>
    <x v="17"/>
    <x v="0"/>
    <x v="2"/>
    <x v="0"/>
  </r>
  <r>
    <x v="14"/>
    <x v="75"/>
    <x v="143"/>
    <x v="2"/>
    <x v="143"/>
    <x v="68"/>
    <x v="109"/>
    <x v="0"/>
    <x v="2"/>
    <x v="0"/>
  </r>
  <r>
    <x v="14"/>
    <x v="104"/>
    <x v="144"/>
    <x v="4"/>
    <x v="4"/>
    <x v="4"/>
    <x v="9"/>
    <x v="0"/>
    <x v="2"/>
    <x v="0"/>
  </r>
  <r>
    <x v="15"/>
    <x v="152"/>
    <x v="41"/>
    <x v="5"/>
    <x v="20"/>
    <x v="13"/>
    <x v="13"/>
    <x v="0"/>
    <x v="5"/>
    <x v="0"/>
  </r>
  <r>
    <x v="15"/>
    <x v="155"/>
    <x v="42"/>
    <x v="5"/>
    <x v="21"/>
    <x v="22"/>
    <x v="0"/>
    <x v="0"/>
    <x v="5"/>
    <x v="0"/>
  </r>
  <r>
    <x v="15"/>
    <x v="3"/>
    <x v="145"/>
    <x v="6"/>
    <x v="100"/>
    <x v="48"/>
    <x v="73"/>
    <x v="0"/>
    <x v="2"/>
    <x v="0"/>
  </r>
  <r>
    <x v="15"/>
    <x v="62"/>
    <x v="146"/>
    <x v="7"/>
    <x v="41"/>
    <x v="34"/>
    <x v="17"/>
    <x v="0"/>
    <x v="2"/>
    <x v="0"/>
  </r>
  <r>
    <x v="15"/>
    <x v="77"/>
    <x v="147"/>
    <x v="2"/>
    <x v="145"/>
    <x v="68"/>
    <x v="110"/>
    <x v="0"/>
    <x v="2"/>
    <x v="0"/>
  </r>
  <r>
    <x v="15"/>
    <x v="125"/>
    <x v="148"/>
    <x v="4"/>
    <x v="6"/>
    <x v="3"/>
    <x v="11"/>
    <x v="0"/>
    <x v="2"/>
    <x v="0"/>
  </r>
  <r>
    <x v="16"/>
    <x v="137"/>
    <x v="43"/>
    <x v="5"/>
    <x v="34"/>
    <x v="14"/>
    <x v="24"/>
    <x v="0"/>
    <x v="5"/>
    <x v="0"/>
  </r>
  <r>
    <x v="16"/>
    <x v="137"/>
    <x v="44"/>
    <x v="5"/>
    <x v="36"/>
    <x v="30"/>
    <x v="1"/>
    <x v="0"/>
    <x v="5"/>
    <x v="0"/>
  </r>
  <r>
    <x v="16"/>
    <x v="4"/>
    <x v="149"/>
    <x v="6"/>
    <x v="77"/>
    <x v="52"/>
    <x v="58"/>
    <x v="0"/>
    <x v="2"/>
    <x v="0"/>
  </r>
  <r>
    <x v="16"/>
    <x v="66"/>
    <x v="150"/>
    <x v="7"/>
    <x v="50"/>
    <x v="36"/>
    <x v="23"/>
    <x v="0"/>
    <x v="2"/>
    <x v="0"/>
  </r>
  <r>
    <x v="16"/>
    <x v="79"/>
    <x v="151"/>
    <x v="2"/>
    <x v="142"/>
    <x v="73"/>
    <x v="106"/>
    <x v="0"/>
    <x v="2"/>
    <x v="0"/>
  </r>
  <r>
    <x v="16"/>
    <x v="123"/>
    <x v="152"/>
    <x v="4"/>
    <x v="3"/>
    <x v="3"/>
    <x v="9"/>
    <x v="0"/>
    <x v="2"/>
    <x v="0"/>
  </r>
  <r>
    <x v="17"/>
    <x v="0"/>
    <x v="153"/>
    <x v="6"/>
    <x v="102"/>
    <x v="57"/>
    <x v="74"/>
    <x v="0"/>
    <x v="2"/>
    <x v="0"/>
  </r>
  <r>
    <x v="17"/>
    <x v="29"/>
    <x v="154"/>
    <x v="7"/>
    <x v="55"/>
    <x v="34"/>
    <x v="32"/>
    <x v="0"/>
    <x v="2"/>
    <x v="0"/>
  </r>
  <r>
    <x v="17"/>
    <x v="54"/>
    <x v="155"/>
    <x v="2"/>
    <x v="149"/>
    <x v="71"/>
    <x v="113"/>
    <x v="0"/>
    <x v="2"/>
    <x v="0"/>
  </r>
  <r>
    <x v="18"/>
    <x v="129"/>
    <x v="45"/>
    <x v="5"/>
    <x v="33"/>
    <x v="12"/>
    <x v="25"/>
    <x v="0"/>
    <x v="5"/>
    <x v="0"/>
  </r>
  <r>
    <x v="18"/>
    <x v="130"/>
    <x v="46"/>
    <x v="5"/>
    <x v="36"/>
    <x v="29"/>
    <x v="2"/>
    <x v="0"/>
    <x v="5"/>
    <x v="0"/>
  </r>
  <r>
    <x v="18"/>
    <x v="141"/>
    <x v="47"/>
    <x v="2"/>
    <x v="91"/>
    <x v="75"/>
    <x v="43"/>
    <x v="0"/>
    <x v="4"/>
    <x v="0"/>
  </r>
  <r>
    <x v="18"/>
    <x v="19"/>
    <x v="156"/>
    <x v="6"/>
    <x v="80"/>
    <x v="50"/>
    <x v="60"/>
    <x v="0"/>
    <x v="2"/>
    <x v="0"/>
  </r>
  <r>
    <x v="18"/>
    <x v="57"/>
    <x v="157"/>
    <x v="7"/>
    <x v="52"/>
    <x v="33"/>
    <x v="30"/>
    <x v="0"/>
    <x v="2"/>
    <x v="0"/>
  </r>
  <r>
    <x v="18"/>
    <x v="71"/>
    <x v="158"/>
    <x v="2"/>
    <x v="146"/>
    <x v="70"/>
    <x v="112"/>
    <x v="0"/>
    <x v="2"/>
    <x v="0"/>
  </r>
  <r>
    <x v="18"/>
    <x v="112"/>
    <x v="159"/>
    <x v="4"/>
    <x v="7"/>
    <x v="2"/>
    <x v="13"/>
    <x v="0"/>
    <x v="2"/>
    <x v="0"/>
  </r>
  <r>
    <x v="18"/>
    <x v="133"/>
    <x v="160"/>
    <x v="4"/>
    <x v="0"/>
    <x v="2"/>
    <x v="6"/>
    <x v="0"/>
    <x v="2"/>
    <x v="0"/>
  </r>
  <r>
    <x v="19"/>
    <x v="89"/>
    <x v="48"/>
    <x v="5"/>
    <x v="31"/>
    <x v="26"/>
    <x v="1"/>
    <x v="0"/>
    <x v="5"/>
    <x v="0"/>
  </r>
  <r>
    <x v="19"/>
    <x v="92"/>
    <x v="49"/>
    <x v="5"/>
    <x v="29"/>
    <x v="8"/>
    <x v="25"/>
    <x v="0"/>
    <x v="5"/>
    <x v="0"/>
  </r>
  <r>
    <x v="19"/>
    <x v="114"/>
    <x v="50"/>
    <x v="1"/>
    <x v="23"/>
    <x v="5"/>
    <x v="23"/>
    <x v="0"/>
    <x v="1"/>
    <x v="0"/>
  </r>
  <r>
    <x v="19"/>
    <x v="119"/>
    <x v="51"/>
    <x v="5"/>
    <x v="32"/>
    <x v="8"/>
    <x v="28"/>
    <x v="0"/>
    <x v="5"/>
    <x v="0"/>
  </r>
  <r>
    <x v="19"/>
    <x v="147"/>
    <x v="52"/>
    <x v="1"/>
    <x v="22"/>
    <x v="9"/>
    <x v="18"/>
    <x v="0"/>
    <x v="1"/>
    <x v="0"/>
  </r>
  <r>
    <x v="19"/>
    <x v="14"/>
    <x v="161"/>
    <x v="6"/>
    <x v="93"/>
    <x v="47"/>
    <x v="70"/>
    <x v="0"/>
    <x v="2"/>
    <x v="0"/>
  </r>
  <r>
    <x v="19"/>
    <x v="68"/>
    <x v="162"/>
    <x v="7"/>
    <x v="42"/>
    <x v="35"/>
    <x v="17"/>
    <x v="0"/>
    <x v="2"/>
    <x v="0"/>
  </r>
  <r>
    <x v="19"/>
    <x v="75"/>
    <x v="163"/>
    <x v="2"/>
    <x v="143"/>
    <x v="74"/>
    <x v="108"/>
    <x v="0"/>
    <x v="2"/>
    <x v="0"/>
  </r>
  <r>
    <x v="19"/>
    <x v="131"/>
    <x v="164"/>
    <x v="4"/>
    <x v="7"/>
    <x v="4"/>
    <x v="11"/>
    <x v="0"/>
    <x v="2"/>
    <x v="0"/>
  </r>
  <r>
    <x v="20"/>
    <x v="137"/>
    <x v="2"/>
    <x v="3"/>
    <x v="84"/>
    <x v="65"/>
    <x v="42"/>
    <x v="0"/>
    <x v="3"/>
    <x v="0"/>
  </r>
  <r>
    <x v="20"/>
    <x v="102"/>
    <x v="53"/>
    <x v="5"/>
    <x v="38"/>
    <x v="16"/>
    <x v="31"/>
    <x v="0"/>
    <x v="5"/>
    <x v="0"/>
  </r>
  <r>
    <x v="20"/>
    <x v="102"/>
    <x v="53"/>
    <x v="5"/>
    <x v="39"/>
    <x v="32"/>
    <x v="0"/>
    <x v="0"/>
    <x v="5"/>
    <x v="0"/>
  </r>
  <r>
    <x v="20"/>
    <x v="103"/>
    <x v="54"/>
    <x v="1"/>
    <x v="25"/>
    <x v="5"/>
    <x v="25"/>
    <x v="0"/>
    <x v="1"/>
    <x v="0"/>
  </r>
  <r>
    <x v="20"/>
    <x v="124"/>
    <x v="55"/>
    <x v="5"/>
    <x v="29"/>
    <x v="24"/>
    <x v="2"/>
    <x v="0"/>
    <x v="5"/>
    <x v="0"/>
  </r>
  <r>
    <x v="20"/>
    <x v="124"/>
    <x v="56"/>
    <x v="5"/>
    <x v="26"/>
    <x v="16"/>
    <x v="16"/>
    <x v="0"/>
    <x v="5"/>
    <x v="0"/>
  </r>
  <r>
    <x v="20"/>
    <x v="143"/>
    <x v="57"/>
    <x v="5"/>
    <x v="20"/>
    <x v="15"/>
    <x v="11"/>
    <x v="0"/>
    <x v="5"/>
    <x v="0"/>
  </r>
  <r>
    <x v="20"/>
    <x v="143"/>
    <x v="58"/>
    <x v="5"/>
    <x v="21"/>
    <x v="22"/>
    <x v="0"/>
    <x v="0"/>
    <x v="5"/>
    <x v="0"/>
  </r>
  <r>
    <x v="20"/>
    <x v="152"/>
    <x v="59"/>
    <x v="1"/>
    <x v="18"/>
    <x v="9"/>
    <x v="15"/>
    <x v="0"/>
    <x v="1"/>
    <x v="0"/>
  </r>
  <r>
    <x v="20"/>
    <x v="17"/>
    <x v="165"/>
    <x v="6"/>
    <x v="89"/>
    <x v="54"/>
    <x v="67"/>
    <x v="0"/>
    <x v="2"/>
    <x v="0"/>
  </r>
  <r>
    <x v="20"/>
    <x v="48"/>
    <x v="166"/>
    <x v="2"/>
    <x v="147"/>
    <x v="76"/>
    <x v="111"/>
    <x v="0"/>
    <x v="2"/>
    <x v="0"/>
  </r>
  <r>
    <x v="20"/>
    <x v="55"/>
    <x v="167"/>
    <x v="7"/>
    <x v="45"/>
    <x v="35"/>
    <x v="20"/>
    <x v="0"/>
    <x v="2"/>
    <x v="0"/>
  </r>
  <r>
    <x v="20"/>
    <x v="95"/>
    <x v="168"/>
    <x v="6"/>
    <x v="73"/>
    <x v="53"/>
    <x v="34"/>
    <x v="0"/>
    <x v="2"/>
    <x v="0"/>
  </r>
  <r>
    <x v="21"/>
    <x v="13"/>
    <x v="169"/>
    <x v="6"/>
    <x v="79"/>
    <x v="55"/>
    <x v="59"/>
    <x v="0"/>
    <x v="2"/>
    <x v="0"/>
  </r>
  <r>
    <x v="21"/>
    <x v="46"/>
    <x v="170"/>
    <x v="2"/>
    <x v="137"/>
    <x v="74"/>
    <x v="103"/>
    <x v="0"/>
    <x v="2"/>
    <x v="0"/>
  </r>
  <r>
    <x v="21"/>
    <x v="60"/>
    <x v="171"/>
    <x v="7"/>
    <x v="44"/>
    <x v="34"/>
    <x v="19"/>
    <x v="0"/>
    <x v="2"/>
    <x v="0"/>
  </r>
  <r>
    <x v="21"/>
    <x v="99"/>
    <x v="60"/>
    <x v="5"/>
    <x v="17"/>
    <x v="10"/>
    <x v="13"/>
    <x v="0"/>
    <x v="5"/>
    <x v="0"/>
  </r>
  <r>
    <x v="21"/>
    <x v="100"/>
    <x v="61"/>
    <x v="5"/>
    <x v="19"/>
    <x v="19"/>
    <x v="1"/>
    <x v="0"/>
    <x v="5"/>
    <x v="0"/>
  </r>
  <r>
    <x v="21"/>
    <x v="162"/>
    <x v="63"/>
    <x v="5"/>
    <x v="14"/>
    <x v="10"/>
    <x v="10"/>
    <x v="0"/>
    <x v="5"/>
    <x v="0"/>
  </r>
  <r>
    <x v="21"/>
    <x v="142"/>
    <x v="62"/>
    <x v="1"/>
    <x v="22"/>
    <x v="7"/>
    <x v="21"/>
    <x v="0"/>
    <x v="1"/>
    <x v="0"/>
  </r>
  <r>
    <x v="22"/>
    <x v="30"/>
    <x v="173"/>
    <x v="3"/>
    <x v="95"/>
    <x v="67"/>
    <x v="50"/>
    <x v="0"/>
    <x v="2"/>
    <x v="0"/>
  </r>
  <r>
    <x v="22"/>
    <x v="8"/>
    <x v="172"/>
    <x v="6"/>
    <x v="75"/>
    <x v="48"/>
    <x v="54"/>
    <x v="0"/>
    <x v="2"/>
    <x v="0"/>
  </r>
  <r>
    <x v="22"/>
    <x v="59"/>
    <x v="175"/>
    <x v="7"/>
    <x v="47"/>
    <x v="37"/>
    <x v="20"/>
    <x v="0"/>
    <x v="2"/>
    <x v="0"/>
  </r>
  <r>
    <x v="22"/>
    <x v="45"/>
    <x v="174"/>
    <x v="2"/>
    <x v="120"/>
    <x v="78"/>
    <x v="85"/>
    <x v="0"/>
    <x v="2"/>
    <x v="0"/>
  </r>
  <r>
    <x v="22"/>
    <x v="164"/>
    <x v="66"/>
    <x v="1"/>
    <x v="20"/>
    <x v="12"/>
    <x v="14"/>
    <x v="0"/>
    <x v="1"/>
    <x v="0"/>
  </r>
  <r>
    <x v="22"/>
    <x v="154"/>
    <x v="64"/>
    <x v="5"/>
    <x v="32"/>
    <x v="6"/>
    <x v="30"/>
    <x v="0"/>
    <x v="5"/>
    <x v="0"/>
  </r>
  <r>
    <x v="22"/>
    <x v="160"/>
    <x v="65"/>
    <x v="5"/>
    <x v="33"/>
    <x v="28"/>
    <x v="0"/>
    <x v="0"/>
    <x v="5"/>
    <x v="0"/>
  </r>
  <r>
    <x v="23"/>
    <x v="96"/>
    <x v="67"/>
    <x v="8"/>
    <x v="72"/>
    <x v="39"/>
    <x v="49"/>
    <x v="0"/>
    <x v="5"/>
    <x v="0"/>
  </r>
  <r>
    <x v="23"/>
    <x v="62"/>
    <x v="179"/>
    <x v="7"/>
    <x v="49"/>
    <x v="35"/>
    <x v="23"/>
    <x v="0"/>
    <x v="2"/>
    <x v="0"/>
  </r>
  <r>
    <x v="23"/>
    <x v="20"/>
    <x v="176"/>
    <x v="6"/>
    <x v="104"/>
    <x v="52"/>
    <x v="79"/>
    <x v="0"/>
    <x v="2"/>
    <x v="0"/>
  </r>
  <r>
    <x v="23"/>
    <x v="28"/>
    <x v="177"/>
    <x v="3"/>
    <x v="109"/>
    <x v="70"/>
    <x v="59"/>
    <x v="0"/>
    <x v="2"/>
    <x v="0"/>
  </r>
  <r>
    <x v="23"/>
    <x v="163"/>
    <x v="180"/>
    <x v="5"/>
    <x v="24"/>
    <x v="10"/>
    <x v="19"/>
    <x v="0"/>
    <x v="2"/>
    <x v="0"/>
  </r>
  <r>
    <x v="23"/>
    <x v="41"/>
    <x v="178"/>
    <x v="2"/>
    <x v="122"/>
    <x v="75"/>
    <x v="87"/>
    <x v="0"/>
    <x v="2"/>
    <x v="0"/>
  </r>
  <r>
    <x v="24"/>
    <x v="23"/>
    <x v="182"/>
    <x v="7"/>
    <x v="56"/>
    <x v="35"/>
    <x v="33"/>
    <x v="0"/>
    <x v="2"/>
    <x v="0"/>
  </r>
  <r>
    <x v="24"/>
    <x v="39"/>
    <x v="183"/>
    <x v="2"/>
    <x v="131"/>
    <x v="65"/>
    <x v="98"/>
    <x v="0"/>
    <x v="2"/>
    <x v="0"/>
  </r>
  <r>
    <x v="24"/>
    <x v="5"/>
    <x v="181"/>
    <x v="6"/>
    <x v="94"/>
    <x v="58"/>
    <x v="69"/>
    <x v="0"/>
    <x v="2"/>
    <x v="0"/>
  </r>
  <r>
    <x v="25"/>
    <x v="11"/>
    <x v="184"/>
    <x v="6"/>
    <x v="86"/>
    <x v="59"/>
    <x v="64"/>
    <x v="0"/>
    <x v="2"/>
    <x v="0"/>
  </r>
  <r>
    <x v="25"/>
    <x v="76"/>
    <x v="186"/>
    <x v="3"/>
    <x v="141"/>
    <x v="67"/>
    <x v="107"/>
    <x v="0"/>
    <x v="2"/>
    <x v="0"/>
  </r>
  <r>
    <x v="25"/>
    <x v="49"/>
    <x v="185"/>
    <x v="7"/>
    <x v="53"/>
    <x v="38"/>
    <x v="26"/>
    <x v="0"/>
    <x v="2"/>
    <x v="0"/>
  </r>
  <r>
    <x v="25"/>
    <x v="165"/>
    <x v="3"/>
    <x v="3"/>
    <x v="78"/>
    <x v="64"/>
    <x v="37"/>
    <x v="0"/>
    <x v="3"/>
    <x v="0"/>
  </r>
  <r>
    <x v="25"/>
    <x v="156"/>
    <x v="68"/>
    <x v="1"/>
    <x v="12"/>
    <x v="11"/>
    <x v="6"/>
    <x v="0"/>
    <x v="1"/>
    <x v="0"/>
  </r>
  <r>
    <x v="26"/>
    <x v="72"/>
    <x v="189"/>
    <x v="3"/>
    <x v="135"/>
    <x v="64"/>
    <x v="103"/>
    <x v="0"/>
    <x v="2"/>
    <x v="0"/>
  </r>
  <r>
    <x v="26"/>
    <x v="44"/>
    <x v="188"/>
    <x v="7"/>
    <x v="43"/>
    <x v="36"/>
    <x v="17"/>
    <x v="0"/>
    <x v="2"/>
    <x v="0"/>
  </r>
  <r>
    <x v="26"/>
    <x v="21"/>
    <x v="187"/>
    <x v="6"/>
    <x v="76"/>
    <x v="54"/>
    <x v="53"/>
    <x v="0"/>
    <x v="2"/>
    <x v="0"/>
  </r>
  <r>
    <x v="26"/>
    <x v="91"/>
    <x v="70"/>
    <x v="0"/>
    <x v="96"/>
    <x v="76"/>
    <x v="48"/>
    <x v="0"/>
    <x v="5"/>
    <x v="0"/>
  </r>
  <r>
    <x v="26"/>
    <x v="93"/>
    <x v="71"/>
    <x v="0"/>
    <x v="98"/>
    <x v="84"/>
    <x v="5"/>
    <x v="0"/>
    <x v="5"/>
    <x v="0"/>
  </r>
  <r>
    <x v="26"/>
    <x v="105"/>
    <x v="72"/>
    <x v="0"/>
    <x v="87"/>
    <x v="83"/>
    <x v="40"/>
    <x v="0"/>
    <x v="5"/>
    <x v="0"/>
  </r>
  <r>
    <x v="26"/>
    <x v="132"/>
    <x v="73"/>
    <x v="3"/>
    <x v="99"/>
    <x v="72"/>
    <x v="51"/>
    <x v="0"/>
    <x v="4"/>
    <x v="0"/>
  </r>
  <r>
    <x v="26"/>
    <x v="82"/>
    <x v="69"/>
    <x v="5"/>
    <x v="34"/>
    <x v="10"/>
    <x v="28"/>
    <x v="0"/>
    <x v="5"/>
    <x v="0"/>
  </r>
  <r>
    <x v="26"/>
    <x v="162"/>
    <x v="75"/>
    <x v="5"/>
    <x v="20"/>
    <x v="18"/>
    <x v="3"/>
    <x v="0"/>
    <x v="5"/>
    <x v="0"/>
  </r>
  <r>
    <x v="26"/>
    <x v="162"/>
    <x v="74"/>
    <x v="5"/>
    <x v="16"/>
    <x v="10"/>
    <x v="12"/>
    <x v="0"/>
    <x v="5"/>
    <x v="0"/>
  </r>
  <r>
    <x v="26"/>
    <x v="152"/>
    <x v="190"/>
    <x v="4"/>
    <x v="4"/>
    <x v="1"/>
    <x v="12"/>
    <x v="0"/>
    <x v="2"/>
    <x v="0"/>
  </r>
  <r>
    <x v="27"/>
    <x v="77"/>
    <x v="193"/>
    <x v="3"/>
    <x v="138"/>
    <x v="69"/>
    <x v="104"/>
    <x v="0"/>
    <x v="2"/>
    <x v="0"/>
  </r>
  <r>
    <x v="27"/>
    <x v="7"/>
    <x v="191"/>
    <x v="6"/>
    <x v="88"/>
    <x v="50"/>
    <x v="68"/>
    <x v="0"/>
    <x v="2"/>
    <x v="0"/>
  </r>
  <r>
    <x v="27"/>
    <x v="50"/>
    <x v="192"/>
    <x v="7"/>
    <x v="45"/>
    <x v="35"/>
    <x v="20"/>
    <x v="0"/>
    <x v="2"/>
    <x v="0"/>
  </r>
  <r>
    <x v="27"/>
    <x v="97"/>
    <x v="76"/>
    <x v="8"/>
    <x v="67"/>
    <x v="41"/>
    <x v="36"/>
    <x v="0"/>
    <x v="5"/>
    <x v="0"/>
  </r>
  <r>
    <x v="27"/>
    <x v="98"/>
    <x v="77"/>
    <x v="8"/>
    <x v="69"/>
    <x v="45"/>
    <x v="2"/>
    <x v="0"/>
    <x v="5"/>
    <x v="0"/>
  </r>
  <r>
    <x v="27"/>
    <x v="135"/>
    <x v="78"/>
    <x v="8"/>
    <x v="66"/>
    <x v="41"/>
    <x v="35"/>
    <x v="0"/>
    <x v="5"/>
    <x v="0"/>
  </r>
  <r>
    <x v="27"/>
    <x v="137"/>
    <x v="79"/>
    <x v="8"/>
    <x v="68"/>
    <x v="44"/>
    <x v="2"/>
    <x v="0"/>
    <x v="5"/>
    <x v="0"/>
  </r>
  <r>
    <x v="27"/>
    <x v="138"/>
    <x v="80"/>
    <x v="1"/>
    <x v="13"/>
    <x v="11"/>
    <x v="9"/>
    <x v="0"/>
    <x v="1"/>
    <x v="0"/>
  </r>
  <r>
    <x v="28"/>
    <x v="18"/>
    <x v="194"/>
    <x v="6"/>
    <x v="74"/>
    <x v="48"/>
    <x v="53"/>
    <x v="0"/>
    <x v="2"/>
    <x v="0"/>
  </r>
  <r>
    <x v="28"/>
    <x v="53"/>
    <x v="195"/>
    <x v="7"/>
    <x v="46"/>
    <x v="36"/>
    <x v="20"/>
    <x v="0"/>
    <x v="2"/>
    <x v="0"/>
  </r>
  <r>
    <x v="28"/>
    <x v="74"/>
    <x v="196"/>
    <x v="3"/>
    <x v="126"/>
    <x v="68"/>
    <x v="90"/>
    <x v="0"/>
    <x v="2"/>
    <x v="0"/>
  </r>
  <r>
    <x v="28"/>
    <x v="110"/>
    <x v="200"/>
    <x v="0"/>
    <x v="155"/>
    <x v="61"/>
    <x v="122"/>
    <x v="0"/>
    <x v="0"/>
    <x v="0"/>
  </r>
  <r>
    <x v="28"/>
    <x v="94"/>
    <x v="199"/>
    <x v="0"/>
    <x v="151"/>
    <x v="61"/>
    <x v="120"/>
    <x v="0"/>
    <x v="0"/>
    <x v="0"/>
  </r>
  <r>
    <x v="28"/>
    <x v="85"/>
    <x v="198"/>
    <x v="0"/>
    <x v="129"/>
    <x v="61"/>
    <x v="101"/>
    <x v="0"/>
    <x v="0"/>
    <x v="0"/>
  </r>
  <r>
    <x v="28"/>
    <x v="80"/>
    <x v="197"/>
    <x v="0"/>
    <x v="121"/>
    <x v="61"/>
    <x v="89"/>
    <x v="0"/>
    <x v="0"/>
    <x v="0"/>
  </r>
  <r>
    <x v="29"/>
    <x v="52"/>
    <x v="202"/>
    <x v="7"/>
    <x v="43"/>
    <x v="37"/>
    <x v="16"/>
    <x v="0"/>
    <x v="2"/>
    <x v="0"/>
  </r>
  <r>
    <x v="29"/>
    <x v="12"/>
    <x v="201"/>
    <x v="6"/>
    <x v="81"/>
    <x v="50"/>
    <x v="61"/>
    <x v="0"/>
    <x v="2"/>
    <x v="0"/>
  </r>
  <r>
    <x v="29"/>
    <x v="65"/>
    <x v="203"/>
    <x v="2"/>
    <x v="134"/>
    <x v="77"/>
    <x v="96"/>
    <x v="0"/>
    <x v="2"/>
    <x v="0"/>
  </r>
  <r>
    <x v="29"/>
    <x v="150"/>
    <x v="81"/>
    <x v="1"/>
    <x v="18"/>
    <x v="12"/>
    <x v="12"/>
    <x v="0"/>
    <x v="1"/>
    <x v="0"/>
  </r>
  <r>
    <x v="29"/>
    <x v="102"/>
    <x v="206"/>
    <x v="5"/>
    <x v="25"/>
    <x v="12"/>
    <x v="18"/>
    <x v="0"/>
    <x v="2"/>
    <x v="0"/>
  </r>
  <r>
    <x v="29"/>
    <x v="118"/>
    <x v="208"/>
    <x v="0"/>
    <x v="156"/>
    <x v="61"/>
    <x v="123"/>
    <x v="0"/>
    <x v="0"/>
    <x v="0"/>
  </r>
  <r>
    <x v="29"/>
    <x v="109"/>
    <x v="207"/>
    <x v="0"/>
    <x v="154"/>
    <x v="61"/>
    <x v="121"/>
    <x v="0"/>
    <x v="0"/>
    <x v="0"/>
  </r>
  <r>
    <x v="29"/>
    <x v="90"/>
    <x v="205"/>
    <x v="0"/>
    <x v="150"/>
    <x v="61"/>
    <x v="119"/>
    <x v="0"/>
    <x v="0"/>
    <x v="0"/>
  </r>
  <r>
    <x v="29"/>
    <x v="81"/>
    <x v="204"/>
    <x v="0"/>
    <x v="127"/>
    <x v="61"/>
    <x v="94"/>
    <x v="0"/>
    <x v="0"/>
    <x v="0"/>
  </r>
  <r>
    <x v="30"/>
    <x v="122"/>
    <x v="82"/>
    <x v="8"/>
    <x v="64"/>
    <x v="40"/>
    <x v="31"/>
    <x v="0"/>
    <x v="5"/>
    <x v="0"/>
  </r>
  <r>
    <x v="30"/>
    <x v="130"/>
    <x v="83"/>
    <x v="8"/>
    <x v="65"/>
    <x v="43"/>
    <x v="5"/>
    <x v="0"/>
    <x v="5"/>
    <x v="0"/>
  </r>
  <r>
    <x v="30"/>
    <x v="144"/>
    <x v="216"/>
    <x v="4"/>
    <x v="1"/>
    <x v="3"/>
    <x v="7"/>
    <x v="0"/>
    <x v="2"/>
    <x v="0"/>
  </r>
  <r>
    <x v="30"/>
    <x v="115"/>
    <x v="214"/>
    <x v="0"/>
    <x v="138"/>
    <x v="61"/>
    <x v="112"/>
    <x v="0"/>
    <x v="0"/>
    <x v="0"/>
  </r>
  <r>
    <x v="30"/>
    <x v="121"/>
    <x v="215"/>
    <x v="0"/>
    <x v="157"/>
    <x v="61"/>
    <x v="124"/>
    <x v="0"/>
    <x v="0"/>
    <x v="0"/>
  </r>
  <r>
    <x v="30"/>
    <x v="106"/>
    <x v="213"/>
    <x v="0"/>
    <x v="123"/>
    <x v="61"/>
    <x v="91"/>
    <x v="0"/>
    <x v="0"/>
    <x v="0"/>
  </r>
  <r>
    <x v="30"/>
    <x v="86"/>
    <x v="212"/>
    <x v="0"/>
    <x v="124"/>
    <x v="61"/>
    <x v="92"/>
    <x v="0"/>
    <x v="0"/>
    <x v="0"/>
  </r>
  <r>
    <x v="30"/>
    <x v="24"/>
    <x v="209"/>
    <x v="6"/>
    <x v="84"/>
    <x v="49"/>
    <x v="66"/>
    <x v="0"/>
    <x v="2"/>
    <x v="0"/>
  </r>
  <r>
    <x v="30"/>
    <x v="64"/>
    <x v="211"/>
    <x v="2"/>
    <x v="136"/>
    <x v="71"/>
    <x v="102"/>
    <x v="0"/>
    <x v="2"/>
    <x v="0"/>
  </r>
  <r>
    <x v="30"/>
    <x v="61"/>
    <x v="210"/>
    <x v="7"/>
    <x v="45"/>
    <x v="35"/>
    <x v="20"/>
    <x v="0"/>
    <x v="2"/>
    <x v="0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2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2.xml"/>
</Relationships>
</file>

<file path=xl/pivotTables/pivotTable1.xml><?xml version="1.0" encoding="utf-8"?>
<pivotTableDefinition xmlns="http://schemas.openxmlformats.org/spreadsheetml/2006/main" name="DataPilot1" cacheId="1" applyNumberFormats="0" applyBorderFormats="0" applyFontFormats="0" applyPatternFormats="0" applyAlignmentFormats="0" applyWidthHeightFormats="0" dataCaption="Values" useAutoFormatting="0" itemPrintTitles="1" indent="0" outline="1" outlineData="1">
  <location ref="A3:H14" firstHeaderRow="2" firstDataRow="2" firstDataCol="1" rowPageCount="1" colPageCount="1"/>
  <pivotFields count="9">
    <pivotField axis="axisPage" showAll="0"/>
    <pivotField showAll="0"/>
    <pivotField showAll="0"/>
    <pivotField axis="axisRow" showAll="0"/>
    <pivotField showAll="0"/>
    <pivotField showAll="0"/>
    <pivotField dataField="1" showAll="0"/>
    <pivotField showAll="0"/>
    <pivotField axis="axisCol" showAll="0"/>
  </pivotFields>
  <rowFields count="1">
    <field x="3"/>
  </rowFields>
  <colFields count="2">
    <field x="-2"/>
    <field x="8"/>
  </colFields>
  <pageFields count="1">
    <pageField fld="0" hier="-1"/>
  </pageFields>
  <dataFields count="1">
    <dataField fld="6" subtotal="sum"/>
  </dataFields>
</pivotTableDefinition>
</file>

<file path=xl/pivotTables/pivotTable2.xml><?xml version="1.0" encoding="utf-8"?>
<pivotTableDefinition xmlns="http://schemas.openxmlformats.org/spreadsheetml/2006/main" name="DataPilot2" cacheId="2" applyNumberFormats="0" applyBorderFormats="0" applyFontFormats="0" applyPatternFormats="0" applyAlignmentFormats="0" applyWidthHeightFormats="0" dataCaption="Values" useAutoFormatting="0" itemPrintTitles="1" indent="0" outline="1" outlineData="1">
  <location ref="A3:K36" firstHeaderRow="1" firstDataRow="2" firstDataCol="1" rowPageCount="1" colPageCount="1"/>
  <pivotFields count="10">
    <pivotField axis="axisRow" showAll="0"/>
    <pivotField showAll="0"/>
    <pivotField showAll="0"/>
    <pivotField axis="axisCol" showAll="0"/>
    <pivotField showAll="0"/>
    <pivotField showAll="0"/>
    <pivotField dataField="1" showAll="0"/>
    <pivotField showAll="0"/>
    <pivotField axis="axisPage" showAll="0"/>
    <pivotField showAll="0"/>
  </pivotFields>
  <rowFields count="1">
    <field x="0"/>
  </rowFields>
  <colFields count="1">
    <field x="3"/>
  </colFields>
  <pageFields count="1">
    <pageField fld="8" hier="-1"/>
  </pageFields>
  <dataFields count="1">
    <dataField fld="6" subtotal="sum"/>
  </dataFields>
</pivotTableDefinition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pivotTable" Target="../pivotTables/pivotTable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true">
    <pageSetUpPr fitToPage="false"/>
  </sheetPr>
  <dimension ref="A1:J219"/>
  <sheetViews>
    <sheetView showFormulas="false" showGridLines="true" showRowColHeaders="true" showZeros="true" rightToLeft="false" tabSelected="true" showOutlineSymbols="true" defaultGridColor="true" view="normal" topLeftCell="A28" colorId="64" zoomScale="100" zoomScaleNormal="100" zoomScalePageLayoutView="100" workbookViewId="0">
      <selection pane="topLeft" activeCell="J66" activeCellId="0" sqref="J66"/>
    </sheetView>
  </sheetViews>
  <sheetFormatPr defaultRowHeight="15" zeroHeight="false" outlineLevelRow="0" outlineLevelCol="0"/>
  <cols>
    <col collapsed="false" customWidth="true" hidden="false" outlineLevel="0" max="6" min="1" style="0" width="10.61"/>
    <col collapsed="false" customWidth="true" hidden="false" outlineLevel="0" max="7" min="7" style="0" width="17.71"/>
    <col collapsed="false" customWidth="true" hidden="false" outlineLevel="0" max="8" min="8" style="0" width="15.86"/>
    <col collapsed="false" customWidth="true" hidden="false" outlineLevel="0" max="1025" min="9" style="0" width="10.61"/>
  </cols>
  <sheetData>
    <row r="1" customFormat="false" ht="13.8" hidden="false" customHeight="false" outlineLevel="0" collapsed="false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customFormat="false" ht="15" hidden="false" customHeight="false" outlineLevel="0" collapsed="false">
      <c r="A2" s="5" t="n">
        <v>44105</v>
      </c>
      <c r="B2" s="6" t="n">
        <v>0.53125</v>
      </c>
      <c r="C2" s="7" t="n">
        <v>107720</v>
      </c>
      <c r="D2" s="7" t="s">
        <v>10</v>
      </c>
      <c r="E2" s="7" t="n">
        <v>3220</v>
      </c>
      <c r="F2" s="7" t="n">
        <v>2860</v>
      </c>
      <c r="G2" s="8" t="n">
        <v>360</v>
      </c>
      <c r="H2" s="7" t="s">
        <v>11</v>
      </c>
      <c r="I2" s="7" t="s">
        <v>12</v>
      </c>
      <c r="J2" s="0" t="s">
        <v>13</v>
      </c>
    </row>
    <row r="3" customFormat="false" ht="15" hidden="false" customHeight="false" outlineLevel="0" collapsed="false">
      <c r="A3" s="5" t="n">
        <v>44105</v>
      </c>
      <c r="B3" s="6" t="n">
        <v>0.531944444444445</v>
      </c>
      <c r="C3" s="7" t="n">
        <v>107721</v>
      </c>
      <c r="D3" s="7" t="s">
        <v>10</v>
      </c>
      <c r="E3" s="7" t="n">
        <v>2860</v>
      </c>
      <c r="F3" s="7" t="n">
        <v>2820</v>
      </c>
      <c r="G3" s="8" t="n">
        <v>40</v>
      </c>
      <c r="H3" s="7" t="s">
        <v>11</v>
      </c>
      <c r="I3" s="7" t="s">
        <v>12</v>
      </c>
      <c r="J3" s="0" t="s">
        <v>13</v>
      </c>
    </row>
    <row r="4" customFormat="false" ht="15" hidden="false" customHeight="false" outlineLevel="0" collapsed="false">
      <c r="A4" s="5" t="n">
        <v>44105</v>
      </c>
      <c r="B4" s="6" t="n">
        <v>0.142361111111111</v>
      </c>
      <c r="C4" s="7" t="n">
        <v>130852</v>
      </c>
      <c r="D4" s="7" t="s">
        <v>14</v>
      </c>
      <c r="E4" s="7" t="n">
        <v>18540</v>
      </c>
      <c r="F4" s="7" t="n">
        <v>12920</v>
      </c>
      <c r="G4" s="8" t="n">
        <v>5620</v>
      </c>
      <c r="H4" s="7" t="s">
        <v>11</v>
      </c>
      <c r="I4" s="7" t="s">
        <v>15</v>
      </c>
      <c r="J4" s="0" t="s">
        <v>13</v>
      </c>
    </row>
    <row r="5" customFormat="false" ht="15" hidden="false" customHeight="false" outlineLevel="0" collapsed="false">
      <c r="A5" s="5" t="n">
        <v>44105</v>
      </c>
      <c r="B5" s="6" t="n">
        <v>0.258333333333333</v>
      </c>
      <c r="C5" s="7" t="n">
        <v>130860</v>
      </c>
      <c r="D5" s="7" t="s">
        <v>16</v>
      </c>
      <c r="E5" s="7" t="n">
        <v>4260</v>
      </c>
      <c r="F5" s="7" t="n">
        <v>3760</v>
      </c>
      <c r="G5" s="8" t="n">
        <v>500</v>
      </c>
      <c r="H5" s="7" t="s">
        <v>11</v>
      </c>
      <c r="I5" s="7" t="s">
        <v>15</v>
      </c>
      <c r="J5" s="0" t="s">
        <v>13</v>
      </c>
    </row>
    <row r="6" customFormat="false" ht="15" hidden="false" customHeight="false" outlineLevel="0" collapsed="false">
      <c r="A6" s="5" t="n">
        <v>44105</v>
      </c>
      <c r="B6" s="6" t="n">
        <v>0.270138888888889</v>
      </c>
      <c r="C6" s="7" t="n">
        <v>130861</v>
      </c>
      <c r="D6" s="7" t="s">
        <v>17</v>
      </c>
      <c r="E6" s="7" t="n">
        <v>26860</v>
      </c>
      <c r="F6" s="7" t="n">
        <v>16100</v>
      </c>
      <c r="G6" s="8" t="n">
        <v>10760</v>
      </c>
      <c r="H6" s="7" t="s">
        <v>11</v>
      </c>
      <c r="I6" s="7" t="s">
        <v>15</v>
      </c>
      <c r="J6" s="0" t="s">
        <v>13</v>
      </c>
    </row>
    <row r="7" customFormat="false" ht="15" hidden="false" customHeight="false" outlineLevel="0" collapsed="false">
      <c r="A7" s="5" t="n">
        <v>44106</v>
      </c>
      <c r="B7" s="6" t="n">
        <v>0.546527777777778</v>
      </c>
      <c r="C7" s="7" t="n">
        <v>107808</v>
      </c>
      <c r="D7" s="7" t="s">
        <v>18</v>
      </c>
      <c r="E7" s="7" t="n">
        <v>2900</v>
      </c>
      <c r="F7" s="7" t="n">
        <v>2720</v>
      </c>
      <c r="G7" s="8" t="n">
        <v>180</v>
      </c>
      <c r="H7" s="7" t="s">
        <v>11</v>
      </c>
      <c r="I7" s="7" t="s">
        <v>19</v>
      </c>
      <c r="J7" s="0" t="s">
        <v>13</v>
      </c>
    </row>
    <row r="8" customFormat="false" ht="15" hidden="false" customHeight="false" outlineLevel="0" collapsed="false">
      <c r="A8" s="5" t="n">
        <v>44106</v>
      </c>
      <c r="B8" s="6" t="n">
        <v>0.10625</v>
      </c>
      <c r="C8" s="7" t="n">
        <v>130891</v>
      </c>
      <c r="D8" s="7" t="s">
        <v>20</v>
      </c>
      <c r="E8" s="7" t="n">
        <v>21460</v>
      </c>
      <c r="F8" s="7" t="n">
        <v>15800</v>
      </c>
      <c r="G8" s="8" t="n">
        <v>5660</v>
      </c>
      <c r="H8" s="7" t="s">
        <v>11</v>
      </c>
      <c r="I8" s="7" t="s">
        <v>15</v>
      </c>
      <c r="J8" s="0" t="s">
        <v>13</v>
      </c>
    </row>
    <row r="9" customFormat="false" ht="15" hidden="false" customHeight="false" outlineLevel="0" collapsed="false">
      <c r="A9" s="5" t="n">
        <v>44106</v>
      </c>
      <c r="B9" s="6" t="n">
        <v>0.122916666666667</v>
      </c>
      <c r="C9" s="7" t="n">
        <v>130892</v>
      </c>
      <c r="D9" s="7" t="s">
        <v>14</v>
      </c>
      <c r="E9" s="7" t="n">
        <v>18960</v>
      </c>
      <c r="F9" s="7" t="n">
        <v>13100</v>
      </c>
      <c r="G9" s="8" t="n">
        <v>5860</v>
      </c>
      <c r="H9" s="7" t="s">
        <v>11</v>
      </c>
      <c r="I9" s="7" t="s">
        <v>15</v>
      </c>
      <c r="J9" s="0" t="s">
        <v>13</v>
      </c>
    </row>
    <row r="10" customFormat="false" ht="15" hidden="false" customHeight="false" outlineLevel="0" collapsed="false">
      <c r="A10" s="5" t="n">
        <v>44106</v>
      </c>
      <c r="B10" s="6" t="n">
        <v>0.164583333333333</v>
      </c>
      <c r="C10" s="7" t="n">
        <v>130897</v>
      </c>
      <c r="D10" s="7" t="s">
        <v>17</v>
      </c>
      <c r="E10" s="7" t="n">
        <v>19900</v>
      </c>
      <c r="F10" s="7" t="n">
        <v>16080</v>
      </c>
      <c r="G10" s="8" t="n">
        <v>3820</v>
      </c>
      <c r="H10" s="7" t="s">
        <v>11</v>
      </c>
      <c r="I10" s="7" t="s">
        <v>15</v>
      </c>
      <c r="J10" s="0" t="s">
        <v>13</v>
      </c>
    </row>
    <row r="11" customFormat="false" ht="15" hidden="false" customHeight="false" outlineLevel="0" collapsed="false">
      <c r="A11" s="5" t="n">
        <v>44106</v>
      </c>
      <c r="B11" s="6" t="n">
        <v>0.25625</v>
      </c>
      <c r="C11" s="7" t="n">
        <v>130903</v>
      </c>
      <c r="D11" s="7" t="s">
        <v>16</v>
      </c>
      <c r="E11" s="7" t="n">
        <v>4340</v>
      </c>
      <c r="F11" s="7" t="n">
        <v>3780</v>
      </c>
      <c r="G11" s="8" t="n">
        <v>560</v>
      </c>
      <c r="H11" s="7" t="s">
        <v>11</v>
      </c>
      <c r="I11" s="7" t="s">
        <v>15</v>
      </c>
      <c r="J11" s="0" t="s">
        <v>13</v>
      </c>
    </row>
    <row r="12" customFormat="false" ht="15" hidden="false" customHeight="false" outlineLevel="0" collapsed="false">
      <c r="A12" s="5" t="n">
        <v>44107</v>
      </c>
      <c r="B12" s="6" t="n">
        <v>0.518055555555556</v>
      </c>
      <c r="C12" s="7" t="n">
        <v>107850</v>
      </c>
      <c r="D12" s="7" t="s">
        <v>10</v>
      </c>
      <c r="E12" s="7" t="n">
        <v>3120</v>
      </c>
      <c r="F12" s="7" t="n">
        <v>2860</v>
      </c>
      <c r="G12" s="8" t="n">
        <v>260</v>
      </c>
      <c r="H12" s="7" t="s">
        <v>11</v>
      </c>
      <c r="I12" s="7" t="s">
        <v>12</v>
      </c>
      <c r="J12" s="0" t="s">
        <v>13</v>
      </c>
    </row>
    <row r="13" customFormat="false" ht="15" hidden="false" customHeight="false" outlineLevel="0" collapsed="false">
      <c r="A13" s="5" t="n">
        <v>44107</v>
      </c>
      <c r="B13" s="6" t="n">
        <v>0.524305555555556</v>
      </c>
      <c r="C13" s="9" t="n">
        <v>107851</v>
      </c>
      <c r="D13" s="7" t="s">
        <v>10</v>
      </c>
      <c r="E13" s="7" t="n">
        <v>3160</v>
      </c>
      <c r="F13" s="7" t="n">
        <v>3120</v>
      </c>
      <c r="G13" s="8" t="n">
        <v>40</v>
      </c>
      <c r="H13" s="7" t="s">
        <v>11</v>
      </c>
      <c r="I13" s="7" t="s">
        <v>12</v>
      </c>
      <c r="J13" s="0" t="s">
        <v>13</v>
      </c>
    </row>
    <row r="14" customFormat="false" ht="15" hidden="false" customHeight="false" outlineLevel="0" collapsed="false">
      <c r="A14" s="5" t="n">
        <v>44107</v>
      </c>
      <c r="B14" s="6" t="n">
        <v>0.164583333333333</v>
      </c>
      <c r="C14" s="7" t="n">
        <v>130930</v>
      </c>
      <c r="D14" s="7" t="s">
        <v>17</v>
      </c>
      <c r="E14" s="7" t="n">
        <v>19860</v>
      </c>
      <c r="F14" s="7" t="n">
        <v>16060</v>
      </c>
      <c r="G14" s="8" t="n">
        <v>3800</v>
      </c>
      <c r="H14" s="7" t="s">
        <v>11</v>
      </c>
      <c r="I14" s="7" t="s">
        <v>15</v>
      </c>
      <c r="J14" s="0" t="s">
        <v>13</v>
      </c>
    </row>
    <row r="15" customFormat="false" ht="15" hidden="false" customHeight="false" outlineLevel="0" collapsed="false">
      <c r="A15" s="5" t="n">
        <v>44107</v>
      </c>
      <c r="B15" s="6" t="n">
        <v>0.192361111111111</v>
      </c>
      <c r="C15" s="7" t="n">
        <v>130931</v>
      </c>
      <c r="D15" s="7" t="s">
        <v>14</v>
      </c>
      <c r="E15" s="7" t="n">
        <v>19260</v>
      </c>
      <c r="F15" s="7" t="n">
        <v>12920</v>
      </c>
      <c r="G15" s="8" t="n">
        <v>6340</v>
      </c>
      <c r="H15" s="7" t="s">
        <v>11</v>
      </c>
      <c r="I15" s="7" t="s">
        <v>15</v>
      </c>
      <c r="J15" s="0" t="s">
        <v>13</v>
      </c>
    </row>
    <row r="16" customFormat="false" ht="15" hidden="false" customHeight="false" outlineLevel="0" collapsed="false">
      <c r="A16" s="5" t="n">
        <v>44107</v>
      </c>
      <c r="B16" s="6" t="n">
        <v>0.261111111111111</v>
      </c>
      <c r="C16" s="7" t="n">
        <v>130937</v>
      </c>
      <c r="D16" s="7" t="s">
        <v>16</v>
      </c>
      <c r="E16" s="7" t="n">
        <v>4280</v>
      </c>
      <c r="F16" s="7" t="n">
        <v>3800</v>
      </c>
      <c r="G16" s="8" t="n">
        <v>480</v>
      </c>
      <c r="H16" s="7" t="s">
        <v>11</v>
      </c>
      <c r="I16" s="7" t="s">
        <v>15</v>
      </c>
      <c r="J16" s="0" t="s">
        <v>13</v>
      </c>
    </row>
    <row r="17" customFormat="false" ht="15" hidden="false" customHeight="false" outlineLevel="0" collapsed="false">
      <c r="A17" s="5" t="n">
        <v>44107</v>
      </c>
      <c r="B17" s="6" t="n">
        <v>0.275</v>
      </c>
      <c r="C17" s="7" t="n">
        <v>130938</v>
      </c>
      <c r="D17" s="7" t="s">
        <v>20</v>
      </c>
      <c r="E17" s="7" t="n">
        <v>22860</v>
      </c>
      <c r="F17" s="7" t="n">
        <v>15740</v>
      </c>
      <c r="G17" s="8" t="n">
        <v>7120</v>
      </c>
      <c r="H17" s="7" t="s">
        <v>11</v>
      </c>
      <c r="I17" s="7" t="s">
        <v>15</v>
      </c>
      <c r="J17" s="0" t="s">
        <v>13</v>
      </c>
    </row>
    <row r="18" customFormat="false" ht="15" hidden="false" customHeight="false" outlineLevel="0" collapsed="false">
      <c r="A18" s="5" t="n">
        <v>44107</v>
      </c>
      <c r="B18" s="6" t="n">
        <v>0.440972222222222</v>
      </c>
      <c r="C18" s="7" t="n">
        <v>130942</v>
      </c>
      <c r="D18" s="7" t="s">
        <v>10</v>
      </c>
      <c r="E18" s="7" t="n">
        <v>3140</v>
      </c>
      <c r="F18" s="7" t="n">
        <v>2820</v>
      </c>
      <c r="G18" s="8" t="n">
        <v>320</v>
      </c>
      <c r="H18" s="7" t="s">
        <v>11</v>
      </c>
      <c r="I18" s="7" t="s">
        <v>15</v>
      </c>
      <c r="J18" s="0" t="s">
        <v>13</v>
      </c>
    </row>
    <row r="19" customFormat="false" ht="15" hidden="false" customHeight="false" outlineLevel="0" collapsed="false">
      <c r="A19" s="5" t="n">
        <v>44108</v>
      </c>
      <c r="B19" s="6" t="n">
        <v>0.117361111111111</v>
      </c>
      <c r="C19" s="7" t="n">
        <v>130949</v>
      </c>
      <c r="D19" s="7" t="s">
        <v>14</v>
      </c>
      <c r="E19" s="7" t="n">
        <v>18860</v>
      </c>
      <c r="F19" s="7" t="n">
        <v>12960</v>
      </c>
      <c r="G19" s="8" t="n">
        <v>5900</v>
      </c>
      <c r="H19" s="7" t="s">
        <v>11</v>
      </c>
      <c r="I19" s="7" t="s">
        <v>15</v>
      </c>
      <c r="J19" s="0" t="s">
        <v>13</v>
      </c>
    </row>
    <row r="20" customFormat="false" ht="15" hidden="false" customHeight="false" outlineLevel="0" collapsed="false">
      <c r="A20" s="5" t="n">
        <v>44108</v>
      </c>
      <c r="B20" s="6" t="n">
        <v>0.186111111111111</v>
      </c>
      <c r="C20" s="7" t="n">
        <v>130954</v>
      </c>
      <c r="D20" s="7" t="s">
        <v>16</v>
      </c>
      <c r="E20" s="7" t="n">
        <v>4640</v>
      </c>
      <c r="F20" s="7" t="n">
        <v>3740</v>
      </c>
      <c r="G20" s="8" t="n">
        <v>900</v>
      </c>
      <c r="H20" s="7" t="s">
        <v>11</v>
      </c>
      <c r="I20" s="7" t="s">
        <v>15</v>
      </c>
      <c r="J20" s="0" t="s">
        <v>13</v>
      </c>
    </row>
    <row r="21" customFormat="false" ht="15" hidden="false" customHeight="false" outlineLevel="0" collapsed="false">
      <c r="A21" s="5" t="n">
        <v>44108</v>
      </c>
      <c r="B21" s="6" t="n">
        <v>0.231944444444444</v>
      </c>
      <c r="C21" s="7" t="n">
        <v>130955</v>
      </c>
      <c r="D21" s="7" t="s">
        <v>20</v>
      </c>
      <c r="E21" s="7" t="n">
        <v>27080</v>
      </c>
      <c r="F21" s="7" t="n">
        <v>15840</v>
      </c>
      <c r="G21" s="8" t="n">
        <v>11240</v>
      </c>
      <c r="H21" s="7" t="s">
        <v>11</v>
      </c>
      <c r="I21" s="7" t="s">
        <v>15</v>
      </c>
      <c r="J21" s="0" t="s">
        <v>13</v>
      </c>
    </row>
    <row r="22" customFormat="false" ht="15" hidden="false" customHeight="false" outlineLevel="0" collapsed="false">
      <c r="A22" s="5" t="n">
        <v>44108</v>
      </c>
      <c r="B22" s="6" t="n">
        <v>0.439583333333333</v>
      </c>
      <c r="C22" s="7" t="n">
        <v>130960</v>
      </c>
      <c r="D22" s="7" t="s">
        <v>10</v>
      </c>
      <c r="E22" s="7" t="n">
        <v>3100</v>
      </c>
      <c r="F22" s="7" t="n">
        <v>2800</v>
      </c>
      <c r="G22" s="8" t="n">
        <v>300</v>
      </c>
      <c r="H22" s="7" t="s">
        <v>11</v>
      </c>
      <c r="I22" s="7" t="s">
        <v>15</v>
      </c>
      <c r="J22" s="0" t="s">
        <v>13</v>
      </c>
    </row>
    <row r="23" customFormat="false" ht="15" hidden="false" customHeight="false" outlineLevel="0" collapsed="false">
      <c r="A23" s="5" t="n">
        <v>44109</v>
      </c>
      <c r="B23" s="6" t="n">
        <v>0.438194444444444</v>
      </c>
      <c r="C23" s="7" t="n">
        <v>107874</v>
      </c>
      <c r="D23" s="7" t="s">
        <v>10</v>
      </c>
      <c r="E23" s="7" t="n">
        <v>3280</v>
      </c>
      <c r="F23" s="7" t="n">
        <v>2800</v>
      </c>
      <c r="G23" s="8" t="n">
        <v>480</v>
      </c>
      <c r="H23" s="7" t="s">
        <v>11</v>
      </c>
      <c r="I23" s="7" t="s">
        <v>12</v>
      </c>
      <c r="J23" s="0" t="s">
        <v>13</v>
      </c>
    </row>
    <row r="24" customFormat="false" ht="15" hidden="false" customHeight="false" outlineLevel="0" collapsed="false">
      <c r="A24" s="5" t="n">
        <v>44109</v>
      </c>
      <c r="B24" s="6" t="n">
        <v>0.439583333333333</v>
      </c>
      <c r="C24" s="7" t="n">
        <v>107875</v>
      </c>
      <c r="D24" s="7" t="s">
        <v>10</v>
      </c>
      <c r="E24" s="7" t="n">
        <v>2900</v>
      </c>
      <c r="F24" s="7" t="n">
        <v>2800</v>
      </c>
      <c r="G24" s="8" t="n">
        <v>100</v>
      </c>
      <c r="H24" s="7" t="s">
        <v>11</v>
      </c>
      <c r="I24" s="7" t="s">
        <v>12</v>
      </c>
      <c r="J24" s="0" t="s">
        <v>13</v>
      </c>
    </row>
    <row r="25" customFormat="false" ht="15" hidden="false" customHeight="false" outlineLevel="0" collapsed="false">
      <c r="A25" s="5" t="n">
        <v>44109</v>
      </c>
      <c r="B25" s="6" t="n">
        <v>0.540972222222222</v>
      </c>
      <c r="C25" s="7" t="n">
        <v>107897</v>
      </c>
      <c r="D25" s="7" t="s">
        <v>10</v>
      </c>
      <c r="E25" s="7" t="n">
        <v>3560</v>
      </c>
      <c r="F25" s="7" t="n">
        <v>2780</v>
      </c>
      <c r="G25" s="8" t="n">
        <v>780</v>
      </c>
      <c r="H25" s="7" t="s">
        <v>11</v>
      </c>
      <c r="I25" s="7" t="s">
        <v>12</v>
      </c>
      <c r="J25" s="0" t="s">
        <v>13</v>
      </c>
    </row>
    <row r="26" customFormat="false" ht="15" hidden="false" customHeight="false" outlineLevel="0" collapsed="false">
      <c r="A26" s="5" t="n">
        <v>44109</v>
      </c>
      <c r="B26" s="6" t="n">
        <v>0.541666666666667</v>
      </c>
      <c r="C26" s="7" t="n">
        <v>107898</v>
      </c>
      <c r="D26" s="7" t="s">
        <v>10</v>
      </c>
      <c r="E26" s="7" t="n">
        <v>2820</v>
      </c>
      <c r="F26" s="7" t="n">
        <v>2780</v>
      </c>
      <c r="G26" s="8" t="n">
        <v>40</v>
      </c>
      <c r="H26" s="7" t="s">
        <v>11</v>
      </c>
      <c r="I26" s="7" t="s">
        <v>12</v>
      </c>
      <c r="J26" s="0" t="s">
        <v>13</v>
      </c>
    </row>
    <row r="27" customFormat="false" ht="15" hidden="false" customHeight="false" outlineLevel="0" collapsed="false">
      <c r="A27" s="5" t="n">
        <v>44109</v>
      </c>
      <c r="B27" s="6" t="n">
        <v>0.548611111111111</v>
      </c>
      <c r="C27" s="7" t="n">
        <v>107902</v>
      </c>
      <c r="D27" s="7" t="s">
        <v>18</v>
      </c>
      <c r="E27" s="7" t="n">
        <v>3080</v>
      </c>
      <c r="F27" s="7" t="n">
        <v>2720</v>
      </c>
      <c r="G27" s="8" t="n">
        <v>360</v>
      </c>
      <c r="H27" s="7" t="s">
        <v>11</v>
      </c>
      <c r="I27" s="7" t="s">
        <v>19</v>
      </c>
      <c r="J27" s="0" t="s">
        <v>13</v>
      </c>
    </row>
    <row r="28" customFormat="false" ht="15" hidden="false" customHeight="false" outlineLevel="0" collapsed="false">
      <c r="A28" s="5" t="n">
        <v>44109</v>
      </c>
      <c r="B28" s="6" t="n">
        <v>0.125694444444444</v>
      </c>
      <c r="C28" s="7" t="n">
        <v>130965</v>
      </c>
      <c r="D28" s="7" t="s">
        <v>14</v>
      </c>
      <c r="E28" s="7" t="n">
        <v>17260</v>
      </c>
      <c r="F28" s="7" t="n">
        <v>12780</v>
      </c>
      <c r="G28" s="8" t="n">
        <v>4480</v>
      </c>
      <c r="H28" s="7" t="s">
        <v>11</v>
      </c>
      <c r="I28" s="7" t="s">
        <v>15</v>
      </c>
      <c r="J28" s="0" t="s">
        <v>13</v>
      </c>
    </row>
    <row r="29" customFormat="false" ht="15" hidden="false" customHeight="false" outlineLevel="0" collapsed="false">
      <c r="A29" s="5" t="n">
        <v>44109</v>
      </c>
      <c r="B29" s="6" t="n">
        <v>0.16875</v>
      </c>
      <c r="C29" s="7" t="n">
        <v>130968</v>
      </c>
      <c r="D29" s="7" t="s">
        <v>17</v>
      </c>
      <c r="E29" s="7" t="n">
        <v>20540</v>
      </c>
      <c r="F29" s="7" t="n">
        <v>16160</v>
      </c>
      <c r="G29" s="8" t="n">
        <v>4380</v>
      </c>
      <c r="H29" s="7" t="s">
        <v>11</v>
      </c>
      <c r="I29" s="7" t="s">
        <v>15</v>
      </c>
      <c r="J29" s="0" t="s">
        <v>13</v>
      </c>
    </row>
    <row r="30" customFormat="false" ht="15" hidden="false" customHeight="false" outlineLevel="0" collapsed="false">
      <c r="A30" s="5" t="n">
        <v>44109</v>
      </c>
      <c r="B30" s="6" t="n">
        <v>0.256944444444444</v>
      </c>
      <c r="C30" s="7" t="n">
        <v>130976</v>
      </c>
      <c r="D30" s="7" t="s">
        <v>16</v>
      </c>
      <c r="E30" s="7" t="n">
        <v>4440</v>
      </c>
      <c r="F30" s="7" t="n">
        <v>3760</v>
      </c>
      <c r="G30" s="8" t="n">
        <v>680</v>
      </c>
      <c r="H30" s="7" t="s">
        <v>11</v>
      </c>
      <c r="I30" s="7" t="s">
        <v>15</v>
      </c>
      <c r="J30" s="0" t="s">
        <v>13</v>
      </c>
    </row>
    <row r="31" customFormat="false" ht="15" hidden="false" customHeight="false" outlineLevel="0" collapsed="false">
      <c r="A31" s="5" t="n">
        <v>44109</v>
      </c>
      <c r="B31" s="6" t="n">
        <v>0.274305555555555</v>
      </c>
      <c r="C31" s="7" t="n">
        <v>130977</v>
      </c>
      <c r="D31" s="7" t="s">
        <v>20</v>
      </c>
      <c r="E31" s="7" t="n">
        <v>22660</v>
      </c>
      <c r="F31" s="7" t="n">
        <v>15860</v>
      </c>
      <c r="G31" s="8" t="n">
        <v>6800</v>
      </c>
      <c r="H31" s="7" t="s">
        <v>11</v>
      </c>
      <c r="I31" s="7" t="s">
        <v>15</v>
      </c>
      <c r="J31" s="0" t="s">
        <v>13</v>
      </c>
    </row>
    <row r="32" customFormat="false" ht="15" hidden="true" customHeight="false" outlineLevel="0" collapsed="false">
      <c r="A32" s="5" t="n">
        <v>44110</v>
      </c>
      <c r="B32" s="6" t="n">
        <v>0.509027777777778</v>
      </c>
      <c r="C32" s="7" t="n">
        <v>107950</v>
      </c>
      <c r="D32" s="7" t="s">
        <v>20</v>
      </c>
      <c r="E32" s="7" t="n">
        <v>17460</v>
      </c>
      <c r="F32" s="7" t="n">
        <v>15700</v>
      </c>
      <c r="G32" s="8" t="n">
        <v>1760</v>
      </c>
      <c r="H32" s="7" t="s">
        <v>11</v>
      </c>
      <c r="I32" s="7" t="s">
        <v>21</v>
      </c>
      <c r="J32" s="0" t="s">
        <v>13</v>
      </c>
    </row>
    <row r="33" customFormat="false" ht="15" hidden="false" customHeight="false" outlineLevel="0" collapsed="false">
      <c r="A33" s="5" t="n">
        <v>44110</v>
      </c>
      <c r="B33" s="6" t="n">
        <v>0.538194444444444</v>
      </c>
      <c r="C33" s="7" t="n">
        <v>107955</v>
      </c>
      <c r="D33" s="7" t="s">
        <v>10</v>
      </c>
      <c r="E33" s="7" t="n">
        <v>3180</v>
      </c>
      <c r="F33" s="7" t="n">
        <v>2820</v>
      </c>
      <c r="G33" s="8" t="n">
        <v>360</v>
      </c>
      <c r="H33" s="7" t="s">
        <v>11</v>
      </c>
      <c r="I33" s="7" t="s">
        <v>12</v>
      </c>
      <c r="J33" s="0" t="s">
        <v>13</v>
      </c>
    </row>
    <row r="34" customFormat="false" ht="15" hidden="false" customHeight="false" outlineLevel="0" collapsed="false">
      <c r="A34" s="5" t="n">
        <v>44110</v>
      </c>
      <c r="B34" s="6" t="n">
        <v>0.539583333333333</v>
      </c>
      <c r="C34" s="7" t="n">
        <v>107956</v>
      </c>
      <c r="D34" s="7" t="s">
        <v>10</v>
      </c>
      <c r="E34" s="7" t="n">
        <v>3280</v>
      </c>
      <c r="F34" s="7" t="n">
        <v>3180</v>
      </c>
      <c r="G34" s="8" t="n">
        <v>100</v>
      </c>
      <c r="H34" s="7" t="s">
        <v>11</v>
      </c>
      <c r="I34" s="7" t="s">
        <v>12</v>
      </c>
      <c r="J34" s="0" t="s">
        <v>13</v>
      </c>
    </row>
    <row r="35" customFormat="false" ht="15" hidden="false" customHeight="false" outlineLevel="0" collapsed="false">
      <c r="A35" s="5" t="n">
        <v>44110</v>
      </c>
      <c r="B35" s="6" t="n">
        <v>0.204166666666667</v>
      </c>
      <c r="C35" s="7" t="n">
        <v>131022</v>
      </c>
      <c r="D35" s="7" t="s">
        <v>14</v>
      </c>
      <c r="E35" s="7" t="n">
        <v>18420</v>
      </c>
      <c r="F35" s="7" t="n">
        <v>12860</v>
      </c>
      <c r="G35" s="8" t="n">
        <v>5560</v>
      </c>
      <c r="H35" s="7" t="s">
        <v>11</v>
      </c>
      <c r="I35" s="7" t="s">
        <v>15</v>
      </c>
      <c r="J35" s="0" t="s">
        <v>13</v>
      </c>
    </row>
    <row r="36" customFormat="false" ht="15" hidden="false" customHeight="false" outlineLevel="0" collapsed="false">
      <c r="A36" s="5" t="n">
        <v>44110</v>
      </c>
      <c r="B36" s="6" t="n">
        <v>0.25</v>
      </c>
      <c r="C36" s="7" t="n">
        <v>131025</v>
      </c>
      <c r="D36" s="7" t="s">
        <v>20</v>
      </c>
      <c r="E36" s="7" t="n">
        <v>25060</v>
      </c>
      <c r="F36" s="7" t="n">
        <v>15760</v>
      </c>
      <c r="G36" s="8" t="n">
        <v>9300</v>
      </c>
      <c r="H36" s="7" t="s">
        <v>11</v>
      </c>
      <c r="I36" s="7" t="s">
        <v>15</v>
      </c>
      <c r="J36" s="0" t="s">
        <v>13</v>
      </c>
    </row>
    <row r="37" customFormat="false" ht="15" hidden="false" customHeight="false" outlineLevel="0" collapsed="false">
      <c r="A37" s="5" t="n">
        <v>44110</v>
      </c>
      <c r="B37" s="6" t="n">
        <v>0.263194444444444</v>
      </c>
      <c r="C37" s="7" t="n">
        <v>131028</v>
      </c>
      <c r="D37" s="7" t="s">
        <v>16</v>
      </c>
      <c r="E37" s="7" t="n">
        <v>4120</v>
      </c>
      <c r="F37" s="7" t="n">
        <v>3760</v>
      </c>
      <c r="G37" s="8" t="n">
        <v>360</v>
      </c>
      <c r="H37" s="7" t="s">
        <v>11</v>
      </c>
      <c r="I37" s="7" t="s">
        <v>15</v>
      </c>
      <c r="J37" s="0" t="s">
        <v>13</v>
      </c>
    </row>
    <row r="38" customFormat="false" ht="15" hidden="true" customHeight="false" outlineLevel="0" collapsed="false">
      <c r="A38" s="5" t="n">
        <v>44111</v>
      </c>
      <c r="B38" s="6" t="n">
        <v>0.520833333333333</v>
      </c>
      <c r="C38" s="7" t="n">
        <v>816</v>
      </c>
      <c r="D38" s="7" t="s">
        <v>20</v>
      </c>
      <c r="E38" s="7" t="n">
        <v>18040</v>
      </c>
      <c r="F38" s="7" t="n">
        <v>15720</v>
      </c>
      <c r="G38" s="8" t="n">
        <v>2320</v>
      </c>
      <c r="H38" s="7" t="s">
        <v>11</v>
      </c>
      <c r="I38" s="7" t="s">
        <v>22</v>
      </c>
      <c r="J38" s="0" t="s">
        <v>13</v>
      </c>
    </row>
    <row r="39" customFormat="false" ht="15" hidden="false" customHeight="false" outlineLevel="0" collapsed="false">
      <c r="A39" s="5" t="n">
        <v>44111</v>
      </c>
      <c r="B39" s="6" t="n">
        <v>0.3625</v>
      </c>
      <c r="C39" s="7" t="n">
        <v>107992</v>
      </c>
      <c r="D39" s="7" t="s">
        <v>10</v>
      </c>
      <c r="E39" s="7" t="n">
        <v>3300</v>
      </c>
      <c r="F39" s="7" t="n">
        <v>2820</v>
      </c>
      <c r="G39" s="8" t="n">
        <v>480</v>
      </c>
      <c r="H39" s="7" t="s">
        <v>11</v>
      </c>
      <c r="I39" s="7" t="s">
        <v>12</v>
      </c>
      <c r="J39" s="0" t="s">
        <v>13</v>
      </c>
    </row>
    <row r="40" customFormat="false" ht="15" hidden="false" customHeight="false" outlineLevel="0" collapsed="false">
      <c r="A40" s="5" t="n">
        <v>44111</v>
      </c>
      <c r="B40" s="6" t="n">
        <v>0.363888888888889</v>
      </c>
      <c r="C40" s="7" t="n">
        <v>107993</v>
      </c>
      <c r="D40" s="7" t="s">
        <v>10</v>
      </c>
      <c r="E40" s="7" t="n">
        <v>3320</v>
      </c>
      <c r="F40" s="7" t="n">
        <v>3300</v>
      </c>
      <c r="G40" s="8" t="n">
        <v>20</v>
      </c>
      <c r="H40" s="7" t="s">
        <v>11</v>
      </c>
      <c r="I40" s="7" t="s">
        <v>12</v>
      </c>
      <c r="J40" s="0" t="s">
        <v>13</v>
      </c>
    </row>
    <row r="41" customFormat="false" ht="15" hidden="false" customHeight="false" outlineLevel="0" collapsed="false">
      <c r="A41" s="5" t="n">
        <v>44111</v>
      </c>
      <c r="B41" s="6" t="n">
        <v>0.502777777777778</v>
      </c>
      <c r="C41" s="7" t="n">
        <v>108021</v>
      </c>
      <c r="D41" s="7" t="s">
        <v>10</v>
      </c>
      <c r="E41" s="7" t="n">
        <v>3440</v>
      </c>
      <c r="F41" s="7" t="n">
        <v>2840</v>
      </c>
      <c r="G41" s="8" t="n">
        <v>600</v>
      </c>
      <c r="H41" s="7" t="s">
        <v>11</v>
      </c>
      <c r="I41" s="7" t="s">
        <v>12</v>
      </c>
      <c r="J41" s="0" t="s">
        <v>13</v>
      </c>
    </row>
    <row r="42" customFormat="false" ht="15" hidden="false" customHeight="false" outlineLevel="0" collapsed="false">
      <c r="A42" s="5" t="n">
        <v>44111</v>
      </c>
      <c r="B42" s="6" t="n">
        <v>0.504166666666667</v>
      </c>
      <c r="C42" s="7" t="n">
        <v>108022</v>
      </c>
      <c r="D42" s="7" t="s">
        <v>10</v>
      </c>
      <c r="E42" s="7" t="n">
        <v>3460</v>
      </c>
      <c r="F42" s="7" t="n">
        <v>3440</v>
      </c>
      <c r="G42" s="8" t="n">
        <v>20</v>
      </c>
      <c r="H42" s="7" t="s">
        <v>11</v>
      </c>
      <c r="I42" s="7" t="s">
        <v>12</v>
      </c>
      <c r="J42" s="0" t="s">
        <v>13</v>
      </c>
    </row>
    <row r="43" customFormat="false" ht="15" hidden="false" customHeight="false" outlineLevel="0" collapsed="false">
      <c r="A43" s="5" t="n">
        <v>44111</v>
      </c>
      <c r="B43" s="6" t="n">
        <v>0.136805555555556</v>
      </c>
      <c r="C43" s="7" t="n">
        <v>131072</v>
      </c>
      <c r="D43" s="7" t="s">
        <v>14</v>
      </c>
      <c r="E43" s="7" t="n">
        <v>17080</v>
      </c>
      <c r="F43" s="7" t="n">
        <v>12780</v>
      </c>
      <c r="G43" s="8" t="n">
        <v>4300</v>
      </c>
      <c r="H43" s="7" t="s">
        <v>11</v>
      </c>
      <c r="I43" s="7" t="s">
        <v>15</v>
      </c>
      <c r="J43" s="0" t="s">
        <v>13</v>
      </c>
    </row>
    <row r="44" customFormat="false" ht="15" hidden="false" customHeight="false" outlineLevel="0" collapsed="false">
      <c r="A44" s="5" t="n">
        <v>44111</v>
      </c>
      <c r="B44" s="6" t="n">
        <v>0.257638888888889</v>
      </c>
      <c r="C44" s="7" t="n">
        <v>131079</v>
      </c>
      <c r="D44" s="7" t="s">
        <v>16</v>
      </c>
      <c r="E44" s="7" t="n">
        <v>4040</v>
      </c>
      <c r="F44" s="7" t="n">
        <v>3700</v>
      </c>
      <c r="G44" s="8" t="n">
        <v>340</v>
      </c>
      <c r="H44" s="7" t="s">
        <v>11</v>
      </c>
      <c r="I44" s="7" t="s">
        <v>15</v>
      </c>
      <c r="J44" s="0" t="s">
        <v>13</v>
      </c>
    </row>
    <row r="45" customFormat="false" ht="15" hidden="false" customHeight="false" outlineLevel="0" collapsed="false">
      <c r="A45" s="5" t="n">
        <v>44111</v>
      </c>
      <c r="B45" s="6" t="n">
        <v>0.268055555555556</v>
      </c>
      <c r="C45" s="7" t="n">
        <v>131081</v>
      </c>
      <c r="D45" s="7" t="s">
        <v>20</v>
      </c>
      <c r="E45" s="7" t="n">
        <v>25820</v>
      </c>
      <c r="F45" s="7" t="n">
        <v>15840</v>
      </c>
      <c r="G45" s="8" t="n">
        <v>9980</v>
      </c>
      <c r="H45" s="7" t="s">
        <v>11</v>
      </c>
      <c r="I45" s="7" t="s">
        <v>15</v>
      </c>
      <c r="J45" s="0" t="s">
        <v>13</v>
      </c>
    </row>
    <row r="46" customFormat="false" ht="15" hidden="false" customHeight="false" outlineLevel="0" collapsed="false">
      <c r="A46" s="5" t="n">
        <v>44111</v>
      </c>
      <c r="B46" s="6" t="n">
        <v>0.49375</v>
      </c>
      <c r="C46" s="7" t="n">
        <v>131103</v>
      </c>
      <c r="D46" s="7" t="s">
        <v>23</v>
      </c>
      <c r="E46" s="7" t="n">
        <v>2560</v>
      </c>
      <c r="F46" s="7" t="n">
        <v>2300</v>
      </c>
      <c r="G46" s="8" t="n">
        <v>260</v>
      </c>
      <c r="H46" s="7" t="s">
        <v>11</v>
      </c>
      <c r="I46" s="7" t="s">
        <v>15</v>
      </c>
      <c r="J46" s="0" t="s">
        <v>13</v>
      </c>
    </row>
    <row r="47" customFormat="false" ht="15" hidden="false" customHeight="false" outlineLevel="0" collapsed="false">
      <c r="A47" s="5" t="n">
        <v>44112</v>
      </c>
      <c r="B47" s="6" t="n">
        <v>0.474305555555556</v>
      </c>
      <c r="C47" s="7" t="n">
        <v>108074</v>
      </c>
      <c r="D47" s="7" t="s">
        <v>18</v>
      </c>
      <c r="E47" s="7" t="n">
        <v>2940</v>
      </c>
      <c r="F47" s="7" t="n">
        <v>2700</v>
      </c>
      <c r="G47" s="8" t="n">
        <v>240</v>
      </c>
      <c r="H47" s="7" t="s">
        <v>11</v>
      </c>
      <c r="I47" s="7" t="s">
        <v>19</v>
      </c>
      <c r="J47" s="0" t="s">
        <v>13</v>
      </c>
    </row>
    <row r="48" customFormat="false" ht="15" hidden="false" customHeight="false" outlineLevel="0" collapsed="false">
      <c r="A48" s="5" t="n">
        <v>44112</v>
      </c>
      <c r="B48" s="6" t="n">
        <v>0.536805555555556</v>
      </c>
      <c r="C48" s="7" t="n">
        <v>108085</v>
      </c>
      <c r="D48" s="7" t="s">
        <v>10</v>
      </c>
      <c r="E48" s="7" t="n">
        <v>3140</v>
      </c>
      <c r="F48" s="7" t="n">
        <v>2800</v>
      </c>
      <c r="G48" s="8" t="n">
        <v>340</v>
      </c>
      <c r="H48" s="7" t="s">
        <v>11</v>
      </c>
      <c r="I48" s="7" t="s">
        <v>12</v>
      </c>
      <c r="J48" s="0" t="s">
        <v>13</v>
      </c>
    </row>
    <row r="49" customFormat="false" ht="15" hidden="false" customHeight="false" outlineLevel="0" collapsed="false">
      <c r="A49" s="5" t="n">
        <v>44112</v>
      </c>
      <c r="B49" s="6" t="n">
        <v>0.540277777777778</v>
      </c>
      <c r="C49" s="7" t="n">
        <v>108086</v>
      </c>
      <c r="D49" s="7" t="s">
        <v>10</v>
      </c>
      <c r="E49" s="7" t="n">
        <v>3160</v>
      </c>
      <c r="F49" s="7" t="n">
        <v>3140</v>
      </c>
      <c r="G49" s="8" t="n">
        <v>20</v>
      </c>
      <c r="H49" s="7" t="s">
        <v>11</v>
      </c>
      <c r="I49" s="7" t="s">
        <v>12</v>
      </c>
      <c r="J49" s="0" t="s">
        <v>13</v>
      </c>
    </row>
    <row r="50" customFormat="false" ht="15" hidden="false" customHeight="false" outlineLevel="0" collapsed="false">
      <c r="A50" s="5" t="n">
        <v>44112</v>
      </c>
      <c r="B50" s="6" t="n">
        <v>0.136805555555556</v>
      </c>
      <c r="C50" s="7" t="n">
        <v>131122</v>
      </c>
      <c r="D50" s="7" t="s">
        <v>14</v>
      </c>
      <c r="E50" s="7" t="n">
        <v>18040</v>
      </c>
      <c r="F50" s="7" t="n">
        <v>12880</v>
      </c>
      <c r="G50" s="8" t="n">
        <v>5160</v>
      </c>
      <c r="H50" s="7" t="s">
        <v>11</v>
      </c>
      <c r="I50" s="7" t="s">
        <v>15</v>
      </c>
      <c r="J50" s="0" t="s">
        <v>13</v>
      </c>
    </row>
    <row r="51" customFormat="false" ht="15" hidden="false" customHeight="false" outlineLevel="0" collapsed="false">
      <c r="A51" s="5" t="n">
        <v>44112</v>
      </c>
      <c r="B51" s="6" t="n">
        <v>0.241666666666667</v>
      </c>
      <c r="C51" s="7" t="n">
        <v>131129</v>
      </c>
      <c r="D51" s="7" t="s">
        <v>20</v>
      </c>
      <c r="E51" s="7" t="n">
        <v>25760</v>
      </c>
      <c r="F51" s="7" t="n">
        <v>15860</v>
      </c>
      <c r="G51" s="8" t="n">
        <v>9900</v>
      </c>
      <c r="H51" s="7" t="s">
        <v>11</v>
      </c>
      <c r="I51" s="7" t="s">
        <v>15</v>
      </c>
      <c r="J51" s="0" t="s">
        <v>13</v>
      </c>
    </row>
    <row r="52" customFormat="false" ht="15" hidden="false" customHeight="false" outlineLevel="0" collapsed="false">
      <c r="A52" s="5" t="n">
        <v>44112</v>
      </c>
      <c r="B52" s="6" t="n">
        <v>0.259722222222222</v>
      </c>
      <c r="C52" s="7" t="n">
        <v>131130</v>
      </c>
      <c r="D52" s="7" t="s">
        <v>16</v>
      </c>
      <c r="E52" s="7" t="n">
        <v>4120</v>
      </c>
      <c r="F52" s="7" t="n">
        <v>3740</v>
      </c>
      <c r="G52" s="8" t="n">
        <v>380</v>
      </c>
      <c r="H52" s="7" t="s">
        <v>11</v>
      </c>
      <c r="I52" s="7" t="s">
        <v>15</v>
      </c>
      <c r="J52" s="0" t="s">
        <v>13</v>
      </c>
    </row>
    <row r="53" customFormat="false" ht="15" hidden="false" customHeight="false" outlineLevel="0" collapsed="false">
      <c r="A53" s="5" t="n">
        <v>44112</v>
      </c>
      <c r="B53" s="6" t="n">
        <v>0.526388888888889</v>
      </c>
      <c r="C53" s="7" t="n">
        <v>131152</v>
      </c>
      <c r="D53" s="7" t="s">
        <v>23</v>
      </c>
      <c r="E53" s="7" t="n">
        <v>2640</v>
      </c>
      <c r="F53" s="7" t="n">
        <v>2380</v>
      </c>
      <c r="G53" s="8" t="n">
        <v>260</v>
      </c>
      <c r="H53" s="7" t="s">
        <v>11</v>
      </c>
      <c r="I53" s="7" t="s">
        <v>15</v>
      </c>
      <c r="J53" s="0" t="s">
        <v>13</v>
      </c>
    </row>
    <row r="54" customFormat="false" ht="15" hidden="false" customHeight="false" outlineLevel="0" collapsed="false">
      <c r="A54" s="5" t="n">
        <v>44113</v>
      </c>
      <c r="B54" s="6" t="n">
        <v>0.138888888888889</v>
      </c>
      <c r="C54" s="7" t="n">
        <v>131168</v>
      </c>
      <c r="D54" s="7" t="s">
        <v>14</v>
      </c>
      <c r="E54" s="7" t="n">
        <v>17640</v>
      </c>
      <c r="F54" s="7" t="n">
        <v>12900</v>
      </c>
      <c r="G54" s="8" t="n">
        <v>4740</v>
      </c>
      <c r="H54" s="7" t="s">
        <v>11</v>
      </c>
      <c r="I54" s="7" t="s">
        <v>15</v>
      </c>
      <c r="J54" s="0" t="s">
        <v>13</v>
      </c>
    </row>
    <row r="55" customFormat="false" ht="15" hidden="false" customHeight="false" outlineLevel="0" collapsed="false">
      <c r="A55" s="5" t="n">
        <v>44113</v>
      </c>
      <c r="B55" s="6" t="n">
        <v>0.202083333333333</v>
      </c>
      <c r="C55" s="7" t="n">
        <v>131171</v>
      </c>
      <c r="D55" s="7" t="s">
        <v>20</v>
      </c>
      <c r="E55" s="7" t="n">
        <v>24580</v>
      </c>
      <c r="F55" s="7" t="n">
        <v>15800</v>
      </c>
      <c r="G55" s="8" t="n">
        <v>8780</v>
      </c>
      <c r="H55" s="7" t="s">
        <v>11</v>
      </c>
      <c r="I55" s="7" t="s">
        <v>15</v>
      </c>
      <c r="J55" s="0" t="s">
        <v>13</v>
      </c>
    </row>
    <row r="56" customFormat="false" ht="15" hidden="false" customHeight="false" outlineLevel="0" collapsed="false">
      <c r="A56" s="5" t="n">
        <v>44113</v>
      </c>
      <c r="B56" s="6" t="n">
        <v>0.222222222222222</v>
      </c>
      <c r="C56" s="7" t="n">
        <v>131175</v>
      </c>
      <c r="D56" s="7" t="s">
        <v>16</v>
      </c>
      <c r="E56" s="7" t="n">
        <v>4300</v>
      </c>
      <c r="F56" s="7" t="n">
        <v>3760</v>
      </c>
      <c r="G56" s="8" t="n">
        <v>540</v>
      </c>
      <c r="H56" s="7" t="s">
        <v>11</v>
      </c>
      <c r="I56" s="7" t="s">
        <v>15</v>
      </c>
      <c r="J56" s="0" t="s">
        <v>13</v>
      </c>
    </row>
    <row r="57" customFormat="false" ht="15" hidden="false" customHeight="false" outlineLevel="0" collapsed="false">
      <c r="A57" s="5" t="n">
        <v>44113</v>
      </c>
      <c r="B57" s="6" t="n">
        <v>0.447916666666667</v>
      </c>
      <c r="C57" s="7" t="n">
        <v>131187</v>
      </c>
      <c r="D57" s="7" t="s">
        <v>23</v>
      </c>
      <c r="E57" s="7" t="n">
        <v>2620</v>
      </c>
      <c r="F57" s="7" t="n">
        <v>2380</v>
      </c>
      <c r="G57" s="8" t="n">
        <v>240</v>
      </c>
      <c r="H57" s="7" t="s">
        <v>11</v>
      </c>
      <c r="I57" s="7" t="s">
        <v>15</v>
      </c>
      <c r="J57" s="0" t="s">
        <v>13</v>
      </c>
    </row>
    <row r="58" customFormat="false" ht="15" hidden="false" customHeight="false" outlineLevel="0" collapsed="false">
      <c r="A58" s="5" t="n">
        <v>44114</v>
      </c>
      <c r="B58" s="6" t="n">
        <v>0.136805555555556</v>
      </c>
      <c r="C58" s="7" t="n">
        <v>131200</v>
      </c>
      <c r="D58" s="7" t="s">
        <v>14</v>
      </c>
      <c r="E58" s="7" t="n">
        <v>20480</v>
      </c>
      <c r="F58" s="7" t="n">
        <v>12860</v>
      </c>
      <c r="G58" s="8" t="n">
        <v>7620</v>
      </c>
      <c r="H58" s="7" t="s">
        <v>11</v>
      </c>
      <c r="I58" s="7" t="s">
        <v>15</v>
      </c>
      <c r="J58" s="0" t="s">
        <v>13</v>
      </c>
    </row>
    <row r="59" customFormat="false" ht="15" hidden="false" customHeight="false" outlineLevel="0" collapsed="false">
      <c r="A59" s="5" t="n">
        <v>44114</v>
      </c>
      <c r="B59" s="6" t="n">
        <v>0.185416666666667</v>
      </c>
      <c r="C59" s="7" t="n">
        <v>131205</v>
      </c>
      <c r="D59" s="7" t="s">
        <v>20</v>
      </c>
      <c r="E59" s="7" t="n">
        <v>26460</v>
      </c>
      <c r="F59" s="7" t="n">
        <v>15740</v>
      </c>
      <c r="G59" s="8" t="n">
        <v>10720</v>
      </c>
      <c r="H59" s="7" t="s">
        <v>11</v>
      </c>
      <c r="I59" s="7" t="s">
        <v>15</v>
      </c>
      <c r="J59" s="0" t="s">
        <v>13</v>
      </c>
    </row>
    <row r="60" customFormat="false" ht="15" hidden="false" customHeight="false" outlineLevel="0" collapsed="false">
      <c r="A60" s="5" t="n">
        <v>44114</v>
      </c>
      <c r="B60" s="6" t="n">
        <v>0.264583333333333</v>
      </c>
      <c r="C60" s="7" t="n">
        <v>131210</v>
      </c>
      <c r="D60" s="7" t="s">
        <v>16</v>
      </c>
      <c r="E60" s="7" t="n">
        <v>4760</v>
      </c>
      <c r="F60" s="7" t="n">
        <v>3740</v>
      </c>
      <c r="G60" s="8" t="n">
        <v>1020</v>
      </c>
      <c r="H60" s="7" t="s">
        <v>11</v>
      </c>
      <c r="I60" s="7" t="s">
        <v>15</v>
      </c>
      <c r="J60" s="0" t="s">
        <v>13</v>
      </c>
    </row>
    <row r="61" customFormat="false" ht="15" hidden="false" customHeight="false" outlineLevel="0" collapsed="false">
      <c r="A61" s="5" t="n">
        <v>44114</v>
      </c>
      <c r="B61" s="6" t="n">
        <v>0.520833333333333</v>
      </c>
      <c r="C61" s="7" t="n">
        <v>131216</v>
      </c>
      <c r="D61" s="7" t="s">
        <v>23</v>
      </c>
      <c r="E61" s="7" t="n">
        <v>2580</v>
      </c>
      <c r="F61" s="7" t="n">
        <v>2400</v>
      </c>
      <c r="G61" s="8" t="n">
        <v>180</v>
      </c>
      <c r="H61" s="7" t="s">
        <v>11</v>
      </c>
      <c r="I61" s="7" t="s">
        <v>15</v>
      </c>
      <c r="J61" s="0" t="s">
        <v>13</v>
      </c>
    </row>
    <row r="62" customFormat="false" ht="15" hidden="false" customHeight="false" outlineLevel="0" collapsed="false">
      <c r="A62" s="5" t="n">
        <v>44115</v>
      </c>
      <c r="B62" s="6" t="n">
        <v>0.157638888888889</v>
      </c>
      <c r="C62" s="7" t="n">
        <v>131223</v>
      </c>
      <c r="D62" s="7" t="s">
        <v>20</v>
      </c>
      <c r="E62" s="7" t="n">
        <v>26960</v>
      </c>
      <c r="F62" s="7" t="n">
        <v>15940</v>
      </c>
      <c r="G62" s="8" t="n">
        <v>11020</v>
      </c>
      <c r="H62" s="7" t="s">
        <v>11</v>
      </c>
      <c r="I62" s="7" t="s">
        <v>15</v>
      </c>
      <c r="J62" s="0" t="s">
        <v>13</v>
      </c>
    </row>
    <row r="63" customFormat="false" ht="15" hidden="false" customHeight="false" outlineLevel="0" collapsed="false">
      <c r="A63" s="5" t="n">
        <v>44115</v>
      </c>
      <c r="B63" s="6" t="n">
        <v>0.211111111111111</v>
      </c>
      <c r="C63" s="7" t="n">
        <v>131224</v>
      </c>
      <c r="D63" s="7" t="s">
        <v>16</v>
      </c>
      <c r="E63" s="7" t="n">
        <v>4840</v>
      </c>
      <c r="F63" s="7" t="n">
        <v>3600</v>
      </c>
      <c r="G63" s="8" t="n">
        <v>1240</v>
      </c>
      <c r="H63" s="7" t="s">
        <v>11</v>
      </c>
      <c r="I63" s="7" t="s">
        <v>15</v>
      </c>
      <c r="J63" s="0" t="s">
        <v>13</v>
      </c>
    </row>
    <row r="64" customFormat="false" ht="15" hidden="false" customHeight="false" outlineLevel="0" collapsed="false">
      <c r="A64" s="5" t="n">
        <v>44115</v>
      </c>
      <c r="B64" s="6" t="n">
        <v>0.215277777777778</v>
      </c>
      <c r="C64" s="9" t="n">
        <v>131225</v>
      </c>
      <c r="D64" s="7" t="s">
        <v>14</v>
      </c>
      <c r="E64" s="7" t="n">
        <v>23920</v>
      </c>
      <c r="F64" s="7" t="n">
        <v>12920</v>
      </c>
      <c r="G64" s="8" t="n">
        <v>11000</v>
      </c>
      <c r="H64" s="7" t="s">
        <v>11</v>
      </c>
      <c r="I64" s="7" t="s">
        <v>15</v>
      </c>
      <c r="J64" s="0" t="s">
        <v>13</v>
      </c>
    </row>
    <row r="65" customFormat="false" ht="15" hidden="false" customHeight="false" outlineLevel="0" collapsed="false">
      <c r="A65" s="5" t="n">
        <v>44115</v>
      </c>
      <c r="B65" s="6" t="n">
        <v>0.444444444444444</v>
      </c>
      <c r="C65" s="7" t="n">
        <v>131230</v>
      </c>
      <c r="D65" s="7" t="s">
        <v>23</v>
      </c>
      <c r="E65" s="7" t="n">
        <v>2580</v>
      </c>
      <c r="F65" s="7" t="n">
        <v>2320</v>
      </c>
      <c r="G65" s="8" t="n">
        <v>260</v>
      </c>
      <c r="H65" s="7" t="s">
        <v>11</v>
      </c>
      <c r="I65" s="7" t="s">
        <v>15</v>
      </c>
      <c r="J65" s="0" t="s">
        <v>13</v>
      </c>
    </row>
    <row r="66" customFormat="false" ht="15" hidden="false" customHeight="false" outlineLevel="0" collapsed="false">
      <c r="A66" s="5" t="n">
        <v>44116</v>
      </c>
      <c r="B66" s="6" t="n">
        <v>0.111805555555556</v>
      </c>
      <c r="C66" s="7" t="n">
        <v>131235</v>
      </c>
      <c r="D66" s="7" t="s">
        <v>14</v>
      </c>
      <c r="E66" s="7" t="n">
        <v>22180</v>
      </c>
      <c r="F66" s="7" t="n">
        <v>12920</v>
      </c>
      <c r="G66" s="8" t="n">
        <v>9260</v>
      </c>
      <c r="H66" s="7" t="s">
        <v>11</v>
      </c>
      <c r="I66" s="7" t="s">
        <v>15</v>
      </c>
      <c r="J66" s="0" t="s">
        <v>13</v>
      </c>
    </row>
    <row r="67" customFormat="false" ht="15" hidden="false" customHeight="false" outlineLevel="0" collapsed="false">
      <c r="A67" s="5" t="n">
        <v>44116</v>
      </c>
      <c r="B67" s="6" t="n">
        <v>0.166666666666667</v>
      </c>
      <c r="C67" s="7" t="n">
        <v>131238</v>
      </c>
      <c r="D67" s="7" t="s">
        <v>20</v>
      </c>
      <c r="E67" s="7" t="n">
        <v>24880</v>
      </c>
      <c r="F67" s="7" t="n">
        <v>15860</v>
      </c>
      <c r="G67" s="8" t="n">
        <v>9020</v>
      </c>
      <c r="H67" s="7" t="s">
        <v>11</v>
      </c>
      <c r="I67" s="7" t="s">
        <v>15</v>
      </c>
      <c r="J67" s="0" t="s">
        <v>13</v>
      </c>
    </row>
    <row r="68" customFormat="false" ht="15" hidden="false" customHeight="false" outlineLevel="0" collapsed="false">
      <c r="A68" s="5" t="n">
        <v>44116</v>
      </c>
      <c r="B68" s="6" t="n">
        <v>0.214583333333333</v>
      </c>
      <c r="C68" s="7" t="n">
        <v>131242</v>
      </c>
      <c r="D68" s="7" t="s">
        <v>16</v>
      </c>
      <c r="E68" s="7" t="n">
        <v>4880</v>
      </c>
      <c r="F68" s="7" t="n">
        <v>3760</v>
      </c>
      <c r="G68" s="8" t="n">
        <v>1120</v>
      </c>
      <c r="H68" s="7" t="s">
        <v>11</v>
      </c>
      <c r="I68" s="7" t="s">
        <v>15</v>
      </c>
      <c r="J68" s="0" t="s">
        <v>13</v>
      </c>
    </row>
    <row r="69" customFormat="false" ht="15" hidden="false" customHeight="false" outlineLevel="0" collapsed="false">
      <c r="A69" s="5" t="n">
        <v>44116</v>
      </c>
      <c r="B69" s="6" t="n">
        <v>0.25625</v>
      </c>
      <c r="C69" s="7" t="n">
        <v>131246</v>
      </c>
      <c r="D69" s="7" t="s">
        <v>20</v>
      </c>
      <c r="E69" s="7" t="n">
        <v>22060</v>
      </c>
      <c r="F69" s="7" t="n">
        <v>15840</v>
      </c>
      <c r="G69" s="8" t="n">
        <v>6220</v>
      </c>
      <c r="H69" s="7" t="s">
        <v>11</v>
      </c>
      <c r="I69" s="7" t="s">
        <v>15</v>
      </c>
      <c r="J69" s="0" t="s">
        <v>13</v>
      </c>
    </row>
    <row r="70" customFormat="false" ht="15" hidden="false" customHeight="false" outlineLevel="0" collapsed="false">
      <c r="A70" s="5" t="n">
        <v>44116</v>
      </c>
      <c r="B70" s="6" t="n">
        <v>0.447222222222222</v>
      </c>
      <c r="C70" s="7" t="n">
        <v>131251</v>
      </c>
      <c r="D70" s="7" t="s">
        <v>23</v>
      </c>
      <c r="E70" s="7" t="n">
        <v>2660</v>
      </c>
      <c r="F70" s="7" t="n">
        <v>2360</v>
      </c>
      <c r="G70" s="8" t="n">
        <v>300</v>
      </c>
      <c r="H70" s="7" t="s">
        <v>11</v>
      </c>
      <c r="I70" s="7" t="s">
        <v>15</v>
      </c>
      <c r="J70" s="0" t="s">
        <v>13</v>
      </c>
    </row>
    <row r="71" customFormat="false" ht="15" hidden="false" customHeight="false" outlineLevel="0" collapsed="false">
      <c r="A71" s="5" t="n">
        <v>44116</v>
      </c>
      <c r="B71" s="6" t="n">
        <v>0.540277777777778</v>
      </c>
      <c r="C71" s="7" t="n">
        <v>131252</v>
      </c>
      <c r="D71" s="7" t="s">
        <v>23</v>
      </c>
      <c r="E71" s="7" t="n">
        <v>2560</v>
      </c>
      <c r="F71" s="7" t="n">
        <v>2360</v>
      </c>
      <c r="G71" s="8" t="n">
        <v>200</v>
      </c>
      <c r="H71" s="7" t="s">
        <v>11</v>
      </c>
      <c r="I71" s="7" t="s">
        <v>15</v>
      </c>
      <c r="J71" s="0" t="s">
        <v>13</v>
      </c>
    </row>
    <row r="72" customFormat="false" ht="15" hidden="false" customHeight="false" outlineLevel="0" collapsed="false">
      <c r="A72" s="5" t="n">
        <v>44117</v>
      </c>
      <c r="B72" s="6" t="n">
        <v>0.343055555555555</v>
      </c>
      <c r="C72" s="7" t="n">
        <v>108124</v>
      </c>
      <c r="D72" s="7" t="s">
        <v>24</v>
      </c>
      <c r="E72" s="7" t="n">
        <v>19660</v>
      </c>
      <c r="F72" s="7" t="n">
        <v>16260</v>
      </c>
      <c r="G72" s="8" t="n">
        <v>3400</v>
      </c>
      <c r="H72" s="7" t="s">
        <v>11</v>
      </c>
      <c r="I72" s="7" t="s">
        <v>12</v>
      </c>
      <c r="J72" s="0" t="s">
        <v>13</v>
      </c>
    </row>
    <row r="73" customFormat="false" ht="15" hidden="false" customHeight="false" outlineLevel="0" collapsed="false">
      <c r="A73" s="5" t="n">
        <v>44117</v>
      </c>
      <c r="B73" s="6" t="n">
        <v>0.344444444444444</v>
      </c>
      <c r="C73" s="7" t="n">
        <v>108125</v>
      </c>
      <c r="D73" s="7" t="s">
        <v>24</v>
      </c>
      <c r="E73" s="7" t="n">
        <v>19660</v>
      </c>
      <c r="F73" s="7" t="n">
        <v>19560</v>
      </c>
      <c r="G73" s="8" t="n">
        <v>100</v>
      </c>
      <c r="H73" s="7" t="s">
        <v>11</v>
      </c>
      <c r="I73" s="7" t="s">
        <v>12</v>
      </c>
      <c r="J73" s="0" t="s">
        <v>13</v>
      </c>
    </row>
    <row r="74" customFormat="false" ht="15" hidden="false" customHeight="false" outlineLevel="0" collapsed="false">
      <c r="A74" s="5" t="n">
        <v>44117</v>
      </c>
      <c r="B74" s="6" t="n">
        <v>0.505555555555556</v>
      </c>
      <c r="C74" s="7" t="n">
        <v>108164</v>
      </c>
      <c r="D74" s="7" t="s">
        <v>24</v>
      </c>
      <c r="E74" s="7" t="n">
        <v>17440</v>
      </c>
      <c r="F74" s="7" t="n">
        <v>15860</v>
      </c>
      <c r="G74" s="8" t="n">
        <v>1580</v>
      </c>
      <c r="H74" s="7" t="s">
        <v>11</v>
      </c>
      <c r="I74" s="7" t="s">
        <v>12</v>
      </c>
      <c r="J74" s="0" t="s">
        <v>13</v>
      </c>
    </row>
    <row r="75" customFormat="false" ht="15" hidden="true" customHeight="false" outlineLevel="0" collapsed="false">
      <c r="A75" s="5" t="n">
        <v>44117</v>
      </c>
      <c r="B75" s="6" t="n">
        <v>0.53125</v>
      </c>
      <c r="C75" s="7" t="n">
        <v>108170</v>
      </c>
      <c r="D75" s="7" t="s">
        <v>20</v>
      </c>
      <c r="E75" s="7" t="n">
        <v>17660</v>
      </c>
      <c r="F75" s="7" t="n">
        <v>15720</v>
      </c>
      <c r="G75" s="8" t="n">
        <v>1940</v>
      </c>
      <c r="H75" s="7" t="s">
        <v>11</v>
      </c>
      <c r="I75" s="7" t="s">
        <v>21</v>
      </c>
      <c r="J75" s="0" t="s">
        <v>13</v>
      </c>
    </row>
    <row r="76" customFormat="false" ht="15" hidden="false" customHeight="false" outlineLevel="0" collapsed="false">
      <c r="A76" s="5" t="n">
        <v>44117</v>
      </c>
      <c r="B76" s="6" t="n">
        <v>0.104861111111111</v>
      </c>
      <c r="C76" s="7" t="n">
        <v>131255</v>
      </c>
      <c r="D76" s="7" t="s">
        <v>14</v>
      </c>
      <c r="E76" s="7" t="n">
        <v>22340</v>
      </c>
      <c r="F76" s="7" t="n">
        <v>13020</v>
      </c>
      <c r="G76" s="8" t="n">
        <v>9320</v>
      </c>
      <c r="H76" s="7" t="s">
        <v>11</v>
      </c>
      <c r="I76" s="7" t="s">
        <v>15</v>
      </c>
      <c r="J76" s="0" t="s">
        <v>13</v>
      </c>
    </row>
    <row r="77" customFormat="false" ht="15" hidden="false" customHeight="false" outlineLevel="0" collapsed="false">
      <c r="A77" s="5" t="n">
        <v>44117</v>
      </c>
      <c r="B77" s="6" t="n">
        <v>0.181944444444444</v>
      </c>
      <c r="C77" s="7" t="n">
        <v>131260</v>
      </c>
      <c r="D77" s="7" t="s">
        <v>20</v>
      </c>
      <c r="E77" s="7" t="n">
        <v>26140</v>
      </c>
      <c r="F77" s="7" t="n">
        <v>15760</v>
      </c>
      <c r="G77" s="8" t="n">
        <v>10380</v>
      </c>
      <c r="H77" s="7" t="s">
        <v>11</v>
      </c>
      <c r="I77" s="7" t="s">
        <v>15</v>
      </c>
      <c r="J77" s="0" t="s">
        <v>13</v>
      </c>
    </row>
    <row r="78" customFormat="false" ht="15" hidden="false" customHeight="false" outlineLevel="0" collapsed="false">
      <c r="A78" s="5" t="n">
        <v>44117</v>
      </c>
      <c r="B78" s="6" t="n">
        <v>0.261111111111111</v>
      </c>
      <c r="C78" s="7" t="n">
        <v>131267</v>
      </c>
      <c r="D78" s="7" t="s">
        <v>16</v>
      </c>
      <c r="E78" s="7" t="n">
        <v>4660</v>
      </c>
      <c r="F78" s="7" t="n">
        <v>3740</v>
      </c>
      <c r="G78" s="8" t="n">
        <v>920</v>
      </c>
      <c r="H78" s="7" t="s">
        <v>11</v>
      </c>
      <c r="I78" s="7" t="s">
        <v>15</v>
      </c>
      <c r="J78" s="0" t="s">
        <v>13</v>
      </c>
    </row>
    <row r="79" customFormat="false" ht="15" hidden="false" customHeight="false" outlineLevel="0" collapsed="false">
      <c r="A79" s="5" t="n">
        <v>44117</v>
      </c>
      <c r="B79" s="6" t="n">
        <v>0.282638888888889</v>
      </c>
      <c r="C79" s="7" t="n">
        <v>131270</v>
      </c>
      <c r="D79" s="7" t="s">
        <v>20</v>
      </c>
      <c r="E79" s="7" t="n">
        <v>20740</v>
      </c>
      <c r="F79" s="7" t="n">
        <v>15740</v>
      </c>
      <c r="G79" s="8" t="n">
        <v>5000</v>
      </c>
      <c r="H79" s="7" t="s">
        <v>11</v>
      </c>
      <c r="I79" s="7" t="s">
        <v>15</v>
      </c>
      <c r="J79" s="0" t="s">
        <v>13</v>
      </c>
    </row>
    <row r="80" customFormat="false" ht="15" hidden="true" customHeight="false" outlineLevel="0" collapsed="false">
      <c r="A80" s="5" t="n">
        <v>44118</v>
      </c>
      <c r="B80" s="6" t="n">
        <v>0.520833333333333</v>
      </c>
      <c r="C80" s="7" t="n">
        <v>831</v>
      </c>
      <c r="D80" s="7" t="s">
        <v>20</v>
      </c>
      <c r="E80" s="7" t="n">
        <v>17580</v>
      </c>
      <c r="F80" s="7" t="n">
        <v>15740</v>
      </c>
      <c r="G80" s="8" t="n">
        <v>1840</v>
      </c>
      <c r="H80" s="7" t="s">
        <v>11</v>
      </c>
      <c r="I80" s="7" t="s">
        <v>22</v>
      </c>
      <c r="J80" s="0" t="s">
        <v>13</v>
      </c>
    </row>
    <row r="81" customFormat="false" ht="15" hidden="false" customHeight="false" outlineLevel="0" collapsed="false">
      <c r="A81" s="5" t="n">
        <v>44118</v>
      </c>
      <c r="B81" s="6" t="n">
        <v>0.35625</v>
      </c>
      <c r="C81" s="7" t="n">
        <v>108208</v>
      </c>
      <c r="D81" s="7" t="s">
        <v>25</v>
      </c>
      <c r="E81" s="7" t="n">
        <v>6720</v>
      </c>
      <c r="F81" s="7" t="n">
        <v>5700</v>
      </c>
      <c r="G81" s="8" t="n">
        <v>1020</v>
      </c>
      <c r="H81" s="7" t="s">
        <v>11</v>
      </c>
      <c r="I81" s="7" t="s">
        <v>12</v>
      </c>
      <c r="J81" s="0" t="s">
        <v>13</v>
      </c>
    </row>
    <row r="82" customFormat="false" ht="15" hidden="false" customHeight="false" outlineLevel="0" collapsed="false">
      <c r="A82" s="5" t="n">
        <v>44118</v>
      </c>
      <c r="B82" s="6" t="n">
        <v>0.357638888888889</v>
      </c>
      <c r="C82" s="7" t="n">
        <v>108209</v>
      </c>
      <c r="D82" s="7" t="s">
        <v>25</v>
      </c>
      <c r="E82" s="7" t="n">
        <v>6760</v>
      </c>
      <c r="F82" s="7" t="n">
        <v>6720</v>
      </c>
      <c r="G82" s="8" t="n">
        <v>40</v>
      </c>
      <c r="H82" s="7" t="s">
        <v>11</v>
      </c>
      <c r="I82" s="7" t="s">
        <v>12</v>
      </c>
      <c r="J82" s="0" t="s">
        <v>13</v>
      </c>
    </row>
    <row r="83" customFormat="false" ht="15" hidden="false" customHeight="false" outlineLevel="0" collapsed="false">
      <c r="A83" s="5" t="n">
        <v>44118</v>
      </c>
      <c r="B83" s="6" t="n">
        <v>0.469444444444444</v>
      </c>
      <c r="C83" s="7" t="n">
        <v>108231</v>
      </c>
      <c r="D83" s="7" t="s">
        <v>10</v>
      </c>
      <c r="E83" s="7" t="n">
        <v>3640</v>
      </c>
      <c r="F83" s="7" t="n">
        <v>2920</v>
      </c>
      <c r="G83" s="8" t="n">
        <v>720</v>
      </c>
      <c r="H83" s="7" t="s">
        <v>11</v>
      </c>
      <c r="I83" s="7" t="s">
        <v>12</v>
      </c>
      <c r="J83" s="0" t="s">
        <v>13</v>
      </c>
    </row>
    <row r="84" customFormat="false" ht="15" hidden="false" customHeight="false" outlineLevel="0" collapsed="false">
      <c r="A84" s="5" t="n">
        <v>44118</v>
      </c>
      <c r="B84" s="6" t="n">
        <v>0.517361111111111</v>
      </c>
      <c r="C84" s="7" t="n">
        <v>108244</v>
      </c>
      <c r="D84" s="7" t="s">
        <v>25</v>
      </c>
      <c r="E84" s="7" t="n">
        <v>5960</v>
      </c>
      <c r="F84" s="7" t="n">
        <v>5600</v>
      </c>
      <c r="G84" s="8" t="n">
        <v>360</v>
      </c>
      <c r="H84" s="7" t="s">
        <v>11</v>
      </c>
      <c r="I84" s="7" t="s">
        <v>12</v>
      </c>
      <c r="J84" s="0" t="s">
        <v>13</v>
      </c>
    </row>
    <row r="85" customFormat="false" ht="15" hidden="false" customHeight="false" outlineLevel="0" collapsed="false">
      <c r="A85" s="5" t="n">
        <v>44118</v>
      </c>
      <c r="B85" s="6" t="n">
        <v>0.51875</v>
      </c>
      <c r="C85" s="7" t="n">
        <v>108245</v>
      </c>
      <c r="D85" s="7" t="s">
        <v>25</v>
      </c>
      <c r="E85" s="7" t="n">
        <v>6040</v>
      </c>
      <c r="F85" s="7" t="n">
        <v>5960</v>
      </c>
      <c r="G85" s="8" t="n">
        <v>80</v>
      </c>
      <c r="H85" s="7" t="s">
        <v>11</v>
      </c>
      <c r="I85" s="7" t="s">
        <v>12</v>
      </c>
      <c r="J85" s="0" t="s">
        <v>13</v>
      </c>
    </row>
    <row r="86" customFormat="false" ht="15" hidden="false" customHeight="false" outlineLevel="0" collapsed="false">
      <c r="A86" s="5" t="n">
        <v>44118</v>
      </c>
      <c r="B86" s="6" t="n">
        <v>0.546527777777778</v>
      </c>
      <c r="C86" s="7" t="n">
        <v>108251</v>
      </c>
      <c r="D86" s="7" t="s">
        <v>10</v>
      </c>
      <c r="E86" s="7" t="n">
        <v>3360</v>
      </c>
      <c r="F86" s="7" t="n">
        <v>2920</v>
      </c>
      <c r="G86" s="8" t="n">
        <v>440</v>
      </c>
      <c r="H86" s="7" t="s">
        <v>11</v>
      </c>
      <c r="I86" s="7" t="s">
        <v>12</v>
      </c>
      <c r="J86" s="0" t="s">
        <v>13</v>
      </c>
    </row>
    <row r="87" customFormat="false" ht="15" hidden="false" customHeight="false" outlineLevel="0" collapsed="false">
      <c r="A87" s="5" t="n">
        <v>44118</v>
      </c>
      <c r="B87" s="6" t="n">
        <v>0.547916666666667</v>
      </c>
      <c r="C87" s="7" t="n">
        <v>108252</v>
      </c>
      <c r="D87" s="7" t="s">
        <v>10</v>
      </c>
      <c r="E87" s="7" t="n">
        <v>3400</v>
      </c>
      <c r="F87" s="7" t="n">
        <v>3360</v>
      </c>
      <c r="G87" s="8" t="n">
        <v>40</v>
      </c>
      <c r="H87" s="7" t="s">
        <v>11</v>
      </c>
      <c r="I87" s="7" t="s">
        <v>12</v>
      </c>
      <c r="J87" s="0" t="s">
        <v>13</v>
      </c>
    </row>
    <row r="88" customFormat="false" ht="15" hidden="false" customHeight="false" outlineLevel="0" collapsed="false">
      <c r="A88" s="5" t="n">
        <v>44118</v>
      </c>
      <c r="B88" s="6" t="n">
        <v>0.55</v>
      </c>
      <c r="C88" s="7" t="n">
        <v>108253</v>
      </c>
      <c r="D88" s="7" t="s">
        <v>18</v>
      </c>
      <c r="E88" s="7" t="n">
        <v>3280</v>
      </c>
      <c r="F88" s="7" t="n">
        <v>2700</v>
      </c>
      <c r="G88" s="8" t="n">
        <v>580</v>
      </c>
      <c r="H88" s="7" t="s">
        <v>11</v>
      </c>
      <c r="I88" s="7" t="s">
        <v>19</v>
      </c>
      <c r="J88" s="0" t="s">
        <v>13</v>
      </c>
    </row>
    <row r="89" customFormat="false" ht="15" hidden="false" customHeight="false" outlineLevel="0" collapsed="false">
      <c r="A89" s="5" t="n">
        <v>44118</v>
      </c>
      <c r="B89" s="6" t="n">
        <v>0.129166666666667</v>
      </c>
      <c r="C89" s="7" t="n">
        <v>131309</v>
      </c>
      <c r="D89" s="7" t="s">
        <v>14</v>
      </c>
      <c r="E89" s="7" t="n">
        <v>19660</v>
      </c>
      <c r="F89" s="7" t="n">
        <v>13060</v>
      </c>
      <c r="G89" s="8" t="n">
        <v>6600</v>
      </c>
      <c r="H89" s="7" t="s">
        <v>11</v>
      </c>
      <c r="I89" s="7" t="s">
        <v>15</v>
      </c>
      <c r="J89" s="0" t="s">
        <v>13</v>
      </c>
    </row>
    <row r="90" customFormat="false" ht="15" hidden="false" customHeight="false" outlineLevel="0" collapsed="false">
      <c r="A90" s="5" t="n">
        <v>44118</v>
      </c>
      <c r="B90" s="6" t="n">
        <v>0.209027777777778</v>
      </c>
      <c r="C90" s="7" t="n">
        <v>131313</v>
      </c>
      <c r="D90" s="7" t="s">
        <v>20</v>
      </c>
      <c r="E90" s="7" t="n">
        <v>25160</v>
      </c>
      <c r="F90" s="7" t="n">
        <v>15860</v>
      </c>
      <c r="G90" s="8" t="n">
        <v>9300</v>
      </c>
      <c r="H90" s="7" t="s">
        <v>11</v>
      </c>
      <c r="I90" s="7" t="s">
        <v>15</v>
      </c>
      <c r="J90" s="0" t="s">
        <v>13</v>
      </c>
    </row>
    <row r="91" customFormat="false" ht="15" hidden="false" customHeight="false" outlineLevel="0" collapsed="false">
      <c r="A91" s="5" t="n">
        <v>44118</v>
      </c>
      <c r="B91" s="6" t="n">
        <v>0.260416666666667</v>
      </c>
      <c r="C91" s="7" t="n">
        <v>131317</v>
      </c>
      <c r="D91" s="7" t="s">
        <v>16</v>
      </c>
      <c r="E91" s="7" t="n">
        <v>4240</v>
      </c>
      <c r="F91" s="7" t="n">
        <v>3780</v>
      </c>
      <c r="G91" s="8" t="n">
        <v>460</v>
      </c>
      <c r="H91" s="7" t="s">
        <v>11</v>
      </c>
      <c r="I91" s="7" t="s">
        <v>15</v>
      </c>
      <c r="J91" s="0" t="s">
        <v>13</v>
      </c>
    </row>
    <row r="92" customFormat="false" ht="15" hidden="false" customHeight="false" outlineLevel="0" collapsed="false">
      <c r="A92" s="5" t="n">
        <v>44118</v>
      </c>
      <c r="B92" s="6" t="n">
        <v>0.265972222222222</v>
      </c>
      <c r="C92" s="7" t="n">
        <v>131319</v>
      </c>
      <c r="D92" s="7" t="s">
        <v>20</v>
      </c>
      <c r="E92" s="7" t="n">
        <v>17720</v>
      </c>
      <c r="F92" s="7" t="n">
        <v>15840</v>
      </c>
      <c r="G92" s="8" t="n">
        <v>1880</v>
      </c>
      <c r="H92" s="7" t="s">
        <v>11</v>
      </c>
      <c r="I92" s="7" t="s">
        <v>15</v>
      </c>
      <c r="J92" s="0" t="s">
        <v>13</v>
      </c>
    </row>
    <row r="93" customFormat="false" ht="15" hidden="false" customHeight="false" outlineLevel="0" collapsed="false">
      <c r="A93" s="5" t="n">
        <v>44119</v>
      </c>
      <c r="B93" s="6" t="n">
        <v>0.456944444444444</v>
      </c>
      <c r="C93" s="7" t="n">
        <v>108301</v>
      </c>
      <c r="D93" s="7" t="s">
        <v>10</v>
      </c>
      <c r="E93" s="7" t="n">
        <v>3440</v>
      </c>
      <c r="F93" s="7" t="n">
        <v>2820</v>
      </c>
      <c r="G93" s="8" t="n">
        <v>620</v>
      </c>
      <c r="H93" s="7" t="s">
        <v>11</v>
      </c>
      <c r="I93" s="7" t="s">
        <v>12</v>
      </c>
      <c r="J93" s="0" t="s">
        <v>13</v>
      </c>
    </row>
    <row r="94" customFormat="false" ht="15" hidden="false" customHeight="false" outlineLevel="0" collapsed="false">
      <c r="A94" s="5" t="n">
        <v>44119</v>
      </c>
      <c r="B94" s="6" t="n">
        <v>0.459027777777778</v>
      </c>
      <c r="C94" s="7" t="n">
        <v>108302</v>
      </c>
      <c r="D94" s="7" t="s">
        <v>10</v>
      </c>
      <c r="E94" s="7" t="n">
        <v>3460</v>
      </c>
      <c r="F94" s="7" t="n">
        <v>3440</v>
      </c>
      <c r="G94" s="8" t="n">
        <v>20</v>
      </c>
      <c r="H94" s="7" t="s">
        <v>11</v>
      </c>
      <c r="I94" s="7" t="s">
        <v>12</v>
      </c>
      <c r="J94" s="0" t="s">
        <v>13</v>
      </c>
    </row>
    <row r="95" customFormat="false" ht="15" hidden="false" customHeight="false" outlineLevel="0" collapsed="false">
      <c r="A95" s="5" t="n">
        <v>44119</v>
      </c>
      <c r="B95" s="6" t="n">
        <v>0.545138888888889</v>
      </c>
      <c r="C95" s="7" t="n">
        <v>108318</v>
      </c>
      <c r="D95" s="7" t="s">
        <v>18</v>
      </c>
      <c r="E95" s="7" t="n">
        <v>3400</v>
      </c>
      <c r="F95" s="7" t="n">
        <v>2700</v>
      </c>
      <c r="G95" s="8" t="n">
        <v>700</v>
      </c>
      <c r="H95" s="7" t="s">
        <v>11</v>
      </c>
      <c r="I95" s="7" t="s">
        <v>19</v>
      </c>
      <c r="J95" s="0" t="s">
        <v>13</v>
      </c>
    </row>
    <row r="96" customFormat="false" ht="15" hidden="false" customHeight="false" outlineLevel="0" collapsed="false">
      <c r="A96" s="5" t="n">
        <v>44119</v>
      </c>
      <c r="B96" s="6" t="n">
        <v>0.547222222222222</v>
      </c>
      <c r="C96" s="7" t="n">
        <v>108319</v>
      </c>
      <c r="D96" s="7" t="s">
        <v>10</v>
      </c>
      <c r="E96" s="7" t="n">
        <v>3060</v>
      </c>
      <c r="F96" s="7" t="n">
        <v>2800</v>
      </c>
      <c r="G96" s="8" t="n">
        <v>260</v>
      </c>
      <c r="H96" s="7" t="s">
        <v>11</v>
      </c>
      <c r="I96" s="7" t="s">
        <v>12</v>
      </c>
      <c r="J96" s="0" t="s">
        <v>13</v>
      </c>
    </row>
    <row r="97" customFormat="false" ht="15" hidden="false" customHeight="false" outlineLevel="0" collapsed="false">
      <c r="A97" s="5" t="n">
        <v>44119</v>
      </c>
      <c r="B97" s="6" t="n">
        <v>0.547916666666667</v>
      </c>
      <c r="C97" s="7" t="n">
        <v>108320</v>
      </c>
      <c r="D97" s="7" t="s">
        <v>10</v>
      </c>
      <c r="E97" s="7" t="n">
        <v>3100</v>
      </c>
      <c r="F97" s="7" t="n">
        <v>3060</v>
      </c>
      <c r="G97" s="8" t="n">
        <v>40</v>
      </c>
      <c r="H97" s="7" t="s">
        <v>11</v>
      </c>
      <c r="I97" s="7" t="s">
        <v>12</v>
      </c>
      <c r="J97" s="0" t="s">
        <v>13</v>
      </c>
    </row>
    <row r="98" customFormat="false" ht="15" hidden="false" customHeight="false" outlineLevel="0" collapsed="false">
      <c r="A98" s="5" t="n">
        <v>44119</v>
      </c>
      <c r="B98" s="6" t="n">
        <v>0.149305555555556</v>
      </c>
      <c r="C98" s="7" t="n">
        <v>131356</v>
      </c>
      <c r="D98" s="7" t="s">
        <v>14</v>
      </c>
      <c r="E98" s="7" t="n">
        <v>18560</v>
      </c>
      <c r="F98" s="7" t="n">
        <v>12840</v>
      </c>
      <c r="G98" s="8" t="n">
        <v>5720</v>
      </c>
      <c r="H98" s="7" t="s">
        <v>11</v>
      </c>
      <c r="I98" s="7" t="s">
        <v>15</v>
      </c>
      <c r="J98" s="0" t="s">
        <v>13</v>
      </c>
    </row>
    <row r="99" customFormat="false" ht="15" hidden="false" customHeight="false" outlineLevel="0" collapsed="false">
      <c r="A99" s="5" t="n">
        <v>44119</v>
      </c>
      <c r="B99" s="6" t="n">
        <v>0.263194444444444</v>
      </c>
      <c r="C99" s="7" t="n">
        <v>131363</v>
      </c>
      <c r="D99" s="7" t="s">
        <v>16</v>
      </c>
      <c r="E99" s="7" t="n">
        <v>4140</v>
      </c>
      <c r="F99" s="7" t="n">
        <v>3760</v>
      </c>
      <c r="G99" s="8" t="n">
        <v>380</v>
      </c>
      <c r="H99" s="7" t="s">
        <v>11</v>
      </c>
      <c r="I99" s="7" t="s">
        <v>15</v>
      </c>
      <c r="J99" s="0" t="s">
        <v>13</v>
      </c>
    </row>
    <row r="100" customFormat="false" ht="15" hidden="false" customHeight="false" outlineLevel="0" collapsed="false">
      <c r="A100" s="5" t="n">
        <v>44119</v>
      </c>
      <c r="B100" s="6" t="n">
        <v>0.277083333333333</v>
      </c>
      <c r="C100" s="7" t="n">
        <v>131365</v>
      </c>
      <c r="D100" s="7" t="s">
        <v>20</v>
      </c>
      <c r="E100" s="7" t="n">
        <v>26040</v>
      </c>
      <c r="F100" s="7" t="n">
        <v>15860</v>
      </c>
      <c r="G100" s="8" t="n">
        <v>10180</v>
      </c>
      <c r="H100" s="7" t="s">
        <v>11</v>
      </c>
      <c r="I100" s="7" t="s">
        <v>15</v>
      </c>
      <c r="J100" s="0" t="s">
        <v>13</v>
      </c>
    </row>
    <row r="101" customFormat="false" ht="15" hidden="false" customHeight="false" outlineLevel="0" collapsed="false">
      <c r="A101" s="5" t="n">
        <v>44119</v>
      </c>
      <c r="B101" s="6" t="n">
        <v>0.440277777777778</v>
      </c>
      <c r="C101" s="7" t="n">
        <v>131380</v>
      </c>
      <c r="D101" s="7" t="s">
        <v>23</v>
      </c>
      <c r="E101" s="7" t="n">
        <v>2600</v>
      </c>
      <c r="F101" s="7" t="n">
        <v>2400</v>
      </c>
      <c r="G101" s="8" t="n">
        <v>200</v>
      </c>
      <c r="H101" s="7" t="s">
        <v>11</v>
      </c>
      <c r="I101" s="7" t="s">
        <v>15</v>
      </c>
      <c r="J101" s="0" t="s">
        <v>13</v>
      </c>
    </row>
    <row r="102" customFormat="false" ht="15" hidden="false" customHeight="false" outlineLevel="0" collapsed="false">
      <c r="A102" s="5" t="n">
        <v>44120</v>
      </c>
      <c r="B102" s="6" t="n">
        <v>0.540277777777778</v>
      </c>
      <c r="C102" s="7" t="n">
        <v>108401</v>
      </c>
      <c r="D102" s="7" t="s">
        <v>10</v>
      </c>
      <c r="E102" s="7" t="n">
        <v>3160</v>
      </c>
      <c r="F102" s="7" t="n">
        <v>2860</v>
      </c>
      <c r="G102" s="8" t="n">
        <v>300</v>
      </c>
      <c r="H102" s="7" t="s">
        <v>11</v>
      </c>
      <c r="I102" s="7" t="s">
        <v>12</v>
      </c>
      <c r="J102" s="0" t="s">
        <v>13</v>
      </c>
    </row>
    <row r="103" customFormat="false" ht="15" hidden="false" customHeight="false" outlineLevel="0" collapsed="false">
      <c r="A103" s="5" t="n">
        <v>44120</v>
      </c>
      <c r="B103" s="6" t="n">
        <v>0.542361111111111</v>
      </c>
      <c r="C103" s="7" t="n">
        <v>108402</v>
      </c>
      <c r="D103" s="7" t="s">
        <v>10</v>
      </c>
      <c r="E103" s="7" t="n">
        <v>3180</v>
      </c>
      <c r="F103" s="7" t="n">
        <v>3160</v>
      </c>
      <c r="G103" s="8" t="n">
        <v>20</v>
      </c>
      <c r="H103" s="7" t="s">
        <v>11</v>
      </c>
      <c r="I103" s="7" t="s">
        <v>12</v>
      </c>
      <c r="J103" s="0" t="s">
        <v>13</v>
      </c>
    </row>
    <row r="104" customFormat="false" ht="15" hidden="false" customHeight="false" outlineLevel="0" collapsed="false">
      <c r="A104" s="5" t="n">
        <v>44120</v>
      </c>
      <c r="B104" s="6" t="n">
        <v>0.106944444444444</v>
      </c>
      <c r="C104" s="7" t="n">
        <v>131399</v>
      </c>
      <c r="D104" s="7" t="s">
        <v>14</v>
      </c>
      <c r="E104" s="7" t="n">
        <v>18220</v>
      </c>
      <c r="F104" s="7" t="n">
        <v>12780</v>
      </c>
      <c r="G104" s="8" t="n">
        <v>5440</v>
      </c>
      <c r="H104" s="7" t="s">
        <v>11</v>
      </c>
      <c r="I104" s="7" t="s">
        <v>15</v>
      </c>
      <c r="J104" s="0" t="s">
        <v>13</v>
      </c>
    </row>
    <row r="105" customFormat="false" ht="15" hidden="false" customHeight="false" outlineLevel="0" collapsed="false">
      <c r="A105" s="5" t="n">
        <v>44120</v>
      </c>
      <c r="B105" s="6" t="n">
        <v>0.2625</v>
      </c>
      <c r="C105" s="7" t="n">
        <v>131408</v>
      </c>
      <c r="D105" s="7" t="s">
        <v>16</v>
      </c>
      <c r="E105" s="7" t="n">
        <v>4120</v>
      </c>
      <c r="F105" s="7" t="n">
        <v>3740</v>
      </c>
      <c r="G105" s="8" t="n">
        <v>380</v>
      </c>
      <c r="H105" s="7" t="s">
        <v>11</v>
      </c>
      <c r="I105" s="7" t="s">
        <v>15</v>
      </c>
      <c r="J105" s="0" t="s">
        <v>13</v>
      </c>
    </row>
    <row r="106" customFormat="false" ht="15" hidden="false" customHeight="false" outlineLevel="0" collapsed="false">
      <c r="A106" s="5" t="n">
        <v>44120</v>
      </c>
      <c r="B106" s="6" t="n">
        <v>0.281944444444444</v>
      </c>
      <c r="C106" s="7" t="n">
        <v>131411</v>
      </c>
      <c r="D106" s="7" t="s">
        <v>20</v>
      </c>
      <c r="E106" s="7" t="n">
        <v>26160</v>
      </c>
      <c r="F106" s="7" t="n">
        <v>15860</v>
      </c>
      <c r="G106" s="8" t="n">
        <v>10300</v>
      </c>
      <c r="H106" s="7" t="s">
        <v>11</v>
      </c>
      <c r="I106" s="7" t="s">
        <v>15</v>
      </c>
      <c r="J106" s="0" t="s">
        <v>13</v>
      </c>
    </row>
    <row r="107" customFormat="false" ht="15" hidden="false" customHeight="false" outlineLevel="0" collapsed="false">
      <c r="A107" s="5" t="n">
        <v>44120</v>
      </c>
      <c r="B107" s="6" t="n">
        <v>0.501388888888889</v>
      </c>
      <c r="C107" s="7" t="n">
        <v>131431</v>
      </c>
      <c r="D107" s="7" t="s">
        <v>23</v>
      </c>
      <c r="E107" s="7" t="n">
        <v>2640</v>
      </c>
      <c r="F107" s="7" t="n">
        <v>2380</v>
      </c>
      <c r="G107" s="8" t="n">
        <v>260</v>
      </c>
      <c r="H107" s="7" t="s">
        <v>11</v>
      </c>
      <c r="I107" s="7" t="s">
        <v>15</v>
      </c>
      <c r="J107" s="0" t="s">
        <v>13</v>
      </c>
    </row>
    <row r="108" customFormat="false" ht="15" hidden="false" customHeight="false" outlineLevel="0" collapsed="false">
      <c r="A108" s="5" t="n">
        <v>44121</v>
      </c>
      <c r="B108" s="6" t="n">
        <v>0.520833333333333</v>
      </c>
      <c r="C108" s="7" t="n">
        <v>108478</v>
      </c>
      <c r="D108" s="7" t="s">
        <v>10</v>
      </c>
      <c r="E108" s="7" t="n">
        <v>3440</v>
      </c>
      <c r="F108" s="7" t="n">
        <v>2880</v>
      </c>
      <c r="G108" s="8" t="n">
        <v>560</v>
      </c>
      <c r="H108" s="7" t="s">
        <v>11</v>
      </c>
      <c r="I108" s="7" t="s">
        <v>12</v>
      </c>
      <c r="J108" s="0" t="s">
        <v>13</v>
      </c>
    </row>
    <row r="109" customFormat="false" ht="15" hidden="false" customHeight="false" outlineLevel="0" collapsed="false">
      <c r="A109" s="5" t="n">
        <v>44121</v>
      </c>
      <c r="B109" s="6" t="n">
        <v>0.520833333333333</v>
      </c>
      <c r="C109" s="7" t="n">
        <v>108479</v>
      </c>
      <c r="D109" s="7" t="s">
        <v>10</v>
      </c>
      <c r="E109" s="7" t="n">
        <v>3480</v>
      </c>
      <c r="F109" s="7" t="n">
        <v>3440</v>
      </c>
      <c r="G109" s="8" t="n">
        <v>40</v>
      </c>
      <c r="H109" s="7" t="s">
        <v>11</v>
      </c>
      <c r="I109" s="7" t="s">
        <v>12</v>
      </c>
      <c r="J109" s="0" t="s">
        <v>13</v>
      </c>
    </row>
    <row r="110" customFormat="false" ht="15" hidden="false" customHeight="false" outlineLevel="0" collapsed="false">
      <c r="A110" s="5" t="n">
        <v>44121</v>
      </c>
      <c r="B110" s="6" t="n">
        <v>0.111805555555556</v>
      </c>
      <c r="C110" s="7" t="n">
        <v>131439</v>
      </c>
      <c r="D110" s="7" t="s">
        <v>14</v>
      </c>
      <c r="E110" s="7" t="n">
        <v>16720</v>
      </c>
      <c r="F110" s="7" t="n">
        <v>12880</v>
      </c>
      <c r="G110" s="8" t="n">
        <v>3840</v>
      </c>
      <c r="H110" s="7" t="s">
        <v>11</v>
      </c>
      <c r="I110" s="7" t="s">
        <v>15</v>
      </c>
      <c r="J110" s="0" t="s">
        <v>13</v>
      </c>
    </row>
    <row r="111" customFormat="false" ht="15" hidden="false" customHeight="false" outlineLevel="0" collapsed="false">
      <c r="A111" s="5" t="n">
        <v>44121</v>
      </c>
      <c r="B111" s="6" t="n">
        <v>0.265277777777778</v>
      </c>
      <c r="C111" s="7" t="n">
        <v>131450</v>
      </c>
      <c r="D111" s="7" t="s">
        <v>16</v>
      </c>
      <c r="E111" s="7" t="n">
        <v>4320</v>
      </c>
      <c r="F111" s="7" t="n">
        <v>3780</v>
      </c>
      <c r="G111" s="8" t="n">
        <v>540</v>
      </c>
      <c r="H111" s="7" t="s">
        <v>11</v>
      </c>
      <c r="I111" s="7" t="s">
        <v>15</v>
      </c>
      <c r="J111" s="0" t="s">
        <v>13</v>
      </c>
    </row>
    <row r="112" customFormat="false" ht="15" hidden="false" customHeight="false" outlineLevel="0" collapsed="false">
      <c r="A112" s="5" t="n">
        <v>44121</v>
      </c>
      <c r="B112" s="6" t="n">
        <v>0.283333333333333</v>
      </c>
      <c r="C112" s="7" t="n">
        <v>131452</v>
      </c>
      <c r="D112" s="7" t="s">
        <v>20</v>
      </c>
      <c r="E112" s="7" t="n">
        <v>25940</v>
      </c>
      <c r="F112" s="7" t="n">
        <v>15960</v>
      </c>
      <c r="G112" s="8" t="n">
        <v>9980</v>
      </c>
      <c r="H112" s="7" t="s">
        <v>11</v>
      </c>
      <c r="I112" s="7" t="s">
        <v>15</v>
      </c>
      <c r="J112" s="0" t="s">
        <v>13</v>
      </c>
    </row>
    <row r="113" customFormat="false" ht="15" hidden="false" customHeight="false" outlineLevel="0" collapsed="false">
      <c r="A113" s="5" t="n">
        <v>44121</v>
      </c>
      <c r="B113" s="6" t="n">
        <v>0.498611111111111</v>
      </c>
      <c r="C113" s="7" t="n">
        <v>131454</v>
      </c>
      <c r="D113" s="7" t="s">
        <v>23</v>
      </c>
      <c r="E113" s="7" t="n">
        <v>2580</v>
      </c>
      <c r="F113" s="7" t="n">
        <v>2380</v>
      </c>
      <c r="G113" s="8" t="n">
        <v>200</v>
      </c>
      <c r="H113" s="7" t="s">
        <v>11</v>
      </c>
      <c r="I113" s="7" t="s">
        <v>15</v>
      </c>
      <c r="J113" s="0" t="s">
        <v>13</v>
      </c>
    </row>
    <row r="114" customFormat="false" ht="15" hidden="false" customHeight="false" outlineLevel="0" collapsed="false">
      <c r="A114" s="5" t="n">
        <v>44122</v>
      </c>
      <c r="B114" s="6" t="n">
        <v>0.103472222222222</v>
      </c>
      <c r="C114" s="7" t="n">
        <v>131456</v>
      </c>
      <c r="D114" s="7" t="s">
        <v>14</v>
      </c>
      <c r="E114" s="7" t="n">
        <v>18540</v>
      </c>
      <c r="F114" s="7" t="n">
        <v>13020</v>
      </c>
      <c r="G114" s="8" t="n">
        <v>5520</v>
      </c>
      <c r="H114" s="7" t="s">
        <v>11</v>
      </c>
      <c r="I114" s="7" t="s">
        <v>15</v>
      </c>
      <c r="J114" s="0" t="s">
        <v>13</v>
      </c>
    </row>
    <row r="115" customFormat="false" ht="15" hidden="false" customHeight="false" outlineLevel="0" collapsed="false">
      <c r="A115" s="5" t="n">
        <v>44122</v>
      </c>
      <c r="B115" s="6" t="n">
        <v>0.172916666666667</v>
      </c>
      <c r="C115" s="7" t="n">
        <v>131462</v>
      </c>
      <c r="D115" s="7" t="s">
        <v>16</v>
      </c>
      <c r="E115" s="7" t="n">
        <v>4500</v>
      </c>
      <c r="F115" s="7" t="n">
        <v>3740</v>
      </c>
      <c r="G115" s="8" t="n">
        <v>760</v>
      </c>
      <c r="H115" s="7" t="s">
        <v>11</v>
      </c>
      <c r="I115" s="7" t="s">
        <v>15</v>
      </c>
      <c r="J115" s="0" t="s">
        <v>13</v>
      </c>
    </row>
    <row r="116" customFormat="false" ht="15" hidden="false" customHeight="false" outlineLevel="0" collapsed="false">
      <c r="A116" s="5" t="n">
        <v>44122</v>
      </c>
      <c r="B116" s="6" t="n">
        <v>0.253472222222222</v>
      </c>
      <c r="C116" s="7" t="n">
        <v>131465</v>
      </c>
      <c r="D116" s="7" t="s">
        <v>20</v>
      </c>
      <c r="E116" s="7" t="n">
        <v>26600</v>
      </c>
      <c r="F116" s="7" t="n">
        <v>15920</v>
      </c>
      <c r="G116" s="8" t="n">
        <v>10680</v>
      </c>
      <c r="H116" s="7" t="s">
        <v>11</v>
      </c>
      <c r="I116" s="7" t="s">
        <v>15</v>
      </c>
      <c r="J116" s="0" t="s">
        <v>13</v>
      </c>
    </row>
    <row r="117" customFormat="false" ht="15" hidden="false" customHeight="false" outlineLevel="0" collapsed="false">
      <c r="A117" s="5" t="n">
        <v>44123</v>
      </c>
      <c r="B117" s="6" t="n">
        <v>0.509027777777778</v>
      </c>
      <c r="C117" s="7" t="n">
        <v>108537</v>
      </c>
      <c r="D117" s="7" t="s">
        <v>10</v>
      </c>
      <c r="E117" s="7" t="n">
        <v>3420</v>
      </c>
      <c r="F117" s="7" t="n">
        <v>2840</v>
      </c>
      <c r="G117" s="8" t="n">
        <v>580</v>
      </c>
      <c r="H117" s="7" t="s">
        <v>11</v>
      </c>
      <c r="I117" s="7" t="s">
        <v>12</v>
      </c>
      <c r="J117" s="0" t="s">
        <v>13</v>
      </c>
    </row>
    <row r="118" customFormat="false" ht="15" hidden="false" customHeight="false" outlineLevel="0" collapsed="false">
      <c r="A118" s="5" t="n">
        <v>44123</v>
      </c>
      <c r="B118" s="6" t="n">
        <v>0.510416666666667</v>
      </c>
      <c r="C118" s="7" t="n">
        <v>108538</v>
      </c>
      <c r="D118" s="7" t="s">
        <v>10</v>
      </c>
      <c r="E118" s="7" t="n">
        <v>3480</v>
      </c>
      <c r="F118" s="7" t="n">
        <v>3420</v>
      </c>
      <c r="G118" s="8" t="n">
        <v>60</v>
      </c>
      <c r="H118" s="7" t="s">
        <v>11</v>
      </c>
      <c r="I118" s="7" t="s">
        <v>12</v>
      </c>
      <c r="J118" s="0" t="s">
        <v>13</v>
      </c>
    </row>
    <row r="119" customFormat="false" ht="15" hidden="true" customHeight="false" outlineLevel="0" collapsed="false">
      <c r="A119" s="5" t="n">
        <v>44123</v>
      </c>
      <c r="B119" s="6" t="n">
        <v>0.527083333333333</v>
      </c>
      <c r="C119" s="7" t="n">
        <v>108544</v>
      </c>
      <c r="D119" s="7" t="s">
        <v>20</v>
      </c>
      <c r="E119" s="7" t="n">
        <v>17700</v>
      </c>
      <c r="F119" s="7" t="n">
        <v>16000</v>
      </c>
      <c r="G119" s="8" t="n">
        <v>1700</v>
      </c>
      <c r="H119" s="7" t="s">
        <v>11</v>
      </c>
      <c r="I119" s="7" t="s">
        <v>21</v>
      </c>
      <c r="J119" s="0" t="s">
        <v>13</v>
      </c>
    </row>
    <row r="120" customFormat="false" ht="15" hidden="false" customHeight="false" outlineLevel="0" collapsed="false">
      <c r="A120" s="5" t="n">
        <v>44123</v>
      </c>
      <c r="B120" s="6" t="n">
        <v>0.142361111111111</v>
      </c>
      <c r="C120" s="7" t="n">
        <v>131472</v>
      </c>
      <c r="D120" s="7" t="s">
        <v>14</v>
      </c>
      <c r="E120" s="7" t="n">
        <v>16960</v>
      </c>
      <c r="F120" s="7" t="n">
        <v>12840</v>
      </c>
      <c r="G120" s="8" t="n">
        <v>4120</v>
      </c>
      <c r="H120" s="7" t="s">
        <v>11</v>
      </c>
      <c r="I120" s="7" t="s">
        <v>15</v>
      </c>
      <c r="J120" s="0" t="s">
        <v>13</v>
      </c>
    </row>
    <row r="121" customFormat="false" ht="15" hidden="false" customHeight="false" outlineLevel="0" collapsed="false">
      <c r="A121" s="5" t="n">
        <v>44123</v>
      </c>
      <c r="B121" s="6" t="n">
        <v>0.257638888888889</v>
      </c>
      <c r="C121" s="7" t="n">
        <v>131481</v>
      </c>
      <c r="D121" s="7" t="s">
        <v>16</v>
      </c>
      <c r="E121" s="7" t="n">
        <v>4400</v>
      </c>
      <c r="F121" s="7" t="n">
        <v>3700</v>
      </c>
      <c r="G121" s="8" t="n">
        <v>700</v>
      </c>
      <c r="H121" s="7" t="s">
        <v>11</v>
      </c>
      <c r="I121" s="7" t="s">
        <v>15</v>
      </c>
      <c r="J121" s="0" t="s">
        <v>13</v>
      </c>
    </row>
    <row r="122" customFormat="false" ht="15" hidden="false" customHeight="false" outlineLevel="0" collapsed="false">
      <c r="A122" s="5" t="n">
        <v>44123</v>
      </c>
      <c r="B122" s="6" t="n">
        <v>0.272222222222222</v>
      </c>
      <c r="C122" s="7" t="n">
        <v>131484</v>
      </c>
      <c r="D122" s="7" t="s">
        <v>20</v>
      </c>
      <c r="E122" s="7" t="n">
        <v>26300</v>
      </c>
      <c r="F122" s="7" t="n">
        <v>15900</v>
      </c>
      <c r="G122" s="8" t="n">
        <v>10400</v>
      </c>
      <c r="H122" s="7" t="s">
        <v>11</v>
      </c>
      <c r="I122" s="7" t="s">
        <v>15</v>
      </c>
      <c r="J122" s="0" t="s">
        <v>13</v>
      </c>
    </row>
    <row r="123" customFormat="false" ht="15" hidden="false" customHeight="false" outlineLevel="0" collapsed="false">
      <c r="A123" s="5" t="n">
        <v>44123</v>
      </c>
      <c r="B123" s="6" t="n">
        <v>0.458333333333333</v>
      </c>
      <c r="C123" s="7" t="n">
        <v>131498</v>
      </c>
      <c r="D123" s="7" t="s">
        <v>23</v>
      </c>
      <c r="E123" s="7" t="n">
        <v>2660</v>
      </c>
      <c r="F123" s="7" t="n">
        <v>2360</v>
      </c>
      <c r="G123" s="8" t="n">
        <v>300</v>
      </c>
      <c r="H123" s="7" t="s">
        <v>11</v>
      </c>
      <c r="I123" s="7" t="s">
        <v>15</v>
      </c>
      <c r="J123" s="0" t="s">
        <v>13</v>
      </c>
    </row>
    <row r="124" customFormat="false" ht="15" hidden="false" customHeight="false" outlineLevel="0" collapsed="false">
      <c r="A124" s="5" t="n">
        <v>44123</v>
      </c>
      <c r="B124" s="6" t="n">
        <v>0.516666666666667</v>
      </c>
      <c r="C124" s="7" t="n">
        <v>131504</v>
      </c>
      <c r="D124" s="7" t="s">
        <v>23</v>
      </c>
      <c r="E124" s="7" t="n">
        <v>2500</v>
      </c>
      <c r="F124" s="7" t="n">
        <v>2360</v>
      </c>
      <c r="G124" s="8" t="n">
        <v>140</v>
      </c>
      <c r="H124" s="7" t="s">
        <v>11</v>
      </c>
      <c r="I124" s="7" t="s">
        <v>15</v>
      </c>
      <c r="J124" s="0" t="s">
        <v>13</v>
      </c>
    </row>
    <row r="125" customFormat="false" ht="15" hidden="false" customHeight="false" outlineLevel="0" collapsed="false">
      <c r="A125" s="5" t="n">
        <v>44124</v>
      </c>
      <c r="B125" s="6" t="n">
        <v>0.3625</v>
      </c>
      <c r="C125" s="7" t="n">
        <v>108593</v>
      </c>
      <c r="D125" s="7" t="s">
        <v>10</v>
      </c>
      <c r="E125" s="7" t="n">
        <v>3380</v>
      </c>
      <c r="F125" s="7" t="n">
        <v>3340</v>
      </c>
      <c r="G125" s="8" t="n">
        <v>40</v>
      </c>
      <c r="H125" s="7" t="s">
        <v>11</v>
      </c>
      <c r="I125" s="7" t="s">
        <v>12</v>
      </c>
      <c r="J125" s="0" t="s">
        <v>13</v>
      </c>
    </row>
    <row r="126" customFormat="false" ht="15" hidden="false" customHeight="false" outlineLevel="0" collapsed="false">
      <c r="A126" s="5" t="n">
        <v>44124</v>
      </c>
      <c r="B126" s="6" t="n">
        <v>0.365972222222222</v>
      </c>
      <c r="C126" s="7" t="n">
        <v>108596</v>
      </c>
      <c r="D126" s="7" t="s">
        <v>10</v>
      </c>
      <c r="E126" s="7" t="n">
        <v>3340</v>
      </c>
      <c r="F126" s="7" t="n">
        <v>2760</v>
      </c>
      <c r="G126" s="8" t="n">
        <v>580</v>
      </c>
      <c r="H126" s="7" t="s">
        <v>11</v>
      </c>
      <c r="I126" s="7" t="s">
        <v>12</v>
      </c>
      <c r="J126" s="0" t="s">
        <v>13</v>
      </c>
    </row>
    <row r="127" customFormat="false" ht="15" hidden="false" customHeight="false" outlineLevel="0" collapsed="false">
      <c r="A127" s="5" t="n">
        <v>44124</v>
      </c>
      <c r="B127" s="6" t="n">
        <v>0.461805555555556</v>
      </c>
      <c r="C127" s="7" t="n">
        <v>108616</v>
      </c>
      <c r="D127" s="7" t="s">
        <v>18</v>
      </c>
      <c r="E127" s="7" t="n">
        <v>3220</v>
      </c>
      <c r="F127" s="7" t="n">
        <v>2680</v>
      </c>
      <c r="G127" s="8" t="n">
        <v>540</v>
      </c>
      <c r="H127" s="7" t="s">
        <v>11</v>
      </c>
      <c r="I127" s="7" t="s">
        <v>19</v>
      </c>
      <c r="J127" s="0" t="s">
        <v>13</v>
      </c>
    </row>
    <row r="128" customFormat="false" ht="15" hidden="false" customHeight="false" outlineLevel="0" collapsed="false">
      <c r="A128" s="5" t="n">
        <v>44124</v>
      </c>
      <c r="B128" s="6" t="n">
        <v>0.488888888888889</v>
      </c>
      <c r="C128" s="7" t="n">
        <v>108622</v>
      </c>
      <c r="D128" s="7" t="s">
        <v>10</v>
      </c>
      <c r="E128" s="7" t="n">
        <v>3400</v>
      </c>
      <c r="F128" s="7" t="n">
        <v>2760</v>
      </c>
      <c r="G128" s="8" t="n">
        <v>640</v>
      </c>
      <c r="H128" s="7" t="s">
        <v>11</v>
      </c>
      <c r="I128" s="7" t="s">
        <v>12</v>
      </c>
      <c r="J128" s="0" t="s">
        <v>13</v>
      </c>
    </row>
    <row r="129" customFormat="false" ht="15" hidden="false" customHeight="false" outlineLevel="0" collapsed="false">
      <c r="A129" s="5" t="n">
        <v>44124</v>
      </c>
      <c r="B129" s="6" t="n">
        <v>0.536111111111111</v>
      </c>
      <c r="C129" s="7" t="n">
        <v>108636</v>
      </c>
      <c r="D129" s="7" t="s">
        <v>18</v>
      </c>
      <c r="E129" s="7" t="n">
        <v>3200</v>
      </c>
      <c r="F129" s="7" t="n">
        <v>2780</v>
      </c>
      <c r="G129" s="8" t="n">
        <v>420</v>
      </c>
      <c r="H129" s="7" t="s">
        <v>11</v>
      </c>
      <c r="I129" s="7" t="s">
        <v>19</v>
      </c>
      <c r="J129" s="0" t="s">
        <v>13</v>
      </c>
    </row>
    <row r="130" customFormat="false" ht="15" hidden="false" customHeight="false" outlineLevel="0" collapsed="false">
      <c r="A130" s="5" t="n">
        <v>44124</v>
      </c>
      <c r="B130" s="6" t="n">
        <v>0.136111111111111</v>
      </c>
      <c r="C130" s="7" t="n">
        <v>131519</v>
      </c>
      <c r="D130" s="7" t="s">
        <v>14</v>
      </c>
      <c r="E130" s="7" t="n">
        <v>17740</v>
      </c>
      <c r="F130" s="7" t="n">
        <v>12760</v>
      </c>
      <c r="G130" s="8" t="n">
        <v>4980</v>
      </c>
      <c r="H130" s="7" t="s">
        <v>11</v>
      </c>
      <c r="I130" s="7" t="s">
        <v>15</v>
      </c>
      <c r="J130" s="0" t="s">
        <v>13</v>
      </c>
    </row>
    <row r="131" customFormat="false" ht="15" hidden="false" customHeight="false" outlineLevel="0" collapsed="false">
      <c r="A131" s="5" t="n">
        <v>44124</v>
      </c>
      <c r="B131" s="6" t="n">
        <v>0.267361111111111</v>
      </c>
      <c r="C131" s="7" t="n">
        <v>131527</v>
      </c>
      <c r="D131" s="7" t="s">
        <v>16</v>
      </c>
      <c r="E131" s="7" t="n">
        <v>4140</v>
      </c>
      <c r="F131" s="7" t="n">
        <v>3760</v>
      </c>
      <c r="G131" s="8" t="n">
        <v>380</v>
      </c>
      <c r="H131" s="7" t="s">
        <v>11</v>
      </c>
      <c r="I131" s="7" t="s">
        <v>15</v>
      </c>
      <c r="J131" s="0" t="s">
        <v>13</v>
      </c>
    </row>
    <row r="132" customFormat="false" ht="15" hidden="false" customHeight="false" outlineLevel="0" collapsed="false">
      <c r="A132" s="5" t="n">
        <v>44124</v>
      </c>
      <c r="B132" s="6" t="n">
        <v>0.277083333333333</v>
      </c>
      <c r="C132" s="7" t="n">
        <v>131531</v>
      </c>
      <c r="D132" s="7" t="s">
        <v>20</v>
      </c>
      <c r="E132" s="7" t="n">
        <v>26040</v>
      </c>
      <c r="F132" s="7" t="n">
        <v>15980</v>
      </c>
      <c r="G132" s="8" t="n">
        <v>10060</v>
      </c>
      <c r="H132" s="7" t="s">
        <v>11</v>
      </c>
      <c r="I132" s="7" t="s">
        <v>15</v>
      </c>
      <c r="J132" s="0" t="s">
        <v>13</v>
      </c>
    </row>
    <row r="133" customFormat="false" ht="15" hidden="false" customHeight="false" outlineLevel="0" collapsed="false">
      <c r="A133" s="5" t="n">
        <v>44124</v>
      </c>
      <c r="B133" s="6" t="n">
        <v>0.5125</v>
      </c>
      <c r="C133" s="7" t="n">
        <v>131544</v>
      </c>
      <c r="D133" s="7" t="s">
        <v>23</v>
      </c>
      <c r="E133" s="7" t="n">
        <v>2660</v>
      </c>
      <c r="F133" s="7" t="n">
        <v>2400</v>
      </c>
      <c r="G133" s="8" t="n">
        <v>260</v>
      </c>
      <c r="H133" s="7" t="s">
        <v>11</v>
      </c>
      <c r="I133" s="7" t="s">
        <v>15</v>
      </c>
      <c r="J133" s="0" t="s">
        <v>13</v>
      </c>
    </row>
    <row r="134" customFormat="false" ht="15" hidden="true" customHeight="false" outlineLevel="0" collapsed="false">
      <c r="A134" s="5" t="n">
        <v>44125</v>
      </c>
      <c r="B134" s="6" t="n">
        <v>0.520833333333333</v>
      </c>
      <c r="C134" s="7" t="n">
        <v>843</v>
      </c>
      <c r="D134" s="7" t="s">
        <v>17</v>
      </c>
      <c r="E134" s="7" t="n">
        <v>17440</v>
      </c>
      <c r="F134" s="7" t="n">
        <v>15760</v>
      </c>
      <c r="G134" s="8" t="n">
        <v>1680</v>
      </c>
      <c r="H134" s="7" t="s">
        <v>11</v>
      </c>
      <c r="I134" s="7" t="s">
        <v>22</v>
      </c>
      <c r="J134" s="0" t="s">
        <v>13</v>
      </c>
    </row>
    <row r="135" customFormat="false" ht="15" hidden="false" customHeight="false" outlineLevel="0" collapsed="false">
      <c r="A135" s="5" t="n">
        <v>44125</v>
      </c>
      <c r="B135" s="6" t="n">
        <v>0.438888888888889</v>
      </c>
      <c r="C135" s="7" t="n">
        <v>108685</v>
      </c>
      <c r="D135" s="7" t="s">
        <v>10</v>
      </c>
      <c r="E135" s="7" t="n">
        <v>3640</v>
      </c>
      <c r="F135" s="7" t="n">
        <v>2920</v>
      </c>
      <c r="G135" s="8" t="n">
        <v>720</v>
      </c>
      <c r="H135" s="7" t="s">
        <v>11</v>
      </c>
      <c r="I135" s="7" t="s">
        <v>12</v>
      </c>
      <c r="J135" s="0" t="s">
        <v>13</v>
      </c>
    </row>
    <row r="136" customFormat="false" ht="15" hidden="false" customHeight="false" outlineLevel="0" collapsed="false">
      <c r="A136" s="5" t="n">
        <v>44125</v>
      </c>
      <c r="B136" s="6" t="n">
        <v>0.438888888888889</v>
      </c>
      <c r="C136" s="7" t="n">
        <v>108685</v>
      </c>
      <c r="D136" s="7" t="s">
        <v>10</v>
      </c>
      <c r="E136" s="7" t="n">
        <v>3660</v>
      </c>
      <c r="F136" s="7" t="n">
        <v>3640</v>
      </c>
      <c r="G136" s="8" t="n">
        <v>20</v>
      </c>
      <c r="H136" s="7" t="s">
        <v>11</v>
      </c>
      <c r="I136" s="7" t="s">
        <v>12</v>
      </c>
      <c r="J136" s="0" t="s">
        <v>13</v>
      </c>
    </row>
    <row r="137" customFormat="false" ht="15" hidden="false" customHeight="false" outlineLevel="0" collapsed="false">
      <c r="A137" s="5" t="n">
        <v>44125</v>
      </c>
      <c r="B137" s="6" t="n">
        <v>0.439583333333333</v>
      </c>
      <c r="C137" s="7" t="n">
        <v>108686</v>
      </c>
      <c r="D137" s="7" t="s">
        <v>18</v>
      </c>
      <c r="E137" s="7" t="n">
        <v>3260</v>
      </c>
      <c r="F137" s="7" t="n">
        <v>2680</v>
      </c>
      <c r="G137" s="8" t="n">
        <v>580</v>
      </c>
      <c r="H137" s="7" t="s">
        <v>11</v>
      </c>
      <c r="I137" s="7" t="s">
        <v>19</v>
      </c>
      <c r="J137" s="0" t="s">
        <v>13</v>
      </c>
    </row>
    <row r="138" customFormat="false" ht="15" hidden="false" customHeight="false" outlineLevel="0" collapsed="false">
      <c r="A138" s="5" t="n">
        <v>44125</v>
      </c>
      <c r="B138" s="6" t="n">
        <v>0.500694444444445</v>
      </c>
      <c r="C138" s="7" t="n">
        <v>108704</v>
      </c>
      <c r="D138" s="7" t="s">
        <v>10</v>
      </c>
      <c r="E138" s="7" t="n">
        <v>3340</v>
      </c>
      <c r="F138" s="7" t="n">
        <v>3280</v>
      </c>
      <c r="G138" s="8" t="n">
        <v>60</v>
      </c>
      <c r="H138" s="7" t="s">
        <v>11</v>
      </c>
      <c r="I138" s="7" t="s">
        <v>12</v>
      </c>
      <c r="J138" s="0" t="s">
        <v>13</v>
      </c>
    </row>
    <row r="139" customFormat="false" ht="13.8" hidden="false" customHeight="false" outlineLevel="0" collapsed="false">
      <c r="A139" s="5" t="n">
        <v>44125</v>
      </c>
      <c r="B139" s="6" t="n">
        <v>0.500694444444445</v>
      </c>
      <c r="C139" s="7" t="n">
        <v>108705</v>
      </c>
      <c r="D139" s="7" t="s">
        <v>10</v>
      </c>
      <c r="E139" s="7" t="n">
        <v>3280</v>
      </c>
      <c r="F139" s="7" t="n">
        <v>2920</v>
      </c>
      <c r="G139" s="8" t="n">
        <v>360</v>
      </c>
      <c r="H139" s="7" t="s">
        <v>11</v>
      </c>
      <c r="I139" s="7" t="s">
        <v>12</v>
      </c>
      <c r="J139" s="0" t="s">
        <v>13</v>
      </c>
    </row>
    <row r="140" customFormat="false" ht="15" hidden="false" customHeight="false" outlineLevel="0" collapsed="false">
      <c r="A140" s="5" t="n">
        <v>44125</v>
      </c>
      <c r="B140" s="6" t="n">
        <v>0.529166666666667</v>
      </c>
      <c r="C140" s="7" t="n">
        <v>108716</v>
      </c>
      <c r="D140" s="7" t="s">
        <v>10</v>
      </c>
      <c r="E140" s="7" t="n">
        <v>3160</v>
      </c>
      <c r="F140" s="7" t="n">
        <v>2900</v>
      </c>
      <c r="G140" s="8" t="n">
        <v>260</v>
      </c>
      <c r="H140" s="7" t="s">
        <v>11</v>
      </c>
      <c r="I140" s="7" t="s">
        <v>12</v>
      </c>
      <c r="J140" s="0" t="s">
        <v>13</v>
      </c>
    </row>
    <row r="141" customFormat="false" ht="15" hidden="false" customHeight="false" outlineLevel="0" collapsed="false">
      <c r="A141" s="5" t="n">
        <v>44125</v>
      </c>
      <c r="B141" s="6" t="n">
        <v>0.529166666666667</v>
      </c>
      <c r="C141" s="7" t="n">
        <v>108717</v>
      </c>
      <c r="D141" s="7" t="s">
        <v>10</v>
      </c>
      <c r="E141" s="7" t="n">
        <v>3180</v>
      </c>
      <c r="F141" s="7" t="n">
        <v>3160</v>
      </c>
      <c r="G141" s="8" t="n">
        <v>20</v>
      </c>
      <c r="H141" s="7" t="s">
        <v>11</v>
      </c>
      <c r="I141" s="7" t="s">
        <v>12</v>
      </c>
      <c r="J141" s="0" t="s">
        <v>13</v>
      </c>
    </row>
    <row r="142" customFormat="false" ht="15" hidden="false" customHeight="false" outlineLevel="0" collapsed="false">
      <c r="A142" s="5" t="n">
        <v>44125</v>
      </c>
      <c r="B142" s="6" t="n">
        <v>0.540277777777778</v>
      </c>
      <c r="C142" s="7" t="n">
        <v>108719</v>
      </c>
      <c r="D142" s="7" t="s">
        <v>18</v>
      </c>
      <c r="E142" s="7" t="n">
        <v>3120</v>
      </c>
      <c r="F142" s="7" t="n">
        <v>2780</v>
      </c>
      <c r="G142" s="8" t="n">
        <v>340</v>
      </c>
      <c r="H142" s="7" t="s">
        <v>11</v>
      </c>
      <c r="I142" s="7" t="s">
        <v>19</v>
      </c>
      <c r="J142" s="0" t="s">
        <v>13</v>
      </c>
    </row>
    <row r="143" customFormat="false" ht="15" hidden="false" customHeight="false" outlineLevel="0" collapsed="false">
      <c r="A143" s="5" t="n">
        <v>44125</v>
      </c>
      <c r="B143" s="6" t="n">
        <v>0.140277777777778</v>
      </c>
      <c r="C143" s="7" t="n">
        <v>131557</v>
      </c>
      <c r="D143" s="7" t="s">
        <v>14</v>
      </c>
      <c r="E143" s="7" t="n">
        <v>17640</v>
      </c>
      <c r="F143" s="7" t="n">
        <v>12920</v>
      </c>
      <c r="G143" s="8" t="n">
        <v>4720</v>
      </c>
      <c r="H143" s="7" t="s">
        <v>11</v>
      </c>
      <c r="I143" s="7" t="s">
        <v>15</v>
      </c>
      <c r="J143" s="0" t="s">
        <v>13</v>
      </c>
    </row>
    <row r="144" customFormat="false" ht="15" hidden="false" customHeight="false" outlineLevel="0" collapsed="false">
      <c r="A144" s="5" t="n">
        <v>44125</v>
      </c>
      <c r="B144" s="6" t="n">
        <v>0.243055555555556</v>
      </c>
      <c r="C144" s="7" t="n">
        <v>131562</v>
      </c>
      <c r="D144" s="7" t="s">
        <v>20</v>
      </c>
      <c r="E144" s="7" t="n">
        <v>26400</v>
      </c>
      <c r="F144" s="7" t="n">
        <v>16020</v>
      </c>
      <c r="G144" s="8" t="n">
        <v>10380</v>
      </c>
      <c r="H144" s="7" t="s">
        <v>11</v>
      </c>
      <c r="I144" s="7" t="s">
        <v>15</v>
      </c>
      <c r="J144" s="0" t="s">
        <v>13</v>
      </c>
    </row>
    <row r="145" customFormat="false" ht="15" hidden="false" customHeight="false" outlineLevel="0" collapsed="false">
      <c r="A145" s="5" t="n">
        <v>44125</v>
      </c>
      <c r="B145" s="6" t="n">
        <v>0.25625</v>
      </c>
      <c r="C145" s="7" t="n">
        <v>131565</v>
      </c>
      <c r="D145" s="7" t="s">
        <v>16</v>
      </c>
      <c r="E145" s="7" t="n">
        <v>4220</v>
      </c>
      <c r="F145" s="7" t="n">
        <v>3760</v>
      </c>
      <c r="G145" s="8" t="n">
        <v>460</v>
      </c>
      <c r="H145" s="7" t="s">
        <v>11</v>
      </c>
      <c r="I145" s="7" t="s">
        <v>15</v>
      </c>
      <c r="J145" s="0" t="s">
        <v>13</v>
      </c>
    </row>
    <row r="146" customFormat="false" ht="15" hidden="false" customHeight="false" outlineLevel="0" collapsed="false">
      <c r="A146" s="5" t="n">
        <v>44125</v>
      </c>
      <c r="B146" s="6" t="n">
        <v>0.390277777777778</v>
      </c>
      <c r="C146" s="7" t="n">
        <v>131575</v>
      </c>
      <c r="D146" s="7" t="s">
        <v>14</v>
      </c>
      <c r="E146" s="7" t="n">
        <v>13720</v>
      </c>
      <c r="F146" s="7" t="n">
        <v>12900</v>
      </c>
      <c r="G146" s="8" t="n">
        <v>820</v>
      </c>
      <c r="H146" s="7" t="s">
        <v>11</v>
      </c>
      <c r="I146" s="7" t="s">
        <v>15</v>
      </c>
      <c r="J146" s="0" t="s">
        <v>13</v>
      </c>
    </row>
    <row r="147" customFormat="false" ht="15" hidden="false" customHeight="false" outlineLevel="0" collapsed="false">
      <c r="A147" s="5" t="n">
        <v>44126</v>
      </c>
      <c r="B147" s="6" t="n">
        <v>0.135416666666667</v>
      </c>
      <c r="C147" s="7" t="n">
        <v>131601</v>
      </c>
      <c r="D147" s="7" t="s">
        <v>14</v>
      </c>
      <c r="E147" s="7" t="n">
        <v>16900</v>
      </c>
      <c r="F147" s="7" t="n">
        <v>12940</v>
      </c>
      <c r="G147" s="8" t="n">
        <v>3960</v>
      </c>
      <c r="H147" s="7" t="s">
        <v>11</v>
      </c>
      <c r="I147" s="7" t="s">
        <v>15</v>
      </c>
      <c r="J147" s="0" t="s">
        <v>13</v>
      </c>
    </row>
    <row r="148" customFormat="false" ht="15" hidden="false" customHeight="false" outlineLevel="0" collapsed="false">
      <c r="A148" s="5" t="n">
        <v>44126</v>
      </c>
      <c r="B148" s="6" t="n">
        <v>0.240972222222222</v>
      </c>
      <c r="C148" s="7" t="n">
        <v>131606</v>
      </c>
      <c r="D148" s="7" t="s">
        <v>20</v>
      </c>
      <c r="E148" s="7" t="n">
        <v>25640</v>
      </c>
      <c r="F148" s="7" t="n">
        <v>15980</v>
      </c>
      <c r="G148" s="8" t="n">
        <v>9660</v>
      </c>
      <c r="H148" s="7" t="s">
        <v>11</v>
      </c>
      <c r="I148" s="7" t="s">
        <v>15</v>
      </c>
      <c r="J148" s="0" t="s">
        <v>13</v>
      </c>
    </row>
    <row r="149" customFormat="false" ht="15" hidden="false" customHeight="false" outlineLevel="0" collapsed="false">
      <c r="A149" s="5" t="n">
        <v>44126</v>
      </c>
      <c r="B149" s="6" t="n">
        <v>0.260416666666667</v>
      </c>
      <c r="C149" s="7" t="n">
        <v>131610</v>
      </c>
      <c r="D149" s="7" t="s">
        <v>16</v>
      </c>
      <c r="E149" s="7" t="n">
        <v>4180</v>
      </c>
      <c r="F149" s="7" t="n">
        <v>3740</v>
      </c>
      <c r="G149" s="8" t="n">
        <v>440</v>
      </c>
      <c r="H149" s="7" t="s">
        <v>11</v>
      </c>
      <c r="I149" s="7" t="s">
        <v>15</v>
      </c>
      <c r="J149" s="0" t="s">
        <v>13</v>
      </c>
    </row>
    <row r="150" customFormat="false" ht="15" hidden="false" customHeight="false" outlineLevel="0" collapsed="false">
      <c r="A150" s="5" t="n">
        <v>44126</v>
      </c>
      <c r="B150" s="6" t="n">
        <v>0.436111111111111</v>
      </c>
      <c r="C150" s="7" t="n">
        <v>108765</v>
      </c>
      <c r="D150" s="7" t="s">
        <v>10</v>
      </c>
      <c r="E150" s="7" t="n">
        <v>3100</v>
      </c>
      <c r="F150" s="7" t="n">
        <v>2800</v>
      </c>
      <c r="G150" s="8" t="n">
        <v>300</v>
      </c>
      <c r="H150" s="7" t="s">
        <v>11</v>
      </c>
      <c r="I150" s="7" t="s">
        <v>12</v>
      </c>
      <c r="J150" s="0" t="s">
        <v>13</v>
      </c>
    </row>
    <row r="151" customFormat="false" ht="15" hidden="false" customHeight="false" outlineLevel="0" collapsed="false">
      <c r="A151" s="5" t="n">
        <v>44126</v>
      </c>
      <c r="B151" s="6" t="n">
        <v>0.436805555555555</v>
      </c>
      <c r="C151" s="7" t="n">
        <v>108766</v>
      </c>
      <c r="D151" s="7" t="s">
        <v>10</v>
      </c>
      <c r="E151" s="7" t="n">
        <v>3140</v>
      </c>
      <c r="F151" s="7" t="n">
        <v>3100</v>
      </c>
      <c r="G151" s="8" t="n">
        <v>40</v>
      </c>
      <c r="H151" s="7" t="s">
        <v>11</v>
      </c>
      <c r="I151" s="7" t="s">
        <v>12</v>
      </c>
      <c r="J151" s="0" t="s">
        <v>13</v>
      </c>
    </row>
    <row r="152" customFormat="false" ht="15" hidden="false" customHeight="false" outlineLevel="0" collapsed="false">
      <c r="A152" s="5" t="n">
        <v>44126</v>
      </c>
      <c r="B152" s="6" t="n">
        <v>0.55</v>
      </c>
      <c r="C152" s="7" t="n">
        <v>108791</v>
      </c>
      <c r="D152" s="7" t="s">
        <v>10</v>
      </c>
      <c r="E152" s="7" t="n">
        <v>3040</v>
      </c>
      <c r="F152" s="7" t="n">
        <v>2800</v>
      </c>
      <c r="G152" s="8" t="n">
        <v>240</v>
      </c>
      <c r="H152" s="7" t="s">
        <v>11</v>
      </c>
      <c r="I152" s="7" t="s">
        <v>12</v>
      </c>
      <c r="J152" s="0" t="s">
        <v>13</v>
      </c>
    </row>
    <row r="153" customFormat="false" ht="15" hidden="false" customHeight="false" outlineLevel="0" collapsed="false">
      <c r="A153" s="5" t="n">
        <v>44126</v>
      </c>
      <c r="B153" s="6" t="n">
        <v>0.528472222222222</v>
      </c>
      <c r="C153" s="7" t="n">
        <v>108785</v>
      </c>
      <c r="D153" s="7" t="s">
        <v>18</v>
      </c>
      <c r="E153" s="7" t="n">
        <v>3200</v>
      </c>
      <c r="F153" s="7" t="n">
        <v>2720</v>
      </c>
      <c r="G153" s="8" t="n">
        <v>480</v>
      </c>
      <c r="H153" s="7" t="s">
        <v>11</v>
      </c>
      <c r="I153" s="7" t="s">
        <v>19</v>
      </c>
      <c r="J153" s="0" t="s">
        <v>13</v>
      </c>
    </row>
    <row r="154" customFormat="false" ht="15" hidden="false" customHeight="false" outlineLevel="0" collapsed="false">
      <c r="A154" s="5" t="n">
        <v>44127</v>
      </c>
      <c r="B154" s="6" t="n">
        <v>0.178472222222222</v>
      </c>
      <c r="C154" s="7" t="n">
        <v>131651</v>
      </c>
      <c r="D154" s="7" t="s">
        <v>17</v>
      </c>
      <c r="E154" s="7" t="n">
        <v>17980</v>
      </c>
      <c r="F154" s="7" t="n">
        <v>15840</v>
      </c>
      <c r="G154" s="8" t="n">
        <v>2140</v>
      </c>
      <c r="H154" s="7" t="s">
        <v>11</v>
      </c>
      <c r="I154" s="7" t="s">
        <v>15</v>
      </c>
      <c r="J154" s="0" t="s">
        <v>13</v>
      </c>
    </row>
    <row r="155" customFormat="false" ht="15" hidden="false" customHeight="false" outlineLevel="0" collapsed="false">
      <c r="A155" s="5" t="n">
        <v>44127</v>
      </c>
      <c r="B155" s="6" t="n">
        <v>0.120138888888889</v>
      </c>
      <c r="C155" s="7" t="n">
        <v>131644</v>
      </c>
      <c r="D155" s="7" t="s">
        <v>14</v>
      </c>
      <c r="E155" s="7" t="n">
        <v>16140</v>
      </c>
      <c r="F155" s="7" t="n">
        <v>12780</v>
      </c>
      <c r="G155" s="8" t="n">
        <v>3360</v>
      </c>
      <c r="H155" s="7" t="s">
        <v>11</v>
      </c>
      <c r="I155" s="7" t="s">
        <v>15</v>
      </c>
      <c r="J155" s="0" t="s">
        <v>13</v>
      </c>
    </row>
    <row r="156" customFormat="false" ht="15" hidden="false" customHeight="false" outlineLevel="0" collapsed="false">
      <c r="A156" s="5" t="n">
        <v>44127</v>
      </c>
      <c r="B156" s="6" t="n">
        <v>0.259722222222222</v>
      </c>
      <c r="C156" s="7" t="n">
        <v>131656</v>
      </c>
      <c r="D156" s="7" t="s">
        <v>16</v>
      </c>
      <c r="E156" s="7" t="n">
        <v>4260</v>
      </c>
      <c r="F156" s="7" t="n">
        <v>3800</v>
      </c>
      <c r="G156" s="8" t="n">
        <v>460</v>
      </c>
      <c r="H156" s="7" t="s">
        <v>11</v>
      </c>
      <c r="I156" s="7" t="s">
        <v>15</v>
      </c>
      <c r="J156" s="0" t="s">
        <v>13</v>
      </c>
    </row>
    <row r="157" customFormat="false" ht="15" hidden="false" customHeight="false" outlineLevel="0" collapsed="false">
      <c r="A157" s="5" t="n">
        <v>44127</v>
      </c>
      <c r="B157" s="6" t="n">
        <v>0.239583333333333</v>
      </c>
      <c r="C157" s="7" t="n">
        <v>131654</v>
      </c>
      <c r="D157" s="7" t="s">
        <v>20</v>
      </c>
      <c r="E157" s="7" t="n">
        <v>23100</v>
      </c>
      <c r="F157" s="7" t="n">
        <v>16060</v>
      </c>
      <c r="G157" s="8" t="n">
        <v>7040</v>
      </c>
      <c r="H157" s="7" t="s">
        <v>11</v>
      </c>
      <c r="I157" s="7" t="s">
        <v>15</v>
      </c>
      <c r="J157" s="0" t="s">
        <v>13</v>
      </c>
    </row>
    <row r="158" customFormat="false" ht="15" hidden="false" customHeight="false" outlineLevel="0" collapsed="false">
      <c r="A158" s="5" t="n">
        <v>44127</v>
      </c>
      <c r="B158" s="6" t="n">
        <v>0.552777777777778</v>
      </c>
      <c r="C158" s="7" t="n">
        <v>108858</v>
      </c>
      <c r="D158" s="7" t="s">
        <v>18</v>
      </c>
      <c r="E158" s="7" t="n">
        <v>3160</v>
      </c>
      <c r="F158" s="7" t="n">
        <v>2840</v>
      </c>
      <c r="G158" s="8" t="n">
        <v>320</v>
      </c>
      <c r="H158" s="7" t="s">
        <v>11</v>
      </c>
      <c r="I158" s="7" t="s">
        <v>19</v>
      </c>
      <c r="J158" s="0" t="s">
        <v>13</v>
      </c>
    </row>
    <row r="159" customFormat="false" ht="15" hidden="false" customHeight="false" outlineLevel="0" collapsed="false">
      <c r="A159" s="5" t="n">
        <v>44127</v>
      </c>
      <c r="B159" s="6" t="n">
        <v>0.541666666666667</v>
      </c>
      <c r="C159" s="7" t="n">
        <v>108853</v>
      </c>
      <c r="D159" s="7" t="s">
        <v>10</v>
      </c>
      <c r="E159" s="7" t="n">
        <v>3400</v>
      </c>
      <c r="F159" s="7" t="n">
        <v>2700</v>
      </c>
      <c r="G159" s="8" t="n">
        <v>700</v>
      </c>
      <c r="H159" s="7" t="s">
        <v>11</v>
      </c>
      <c r="I159" s="7" t="s">
        <v>12</v>
      </c>
      <c r="J159" s="0" t="s">
        <v>13</v>
      </c>
    </row>
    <row r="160" customFormat="false" ht="15" hidden="false" customHeight="false" outlineLevel="0" collapsed="false">
      <c r="A160" s="5" t="n">
        <v>44127</v>
      </c>
      <c r="B160" s="6" t="n">
        <v>0.547916666666667</v>
      </c>
      <c r="C160" s="7" t="n">
        <v>108855</v>
      </c>
      <c r="D160" s="7" t="s">
        <v>10</v>
      </c>
      <c r="E160" s="7" t="n">
        <v>3420</v>
      </c>
      <c r="F160" s="7" t="n">
        <v>3400</v>
      </c>
      <c r="G160" s="8" t="n">
        <v>20</v>
      </c>
      <c r="H160" s="7" t="s">
        <v>11</v>
      </c>
      <c r="I160" s="7" t="s">
        <v>12</v>
      </c>
      <c r="J160" s="0" t="s">
        <v>13</v>
      </c>
    </row>
    <row r="161" customFormat="false" ht="15" hidden="false" customHeight="false" outlineLevel="0" collapsed="false">
      <c r="A161" s="5" t="n">
        <v>44128</v>
      </c>
      <c r="B161" s="6" t="n">
        <v>0.423611111111111</v>
      </c>
      <c r="C161" s="7" t="n">
        <v>108897</v>
      </c>
      <c r="D161" s="7" t="s">
        <v>25</v>
      </c>
      <c r="E161" s="7" t="n">
        <v>7600</v>
      </c>
      <c r="F161" s="7" t="n">
        <v>5560</v>
      </c>
      <c r="G161" s="8" t="n">
        <v>2040</v>
      </c>
      <c r="H161" s="7" t="s">
        <v>11</v>
      </c>
      <c r="I161" s="7" t="s">
        <v>12</v>
      </c>
      <c r="J161" s="0" t="s">
        <v>13</v>
      </c>
    </row>
    <row r="162" customFormat="false" ht="15" hidden="false" customHeight="false" outlineLevel="0" collapsed="false">
      <c r="A162" s="5" t="n">
        <v>44128</v>
      </c>
      <c r="B162" s="6" t="n">
        <v>0.2625</v>
      </c>
      <c r="C162" s="7" t="n">
        <v>131702</v>
      </c>
      <c r="D162" s="7" t="s">
        <v>16</v>
      </c>
      <c r="E162" s="7" t="n">
        <v>4300</v>
      </c>
      <c r="F162" s="7" t="n">
        <v>3760</v>
      </c>
      <c r="G162" s="8" t="n">
        <v>540</v>
      </c>
      <c r="H162" s="7" t="s">
        <v>11</v>
      </c>
      <c r="I162" s="7" t="s">
        <v>15</v>
      </c>
      <c r="J162" s="0" t="s">
        <v>13</v>
      </c>
    </row>
    <row r="163" customFormat="false" ht="15" hidden="false" customHeight="false" outlineLevel="0" collapsed="false">
      <c r="A163" s="5" t="n">
        <v>44128</v>
      </c>
      <c r="B163" s="6" t="n">
        <v>0.145138888888889</v>
      </c>
      <c r="C163" s="7" t="n">
        <v>131693</v>
      </c>
      <c r="D163" s="7" t="s">
        <v>14</v>
      </c>
      <c r="E163" s="7" t="n">
        <v>18740</v>
      </c>
      <c r="F163" s="7" t="n">
        <v>12880</v>
      </c>
      <c r="G163" s="8" t="n">
        <v>5860</v>
      </c>
      <c r="H163" s="7" t="s">
        <v>11</v>
      </c>
      <c r="I163" s="7" t="s">
        <v>15</v>
      </c>
      <c r="J163" s="0" t="s">
        <v>13</v>
      </c>
    </row>
    <row r="164" customFormat="false" ht="15" hidden="false" customHeight="false" outlineLevel="0" collapsed="false">
      <c r="A164" s="5" t="n">
        <v>44128</v>
      </c>
      <c r="B164" s="6" t="n">
        <v>0.170138888888889</v>
      </c>
      <c r="C164" s="7" t="n">
        <v>131696</v>
      </c>
      <c r="D164" s="7" t="s">
        <v>17</v>
      </c>
      <c r="E164" s="7" t="n">
        <v>19860</v>
      </c>
      <c r="F164" s="7" t="n">
        <v>15900</v>
      </c>
      <c r="G164" s="8" t="n">
        <v>3960</v>
      </c>
      <c r="H164" s="7" t="s">
        <v>11</v>
      </c>
      <c r="I164" s="7" t="s">
        <v>15</v>
      </c>
      <c r="J164" s="0" t="s">
        <v>13</v>
      </c>
    </row>
    <row r="165" customFormat="false" ht="15" hidden="false" customHeight="false" outlineLevel="0" collapsed="false">
      <c r="A165" s="5" t="n">
        <v>44128</v>
      </c>
      <c r="B165" s="6" t="n">
        <v>0.550694444444444</v>
      </c>
      <c r="C165" s="7" t="n">
        <v>131708</v>
      </c>
      <c r="D165" s="7" t="s">
        <v>10</v>
      </c>
      <c r="E165" s="7" t="n">
        <v>3240</v>
      </c>
      <c r="F165" s="7" t="n">
        <v>2800</v>
      </c>
      <c r="G165" s="8" t="n">
        <v>440</v>
      </c>
      <c r="H165" s="7" t="s">
        <v>11</v>
      </c>
      <c r="I165" s="7" t="s">
        <v>15</v>
      </c>
      <c r="J165" s="0" t="s">
        <v>13</v>
      </c>
    </row>
    <row r="166" customFormat="false" ht="15" hidden="false" customHeight="false" outlineLevel="0" collapsed="false">
      <c r="A166" s="5" t="n">
        <v>44128</v>
      </c>
      <c r="B166" s="6" t="n">
        <v>0.215277777777778</v>
      </c>
      <c r="C166" s="7" t="n">
        <v>131699</v>
      </c>
      <c r="D166" s="7" t="s">
        <v>20</v>
      </c>
      <c r="E166" s="7" t="n">
        <v>23260</v>
      </c>
      <c r="F166" s="7" t="n">
        <v>16000</v>
      </c>
      <c r="G166" s="8" t="n">
        <v>7260</v>
      </c>
      <c r="H166" s="7" t="s">
        <v>11</v>
      </c>
      <c r="I166" s="7" t="s">
        <v>15</v>
      </c>
      <c r="J166" s="0" t="s">
        <v>13</v>
      </c>
    </row>
    <row r="167" customFormat="false" ht="15" hidden="false" customHeight="false" outlineLevel="0" collapsed="false">
      <c r="A167" s="5" t="n">
        <v>44129</v>
      </c>
      <c r="B167" s="6" t="n">
        <v>0.156944444444444</v>
      </c>
      <c r="C167" s="7" t="n">
        <v>131716</v>
      </c>
      <c r="D167" s="7" t="s">
        <v>16</v>
      </c>
      <c r="E167" s="7" t="n">
        <v>4540</v>
      </c>
      <c r="F167" s="7" t="n">
        <v>3760</v>
      </c>
      <c r="G167" s="8" t="n">
        <v>780</v>
      </c>
      <c r="H167" s="7" t="s">
        <v>11</v>
      </c>
      <c r="I167" s="7" t="s">
        <v>15</v>
      </c>
      <c r="J167" s="0" t="s">
        <v>13</v>
      </c>
    </row>
    <row r="168" customFormat="false" ht="15" hidden="false" customHeight="false" outlineLevel="0" collapsed="false">
      <c r="A168" s="5" t="n">
        <v>44129</v>
      </c>
      <c r="B168" s="6" t="n">
        <v>0.2125</v>
      </c>
      <c r="C168" s="7" t="n">
        <v>131719</v>
      </c>
      <c r="D168" s="7" t="s">
        <v>20</v>
      </c>
      <c r="E168" s="7" t="n">
        <v>25040</v>
      </c>
      <c r="F168" s="7" t="n">
        <v>15760</v>
      </c>
      <c r="G168" s="8" t="n">
        <v>9280</v>
      </c>
      <c r="H168" s="7" t="s">
        <v>11</v>
      </c>
      <c r="I168" s="7" t="s">
        <v>15</v>
      </c>
      <c r="J168" s="0" t="s">
        <v>13</v>
      </c>
    </row>
    <row r="169" customFormat="false" ht="15" hidden="false" customHeight="false" outlineLevel="0" collapsed="false">
      <c r="A169" s="5" t="n">
        <v>44129</v>
      </c>
      <c r="B169" s="6" t="n">
        <v>0.116666666666667</v>
      </c>
      <c r="C169" s="7" t="n">
        <v>131713</v>
      </c>
      <c r="D169" s="7" t="s">
        <v>14</v>
      </c>
      <c r="E169" s="7" t="n">
        <v>17800</v>
      </c>
      <c r="F169" s="7" t="n">
        <v>13040</v>
      </c>
      <c r="G169" s="8" t="n">
        <v>4760</v>
      </c>
      <c r="H169" s="7" t="s">
        <v>11</v>
      </c>
      <c r="I169" s="7" t="s">
        <v>15</v>
      </c>
      <c r="J169" s="0" t="s">
        <v>13</v>
      </c>
    </row>
    <row r="170" customFormat="false" ht="15" hidden="false" customHeight="false" outlineLevel="0" collapsed="false">
      <c r="A170" s="5" t="n">
        <v>44130</v>
      </c>
      <c r="B170" s="6" t="n">
        <v>0.129166666666667</v>
      </c>
      <c r="C170" s="7" t="n">
        <v>131726</v>
      </c>
      <c r="D170" s="7" t="s">
        <v>14</v>
      </c>
      <c r="E170" s="7" t="n">
        <v>17520</v>
      </c>
      <c r="F170" s="7" t="n">
        <v>13060</v>
      </c>
      <c r="G170" s="8" t="n">
        <v>4460</v>
      </c>
      <c r="H170" s="7" t="s">
        <v>11</v>
      </c>
      <c r="I170" s="7" t="s">
        <v>15</v>
      </c>
      <c r="J170" s="0" t="s">
        <v>13</v>
      </c>
    </row>
    <row r="171" customFormat="false" ht="15" hidden="false" customHeight="false" outlineLevel="0" collapsed="false">
      <c r="A171" s="5" t="n">
        <v>44130</v>
      </c>
      <c r="B171" s="6" t="n">
        <v>0.279166666666667</v>
      </c>
      <c r="C171" s="7" t="n">
        <v>131738</v>
      </c>
      <c r="D171" s="7" t="s">
        <v>17</v>
      </c>
      <c r="E171" s="7" t="n">
        <v>25840</v>
      </c>
      <c r="F171" s="7" t="n">
        <v>15840</v>
      </c>
      <c r="G171" s="8" t="n">
        <v>10000</v>
      </c>
      <c r="H171" s="7" t="s">
        <v>11</v>
      </c>
      <c r="I171" s="7" t="s">
        <v>15</v>
      </c>
      <c r="J171" s="0" t="s">
        <v>13</v>
      </c>
    </row>
    <row r="172" customFormat="false" ht="15" hidden="false" customHeight="false" outlineLevel="0" collapsed="false">
      <c r="A172" s="5" t="n">
        <v>44130</v>
      </c>
      <c r="B172" s="6" t="n">
        <v>0.244444444444444</v>
      </c>
      <c r="C172" s="7" t="n">
        <v>131734</v>
      </c>
      <c r="D172" s="7" t="s">
        <v>16</v>
      </c>
      <c r="E172" s="7" t="n">
        <v>4420</v>
      </c>
      <c r="F172" s="7" t="n">
        <v>3820</v>
      </c>
      <c r="G172" s="8" t="n">
        <v>600</v>
      </c>
      <c r="H172" s="7" t="s">
        <v>11</v>
      </c>
      <c r="I172" s="7" t="s">
        <v>15</v>
      </c>
      <c r="J172" s="0" t="s">
        <v>13</v>
      </c>
    </row>
    <row r="173" customFormat="false" ht="15" hidden="true" customHeight="false" outlineLevel="0" collapsed="false">
      <c r="A173" s="5" t="n">
        <v>44130</v>
      </c>
      <c r="B173" s="6" t="n">
        <v>0.736111111111111</v>
      </c>
      <c r="C173" s="7" t="n">
        <v>853</v>
      </c>
      <c r="D173" s="7" t="s">
        <v>17</v>
      </c>
      <c r="E173" s="7" t="n">
        <v>16760</v>
      </c>
      <c r="F173" s="7" t="n">
        <v>15740</v>
      </c>
      <c r="G173" s="8" t="n">
        <v>1020</v>
      </c>
      <c r="H173" s="7" t="s">
        <v>11</v>
      </c>
      <c r="I173" s="7" t="s">
        <v>22</v>
      </c>
      <c r="J173" s="0" t="s">
        <v>13</v>
      </c>
    </row>
    <row r="174" customFormat="false" ht="15" hidden="false" customHeight="false" outlineLevel="0" collapsed="false">
      <c r="A174" s="5" t="n">
        <v>44130</v>
      </c>
      <c r="B174" s="6" t="n">
        <v>0.544444444444444</v>
      </c>
      <c r="C174" s="7" t="n">
        <v>108960</v>
      </c>
      <c r="D174" s="7" t="s">
        <v>18</v>
      </c>
      <c r="E174" s="7" t="n">
        <v>2960</v>
      </c>
      <c r="F174" s="7" t="n">
        <v>2820</v>
      </c>
      <c r="G174" s="8" t="n">
        <v>140</v>
      </c>
      <c r="H174" s="7" t="s">
        <v>11</v>
      </c>
      <c r="I174" s="7" t="s">
        <v>19</v>
      </c>
      <c r="J174" s="0" t="s">
        <v>13</v>
      </c>
    </row>
    <row r="175" customFormat="false" ht="15" hidden="false" customHeight="false" outlineLevel="0" collapsed="false">
      <c r="A175" s="5" t="n">
        <v>44131</v>
      </c>
      <c r="B175" s="6" t="n">
        <v>0.273611111111111</v>
      </c>
      <c r="C175" s="7" t="n">
        <v>131787</v>
      </c>
      <c r="D175" s="7" t="s">
        <v>17</v>
      </c>
      <c r="E175" s="7" t="n">
        <v>25400</v>
      </c>
      <c r="F175" s="7" t="n">
        <v>15740</v>
      </c>
      <c r="G175" s="8" t="n">
        <v>9660</v>
      </c>
      <c r="H175" s="7" t="s">
        <v>11</v>
      </c>
      <c r="I175" s="7" t="s">
        <v>15</v>
      </c>
      <c r="J175" s="0" t="s">
        <v>13</v>
      </c>
    </row>
    <row r="176" customFormat="false" ht="15" hidden="false" customHeight="false" outlineLevel="0" collapsed="false">
      <c r="A176" s="5" t="n">
        <v>44131</v>
      </c>
      <c r="B176" s="6" t="n">
        <v>0.2375</v>
      </c>
      <c r="C176" s="7" t="n">
        <v>131784</v>
      </c>
      <c r="D176" s="7" t="s">
        <v>16</v>
      </c>
      <c r="E176" s="7" t="n">
        <v>4160</v>
      </c>
      <c r="F176" s="7" t="n">
        <v>3780</v>
      </c>
      <c r="G176" s="8" t="n">
        <v>380</v>
      </c>
      <c r="H176" s="7" t="s">
        <v>11</v>
      </c>
      <c r="I176" s="7" t="s">
        <v>15</v>
      </c>
      <c r="J176" s="0" t="s">
        <v>13</v>
      </c>
    </row>
    <row r="177" customFormat="false" ht="15" hidden="false" customHeight="false" outlineLevel="0" collapsed="false">
      <c r="A177" s="5" t="n">
        <v>44131</v>
      </c>
      <c r="B177" s="6" t="n">
        <v>0.147916666666667</v>
      </c>
      <c r="C177" s="7" t="n">
        <v>131779</v>
      </c>
      <c r="D177" s="7" t="s">
        <v>14</v>
      </c>
      <c r="E177" s="7" t="n">
        <v>16220</v>
      </c>
      <c r="F177" s="7" t="n">
        <v>12920</v>
      </c>
      <c r="G177" s="8" t="n">
        <v>3300</v>
      </c>
      <c r="H177" s="7" t="s">
        <v>11</v>
      </c>
      <c r="I177" s="7" t="s">
        <v>15</v>
      </c>
      <c r="J177" s="0" t="s">
        <v>13</v>
      </c>
    </row>
    <row r="178" customFormat="false" ht="13.8" hidden="false" customHeight="false" outlineLevel="0" collapsed="false">
      <c r="A178" s="5" t="n">
        <v>44131</v>
      </c>
      <c r="B178" s="6" t="n">
        <v>0.364583333333333</v>
      </c>
      <c r="C178" s="7" t="n">
        <v>109002</v>
      </c>
      <c r="D178" s="7" t="s">
        <v>24</v>
      </c>
      <c r="E178" s="7" t="n">
        <v>18020</v>
      </c>
      <c r="F178" s="7" t="n">
        <v>16020</v>
      </c>
      <c r="G178" s="8" t="n">
        <v>2000</v>
      </c>
      <c r="H178" s="7" t="s">
        <v>11</v>
      </c>
      <c r="I178" s="7" t="s">
        <v>12</v>
      </c>
      <c r="J178" s="0" t="s">
        <v>13</v>
      </c>
    </row>
    <row r="179" customFormat="false" ht="15" hidden="false" customHeight="false" outlineLevel="0" collapsed="false">
      <c r="A179" s="5" t="n">
        <v>44131</v>
      </c>
      <c r="B179" s="6" t="n">
        <v>0.366666666666667</v>
      </c>
      <c r="C179" s="7" t="n">
        <v>109004</v>
      </c>
      <c r="D179" s="7" t="s">
        <v>24</v>
      </c>
      <c r="E179" s="7" t="n">
        <v>18140</v>
      </c>
      <c r="F179" s="7" t="n">
        <v>18020</v>
      </c>
      <c r="G179" s="8" t="n">
        <v>120</v>
      </c>
      <c r="H179" s="7" t="s">
        <v>11</v>
      </c>
      <c r="I179" s="7" t="s">
        <v>12</v>
      </c>
      <c r="J179" s="0" t="s">
        <v>13</v>
      </c>
    </row>
    <row r="180" customFormat="false" ht="15" hidden="false" customHeight="false" outlineLevel="0" collapsed="false">
      <c r="A180" s="5" t="n">
        <v>44131</v>
      </c>
      <c r="B180" s="6" t="n">
        <v>0.440972222222222</v>
      </c>
      <c r="C180" s="7" t="n">
        <v>109018</v>
      </c>
      <c r="D180" s="7" t="s">
        <v>24</v>
      </c>
      <c r="E180" s="7" t="n">
        <v>17560</v>
      </c>
      <c r="F180" s="7" t="n">
        <v>16280</v>
      </c>
      <c r="G180" s="8" t="n">
        <v>1280</v>
      </c>
      <c r="H180" s="7" t="s">
        <v>11</v>
      </c>
      <c r="I180" s="7" t="s">
        <v>12</v>
      </c>
      <c r="J180" s="0" t="s">
        <v>13</v>
      </c>
    </row>
    <row r="181" customFormat="false" ht="15" hidden="true" customHeight="false" outlineLevel="0" collapsed="false">
      <c r="A181" s="5" t="n">
        <v>44131</v>
      </c>
      <c r="B181" s="6" t="n">
        <v>0.514583333333333</v>
      </c>
      <c r="C181" s="7" t="n">
        <v>109034</v>
      </c>
      <c r="D181" s="7" t="s">
        <v>17</v>
      </c>
      <c r="E181" s="7" t="n">
        <v>18160</v>
      </c>
      <c r="F181" s="7" t="n">
        <v>15940</v>
      </c>
      <c r="G181" s="8" t="n">
        <v>2220</v>
      </c>
      <c r="H181" s="7" t="s">
        <v>11</v>
      </c>
      <c r="I181" s="7" t="s">
        <v>21</v>
      </c>
      <c r="J181" s="0" t="s">
        <v>13</v>
      </c>
    </row>
    <row r="182" customFormat="false" ht="15" hidden="false" customHeight="false" outlineLevel="0" collapsed="false">
      <c r="A182" s="5" t="n">
        <v>44131</v>
      </c>
      <c r="B182" s="6" t="n">
        <v>0.333333333333333</v>
      </c>
      <c r="C182" s="7" t="n">
        <v>108993</v>
      </c>
      <c r="D182" s="7" t="s">
        <v>10</v>
      </c>
      <c r="E182" s="7" t="n">
        <v>3440</v>
      </c>
      <c r="F182" s="7" t="n">
        <v>2800</v>
      </c>
      <c r="G182" s="8" t="n">
        <v>640</v>
      </c>
      <c r="H182" s="7" t="s">
        <v>11</v>
      </c>
      <c r="I182" s="7" t="s">
        <v>12</v>
      </c>
      <c r="J182" s="0" t="s">
        <v>13</v>
      </c>
    </row>
    <row r="183" customFormat="false" ht="15" hidden="false" customHeight="false" outlineLevel="0" collapsed="false">
      <c r="A183" s="5" t="n">
        <v>44131</v>
      </c>
      <c r="B183" s="6" t="n">
        <v>0.55</v>
      </c>
      <c r="C183" s="7" t="n">
        <v>109043</v>
      </c>
      <c r="D183" s="7" t="s">
        <v>10</v>
      </c>
      <c r="E183" s="7" t="n">
        <v>3160</v>
      </c>
      <c r="F183" s="7" t="n">
        <v>3080</v>
      </c>
      <c r="G183" s="8" t="n">
        <v>80</v>
      </c>
      <c r="H183" s="7" t="s">
        <v>11</v>
      </c>
      <c r="I183" s="7" t="s">
        <v>12</v>
      </c>
      <c r="J183" s="0" t="s">
        <v>13</v>
      </c>
    </row>
    <row r="184" customFormat="false" ht="15" hidden="false" customHeight="false" outlineLevel="0" collapsed="false">
      <c r="A184" s="5" t="n">
        <v>44131</v>
      </c>
      <c r="B184" s="6" t="n">
        <v>0.55</v>
      </c>
      <c r="C184" s="7" t="n">
        <v>109042</v>
      </c>
      <c r="D184" s="7" t="s">
        <v>10</v>
      </c>
      <c r="E184" s="7" t="n">
        <v>3080</v>
      </c>
      <c r="F184" s="7" t="n">
        <v>2800</v>
      </c>
      <c r="G184" s="8" t="n">
        <v>280</v>
      </c>
      <c r="H184" s="7" t="s">
        <v>11</v>
      </c>
      <c r="I184" s="7" t="s">
        <v>12</v>
      </c>
      <c r="J184" s="0" t="s">
        <v>13</v>
      </c>
    </row>
    <row r="185" customFormat="false" ht="15" hidden="false" customHeight="false" outlineLevel="0" collapsed="false">
      <c r="A185" s="5" t="n">
        <v>44131</v>
      </c>
      <c r="B185" s="6" t="n">
        <v>0.540277777777778</v>
      </c>
      <c r="C185" s="7" t="n">
        <v>131810</v>
      </c>
      <c r="D185" s="7" t="s">
        <v>23</v>
      </c>
      <c r="E185" s="7" t="n">
        <v>2600</v>
      </c>
      <c r="F185" s="7" t="n">
        <v>2320</v>
      </c>
      <c r="G185" s="8" t="n">
        <v>280</v>
      </c>
      <c r="H185" s="7" t="s">
        <v>11</v>
      </c>
      <c r="I185" s="7" t="s">
        <v>15</v>
      </c>
      <c r="J185" s="0" t="s">
        <v>13</v>
      </c>
    </row>
    <row r="186" customFormat="false" ht="15" hidden="false" customHeight="false" outlineLevel="0" collapsed="false">
      <c r="A186" s="5" t="n">
        <v>44132</v>
      </c>
      <c r="B186" s="6" t="n">
        <v>0.281944444444444</v>
      </c>
      <c r="C186" s="7" t="n">
        <v>131833</v>
      </c>
      <c r="D186" s="7" t="s">
        <v>17</v>
      </c>
      <c r="E186" s="7" t="n">
        <v>25700</v>
      </c>
      <c r="F186" s="7" t="n">
        <v>15880</v>
      </c>
      <c r="G186" s="8" t="n">
        <v>9820</v>
      </c>
      <c r="H186" s="7" t="s">
        <v>11</v>
      </c>
      <c r="I186" s="7" t="s">
        <v>15</v>
      </c>
      <c r="J186" s="0" t="s">
        <v>13</v>
      </c>
    </row>
    <row r="187" customFormat="false" ht="15" hidden="false" customHeight="false" outlineLevel="0" collapsed="false">
      <c r="A187" s="5" t="n">
        <v>44132</v>
      </c>
      <c r="B187" s="6" t="n">
        <v>0.11875</v>
      </c>
      <c r="C187" s="7" t="n">
        <v>131822</v>
      </c>
      <c r="D187" s="7" t="s">
        <v>14</v>
      </c>
      <c r="E187" s="7" t="n">
        <v>17580</v>
      </c>
      <c r="F187" s="7" t="n">
        <v>12840</v>
      </c>
      <c r="G187" s="8" t="n">
        <v>4740</v>
      </c>
      <c r="H187" s="7" t="s">
        <v>11</v>
      </c>
      <c r="I187" s="7" t="s">
        <v>15</v>
      </c>
      <c r="J187" s="0" t="s">
        <v>13</v>
      </c>
    </row>
    <row r="188" customFormat="false" ht="15" hidden="false" customHeight="false" outlineLevel="0" collapsed="false">
      <c r="A188" s="5" t="n">
        <v>44132</v>
      </c>
      <c r="B188" s="6" t="n">
        <v>0.245138888888889</v>
      </c>
      <c r="C188" s="7" t="n">
        <v>131828</v>
      </c>
      <c r="D188" s="7" t="s">
        <v>16</v>
      </c>
      <c r="E188" s="7" t="n">
        <v>4220</v>
      </c>
      <c r="F188" s="7" t="n">
        <v>3760</v>
      </c>
      <c r="G188" s="8" t="n">
        <v>460</v>
      </c>
      <c r="H188" s="7" t="s">
        <v>11</v>
      </c>
      <c r="I188" s="7" t="s">
        <v>15</v>
      </c>
      <c r="J188" s="0" t="s">
        <v>13</v>
      </c>
    </row>
    <row r="189" customFormat="false" ht="15" hidden="false" customHeight="false" outlineLevel="0" collapsed="false">
      <c r="A189" s="5" t="n">
        <v>44132</v>
      </c>
      <c r="B189" s="6" t="n">
        <v>0.434027777777778</v>
      </c>
      <c r="C189" s="7" t="n">
        <v>109089</v>
      </c>
      <c r="D189" s="7" t="s">
        <v>25</v>
      </c>
      <c r="E189" s="7" t="n">
        <v>6620</v>
      </c>
      <c r="F189" s="7" t="n">
        <v>5700</v>
      </c>
      <c r="G189" s="8" t="n">
        <v>920</v>
      </c>
      <c r="H189" s="7" t="s">
        <v>11</v>
      </c>
      <c r="I189" s="7" t="s">
        <v>12</v>
      </c>
      <c r="J189" s="0" t="s">
        <v>13</v>
      </c>
    </row>
    <row r="190" customFormat="false" ht="15" hidden="false" customHeight="false" outlineLevel="0" collapsed="false">
      <c r="A190" s="5" t="n">
        <v>44132</v>
      </c>
      <c r="B190" s="6" t="n">
        <v>0.434722222222222</v>
      </c>
      <c r="C190" s="7" t="n">
        <v>109090</v>
      </c>
      <c r="D190" s="7" t="s">
        <v>25</v>
      </c>
      <c r="E190" s="7" t="n">
        <v>6680</v>
      </c>
      <c r="F190" s="7" t="n">
        <v>6620</v>
      </c>
      <c r="G190" s="8" t="n">
        <v>60</v>
      </c>
      <c r="H190" s="7" t="s">
        <v>11</v>
      </c>
      <c r="I190" s="7" t="s">
        <v>12</v>
      </c>
      <c r="J190" s="0" t="s">
        <v>13</v>
      </c>
    </row>
    <row r="191" customFormat="false" ht="15" hidden="false" customHeight="false" outlineLevel="0" collapsed="false">
      <c r="A191" s="5" t="n">
        <v>44132</v>
      </c>
      <c r="B191" s="6" t="n">
        <v>0.518055555555556</v>
      </c>
      <c r="C191" s="7" t="n">
        <v>109110</v>
      </c>
      <c r="D191" s="7" t="s">
        <v>25</v>
      </c>
      <c r="E191" s="7" t="n">
        <v>6600</v>
      </c>
      <c r="F191" s="7" t="n">
        <v>5700</v>
      </c>
      <c r="G191" s="8" t="n">
        <v>900</v>
      </c>
      <c r="H191" s="7" t="s">
        <v>11</v>
      </c>
      <c r="I191" s="7" t="s">
        <v>12</v>
      </c>
      <c r="J191" s="0" t="s">
        <v>13</v>
      </c>
    </row>
    <row r="192" customFormat="false" ht="15" hidden="false" customHeight="false" outlineLevel="0" collapsed="false">
      <c r="A192" s="5" t="n">
        <v>44132</v>
      </c>
      <c r="B192" s="6" t="n">
        <v>0.520833333333333</v>
      </c>
      <c r="C192" s="7" t="n">
        <v>109111</v>
      </c>
      <c r="D192" s="7" t="s">
        <v>25</v>
      </c>
      <c r="E192" s="7" t="n">
        <v>6660</v>
      </c>
      <c r="F192" s="7" t="n">
        <v>6600</v>
      </c>
      <c r="G192" s="8" t="n">
        <v>60</v>
      </c>
      <c r="H192" s="7" t="s">
        <v>11</v>
      </c>
      <c r="I192" s="7" t="s">
        <v>12</v>
      </c>
      <c r="J192" s="0" t="s">
        <v>13</v>
      </c>
    </row>
    <row r="193" customFormat="false" ht="15" hidden="false" customHeight="false" outlineLevel="0" collapsed="false">
      <c r="A193" s="5" t="n">
        <v>44132</v>
      </c>
      <c r="B193" s="6" t="n">
        <v>0.522916666666667</v>
      </c>
      <c r="C193" s="7" t="n">
        <v>109113</v>
      </c>
      <c r="D193" s="7" t="s">
        <v>18</v>
      </c>
      <c r="E193" s="7" t="n">
        <v>3020</v>
      </c>
      <c r="F193" s="7" t="n">
        <v>2820</v>
      </c>
      <c r="G193" s="8" t="n">
        <v>200</v>
      </c>
      <c r="H193" s="7" t="s">
        <v>11</v>
      </c>
      <c r="I193" s="7" t="s">
        <v>19</v>
      </c>
      <c r="J193" s="0" t="s">
        <v>13</v>
      </c>
    </row>
    <row r="194" customFormat="false" ht="15" hidden="false" customHeight="false" outlineLevel="0" collapsed="false">
      <c r="A194" s="5" t="n">
        <v>44133</v>
      </c>
      <c r="B194" s="6" t="n">
        <v>0.140972222222222</v>
      </c>
      <c r="C194" s="7" t="n">
        <v>131852</v>
      </c>
      <c r="D194" s="7" t="s">
        <v>14</v>
      </c>
      <c r="E194" s="7" t="n">
        <v>16080</v>
      </c>
      <c r="F194" s="7" t="n">
        <v>12780</v>
      </c>
      <c r="G194" s="8" t="n">
        <v>3300</v>
      </c>
      <c r="H194" s="7" t="s">
        <v>11</v>
      </c>
      <c r="I194" s="7" t="s">
        <v>15</v>
      </c>
      <c r="J194" s="0" t="s">
        <v>13</v>
      </c>
    </row>
    <row r="195" customFormat="false" ht="15" hidden="false" customHeight="false" outlineLevel="0" collapsed="false">
      <c r="A195" s="5" t="n">
        <v>44133</v>
      </c>
      <c r="B195" s="6" t="n">
        <v>0.252777777777778</v>
      </c>
      <c r="C195" s="7" t="n">
        <v>131858</v>
      </c>
      <c r="D195" s="7" t="s">
        <v>16</v>
      </c>
      <c r="E195" s="7" t="n">
        <v>4240</v>
      </c>
      <c r="F195" s="7" t="n">
        <v>3780</v>
      </c>
      <c r="G195" s="8" t="n">
        <v>460</v>
      </c>
      <c r="H195" s="7" t="s">
        <v>11</v>
      </c>
      <c r="I195" s="7" t="s">
        <v>15</v>
      </c>
      <c r="J195" s="0" t="s">
        <v>13</v>
      </c>
    </row>
    <row r="196" customFormat="false" ht="15" hidden="false" customHeight="false" outlineLevel="0" collapsed="false">
      <c r="A196" s="5" t="n">
        <v>44133</v>
      </c>
      <c r="B196" s="6" t="n">
        <v>0.275</v>
      </c>
      <c r="C196" s="7" t="n">
        <v>131863</v>
      </c>
      <c r="D196" s="7" t="s">
        <v>17</v>
      </c>
      <c r="E196" s="7" t="n">
        <v>24000</v>
      </c>
      <c r="F196" s="7" t="n">
        <v>15860</v>
      </c>
      <c r="G196" s="8" t="n">
        <v>8140</v>
      </c>
      <c r="H196" s="7" t="s">
        <v>11</v>
      </c>
      <c r="I196" s="7" t="s">
        <v>15</v>
      </c>
      <c r="J196" s="0" t="s">
        <v>13</v>
      </c>
    </row>
    <row r="197" customFormat="false" ht="15" hidden="false" customHeight="false" outlineLevel="0" collapsed="false">
      <c r="A197" s="5" t="n">
        <v>44133</v>
      </c>
      <c r="B197" s="6" t="n">
        <v>0.45625</v>
      </c>
      <c r="C197" s="7" t="n">
        <v>131870</v>
      </c>
      <c r="D197" s="7" t="s">
        <v>24</v>
      </c>
      <c r="E197" s="7" t="n">
        <v>29020</v>
      </c>
      <c r="F197" s="7" t="n">
        <v>15300</v>
      </c>
      <c r="G197" s="7" t="n">
        <v>13720</v>
      </c>
      <c r="H197" s="7" t="s">
        <v>11</v>
      </c>
      <c r="I197" s="7" t="s">
        <v>26</v>
      </c>
      <c r="J197" s="0" t="s">
        <v>13</v>
      </c>
    </row>
    <row r="198" customFormat="false" ht="15" hidden="false" customHeight="false" outlineLevel="0" collapsed="false">
      <c r="A198" s="5" t="n">
        <v>44133</v>
      </c>
      <c r="B198" s="6" t="n">
        <v>0.378472222222222</v>
      </c>
      <c r="C198" s="7" t="n">
        <v>131869</v>
      </c>
      <c r="D198" s="7" t="s">
        <v>24</v>
      </c>
      <c r="E198" s="7" t="n">
        <v>26860</v>
      </c>
      <c r="F198" s="7" t="n">
        <v>15300</v>
      </c>
      <c r="G198" s="7" t="n">
        <v>11560</v>
      </c>
      <c r="H198" s="7" t="s">
        <v>11</v>
      </c>
      <c r="I198" s="7" t="s">
        <v>26</v>
      </c>
      <c r="J198" s="0" t="s">
        <v>13</v>
      </c>
    </row>
    <row r="199" customFormat="false" ht="15" hidden="false" customHeight="false" outlineLevel="0" collapsed="false">
      <c r="A199" s="5" t="n">
        <v>44133</v>
      </c>
      <c r="B199" s="6" t="n">
        <v>0.352083333333333</v>
      </c>
      <c r="C199" s="7" t="n">
        <v>131866</v>
      </c>
      <c r="D199" s="7" t="s">
        <v>24</v>
      </c>
      <c r="E199" s="7" t="n">
        <v>24660</v>
      </c>
      <c r="F199" s="7" t="n">
        <v>15300</v>
      </c>
      <c r="G199" s="7" t="n">
        <v>9360</v>
      </c>
      <c r="H199" s="7" t="s">
        <v>11</v>
      </c>
      <c r="I199" s="7" t="s">
        <v>26</v>
      </c>
      <c r="J199" s="0" t="s">
        <v>13</v>
      </c>
    </row>
    <row r="200" customFormat="false" ht="15" hidden="false" customHeight="false" outlineLevel="0" collapsed="false">
      <c r="A200" s="5" t="n">
        <v>44133</v>
      </c>
      <c r="B200" s="6" t="n">
        <v>0.329166666666667</v>
      </c>
      <c r="C200" s="7" t="n">
        <v>131865</v>
      </c>
      <c r="D200" s="7" t="s">
        <v>24</v>
      </c>
      <c r="E200" s="7" t="n">
        <v>23120</v>
      </c>
      <c r="F200" s="7" t="n">
        <v>15300</v>
      </c>
      <c r="G200" s="7" t="n">
        <v>7820</v>
      </c>
      <c r="H200" s="7" t="s">
        <v>11</v>
      </c>
      <c r="I200" s="7" t="s">
        <v>26</v>
      </c>
      <c r="J200" s="0" t="s">
        <v>13</v>
      </c>
    </row>
    <row r="201" customFormat="false" ht="15" hidden="false" customHeight="false" outlineLevel="0" collapsed="false">
      <c r="A201" s="5" t="n">
        <v>44134</v>
      </c>
      <c r="B201" s="6" t="n">
        <v>0.252083333333333</v>
      </c>
      <c r="C201" s="7" t="n">
        <v>131881</v>
      </c>
      <c r="D201" s="7" t="s">
        <v>16</v>
      </c>
      <c r="E201" s="7" t="n">
        <v>4160</v>
      </c>
      <c r="F201" s="7" t="n">
        <v>3800</v>
      </c>
      <c r="G201" s="7" t="n">
        <v>360</v>
      </c>
      <c r="H201" s="7" t="s">
        <v>11</v>
      </c>
      <c r="I201" s="7" t="s">
        <v>15</v>
      </c>
      <c r="J201" s="0" t="s">
        <v>13</v>
      </c>
    </row>
    <row r="202" customFormat="false" ht="15" hidden="false" customHeight="false" outlineLevel="0" collapsed="false">
      <c r="A202" s="5" t="n">
        <v>44134</v>
      </c>
      <c r="B202" s="6" t="n">
        <v>0.131944444444444</v>
      </c>
      <c r="C202" s="7" t="n">
        <v>131874</v>
      </c>
      <c r="D202" s="7" t="s">
        <v>14</v>
      </c>
      <c r="E202" s="7" t="n">
        <v>17060</v>
      </c>
      <c r="F202" s="7" t="n">
        <v>12840</v>
      </c>
      <c r="G202" s="7" t="n">
        <v>4220</v>
      </c>
      <c r="H202" s="7" t="s">
        <v>11</v>
      </c>
      <c r="I202" s="7" t="s">
        <v>15</v>
      </c>
      <c r="J202" s="0" t="s">
        <v>13</v>
      </c>
    </row>
    <row r="203" customFormat="false" ht="15" hidden="false" customHeight="false" outlineLevel="0" collapsed="false">
      <c r="A203" s="5" t="n">
        <v>44134</v>
      </c>
      <c r="B203" s="6" t="n">
        <v>0.264583333333333</v>
      </c>
      <c r="C203" s="7" t="n">
        <v>131883</v>
      </c>
      <c r="D203" s="7" t="s">
        <v>20</v>
      </c>
      <c r="E203" s="7" t="n">
        <v>25180</v>
      </c>
      <c r="F203" s="7" t="n">
        <v>16040</v>
      </c>
      <c r="G203" s="7" t="n">
        <v>9140</v>
      </c>
      <c r="H203" s="7" t="s">
        <v>11</v>
      </c>
      <c r="I203" s="7" t="s">
        <v>15</v>
      </c>
      <c r="J203" s="0" t="s">
        <v>13</v>
      </c>
    </row>
    <row r="204" customFormat="false" ht="15" hidden="false" customHeight="false" outlineLevel="0" collapsed="false">
      <c r="A204" s="5" t="n">
        <v>44134</v>
      </c>
      <c r="B204" s="6" t="n">
        <v>0.538888888888889</v>
      </c>
      <c r="C204" s="7" t="n">
        <v>109245</v>
      </c>
      <c r="D204" s="7" t="s">
        <v>18</v>
      </c>
      <c r="E204" s="7" t="n">
        <v>3120</v>
      </c>
      <c r="F204" s="7" t="n">
        <v>2840</v>
      </c>
      <c r="G204" s="7" t="n">
        <v>280</v>
      </c>
      <c r="H204" s="7" t="s">
        <v>11</v>
      </c>
      <c r="I204" s="7" t="s">
        <v>19</v>
      </c>
      <c r="J204" s="0" t="s">
        <v>13</v>
      </c>
    </row>
    <row r="205" customFormat="false" ht="15" hidden="false" customHeight="false" outlineLevel="0" collapsed="false">
      <c r="A205" s="5" t="n">
        <v>44134</v>
      </c>
      <c r="B205" s="6" t="n">
        <v>0.438888888888889</v>
      </c>
      <c r="C205" s="7" t="n">
        <v>131890</v>
      </c>
      <c r="D205" s="7" t="s">
        <v>10</v>
      </c>
      <c r="E205" s="7" t="n">
        <v>3260</v>
      </c>
      <c r="F205" s="7" t="n">
        <v>2840</v>
      </c>
      <c r="G205" s="7" t="n">
        <v>420</v>
      </c>
      <c r="H205" s="7" t="s">
        <v>11</v>
      </c>
      <c r="I205" s="7" t="s">
        <v>15</v>
      </c>
      <c r="J205" s="0" t="s">
        <v>13</v>
      </c>
    </row>
    <row r="206" customFormat="false" ht="15" hidden="false" customHeight="false" outlineLevel="0" collapsed="false">
      <c r="A206" s="5" t="n">
        <v>44134</v>
      </c>
      <c r="B206" s="6" t="n">
        <v>0.479861111111111</v>
      </c>
      <c r="C206" s="7" t="n">
        <v>131893</v>
      </c>
      <c r="D206" s="7" t="s">
        <v>24</v>
      </c>
      <c r="E206" s="7" t="n">
        <v>29420</v>
      </c>
      <c r="F206" s="7" t="n">
        <v>15300</v>
      </c>
      <c r="G206" s="7" t="n">
        <v>14120</v>
      </c>
      <c r="H206" s="7" t="s">
        <v>11</v>
      </c>
      <c r="I206" s="7" t="s">
        <v>26</v>
      </c>
      <c r="J206" s="0" t="s">
        <v>13</v>
      </c>
    </row>
    <row r="207" customFormat="false" ht="15" hidden="false" customHeight="false" outlineLevel="0" collapsed="false">
      <c r="A207" s="5" t="n">
        <v>44134</v>
      </c>
      <c r="B207" s="6" t="n">
        <v>0.453472222222222</v>
      </c>
      <c r="C207" s="7" t="n">
        <v>131892</v>
      </c>
      <c r="D207" s="7" t="s">
        <v>24</v>
      </c>
      <c r="E207" s="7" t="n">
        <v>28240</v>
      </c>
      <c r="F207" s="7" t="n">
        <v>15300</v>
      </c>
      <c r="G207" s="7" t="n">
        <v>12940</v>
      </c>
      <c r="H207" s="7" t="s">
        <v>11</v>
      </c>
      <c r="I207" s="7" t="s">
        <v>26</v>
      </c>
      <c r="J207" s="0" t="s">
        <v>13</v>
      </c>
    </row>
    <row r="208" customFormat="false" ht="15" hidden="false" customHeight="false" outlineLevel="0" collapsed="false">
      <c r="A208" s="5" t="n">
        <v>44134</v>
      </c>
      <c r="B208" s="6" t="n">
        <v>0.363888888888889</v>
      </c>
      <c r="C208" s="7" t="n">
        <v>131888</v>
      </c>
      <c r="D208" s="7" t="s">
        <v>24</v>
      </c>
      <c r="E208" s="7" t="n">
        <v>26640</v>
      </c>
      <c r="F208" s="7" t="n">
        <v>15300</v>
      </c>
      <c r="G208" s="7" t="n">
        <v>11340</v>
      </c>
      <c r="H208" s="7" t="s">
        <v>11</v>
      </c>
      <c r="I208" s="7" t="s">
        <v>26</v>
      </c>
      <c r="J208" s="0" t="s">
        <v>13</v>
      </c>
    </row>
    <row r="209" customFormat="false" ht="15" hidden="false" customHeight="false" outlineLevel="0" collapsed="false">
      <c r="A209" s="5" t="n">
        <v>44134</v>
      </c>
      <c r="B209" s="6" t="n">
        <v>0.330555555555556</v>
      </c>
      <c r="C209" s="7" t="n">
        <v>131887</v>
      </c>
      <c r="D209" s="7" t="s">
        <v>24</v>
      </c>
      <c r="E209" s="7" t="n">
        <v>24200</v>
      </c>
      <c r="F209" s="7" t="n">
        <v>15300</v>
      </c>
      <c r="G209" s="7" t="n">
        <v>8900</v>
      </c>
      <c r="H209" s="7" t="s">
        <v>11</v>
      </c>
      <c r="I209" s="7" t="s">
        <v>26</v>
      </c>
      <c r="J209" s="0" t="s">
        <v>13</v>
      </c>
    </row>
    <row r="210" customFormat="false" ht="15" hidden="false" customHeight="false" outlineLevel="0" collapsed="false">
      <c r="A210" s="5" t="n">
        <v>44135</v>
      </c>
      <c r="B210" s="6" t="n">
        <v>0.497916666666667</v>
      </c>
      <c r="C210" s="7" t="n">
        <v>109303</v>
      </c>
      <c r="D210" s="7" t="s">
        <v>25</v>
      </c>
      <c r="E210" s="7" t="n">
        <v>6320</v>
      </c>
      <c r="F210" s="7" t="n">
        <v>5600</v>
      </c>
      <c r="G210" s="7" t="n">
        <v>720</v>
      </c>
      <c r="H210" s="7" t="s">
        <v>11</v>
      </c>
      <c r="I210" s="7" t="s">
        <v>12</v>
      </c>
      <c r="J210" s="0" t="s">
        <v>13</v>
      </c>
    </row>
    <row r="211" customFormat="false" ht="15" hidden="false" customHeight="false" outlineLevel="0" collapsed="false">
      <c r="A211" s="5" t="n">
        <v>44135</v>
      </c>
      <c r="B211" s="6" t="n">
        <v>0.510416666666667</v>
      </c>
      <c r="C211" s="7" t="n">
        <v>109304</v>
      </c>
      <c r="D211" s="7" t="s">
        <v>25</v>
      </c>
      <c r="E211" s="7" t="n">
        <v>6440</v>
      </c>
      <c r="F211" s="7" t="n">
        <v>6320</v>
      </c>
      <c r="G211" s="7" t="n">
        <v>120</v>
      </c>
      <c r="H211" s="7" t="s">
        <v>11</v>
      </c>
      <c r="I211" s="7" t="s">
        <v>12</v>
      </c>
      <c r="J211" s="0" t="s">
        <v>13</v>
      </c>
    </row>
    <row r="212" customFormat="false" ht="15" hidden="false" customHeight="false" outlineLevel="0" collapsed="false">
      <c r="A212" s="5" t="n">
        <v>44135</v>
      </c>
      <c r="B212" s="6" t="n">
        <v>0.530555555555556</v>
      </c>
      <c r="C212" s="7" t="n">
        <v>131920</v>
      </c>
      <c r="D212" s="7" t="s">
        <v>23</v>
      </c>
      <c r="E212" s="7" t="n">
        <v>2540</v>
      </c>
      <c r="F212" s="7" t="n">
        <v>2380</v>
      </c>
      <c r="G212" s="7" t="n">
        <v>160</v>
      </c>
      <c r="H212" s="7" t="s">
        <v>11</v>
      </c>
      <c r="I212" s="7" t="s">
        <v>15</v>
      </c>
      <c r="J212" s="0" t="s">
        <v>13</v>
      </c>
    </row>
    <row r="213" customFormat="false" ht="15" hidden="false" customHeight="false" outlineLevel="0" collapsed="false">
      <c r="A213" s="5" t="n">
        <v>44135</v>
      </c>
      <c r="B213" s="6" t="n">
        <v>0.464583333333333</v>
      </c>
      <c r="C213" s="7" t="n">
        <v>131918</v>
      </c>
      <c r="D213" s="7" t="s">
        <v>24</v>
      </c>
      <c r="E213" s="7" t="n">
        <v>25700</v>
      </c>
      <c r="F213" s="7" t="n">
        <v>15300</v>
      </c>
      <c r="G213" s="7" t="n">
        <v>10400</v>
      </c>
      <c r="H213" s="7" t="s">
        <v>11</v>
      </c>
      <c r="I213" s="7" t="s">
        <v>26</v>
      </c>
      <c r="J213" s="0" t="s">
        <v>13</v>
      </c>
    </row>
    <row r="214" customFormat="false" ht="15" hidden="false" customHeight="false" outlineLevel="0" collapsed="false">
      <c r="A214" s="5" t="n">
        <v>44135</v>
      </c>
      <c r="B214" s="6" t="n">
        <v>0.496527777777778</v>
      </c>
      <c r="C214" s="7" t="n">
        <v>131919</v>
      </c>
      <c r="D214" s="7" t="s">
        <v>24</v>
      </c>
      <c r="E214" s="7" t="n">
        <v>31340</v>
      </c>
      <c r="F214" s="7" t="n">
        <v>15300</v>
      </c>
      <c r="G214" s="7" t="n">
        <v>16040</v>
      </c>
      <c r="H214" s="7" t="s">
        <v>11</v>
      </c>
      <c r="I214" s="7" t="s">
        <v>26</v>
      </c>
      <c r="J214" s="0" t="s">
        <v>13</v>
      </c>
    </row>
    <row r="215" customFormat="false" ht="15" hidden="false" customHeight="false" outlineLevel="0" collapsed="false">
      <c r="A215" s="5" t="n">
        <v>44135</v>
      </c>
      <c r="B215" s="6" t="n">
        <v>0.444444444444444</v>
      </c>
      <c r="C215" s="7" t="n">
        <v>131917</v>
      </c>
      <c r="D215" s="7" t="s">
        <v>24</v>
      </c>
      <c r="E215" s="7" t="n">
        <v>23720</v>
      </c>
      <c r="F215" s="7" t="n">
        <v>15300</v>
      </c>
      <c r="G215" s="7" t="n">
        <v>8420</v>
      </c>
      <c r="H215" s="7" t="s">
        <v>11</v>
      </c>
      <c r="I215" s="7" t="s">
        <v>26</v>
      </c>
      <c r="J215" s="0" t="s">
        <v>13</v>
      </c>
    </row>
    <row r="216" customFormat="false" ht="15" hidden="false" customHeight="false" outlineLevel="0" collapsed="false">
      <c r="A216" s="5" t="n">
        <v>44135</v>
      </c>
      <c r="B216" s="6" t="n">
        <v>0.352777777777778</v>
      </c>
      <c r="C216" s="7" t="n">
        <v>131916</v>
      </c>
      <c r="D216" s="7" t="s">
        <v>24</v>
      </c>
      <c r="E216" s="7" t="n">
        <v>23740</v>
      </c>
      <c r="F216" s="7" t="n">
        <v>15300</v>
      </c>
      <c r="G216" s="7" t="n">
        <v>8440</v>
      </c>
      <c r="H216" s="7" t="s">
        <v>11</v>
      </c>
      <c r="I216" s="7" t="s">
        <v>26</v>
      </c>
      <c r="J216" s="0" t="s">
        <v>13</v>
      </c>
    </row>
    <row r="217" customFormat="false" ht="15" hidden="false" customHeight="false" outlineLevel="0" collapsed="false">
      <c r="A217" s="5" t="n">
        <v>44135</v>
      </c>
      <c r="B217" s="6" t="n">
        <v>0.157638888888889</v>
      </c>
      <c r="C217" s="7" t="n">
        <v>131905</v>
      </c>
      <c r="D217" s="7" t="s">
        <v>14</v>
      </c>
      <c r="E217" s="7" t="n">
        <v>17440</v>
      </c>
      <c r="F217" s="7" t="n">
        <v>12820</v>
      </c>
      <c r="G217" s="7" t="n">
        <v>4620</v>
      </c>
      <c r="H217" s="7" t="s">
        <v>11</v>
      </c>
      <c r="I217" s="7" t="s">
        <v>15</v>
      </c>
      <c r="J217" s="0" t="s">
        <v>13</v>
      </c>
    </row>
    <row r="218" customFormat="false" ht="15" hidden="false" customHeight="false" outlineLevel="0" collapsed="false">
      <c r="A218" s="5" t="n">
        <v>44135</v>
      </c>
      <c r="B218" s="6" t="n">
        <v>0.263888888888889</v>
      </c>
      <c r="C218" s="7" t="n">
        <v>131911</v>
      </c>
      <c r="D218" s="7" t="s">
        <v>20</v>
      </c>
      <c r="E218" s="7" t="n">
        <v>25500</v>
      </c>
      <c r="F218" s="7" t="n">
        <v>15920</v>
      </c>
      <c r="G218" s="7" t="n">
        <v>9580</v>
      </c>
      <c r="H218" s="7" t="s">
        <v>11</v>
      </c>
      <c r="I218" s="7" t="s">
        <v>15</v>
      </c>
      <c r="J218" s="0" t="s">
        <v>13</v>
      </c>
    </row>
    <row r="219" customFormat="false" ht="15" hidden="false" customHeight="false" outlineLevel="0" collapsed="false">
      <c r="A219" s="5" t="n">
        <v>44135</v>
      </c>
      <c r="B219" s="6" t="n">
        <v>0.261111111111111</v>
      </c>
      <c r="C219" s="7" t="n">
        <v>131909</v>
      </c>
      <c r="D219" s="7" t="s">
        <v>16</v>
      </c>
      <c r="E219" s="7" t="n">
        <v>4220</v>
      </c>
      <c r="F219" s="7" t="n">
        <v>3760</v>
      </c>
      <c r="G219" s="7" t="n">
        <v>460</v>
      </c>
      <c r="H219" s="7" t="s">
        <v>11</v>
      </c>
      <c r="I219" s="7" t="s">
        <v>15</v>
      </c>
      <c r="J219" s="0" t="s">
        <v>13</v>
      </c>
    </row>
  </sheetData>
  <autoFilter ref="A1:J219">
    <filterColumn colId="8">
      <filters>
        <filter val="LIMP.PLAYA"/>
        <filter val="PODA"/>
        <filter val="RSU"/>
        <filter val="VOL"/>
      </filters>
    </filterColumn>
  </autoFilter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36"/>
  <sheetViews>
    <sheetView showFormulas="false" showGridLines="true" showRowColHeaders="true" showZeros="true" rightToLeft="false" tabSelected="false" showOutlineSymbols="true" defaultGridColor="true" view="normal" topLeftCell="A1" colorId="64" zoomScale="83" zoomScaleNormal="83" zoomScalePageLayoutView="100" workbookViewId="0">
      <selection pane="topLeft" activeCell="A1" activeCellId="0" sqref="A1"/>
    </sheetView>
  </sheetViews>
  <sheetFormatPr defaultRowHeight="12.8" zeroHeight="false" outlineLevelRow="0" outlineLevelCol="0"/>
  <cols>
    <col collapsed="false" customWidth="true" hidden="false" outlineLevel="0" max="10" min="1" style="0" width="10.5"/>
    <col collapsed="false" customWidth="true" hidden="false" outlineLevel="0" max="11" min="11" style="0" width="14.81"/>
    <col collapsed="false" customWidth="true" hidden="false" outlineLevel="0" max="1025" min="12" style="0" width="10.5"/>
  </cols>
  <sheetData>
    <row r="1" customFormat="false" ht="12.8" hidden="false" customHeight="false" outlineLevel="0" collapsed="false">
      <c r="A1" s="10" t="s">
        <v>8</v>
      </c>
      <c r="B1" s="11" t="s">
        <v>27</v>
      </c>
    </row>
    <row r="3" customFormat="false" ht="12.8" hidden="false" customHeight="false" outlineLevel="0" collapsed="false">
      <c r="A3" s="12" t="s">
        <v>28</v>
      </c>
      <c r="B3" s="13" t="s">
        <v>3</v>
      </c>
      <c r="C3" s="14"/>
      <c r="D3" s="14"/>
      <c r="E3" s="14"/>
      <c r="F3" s="14"/>
      <c r="G3" s="14"/>
      <c r="H3" s="14"/>
      <c r="I3" s="14"/>
      <c r="J3" s="14"/>
      <c r="K3" s="15"/>
    </row>
    <row r="4" customFormat="false" ht="12.8" hidden="false" customHeight="false" outlineLevel="0" collapsed="false">
      <c r="A4" s="16" t="s">
        <v>0</v>
      </c>
      <c r="B4" s="17" t="s">
        <v>24</v>
      </c>
      <c r="C4" s="18" t="s">
        <v>18</v>
      </c>
      <c r="D4" s="18" t="s">
        <v>20</v>
      </c>
      <c r="E4" s="18" t="s">
        <v>17</v>
      </c>
      <c r="F4" s="18" t="s">
        <v>23</v>
      </c>
      <c r="G4" s="18" t="s">
        <v>10</v>
      </c>
      <c r="H4" s="18" t="s">
        <v>14</v>
      </c>
      <c r="I4" s="18" t="s">
        <v>16</v>
      </c>
      <c r="J4" s="18" t="s">
        <v>25</v>
      </c>
      <c r="K4" s="19" t="s">
        <v>29</v>
      </c>
    </row>
    <row r="5" customFormat="false" ht="12.8" hidden="false" customHeight="false" outlineLevel="0" collapsed="false">
      <c r="A5" s="20" t="n">
        <v>44105</v>
      </c>
      <c r="B5" s="21"/>
      <c r="C5" s="22"/>
      <c r="D5" s="22"/>
      <c r="E5" s="22" t="n">
        <v>10760</v>
      </c>
      <c r="F5" s="22"/>
      <c r="G5" s="22" t="n">
        <v>400</v>
      </c>
      <c r="H5" s="22" t="n">
        <v>5620</v>
      </c>
      <c r="I5" s="22" t="n">
        <v>500</v>
      </c>
      <c r="J5" s="23"/>
      <c r="K5" s="24" t="n">
        <v>17280</v>
      </c>
    </row>
    <row r="6" customFormat="false" ht="12.8" hidden="false" customHeight="false" outlineLevel="0" collapsed="false">
      <c r="A6" s="25" t="n">
        <v>44106</v>
      </c>
      <c r="B6" s="26"/>
      <c r="C6" s="27" t="n">
        <v>180</v>
      </c>
      <c r="D6" s="27" t="n">
        <v>5660</v>
      </c>
      <c r="E6" s="27" t="n">
        <v>3820</v>
      </c>
      <c r="F6" s="27"/>
      <c r="G6" s="27"/>
      <c r="H6" s="27" t="n">
        <v>5860</v>
      </c>
      <c r="I6" s="27" t="n">
        <v>560</v>
      </c>
      <c r="J6" s="28"/>
      <c r="K6" s="29" t="n">
        <v>16080</v>
      </c>
    </row>
    <row r="7" customFormat="false" ht="12.8" hidden="false" customHeight="false" outlineLevel="0" collapsed="false">
      <c r="A7" s="25" t="n">
        <v>44107</v>
      </c>
      <c r="B7" s="26"/>
      <c r="C7" s="27"/>
      <c r="D7" s="27" t="n">
        <v>7120</v>
      </c>
      <c r="E7" s="27" t="n">
        <v>3800</v>
      </c>
      <c r="F7" s="27"/>
      <c r="G7" s="27" t="n">
        <v>620</v>
      </c>
      <c r="H7" s="27" t="n">
        <v>6340</v>
      </c>
      <c r="I7" s="27" t="n">
        <v>480</v>
      </c>
      <c r="J7" s="28"/>
      <c r="K7" s="29" t="n">
        <v>18360</v>
      </c>
    </row>
    <row r="8" customFormat="false" ht="12.8" hidden="false" customHeight="false" outlineLevel="0" collapsed="false">
      <c r="A8" s="25" t="n">
        <v>44108</v>
      </c>
      <c r="B8" s="26"/>
      <c r="C8" s="27"/>
      <c r="D8" s="27" t="n">
        <v>11240</v>
      </c>
      <c r="E8" s="27"/>
      <c r="F8" s="27"/>
      <c r="G8" s="27" t="n">
        <v>300</v>
      </c>
      <c r="H8" s="27" t="n">
        <v>5900</v>
      </c>
      <c r="I8" s="27" t="n">
        <v>900</v>
      </c>
      <c r="J8" s="28"/>
      <c r="K8" s="29" t="n">
        <v>18340</v>
      </c>
    </row>
    <row r="9" customFormat="false" ht="12.8" hidden="false" customHeight="false" outlineLevel="0" collapsed="false">
      <c r="A9" s="25" t="n">
        <v>44109</v>
      </c>
      <c r="B9" s="26"/>
      <c r="C9" s="27" t="n">
        <v>360</v>
      </c>
      <c r="D9" s="27" t="n">
        <v>6800</v>
      </c>
      <c r="E9" s="27" t="n">
        <v>4380</v>
      </c>
      <c r="F9" s="27"/>
      <c r="G9" s="27" t="n">
        <v>1400</v>
      </c>
      <c r="H9" s="27" t="n">
        <v>4480</v>
      </c>
      <c r="I9" s="27" t="n">
        <v>680</v>
      </c>
      <c r="J9" s="28"/>
      <c r="K9" s="29" t="n">
        <v>18100</v>
      </c>
    </row>
    <row r="10" customFormat="false" ht="12.8" hidden="false" customHeight="false" outlineLevel="0" collapsed="false">
      <c r="A10" s="25" t="n">
        <v>44110</v>
      </c>
      <c r="B10" s="26"/>
      <c r="C10" s="27"/>
      <c r="D10" s="27" t="n">
        <v>11060</v>
      </c>
      <c r="E10" s="27"/>
      <c r="F10" s="27"/>
      <c r="G10" s="27" t="n">
        <v>460</v>
      </c>
      <c r="H10" s="27" t="n">
        <v>5560</v>
      </c>
      <c r="I10" s="27" t="n">
        <v>360</v>
      </c>
      <c r="J10" s="28"/>
      <c r="K10" s="29" t="n">
        <v>17440</v>
      </c>
    </row>
    <row r="11" customFormat="false" ht="12.8" hidden="false" customHeight="false" outlineLevel="0" collapsed="false">
      <c r="A11" s="25" t="n">
        <v>44111</v>
      </c>
      <c r="B11" s="26"/>
      <c r="C11" s="27"/>
      <c r="D11" s="27" t="n">
        <v>12300</v>
      </c>
      <c r="E11" s="27"/>
      <c r="F11" s="27" t="n">
        <v>260</v>
      </c>
      <c r="G11" s="27" t="n">
        <v>1120</v>
      </c>
      <c r="H11" s="27" t="n">
        <v>4300</v>
      </c>
      <c r="I11" s="27" t="n">
        <v>340</v>
      </c>
      <c r="J11" s="28"/>
      <c r="K11" s="29" t="n">
        <v>18320</v>
      </c>
    </row>
    <row r="12" customFormat="false" ht="12.8" hidden="false" customHeight="false" outlineLevel="0" collapsed="false">
      <c r="A12" s="25" t="n">
        <v>44112</v>
      </c>
      <c r="B12" s="26"/>
      <c r="C12" s="27" t="n">
        <v>240</v>
      </c>
      <c r="D12" s="27" t="n">
        <v>9900</v>
      </c>
      <c r="E12" s="27"/>
      <c r="F12" s="27" t="n">
        <v>260</v>
      </c>
      <c r="G12" s="27" t="n">
        <v>360</v>
      </c>
      <c r="H12" s="27" t="n">
        <v>5160</v>
      </c>
      <c r="I12" s="27" t="n">
        <v>380</v>
      </c>
      <c r="J12" s="28"/>
      <c r="K12" s="29" t="n">
        <v>16300</v>
      </c>
    </row>
    <row r="13" customFormat="false" ht="12.8" hidden="false" customHeight="false" outlineLevel="0" collapsed="false">
      <c r="A13" s="25" t="n">
        <v>44113</v>
      </c>
      <c r="B13" s="26"/>
      <c r="C13" s="27"/>
      <c r="D13" s="27" t="n">
        <v>8780</v>
      </c>
      <c r="E13" s="27"/>
      <c r="F13" s="27" t="n">
        <v>240</v>
      </c>
      <c r="G13" s="27"/>
      <c r="H13" s="27" t="n">
        <v>4740</v>
      </c>
      <c r="I13" s="27" t="n">
        <v>540</v>
      </c>
      <c r="J13" s="28"/>
      <c r="K13" s="29" t="n">
        <v>14300</v>
      </c>
    </row>
    <row r="14" customFormat="false" ht="12.8" hidden="false" customHeight="false" outlineLevel="0" collapsed="false">
      <c r="A14" s="25" t="n">
        <v>44114</v>
      </c>
      <c r="B14" s="26"/>
      <c r="C14" s="27"/>
      <c r="D14" s="27" t="n">
        <v>10720</v>
      </c>
      <c r="E14" s="27"/>
      <c r="F14" s="27" t="n">
        <v>180</v>
      </c>
      <c r="G14" s="27"/>
      <c r="H14" s="27" t="n">
        <v>7620</v>
      </c>
      <c r="I14" s="27" t="n">
        <v>1020</v>
      </c>
      <c r="J14" s="28"/>
      <c r="K14" s="29" t="n">
        <v>19540</v>
      </c>
    </row>
    <row r="15" customFormat="false" ht="12.8" hidden="false" customHeight="false" outlineLevel="0" collapsed="false">
      <c r="A15" s="25" t="n">
        <v>44115</v>
      </c>
      <c r="B15" s="26"/>
      <c r="C15" s="27"/>
      <c r="D15" s="27" t="n">
        <v>11020</v>
      </c>
      <c r="E15" s="27"/>
      <c r="F15" s="27" t="n">
        <v>260</v>
      </c>
      <c r="G15" s="27"/>
      <c r="H15" s="27" t="n">
        <v>11000</v>
      </c>
      <c r="I15" s="27" t="n">
        <v>1240</v>
      </c>
      <c r="J15" s="28"/>
      <c r="K15" s="29" t="n">
        <v>23520</v>
      </c>
    </row>
    <row r="16" customFormat="false" ht="12.8" hidden="false" customHeight="false" outlineLevel="0" collapsed="false">
      <c r="A16" s="25" t="n">
        <v>44116</v>
      </c>
      <c r="B16" s="26"/>
      <c r="C16" s="27"/>
      <c r="D16" s="27" t="n">
        <v>15240</v>
      </c>
      <c r="E16" s="27"/>
      <c r="F16" s="27" t="n">
        <v>500</v>
      </c>
      <c r="G16" s="27"/>
      <c r="H16" s="27" t="n">
        <v>9260</v>
      </c>
      <c r="I16" s="27" t="n">
        <v>1120</v>
      </c>
      <c r="J16" s="28"/>
      <c r="K16" s="29" t="n">
        <v>26120</v>
      </c>
    </row>
    <row r="17" customFormat="false" ht="12.8" hidden="false" customHeight="false" outlineLevel="0" collapsed="false">
      <c r="A17" s="25" t="n">
        <v>44117</v>
      </c>
      <c r="B17" s="26" t="n">
        <v>5080</v>
      </c>
      <c r="C17" s="27"/>
      <c r="D17" s="27" t="n">
        <v>17320</v>
      </c>
      <c r="E17" s="27"/>
      <c r="F17" s="27"/>
      <c r="G17" s="27"/>
      <c r="H17" s="27" t="n">
        <v>9320</v>
      </c>
      <c r="I17" s="27" t="n">
        <v>920</v>
      </c>
      <c r="J17" s="28"/>
      <c r="K17" s="29" t="n">
        <v>32640</v>
      </c>
    </row>
    <row r="18" customFormat="false" ht="12.8" hidden="false" customHeight="false" outlineLevel="0" collapsed="false">
      <c r="A18" s="25" t="n">
        <v>44118</v>
      </c>
      <c r="B18" s="26"/>
      <c r="C18" s="27" t="n">
        <v>580</v>
      </c>
      <c r="D18" s="27" t="n">
        <v>13020</v>
      </c>
      <c r="E18" s="27"/>
      <c r="F18" s="27"/>
      <c r="G18" s="27" t="n">
        <v>1200</v>
      </c>
      <c r="H18" s="27" t="n">
        <v>6600</v>
      </c>
      <c r="I18" s="27" t="n">
        <v>460</v>
      </c>
      <c r="J18" s="28" t="n">
        <v>1500</v>
      </c>
      <c r="K18" s="29" t="n">
        <v>23360</v>
      </c>
    </row>
    <row r="19" customFormat="false" ht="12.8" hidden="false" customHeight="false" outlineLevel="0" collapsed="false">
      <c r="A19" s="25" t="n">
        <v>44119</v>
      </c>
      <c r="B19" s="26"/>
      <c r="C19" s="27" t="n">
        <v>700</v>
      </c>
      <c r="D19" s="27" t="n">
        <v>10180</v>
      </c>
      <c r="E19" s="27"/>
      <c r="F19" s="27" t="n">
        <v>200</v>
      </c>
      <c r="G19" s="27" t="n">
        <v>940</v>
      </c>
      <c r="H19" s="27" t="n">
        <v>5720</v>
      </c>
      <c r="I19" s="27" t="n">
        <v>380</v>
      </c>
      <c r="J19" s="28"/>
      <c r="K19" s="29" t="n">
        <v>18120</v>
      </c>
    </row>
    <row r="20" customFormat="false" ht="12.8" hidden="false" customHeight="false" outlineLevel="0" collapsed="false">
      <c r="A20" s="25" t="n">
        <v>44120</v>
      </c>
      <c r="B20" s="26"/>
      <c r="C20" s="27"/>
      <c r="D20" s="27" t="n">
        <v>10300</v>
      </c>
      <c r="E20" s="27"/>
      <c r="F20" s="27" t="n">
        <v>260</v>
      </c>
      <c r="G20" s="27" t="n">
        <v>320</v>
      </c>
      <c r="H20" s="27" t="n">
        <v>5440</v>
      </c>
      <c r="I20" s="27" t="n">
        <v>380</v>
      </c>
      <c r="J20" s="28"/>
      <c r="K20" s="29" t="n">
        <v>16700</v>
      </c>
    </row>
    <row r="21" customFormat="false" ht="12.8" hidden="false" customHeight="false" outlineLevel="0" collapsed="false">
      <c r="A21" s="25" t="n">
        <v>44121</v>
      </c>
      <c r="B21" s="26"/>
      <c r="C21" s="27"/>
      <c r="D21" s="27" t="n">
        <v>9980</v>
      </c>
      <c r="E21" s="27"/>
      <c r="F21" s="27" t="n">
        <v>200</v>
      </c>
      <c r="G21" s="27" t="n">
        <v>600</v>
      </c>
      <c r="H21" s="27" t="n">
        <v>3840</v>
      </c>
      <c r="I21" s="27" t="n">
        <v>540</v>
      </c>
      <c r="J21" s="28"/>
      <c r="K21" s="29" t="n">
        <v>15160</v>
      </c>
    </row>
    <row r="22" customFormat="false" ht="12.8" hidden="false" customHeight="false" outlineLevel="0" collapsed="false">
      <c r="A22" s="25" t="n">
        <v>44122</v>
      </c>
      <c r="B22" s="26"/>
      <c r="C22" s="27"/>
      <c r="D22" s="27" t="n">
        <v>10680</v>
      </c>
      <c r="E22" s="27"/>
      <c r="F22" s="27"/>
      <c r="G22" s="27"/>
      <c r="H22" s="27" t="n">
        <v>5520</v>
      </c>
      <c r="I22" s="27" t="n">
        <v>760</v>
      </c>
      <c r="J22" s="28"/>
      <c r="K22" s="29" t="n">
        <v>16960</v>
      </c>
    </row>
    <row r="23" customFormat="false" ht="12.8" hidden="false" customHeight="false" outlineLevel="0" collapsed="false">
      <c r="A23" s="25" t="n">
        <v>44123</v>
      </c>
      <c r="B23" s="26"/>
      <c r="C23" s="27"/>
      <c r="D23" s="27" t="n">
        <v>12100</v>
      </c>
      <c r="E23" s="27"/>
      <c r="F23" s="27" t="n">
        <v>440</v>
      </c>
      <c r="G23" s="27" t="n">
        <v>640</v>
      </c>
      <c r="H23" s="27" t="n">
        <v>4120</v>
      </c>
      <c r="I23" s="27" t="n">
        <v>700</v>
      </c>
      <c r="J23" s="28"/>
      <c r="K23" s="29" t="n">
        <v>18000</v>
      </c>
    </row>
    <row r="24" customFormat="false" ht="12.8" hidden="false" customHeight="false" outlineLevel="0" collapsed="false">
      <c r="A24" s="25" t="n">
        <v>44124</v>
      </c>
      <c r="B24" s="26"/>
      <c r="C24" s="27" t="n">
        <v>960</v>
      </c>
      <c r="D24" s="27" t="n">
        <v>10060</v>
      </c>
      <c r="E24" s="27"/>
      <c r="F24" s="27" t="n">
        <v>260</v>
      </c>
      <c r="G24" s="27" t="n">
        <v>1260</v>
      </c>
      <c r="H24" s="27" t="n">
        <v>4980</v>
      </c>
      <c r="I24" s="27" t="n">
        <v>380</v>
      </c>
      <c r="J24" s="28"/>
      <c r="K24" s="29" t="n">
        <v>17900</v>
      </c>
    </row>
    <row r="25" customFormat="false" ht="12.8" hidden="false" customHeight="false" outlineLevel="0" collapsed="false">
      <c r="A25" s="25" t="n">
        <v>44125</v>
      </c>
      <c r="B25" s="26"/>
      <c r="C25" s="27" t="n">
        <v>920</v>
      </c>
      <c r="D25" s="27" t="n">
        <v>10380</v>
      </c>
      <c r="E25" s="27" t="n">
        <v>1680</v>
      </c>
      <c r="F25" s="27"/>
      <c r="G25" s="27" t="n">
        <v>1440</v>
      </c>
      <c r="H25" s="27" t="n">
        <v>5540</v>
      </c>
      <c r="I25" s="27" t="n">
        <v>460</v>
      </c>
      <c r="J25" s="28"/>
      <c r="K25" s="29" t="n">
        <v>20420</v>
      </c>
    </row>
    <row r="26" customFormat="false" ht="12.8" hidden="false" customHeight="false" outlineLevel="0" collapsed="false">
      <c r="A26" s="25" t="n">
        <v>44126</v>
      </c>
      <c r="B26" s="26"/>
      <c r="C26" s="27" t="n">
        <v>480</v>
      </c>
      <c r="D26" s="27" t="n">
        <v>9660</v>
      </c>
      <c r="E26" s="27"/>
      <c r="F26" s="27"/>
      <c r="G26" s="27" t="n">
        <v>580</v>
      </c>
      <c r="H26" s="27" t="n">
        <v>3960</v>
      </c>
      <c r="I26" s="27" t="n">
        <v>440</v>
      </c>
      <c r="J26" s="28"/>
      <c r="K26" s="29" t="n">
        <v>15120</v>
      </c>
    </row>
    <row r="27" customFormat="false" ht="12.8" hidden="false" customHeight="false" outlineLevel="0" collapsed="false">
      <c r="A27" s="25" t="n">
        <v>44127</v>
      </c>
      <c r="B27" s="26"/>
      <c r="C27" s="27" t="n">
        <v>320</v>
      </c>
      <c r="D27" s="27" t="n">
        <v>7040</v>
      </c>
      <c r="E27" s="27" t="n">
        <v>2140</v>
      </c>
      <c r="F27" s="27"/>
      <c r="G27" s="27" t="n">
        <v>720</v>
      </c>
      <c r="H27" s="27" t="n">
        <v>3360</v>
      </c>
      <c r="I27" s="27" t="n">
        <v>460</v>
      </c>
      <c r="J27" s="28"/>
      <c r="K27" s="29" t="n">
        <v>14040</v>
      </c>
    </row>
    <row r="28" customFormat="false" ht="12.8" hidden="false" customHeight="false" outlineLevel="0" collapsed="false">
      <c r="A28" s="25" t="n">
        <v>44128</v>
      </c>
      <c r="B28" s="26"/>
      <c r="C28" s="27"/>
      <c r="D28" s="27" t="n">
        <v>7260</v>
      </c>
      <c r="E28" s="27" t="n">
        <v>3960</v>
      </c>
      <c r="F28" s="27"/>
      <c r="G28" s="27" t="n">
        <v>440</v>
      </c>
      <c r="H28" s="27" t="n">
        <v>5860</v>
      </c>
      <c r="I28" s="27" t="n">
        <v>540</v>
      </c>
      <c r="J28" s="28" t="n">
        <v>2040</v>
      </c>
      <c r="K28" s="29" t="n">
        <v>20100</v>
      </c>
    </row>
    <row r="29" customFormat="false" ht="12.8" hidden="false" customHeight="false" outlineLevel="0" collapsed="false">
      <c r="A29" s="25" t="n">
        <v>44129</v>
      </c>
      <c r="B29" s="26"/>
      <c r="C29" s="27"/>
      <c r="D29" s="27" t="n">
        <v>9280</v>
      </c>
      <c r="E29" s="27"/>
      <c r="F29" s="27"/>
      <c r="G29" s="27"/>
      <c r="H29" s="27" t="n">
        <v>4760</v>
      </c>
      <c r="I29" s="27" t="n">
        <v>780</v>
      </c>
      <c r="J29" s="28"/>
      <c r="K29" s="29" t="n">
        <v>14820</v>
      </c>
    </row>
    <row r="30" customFormat="false" ht="12.8" hidden="false" customHeight="false" outlineLevel="0" collapsed="false">
      <c r="A30" s="25" t="n">
        <v>44130</v>
      </c>
      <c r="B30" s="26"/>
      <c r="C30" s="27" t="n">
        <v>140</v>
      </c>
      <c r="D30" s="27"/>
      <c r="E30" s="27" t="n">
        <v>11020</v>
      </c>
      <c r="F30" s="27"/>
      <c r="G30" s="27"/>
      <c r="H30" s="27" t="n">
        <v>4460</v>
      </c>
      <c r="I30" s="27" t="n">
        <v>600</v>
      </c>
      <c r="J30" s="28"/>
      <c r="K30" s="29" t="n">
        <v>16220</v>
      </c>
    </row>
    <row r="31" customFormat="false" ht="12.8" hidden="false" customHeight="false" outlineLevel="0" collapsed="false">
      <c r="A31" s="25" t="n">
        <v>44131</v>
      </c>
      <c r="B31" s="26" t="n">
        <v>3400</v>
      </c>
      <c r="C31" s="27"/>
      <c r="D31" s="27"/>
      <c r="E31" s="27" t="n">
        <v>11880</v>
      </c>
      <c r="F31" s="27" t="n">
        <v>280</v>
      </c>
      <c r="G31" s="27" t="n">
        <v>1000</v>
      </c>
      <c r="H31" s="27" t="n">
        <v>3300</v>
      </c>
      <c r="I31" s="27" t="n">
        <v>380</v>
      </c>
      <c r="J31" s="28"/>
      <c r="K31" s="29" t="n">
        <v>20240</v>
      </c>
    </row>
    <row r="32" customFormat="false" ht="12.8" hidden="false" customHeight="false" outlineLevel="0" collapsed="false">
      <c r="A32" s="25" t="n">
        <v>44132</v>
      </c>
      <c r="B32" s="26"/>
      <c r="C32" s="27" t="n">
        <v>200</v>
      </c>
      <c r="D32" s="27"/>
      <c r="E32" s="27" t="n">
        <v>9820</v>
      </c>
      <c r="F32" s="27"/>
      <c r="G32" s="27"/>
      <c r="H32" s="27" t="n">
        <v>4740</v>
      </c>
      <c r="I32" s="27" t="n">
        <v>460</v>
      </c>
      <c r="J32" s="28" t="n">
        <v>1940</v>
      </c>
      <c r="K32" s="29" t="n">
        <v>17160</v>
      </c>
    </row>
    <row r="33" customFormat="false" ht="12.8" hidden="false" customHeight="false" outlineLevel="0" collapsed="false">
      <c r="A33" s="25" t="n">
        <v>44133</v>
      </c>
      <c r="B33" s="26" t="n">
        <v>42460</v>
      </c>
      <c r="C33" s="27"/>
      <c r="D33" s="27"/>
      <c r="E33" s="27" t="n">
        <v>8140</v>
      </c>
      <c r="F33" s="27"/>
      <c r="G33" s="27"/>
      <c r="H33" s="27" t="n">
        <v>3300</v>
      </c>
      <c r="I33" s="27" t="n">
        <v>460</v>
      </c>
      <c r="J33" s="28"/>
      <c r="K33" s="29" t="n">
        <v>54360</v>
      </c>
    </row>
    <row r="34" customFormat="false" ht="12.8" hidden="false" customHeight="false" outlineLevel="0" collapsed="false">
      <c r="A34" s="25" t="n">
        <v>44134</v>
      </c>
      <c r="B34" s="26" t="n">
        <v>47300</v>
      </c>
      <c r="C34" s="27" t="n">
        <v>280</v>
      </c>
      <c r="D34" s="27" t="n">
        <v>9140</v>
      </c>
      <c r="E34" s="27"/>
      <c r="F34" s="27"/>
      <c r="G34" s="27" t="n">
        <v>420</v>
      </c>
      <c r="H34" s="27" t="n">
        <v>4220</v>
      </c>
      <c r="I34" s="27" t="n">
        <v>360</v>
      </c>
      <c r="J34" s="28"/>
      <c r="K34" s="29" t="n">
        <v>61720</v>
      </c>
    </row>
    <row r="35" customFormat="false" ht="12.8" hidden="false" customHeight="false" outlineLevel="0" collapsed="false">
      <c r="A35" s="25" t="n">
        <v>44135</v>
      </c>
      <c r="B35" s="30" t="n">
        <v>43300</v>
      </c>
      <c r="C35" s="31"/>
      <c r="D35" s="31" t="n">
        <v>9580</v>
      </c>
      <c r="E35" s="31"/>
      <c r="F35" s="31" t="n">
        <v>160</v>
      </c>
      <c r="G35" s="31"/>
      <c r="H35" s="31" t="n">
        <v>4620</v>
      </c>
      <c r="I35" s="31" t="n">
        <v>460</v>
      </c>
      <c r="J35" s="32" t="n">
        <v>840</v>
      </c>
      <c r="K35" s="33" t="n">
        <v>58960</v>
      </c>
    </row>
    <row r="36" customFormat="false" ht="12.8" hidden="false" customHeight="false" outlineLevel="0" collapsed="false">
      <c r="A36" s="34" t="s">
        <v>29</v>
      </c>
      <c r="B36" s="35" t="n">
        <v>141540</v>
      </c>
      <c r="C36" s="36" t="n">
        <v>5360</v>
      </c>
      <c r="D36" s="36" t="n">
        <v>265820</v>
      </c>
      <c r="E36" s="36" t="n">
        <v>71400</v>
      </c>
      <c r="F36" s="36" t="n">
        <v>3500</v>
      </c>
      <c r="G36" s="36" t="n">
        <v>14220</v>
      </c>
      <c r="H36" s="36" t="n">
        <v>169500</v>
      </c>
      <c r="I36" s="36" t="n">
        <v>18040</v>
      </c>
      <c r="J36" s="37" t="n">
        <v>6320</v>
      </c>
      <c r="K36" s="38" t="n">
        <v>695700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14"/>
  <sheetViews>
    <sheetView showFormulas="false" showGridLines="true" showRowColHeaders="true" showZeros="true" rightToLeft="false" tabSelected="false" showOutlineSymbols="true" defaultGridColor="true" view="normal" topLeftCell="A1" colorId="64" zoomScale="83" zoomScaleNormal="83" zoomScalePageLayoutView="100" workbookViewId="0">
      <selection pane="topLeft" activeCell="H14" activeCellId="0" sqref="H14"/>
    </sheetView>
  </sheetViews>
  <sheetFormatPr defaultRowHeight="12.8" zeroHeight="false" outlineLevelRow="0" outlineLevelCol="0"/>
  <cols>
    <col collapsed="false" customWidth="true" hidden="false" outlineLevel="0" max="7" min="1" style="0" width="10.5"/>
    <col collapsed="false" customWidth="true" hidden="false" outlineLevel="0" max="8" min="8" style="0" width="14.81"/>
    <col collapsed="false" customWidth="true" hidden="false" outlineLevel="0" max="1025" min="9" style="0" width="10.5"/>
  </cols>
  <sheetData>
    <row r="1" customFormat="false" ht="12.8" hidden="false" customHeight="false" outlineLevel="0" collapsed="false">
      <c r="A1" s="10" t="s">
        <v>0</v>
      </c>
      <c r="B1" s="11" t="s">
        <v>27</v>
      </c>
    </row>
    <row r="3" customFormat="false" ht="12.8" hidden="false" customHeight="false" outlineLevel="0" collapsed="false">
      <c r="A3" s="12" t="s">
        <v>28</v>
      </c>
      <c r="B3" s="13" t="s">
        <v>30</v>
      </c>
      <c r="C3" s="14"/>
      <c r="D3" s="14"/>
      <c r="E3" s="14"/>
      <c r="F3" s="14"/>
      <c r="G3" s="14"/>
      <c r="H3" s="15"/>
    </row>
    <row r="4" customFormat="false" ht="12.8" hidden="false" customHeight="false" outlineLevel="0" collapsed="false">
      <c r="A4" s="16" t="s">
        <v>3</v>
      </c>
      <c r="B4" s="17" t="s">
        <v>26</v>
      </c>
      <c r="C4" s="18" t="s">
        <v>19</v>
      </c>
      <c r="D4" s="18" t="s">
        <v>15</v>
      </c>
      <c r="E4" s="18" t="s">
        <v>22</v>
      </c>
      <c r="F4" s="18" t="s">
        <v>21</v>
      </c>
      <c r="G4" s="18" t="s">
        <v>12</v>
      </c>
      <c r="H4" s="19" t="s">
        <v>29</v>
      </c>
    </row>
    <row r="5" customFormat="false" ht="12.8" hidden="false" customHeight="false" outlineLevel="0" collapsed="false">
      <c r="A5" s="39" t="s">
        <v>24</v>
      </c>
      <c r="B5" s="40" t="n">
        <v>133060</v>
      </c>
      <c r="C5" s="22"/>
      <c r="D5" s="22"/>
      <c r="E5" s="22"/>
      <c r="F5" s="22"/>
      <c r="G5" s="41" t="n">
        <v>8480</v>
      </c>
      <c r="H5" s="42" t="n">
        <v>141540</v>
      </c>
    </row>
    <row r="6" customFormat="false" ht="12.8" hidden="false" customHeight="false" outlineLevel="0" collapsed="false">
      <c r="A6" s="43" t="s">
        <v>18</v>
      </c>
      <c r="B6" s="26"/>
      <c r="C6" s="44" t="n">
        <v>5360</v>
      </c>
      <c r="D6" s="27"/>
      <c r="E6" s="27"/>
      <c r="F6" s="27"/>
      <c r="G6" s="28"/>
      <c r="H6" s="45" t="n">
        <v>5360</v>
      </c>
    </row>
    <row r="7" customFormat="false" ht="12.8" hidden="false" customHeight="false" outlineLevel="0" collapsed="false">
      <c r="A7" s="43" t="s">
        <v>20</v>
      </c>
      <c r="B7" s="26"/>
      <c r="C7" s="27"/>
      <c r="D7" s="44" t="n">
        <v>256260</v>
      </c>
      <c r="E7" s="44" t="n">
        <v>4160</v>
      </c>
      <c r="F7" s="44" t="n">
        <v>5400</v>
      </c>
      <c r="G7" s="28"/>
      <c r="H7" s="45" t="n">
        <v>265820</v>
      </c>
    </row>
    <row r="8" customFormat="false" ht="12.8" hidden="false" customHeight="false" outlineLevel="0" collapsed="false">
      <c r="A8" s="43" t="s">
        <v>17</v>
      </c>
      <c r="B8" s="26"/>
      <c r="C8" s="27"/>
      <c r="D8" s="44" t="n">
        <v>66480</v>
      </c>
      <c r="E8" s="44" t="n">
        <v>2700</v>
      </c>
      <c r="F8" s="44" t="n">
        <v>2220</v>
      </c>
      <c r="G8" s="28"/>
      <c r="H8" s="45" t="n">
        <v>71400</v>
      </c>
    </row>
    <row r="9" customFormat="false" ht="12.8" hidden="false" customHeight="false" outlineLevel="0" collapsed="false">
      <c r="A9" s="43" t="s">
        <v>23</v>
      </c>
      <c r="B9" s="26"/>
      <c r="C9" s="27"/>
      <c r="D9" s="44" t="n">
        <v>3500</v>
      </c>
      <c r="E9" s="27"/>
      <c r="F9" s="27"/>
      <c r="G9" s="28"/>
      <c r="H9" s="45" t="n">
        <v>3500</v>
      </c>
    </row>
    <row r="10" customFormat="false" ht="12.8" hidden="false" customHeight="false" outlineLevel="0" collapsed="false">
      <c r="A10" s="43" t="s">
        <v>10</v>
      </c>
      <c r="B10" s="26"/>
      <c r="C10" s="27"/>
      <c r="D10" s="44" t="n">
        <v>1480</v>
      </c>
      <c r="E10" s="27"/>
      <c r="F10" s="27"/>
      <c r="G10" s="46" t="n">
        <v>12740</v>
      </c>
      <c r="H10" s="45" t="n">
        <v>14220</v>
      </c>
    </row>
    <row r="11" customFormat="false" ht="12.8" hidden="false" customHeight="false" outlineLevel="0" collapsed="false">
      <c r="A11" s="43" t="s">
        <v>14</v>
      </c>
      <c r="B11" s="26"/>
      <c r="C11" s="27"/>
      <c r="D11" s="44" t="n">
        <v>169500</v>
      </c>
      <c r="E11" s="27"/>
      <c r="F11" s="27"/>
      <c r="G11" s="28"/>
      <c r="H11" s="45" t="n">
        <v>169500</v>
      </c>
    </row>
    <row r="12" customFormat="false" ht="12.8" hidden="false" customHeight="false" outlineLevel="0" collapsed="false">
      <c r="A12" s="43" t="s">
        <v>16</v>
      </c>
      <c r="B12" s="26"/>
      <c r="C12" s="27"/>
      <c r="D12" s="44" t="n">
        <v>18040</v>
      </c>
      <c r="E12" s="27"/>
      <c r="F12" s="27"/>
      <c r="G12" s="28"/>
      <c r="H12" s="45" t="n">
        <v>18040</v>
      </c>
    </row>
    <row r="13" customFormat="false" ht="12.8" hidden="false" customHeight="false" outlineLevel="0" collapsed="false">
      <c r="A13" s="43" t="s">
        <v>25</v>
      </c>
      <c r="B13" s="30"/>
      <c r="C13" s="31"/>
      <c r="D13" s="31"/>
      <c r="E13" s="31"/>
      <c r="F13" s="31"/>
      <c r="G13" s="47" t="n">
        <v>6320</v>
      </c>
      <c r="H13" s="48" t="n">
        <v>6320</v>
      </c>
    </row>
    <row r="14" customFormat="false" ht="12.8" hidden="false" customHeight="false" outlineLevel="0" collapsed="false">
      <c r="A14" s="49" t="s">
        <v>29</v>
      </c>
      <c r="B14" s="50" t="n">
        <v>133060</v>
      </c>
      <c r="C14" s="51" t="n">
        <v>5360</v>
      </c>
      <c r="D14" s="51" t="n">
        <v>515260</v>
      </c>
      <c r="E14" s="51" t="n">
        <v>6860</v>
      </c>
      <c r="F14" s="51" t="n">
        <v>7620</v>
      </c>
      <c r="G14" s="52" t="n">
        <v>27540</v>
      </c>
      <c r="H14" s="53" t="n">
        <v>695700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N76"/>
  <sheetViews>
    <sheetView showFormulas="false" showGridLines="true" showRowColHeaders="true" showZeros="true" rightToLeft="false" tabSelected="false" showOutlineSymbols="true" defaultGridColor="true" view="normal" topLeftCell="A10" colorId="64" zoomScale="83" zoomScaleNormal="83" zoomScalePageLayoutView="100" workbookViewId="0">
      <selection pane="topLeft" activeCell="K3" activeCellId="0" sqref="K3"/>
    </sheetView>
  </sheetViews>
  <sheetFormatPr defaultRowHeight="13.8" zeroHeight="false" outlineLevelRow="0" outlineLevelCol="0"/>
  <cols>
    <col collapsed="false" customWidth="true" hidden="false" outlineLevel="0" max="1" min="1" style="54" width="15.1"/>
    <col collapsed="false" customWidth="true" hidden="false" outlineLevel="0" max="2" min="2" style="0" width="15.86"/>
    <col collapsed="false" customWidth="true" hidden="false" outlineLevel="0" max="3" min="3" style="0" width="15.1"/>
    <col collapsed="false" customWidth="true" hidden="false" outlineLevel="0" max="4" min="4" style="54" width="13.81"/>
    <col collapsed="false" customWidth="true" hidden="false" outlineLevel="0" max="5" min="5" style="0" width="11.76"/>
    <col collapsed="false" customWidth="true" hidden="false" outlineLevel="0" max="6" min="6" style="0" width="10.47"/>
    <col collapsed="false" customWidth="true" hidden="false" outlineLevel="0" max="7" min="7" style="0" width="13.9"/>
    <col collapsed="false" customWidth="true" hidden="false" outlineLevel="0" max="8" min="8" style="0" width="15.1"/>
    <col collapsed="false" customWidth="true" hidden="false" outlineLevel="0" max="9" min="9" style="0" width="14.37"/>
    <col collapsed="false" customWidth="true" hidden="false" outlineLevel="0" max="11" min="10" style="0" width="10.47"/>
    <col collapsed="false" customWidth="true" hidden="false" outlineLevel="0" max="12" min="12" style="0" width="11.05"/>
    <col collapsed="false" customWidth="true" hidden="false" outlineLevel="0" max="13" min="13" style="0" width="17.39"/>
    <col collapsed="false" customWidth="true" hidden="false" outlineLevel="0" max="14" min="14" style="0" width="9.61"/>
    <col collapsed="false" customWidth="true" hidden="false" outlineLevel="0" max="1025" min="15" style="0" width="10.47"/>
  </cols>
  <sheetData>
    <row r="1" customFormat="false" ht="13.8" hidden="false" customHeight="false" outlineLevel="0" collapsed="false">
      <c r="A1" s="0" t="n">
        <v>1</v>
      </c>
      <c r="B1" s="54" t="n">
        <v>2</v>
      </c>
      <c r="C1" s="0" t="n">
        <v>3</v>
      </c>
      <c r="D1" s="0" t="n">
        <v>4</v>
      </c>
      <c r="E1" s="0" t="n">
        <v>5</v>
      </c>
      <c r="F1" s="0" t="n">
        <v>6</v>
      </c>
      <c r="G1" s="0" t="n">
        <v>7</v>
      </c>
    </row>
    <row r="2" customFormat="false" ht="13.8" hidden="false" customHeight="false" outlineLevel="0" collapsed="false">
      <c r="A2" s="55" t="s">
        <v>3</v>
      </c>
      <c r="B2" s="56" t="s">
        <v>31</v>
      </c>
      <c r="C2" s="57" t="s">
        <v>19</v>
      </c>
      <c r="D2" s="57" t="s">
        <v>15</v>
      </c>
      <c r="E2" s="57" t="s">
        <v>22</v>
      </c>
      <c r="F2" s="57" t="s">
        <v>21</v>
      </c>
      <c r="G2" s="57" t="s">
        <v>32</v>
      </c>
      <c r="H2" s="58" t="s">
        <v>29</v>
      </c>
    </row>
    <row r="3" customFormat="false" ht="13.8" hidden="false" customHeight="false" outlineLevel="0" collapsed="false">
      <c r="A3" s="59" t="s">
        <v>24</v>
      </c>
      <c r="B3" s="60" t="n">
        <v>133060</v>
      </c>
      <c r="C3" s="60"/>
      <c r="D3" s="60"/>
      <c r="E3" s="60"/>
      <c r="F3" s="60"/>
      <c r="G3" s="60" t="n">
        <v>8480</v>
      </c>
      <c r="H3" s="61" t="n">
        <f aca="false">SUM(B3:G3)</f>
        <v>141540</v>
      </c>
    </row>
    <row r="4" customFormat="false" ht="13.8" hidden="false" customHeight="false" outlineLevel="0" collapsed="false">
      <c r="A4" s="59" t="s">
        <v>18</v>
      </c>
      <c r="B4" s="60"/>
      <c r="C4" s="60" t="n">
        <v>5360</v>
      </c>
      <c r="D4" s="60"/>
      <c r="E4" s="60"/>
      <c r="F4" s="60"/>
      <c r="G4" s="60"/>
      <c r="H4" s="61" t="n">
        <f aca="false">SUM(B4:G4)</f>
        <v>5360</v>
      </c>
    </row>
    <row r="5" customFormat="false" ht="13.8" hidden="false" customHeight="false" outlineLevel="0" collapsed="false">
      <c r="A5" s="59" t="s">
        <v>20</v>
      </c>
      <c r="B5" s="60"/>
      <c r="C5" s="60"/>
      <c r="D5" s="60" t="n">
        <v>256260</v>
      </c>
      <c r="E5" s="60" t="n">
        <v>4160</v>
      </c>
      <c r="F5" s="60" t="n">
        <v>5400</v>
      </c>
      <c r="G5" s="60"/>
      <c r="H5" s="61" t="n">
        <f aca="false">SUM(B5:G5)</f>
        <v>265820</v>
      </c>
    </row>
    <row r="6" customFormat="false" ht="13.8" hidden="false" customHeight="false" outlineLevel="0" collapsed="false">
      <c r="A6" s="59" t="s">
        <v>17</v>
      </c>
      <c r="B6" s="59"/>
      <c r="C6" s="59"/>
      <c r="D6" s="59" t="n">
        <v>66480</v>
      </c>
      <c r="E6" s="59" t="n">
        <v>2700</v>
      </c>
      <c r="F6" s="59" t="n">
        <v>2220</v>
      </c>
      <c r="G6" s="59"/>
      <c r="H6" s="61" t="n">
        <f aca="false">SUM(B6:G6)</f>
        <v>71400</v>
      </c>
    </row>
    <row r="7" customFormat="false" ht="13.8" hidden="false" customHeight="false" outlineLevel="0" collapsed="false">
      <c r="A7" s="59" t="s">
        <v>23</v>
      </c>
      <c r="B7" s="59"/>
      <c r="C7" s="59"/>
      <c r="D7" s="59" t="n">
        <v>3500</v>
      </c>
      <c r="E7" s="59"/>
      <c r="F7" s="59"/>
      <c r="G7" s="59"/>
      <c r="H7" s="61" t="n">
        <f aca="false">SUM(B7:G7)</f>
        <v>3500</v>
      </c>
    </row>
    <row r="8" customFormat="false" ht="13.8" hidden="false" customHeight="false" outlineLevel="0" collapsed="false">
      <c r="A8" s="59" t="s">
        <v>10</v>
      </c>
      <c r="B8" s="59"/>
      <c r="C8" s="59"/>
      <c r="D8" s="59" t="n">
        <v>1480</v>
      </c>
      <c r="E8" s="59"/>
      <c r="F8" s="59"/>
      <c r="G8" s="59" t="n">
        <v>12740</v>
      </c>
      <c r="H8" s="61" t="n">
        <f aca="false">SUM(B8:G8)</f>
        <v>14220</v>
      </c>
    </row>
    <row r="9" customFormat="false" ht="13.8" hidden="false" customHeight="false" outlineLevel="0" collapsed="false">
      <c r="A9" s="59" t="s">
        <v>14</v>
      </c>
      <c r="B9" s="59"/>
      <c r="C9" s="59"/>
      <c r="D9" s="59" t="n">
        <v>169500</v>
      </c>
      <c r="E9" s="59"/>
      <c r="F9" s="59"/>
      <c r="G9" s="59"/>
      <c r="H9" s="61" t="n">
        <f aca="false">SUM(B9:G9)</f>
        <v>169500</v>
      </c>
    </row>
    <row r="10" customFormat="false" ht="13.8" hidden="false" customHeight="false" outlineLevel="0" collapsed="false">
      <c r="A10" s="59" t="s">
        <v>16</v>
      </c>
      <c r="B10" s="59"/>
      <c r="C10" s="59"/>
      <c r="D10" s="59" t="n">
        <v>18040</v>
      </c>
      <c r="E10" s="59"/>
      <c r="F10" s="59"/>
      <c r="G10" s="59"/>
      <c r="H10" s="61" t="n">
        <f aca="false">SUM(B10:G10)</f>
        <v>18040</v>
      </c>
    </row>
    <row r="11" customFormat="false" ht="13.8" hidden="false" customHeight="false" outlineLevel="0" collapsed="false">
      <c r="A11" s="59" t="s">
        <v>25</v>
      </c>
      <c r="B11" s="59"/>
      <c r="C11" s="59"/>
      <c r="D11" s="59"/>
      <c r="E11" s="59"/>
      <c r="F11" s="59"/>
      <c r="G11" s="59" t="n">
        <v>6320</v>
      </c>
      <c r="H11" s="61" t="n">
        <f aca="false">SUM(B11:G11)</f>
        <v>6320</v>
      </c>
    </row>
    <row r="12" customFormat="false" ht="13.8" hidden="false" customHeight="false" outlineLevel="0" collapsed="false">
      <c r="A12" s="59"/>
      <c r="B12" s="59"/>
      <c r="C12" s="59"/>
      <c r="D12" s="59"/>
      <c r="E12" s="59"/>
      <c r="F12" s="59"/>
      <c r="G12" s="59"/>
      <c r="H12" s="61" t="n">
        <f aca="false">SUM(B12:G12)</f>
        <v>0</v>
      </c>
    </row>
    <row r="13" customFormat="false" ht="13.8" hidden="false" customHeight="false" outlineLevel="0" collapsed="false">
      <c r="A13" s="59"/>
      <c r="B13" s="59"/>
      <c r="C13" s="59"/>
      <c r="D13" s="59"/>
      <c r="E13" s="59"/>
      <c r="F13" s="59"/>
      <c r="G13" s="59"/>
      <c r="H13" s="61" t="n">
        <f aca="false">SUM(B13:G13)</f>
        <v>0</v>
      </c>
    </row>
    <row r="14" customFormat="false" ht="13.8" hidden="false" customHeight="false" outlineLevel="0" collapsed="false">
      <c r="A14" s="59"/>
      <c r="B14" s="59"/>
      <c r="C14" s="59"/>
      <c r="D14" s="59"/>
      <c r="E14" s="59"/>
      <c r="F14" s="59"/>
      <c r="G14" s="59"/>
      <c r="H14" s="61" t="n">
        <f aca="false">SUM(B14:G14)</f>
        <v>0</v>
      </c>
    </row>
    <row r="15" customFormat="false" ht="13.8" hidden="false" customHeight="false" outlineLevel="0" collapsed="false">
      <c r="A15" s="0"/>
      <c r="B15" s="59"/>
      <c r="C15" s="59"/>
      <c r="D15" s="59"/>
      <c r="E15" s="59"/>
      <c r="F15" s="59"/>
      <c r="G15" s="59"/>
      <c r="H15" s="61" t="n">
        <f aca="false">SUM(B15:G15)</f>
        <v>0</v>
      </c>
    </row>
    <row r="16" customFormat="false" ht="13.8" hidden="false" customHeight="false" outlineLevel="0" collapsed="false">
      <c r="A16" s="62" t="s">
        <v>29</v>
      </c>
      <c r="B16" s="63" t="n">
        <f aca="false">SUM(B3:B15)</f>
        <v>133060</v>
      </c>
      <c r="C16" s="63" t="n">
        <f aca="false">SUM(C3:C15)</f>
        <v>5360</v>
      </c>
      <c r="D16" s="63" t="n">
        <f aca="false">SUM(D3:D15)</f>
        <v>515260</v>
      </c>
      <c r="E16" s="63" t="n">
        <f aca="false">SUM(E3:E15)</f>
        <v>6860</v>
      </c>
      <c r="F16" s="63" t="n">
        <f aca="false">SUM(F3:F15)</f>
        <v>7620</v>
      </c>
      <c r="G16" s="63" t="n">
        <f aca="false">SUM(G3:G15)</f>
        <v>27540</v>
      </c>
      <c r="H16" s="64" t="n">
        <f aca="false">SUM(B16:G16)</f>
        <v>695700</v>
      </c>
    </row>
    <row r="17" customFormat="false" ht="13.8" hidden="false" customHeight="false" outlineLevel="0" collapsed="false">
      <c r="A17" s="62"/>
      <c r="B17" s="63"/>
      <c r="C17" s="63"/>
      <c r="D17" s="63"/>
      <c r="E17" s="63"/>
      <c r="F17" s="63"/>
      <c r="G17" s="63"/>
      <c r="H17" s="64"/>
    </row>
    <row r="18" customFormat="false" ht="13.8" hidden="false" customHeight="false" outlineLevel="0" collapsed="false">
      <c r="C18" s="65"/>
      <c r="D18" s="65"/>
      <c r="E18" s="65"/>
      <c r="F18" s="65"/>
      <c r="G18" s="65"/>
      <c r="H18" s="65"/>
    </row>
    <row r="19" customFormat="false" ht="13.8" hidden="false" customHeight="false" outlineLevel="0" collapsed="false">
      <c r="C19" s="65"/>
      <c r="D19" s="65"/>
      <c r="E19" s="65"/>
      <c r="F19" s="65"/>
      <c r="G19" s="65"/>
      <c r="H19" s="65"/>
    </row>
    <row r="20" customFormat="false" ht="13.8" hidden="false" customHeight="false" outlineLevel="0" collapsed="false">
      <c r="C20" s="65"/>
      <c r="D20" s="65"/>
      <c r="E20" s="65"/>
      <c r="F20" s="65"/>
      <c r="G20" s="65"/>
      <c r="H20" s="65"/>
    </row>
    <row r="21" customFormat="false" ht="13.8" hidden="false" customHeight="false" outlineLevel="0" collapsed="false">
      <c r="C21" s="65"/>
      <c r="D21" s="65"/>
      <c r="E21" s="65"/>
      <c r="F21" s="65"/>
      <c r="G21" s="65"/>
      <c r="H21" s="65"/>
    </row>
    <row r="22" customFormat="false" ht="13.8" hidden="false" customHeight="false" outlineLevel="0" collapsed="false">
      <c r="A22" s="0"/>
      <c r="D22" s="0"/>
    </row>
    <row r="23" customFormat="false" ht="13.8" hidden="false" customHeight="false" outlineLevel="0" collapsed="false">
      <c r="A23" s="65" t="s">
        <v>15</v>
      </c>
      <c r="B23" s="65"/>
      <c r="C23" s="65"/>
      <c r="D23" s="65"/>
      <c r="E23" s="65"/>
      <c r="F23" s="65"/>
      <c r="G23" s="65"/>
      <c r="H23" s="65"/>
    </row>
    <row r="24" customFormat="false" ht="13.8" hidden="false" customHeight="false" outlineLevel="0" collapsed="false">
      <c r="A24" s="54" t="s">
        <v>33</v>
      </c>
      <c r="B24" s="0" t="s">
        <v>34</v>
      </c>
      <c r="C24" s="66" t="s">
        <v>35</v>
      </c>
      <c r="D24" s="67" t="s">
        <v>36</v>
      </c>
      <c r="E24" s="66" t="s">
        <v>37</v>
      </c>
      <c r="F24" s="68" t="s">
        <v>38</v>
      </c>
      <c r="G24" s="66" t="s">
        <v>39</v>
      </c>
      <c r="H24" s="66"/>
    </row>
    <row r="25" customFormat="false" ht="13.8" hidden="false" customHeight="false" outlineLevel="0" collapsed="false">
      <c r="A25" s="69" t="n">
        <v>109</v>
      </c>
      <c r="B25" s="70" t="s">
        <v>40</v>
      </c>
      <c r="C25" s="71" t="s">
        <v>24</v>
      </c>
      <c r="D25" s="72"/>
      <c r="E25" s="71"/>
      <c r="F25" s="73"/>
      <c r="G25" s="74" t="n">
        <f aca="false">IFERROR(INDEX($B$3:$G$15,MATCH(C25,$A$3:$A$15,0),MATCH($A$23,$B$2:$G$2,0)),0)</f>
        <v>0</v>
      </c>
      <c r="H25" s="75" t="str">
        <f aca="false">IF(G25-F25&gt;0,"Revisar","Bien")</f>
        <v>Bien</v>
      </c>
    </row>
    <row r="26" customFormat="false" ht="13.8" hidden="false" customHeight="false" outlineLevel="0" collapsed="false">
      <c r="A26" s="76" t="n">
        <v>333</v>
      </c>
      <c r="B26" s="77" t="s">
        <v>41</v>
      </c>
      <c r="C26" s="78" t="s">
        <v>18</v>
      </c>
      <c r="D26" s="67" t="n">
        <v>1</v>
      </c>
      <c r="E26" s="66" t="s">
        <v>42</v>
      </c>
      <c r="F26" s="68"/>
      <c r="G26" s="79" t="n">
        <f aca="false">IFERROR(INDEX($B$3:$G$15,MATCH(C26,$A$3:$A$15,0),MATCH($A$23,$B$2:$G$2,0)),0)</f>
        <v>0</v>
      </c>
      <c r="H26" s="80" t="str">
        <f aca="false">IF(G26-F26&gt;0,"Revisar","Bien")</f>
        <v>Bien</v>
      </c>
    </row>
    <row r="27" customFormat="false" ht="14.9" hidden="false" customHeight="false" outlineLevel="0" collapsed="false">
      <c r="A27" s="81" t="n">
        <v>320</v>
      </c>
      <c r="B27" s="82" t="s">
        <v>43</v>
      </c>
      <c r="C27" s="66" t="s">
        <v>20</v>
      </c>
      <c r="D27" s="67" t="s">
        <v>44</v>
      </c>
      <c r="E27" s="66" t="s">
        <v>42</v>
      </c>
      <c r="F27" s="68" t="n">
        <v>256260</v>
      </c>
      <c r="G27" s="79" t="n">
        <f aca="false">IFERROR(INDEX($B$3:$G$15,MATCH(C27,$A$3:$A$15,0),MATCH($A$23,$B$2:$G$2,0)),0)</f>
        <v>256260</v>
      </c>
      <c r="H27" s="80" t="str">
        <f aca="false">IF(G27-F27&gt;0,"Revisar","Bien")</f>
        <v>Bien</v>
      </c>
    </row>
    <row r="28" customFormat="false" ht="14.9" hidden="false" customHeight="false" outlineLevel="0" collapsed="false">
      <c r="A28" s="81" t="n">
        <v>321</v>
      </c>
      <c r="B28" s="82" t="s">
        <v>45</v>
      </c>
      <c r="C28" s="66" t="s">
        <v>17</v>
      </c>
      <c r="D28" s="67" t="s">
        <v>44</v>
      </c>
      <c r="E28" s="66" t="s">
        <v>42</v>
      </c>
      <c r="F28" s="68" t="n">
        <v>66480</v>
      </c>
      <c r="G28" s="79" t="n">
        <f aca="false">IFERROR(INDEX($B$3:$G$15,MATCH(C28,$A$3:$A$15,0),MATCH($A$23,$B$2:$G$2,0)),0)</f>
        <v>66480</v>
      </c>
      <c r="H28" s="80" t="str">
        <f aca="false">IF(G28-F28&gt;0,"Revisar","Bien")</f>
        <v>Bien</v>
      </c>
    </row>
    <row r="29" customFormat="false" ht="13.8" hidden="false" customHeight="false" outlineLevel="0" collapsed="false">
      <c r="A29" s="76" t="n">
        <v>316</v>
      </c>
      <c r="B29" s="0" t="s">
        <v>46</v>
      </c>
      <c r="C29" s="66" t="s">
        <v>23</v>
      </c>
      <c r="D29" s="67" t="s">
        <v>44</v>
      </c>
      <c r="E29" s="66" t="s">
        <v>42</v>
      </c>
      <c r="F29" s="68" t="n">
        <v>3500</v>
      </c>
      <c r="G29" s="79" t="n">
        <f aca="false">IFERROR(INDEX($B$3:$G$15,MATCH(C29,$A$3:$A$15,0),MATCH($A$23,$B$2:$G$2,0)),0)</f>
        <v>3500</v>
      </c>
      <c r="H29" s="80" t="str">
        <f aca="false">IF(G29-F29&gt;0,"Revisar","Bien")</f>
        <v>Bien</v>
      </c>
    </row>
    <row r="30" customFormat="false" ht="14.9" hidden="false" customHeight="false" outlineLevel="0" collapsed="false">
      <c r="A30" s="81" t="n">
        <v>196</v>
      </c>
      <c r="B30" s="82" t="s">
        <v>47</v>
      </c>
      <c r="C30" s="66" t="s">
        <v>48</v>
      </c>
      <c r="D30" s="67" t="s">
        <v>44</v>
      </c>
      <c r="E30" s="66" t="s">
        <v>42</v>
      </c>
      <c r="F30" s="68"/>
      <c r="G30" s="79" t="n">
        <f aca="false">IFERROR(INDEX($B$3:$G$15,MATCH(C30,$A$3:$A$15,0),MATCH($A$23,$B$2:$G$2,0)),0)</f>
        <v>0</v>
      </c>
      <c r="H30" s="80" t="str">
        <f aca="false">IF(G30-F30&gt;0,"Revisar","Bien")</f>
        <v>Bien</v>
      </c>
      <c r="I30" s="0" t="s">
        <v>49</v>
      </c>
    </row>
    <row r="31" customFormat="false" ht="13.8" hidden="false" customHeight="false" outlineLevel="0" collapsed="false">
      <c r="A31" s="76" t="n">
        <v>309</v>
      </c>
      <c r="B31" s="0" t="s">
        <v>50</v>
      </c>
      <c r="C31" s="66" t="s">
        <v>10</v>
      </c>
      <c r="D31" s="67" t="s">
        <v>44</v>
      </c>
      <c r="E31" s="66" t="s">
        <v>42</v>
      </c>
      <c r="F31" s="83" t="n">
        <v>1480</v>
      </c>
      <c r="G31" s="79" t="n">
        <f aca="false">IFERROR(INDEX($B$3:$G$15,MATCH(C31,$A$3:$A$15,0),MATCH($A$23,$B$2:$G$2,0)),0)</f>
        <v>1480</v>
      </c>
      <c r="H31" s="80" t="str">
        <f aca="false">IF(G31-F31&gt;0,"Revisar","Bien")</f>
        <v>Bien</v>
      </c>
      <c r="L31" s="84"/>
      <c r="M31" s="85"/>
      <c r="N31" s="77"/>
    </row>
    <row r="32" customFormat="false" ht="14.9" hidden="false" customHeight="false" outlineLevel="0" collapsed="false">
      <c r="A32" s="76" t="n">
        <v>318</v>
      </c>
      <c r="B32" s="82" t="s">
        <v>47</v>
      </c>
      <c r="C32" s="66" t="s">
        <v>14</v>
      </c>
      <c r="D32" s="67" t="s">
        <v>44</v>
      </c>
      <c r="E32" s="66" t="s">
        <v>42</v>
      </c>
      <c r="F32" s="83" t="n">
        <v>169500</v>
      </c>
      <c r="G32" s="79" t="n">
        <f aca="false">IFERROR(INDEX($B$3:$G$15,MATCH(C32,$A$3:$A$15,0),MATCH($A$23,$B$2:$G$2,0)),0)</f>
        <v>169500</v>
      </c>
      <c r="H32" s="80" t="str">
        <f aca="false">IF(G32-F32&gt;0,"Revisar","Bien")</f>
        <v>Bien</v>
      </c>
      <c r="L32" s="84"/>
      <c r="M32" s="77"/>
      <c r="N32" s="77"/>
    </row>
    <row r="33" customFormat="false" ht="14.9" hidden="false" customHeight="false" outlineLevel="0" collapsed="false">
      <c r="A33" s="76" t="n">
        <v>310</v>
      </c>
      <c r="B33" s="82" t="s">
        <v>51</v>
      </c>
      <c r="C33" s="77" t="s">
        <v>16</v>
      </c>
      <c r="D33" s="86" t="n">
        <v>1</v>
      </c>
      <c r="E33" s="77" t="s">
        <v>52</v>
      </c>
      <c r="F33" s="87" t="n">
        <v>18040</v>
      </c>
      <c r="G33" s="79" t="n">
        <f aca="false">IFERROR(INDEX($B$3:$G$15,MATCH(C33,$A$3:$A$15,0),MATCH($A$23,$B$2:$G$2,0)),0)</f>
        <v>18040</v>
      </c>
      <c r="H33" s="80" t="str">
        <f aca="false">IF(G33-F33&gt;0,"Revisar","Bien")</f>
        <v>Bien</v>
      </c>
      <c r="N33" s="82"/>
    </row>
    <row r="34" customFormat="false" ht="13.8" hidden="false" customHeight="false" outlineLevel="0" collapsed="false">
      <c r="A34" s="88"/>
      <c r="B34" s="89" t="s">
        <v>40</v>
      </c>
      <c r="C34" s="89" t="s">
        <v>53</v>
      </c>
      <c r="D34" s="90" t="n">
        <v>1</v>
      </c>
      <c r="E34" s="91" t="s">
        <v>52</v>
      </c>
      <c r="F34" s="92"/>
      <c r="G34" s="93" t="n">
        <f aca="false">IFERROR(INDEX($B$3:$G$15,MATCH(C34,$A$3:$A$15,0),MATCH($A$23,$B$2:$G$2,0)),0)</f>
        <v>0</v>
      </c>
      <c r="H34" s="94" t="str">
        <f aca="false">IF(G34-F34&gt;0,"Revisar","Bien")</f>
        <v>Bien</v>
      </c>
      <c r="I34" s="0" t="s">
        <v>54</v>
      </c>
      <c r="N34" s="82"/>
    </row>
    <row r="35" customFormat="false" ht="13.8" hidden="false" customHeight="false" outlineLevel="0" collapsed="false">
      <c r="C35" s="66"/>
      <c r="D35" s="67"/>
      <c r="E35" s="66"/>
      <c r="F35" s="95" t="n">
        <f aca="false">SUM(F25:F33)</f>
        <v>515260</v>
      </c>
      <c r="G35" s="96" t="n">
        <f aca="false">SUM(G25:G33)</f>
        <v>515260</v>
      </c>
      <c r="H35" s="66"/>
      <c r="L35" s="84"/>
      <c r="N35" s="66"/>
    </row>
    <row r="36" customFormat="false" ht="13.8" hidden="false" customHeight="false" outlineLevel="0" collapsed="false">
      <c r="A36" s="65" t="str">
        <f aca="false">+G2</f>
        <v>VOLUMINOSOS</v>
      </c>
      <c r="B36" s="65"/>
      <c r="C36" s="65"/>
      <c r="D36" s="65"/>
      <c r="E36" s="65"/>
      <c r="F36" s="65"/>
      <c r="G36" s="65"/>
      <c r="H36" s="65"/>
      <c r="L36" s="84"/>
      <c r="N36" s="66"/>
    </row>
    <row r="37" customFormat="false" ht="13.8" hidden="false" customHeight="false" outlineLevel="0" collapsed="false">
      <c r="C37" s="66" t="s">
        <v>35</v>
      </c>
      <c r="D37" s="67" t="s">
        <v>55</v>
      </c>
      <c r="E37" s="66" t="s">
        <v>56</v>
      </c>
      <c r="F37" s="83" t="s">
        <v>38</v>
      </c>
      <c r="G37" s="66" t="s">
        <v>39</v>
      </c>
      <c r="H37" s="66"/>
    </row>
    <row r="38" customFormat="false" ht="13.8" hidden="false" customHeight="false" outlineLevel="0" collapsed="false">
      <c r="A38" s="69" t="n">
        <v>109</v>
      </c>
      <c r="B38" s="70" t="s">
        <v>40</v>
      </c>
      <c r="C38" s="71" t="s">
        <v>24</v>
      </c>
      <c r="D38" s="72" t="n">
        <v>2</v>
      </c>
      <c r="E38" s="71" t="n">
        <v>6</v>
      </c>
      <c r="F38" s="71" t="n">
        <v>8480</v>
      </c>
      <c r="G38" s="74" t="n">
        <f aca="false">IFERROR(INDEX($B$3:$G$15,MATCH(C38,$A$3:$A$15,0),MATCH($A$36,$B$2:$G$2,0)),0)</f>
        <v>8480</v>
      </c>
      <c r="H38" s="97" t="str">
        <f aca="false">IF(G38-F38&gt;0,"Revisar","Bien")</f>
        <v>Bien</v>
      </c>
    </row>
    <row r="39" customFormat="false" ht="13.8" hidden="false" customHeight="false" outlineLevel="0" collapsed="false">
      <c r="A39" s="76" t="n">
        <v>333</v>
      </c>
      <c r="B39" s="0" t="s">
        <v>41</v>
      </c>
      <c r="C39" s="66" t="s">
        <v>18</v>
      </c>
      <c r="D39" s="67" t="n">
        <v>2</v>
      </c>
      <c r="E39" s="66"/>
      <c r="F39" s="66"/>
      <c r="G39" s="79" t="n">
        <f aca="false">IFERROR(INDEX($B$3:$G$15,MATCH(C39,$A$3:$A$15,0),MATCH($A$36,$B$2:$G$2,0)),0)</f>
        <v>0</v>
      </c>
      <c r="H39" s="98" t="str">
        <f aca="false">IF(G39-F39&gt;0,"Revisar","Bien")</f>
        <v>Bien</v>
      </c>
    </row>
    <row r="40" customFormat="false" ht="13.8" hidden="false" customHeight="false" outlineLevel="0" collapsed="false">
      <c r="A40" s="76" t="n">
        <v>316</v>
      </c>
      <c r="B40" s="77" t="s">
        <v>46</v>
      </c>
      <c r="C40" s="77" t="s">
        <v>23</v>
      </c>
      <c r="D40" s="67"/>
      <c r="E40" s="66"/>
      <c r="F40" s="66"/>
      <c r="G40" s="79" t="n">
        <f aca="false">IFERROR(INDEX($B$3:$G$15,MATCH(C40,$A$3:$A$15,0),MATCH($A$36,$B$2:$G$2,0)),0)</f>
        <v>0</v>
      </c>
      <c r="H40" s="98" t="str">
        <f aca="false">IF(G40-F40&gt;0,"Revisar","Bien")</f>
        <v>Bien</v>
      </c>
    </row>
    <row r="41" customFormat="false" ht="13.8" hidden="false" customHeight="false" outlineLevel="0" collapsed="false">
      <c r="A41" s="76" t="n">
        <v>309</v>
      </c>
      <c r="B41" s="0" t="s">
        <v>50</v>
      </c>
      <c r="C41" s="66" t="s">
        <v>10</v>
      </c>
      <c r="D41" s="67" t="n">
        <v>2</v>
      </c>
      <c r="E41" s="66" t="n">
        <v>46</v>
      </c>
      <c r="F41" s="66" t="n">
        <v>12740</v>
      </c>
      <c r="G41" s="79" t="n">
        <f aca="false">IFERROR(INDEX($B$3:$G$15,MATCH(C41,$A$3:$A$15,0),MATCH($A$36,$B$2:$G$2,0)),0)</f>
        <v>12740</v>
      </c>
      <c r="H41" s="98" t="str">
        <f aca="false">IF(G41-F41&gt;0,"Revisar","Bien")</f>
        <v>Bien</v>
      </c>
    </row>
    <row r="42" customFormat="false" ht="13.8" hidden="false" customHeight="false" outlineLevel="0" collapsed="false">
      <c r="A42" s="76" t="n">
        <v>296</v>
      </c>
      <c r="B42" s="77" t="s">
        <v>57</v>
      </c>
      <c r="C42" s="77" t="s">
        <v>25</v>
      </c>
      <c r="D42" s="86" t="n">
        <v>6</v>
      </c>
      <c r="E42" s="77" t="n">
        <v>11</v>
      </c>
      <c r="F42" s="77" t="n">
        <v>6320</v>
      </c>
      <c r="G42" s="79" t="n">
        <f aca="false">IFERROR(INDEX($B$3:$G$15,MATCH(C42,$A$3:$A$15,0),MATCH($A$36,$B$2:$G$2,0)),0)</f>
        <v>6320</v>
      </c>
      <c r="H42" s="98" t="str">
        <f aca="false">IF(G42-F42&gt;0,"Revisar","Bien")</f>
        <v>Bien</v>
      </c>
    </row>
    <row r="43" customFormat="false" ht="13.8" hidden="false" customHeight="false" outlineLevel="0" collapsed="false">
      <c r="A43" s="88"/>
      <c r="B43" s="91"/>
      <c r="C43" s="89" t="s">
        <v>58</v>
      </c>
      <c r="D43" s="90"/>
      <c r="E43" s="91"/>
      <c r="F43" s="91"/>
      <c r="G43" s="93" t="n">
        <f aca="false">IFERROR(INDEX($B$3:$G$15,MATCH(C43,$A$3:$A$15,0),MATCH($A$36,$B$2:$G$2,0)),0)</f>
        <v>0</v>
      </c>
      <c r="H43" s="94" t="str">
        <f aca="false">IF(G43-F43&gt;0,"Revisar","Bien")</f>
        <v>Bien</v>
      </c>
    </row>
    <row r="44" customFormat="false" ht="13.8" hidden="false" customHeight="false" outlineLevel="0" collapsed="false">
      <c r="A44" s="0"/>
      <c r="D44" s="67"/>
      <c r="E44" s="66"/>
      <c r="F44" s="95" t="n">
        <f aca="false">SUM(F38:F42)</f>
        <v>27540</v>
      </c>
      <c r="G44" s="96" t="n">
        <f aca="false">SUM(G38:G42)</f>
        <v>27540</v>
      </c>
      <c r="H44" s="66"/>
    </row>
    <row r="45" customFormat="false" ht="13.8" hidden="false" customHeight="false" outlineLevel="0" collapsed="false">
      <c r="C45" s="66"/>
      <c r="D45" s="67"/>
      <c r="E45" s="66"/>
      <c r="F45" s="83"/>
      <c r="G45" s="96"/>
      <c r="H45" s="66"/>
    </row>
    <row r="46" customFormat="false" ht="13.8" hidden="false" customHeight="false" outlineLevel="0" collapsed="false">
      <c r="A46" s="65" t="s">
        <v>21</v>
      </c>
      <c r="B46" s="65"/>
      <c r="C46" s="65"/>
      <c r="D46" s="65"/>
      <c r="E46" s="65"/>
      <c r="F46" s="65"/>
      <c r="G46" s="65"/>
      <c r="H46" s="65"/>
    </row>
    <row r="47" customFormat="false" ht="13.8" hidden="false" customHeight="false" outlineLevel="0" collapsed="false">
      <c r="C47" s="66" t="s">
        <v>35</v>
      </c>
      <c r="D47" s="67" t="s">
        <v>56</v>
      </c>
      <c r="E47" s="66" t="s">
        <v>38</v>
      </c>
      <c r="F47" s="83" t="s">
        <v>39</v>
      </c>
      <c r="G47" s="66"/>
      <c r="H47" s="66"/>
    </row>
    <row r="48" customFormat="false" ht="13.8" hidden="false" customHeight="false" outlineLevel="0" collapsed="false">
      <c r="A48" s="69" t="n">
        <v>109</v>
      </c>
      <c r="B48" s="70" t="s">
        <v>40</v>
      </c>
      <c r="C48" s="71" t="s">
        <v>24</v>
      </c>
      <c r="D48" s="72"/>
      <c r="E48" s="71"/>
      <c r="F48" s="74" t="n">
        <f aca="false">IFERROR(INDEX($B$3:$G$15,MATCH(C48,$A$3:$A$15,0),MATCH($A$46,$B$2:$G$2,0)),0)</f>
        <v>0</v>
      </c>
      <c r="G48" s="97" t="str">
        <f aca="false">IF(F48-E48&gt;0,"Revisar","Bien")</f>
        <v>Bien</v>
      </c>
      <c r="H48" s="66"/>
    </row>
    <row r="49" customFormat="false" ht="14.45" hidden="false" customHeight="false" outlineLevel="0" collapsed="false">
      <c r="A49" s="81" t="n">
        <v>320</v>
      </c>
      <c r="B49" s="82" t="s">
        <v>43</v>
      </c>
      <c r="C49" s="66" t="s">
        <v>20</v>
      </c>
      <c r="D49" s="67" t="n">
        <v>3</v>
      </c>
      <c r="E49" s="66" t="n">
        <v>5400</v>
      </c>
      <c r="F49" s="79" t="n">
        <f aca="false">IFERROR(INDEX($B$3:$G$15,MATCH(C49,$A$3:$A$15,0),MATCH($A$46,$B$2:$G$2,0)),0)</f>
        <v>5400</v>
      </c>
      <c r="G49" s="98" t="str">
        <f aca="false">IF(F49-E49&gt;0,"Revisar","Bien")</f>
        <v>Bien</v>
      </c>
      <c r="H49" s="66"/>
    </row>
    <row r="50" customFormat="false" ht="14.9" hidden="false" customHeight="false" outlineLevel="0" collapsed="false">
      <c r="A50" s="81" t="n">
        <v>321</v>
      </c>
      <c r="B50" s="82" t="s">
        <v>45</v>
      </c>
      <c r="C50" s="66" t="s">
        <v>17</v>
      </c>
      <c r="D50" s="67" t="n">
        <v>1</v>
      </c>
      <c r="E50" s="66" t="n">
        <v>2220</v>
      </c>
      <c r="F50" s="79" t="n">
        <f aca="false">IFERROR(INDEX($B$3:$G$15,MATCH(C50,$A$3:$A$15,0),MATCH($A$46,$B$2:$G$2,0)),0)</f>
        <v>2220</v>
      </c>
      <c r="G50" s="98" t="str">
        <f aca="false">IF(F50-E50&gt;0,"Revisar","Bien")</f>
        <v>Bien</v>
      </c>
      <c r="H50" s="66"/>
    </row>
    <row r="51" customFormat="false" ht="13.8" hidden="false" customHeight="false" outlineLevel="0" collapsed="false">
      <c r="A51" s="76" t="n">
        <v>296</v>
      </c>
      <c r="B51" s="0" t="s">
        <v>57</v>
      </c>
      <c r="C51" s="66" t="s">
        <v>25</v>
      </c>
      <c r="D51" s="67"/>
      <c r="E51" s="83"/>
      <c r="F51" s="79" t="n">
        <f aca="false">IFERROR(INDEX($B$3:$G$15,MATCH(C51,$A$3:$A$15,0),MATCH($A$46,$B$2:$G$2,0)),0)</f>
        <v>0</v>
      </c>
      <c r="G51" s="98" t="str">
        <f aca="false">IF(F51-E51&gt;0,"Revisar","Bien")</f>
        <v>Bien</v>
      </c>
      <c r="H51" s="66"/>
    </row>
    <row r="52" customFormat="false" ht="14.45" hidden="false" customHeight="false" outlineLevel="0" collapsed="false">
      <c r="A52" s="99"/>
      <c r="B52" s="91"/>
      <c r="C52" s="100" t="s">
        <v>58</v>
      </c>
      <c r="D52" s="90"/>
      <c r="E52" s="92"/>
      <c r="F52" s="93" t="n">
        <f aca="false">IFERROR(INDEX($B$3:$G$15,MATCH(C52,$A$3:$A$15,0),MATCH($A$46,$B$2:$G$2,0)),0)</f>
        <v>0</v>
      </c>
      <c r="G52" s="94" t="str">
        <f aca="false">IF(F52-E52&gt;0,"Revisar","Bien")</f>
        <v>Bien</v>
      </c>
      <c r="H52" s="66"/>
    </row>
    <row r="53" customFormat="false" ht="13.8" hidden="false" customHeight="false" outlineLevel="0" collapsed="false">
      <c r="C53" s="66"/>
      <c r="D53" s="67"/>
      <c r="E53" s="101" t="n">
        <f aca="false">SUM(E48:E52)</f>
        <v>7620</v>
      </c>
      <c r="F53" s="96" t="n">
        <f aca="false">SUM(F48:F51)</f>
        <v>7620</v>
      </c>
      <c r="G53" s="66"/>
      <c r="H53" s="66"/>
    </row>
    <row r="54" customFormat="false" ht="13.8" hidden="false" customHeight="false" outlineLevel="0" collapsed="false">
      <c r="A54" s="65" t="s">
        <v>22</v>
      </c>
      <c r="B54" s="65"/>
      <c r="C54" s="65"/>
      <c r="D54" s="65"/>
      <c r="E54" s="65"/>
      <c r="F54" s="65"/>
      <c r="G54" s="65"/>
      <c r="H54" s="66"/>
    </row>
    <row r="55" customFormat="false" ht="13.8" hidden="false" customHeight="false" outlineLevel="0" collapsed="false">
      <c r="C55" s="66" t="s">
        <v>35</v>
      </c>
      <c r="D55" s="67" t="s">
        <v>56</v>
      </c>
      <c r="E55" s="66" t="s">
        <v>38</v>
      </c>
      <c r="F55" s="83" t="s">
        <v>39</v>
      </c>
      <c r="G55" s="66"/>
      <c r="H55" s="66"/>
    </row>
    <row r="56" customFormat="false" ht="13.8" hidden="false" customHeight="false" outlineLevel="0" collapsed="false">
      <c r="A56" s="69" t="n">
        <v>109</v>
      </c>
      <c r="B56" s="70" t="s">
        <v>40</v>
      </c>
      <c r="C56" s="71" t="s">
        <v>24</v>
      </c>
      <c r="D56" s="72"/>
      <c r="E56" s="102"/>
      <c r="F56" s="74" t="n">
        <f aca="false">IFERROR(INDEX($B$3:$G$15,MATCH(C56,$A$3:$A$15,0),MATCH($A$54,$B$2:$G$2,0)),0)</f>
        <v>0</v>
      </c>
      <c r="G56" s="75" t="str">
        <f aca="false">IF(F56-E56&gt;0,"Revisar","Bien")</f>
        <v>Bien</v>
      </c>
      <c r="H56" s="66"/>
    </row>
    <row r="57" customFormat="false" ht="14.45" hidden="false" customHeight="false" outlineLevel="0" collapsed="false">
      <c r="A57" s="81" t="n">
        <v>320</v>
      </c>
      <c r="B57" s="82" t="s">
        <v>43</v>
      </c>
      <c r="C57" s="66" t="s">
        <v>20</v>
      </c>
      <c r="D57" s="86" t="n">
        <v>2</v>
      </c>
      <c r="E57" s="87" t="n">
        <v>4160</v>
      </c>
      <c r="F57" s="79" t="n">
        <f aca="false">IFERROR(INDEX($B$3:$G$15,MATCH(C57,$A$3:$A$15,0),MATCH($A$54,$B$2:$G$2,0)),0)</f>
        <v>4160</v>
      </c>
      <c r="G57" s="98" t="str">
        <f aca="false">IF(F57-E57&gt;0,"Revisar","Bien")</f>
        <v>Bien</v>
      </c>
      <c r="H57" s="66"/>
    </row>
    <row r="58" customFormat="false" ht="14.45" hidden="false" customHeight="false" outlineLevel="0" collapsed="false">
      <c r="A58" s="81" t="n">
        <v>321</v>
      </c>
      <c r="B58" s="82" t="s">
        <v>45</v>
      </c>
      <c r="C58" s="66" t="s">
        <v>17</v>
      </c>
      <c r="D58" s="86" t="n">
        <v>2</v>
      </c>
      <c r="E58" s="87" t="n">
        <v>2700</v>
      </c>
      <c r="F58" s="79" t="n">
        <f aca="false">IFERROR(INDEX($B$3:$G$15,MATCH(C58,$A$3:$A$15,0),MATCH($A$54,$B$2:$G$2,0)),0)</f>
        <v>2700</v>
      </c>
      <c r="G58" s="98" t="str">
        <f aca="false">IF(F58-E58&gt;0,"Revisar","Bien")</f>
        <v>Bien</v>
      </c>
      <c r="H58" s="66"/>
    </row>
    <row r="59" customFormat="false" ht="13.8" hidden="false" customHeight="false" outlineLevel="0" collapsed="false">
      <c r="A59" s="76" t="n">
        <v>296</v>
      </c>
      <c r="B59" s="0" t="s">
        <v>57</v>
      </c>
      <c r="C59" s="66" t="s">
        <v>25</v>
      </c>
      <c r="D59" s="86"/>
      <c r="E59" s="87"/>
      <c r="F59" s="79" t="n">
        <f aca="false">IFERROR(INDEX($B$3:$G$15,MATCH(C59,$A$3:$A$15,0),MATCH($A$54,$B$2:$G$2,0)),0)</f>
        <v>0</v>
      </c>
      <c r="G59" s="98" t="str">
        <f aca="false">IF(F59-E59&gt;0,"Revisar","Bien")</f>
        <v>Bien</v>
      </c>
      <c r="H59" s="66"/>
    </row>
    <row r="60" customFormat="false" ht="14.45" hidden="false" customHeight="false" outlineLevel="0" collapsed="false">
      <c r="A60" s="99"/>
      <c r="B60" s="91"/>
      <c r="C60" s="100" t="s">
        <v>58</v>
      </c>
      <c r="D60" s="90"/>
      <c r="E60" s="92"/>
      <c r="F60" s="93" t="n">
        <f aca="false">IFERROR(INDEX($B$3:$G$15,MATCH(C60,$A$3:$A$15,0),MATCH($A$54,$B$2:$G$2,0)),0)</f>
        <v>0</v>
      </c>
      <c r="G60" s="94" t="str">
        <f aca="false">IF(F60-E60&gt;0,"Revisar","Bien")</f>
        <v>Bien</v>
      </c>
      <c r="H60" s="66"/>
    </row>
    <row r="61" customFormat="false" ht="13.8" hidden="false" customHeight="false" outlineLevel="0" collapsed="false">
      <c r="C61" s="66"/>
      <c r="D61" s="67"/>
      <c r="E61" s="101" t="n">
        <f aca="false">SUM(E56:E57)</f>
        <v>4160</v>
      </c>
      <c r="F61" s="96" t="n">
        <f aca="false">SUM(F56:F60)</f>
        <v>6860</v>
      </c>
      <c r="G61" s="66"/>
      <c r="H61" s="66"/>
    </row>
    <row r="62" customFormat="false" ht="13.8" hidden="false" customHeight="false" outlineLevel="0" collapsed="false">
      <c r="A62" s="65" t="s">
        <v>19</v>
      </c>
      <c r="B62" s="65"/>
      <c r="C62" s="65"/>
      <c r="D62" s="65"/>
      <c r="E62" s="65"/>
      <c r="F62" s="65"/>
      <c r="G62" s="65"/>
      <c r="H62" s="66"/>
    </row>
    <row r="63" customFormat="false" ht="13.8" hidden="false" customHeight="false" outlineLevel="0" collapsed="false">
      <c r="C63" s="66" t="s">
        <v>35</v>
      </c>
      <c r="D63" s="67" t="s">
        <v>56</v>
      </c>
      <c r="E63" s="66" t="s">
        <v>38</v>
      </c>
      <c r="F63" s="83" t="s">
        <v>39</v>
      </c>
      <c r="G63" s="66"/>
      <c r="H63" s="66"/>
    </row>
    <row r="64" customFormat="false" ht="13.8" hidden="false" customHeight="false" outlineLevel="0" collapsed="false">
      <c r="A64" s="69" t="n">
        <v>109</v>
      </c>
      <c r="B64" s="70" t="s">
        <v>40</v>
      </c>
      <c r="C64" s="71" t="s">
        <v>24</v>
      </c>
      <c r="D64" s="103"/>
      <c r="E64" s="104"/>
      <c r="F64" s="74" t="n">
        <f aca="false">IFERROR(INDEX($B$3:$G$15,MATCH(C64,$A$3:$A$15,0),MATCH($A$62,$B$2:$G$2,0)),0)</f>
        <v>0</v>
      </c>
      <c r="G64" s="75" t="str">
        <f aca="false">IF(F64-E64&gt;0,"Revisar","Bien")</f>
        <v>Bien</v>
      </c>
      <c r="H64" s="66"/>
    </row>
    <row r="65" customFormat="false" ht="13.8" hidden="false" customHeight="false" outlineLevel="0" collapsed="false">
      <c r="A65" s="76" t="n">
        <v>333</v>
      </c>
      <c r="B65" s="77" t="s">
        <v>41</v>
      </c>
      <c r="C65" s="77" t="s">
        <v>18</v>
      </c>
      <c r="D65" s="86" t="n">
        <v>14</v>
      </c>
      <c r="E65" s="77" t="n">
        <v>5360</v>
      </c>
      <c r="F65" s="79" t="n">
        <f aca="false">IFERROR(INDEX($B$3:$G$15,MATCH(C65,$A$3:$A$15,0),MATCH($A$62,$B$2:$G$2,0)),0)</f>
        <v>5360</v>
      </c>
      <c r="G65" s="98" t="str">
        <f aca="false">IF(F65-E65&gt;0,"Revisar","Bien")</f>
        <v>Bien</v>
      </c>
      <c r="H65" s="66"/>
    </row>
    <row r="66" customFormat="false" ht="14.45" hidden="false" customHeight="false" outlineLevel="0" collapsed="false">
      <c r="A66" s="105"/>
      <c r="B66" s="0" t="s">
        <v>59</v>
      </c>
      <c r="C66" s="82" t="s">
        <v>60</v>
      </c>
      <c r="D66" s="0"/>
      <c r="F66" s="79" t="n">
        <f aca="false">IFERROR(INDEX($B$3:$G$15,MATCH(C66,$A$3:$A$15,0),MATCH($A$62,$B$2:$G$2,0)),0)</f>
        <v>0</v>
      </c>
      <c r="G66" s="80" t="str">
        <f aca="false">IF(F66-E66&gt;0,"Revisar","Bien")</f>
        <v>Bien</v>
      </c>
      <c r="H66" s="66"/>
    </row>
    <row r="67" customFormat="false" ht="13.8" hidden="false" customHeight="false" outlineLevel="0" collapsed="false">
      <c r="A67" s="76" t="n">
        <v>316</v>
      </c>
      <c r="B67" s="0" t="s">
        <v>46</v>
      </c>
      <c r="C67" s="66" t="s">
        <v>23</v>
      </c>
      <c r="D67" s="0"/>
      <c r="F67" s="79" t="n">
        <f aca="false">IFERROR(INDEX($B$3:$G$15,MATCH(C67,$A$3:$A$15,0),MATCH($A$62,$B$2:$G$2,0)),0)</f>
        <v>0</v>
      </c>
      <c r="G67" s="98" t="str">
        <f aca="false">IF(F67-E67&gt;0,"Revisar","Bien")</f>
        <v>Bien</v>
      </c>
      <c r="H67" s="66"/>
    </row>
    <row r="68" customFormat="false" ht="13.8" hidden="false" customHeight="false" outlineLevel="0" collapsed="false">
      <c r="A68" s="76" t="n">
        <v>309</v>
      </c>
      <c r="B68" s="0" t="s">
        <v>50</v>
      </c>
      <c r="C68" s="66" t="s">
        <v>10</v>
      </c>
      <c r="D68" s="67"/>
      <c r="E68" s="66"/>
      <c r="F68" s="79" t="n">
        <f aca="false">IFERROR(INDEX($B$3:$G$15,MATCH(C68,$A$3:$A$15,0),MATCH($A$62,$B$2:$G$2,0)),0)</f>
        <v>0</v>
      </c>
      <c r="G68" s="98" t="str">
        <f aca="false">IF(F68-E68&gt;0,"Revisar","Bien")</f>
        <v>Bien</v>
      </c>
      <c r="H68" s="66"/>
    </row>
    <row r="69" customFormat="false" ht="13.8" hidden="false" customHeight="false" outlineLevel="0" collapsed="false">
      <c r="A69" s="88" t="n">
        <v>296</v>
      </c>
      <c r="B69" s="91" t="s">
        <v>57</v>
      </c>
      <c r="C69" s="91" t="s">
        <v>25</v>
      </c>
      <c r="D69" s="90"/>
      <c r="E69" s="91"/>
      <c r="F69" s="93" t="n">
        <f aca="false">IFERROR(INDEX($B$3:$G$15,MATCH(C69,$A$3:$A$15,0),MATCH($A$62,$B$2:$G$2,0)),0)</f>
        <v>0</v>
      </c>
      <c r="G69" s="94" t="str">
        <f aca="false">IF(F69-E69&gt;0,"Revisar","Bien")</f>
        <v>Bien</v>
      </c>
      <c r="H69" s="66"/>
    </row>
    <row r="70" customFormat="false" ht="13.8" hidden="false" customHeight="false" outlineLevel="0" collapsed="false">
      <c r="C70" s="66"/>
      <c r="D70" s="67"/>
      <c r="E70" s="101" t="n">
        <f aca="false">SUM(E64:E69)</f>
        <v>5360</v>
      </c>
      <c r="F70" s="96" t="n">
        <f aca="false">SUM(F64:F69)</f>
        <v>5360</v>
      </c>
      <c r="G70" s="66"/>
      <c r="H70" s="66"/>
    </row>
    <row r="71" customFormat="false" ht="13.8" hidden="false" customHeight="false" outlineLevel="0" collapsed="false">
      <c r="A71" s="65" t="s">
        <v>31</v>
      </c>
      <c r="B71" s="65"/>
      <c r="C71" s="65"/>
      <c r="D71" s="65"/>
      <c r="E71" s="65"/>
      <c r="F71" s="65"/>
      <c r="G71" s="65"/>
      <c r="H71" s="66"/>
    </row>
    <row r="72" customFormat="false" ht="13.8" hidden="false" customHeight="false" outlineLevel="0" collapsed="false">
      <c r="C72" s="66" t="s">
        <v>35</v>
      </c>
      <c r="D72" s="67" t="s">
        <v>56</v>
      </c>
      <c r="E72" s="66" t="s">
        <v>38</v>
      </c>
      <c r="F72" s="83" t="s">
        <v>39</v>
      </c>
      <c r="G72" s="66"/>
      <c r="H72" s="66"/>
    </row>
    <row r="73" customFormat="false" ht="13.8" hidden="false" customHeight="false" outlineLevel="0" collapsed="false">
      <c r="A73" s="69" t="n">
        <v>109</v>
      </c>
      <c r="B73" s="70" t="s">
        <v>40</v>
      </c>
      <c r="C73" s="71" t="s">
        <v>24</v>
      </c>
      <c r="D73" s="72" t="n">
        <v>12</v>
      </c>
      <c r="E73" s="102" t="n">
        <v>133060</v>
      </c>
      <c r="F73" s="74" t="n">
        <f aca="false">IFERROR(INDEX($B$3:$G$15,MATCH(C73,$A$3:$A$15,0),MATCH($A$71,$B$2:$G$2,0)),0)</f>
        <v>133060</v>
      </c>
      <c r="G73" s="75" t="str">
        <f aca="false">IF(F73-E73&gt;0,"Revisar","Bien")</f>
        <v>Bien</v>
      </c>
      <c r="H73" s="66"/>
    </row>
    <row r="74" customFormat="false" ht="13.8" hidden="false" customHeight="false" outlineLevel="0" collapsed="false">
      <c r="A74" s="76" t="n">
        <v>309</v>
      </c>
      <c r="B74" s="0" t="s">
        <v>50</v>
      </c>
      <c r="C74" s="66" t="s">
        <v>10</v>
      </c>
      <c r="D74" s="67"/>
      <c r="E74" s="83"/>
      <c r="F74" s="79" t="n">
        <f aca="false">IFERROR(INDEX($B$3:$G$15,MATCH(C74,$A$3:$A$15,0),MATCH($A$71,$B$2:$G$2,0)),0)</f>
        <v>0</v>
      </c>
      <c r="G74" s="98" t="str">
        <f aca="false">IF(F74-E74&gt;0,"Revisar","Bien")</f>
        <v>Bien</v>
      </c>
      <c r="H74" s="66"/>
    </row>
    <row r="75" customFormat="false" ht="13.8" hidden="false" customHeight="false" outlineLevel="0" collapsed="false">
      <c r="A75" s="88" t="n">
        <v>296</v>
      </c>
      <c r="B75" s="91" t="s">
        <v>57</v>
      </c>
      <c r="C75" s="91" t="s">
        <v>25</v>
      </c>
      <c r="D75" s="90"/>
      <c r="E75" s="92"/>
      <c r="F75" s="93" t="n">
        <f aca="false">IFERROR(INDEX($B$3:$G$15,MATCH(C75,$A$3:$A$15,0),MATCH($A$71,$B$2:$G$2,0)),0)</f>
        <v>0</v>
      </c>
      <c r="G75" s="94" t="str">
        <f aca="false">IF(F75-E75&gt;0,"Revisar","Bien")</f>
        <v>Bien</v>
      </c>
      <c r="H75" s="66"/>
    </row>
    <row r="76" customFormat="false" ht="13.8" hidden="false" customHeight="false" outlineLevel="0" collapsed="false">
      <c r="C76" s="66"/>
      <c r="D76" s="67"/>
      <c r="E76" s="101" t="n">
        <f aca="false">SUM(E73:E75)</f>
        <v>133060</v>
      </c>
      <c r="F76" s="96" t="n">
        <f aca="false">SUM(F73:F73)</f>
        <v>133060</v>
      </c>
      <c r="G76" s="66"/>
      <c r="H76" s="66"/>
    </row>
  </sheetData>
  <mergeCells count="6">
    <mergeCell ref="A23:H23"/>
    <mergeCell ref="A36:H36"/>
    <mergeCell ref="A46:H46"/>
    <mergeCell ref="A54:G54"/>
    <mergeCell ref="A62:G62"/>
    <mergeCell ref="A71:G7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LibreOffice/5.4.7.2$Windows_X86_64 LibreOffice_project/c838ef25c16710f8838b1faec480ebba495259d0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2020-11-03T09:26:13Z</dcterms:created>
  <dc:creator>usuario</dc:creator>
  <dc:description/>
  <dc:language>es-ES</dc:language>
  <cp:lastModifiedBy>JORGE AZUARA ROCA</cp:lastModifiedBy>
  <dcterms:modified xsi:type="dcterms:W3CDTF">2020-11-09T10:09:10Z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