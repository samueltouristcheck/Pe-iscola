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Hoja1!$A$1:$K$199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<sst xmlns="http://schemas.openxmlformats.org/spreadsheetml/2006/main" count="992" uniqueCount="70">
  <si>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</si>
  <si>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</si>
  <si>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</si>
  <si>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</si>
  <si>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</si>
  <si>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</si>
  <si>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</si>
  <si>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</si>
  <si>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</si>
  <si>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</si>
  <si>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1821KBZ</t>
  </si>
  <si>
    <t xml:space="preserve">PEÑISCOLA</t>
  </si>
  <si>
    <t xml:space="preserve">RSU</t>
  </si>
  <si>
    <t xml:space="preserve">x</t>
  </si>
  <si>
    <t xml:space="preserve">7542KBV</t>
  </si>
  <si>
    <t xml:space="preserve">7809JZX</t>
  </si>
  <si>
    <t xml:space="preserve">1076KSZ</t>
  </si>
  <si>
    <t xml:space="preserve">PODA</t>
  </si>
  <si>
    <t xml:space="preserve">7957JZS</t>
  </si>
  <si>
    <t xml:space="preserve">VOL</t>
  </si>
  <si>
    <t xml:space="preserve">COLCHONES</t>
  </si>
  <si>
    <t xml:space="preserve">1730KBZ</t>
  </si>
  <si>
    <t xml:space="preserve">5313GBZ</t>
  </si>
  <si>
    <t xml:space="preserve">318 Avería</t>
  </si>
  <si>
    <t xml:space="preserve">SEL.ENV</t>
  </si>
  <si>
    <t xml:space="preserve">0315BGK</t>
  </si>
  <si>
    <t xml:space="preserve">SEL.PAP</t>
  </si>
  <si>
    <t xml:space="preserve">Colchones</t>
  </si>
  <si>
    <t xml:space="preserve">3686KBG</t>
  </si>
  <si>
    <t xml:space="preserve">Colchones </t>
  </si>
  <si>
    <t xml:space="preserve">X</t>
  </si>
  <si>
    <t xml:space="preserve">BARREDURÍA </t>
  </si>
  <si>
    <t xml:space="preserve">6120JZX</t>
  </si>
  <si>
    <t xml:space="preserve">- todo -</t>
  </si>
  <si>
    <t xml:space="preserve">Suma - Carga</t>
  </si>
  <si>
    <t xml:space="preserve">Datos</t>
  </si>
  <si>
    <t xml:space="preserve">Total Resultado</t>
  </si>
  <si>
    <t xml:space="preserve">LIMP. PLAYA</t>
  </si>
  <si>
    <t xml:space="preserve">VOLUMINOSOS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</si>
  <si>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</si>
  <si>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</si>
  <si>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</si>
  <si>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</si>
  <si>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</si>
  <si>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</si>
  <si>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</si>
  <si>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</si>
  <si>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</si>
  <si>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</si>
  <si>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</si>
  <si>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</si>
  <si>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</si>
  <si>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</si>
  <si>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Día/ Noche</t>
  </si>
  <si>
    <t xml:space="preserve">Recolector 22 _ 1</t>
  </si>
  <si>
    <t xml:space="preserve">Noche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</si>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</sst>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7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0"/>
      <charset val="1"/>
    </font>
    <font>
      <b val="true"/>
      <sz val="11"/>
      <name val="Calibri"/>
      <family val="2"/>
      <charset val="1"/>
    </font>
    <font>
      <sz val="11"/>
      <color rgb="FF000000"/>
      <name val="Frutiger 45 Light"/>
      <family val="2"/>
      <charset val="1"/>
    </font>
    <font>
      <b val="true"/>
      <sz val="11"/>
      <color rgb="FFCE181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CD3C1"/>
      </patternFill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7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2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7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2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3" borderId="2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6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4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6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8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3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4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4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4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5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3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3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8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39" xfId="2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4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3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8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2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5" borderId="4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4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4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4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4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5" borderId="8" xfId="2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dxfs count="12">
    <dxf>
      <font>
        <name val="Calibri"/>
        <charset val="1"/>
        <family val="2"/>
        <b val="1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b val="1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b val="0"/>
        <i val="0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CCC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/>
      <c r="L1" s="5"/>
    </row>
    <row r="2" customFormat="false" ht="13.8" hidden="false" customHeight="false" outlineLevel="0" collapsed="false">
      <c r="A2" s="6" t="n">
        <v>44470</v>
      </c>
      <c r="B2" s="7" t="n">
        <v>0.19375</v>
      </c>
      <c r="C2" s="8" t="n">
        <v>144768</v>
      </c>
      <c r="D2" s="8" t="s">
        <v>10</v>
      </c>
      <c r="E2" s="8" t="n">
        <v>26940</v>
      </c>
      <c r="F2" s="8" t="n">
        <v>16040</v>
      </c>
      <c r="G2" s="9" t="n">
        <v>10900</v>
      </c>
      <c r="H2" s="8" t="s">
        <v>11</v>
      </c>
      <c r="I2" s="8" t="s">
        <v>12</v>
      </c>
      <c r="J2" s="8" t="s">
        <v>13</v>
      </c>
      <c r="K2" s="5"/>
      <c r="L2" s="5"/>
    </row>
    <row r="3" customFormat="false" ht="13.8" hidden="false" customHeight="false" outlineLevel="0" collapsed="false">
      <c r="A3" s="6" t="n">
        <v>44470</v>
      </c>
      <c r="B3" s="7" t="n">
        <v>0.313194444444444</v>
      </c>
      <c r="C3" s="8" t="n">
        <v>144780</v>
      </c>
      <c r="D3" s="8" t="s">
        <v>14</v>
      </c>
      <c r="E3" s="8" t="n">
        <v>17340</v>
      </c>
      <c r="F3" s="8" t="n">
        <v>12720</v>
      </c>
      <c r="G3" s="9" t="n">
        <v>4620</v>
      </c>
      <c r="H3" s="8" t="s">
        <v>11</v>
      </c>
      <c r="I3" s="8" t="s">
        <v>12</v>
      </c>
      <c r="J3" s="8" t="s">
        <v>13</v>
      </c>
      <c r="K3" s="5"/>
      <c r="L3" s="5"/>
    </row>
    <row r="4" customFormat="false" ht="13.8" hidden="false" customHeight="false" outlineLevel="0" collapsed="false">
      <c r="A4" s="6" t="n">
        <v>44470</v>
      </c>
      <c r="B4" s="7" t="n">
        <v>0.09375</v>
      </c>
      <c r="C4" s="8" t="n">
        <v>144761</v>
      </c>
      <c r="D4" s="8" t="s">
        <v>14</v>
      </c>
      <c r="E4" s="8" t="n">
        <v>21000</v>
      </c>
      <c r="F4" s="8" t="n">
        <v>12980</v>
      </c>
      <c r="G4" s="9" t="n">
        <v>8020</v>
      </c>
      <c r="H4" s="8" t="s">
        <v>11</v>
      </c>
      <c r="I4" s="8" t="s">
        <v>12</v>
      </c>
      <c r="J4" s="8" t="s">
        <v>13</v>
      </c>
      <c r="K4" s="5"/>
      <c r="L4" s="5"/>
    </row>
    <row r="5" customFormat="false" ht="13.8" hidden="false" customHeight="false" outlineLevel="0" collapsed="false">
      <c r="A5" s="6" t="n">
        <v>44470</v>
      </c>
      <c r="B5" s="7" t="n">
        <v>0.256944444444444</v>
      </c>
      <c r="C5" s="8" t="n">
        <v>144773</v>
      </c>
      <c r="D5" s="8" t="s">
        <v>15</v>
      </c>
      <c r="E5" s="8" t="n">
        <v>4380</v>
      </c>
      <c r="F5" s="8" t="n">
        <v>3580</v>
      </c>
      <c r="G5" s="9" t="n">
        <v>800</v>
      </c>
      <c r="H5" s="8" t="s">
        <v>11</v>
      </c>
      <c r="I5" s="8" t="s">
        <v>12</v>
      </c>
      <c r="J5" s="8" t="s">
        <v>13</v>
      </c>
      <c r="K5" s="5"/>
      <c r="L5" s="5"/>
    </row>
    <row r="6" customFormat="false" ht="13.8" hidden="false" customHeight="false" outlineLevel="0" collapsed="false">
      <c r="A6" s="6" t="n">
        <v>44470</v>
      </c>
      <c r="B6" s="7" t="n">
        <v>0.520833333333333</v>
      </c>
      <c r="C6" s="8" t="n">
        <v>144797</v>
      </c>
      <c r="D6" s="8" t="s">
        <v>10</v>
      </c>
      <c r="E6" s="8" t="n">
        <v>20800</v>
      </c>
      <c r="F6" s="8" t="n">
        <v>16180</v>
      </c>
      <c r="G6" s="9" t="n">
        <v>4620</v>
      </c>
      <c r="H6" s="8" t="s">
        <v>11</v>
      </c>
      <c r="I6" s="8" t="s">
        <v>12</v>
      </c>
      <c r="J6" s="8" t="s">
        <v>13</v>
      </c>
      <c r="K6" s="5"/>
      <c r="L6" s="5"/>
    </row>
    <row r="7" customFormat="false" ht="13.8" hidden="false" customHeight="false" outlineLevel="0" collapsed="false">
      <c r="A7" s="6" t="n">
        <v>44470</v>
      </c>
      <c r="B7" s="7" t="n">
        <v>0.54375</v>
      </c>
      <c r="C7" s="8" t="n">
        <v>126576</v>
      </c>
      <c r="D7" s="8" t="s">
        <v>16</v>
      </c>
      <c r="E7" s="8" t="n">
        <v>3320</v>
      </c>
      <c r="F7" s="8" t="n">
        <v>2840</v>
      </c>
      <c r="G7" s="9" t="n">
        <v>480</v>
      </c>
      <c r="H7" s="8" t="s">
        <v>11</v>
      </c>
      <c r="I7" s="8" t="s">
        <v>17</v>
      </c>
      <c r="J7" s="8" t="s">
        <v>13</v>
      </c>
      <c r="K7" s="5"/>
      <c r="L7" s="5"/>
    </row>
    <row r="8" customFormat="false" ht="13.8" hidden="false" customHeight="false" outlineLevel="0" collapsed="false">
      <c r="A8" s="6" t="n">
        <v>44470</v>
      </c>
      <c r="B8" s="7" t="n">
        <v>0.474305555555556</v>
      </c>
      <c r="C8" s="8" t="n">
        <v>126556</v>
      </c>
      <c r="D8" s="8" t="s">
        <v>16</v>
      </c>
      <c r="E8" s="8" t="n">
        <v>3300</v>
      </c>
      <c r="F8" s="8" t="n">
        <v>2720</v>
      </c>
      <c r="G8" s="9" t="n">
        <v>580</v>
      </c>
      <c r="H8" s="8" t="s">
        <v>11</v>
      </c>
      <c r="I8" s="8" t="s">
        <v>17</v>
      </c>
      <c r="J8" s="8" t="s">
        <v>13</v>
      </c>
      <c r="K8" s="5"/>
      <c r="L8" s="5"/>
    </row>
    <row r="9" customFormat="false" ht="13.8" hidden="false" customHeight="false" outlineLevel="0" collapsed="false">
      <c r="A9" s="6" t="n">
        <v>44470</v>
      </c>
      <c r="B9" s="7" t="n">
        <v>0.3375</v>
      </c>
      <c r="C9" s="8" t="n">
        <v>126529</v>
      </c>
      <c r="D9" s="8" t="s">
        <v>18</v>
      </c>
      <c r="E9" s="8" t="n">
        <v>6700</v>
      </c>
      <c r="F9" s="8" t="n">
        <v>6640</v>
      </c>
      <c r="G9" s="9" t="n">
        <v>60</v>
      </c>
      <c r="H9" s="8" t="s">
        <v>11</v>
      </c>
      <c r="I9" s="8" t="s">
        <v>19</v>
      </c>
      <c r="J9" s="8" t="s">
        <v>13</v>
      </c>
      <c r="K9" s="5" t="s">
        <v>20</v>
      </c>
      <c r="L9" s="5"/>
    </row>
    <row r="10" customFormat="false" ht="13.8" hidden="false" customHeight="false" outlineLevel="0" collapsed="false">
      <c r="A10" s="6" t="n">
        <v>44470</v>
      </c>
      <c r="B10" s="7" t="n">
        <v>0.336111111111111</v>
      </c>
      <c r="C10" s="8" t="n">
        <v>126528</v>
      </c>
      <c r="D10" s="8" t="s">
        <v>18</v>
      </c>
      <c r="E10" s="8" t="n">
        <v>6640</v>
      </c>
      <c r="F10" s="8" t="n">
        <v>5620</v>
      </c>
      <c r="G10" s="9" t="n">
        <v>1020</v>
      </c>
      <c r="H10" s="8" t="s">
        <v>11</v>
      </c>
      <c r="I10" s="8" t="s">
        <v>19</v>
      </c>
      <c r="J10" s="8" t="s">
        <v>13</v>
      </c>
      <c r="K10" s="5"/>
      <c r="L10" s="5"/>
    </row>
    <row r="11" customFormat="false" ht="13.8" hidden="false" customHeight="false" outlineLevel="0" collapsed="false">
      <c r="A11" s="6" t="n">
        <v>44471</v>
      </c>
      <c r="B11" s="7" t="n">
        <v>0.252777777777778</v>
      </c>
      <c r="C11" s="8" t="n">
        <v>144815</v>
      </c>
      <c r="D11" s="8" t="s">
        <v>21</v>
      </c>
      <c r="E11" s="8" t="n">
        <v>17560</v>
      </c>
      <c r="F11" s="8" t="n">
        <v>15800</v>
      </c>
      <c r="G11" s="9" t="n">
        <v>1760</v>
      </c>
      <c r="H11" s="8" t="s">
        <v>11</v>
      </c>
      <c r="I11" s="8" t="s">
        <v>12</v>
      </c>
      <c r="J11" s="8" t="s">
        <v>13</v>
      </c>
      <c r="K11" s="5"/>
      <c r="L11" s="5"/>
    </row>
    <row r="12" customFormat="false" ht="13.8" hidden="false" customHeight="false" outlineLevel="0" collapsed="false">
      <c r="A12" s="6" t="n">
        <v>44471</v>
      </c>
      <c r="B12" s="7" t="n">
        <v>0.190277777777778</v>
      </c>
      <c r="C12" s="8" t="n">
        <v>144809</v>
      </c>
      <c r="D12" s="8" t="s">
        <v>21</v>
      </c>
      <c r="E12" s="8" t="n">
        <v>27120</v>
      </c>
      <c r="F12" s="8" t="n">
        <v>15800</v>
      </c>
      <c r="G12" s="9" t="n">
        <v>11320</v>
      </c>
      <c r="H12" s="8" t="s">
        <v>11</v>
      </c>
      <c r="I12" s="8" t="s">
        <v>12</v>
      </c>
      <c r="J12" s="8" t="s">
        <v>13</v>
      </c>
      <c r="K12" s="5"/>
      <c r="L12" s="5"/>
    </row>
    <row r="13" customFormat="false" ht="13.8" hidden="false" customHeight="false" outlineLevel="0" collapsed="false">
      <c r="A13" s="6" t="n">
        <v>44471</v>
      </c>
      <c r="B13" s="7" t="n">
        <v>0.226388888888889</v>
      </c>
      <c r="C13" s="8" t="n">
        <v>144813</v>
      </c>
      <c r="D13" s="8" t="s">
        <v>15</v>
      </c>
      <c r="E13" s="8" t="n">
        <v>4440</v>
      </c>
      <c r="F13" s="8" t="n">
        <v>3580</v>
      </c>
      <c r="G13" s="9" t="n">
        <v>860</v>
      </c>
      <c r="H13" s="8" t="s">
        <v>11</v>
      </c>
      <c r="I13" s="8" t="s">
        <v>12</v>
      </c>
      <c r="J13" s="8" t="s">
        <v>13</v>
      </c>
      <c r="K13" s="5"/>
      <c r="L13" s="5"/>
    </row>
    <row r="14" customFormat="false" ht="13.8" hidden="false" customHeight="false" outlineLevel="0" collapsed="false">
      <c r="A14" s="6" t="n">
        <v>44471</v>
      </c>
      <c r="B14" s="7" t="n">
        <v>0.0847222222222222</v>
      </c>
      <c r="C14" s="8" t="n">
        <v>144801</v>
      </c>
      <c r="D14" s="8" t="s">
        <v>22</v>
      </c>
      <c r="E14" s="8" t="n">
        <v>20540</v>
      </c>
      <c r="F14" s="8" t="n">
        <v>12760</v>
      </c>
      <c r="G14" s="9" t="n">
        <v>7780</v>
      </c>
      <c r="H14" s="8" t="s">
        <v>11</v>
      </c>
      <c r="I14" s="8" t="s">
        <v>12</v>
      </c>
      <c r="J14" s="8" t="s">
        <v>13</v>
      </c>
      <c r="K14" s="5" t="s">
        <v>23</v>
      </c>
      <c r="L14" s="5"/>
    </row>
    <row r="15" customFormat="false" ht="13.8" hidden="false" customHeight="false" outlineLevel="0" collapsed="false">
      <c r="A15" s="6" t="n">
        <v>44471</v>
      </c>
      <c r="B15" s="7" t="n">
        <v>0.251388888888889</v>
      </c>
      <c r="C15" s="8" t="n">
        <v>144814</v>
      </c>
      <c r="D15" s="8" t="s">
        <v>22</v>
      </c>
      <c r="E15" s="8" t="n">
        <v>16820</v>
      </c>
      <c r="F15" s="8" t="n">
        <v>12700</v>
      </c>
      <c r="G15" s="9" t="n">
        <v>4120</v>
      </c>
      <c r="H15" s="8" t="s">
        <v>11</v>
      </c>
      <c r="I15" s="8" t="s">
        <v>12</v>
      </c>
      <c r="J15" s="8" t="s">
        <v>13</v>
      </c>
      <c r="K15" s="5" t="s">
        <v>23</v>
      </c>
      <c r="L15" s="5"/>
    </row>
    <row r="16" customFormat="false" ht="13.8" hidden="false" customHeight="false" outlineLevel="0" collapsed="false">
      <c r="A16" s="6" t="n">
        <v>44472</v>
      </c>
      <c r="B16" s="7" t="n">
        <v>0.163888888888889</v>
      </c>
      <c r="C16" s="8" t="n">
        <v>144828</v>
      </c>
      <c r="D16" s="8" t="s">
        <v>21</v>
      </c>
      <c r="E16" s="8" t="n">
        <v>25100</v>
      </c>
      <c r="F16" s="8" t="n">
        <v>15740</v>
      </c>
      <c r="G16" s="9" t="n">
        <v>9360</v>
      </c>
      <c r="H16" s="8" t="s">
        <v>11</v>
      </c>
      <c r="I16" s="8" t="s">
        <v>12</v>
      </c>
      <c r="J16" s="8" t="s">
        <v>13</v>
      </c>
      <c r="K16" s="5"/>
      <c r="L16" s="5"/>
    </row>
    <row r="17" customFormat="false" ht="13.8" hidden="false" customHeight="false" outlineLevel="0" collapsed="false">
      <c r="A17" s="6" t="n">
        <v>44472</v>
      </c>
      <c r="B17" s="7" t="n">
        <v>0.261805555555556</v>
      </c>
      <c r="C17" s="8" t="n">
        <v>144833</v>
      </c>
      <c r="D17" s="8" t="s">
        <v>21</v>
      </c>
      <c r="E17" s="8" t="n">
        <v>20680</v>
      </c>
      <c r="F17" s="8" t="n">
        <v>15720</v>
      </c>
      <c r="G17" s="9" t="n">
        <v>4960</v>
      </c>
      <c r="H17" s="8" t="s">
        <v>11</v>
      </c>
      <c r="I17" s="8" t="s">
        <v>12</v>
      </c>
      <c r="J17" s="8" t="s">
        <v>13</v>
      </c>
      <c r="K17" s="5"/>
      <c r="L17" s="5"/>
    </row>
    <row r="18" customFormat="false" ht="13.8" hidden="false" customHeight="false" outlineLevel="0" collapsed="false">
      <c r="A18" s="6" t="n">
        <v>44472</v>
      </c>
      <c r="B18" s="7" t="n">
        <v>0.511111111111111</v>
      </c>
      <c r="C18" s="8" t="n">
        <v>144837</v>
      </c>
      <c r="D18" s="8" t="s">
        <v>14</v>
      </c>
      <c r="E18" s="8" t="n">
        <v>20920</v>
      </c>
      <c r="F18" s="8" t="n">
        <v>12760</v>
      </c>
      <c r="G18" s="9" t="n">
        <v>8160</v>
      </c>
      <c r="H18" s="8" t="s">
        <v>11</v>
      </c>
      <c r="I18" s="8" t="s">
        <v>12</v>
      </c>
      <c r="J18" s="8" t="s">
        <v>13</v>
      </c>
      <c r="K18" s="5"/>
      <c r="L18" s="5"/>
    </row>
    <row r="19" customFormat="false" ht="13.8" hidden="false" customHeight="false" outlineLevel="0" collapsed="false">
      <c r="A19" s="6" t="n">
        <v>44472</v>
      </c>
      <c r="B19" s="7" t="n">
        <v>0.08125</v>
      </c>
      <c r="C19" s="8" t="n">
        <v>144823</v>
      </c>
      <c r="D19" s="8" t="s">
        <v>14</v>
      </c>
      <c r="E19" s="8" t="n">
        <v>19840</v>
      </c>
      <c r="F19" s="8" t="n">
        <v>13040</v>
      </c>
      <c r="G19" s="9" t="n">
        <v>6800</v>
      </c>
      <c r="H19" s="8" t="s">
        <v>11</v>
      </c>
      <c r="I19" s="8" t="s">
        <v>12</v>
      </c>
      <c r="J19" s="8" t="s">
        <v>13</v>
      </c>
      <c r="K19" s="5"/>
      <c r="L19" s="5"/>
    </row>
    <row r="20" customFormat="false" ht="13.8" hidden="false" customHeight="false" outlineLevel="0" collapsed="false">
      <c r="A20" s="6" t="n">
        <v>44472</v>
      </c>
      <c r="B20" s="7" t="n">
        <v>0.263194444444444</v>
      </c>
      <c r="C20" s="8" t="n">
        <v>144834</v>
      </c>
      <c r="D20" s="8" t="s">
        <v>15</v>
      </c>
      <c r="E20" s="8" t="n">
        <v>4860</v>
      </c>
      <c r="F20" s="8" t="n">
        <v>3780</v>
      </c>
      <c r="G20" s="9" t="n">
        <v>1080</v>
      </c>
      <c r="H20" s="8" t="s">
        <v>11</v>
      </c>
      <c r="I20" s="8" t="s">
        <v>12</v>
      </c>
      <c r="J20" s="8" t="s">
        <v>13</v>
      </c>
      <c r="K20" s="5"/>
      <c r="L20" s="5"/>
    </row>
    <row r="21" customFormat="false" ht="13.8" hidden="false" customHeight="false" outlineLevel="0" collapsed="false">
      <c r="A21" s="6" t="n">
        <v>44473</v>
      </c>
      <c r="B21" s="7" t="n">
        <v>0.208333333333333</v>
      </c>
      <c r="C21" s="8" t="n">
        <v>144847</v>
      </c>
      <c r="D21" s="8" t="s">
        <v>10</v>
      </c>
      <c r="E21" s="8" t="n">
        <v>27260</v>
      </c>
      <c r="F21" s="8" t="n">
        <v>16180</v>
      </c>
      <c r="G21" s="9" t="n">
        <v>11080</v>
      </c>
      <c r="H21" s="8" t="s">
        <v>11</v>
      </c>
      <c r="I21" s="8" t="s">
        <v>12</v>
      </c>
      <c r="J21" s="8" t="s">
        <v>13</v>
      </c>
      <c r="K21" s="5"/>
      <c r="L21" s="5"/>
    </row>
    <row r="22" customFormat="false" ht="13.8" hidden="false" customHeight="false" outlineLevel="0" collapsed="false">
      <c r="A22" s="6" t="n">
        <v>44473</v>
      </c>
      <c r="B22" s="7" t="n">
        <v>0.075</v>
      </c>
      <c r="C22" s="8" t="n">
        <v>144839</v>
      </c>
      <c r="D22" s="8" t="s">
        <v>14</v>
      </c>
      <c r="E22" s="8" t="n">
        <v>19540</v>
      </c>
      <c r="F22" s="8" t="n">
        <v>12860</v>
      </c>
      <c r="G22" s="9" t="n">
        <v>6680</v>
      </c>
      <c r="H22" s="8" t="s">
        <v>11</v>
      </c>
      <c r="I22" s="8" t="s">
        <v>12</v>
      </c>
      <c r="J22" s="8" t="s">
        <v>13</v>
      </c>
      <c r="K22" s="5"/>
      <c r="L22" s="5"/>
    </row>
    <row r="23" customFormat="false" ht="13.8" hidden="false" customHeight="false" outlineLevel="0" collapsed="false">
      <c r="A23" s="6" t="n">
        <v>44473</v>
      </c>
      <c r="B23" s="7" t="n">
        <v>0.198611111111111</v>
      </c>
      <c r="C23" s="8" t="n">
        <v>144846</v>
      </c>
      <c r="D23" s="8" t="s">
        <v>14</v>
      </c>
      <c r="E23" s="8" t="n">
        <v>18080</v>
      </c>
      <c r="F23" s="8" t="n">
        <v>12720</v>
      </c>
      <c r="G23" s="9" t="n">
        <v>5360</v>
      </c>
      <c r="H23" s="8" t="s">
        <v>11</v>
      </c>
      <c r="I23" s="8" t="s">
        <v>12</v>
      </c>
      <c r="J23" s="8" t="s">
        <v>13</v>
      </c>
      <c r="K23" s="5"/>
      <c r="L23" s="5"/>
    </row>
    <row r="24" customFormat="false" ht="13.8" hidden="false" customHeight="false" outlineLevel="0" collapsed="false">
      <c r="A24" s="6" t="n">
        <v>44473</v>
      </c>
      <c r="B24" s="7" t="n">
        <v>0.268055555555556</v>
      </c>
      <c r="C24" s="8" t="n">
        <v>144851</v>
      </c>
      <c r="D24" s="8" t="s">
        <v>15</v>
      </c>
      <c r="E24" s="8" t="n">
        <v>4720</v>
      </c>
      <c r="F24" s="8" t="n">
        <v>3780</v>
      </c>
      <c r="G24" s="9" t="n">
        <v>940</v>
      </c>
      <c r="H24" s="8" t="s">
        <v>11</v>
      </c>
      <c r="I24" s="8" t="s">
        <v>12</v>
      </c>
      <c r="J24" s="8" t="s">
        <v>13</v>
      </c>
      <c r="K24" s="5"/>
      <c r="L24" s="5"/>
    </row>
    <row r="25" customFormat="false" ht="13.8" hidden="false" customHeight="false" outlineLevel="0" collapsed="false">
      <c r="A25" s="6" t="n">
        <v>44473</v>
      </c>
      <c r="B25" s="7" t="n">
        <v>0.527777777777778</v>
      </c>
      <c r="C25" s="8" t="n">
        <v>2133</v>
      </c>
      <c r="D25" s="8" t="s">
        <v>21</v>
      </c>
      <c r="E25" s="8" t="n">
        <v>18500</v>
      </c>
      <c r="F25" s="8" t="n">
        <v>16000</v>
      </c>
      <c r="G25" s="9" t="n">
        <v>2500</v>
      </c>
      <c r="H25" s="8" t="s">
        <v>11</v>
      </c>
      <c r="I25" s="8" t="s">
        <v>24</v>
      </c>
      <c r="J25" s="8" t="s">
        <v>13</v>
      </c>
      <c r="K25" s="5"/>
      <c r="L25" s="5"/>
    </row>
    <row r="26" customFormat="false" ht="13.8" hidden="false" customHeight="false" outlineLevel="0" collapsed="false">
      <c r="A26" s="6" t="n">
        <v>44474</v>
      </c>
      <c r="B26" s="7" t="n">
        <v>0.119444444444444</v>
      </c>
      <c r="C26" s="8" t="n">
        <v>144873</v>
      </c>
      <c r="D26" s="8" t="s">
        <v>14</v>
      </c>
      <c r="E26" s="8" t="n">
        <v>20300</v>
      </c>
      <c r="F26" s="8" t="n">
        <v>12740</v>
      </c>
      <c r="G26" s="9" t="n">
        <v>7560</v>
      </c>
      <c r="H26" s="8" t="s">
        <v>11</v>
      </c>
      <c r="I26" s="8" t="s">
        <v>12</v>
      </c>
      <c r="J26" s="8" t="s">
        <v>13</v>
      </c>
      <c r="K26" s="5"/>
      <c r="L26" s="5"/>
    </row>
    <row r="27" customFormat="false" ht="13.8" hidden="false" customHeight="false" outlineLevel="0" collapsed="false">
      <c r="A27" s="6" t="n">
        <v>44474</v>
      </c>
      <c r="B27" s="7" t="n">
        <v>0.200694444444444</v>
      </c>
      <c r="C27" s="8" t="n">
        <v>144880</v>
      </c>
      <c r="D27" s="8" t="s">
        <v>14</v>
      </c>
      <c r="E27" s="8" t="n">
        <v>15240</v>
      </c>
      <c r="F27" s="8" t="n">
        <v>12680</v>
      </c>
      <c r="G27" s="9" t="n">
        <v>2560</v>
      </c>
      <c r="H27" s="8" t="s">
        <v>11</v>
      </c>
      <c r="I27" s="8" t="s">
        <v>12</v>
      </c>
      <c r="J27" s="8" t="s">
        <v>13</v>
      </c>
      <c r="K27" s="5"/>
      <c r="L27" s="5"/>
    </row>
    <row r="28" customFormat="false" ht="13.8" hidden="false" customHeight="false" outlineLevel="0" collapsed="false">
      <c r="A28" s="6" t="n">
        <v>44474</v>
      </c>
      <c r="B28" s="7" t="n">
        <v>0.257638888888889</v>
      </c>
      <c r="C28" s="8" t="n">
        <v>144884</v>
      </c>
      <c r="D28" s="8" t="s">
        <v>21</v>
      </c>
      <c r="E28" s="8" t="n">
        <v>18300</v>
      </c>
      <c r="F28" s="8" t="n">
        <v>15820</v>
      </c>
      <c r="G28" s="9" t="n">
        <v>2480</v>
      </c>
      <c r="H28" s="8" t="s">
        <v>11</v>
      </c>
      <c r="I28" s="8" t="s">
        <v>12</v>
      </c>
      <c r="J28" s="8" t="s">
        <v>13</v>
      </c>
      <c r="K28" s="5"/>
      <c r="L28" s="5"/>
    </row>
    <row r="29" customFormat="false" ht="13.8" hidden="false" customHeight="false" outlineLevel="0" collapsed="false">
      <c r="A29" s="6" t="n">
        <v>44474</v>
      </c>
      <c r="B29" s="7" t="n">
        <v>0.266666666666667</v>
      </c>
      <c r="C29" s="8" t="n">
        <v>144885</v>
      </c>
      <c r="D29" s="8" t="s">
        <v>15</v>
      </c>
      <c r="E29" s="8" t="n">
        <v>4440</v>
      </c>
      <c r="F29" s="8" t="n">
        <v>3800</v>
      </c>
      <c r="G29" s="9" t="n">
        <v>640</v>
      </c>
      <c r="H29" s="8" t="s">
        <v>11</v>
      </c>
      <c r="I29" s="8" t="s">
        <v>12</v>
      </c>
      <c r="J29" s="8" t="s">
        <v>13</v>
      </c>
      <c r="K29" s="5"/>
      <c r="L29" s="5"/>
    </row>
    <row r="30" customFormat="false" ht="13.8" hidden="false" customHeight="false" outlineLevel="0" collapsed="false">
      <c r="A30" s="6" t="n">
        <v>44474</v>
      </c>
      <c r="B30" s="7" t="n">
        <v>0.451388888888889</v>
      </c>
      <c r="C30" s="8" t="n">
        <v>126774</v>
      </c>
      <c r="D30" s="8" t="s">
        <v>25</v>
      </c>
      <c r="E30" s="8" t="n">
        <v>17900</v>
      </c>
      <c r="F30" s="8" t="n">
        <v>16120</v>
      </c>
      <c r="G30" s="9" t="n">
        <v>1780</v>
      </c>
      <c r="H30" s="8" t="s">
        <v>11</v>
      </c>
      <c r="I30" s="8" t="s">
        <v>19</v>
      </c>
      <c r="J30" s="8" t="s">
        <v>13</v>
      </c>
      <c r="K30" s="5"/>
      <c r="L30" s="5"/>
    </row>
    <row r="31" customFormat="false" ht="13.8" hidden="false" customHeight="false" outlineLevel="0" collapsed="false">
      <c r="A31" s="6" t="n">
        <v>44474</v>
      </c>
      <c r="B31" s="7" t="n">
        <v>0.473611111111111</v>
      </c>
      <c r="C31" s="8" t="n">
        <v>144896</v>
      </c>
      <c r="D31" s="8" t="s">
        <v>10</v>
      </c>
      <c r="E31" s="8" t="n">
        <v>26520</v>
      </c>
      <c r="F31" s="8" t="n">
        <v>16240</v>
      </c>
      <c r="G31" s="9" t="n">
        <v>10280</v>
      </c>
      <c r="H31" s="8" t="s">
        <v>11</v>
      </c>
      <c r="I31" s="8" t="s">
        <v>12</v>
      </c>
      <c r="J31" s="8" t="s">
        <v>13</v>
      </c>
      <c r="K31" s="5"/>
      <c r="L31" s="5"/>
    </row>
    <row r="32" customFormat="false" ht="13.8" hidden="false" customHeight="false" outlineLevel="0" collapsed="false">
      <c r="A32" s="6" t="n">
        <v>44475</v>
      </c>
      <c r="B32" s="7" t="n">
        <v>0.265972222222222</v>
      </c>
      <c r="C32" s="8" t="n">
        <v>144919</v>
      </c>
      <c r="D32" s="8" t="s">
        <v>15</v>
      </c>
      <c r="E32" s="8" t="n">
        <v>4400</v>
      </c>
      <c r="F32" s="8" t="n">
        <v>3800</v>
      </c>
      <c r="G32" s="9" t="n">
        <v>600</v>
      </c>
      <c r="H32" s="8" t="s">
        <v>11</v>
      </c>
      <c r="I32" s="8" t="s">
        <v>12</v>
      </c>
      <c r="J32" s="8" t="s">
        <v>13</v>
      </c>
      <c r="K32" s="5"/>
      <c r="L32" s="5"/>
    </row>
    <row r="33" customFormat="false" ht="13.8" hidden="false" customHeight="false" outlineLevel="0" collapsed="false">
      <c r="A33" s="6" t="n">
        <v>44475</v>
      </c>
      <c r="B33" s="7" t="n">
        <v>0.127083333333333</v>
      </c>
      <c r="C33" s="8" t="n">
        <v>144911</v>
      </c>
      <c r="D33" s="8" t="s">
        <v>14</v>
      </c>
      <c r="E33" s="8" t="n">
        <v>20820</v>
      </c>
      <c r="F33" s="8" t="n">
        <v>13020</v>
      </c>
      <c r="G33" s="9" t="n">
        <v>7800</v>
      </c>
      <c r="H33" s="8" t="s">
        <v>11</v>
      </c>
      <c r="I33" s="8" t="s">
        <v>12</v>
      </c>
      <c r="J33" s="8" t="s">
        <v>13</v>
      </c>
      <c r="K33" s="5"/>
      <c r="L33" s="5"/>
    </row>
    <row r="34" customFormat="false" ht="13.8" hidden="false" customHeight="false" outlineLevel="0" collapsed="false">
      <c r="A34" s="6" t="n">
        <v>44475</v>
      </c>
      <c r="B34" s="7" t="n">
        <v>0.205555555555556</v>
      </c>
      <c r="C34" s="8" t="n">
        <v>144916</v>
      </c>
      <c r="D34" s="8" t="s">
        <v>21</v>
      </c>
      <c r="E34" s="8" t="n">
        <v>26360</v>
      </c>
      <c r="F34" s="8" t="n">
        <v>15860</v>
      </c>
      <c r="G34" s="9" t="n">
        <v>10500</v>
      </c>
      <c r="H34" s="8" t="s">
        <v>11</v>
      </c>
      <c r="I34" s="8" t="s">
        <v>12</v>
      </c>
      <c r="J34" s="8" t="s">
        <v>13</v>
      </c>
      <c r="K34" s="5"/>
      <c r="L34" s="5"/>
    </row>
    <row r="35" customFormat="false" ht="13.8" hidden="false" customHeight="false" outlineLevel="0" collapsed="false">
      <c r="A35" s="6" t="n">
        <v>44473</v>
      </c>
      <c r="B35" s="7" t="n">
        <v>0.435416666666667</v>
      </c>
      <c r="C35" s="8" t="n">
        <v>126684</v>
      </c>
      <c r="D35" s="8" t="s">
        <v>18</v>
      </c>
      <c r="E35" s="8" t="n">
        <v>6240</v>
      </c>
      <c r="F35" s="8" t="n">
        <v>6180</v>
      </c>
      <c r="G35" s="9" t="n">
        <v>60</v>
      </c>
      <c r="H35" s="8" t="s">
        <v>11</v>
      </c>
      <c r="I35" s="8" t="s">
        <v>19</v>
      </c>
      <c r="J35" s="8" t="s">
        <v>13</v>
      </c>
      <c r="K35" s="5" t="s">
        <v>20</v>
      </c>
      <c r="L35" s="5"/>
    </row>
    <row r="36" customFormat="false" ht="13.8" hidden="false" customHeight="false" outlineLevel="0" collapsed="false">
      <c r="A36" s="6" t="n">
        <v>44473</v>
      </c>
      <c r="B36" s="7" t="n">
        <v>0.435416666666667</v>
      </c>
      <c r="C36" s="8" t="n">
        <v>126683</v>
      </c>
      <c r="D36" s="8" t="s">
        <v>18</v>
      </c>
      <c r="E36" s="8" t="n">
        <v>6180</v>
      </c>
      <c r="F36" s="8" t="n">
        <v>5600</v>
      </c>
      <c r="G36" s="9" t="n">
        <v>580</v>
      </c>
      <c r="H36" s="8" t="s">
        <v>11</v>
      </c>
      <c r="I36" s="8" t="s">
        <v>19</v>
      </c>
      <c r="J36" s="8" t="s">
        <v>13</v>
      </c>
      <c r="K36" s="5" t="s">
        <v>20</v>
      </c>
      <c r="L36" s="5"/>
    </row>
    <row r="37" customFormat="false" ht="13.8" hidden="false" customHeight="false" outlineLevel="0" collapsed="false">
      <c r="A37" s="6" t="n">
        <v>44473</v>
      </c>
      <c r="B37" s="7" t="n">
        <v>0.532638888888889</v>
      </c>
      <c r="C37" s="8" t="n">
        <v>126718</v>
      </c>
      <c r="D37" s="8" t="s">
        <v>18</v>
      </c>
      <c r="E37" s="8" t="n">
        <v>6260</v>
      </c>
      <c r="F37" s="8" t="n">
        <v>6220</v>
      </c>
      <c r="G37" s="9" t="n">
        <v>40</v>
      </c>
      <c r="H37" s="8" t="s">
        <v>11</v>
      </c>
      <c r="I37" s="8" t="s">
        <v>19</v>
      </c>
      <c r="J37" s="8" t="s">
        <v>13</v>
      </c>
      <c r="K37" s="5" t="s">
        <v>20</v>
      </c>
      <c r="L37" s="5"/>
    </row>
    <row r="38" customFormat="false" ht="13.8" hidden="false" customHeight="false" outlineLevel="0" collapsed="false">
      <c r="A38" s="6" t="n">
        <v>44473</v>
      </c>
      <c r="B38" s="7" t="n">
        <v>0.532638888888889</v>
      </c>
      <c r="C38" s="8" t="n">
        <v>126717</v>
      </c>
      <c r="D38" s="8" t="s">
        <v>18</v>
      </c>
      <c r="E38" s="8" t="n">
        <v>6220</v>
      </c>
      <c r="F38" s="8" t="n">
        <v>5600</v>
      </c>
      <c r="G38" s="9" t="n">
        <v>620</v>
      </c>
      <c r="H38" s="8" t="s">
        <v>11</v>
      </c>
      <c r="I38" s="8" t="s">
        <v>19</v>
      </c>
      <c r="J38" s="8" t="s">
        <v>13</v>
      </c>
      <c r="K38" s="5"/>
      <c r="L38" s="5"/>
    </row>
    <row r="39" customFormat="false" ht="13.8" hidden="false" customHeight="false" outlineLevel="0" collapsed="false">
      <c r="A39" s="6" t="n">
        <v>44475</v>
      </c>
      <c r="B39" s="7" t="n">
        <v>0.547916666666667</v>
      </c>
      <c r="C39" s="8" t="n">
        <v>126865</v>
      </c>
      <c r="D39" s="8" t="s">
        <v>16</v>
      </c>
      <c r="E39" s="8" t="n">
        <v>3180</v>
      </c>
      <c r="F39" s="8" t="n">
        <v>2820</v>
      </c>
      <c r="G39" s="9" t="n">
        <v>360</v>
      </c>
      <c r="H39" s="8" t="s">
        <v>11</v>
      </c>
      <c r="I39" s="8" t="s">
        <v>17</v>
      </c>
      <c r="J39" s="8" t="s">
        <v>13</v>
      </c>
      <c r="K39" s="5"/>
      <c r="L39" s="5"/>
    </row>
    <row r="40" customFormat="false" ht="13.8" hidden="false" customHeight="false" outlineLevel="0" collapsed="false">
      <c r="A40" s="6" t="n">
        <v>44475</v>
      </c>
      <c r="B40" s="7" t="n">
        <v>0.495138888888889</v>
      </c>
      <c r="C40" s="8" t="n">
        <v>126851</v>
      </c>
      <c r="D40" s="8" t="s">
        <v>25</v>
      </c>
      <c r="E40" s="8" t="n">
        <v>17120</v>
      </c>
      <c r="F40" s="8" t="n">
        <v>16020</v>
      </c>
      <c r="G40" s="9" t="n">
        <v>1100</v>
      </c>
      <c r="H40" s="8" t="s">
        <v>11</v>
      </c>
      <c r="I40" s="8" t="s">
        <v>26</v>
      </c>
      <c r="J40" s="8" t="s">
        <v>13</v>
      </c>
      <c r="K40" s="5"/>
      <c r="L40" s="5"/>
    </row>
    <row r="41" customFormat="false" ht="13.8" hidden="false" customHeight="false" outlineLevel="0" collapsed="false">
      <c r="A41" s="6" t="n">
        <v>44475</v>
      </c>
      <c r="B41" s="7" t="n">
        <v>0.452083333333333</v>
      </c>
      <c r="C41" s="8" t="n">
        <v>126843</v>
      </c>
      <c r="D41" s="8" t="s">
        <v>18</v>
      </c>
      <c r="E41" s="8" t="n">
        <v>6880</v>
      </c>
      <c r="F41" s="8" t="n">
        <v>6840</v>
      </c>
      <c r="G41" s="9" t="n">
        <v>40</v>
      </c>
      <c r="H41" s="8" t="s">
        <v>11</v>
      </c>
      <c r="I41" s="8" t="s">
        <v>19</v>
      </c>
      <c r="J41" s="8" t="s">
        <v>13</v>
      </c>
      <c r="K41" s="5" t="s">
        <v>20</v>
      </c>
      <c r="L41" s="5"/>
    </row>
    <row r="42" customFormat="false" ht="13.8" hidden="false" customHeight="false" outlineLevel="0" collapsed="false">
      <c r="A42" s="6" t="n">
        <v>44475</v>
      </c>
      <c r="B42" s="7" t="n">
        <v>0.450694444444444</v>
      </c>
      <c r="C42" s="8" t="n">
        <v>126842</v>
      </c>
      <c r="D42" s="8" t="s">
        <v>18</v>
      </c>
      <c r="E42" s="8" t="n">
        <v>6840</v>
      </c>
      <c r="F42" s="8" t="n">
        <v>5680</v>
      </c>
      <c r="G42" s="9" t="n">
        <v>1160</v>
      </c>
      <c r="H42" s="8" t="s">
        <v>11</v>
      </c>
      <c r="I42" s="8" t="s">
        <v>19</v>
      </c>
      <c r="J42" s="8" t="s">
        <v>13</v>
      </c>
      <c r="K42" s="5"/>
      <c r="L42" s="5"/>
    </row>
    <row r="43" customFormat="false" ht="13.8" hidden="false" customHeight="false" outlineLevel="0" collapsed="false">
      <c r="A43" s="6" t="n">
        <v>44475</v>
      </c>
      <c r="B43" s="7" t="n">
        <v>0.525694444444444</v>
      </c>
      <c r="C43" s="8" t="n">
        <v>126860</v>
      </c>
      <c r="D43" s="8" t="s">
        <v>10</v>
      </c>
      <c r="E43" s="8" t="n">
        <v>18940</v>
      </c>
      <c r="F43" s="8" t="n">
        <v>16020</v>
      </c>
      <c r="G43" s="9" t="n">
        <v>2920</v>
      </c>
      <c r="H43" s="8" t="s">
        <v>11</v>
      </c>
      <c r="I43" s="8" t="s">
        <v>26</v>
      </c>
      <c r="J43" s="8" t="s">
        <v>13</v>
      </c>
      <c r="K43" s="5"/>
      <c r="L43" s="5"/>
    </row>
    <row r="44" customFormat="false" ht="13.8" hidden="false" customHeight="false" outlineLevel="0" collapsed="false">
      <c r="A44" s="6" t="n">
        <v>44476</v>
      </c>
      <c r="B44" s="7" t="n">
        <v>0.0881944444444444</v>
      </c>
      <c r="C44" s="8" t="n">
        <v>144940</v>
      </c>
      <c r="D44" s="8" t="s">
        <v>14</v>
      </c>
      <c r="E44" s="8" t="n">
        <v>21240</v>
      </c>
      <c r="F44" s="8" t="n">
        <v>13020</v>
      </c>
      <c r="G44" s="9" t="n">
        <v>8220</v>
      </c>
      <c r="H44" s="8" t="s">
        <v>11</v>
      </c>
      <c r="I44" s="8" t="s">
        <v>12</v>
      </c>
      <c r="J44" s="8" t="s">
        <v>13</v>
      </c>
      <c r="K44" s="5"/>
      <c r="L44" s="5"/>
    </row>
    <row r="45" customFormat="false" ht="13.8" hidden="false" customHeight="false" outlineLevel="0" collapsed="false">
      <c r="A45" s="6" t="n">
        <v>44476</v>
      </c>
      <c r="B45" s="7" t="n">
        <v>0.259722222222222</v>
      </c>
      <c r="C45" s="8" t="n">
        <v>144958</v>
      </c>
      <c r="D45" s="8" t="s">
        <v>15</v>
      </c>
      <c r="E45" s="8" t="n">
        <v>4420</v>
      </c>
      <c r="F45" s="8" t="n">
        <v>3760</v>
      </c>
      <c r="G45" s="9" t="n">
        <v>660</v>
      </c>
      <c r="H45" s="8" t="s">
        <v>11</v>
      </c>
      <c r="I45" s="8" t="s">
        <v>12</v>
      </c>
      <c r="J45" s="8" t="s">
        <v>13</v>
      </c>
      <c r="K45" s="5"/>
      <c r="L45" s="5"/>
    </row>
    <row r="46" customFormat="false" ht="13.8" hidden="false" customHeight="false" outlineLevel="0" collapsed="false">
      <c r="A46" s="6" t="n">
        <v>44476</v>
      </c>
      <c r="B46" s="7" t="n">
        <v>0.25</v>
      </c>
      <c r="C46" s="8" t="n">
        <v>144955</v>
      </c>
      <c r="D46" s="8" t="s">
        <v>21</v>
      </c>
      <c r="E46" s="8" t="n">
        <v>23580</v>
      </c>
      <c r="F46" s="8" t="n">
        <v>15840</v>
      </c>
      <c r="G46" s="9" t="n">
        <v>7740</v>
      </c>
      <c r="H46" s="8" t="s">
        <v>11</v>
      </c>
      <c r="I46" s="8" t="s">
        <v>12</v>
      </c>
      <c r="J46" s="8" t="s">
        <v>13</v>
      </c>
      <c r="K46" s="5"/>
      <c r="L46" s="5"/>
    </row>
    <row r="47" customFormat="false" ht="13.8" hidden="false" customHeight="false" outlineLevel="0" collapsed="false">
      <c r="A47" s="6" t="n">
        <v>44476</v>
      </c>
      <c r="B47" s="7" t="n">
        <v>0.0895833333333333</v>
      </c>
      <c r="C47" s="8" t="n">
        <v>144941</v>
      </c>
      <c r="D47" s="8" t="s">
        <v>21</v>
      </c>
      <c r="E47" s="8" t="n">
        <v>22300</v>
      </c>
      <c r="F47" s="8" t="n">
        <v>15880</v>
      </c>
      <c r="G47" s="9" t="n">
        <v>6420</v>
      </c>
      <c r="H47" s="8" t="s">
        <v>11</v>
      </c>
      <c r="I47" s="8" t="s">
        <v>12</v>
      </c>
      <c r="J47" s="8" t="s">
        <v>13</v>
      </c>
      <c r="K47" s="5"/>
      <c r="L47" s="5"/>
    </row>
    <row r="48" customFormat="false" ht="13.8" hidden="false" customHeight="false" outlineLevel="0" collapsed="false">
      <c r="A48" s="6" t="n">
        <v>44476</v>
      </c>
      <c r="B48" s="7" t="n">
        <v>0.182638888888889</v>
      </c>
      <c r="C48" s="8" t="n">
        <v>144951</v>
      </c>
      <c r="D48" s="8" t="s">
        <v>14</v>
      </c>
      <c r="E48" s="8" t="n">
        <v>17540</v>
      </c>
      <c r="F48" s="8" t="n">
        <v>12960</v>
      </c>
      <c r="G48" s="9" t="n">
        <v>4580</v>
      </c>
      <c r="H48" s="8" t="s">
        <v>11</v>
      </c>
      <c r="I48" s="8" t="s">
        <v>12</v>
      </c>
      <c r="J48" s="8" t="s">
        <v>13</v>
      </c>
      <c r="K48" s="5"/>
      <c r="L48" s="5"/>
    </row>
    <row r="49" customFormat="false" ht="13.8" hidden="false" customHeight="false" outlineLevel="0" collapsed="false">
      <c r="A49" s="6" t="n">
        <v>44476</v>
      </c>
      <c r="B49" s="7" t="n">
        <v>0.545833333333333</v>
      </c>
      <c r="C49" s="8" t="n">
        <v>126925</v>
      </c>
      <c r="D49" s="8" t="s">
        <v>16</v>
      </c>
      <c r="E49" s="8" t="n">
        <v>3120</v>
      </c>
      <c r="F49" s="8" t="n">
        <v>2820</v>
      </c>
      <c r="G49" s="9" t="n">
        <v>300</v>
      </c>
      <c r="H49" s="8" t="s">
        <v>11</v>
      </c>
      <c r="I49" s="8" t="s">
        <v>17</v>
      </c>
      <c r="J49" s="8" t="s">
        <v>13</v>
      </c>
      <c r="K49" s="5"/>
      <c r="L49" s="5"/>
    </row>
    <row r="50" customFormat="false" ht="13.8" hidden="false" customHeight="false" outlineLevel="0" collapsed="false">
      <c r="A50" s="6" t="n">
        <v>44476</v>
      </c>
      <c r="B50" s="7" t="n">
        <v>0.519444444444444</v>
      </c>
      <c r="C50" s="8" t="n">
        <v>126919</v>
      </c>
      <c r="D50" s="8" t="s">
        <v>18</v>
      </c>
      <c r="E50" s="8" t="n">
        <v>6320</v>
      </c>
      <c r="F50" s="8" t="n">
        <v>6200</v>
      </c>
      <c r="G50" s="9" t="n">
        <v>120</v>
      </c>
      <c r="H50" s="8" t="s">
        <v>11</v>
      </c>
      <c r="I50" s="8" t="s">
        <v>19</v>
      </c>
      <c r="J50" s="8" t="s">
        <v>13</v>
      </c>
      <c r="K50" s="5" t="s">
        <v>27</v>
      </c>
      <c r="L50" s="5"/>
    </row>
    <row r="51" customFormat="false" ht="13.8" hidden="false" customHeight="false" outlineLevel="0" collapsed="false">
      <c r="A51" s="6" t="n">
        <v>44476</v>
      </c>
      <c r="B51" s="7" t="n">
        <v>0.513888888888889</v>
      </c>
      <c r="C51" s="8" t="n">
        <v>126918</v>
      </c>
      <c r="D51" s="8" t="s">
        <v>18</v>
      </c>
      <c r="E51" s="8" t="n">
        <v>6200</v>
      </c>
      <c r="F51" s="8" t="n">
        <v>5560</v>
      </c>
      <c r="G51" s="9" t="n">
        <v>640</v>
      </c>
      <c r="H51" s="8" t="s">
        <v>11</v>
      </c>
      <c r="I51" s="8" t="s">
        <v>19</v>
      </c>
      <c r="J51" s="8" t="s">
        <v>13</v>
      </c>
      <c r="K51" s="5"/>
      <c r="L51" s="5"/>
    </row>
    <row r="52" customFormat="false" ht="13.8" hidden="false" customHeight="false" outlineLevel="0" collapsed="false">
      <c r="A52" s="6" t="n">
        <v>44477</v>
      </c>
      <c r="B52" s="7" t="n">
        <v>0.254861111111111</v>
      </c>
      <c r="C52" s="8" t="n">
        <v>145002</v>
      </c>
      <c r="D52" s="8" t="s">
        <v>21</v>
      </c>
      <c r="E52" s="8" t="n">
        <v>27200</v>
      </c>
      <c r="F52" s="8" t="n">
        <v>15780</v>
      </c>
      <c r="G52" s="9" t="n">
        <v>11420</v>
      </c>
      <c r="H52" s="8" t="s">
        <v>11</v>
      </c>
      <c r="I52" s="8" t="s">
        <v>12</v>
      </c>
      <c r="J52" s="8" t="s">
        <v>13</v>
      </c>
      <c r="K52" s="5"/>
      <c r="L52" s="5"/>
    </row>
    <row r="53" customFormat="false" ht="13.8" hidden="false" customHeight="false" outlineLevel="0" collapsed="false">
      <c r="A53" s="6" t="n">
        <v>44477</v>
      </c>
      <c r="B53" s="7" t="n">
        <v>0.113194444444444</v>
      </c>
      <c r="C53" s="8" t="n">
        <v>144991</v>
      </c>
      <c r="D53" s="8" t="s">
        <v>14</v>
      </c>
      <c r="E53" s="8" t="n">
        <v>20540</v>
      </c>
      <c r="F53" s="8" t="n">
        <v>12900</v>
      </c>
      <c r="G53" s="9" t="n">
        <v>7640</v>
      </c>
      <c r="H53" s="8" t="s">
        <v>11</v>
      </c>
      <c r="I53" s="8" t="s">
        <v>12</v>
      </c>
      <c r="J53" s="8" t="s">
        <v>13</v>
      </c>
      <c r="K53" s="5"/>
      <c r="L53" s="5"/>
    </row>
    <row r="54" customFormat="false" ht="13.8" hidden="false" customHeight="false" outlineLevel="0" collapsed="false">
      <c r="A54" s="6" t="n">
        <v>44477</v>
      </c>
      <c r="B54" s="7" t="n">
        <v>0.238888888888889</v>
      </c>
      <c r="C54" s="8" t="n">
        <v>144998</v>
      </c>
      <c r="D54" s="8" t="s">
        <v>16</v>
      </c>
      <c r="E54" s="8" t="n">
        <v>3360</v>
      </c>
      <c r="F54" s="8" t="n">
        <v>2820</v>
      </c>
      <c r="G54" s="9" t="n">
        <v>540</v>
      </c>
      <c r="H54" s="8" t="s">
        <v>11</v>
      </c>
      <c r="I54" s="8" t="s">
        <v>12</v>
      </c>
      <c r="J54" s="8" t="s">
        <v>13</v>
      </c>
      <c r="K54" s="5"/>
      <c r="L54" s="5"/>
    </row>
    <row r="55" customFormat="false" ht="13.8" hidden="false" customHeight="false" outlineLevel="0" collapsed="false">
      <c r="A55" s="6" t="n">
        <v>44477</v>
      </c>
      <c r="B55" s="7" t="n">
        <v>0.241666666666667</v>
      </c>
      <c r="C55" s="8" t="n">
        <v>144999</v>
      </c>
      <c r="D55" s="8" t="s">
        <v>14</v>
      </c>
      <c r="E55" s="8" t="n">
        <v>15500</v>
      </c>
      <c r="F55" s="8" t="n">
        <v>12680</v>
      </c>
      <c r="G55" s="9" t="n">
        <v>2820</v>
      </c>
      <c r="H55" s="8" t="s">
        <v>11</v>
      </c>
      <c r="I55" s="8" t="s">
        <v>12</v>
      </c>
      <c r="J55" s="8" t="s">
        <v>13</v>
      </c>
      <c r="K55" s="5"/>
      <c r="L55" s="5"/>
    </row>
    <row r="56" customFormat="false" ht="13.8" hidden="false" customHeight="false" outlineLevel="0" collapsed="false">
      <c r="A56" s="6" t="n">
        <v>44477</v>
      </c>
      <c r="B56" s="7" t="n">
        <v>0.510416666666667</v>
      </c>
      <c r="C56" s="8" t="n">
        <v>126996</v>
      </c>
      <c r="D56" s="8" t="s">
        <v>18</v>
      </c>
      <c r="E56" s="8" t="n">
        <v>6680</v>
      </c>
      <c r="F56" s="8" t="n">
        <v>5580</v>
      </c>
      <c r="G56" s="9" t="n">
        <v>1100</v>
      </c>
      <c r="H56" s="8" t="s">
        <v>11</v>
      </c>
      <c r="I56" s="8" t="s">
        <v>19</v>
      </c>
      <c r="J56" s="8" t="s">
        <v>13</v>
      </c>
      <c r="K56" s="5"/>
      <c r="L56" s="5"/>
    </row>
    <row r="57" customFormat="false" ht="13.8" hidden="false" customHeight="false" outlineLevel="0" collapsed="false">
      <c r="A57" s="6" t="n">
        <v>44477</v>
      </c>
      <c r="B57" s="7" t="n">
        <v>0.510416666666667</v>
      </c>
      <c r="C57" s="8" t="n">
        <v>126997</v>
      </c>
      <c r="D57" s="8" t="s">
        <v>18</v>
      </c>
      <c r="E57" s="8" t="n">
        <v>6780</v>
      </c>
      <c r="F57" s="8" t="n">
        <v>6680</v>
      </c>
      <c r="G57" s="9" t="n">
        <v>100</v>
      </c>
      <c r="H57" s="8" t="s">
        <v>11</v>
      </c>
      <c r="I57" s="8" t="s">
        <v>19</v>
      </c>
      <c r="J57" s="8" t="s">
        <v>13</v>
      </c>
      <c r="K57" s="5" t="s">
        <v>27</v>
      </c>
      <c r="L57" s="5"/>
    </row>
    <row r="58" customFormat="false" ht="13.8" hidden="false" customHeight="false" outlineLevel="0" collapsed="false">
      <c r="A58" s="6" t="n">
        <v>44478</v>
      </c>
      <c r="B58" s="7" t="n">
        <v>0.235416666666667</v>
      </c>
      <c r="C58" s="8" t="n">
        <v>145042</v>
      </c>
      <c r="D58" s="8" t="s">
        <v>21</v>
      </c>
      <c r="E58" s="8" t="n">
        <v>23960</v>
      </c>
      <c r="F58" s="8" t="n">
        <v>15860</v>
      </c>
      <c r="G58" s="9" t="n">
        <v>8100</v>
      </c>
      <c r="H58" s="8" t="s">
        <v>11</v>
      </c>
      <c r="I58" s="8" t="s">
        <v>12</v>
      </c>
      <c r="J58" s="8" t="s">
        <v>13</v>
      </c>
      <c r="K58" s="5"/>
      <c r="L58" s="5"/>
    </row>
    <row r="59" customFormat="false" ht="13.8" hidden="false" customHeight="false" outlineLevel="0" collapsed="false">
      <c r="A59" s="6" t="n">
        <v>44478</v>
      </c>
      <c r="B59" s="7" t="n">
        <v>0.0743055555555556</v>
      </c>
      <c r="C59" s="8" t="n">
        <v>145031</v>
      </c>
      <c r="D59" s="8" t="s">
        <v>21</v>
      </c>
      <c r="E59" s="8" t="n">
        <v>20560</v>
      </c>
      <c r="F59" s="8" t="n">
        <v>15880</v>
      </c>
      <c r="G59" s="9" t="n">
        <v>4680</v>
      </c>
      <c r="H59" s="8" t="s">
        <v>11</v>
      </c>
      <c r="I59" s="8" t="s">
        <v>12</v>
      </c>
      <c r="J59" s="8" t="s">
        <v>13</v>
      </c>
      <c r="K59" s="5"/>
      <c r="L59" s="5"/>
    </row>
    <row r="60" customFormat="false" ht="13.8" hidden="false" customHeight="false" outlineLevel="0" collapsed="false">
      <c r="A60" s="6" t="n">
        <v>44478</v>
      </c>
      <c r="B60" s="7" t="n">
        <v>0.115972222222222</v>
      </c>
      <c r="C60" s="8" t="n">
        <v>145033</v>
      </c>
      <c r="D60" s="8" t="s">
        <v>14</v>
      </c>
      <c r="E60" s="8" t="n">
        <v>20800</v>
      </c>
      <c r="F60" s="8" t="n">
        <v>12900</v>
      </c>
      <c r="G60" s="9" t="n">
        <v>7900</v>
      </c>
      <c r="H60" s="8" t="s">
        <v>11</v>
      </c>
      <c r="I60" s="8" t="s">
        <v>12</v>
      </c>
      <c r="J60" s="8" t="s">
        <v>13</v>
      </c>
      <c r="K60" s="5"/>
      <c r="L60" s="5"/>
    </row>
    <row r="61" customFormat="false" ht="13.8" hidden="false" customHeight="false" outlineLevel="0" collapsed="false">
      <c r="A61" s="6" t="n">
        <v>44478</v>
      </c>
      <c r="B61" s="7" t="n">
        <v>0.265972222222222</v>
      </c>
      <c r="C61" s="8" t="n">
        <v>145047</v>
      </c>
      <c r="D61" s="8" t="s">
        <v>16</v>
      </c>
      <c r="E61" s="8" t="n">
        <v>3560</v>
      </c>
      <c r="F61" s="8" t="n">
        <v>2820</v>
      </c>
      <c r="G61" s="9" t="n">
        <v>740</v>
      </c>
      <c r="H61" s="8" t="s">
        <v>11</v>
      </c>
      <c r="I61" s="8" t="s">
        <v>12</v>
      </c>
      <c r="J61" s="8" t="s">
        <v>13</v>
      </c>
      <c r="K61" s="5"/>
      <c r="L61" s="5"/>
    </row>
    <row r="62" customFormat="false" ht="13.8" hidden="false" customHeight="false" outlineLevel="0" collapsed="false">
      <c r="A62" s="6" t="n">
        <v>44478</v>
      </c>
      <c r="B62" s="7" t="n">
        <v>0.264583333333333</v>
      </c>
      <c r="C62" s="8" t="n">
        <v>145046</v>
      </c>
      <c r="D62" s="8" t="s">
        <v>14</v>
      </c>
      <c r="E62" s="8" t="n">
        <v>16340</v>
      </c>
      <c r="F62" s="8" t="n">
        <v>12640</v>
      </c>
      <c r="G62" s="9" t="n">
        <v>3700</v>
      </c>
      <c r="H62" s="8" t="s">
        <v>11</v>
      </c>
      <c r="I62" s="8" t="s">
        <v>12</v>
      </c>
      <c r="J62" s="8" t="s">
        <v>13</v>
      </c>
      <c r="K62" s="5"/>
      <c r="L62" s="5"/>
    </row>
    <row r="63" customFormat="false" ht="13.8" hidden="false" customHeight="false" outlineLevel="0" collapsed="false">
      <c r="A63" s="6" t="n">
        <v>44479</v>
      </c>
      <c r="B63" s="7" t="n">
        <v>0.231944444444444</v>
      </c>
      <c r="C63" s="8" t="n">
        <v>145065</v>
      </c>
      <c r="D63" s="8" t="s">
        <v>14</v>
      </c>
      <c r="E63" s="8" t="n">
        <v>17960</v>
      </c>
      <c r="F63" s="8" t="n">
        <v>12600</v>
      </c>
      <c r="G63" s="9" t="n">
        <v>5360</v>
      </c>
      <c r="H63" s="8" t="s">
        <v>11</v>
      </c>
      <c r="I63" s="8" t="s">
        <v>12</v>
      </c>
      <c r="J63" s="8" t="s">
        <v>13</v>
      </c>
      <c r="K63" s="5"/>
      <c r="L63" s="5"/>
    </row>
    <row r="64" customFormat="false" ht="13.8" hidden="false" customHeight="false" outlineLevel="0" collapsed="false">
      <c r="A64" s="6" t="n">
        <v>44479</v>
      </c>
      <c r="B64" s="7" t="n">
        <v>0.202083333333333</v>
      </c>
      <c r="C64" s="8" t="n">
        <v>145059</v>
      </c>
      <c r="D64" s="8" t="s">
        <v>10</v>
      </c>
      <c r="E64" s="8" t="n">
        <v>28140</v>
      </c>
      <c r="F64" s="8" t="n">
        <v>16200</v>
      </c>
      <c r="G64" s="9" t="n">
        <v>11940</v>
      </c>
      <c r="H64" s="8" t="s">
        <v>11</v>
      </c>
      <c r="I64" s="8" t="s">
        <v>12</v>
      </c>
      <c r="J64" s="8" t="s">
        <v>13</v>
      </c>
      <c r="K64" s="5"/>
      <c r="L64" s="5"/>
    </row>
    <row r="65" customFormat="false" ht="13.8" hidden="false" customHeight="false" outlineLevel="0" collapsed="false">
      <c r="A65" s="6" t="n">
        <v>44479</v>
      </c>
      <c r="B65" s="7" t="n">
        <v>0.0819444444444444</v>
      </c>
      <c r="C65" s="8" t="n">
        <v>145054</v>
      </c>
      <c r="D65" s="8" t="s">
        <v>14</v>
      </c>
      <c r="E65" s="8" t="n">
        <v>21800</v>
      </c>
      <c r="F65" s="8" t="n">
        <v>12820</v>
      </c>
      <c r="G65" s="9" t="n">
        <v>8980</v>
      </c>
      <c r="H65" s="8" t="s">
        <v>11</v>
      </c>
      <c r="I65" s="8" t="s">
        <v>12</v>
      </c>
      <c r="J65" s="8" t="s">
        <v>13</v>
      </c>
      <c r="K65" s="5"/>
      <c r="L65" s="5"/>
    </row>
    <row r="66" customFormat="false" ht="13.8" hidden="false" customHeight="false" outlineLevel="0" collapsed="false">
      <c r="A66" s="6" t="n">
        <v>44479</v>
      </c>
      <c r="B66" s="7" t="n">
        <v>0.23125</v>
      </c>
      <c r="C66" s="8" t="n">
        <v>145064</v>
      </c>
      <c r="D66" s="8" t="s">
        <v>15</v>
      </c>
      <c r="E66" s="8" t="n">
        <v>5040</v>
      </c>
      <c r="F66" s="8" t="n">
        <v>3580</v>
      </c>
      <c r="G66" s="9" t="n">
        <v>1460</v>
      </c>
      <c r="H66" s="8" t="s">
        <v>11</v>
      </c>
      <c r="I66" s="8" t="s">
        <v>12</v>
      </c>
      <c r="J66" s="8" t="s">
        <v>13</v>
      </c>
      <c r="K66" s="5"/>
      <c r="L66" s="5"/>
    </row>
    <row r="67" customFormat="false" ht="13.8" hidden="false" customHeight="false" outlineLevel="0" collapsed="false">
      <c r="A67" s="6" t="n">
        <v>44479</v>
      </c>
      <c r="B67" s="7" t="n">
        <v>0.452777777777778</v>
      </c>
      <c r="C67" s="8" t="n">
        <v>145068</v>
      </c>
      <c r="D67" s="8" t="s">
        <v>28</v>
      </c>
      <c r="E67" s="8" t="n">
        <v>2640</v>
      </c>
      <c r="F67" s="8" t="n">
        <v>2400</v>
      </c>
      <c r="G67" s="9" t="n">
        <v>240</v>
      </c>
      <c r="H67" s="8" t="s">
        <v>11</v>
      </c>
      <c r="I67" s="8" t="s">
        <v>12</v>
      </c>
      <c r="J67" s="8" t="s">
        <v>13</v>
      </c>
      <c r="K67" s="5"/>
      <c r="L67" s="5"/>
    </row>
    <row r="68" customFormat="false" ht="13.8" hidden="false" customHeight="false" outlineLevel="0" collapsed="false">
      <c r="A68" s="6" t="n">
        <v>44480</v>
      </c>
      <c r="B68" s="7" t="n">
        <v>0.494444444444444</v>
      </c>
      <c r="C68" s="8" t="n">
        <v>145102</v>
      </c>
      <c r="D68" s="8" t="s">
        <v>10</v>
      </c>
      <c r="E68" s="8" t="n">
        <v>17340</v>
      </c>
      <c r="F68" s="8" t="n">
        <v>16080</v>
      </c>
      <c r="G68" s="9" t="n">
        <v>1260</v>
      </c>
      <c r="H68" s="8" t="s">
        <v>11</v>
      </c>
      <c r="I68" s="8" t="s">
        <v>12</v>
      </c>
      <c r="J68" s="8" t="s">
        <v>13</v>
      </c>
      <c r="K68" s="5"/>
      <c r="L68" s="5"/>
    </row>
    <row r="69" customFormat="false" ht="13.8" hidden="false" customHeight="false" outlineLevel="0" collapsed="false">
      <c r="A69" s="6" t="n">
        <v>44480</v>
      </c>
      <c r="B69" s="7" t="n">
        <v>0.0798611111111111</v>
      </c>
      <c r="C69" s="8" t="n">
        <v>145070</v>
      </c>
      <c r="D69" s="8" t="s">
        <v>14</v>
      </c>
      <c r="E69" s="8" t="n">
        <v>21820</v>
      </c>
      <c r="F69" s="8" t="n">
        <v>12980</v>
      </c>
      <c r="G69" s="9" t="n">
        <v>8840</v>
      </c>
      <c r="H69" s="8" t="s">
        <v>11</v>
      </c>
      <c r="I69" s="8" t="s">
        <v>12</v>
      </c>
      <c r="J69" s="8" t="s">
        <v>13</v>
      </c>
      <c r="K69" s="5"/>
      <c r="L69" s="5"/>
    </row>
    <row r="70" customFormat="false" ht="13.8" hidden="false" customHeight="false" outlineLevel="0" collapsed="false">
      <c r="A70" s="6" t="n">
        <v>44480</v>
      </c>
      <c r="B70" s="7" t="n">
        <v>0.242361111111111</v>
      </c>
      <c r="C70" s="8" t="n">
        <v>145083</v>
      </c>
      <c r="D70" s="8" t="s">
        <v>10</v>
      </c>
      <c r="E70" s="8" t="n">
        <v>27200</v>
      </c>
      <c r="F70" s="8" t="n">
        <v>16200</v>
      </c>
      <c r="G70" s="9" t="n">
        <v>11000</v>
      </c>
      <c r="H70" s="8" t="s">
        <v>11</v>
      </c>
      <c r="I70" s="8" t="s">
        <v>12</v>
      </c>
      <c r="J70" s="8" t="s">
        <v>13</v>
      </c>
      <c r="K70" s="5"/>
      <c r="L70" s="5"/>
    </row>
    <row r="71" customFormat="false" ht="13.8" hidden="false" customHeight="false" outlineLevel="0" collapsed="false">
      <c r="A71" s="6" t="n">
        <v>44480</v>
      </c>
      <c r="B71" s="7" t="n">
        <v>0.166666666666667</v>
      </c>
      <c r="C71" s="8" t="n">
        <v>145076</v>
      </c>
      <c r="D71" s="8" t="s">
        <v>14</v>
      </c>
      <c r="E71" s="8" t="n">
        <v>18440</v>
      </c>
      <c r="F71" s="8" t="n">
        <v>12780</v>
      </c>
      <c r="G71" s="9" t="n">
        <v>5660</v>
      </c>
      <c r="H71" s="8" t="s">
        <v>11</v>
      </c>
      <c r="I71" s="8" t="s">
        <v>12</v>
      </c>
      <c r="J71" s="8" t="s">
        <v>13</v>
      </c>
      <c r="K71" s="5"/>
      <c r="L71" s="5"/>
    </row>
    <row r="72" customFormat="false" ht="13.8" hidden="false" customHeight="false" outlineLevel="0" collapsed="false">
      <c r="A72" s="6" t="n">
        <v>44480</v>
      </c>
      <c r="B72" s="7" t="n">
        <v>0.24375</v>
      </c>
      <c r="C72" s="8" t="n">
        <v>145084</v>
      </c>
      <c r="D72" s="8" t="s">
        <v>15</v>
      </c>
      <c r="E72" s="8" t="n">
        <v>4960</v>
      </c>
      <c r="F72" s="8" t="n">
        <v>3660</v>
      </c>
      <c r="G72" s="9" t="n">
        <v>1300</v>
      </c>
      <c r="H72" s="8" t="s">
        <v>11</v>
      </c>
      <c r="I72" s="8" t="s">
        <v>12</v>
      </c>
      <c r="J72" s="8" t="s">
        <v>13</v>
      </c>
      <c r="K72" s="5"/>
      <c r="L72" s="5"/>
    </row>
    <row r="73" customFormat="false" ht="13.8" hidden="false" customHeight="false" outlineLevel="0" collapsed="false">
      <c r="A73" s="6" t="n">
        <v>44481</v>
      </c>
      <c r="B73" s="7" t="n">
        <v>0.254861111111111</v>
      </c>
      <c r="C73" s="8" t="n">
        <v>145133</v>
      </c>
      <c r="D73" s="8" t="s">
        <v>14</v>
      </c>
      <c r="E73" s="8" t="n">
        <v>19980</v>
      </c>
      <c r="F73" s="8" t="n">
        <v>12760</v>
      </c>
      <c r="G73" s="9" t="n">
        <v>7220</v>
      </c>
      <c r="H73" s="8" t="s">
        <v>11</v>
      </c>
      <c r="I73" s="8" t="s">
        <v>12</v>
      </c>
      <c r="J73" s="8" t="s">
        <v>13</v>
      </c>
      <c r="K73" s="5"/>
      <c r="L73" s="5"/>
    </row>
    <row r="74" customFormat="false" ht="13.8" hidden="false" customHeight="false" outlineLevel="0" collapsed="false">
      <c r="A74" s="6" t="n">
        <v>44481</v>
      </c>
      <c r="B74" s="7" t="n">
        <v>0.253472222222222</v>
      </c>
      <c r="C74" s="8" t="n">
        <v>145132</v>
      </c>
      <c r="D74" s="8" t="s">
        <v>15</v>
      </c>
      <c r="E74" s="8" t="n">
        <v>4980</v>
      </c>
      <c r="F74" s="8" t="n">
        <v>3720</v>
      </c>
      <c r="G74" s="9" t="n">
        <v>1260</v>
      </c>
      <c r="H74" s="8" t="s">
        <v>11</v>
      </c>
      <c r="I74" s="8" t="s">
        <v>12</v>
      </c>
      <c r="J74" s="8" t="s">
        <v>13</v>
      </c>
      <c r="K74" s="5"/>
      <c r="L74" s="5"/>
    </row>
    <row r="75" customFormat="false" ht="13.8" hidden="false" customHeight="false" outlineLevel="0" collapsed="false">
      <c r="A75" s="6" t="n">
        <v>44481</v>
      </c>
      <c r="B75" s="7" t="n">
        <v>0.0923611111111111</v>
      </c>
      <c r="C75" s="8" t="n">
        <v>145119</v>
      </c>
      <c r="D75" s="8" t="s">
        <v>14</v>
      </c>
      <c r="E75" s="8" t="n">
        <v>21800</v>
      </c>
      <c r="F75" s="8" t="n">
        <v>13000</v>
      </c>
      <c r="G75" s="9" t="n">
        <v>8800</v>
      </c>
      <c r="H75" s="8" t="s">
        <v>11</v>
      </c>
      <c r="I75" s="8" t="s">
        <v>12</v>
      </c>
      <c r="J75" s="8" t="s">
        <v>13</v>
      </c>
      <c r="K75" s="5"/>
      <c r="L75" s="5"/>
    </row>
    <row r="76" customFormat="false" ht="13.8" hidden="false" customHeight="false" outlineLevel="0" collapsed="false">
      <c r="A76" s="6" t="n">
        <v>44481</v>
      </c>
      <c r="B76" s="7" t="n">
        <v>0.134722222222222</v>
      </c>
      <c r="C76" s="8" t="n">
        <v>145124</v>
      </c>
      <c r="D76" s="8" t="s">
        <v>10</v>
      </c>
      <c r="E76" s="8" t="n">
        <v>27440</v>
      </c>
      <c r="F76" s="8" t="n">
        <v>16300</v>
      </c>
      <c r="G76" s="9" t="n">
        <v>11140</v>
      </c>
      <c r="H76" s="8" t="s">
        <v>11</v>
      </c>
      <c r="I76" s="8" t="s">
        <v>12</v>
      </c>
      <c r="J76" s="8" t="s">
        <v>13</v>
      </c>
      <c r="K76" s="5"/>
      <c r="L76" s="5"/>
    </row>
    <row r="77" customFormat="false" ht="13.8" hidden="false" customHeight="false" outlineLevel="0" collapsed="false">
      <c r="A77" s="6" t="n">
        <v>44481</v>
      </c>
      <c r="B77" s="7" t="n">
        <v>0.498611111111111</v>
      </c>
      <c r="C77" s="8" t="n">
        <v>145138</v>
      </c>
      <c r="D77" s="8" t="s">
        <v>28</v>
      </c>
      <c r="E77" s="8" t="n">
        <v>2700</v>
      </c>
      <c r="F77" s="8" t="n">
        <v>2380</v>
      </c>
      <c r="G77" s="9" t="n">
        <v>320</v>
      </c>
      <c r="H77" s="8" t="s">
        <v>11</v>
      </c>
      <c r="I77" s="8" t="s">
        <v>12</v>
      </c>
      <c r="J77" s="8" t="s">
        <v>13</v>
      </c>
      <c r="K77" s="5"/>
      <c r="L77" s="5"/>
    </row>
    <row r="78" customFormat="false" ht="13.8" hidden="false" customHeight="false" outlineLevel="0" collapsed="false">
      <c r="A78" s="6" t="n">
        <v>44482</v>
      </c>
      <c r="B78" s="7" t="n">
        <v>0.239583333333333</v>
      </c>
      <c r="C78" s="8" t="n">
        <v>145151</v>
      </c>
      <c r="D78" s="8" t="s">
        <v>14</v>
      </c>
      <c r="E78" s="8" t="n">
        <v>18060</v>
      </c>
      <c r="F78" s="8" t="n">
        <v>12720</v>
      </c>
      <c r="G78" s="9" t="n">
        <v>5340</v>
      </c>
      <c r="H78" s="8" t="s">
        <v>11</v>
      </c>
      <c r="I78" s="8" t="s">
        <v>12</v>
      </c>
      <c r="J78" s="8" t="s">
        <v>13</v>
      </c>
      <c r="K78" s="5"/>
      <c r="L78" s="5"/>
    </row>
    <row r="79" customFormat="false" ht="13.8" hidden="false" customHeight="false" outlineLevel="0" collapsed="false">
      <c r="A79" s="6" t="n">
        <v>44482</v>
      </c>
      <c r="B79" s="7" t="n">
        <v>0.0881944444444444</v>
      </c>
      <c r="C79" s="8" t="n">
        <v>145140</v>
      </c>
      <c r="D79" s="8" t="s">
        <v>14</v>
      </c>
      <c r="E79" s="8" t="n">
        <v>21380</v>
      </c>
      <c r="F79" s="8" t="n">
        <v>12920</v>
      </c>
      <c r="G79" s="9" t="n">
        <v>8460</v>
      </c>
      <c r="H79" s="8" t="s">
        <v>11</v>
      </c>
      <c r="I79" s="8" t="s">
        <v>12</v>
      </c>
      <c r="J79" s="8" t="s">
        <v>13</v>
      </c>
      <c r="K79" s="5"/>
      <c r="L79" s="5"/>
    </row>
    <row r="80" customFormat="false" ht="13.8" hidden="false" customHeight="false" outlineLevel="0" collapsed="false">
      <c r="A80" s="6" t="n">
        <v>44482</v>
      </c>
      <c r="B80" s="7" t="n">
        <v>0.240972222222222</v>
      </c>
      <c r="C80" s="8" t="n">
        <v>145152</v>
      </c>
      <c r="D80" s="8" t="s">
        <v>15</v>
      </c>
      <c r="E80" s="8" t="n">
        <v>4800</v>
      </c>
      <c r="F80" s="8" t="n">
        <v>3680</v>
      </c>
      <c r="G80" s="9" t="n">
        <v>1120</v>
      </c>
      <c r="H80" s="8" t="s">
        <v>11</v>
      </c>
      <c r="I80" s="8" t="s">
        <v>12</v>
      </c>
      <c r="J80" s="8" t="s">
        <v>13</v>
      </c>
      <c r="K80" s="5"/>
      <c r="L80" s="5"/>
    </row>
    <row r="81" customFormat="false" ht="13.8" hidden="false" customHeight="false" outlineLevel="0" collapsed="false">
      <c r="A81" s="6" t="n">
        <v>44482</v>
      </c>
      <c r="B81" s="7" t="n">
        <v>0.192361111111111</v>
      </c>
      <c r="C81" s="8" t="n">
        <v>145146</v>
      </c>
      <c r="D81" s="8" t="s">
        <v>10</v>
      </c>
      <c r="E81" s="8" t="n">
        <v>27440</v>
      </c>
      <c r="F81" s="8" t="n">
        <v>16540</v>
      </c>
      <c r="G81" s="9" t="n">
        <v>10900</v>
      </c>
      <c r="H81" s="8" t="s">
        <v>11</v>
      </c>
      <c r="I81" s="8" t="s">
        <v>12</v>
      </c>
      <c r="J81" s="8" t="s">
        <v>13</v>
      </c>
      <c r="K81" s="5"/>
      <c r="L81" s="5"/>
    </row>
    <row r="82" customFormat="false" ht="13.8" hidden="false" customHeight="false" outlineLevel="0" collapsed="false">
      <c r="A82" s="6" t="n">
        <v>44482</v>
      </c>
      <c r="B82" s="7" t="n">
        <v>0.440277777777778</v>
      </c>
      <c r="C82" s="8" t="n">
        <v>127114</v>
      </c>
      <c r="D82" s="8" t="s">
        <v>18</v>
      </c>
      <c r="E82" s="8" t="n">
        <v>6600</v>
      </c>
      <c r="F82" s="8" t="n">
        <v>6500</v>
      </c>
      <c r="G82" s="9" t="n">
        <v>100</v>
      </c>
      <c r="H82" s="8" t="s">
        <v>11</v>
      </c>
      <c r="I82" s="8" t="s">
        <v>19</v>
      </c>
      <c r="J82" s="8" t="s">
        <v>13</v>
      </c>
      <c r="K82" s="5" t="s">
        <v>27</v>
      </c>
      <c r="L82" s="5"/>
    </row>
    <row r="83" customFormat="false" ht="13.8" hidden="false" customHeight="false" outlineLevel="0" collapsed="false">
      <c r="A83" s="6" t="n">
        <v>44482</v>
      </c>
      <c r="B83" s="7" t="n">
        <v>0.440277777777778</v>
      </c>
      <c r="C83" s="8" t="n">
        <v>127113</v>
      </c>
      <c r="D83" s="8" t="s">
        <v>18</v>
      </c>
      <c r="E83" s="8" t="n">
        <v>6500</v>
      </c>
      <c r="F83" s="8" t="n">
        <v>5540</v>
      </c>
      <c r="G83" s="9" t="n">
        <v>960</v>
      </c>
      <c r="H83" s="8" t="s">
        <v>11</v>
      </c>
      <c r="I83" s="8" t="s">
        <v>19</v>
      </c>
      <c r="J83" s="8" t="s">
        <v>13</v>
      </c>
      <c r="K83" s="5"/>
      <c r="L83" s="5"/>
    </row>
    <row r="84" customFormat="false" ht="13.8" hidden="false" customHeight="false" outlineLevel="0" collapsed="false">
      <c r="A84" s="6" t="n">
        <v>44482</v>
      </c>
      <c r="B84" s="7" t="n">
        <v>0.311805555555556</v>
      </c>
      <c r="C84" s="8" t="n">
        <v>145158</v>
      </c>
      <c r="D84" s="8" t="s">
        <v>10</v>
      </c>
      <c r="E84" s="8" t="n">
        <v>20880</v>
      </c>
      <c r="F84" s="8" t="n">
        <v>16140</v>
      </c>
      <c r="G84" s="9" t="n">
        <v>4740</v>
      </c>
      <c r="H84" s="8" t="s">
        <v>11</v>
      </c>
      <c r="I84" s="8" t="s">
        <v>12</v>
      </c>
      <c r="J84" s="8" t="s">
        <v>13</v>
      </c>
      <c r="K84" s="5"/>
      <c r="L84" s="5"/>
    </row>
    <row r="85" customFormat="false" ht="13.8" hidden="false" customHeight="false" outlineLevel="0" collapsed="false">
      <c r="A85" s="6" t="n">
        <v>44482</v>
      </c>
      <c r="B85" s="7" t="n">
        <v>0.455555555555556</v>
      </c>
      <c r="C85" s="8" t="n">
        <v>2166</v>
      </c>
      <c r="D85" s="8" t="s">
        <v>10</v>
      </c>
      <c r="E85" s="8" t="n">
        <v>18800</v>
      </c>
      <c r="F85" s="8" t="n">
        <v>16000</v>
      </c>
      <c r="G85" s="9" t="n">
        <v>2800</v>
      </c>
      <c r="H85" s="8" t="s">
        <v>11</v>
      </c>
      <c r="I85" s="8" t="s">
        <v>24</v>
      </c>
      <c r="J85" s="8" t="s">
        <v>13</v>
      </c>
      <c r="K85" s="5"/>
      <c r="L85" s="5"/>
    </row>
    <row r="86" customFormat="false" ht="13.8" hidden="false" customHeight="false" outlineLevel="0" collapsed="false">
      <c r="A86" s="6" t="n">
        <v>44483</v>
      </c>
      <c r="B86" s="7" t="n">
        <v>0.160416666666667</v>
      </c>
      <c r="C86" s="8" t="n">
        <v>145196</v>
      </c>
      <c r="D86" s="8" t="s">
        <v>14</v>
      </c>
      <c r="E86" s="8" t="n">
        <v>16060</v>
      </c>
      <c r="F86" s="8" t="n">
        <v>12820</v>
      </c>
      <c r="G86" s="9" t="n">
        <v>3240</v>
      </c>
      <c r="H86" s="8" t="s">
        <v>11</v>
      </c>
      <c r="I86" s="8" t="s">
        <v>12</v>
      </c>
      <c r="J86" s="8" t="s">
        <v>13</v>
      </c>
      <c r="K86" s="5"/>
      <c r="L86" s="5"/>
    </row>
    <row r="87" customFormat="false" ht="13.8" hidden="false" customHeight="false" outlineLevel="0" collapsed="false">
      <c r="A87" s="6" t="n">
        <v>44483</v>
      </c>
      <c r="B87" s="7" t="n">
        <v>0.0833333333333333</v>
      </c>
      <c r="C87" s="8" t="n">
        <v>145187</v>
      </c>
      <c r="D87" s="8" t="s">
        <v>14</v>
      </c>
      <c r="E87" s="8" t="n">
        <v>20220</v>
      </c>
      <c r="F87" s="8" t="n">
        <v>13100</v>
      </c>
      <c r="G87" s="9" t="n">
        <v>7120</v>
      </c>
      <c r="H87" s="8" t="s">
        <v>11</v>
      </c>
      <c r="I87" s="8" t="s">
        <v>12</v>
      </c>
      <c r="J87" s="8" t="s">
        <v>13</v>
      </c>
      <c r="K87" s="5"/>
      <c r="L87" s="5"/>
    </row>
    <row r="88" customFormat="false" ht="13.8" hidden="false" customHeight="false" outlineLevel="0" collapsed="false">
      <c r="A88" s="6" t="n">
        <v>44483</v>
      </c>
      <c r="B88" s="7" t="n">
        <v>0.259027777777778</v>
      </c>
      <c r="C88" s="8" t="n">
        <v>145203</v>
      </c>
      <c r="D88" s="8" t="s">
        <v>15</v>
      </c>
      <c r="E88" s="8" t="n">
        <v>4460</v>
      </c>
      <c r="F88" s="8" t="n">
        <v>3800</v>
      </c>
      <c r="G88" s="9" t="n">
        <v>660</v>
      </c>
      <c r="H88" s="8" t="s">
        <v>11</v>
      </c>
      <c r="I88" s="8" t="s">
        <v>12</v>
      </c>
      <c r="J88" s="8" t="s">
        <v>13</v>
      </c>
      <c r="K88" s="5"/>
      <c r="L88" s="5"/>
    </row>
    <row r="89" customFormat="false" ht="13.8" hidden="false" customHeight="false" outlineLevel="0" collapsed="false">
      <c r="A89" s="6" t="n">
        <v>44483</v>
      </c>
      <c r="B89" s="7" t="n">
        <v>0.205555555555556</v>
      </c>
      <c r="C89" s="8" t="n">
        <v>145199</v>
      </c>
      <c r="D89" s="8" t="s">
        <v>21</v>
      </c>
      <c r="E89" s="8" t="n">
        <v>26840</v>
      </c>
      <c r="F89" s="8" t="n">
        <v>15820</v>
      </c>
      <c r="G89" s="9" t="n">
        <v>11020</v>
      </c>
      <c r="H89" s="8" t="s">
        <v>11</v>
      </c>
      <c r="I89" s="8" t="s">
        <v>12</v>
      </c>
      <c r="J89" s="8" t="s">
        <v>13</v>
      </c>
      <c r="K89" s="5"/>
      <c r="L89" s="5"/>
    </row>
    <row r="90" customFormat="false" ht="13.8" hidden="false" customHeight="false" outlineLevel="0" collapsed="false">
      <c r="A90" s="6" t="n">
        <v>44483</v>
      </c>
      <c r="B90" s="7" t="n">
        <v>0.529861111111111</v>
      </c>
      <c r="C90" s="8" t="n">
        <v>145222</v>
      </c>
      <c r="D90" s="8" t="s">
        <v>21</v>
      </c>
      <c r="E90" s="8" t="n">
        <v>18320</v>
      </c>
      <c r="F90" s="8" t="n">
        <v>15780</v>
      </c>
      <c r="G90" s="9" t="n">
        <v>2540</v>
      </c>
      <c r="H90" s="8" t="s">
        <v>11</v>
      </c>
      <c r="I90" s="8" t="s">
        <v>12</v>
      </c>
      <c r="J90" s="8" t="s">
        <v>13</v>
      </c>
      <c r="K90" s="5"/>
      <c r="L90" s="5"/>
    </row>
    <row r="91" customFormat="false" ht="13.8" hidden="false" customHeight="false" outlineLevel="0" collapsed="false">
      <c r="A91" s="6" t="n">
        <v>44484</v>
      </c>
      <c r="B91" s="7" t="n">
        <v>0.245138888888889</v>
      </c>
      <c r="C91" s="8" t="n">
        <v>145247</v>
      </c>
      <c r="D91" s="8" t="s">
        <v>21</v>
      </c>
      <c r="E91" s="8" t="n">
        <v>25860</v>
      </c>
      <c r="F91" s="8" t="n">
        <v>15760</v>
      </c>
      <c r="G91" s="9" t="n">
        <v>10100</v>
      </c>
      <c r="H91" s="8" t="s">
        <v>11</v>
      </c>
      <c r="I91" s="8" t="s">
        <v>12</v>
      </c>
      <c r="J91" s="8" t="s">
        <v>13</v>
      </c>
      <c r="K91" s="5"/>
      <c r="L91" s="5"/>
    </row>
    <row r="92" customFormat="false" ht="13.8" hidden="false" customHeight="false" outlineLevel="0" collapsed="false">
      <c r="A92" s="6" t="n">
        <v>44484</v>
      </c>
      <c r="B92" s="7" t="n">
        <v>0.261111111111111</v>
      </c>
      <c r="C92" s="8" t="n">
        <v>145249</v>
      </c>
      <c r="D92" s="8" t="s">
        <v>15</v>
      </c>
      <c r="E92" s="8" t="n">
        <v>4300</v>
      </c>
      <c r="F92" s="8" t="n">
        <v>3800</v>
      </c>
      <c r="G92" s="9" t="n">
        <v>500</v>
      </c>
      <c r="H92" s="8" t="s">
        <v>11</v>
      </c>
      <c r="I92" s="8" t="s">
        <v>12</v>
      </c>
      <c r="J92" s="8" t="s">
        <v>13</v>
      </c>
      <c r="K92" s="5"/>
      <c r="L92" s="5"/>
    </row>
    <row r="93" customFormat="false" ht="13.8" hidden="false" customHeight="false" outlineLevel="0" collapsed="false">
      <c r="A93" s="6" t="n">
        <v>44484</v>
      </c>
      <c r="B93" s="7" t="n">
        <v>0.188888888888889</v>
      </c>
      <c r="C93" s="8" t="n">
        <v>145244</v>
      </c>
      <c r="D93" s="8" t="s">
        <v>14</v>
      </c>
      <c r="E93" s="8" t="n">
        <v>16220</v>
      </c>
      <c r="F93" s="8" t="n">
        <v>12780</v>
      </c>
      <c r="G93" s="9" t="n">
        <v>3440</v>
      </c>
      <c r="H93" s="8" t="s">
        <v>11</v>
      </c>
      <c r="I93" s="8" t="s">
        <v>12</v>
      </c>
      <c r="J93" s="8" t="s">
        <v>13</v>
      </c>
      <c r="K93" s="5"/>
      <c r="L93" s="5"/>
    </row>
    <row r="94" customFormat="false" ht="13.8" hidden="false" customHeight="false" outlineLevel="0" collapsed="false">
      <c r="A94" s="6" t="n">
        <v>44484</v>
      </c>
      <c r="B94" s="7" t="n">
        <v>0.113888888888889</v>
      </c>
      <c r="C94" s="8" t="n">
        <v>145239</v>
      </c>
      <c r="D94" s="8" t="s">
        <v>14</v>
      </c>
      <c r="E94" s="8" t="n">
        <v>20080</v>
      </c>
      <c r="F94" s="8" t="n">
        <v>13020</v>
      </c>
      <c r="G94" s="9" t="n">
        <v>7060</v>
      </c>
      <c r="H94" s="8" t="s">
        <v>11</v>
      </c>
      <c r="I94" s="8" t="s">
        <v>12</v>
      </c>
      <c r="J94" s="8" t="s">
        <v>13</v>
      </c>
      <c r="K94" s="5"/>
      <c r="L94" s="5"/>
    </row>
    <row r="95" customFormat="false" ht="13.8" hidden="false" customHeight="false" outlineLevel="0" collapsed="false">
      <c r="A95" s="6" t="n">
        <v>44483</v>
      </c>
      <c r="B95" s="7" t="n">
        <v>0.470138888888889</v>
      </c>
      <c r="C95" s="8" t="n">
        <v>127205</v>
      </c>
      <c r="D95" s="8" t="s">
        <v>18</v>
      </c>
      <c r="E95" s="8" t="n">
        <v>6880</v>
      </c>
      <c r="F95" s="8" t="n">
        <v>6840</v>
      </c>
      <c r="G95" s="9" t="n">
        <v>40</v>
      </c>
      <c r="H95" s="8" t="s">
        <v>11</v>
      </c>
      <c r="I95" s="8" t="s">
        <v>19</v>
      </c>
      <c r="J95" s="8" t="s">
        <v>13</v>
      </c>
      <c r="K95" s="5" t="s">
        <v>29</v>
      </c>
      <c r="L95" s="5"/>
    </row>
    <row r="96" customFormat="false" ht="13.8" hidden="false" customHeight="false" outlineLevel="0" collapsed="false">
      <c r="A96" s="6" t="n">
        <v>44483</v>
      </c>
      <c r="B96" s="7" t="n">
        <v>0.470138888888889</v>
      </c>
      <c r="C96" s="8" t="n">
        <v>127204</v>
      </c>
      <c r="D96" s="8" t="s">
        <v>18</v>
      </c>
      <c r="E96" s="8" t="n">
        <v>6840</v>
      </c>
      <c r="F96" s="8" t="n">
        <v>5600</v>
      </c>
      <c r="G96" s="9" t="n">
        <v>1240</v>
      </c>
      <c r="H96" s="8" t="s">
        <v>11</v>
      </c>
      <c r="I96" s="8" t="s">
        <v>19</v>
      </c>
      <c r="J96" s="8" t="s">
        <v>13</v>
      </c>
      <c r="K96" s="5"/>
      <c r="L96" s="5"/>
    </row>
    <row r="97" customFormat="false" ht="13.8" hidden="false" customHeight="false" outlineLevel="0" collapsed="false">
      <c r="A97" s="6" t="n">
        <v>44484</v>
      </c>
      <c r="B97" s="7" t="n">
        <v>0.528472222222222</v>
      </c>
      <c r="C97" s="8" t="n">
        <v>127307</v>
      </c>
      <c r="D97" s="8" t="s">
        <v>18</v>
      </c>
      <c r="E97" s="8" t="n">
        <v>7140</v>
      </c>
      <c r="F97" s="8" t="n">
        <v>5600</v>
      </c>
      <c r="G97" s="9" t="n">
        <v>1540</v>
      </c>
      <c r="H97" s="8" t="s">
        <v>11</v>
      </c>
      <c r="I97" s="8" t="s">
        <v>19</v>
      </c>
      <c r="J97" s="8" t="s">
        <v>13</v>
      </c>
      <c r="K97" s="5"/>
      <c r="L97" s="5"/>
    </row>
    <row r="98" customFormat="false" ht="13.8" hidden="false" customHeight="false" outlineLevel="0" collapsed="false">
      <c r="A98" s="6" t="n">
        <v>44484</v>
      </c>
      <c r="B98" s="7" t="n">
        <v>0.528472222222222</v>
      </c>
      <c r="C98" s="8" t="n">
        <v>127308</v>
      </c>
      <c r="D98" s="8" t="s">
        <v>18</v>
      </c>
      <c r="E98" s="8" t="n">
        <v>7200</v>
      </c>
      <c r="F98" s="8" t="n">
        <v>7140</v>
      </c>
      <c r="G98" s="9" t="n">
        <v>60</v>
      </c>
      <c r="H98" s="8" t="s">
        <v>11</v>
      </c>
      <c r="I98" s="8" t="s">
        <v>19</v>
      </c>
      <c r="J98" s="8" t="s">
        <v>13</v>
      </c>
      <c r="K98" s="5" t="s">
        <v>29</v>
      </c>
      <c r="L98" s="5"/>
    </row>
    <row r="99" customFormat="false" ht="13.8" hidden="false" customHeight="false" outlineLevel="0" collapsed="false">
      <c r="A99" s="6" t="n">
        <v>44484</v>
      </c>
      <c r="B99" s="7" t="n">
        <v>0.536805555555556</v>
      </c>
      <c r="C99" s="8" t="n">
        <v>127312</v>
      </c>
      <c r="D99" s="8" t="s">
        <v>10</v>
      </c>
      <c r="E99" s="8" t="n">
        <v>18560</v>
      </c>
      <c r="F99" s="8" t="n">
        <v>16020</v>
      </c>
      <c r="G99" s="9" t="n">
        <v>2540</v>
      </c>
      <c r="H99" s="8" t="s">
        <v>11</v>
      </c>
      <c r="I99" s="8" t="s">
        <v>26</v>
      </c>
      <c r="J99" s="8" t="s">
        <v>13</v>
      </c>
      <c r="K99" s="5"/>
      <c r="L99" s="5"/>
    </row>
    <row r="100" customFormat="false" ht="13.8" hidden="false" customHeight="false" outlineLevel="0" collapsed="false">
      <c r="A100" s="6" t="n">
        <v>44485</v>
      </c>
      <c r="B100" s="7" t="n">
        <v>0.261805555555556</v>
      </c>
      <c r="C100" s="8" t="n">
        <v>145291</v>
      </c>
      <c r="D100" s="8" t="s">
        <v>15</v>
      </c>
      <c r="E100" s="8" t="n">
        <v>4420</v>
      </c>
      <c r="F100" s="8" t="n">
        <v>3740</v>
      </c>
      <c r="G100" s="9" t="n">
        <v>680</v>
      </c>
      <c r="H100" s="8" t="s">
        <v>11</v>
      </c>
      <c r="I100" s="8" t="s">
        <v>12</v>
      </c>
      <c r="J100" s="8" t="s">
        <v>13</v>
      </c>
      <c r="K100" s="5"/>
      <c r="L100" s="5"/>
    </row>
    <row r="101" customFormat="false" ht="13.8" hidden="false" customHeight="false" outlineLevel="0" collapsed="false">
      <c r="A101" s="6" t="n">
        <v>44485</v>
      </c>
      <c r="B101" s="7" t="n">
        <v>0.252083333333333</v>
      </c>
      <c r="C101" s="8" t="n">
        <v>145290</v>
      </c>
      <c r="D101" s="8" t="s">
        <v>21</v>
      </c>
      <c r="E101" s="8" t="n">
        <v>26960</v>
      </c>
      <c r="F101" s="8" t="n">
        <v>15860</v>
      </c>
      <c r="G101" s="9" t="n">
        <v>11100</v>
      </c>
      <c r="H101" s="8" t="s">
        <v>11</v>
      </c>
      <c r="I101" s="8" t="s">
        <v>12</v>
      </c>
      <c r="J101" s="8" t="s">
        <v>13</v>
      </c>
      <c r="K101" s="5"/>
      <c r="L101" s="5"/>
    </row>
    <row r="102" customFormat="false" ht="13.8" hidden="false" customHeight="false" outlineLevel="0" collapsed="false">
      <c r="A102" s="6" t="n">
        <v>44485</v>
      </c>
      <c r="B102" s="7" t="n">
        <v>0.188888888888889</v>
      </c>
      <c r="C102" s="8" t="n">
        <v>145288</v>
      </c>
      <c r="D102" s="8" t="s">
        <v>14</v>
      </c>
      <c r="E102" s="8" t="n">
        <v>15620</v>
      </c>
      <c r="F102" s="8" t="n">
        <v>12880</v>
      </c>
      <c r="G102" s="9" t="n">
        <v>2740</v>
      </c>
      <c r="H102" s="8" t="s">
        <v>11</v>
      </c>
      <c r="I102" s="8" t="s">
        <v>12</v>
      </c>
      <c r="J102" s="8" t="s">
        <v>13</v>
      </c>
      <c r="K102" s="5"/>
      <c r="L102" s="5"/>
    </row>
    <row r="103" customFormat="false" ht="13.8" hidden="false" customHeight="false" outlineLevel="0" collapsed="false">
      <c r="A103" s="6" t="n">
        <v>44485</v>
      </c>
      <c r="B103" s="7" t="n">
        <v>0.11875</v>
      </c>
      <c r="C103" s="8" t="n">
        <v>145281</v>
      </c>
      <c r="D103" s="8" t="s">
        <v>14</v>
      </c>
      <c r="E103" s="8" t="n">
        <v>20720</v>
      </c>
      <c r="F103" s="8" t="n">
        <v>12840</v>
      </c>
      <c r="G103" s="9" t="n">
        <v>7880</v>
      </c>
      <c r="H103" s="8" t="s">
        <v>11</v>
      </c>
      <c r="I103" s="8" t="s">
        <v>12</v>
      </c>
      <c r="J103" s="8" t="s">
        <v>13</v>
      </c>
      <c r="K103" s="5"/>
      <c r="L103" s="5"/>
    </row>
    <row r="104" customFormat="false" ht="13.8" hidden="false" customHeight="false" outlineLevel="0" collapsed="false">
      <c r="A104" s="6" t="n">
        <v>44486</v>
      </c>
      <c r="B104" s="7" t="n">
        <v>0.451388888888889</v>
      </c>
      <c r="C104" s="8" t="n">
        <v>145313</v>
      </c>
      <c r="D104" s="8" t="s">
        <v>28</v>
      </c>
      <c r="E104" s="8" t="n">
        <v>2600</v>
      </c>
      <c r="F104" s="8" t="n">
        <v>2300</v>
      </c>
      <c r="G104" s="9" t="n">
        <v>300</v>
      </c>
      <c r="H104" s="8" t="s">
        <v>11</v>
      </c>
      <c r="I104" s="8" t="s">
        <v>12</v>
      </c>
      <c r="J104" s="8" t="s">
        <v>13</v>
      </c>
      <c r="K104" s="5"/>
      <c r="L104" s="5"/>
    </row>
    <row r="105" customFormat="false" ht="13.8" hidden="false" customHeight="false" outlineLevel="0" collapsed="false">
      <c r="A105" s="6" t="n">
        <v>44486</v>
      </c>
      <c r="B105" s="7" t="n">
        <v>0.138888888888889</v>
      </c>
      <c r="C105" s="8" t="n">
        <v>145305</v>
      </c>
      <c r="D105" s="8" t="s">
        <v>14</v>
      </c>
      <c r="E105" s="8" t="n">
        <v>15460</v>
      </c>
      <c r="F105" s="8" t="n">
        <v>12660</v>
      </c>
      <c r="G105" s="9" t="n">
        <v>2800</v>
      </c>
      <c r="H105" s="8" t="s">
        <v>11</v>
      </c>
      <c r="I105" s="8" t="s">
        <v>12</v>
      </c>
      <c r="J105" s="8" t="s">
        <v>13</v>
      </c>
      <c r="K105" s="5"/>
      <c r="L105" s="5"/>
    </row>
    <row r="106" customFormat="false" ht="13.8" hidden="false" customHeight="false" outlineLevel="0" collapsed="false">
      <c r="A106" s="6" t="n">
        <v>44486</v>
      </c>
      <c r="B106" s="7" t="n">
        <v>0.0638888888888889</v>
      </c>
      <c r="C106" s="8" t="n">
        <v>145299</v>
      </c>
      <c r="D106" s="8" t="s">
        <v>14</v>
      </c>
      <c r="E106" s="8" t="n">
        <v>21260</v>
      </c>
      <c r="F106" s="8" t="n">
        <v>12680</v>
      </c>
      <c r="G106" s="9" t="n">
        <v>8580</v>
      </c>
      <c r="H106" s="8" t="s">
        <v>11</v>
      </c>
      <c r="I106" s="8" t="s">
        <v>12</v>
      </c>
      <c r="J106" s="8" t="s">
        <v>13</v>
      </c>
      <c r="K106" s="5"/>
      <c r="L106" s="5"/>
    </row>
    <row r="107" customFormat="false" ht="13.8" hidden="false" customHeight="false" outlineLevel="0" collapsed="false">
      <c r="A107" s="6" t="n">
        <v>44486</v>
      </c>
      <c r="B107" s="7" t="n">
        <v>0.242361111111111</v>
      </c>
      <c r="C107" s="10" t="n">
        <v>145308</v>
      </c>
      <c r="D107" s="8" t="s">
        <v>21</v>
      </c>
      <c r="E107" s="8" t="n">
        <v>27120</v>
      </c>
      <c r="F107" s="8" t="n">
        <v>15820</v>
      </c>
      <c r="G107" s="9" t="n">
        <v>11300</v>
      </c>
      <c r="H107" s="8" t="s">
        <v>11</v>
      </c>
      <c r="I107" s="8" t="s">
        <v>12</v>
      </c>
      <c r="J107" s="8" t="s">
        <v>13</v>
      </c>
      <c r="K107" s="5"/>
      <c r="L107" s="5"/>
    </row>
    <row r="108" customFormat="false" ht="13.8" hidden="false" customHeight="false" outlineLevel="0" collapsed="false">
      <c r="A108" s="6" t="n">
        <v>44487</v>
      </c>
      <c r="B108" s="7" t="n">
        <v>0.1</v>
      </c>
      <c r="C108" s="8" t="n">
        <v>145316</v>
      </c>
      <c r="D108" s="8" t="s">
        <v>15</v>
      </c>
      <c r="E108" s="8" t="n">
        <v>4520</v>
      </c>
      <c r="F108" s="8" t="n">
        <v>3600</v>
      </c>
      <c r="G108" s="9" t="n">
        <v>920</v>
      </c>
      <c r="H108" s="8" t="s">
        <v>11</v>
      </c>
      <c r="I108" s="8" t="s">
        <v>12</v>
      </c>
      <c r="J108" s="8" t="s">
        <v>13</v>
      </c>
      <c r="K108" s="5"/>
      <c r="L108" s="5"/>
    </row>
    <row r="109" customFormat="false" ht="13.8" hidden="false" customHeight="false" outlineLevel="0" collapsed="false">
      <c r="A109" s="6" t="n">
        <v>44487</v>
      </c>
      <c r="B109" s="7" t="n">
        <v>0.260416666666667</v>
      </c>
      <c r="C109" s="8" t="n">
        <v>145329</v>
      </c>
      <c r="D109" s="8" t="s">
        <v>15</v>
      </c>
      <c r="E109" s="8" t="n">
        <v>4420</v>
      </c>
      <c r="F109" s="8" t="n">
        <v>3700</v>
      </c>
      <c r="G109" s="9" t="n">
        <v>720</v>
      </c>
      <c r="H109" s="8" t="s">
        <v>11</v>
      </c>
      <c r="I109" s="8" t="s">
        <v>12</v>
      </c>
      <c r="J109" s="8" t="s">
        <v>13</v>
      </c>
      <c r="K109" s="5"/>
      <c r="L109" s="5"/>
    </row>
    <row r="110" customFormat="false" ht="13.8" hidden="false" customHeight="false" outlineLevel="0" collapsed="false">
      <c r="A110" s="6" t="n">
        <v>44487</v>
      </c>
      <c r="B110" s="7" t="n">
        <v>0.252777777777778</v>
      </c>
      <c r="C110" s="8" t="n">
        <v>145328</v>
      </c>
      <c r="D110" s="8" t="s">
        <v>21</v>
      </c>
      <c r="E110" s="8" t="n">
        <v>27160</v>
      </c>
      <c r="F110" s="8" t="n">
        <v>15960</v>
      </c>
      <c r="G110" s="9" t="n">
        <v>11200</v>
      </c>
      <c r="H110" s="8" t="s">
        <v>11</v>
      </c>
      <c r="I110" s="8" t="s">
        <v>12</v>
      </c>
      <c r="J110" s="8" t="s">
        <v>13</v>
      </c>
      <c r="K110" s="5"/>
      <c r="L110" s="5"/>
    </row>
    <row r="111" customFormat="false" ht="13.8" hidden="false" customHeight="false" outlineLevel="0" collapsed="false">
      <c r="A111" s="6" t="n">
        <v>44487</v>
      </c>
      <c r="B111" s="7" t="n">
        <v>0.102777777777778</v>
      </c>
      <c r="C111" s="8" t="n">
        <v>145317</v>
      </c>
      <c r="D111" s="8" t="s">
        <v>14</v>
      </c>
      <c r="E111" s="8" t="n">
        <v>20760</v>
      </c>
      <c r="F111" s="8" t="n">
        <v>12940</v>
      </c>
      <c r="G111" s="9" t="n">
        <v>7820</v>
      </c>
      <c r="H111" s="8" t="s">
        <v>11</v>
      </c>
      <c r="I111" s="8" t="s">
        <v>12</v>
      </c>
      <c r="J111" s="8" t="s">
        <v>13</v>
      </c>
      <c r="K111" s="5"/>
      <c r="L111" s="5"/>
    </row>
    <row r="112" customFormat="false" ht="13.8" hidden="false" customHeight="false" outlineLevel="0" collapsed="false">
      <c r="A112" s="6" t="n">
        <v>44487</v>
      </c>
      <c r="B112" s="7" t="n">
        <v>0.509027777777778</v>
      </c>
      <c r="C112" s="8" t="n">
        <v>145355</v>
      </c>
      <c r="D112" s="8" t="s">
        <v>28</v>
      </c>
      <c r="E112" s="8" t="n">
        <v>2740</v>
      </c>
      <c r="F112" s="8" t="n">
        <v>2300</v>
      </c>
      <c r="G112" s="9" t="n">
        <v>440</v>
      </c>
      <c r="H112" s="8" t="s">
        <v>11</v>
      </c>
      <c r="I112" s="8" t="s">
        <v>12</v>
      </c>
      <c r="J112" s="8" t="s">
        <v>13</v>
      </c>
      <c r="K112" s="5"/>
      <c r="L112" s="5"/>
    </row>
    <row r="113" customFormat="false" ht="13.8" hidden="false" customHeight="false" outlineLevel="0" collapsed="false">
      <c r="A113" s="6" t="n">
        <v>44487</v>
      </c>
      <c r="B113" s="7" t="n">
        <v>0.520138888888889</v>
      </c>
      <c r="C113" s="8" t="n">
        <v>2185</v>
      </c>
      <c r="D113" s="8" t="s">
        <v>10</v>
      </c>
      <c r="E113" s="8" t="n">
        <v>17620</v>
      </c>
      <c r="F113" s="8" t="n">
        <v>16000</v>
      </c>
      <c r="G113" s="9" t="n">
        <v>1620</v>
      </c>
      <c r="H113" s="8" t="s">
        <v>11</v>
      </c>
      <c r="I113" s="8" t="s">
        <v>24</v>
      </c>
      <c r="J113" s="8" t="s">
        <v>13</v>
      </c>
      <c r="K113" s="5"/>
      <c r="L113" s="5"/>
    </row>
    <row r="114" customFormat="false" ht="13.8" hidden="false" customHeight="false" outlineLevel="0" collapsed="false">
      <c r="A114" s="6" t="n">
        <v>44487</v>
      </c>
      <c r="B114" s="7" t="n">
        <v>0.452777777777778</v>
      </c>
      <c r="C114" s="8" t="n">
        <v>127418</v>
      </c>
      <c r="D114" s="8" t="s">
        <v>25</v>
      </c>
      <c r="E114" s="8" t="n">
        <v>18200</v>
      </c>
      <c r="F114" s="8" t="n">
        <v>18000</v>
      </c>
      <c r="G114" s="9" t="n">
        <v>200</v>
      </c>
      <c r="H114" s="8" t="s">
        <v>11</v>
      </c>
      <c r="I114" s="8" t="s">
        <v>19</v>
      </c>
      <c r="J114" s="8" t="s">
        <v>13</v>
      </c>
      <c r="K114" s="5" t="s">
        <v>27</v>
      </c>
      <c r="L114" s="5"/>
    </row>
    <row r="115" customFormat="false" ht="13.8" hidden="false" customHeight="false" outlineLevel="0" collapsed="false">
      <c r="A115" s="6" t="n">
        <v>44487</v>
      </c>
      <c r="B115" s="7" t="n">
        <v>0.452777777777778</v>
      </c>
      <c r="C115" s="8" t="n">
        <v>127417</v>
      </c>
      <c r="D115" s="8" t="s">
        <v>25</v>
      </c>
      <c r="E115" s="8" t="n">
        <v>18000</v>
      </c>
      <c r="F115" s="8" t="n">
        <v>16100</v>
      </c>
      <c r="G115" s="9" t="n">
        <v>1900</v>
      </c>
      <c r="H115" s="8" t="s">
        <v>11</v>
      </c>
      <c r="I115" s="8" t="s">
        <v>19</v>
      </c>
      <c r="J115" s="8" t="s">
        <v>13</v>
      </c>
      <c r="K115" s="5"/>
      <c r="L115" s="5"/>
    </row>
    <row r="116" customFormat="false" ht="13.8" hidden="false" customHeight="false" outlineLevel="0" collapsed="false">
      <c r="A116" s="6" t="n">
        <v>44487</v>
      </c>
      <c r="B116" s="7" t="n">
        <v>0.552777777777778</v>
      </c>
      <c r="C116" s="8" t="n">
        <v>127455</v>
      </c>
      <c r="D116" s="8" t="s">
        <v>16</v>
      </c>
      <c r="E116" s="8" t="n">
        <v>3280</v>
      </c>
      <c r="F116" s="8" t="n">
        <v>2820</v>
      </c>
      <c r="G116" s="9" t="n">
        <v>460</v>
      </c>
      <c r="H116" s="8" t="s">
        <v>11</v>
      </c>
      <c r="I116" s="8" t="s">
        <v>17</v>
      </c>
      <c r="J116" s="8" t="s">
        <v>13</v>
      </c>
      <c r="K116" s="5"/>
      <c r="L116" s="5"/>
    </row>
    <row r="117" customFormat="false" ht="13.8" hidden="false" customHeight="false" outlineLevel="0" collapsed="false">
      <c r="A117" s="6" t="n">
        <v>44488</v>
      </c>
      <c r="B117" s="7" t="n">
        <v>0.263888888888889</v>
      </c>
      <c r="C117" s="8" t="n">
        <v>145386</v>
      </c>
      <c r="D117" s="8" t="s">
        <v>15</v>
      </c>
      <c r="E117" s="8" t="n">
        <v>4180</v>
      </c>
      <c r="F117" s="8" t="n">
        <v>3760</v>
      </c>
      <c r="G117" s="9" t="n">
        <v>420</v>
      </c>
      <c r="H117" s="8" t="s">
        <v>11</v>
      </c>
      <c r="I117" s="8" t="s">
        <v>12</v>
      </c>
      <c r="J117" s="8" t="s">
        <v>13</v>
      </c>
      <c r="K117" s="5"/>
      <c r="L117" s="5"/>
    </row>
    <row r="118" customFormat="false" ht="13.8" hidden="false" customHeight="false" outlineLevel="0" collapsed="false">
      <c r="A118" s="6" t="n">
        <v>44488</v>
      </c>
      <c r="B118" s="7" t="n">
        <v>0.24375</v>
      </c>
      <c r="C118" s="8" t="n">
        <v>145383</v>
      </c>
      <c r="D118" s="8" t="s">
        <v>21</v>
      </c>
      <c r="E118" s="8" t="n">
        <v>26800</v>
      </c>
      <c r="F118" s="8" t="n">
        <v>15840</v>
      </c>
      <c r="G118" s="9" t="n">
        <v>10960</v>
      </c>
      <c r="H118" s="8" t="s">
        <v>11</v>
      </c>
      <c r="I118" s="8" t="s">
        <v>12</v>
      </c>
      <c r="J118" s="8" t="s">
        <v>13</v>
      </c>
      <c r="K118" s="5"/>
      <c r="L118" s="5"/>
    </row>
    <row r="119" customFormat="false" ht="13.8" hidden="false" customHeight="false" outlineLevel="0" collapsed="false">
      <c r="A119" s="6" t="n">
        <v>44488</v>
      </c>
      <c r="B119" s="7" t="n">
        <v>0.0965277777777778</v>
      </c>
      <c r="C119" s="8" t="n">
        <v>145374</v>
      </c>
      <c r="D119" s="8" t="s">
        <v>14</v>
      </c>
      <c r="E119" s="8" t="n">
        <v>20480</v>
      </c>
      <c r="F119" s="8" t="n">
        <v>13020</v>
      </c>
      <c r="G119" s="9" t="n">
        <v>7460</v>
      </c>
      <c r="H119" s="8" t="s">
        <v>11</v>
      </c>
      <c r="I119" s="8" t="s">
        <v>12</v>
      </c>
      <c r="J119" s="8" t="s">
        <v>13</v>
      </c>
      <c r="K119" s="5"/>
      <c r="L119" s="5"/>
    </row>
    <row r="120" customFormat="false" ht="13.8" hidden="false" customHeight="false" outlineLevel="0" collapsed="false">
      <c r="A120" s="6" t="n">
        <v>44488</v>
      </c>
      <c r="B120" s="7" t="n">
        <v>0.188888888888889</v>
      </c>
      <c r="C120" s="8" t="n">
        <v>145382</v>
      </c>
      <c r="D120" s="8" t="s">
        <v>14</v>
      </c>
      <c r="E120" s="8" t="n">
        <v>15960</v>
      </c>
      <c r="F120" s="8" t="n">
        <v>12940</v>
      </c>
      <c r="G120" s="9" t="n">
        <v>3020</v>
      </c>
      <c r="H120" s="8" t="s">
        <v>11</v>
      </c>
      <c r="I120" s="8" t="s">
        <v>12</v>
      </c>
      <c r="J120" s="8" t="s">
        <v>13</v>
      </c>
      <c r="K120" s="5"/>
      <c r="L120" s="5"/>
    </row>
    <row r="121" customFormat="false" ht="13.8" hidden="false" customHeight="false" outlineLevel="0" collapsed="false">
      <c r="A121" s="6" t="n">
        <v>44488</v>
      </c>
      <c r="B121" s="7" t="n">
        <v>0.522916666666667</v>
      </c>
      <c r="C121" s="8" t="n">
        <v>145407</v>
      </c>
      <c r="D121" s="8" t="s">
        <v>15</v>
      </c>
      <c r="E121" s="8" t="n">
        <v>4140</v>
      </c>
      <c r="F121" s="8" t="n">
        <v>3660</v>
      </c>
      <c r="G121" s="9" t="n">
        <v>480</v>
      </c>
      <c r="H121" s="8" t="s">
        <v>11</v>
      </c>
      <c r="I121" s="8" t="s">
        <v>12</v>
      </c>
      <c r="J121" s="8" t="s">
        <v>13</v>
      </c>
      <c r="K121" s="5"/>
      <c r="L121" s="5"/>
    </row>
    <row r="122" customFormat="false" ht="13.8" hidden="false" customHeight="false" outlineLevel="0" collapsed="false">
      <c r="A122" s="6" t="n">
        <v>44488</v>
      </c>
      <c r="B122" s="7" t="n">
        <v>0.550694444444444</v>
      </c>
      <c r="C122" s="8" t="n">
        <v>127558</v>
      </c>
      <c r="D122" s="8" t="s">
        <v>16</v>
      </c>
      <c r="E122" s="8" t="n">
        <v>3080</v>
      </c>
      <c r="F122" s="8" t="n">
        <v>2800</v>
      </c>
      <c r="G122" s="9" t="n">
        <v>280</v>
      </c>
      <c r="H122" s="8" t="s">
        <v>11</v>
      </c>
      <c r="I122" s="8" t="s">
        <v>17</v>
      </c>
      <c r="J122" s="8" t="s">
        <v>13</v>
      </c>
      <c r="K122" s="5"/>
      <c r="L122" s="5"/>
    </row>
    <row r="123" customFormat="false" ht="13.8" hidden="false" customHeight="false" outlineLevel="0" collapsed="false">
      <c r="A123" s="6" t="n">
        <v>44488</v>
      </c>
      <c r="B123" s="7" t="n">
        <v>0.484027777777778</v>
      </c>
      <c r="C123" s="8" t="n">
        <v>145404</v>
      </c>
      <c r="D123" s="8" t="s">
        <v>28</v>
      </c>
      <c r="E123" s="8" t="n">
        <v>2700</v>
      </c>
      <c r="F123" s="8" t="n">
        <v>2300</v>
      </c>
      <c r="G123" s="9" t="n">
        <v>400</v>
      </c>
      <c r="H123" s="8" t="s">
        <v>11</v>
      </c>
      <c r="I123" s="8" t="s">
        <v>12</v>
      </c>
      <c r="J123" s="8" t="s">
        <v>13</v>
      </c>
      <c r="K123" s="5"/>
      <c r="L123" s="5"/>
    </row>
    <row r="124" customFormat="false" ht="13.8" hidden="false" customHeight="false" outlineLevel="0" collapsed="false">
      <c r="A124" s="6" t="n">
        <v>44489</v>
      </c>
      <c r="B124" s="7" t="n">
        <v>0.261111111111111</v>
      </c>
      <c r="C124" s="8" t="n">
        <v>145430</v>
      </c>
      <c r="D124" s="8" t="s">
        <v>15</v>
      </c>
      <c r="E124" s="8" t="n">
        <v>4160</v>
      </c>
      <c r="F124" s="8" t="n">
        <v>3760</v>
      </c>
      <c r="G124" s="9" t="n">
        <v>400</v>
      </c>
      <c r="H124" s="8" t="s">
        <v>11</v>
      </c>
      <c r="I124" s="8" t="s">
        <v>12</v>
      </c>
      <c r="J124" s="8" t="s">
        <v>13</v>
      </c>
      <c r="K124" s="5"/>
      <c r="L124" s="5"/>
    </row>
    <row r="125" customFormat="false" ht="13.8" hidden="false" customHeight="false" outlineLevel="0" collapsed="false">
      <c r="A125" s="6" t="n">
        <v>44489</v>
      </c>
      <c r="B125" s="7" t="n">
        <v>0.193055555555556</v>
      </c>
      <c r="C125" s="8" t="n">
        <v>145424</v>
      </c>
      <c r="D125" s="8" t="s">
        <v>14</v>
      </c>
      <c r="E125" s="8" t="n">
        <v>14480</v>
      </c>
      <c r="F125" s="8" t="n">
        <v>12960</v>
      </c>
      <c r="G125" s="9" t="n">
        <v>1520</v>
      </c>
      <c r="H125" s="8" t="s">
        <v>11</v>
      </c>
      <c r="I125" s="8" t="s">
        <v>12</v>
      </c>
      <c r="J125" s="8" t="s">
        <v>13</v>
      </c>
      <c r="K125" s="5"/>
      <c r="L125" s="5"/>
    </row>
    <row r="126" customFormat="false" ht="13.8" hidden="false" customHeight="false" outlineLevel="0" collapsed="false">
      <c r="A126" s="6" t="n">
        <v>44489</v>
      </c>
      <c r="B126" s="7" t="n">
        <v>0.254166666666667</v>
      </c>
      <c r="C126" s="8" t="n">
        <v>145428</v>
      </c>
      <c r="D126" s="8" t="s">
        <v>21</v>
      </c>
      <c r="E126" s="8" t="n">
        <v>24820</v>
      </c>
      <c r="F126" s="8" t="n">
        <v>15780</v>
      </c>
      <c r="G126" s="9" t="n">
        <v>9040</v>
      </c>
      <c r="H126" s="8" t="s">
        <v>11</v>
      </c>
      <c r="I126" s="8" t="s">
        <v>12</v>
      </c>
      <c r="J126" s="8" t="s">
        <v>13</v>
      </c>
      <c r="K126" s="5"/>
      <c r="L126" s="5"/>
    </row>
    <row r="127" customFormat="false" ht="13.8" hidden="false" customHeight="false" outlineLevel="0" collapsed="false">
      <c r="A127" s="6" t="n">
        <v>44489</v>
      </c>
      <c r="B127" s="7" t="n">
        <v>0.532638888888889</v>
      </c>
      <c r="C127" s="8" t="n">
        <v>127644</v>
      </c>
      <c r="D127" s="8" t="s">
        <v>18</v>
      </c>
      <c r="E127" s="8" t="n">
        <v>6300</v>
      </c>
      <c r="F127" s="8" t="n">
        <v>6240</v>
      </c>
      <c r="G127" s="9" t="n">
        <v>60</v>
      </c>
      <c r="H127" s="8" t="s">
        <v>11</v>
      </c>
      <c r="I127" s="8" t="s">
        <v>19</v>
      </c>
      <c r="J127" s="8" t="s">
        <v>13</v>
      </c>
      <c r="K127" s="5" t="s">
        <v>29</v>
      </c>
      <c r="L127" s="5"/>
    </row>
    <row r="128" customFormat="false" ht="13.8" hidden="false" customHeight="false" outlineLevel="0" collapsed="false">
      <c r="A128" s="6" t="n">
        <v>44489</v>
      </c>
      <c r="B128" s="7" t="n">
        <v>0.532638888888889</v>
      </c>
      <c r="C128" s="8" t="n">
        <v>127643</v>
      </c>
      <c r="D128" s="8" t="s">
        <v>18</v>
      </c>
      <c r="E128" s="8" t="n">
        <v>6240</v>
      </c>
      <c r="F128" s="8" t="n">
        <v>5560</v>
      </c>
      <c r="G128" s="9" t="n">
        <v>680</v>
      </c>
      <c r="H128" s="8" t="s">
        <v>11</v>
      </c>
      <c r="I128" s="8" t="s">
        <v>19</v>
      </c>
      <c r="J128" s="8" t="s">
        <v>13</v>
      </c>
      <c r="K128" s="5"/>
      <c r="L128" s="5"/>
    </row>
    <row r="129" customFormat="false" ht="13.8" hidden="false" customHeight="false" outlineLevel="0" collapsed="false">
      <c r="A129" s="6" t="n">
        <v>44489</v>
      </c>
      <c r="B129" s="7" t="n">
        <v>0.436805555555556</v>
      </c>
      <c r="C129" s="8" t="n">
        <v>127614</v>
      </c>
      <c r="D129" s="8" t="s">
        <v>18</v>
      </c>
      <c r="E129" s="8" t="n">
        <v>6740</v>
      </c>
      <c r="F129" s="8" t="n">
        <v>5680</v>
      </c>
      <c r="G129" s="9" t="n">
        <v>1060</v>
      </c>
      <c r="H129" s="8" t="s">
        <v>11</v>
      </c>
      <c r="I129" s="8" t="s">
        <v>19</v>
      </c>
      <c r="J129" s="8" t="s">
        <v>13</v>
      </c>
      <c r="K129" s="5"/>
      <c r="L129" s="5"/>
    </row>
    <row r="130" customFormat="false" ht="13.8" hidden="false" customHeight="false" outlineLevel="0" collapsed="false">
      <c r="A130" s="6" t="n">
        <v>44489</v>
      </c>
      <c r="B130" s="7" t="n">
        <v>0.436805555555556</v>
      </c>
      <c r="C130" s="8" t="n">
        <v>127615</v>
      </c>
      <c r="D130" s="8" t="s">
        <v>18</v>
      </c>
      <c r="E130" s="8" t="n">
        <v>6800</v>
      </c>
      <c r="F130" s="8" t="n">
        <v>6740</v>
      </c>
      <c r="G130" s="9" t="n">
        <v>60</v>
      </c>
      <c r="H130" s="8" t="s">
        <v>11</v>
      </c>
      <c r="I130" s="8" t="s">
        <v>19</v>
      </c>
      <c r="J130" s="8" t="s">
        <v>13</v>
      </c>
      <c r="K130" s="5" t="s">
        <v>29</v>
      </c>
      <c r="L130" s="5"/>
    </row>
    <row r="131" customFormat="false" ht="13.8" hidden="false" customHeight="false" outlineLevel="0" collapsed="false">
      <c r="A131" s="6" t="n">
        <v>44489</v>
      </c>
      <c r="B131" s="7" t="n">
        <v>0.51875</v>
      </c>
      <c r="C131" s="8" t="n">
        <v>127635</v>
      </c>
      <c r="D131" s="8" t="s">
        <v>10</v>
      </c>
      <c r="E131" s="8" t="n">
        <v>17560</v>
      </c>
      <c r="F131" s="8" t="n">
        <v>16020</v>
      </c>
      <c r="G131" s="9" t="n">
        <v>1540</v>
      </c>
      <c r="H131" s="8" t="s">
        <v>11</v>
      </c>
      <c r="I131" s="8" t="s">
        <v>26</v>
      </c>
      <c r="J131" s="8" t="s">
        <v>13</v>
      </c>
      <c r="K131" s="5"/>
      <c r="L131" s="5"/>
    </row>
    <row r="132" customFormat="false" ht="13.8" hidden="false" customHeight="false" outlineLevel="0" collapsed="false">
      <c r="A132" s="6" t="n">
        <v>44490</v>
      </c>
      <c r="B132" s="7" t="n">
        <v>0.261111111111111</v>
      </c>
      <c r="C132" s="8" t="n">
        <v>145481</v>
      </c>
      <c r="D132" s="8" t="s">
        <v>15</v>
      </c>
      <c r="E132" s="8" t="n">
        <v>4240</v>
      </c>
      <c r="F132" s="8" t="n">
        <v>3760</v>
      </c>
      <c r="G132" s="9" t="n">
        <v>480</v>
      </c>
      <c r="H132" s="8" t="s">
        <v>11</v>
      </c>
      <c r="I132" s="8" t="s">
        <v>12</v>
      </c>
      <c r="J132" s="8" t="s">
        <v>13</v>
      </c>
      <c r="K132" s="5"/>
      <c r="L132" s="5"/>
    </row>
    <row r="133" customFormat="false" ht="13.8" hidden="false" customHeight="false" outlineLevel="0" collapsed="false">
      <c r="A133" s="6" t="n">
        <v>44490</v>
      </c>
      <c r="B133" s="7" t="n">
        <v>0.2375</v>
      </c>
      <c r="C133" s="8" t="n">
        <v>145477</v>
      </c>
      <c r="D133" s="8" t="s">
        <v>21</v>
      </c>
      <c r="E133" s="8" t="n">
        <v>26480</v>
      </c>
      <c r="F133" s="8" t="n">
        <v>15900</v>
      </c>
      <c r="G133" s="9" t="n">
        <v>10580</v>
      </c>
      <c r="H133" s="8" t="s">
        <v>11</v>
      </c>
      <c r="I133" s="8" t="s">
        <v>12</v>
      </c>
      <c r="J133" s="8" t="s">
        <v>13</v>
      </c>
      <c r="K133" s="5"/>
      <c r="L133" s="5"/>
    </row>
    <row r="134" customFormat="false" ht="13.8" hidden="false" customHeight="false" outlineLevel="0" collapsed="false">
      <c r="A134" s="6" t="n">
        <v>44490</v>
      </c>
      <c r="B134" s="7" t="n">
        <v>0.172222222222222</v>
      </c>
      <c r="C134" s="8" t="n">
        <v>145473</v>
      </c>
      <c r="D134" s="8" t="s">
        <v>14</v>
      </c>
      <c r="E134" s="8" t="n">
        <v>21720</v>
      </c>
      <c r="F134" s="8" t="n">
        <v>12980</v>
      </c>
      <c r="G134" s="9" t="n">
        <v>8740</v>
      </c>
      <c r="H134" s="8" t="s">
        <v>11</v>
      </c>
      <c r="I134" s="8" t="s">
        <v>12</v>
      </c>
      <c r="J134" s="8" t="s">
        <v>13</v>
      </c>
      <c r="K134" s="5"/>
      <c r="L134" s="5"/>
    </row>
    <row r="135" customFormat="false" ht="13.8" hidden="false" customHeight="false" outlineLevel="0" collapsed="false">
      <c r="A135" s="6" t="n">
        <v>44490</v>
      </c>
      <c r="B135" s="7" t="n">
        <v>0.494444444444444</v>
      </c>
      <c r="C135" s="8" t="n">
        <v>145502</v>
      </c>
      <c r="D135" s="8" t="s">
        <v>28</v>
      </c>
      <c r="E135" s="8" t="n">
        <v>2600</v>
      </c>
      <c r="F135" s="8" t="n">
        <v>2400</v>
      </c>
      <c r="G135" s="9" t="n">
        <v>200</v>
      </c>
      <c r="H135" s="8" t="s">
        <v>11</v>
      </c>
      <c r="I135" s="8" t="s">
        <v>12</v>
      </c>
      <c r="J135" s="8" t="s">
        <v>13</v>
      </c>
      <c r="K135" s="5"/>
      <c r="L135" s="5"/>
    </row>
    <row r="136" customFormat="false" ht="13.8" hidden="false" customHeight="false" outlineLevel="0" collapsed="false">
      <c r="A136" s="6" t="n">
        <v>44491</v>
      </c>
      <c r="B136" s="7" t="n">
        <v>0.183333333333333</v>
      </c>
      <c r="C136" s="8" t="n">
        <v>145526</v>
      </c>
      <c r="D136" s="8" t="s">
        <v>14</v>
      </c>
      <c r="E136" s="8" t="n">
        <v>21780</v>
      </c>
      <c r="F136" s="8" t="n">
        <v>12900</v>
      </c>
      <c r="G136" s="9" t="n">
        <v>8880</v>
      </c>
      <c r="H136" s="8" t="s">
        <v>11</v>
      </c>
      <c r="I136" s="8" t="s">
        <v>12</v>
      </c>
      <c r="J136" s="8" t="s">
        <v>13</v>
      </c>
      <c r="K136" s="5"/>
      <c r="L136" s="5"/>
    </row>
    <row r="137" customFormat="false" ht="13.8" hidden="false" customHeight="false" outlineLevel="0" collapsed="false">
      <c r="A137" s="6" t="n">
        <v>44491</v>
      </c>
      <c r="B137" s="7" t="n">
        <v>0.264583333333333</v>
      </c>
      <c r="C137" s="8" t="n">
        <v>145533</v>
      </c>
      <c r="D137" s="8" t="s">
        <v>15</v>
      </c>
      <c r="E137" s="8" t="n">
        <v>4160</v>
      </c>
      <c r="F137" s="8" t="n">
        <v>3740</v>
      </c>
      <c r="G137" s="9" t="n">
        <v>420</v>
      </c>
      <c r="H137" s="8" t="s">
        <v>11</v>
      </c>
      <c r="I137" s="8" t="s">
        <v>12</v>
      </c>
      <c r="J137" s="8" t="s">
        <v>13</v>
      </c>
      <c r="K137" s="5"/>
      <c r="L137" s="5"/>
    </row>
    <row r="138" customFormat="false" ht="13.8" hidden="false" customHeight="false" outlineLevel="0" collapsed="false">
      <c r="A138" s="6" t="n">
        <v>44491</v>
      </c>
      <c r="B138" s="7" t="n">
        <v>0.245833333333333</v>
      </c>
      <c r="C138" s="8" t="n">
        <v>145531</v>
      </c>
      <c r="D138" s="8" t="s">
        <v>21</v>
      </c>
      <c r="E138" s="8" t="n">
        <v>24940</v>
      </c>
      <c r="F138" s="8" t="n">
        <v>15740</v>
      </c>
      <c r="G138" s="9" t="n">
        <v>9200</v>
      </c>
      <c r="H138" s="8" t="s">
        <v>11</v>
      </c>
      <c r="I138" s="8" t="s">
        <v>12</v>
      </c>
      <c r="J138" s="8" t="s">
        <v>13</v>
      </c>
      <c r="K138" s="5"/>
      <c r="L138" s="5"/>
    </row>
    <row r="139" customFormat="false" ht="13.8" hidden="false" customHeight="false" outlineLevel="0" collapsed="false">
      <c r="A139" s="6" t="n">
        <v>44489</v>
      </c>
      <c r="B139" s="7" t="n">
        <v>0.141666666666667</v>
      </c>
      <c r="C139" s="8" t="n">
        <v>145423</v>
      </c>
      <c r="D139" s="8" t="s">
        <v>14</v>
      </c>
      <c r="E139" s="8" t="n">
        <v>20440</v>
      </c>
      <c r="F139" s="8" t="n">
        <v>13020</v>
      </c>
      <c r="G139" s="9" t="n">
        <v>7420</v>
      </c>
      <c r="H139" s="8" t="s">
        <v>11</v>
      </c>
      <c r="I139" s="8" t="s">
        <v>12</v>
      </c>
      <c r="J139" s="8" t="s">
        <v>13</v>
      </c>
      <c r="K139" s="5"/>
      <c r="L139" s="5"/>
    </row>
    <row r="140" customFormat="false" ht="13.8" hidden="false" customHeight="false" outlineLevel="0" collapsed="false">
      <c r="A140" s="6" t="n">
        <v>44491</v>
      </c>
      <c r="B140" s="7" t="n">
        <v>0.442361111111111</v>
      </c>
      <c r="C140" s="8" t="n">
        <v>145550</v>
      </c>
      <c r="D140" s="8" t="s">
        <v>28</v>
      </c>
      <c r="E140" s="8" t="n">
        <v>2620</v>
      </c>
      <c r="F140" s="8" t="n">
        <v>2380</v>
      </c>
      <c r="G140" s="9" t="n">
        <v>240</v>
      </c>
      <c r="H140" s="8" t="s">
        <v>11</v>
      </c>
      <c r="I140" s="8" t="s">
        <v>12</v>
      </c>
      <c r="J140" s="8" t="s">
        <v>13</v>
      </c>
      <c r="K140" s="5"/>
      <c r="L140" s="5"/>
    </row>
    <row r="141" customFormat="false" ht="13.8" hidden="false" customHeight="false" outlineLevel="0" collapsed="false">
      <c r="A141" s="6" t="n">
        <v>44491</v>
      </c>
      <c r="B141" s="7" t="n">
        <v>0.440277777777778</v>
      </c>
      <c r="C141" s="8" t="n">
        <v>127871</v>
      </c>
      <c r="D141" s="8" t="s">
        <v>16</v>
      </c>
      <c r="E141" s="8" t="n">
        <v>3580</v>
      </c>
      <c r="F141" s="8" t="n">
        <v>2700</v>
      </c>
      <c r="G141" s="9" t="n">
        <v>880</v>
      </c>
      <c r="H141" s="8" t="s">
        <v>11</v>
      </c>
      <c r="I141" s="8" t="s">
        <v>17</v>
      </c>
      <c r="J141" s="8" t="s">
        <v>13</v>
      </c>
      <c r="K141" s="5"/>
      <c r="L141" s="5"/>
    </row>
    <row r="142" customFormat="false" ht="13.8" hidden="false" customHeight="false" outlineLevel="0" collapsed="false">
      <c r="A142" s="6" t="n">
        <v>44491</v>
      </c>
      <c r="B142" s="7" t="n">
        <v>0.542361111111111</v>
      </c>
      <c r="C142" s="8" t="n">
        <v>127900</v>
      </c>
      <c r="D142" s="8" t="s">
        <v>16</v>
      </c>
      <c r="E142" s="8" t="n">
        <v>3200</v>
      </c>
      <c r="F142" s="8" t="n">
        <v>2800</v>
      </c>
      <c r="G142" s="9" t="n">
        <v>400</v>
      </c>
      <c r="H142" s="8" t="s">
        <v>11</v>
      </c>
      <c r="I142" s="8" t="s">
        <v>17</v>
      </c>
      <c r="J142" s="8" t="s">
        <v>13</v>
      </c>
      <c r="K142" s="5"/>
      <c r="L142" s="5"/>
    </row>
    <row r="143" customFormat="false" ht="13.8" hidden="false" customHeight="false" outlineLevel="0" collapsed="false">
      <c r="A143" s="6" t="n">
        <v>44491</v>
      </c>
      <c r="B143" s="7" t="n">
        <v>0.48125</v>
      </c>
      <c r="C143" s="8" t="n">
        <v>127888</v>
      </c>
      <c r="D143" s="8" t="s">
        <v>25</v>
      </c>
      <c r="E143" s="8" t="n">
        <v>17540</v>
      </c>
      <c r="F143" s="8" t="n">
        <v>15980</v>
      </c>
      <c r="G143" s="9" t="n">
        <v>1560</v>
      </c>
      <c r="H143" s="8" t="s">
        <v>11</v>
      </c>
      <c r="I143" s="8" t="s">
        <v>26</v>
      </c>
      <c r="J143" s="8" t="s">
        <v>30</v>
      </c>
      <c r="K143" s="5"/>
      <c r="L143" s="5"/>
    </row>
    <row r="144" customFormat="false" ht="13.8" hidden="false" customHeight="false" outlineLevel="0" collapsed="false">
      <c r="A144" s="6" t="n">
        <v>44492</v>
      </c>
      <c r="B144" s="7" t="n">
        <v>0.170833333333333</v>
      </c>
      <c r="C144" s="8" t="n">
        <v>145573</v>
      </c>
      <c r="D144" s="8" t="s">
        <v>14</v>
      </c>
      <c r="E144" s="8" t="n">
        <v>22000</v>
      </c>
      <c r="F144" s="8" t="n">
        <v>12900</v>
      </c>
      <c r="G144" s="9" t="n">
        <v>9100</v>
      </c>
      <c r="H144" s="8" t="s">
        <v>11</v>
      </c>
      <c r="I144" s="8" t="s">
        <v>12</v>
      </c>
      <c r="J144" s="8" t="s">
        <v>13</v>
      </c>
      <c r="K144" s="5"/>
      <c r="L144" s="5"/>
    </row>
    <row r="145" customFormat="false" ht="13.8" hidden="false" customHeight="false" outlineLevel="0" collapsed="false">
      <c r="A145" s="6" t="n">
        <v>44492</v>
      </c>
      <c r="B145" s="7" t="n">
        <v>0.263888888888889</v>
      </c>
      <c r="C145" s="8" t="n">
        <v>145580</v>
      </c>
      <c r="D145" s="8" t="s">
        <v>15</v>
      </c>
      <c r="E145" s="8" t="n">
        <v>4580</v>
      </c>
      <c r="F145" s="8" t="n">
        <v>3800</v>
      </c>
      <c r="G145" s="9" t="n">
        <v>780</v>
      </c>
      <c r="H145" s="8" t="s">
        <v>11</v>
      </c>
      <c r="I145" s="8" t="s">
        <v>12</v>
      </c>
      <c r="J145" s="8" t="s">
        <v>13</v>
      </c>
      <c r="K145" s="5"/>
      <c r="L145" s="5"/>
    </row>
    <row r="146" customFormat="false" ht="13.8" hidden="false" customHeight="false" outlineLevel="0" collapsed="false">
      <c r="A146" s="6" t="n">
        <v>44492</v>
      </c>
      <c r="B146" s="7" t="n">
        <v>0.259027777777778</v>
      </c>
      <c r="C146" s="8" t="n">
        <v>145579</v>
      </c>
      <c r="D146" s="8" t="s">
        <v>21</v>
      </c>
      <c r="E146" s="8" t="n">
        <v>25680</v>
      </c>
      <c r="F146" s="8" t="n">
        <v>15800</v>
      </c>
      <c r="G146" s="9" t="n">
        <v>9880</v>
      </c>
      <c r="H146" s="8" t="s">
        <v>11</v>
      </c>
      <c r="I146" s="8" t="s">
        <v>12</v>
      </c>
      <c r="J146" s="8" t="s">
        <v>13</v>
      </c>
      <c r="K146" s="5"/>
      <c r="L146" s="5"/>
    </row>
    <row r="147" customFormat="false" ht="13.8" hidden="false" customHeight="false" outlineLevel="0" collapsed="false">
      <c r="A147" s="6" t="n">
        <v>44493</v>
      </c>
      <c r="B147" s="7" t="n">
        <v>0.238194444444444</v>
      </c>
      <c r="C147" s="8" t="n">
        <v>145594</v>
      </c>
      <c r="D147" s="8" t="s">
        <v>21</v>
      </c>
      <c r="E147" s="8" t="n">
        <v>25560</v>
      </c>
      <c r="F147" s="8" t="n">
        <v>15780</v>
      </c>
      <c r="G147" s="9" t="n">
        <v>9780</v>
      </c>
      <c r="H147" s="8" t="s">
        <v>11</v>
      </c>
      <c r="I147" s="8" t="s">
        <v>12</v>
      </c>
      <c r="J147" s="8" t="s">
        <v>13</v>
      </c>
      <c r="K147" s="5"/>
      <c r="L147" s="5"/>
    </row>
    <row r="148" customFormat="false" ht="13.8" hidden="false" customHeight="false" outlineLevel="0" collapsed="false">
      <c r="A148" s="6" t="n">
        <v>44493</v>
      </c>
      <c r="B148" s="7" t="n">
        <v>0.159722222222222</v>
      </c>
      <c r="C148" s="8" t="n">
        <v>145591</v>
      </c>
      <c r="D148" s="8" t="s">
        <v>14</v>
      </c>
      <c r="E148" s="8" t="n">
        <v>23080</v>
      </c>
      <c r="F148" s="8" t="n">
        <v>12840</v>
      </c>
      <c r="G148" s="9" t="n">
        <v>10240</v>
      </c>
      <c r="H148" s="8" t="s">
        <v>11</v>
      </c>
      <c r="I148" s="8" t="s">
        <v>12</v>
      </c>
      <c r="J148" s="8" t="s">
        <v>13</v>
      </c>
      <c r="K148" s="5"/>
      <c r="L148" s="5"/>
    </row>
    <row r="149" customFormat="false" ht="13.8" hidden="false" customHeight="false" outlineLevel="0" collapsed="false">
      <c r="A149" s="6" t="n">
        <v>44493</v>
      </c>
      <c r="B149" s="7" t="n">
        <v>0.268055555555556</v>
      </c>
      <c r="C149" s="8" t="n">
        <v>145597</v>
      </c>
      <c r="D149" s="8" t="s">
        <v>15</v>
      </c>
      <c r="E149" s="8" t="n">
        <v>4600</v>
      </c>
      <c r="F149" s="8" t="n">
        <v>3760</v>
      </c>
      <c r="G149" s="9" t="n">
        <v>840</v>
      </c>
      <c r="H149" s="8" t="s">
        <v>11</v>
      </c>
      <c r="I149" s="8" t="s">
        <v>12</v>
      </c>
      <c r="J149" s="8" t="s">
        <v>13</v>
      </c>
      <c r="K149" s="5"/>
      <c r="L149" s="5"/>
    </row>
    <row r="150" customFormat="false" ht="13.8" hidden="false" customHeight="false" outlineLevel="0" collapsed="false">
      <c r="A150" s="6" t="n">
        <v>44493</v>
      </c>
      <c r="B150" s="7" t="n">
        <v>0.438888888888889</v>
      </c>
      <c r="C150" s="8" t="n">
        <v>145598</v>
      </c>
      <c r="D150" s="8" t="s">
        <v>28</v>
      </c>
      <c r="E150" s="8" t="n">
        <v>2620</v>
      </c>
      <c r="F150" s="8" t="n">
        <v>2380</v>
      </c>
      <c r="G150" s="9" t="n">
        <v>240</v>
      </c>
      <c r="H150" s="8" t="s">
        <v>11</v>
      </c>
      <c r="I150" s="8" t="s">
        <v>12</v>
      </c>
      <c r="J150" s="8" t="s">
        <v>13</v>
      </c>
      <c r="K150" s="5"/>
      <c r="L150" s="5"/>
    </row>
    <row r="151" customFormat="false" ht="13.8" hidden="false" customHeight="false" outlineLevel="0" collapsed="false">
      <c r="A151" s="6" t="n">
        <v>44494</v>
      </c>
      <c r="B151" s="7" t="n">
        <v>0.123611111111111</v>
      </c>
      <c r="C151" s="8" t="n">
        <v>145603</v>
      </c>
      <c r="D151" s="8" t="s">
        <v>14</v>
      </c>
      <c r="E151" s="8" t="n">
        <v>21180</v>
      </c>
      <c r="F151" s="8" t="n">
        <v>13000</v>
      </c>
      <c r="G151" s="9" t="n">
        <v>8180</v>
      </c>
      <c r="H151" s="8" t="s">
        <v>11</v>
      </c>
      <c r="I151" s="8" t="s">
        <v>12</v>
      </c>
      <c r="J151" s="8" t="s">
        <v>13</v>
      </c>
      <c r="K151" s="5"/>
      <c r="L151" s="5"/>
    </row>
    <row r="152" customFormat="false" ht="13.8" hidden="false" customHeight="false" outlineLevel="0" collapsed="false">
      <c r="A152" s="6" t="n">
        <v>44494</v>
      </c>
      <c r="B152" s="7" t="n">
        <v>0.256944444444444</v>
      </c>
      <c r="C152" s="8" t="n">
        <v>145613</v>
      </c>
      <c r="D152" s="8" t="s">
        <v>15</v>
      </c>
      <c r="E152" s="8" t="n">
        <v>4420</v>
      </c>
      <c r="F152" s="8" t="n">
        <v>3740</v>
      </c>
      <c r="G152" s="9" t="n">
        <v>680</v>
      </c>
      <c r="H152" s="8" t="s">
        <v>11</v>
      </c>
      <c r="I152" s="8" t="s">
        <v>12</v>
      </c>
      <c r="J152" s="8" t="s">
        <v>13</v>
      </c>
      <c r="K152" s="5"/>
      <c r="L152" s="5"/>
    </row>
    <row r="153" customFormat="false" ht="13.8" hidden="false" customHeight="false" outlineLevel="0" collapsed="false">
      <c r="A153" s="6" t="n">
        <v>44494</v>
      </c>
      <c r="B153" s="7" t="n">
        <v>0.254166666666667</v>
      </c>
      <c r="C153" s="8" t="n">
        <v>145612</v>
      </c>
      <c r="D153" s="8" t="s">
        <v>21</v>
      </c>
      <c r="E153" s="8" t="n">
        <v>25840</v>
      </c>
      <c r="F153" s="8" t="n">
        <v>15860</v>
      </c>
      <c r="G153" s="9" t="n">
        <v>9980</v>
      </c>
      <c r="H153" s="8" t="s">
        <v>11</v>
      </c>
      <c r="I153" s="8" t="s">
        <v>12</v>
      </c>
      <c r="J153" s="8" t="s">
        <v>13</v>
      </c>
      <c r="K153" s="5"/>
      <c r="L153" s="5"/>
    </row>
    <row r="154" customFormat="false" ht="13.8" hidden="false" customHeight="false" outlineLevel="0" collapsed="false">
      <c r="A154" s="6" t="n">
        <v>44494</v>
      </c>
      <c r="B154" s="7" t="n">
        <v>0.440972222222222</v>
      </c>
      <c r="C154" s="8" t="n">
        <v>145623</v>
      </c>
      <c r="D154" s="8" t="s">
        <v>28</v>
      </c>
      <c r="E154" s="8" t="n">
        <v>2680</v>
      </c>
      <c r="F154" s="8" t="n">
        <v>2320</v>
      </c>
      <c r="G154" s="9" t="n">
        <v>360</v>
      </c>
      <c r="H154" s="8" t="s">
        <v>11</v>
      </c>
      <c r="I154" s="8" t="s">
        <v>12</v>
      </c>
      <c r="J154" s="8" t="s">
        <v>13</v>
      </c>
      <c r="K154" s="5"/>
      <c r="L154" s="5"/>
    </row>
    <row r="155" customFormat="false" ht="13.8" hidden="false" customHeight="false" outlineLevel="0" collapsed="false">
      <c r="A155" s="6" t="n">
        <v>44494</v>
      </c>
      <c r="B155" s="7" t="n">
        <v>0.511111111111111</v>
      </c>
      <c r="C155" s="8" t="n">
        <v>2207</v>
      </c>
      <c r="D155" s="8" t="s">
        <v>10</v>
      </c>
      <c r="E155" s="8" t="n">
        <v>18140</v>
      </c>
      <c r="F155" s="8" t="n">
        <v>16000</v>
      </c>
      <c r="G155" s="9" t="n">
        <v>2140</v>
      </c>
      <c r="H155" s="8" t="s">
        <v>11</v>
      </c>
      <c r="I155" s="8" t="s">
        <v>24</v>
      </c>
      <c r="J155" s="8" t="s">
        <v>13</v>
      </c>
      <c r="K155" s="5"/>
      <c r="L155" s="5"/>
    </row>
    <row r="156" customFormat="false" ht="13.8" hidden="false" customHeight="false" outlineLevel="0" collapsed="false">
      <c r="A156" s="6" t="n">
        <v>44495</v>
      </c>
      <c r="B156" s="7" t="n">
        <v>0.250694444444444</v>
      </c>
      <c r="C156" s="8" t="n">
        <v>145648</v>
      </c>
      <c r="D156" s="8" t="s">
        <v>14</v>
      </c>
      <c r="E156" s="8" t="n">
        <v>20680</v>
      </c>
      <c r="F156" s="8" t="n">
        <v>13020</v>
      </c>
      <c r="G156" s="9" t="n">
        <v>7660</v>
      </c>
      <c r="H156" s="8" t="s">
        <v>11</v>
      </c>
      <c r="I156" s="8" t="s">
        <v>12</v>
      </c>
      <c r="J156" s="8" t="s">
        <v>13</v>
      </c>
      <c r="K156" s="5"/>
      <c r="L156" s="5"/>
    </row>
    <row r="157" customFormat="false" ht="13.8" hidden="false" customHeight="false" outlineLevel="0" collapsed="false">
      <c r="A157" s="6" t="n">
        <v>44495</v>
      </c>
      <c r="B157" s="7" t="n">
        <v>0.1875</v>
      </c>
      <c r="C157" s="8" t="n">
        <v>145644</v>
      </c>
      <c r="D157" s="8" t="s">
        <v>16</v>
      </c>
      <c r="E157" s="8" t="n">
        <v>3320</v>
      </c>
      <c r="F157" s="8" t="n">
        <v>2740</v>
      </c>
      <c r="G157" s="9" t="n">
        <v>580</v>
      </c>
      <c r="H157" s="8" t="s">
        <v>11</v>
      </c>
      <c r="I157" s="8" t="s">
        <v>12</v>
      </c>
      <c r="J157" s="8" t="s">
        <v>13</v>
      </c>
      <c r="K157" s="5"/>
      <c r="L157" s="5"/>
    </row>
    <row r="158" customFormat="false" ht="13.8" hidden="false" customHeight="false" outlineLevel="0" collapsed="false">
      <c r="A158" s="6" t="n">
        <v>44495</v>
      </c>
      <c r="B158" s="7" t="n">
        <v>0.239583333333333</v>
      </c>
      <c r="C158" s="8" t="n">
        <v>145645</v>
      </c>
      <c r="D158" s="8" t="s">
        <v>10</v>
      </c>
      <c r="E158" s="8" t="n">
        <v>25000</v>
      </c>
      <c r="F158" s="8" t="n">
        <v>16180</v>
      </c>
      <c r="G158" s="9" t="n">
        <v>8820</v>
      </c>
      <c r="H158" s="8" t="s">
        <v>11</v>
      </c>
      <c r="I158" s="8" t="s">
        <v>12</v>
      </c>
      <c r="J158" s="8" t="s">
        <v>13</v>
      </c>
      <c r="K158" s="5"/>
      <c r="L158" s="5"/>
    </row>
    <row r="159" customFormat="false" ht="13.8" hidden="false" customHeight="false" outlineLevel="0" collapsed="false">
      <c r="A159" s="6" t="n">
        <v>44495</v>
      </c>
      <c r="B159" s="7" t="n">
        <v>0.443055555555556</v>
      </c>
      <c r="C159" s="8" t="n">
        <v>145656</v>
      </c>
      <c r="D159" s="8" t="s">
        <v>28</v>
      </c>
      <c r="E159" s="8" t="n">
        <v>2700</v>
      </c>
      <c r="F159" s="8" t="n">
        <v>2400</v>
      </c>
      <c r="G159" s="9" t="n">
        <v>300</v>
      </c>
      <c r="H159" s="8" t="s">
        <v>11</v>
      </c>
      <c r="I159" s="8" t="s">
        <v>12</v>
      </c>
      <c r="J159" s="8" t="s">
        <v>13</v>
      </c>
      <c r="K159" s="5"/>
      <c r="L159" s="5"/>
    </row>
    <row r="160" customFormat="false" ht="13.8" hidden="false" customHeight="false" outlineLevel="0" collapsed="false">
      <c r="A160" s="6" t="n">
        <v>44495</v>
      </c>
      <c r="B160" s="7" t="n">
        <v>0.516666666666667</v>
      </c>
      <c r="C160" s="8" t="n">
        <v>145660</v>
      </c>
      <c r="D160" s="8" t="s">
        <v>28</v>
      </c>
      <c r="E160" s="8" t="n">
        <v>2600</v>
      </c>
      <c r="F160" s="8" t="n">
        <v>2400</v>
      </c>
      <c r="G160" s="9" t="n">
        <v>200</v>
      </c>
      <c r="H160" s="8" t="s">
        <v>11</v>
      </c>
      <c r="I160" s="8" t="s">
        <v>12</v>
      </c>
      <c r="J160" s="8" t="s">
        <v>13</v>
      </c>
      <c r="K160" s="5"/>
      <c r="L160" s="5"/>
    </row>
    <row r="161" customFormat="false" ht="13.8" hidden="false" customHeight="false" outlineLevel="0" collapsed="false">
      <c r="A161" s="6" t="n">
        <v>44496</v>
      </c>
      <c r="B161" s="7" t="n">
        <v>0.261111111111111</v>
      </c>
      <c r="C161" s="8" t="n">
        <v>145678</v>
      </c>
      <c r="D161" s="8" t="s">
        <v>21</v>
      </c>
      <c r="E161" s="8" t="n">
        <v>24160</v>
      </c>
      <c r="F161" s="8" t="n">
        <v>15760</v>
      </c>
      <c r="G161" s="9" t="n">
        <v>8400</v>
      </c>
      <c r="H161" s="8" t="s">
        <v>11</v>
      </c>
      <c r="I161" s="8" t="s">
        <v>12</v>
      </c>
      <c r="J161" s="8" t="s">
        <v>13</v>
      </c>
      <c r="K161" s="5"/>
      <c r="L161" s="5"/>
    </row>
    <row r="162" customFormat="false" ht="13.8" hidden="false" customHeight="false" outlineLevel="0" collapsed="false">
      <c r="A162" s="6" t="n">
        <v>44496</v>
      </c>
      <c r="B162" s="7" t="n">
        <v>0.248611111111111</v>
      </c>
      <c r="C162" s="8" t="n">
        <v>145677</v>
      </c>
      <c r="D162" s="8" t="s">
        <v>14</v>
      </c>
      <c r="E162" s="8" t="n">
        <v>19940</v>
      </c>
      <c r="F162" s="8" t="n">
        <v>13040</v>
      </c>
      <c r="G162" s="9" t="n">
        <v>6900</v>
      </c>
      <c r="H162" s="8" t="s">
        <v>11</v>
      </c>
      <c r="I162" s="8" t="s">
        <v>12</v>
      </c>
      <c r="J162" s="8" t="s">
        <v>13</v>
      </c>
      <c r="K162" s="5"/>
      <c r="L162" s="5"/>
    </row>
    <row r="163" customFormat="false" ht="13.8" hidden="false" customHeight="false" outlineLevel="0" collapsed="false">
      <c r="A163" s="6" t="n">
        <v>44496</v>
      </c>
      <c r="B163" s="7" t="n">
        <v>0.0798611111111111</v>
      </c>
      <c r="C163" s="8" t="n">
        <v>145665</v>
      </c>
      <c r="D163" s="8" t="s">
        <v>16</v>
      </c>
      <c r="E163" s="8" t="n">
        <v>3540</v>
      </c>
      <c r="F163" s="8" t="n">
        <v>2820</v>
      </c>
      <c r="G163" s="9" t="n">
        <v>720</v>
      </c>
      <c r="H163" s="8" t="s">
        <v>11</v>
      </c>
      <c r="I163" s="8" t="s">
        <v>12</v>
      </c>
      <c r="J163" s="8" t="s">
        <v>13</v>
      </c>
      <c r="K163" s="5"/>
      <c r="L163" s="5"/>
    </row>
    <row r="164" customFormat="false" ht="13.8" hidden="false" customHeight="false" outlineLevel="0" collapsed="false">
      <c r="A164" s="6" t="n">
        <v>44496</v>
      </c>
      <c r="B164" s="7" t="n">
        <v>0.523611111111111</v>
      </c>
      <c r="C164" s="8" t="n">
        <v>128137</v>
      </c>
      <c r="D164" s="8" t="s">
        <v>21</v>
      </c>
      <c r="E164" s="8" t="n">
        <v>17360</v>
      </c>
      <c r="F164" s="8" t="n">
        <v>15720</v>
      </c>
      <c r="G164" s="9" t="n">
        <v>1640</v>
      </c>
      <c r="H164" s="8" t="s">
        <v>11</v>
      </c>
      <c r="I164" s="8" t="s">
        <v>26</v>
      </c>
      <c r="J164" s="8" t="s">
        <v>13</v>
      </c>
      <c r="K164" s="5"/>
      <c r="L164" s="5"/>
    </row>
    <row r="165" customFormat="false" ht="13.8" hidden="false" customHeight="false" outlineLevel="0" collapsed="false">
      <c r="A165" s="6" t="n">
        <v>44496</v>
      </c>
      <c r="B165" s="7" t="n">
        <v>0.543055555555555</v>
      </c>
      <c r="C165" s="8" t="n">
        <v>128148</v>
      </c>
      <c r="D165" s="8" t="s">
        <v>16</v>
      </c>
      <c r="E165" s="8" t="n">
        <v>3040</v>
      </c>
      <c r="F165" s="8" t="n">
        <v>2740</v>
      </c>
      <c r="G165" s="9" t="n">
        <v>300</v>
      </c>
      <c r="H165" s="8" t="s">
        <v>11</v>
      </c>
      <c r="I165" s="8" t="s">
        <v>17</v>
      </c>
      <c r="J165" s="8" t="s">
        <v>13</v>
      </c>
      <c r="K165" s="5"/>
      <c r="L165" s="5"/>
    </row>
    <row r="166" customFormat="false" ht="13.8" hidden="false" customHeight="false" outlineLevel="0" collapsed="false">
      <c r="A166" s="6" t="n">
        <v>44496</v>
      </c>
      <c r="B166" s="7" t="n">
        <v>0.421527777777778</v>
      </c>
      <c r="C166" s="8" t="n">
        <v>128114</v>
      </c>
      <c r="D166" s="8" t="s">
        <v>18</v>
      </c>
      <c r="E166" s="8" t="n">
        <v>6660</v>
      </c>
      <c r="F166" s="8" t="n">
        <v>6460</v>
      </c>
      <c r="G166" s="9" t="n">
        <v>200</v>
      </c>
      <c r="H166" s="8" t="s">
        <v>11</v>
      </c>
      <c r="I166" s="8" t="s">
        <v>19</v>
      </c>
      <c r="J166" s="8" t="s">
        <v>13</v>
      </c>
      <c r="K166" s="5" t="s">
        <v>27</v>
      </c>
      <c r="L166" s="5"/>
    </row>
    <row r="167" customFormat="false" ht="13.8" hidden="false" customHeight="false" outlineLevel="0" collapsed="false">
      <c r="A167" s="6" t="n">
        <v>44496</v>
      </c>
      <c r="B167" s="7" t="n">
        <v>0.421527777777778</v>
      </c>
      <c r="C167" s="8" t="n">
        <v>128113</v>
      </c>
      <c r="D167" s="8" t="s">
        <v>18</v>
      </c>
      <c r="E167" s="8" t="n">
        <v>6460</v>
      </c>
      <c r="F167" s="8" t="n">
        <v>5620</v>
      </c>
      <c r="G167" s="9" t="n">
        <v>840</v>
      </c>
      <c r="H167" s="8" t="s">
        <v>11</v>
      </c>
      <c r="I167" s="8" t="s">
        <v>19</v>
      </c>
      <c r="J167" s="8" t="s">
        <v>30</v>
      </c>
      <c r="K167" s="5"/>
      <c r="L167" s="5"/>
    </row>
    <row r="168" customFormat="false" ht="13.8" hidden="false" customHeight="false" outlineLevel="0" collapsed="false">
      <c r="A168" s="6" t="n">
        <v>44496</v>
      </c>
      <c r="B168" s="7" t="n">
        <v>0.530555555555556</v>
      </c>
      <c r="C168" s="8" t="n">
        <v>128142</v>
      </c>
      <c r="D168" s="8" t="s">
        <v>18</v>
      </c>
      <c r="E168" s="8" t="n">
        <v>6520</v>
      </c>
      <c r="F168" s="8" t="n">
        <v>6480</v>
      </c>
      <c r="G168" s="9" t="n">
        <v>40</v>
      </c>
      <c r="H168" s="8" t="s">
        <v>11</v>
      </c>
      <c r="I168" s="8" t="s">
        <v>19</v>
      </c>
      <c r="J168" s="8" t="s">
        <v>13</v>
      </c>
      <c r="K168" s="5" t="s">
        <v>29</v>
      </c>
      <c r="L168" s="5"/>
    </row>
    <row r="169" customFormat="false" ht="13.8" hidden="false" customHeight="false" outlineLevel="0" collapsed="false">
      <c r="A169" s="6" t="n">
        <v>44496</v>
      </c>
      <c r="B169" s="7" t="n">
        <v>0.530555555555556</v>
      </c>
      <c r="C169" s="8" t="n">
        <v>128141</v>
      </c>
      <c r="D169" s="8" t="s">
        <v>18</v>
      </c>
      <c r="E169" s="8" t="n">
        <v>6480</v>
      </c>
      <c r="F169" s="8" t="n">
        <v>5620</v>
      </c>
      <c r="G169" s="9" t="n">
        <v>860</v>
      </c>
      <c r="H169" s="8" t="s">
        <v>11</v>
      </c>
      <c r="I169" s="8" t="s">
        <v>19</v>
      </c>
      <c r="J169" s="8" t="s">
        <v>13</v>
      </c>
      <c r="K169" s="5"/>
      <c r="L169" s="5"/>
    </row>
    <row r="170" customFormat="false" ht="13.8" hidden="false" customHeight="false" outlineLevel="0" collapsed="false">
      <c r="A170" s="6" t="n">
        <v>44497</v>
      </c>
      <c r="B170" s="7" t="n">
        <v>0.227083333333333</v>
      </c>
      <c r="C170" s="8" t="n">
        <v>145694</v>
      </c>
      <c r="D170" s="8" t="s">
        <v>16</v>
      </c>
      <c r="E170" s="8" t="n">
        <v>3300</v>
      </c>
      <c r="F170" s="8" t="n">
        <v>2800</v>
      </c>
      <c r="G170" s="9" t="n">
        <v>500</v>
      </c>
      <c r="H170" s="8" t="s">
        <v>11</v>
      </c>
      <c r="I170" s="8" t="s">
        <v>12</v>
      </c>
      <c r="J170" s="8" t="s">
        <v>13</v>
      </c>
      <c r="K170" s="5"/>
      <c r="L170" s="5"/>
    </row>
    <row r="171" customFormat="false" ht="13.8" hidden="false" customHeight="false" outlineLevel="0" collapsed="false">
      <c r="A171" s="6" t="n">
        <v>44497</v>
      </c>
      <c r="B171" s="7" t="n">
        <v>0.266666666666667</v>
      </c>
      <c r="C171" s="8" t="n">
        <v>145697</v>
      </c>
      <c r="D171" s="8" t="s">
        <v>21</v>
      </c>
      <c r="E171" s="8" t="n">
        <v>22380</v>
      </c>
      <c r="F171" s="8" t="n">
        <v>16020</v>
      </c>
      <c r="G171" s="9" t="n">
        <v>6360</v>
      </c>
      <c r="H171" s="8" t="s">
        <v>11</v>
      </c>
      <c r="I171" s="8" t="s">
        <v>12</v>
      </c>
      <c r="J171" s="8" t="s">
        <v>13</v>
      </c>
      <c r="K171" s="5"/>
      <c r="L171" s="5"/>
    </row>
    <row r="172" customFormat="false" ht="13.8" hidden="false" customHeight="false" outlineLevel="0" collapsed="false">
      <c r="A172" s="6" t="n">
        <v>44497</v>
      </c>
      <c r="B172" s="7" t="n">
        <v>0.102083333333333</v>
      </c>
      <c r="C172" s="8" t="n">
        <v>145684</v>
      </c>
      <c r="D172" s="8" t="s">
        <v>14</v>
      </c>
      <c r="E172" s="8" t="n">
        <v>18060</v>
      </c>
      <c r="F172" s="8" t="n">
        <v>12880</v>
      </c>
      <c r="G172" s="9" t="n">
        <v>5180</v>
      </c>
      <c r="H172" s="8" t="s">
        <v>11</v>
      </c>
      <c r="I172" s="8" t="s">
        <v>12</v>
      </c>
      <c r="J172" s="8" t="s">
        <v>13</v>
      </c>
      <c r="K172" s="5"/>
      <c r="L172" s="5"/>
    </row>
    <row r="173" customFormat="false" ht="13.8" hidden="false" customHeight="false" outlineLevel="0" collapsed="false">
      <c r="A173" s="6" t="n">
        <v>44497</v>
      </c>
      <c r="B173" s="7" t="n">
        <v>0.5</v>
      </c>
      <c r="C173" s="8" t="n">
        <v>128244</v>
      </c>
      <c r="D173" s="8" t="s">
        <v>18</v>
      </c>
      <c r="E173" s="8" t="n">
        <v>6620</v>
      </c>
      <c r="F173" s="8" t="n">
        <v>6480</v>
      </c>
      <c r="G173" s="9" t="n">
        <v>140</v>
      </c>
      <c r="H173" s="8" t="s">
        <v>11</v>
      </c>
      <c r="I173" s="8" t="s">
        <v>19</v>
      </c>
      <c r="J173" s="8" t="s">
        <v>13</v>
      </c>
      <c r="K173" s="5" t="s">
        <v>29</v>
      </c>
      <c r="L173" s="5"/>
    </row>
    <row r="174" customFormat="false" ht="13.8" hidden="false" customHeight="false" outlineLevel="0" collapsed="false">
      <c r="A174" s="6" t="n">
        <v>44497</v>
      </c>
      <c r="B174" s="7" t="n">
        <v>0.5</v>
      </c>
      <c r="C174" s="8" t="n">
        <v>128243</v>
      </c>
      <c r="D174" s="8" t="s">
        <v>18</v>
      </c>
      <c r="E174" s="8" t="n">
        <v>6480</v>
      </c>
      <c r="F174" s="8" t="n">
        <v>5600</v>
      </c>
      <c r="G174" s="9" t="n">
        <v>880</v>
      </c>
      <c r="H174" s="8" t="s">
        <v>11</v>
      </c>
      <c r="I174" s="8" t="s">
        <v>19</v>
      </c>
      <c r="J174" s="8" t="s">
        <v>13</v>
      </c>
      <c r="K174" s="5"/>
      <c r="L174" s="5"/>
    </row>
    <row r="175" customFormat="false" ht="13.8" hidden="false" customHeight="false" outlineLevel="0" collapsed="false">
      <c r="A175" s="6" t="n">
        <v>44497</v>
      </c>
      <c r="B175" s="7" t="n">
        <v>0.434027777777778</v>
      </c>
      <c r="C175" s="8" t="n">
        <v>145704</v>
      </c>
      <c r="D175" s="8" t="s">
        <v>25</v>
      </c>
      <c r="E175" s="8" t="n">
        <v>25240</v>
      </c>
      <c r="F175" s="8" t="n">
        <v>15300</v>
      </c>
      <c r="G175" s="9" t="n">
        <v>9940</v>
      </c>
      <c r="H175" s="8" t="s">
        <v>11</v>
      </c>
      <c r="I175" s="8" t="s">
        <v>31</v>
      </c>
      <c r="J175" s="8" t="s">
        <v>13</v>
      </c>
      <c r="K175" s="5"/>
      <c r="L175" s="5"/>
    </row>
    <row r="176" customFormat="false" ht="13.8" hidden="false" customHeight="false" outlineLevel="0" collapsed="false">
      <c r="A176" s="6" t="n">
        <v>44497</v>
      </c>
      <c r="B176" s="7" t="n">
        <v>0.463888888888889</v>
      </c>
      <c r="C176" s="8" t="n">
        <v>145705</v>
      </c>
      <c r="D176" s="8" t="s">
        <v>25</v>
      </c>
      <c r="E176" s="8" t="n">
        <v>26740</v>
      </c>
      <c r="F176" s="8" t="n">
        <v>15300</v>
      </c>
      <c r="G176" s="9" t="n">
        <v>11440</v>
      </c>
      <c r="H176" s="8" t="s">
        <v>11</v>
      </c>
      <c r="I176" s="8" t="s">
        <v>31</v>
      </c>
      <c r="J176" s="8" t="s">
        <v>13</v>
      </c>
      <c r="K176" s="5"/>
      <c r="L176" s="5"/>
    </row>
    <row r="177" customFormat="false" ht="13.8" hidden="false" customHeight="false" outlineLevel="0" collapsed="false">
      <c r="A177" s="6" t="n">
        <v>44497</v>
      </c>
      <c r="B177" s="7" t="n">
        <v>0.5</v>
      </c>
      <c r="C177" s="8" t="n">
        <v>145706</v>
      </c>
      <c r="D177" s="8" t="s">
        <v>25</v>
      </c>
      <c r="E177" s="8" t="n">
        <v>19820</v>
      </c>
      <c r="F177" s="8" t="n">
        <v>15300</v>
      </c>
      <c r="G177" s="9" t="n">
        <v>4520</v>
      </c>
      <c r="H177" s="8" t="s">
        <v>11</v>
      </c>
      <c r="I177" s="8" t="s">
        <v>31</v>
      </c>
      <c r="J177" s="8" t="s">
        <v>13</v>
      </c>
      <c r="K177" s="5"/>
      <c r="L177" s="5"/>
    </row>
    <row r="178" customFormat="false" ht="13.8" hidden="false" customHeight="false" outlineLevel="0" collapsed="false">
      <c r="A178" s="6" t="n">
        <v>44497</v>
      </c>
      <c r="B178" s="7" t="n">
        <v>0.347222222222222</v>
      </c>
      <c r="C178" s="8" t="n">
        <v>145702</v>
      </c>
      <c r="D178" s="8" t="s">
        <v>25</v>
      </c>
      <c r="E178" s="8" t="n">
        <v>26880</v>
      </c>
      <c r="F178" s="8" t="n">
        <v>15300</v>
      </c>
      <c r="G178" s="9" t="n">
        <v>11580</v>
      </c>
      <c r="H178" s="8" t="s">
        <v>11</v>
      </c>
      <c r="I178" s="8" t="s">
        <v>31</v>
      </c>
      <c r="J178" s="8" t="s">
        <v>13</v>
      </c>
      <c r="K178" s="5"/>
      <c r="L178" s="5"/>
    </row>
    <row r="179" customFormat="false" ht="13.8" hidden="false" customHeight="false" outlineLevel="0" collapsed="false">
      <c r="A179" s="6" t="n">
        <v>44497</v>
      </c>
      <c r="B179" s="7" t="n">
        <v>0.319444444444444</v>
      </c>
      <c r="C179" s="8" t="n">
        <v>145701</v>
      </c>
      <c r="D179" s="8" t="s">
        <v>25</v>
      </c>
      <c r="E179" s="8" t="n">
        <v>25720</v>
      </c>
      <c r="F179" s="8" t="n">
        <v>15300</v>
      </c>
      <c r="G179" s="9" t="n">
        <v>10420</v>
      </c>
      <c r="H179" s="8" t="s">
        <v>11</v>
      </c>
      <c r="I179" s="8" t="s">
        <v>31</v>
      </c>
      <c r="J179" s="8" t="s">
        <v>13</v>
      </c>
      <c r="K179" s="5"/>
      <c r="L179" s="5"/>
    </row>
    <row r="180" customFormat="false" ht="13.8" hidden="false" customHeight="false" outlineLevel="0" collapsed="false">
      <c r="A180" s="6" t="n">
        <v>44497</v>
      </c>
      <c r="B180" s="7" t="n">
        <v>0.380555555555556</v>
      </c>
      <c r="C180" s="8" t="n">
        <v>145703</v>
      </c>
      <c r="D180" s="8" t="s">
        <v>28</v>
      </c>
      <c r="E180" s="8" t="n">
        <v>2660</v>
      </c>
      <c r="F180" s="8" t="n">
        <v>2380</v>
      </c>
      <c r="G180" s="9" t="n">
        <v>280</v>
      </c>
      <c r="H180" s="8" t="s">
        <v>11</v>
      </c>
      <c r="I180" s="8" t="s">
        <v>12</v>
      </c>
      <c r="J180" s="8" t="s">
        <v>13</v>
      </c>
      <c r="K180" s="5"/>
      <c r="L180" s="5"/>
    </row>
    <row r="181" customFormat="false" ht="13.8" hidden="false" customHeight="false" outlineLevel="0" collapsed="false">
      <c r="A181" s="6" t="n">
        <v>44497</v>
      </c>
      <c r="B181" s="7" t="n">
        <v>0.54375</v>
      </c>
      <c r="C181" s="8" t="n">
        <v>128262</v>
      </c>
      <c r="D181" s="8" t="s">
        <v>16</v>
      </c>
      <c r="E181" s="8" t="n">
        <v>3220</v>
      </c>
      <c r="F181" s="8" t="n">
        <v>2720</v>
      </c>
      <c r="G181" s="9" t="n">
        <v>500</v>
      </c>
      <c r="H181" s="8" t="s">
        <v>11</v>
      </c>
      <c r="I181" s="8" t="s">
        <v>17</v>
      </c>
      <c r="J181" s="8" t="s">
        <v>13</v>
      </c>
      <c r="K181" s="5"/>
      <c r="L181" s="5"/>
    </row>
    <row r="182" customFormat="false" ht="13.8" hidden="false" customHeight="false" outlineLevel="0" collapsed="false">
      <c r="A182" s="6" t="n">
        <v>44498</v>
      </c>
      <c r="B182" s="7" t="n">
        <v>0.517361111111111</v>
      </c>
      <c r="C182" s="8" t="n">
        <v>128350</v>
      </c>
      <c r="D182" s="8" t="s">
        <v>16</v>
      </c>
      <c r="E182" s="8" t="n">
        <v>3120</v>
      </c>
      <c r="F182" s="8" t="n">
        <v>2800</v>
      </c>
      <c r="G182" s="9" t="n">
        <v>320</v>
      </c>
      <c r="H182" s="8" t="s">
        <v>11</v>
      </c>
      <c r="I182" s="8" t="s">
        <v>17</v>
      </c>
      <c r="J182" s="8" t="s">
        <v>13</v>
      </c>
      <c r="K182" s="5"/>
      <c r="L182" s="5"/>
    </row>
    <row r="183" customFormat="false" ht="13.8" hidden="false" customHeight="false" outlineLevel="0" collapsed="false">
      <c r="A183" s="6" t="n">
        <v>44498</v>
      </c>
      <c r="B183" s="7" t="n">
        <v>0.521527777777778</v>
      </c>
      <c r="C183" s="8" t="n">
        <v>128352</v>
      </c>
      <c r="D183" s="8" t="s">
        <v>18</v>
      </c>
      <c r="E183" s="8" t="n">
        <v>6240</v>
      </c>
      <c r="F183" s="8" t="n">
        <v>6220</v>
      </c>
      <c r="G183" s="9" t="n">
        <v>20</v>
      </c>
      <c r="H183" s="8" t="s">
        <v>11</v>
      </c>
      <c r="I183" s="8" t="s">
        <v>19</v>
      </c>
      <c r="J183" s="8" t="s">
        <v>13</v>
      </c>
      <c r="K183" s="5" t="s">
        <v>29</v>
      </c>
      <c r="L183" s="5"/>
    </row>
    <row r="184" customFormat="false" ht="13.8" hidden="false" customHeight="false" outlineLevel="0" collapsed="false">
      <c r="A184" s="6" t="n">
        <v>44498</v>
      </c>
      <c r="B184" s="7" t="n">
        <v>0.521527777777778</v>
      </c>
      <c r="C184" s="10" t="n">
        <v>128351</v>
      </c>
      <c r="D184" s="8" t="s">
        <v>18</v>
      </c>
      <c r="E184" s="8" t="n">
        <v>6220</v>
      </c>
      <c r="F184" s="8" t="n">
        <v>5680</v>
      </c>
      <c r="G184" s="9" t="n">
        <v>540</v>
      </c>
      <c r="H184" s="8" t="s">
        <v>11</v>
      </c>
      <c r="I184" s="8" t="s">
        <v>19</v>
      </c>
      <c r="J184" s="8" t="s">
        <v>13</v>
      </c>
      <c r="K184" s="5"/>
      <c r="L184" s="5"/>
    </row>
    <row r="185" customFormat="false" ht="13.8" hidden="false" customHeight="false" outlineLevel="0" collapsed="false">
      <c r="A185" s="6" t="n">
        <v>44498</v>
      </c>
      <c r="B185" s="7" t="n">
        <v>0.142361111111111</v>
      </c>
      <c r="C185" s="8" t="n">
        <v>145714</v>
      </c>
      <c r="D185" s="8" t="s">
        <v>14</v>
      </c>
      <c r="E185" s="8" t="n">
        <v>19680</v>
      </c>
      <c r="F185" s="8" t="n">
        <v>12720</v>
      </c>
      <c r="G185" s="9" t="n">
        <v>6960</v>
      </c>
      <c r="H185" s="8" t="s">
        <v>11</v>
      </c>
      <c r="I185" s="8" t="s">
        <v>12</v>
      </c>
      <c r="J185" s="8" t="s">
        <v>13</v>
      </c>
      <c r="K185" s="5"/>
      <c r="L185" s="5"/>
    </row>
    <row r="186" customFormat="false" ht="13.8" hidden="false" customHeight="false" outlineLevel="0" collapsed="false">
      <c r="A186" s="6" t="n">
        <v>44498</v>
      </c>
      <c r="B186" s="7" t="n">
        <v>0.251388888888889</v>
      </c>
      <c r="C186" s="8" t="n">
        <v>145721</v>
      </c>
      <c r="D186" s="8" t="s">
        <v>16</v>
      </c>
      <c r="E186" s="8" t="n">
        <v>3380</v>
      </c>
      <c r="F186" s="8" t="n">
        <v>2860</v>
      </c>
      <c r="G186" s="9" t="n">
        <v>520</v>
      </c>
      <c r="H186" s="8" t="s">
        <v>11</v>
      </c>
      <c r="I186" s="8" t="s">
        <v>12</v>
      </c>
      <c r="J186" s="8" t="s">
        <v>13</v>
      </c>
      <c r="K186" s="5"/>
      <c r="L186" s="5"/>
    </row>
    <row r="187" customFormat="false" ht="13.8" hidden="false" customHeight="false" outlineLevel="0" collapsed="false">
      <c r="A187" s="6" t="n">
        <v>44498</v>
      </c>
      <c r="B187" s="7" t="n">
        <v>0.484722222222222</v>
      </c>
      <c r="C187" s="8" t="n">
        <v>145727</v>
      </c>
      <c r="D187" s="8" t="s">
        <v>28</v>
      </c>
      <c r="E187" s="8" t="n">
        <v>2660</v>
      </c>
      <c r="F187" s="8" t="n">
        <v>2300</v>
      </c>
      <c r="G187" s="9" t="n">
        <v>360</v>
      </c>
      <c r="H187" s="8" t="s">
        <v>11</v>
      </c>
      <c r="I187" s="8" t="s">
        <v>12</v>
      </c>
      <c r="J187" s="8" t="s">
        <v>13</v>
      </c>
      <c r="K187" s="5"/>
      <c r="L187" s="5"/>
    </row>
    <row r="188" customFormat="false" ht="13.8" hidden="false" customHeight="false" outlineLevel="0" collapsed="false">
      <c r="A188" s="6" t="n">
        <v>44498</v>
      </c>
      <c r="B188" s="7" t="n">
        <v>0.245833333333333</v>
      </c>
      <c r="C188" s="8" t="n">
        <v>145720</v>
      </c>
      <c r="D188" s="8" t="s">
        <v>21</v>
      </c>
      <c r="E188" s="8" t="n">
        <v>26580</v>
      </c>
      <c r="F188" s="8" t="n">
        <v>15960</v>
      </c>
      <c r="G188" s="9" t="n">
        <v>10620</v>
      </c>
      <c r="H188" s="8" t="s">
        <v>11</v>
      </c>
      <c r="I188" s="8" t="s">
        <v>12</v>
      </c>
      <c r="J188" s="8" t="s">
        <v>13</v>
      </c>
      <c r="K188" s="5"/>
      <c r="L188" s="5"/>
    </row>
    <row r="189" customFormat="false" ht="13.8" hidden="false" customHeight="false" outlineLevel="0" collapsed="false">
      <c r="A189" s="6" t="n">
        <v>44499</v>
      </c>
      <c r="B189" s="7" t="n">
        <v>0.445138888888889</v>
      </c>
      <c r="C189" s="8" t="n">
        <v>145751</v>
      </c>
      <c r="D189" s="8" t="s">
        <v>28</v>
      </c>
      <c r="E189" s="8" t="n">
        <v>2720</v>
      </c>
      <c r="F189" s="8" t="n">
        <v>2360</v>
      </c>
      <c r="G189" s="9" t="n">
        <v>360</v>
      </c>
      <c r="H189" s="8" t="s">
        <v>11</v>
      </c>
      <c r="I189" s="8" t="s">
        <v>12</v>
      </c>
      <c r="J189" s="8" t="s">
        <v>13</v>
      </c>
      <c r="K189" s="5"/>
      <c r="L189" s="5"/>
    </row>
    <row r="190" customFormat="false" ht="13.8" hidden="false" customHeight="false" outlineLevel="0" collapsed="false">
      <c r="A190" s="6" t="n">
        <v>44499</v>
      </c>
      <c r="B190" s="7" t="n">
        <v>0.259722222222222</v>
      </c>
      <c r="C190" s="8" t="n">
        <v>145745</v>
      </c>
      <c r="D190" s="8" t="s">
        <v>21</v>
      </c>
      <c r="E190" s="8" t="n">
        <v>18380</v>
      </c>
      <c r="F190" s="8" t="n">
        <v>15940</v>
      </c>
      <c r="G190" s="9" t="n">
        <v>2440</v>
      </c>
      <c r="H190" s="8" t="s">
        <v>11</v>
      </c>
      <c r="I190" s="8" t="s">
        <v>12</v>
      </c>
      <c r="J190" s="8" t="s">
        <v>13</v>
      </c>
      <c r="K190" s="5"/>
      <c r="L190" s="5"/>
    </row>
    <row r="191" customFormat="false" ht="13.8" hidden="false" customHeight="false" outlineLevel="0" collapsed="false">
      <c r="A191" s="6" t="n">
        <v>44499</v>
      </c>
      <c r="B191" s="7" t="n">
        <v>0.203472222222222</v>
      </c>
      <c r="C191" s="8" t="n">
        <v>145740</v>
      </c>
      <c r="D191" s="8" t="s">
        <v>21</v>
      </c>
      <c r="E191" s="8" t="n">
        <v>27940</v>
      </c>
      <c r="F191" s="8" t="n">
        <v>15980</v>
      </c>
      <c r="G191" s="9" t="n">
        <v>11960</v>
      </c>
      <c r="H191" s="8" t="s">
        <v>11</v>
      </c>
      <c r="I191" s="8" t="s">
        <v>12</v>
      </c>
      <c r="J191" s="8" t="s">
        <v>13</v>
      </c>
      <c r="K191" s="5"/>
      <c r="L191" s="5"/>
    </row>
    <row r="192" customFormat="false" ht="13.8" hidden="false" customHeight="false" outlineLevel="0" collapsed="false">
      <c r="A192" s="6" t="n">
        <v>44499</v>
      </c>
      <c r="B192" s="7" t="n">
        <v>0.263888888888889</v>
      </c>
      <c r="C192" s="8" t="n">
        <v>145746</v>
      </c>
      <c r="D192" s="8" t="s">
        <v>15</v>
      </c>
      <c r="E192" s="8" t="n">
        <v>4420</v>
      </c>
      <c r="F192" s="8" t="n">
        <v>3800</v>
      </c>
      <c r="G192" s="9" t="n">
        <v>620</v>
      </c>
      <c r="H192" s="8" t="s">
        <v>11</v>
      </c>
      <c r="I192" s="8" t="s">
        <v>12</v>
      </c>
      <c r="J192" s="8" t="s">
        <v>13</v>
      </c>
      <c r="K192" s="5"/>
      <c r="L192" s="5"/>
    </row>
    <row r="193" customFormat="false" ht="13.8" hidden="false" customHeight="false" outlineLevel="0" collapsed="false">
      <c r="A193" s="6" t="n">
        <v>44499</v>
      </c>
      <c r="B193" s="7" t="n">
        <v>0.48125</v>
      </c>
      <c r="C193" s="8" t="n">
        <v>145752</v>
      </c>
      <c r="D193" s="8" t="s">
        <v>15</v>
      </c>
      <c r="E193" s="8" t="n">
        <v>4620</v>
      </c>
      <c r="F193" s="8" t="n">
        <v>3660</v>
      </c>
      <c r="G193" s="9" t="n">
        <v>960</v>
      </c>
      <c r="H193" s="8" t="s">
        <v>11</v>
      </c>
      <c r="I193" s="8" t="s">
        <v>12</v>
      </c>
      <c r="J193" s="8" t="s">
        <v>13</v>
      </c>
      <c r="K193" s="5"/>
      <c r="L193" s="5"/>
    </row>
    <row r="194" customFormat="false" ht="13.8" hidden="false" customHeight="false" outlineLevel="0" collapsed="false">
      <c r="A194" s="6" t="n">
        <v>44499</v>
      </c>
      <c r="B194" s="7" t="n">
        <v>0.153472222222222</v>
      </c>
      <c r="C194" s="8" t="n">
        <v>145736</v>
      </c>
      <c r="D194" s="8" t="s">
        <v>14</v>
      </c>
      <c r="E194" s="8" t="n">
        <v>19320</v>
      </c>
      <c r="F194" s="8" t="n">
        <v>13040</v>
      </c>
      <c r="G194" s="9" t="n">
        <v>6280</v>
      </c>
      <c r="H194" s="8" t="s">
        <v>11</v>
      </c>
      <c r="I194" s="8" t="s">
        <v>12</v>
      </c>
      <c r="J194" s="8" t="s">
        <v>13</v>
      </c>
      <c r="K194" s="5"/>
      <c r="L194" s="5"/>
    </row>
    <row r="195" customFormat="false" ht="13.8" hidden="false" customHeight="false" outlineLevel="0" collapsed="false">
      <c r="A195" s="6" t="n">
        <v>44500</v>
      </c>
      <c r="B195" s="7" t="n">
        <v>0.113194444444444</v>
      </c>
      <c r="C195" s="8" t="n">
        <v>145755</v>
      </c>
      <c r="D195" s="8" t="s">
        <v>14</v>
      </c>
      <c r="E195" s="8" t="n">
        <v>21560</v>
      </c>
      <c r="F195" s="8" t="n">
        <v>12980</v>
      </c>
      <c r="G195" s="9" t="n">
        <v>8580</v>
      </c>
      <c r="H195" s="8" t="s">
        <v>11</v>
      </c>
      <c r="I195" s="8" t="s">
        <v>12</v>
      </c>
      <c r="J195" s="8" t="s">
        <v>13</v>
      </c>
      <c r="K195" s="5"/>
      <c r="L195" s="5"/>
    </row>
    <row r="196" customFormat="false" ht="13.8" hidden="false" customHeight="false" outlineLevel="0" collapsed="false">
      <c r="A196" s="6" t="n">
        <v>44500</v>
      </c>
      <c r="B196" s="7" t="n">
        <v>0.477083333333333</v>
      </c>
      <c r="C196" s="8" t="n">
        <v>145767</v>
      </c>
      <c r="D196" s="8" t="s">
        <v>28</v>
      </c>
      <c r="E196" s="8" t="n">
        <v>2720</v>
      </c>
      <c r="F196" s="8" t="n">
        <v>2400</v>
      </c>
      <c r="G196" s="9" t="n">
        <v>320</v>
      </c>
      <c r="H196" s="8" t="s">
        <v>11</v>
      </c>
      <c r="I196" s="8" t="s">
        <v>12</v>
      </c>
      <c r="J196" s="8" t="s">
        <v>13</v>
      </c>
      <c r="K196" s="5"/>
      <c r="L196" s="5"/>
    </row>
    <row r="197" customFormat="false" ht="13.8" hidden="false" customHeight="false" outlineLevel="0" collapsed="false">
      <c r="A197" s="6" t="n">
        <v>44500</v>
      </c>
      <c r="B197" s="7" t="n">
        <v>0.173611111111111</v>
      </c>
      <c r="C197" s="8" t="n">
        <v>145761</v>
      </c>
      <c r="D197" s="8" t="s">
        <v>15</v>
      </c>
      <c r="E197" s="8" t="n">
        <v>4620</v>
      </c>
      <c r="F197" s="8" t="n">
        <v>3760</v>
      </c>
      <c r="G197" s="9" t="n">
        <v>860</v>
      </c>
      <c r="H197" s="8" t="s">
        <v>11</v>
      </c>
      <c r="I197" s="8" t="s">
        <v>12</v>
      </c>
      <c r="J197" s="8" t="s">
        <v>13</v>
      </c>
      <c r="K197" s="5"/>
      <c r="L197" s="5"/>
    </row>
    <row r="198" customFormat="false" ht="13.8" hidden="false" customHeight="false" outlineLevel="0" collapsed="false">
      <c r="A198" s="6" t="n">
        <v>44500</v>
      </c>
      <c r="B198" s="7" t="n">
        <v>0.175</v>
      </c>
      <c r="C198" s="8" t="n">
        <v>145762</v>
      </c>
      <c r="D198" s="8" t="s">
        <v>21</v>
      </c>
      <c r="E198" s="8" t="n">
        <v>27280</v>
      </c>
      <c r="F198" s="8" t="n">
        <v>15940</v>
      </c>
      <c r="G198" s="9" t="n">
        <v>11340</v>
      </c>
      <c r="H198" s="8" t="s">
        <v>11</v>
      </c>
      <c r="I198" s="8" t="s">
        <v>12</v>
      </c>
      <c r="J198" s="8" t="s">
        <v>13</v>
      </c>
      <c r="K198" s="5"/>
      <c r="L198" s="5"/>
    </row>
    <row r="199" customFormat="false" ht="13.8" hidden="false" customHeight="false" outlineLevel="0" collapsed="false">
      <c r="A199" s="6" t="n">
        <v>44500</v>
      </c>
      <c r="B199" s="7" t="n">
        <v>0.518055555555556</v>
      </c>
      <c r="C199" s="8" t="n">
        <v>145768</v>
      </c>
      <c r="D199" s="8" t="s">
        <v>32</v>
      </c>
      <c r="E199" s="8" t="n">
        <v>3380</v>
      </c>
      <c r="F199" s="8" t="n">
        <v>2840</v>
      </c>
      <c r="G199" s="9" t="n">
        <v>540</v>
      </c>
      <c r="H199" s="8" t="s">
        <v>11</v>
      </c>
      <c r="I199" s="8" t="s">
        <v>12</v>
      </c>
      <c r="J199" s="8" t="s">
        <v>13</v>
      </c>
      <c r="K199" s="5"/>
      <c r="L199" s="5"/>
    </row>
  </sheetData>
  <autoFilter ref="A1:K199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" min="1" style="0" width="15.11"/>
    <col collapsed="false" customWidth="true" hidden="false" outlineLevel="0" max="7" min="2" style="0" width="10.5"/>
    <col collapsed="false" customWidth="true" hidden="false" outlineLevel="0" max="8" min="8" style="0" width="15.11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11" t="s">
        <v>0</v>
      </c>
      <c r="B1" s="12" t="s">
        <v>33</v>
      </c>
    </row>
    <row r="3" customFormat="false" ht="12.8" hidden="false" customHeight="false" outlineLevel="0" collapsed="false">
      <c r="A3" s="13" t="s">
        <v>34</v>
      </c>
      <c r="B3" s="14" t="s">
        <v>35</v>
      </c>
      <c r="C3" s="15"/>
      <c r="D3" s="15"/>
      <c r="E3" s="15"/>
      <c r="F3" s="15"/>
      <c r="G3" s="15"/>
      <c r="H3" s="16"/>
    </row>
    <row r="4" customFormat="false" ht="12.8" hidden="false" customHeight="false" outlineLevel="0" collapsed="false">
      <c r="A4" s="17" t="s">
        <v>3</v>
      </c>
      <c r="B4" s="18" t="s">
        <v>31</v>
      </c>
      <c r="C4" s="19" t="s">
        <v>17</v>
      </c>
      <c r="D4" s="19" t="s">
        <v>12</v>
      </c>
      <c r="E4" s="19" t="s">
        <v>24</v>
      </c>
      <c r="F4" s="19" t="s">
        <v>26</v>
      </c>
      <c r="G4" s="19" t="s">
        <v>19</v>
      </c>
      <c r="H4" s="20" t="s">
        <v>36</v>
      </c>
    </row>
    <row r="5" customFormat="false" ht="12.8" hidden="false" customHeight="false" outlineLevel="0" collapsed="false">
      <c r="A5" s="21" t="s">
        <v>25</v>
      </c>
      <c r="B5" s="22" t="n">
        <v>47900</v>
      </c>
      <c r="C5" s="23"/>
      <c r="D5" s="23"/>
      <c r="E5" s="23"/>
      <c r="F5" s="23" t="n">
        <v>2660</v>
      </c>
      <c r="G5" s="24" t="n">
        <v>3880</v>
      </c>
      <c r="H5" s="25" t="n">
        <v>54440</v>
      </c>
    </row>
    <row r="6" customFormat="false" ht="12.8" hidden="false" customHeight="false" outlineLevel="0" collapsed="false">
      <c r="A6" s="26" t="s">
        <v>16</v>
      </c>
      <c r="B6" s="27"/>
      <c r="C6" s="28" t="n">
        <v>4860</v>
      </c>
      <c r="D6" s="28" t="n">
        <v>3600</v>
      </c>
      <c r="E6" s="28"/>
      <c r="F6" s="28"/>
      <c r="G6" s="29"/>
      <c r="H6" s="30" t="n">
        <v>8460</v>
      </c>
    </row>
    <row r="7" customFormat="false" ht="12.8" hidden="false" customHeight="false" outlineLevel="0" collapsed="false">
      <c r="A7" s="26" t="s">
        <v>21</v>
      </c>
      <c r="B7" s="27"/>
      <c r="C7" s="28"/>
      <c r="D7" s="28" t="n">
        <v>256540</v>
      </c>
      <c r="E7" s="28" t="n">
        <v>2500</v>
      </c>
      <c r="F7" s="28" t="n">
        <v>1640</v>
      </c>
      <c r="G7" s="29"/>
      <c r="H7" s="30" t="n">
        <v>260680</v>
      </c>
    </row>
    <row r="8" customFormat="false" ht="12.8" hidden="false" customHeight="false" outlineLevel="0" collapsed="false">
      <c r="A8" s="26" t="s">
        <v>10</v>
      </c>
      <c r="B8" s="27"/>
      <c r="C8" s="28"/>
      <c r="D8" s="28" t="n">
        <v>96680</v>
      </c>
      <c r="E8" s="28" t="n">
        <v>6560</v>
      </c>
      <c r="F8" s="28" t="n">
        <v>7000</v>
      </c>
      <c r="G8" s="29"/>
      <c r="H8" s="30" t="n">
        <v>110240</v>
      </c>
    </row>
    <row r="9" customFormat="false" ht="12.8" hidden="false" customHeight="false" outlineLevel="0" collapsed="false">
      <c r="A9" s="26" t="s">
        <v>28</v>
      </c>
      <c r="B9" s="27"/>
      <c r="C9" s="28"/>
      <c r="D9" s="28" t="n">
        <v>4560</v>
      </c>
      <c r="E9" s="28"/>
      <c r="F9" s="28"/>
      <c r="G9" s="29"/>
      <c r="H9" s="30" t="n">
        <v>4560</v>
      </c>
    </row>
    <row r="10" customFormat="false" ht="12.8" hidden="false" customHeight="false" outlineLevel="0" collapsed="false">
      <c r="A10" s="26" t="s">
        <v>22</v>
      </c>
      <c r="B10" s="27"/>
      <c r="C10" s="28"/>
      <c r="D10" s="28" t="n">
        <v>11900</v>
      </c>
      <c r="E10" s="28"/>
      <c r="F10" s="28"/>
      <c r="G10" s="29"/>
      <c r="H10" s="30" t="n">
        <v>11900</v>
      </c>
    </row>
    <row r="11" customFormat="false" ht="12.8" hidden="false" customHeight="false" outlineLevel="0" collapsed="false">
      <c r="A11" s="26" t="s">
        <v>32</v>
      </c>
      <c r="B11" s="27"/>
      <c r="C11" s="28"/>
      <c r="D11" s="28" t="n">
        <v>540</v>
      </c>
      <c r="E11" s="28"/>
      <c r="F11" s="28"/>
      <c r="G11" s="29"/>
      <c r="H11" s="30" t="n">
        <v>540</v>
      </c>
    </row>
    <row r="12" customFormat="false" ht="12.8" hidden="false" customHeight="false" outlineLevel="0" collapsed="false">
      <c r="A12" s="26" t="s">
        <v>14</v>
      </c>
      <c r="B12" s="27"/>
      <c r="C12" s="28"/>
      <c r="D12" s="28" t="n">
        <v>307880</v>
      </c>
      <c r="E12" s="28"/>
      <c r="F12" s="28"/>
      <c r="G12" s="29"/>
      <c r="H12" s="30" t="n">
        <v>307880</v>
      </c>
    </row>
    <row r="13" customFormat="false" ht="12.8" hidden="false" customHeight="false" outlineLevel="0" collapsed="false">
      <c r="A13" s="26" t="s">
        <v>15</v>
      </c>
      <c r="B13" s="27"/>
      <c r="C13" s="28"/>
      <c r="D13" s="28" t="n">
        <v>21140</v>
      </c>
      <c r="E13" s="28"/>
      <c r="F13" s="28"/>
      <c r="G13" s="29"/>
      <c r="H13" s="30" t="n">
        <v>21140</v>
      </c>
    </row>
    <row r="14" customFormat="false" ht="12.8" hidden="false" customHeight="false" outlineLevel="0" collapsed="false">
      <c r="A14" s="26" t="s">
        <v>18</v>
      </c>
      <c r="B14" s="31"/>
      <c r="C14" s="32"/>
      <c r="D14" s="32"/>
      <c r="E14" s="32"/>
      <c r="F14" s="32"/>
      <c r="G14" s="33" t="n">
        <v>14860</v>
      </c>
      <c r="H14" s="34" t="n">
        <v>14860</v>
      </c>
    </row>
    <row r="15" customFormat="false" ht="12.8" hidden="false" customHeight="false" outlineLevel="0" collapsed="false">
      <c r="A15" s="35" t="s">
        <v>36</v>
      </c>
      <c r="B15" s="36" t="n">
        <v>47900</v>
      </c>
      <c r="C15" s="37" t="n">
        <v>4860</v>
      </c>
      <c r="D15" s="37" t="n">
        <v>702840</v>
      </c>
      <c r="E15" s="37" t="n">
        <v>9060</v>
      </c>
      <c r="F15" s="37" t="n">
        <v>11300</v>
      </c>
      <c r="G15" s="38" t="n">
        <v>18740</v>
      </c>
      <c r="H15" s="39" t="n">
        <v>794700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6" activeCellId="0" sqref="D76"/>
    </sheetView>
  </sheetViews>
  <sheetFormatPr defaultRowHeight="14" zeroHeight="false" outlineLevelRow="0" outlineLevelCol="0"/>
  <cols>
    <col collapsed="false" customWidth="true" hidden="false" outlineLevel="0" max="1" min="1" style="40" width="15.11"/>
    <col collapsed="false" customWidth="true" hidden="false" outlineLevel="0" max="2" min="2" style="41" width="17.73"/>
    <col collapsed="false" customWidth="true" hidden="false" outlineLevel="0" max="3" min="3" style="41" width="10.72"/>
    <col collapsed="false" customWidth="true" hidden="false" outlineLevel="0" max="4" min="4" style="40" width="13.47"/>
    <col collapsed="false" customWidth="true" hidden="false" outlineLevel="0" max="6" min="5" style="41" width="11.27"/>
    <col collapsed="false" customWidth="true" hidden="false" outlineLevel="0" max="7" min="7" style="41" width="13.47"/>
    <col collapsed="false" customWidth="true" hidden="false" outlineLevel="0" max="8" min="8" style="41" width="14.54"/>
    <col collapsed="false" customWidth="true" hidden="false" outlineLevel="0" max="9" min="9" style="41" width="15.87"/>
    <col collapsed="false" customWidth="true" hidden="false" outlineLevel="0" max="11" min="10" style="41" width="7.73"/>
    <col collapsed="false" customWidth="true" hidden="false" outlineLevel="0" max="12" min="12" style="41" width="8.18"/>
    <col collapsed="false" customWidth="true" hidden="false" outlineLevel="0" max="13" min="13" style="41" width="12.8"/>
    <col collapsed="false" customWidth="true" hidden="false" outlineLevel="0" max="14" min="14" style="41" width="7.09"/>
    <col collapsed="false" customWidth="true" hidden="false" outlineLevel="0" max="1025" min="15" style="41" width="7.73"/>
  </cols>
  <sheetData>
    <row r="1" customFormat="false" ht="13.8" hidden="false" customHeight="false" outlineLevel="0" collapsed="false">
      <c r="A1" s="40" t="n">
        <v>1</v>
      </c>
      <c r="B1" s="40" t="n">
        <v>2</v>
      </c>
      <c r="C1" s="40" t="n">
        <v>3</v>
      </c>
      <c r="D1" s="40" t="n">
        <v>4</v>
      </c>
      <c r="E1" s="40" t="n">
        <v>5</v>
      </c>
      <c r="F1" s="40" t="n">
        <v>6</v>
      </c>
      <c r="G1" s="40" t="n">
        <v>7</v>
      </c>
    </row>
    <row r="2" customFormat="false" ht="13.8" hidden="false" customHeight="false" outlineLevel="0" collapsed="false">
      <c r="A2" s="42" t="s">
        <v>3</v>
      </c>
      <c r="B2" s="43" t="s">
        <v>37</v>
      </c>
      <c r="C2" s="44" t="s">
        <v>17</v>
      </c>
      <c r="D2" s="44" t="s">
        <v>12</v>
      </c>
      <c r="E2" s="44" t="s">
        <v>24</v>
      </c>
      <c r="F2" s="44" t="s">
        <v>26</v>
      </c>
      <c r="G2" s="44" t="s">
        <v>38</v>
      </c>
      <c r="H2" s="45" t="s">
        <v>36</v>
      </c>
    </row>
    <row r="3" customFormat="false" ht="13.8" hidden="false" customHeight="false" outlineLevel="0" collapsed="false">
      <c r="A3" s="21" t="s">
        <v>25</v>
      </c>
      <c r="B3" s="46" t="n">
        <v>47900</v>
      </c>
      <c r="C3" s="47"/>
      <c r="D3" s="47"/>
      <c r="E3" s="47"/>
      <c r="F3" s="47" t="n">
        <v>2660</v>
      </c>
      <c r="G3" s="48" t="n">
        <v>3880</v>
      </c>
      <c r="H3" s="49" t="n">
        <f aca="false">SUM(B3:G3)</f>
        <v>54440</v>
      </c>
    </row>
    <row r="4" customFormat="false" ht="13.8" hidden="false" customHeight="false" outlineLevel="0" collapsed="false">
      <c r="A4" s="26" t="s">
        <v>16</v>
      </c>
      <c r="B4" s="50"/>
      <c r="C4" s="51" t="n">
        <v>4860</v>
      </c>
      <c r="D4" s="51" t="n">
        <v>3600</v>
      </c>
      <c r="E4" s="51"/>
      <c r="F4" s="51"/>
      <c r="G4" s="52"/>
      <c r="H4" s="49" t="n">
        <f aca="false">SUM(B4:G4)</f>
        <v>8460</v>
      </c>
    </row>
    <row r="5" customFormat="false" ht="13.8" hidden="false" customHeight="false" outlineLevel="0" collapsed="false">
      <c r="A5" s="26" t="s">
        <v>21</v>
      </c>
      <c r="B5" s="50"/>
      <c r="C5" s="51"/>
      <c r="D5" s="51" t="n">
        <v>256540</v>
      </c>
      <c r="E5" s="51" t="n">
        <v>2500</v>
      </c>
      <c r="F5" s="51" t="n">
        <v>1640</v>
      </c>
      <c r="G5" s="52"/>
      <c r="H5" s="49" t="n">
        <f aca="false">SUM(B5:G5)</f>
        <v>260680</v>
      </c>
    </row>
    <row r="6" customFormat="false" ht="13.8" hidden="false" customHeight="false" outlineLevel="0" collapsed="false">
      <c r="A6" s="26" t="s">
        <v>10</v>
      </c>
      <c r="B6" s="50"/>
      <c r="C6" s="51"/>
      <c r="D6" s="51" t="n">
        <v>96680</v>
      </c>
      <c r="E6" s="51" t="n">
        <v>6560</v>
      </c>
      <c r="F6" s="51" t="n">
        <v>7000</v>
      </c>
      <c r="G6" s="52"/>
      <c r="H6" s="49" t="n">
        <f aca="false">SUM(B6:G6)</f>
        <v>110240</v>
      </c>
    </row>
    <row r="7" customFormat="false" ht="13.8" hidden="false" customHeight="false" outlineLevel="0" collapsed="false">
      <c r="A7" s="26" t="s">
        <v>28</v>
      </c>
      <c r="B7" s="50"/>
      <c r="C7" s="51"/>
      <c r="D7" s="51" t="n">
        <v>4560</v>
      </c>
      <c r="E7" s="51"/>
      <c r="F7" s="51"/>
      <c r="G7" s="52"/>
      <c r="H7" s="49" t="n">
        <f aca="false">SUM(B7:G7)</f>
        <v>4560</v>
      </c>
    </row>
    <row r="8" customFormat="false" ht="13.8" hidden="false" customHeight="false" outlineLevel="0" collapsed="false">
      <c r="A8" s="26" t="s">
        <v>22</v>
      </c>
      <c r="B8" s="50"/>
      <c r="C8" s="51"/>
      <c r="D8" s="51" t="n">
        <v>11900</v>
      </c>
      <c r="E8" s="51"/>
      <c r="F8" s="51"/>
      <c r="G8" s="52"/>
      <c r="H8" s="49" t="n">
        <f aca="false">SUM(B8:G8)</f>
        <v>11900</v>
      </c>
    </row>
    <row r="9" customFormat="false" ht="13.8" hidden="false" customHeight="false" outlineLevel="0" collapsed="false">
      <c r="A9" s="26" t="s">
        <v>32</v>
      </c>
      <c r="B9" s="50"/>
      <c r="C9" s="51"/>
      <c r="D9" s="51" t="n">
        <v>540</v>
      </c>
      <c r="E9" s="51"/>
      <c r="F9" s="51"/>
      <c r="G9" s="52"/>
      <c r="H9" s="49" t="n">
        <f aca="false">SUM(B9:G9)</f>
        <v>540</v>
      </c>
    </row>
    <row r="10" customFormat="false" ht="13.8" hidden="false" customHeight="false" outlineLevel="0" collapsed="false">
      <c r="A10" s="26" t="s">
        <v>14</v>
      </c>
      <c r="B10" s="50"/>
      <c r="C10" s="51"/>
      <c r="D10" s="51" t="n">
        <v>307880</v>
      </c>
      <c r="E10" s="51"/>
      <c r="F10" s="51"/>
      <c r="G10" s="52"/>
      <c r="H10" s="49" t="n">
        <f aca="false">SUM(B10:G10)</f>
        <v>307880</v>
      </c>
    </row>
    <row r="11" customFormat="false" ht="13.8" hidden="false" customHeight="false" outlineLevel="0" collapsed="false">
      <c r="A11" s="26" t="s">
        <v>15</v>
      </c>
      <c r="B11" s="50"/>
      <c r="C11" s="51"/>
      <c r="D11" s="51" t="n">
        <v>21140</v>
      </c>
      <c r="E11" s="51"/>
      <c r="F11" s="51"/>
      <c r="G11" s="52"/>
      <c r="H11" s="49" t="n">
        <f aca="false">SUM(B11:G11)</f>
        <v>21140</v>
      </c>
    </row>
    <row r="12" customFormat="false" ht="13.8" hidden="false" customHeight="false" outlineLevel="0" collapsed="false">
      <c r="A12" s="26" t="s">
        <v>18</v>
      </c>
      <c r="B12" s="50"/>
      <c r="C12" s="51"/>
      <c r="D12" s="51"/>
      <c r="E12" s="51"/>
      <c r="F12" s="51"/>
      <c r="G12" s="52" t="n">
        <v>14860</v>
      </c>
      <c r="H12" s="49" t="n">
        <f aca="false">SUM(B12:G12)</f>
        <v>14860</v>
      </c>
    </row>
    <row r="13" customFormat="false" ht="13.8" hidden="false" customHeight="false" outlineLevel="0" collapsed="false">
      <c r="A13" s="26"/>
      <c r="B13" s="53"/>
      <c r="C13" s="54"/>
      <c r="D13" s="54"/>
      <c r="E13" s="54"/>
      <c r="F13" s="54"/>
      <c r="G13" s="55"/>
      <c r="H13" s="49" t="n">
        <f aca="false">SUM(B13:G13)</f>
        <v>0</v>
      </c>
    </row>
    <row r="14" s="41" customFormat="true" ht="13.8" hidden="false" customHeight="false" outlineLevel="0" collapsed="false">
      <c r="B14" s="56"/>
      <c r="C14" s="56"/>
      <c r="D14" s="56"/>
      <c r="E14" s="56"/>
      <c r="F14" s="56"/>
      <c r="G14" s="56"/>
      <c r="H14" s="49" t="n">
        <f aca="false">SUM(B14:G14)</f>
        <v>0</v>
      </c>
    </row>
    <row r="15" customFormat="false" ht="13.8" hidden="false" customHeight="false" outlineLevel="0" collapsed="false">
      <c r="A15" s="45" t="s">
        <v>36</v>
      </c>
      <c r="B15" s="57" t="n">
        <f aca="false">SUM(B3:B14)</f>
        <v>47900</v>
      </c>
      <c r="C15" s="57" t="n">
        <f aca="false">SUM(C3:C14)</f>
        <v>4860</v>
      </c>
      <c r="D15" s="57" t="n">
        <f aca="false">SUM(D3:D14)</f>
        <v>702840</v>
      </c>
      <c r="E15" s="57" t="n">
        <f aca="false">SUM(E3:E14)</f>
        <v>9060</v>
      </c>
      <c r="F15" s="57" t="n">
        <f aca="false">SUM(F3:F14)</f>
        <v>11300</v>
      </c>
      <c r="G15" s="57" t="n">
        <f aca="false">SUM(G3:G14)</f>
        <v>18740</v>
      </c>
      <c r="H15" s="58" t="n">
        <f aca="false">SUM(B15:G15)</f>
        <v>794700</v>
      </c>
    </row>
    <row r="16" customFormat="false" ht="15" hidden="false" customHeight="false" outlineLevel="0" collapsed="false">
      <c r="A16" s="59" t="s">
        <v>39</v>
      </c>
      <c r="B16" s="60" t="n">
        <f aca="false">+E78</f>
        <v>47900</v>
      </c>
      <c r="C16" s="60" t="n">
        <f aca="false">+E72</f>
        <v>4860</v>
      </c>
      <c r="D16" s="60" t="n">
        <f aca="false">+F35</f>
        <v>702840</v>
      </c>
      <c r="E16" s="60" t="n">
        <f aca="false">+E63</f>
        <v>9060</v>
      </c>
      <c r="F16" s="60" t="n">
        <f aca="false">+E55</f>
        <v>11300</v>
      </c>
      <c r="G16" s="60" t="n">
        <f aca="false">+F45</f>
        <v>18740</v>
      </c>
      <c r="H16" s="61" t="n">
        <f aca="false">SUM(B16:G16)</f>
        <v>794700</v>
      </c>
    </row>
    <row r="17" customFormat="false" ht="14.5" hidden="false" customHeight="false" outlineLevel="0" collapsed="false">
      <c r="C17" s="62"/>
      <c r="D17" s="62"/>
      <c r="E17" s="62"/>
      <c r="F17" s="62"/>
      <c r="G17" s="62"/>
      <c r="H17" s="62"/>
    </row>
    <row r="18" customFormat="false" ht="14.5" hidden="false" customHeight="false" outlineLevel="0" collapsed="false">
      <c r="C18" s="62"/>
      <c r="D18" s="62" t="s">
        <v>40</v>
      </c>
      <c r="E18" s="62" t="s">
        <v>41</v>
      </c>
      <c r="F18" s="62" t="s">
        <v>42</v>
      </c>
      <c r="G18" s="62"/>
      <c r="H18" s="62"/>
    </row>
    <row r="19" customFormat="false" ht="14.5" hidden="false" customHeight="false" outlineLevel="0" collapsed="false">
      <c r="A19" s="63" t="s">
        <v>43</v>
      </c>
      <c r="B19" s="63"/>
      <c r="C19" s="63"/>
      <c r="D19" s="64" t="n">
        <f aca="false">+F35+F45+E55+E63+E72+E78</f>
        <v>794700</v>
      </c>
      <c r="E19" s="65" t="n">
        <f aca="false">+G35+G45+F55+F63+F72+F78</f>
        <v>794700</v>
      </c>
      <c r="F19" s="64" t="n">
        <f aca="false">+E19-D19</f>
        <v>0</v>
      </c>
      <c r="G19" s="62"/>
      <c r="H19" s="62"/>
    </row>
    <row r="20" customFormat="false" ht="14.5" hidden="false" customHeight="false" outlineLevel="0" collapsed="false">
      <c r="C20" s="62"/>
      <c r="D20" s="62"/>
      <c r="E20" s="62"/>
      <c r="F20" s="62"/>
      <c r="G20" s="62"/>
      <c r="H20" s="62"/>
    </row>
    <row r="21" s="41" customFormat="true" ht="14" hidden="false" customHeight="false" outlineLevel="0" collapsed="false"/>
    <row r="22" customFormat="false" ht="14.5" hidden="false" customHeight="false" outlineLevel="0" collapsed="false">
      <c r="A22" s="62" t="s">
        <v>12</v>
      </c>
      <c r="B22" s="62"/>
      <c r="C22" s="62"/>
      <c r="D22" s="62"/>
      <c r="E22" s="62"/>
      <c r="F22" s="62"/>
      <c r="G22" s="62"/>
      <c r="H22" s="62"/>
    </row>
    <row r="23" customFormat="false" ht="14.5" hidden="false" customHeight="false" outlineLevel="0" collapsed="false">
      <c r="A23" s="40" t="s">
        <v>44</v>
      </c>
      <c r="B23" s="41" t="s">
        <v>45</v>
      </c>
      <c r="C23" s="66" t="s">
        <v>46</v>
      </c>
      <c r="D23" s="67" t="s">
        <v>47</v>
      </c>
      <c r="E23" s="66" t="s">
        <v>48</v>
      </c>
      <c r="F23" s="68" t="s">
        <v>49</v>
      </c>
      <c r="G23" s="66" t="s">
        <v>41</v>
      </c>
      <c r="H23" s="66"/>
    </row>
    <row r="24" customFormat="false" ht="14.9" hidden="false" customHeight="false" outlineLevel="0" collapsed="false">
      <c r="A24" s="69" t="n">
        <v>109</v>
      </c>
      <c r="B24" s="70" t="s">
        <v>50</v>
      </c>
      <c r="C24" s="71" t="s">
        <v>25</v>
      </c>
      <c r="D24" s="72"/>
      <c r="E24" s="71"/>
      <c r="F24" s="73"/>
      <c r="G24" s="74" t="n">
        <f aca="false">IFERROR(INDEX($B$3:$G$14,MATCH(C24,$A$3:$A$14,0),MATCH($A$22,$B$2:$G$2,0)),0)</f>
        <v>0</v>
      </c>
      <c r="H24" s="75" t="str">
        <f aca="false">IF(G24=F24,"Bien",G24-F24)</f>
        <v>Bien</v>
      </c>
    </row>
    <row r="25" customFormat="false" ht="14.9" hidden="false" customHeight="false" outlineLevel="0" collapsed="false">
      <c r="A25" s="76" t="n">
        <v>333</v>
      </c>
      <c r="B25" s="77" t="s">
        <v>51</v>
      </c>
      <c r="C25" s="78" t="s">
        <v>16</v>
      </c>
      <c r="D25" s="72" t="s">
        <v>52</v>
      </c>
      <c r="E25" s="66" t="s">
        <v>53</v>
      </c>
      <c r="F25" s="68" t="n">
        <v>3600</v>
      </c>
      <c r="G25" s="79" t="n">
        <f aca="false">IFERROR(INDEX($B$3:$G$14,MATCH(C25,$A$3:$A$14,0),MATCH($A$22,$B$2:$G$2,0)),0)</f>
        <v>3600</v>
      </c>
      <c r="H25" s="80" t="str">
        <f aca="false">IF(G25=F25,"Bien",G25-F25)</f>
        <v>Bien</v>
      </c>
    </row>
    <row r="26" customFormat="false" ht="15" hidden="false" customHeight="false" outlineLevel="0" collapsed="false">
      <c r="A26" s="81" t="n">
        <v>320</v>
      </c>
      <c r="B26" s="82" t="s">
        <v>54</v>
      </c>
      <c r="C26" s="66" t="s">
        <v>21</v>
      </c>
      <c r="D26" s="72" t="s">
        <v>52</v>
      </c>
      <c r="E26" s="66" t="s">
        <v>55</v>
      </c>
      <c r="F26" s="68" t="n">
        <v>256540</v>
      </c>
      <c r="G26" s="79" t="n">
        <f aca="false">IFERROR(INDEX($B$3:$G$14,MATCH(C26,$A$3:$A$14,0),MATCH($A$22,$B$2:$G$2,0)),0)</f>
        <v>256540</v>
      </c>
      <c r="H26" s="80" t="str">
        <f aca="false">IF(G26=F26,"Bien",G26-F26)</f>
        <v>Bien</v>
      </c>
    </row>
    <row r="27" customFormat="false" ht="15" hidden="false" customHeight="false" outlineLevel="0" collapsed="false">
      <c r="A27" s="81" t="n">
        <v>321</v>
      </c>
      <c r="B27" s="82" t="s">
        <v>56</v>
      </c>
      <c r="C27" s="66" t="s">
        <v>10</v>
      </c>
      <c r="D27" s="72" t="s">
        <v>52</v>
      </c>
      <c r="E27" s="66" t="s">
        <v>55</v>
      </c>
      <c r="F27" s="68" t="n">
        <v>96680</v>
      </c>
      <c r="G27" s="79" t="n">
        <f aca="false">IFERROR(INDEX($B$3:$G$14,MATCH(C27,$A$3:$A$14,0),MATCH($A$22,$B$2:$G$2,0)),0)</f>
        <v>96680</v>
      </c>
      <c r="H27" s="80" t="str">
        <f aca="false">IF(G27=F27,"Bien",G27-F27)</f>
        <v>Bien</v>
      </c>
    </row>
    <row r="28" customFormat="false" ht="15" hidden="false" customHeight="false" outlineLevel="0" collapsed="false">
      <c r="A28" s="76" t="n">
        <v>316</v>
      </c>
      <c r="B28" s="41" t="s">
        <v>57</v>
      </c>
      <c r="C28" s="66" t="s">
        <v>28</v>
      </c>
      <c r="D28" s="72" t="s">
        <v>52</v>
      </c>
      <c r="E28" s="66" t="s">
        <v>53</v>
      </c>
      <c r="F28" s="68" t="n">
        <v>4560</v>
      </c>
      <c r="G28" s="79" t="n">
        <f aca="false">IFERROR(INDEX($B$3:$G$14,MATCH(C28,$A$3:$A$14,0),MATCH($A$22,$B$2:$G$2,0)),0)</f>
        <v>4560</v>
      </c>
      <c r="H28" s="80" t="str">
        <f aca="false">IF(G28=F28,"Bien",G28-F28)</f>
        <v>Bien</v>
      </c>
    </row>
    <row r="29" customFormat="false" ht="15" hidden="false" customHeight="false" outlineLevel="0" collapsed="false">
      <c r="A29" s="81" t="n">
        <v>196</v>
      </c>
      <c r="B29" s="82" t="s">
        <v>58</v>
      </c>
      <c r="C29" s="66" t="s">
        <v>22</v>
      </c>
      <c r="D29" s="72" t="s">
        <v>52</v>
      </c>
      <c r="E29" s="66" t="s">
        <v>53</v>
      </c>
      <c r="F29" s="68" t="n">
        <v>11900</v>
      </c>
      <c r="G29" s="79" t="n">
        <f aca="false">IFERROR(INDEX($B$3:$G$14,MATCH(C29,$A$3:$A$14,0),MATCH($A$22,$B$2:$G$2,0)),0)</f>
        <v>11900</v>
      </c>
      <c r="H29" s="80" t="str">
        <f aca="false">IF(G29=F29,"Bien",G29-F29)</f>
        <v>Bien</v>
      </c>
      <c r="I29" s="41" t="s">
        <v>59</v>
      </c>
    </row>
    <row r="30" customFormat="false" ht="15" hidden="false" customHeight="false" outlineLevel="0" collapsed="false">
      <c r="A30" s="76" t="n">
        <v>309</v>
      </c>
      <c r="B30" s="41" t="s">
        <v>60</v>
      </c>
      <c r="C30" s="66" t="s">
        <v>32</v>
      </c>
      <c r="D30" s="72" t="s">
        <v>52</v>
      </c>
      <c r="E30" s="66" t="s">
        <v>53</v>
      </c>
      <c r="F30" s="83" t="n">
        <v>540</v>
      </c>
      <c r="G30" s="79" t="n">
        <f aca="false">IFERROR(INDEX($B$3:$G$14,MATCH(C30,$A$3:$A$14,0),MATCH($A$22,$B$2:$G$2,0)),0)</f>
        <v>540</v>
      </c>
      <c r="H30" s="80" t="str">
        <f aca="false">IF(G30=F30,"Bien",G30-F30)</f>
        <v>Bien</v>
      </c>
      <c r="L30" s="84"/>
      <c r="M30" s="85"/>
      <c r="N30" s="77"/>
    </row>
    <row r="31" customFormat="false" ht="15" hidden="false" customHeight="false" outlineLevel="0" collapsed="false">
      <c r="A31" s="76" t="n">
        <v>318</v>
      </c>
      <c r="B31" s="82" t="s">
        <v>58</v>
      </c>
      <c r="C31" s="66" t="s">
        <v>14</v>
      </c>
      <c r="D31" s="72" t="s">
        <v>52</v>
      </c>
      <c r="E31" s="66" t="s">
        <v>55</v>
      </c>
      <c r="F31" s="83" t="n">
        <v>307880</v>
      </c>
      <c r="G31" s="79" t="n">
        <f aca="false">IFERROR(INDEX($B$3:$G$14,MATCH(C31,$A$3:$A$14,0),MATCH($A$22,$B$2:$G$2,0)),0)</f>
        <v>307880</v>
      </c>
      <c r="H31" s="80" t="str">
        <f aca="false">IF(G31=F31,"Bien",G31-F31)</f>
        <v>Bien</v>
      </c>
      <c r="L31" s="84"/>
      <c r="M31" s="77"/>
      <c r="N31" s="77"/>
    </row>
    <row r="32" customFormat="false" ht="15" hidden="false" customHeight="false" outlineLevel="0" collapsed="false">
      <c r="A32" s="76" t="n">
        <v>310</v>
      </c>
      <c r="B32" s="82" t="s">
        <v>61</v>
      </c>
      <c r="C32" s="77" t="s">
        <v>15</v>
      </c>
      <c r="D32" s="72" t="s">
        <v>52</v>
      </c>
      <c r="E32" s="66" t="s">
        <v>55</v>
      </c>
      <c r="F32" s="86" t="n">
        <v>21140</v>
      </c>
      <c r="G32" s="79" t="n">
        <f aca="false">IFERROR(INDEX($B$3:$G$14,MATCH(C32,$A$3:$A$14,0),MATCH($A$22,$B$2:$G$2,0)),0)</f>
        <v>21140</v>
      </c>
      <c r="H32" s="80" t="str">
        <f aca="false">IF(G32=F32,"Bien",G32-F32)</f>
        <v>Bien</v>
      </c>
      <c r="N32" s="82"/>
    </row>
    <row r="33" customFormat="false" ht="14.9" hidden="false" customHeight="false" outlineLevel="0" collapsed="false">
      <c r="A33" s="76" t="n">
        <v>296</v>
      </c>
      <c r="B33" s="77" t="s">
        <v>62</v>
      </c>
      <c r="C33" s="77" t="s">
        <v>18</v>
      </c>
      <c r="D33" s="72"/>
      <c r="E33" s="66"/>
      <c r="F33" s="86"/>
      <c r="G33" s="79" t="n">
        <f aca="false">IFERROR(INDEX($B$3:$G$14,MATCH(C33,$A$3:$A$14,0),MATCH($A$22,$B$2:$G$2,0)),0)</f>
        <v>0</v>
      </c>
      <c r="H33" s="80" t="str">
        <f aca="false">IF(G33=F33,"Bien",G33-F33)</f>
        <v>Bien</v>
      </c>
      <c r="N33" s="82"/>
    </row>
    <row r="34" customFormat="false" ht="14.9" hidden="false" customHeight="false" outlineLevel="0" collapsed="false">
      <c r="A34" s="87"/>
      <c r="B34" s="88" t="s">
        <v>50</v>
      </c>
      <c r="C34" s="88" t="s">
        <v>63</v>
      </c>
      <c r="D34" s="89"/>
      <c r="E34" s="90"/>
      <c r="F34" s="91"/>
      <c r="G34" s="92" t="n">
        <f aca="false">IFERROR(INDEX($B$3:$G$14,MATCH(C34,$A$3:$A$14,0),MATCH($A$22,$B$2:$G$2,0)),0)</f>
        <v>0</v>
      </c>
      <c r="H34" s="93" t="str">
        <f aca="false">IF(G34=F34,"Bien",G34-F34)</f>
        <v>Bien</v>
      </c>
      <c r="I34" s="41" t="s">
        <v>64</v>
      </c>
      <c r="N34" s="82"/>
    </row>
    <row r="35" customFormat="false" ht="13.8" hidden="false" customHeight="false" outlineLevel="0" collapsed="false">
      <c r="C35" s="66"/>
      <c r="D35" s="67"/>
      <c r="E35" s="66"/>
      <c r="F35" s="94" t="n">
        <f aca="false">SUM(F24:F34)</f>
        <v>702840</v>
      </c>
      <c r="G35" s="95" t="n">
        <f aca="false">SUM(G24:G34)</f>
        <v>702840</v>
      </c>
      <c r="H35" s="66"/>
      <c r="I35" s="96" t="str">
        <f aca="false">IF(G35=D15,"OK","Revisar")</f>
        <v>OK</v>
      </c>
      <c r="L35" s="84"/>
      <c r="N35" s="66"/>
    </row>
    <row r="36" customFormat="false" ht="14.5" hidden="false" customHeight="false" outlineLevel="0" collapsed="false">
      <c r="A36" s="62" t="str">
        <f aca="false">+G2</f>
        <v>VOLUMINOSOS</v>
      </c>
      <c r="B36" s="62"/>
      <c r="C36" s="62"/>
      <c r="D36" s="62"/>
      <c r="E36" s="62"/>
      <c r="F36" s="62"/>
      <c r="G36" s="62"/>
      <c r="H36" s="62"/>
      <c r="L36" s="84"/>
      <c r="N36" s="66"/>
    </row>
    <row r="37" customFormat="false" ht="14.5" hidden="false" customHeight="false" outlineLevel="0" collapsed="false">
      <c r="C37" s="66" t="s">
        <v>46</v>
      </c>
      <c r="D37" s="67" t="s">
        <v>65</v>
      </c>
      <c r="E37" s="66" t="s">
        <v>66</v>
      </c>
      <c r="F37" s="83" t="s">
        <v>49</v>
      </c>
      <c r="G37" s="66" t="s">
        <v>41</v>
      </c>
      <c r="H37" s="66"/>
    </row>
    <row r="38" customFormat="false" ht="15" hidden="false" customHeight="false" outlineLevel="0" collapsed="false">
      <c r="A38" s="69" t="n">
        <v>109</v>
      </c>
      <c r="B38" s="70" t="s">
        <v>50</v>
      </c>
      <c r="C38" s="71" t="s">
        <v>25</v>
      </c>
      <c r="D38" s="97" t="n">
        <v>2</v>
      </c>
      <c r="E38" s="73" t="n">
        <v>3</v>
      </c>
      <c r="F38" s="73" t="n">
        <v>3880</v>
      </c>
      <c r="G38" s="98" t="n">
        <f aca="false">IFERROR(INDEX($B$3:$G$14,MATCH(C38,$A$3:$A$14,0),MATCH($A$36,$B$2:$G$2,0)),0)</f>
        <v>3880</v>
      </c>
      <c r="H38" s="75" t="str">
        <f aca="false">IF(G38=F38,"Bien",G38-F38)</f>
        <v>Bien</v>
      </c>
    </row>
    <row r="39" customFormat="false" ht="15" hidden="false" customHeight="false" outlineLevel="0" collapsed="false">
      <c r="A39" s="76" t="n">
        <v>333</v>
      </c>
      <c r="B39" s="41" t="s">
        <v>51</v>
      </c>
      <c r="C39" s="66" t="s">
        <v>16</v>
      </c>
      <c r="D39" s="99"/>
      <c r="E39" s="68"/>
      <c r="F39" s="68"/>
      <c r="G39" s="100" t="n">
        <f aca="false">IFERROR(INDEX($B$3:$G$14,MATCH(C39,$A$3:$A$14,0),MATCH($A$36,$B$2:$G$2,0)),0)</f>
        <v>0</v>
      </c>
      <c r="H39" s="80" t="str">
        <f aca="false">IF(G39=F39,"Bien",G39-F39)</f>
        <v>Bien</v>
      </c>
    </row>
    <row r="40" customFormat="false" ht="14.9" hidden="false" customHeight="false" outlineLevel="0" collapsed="false">
      <c r="A40" s="76" t="n">
        <v>316</v>
      </c>
      <c r="B40" s="77" t="s">
        <v>57</v>
      </c>
      <c r="C40" s="77" t="s">
        <v>28</v>
      </c>
      <c r="D40" s="99"/>
      <c r="E40" s="68"/>
      <c r="F40" s="68"/>
      <c r="G40" s="100" t="n">
        <f aca="false">IFERROR(INDEX($B$3:$G$14,MATCH(C40,$A$3:$A$14,0),MATCH($A$36,$B$2:$G$2,0)),0)</f>
        <v>0</v>
      </c>
      <c r="H40" s="80" t="str">
        <f aca="false">IF(G40=F40,"Bien",G40-F40)</f>
        <v>Bien</v>
      </c>
    </row>
    <row r="41" customFormat="false" ht="14.9" hidden="false" customHeight="false" outlineLevel="0" collapsed="false">
      <c r="A41" s="76" t="n">
        <v>309</v>
      </c>
      <c r="B41" s="41" t="s">
        <v>60</v>
      </c>
      <c r="C41" s="66" t="s">
        <v>32</v>
      </c>
      <c r="D41" s="99"/>
      <c r="E41" s="68"/>
      <c r="F41" s="68"/>
      <c r="G41" s="100" t="n">
        <f aca="false">IFERROR(INDEX($B$3:$G$14,MATCH(C41,$A$3:$A$14,0),MATCH($A$36,$B$2:$G$2,0)),0)</f>
        <v>0</v>
      </c>
      <c r="H41" s="80" t="str">
        <f aca="false">IF(G41=F41,"Bien",G41-F41)</f>
        <v>Bien</v>
      </c>
    </row>
    <row r="42" customFormat="false" ht="14.9" hidden="false" customHeight="false" outlineLevel="0" collapsed="false">
      <c r="A42" s="76" t="n">
        <v>296</v>
      </c>
      <c r="B42" s="77" t="s">
        <v>62</v>
      </c>
      <c r="C42" s="77" t="s">
        <v>18</v>
      </c>
      <c r="D42" s="101" t="n">
        <v>2</v>
      </c>
      <c r="E42" s="102" t="n">
        <v>30</v>
      </c>
      <c r="F42" s="102" t="n">
        <v>14860</v>
      </c>
      <c r="G42" s="100" t="n">
        <f aca="false">IFERROR(INDEX($B$3:$G$14,MATCH(C42,$A$3:$A$14,0),MATCH($A$36,$B$2:$G$2,0)),0)</f>
        <v>14860</v>
      </c>
      <c r="H42" s="80" t="str">
        <f aca="false">IF(G42=F42,"Bien",G42-F42)</f>
        <v>Bien</v>
      </c>
    </row>
    <row r="43" customFormat="false" ht="14.9" hidden="false" customHeight="false" outlineLevel="0" collapsed="false">
      <c r="A43" s="76"/>
      <c r="B43" s="88" t="s">
        <v>50</v>
      </c>
      <c r="C43" s="88" t="s">
        <v>63</v>
      </c>
      <c r="D43" s="101"/>
      <c r="E43" s="102"/>
      <c r="F43" s="102"/>
      <c r="G43" s="100" t="n">
        <f aca="false">IFERROR(INDEX($B$3:$G$14,MATCH(C43,$A$3:$A$14,0),MATCH($A$36,$B$2:$G$2,0)),0)</f>
        <v>0</v>
      </c>
      <c r="H43" s="80" t="str">
        <f aca="false">IF(G43=F43,"Bien",G43-F43)</f>
        <v>Bien</v>
      </c>
    </row>
    <row r="44" customFormat="false" ht="15" hidden="false" customHeight="false" outlineLevel="0" collapsed="false">
      <c r="A44" s="87"/>
      <c r="B44" s="90"/>
      <c r="C44" s="88" t="s">
        <v>67</v>
      </c>
      <c r="D44" s="103"/>
      <c r="E44" s="104"/>
      <c r="F44" s="104"/>
      <c r="G44" s="105" t="n">
        <f aca="false">IFERROR(INDEX($B$3:$G$14,MATCH(C44,$A$3:$A$14,0),MATCH($A$36,$B$2:$G$2,0)),0)</f>
        <v>0</v>
      </c>
      <c r="H44" s="93" t="str">
        <f aca="false">IF(G44=F44,"Bien",G44-F44)</f>
        <v>Bien</v>
      </c>
    </row>
    <row r="45" s="41" customFormat="true" ht="13.8" hidden="false" customHeight="false" outlineLevel="0" collapsed="false">
      <c r="D45" s="67"/>
      <c r="E45" s="66"/>
      <c r="F45" s="94" t="n">
        <f aca="false">SUM(F38:F44)</f>
        <v>18740</v>
      </c>
      <c r="G45" s="95" t="n">
        <f aca="false">SUM(G38:G44)</f>
        <v>18740</v>
      </c>
      <c r="H45" s="66"/>
      <c r="I45" s="96" t="str">
        <f aca="false">+IF(G45=G15,"OK","Revisar")</f>
        <v>OK</v>
      </c>
    </row>
    <row r="46" customFormat="false" ht="14.5" hidden="false" customHeight="false" outlineLevel="0" collapsed="false">
      <c r="C46" s="66"/>
      <c r="D46" s="67"/>
      <c r="E46" s="66"/>
      <c r="F46" s="83"/>
      <c r="G46" s="95"/>
      <c r="H46" s="66"/>
    </row>
    <row r="47" customFormat="false" ht="14.5" hidden="false" customHeight="false" outlineLevel="0" collapsed="false">
      <c r="A47" s="62" t="s">
        <v>26</v>
      </c>
      <c r="B47" s="62"/>
      <c r="C47" s="62"/>
      <c r="D47" s="62"/>
      <c r="E47" s="62"/>
      <c r="F47" s="62"/>
      <c r="G47" s="62"/>
      <c r="H47" s="62"/>
    </row>
    <row r="48" customFormat="false" ht="13.8" hidden="false" customHeight="false" outlineLevel="0" collapsed="false">
      <c r="C48" s="106" t="s">
        <v>46</v>
      </c>
      <c r="D48" s="107" t="s">
        <v>66</v>
      </c>
      <c r="E48" s="108" t="s">
        <v>49</v>
      </c>
      <c r="F48" s="109" t="s">
        <v>41</v>
      </c>
      <c r="G48" s="66"/>
      <c r="H48" s="66"/>
    </row>
    <row r="49" customFormat="false" ht="14.9" hidden="false" customHeight="false" outlineLevel="0" collapsed="false">
      <c r="A49" s="110" t="n">
        <v>109</v>
      </c>
      <c r="B49" s="111" t="s">
        <v>50</v>
      </c>
      <c r="C49" s="112" t="s">
        <v>25</v>
      </c>
      <c r="D49" s="113" t="n">
        <v>2</v>
      </c>
      <c r="E49" s="114" t="n">
        <v>2660</v>
      </c>
      <c r="F49" s="115" t="n">
        <f aca="false">IFERROR(INDEX($B$3:$G$14,MATCH(C49,$A$3:$A$14,0),MATCH($A$47,$B$2:$G$2,0)),0)</f>
        <v>2660</v>
      </c>
      <c r="G49" s="116" t="str">
        <f aca="false">IF(F49=E49,"Bien",F49-E49)</f>
        <v>Bien</v>
      </c>
      <c r="H49" s="66"/>
    </row>
    <row r="50" customFormat="false" ht="14.9" hidden="false" customHeight="false" outlineLevel="0" collapsed="false">
      <c r="A50" s="117" t="n">
        <v>320</v>
      </c>
      <c r="B50" s="118" t="s">
        <v>54</v>
      </c>
      <c r="C50" s="66" t="s">
        <v>21</v>
      </c>
      <c r="D50" s="119" t="n">
        <v>1</v>
      </c>
      <c r="E50" s="120" t="n">
        <v>1640</v>
      </c>
      <c r="F50" s="121" t="n">
        <f aca="false">IFERROR(INDEX($B$3:$G$14,MATCH(C50,$A$3:$A$14,0),MATCH($A$47,$B$2:$G$2,0)),0)</f>
        <v>1640</v>
      </c>
      <c r="G50" s="122" t="str">
        <f aca="false">IF(F50=E50,"Bien",F50-E50)</f>
        <v>Bien</v>
      </c>
      <c r="H50" s="66"/>
    </row>
    <row r="51" customFormat="false" ht="14.9" hidden="false" customHeight="false" outlineLevel="0" collapsed="false">
      <c r="A51" s="117" t="n">
        <v>321</v>
      </c>
      <c r="B51" s="118" t="s">
        <v>56</v>
      </c>
      <c r="C51" s="66" t="s">
        <v>10</v>
      </c>
      <c r="D51" s="119" t="n">
        <v>3</v>
      </c>
      <c r="E51" s="120" t="n">
        <v>7000</v>
      </c>
      <c r="F51" s="121" t="n">
        <f aca="false">IFERROR(INDEX($B$3:$G$14,MATCH(C51,$A$3:$A$14,0),MATCH($A$47,$B$2:$G$2,0)),0)</f>
        <v>7000</v>
      </c>
      <c r="G51" s="122" t="str">
        <f aca="false">IF(F51=E51,"Bien",F51-E51)</f>
        <v>Bien</v>
      </c>
      <c r="H51" s="66"/>
    </row>
    <row r="52" customFormat="false" ht="14.9" hidden="false" customHeight="false" outlineLevel="0" collapsed="false">
      <c r="A52" s="123" t="n">
        <v>296</v>
      </c>
      <c r="B52" s="124" t="s">
        <v>62</v>
      </c>
      <c r="C52" s="66" t="s">
        <v>18</v>
      </c>
      <c r="D52" s="119"/>
      <c r="E52" s="125"/>
      <c r="F52" s="121" t="n">
        <f aca="false">IFERROR(INDEX($B$3:$G$14,MATCH(C52,$A$3:$A$14,0),MATCH($A$47,$B$2:$G$2,0)),0)</f>
        <v>0</v>
      </c>
      <c r="G52" s="122" t="str">
        <f aca="false">IF(F52=E52,"Bien",F52-E52)</f>
        <v>Bien</v>
      </c>
      <c r="H52" s="66"/>
    </row>
    <row r="53" customFormat="false" ht="14.9" hidden="false" customHeight="false" outlineLevel="0" collapsed="false">
      <c r="A53" s="117"/>
      <c r="B53" s="126"/>
      <c r="C53" s="127" t="s">
        <v>67</v>
      </c>
      <c r="D53" s="128"/>
      <c r="E53" s="129"/>
      <c r="F53" s="121" t="n">
        <f aca="false">IFERROR(INDEX($B$3:$G$14,MATCH(C53,$A$3:$A$14,0),MATCH($A$47,$B$2:$G$2,0)),0)</f>
        <v>0</v>
      </c>
      <c r="G53" s="122" t="str">
        <f aca="false">IF(F53=E53,"Bien",F53-E53)</f>
        <v>Bien</v>
      </c>
      <c r="H53" s="66"/>
    </row>
    <row r="54" customFormat="false" ht="14.9" hidden="false" customHeight="false" outlineLevel="0" collapsed="false">
      <c r="A54" s="130"/>
      <c r="B54" s="131" t="s">
        <v>50</v>
      </c>
      <c r="C54" s="132" t="s">
        <v>63</v>
      </c>
      <c r="D54" s="133"/>
      <c r="E54" s="134"/>
      <c r="F54" s="135" t="n">
        <f aca="false">IFERROR(INDEX($B$3:$G$14,MATCH(C54,$A$3:$A$14,0),MATCH($A$47,$B$2:$G$2,0)),0)</f>
        <v>0</v>
      </c>
      <c r="G54" s="136" t="str">
        <f aca="false">IF(F54=E54,"Bien",F54-E54)</f>
        <v>Bien</v>
      </c>
      <c r="H54" s="66"/>
    </row>
    <row r="55" customFormat="false" ht="13.8" hidden="false" customHeight="false" outlineLevel="0" collapsed="false">
      <c r="C55" s="66"/>
      <c r="D55" s="119"/>
      <c r="E55" s="95" t="n">
        <f aca="false">SUM(E49:E54)</f>
        <v>11300</v>
      </c>
      <c r="F55" s="95" t="n">
        <f aca="false">SUM(F49:F54)</f>
        <v>11300</v>
      </c>
      <c r="G55" s="66"/>
      <c r="H55" s="66"/>
      <c r="I55" s="96" t="str">
        <f aca="false">+IF(F55=F15,"OK","Revisar")</f>
        <v>OK</v>
      </c>
    </row>
    <row r="56" customFormat="false" ht="14.5" hidden="false" customHeight="false" outlineLevel="0" collapsed="false">
      <c r="A56" s="62" t="s">
        <v>24</v>
      </c>
      <c r="B56" s="62"/>
      <c r="C56" s="62"/>
      <c r="D56" s="62"/>
      <c r="E56" s="62"/>
      <c r="F56" s="62"/>
      <c r="G56" s="62"/>
      <c r="H56" s="66"/>
    </row>
    <row r="57" customFormat="false" ht="14.5" hidden="false" customHeight="false" outlineLevel="0" collapsed="false">
      <c r="C57" s="66" t="s">
        <v>46</v>
      </c>
      <c r="D57" s="67" t="s">
        <v>66</v>
      </c>
      <c r="E57" s="66" t="s">
        <v>49</v>
      </c>
      <c r="F57" s="83" t="s">
        <v>41</v>
      </c>
      <c r="G57" s="66"/>
      <c r="H57" s="66"/>
    </row>
    <row r="58" customFormat="false" ht="14.9" hidden="false" customHeight="false" outlineLevel="0" collapsed="false">
      <c r="A58" s="69" t="n">
        <v>109</v>
      </c>
      <c r="B58" s="70" t="s">
        <v>50</v>
      </c>
      <c r="C58" s="71" t="s">
        <v>25</v>
      </c>
      <c r="D58" s="137"/>
      <c r="E58" s="138"/>
      <c r="F58" s="74" t="n">
        <f aca="false">IFERROR(INDEX($B$3:$G$14,MATCH(C58,$A$3:$A$14,0),MATCH($A$56,$B$2:$G$2,0)),0)</f>
        <v>0</v>
      </c>
      <c r="G58" s="75" t="str">
        <f aca="false">IF(F58=E58,"Bien",F58-E58)</f>
        <v>Bien</v>
      </c>
      <c r="H58" s="66"/>
    </row>
    <row r="59" customFormat="false" ht="14.9" hidden="false" customHeight="false" outlineLevel="0" collapsed="false">
      <c r="A59" s="81" t="n">
        <v>320</v>
      </c>
      <c r="B59" s="82" t="s">
        <v>54</v>
      </c>
      <c r="C59" s="66" t="s">
        <v>21</v>
      </c>
      <c r="D59" s="128" t="n">
        <v>1</v>
      </c>
      <c r="E59" s="129" t="n">
        <v>2500</v>
      </c>
      <c r="F59" s="79" t="n">
        <f aca="false">IFERROR(INDEX($B$3:$G$14,MATCH(C59,$A$3:$A$14,0),MATCH($A$56,$B$2:$G$2,0)),0)</f>
        <v>2500</v>
      </c>
      <c r="G59" s="80" t="str">
        <f aca="false">IF(F59=E59,"Bien",F59-E59)</f>
        <v>Bien</v>
      </c>
      <c r="H59" s="66"/>
    </row>
    <row r="60" customFormat="false" ht="14.9" hidden="false" customHeight="false" outlineLevel="0" collapsed="false">
      <c r="A60" s="81" t="n">
        <v>321</v>
      </c>
      <c r="B60" s="82" t="s">
        <v>56</v>
      </c>
      <c r="C60" s="66" t="s">
        <v>10</v>
      </c>
      <c r="D60" s="128" t="n">
        <v>3</v>
      </c>
      <c r="E60" s="129" t="n">
        <v>6560</v>
      </c>
      <c r="F60" s="79" t="n">
        <f aca="false">IFERROR(INDEX($B$3:$G$14,MATCH(C60,$A$3:$A$14,0),MATCH($A$56,$B$2:$G$2,0)),0)</f>
        <v>6560</v>
      </c>
      <c r="G60" s="80" t="str">
        <f aca="false">IF(F60=E60,"Bien",F60-E60)</f>
        <v>Bien</v>
      </c>
      <c r="H60" s="66"/>
    </row>
    <row r="61" customFormat="false" ht="14.9" hidden="false" customHeight="false" outlineLevel="0" collapsed="false">
      <c r="A61" s="76" t="n">
        <v>296</v>
      </c>
      <c r="B61" s="41" t="s">
        <v>62</v>
      </c>
      <c r="C61" s="66" t="s">
        <v>18</v>
      </c>
      <c r="D61" s="128"/>
      <c r="E61" s="129"/>
      <c r="F61" s="79" t="n">
        <f aca="false">IFERROR(INDEX($B$3:$G$14,MATCH(C61,$A$3:$A$14,0),MATCH($A$56,$B$2:$G$2,0)),0)</f>
        <v>0</v>
      </c>
      <c r="G61" s="80" t="str">
        <f aca="false">IF(F61=E61,"Bien",F61-E61)</f>
        <v>Bien</v>
      </c>
      <c r="H61" s="66"/>
    </row>
    <row r="62" customFormat="false" ht="15" hidden="false" customHeight="false" outlineLevel="0" collapsed="false">
      <c r="A62" s="139"/>
      <c r="B62" s="90"/>
      <c r="C62" s="140" t="s">
        <v>67</v>
      </c>
      <c r="D62" s="141"/>
      <c r="E62" s="142"/>
      <c r="F62" s="92" t="n">
        <f aca="false">IFERROR(INDEX($B$3:$G$14,MATCH(C62,$A$3:$A$14,0),MATCH($A$56,$B$2:$G$2,0)),0)</f>
        <v>0</v>
      </c>
      <c r="G62" s="93" t="str">
        <f aca="false">IF(F62=E62,"Bien",F62-E62)</f>
        <v>Bien</v>
      </c>
      <c r="H62" s="66"/>
    </row>
    <row r="63" customFormat="false" ht="13.8" hidden="false" customHeight="false" outlineLevel="0" collapsed="false">
      <c r="C63" s="66"/>
      <c r="D63" s="119"/>
      <c r="E63" s="95" t="n">
        <f aca="false">SUM(E58:E62)</f>
        <v>9060</v>
      </c>
      <c r="F63" s="95" t="n">
        <f aca="false">SUM(F58:F62)</f>
        <v>9060</v>
      </c>
      <c r="G63" s="66"/>
      <c r="H63" s="66"/>
      <c r="I63" s="96" t="str">
        <f aca="false">+IF(F63=E15,"OK","Revisar")</f>
        <v>OK</v>
      </c>
    </row>
    <row r="64" customFormat="false" ht="14.5" hidden="false" customHeight="false" outlineLevel="0" collapsed="false">
      <c r="A64" s="62" t="s">
        <v>17</v>
      </c>
      <c r="B64" s="62"/>
      <c r="C64" s="62"/>
      <c r="D64" s="62"/>
      <c r="E64" s="62"/>
      <c r="F64" s="62"/>
      <c r="G64" s="62"/>
      <c r="H64" s="66"/>
    </row>
    <row r="65" customFormat="false" ht="14.5" hidden="false" customHeight="false" outlineLevel="0" collapsed="false">
      <c r="C65" s="66" t="s">
        <v>46</v>
      </c>
      <c r="D65" s="67" t="s">
        <v>66</v>
      </c>
      <c r="E65" s="66" t="s">
        <v>49</v>
      </c>
      <c r="F65" s="83" t="s">
        <v>41</v>
      </c>
      <c r="G65" s="66"/>
      <c r="H65" s="66"/>
    </row>
    <row r="66" customFormat="false" ht="14.9" hidden="false" customHeight="false" outlineLevel="0" collapsed="false">
      <c r="A66" s="69" t="n">
        <v>109</v>
      </c>
      <c r="B66" s="70" t="s">
        <v>50</v>
      </c>
      <c r="C66" s="71" t="s">
        <v>25</v>
      </c>
      <c r="D66" s="143"/>
      <c r="E66" s="138"/>
      <c r="F66" s="74" t="n">
        <f aca="false">IFERROR(INDEX($B$3:$G$14,MATCH(C66,$A$3:$A$14,0),MATCH($A$64,$B$2:$G$2,0)),0)</f>
        <v>0</v>
      </c>
      <c r="G66" s="75" t="str">
        <f aca="false">IF(F66=E66,"Bien",F66-E66)</f>
        <v>Bien</v>
      </c>
      <c r="H66" s="66"/>
    </row>
    <row r="67" customFormat="false" ht="14.9" hidden="false" customHeight="false" outlineLevel="0" collapsed="false">
      <c r="A67" s="76" t="n">
        <v>333</v>
      </c>
      <c r="B67" s="77" t="s">
        <v>51</v>
      </c>
      <c r="C67" s="77" t="s">
        <v>16</v>
      </c>
      <c r="D67" s="128" t="n">
        <v>11</v>
      </c>
      <c r="E67" s="144" t="n">
        <v>4860</v>
      </c>
      <c r="F67" s="79" t="n">
        <f aca="false">IFERROR(INDEX($B$3:$G$14,MATCH(C67,$A$3:$A$14,0),MATCH($A$64,$B$2:$G$2,0)),0)</f>
        <v>4860</v>
      </c>
      <c r="G67" s="80" t="str">
        <f aca="false">IF(F67=E67,"Bien",F67-E67)</f>
        <v>Bien</v>
      </c>
      <c r="H67" s="66"/>
    </row>
    <row r="68" customFormat="false" ht="14.9" hidden="false" customHeight="false" outlineLevel="0" collapsed="false">
      <c r="A68" s="145"/>
      <c r="B68" s="41" t="s">
        <v>68</v>
      </c>
      <c r="C68" s="82" t="s">
        <v>69</v>
      </c>
      <c r="D68" s="125"/>
      <c r="E68" s="125"/>
      <c r="F68" s="79" t="n">
        <f aca="false">IFERROR(INDEX($B$3:$G$14,MATCH(C68,$A$3:$A$14,0),MATCH($A$64,$B$2:$G$2,0)),0)</f>
        <v>0</v>
      </c>
      <c r="G68" s="80" t="str">
        <f aca="false">IF(F68=E68,"Bien",F68-E68)</f>
        <v>Bien</v>
      </c>
      <c r="H68" s="66"/>
    </row>
    <row r="69" customFormat="false" ht="15" hidden="false" customHeight="false" outlineLevel="0" collapsed="false">
      <c r="A69" s="76" t="n">
        <v>316</v>
      </c>
      <c r="B69" s="41" t="s">
        <v>57</v>
      </c>
      <c r="C69" s="66" t="s">
        <v>28</v>
      </c>
      <c r="D69" s="125"/>
      <c r="E69" s="125"/>
      <c r="F69" s="79" t="n">
        <f aca="false">IFERROR(INDEX($B$3:$G$14,MATCH(C69,$A$3:$A$14,0),MATCH($A$64,$B$2:$G$2,0)),0)</f>
        <v>0</v>
      </c>
      <c r="G69" s="80" t="str">
        <f aca="false">IF(F69=E69,"Bien",F69-E69)</f>
        <v>Bien</v>
      </c>
      <c r="H69" s="66"/>
    </row>
    <row r="70" customFormat="false" ht="15" hidden="false" customHeight="false" outlineLevel="0" collapsed="false">
      <c r="A70" s="76" t="n">
        <v>309</v>
      </c>
      <c r="B70" s="41" t="s">
        <v>60</v>
      </c>
      <c r="C70" s="66" t="s">
        <v>32</v>
      </c>
      <c r="D70" s="119"/>
      <c r="E70" s="120"/>
      <c r="F70" s="79" t="n">
        <f aca="false">IFERROR(INDEX($B$3:$G$14,MATCH(C70,$A$3:$A$14,0),MATCH($A$64,$B$2:$G$2,0)),0)</f>
        <v>0</v>
      </c>
      <c r="G70" s="80" t="str">
        <f aca="false">IF(F70=E70,"Bien",F70-E70)</f>
        <v>Bien</v>
      </c>
      <c r="H70" s="66"/>
    </row>
    <row r="71" customFormat="false" ht="15" hidden="false" customHeight="false" outlineLevel="0" collapsed="false">
      <c r="A71" s="87" t="n">
        <v>296</v>
      </c>
      <c r="B71" s="90" t="s">
        <v>62</v>
      </c>
      <c r="C71" s="90" t="s">
        <v>18</v>
      </c>
      <c r="D71" s="141"/>
      <c r="E71" s="146"/>
      <c r="F71" s="92" t="n">
        <f aca="false">IFERROR(INDEX($B$3:$G$14,MATCH(C71,$A$3:$A$14,0),MATCH($A$64,$B$2:$G$2,0)),0)</f>
        <v>0</v>
      </c>
      <c r="G71" s="93" t="str">
        <f aca="false">IF(F71=E71,"Bien",F71-E71)</f>
        <v>Bien</v>
      </c>
      <c r="H71" s="66"/>
    </row>
    <row r="72" customFormat="false" ht="13.8" hidden="false" customHeight="false" outlineLevel="0" collapsed="false">
      <c r="C72" s="66"/>
      <c r="D72" s="119"/>
      <c r="E72" s="95" t="n">
        <f aca="false">SUM(E66:E71)</f>
        <v>4860</v>
      </c>
      <c r="F72" s="95" t="n">
        <f aca="false">SUM(F66:F71)</f>
        <v>4860</v>
      </c>
      <c r="G72" s="66"/>
      <c r="H72" s="66"/>
      <c r="I72" s="96" t="str">
        <f aca="false">+IF(F72=C15,"OK","Revisar")</f>
        <v>OK</v>
      </c>
    </row>
    <row r="73" customFormat="false" ht="14.5" hidden="false" customHeight="false" outlineLevel="0" collapsed="false">
      <c r="A73" s="62" t="s">
        <v>37</v>
      </c>
      <c r="B73" s="62"/>
      <c r="C73" s="62"/>
      <c r="D73" s="62"/>
      <c r="E73" s="62"/>
      <c r="F73" s="62"/>
      <c r="G73" s="62"/>
      <c r="H73" s="66"/>
    </row>
    <row r="74" customFormat="false" ht="14.5" hidden="false" customHeight="false" outlineLevel="0" collapsed="false">
      <c r="C74" s="66" t="s">
        <v>46</v>
      </c>
      <c r="D74" s="67" t="s">
        <v>66</v>
      </c>
      <c r="E74" s="66" t="s">
        <v>49</v>
      </c>
      <c r="F74" s="83" t="s">
        <v>41</v>
      </c>
      <c r="G74" s="66"/>
      <c r="H74" s="66"/>
    </row>
    <row r="75" customFormat="false" ht="14.9" hidden="false" customHeight="false" outlineLevel="0" collapsed="false">
      <c r="A75" s="69" t="n">
        <v>109</v>
      </c>
      <c r="B75" s="70" t="s">
        <v>50</v>
      </c>
      <c r="C75" s="71" t="s">
        <v>25</v>
      </c>
      <c r="D75" s="137" t="n">
        <v>5</v>
      </c>
      <c r="E75" s="138" t="n">
        <v>47900</v>
      </c>
      <c r="F75" s="74" t="n">
        <f aca="false">IFERROR(INDEX($B$3:$G$14,MATCH(C75,$A$3:$A$14,0),MATCH($A$73,$B$2:$G$2,0)),0)</f>
        <v>47900</v>
      </c>
      <c r="G75" s="75" t="str">
        <f aca="false">IF(F75=E75,"Bien",F75-E75)</f>
        <v>Bien</v>
      </c>
      <c r="H75" s="66"/>
    </row>
    <row r="76" customFormat="false" ht="14.9" hidden="false" customHeight="false" outlineLevel="0" collapsed="false">
      <c r="A76" s="76" t="n">
        <v>309</v>
      </c>
      <c r="B76" s="41" t="s">
        <v>60</v>
      </c>
      <c r="C76" s="66" t="s">
        <v>32</v>
      </c>
      <c r="D76" s="119"/>
      <c r="E76" s="125"/>
      <c r="F76" s="79" t="n">
        <f aca="false">IFERROR(INDEX($B$3:$G$14,MATCH(C76,$A$3:$A$14,0),MATCH($A$73,$B$2:$G$2,0)),0)</f>
        <v>0</v>
      </c>
      <c r="G76" s="80" t="str">
        <f aca="false">IF(F76=E76,"Bien",F76-E76)</f>
        <v>Bien</v>
      </c>
      <c r="H76" s="66"/>
    </row>
    <row r="77" customFormat="false" ht="15" hidden="false" customHeight="false" outlineLevel="0" collapsed="false">
      <c r="A77" s="87" t="n">
        <v>296</v>
      </c>
      <c r="B77" s="90" t="s">
        <v>62</v>
      </c>
      <c r="C77" s="90" t="s">
        <v>18</v>
      </c>
      <c r="D77" s="141"/>
      <c r="E77" s="142"/>
      <c r="F77" s="92" t="n">
        <f aca="false">IFERROR(INDEX($B$3:$G$14,MATCH(C77,$A$3:$A$14,0),MATCH($A$73,$B$2:$G$2,0)),0)</f>
        <v>0</v>
      </c>
      <c r="G77" s="93" t="str">
        <f aca="false">IF(F77=E77,"Bien",F77-E77)</f>
        <v>Bien</v>
      </c>
      <c r="H77" s="66"/>
    </row>
    <row r="78" customFormat="false" ht="13.8" hidden="false" customHeight="false" outlineLevel="0" collapsed="false">
      <c r="C78" s="66"/>
      <c r="D78" s="119"/>
      <c r="E78" s="95" t="n">
        <f aca="false">SUM(E75:E77)</f>
        <v>47900</v>
      </c>
      <c r="F78" s="95" t="n">
        <f aca="false">SUM(F75:F75)</f>
        <v>47900</v>
      </c>
      <c r="G78" s="66"/>
      <c r="H78" s="66"/>
      <c r="I78" s="96" t="str">
        <f aca="false">+IF(F78=B15,"OK","Revisar")</f>
        <v>OK</v>
      </c>
    </row>
  </sheetData>
  <mergeCells count="7">
    <mergeCell ref="A19:C19"/>
    <mergeCell ref="A22:H22"/>
    <mergeCell ref="A36:H36"/>
    <mergeCell ref="A47:H47"/>
    <mergeCell ref="A56:G56"/>
    <mergeCell ref="A64:G64"/>
    <mergeCell ref="A73:G73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4">
    <cfRule type="cellIs" priority="4" operator="notEqual" aboveAverage="0" equalAverage="0" bottom="0" percent="0" rank="0" text="" dxfId="2">
      <formula>""bien""</formula>
    </cfRule>
  </conditionalFormatting>
  <conditionalFormatting sqref="G49">
    <cfRule type="cellIs" priority="5" operator="notEqual" aboveAverage="0" equalAverage="0" bottom="0" percent="0" rank="0" text="" dxfId="3">
      <formula>""bien""</formula>
    </cfRule>
  </conditionalFormatting>
  <conditionalFormatting sqref="G50:G54">
    <cfRule type="cellIs" priority="6" operator="notEqual" aboveAverage="0" equalAverage="0" bottom="0" percent="0" rank="0" text="" dxfId="4">
      <formula>""bien""</formula>
    </cfRule>
  </conditionalFormatting>
  <conditionalFormatting sqref="G58">
    <cfRule type="cellIs" priority="7" operator="notEqual" aboveAverage="0" equalAverage="0" bottom="0" percent="0" rank="0" text="" dxfId="5">
      <formula>""bien""</formula>
    </cfRule>
  </conditionalFormatting>
  <conditionalFormatting sqref="G59:G62">
    <cfRule type="cellIs" priority="8" operator="notEqual" aboveAverage="0" equalAverage="0" bottom="0" percent="0" rank="0" text="" dxfId="6">
      <formula>""bien""</formula>
    </cfRule>
  </conditionalFormatting>
  <conditionalFormatting sqref="G66">
    <cfRule type="cellIs" priority="9" operator="notEqual" aboveAverage="0" equalAverage="0" bottom="0" percent="0" rank="0" text="" dxfId="7">
      <formula>""bien""</formula>
    </cfRule>
  </conditionalFormatting>
  <conditionalFormatting sqref="G67:G71">
    <cfRule type="cellIs" priority="10" operator="notEqual" aboveAverage="0" equalAverage="0" bottom="0" percent="0" rank="0" text="" dxfId="8">
      <formula>""bien""</formula>
    </cfRule>
  </conditionalFormatting>
  <conditionalFormatting sqref="G75">
    <cfRule type="cellIs" priority="11" operator="notEqual" aboveAverage="0" equalAverage="0" bottom="0" percent="0" rank="0" text="" dxfId="9">
      <formula>""bien""</formula>
    </cfRule>
  </conditionalFormatting>
  <conditionalFormatting sqref="G76:G77">
    <cfRule type="cellIs" priority="12" operator="notEqual" aboveAverage="0" equalAverage="0" bottom="0" percent="0" rank="0" text="" dxfId="10">
      <formula>""bien""</formula>
    </cfRule>
  </conditionalFormatting>
  <conditionalFormatting sqref="C16">
    <cfRule type="cellIs" priority="13" operator="notEqual" aboveAverage="0" equalAverage="0" bottom="0" percent="0" rank="0" text="" dxfId="11">
      <formula>#ref!</formula>
    </cfRule>
  </conditionalFormatting>
  <conditionalFormatting sqref="B16">
    <cfRule type="cellIs" priority="14" operator="notEqual" aboveAverage="0" equalAverage="0" bottom="0" percent="0" rank="0" text="" dxfId="11">
      <formula>#ref!</formula>
    </cfRule>
  </conditionalFormatting>
  <conditionalFormatting sqref="D16">
    <cfRule type="cellIs" priority="15" operator="notEqual" aboveAverage="0" equalAverage="0" bottom="0" percent="0" rank="0" text="" dxfId="11">
      <formula>#ref!</formula>
    </cfRule>
  </conditionalFormatting>
  <conditionalFormatting sqref="E16">
    <cfRule type="cellIs" priority="16" operator="notEqual" aboveAverage="0" equalAverage="0" bottom="0" percent="0" rank="0" text="" dxfId="11">
      <formula>#ref!</formula>
    </cfRule>
  </conditionalFormatting>
  <conditionalFormatting sqref="F16">
    <cfRule type="cellIs" priority="17" operator="notEqual" aboveAverage="0" equalAverage="0" bottom="0" percent="0" rank="0" text="" dxfId="11">
      <formula>#ref!</formula>
    </cfRule>
  </conditionalFormatting>
  <conditionalFormatting sqref="G16">
    <cfRule type="cellIs" priority="18" operator="notEqual" aboveAverage="0" equalAverage="0" bottom="0" percent="0" rank="0" text="" dxfId="11">
      <formula>#ref!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2021-11-08T07:29:02Z</dcterms:created>
  <dc:creator>usuario</dc:creator>
  <dc:description/>
  <dc:language>es-ES</dc:language>
  <cp:lastModifiedBy>JORGE AZUARA ROCA</cp:lastModifiedBy>
  <dcterms:modified xsi:type="dcterms:W3CDTF">2021-11-08T11:46:11Z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0x012000D96F098ED5E78F49B4E623047188DB6F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