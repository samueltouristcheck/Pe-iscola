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Tabla dinámica_Hoja1_1" sheetId="2" state="visible" r:id="rId3"/>
    <sheet name="certificacion_2_2_2" sheetId="3" state="visible" r:id="rId4"/>
  </sheets>
  <definedNames>
    <definedName function="false" hidden="true" localSheetId="0" name="_xlnm._FilterDatabase" vbProcedure="false">Hoja1!$A$1:$J$467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<sst xmlns="http://schemas.openxmlformats.org/spreadsheetml/2006/main" count="2044" uniqueCount="65">
  <si>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</si>
  <si>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</si>
  <si>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</si>
  <si>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</si>
  <si>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</si>
  <si>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</si>
  <si>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</si>
  <si>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</si>
  <si>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</si>
  <si>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</si>
  <si>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1821KBZ</t>
  </si>
  <si>
    <t xml:space="preserve">PEÑISCOLA </t>
  </si>
  <si>
    <t xml:space="preserve">RSU</t>
  </si>
  <si>
    <t xml:space="preserve">x</t>
  </si>
  <si>
    <t xml:space="preserve">7542KBV</t>
  </si>
  <si>
    <t xml:space="preserve">7809JZX</t>
  </si>
  <si>
    <t xml:space="preserve">6120JZX</t>
  </si>
  <si>
    <t xml:space="preserve">3686KBG</t>
  </si>
  <si>
    <t xml:space="preserve">1730KBZ</t>
  </si>
  <si>
    <t xml:space="preserve">SEL.ENV</t>
  </si>
  <si>
    <t xml:space="preserve">1076KSZ</t>
  </si>
  <si>
    <t xml:space="preserve">PODA</t>
  </si>
  <si>
    <t xml:space="preserve">VOL</t>
  </si>
  <si>
    <t xml:space="preserve">SEL.PAP</t>
  </si>
  <si>
    <t xml:space="preserve">5313GBZ</t>
  </si>
  <si>
    <t xml:space="preserve">7957JZS</t>
  </si>
  <si>
    <t xml:space="preserve">0315BGK</t>
  </si>
  <si>
    <t xml:space="preserve">BARREDURIA</t>
  </si>
  <si>
    <t xml:space="preserve">Este ticket se descargó en cs por ITV del 318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</si>
  <si>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</si>
  <si>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</si>
  <si>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</si>
  <si>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</si>
  <si>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sustituye 0315BGK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</si>
  <si>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</si>
  <si>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</si>
  <si>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</si>
  <si>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</si>
  <si>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</si>
  <si>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</si>
  <si>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</si>
  <si>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</si>
  <si>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</si>
  <si>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</si>
  <si>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</si>
  <si>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</si>
  <si>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</si>
  <si>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Dia/Noche</t>
  </si>
  <si>
    <t xml:space="preserve">Recolector 22 _ 1</t>
  </si>
  <si>
    <t xml:space="preserve">2-3-4-5</t>
  </si>
  <si>
    <t xml:space="preserve">Recolector 22 _ 2</t>
  </si>
  <si>
    <t xml:space="preserve">volquete 4x4 LV</t>
  </si>
  <si>
    <t xml:space="preserve">Recolector 17</t>
  </si>
  <si>
    <t xml:space="preserve">Sustituya a 318</t>
  </si>
  <si>
    <t xml:space="preserve">volquete doble LV</t>
  </si>
  <si>
    <t xml:space="preserve">Recolector 5</t>
  </si>
  <si>
    <t xml:space="preserve">Noche</t>
  </si>
  <si>
    <t xml:space="preserve">volquete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</si>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</sst>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8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#,##0;[RED]\-#,##0"/>
    <numFmt numFmtId="171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0"/>
    </font>
    <font>
      <b val="true"/>
      <sz val="11"/>
      <name val="Calibri"/>
      <family val="2"/>
    </font>
    <font>
      <sz val="11"/>
      <color rgb="FF000000"/>
      <name val="Frutiger 45 Light"/>
      <family val="2"/>
    </font>
    <font>
      <b val="true"/>
      <sz val="11"/>
      <color rgb="FFCE181E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7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8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6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5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0" fillId="0" borderId="26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2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25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0" fillId="0" borderId="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9" fillId="0" borderId="2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0" fillId="0" borderId="25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25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25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9" fillId="3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25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9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0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0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0" fillId="0" borderId="0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3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4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3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4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4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70" fontId="10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35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36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37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3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3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3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4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4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0" borderId="4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10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4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4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10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5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5" borderId="4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4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0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1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5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15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6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7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7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10" fillId="0" borderId="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7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7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6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7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squina de la tabla dinámica" xfId="20"/>
    <cellStyle name="Valor de la tabla dinámica" xfId="21"/>
    <cellStyle name="Campo de la tabla dinámica" xfId="22"/>
    <cellStyle name="Categoría de la tabla dinámica" xfId="23"/>
    <cellStyle name="Título de la tabla dinámica" xfId="24"/>
    <cellStyle name="Resultado de la tabla dinámica" xfId="25"/>
    <cellStyle name="Excel Built-in Explanatory Text" xfId="26"/>
  </cellStyles>
  <dxfs count="21"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BCC"/>
        </patternFill>
      </fill>
    </dxf>
    <dxf>
      <fill>
        <patternFill patternType="solid">
          <fgColor rgb="FFFCD3C1"/>
        </patternFill>
      </fill>
    </dxf>
    <dxf>
      <fill>
        <patternFill patternType="solid">
          <fgColor rgb="FFFFCCCC"/>
        </patternFill>
      </fill>
    </dxf>
    <dxf>
      <fill>
        <patternFill patternType="solid">
          <fgColor rgb="FFCC0000"/>
        </patternFill>
      </fill>
    </dxf>
    <dxf>
      <fill>
        <patternFill patternType="solid">
          <fgColor rgb="FFFFF9AE"/>
        </patternFill>
      </fill>
    </dxf>
    <dxf>
      <fill>
        <patternFill patternType="solid">
          <fgColor rgb="FFCE181E"/>
        </patternFill>
      </fill>
    </dxf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66" createdVersion="3">
  <cacheSource type="worksheet">
    <worksheetSource ref="A1:J467" sheet="Hoja1"/>
  </cacheSource>
  <cacheFields count="10">
    <cacheField name="Fecha" numFmtId="0">
      <sharedItems containsSemiMixedTypes="0" containsNonDate="0" containsDate="1" containsString="0" minDate="2022-07-01T00:00:00" maxDate="2022-07-31T00:00:00" count="31"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</sharedItems>
    </cacheField>
    <cacheField name="Fecha / hora" numFmtId="0">
      <sharedItems containsSemiMixedTypes="0" containsString="0" containsNumber="1" minValue="0.00902777777777778" maxValue="0.984722222222222" count="316">
        <n v="0.00902777777777778"/>
        <n v="0.00972222222222222"/>
        <n v="0.0118055555555556"/>
        <n v="0.0131944444444444"/>
        <n v="0.0145833333333333"/>
        <n v="0.0194444444444444"/>
        <n v="0.0215277777777778"/>
        <n v="0.0243055555555556"/>
        <n v="0.025"/>
        <n v="0.0354166666666667"/>
        <n v="0.0361111111111111"/>
        <n v="0.0416666666666667"/>
        <n v="0.0451388888888889"/>
        <n v="0.0458333333333333"/>
        <n v="0.0472222222222222"/>
        <n v="0.0479166666666667"/>
        <n v="0.0493055555555556"/>
        <n v="0.0506944444444444"/>
        <n v="0.0513888888888889"/>
        <n v="0.0520833333333333"/>
        <n v="0.0534722222222222"/>
        <n v="0.0548611111111111"/>
        <n v="0.0569444444444444"/>
        <n v="0.0576388888888889"/>
        <n v="0.0604166666666667"/>
        <n v="0.0618055555555556"/>
        <n v="0.0631944444444444"/>
        <n v="0.0645833333333333"/>
        <n v="0.0659722222222222"/>
        <n v="0.0701388888888889"/>
        <n v="0.0708333333333333"/>
        <n v="0.0895833333333333"/>
        <n v="0.0902777777777778"/>
        <n v="0.0923611111111111"/>
        <n v="0.0930555555555556"/>
        <n v="0.107638888888889"/>
        <n v="0.111805555555556"/>
        <n v="0.113888888888889"/>
        <n v="0.115277777777778"/>
        <n v="0.119444444444444"/>
        <n v="0.120138888888889"/>
        <n v="0.122222222222222"/>
        <n v="0.123611111111111"/>
        <n v="0.124305555555556"/>
        <n v="0.126388888888889"/>
        <n v="0.127083333333333"/>
        <n v="0.127777777777778"/>
        <n v="0.128472222222222"/>
        <n v="0.129166666666667"/>
        <n v="0.130555555555556"/>
        <n v="0.131944444444444"/>
        <n v="0.133333333333333"/>
        <n v="0.134027777777778"/>
        <n v="0.1375"/>
        <n v="0.138194444444444"/>
        <n v="0.139583333333333"/>
        <n v="0.140972222222222"/>
        <n v="0.141666666666667"/>
        <n v="0.143055555555556"/>
        <n v="0.14375"/>
        <n v="0.144444444444444"/>
        <n v="0.146527777777778"/>
        <n v="0.148611111111111"/>
        <n v="0.152777777777778"/>
        <n v="0.153472222222222"/>
        <n v="0.159722222222222"/>
        <n v="0.1625"/>
        <n v="0.163888888888889"/>
        <n v="0.174305555555556"/>
        <n v="0.175694444444444"/>
        <n v="0.184027777777778"/>
        <n v="0.1875"/>
        <n v="0.191666666666667"/>
        <n v="0.192361111111111"/>
        <n v="0.201388888888889"/>
        <n v="0.203472222222222"/>
        <n v="0.204166666666667"/>
        <n v="0.205555555555556"/>
        <n v="0.20625"/>
        <n v="0.206944444444444"/>
        <n v="0.207638888888889"/>
        <n v="0.208333333333333"/>
        <n v="0.209027777777778"/>
        <n v="0.209722222222222"/>
        <n v="0.210416666666667"/>
        <n v="0.211111111111111"/>
        <n v="0.211805555555556"/>
        <n v="0.2125"/>
        <n v="0.213194444444444"/>
        <n v="0.213888888888889"/>
        <n v="0.215277777777778"/>
        <n v="0.215972222222222"/>
        <n v="0.216666666666667"/>
        <n v="0.218055555555556"/>
        <n v="0.219444444444444"/>
        <n v="0.220138888888889"/>
        <n v="0.222222222222222"/>
        <n v="0.223611111111111"/>
        <n v="0.224305555555556"/>
        <n v="0.225694444444444"/>
        <n v="0.226388888888889"/>
        <n v="0.228472222222222"/>
        <n v="0.229861111111111"/>
        <n v="0.230555555555556"/>
        <n v="0.233333333333333"/>
        <n v="0.234027777777778"/>
        <n v="0.235416666666667"/>
        <n v="0.236111111111111"/>
        <n v="0.236805555555556"/>
        <n v="0.2375"/>
        <n v="0.238194444444444"/>
        <n v="0.238888888888889"/>
        <n v="0.239583333333333"/>
        <n v="0.240277777777778"/>
        <n v="0.240972222222222"/>
        <n v="0.241666666666667"/>
        <n v="0.242361111111111"/>
        <n v="0.243055555555556"/>
        <n v="0.24375"/>
        <n v="0.244444444444444"/>
        <n v="0.245833333333333"/>
        <n v="0.246527777777778"/>
        <n v="0.247222222222222"/>
        <n v="0.248611111111111"/>
        <n v="0.249305555555556"/>
        <n v="0.25"/>
        <n v="0.250694444444444"/>
        <n v="0.251388888888889"/>
        <n v="0.252083333333333"/>
        <n v="0.252777777777778"/>
        <n v="0.253472222222222"/>
        <n v="0.254166666666667"/>
        <n v="0.256944444444444"/>
        <n v="0.257638888888889"/>
        <n v="0.284027777777778"/>
        <n v="0.2875"/>
        <n v="0.290972222222222"/>
        <n v="0.29375"/>
        <n v="0.297916666666667"/>
        <n v="0.298611111111111"/>
        <n v="0.301388888888889"/>
        <n v="0.311805555555556"/>
        <n v="0.313888888888889"/>
        <n v="0.319444444444444"/>
        <n v="0.320833333333333"/>
        <n v="0.321527777777778"/>
        <n v="0.323611111111111"/>
        <n v="0.325"/>
        <n v="0.326388888888889"/>
        <n v="0.327777777777778"/>
        <n v="0.329861111111111"/>
        <n v="0.330555555555556"/>
        <n v="0.332638888888889"/>
        <n v="0.333333333333333"/>
        <n v="0.338888888888889"/>
        <n v="0.344444444444444"/>
        <n v="0.349305555555556"/>
        <n v="0.353472222222222"/>
        <n v="0.355555555555556"/>
        <n v="0.358333333333333"/>
        <n v="0.360416666666667"/>
        <n v="0.363888888888889"/>
        <n v="0.366666666666667"/>
        <n v="0.36875"/>
        <n v="0.369444444444444"/>
        <n v="0.370138888888889"/>
        <n v="0.371527777777778"/>
        <n v="0.375"/>
        <n v="0.378472222222222"/>
        <n v="0.379861111111111"/>
        <n v="0.380555555555556"/>
        <n v="0.386111111111111"/>
        <n v="0.391666666666667"/>
        <n v="0.392361111111111"/>
        <n v="0.393055555555556"/>
        <n v="0.394444444444444"/>
        <n v="0.4"/>
        <n v="0.401388888888889"/>
        <n v="0.41875"/>
        <n v="0.419444444444444"/>
        <n v="0.424305555555556"/>
        <n v="0.429861111111111"/>
        <n v="0.433333333333333"/>
        <n v="0.434027777777778"/>
        <n v="0.434722222222222"/>
        <n v="0.435416666666667"/>
        <n v="0.4375"/>
        <n v="0.439583333333333"/>
        <n v="0.441666666666667"/>
        <n v="0.442361111111111"/>
        <n v="0.44375"/>
        <n v="0.444444444444444"/>
        <n v="0.445138888888889"/>
        <n v="0.447916666666667"/>
        <n v="0.450694444444444"/>
        <n v="0.452083333333333"/>
        <n v="0.452777777777778"/>
        <n v="0.453472222222222"/>
        <n v="0.454166666666667"/>
        <n v="0.454861111111111"/>
        <n v="0.456944444444444"/>
        <n v="0.457638888888889"/>
        <n v="0.458333333333333"/>
        <n v="0.459027777777778"/>
        <n v="0.459722222222222"/>
        <n v="0.460416666666667"/>
        <n v="0.461111111111111"/>
        <n v="0.461805555555556"/>
        <n v="0.4625"/>
        <n v="0.463888888888889"/>
        <n v="0.464583333333333"/>
        <n v="0.465972222222222"/>
        <n v="0.466666666666667"/>
        <n v="0.467361111111111"/>
        <n v="0.468055555555555"/>
        <n v="0.469444444444444"/>
        <n v="0.470138888888889"/>
        <n v="0.472222222222222"/>
        <n v="0.474305555555556"/>
        <n v="0.478472222222222"/>
        <n v="0.479861111111111"/>
        <n v="0.483333333333333"/>
        <n v="0.484027777777778"/>
        <n v="0.484722222222222"/>
        <n v="0.485416666666667"/>
        <n v="0.486111111111111"/>
        <n v="0.486805555555556"/>
        <n v="0.488888888888889"/>
        <n v="0.493055555555556"/>
        <n v="0.49375"/>
        <n v="0.504861111111111"/>
        <n v="0.509027777777778"/>
        <n v="0.509722222222222"/>
        <n v="0.5125"/>
        <n v="0.518055555555556"/>
        <n v="0.528472222222222"/>
        <n v="0.534027777777778"/>
        <n v="0.535416666666667"/>
        <n v="0.536805555555556"/>
        <n v="0.538888888888889"/>
        <n v="0.539583333333333"/>
        <n v="0.542361111111111"/>
        <n v="0.545833333333333"/>
        <n v="0.547222222222222"/>
        <n v="0.547916666666667"/>
        <n v="0.626388888888889"/>
        <n v="0.678472222222222"/>
        <n v="0.686805555555556"/>
        <n v="0.691666666666667"/>
        <n v="0.695833333333333"/>
        <n v="0.696527777777778"/>
        <n v="0.697222222222222"/>
        <n v="0.697916666666667"/>
        <n v="0.701388888888889"/>
        <n v="0.702777777777778"/>
        <n v="0.704166666666667"/>
        <n v="0.70625"/>
        <n v="0.706944444444444"/>
        <n v="0.707638888888889"/>
        <n v="0.708333333333333"/>
        <n v="0.709027777777778"/>
        <n v="0.709722222222222"/>
        <n v="0.710416666666667"/>
        <n v="0.711111111111111"/>
        <n v="0.711805555555555"/>
        <n v="0.7125"/>
        <n v="0.715277777777778"/>
        <n v="0.715972222222222"/>
        <n v="0.719444444444444"/>
        <n v="0.731944444444444"/>
        <n v="0.732638888888889"/>
        <n v="0.752777777777778"/>
        <n v="0.854166666666667"/>
        <n v="0.856944444444444"/>
        <n v="0.858333333333333"/>
        <n v="0.859027777777778"/>
        <n v="0.861111111111111"/>
        <n v="0.8625"/>
        <n v="0.863194444444444"/>
        <n v="0.863888888888889"/>
        <n v="0.864583333333333"/>
        <n v="0.865277777777778"/>
        <n v="0.865972222222222"/>
        <n v="0.866666666666667"/>
        <n v="0.867361111111111"/>
        <n v="0.868055555555555"/>
        <n v="0.86875"/>
        <n v="0.869444444444444"/>
        <n v="0.870138888888889"/>
        <n v="0.870833333333333"/>
        <n v="0.871527777777778"/>
        <n v="0.872222222222222"/>
        <n v="0.872916666666667"/>
        <n v="0.873611111111111"/>
        <n v="0.874305555555556"/>
        <n v="0.876388888888889"/>
        <n v="0.877777777777778"/>
        <n v="0.878472222222222"/>
        <n v="0.879166666666667"/>
        <n v="0.879861111111111"/>
        <n v="0.880555555555556"/>
        <n v="0.88125"/>
        <n v="0.881944444444444"/>
        <n v="0.882638888888889"/>
        <n v="0.883333333333333"/>
        <n v="0.884027777777778"/>
        <n v="0.884722222222222"/>
        <n v="0.885416666666667"/>
        <n v="0.886805555555556"/>
        <n v="0.8875"/>
        <n v="0.888888888888889"/>
        <n v="0.890972222222222"/>
        <n v="0.895833333333333"/>
        <n v="0.972222222222222"/>
        <n v="0.974305555555556"/>
        <n v="0.984722222222222"/>
      </sharedItems>
    </cacheField>
    <cacheField name="Ticket" numFmtId="0">
      <sharedItems containsSemiMixedTypes="0" containsString="0" containsNumber="1" containsInteger="1" minValue="1606" maxValue="437237" count="466">
        <n v="1606"/>
        <n v="3037"/>
        <n v="3067"/>
        <n v="3089"/>
        <n v="3107"/>
        <n v="3127"/>
        <n v="3139"/>
        <n v="3151"/>
        <n v="3164"/>
        <n v="7364"/>
        <n v="7369"/>
        <n v="7373"/>
        <n v="7377"/>
        <n v="7379"/>
        <n v="7401"/>
        <n v="7408"/>
        <n v="7417"/>
        <n v="7430"/>
        <n v="7438"/>
        <n v="7441"/>
        <n v="7444"/>
        <n v="7449"/>
        <n v="7452"/>
        <n v="7453"/>
        <n v="7456"/>
        <n v="7470"/>
        <n v="7475"/>
        <n v="7476"/>
        <n v="7483"/>
        <n v="7487"/>
        <n v="7488"/>
        <n v="7489"/>
        <n v="7490"/>
        <n v="7495"/>
        <n v="7496"/>
        <n v="7499"/>
        <n v="7501"/>
        <n v="7502"/>
        <n v="7504"/>
        <n v="7509"/>
        <n v="7510"/>
        <n v="7512"/>
        <n v="7513"/>
        <n v="7514"/>
        <n v="7516"/>
        <n v="7521"/>
        <n v="7522"/>
        <n v="7524"/>
        <n v="7530"/>
        <n v="7532"/>
        <n v="7535"/>
        <n v="7551"/>
        <n v="7552"/>
        <n v="7558"/>
        <n v="7567"/>
        <n v="7584"/>
        <n v="7587"/>
        <n v="7589"/>
        <n v="7599"/>
        <n v="7600"/>
        <n v="7605"/>
        <n v="7607"/>
        <n v="7618"/>
        <n v="7627"/>
        <n v="7631"/>
        <n v="7657"/>
        <n v="7663"/>
        <n v="7664"/>
        <n v="7667"/>
        <n v="7668"/>
        <n v="7675"/>
        <n v="7677"/>
        <n v="7684"/>
        <n v="7692"/>
        <n v="7703"/>
        <n v="7705"/>
        <n v="7712"/>
        <n v="7718"/>
        <n v="7731"/>
        <n v="7739"/>
        <n v="7740"/>
        <n v="7743"/>
        <n v="7749"/>
        <n v="7750"/>
        <n v="7754"/>
        <n v="7760"/>
        <n v="7761"/>
        <n v="7777"/>
        <n v="7785"/>
        <n v="7797"/>
        <n v="7813"/>
        <n v="7819"/>
        <n v="7821"/>
        <n v="7824"/>
        <n v="7825"/>
        <n v="7831"/>
        <n v="7834"/>
        <n v="7836"/>
        <n v="7840"/>
        <n v="7841"/>
        <n v="7843"/>
        <n v="7854"/>
        <n v="7867"/>
        <n v="7868"/>
        <n v="7893"/>
        <n v="7900"/>
        <n v="7901"/>
        <n v="7903"/>
        <n v="7905"/>
        <n v="7911"/>
        <n v="7913"/>
        <n v="7915"/>
        <n v="7916"/>
        <n v="7924"/>
        <n v="7941"/>
        <n v="7944"/>
        <n v="7946"/>
        <n v="7953"/>
        <n v="7954"/>
        <n v="7956"/>
        <n v="7957"/>
        <n v="7958"/>
        <n v="7963"/>
        <n v="7966"/>
        <n v="7967"/>
        <n v="7970"/>
        <n v="7972"/>
        <n v="7973"/>
        <n v="7974"/>
        <n v="7980"/>
        <n v="7981"/>
        <n v="7983"/>
        <n v="7984"/>
        <n v="7985"/>
        <n v="7986"/>
        <n v="7987"/>
        <n v="7991"/>
        <n v="7994"/>
        <n v="7995"/>
        <n v="8002"/>
        <n v="8004"/>
        <n v="8005"/>
        <n v="8017"/>
        <n v="8024"/>
        <n v="8035"/>
        <n v="8038"/>
        <n v="8055"/>
        <n v="8058"/>
        <n v="8059"/>
        <n v="8060"/>
        <n v="8072"/>
        <n v="8073"/>
        <n v="8074"/>
        <n v="8077"/>
        <n v="8081"/>
        <n v="8107"/>
        <n v="8108"/>
        <n v="8115"/>
        <n v="8128"/>
        <n v="8131"/>
        <n v="8132"/>
        <n v="8133"/>
        <n v="8140"/>
        <n v="8141"/>
        <n v="8144"/>
        <n v="8145"/>
        <n v="8150"/>
        <n v="8152"/>
        <n v="8157"/>
        <n v="8168"/>
        <n v="8169"/>
        <n v="8174"/>
        <n v="8176"/>
        <n v="8181"/>
        <n v="8193"/>
        <n v="8200"/>
        <n v="8202"/>
        <n v="8203"/>
        <n v="8209"/>
        <n v="8210"/>
        <n v="8214"/>
        <n v="8221"/>
        <n v="8222"/>
        <n v="8228"/>
        <n v="8233"/>
        <n v="8238"/>
        <n v="8253"/>
        <n v="8261"/>
        <n v="8262"/>
        <n v="8263"/>
        <n v="8265"/>
        <n v="8266"/>
        <n v="8272"/>
        <n v="8274"/>
        <n v="8279"/>
        <n v="8281"/>
        <n v="8284"/>
        <n v="8287"/>
        <n v="8291"/>
        <n v="8300"/>
        <n v="8304"/>
        <n v="8314"/>
        <n v="8331"/>
        <n v="8336"/>
        <n v="8337"/>
        <n v="8339"/>
        <n v="8340"/>
        <n v="8345"/>
        <n v="8346"/>
        <n v="8350"/>
        <n v="8352"/>
        <n v="8357"/>
        <n v="8359"/>
        <n v="8360"/>
        <n v="8368"/>
        <n v="8369"/>
        <n v="8371"/>
        <n v="8372"/>
        <n v="8376"/>
        <n v="8381"/>
        <n v="8382"/>
        <n v="8383"/>
        <n v="8384"/>
        <n v="8385"/>
        <n v="8386"/>
        <n v="8389"/>
        <n v="8393"/>
        <n v="8394"/>
        <n v="8397"/>
        <n v="8399"/>
        <n v="8407"/>
        <n v="8408"/>
        <n v="8410"/>
        <n v="8411"/>
        <n v="8412"/>
        <n v="8413"/>
        <n v="8414"/>
        <n v="8416"/>
        <n v="8422"/>
        <n v="8424"/>
        <n v="8426"/>
        <n v="8429"/>
        <n v="8430"/>
        <n v="8431"/>
        <n v="8438"/>
        <n v="8440"/>
        <n v="8448"/>
        <n v="8457"/>
        <n v="8464"/>
        <n v="8479"/>
        <n v="8480"/>
        <n v="8481"/>
        <n v="8482"/>
        <n v="8483"/>
        <n v="8492"/>
        <n v="8493"/>
        <n v="8497"/>
        <n v="8498"/>
        <n v="8499"/>
        <n v="8508"/>
        <n v="8518"/>
        <n v="8519"/>
        <n v="8525"/>
        <n v="8544"/>
        <n v="8551"/>
        <n v="8553"/>
        <n v="8555"/>
        <n v="8558"/>
        <n v="8562"/>
        <n v="8565"/>
        <n v="8566"/>
        <n v="8570"/>
        <n v="8572"/>
        <n v="8579"/>
        <n v="8584"/>
        <n v="8591"/>
        <n v="8592"/>
        <n v="8599"/>
        <n v="8609"/>
        <n v="8616"/>
        <n v="8617"/>
        <n v="8619"/>
        <n v="8625"/>
        <n v="8626"/>
        <n v="8632"/>
        <n v="8635"/>
        <n v="8636"/>
        <n v="8643"/>
        <n v="8658"/>
        <n v="8661"/>
        <n v="8665"/>
        <n v="8668"/>
        <n v="8672"/>
        <n v="8673"/>
        <n v="8674"/>
        <n v="8675"/>
        <n v="8676"/>
        <n v="8685"/>
        <n v="8687"/>
        <n v="8692"/>
        <n v="8693"/>
        <n v="8695"/>
        <n v="8703"/>
        <n v="8712"/>
        <n v="8715"/>
        <n v="8720"/>
        <n v="8722"/>
        <n v="8736"/>
        <n v="8744"/>
        <n v="8745"/>
        <n v="8746"/>
        <n v="8749"/>
        <n v="8754"/>
        <n v="8758"/>
        <n v="8762"/>
        <n v="8763"/>
        <n v="8768"/>
        <n v="8773"/>
        <n v="8776"/>
        <n v="8777"/>
        <n v="8779"/>
        <n v="8780"/>
        <n v="8781"/>
        <n v="8782"/>
        <n v="8783"/>
        <n v="8785"/>
        <n v="8788"/>
        <n v="8793"/>
        <n v="8796"/>
        <n v="8799"/>
        <n v="8800"/>
        <n v="8802"/>
        <n v="8804"/>
        <n v="8806"/>
        <n v="8810"/>
        <n v="8813"/>
        <n v="8814"/>
        <n v="8815"/>
        <n v="8816"/>
        <n v="8817"/>
        <n v="8818"/>
        <n v="8820"/>
        <n v="8821"/>
        <n v="8826"/>
        <n v="8831"/>
        <n v="8832"/>
        <n v="8835"/>
        <n v="8836"/>
        <n v="8837"/>
        <n v="8849"/>
        <n v="8854"/>
        <n v="8861"/>
        <n v="8863"/>
        <n v="8878"/>
        <n v="8884"/>
        <n v="8885"/>
        <n v="8887"/>
        <n v="8888"/>
        <n v="8897"/>
        <n v="8898"/>
        <n v="8904"/>
        <n v="8905"/>
        <n v="8907"/>
        <n v="8916"/>
        <n v="8922"/>
        <n v="8937"/>
        <n v="8938"/>
        <n v="8953"/>
        <n v="8958"/>
        <n v="8959"/>
        <n v="8960"/>
        <n v="8966"/>
        <n v="8968"/>
        <n v="8970"/>
        <n v="8971"/>
        <n v="8972"/>
        <n v="8976"/>
        <n v="8985"/>
        <n v="8986"/>
        <n v="8992"/>
        <n v="8995"/>
        <n v="8998"/>
        <n v="9000"/>
        <n v="9002"/>
        <n v="9003"/>
        <n v="9005"/>
        <n v="9023"/>
        <n v="9028"/>
        <n v="9031"/>
        <n v="9035"/>
        <n v="9036"/>
        <n v="9038"/>
        <n v="9040"/>
        <n v="9044"/>
        <n v="9048"/>
        <n v="9053"/>
        <n v="9054"/>
        <n v="9068"/>
        <n v="9071"/>
        <n v="9072"/>
        <n v="9086"/>
        <n v="9096"/>
        <n v="9105"/>
        <n v="9106"/>
        <n v="9108"/>
        <n v="9110"/>
        <n v="9111"/>
        <n v="9117"/>
        <n v="9119"/>
        <n v="9121"/>
        <n v="9122"/>
        <n v="9126"/>
        <n v="9128"/>
        <n v="9129"/>
        <n v="9141"/>
        <n v="9145"/>
        <n v="9151"/>
        <n v="9153"/>
        <n v="9155"/>
        <n v="9159"/>
        <n v="9168"/>
        <n v="9174"/>
        <n v="9176"/>
        <n v="9177"/>
        <n v="9182"/>
        <n v="9183"/>
        <n v="9188"/>
        <n v="9190"/>
        <n v="9193"/>
        <n v="9194"/>
        <n v="9195"/>
        <n v="9210"/>
        <n v="9211"/>
        <n v="9213"/>
        <n v="9218"/>
        <n v="9219"/>
        <n v="9220"/>
        <n v="9222"/>
        <n v="9229"/>
        <n v="9230"/>
        <n v="9232"/>
        <n v="9235"/>
        <n v="9237"/>
        <n v="9239"/>
        <n v="9244"/>
        <n v="9245"/>
        <n v="9246"/>
        <n v="9247"/>
        <n v="9248"/>
        <n v="9249"/>
        <n v="9250"/>
        <n v="141590"/>
        <n v="141673"/>
        <n v="141844"/>
        <n v="141886"/>
        <n v="142005"/>
        <n v="142036"/>
        <n v="142216"/>
        <n v="142309"/>
        <n v="142452"/>
        <n v="142524"/>
        <n v="142537"/>
        <n v="142664"/>
        <n v="142841"/>
        <n v="142939"/>
        <n v="437237"/>
      </sharedItems>
    </cacheField>
    <cacheField name="Matrícula" numFmtId="0">
      <sharedItems count="10">
        <s v="0315BGK"/>
        <s v="1076KSZ"/>
        <s v="1730KBZ"/>
        <s v="1821KBZ"/>
        <s v="3686KBG"/>
        <s v="5313GBZ"/>
        <s v="6120JZX"/>
        <s v="7542KBV"/>
        <s v="7809JZX"/>
        <s v="7957JZS"/>
      </sharedItems>
    </cacheField>
    <cacheField name="Peso total" numFmtId="0">
      <sharedItems containsSemiMixedTypes="0" containsString="0" containsNumber="1" containsInteger="1" minValue="2540" maxValue="30520" count="300">
        <n v="2540"/>
        <n v="2560"/>
        <n v="2580"/>
        <n v="2600"/>
        <n v="2620"/>
        <n v="2640"/>
        <n v="2660"/>
        <n v="2680"/>
        <n v="2700"/>
        <n v="2720"/>
        <n v="2740"/>
        <n v="2760"/>
        <n v="2780"/>
        <n v="2860"/>
        <n v="2900"/>
        <n v="2920"/>
        <n v="2940"/>
        <n v="2960"/>
        <n v="2980"/>
        <n v="3000"/>
        <n v="3020"/>
        <n v="3040"/>
        <n v="3060"/>
        <n v="3080"/>
        <n v="3100"/>
        <n v="3120"/>
        <n v="3140"/>
        <n v="3160"/>
        <n v="3180"/>
        <n v="3200"/>
        <n v="3220"/>
        <n v="3240"/>
        <n v="3260"/>
        <n v="3280"/>
        <n v="3300"/>
        <n v="3320"/>
        <n v="3340"/>
        <n v="3360"/>
        <n v="3380"/>
        <n v="3400"/>
        <n v="3420"/>
        <n v="3440"/>
        <n v="3460"/>
        <n v="3480"/>
        <n v="3500"/>
        <n v="3520"/>
        <n v="3540"/>
        <n v="3560"/>
        <n v="3580"/>
        <n v="3620"/>
        <n v="3660"/>
        <n v="3680"/>
        <n v="4200"/>
        <n v="4240"/>
        <n v="4280"/>
        <n v="4300"/>
        <n v="4320"/>
        <n v="4340"/>
        <n v="4360"/>
        <n v="4380"/>
        <n v="4420"/>
        <n v="4440"/>
        <n v="4480"/>
        <n v="4500"/>
        <n v="4560"/>
        <n v="4580"/>
        <n v="4620"/>
        <n v="4640"/>
        <n v="4680"/>
        <n v="4700"/>
        <n v="4720"/>
        <n v="4800"/>
        <n v="4840"/>
        <n v="4860"/>
        <n v="4880"/>
        <n v="4900"/>
        <n v="5000"/>
        <n v="5020"/>
        <n v="5040"/>
        <n v="5100"/>
        <n v="5120"/>
        <n v="5200"/>
        <n v="5720"/>
        <n v="5760"/>
        <n v="6300"/>
        <n v="6320"/>
        <n v="6360"/>
        <n v="6380"/>
        <n v="6400"/>
        <n v="6420"/>
        <n v="6440"/>
        <n v="6540"/>
        <n v="6560"/>
        <n v="6940"/>
        <n v="13500"/>
        <n v="13620"/>
        <n v="13640"/>
        <n v="13700"/>
        <n v="14140"/>
        <n v="14240"/>
        <n v="14460"/>
        <n v="14600"/>
        <n v="14620"/>
        <n v="14800"/>
        <n v="14900"/>
        <n v="15040"/>
        <n v="15080"/>
        <n v="15100"/>
        <n v="15140"/>
        <n v="15180"/>
        <n v="15220"/>
        <n v="15280"/>
        <n v="15300"/>
        <n v="15340"/>
        <n v="15400"/>
        <n v="15480"/>
        <n v="15540"/>
        <n v="15580"/>
        <n v="15620"/>
        <n v="15640"/>
        <n v="15660"/>
        <n v="15760"/>
        <n v="15800"/>
        <n v="15820"/>
        <n v="15900"/>
        <n v="15920"/>
        <n v="16000"/>
        <n v="16040"/>
        <n v="16120"/>
        <n v="16180"/>
        <n v="16280"/>
        <n v="16380"/>
        <n v="16540"/>
        <n v="16560"/>
        <n v="16600"/>
        <n v="16720"/>
        <n v="16780"/>
        <n v="17080"/>
        <n v="17160"/>
        <n v="17460"/>
        <n v="17680"/>
        <n v="17700"/>
        <n v="17720"/>
        <n v="17760"/>
        <n v="17780"/>
        <n v="17900"/>
        <n v="17940"/>
        <n v="18020"/>
        <n v="18060"/>
        <n v="18080"/>
        <n v="18120"/>
        <n v="18260"/>
        <n v="18280"/>
        <n v="18340"/>
        <n v="18360"/>
        <n v="18540"/>
        <n v="18560"/>
        <n v="18640"/>
        <n v="18720"/>
        <n v="18940"/>
        <n v="18960"/>
        <n v="18980"/>
        <n v="19140"/>
        <n v="19440"/>
        <n v="19540"/>
        <n v="19620"/>
        <n v="19700"/>
        <n v="19760"/>
        <n v="19780"/>
        <n v="19900"/>
        <n v="20000"/>
        <n v="20020"/>
        <n v="20180"/>
        <n v="20220"/>
        <n v="20240"/>
        <n v="20260"/>
        <n v="20380"/>
        <n v="20400"/>
        <n v="20460"/>
        <n v="20500"/>
        <n v="20520"/>
        <n v="20640"/>
        <n v="20660"/>
        <n v="20820"/>
        <n v="20840"/>
        <n v="20900"/>
        <n v="20920"/>
        <n v="20940"/>
        <n v="21040"/>
        <n v="21080"/>
        <n v="21100"/>
        <n v="21140"/>
        <n v="21160"/>
        <n v="21180"/>
        <n v="21200"/>
        <n v="21240"/>
        <n v="21260"/>
        <n v="21280"/>
        <n v="21320"/>
        <n v="21360"/>
        <n v="21420"/>
        <n v="21480"/>
        <n v="21520"/>
        <n v="21540"/>
        <n v="21560"/>
        <n v="21680"/>
        <n v="21720"/>
        <n v="21800"/>
        <n v="21880"/>
        <n v="21900"/>
        <n v="21980"/>
        <n v="22020"/>
        <n v="22040"/>
        <n v="22060"/>
        <n v="22080"/>
        <n v="22120"/>
        <n v="22140"/>
        <n v="22180"/>
        <n v="22200"/>
        <n v="22320"/>
        <n v="22380"/>
        <n v="22440"/>
        <n v="22520"/>
        <n v="22560"/>
        <n v="22600"/>
        <n v="22680"/>
        <n v="22700"/>
        <n v="22820"/>
        <n v="22840"/>
        <n v="22900"/>
        <n v="22960"/>
        <n v="22980"/>
        <n v="23080"/>
        <n v="23200"/>
        <n v="23220"/>
        <n v="23240"/>
        <n v="23260"/>
        <n v="23300"/>
        <n v="23320"/>
        <n v="23400"/>
        <n v="23500"/>
        <n v="23560"/>
        <n v="23620"/>
        <n v="23760"/>
        <n v="23840"/>
        <n v="23920"/>
        <n v="24040"/>
        <n v="24060"/>
        <n v="24200"/>
        <n v="24220"/>
        <n v="24300"/>
        <n v="24320"/>
        <n v="24400"/>
        <n v="24580"/>
        <n v="24600"/>
        <n v="24700"/>
        <n v="24740"/>
        <n v="24760"/>
        <n v="24800"/>
        <n v="24840"/>
        <n v="25080"/>
        <n v="25120"/>
        <n v="25140"/>
        <n v="25260"/>
        <n v="25280"/>
        <n v="25340"/>
        <n v="25360"/>
        <n v="25380"/>
        <n v="25540"/>
        <n v="25560"/>
        <n v="25580"/>
        <n v="25600"/>
        <n v="25880"/>
        <n v="25920"/>
        <n v="25960"/>
        <n v="26000"/>
        <n v="26080"/>
        <n v="26240"/>
        <n v="26360"/>
        <n v="26460"/>
        <n v="26520"/>
        <n v="26540"/>
        <n v="26640"/>
        <n v="26980"/>
        <n v="27060"/>
        <n v="27140"/>
        <n v="27200"/>
        <n v="27220"/>
        <n v="27280"/>
        <n v="27340"/>
        <n v="27380"/>
        <n v="27580"/>
        <n v="27680"/>
        <n v="27880"/>
        <n v="27900"/>
        <n v="27920"/>
        <n v="28040"/>
        <n v="28140"/>
        <n v="29040"/>
        <n v="30520"/>
      </sharedItems>
    </cacheField>
    <cacheField name="Tara" numFmtId="0">
      <sharedItems containsSemiMixedTypes="0" containsString="0" containsNumber="1" containsInteger="1" minValue="2320" maxValue="16280" count="99">
        <n v="2320"/>
        <n v="2340"/>
        <n v="2360"/>
        <n v="2380"/>
        <n v="2400"/>
        <n v="2420"/>
        <n v="2480"/>
        <n v="2680"/>
        <n v="2700"/>
        <n v="2740"/>
        <n v="2760"/>
        <n v="2780"/>
        <n v="2800"/>
        <n v="2820"/>
        <n v="2840"/>
        <n v="2860"/>
        <n v="2880"/>
        <n v="2900"/>
        <n v="2920"/>
        <n v="2940"/>
        <n v="2960"/>
        <n v="2980"/>
        <n v="3000"/>
        <n v="3560"/>
        <n v="3580"/>
        <n v="3600"/>
        <n v="3620"/>
        <n v="3660"/>
        <n v="3680"/>
        <n v="3700"/>
        <n v="3760"/>
        <n v="3780"/>
        <n v="5560"/>
        <n v="5580"/>
        <n v="5600"/>
        <n v="5620"/>
        <n v="5640"/>
        <n v="5660"/>
        <n v="5680"/>
        <n v="5700"/>
        <n v="12340"/>
        <n v="12360"/>
        <n v="12380"/>
        <n v="12400"/>
        <n v="12420"/>
        <n v="12440"/>
        <n v="12460"/>
        <n v="12480"/>
        <n v="12520"/>
        <n v="12600"/>
        <n v="12660"/>
        <n v="12680"/>
        <n v="12700"/>
        <n v="12720"/>
        <n v="12740"/>
        <n v="12760"/>
        <n v="12780"/>
        <n v="12800"/>
        <n v="12820"/>
        <n v="12880"/>
        <n v="12920"/>
        <n v="12940"/>
        <n v="12960"/>
        <n v="13000"/>
        <n v="13020"/>
        <n v="15300"/>
        <n v="15600"/>
        <n v="15620"/>
        <n v="15660"/>
        <n v="15680"/>
        <n v="15700"/>
        <n v="1572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20"/>
        <n v="16040"/>
        <n v="16060"/>
        <n v="16080"/>
        <n v="16100"/>
        <n v="16140"/>
        <n v="16160"/>
        <n v="16180"/>
        <n v="16200"/>
        <n v="16220"/>
        <n v="16240"/>
        <n v="16260"/>
        <n v="16280"/>
      </sharedItems>
    </cacheField>
    <cacheField name="Carga" numFmtId="0">
      <sharedItems containsSemiMixedTypes="0" containsString="0" containsNumber="1" containsInteger="1" minValue="40" maxValue="15220" count="239">
        <n v="40"/>
        <n v="60"/>
        <n v="80"/>
        <n v="10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00"/>
        <n v="620"/>
        <n v="640"/>
        <n v="660"/>
        <n v="680"/>
        <n v="700"/>
        <n v="720"/>
        <n v="740"/>
        <n v="780"/>
        <n v="800"/>
        <n v="820"/>
        <n v="840"/>
        <n v="900"/>
        <n v="940"/>
        <n v="960"/>
        <n v="980"/>
        <n v="1020"/>
        <n v="1040"/>
        <n v="1080"/>
        <n v="1100"/>
        <n v="1140"/>
        <n v="1220"/>
        <n v="1240"/>
        <n v="1260"/>
        <n v="1300"/>
        <n v="1320"/>
        <n v="1340"/>
        <n v="1400"/>
        <n v="1420"/>
        <n v="1440"/>
        <n v="1460"/>
        <n v="1520"/>
        <n v="1660"/>
        <n v="1700"/>
        <n v="1740"/>
        <n v="1760"/>
        <n v="1800"/>
        <n v="1840"/>
        <n v="1860"/>
        <n v="1920"/>
        <n v="1940"/>
        <n v="1960"/>
        <n v="2020"/>
        <n v="2060"/>
        <n v="2100"/>
        <n v="2120"/>
        <n v="2140"/>
        <n v="2200"/>
        <n v="2300"/>
        <n v="2320"/>
        <n v="2360"/>
        <n v="2400"/>
        <n v="2420"/>
        <n v="2440"/>
        <n v="2460"/>
        <n v="2520"/>
        <n v="2540"/>
        <n v="2580"/>
        <n v="2600"/>
        <n v="2640"/>
        <n v="2680"/>
        <n v="2720"/>
        <n v="2740"/>
        <n v="2760"/>
        <n v="2780"/>
        <n v="2800"/>
        <n v="2880"/>
        <n v="2900"/>
        <n v="2960"/>
        <n v="2980"/>
        <n v="3000"/>
        <n v="3060"/>
        <n v="3120"/>
        <n v="3180"/>
        <n v="3220"/>
        <n v="3240"/>
        <n v="3280"/>
        <n v="3320"/>
        <n v="3360"/>
        <n v="3380"/>
        <n v="3420"/>
        <n v="3460"/>
        <n v="3540"/>
        <n v="3580"/>
        <n v="3780"/>
        <n v="3820"/>
        <n v="3840"/>
        <n v="3920"/>
        <n v="4000"/>
        <n v="4020"/>
        <n v="4080"/>
        <n v="4220"/>
        <n v="4320"/>
        <n v="4400"/>
        <n v="4800"/>
        <n v="4900"/>
        <n v="5180"/>
        <n v="5320"/>
        <n v="5460"/>
        <n v="5520"/>
        <n v="6020"/>
        <n v="6040"/>
        <n v="6240"/>
        <n v="6260"/>
        <n v="6420"/>
        <n v="6540"/>
        <n v="6580"/>
        <n v="6900"/>
        <n v="6920"/>
        <n v="6960"/>
        <n v="6980"/>
        <n v="7080"/>
        <n v="7100"/>
        <n v="7120"/>
        <n v="7200"/>
        <n v="7220"/>
        <n v="7300"/>
        <n v="7320"/>
        <n v="7340"/>
        <n v="7380"/>
        <n v="7400"/>
        <n v="7420"/>
        <n v="7440"/>
        <n v="7480"/>
        <n v="7500"/>
        <n v="7520"/>
        <n v="7600"/>
        <n v="7640"/>
        <n v="7660"/>
        <n v="7680"/>
        <n v="7740"/>
        <n v="7800"/>
        <n v="7860"/>
        <n v="7880"/>
        <n v="7920"/>
        <n v="7940"/>
        <n v="8060"/>
        <n v="8080"/>
        <n v="8120"/>
        <n v="8140"/>
        <n v="8180"/>
        <n v="8200"/>
        <n v="8260"/>
        <n v="8280"/>
        <n v="8340"/>
        <n v="8400"/>
        <n v="8420"/>
        <n v="8460"/>
        <n v="8480"/>
        <n v="8520"/>
        <n v="8540"/>
        <n v="8560"/>
        <n v="8600"/>
        <n v="8620"/>
        <n v="8680"/>
        <n v="8720"/>
        <n v="8740"/>
        <n v="8760"/>
        <n v="8780"/>
        <n v="8800"/>
        <n v="8820"/>
        <n v="8880"/>
        <n v="8900"/>
        <n v="8940"/>
        <n v="9100"/>
        <n v="9180"/>
        <n v="9240"/>
        <n v="9280"/>
        <n v="9320"/>
        <n v="9340"/>
        <n v="9400"/>
        <n v="9420"/>
        <n v="9440"/>
        <n v="9500"/>
        <n v="9560"/>
        <n v="9580"/>
        <n v="9600"/>
        <n v="9620"/>
        <n v="9840"/>
        <n v="9880"/>
        <n v="9900"/>
        <n v="9920"/>
        <n v="9980"/>
        <n v="10000"/>
        <n v="10020"/>
        <n v="10060"/>
        <n v="10080"/>
        <n v="10180"/>
        <n v="10220"/>
        <n v="10240"/>
        <n v="10260"/>
        <n v="10300"/>
        <n v="10440"/>
        <n v="10480"/>
        <n v="10760"/>
        <n v="10960"/>
        <n v="10980"/>
        <n v="11040"/>
        <n v="11120"/>
        <n v="11160"/>
        <n v="11240"/>
        <n v="11300"/>
        <n v="11380"/>
        <n v="11500"/>
        <n v="11720"/>
        <n v="11820"/>
        <n v="11940"/>
        <n v="12000"/>
        <n v="12040"/>
        <n v="12380"/>
        <n v="13740"/>
        <n v="15220"/>
      </sharedItems>
    </cacheField>
    <cacheField name="Población" numFmtId="0">
      <sharedItems count="1">
        <s v="PEÑISCOLA "/>
      </sharedItems>
    </cacheField>
    <cacheField name="Residuo" numFmtId="0">
      <sharedItems count="6">
        <s v="BARREDURIA"/>
        <s v="PODA"/>
        <s v="RSU"/>
        <s v="SEL.ENV"/>
        <s v="SEL.PAP"/>
        <s v="VOL"/>
      </sharedItems>
    </cacheField>
    <cacheField name="Revisado" numFmtId="0">
      <sharedItems count="2">
        <s v="Este ticket se descargó en cs por ITV del 318"/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6">
  <r>
    <x v="0"/>
    <x v="123"/>
    <x v="13"/>
    <x v="3"/>
    <x v="170"/>
    <x v="81"/>
    <x v="117"/>
    <x v="0"/>
    <x v="2"/>
    <x v="1"/>
  </r>
  <r>
    <x v="0"/>
    <x v="58"/>
    <x v="10"/>
    <x v="3"/>
    <x v="248"/>
    <x v="82"/>
    <x v="169"/>
    <x v="0"/>
    <x v="2"/>
    <x v="1"/>
  </r>
  <r>
    <x v="0"/>
    <x v="122"/>
    <x v="12"/>
    <x v="7"/>
    <x v="165"/>
    <x v="53"/>
    <x v="134"/>
    <x v="0"/>
    <x v="2"/>
    <x v="1"/>
  </r>
  <r>
    <x v="0"/>
    <x v="34"/>
    <x v="9"/>
    <x v="7"/>
    <x v="213"/>
    <x v="54"/>
    <x v="195"/>
    <x v="0"/>
    <x v="2"/>
    <x v="1"/>
  </r>
  <r>
    <x v="0"/>
    <x v="87"/>
    <x v="11"/>
    <x v="8"/>
    <x v="77"/>
    <x v="31"/>
    <x v="49"/>
    <x v="0"/>
    <x v="2"/>
    <x v="1"/>
  </r>
  <r>
    <x v="0"/>
    <x v="223"/>
    <x v="15"/>
    <x v="6"/>
    <x v="31"/>
    <x v="14"/>
    <x v="17"/>
    <x v="0"/>
    <x v="2"/>
    <x v="1"/>
  </r>
  <r>
    <x v="0"/>
    <x v="189"/>
    <x v="14"/>
    <x v="4"/>
    <x v="8"/>
    <x v="2"/>
    <x v="14"/>
    <x v="0"/>
    <x v="2"/>
    <x v="1"/>
  </r>
  <r>
    <x v="0"/>
    <x v="193"/>
    <x v="1"/>
    <x v="2"/>
    <x v="152"/>
    <x v="73"/>
    <x v="82"/>
    <x v="0"/>
    <x v="3"/>
    <x v="1"/>
  </r>
  <r>
    <x v="0"/>
    <x v="301"/>
    <x v="19"/>
    <x v="2"/>
    <x v="230"/>
    <x v="84"/>
    <x v="137"/>
    <x v="0"/>
    <x v="2"/>
    <x v="1"/>
  </r>
  <r>
    <x v="0"/>
    <x v="239"/>
    <x v="16"/>
    <x v="1"/>
    <x v="12"/>
    <x v="8"/>
    <x v="2"/>
    <x v="0"/>
    <x v="1"/>
    <x v="1"/>
  </r>
  <r>
    <x v="0"/>
    <x v="274"/>
    <x v="18"/>
    <x v="4"/>
    <x v="2"/>
    <x v="2"/>
    <x v="8"/>
    <x v="0"/>
    <x v="2"/>
    <x v="1"/>
  </r>
  <r>
    <x v="0"/>
    <x v="259"/>
    <x v="17"/>
    <x v="7"/>
    <x v="107"/>
    <x v="52"/>
    <x v="78"/>
    <x v="0"/>
    <x v="2"/>
    <x v="1"/>
  </r>
  <r>
    <x v="1"/>
    <x v="310"/>
    <x v="30"/>
    <x v="4"/>
    <x v="6"/>
    <x v="2"/>
    <x v="12"/>
    <x v="0"/>
    <x v="2"/>
    <x v="1"/>
  </r>
  <r>
    <x v="1"/>
    <x v="295"/>
    <x v="29"/>
    <x v="3"/>
    <x v="246"/>
    <x v="83"/>
    <x v="164"/>
    <x v="0"/>
    <x v="2"/>
    <x v="1"/>
  </r>
  <r>
    <x v="1"/>
    <x v="249"/>
    <x v="28"/>
    <x v="7"/>
    <x v="123"/>
    <x v="55"/>
    <x v="98"/>
    <x v="0"/>
    <x v="2"/>
    <x v="1"/>
  </r>
  <r>
    <x v="1"/>
    <x v="193"/>
    <x v="26"/>
    <x v="6"/>
    <x v="32"/>
    <x v="14"/>
    <x v="18"/>
    <x v="0"/>
    <x v="5"/>
    <x v="1"/>
  </r>
  <r>
    <x v="1"/>
    <x v="63"/>
    <x v="21"/>
    <x v="2"/>
    <x v="270"/>
    <x v="83"/>
    <x v="204"/>
    <x v="0"/>
    <x v="2"/>
    <x v="1"/>
  </r>
  <r>
    <x v="1"/>
    <x v="202"/>
    <x v="27"/>
    <x v="4"/>
    <x v="5"/>
    <x v="4"/>
    <x v="9"/>
    <x v="0"/>
    <x v="2"/>
    <x v="1"/>
  </r>
  <r>
    <x v="1"/>
    <x v="162"/>
    <x v="25"/>
    <x v="6"/>
    <x v="28"/>
    <x v="14"/>
    <x v="14"/>
    <x v="0"/>
    <x v="2"/>
    <x v="1"/>
  </r>
  <r>
    <x v="1"/>
    <x v="32"/>
    <x v="20"/>
    <x v="7"/>
    <x v="197"/>
    <x v="51"/>
    <x v="179"/>
    <x v="0"/>
    <x v="2"/>
    <x v="1"/>
  </r>
  <r>
    <x v="1"/>
    <x v="116"/>
    <x v="24"/>
    <x v="2"/>
    <x v="159"/>
    <x v="82"/>
    <x v="97"/>
    <x v="0"/>
    <x v="2"/>
    <x v="1"/>
  </r>
  <r>
    <x v="1"/>
    <x v="109"/>
    <x v="23"/>
    <x v="7"/>
    <x v="197"/>
    <x v="50"/>
    <x v="180"/>
    <x v="0"/>
    <x v="2"/>
    <x v="1"/>
  </r>
  <r>
    <x v="1"/>
    <x v="217"/>
    <x v="451"/>
    <x v="3"/>
    <x v="156"/>
    <x v="73"/>
    <x v="92"/>
    <x v="0"/>
    <x v="4"/>
    <x v="1"/>
  </r>
  <r>
    <x v="2"/>
    <x v="272"/>
    <x v="42"/>
    <x v="4"/>
    <x v="9"/>
    <x v="1"/>
    <x v="16"/>
    <x v="0"/>
    <x v="2"/>
    <x v="1"/>
  </r>
  <r>
    <x v="2"/>
    <x v="182"/>
    <x v="40"/>
    <x v="4"/>
    <x v="10"/>
    <x v="3"/>
    <x v="15"/>
    <x v="0"/>
    <x v="2"/>
    <x v="1"/>
  </r>
  <r>
    <x v="2"/>
    <x v="247"/>
    <x v="41"/>
    <x v="7"/>
    <x v="103"/>
    <x v="52"/>
    <x v="71"/>
    <x v="0"/>
    <x v="2"/>
    <x v="1"/>
  </r>
  <r>
    <x v="2"/>
    <x v="277"/>
    <x v="43"/>
    <x v="3"/>
    <x v="241"/>
    <x v="80"/>
    <x v="155"/>
    <x v="0"/>
    <x v="2"/>
    <x v="1"/>
  </r>
  <r>
    <x v="2"/>
    <x v="120"/>
    <x v="37"/>
    <x v="2"/>
    <x v="274"/>
    <x v="83"/>
    <x v="210"/>
    <x v="0"/>
    <x v="2"/>
    <x v="1"/>
  </r>
  <r>
    <x v="2"/>
    <x v="168"/>
    <x v="39"/>
    <x v="6"/>
    <x v="51"/>
    <x v="21"/>
    <x v="32"/>
    <x v="0"/>
    <x v="2"/>
    <x v="1"/>
  </r>
  <r>
    <x v="2"/>
    <x v="83"/>
    <x v="35"/>
    <x v="8"/>
    <x v="59"/>
    <x v="27"/>
    <x v="33"/>
    <x v="0"/>
    <x v="2"/>
    <x v="1"/>
  </r>
  <r>
    <x v="2"/>
    <x v="45"/>
    <x v="33"/>
    <x v="8"/>
    <x v="68"/>
    <x v="24"/>
    <x v="46"/>
    <x v="0"/>
    <x v="2"/>
    <x v="1"/>
  </r>
  <r>
    <x v="2"/>
    <x v="1"/>
    <x v="31"/>
    <x v="5"/>
    <x v="99"/>
    <x v="47"/>
    <x v="62"/>
    <x v="0"/>
    <x v="2"/>
    <x v="1"/>
  </r>
  <r>
    <x v="2"/>
    <x v="129"/>
    <x v="38"/>
    <x v="7"/>
    <x v="113"/>
    <x v="57"/>
    <x v="83"/>
    <x v="0"/>
    <x v="2"/>
    <x v="1"/>
  </r>
  <r>
    <x v="2"/>
    <x v="54"/>
    <x v="34"/>
    <x v="7"/>
    <x v="166"/>
    <x v="56"/>
    <x v="135"/>
    <x v="0"/>
    <x v="2"/>
    <x v="1"/>
  </r>
  <r>
    <x v="2"/>
    <x v="14"/>
    <x v="32"/>
    <x v="7"/>
    <x v="203"/>
    <x v="56"/>
    <x v="184"/>
    <x v="0"/>
    <x v="2"/>
    <x v="1"/>
  </r>
  <r>
    <x v="2"/>
    <x v="112"/>
    <x v="36"/>
    <x v="3"/>
    <x v="210"/>
    <x v="82"/>
    <x v="128"/>
    <x v="0"/>
    <x v="2"/>
    <x v="1"/>
  </r>
  <r>
    <x v="3"/>
    <x v="205"/>
    <x v="2"/>
    <x v="3"/>
    <x v="145"/>
    <x v="73"/>
    <x v="73"/>
    <x v="0"/>
    <x v="3"/>
    <x v="1"/>
  </r>
  <r>
    <x v="3"/>
    <x v="159"/>
    <x v="51"/>
    <x v="9"/>
    <x v="90"/>
    <x v="39"/>
    <x v="34"/>
    <x v="0"/>
    <x v="5"/>
    <x v="1"/>
  </r>
  <r>
    <x v="3"/>
    <x v="226"/>
    <x v="54"/>
    <x v="9"/>
    <x v="89"/>
    <x v="38"/>
    <x v="34"/>
    <x v="0"/>
    <x v="5"/>
    <x v="1"/>
  </r>
  <r>
    <x v="3"/>
    <x v="165"/>
    <x v="52"/>
    <x v="6"/>
    <x v="41"/>
    <x v="15"/>
    <x v="26"/>
    <x v="0"/>
    <x v="2"/>
    <x v="1"/>
  </r>
  <r>
    <x v="3"/>
    <x v="185"/>
    <x v="53"/>
    <x v="4"/>
    <x v="9"/>
    <x v="2"/>
    <x v="15"/>
    <x v="0"/>
    <x v="2"/>
    <x v="1"/>
  </r>
  <r>
    <x v="3"/>
    <x v="83"/>
    <x v="47"/>
    <x v="1"/>
    <x v="38"/>
    <x v="12"/>
    <x v="26"/>
    <x v="0"/>
    <x v="2"/>
    <x v="1"/>
  </r>
  <r>
    <x v="3"/>
    <x v="115"/>
    <x v="49"/>
    <x v="3"/>
    <x v="199"/>
    <x v="80"/>
    <x v="125"/>
    <x v="0"/>
    <x v="2"/>
    <x v="1"/>
  </r>
  <r>
    <x v="3"/>
    <x v="98"/>
    <x v="48"/>
    <x v="2"/>
    <x v="247"/>
    <x v="78"/>
    <x v="168"/>
    <x v="0"/>
    <x v="2"/>
    <x v="1"/>
  </r>
  <r>
    <x v="3"/>
    <x v="39"/>
    <x v="45"/>
    <x v="1"/>
    <x v="38"/>
    <x v="8"/>
    <x v="31"/>
    <x v="0"/>
    <x v="2"/>
    <x v="1"/>
  </r>
  <r>
    <x v="3"/>
    <x v="130"/>
    <x v="50"/>
    <x v="7"/>
    <x v="115"/>
    <x v="52"/>
    <x v="91"/>
    <x v="0"/>
    <x v="2"/>
    <x v="1"/>
  </r>
  <r>
    <x v="3"/>
    <x v="47"/>
    <x v="46"/>
    <x v="7"/>
    <x v="162"/>
    <x v="53"/>
    <x v="131"/>
    <x v="0"/>
    <x v="2"/>
    <x v="1"/>
  </r>
  <r>
    <x v="3"/>
    <x v="16"/>
    <x v="44"/>
    <x v="7"/>
    <x v="192"/>
    <x v="52"/>
    <x v="174"/>
    <x v="0"/>
    <x v="2"/>
    <x v="1"/>
  </r>
  <r>
    <x v="3"/>
    <x v="297"/>
    <x v="56"/>
    <x v="3"/>
    <x v="212"/>
    <x v="86"/>
    <x v="127"/>
    <x v="0"/>
    <x v="2"/>
    <x v="1"/>
  </r>
  <r>
    <x v="3"/>
    <x v="270"/>
    <x v="55"/>
    <x v="7"/>
    <x v="126"/>
    <x v="55"/>
    <x v="102"/>
    <x v="0"/>
    <x v="2"/>
    <x v="1"/>
  </r>
  <r>
    <x v="4"/>
    <x v="117"/>
    <x v="60"/>
    <x v="7"/>
    <x v="172"/>
    <x v="55"/>
    <x v="148"/>
    <x v="0"/>
    <x v="2"/>
    <x v="1"/>
  </r>
  <r>
    <x v="4"/>
    <x v="24"/>
    <x v="57"/>
    <x v="7"/>
    <x v="188"/>
    <x v="56"/>
    <x v="169"/>
    <x v="0"/>
    <x v="2"/>
    <x v="1"/>
  </r>
  <r>
    <x v="4"/>
    <x v="117"/>
    <x v="0"/>
    <x v="3"/>
    <x v="185"/>
    <x v="85"/>
    <x v="122"/>
    <x v="0"/>
    <x v="2"/>
    <x v="1"/>
  </r>
  <r>
    <x v="4"/>
    <x v="118"/>
    <x v="61"/>
    <x v="2"/>
    <x v="272"/>
    <x v="75"/>
    <x v="213"/>
    <x v="0"/>
    <x v="2"/>
    <x v="1"/>
  </r>
  <r>
    <x v="4"/>
    <x v="84"/>
    <x v="59"/>
    <x v="8"/>
    <x v="79"/>
    <x v="29"/>
    <x v="54"/>
    <x v="0"/>
    <x v="2"/>
    <x v="1"/>
  </r>
  <r>
    <x v="4"/>
    <x v="82"/>
    <x v="58"/>
    <x v="1"/>
    <x v="20"/>
    <x v="13"/>
    <x v="7"/>
    <x v="0"/>
    <x v="2"/>
    <x v="1"/>
  </r>
  <r>
    <x v="4"/>
    <x v="196"/>
    <x v="63"/>
    <x v="4"/>
    <x v="8"/>
    <x v="3"/>
    <x v="13"/>
    <x v="0"/>
    <x v="2"/>
    <x v="1"/>
  </r>
  <r>
    <x v="4"/>
    <x v="160"/>
    <x v="62"/>
    <x v="6"/>
    <x v="48"/>
    <x v="14"/>
    <x v="34"/>
    <x v="0"/>
    <x v="2"/>
    <x v="1"/>
  </r>
  <r>
    <x v="4"/>
    <x v="211"/>
    <x v="64"/>
    <x v="6"/>
    <x v="18"/>
    <x v="14"/>
    <x v="4"/>
    <x v="0"/>
    <x v="2"/>
    <x v="1"/>
  </r>
  <r>
    <x v="4"/>
    <x v="219"/>
    <x v="452"/>
    <x v="3"/>
    <x v="140"/>
    <x v="82"/>
    <x v="61"/>
    <x v="0"/>
    <x v="4"/>
    <x v="1"/>
  </r>
  <r>
    <x v="4"/>
    <x v="252"/>
    <x v="65"/>
    <x v="7"/>
    <x v="113"/>
    <x v="52"/>
    <x v="86"/>
    <x v="0"/>
    <x v="2"/>
    <x v="1"/>
  </r>
  <r>
    <x v="4"/>
    <x v="290"/>
    <x v="67"/>
    <x v="3"/>
    <x v="223"/>
    <x v="86"/>
    <x v="132"/>
    <x v="0"/>
    <x v="2"/>
    <x v="1"/>
  </r>
  <r>
    <x v="4"/>
    <x v="272"/>
    <x v="66"/>
    <x v="4"/>
    <x v="4"/>
    <x v="4"/>
    <x v="8"/>
    <x v="0"/>
    <x v="2"/>
    <x v="1"/>
  </r>
  <r>
    <x v="5"/>
    <x v="205"/>
    <x v="75"/>
    <x v="6"/>
    <x v="40"/>
    <x v="16"/>
    <x v="24"/>
    <x v="0"/>
    <x v="2"/>
    <x v="1"/>
  </r>
  <r>
    <x v="5"/>
    <x v="200"/>
    <x v="74"/>
    <x v="4"/>
    <x v="5"/>
    <x v="2"/>
    <x v="11"/>
    <x v="0"/>
    <x v="2"/>
    <x v="1"/>
  </r>
  <r>
    <x v="5"/>
    <x v="152"/>
    <x v="73"/>
    <x v="9"/>
    <x v="93"/>
    <x v="38"/>
    <x v="50"/>
    <x v="0"/>
    <x v="5"/>
    <x v="1"/>
  </r>
  <r>
    <x v="5"/>
    <x v="100"/>
    <x v="71"/>
    <x v="3"/>
    <x v="163"/>
    <x v="86"/>
    <x v="107"/>
    <x v="0"/>
    <x v="2"/>
    <x v="1"/>
  </r>
  <r>
    <x v="5"/>
    <x v="227"/>
    <x v="76"/>
    <x v="9"/>
    <x v="85"/>
    <x v="37"/>
    <x v="30"/>
    <x v="0"/>
    <x v="5"/>
    <x v="1"/>
  </r>
  <r>
    <x v="5"/>
    <x v="87"/>
    <x v="70"/>
    <x v="8"/>
    <x v="77"/>
    <x v="28"/>
    <x v="53"/>
    <x v="0"/>
    <x v="2"/>
    <x v="1"/>
  </r>
  <r>
    <x v="5"/>
    <x v="31"/>
    <x v="69"/>
    <x v="3"/>
    <x v="251"/>
    <x v="84"/>
    <x v="171"/>
    <x v="0"/>
    <x v="2"/>
    <x v="1"/>
  </r>
  <r>
    <x v="5"/>
    <x v="27"/>
    <x v="68"/>
    <x v="7"/>
    <x v="202"/>
    <x v="52"/>
    <x v="187"/>
    <x v="0"/>
    <x v="2"/>
    <x v="1"/>
  </r>
  <r>
    <x v="5"/>
    <x v="126"/>
    <x v="72"/>
    <x v="7"/>
    <x v="184"/>
    <x v="53"/>
    <x v="165"/>
    <x v="0"/>
    <x v="2"/>
    <x v="1"/>
  </r>
  <r>
    <x v="5"/>
    <x v="296"/>
    <x v="80"/>
    <x v="3"/>
    <x v="237"/>
    <x v="89"/>
    <x v="142"/>
    <x v="0"/>
    <x v="2"/>
    <x v="1"/>
  </r>
  <r>
    <x v="5"/>
    <x v="241"/>
    <x v="77"/>
    <x v="1"/>
    <x v="23"/>
    <x v="12"/>
    <x v="11"/>
    <x v="0"/>
    <x v="1"/>
    <x v="1"/>
  </r>
  <r>
    <x v="5"/>
    <x v="248"/>
    <x v="78"/>
    <x v="7"/>
    <x v="106"/>
    <x v="55"/>
    <x v="76"/>
    <x v="0"/>
    <x v="2"/>
    <x v="1"/>
  </r>
  <r>
    <x v="6"/>
    <x v="91"/>
    <x v="84"/>
    <x v="8"/>
    <x v="52"/>
    <x v="30"/>
    <x v="19"/>
    <x v="0"/>
    <x v="2"/>
    <x v="1"/>
  </r>
  <r>
    <x v="6"/>
    <x v="124"/>
    <x v="85"/>
    <x v="7"/>
    <x v="179"/>
    <x v="55"/>
    <x v="157"/>
    <x v="0"/>
    <x v="2"/>
    <x v="1"/>
  </r>
  <r>
    <x v="6"/>
    <x v="46"/>
    <x v="82"/>
    <x v="8"/>
    <x v="60"/>
    <x v="24"/>
    <x v="38"/>
    <x v="0"/>
    <x v="2"/>
    <x v="1"/>
  </r>
  <r>
    <x v="6"/>
    <x v="174"/>
    <x v="87"/>
    <x v="6"/>
    <x v="29"/>
    <x v="15"/>
    <x v="14"/>
    <x v="0"/>
    <x v="2"/>
    <x v="1"/>
  </r>
  <r>
    <x v="6"/>
    <x v="188"/>
    <x v="88"/>
    <x v="4"/>
    <x v="3"/>
    <x v="1"/>
    <x v="10"/>
    <x v="0"/>
    <x v="2"/>
    <x v="1"/>
  </r>
  <r>
    <x v="6"/>
    <x v="56"/>
    <x v="83"/>
    <x v="3"/>
    <x v="253"/>
    <x v="88"/>
    <x v="176"/>
    <x v="0"/>
    <x v="2"/>
    <x v="1"/>
  </r>
  <r>
    <x v="6"/>
    <x v="125"/>
    <x v="86"/>
    <x v="3"/>
    <x v="175"/>
    <x v="87"/>
    <x v="118"/>
    <x v="0"/>
    <x v="2"/>
    <x v="1"/>
  </r>
  <r>
    <x v="6"/>
    <x v="23"/>
    <x v="81"/>
    <x v="7"/>
    <x v="206"/>
    <x v="56"/>
    <x v="190"/>
    <x v="0"/>
    <x v="2"/>
    <x v="1"/>
  </r>
  <r>
    <x v="6"/>
    <x v="300"/>
    <x v="92"/>
    <x v="3"/>
    <x v="233"/>
    <x v="89"/>
    <x v="140"/>
    <x v="0"/>
    <x v="2"/>
    <x v="1"/>
  </r>
  <r>
    <x v="6"/>
    <x v="255"/>
    <x v="90"/>
    <x v="7"/>
    <x v="107"/>
    <x v="52"/>
    <x v="78"/>
    <x v="0"/>
    <x v="2"/>
    <x v="1"/>
  </r>
  <r>
    <x v="6"/>
    <x v="235"/>
    <x v="89"/>
    <x v="1"/>
    <x v="28"/>
    <x v="11"/>
    <x v="17"/>
    <x v="0"/>
    <x v="1"/>
    <x v="1"/>
  </r>
  <r>
    <x v="6"/>
    <x v="277"/>
    <x v="91"/>
    <x v="4"/>
    <x v="5"/>
    <x v="1"/>
    <x v="12"/>
    <x v="0"/>
    <x v="2"/>
    <x v="1"/>
  </r>
  <r>
    <x v="7"/>
    <x v="106"/>
    <x v="99"/>
    <x v="7"/>
    <x v="182"/>
    <x v="54"/>
    <x v="161"/>
    <x v="0"/>
    <x v="2"/>
    <x v="1"/>
  </r>
  <r>
    <x v="7"/>
    <x v="29"/>
    <x v="94"/>
    <x v="7"/>
    <x v="198"/>
    <x v="53"/>
    <x v="179"/>
    <x v="0"/>
    <x v="2"/>
    <x v="1"/>
  </r>
  <r>
    <x v="7"/>
    <x v="1"/>
    <x v="93"/>
    <x v="5"/>
    <x v="111"/>
    <x v="48"/>
    <x v="90"/>
    <x v="0"/>
    <x v="2"/>
    <x v="1"/>
  </r>
  <r>
    <x v="7"/>
    <x v="114"/>
    <x v="100"/>
    <x v="3"/>
    <x v="176"/>
    <x v="88"/>
    <x v="119"/>
    <x v="0"/>
    <x v="2"/>
    <x v="1"/>
  </r>
  <r>
    <x v="7"/>
    <x v="42"/>
    <x v="95"/>
    <x v="1"/>
    <x v="27"/>
    <x v="9"/>
    <x v="18"/>
    <x v="0"/>
    <x v="2"/>
    <x v="1"/>
  </r>
  <r>
    <x v="7"/>
    <x v="70"/>
    <x v="96"/>
    <x v="1"/>
    <x v="40"/>
    <x v="14"/>
    <x v="26"/>
    <x v="0"/>
    <x v="2"/>
    <x v="1"/>
  </r>
  <r>
    <x v="7"/>
    <x v="96"/>
    <x v="97"/>
    <x v="1"/>
    <x v="35"/>
    <x v="14"/>
    <x v="21"/>
    <x v="0"/>
    <x v="2"/>
    <x v="1"/>
  </r>
  <r>
    <x v="7"/>
    <x v="99"/>
    <x v="98"/>
    <x v="2"/>
    <x v="274"/>
    <x v="74"/>
    <x v="214"/>
    <x v="0"/>
    <x v="2"/>
    <x v="1"/>
  </r>
  <r>
    <x v="5"/>
    <x v="273"/>
    <x v="79"/>
    <x v="4"/>
    <x v="5"/>
    <x v="2"/>
    <x v="11"/>
    <x v="0"/>
    <x v="2"/>
    <x v="1"/>
  </r>
  <r>
    <x v="7"/>
    <x v="211"/>
    <x v="102"/>
    <x v="4"/>
    <x v="7"/>
    <x v="3"/>
    <x v="12"/>
    <x v="0"/>
    <x v="2"/>
    <x v="1"/>
  </r>
  <r>
    <x v="7"/>
    <x v="149"/>
    <x v="101"/>
    <x v="6"/>
    <x v="31"/>
    <x v="20"/>
    <x v="11"/>
    <x v="0"/>
    <x v="2"/>
    <x v="1"/>
  </r>
  <r>
    <x v="7"/>
    <x v="209"/>
    <x v="103"/>
    <x v="6"/>
    <x v="49"/>
    <x v="19"/>
    <x v="31"/>
    <x v="0"/>
    <x v="5"/>
    <x v="1"/>
  </r>
  <r>
    <x v="7"/>
    <x v="281"/>
    <x v="106"/>
    <x v="6"/>
    <x v="19"/>
    <x v="15"/>
    <x v="4"/>
    <x v="0"/>
    <x v="2"/>
    <x v="1"/>
  </r>
  <r>
    <x v="7"/>
    <x v="267"/>
    <x v="104"/>
    <x v="7"/>
    <x v="104"/>
    <x v="56"/>
    <x v="72"/>
    <x v="0"/>
    <x v="2"/>
    <x v="1"/>
  </r>
  <r>
    <x v="7"/>
    <x v="307"/>
    <x v="107"/>
    <x v="3"/>
    <x v="240"/>
    <x v="90"/>
    <x v="147"/>
    <x v="0"/>
    <x v="2"/>
    <x v="1"/>
  </r>
  <r>
    <x v="7"/>
    <x v="280"/>
    <x v="105"/>
    <x v="4"/>
    <x v="0"/>
    <x v="1"/>
    <x v="7"/>
    <x v="0"/>
    <x v="2"/>
    <x v="1"/>
  </r>
  <r>
    <x v="7"/>
    <x v="222"/>
    <x v="453"/>
    <x v="3"/>
    <x v="149"/>
    <x v="79"/>
    <x v="74"/>
    <x v="0"/>
    <x v="4"/>
    <x v="1"/>
  </r>
  <r>
    <x v="8"/>
    <x v="312"/>
    <x v="119"/>
    <x v="4"/>
    <x v="4"/>
    <x v="2"/>
    <x v="10"/>
    <x v="0"/>
    <x v="2"/>
    <x v="1"/>
  </r>
  <r>
    <x v="8"/>
    <x v="275"/>
    <x v="118"/>
    <x v="6"/>
    <x v="24"/>
    <x v="10"/>
    <x v="14"/>
    <x v="0"/>
    <x v="2"/>
    <x v="1"/>
  </r>
  <r>
    <x v="8"/>
    <x v="212"/>
    <x v="116"/>
    <x v="4"/>
    <x v="10"/>
    <x v="4"/>
    <x v="14"/>
    <x v="0"/>
    <x v="2"/>
    <x v="1"/>
  </r>
  <r>
    <x v="8"/>
    <x v="182"/>
    <x v="114"/>
    <x v="6"/>
    <x v="42"/>
    <x v="14"/>
    <x v="28"/>
    <x v="0"/>
    <x v="2"/>
    <x v="1"/>
  </r>
  <r>
    <x v="8"/>
    <x v="65"/>
    <x v="110"/>
    <x v="7"/>
    <x v="226"/>
    <x v="56"/>
    <x v="208"/>
    <x v="0"/>
    <x v="2"/>
    <x v="1"/>
  </r>
  <r>
    <x v="8"/>
    <x v="20"/>
    <x v="108"/>
    <x v="7"/>
    <x v="195"/>
    <x v="56"/>
    <x v="174"/>
    <x v="0"/>
    <x v="2"/>
    <x v="1"/>
  </r>
  <r>
    <x v="8"/>
    <x v="44"/>
    <x v="109"/>
    <x v="8"/>
    <x v="65"/>
    <x v="25"/>
    <x v="42"/>
    <x v="0"/>
    <x v="2"/>
    <x v="1"/>
  </r>
  <r>
    <x v="8"/>
    <x v="87"/>
    <x v="112"/>
    <x v="8"/>
    <x v="61"/>
    <x v="31"/>
    <x v="30"/>
    <x v="0"/>
    <x v="2"/>
    <x v="1"/>
  </r>
  <r>
    <x v="8"/>
    <x v="77"/>
    <x v="111"/>
    <x v="3"/>
    <x v="273"/>
    <x v="89"/>
    <x v="205"/>
    <x v="0"/>
    <x v="2"/>
    <x v="1"/>
  </r>
  <r>
    <x v="8"/>
    <x v="206"/>
    <x v="115"/>
    <x v="3"/>
    <x v="174"/>
    <x v="86"/>
    <x v="118"/>
    <x v="0"/>
    <x v="2"/>
    <x v="1"/>
  </r>
  <r>
    <x v="8"/>
    <x v="259"/>
    <x v="117"/>
    <x v="7"/>
    <x v="118"/>
    <x v="53"/>
    <x v="94"/>
    <x v="0"/>
    <x v="2"/>
    <x v="1"/>
  </r>
  <r>
    <x v="8"/>
    <x v="132"/>
    <x v="113"/>
    <x v="2"/>
    <x v="150"/>
    <x v="68"/>
    <x v="81"/>
    <x v="0"/>
    <x v="2"/>
    <x v="1"/>
  </r>
  <r>
    <x v="8"/>
    <x v="190"/>
    <x v="454"/>
    <x v="0"/>
    <x v="146"/>
    <x v="84"/>
    <x v="68"/>
    <x v="0"/>
    <x v="4"/>
    <x v="1"/>
  </r>
  <r>
    <x v="9"/>
    <x v="124"/>
    <x v="128"/>
    <x v="2"/>
    <x v="284"/>
    <x v="76"/>
    <x v="227"/>
    <x v="0"/>
    <x v="2"/>
    <x v="1"/>
  </r>
  <r>
    <x v="9"/>
    <x v="105"/>
    <x v="127"/>
    <x v="7"/>
    <x v="101"/>
    <x v="50"/>
    <x v="67"/>
    <x v="0"/>
    <x v="2"/>
    <x v="1"/>
  </r>
  <r>
    <x v="9"/>
    <x v="23"/>
    <x v="121"/>
    <x v="7"/>
    <x v="171"/>
    <x v="51"/>
    <x v="145"/>
    <x v="0"/>
    <x v="2"/>
    <x v="1"/>
  </r>
  <r>
    <x v="9"/>
    <x v="68"/>
    <x v="123"/>
    <x v="7"/>
    <x v="217"/>
    <x v="51"/>
    <x v="200"/>
    <x v="0"/>
    <x v="2"/>
    <x v="1"/>
  </r>
  <r>
    <x v="9"/>
    <x v="288"/>
    <x v="133"/>
    <x v="6"/>
    <x v="24"/>
    <x v="15"/>
    <x v="9"/>
    <x v="0"/>
    <x v="2"/>
    <x v="1"/>
  </r>
  <r>
    <x v="9"/>
    <x v="212"/>
    <x v="130"/>
    <x v="4"/>
    <x v="10"/>
    <x v="3"/>
    <x v="15"/>
    <x v="0"/>
    <x v="2"/>
    <x v="1"/>
  </r>
  <r>
    <x v="9"/>
    <x v="0"/>
    <x v="120"/>
    <x v="5"/>
    <x v="98"/>
    <x v="40"/>
    <x v="63"/>
    <x v="0"/>
    <x v="2"/>
    <x v="1"/>
  </r>
  <r>
    <x v="9"/>
    <x v="103"/>
    <x v="126"/>
    <x v="3"/>
    <x v="267"/>
    <x v="91"/>
    <x v="193"/>
    <x v="0"/>
    <x v="2"/>
    <x v="1"/>
  </r>
  <r>
    <x v="9"/>
    <x v="197"/>
    <x v="129"/>
    <x v="6"/>
    <x v="47"/>
    <x v="15"/>
    <x v="32"/>
    <x v="0"/>
    <x v="2"/>
    <x v="1"/>
  </r>
  <r>
    <x v="9"/>
    <x v="299"/>
    <x v="134"/>
    <x v="3"/>
    <x v="289"/>
    <x v="93"/>
    <x v="226"/>
    <x v="0"/>
    <x v="2"/>
    <x v="1"/>
  </r>
  <r>
    <x v="9"/>
    <x v="287"/>
    <x v="132"/>
    <x v="4"/>
    <x v="5"/>
    <x v="1"/>
    <x v="12"/>
    <x v="0"/>
    <x v="2"/>
    <x v="1"/>
  </r>
  <r>
    <x v="9"/>
    <x v="251"/>
    <x v="131"/>
    <x v="7"/>
    <x v="110"/>
    <x v="56"/>
    <x v="80"/>
    <x v="0"/>
    <x v="2"/>
    <x v="1"/>
  </r>
  <r>
    <x v="9"/>
    <x v="72"/>
    <x v="124"/>
    <x v="6"/>
    <x v="26"/>
    <x v="15"/>
    <x v="11"/>
    <x v="0"/>
    <x v="2"/>
    <x v="1"/>
  </r>
  <r>
    <x v="9"/>
    <x v="94"/>
    <x v="125"/>
    <x v="8"/>
    <x v="64"/>
    <x v="31"/>
    <x v="35"/>
    <x v="0"/>
    <x v="2"/>
    <x v="1"/>
  </r>
  <r>
    <x v="9"/>
    <x v="47"/>
    <x v="122"/>
    <x v="8"/>
    <x v="72"/>
    <x v="25"/>
    <x v="49"/>
    <x v="0"/>
    <x v="2"/>
    <x v="1"/>
  </r>
  <r>
    <x v="10"/>
    <x v="73"/>
    <x v="137"/>
    <x v="6"/>
    <x v="16"/>
    <x v="15"/>
    <x v="2"/>
    <x v="0"/>
    <x v="2"/>
    <x v="1"/>
  </r>
  <r>
    <x v="10"/>
    <x v="117"/>
    <x v="140"/>
    <x v="3"/>
    <x v="235"/>
    <x v="92"/>
    <x v="138"/>
    <x v="0"/>
    <x v="2"/>
    <x v="1"/>
  </r>
  <r>
    <x v="10"/>
    <x v="85"/>
    <x v="138"/>
    <x v="8"/>
    <x v="56"/>
    <x v="31"/>
    <x v="24"/>
    <x v="0"/>
    <x v="2"/>
    <x v="1"/>
  </r>
  <r>
    <x v="10"/>
    <x v="37"/>
    <x v="136"/>
    <x v="8"/>
    <x v="66"/>
    <x v="24"/>
    <x v="44"/>
    <x v="0"/>
    <x v="2"/>
    <x v="1"/>
  </r>
  <r>
    <x v="10"/>
    <x v="121"/>
    <x v="141"/>
    <x v="7"/>
    <x v="227"/>
    <x v="55"/>
    <x v="212"/>
    <x v="0"/>
    <x v="2"/>
    <x v="1"/>
  </r>
  <r>
    <x v="10"/>
    <x v="30"/>
    <x v="135"/>
    <x v="7"/>
    <x v="190"/>
    <x v="55"/>
    <x v="171"/>
    <x v="0"/>
    <x v="2"/>
    <x v="1"/>
  </r>
  <r>
    <x v="10"/>
    <x v="116"/>
    <x v="139"/>
    <x v="2"/>
    <x v="260"/>
    <x v="77"/>
    <x v="193"/>
    <x v="0"/>
    <x v="2"/>
    <x v="1"/>
  </r>
  <r>
    <x v="10"/>
    <x v="213"/>
    <x v="145"/>
    <x v="6"/>
    <x v="33"/>
    <x v="13"/>
    <x v="20"/>
    <x v="0"/>
    <x v="5"/>
    <x v="1"/>
  </r>
  <r>
    <x v="10"/>
    <x v="173"/>
    <x v="143"/>
    <x v="6"/>
    <x v="22"/>
    <x v="13"/>
    <x v="9"/>
    <x v="0"/>
    <x v="2"/>
    <x v="1"/>
  </r>
  <r>
    <x v="10"/>
    <x v="153"/>
    <x v="142"/>
    <x v="6"/>
    <x v="37"/>
    <x v="14"/>
    <x v="23"/>
    <x v="0"/>
    <x v="5"/>
    <x v="1"/>
  </r>
  <r>
    <x v="10"/>
    <x v="205"/>
    <x v="144"/>
    <x v="4"/>
    <x v="9"/>
    <x v="4"/>
    <x v="13"/>
    <x v="0"/>
    <x v="2"/>
    <x v="1"/>
  </r>
  <r>
    <x v="10"/>
    <x v="297"/>
    <x v="148"/>
    <x v="3"/>
    <x v="244"/>
    <x v="94"/>
    <x v="154"/>
    <x v="0"/>
    <x v="2"/>
    <x v="1"/>
  </r>
  <r>
    <x v="10"/>
    <x v="228"/>
    <x v="3"/>
    <x v="3"/>
    <x v="147"/>
    <x v="85"/>
    <x v="69"/>
    <x v="0"/>
    <x v="3"/>
    <x v="1"/>
  </r>
  <r>
    <x v="10"/>
    <x v="294"/>
    <x v="147"/>
    <x v="4"/>
    <x v="3"/>
    <x v="2"/>
    <x v="9"/>
    <x v="0"/>
    <x v="2"/>
    <x v="1"/>
  </r>
  <r>
    <x v="10"/>
    <x v="257"/>
    <x v="146"/>
    <x v="7"/>
    <x v="112"/>
    <x v="52"/>
    <x v="85"/>
    <x v="0"/>
    <x v="2"/>
    <x v="1"/>
  </r>
  <r>
    <x v="11"/>
    <x v="108"/>
    <x v="153"/>
    <x v="3"/>
    <x v="221"/>
    <x v="93"/>
    <x v="130"/>
    <x v="0"/>
    <x v="2"/>
    <x v="1"/>
  </r>
  <r>
    <x v="11"/>
    <x v="128"/>
    <x v="154"/>
    <x v="5"/>
    <x v="167"/>
    <x v="45"/>
    <x v="144"/>
    <x v="0"/>
    <x v="2"/>
    <x v="1"/>
  </r>
  <r>
    <x v="11"/>
    <x v="86"/>
    <x v="150"/>
    <x v="8"/>
    <x v="77"/>
    <x v="29"/>
    <x v="52"/>
    <x v="0"/>
    <x v="2"/>
    <x v="1"/>
  </r>
  <r>
    <x v="11"/>
    <x v="101"/>
    <x v="152"/>
    <x v="2"/>
    <x v="261"/>
    <x v="74"/>
    <x v="196"/>
    <x v="0"/>
    <x v="2"/>
    <x v="1"/>
  </r>
  <r>
    <x v="11"/>
    <x v="86"/>
    <x v="151"/>
    <x v="1"/>
    <x v="20"/>
    <x v="12"/>
    <x v="8"/>
    <x v="0"/>
    <x v="2"/>
    <x v="1"/>
  </r>
  <r>
    <x v="11"/>
    <x v="2"/>
    <x v="149"/>
    <x v="5"/>
    <x v="97"/>
    <x v="45"/>
    <x v="50"/>
    <x v="0"/>
    <x v="2"/>
    <x v="1"/>
  </r>
  <r>
    <x v="11"/>
    <x v="202"/>
    <x v="155"/>
    <x v="6"/>
    <x v="42"/>
    <x v="13"/>
    <x v="29"/>
    <x v="0"/>
    <x v="2"/>
    <x v="1"/>
  </r>
  <r>
    <x v="11"/>
    <x v="240"/>
    <x v="157"/>
    <x v="1"/>
    <x v="23"/>
    <x v="11"/>
    <x v="12"/>
    <x v="0"/>
    <x v="1"/>
    <x v="1"/>
  </r>
  <r>
    <x v="11"/>
    <x v="211"/>
    <x v="156"/>
    <x v="4"/>
    <x v="5"/>
    <x v="3"/>
    <x v="10"/>
    <x v="0"/>
    <x v="2"/>
    <x v="1"/>
  </r>
  <r>
    <x v="11"/>
    <x v="261"/>
    <x v="158"/>
    <x v="5"/>
    <x v="116"/>
    <x v="44"/>
    <x v="99"/>
    <x v="0"/>
    <x v="2"/>
    <x v="1"/>
  </r>
  <r>
    <x v="11"/>
    <x v="298"/>
    <x v="160"/>
    <x v="3"/>
    <x v="171"/>
    <x v="93"/>
    <x v="113"/>
    <x v="0"/>
    <x v="2"/>
    <x v="1"/>
  </r>
  <r>
    <x v="11"/>
    <x v="286"/>
    <x v="159"/>
    <x v="4"/>
    <x v="4"/>
    <x v="3"/>
    <x v="9"/>
    <x v="0"/>
    <x v="2"/>
    <x v="1"/>
  </r>
  <r>
    <x v="11"/>
    <x v="238"/>
    <x v="455"/>
    <x v="2"/>
    <x v="138"/>
    <x v="70"/>
    <x v="57"/>
    <x v="0"/>
    <x v="4"/>
    <x v="1"/>
  </r>
  <r>
    <x v="12"/>
    <x v="123"/>
    <x v="167"/>
    <x v="5"/>
    <x v="174"/>
    <x v="42"/>
    <x v="159"/>
    <x v="0"/>
    <x v="2"/>
    <x v="1"/>
  </r>
  <r>
    <x v="12"/>
    <x v="106"/>
    <x v="166"/>
    <x v="3"/>
    <x v="201"/>
    <x v="92"/>
    <x v="124"/>
    <x v="0"/>
    <x v="2"/>
    <x v="1"/>
  </r>
  <r>
    <x v="12"/>
    <x v="87"/>
    <x v="164"/>
    <x v="8"/>
    <x v="55"/>
    <x v="28"/>
    <x v="28"/>
    <x v="0"/>
    <x v="2"/>
    <x v="1"/>
  </r>
  <r>
    <x v="12"/>
    <x v="50"/>
    <x v="162"/>
    <x v="8"/>
    <x v="67"/>
    <x v="25"/>
    <x v="44"/>
    <x v="0"/>
    <x v="2"/>
    <x v="1"/>
  </r>
  <r>
    <x v="12"/>
    <x v="60"/>
    <x v="163"/>
    <x v="3"/>
    <x v="278"/>
    <x v="98"/>
    <x v="213"/>
    <x v="0"/>
    <x v="2"/>
    <x v="1"/>
  </r>
  <r>
    <x v="12"/>
    <x v="88"/>
    <x v="165"/>
    <x v="1"/>
    <x v="26"/>
    <x v="14"/>
    <x v="12"/>
    <x v="0"/>
    <x v="2"/>
    <x v="1"/>
  </r>
  <r>
    <x v="12"/>
    <x v="29"/>
    <x v="161"/>
    <x v="5"/>
    <x v="193"/>
    <x v="43"/>
    <x v="185"/>
    <x v="0"/>
    <x v="2"/>
    <x v="1"/>
  </r>
  <r>
    <x v="12"/>
    <x v="157"/>
    <x v="456"/>
    <x v="2"/>
    <x v="134"/>
    <x v="70"/>
    <x v="39"/>
    <x v="0"/>
    <x v="4"/>
    <x v="1"/>
  </r>
  <r>
    <x v="12"/>
    <x v="226"/>
    <x v="171"/>
    <x v="9"/>
    <x v="92"/>
    <x v="35"/>
    <x v="40"/>
    <x v="0"/>
    <x v="5"/>
    <x v="1"/>
  </r>
  <r>
    <x v="12"/>
    <x v="209"/>
    <x v="170"/>
    <x v="4"/>
    <x v="10"/>
    <x v="3"/>
    <x v="15"/>
    <x v="0"/>
    <x v="2"/>
    <x v="1"/>
  </r>
  <r>
    <x v="12"/>
    <x v="142"/>
    <x v="168"/>
    <x v="6"/>
    <x v="45"/>
    <x v="16"/>
    <x v="29"/>
    <x v="0"/>
    <x v="5"/>
    <x v="1"/>
  </r>
  <r>
    <x v="12"/>
    <x v="230"/>
    <x v="172"/>
    <x v="6"/>
    <x v="29"/>
    <x v="11"/>
    <x v="18"/>
    <x v="0"/>
    <x v="5"/>
    <x v="1"/>
  </r>
  <r>
    <x v="12"/>
    <x v="184"/>
    <x v="169"/>
    <x v="6"/>
    <x v="46"/>
    <x v="16"/>
    <x v="30"/>
    <x v="0"/>
    <x v="5"/>
    <x v="1"/>
  </r>
  <r>
    <x v="12"/>
    <x v="263"/>
    <x v="174"/>
    <x v="5"/>
    <x v="122"/>
    <x v="40"/>
    <x v="108"/>
    <x v="0"/>
    <x v="2"/>
    <x v="1"/>
  </r>
  <r>
    <x v="12"/>
    <x v="310"/>
    <x v="176"/>
    <x v="3"/>
    <x v="258"/>
    <x v="96"/>
    <x v="178"/>
    <x v="0"/>
    <x v="2"/>
    <x v="1"/>
  </r>
  <r>
    <x v="12"/>
    <x v="282"/>
    <x v="175"/>
    <x v="4"/>
    <x v="6"/>
    <x v="2"/>
    <x v="12"/>
    <x v="0"/>
    <x v="2"/>
    <x v="1"/>
  </r>
  <r>
    <x v="12"/>
    <x v="237"/>
    <x v="173"/>
    <x v="1"/>
    <x v="31"/>
    <x v="12"/>
    <x v="19"/>
    <x v="0"/>
    <x v="1"/>
    <x v="1"/>
  </r>
  <r>
    <x v="13"/>
    <x v="194"/>
    <x v="184"/>
    <x v="6"/>
    <x v="41"/>
    <x v="14"/>
    <x v="27"/>
    <x v="0"/>
    <x v="2"/>
    <x v="1"/>
  </r>
  <r>
    <x v="13"/>
    <x v="122"/>
    <x v="181"/>
    <x v="3"/>
    <x v="164"/>
    <x v="95"/>
    <x v="104"/>
    <x v="0"/>
    <x v="2"/>
    <x v="1"/>
  </r>
  <r>
    <x v="13"/>
    <x v="237"/>
    <x v="185"/>
    <x v="1"/>
    <x v="30"/>
    <x v="12"/>
    <x v="18"/>
    <x v="0"/>
    <x v="1"/>
    <x v="1"/>
  </r>
  <r>
    <x v="13"/>
    <x v="161"/>
    <x v="183"/>
    <x v="4"/>
    <x v="1"/>
    <x v="2"/>
    <x v="7"/>
    <x v="0"/>
    <x v="2"/>
    <x v="1"/>
  </r>
  <r>
    <x v="13"/>
    <x v="56"/>
    <x v="178"/>
    <x v="3"/>
    <x v="279"/>
    <x v="96"/>
    <x v="215"/>
    <x v="0"/>
    <x v="2"/>
    <x v="1"/>
  </r>
  <r>
    <x v="13"/>
    <x v="59"/>
    <x v="179"/>
    <x v="8"/>
    <x v="66"/>
    <x v="24"/>
    <x v="44"/>
    <x v="0"/>
    <x v="2"/>
    <x v="1"/>
  </r>
  <r>
    <x v="13"/>
    <x v="91"/>
    <x v="180"/>
    <x v="8"/>
    <x v="57"/>
    <x v="31"/>
    <x v="25"/>
    <x v="0"/>
    <x v="2"/>
    <x v="1"/>
  </r>
  <r>
    <x v="13"/>
    <x v="133"/>
    <x v="182"/>
    <x v="5"/>
    <x v="180"/>
    <x v="46"/>
    <x v="163"/>
    <x v="0"/>
    <x v="2"/>
    <x v="1"/>
  </r>
  <r>
    <x v="13"/>
    <x v="33"/>
    <x v="177"/>
    <x v="5"/>
    <x v="211"/>
    <x v="49"/>
    <x v="198"/>
    <x v="0"/>
    <x v="2"/>
    <x v="1"/>
  </r>
  <r>
    <x v="13"/>
    <x v="300"/>
    <x v="189"/>
    <x v="3"/>
    <x v="252"/>
    <x v="97"/>
    <x v="166"/>
    <x v="0"/>
    <x v="2"/>
    <x v="1"/>
  </r>
  <r>
    <x v="13"/>
    <x v="297"/>
    <x v="187"/>
    <x v="4"/>
    <x v="3"/>
    <x v="2"/>
    <x v="9"/>
    <x v="0"/>
    <x v="2"/>
    <x v="1"/>
  </r>
  <r>
    <x v="13"/>
    <x v="297"/>
    <x v="188"/>
    <x v="6"/>
    <x v="14"/>
    <x v="14"/>
    <x v="1"/>
    <x v="0"/>
    <x v="2"/>
    <x v="1"/>
  </r>
  <r>
    <x v="13"/>
    <x v="254"/>
    <x v="186"/>
    <x v="7"/>
    <x v="106"/>
    <x v="53"/>
    <x v="77"/>
    <x v="0"/>
    <x v="2"/>
    <x v="1"/>
  </r>
  <r>
    <x v="14"/>
    <x v="129"/>
    <x v="196"/>
    <x v="3"/>
    <x v="286"/>
    <x v="95"/>
    <x v="223"/>
    <x v="0"/>
    <x v="2"/>
    <x v="1"/>
  </r>
  <r>
    <x v="14"/>
    <x v="118"/>
    <x v="195"/>
    <x v="7"/>
    <x v="217"/>
    <x v="54"/>
    <x v="199"/>
    <x v="0"/>
    <x v="2"/>
    <x v="1"/>
  </r>
  <r>
    <x v="14"/>
    <x v="19"/>
    <x v="191"/>
    <x v="7"/>
    <x v="181"/>
    <x v="55"/>
    <x v="160"/>
    <x v="0"/>
    <x v="2"/>
    <x v="1"/>
  </r>
  <r>
    <x v="14"/>
    <x v="3"/>
    <x v="190"/>
    <x v="5"/>
    <x v="94"/>
    <x v="44"/>
    <x v="45"/>
    <x v="0"/>
    <x v="2"/>
    <x v="1"/>
  </r>
  <r>
    <x v="14"/>
    <x v="43"/>
    <x v="192"/>
    <x v="8"/>
    <x v="67"/>
    <x v="26"/>
    <x v="43"/>
    <x v="0"/>
    <x v="2"/>
    <x v="1"/>
  </r>
  <r>
    <x v="14"/>
    <x v="192"/>
    <x v="200"/>
    <x v="4"/>
    <x v="5"/>
    <x v="2"/>
    <x v="11"/>
    <x v="0"/>
    <x v="2"/>
    <x v="1"/>
  </r>
  <r>
    <x v="14"/>
    <x v="147"/>
    <x v="198"/>
    <x v="0"/>
    <x v="160"/>
    <x v="83"/>
    <x v="97"/>
    <x v="0"/>
    <x v="5"/>
    <x v="1"/>
  </r>
  <r>
    <x v="14"/>
    <x v="180"/>
    <x v="199"/>
    <x v="0"/>
    <x v="225"/>
    <x v="65"/>
    <x v="146"/>
    <x v="0"/>
    <x v="0"/>
    <x v="1"/>
  </r>
  <r>
    <x v="14"/>
    <x v="135"/>
    <x v="197"/>
    <x v="0"/>
    <x v="148"/>
    <x v="95"/>
    <x v="64"/>
    <x v="0"/>
    <x v="5"/>
    <x v="1"/>
  </r>
  <r>
    <x v="14"/>
    <x v="266"/>
    <x v="202"/>
    <x v="7"/>
    <x v="120"/>
    <x v="51"/>
    <x v="96"/>
    <x v="0"/>
    <x v="2"/>
    <x v="1"/>
  </r>
  <r>
    <x v="14"/>
    <x v="301"/>
    <x v="205"/>
    <x v="3"/>
    <x v="240"/>
    <x v="84"/>
    <x v="152"/>
    <x v="0"/>
    <x v="2"/>
    <x v="1"/>
  </r>
  <r>
    <x v="14"/>
    <x v="291"/>
    <x v="203"/>
    <x v="4"/>
    <x v="0"/>
    <x v="0"/>
    <x v="8"/>
    <x v="0"/>
    <x v="2"/>
    <x v="1"/>
  </r>
  <r>
    <x v="14"/>
    <x v="292"/>
    <x v="204"/>
    <x v="6"/>
    <x v="20"/>
    <x v="13"/>
    <x v="7"/>
    <x v="0"/>
    <x v="2"/>
    <x v="1"/>
  </r>
  <r>
    <x v="15"/>
    <x v="145"/>
    <x v="215"/>
    <x v="6"/>
    <x v="36"/>
    <x v="14"/>
    <x v="22"/>
    <x v="0"/>
    <x v="5"/>
    <x v="1"/>
  </r>
  <r>
    <x v="14"/>
    <x v="234"/>
    <x v="4"/>
    <x v="3"/>
    <x v="141"/>
    <x v="85"/>
    <x v="60"/>
    <x v="0"/>
    <x v="3"/>
    <x v="1"/>
  </r>
  <r>
    <x v="15"/>
    <x v="82"/>
    <x v="210"/>
    <x v="6"/>
    <x v="50"/>
    <x v="19"/>
    <x v="33"/>
    <x v="0"/>
    <x v="2"/>
    <x v="1"/>
  </r>
  <r>
    <x v="15"/>
    <x v="300"/>
    <x v="222"/>
    <x v="3"/>
    <x v="257"/>
    <x v="78"/>
    <x v="189"/>
    <x v="0"/>
    <x v="2"/>
    <x v="1"/>
  </r>
  <r>
    <x v="15"/>
    <x v="187"/>
    <x v="218"/>
    <x v="6"/>
    <x v="27"/>
    <x v="14"/>
    <x v="13"/>
    <x v="0"/>
    <x v="2"/>
    <x v="1"/>
  </r>
  <r>
    <x v="15"/>
    <x v="283"/>
    <x v="220"/>
    <x v="6"/>
    <x v="25"/>
    <x v="15"/>
    <x v="10"/>
    <x v="0"/>
    <x v="2"/>
    <x v="1"/>
  </r>
  <r>
    <x v="15"/>
    <x v="159"/>
    <x v="217"/>
    <x v="4"/>
    <x v="10"/>
    <x v="2"/>
    <x v="16"/>
    <x v="0"/>
    <x v="2"/>
    <x v="1"/>
  </r>
  <r>
    <x v="15"/>
    <x v="284"/>
    <x v="221"/>
    <x v="4"/>
    <x v="5"/>
    <x v="0"/>
    <x v="13"/>
    <x v="0"/>
    <x v="2"/>
    <x v="1"/>
  </r>
  <r>
    <x v="15"/>
    <x v="250"/>
    <x v="219"/>
    <x v="7"/>
    <x v="105"/>
    <x v="51"/>
    <x v="77"/>
    <x v="0"/>
    <x v="2"/>
    <x v="1"/>
  </r>
  <r>
    <x v="15"/>
    <x v="12"/>
    <x v="206"/>
    <x v="7"/>
    <x v="199"/>
    <x v="59"/>
    <x v="175"/>
    <x v="0"/>
    <x v="2"/>
    <x v="1"/>
  </r>
  <r>
    <x v="15"/>
    <x v="48"/>
    <x v="207"/>
    <x v="7"/>
    <x v="168"/>
    <x v="51"/>
    <x v="139"/>
    <x v="0"/>
    <x v="2"/>
    <x v="1"/>
  </r>
  <r>
    <x v="15"/>
    <x v="121"/>
    <x v="213"/>
    <x v="7"/>
    <x v="127"/>
    <x v="51"/>
    <x v="105"/>
    <x v="0"/>
    <x v="2"/>
    <x v="1"/>
  </r>
  <r>
    <x v="15"/>
    <x v="113"/>
    <x v="212"/>
    <x v="2"/>
    <x v="254"/>
    <x v="77"/>
    <x v="184"/>
    <x v="0"/>
    <x v="2"/>
    <x v="1"/>
  </r>
  <r>
    <x v="15"/>
    <x v="146"/>
    <x v="216"/>
    <x v="0"/>
    <x v="245"/>
    <x v="65"/>
    <x v="180"/>
    <x v="0"/>
    <x v="0"/>
    <x v="1"/>
  </r>
  <r>
    <x v="15"/>
    <x v="49"/>
    <x v="208"/>
    <x v="6"/>
    <x v="40"/>
    <x v="14"/>
    <x v="26"/>
    <x v="0"/>
    <x v="2"/>
    <x v="1"/>
  </r>
  <r>
    <x v="15"/>
    <x v="104"/>
    <x v="211"/>
    <x v="3"/>
    <x v="277"/>
    <x v="84"/>
    <x v="217"/>
    <x v="0"/>
    <x v="2"/>
    <x v="1"/>
  </r>
  <r>
    <x v="15"/>
    <x v="144"/>
    <x v="214"/>
    <x v="6"/>
    <x v="37"/>
    <x v="14"/>
    <x v="23"/>
    <x v="0"/>
    <x v="5"/>
    <x v="1"/>
  </r>
  <r>
    <x v="15"/>
    <x v="214"/>
    <x v="457"/>
    <x v="2"/>
    <x v="155"/>
    <x v="68"/>
    <x v="93"/>
    <x v="0"/>
    <x v="4"/>
    <x v="1"/>
  </r>
  <r>
    <x v="16"/>
    <x v="252"/>
    <x v="232"/>
    <x v="7"/>
    <x v="125"/>
    <x v="54"/>
    <x v="100"/>
    <x v="0"/>
    <x v="2"/>
    <x v="1"/>
  </r>
  <r>
    <x v="16"/>
    <x v="8"/>
    <x v="223"/>
    <x v="5"/>
    <x v="106"/>
    <x v="41"/>
    <x v="88"/>
    <x v="0"/>
    <x v="2"/>
    <x v="1"/>
  </r>
  <r>
    <x v="16"/>
    <x v="269"/>
    <x v="233"/>
    <x v="3"/>
    <x v="216"/>
    <x v="80"/>
    <x v="129"/>
    <x v="0"/>
    <x v="2"/>
    <x v="1"/>
  </r>
  <r>
    <x v="16"/>
    <x v="293"/>
    <x v="235"/>
    <x v="4"/>
    <x v="1"/>
    <x v="2"/>
    <x v="7"/>
    <x v="0"/>
    <x v="2"/>
    <x v="1"/>
  </r>
  <r>
    <x v="16"/>
    <x v="302"/>
    <x v="236"/>
    <x v="3"/>
    <x v="250"/>
    <x v="83"/>
    <x v="171"/>
    <x v="0"/>
    <x v="2"/>
    <x v="1"/>
  </r>
  <r>
    <x v="16"/>
    <x v="281"/>
    <x v="234"/>
    <x v="6"/>
    <x v="20"/>
    <x v="12"/>
    <x v="8"/>
    <x v="0"/>
    <x v="2"/>
    <x v="1"/>
  </r>
  <r>
    <x v="16"/>
    <x v="90"/>
    <x v="228"/>
    <x v="8"/>
    <x v="80"/>
    <x v="28"/>
    <x v="56"/>
    <x v="0"/>
    <x v="2"/>
    <x v="1"/>
  </r>
  <r>
    <x v="16"/>
    <x v="178"/>
    <x v="230"/>
    <x v="6"/>
    <x v="43"/>
    <x v="13"/>
    <x v="30"/>
    <x v="0"/>
    <x v="2"/>
    <x v="1"/>
  </r>
  <r>
    <x v="16"/>
    <x v="118"/>
    <x v="229"/>
    <x v="7"/>
    <x v="227"/>
    <x v="57"/>
    <x v="211"/>
    <x v="0"/>
    <x v="2"/>
    <x v="1"/>
  </r>
  <r>
    <x v="16"/>
    <x v="17"/>
    <x v="224"/>
    <x v="7"/>
    <x v="211"/>
    <x v="56"/>
    <x v="193"/>
    <x v="0"/>
    <x v="2"/>
    <x v="1"/>
  </r>
  <r>
    <x v="16"/>
    <x v="38"/>
    <x v="225"/>
    <x v="2"/>
    <x v="133"/>
    <x v="79"/>
    <x v="31"/>
    <x v="0"/>
    <x v="2"/>
    <x v="1"/>
  </r>
  <r>
    <x v="16"/>
    <x v="211"/>
    <x v="231"/>
    <x v="4"/>
    <x v="7"/>
    <x v="3"/>
    <x v="12"/>
    <x v="0"/>
    <x v="2"/>
    <x v="1"/>
  </r>
  <r>
    <x v="14"/>
    <x v="236"/>
    <x v="201"/>
    <x v="1"/>
    <x v="18"/>
    <x v="12"/>
    <x v="6"/>
    <x v="0"/>
    <x v="1"/>
    <x v="1"/>
  </r>
  <r>
    <x v="16"/>
    <x v="79"/>
    <x v="227"/>
    <x v="1"/>
    <x v="39"/>
    <x v="12"/>
    <x v="27"/>
    <x v="0"/>
    <x v="2"/>
    <x v="1"/>
  </r>
  <r>
    <x v="16"/>
    <x v="64"/>
    <x v="226"/>
    <x v="3"/>
    <x v="243"/>
    <x v="83"/>
    <x v="158"/>
    <x v="0"/>
    <x v="2"/>
    <x v="1"/>
  </r>
  <r>
    <x v="17"/>
    <x v="111"/>
    <x v="243"/>
    <x v="2"/>
    <x v="276"/>
    <x v="78"/>
    <x v="215"/>
    <x v="0"/>
    <x v="2"/>
    <x v="1"/>
  </r>
  <r>
    <x v="17"/>
    <x v="89"/>
    <x v="240"/>
    <x v="8"/>
    <x v="79"/>
    <x v="28"/>
    <x v="55"/>
    <x v="0"/>
    <x v="2"/>
    <x v="1"/>
  </r>
  <r>
    <x v="17"/>
    <x v="116"/>
    <x v="241"/>
    <x v="7"/>
    <x v="135"/>
    <x v="53"/>
    <x v="115"/>
    <x v="0"/>
    <x v="2"/>
    <x v="1"/>
  </r>
  <r>
    <x v="17"/>
    <x v="49"/>
    <x v="238"/>
    <x v="7"/>
    <x v="169"/>
    <x v="61"/>
    <x v="136"/>
    <x v="0"/>
    <x v="2"/>
    <x v="1"/>
  </r>
  <r>
    <x v="17"/>
    <x v="15"/>
    <x v="237"/>
    <x v="7"/>
    <x v="189"/>
    <x v="61"/>
    <x v="166"/>
    <x v="0"/>
    <x v="2"/>
    <x v="1"/>
  </r>
  <r>
    <x v="17"/>
    <x v="119"/>
    <x v="242"/>
    <x v="3"/>
    <x v="264"/>
    <x v="83"/>
    <x v="195"/>
    <x v="0"/>
    <x v="2"/>
    <x v="1"/>
  </r>
  <r>
    <x v="17"/>
    <x v="74"/>
    <x v="239"/>
    <x v="1"/>
    <x v="37"/>
    <x v="12"/>
    <x v="25"/>
    <x v="0"/>
    <x v="2"/>
    <x v="1"/>
  </r>
  <r>
    <x v="14"/>
    <x v="85"/>
    <x v="193"/>
    <x v="8"/>
    <x v="57"/>
    <x v="28"/>
    <x v="30"/>
    <x v="0"/>
    <x v="2"/>
    <x v="1"/>
  </r>
  <r>
    <x v="14"/>
    <x v="107"/>
    <x v="194"/>
    <x v="2"/>
    <x v="195"/>
    <x v="71"/>
    <x v="126"/>
    <x v="0"/>
    <x v="2"/>
    <x v="1"/>
  </r>
  <r>
    <x v="15"/>
    <x v="69"/>
    <x v="209"/>
    <x v="1"/>
    <x v="29"/>
    <x v="8"/>
    <x v="22"/>
    <x v="0"/>
    <x v="2"/>
    <x v="1"/>
  </r>
  <r>
    <x v="17"/>
    <x v="233"/>
    <x v="5"/>
    <x v="2"/>
    <x v="153"/>
    <x v="73"/>
    <x v="84"/>
    <x v="0"/>
    <x v="3"/>
    <x v="1"/>
  </r>
  <r>
    <x v="17"/>
    <x v="268"/>
    <x v="249"/>
    <x v="7"/>
    <x v="124"/>
    <x v="56"/>
    <x v="99"/>
    <x v="0"/>
    <x v="2"/>
    <x v="1"/>
  </r>
  <r>
    <x v="17"/>
    <x v="304"/>
    <x v="251"/>
    <x v="3"/>
    <x v="238"/>
    <x v="86"/>
    <x v="143"/>
    <x v="0"/>
    <x v="2"/>
    <x v="1"/>
  </r>
  <r>
    <x v="17"/>
    <x v="218"/>
    <x v="248"/>
    <x v="6"/>
    <x v="45"/>
    <x v="21"/>
    <x v="24"/>
    <x v="0"/>
    <x v="5"/>
    <x v="1"/>
  </r>
  <r>
    <x v="17"/>
    <x v="166"/>
    <x v="246"/>
    <x v="6"/>
    <x v="31"/>
    <x v="14"/>
    <x v="17"/>
    <x v="0"/>
    <x v="5"/>
    <x v="1"/>
  </r>
  <r>
    <x v="17"/>
    <x v="136"/>
    <x v="244"/>
    <x v="6"/>
    <x v="43"/>
    <x v="14"/>
    <x v="29"/>
    <x v="0"/>
    <x v="5"/>
    <x v="1"/>
  </r>
  <r>
    <x v="17"/>
    <x v="141"/>
    <x v="245"/>
    <x v="4"/>
    <x v="6"/>
    <x v="4"/>
    <x v="10"/>
    <x v="0"/>
    <x v="2"/>
    <x v="1"/>
  </r>
  <r>
    <x v="17"/>
    <x v="285"/>
    <x v="250"/>
    <x v="4"/>
    <x v="5"/>
    <x v="1"/>
    <x v="12"/>
    <x v="0"/>
    <x v="2"/>
    <x v="1"/>
  </r>
  <r>
    <x v="17"/>
    <x v="186"/>
    <x v="247"/>
    <x v="4"/>
    <x v="6"/>
    <x v="3"/>
    <x v="11"/>
    <x v="0"/>
    <x v="2"/>
    <x v="1"/>
  </r>
  <r>
    <x v="18"/>
    <x v="114"/>
    <x v="256"/>
    <x v="2"/>
    <x v="222"/>
    <x v="82"/>
    <x v="133"/>
    <x v="0"/>
    <x v="2"/>
    <x v="1"/>
  </r>
  <r>
    <x v="18"/>
    <x v="81"/>
    <x v="254"/>
    <x v="1"/>
    <x v="25"/>
    <x v="14"/>
    <x v="11"/>
    <x v="0"/>
    <x v="2"/>
    <x v="1"/>
  </r>
  <r>
    <x v="18"/>
    <x v="25"/>
    <x v="253"/>
    <x v="7"/>
    <x v="196"/>
    <x v="56"/>
    <x v="175"/>
    <x v="0"/>
    <x v="2"/>
    <x v="1"/>
  </r>
  <r>
    <x v="18"/>
    <x v="83"/>
    <x v="255"/>
    <x v="8"/>
    <x v="77"/>
    <x v="29"/>
    <x v="52"/>
    <x v="0"/>
    <x v="2"/>
    <x v="1"/>
  </r>
  <r>
    <x v="18"/>
    <x v="127"/>
    <x v="258"/>
    <x v="7"/>
    <x v="192"/>
    <x v="54"/>
    <x v="173"/>
    <x v="0"/>
    <x v="2"/>
    <x v="1"/>
  </r>
  <r>
    <x v="18"/>
    <x v="4"/>
    <x v="252"/>
    <x v="5"/>
    <x v="95"/>
    <x v="41"/>
    <x v="50"/>
    <x v="0"/>
    <x v="2"/>
    <x v="1"/>
  </r>
  <r>
    <x v="11"/>
    <x v="314"/>
    <x v="465"/>
    <x v="7"/>
    <x v="218"/>
    <x v="60"/>
    <x v="194"/>
    <x v="0"/>
    <x v="2"/>
    <x v="0"/>
  </r>
  <r>
    <x v="18"/>
    <x v="306"/>
    <x v="265"/>
    <x v="3"/>
    <x v="246"/>
    <x v="90"/>
    <x v="162"/>
    <x v="0"/>
    <x v="2"/>
    <x v="1"/>
  </r>
  <r>
    <x v="18"/>
    <x v="139"/>
    <x v="259"/>
    <x v="6"/>
    <x v="42"/>
    <x v="17"/>
    <x v="25"/>
    <x v="0"/>
    <x v="5"/>
    <x v="1"/>
  </r>
  <r>
    <x v="18"/>
    <x v="170"/>
    <x v="260"/>
    <x v="4"/>
    <x v="5"/>
    <x v="3"/>
    <x v="10"/>
    <x v="0"/>
    <x v="2"/>
    <x v="1"/>
  </r>
  <r>
    <x v="18"/>
    <x v="262"/>
    <x v="263"/>
    <x v="7"/>
    <x v="108"/>
    <x v="56"/>
    <x v="77"/>
    <x v="0"/>
    <x v="2"/>
    <x v="1"/>
  </r>
  <r>
    <x v="18"/>
    <x v="281"/>
    <x v="264"/>
    <x v="4"/>
    <x v="4"/>
    <x v="3"/>
    <x v="9"/>
    <x v="0"/>
    <x v="2"/>
    <x v="1"/>
  </r>
  <r>
    <x v="18"/>
    <x v="171"/>
    <x v="261"/>
    <x v="6"/>
    <x v="31"/>
    <x v="16"/>
    <x v="15"/>
    <x v="0"/>
    <x v="2"/>
    <x v="1"/>
  </r>
  <r>
    <x v="18"/>
    <x v="198"/>
    <x v="262"/>
    <x v="6"/>
    <x v="34"/>
    <x v="21"/>
    <x v="13"/>
    <x v="0"/>
    <x v="5"/>
    <x v="1"/>
  </r>
  <r>
    <x v="18"/>
    <x v="229"/>
    <x v="458"/>
    <x v="2"/>
    <x v="143"/>
    <x v="70"/>
    <x v="70"/>
    <x v="0"/>
    <x v="4"/>
    <x v="1"/>
  </r>
  <r>
    <x v="19"/>
    <x v="124"/>
    <x v="272"/>
    <x v="7"/>
    <x v="203"/>
    <x v="56"/>
    <x v="184"/>
    <x v="0"/>
    <x v="2"/>
    <x v="1"/>
  </r>
  <r>
    <x v="19"/>
    <x v="26"/>
    <x v="266"/>
    <x v="7"/>
    <x v="204"/>
    <x v="56"/>
    <x v="185"/>
    <x v="0"/>
    <x v="2"/>
    <x v="1"/>
  </r>
  <r>
    <x v="19"/>
    <x v="71"/>
    <x v="269"/>
    <x v="6"/>
    <x v="41"/>
    <x v="15"/>
    <x v="26"/>
    <x v="0"/>
    <x v="2"/>
    <x v="1"/>
  </r>
  <r>
    <x v="19"/>
    <x v="35"/>
    <x v="267"/>
    <x v="6"/>
    <x v="37"/>
    <x v="15"/>
    <x v="22"/>
    <x v="0"/>
    <x v="2"/>
    <x v="1"/>
  </r>
  <r>
    <x v="19"/>
    <x v="115"/>
    <x v="271"/>
    <x v="3"/>
    <x v="178"/>
    <x v="88"/>
    <x v="120"/>
    <x v="0"/>
    <x v="2"/>
    <x v="1"/>
  </r>
  <r>
    <x v="19"/>
    <x v="59"/>
    <x v="268"/>
    <x v="3"/>
    <x v="280"/>
    <x v="89"/>
    <x v="219"/>
    <x v="0"/>
    <x v="2"/>
    <x v="1"/>
  </r>
  <r>
    <x v="19"/>
    <x v="74"/>
    <x v="270"/>
    <x v="1"/>
    <x v="44"/>
    <x v="17"/>
    <x v="27"/>
    <x v="0"/>
    <x v="2"/>
    <x v="1"/>
  </r>
  <r>
    <x v="19"/>
    <x v="150"/>
    <x v="273"/>
    <x v="6"/>
    <x v="36"/>
    <x v="16"/>
    <x v="20"/>
    <x v="0"/>
    <x v="5"/>
    <x v="1"/>
  </r>
  <r>
    <x v="19"/>
    <x v="205"/>
    <x v="275"/>
    <x v="6"/>
    <x v="28"/>
    <x v="19"/>
    <x v="9"/>
    <x v="0"/>
    <x v="5"/>
    <x v="1"/>
  </r>
  <r>
    <x v="19"/>
    <x v="175"/>
    <x v="274"/>
    <x v="6"/>
    <x v="27"/>
    <x v="15"/>
    <x v="12"/>
    <x v="0"/>
    <x v="2"/>
    <x v="1"/>
  </r>
  <r>
    <x v="19"/>
    <x v="239"/>
    <x v="277"/>
    <x v="1"/>
    <x v="18"/>
    <x v="12"/>
    <x v="6"/>
    <x v="0"/>
    <x v="1"/>
    <x v="1"/>
  </r>
  <r>
    <x v="19"/>
    <x v="215"/>
    <x v="276"/>
    <x v="4"/>
    <x v="11"/>
    <x v="4"/>
    <x v="15"/>
    <x v="0"/>
    <x v="2"/>
    <x v="1"/>
  </r>
  <r>
    <x v="19"/>
    <x v="301"/>
    <x v="280"/>
    <x v="3"/>
    <x v="236"/>
    <x v="76"/>
    <x v="149"/>
    <x v="0"/>
    <x v="2"/>
    <x v="1"/>
  </r>
  <r>
    <x v="19"/>
    <x v="246"/>
    <x v="278"/>
    <x v="7"/>
    <x v="100"/>
    <x v="53"/>
    <x v="61"/>
    <x v="0"/>
    <x v="2"/>
    <x v="1"/>
  </r>
  <r>
    <x v="19"/>
    <x v="289"/>
    <x v="279"/>
    <x v="4"/>
    <x v="3"/>
    <x v="2"/>
    <x v="9"/>
    <x v="0"/>
    <x v="2"/>
    <x v="1"/>
  </r>
  <r>
    <x v="20"/>
    <x v="124"/>
    <x v="285"/>
    <x v="3"/>
    <x v="191"/>
    <x v="83"/>
    <x v="123"/>
    <x v="0"/>
    <x v="2"/>
    <x v="1"/>
  </r>
  <r>
    <x v="20"/>
    <x v="28"/>
    <x v="281"/>
    <x v="7"/>
    <x v="211"/>
    <x v="54"/>
    <x v="194"/>
    <x v="0"/>
    <x v="2"/>
    <x v="1"/>
  </r>
  <r>
    <x v="20"/>
    <x v="54"/>
    <x v="282"/>
    <x v="8"/>
    <x v="69"/>
    <x v="25"/>
    <x v="46"/>
    <x v="0"/>
    <x v="2"/>
    <x v="1"/>
  </r>
  <r>
    <x v="20"/>
    <x v="85"/>
    <x v="284"/>
    <x v="8"/>
    <x v="58"/>
    <x v="31"/>
    <x v="26"/>
    <x v="0"/>
    <x v="2"/>
    <x v="1"/>
  </r>
  <r>
    <x v="20"/>
    <x v="123"/>
    <x v="286"/>
    <x v="7"/>
    <x v="215"/>
    <x v="53"/>
    <x v="197"/>
    <x v="0"/>
    <x v="2"/>
    <x v="1"/>
  </r>
  <r>
    <x v="20"/>
    <x v="57"/>
    <x v="283"/>
    <x v="3"/>
    <x v="263"/>
    <x v="84"/>
    <x v="194"/>
    <x v="0"/>
    <x v="2"/>
    <x v="1"/>
  </r>
  <r>
    <x v="20"/>
    <x v="244"/>
    <x v="290"/>
    <x v="1"/>
    <x v="32"/>
    <x v="11"/>
    <x v="21"/>
    <x v="0"/>
    <x v="1"/>
    <x v="1"/>
  </r>
  <r>
    <x v="20"/>
    <x v="304"/>
    <x v="294"/>
    <x v="3"/>
    <x v="255"/>
    <x v="81"/>
    <x v="185"/>
    <x v="0"/>
    <x v="2"/>
    <x v="1"/>
  </r>
  <r>
    <x v="20"/>
    <x v="249"/>
    <x v="291"/>
    <x v="7"/>
    <x v="106"/>
    <x v="56"/>
    <x v="75"/>
    <x v="0"/>
    <x v="2"/>
    <x v="1"/>
  </r>
  <r>
    <x v="20"/>
    <x v="281"/>
    <x v="292"/>
    <x v="4"/>
    <x v="3"/>
    <x v="1"/>
    <x v="10"/>
    <x v="0"/>
    <x v="2"/>
    <x v="1"/>
  </r>
  <r>
    <x v="20"/>
    <x v="279"/>
    <x v="293"/>
    <x v="6"/>
    <x v="15"/>
    <x v="13"/>
    <x v="3"/>
    <x v="0"/>
    <x v="2"/>
    <x v="1"/>
  </r>
  <r>
    <x v="20"/>
    <x v="212"/>
    <x v="289"/>
    <x v="4"/>
    <x v="8"/>
    <x v="2"/>
    <x v="14"/>
    <x v="0"/>
    <x v="2"/>
    <x v="1"/>
  </r>
  <r>
    <x v="20"/>
    <x v="203"/>
    <x v="288"/>
    <x v="6"/>
    <x v="32"/>
    <x v="15"/>
    <x v="17"/>
    <x v="0"/>
    <x v="2"/>
    <x v="1"/>
  </r>
  <r>
    <x v="20"/>
    <x v="134"/>
    <x v="287"/>
    <x v="6"/>
    <x v="14"/>
    <x v="15"/>
    <x v="0"/>
    <x v="0"/>
    <x v="5"/>
    <x v="1"/>
  </r>
  <r>
    <x v="20"/>
    <x v="245"/>
    <x v="459"/>
    <x v="2"/>
    <x v="137"/>
    <x v="67"/>
    <x v="57"/>
    <x v="0"/>
    <x v="4"/>
    <x v="1"/>
  </r>
  <r>
    <x v="21"/>
    <x v="113"/>
    <x v="299"/>
    <x v="2"/>
    <x v="231"/>
    <x v="74"/>
    <x v="141"/>
    <x v="0"/>
    <x v="2"/>
    <x v="1"/>
  </r>
  <r>
    <x v="21"/>
    <x v="118"/>
    <x v="300"/>
    <x v="3"/>
    <x v="290"/>
    <x v="85"/>
    <x v="229"/>
    <x v="0"/>
    <x v="2"/>
    <x v="1"/>
  </r>
  <r>
    <x v="21"/>
    <x v="87"/>
    <x v="298"/>
    <x v="8"/>
    <x v="81"/>
    <x v="28"/>
    <x v="58"/>
    <x v="0"/>
    <x v="2"/>
    <x v="1"/>
  </r>
  <r>
    <x v="21"/>
    <x v="121"/>
    <x v="301"/>
    <x v="7"/>
    <x v="220"/>
    <x v="57"/>
    <x v="202"/>
    <x v="0"/>
    <x v="2"/>
    <x v="1"/>
  </r>
  <r>
    <x v="21"/>
    <x v="18"/>
    <x v="296"/>
    <x v="7"/>
    <x v="200"/>
    <x v="64"/>
    <x v="172"/>
    <x v="0"/>
    <x v="2"/>
    <x v="1"/>
  </r>
  <r>
    <x v="21"/>
    <x v="82"/>
    <x v="297"/>
    <x v="1"/>
    <x v="33"/>
    <x v="13"/>
    <x v="20"/>
    <x v="0"/>
    <x v="2"/>
    <x v="1"/>
  </r>
  <r>
    <x v="21"/>
    <x v="6"/>
    <x v="295"/>
    <x v="5"/>
    <x v="131"/>
    <x v="46"/>
    <x v="114"/>
    <x v="0"/>
    <x v="2"/>
    <x v="1"/>
  </r>
  <r>
    <x v="21"/>
    <x v="220"/>
    <x v="6"/>
    <x v="2"/>
    <x v="158"/>
    <x v="73"/>
    <x v="95"/>
    <x v="0"/>
    <x v="3"/>
    <x v="1"/>
  </r>
  <r>
    <x v="21"/>
    <x v="176"/>
    <x v="303"/>
    <x v="6"/>
    <x v="35"/>
    <x v="21"/>
    <x v="14"/>
    <x v="0"/>
    <x v="2"/>
    <x v="1"/>
  </r>
  <r>
    <x v="21"/>
    <x v="153"/>
    <x v="302"/>
    <x v="6"/>
    <x v="47"/>
    <x v="22"/>
    <x v="25"/>
    <x v="0"/>
    <x v="2"/>
    <x v="1"/>
  </r>
  <r>
    <x v="21"/>
    <x v="181"/>
    <x v="304"/>
    <x v="1"/>
    <x v="30"/>
    <x v="7"/>
    <x v="24"/>
    <x v="0"/>
    <x v="1"/>
    <x v="1"/>
  </r>
  <r>
    <x v="21"/>
    <x v="204"/>
    <x v="305"/>
    <x v="6"/>
    <x v="31"/>
    <x v="21"/>
    <x v="10"/>
    <x v="0"/>
    <x v="5"/>
    <x v="1"/>
  </r>
  <r>
    <x v="21"/>
    <x v="214"/>
    <x v="306"/>
    <x v="4"/>
    <x v="7"/>
    <x v="2"/>
    <x v="13"/>
    <x v="0"/>
    <x v="2"/>
    <x v="1"/>
  </r>
  <r>
    <x v="21"/>
    <x v="276"/>
    <x v="308"/>
    <x v="6"/>
    <x v="23"/>
    <x v="14"/>
    <x v="9"/>
    <x v="0"/>
    <x v="2"/>
    <x v="1"/>
  </r>
  <r>
    <x v="21"/>
    <x v="305"/>
    <x v="310"/>
    <x v="3"/>
    <x v="259"/>
    <x v="83"/>
    <x v="188"/>
    <x v="0"/>
    <x v="2"/>
    <x v="1"/>
  </r>
  <r>
    <x v="21"/>
    <x v="257"/>
    <x v="307"/>
    <x v="7"/>
    <x v="119"/>
    <x v="54"/>
    <x v="94"/>
    <x v="0"/>
    <x v="2"/>
    <x v="1"/>
  </r>
  <r>
    <x v="21"/>
    <x v="281"/>
    <x v="309"/>
    <x v="4"/>
    <x v="3"/>
    <x v="3"/>
    <x v="8"/>
    <x v="0"/>
    <x v="2"/>
    <x v="1"/>
  </r>
  <r>
    <x v="22"/>
    <x v="154"/>
    <x v="460"/>
    <x v="0"/>
    <x v="147"/>
    <x v="66"/>
    <x v="79"/>
    <x v="0"/>
    <x v="4"/>
    <x v="1"/>
  </r>
  <r>
    <x v="22"/>
    <x v="224"/>
    <x v="461"/>
    <x v="2"/>
    <x v="139"/>
    <x v="66"/>
    <x v="65"/>
    <x v="0"/>
    <x v="4"/>
    <x v="1"/>
  </r>
  <r>
    <x v="22"/>
    <x v="110"/>
    <x v="315"/>
    <x v="2"/>
    <x v="234"/>
    <x v="71"/>
    <x v="151"/>
    <x v="0"/>
    <x v="2"/>
    <x v="1"/>
  </r>
  <r>
    <x v="22"/>
    <x v="123"/>
    <x v="316"/>
    <x v="7"/>
    <x v="207"/>
    <x v="52"/>
    <x v="191"/>
    <x v="0"/>
    <x v="2"/>
    <x v="1"/>
  </r>
  <r>
    <x v="22"/>
    <x v="199"/>
    <x v="320"/>
    <x v="6"/>
    <x v="31"/>
    <x v="15"/>
    <x v="16"/>
    <x v="0"/>
    <x v="5"/>
    <x v="1"/>
  </r>
  <r>
    <x v="22"/>
    <x v="291"/>
    <x v="323"/>
    <x v="4"/>
    <x v="9"/>
    <x v="3"/>
    <x v="14"/>
    <x v="0"/>
    <x v="2"/>
    <x v="1"/>
  </r>
  <r>
    <x v="22"/>
    <x v="310"/>
    <x v="324"/>
    <x v="3"/>
    <x v="256"/>
    <x v="82"/>
    <x v="186"/>
    <x v="0"/>
    <x v="2"/>
    <x v="1"/>
  </r>
  <r>
    <x v="22"/>
    <x v="259"/>
    <x v="322"/>
    <x v="7"/>
    <x v="115"/>
    <x v="57"/>
    <x v="87"/>
    <x v="0"/>
    <x v="2"/>
    <x v="1"/>
  </r>
  <r>
    <x v="22"/>
    <x v="169"/>
    <x v="318"/>
    <x v="0"/>
    <x v="154"/>
    <x v="85"/>
    <x v="77"/>
    <x v="0"/>
    <x v="5"/>
    <x v="1"/>
  </r>
  <r>
    <x v="22"/>
    <x v="172"/>
    <x v="319"/>
    <x v="6"/>
    <x v="32"/>
    <x v="15"/>
    <x v="17"/>
    <x v="0"/>
    <x v="2"/>
    <x v="1"/>
  </r>
  <r>
    <x v="22"/>
    <x v="111"/>
    <x v="314"/>
    <x v="3"/>
    <x v="283"/>
    <x v="86"/>
    <x v="222"/>
    <x v="0"/>
    <x v="2"/>
    <x v="1"/>
  </r>
  <r>
    <x v="22"/>
    <x v="21"/>
    <x v="311"/>
    <x v="7"/>
    <x v="224"/>
    <x v="53"/>
    <x v="206"/>
    <x v="0"/>
    <x v="2"/>
    <x v="1"/>
  </r>
  <r>
    <x v="22"/>
    <x v="137"/>
    <x v="317"/>
    <x v="6"/>
    <x v="30"/>
    <x v="16"/>
    <x v="14"/>
    <x v="0"/>
    <x v="5"/>
    <x v="1"/>
  </r>
  <r>
    <x v="22"/>
    <x v="86"/>
    <x v="313"/>
    <x v="8"/>
    <x v="56"/>
    <x v="28"/>
    <x v="29"/>
    <x v="0"/>
    <x v="2"/>
    <x v="1"/>
  </r>
  <r>
    <x v="22"/>
    <x v="51"/>
    <x v="312"/>
    <x v="8"/>
    <x v="73"/>
    <x v="25"/>
    <x v="50"/>
    <x v="0"/>
    <x v="2"/>
    <x v="1"/>
  </r>
  <r>
    <x v="22"/>
    <x v="202"/>
    <x v="321"/>
    <x v="4"/>
    <x v="11"/>
    <x v="5"/>
    <x v="14"/>
    <x v="0"/>
    <x v="2"/>
    <x v="1"/>
  </r>
  <r>
    <x v="23"/>
    <x v="313"/>
    <x v="341"/>
    <x v="5"/>
    <x v="114"/>
    <x v="43"/>
    <x v="97"/>
    <x v="0"/>
    <x v="2"/>
    <x v="1"/>
  </r>
  <r>
    <x v="23"/>
    <x v="201"/>
    <x v="335"/>
    <x v="4"/>
    <x v="10"/>
    <x v="3"/>
    <x v="15"/>
    <x v="0"/>
    <x v="2"/>
    <x v="1"/>
  </r>
  <r>
    <x v="23"/>
    <x v="285"/>
    <x v="338"/>
    <x v="4"/>
    <x v="5"/>
    <x v="1"/>
    <x v="12"/>
    <x v="0"/>
    <x v="2"/>
    <x v="1"/>
  </r>
  <r>
    <x v="23"/>
    <x v="309"/>
    <x v="340"/>
    <x v="3"/>
    <x v="262"/>
    <x v="83"/>
    <x v="192"/>
    <x v="0"/>
    <x v="2"/>
    <x v="1"/>
  </r>
  <r>
    <x v="23"/>
    <x v="91"/>
    <x v="331"/>
    <x v="8"/>
    <x v="62"/>
    <x v="24"/>
    <x v="39"/>
    <x v="0"/>
    <x v="2"/>
    <x v="1"/>
  </r>
  <r>
    <x v="23"/>
    <x v="11"/>
    <x v="325"/>
    <x v="7"/>
    <x v="217"/>
    <x v="56"/>
    <x v="197"/>
    <x v="0"/>
    <x v="2"/>
    <x v="1"/>
  </r>
  <r>
    <x v="23"/>
    <x v="90"/>
    <x v="330"/>
    <x v="1"/>
    <x v="40"/>
    <x v="13"/>
    <x v="27"/>
    <x v="0"/>
    <x v="2"/>
    <x v="1"/>
  </r>
  <r>
    <x v="23"/>
    <x v="36"/>
    <x v="326"/>
    <x v="1"/>
    <x v="34"/>
    <x v="9"/>
    <x v="25"/>
    <x v="0"/>
    <x v="2"/>
    <x v="1"/>
  </r>
  <r>
    <x v="23"/>
    <x v="156"/>
    <x v="334"/>
    <x v="1"/>
    <x v="28"/>
    <x v="8"/>
    <x v="21"/>
    <x v="0"/>
    <x v="2"/>
    <x v="1"/>
  </r>
  <r>
    <x v="23"/>
    <x v="204"/>
    <x v="336"/>
    <x v="1"/>
    <x v="17"/>
    <x v="8"/>
    <x v="10"/>
    <x v="0"/>
    <x v="2"/>
    <x v="1"/>
  </r>
  <r>
    <x v="23"/>
    <x v="284"/>
    <x v="339"/>
    <x v="1"/>
    <x v="13"/>
    <x v="8"/>
    <x v="5"/>
    <x v="0"/>
    <x v="2"/>
    <x v="1"/>
  </r>
  <r>
    <x v="23"/>
    <x v="265"/>
    <x v="337"/>
    <x v="7"/>
    <x v="133"/>
    <x v="56"/>
    <x v="111"/>
    <x v="0"/>
    <x v="2"/>
    <x v="1"/>
  </r>
  <r>
    <x v="23"/>
    <x v="102"/>
    <x v="332"/>
    <x v="2"/>
    <x v="249"/>
    <x v="69"/>
    <x v="177"/>
    <x v="0"/>
    <x v="2"/>
    <x v="1"/>
  </r>
  <r>
    <x v="23"/>
    <x v="126"/>
    <x v="333"/>
    <x v="7"/>
    <x v="100"/>
    <x v="57"/>
    <x v="59"/>
    <x v="0"/>
    <x v="2"/>
    <x v="1"/>
  </r>
  <r>
    <x v="23"/>
    <x v="91"/>
    <x v="329"/>
    <x v="4"/>
    <x v="4"/>
    <x v="6"/>
    <x v="4"/>
    <x v="0"/>
    <x v="2"/>
    <x v="1"/>
  </r>
  <r>
    <x v="23"/>
    <x v="62"/>
    <x v="327"/>
    <x v="3"/>
    <x v="288"/>
    <x v="84"/>
    <x v="228"/>
    <x v="0"/>
    <x v="2"/>
    <x v="1"/>
  </r>
  <r>
    <x v="23"/>
    <x v="67"/>
    <x v="328"/>
    <x v="7"/>
    <x v="232"/>
    <x v="58"/>
    <x v="217"/>
    <x v="0"/>
    <x v="2"/>
    <x v="1"/>
  </r>
  <r>
    <x v="24"/>
    <x v="40"/>
    <x v="343"/>
    <x v="8"/>
    <x v="71"/>
    <x v="24"/>
    <x v="48"/>
    <x v="0"/>
    <x v="2"/>
    <x v="1"/>
  </r>
  <r>
    <x v="24"/>
    <x v="85"/>
    <x v="345"/>
    <x v="8"/>
    <x v="54"/>
    <x v="28"/>
    <x v="27"/>
    <x v="0"/>
    <x v="2"/>
    <x v="1"/>
  </r>
  <r>
    <x v="24"/>
    <x v="124"/>
    <x v="347"/>
    <x v="3"/>
    <x v="296"/>
    <x v="87"/>
    <x v="234"/>
    <x v="0"/>
    <x v="2"/>
    <x v="1"/>
  </r>
  <r>
    <x v="24"/>
    <x v="107"/>
    <x v="346"/>
    <x v="2"/>
    <x v="239"/>
    <x v="75"/>
    <x v="153"/>
    <x v="0"/>
    <x v="2"/>
    <x v="1"/>
  </r>
  <r>
    <x v="24"/>
    <x v="20"/>
    <x v="342"/>
    <x v="7"/>
    <x v="214"/>
    <x v="54"/>
    <x v="196"/>
    <x v="0"/>
    <x v="2"/>
    <x v="1"/>
  </r>
  <r>
    <x v="24"/>
    <x v="125"/>
    <x v="348"/>
    <x v="7"/>
    <x v="208"/>
    <x v="52"/>
    <x v="192"/>
    <x v="0"/>
    <x v="2"/>
    <x v="1"/>
  </r>
  <r>
    <x v="24"/>
    <x v="79"/>
    <x v="344"/>
    <x v="1"/>
    <x v="21"/>
    <x v="13"/>
    <x v="8"/>
    <x v="0"/>
    <x v="2"/>
    <x v="1"/>
  </r>
  <r>
    <x v="24"/>
    <x v="195"/>
    <x v="351"/>
    <x v="4"/>
    <x v="5"/>
    <x v="2"/>
    <x v="11"/>
    <x v="0"/>
    <x v="2"/>
    <x v="1"/>
  </r>
  <r>
    <x v="24"/>
    <x v="283"/>
    <x v="354"/>
    <x v="4"/>
    <x v="4"/>
    <x v="3"/>
    <x v="9"/>
    <x v="0"/>
    <x v="2"/>
    <x v="1"/>
  </r>
  <r>
    <x v="24"/>
    <x v="308"/>
    <x v="355"/>
    <x v="3"/>
    <x v="252"/>
    <x v="91"/>
    <x v="169"/>
    <x v="0"/>
    <x v="2"/>
    <x v="1"/>
  </r>
  <r>
    <x v="24"/>
    <x v="215"/>
    <x v="352"/>
    <x v="9"/>
    <x v="91"/>
    <x v="33"/>
    <x v="41"/>
    <x v="0"/>
    <x v="5"/>
    <x v="1"/>
  </r>
  <r>
    <x v="24"/>
    <x v="155"/>
    <x v="350"/>
    <x v="9"/>
    <x v="84"/>
    <x v="33"/>
    <x v="33"/>
    <x v="0"/>
    <x v="5"/>
    <x v="1"/>
  </r>
  <r>
    <x v="24"/>
    <x v="138"/>
    <x v="349"/>
    <x v="4"/>
    <x v="4"/>
    <x v="2"/>
    <x v="10"/>
    <x v="0"/>
    <x v="2"/>
    <x v="1"/>
  </r>
  <r>
    <x v="24"/>
    <x v="266"/>
    <x v="353"/>
    <x v="7"/>
    <x v="129"/>
    <x v="57"/>
    <x v="106"/>
    <x v="0"/>
    <x v="2"/>
    <x v="1"/>
  </r>
  <r>
    <x v="24"/>
    <x v="231"/>
    <x v="7"/>
    <x v="2"/>
    <x v="157"/>
    <x v="85"/>
    <x v="86"/>
    <x v="0"/>
    <x v="3"/>
    <x v="1"/>
  </r>
  <r>
    <x v="25"/>
    <x v="110"/>
    <x v="360"/>
    <x v="2"/>
    <x v="228"/>
    <x v="72"/>
    <x v="139"/>
    <x v="0"/>
    <x v="2"/>
    <x v="1"/>
  </r>
  <r>
    <x v="25"/>
    <x v="84"/>
    <x v="359"/>
    <x v="8"/>
    <x v="76"/>
    <x v="29"/>
    <x v="51"/>
    <x v="0"/>
    <x v="2"/>
    <x v="1"/>
  </r>
  <r>
    <x v="25"/>
    <x v="7"/>
    <x v="356"/>
    <x v="5"/>
    <x v="96"/>
    <x v="43"/>
    <x v="49"/>
    <x v="0"/>
    <x v="2"/>
    <x v="1"/>
  </r>
  <r>
    <x v="25"/>
    <x v="76"/>
    <x v="358"/>
    <x v="1"/>
    <x v="38"/>
    <x v="12"/>
    <x v="26"/>
    <x v="0"/>
    <x v="2"/>
    <x v="1"/>
  </r>
  <r>
    <x v="25"/>
    <x v="130"/>
    <x v="362"/>
    <x v="3"/>
    <x v="293"/>
    <x v="92"/>
    <x v="231"/>
    <x v="0"/>
    <x v="2"/>
    <x v="1"/>
  </r>
  <r>
    <x v="25"/>
    <x v="114"/>
    <x v="361"/>
    <x v="7"/>
    <x v="219"/>
    <x v="55"/>
    <x v="201"/>
    <x v="0"/>
    <x v="2"/>
    <x v="1"/>
  </r>
  <r>
    <x v="25"/>
    <x v="23"/>
    <x v="357"/>
    <x v="7"/>
    <x v="209"/>
    <x v="57"/>
    <x v="191"/>
    <x v="0"/>
    <x v="2"/>
    <x v="1"/>
  </r>
  <r>
    <x v="25"/>
    <x v="200"/>
    <x v="365"/>
    <x v="9"/>
    <x v="82"/>
    <x v="32"/>
    <x v="5"/>
    <x v="0"/>
    <x v="5"/>
    <x v="1"/>
  </r>
  <r>
    <x v="25"/>
    <x v="287"/>
    <x v="368"/>
    <x v="4"/>
    <x v="1"/>
    <x v="3"/>
    <x v="6"/>
    <x v="0"/>
    <x v="2"/>
    <x v="1"/>
  </r>
  <r>
    <x v="25"/>
    <x v="143"/>
    <x v="363"/>
    <x v="4"/>
    <x v="4"/>
    <x v="3"/>
    <x v="9"/>
    <x v="0"/>
    <x v="2"/>
    <x v="1"/>
  </r>
  <r>
    <x v="25"/>
    <x v="213"/>
    <x v="366"/>
    <x v="4"/>
    <x v="5"/>
    <x v="3"/>
    <x v="10"/>
    <x v="0"/>
    <x v="2"/>
    <x v="1"/>
  </r>
  <r>
    <x v="25"/>
    <x v="309"/>
    <x v="369"/>
    <x v="3"/>
    <x v="259"/>
    <x v="90"/>
    <x v="183"/>
    <x v="0"/>
    <x v="2"/>
    <x v="1"/>
  </r>
  <r>
    <x v="25"/>
    <x v="164"/>
    <x v="364"/>
    <x v="9"/>
    <x v="86"/>
    <x v="32"/>
    <x v="36"/>
    <x v="0"/>
    <x v="1"/>
    <x v="1"/>
  </r>
  <r>
    <x v="25"/>
    <x v="207"/>
    <x v="462"/>
    <x v="2"/>
    <x v="142"/>
    <x v="67"/>
    <x v="71"/>
    <x v="0"/>
    <x v="4"/>
    <x v="1"/>
  </r>
  <r>
    <x v="26"/>
    <x v="95"/>
    <x v="375"/>
    <x v="8"/>
    <x v="53"/>
    <x v="31"/>
    <x v="20"/>
    <x v="0"/>
    <x v="2"/>
    <x v="1"/>
  </r>
  <r>
    <x v="26"/>
    <x v="116"/>
    <x v="376"/>
    <x v="3"/>
    <x v="183"/>
    <x v="86"/>
    <x v="121"/>
    <x v="0"/>
    <x v="2"/>
    <x v="1"/>
  </r>
  <r>
    <x v="26"/>
    <x v="66"/>
    <x v="373"/>
    <x v="8"/>
    <x v="75"/>
    <x v="25"/>
    <x v="51"/>
    <x v="0"/>
    <x v="2"/>
    <x v="1"/>
  </r>
  <r>
    <x v="26"/>
    <x v="61"/>
    <x v="372"/>
    <x v="7"/>
    <x v="173"/>
    <x v="54"/>
    <x v="150"/>
    <x v="0"/>
    <x v="2"/>
    <x v="1"/>
  </r>
  <r>
    <x v="26"/>
    <x v="22"/>
    <x v="370"/>
    <x v="7"/>
    <x v="204"/>
    <x v="55"/>
    <x v="186"/>
    <x v="0"/>
    <x v="2"/>
    <x v="1"/>
  </r>
  <r>
    <x v="26"/>
    <x v="52"/>
    <x v="371"/>
    <x v="3"/>
    <x v="291"/>
    <x v="89"/>
    <x v="230"/>
    <x v="0"/>
    <x v="2"/>
    <x v="1"/>
  </r>
  <r>
    <x v="26"/>
    <x v="80"/>
    <x v="374"/>
    <x v="7"/>
    <x v="132"/>
    <x v="53"/>
    <x v="112"/>
    <x v="0"/>
    <x v="2"/>
    <x v="1"/>
  </r>
  <r>
    <x v="26"/>
    <x v="221"/>
    <x v="385"/>
    <x v="0"/>
    <x v="299"/>
    <x v="65"/>
    <x v="238"/>
    <x v="0"/>
    <x v="0"/>
    <x v="1"/>
  </r>
  <r>
    <x v="26"/>
    <x v="210"/>
    <x v="382"/>
    <x v="0"/>
    <x v="298"/>
    <x v="65"/>
    <x v="237"/>
    <x v="0"/>
    <x v="0"/>
    <x v="1"/>
  </r>
  <r>
    <x v="26"/>
    <x v="191"/>
    <x v="381"/>
    <x v="0"/>
    <x v="292"/>
    <x v="65"/>
    <x v="236"/>
    <x v="0"/>
    <x v="0"/>
    <x v="1"/>
  </r>
  <r>
    <x v="26"/>
    <x v="179"/>
    <x v="380"/>
    <x v="0"/>
    <x v="268"/>
    <x v="65"/>
    <x v="216"/>
    <x v="0"/>
    <x v="0"/>
    <x v="1"/>
  </r>
  <r>
    <x v="26"/>
    <x v="148"/>
    <x v="378"/>
    <x v="0"/>
    <x v="229"/>
    <x v="65"/>
    <x v="153"/>
    <x v="0"/>
    <x v="0"/>
    <x v="1"/>
  </r>
  <r>
    <x v="26"/>
    <x v="205"/>
    <x v="383"/>
    <x v="9"/>
    <x v="82"/>
    <x v="35"/>
    <x v="3"/>
    <x v="0"/>
    <x v="1"/>
    <x v="1"/>
  </r>
  <r>
    <x v="26"/>
    <x v="167"/>
    <x v="379"/>
    <x v="9"/>
    <x v="87"/>
    <x v="36"/>
    <x v="34"/>
    <x v="0"/>
    <x v="5"/>
    <x v="1"/>
  </r>
  <r>
    <x v="26"/>
    <x v="140"/>
    <x v="377"/>
    <x v="4"/>
    <x v="4"/>
    <x v="3"/>
    <x v="9"/>
    <x v="0"/>
    <x v="2"/>
    <x v="1"/>
  </r>
  <r>
    <x v="26"/>
    <x v="211"/>
    <x v="384"/>
    <x v="4"/>
    <x v="10"/>
    <x v="4"/>
    <x v="14"/>
    <x v="0"/>
    <x v="2"/>
    <x v="1"/>
  </r>
  <r>
    <x v="26"/>
    <x v="295"/>
    <x v="387"/>
    <x v="6"/>
    <x v="25"/>
    <x v="12"/>
    <x v="13"/>
    <x v="0"/>
    <x v="2"/>
    <x v="1"/>
  </r>
  <r>
    <x v="26"/>
    <x v="271"/>
    <x v="386"/>
    <x v="4"/>
    <x v="9"/>
    <x v="2"/>
    <x v="15"/>
    <x v="0"/>
    <x v="2"/>
    <x v="1"/>
  </r>
  <r>
    <x v="27"/>
    <x v="75"/>
    <x v="393"/>
    <x v="6"/>
    <x v="39"/>
    <x v="14"/>
    <x v="25"/>
    <x v="0"/>
    <x v="2"/>
    <x v="1"/>
  </r>
  <r>
    <x v="27"/>
    <x v="44"/>
    <x v="390"/>
    <x v="6"/>
    <x v="40"/>
    <x v="14"/>
    <x v="26"/>
    <x v="0"/>
    <x v="2"/>
    <x v="1"/>
  </r>
  <r>
    <x v="27"/>
    <x v="47"/>
    <x v="391"/>
    <x v="3"/>
    <x v="285"/>
    <x v="86"/>
    <x v="225"/>
    <x v="0"/>
    <x v="2"/>
    <x v="1"/>
  </r>
  <r>
    <x v="27"/>
    <x v="131"/>
    <x v="396"/>
    <x v="3"/>
    <x v="265"/>
    <x v="85"/>
    <x v="196"/>
    <x v="0"/>
    <x v="2"/>
    <x v="1"/>
  </r>
  <r>
    <x v="27"/>
    <x v="42"/>
    <x v="389"/>
    <x v="7"/>
    <x v="187"/>
    <x v="55"/>
    <x v="167"/>
    <x v="0"/>
    <x v="2"/>
    <x v="1"/>
  </r>
  <r>
    <x v="27"/>
    <x v="9"/>
    <x v="388"/>
    <x v="7"/>
    <x v="199"/>
    <x v="62"/>
    <x v="172"/>
    <x v="0"/>
    <x v="2"/>
    <x v="1"/>
  </r>
  <r>
    <x v="27"/>
    <x v="62"/>
    <x v="392"/>
    <x v="1"/>
    <x v="21"/>
    <x v="9"/>
    <x v="12"/>
    <x v="0"/>
    <x v="2"/>
    <x v="1"/>
  </r>
  <r>
    <x v="27"/>
    <x v="93"/>
    <x v="394"/>
    <x v="1"/>
    <x v="32"/>
    <x v="18"/>
    <x v="14"/>
    <x v="0"/>
    <x v="2"/>
    <x v="1"/>
  </r>
  <r>
    <x v="27"/>
    <x v="117"/>
    <x v="395"/>
    <x v="7"/>
    <x v="152"/>
    <x v="55"/>
    <x v="126"/>
    <x v="0"/>
    <x v="2"/>
    <x v="1"/>
  </r>
  <r>
    <x v="27"/>
    <x v="168"/>
    <x v="399"/>
    <x v="4"/>
    <x v="10"/>
    <x v="1"/>
    <x v="17"/>
    <x v="0"/>
    <x v="2"/>
    <x v="1"/>
  </r>
  <r>
    <x v="27"/>
    <x v="163"/>
    <x v="398"/>
    <x v="6"/>
    <x v="41"/>
    <x v="13"/>
    <x v="28"/>
    <x v="0"/>
    <x v="2"/>
    <x v="1"/>
  </r>
  <r>
    <x v="27"/>
    <x v="161"/>
    <x v="397"/>
    <x v="0"/>
    <x v="271"/>
    <x v="65"/>
    <x v="218"/>
    <x v="0"/>
    <x v="0"/>
    <x v="1"/>
  </r>
  <r>
    <x v="27"/>
    <x v="256"/>
    <x v="401"/>
    <x v="7"/>
    <x v="121"/>
    <x v="52"/>
    <x v="98"/>
    <x v="0"/>
    <x v="2"/>
    <x v="1"/>
  </r>
  <r>
    <x v="27"/>
    <x v="303"/>
    <x v="404"/>
    <x v="3"/>
    <x v="281"/>
    <x v="88"/>
    <x v="220"/>
    <x v="0"/>
    <x v="2"/>
    <x v="1"/>
  </r>
  <r>
    <x v="27"/>
    <x v="278"/>
    <x v="402"/>
    <x v="6"/>
    <x v="29"/>
    <x v="14"/>
    <x v="15"/>
    <x v="0"/>
    <x v="2"/>
    <x v="1"/>
  </r>
  <r>
    <x v="27"/>
    <x v="243"/>
    <x v="400"/>
    <x v="1"/>
    <x v="24"/>
    <x v="13"/>
    <x v="11"/>
    <x v="0"/>
    <x v="1"/>
    <x v="1"/>
  </r>
  <r>
    <x v="27"/>
    <x v="282"/>
    <x v="403"/>
    <x v="4"/>
    <x v="5"/>
    <x v="1"/>
    <x v="12"/>
    <x v="0"/>
    <x v="2"/>
    <x v="1"/>
  </r>
  <r>
    <x v="28"/>
    <x v="79"/>
    <x v="410"/>
    <x v="8"/>
    <x v="55"/>
    <x v="27"/>
    <x v="29"/>
    <x v="0"/>
    <x v="2"/>
    <x v="1"/>
  </r>
  <r>
    <x v="28"/>
    <x v="52"/>
    <x v="408"/>
    <x v="8"/>
    <x v="70"/>
    <x v="24"/>
    <x v="47"/>
    <x v="0"/>
    <x v="2"/>
    <x v="1"/>
  </r>
  <r>
    <x v="28"/>
    <x v="10"/>
    <x v="406"/>
    <x v="7"/>
    <x v="194"/>
    <x v="60"/>
    <x v="170"/>
    <x v="0"/>
    <x v="2"/>
    <x v="1"/>
  </r>
  <r>
    <x v="28"/>
    <x v="41"/>
    <x v="407"/>
    <x v="7"/>
    <x v="177"/>
    <x v="53"/>
    <x v="156"/>
    <x v="0"/>
    <x v="2"/>
    <x v="1"/>
  </r>
  <r>
    <x v="28"/>
    <x v="121"/>
    <x v="412"/>
    <x v="7"/>
    <x v="130"/>
    <x v="52"/>
    <x v="110"/>
    <x v="0"/>
    <x v="2"/>
    <x v="1"/>
  </r>
  <r>
    <x v="28"/>
    <x v="5"/>
    <x v="405"/>
    <x v="5"/>
    <x v="124"/>
    <x v="41"/>
    <x v="109"/>
    <x v="0"/>
    <x v="2"/>
    <x v="1"/>
  </r>
  <r>
    <x v="28"/>
    <x v="120"/>
    <x v="413"/>
    <x v="3"/>
    <x v="297"/>
    <x v="90"/>
    <x v="235"/>
    <x v="0"/>
    <x v="2"/>
    <x v="1"/>
  </r>
  <r>
    <x v="28"/>
    <x v="78"/>
    <x v="409"/>
    <x v="1"/>
    <x v="31"/>
    <x v="13"/>
    <x v="18"/>
    <x v="0"/>
    <x v="2"/>
    <x v="1"/>
  </r>
  <r>
    <x v="28"/>
    <x v="109"/>
    <x v="411"/>
    <x v="2"/>
    <x v="282"/>
    <x v="79"/>
    <x v="221"/>
    <x v="0"/>
    <x v="2"/>
    <x v="1"/>
  </r>
  <r>
    <x v="28"/>
    <x v="151"/>
    <x v="414"/>
    <x v="6"/>
    <x v="33"/>
    <x v="14"/>
    <x v="19"/>
    <x v="0"/>
    <x v="2"/>
    <x v="1"/>
  </r>
  <r>
    <x v="28"/>
    <x v="208"/>
    <x v="417"/>
    <x v="6"/>
    <x v="18"/>
    <x v="14"/>
    <x v="4"/>
    <x v="0"/>
    <x v="2"/>
    <x v="1"/>
  </r>
  <r>
    <x v="28"/>
    <x v="203"/>
    <x v="416"/>
    <x v="4"/>
    <x v="3"/>
    <x v="2"/>
    <x v="9"/>
    <x v="0"/>
    <x v="2"/>
    <x v="1"/>
  </r>
  <r>
    <x v="28"/>
    <x v="216"/>
    <x v="418"/>
    <x v="9"/>
    <x v="83"/>
    <x v="34"/>
    <x v="5"/>
    <x v="0"/>
    <x v="5"/>
    <x v="1"/>
  </r>
  <r>
    <x v="28"/>
    <x v="158"/>
    <x v="415"/>
    <x v="9"/>
    <x v="88"/>
    <x v="35"/>
    <x v="35"/>
    <x v="0"/>
    <x v="5"/>
    <x v="1"/>
  </r>
  <r>
    <x v="28"/>
    <x v="233"/>
    <x v="8"/>
    <x v="2"/>
    <x v="161"/>
    <x v="73"/>
    <x v="101"/>
    <x v="0"/>
    <x v="3"/>
    <x v="1"/>
  </r>
  <r>
    <x v="27"/>
    <x v="232"/>
    <x v="463"/>
    <x v="3"/>
    <x v="144"/>
    <x v="78"/>
    <x v="66"/>
    <x v="0"/>
    <x v="4"/>
    <x v="1"/>
  </r>
  <r>
    <x v="28"/>
    <x v="258"/>
    <x v="420"/>
    <x v="7"/>
    <x v="127"/>
    <x v="55"/>
    <x v="103"/>
    <x v="0"/>
    <x v="2"/>
    <x v="1"/>
  </r>
  <r>
    <x v="28"/>
    <x v="286"/>
    <x v="421"/>
    <x v="4"/>
    <x v="7"/>
    <x v="3"/>
    <x v="12"/>
    <x v="0"/>
    <x v="2"/>
    <x v="1"/>
  </r>
  <r>
    <x v="28"/>
    <x v="242"/>
    <x v="419"/>
    <x v="1"/>
    <x v="26"/>
    <x v="13"/>
    <x v="13"/>
    <x v="0"/>
    <x v="1"/>
    <x v="1"/>
  </r>
  <r>
    <x v="28"/>
    <x v="311"/>
    <x v="422"/>
    <x v="3"/>
    <x v="276"/>
    <x v="93"/>
    <x v="207"/>
    <x v="0"/>
    <x v="2"/>
    <x v="1"/>
  </r>
  <r>
    <x v="29"/>
    <x v="206"/>
    <x v="433"/>
    <x v="4"/>
    <x v="6"/>
    <x v="3"/>
    <x v="11"/>
    <x v="0"/>
    <x v="2"/>
    <x v="1"/>
  </r>
  <r>
    <x v="29"/>
    <x v="122"/>
    <x v="430"/>
    <x v="3"/>
    <x v="287"/>
    <x v="93"/>
    <x v="224"/>
    <x v="0"/>
    <x v="2"/>
    <x v="1"/>
  </r>
  <r>
    <x v="29"/>
    <x v="97"/>
    <x v="427"/>
    <x v="1"/>
    <x v="25"/>
    <x v="12"/>
    <x v="13"/>
    <x v="0"/>
    <x v="2"/>
    <x v="1"/>
  </r>
  <r>
    <x v="29"/>
    <x v="177"/>
    <x v="431"/>
    <x v="9"/>
    <x v="85"/>
    <x v="33"/>
    <x v="34"/>
    <x v="0"/>
    <x v="5"/>
    <x v="1"/>
  </r>
  <r>
    <x v="29"/>
    <x v="183"/>
    <x v="432"/>
    <x v="6"/>
    <x v="39"/>
    <x v="13"/>
    <x v="26"/>
    <x v="0"/>
    <x v="2"/>
    <x v="1"/>
  </r>
  <r>
    <x v="29"/>
    <x v="53"/>
    <x v="424"/>
    <x v="7"/>
    <x v="186"/>
    <x v="56"/>
    <x v="166"/>
    <x v="0"/>
    <x v="2"/>
    <x v="1"/>
  </r>
  <r>
    <x v="29"/>
    <x v="116"/>
    <x v="428"/>
    <x v="7"/>
    <x v="136"/>
    <x v="55"/>
    <x v="116"/>
    <x v="0"/>
    <x v="2"/>
    <x v="1"/>
  </r>
  <r>
    <x v="29"/>
    <x v="58"/>
    <x v="425"/>
    <x v="8"/>
    <x v="74"/>
    <x v="23"/>
    <x v="52"/>
    <x v="0"/>
    <x v="2"/>
    <x v="1"/>
  </r>
  <r>
    <x v="29"/>
    <x v="13"/>
    <x v="423"/>
    <x v="7"/>
    <x v="205"/>
    <x v="63"/>
    <x v="181"/>
    <x v="0"/>
    <x v="2"/>
    <x v="1"/>
  </r>
  <r>
    <x v="29"/>
    <x v="89"/>
    <x v="426"/>
    <x v="8"/>
    <x v="56"/>
    <x v="27"/>
    <x v="30"/>
    <x v="0"/>
    <x v="2"/>
    <x v="1"/>
  </r>
  <r>
    <x v="29"/>
    <x v="118"/>
    <x v="429"/>
    <x v="2"/>
    <x v="242"/>
    <x v="73"/>
    <x v="159"/>
    <x v="0"/>
    <x v="2"/>
    <x v="1"/>
  </r>
  <r>
    <x v="29"/>
    <x v="260"/>
    <x v="434"/>
    <x v="7"/>
    <x v="117"/>
    <x v="52"/>
    <x v="93"/>
    <x v="0"/>
    <x v="2"/>
    <x v="1"/>
  </r>
  <r>
    <x v="29"/>
    <x v="289"/>
    <x v="435"/>
    <x v="4"/>
    <x v="8"/>
    <x v="2"/>
    <x v="14"/>
    <x v="0"/>
    <x v="2"/>
    <x v="1"/>
  </r>
  <r>
    <x v="29"/>
    <x v="310"/>
    <x v="436"/>
    <x v="3"/>
    <x v="275"/>
    <x v="86"/>
    <x v="209"/>
    <x v="0"/>
    <x v="2"/>
    <x v="1"/>
  </r>
  <r>
    <x v="29"/>
    <x v="225"/>
    <x v="464"/>
    <x v="3"/>
    <x v="145"/>
    <x v="75"/>
    <x v="71"/>
    <x v="0"/>
    <x v="4"/>
    <x v="1"/>
  </r>
  <r>
    <x v="30"/>
    <x v="120"/>
    <x v="442"/>
    <x v="2"/>
    <x v="294"/>
    <x v="83"/>
    <x v="233"/>
    <x v="0"/>
    <x v="2"/>
    <x v="1"/>
  </r>
  <r>
    <x v="30"/>
    <x v="16"/>
    <x v="437"/>
    <x v="7"/>
    <x v="222"/>
    <x v="60"/>
    <x v="203"/>
    <x v="0"/>
    <x v="2"/>
    <x v="1"/>
  </r>
  <r>
    <x v="30"/>
    <x v="61"/>
    <x v="439"/>
    <x v="7"/>
    <x v="200"/>
    <x v="52"/>
    <x v="182"/>
    <x v="0"/>
    <x v="2"/>
    <x v="1"/>
  </r>
  <r>
    <x v="30"/>
    <x v="55"/>
    <x v="438"/>
    <x v="8"/>
    <x v="72"/>
    <x v="25"/>
    <x v="49"/>
    <x v="0"/>
    <x v="2"/>
    <x v="1"/>
  </r>
  <r>
    <x v="30"/>
    <x v="90"/>
    <x v="440"/>
    <x v="8"/>
    <x v="63"/>
    <x v="28"/>
    <x v="37"/>
    <x v="0"/>
    <x v="2"/>
    <x v="1"/>
  </r>
  <r>
    <x v="30"/>
    <x v="117"/>
    <x v="441"/>
    <x v="3"/>
    <x v="295"/>
    <x v="90"/>
    <x v="232"/>
    <x v="0"/>
    <x v="2"/>
    <x v="1"/>
  </r>
  <r>
    <x v="30"/>
    <x v="207"/>
    <x v="446"/>
    <x v="6"/>
    <x v="40"/>
    <x v="15"/>
    <x v="25"/>
    <x v="0"/>
    <x v="2"/>
    <x v="1"/>
  </r>
  <r>
    <x v="30"/>
    <x v="125"/>
    <x v="443"/>
    <x v="7"/>
    <x v="102"/>
    <x v="51"/>
    <x v="67"/>
    <x v="0"/>
    <x v="2"/>
    <x v="1"/>
  </r>
  <r>
    <x v="30"/>
    <x v="197"/>
    <x v="445"/>
    <x v="4"/>
    <x v="7"/>
    <x v="3"/>
    <x v="12"/>
    <x v="0"/>
    <x v="2"/>
    <x v="1"/>
  </r>
  <r>
    <x v="30"/>
    <x v="163"/>
    <x v="444"/>
    <x v="0"/>
    <x v="151"/>
    <x v="88"/>
    <x v="74"/>
    <x v="0"/>
    <x v="5"/>
    <x v="1"/>
  </r>
  <r>
    <x v="30"/>
    <x v="295"/>
    <x v="449"/>
    <x v="3"/>
    <x v="266"/>
    <x v="83"/>
    <x v="197"/>
    <x v="0"/>
    <x v="2"/>
    <x v="1"/>
  </r>
  <r>
    <x v="30"/>
    <x v="253"/>
    <x v="447"/>
    <x v="7"/>
    <x v="128"/>
    <x v="55"/>
    <x v="105"/>
    <x v="0"/>
    <x v="2"/>
    <x v="1"/>
  </r>
  <r>
    <x v="30"/>
    <x v="286"/>
    <x v="448"/>
    <x v="4"/>
    <x v="10"/>
    <x v="1"/>
    <x v="17"/>
    <x v="0"/>
    <x v="2"/>
    <x v="1"/>
  </r>
  <r>
    <x v="30"/>
    <x v="315"/>
    <x v="450"/>
    <x v="5"/>
    <x v="109"/>
    <x v="45"/>
    <x v="89"/>
    <x v="0"/>
    <x v="2"/>
    <x v="1"/>
  </r>
  <r>
    <x v="1"/>
    <x v="92"/>
    <x v="22"/>
    <x v="8"/>
    <x v="78"/>
    <x v="29"/>
    <x v="53"/>
    <x v="0"/>
    <x v="2"/>
    <x v="1"/>
  </r>
  <r>
    <x v="18"/>
    <x v="131"/>
    <x v="257"/>
    <x v="3"/>
    <x v="269"/>
    <x v="88"/>
    <x v="200"/>
    <x v="0"/>
    <x v="2"/>
    <x v="1"/>
  </r>
  <r>
    <x v="25"/>
    <x v="264"/>
    <x v="367"/>
    <x v="7"/>
    <x v="116"/>
    <x v="54"/>
    <x v="92"/>
    <x v="0"/>
    <x v="2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H13" firstHeaderRow="1" firstDataRow="2" firstDataCol="1"/>
  <pivotFields count="10">
    <pivotField compact="0" showAll="0"/>
    <pivotField compact="0" showAll="0"/>
    <pivotField compact="0" showAll="0"/>
    <pivotField axis="axisRow" compact="0" showAll="0" defaultSubtotal="0" outline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compact="0" showAll="0"/>
    <pivotField dataField="1" compact="0" showAll="0" outline="0"/>
    <pivotField compact="0" showAll="0"/>
    <pivotField axis="axisCol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</pivotFields>
  <rowFields count="1">
    <field x="3"/>
  </rowFields>
  <colFields count="1">
    <field x="8"/>
  </colFields>
  <dataFields count="1">
    <dataField name="Suma - Carga" fld="6" subtotal="sum" numFmtId="168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9" min="9" style="0" width="13.38"/>
    <col collapsed="false" customWidth="true" hidden="false" outlineLevel="0" max="10" min="10" style="0" width="42.84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/>
      <c r="L1" s="5"/>
    </row>
    <row r="2" customFormat="false" ht="15" hidden="false" customHeight="false" outlineLevel="0" collapsed="false">
      <c r="A2" s="6" t="n">
        <v>44743</v>
      </c>
      <c r="B2" s="7" t="n">
        <v>0.248611111111111</v>
      </c>
      <c r="C2" s="8" t="n">
        <v>7379</v>
      </c>
      <c r="D2" s="8" t="s">
        <v>10</v>
      </c>
      <c r="E2" s="8" t="n">
        <v>20000</v>
      </c>
      <c r="F2" s="8" t="n">
        <v>15920</v>
      </c>
      <c r="G2" s="9" t="n">
        <v>4080</v>
      </c>
      <c r="H2" s="8" t="s">
        <v>11</v>
      </c>
      <c r="I2" s="8" t="s">
        <v>12</v>
      </c>
      <c r="J2" s="5" t="s">
        <v>13</v>
      </c>
      <c r="K2" s="5"/>
      <c r="L2" s="5"/>
    </row>
    <row r="3" customFormat="false" ht="15" hidden="false" customHeight="false" outlineLevel="0" collapsed="false">
      <c r="A3" s="6" t="n">
        <v>44743</v>
      </c>
      <c r="B3" s="7" t="n">
        <v>0.143055555555556</v>
      </c>
      <c r="C3" s="8" t="n">
        <v>7369</v>
      </c>
      <c r="D3" s="8" t="s">
        <v>10</v>
      </c>
      <c r="E3" s="8" t="n">
        <v>24200</v>
      </c>
      <c r="F3" s="8" t="n">
        <v>15940</v>
      </c>
      <c r="G3" s="9" t="n">
        <v>8260</v>
      </c>
      <c r="H3" s="8" t="s">
        <v>11</v>
      </c>
      <c r="I3" s="8" t="s">
        <v>12</v>
      </c>
      <c r="J3" s="5" t="s">
        <v>13</v>
      </c>
      <c r="K3" s="5"/>
      <c r="L3" s="5"/>
    </row>
    <row r="4" customFormat="false" ht="15" hidden="false" customHeight="false" outlineLevel="0" collapsed="false">
      <c r="A4" s="6" t="n">
        <v>44743</v>
      </c>
      <c r="B4" s="7" t="n">
        <v>0.247222222222222</v>
      </c>
      <c r="C4" s="8" t="n">
        <v>7377</v>
      </c>
      <c r="D4" s="8" t="s">
        <v>14</v>
      </c>
      <c r="E4" s="8" t="n">
        <v>19620</v>
      </c>
      <c r="F4" s="8" t="n">
        <v>12720</v>
      </c>
      <c r="G4" s="9" t="n">
        <v>6900</v>
      </c>
      <c r="H4" s="8" t="s">
        <v>11</v>
      </c>
      <c r="I4" s="8" t="s">
        <v>12</v>
      </c>
      <c r="J4" s="5" t="s">
        <v>13</v>
      </c>
      <c r="K4" s="5"/>
      <c r="L4" s="5"/>
    </row>
    <row r="5" customFormat="false" ht="15" hidden="false" customHeight="false" outlineLevel="0" collapsed="false">
      <c r="A5" s="6" t="n">
        <v>44743</v>
      </c>
      <c r="B5" s="7" t="n">
        <v>0.0930555555555556</v>
      </c>
      <c r="C5" s="8" t="n">
        <v>7364</v>
      </c>
      <c r="D5" s="8" t="s">
        <v>14</v>
      </c>
      <c r="E5" s="8" t="n">
        <v>22060</v>
      </c>
      <c r="F5" s="8" t="n">
        <v>12740</v>
      </c>
      <c r="G5" s="9" t="n">
        <v>9320</v>
      </c>
      <c r="H5" s="8" t="s">
        <v>11</v>
      </c>
      <c r="I5" s="8" t="s">
        <v>12</v>
      </c>
      <c r="J5" s="5" t="s">
        <v>13</v>
      </c>
      <c r="K5" s="5"/>
      <c r="L5" s="5"/>
    </row>
    <row r="6" customFormat="false" ht="15" hidden="false" customHeight="false" outlineLevel="0" collapsed="false">
      <c r="A6" s="6" t="n">
        <v>44743</v>
      </c>
      <c r="B6" s="7" t="n">
        <v>0.2125</v>
      </c>
      <c r="C6" s="8" t="n">
        <v>7373</v>
      </c>
      <c r="D6" s="8" t="s">
        <v>15</v>
      </c>
      <c r="E6" s="8" t="n">
        <v>5020</v>
      </c>
      <c r="F6" s="8" t="n">
        <v>3780</v>
      </c>
      <c r="G6" s="9" t="n">
        <v>1240</v>
      </c>
      <c r="H6" s="8" t="s">
        <v>11</v>
      </c>
      <c r="I6" s="8" t="s">
        <v>12</v>
      </c>
      <c r="J6" s="5" t="s">
        <v>13</v>
      </c>
      <c r="K6" s="5"/>
      <c r="L6" s="5"/>
    </row>
    <row r="7" customFormat="false" ht="15" hidden="false" customHeight="false" outlineLevel="0" collapsed="false">
      <c r="A7" s="6" t="n">
        <v>44743</v>
      </c>
      <c r="B7" s="7" t="n">
        <v>0.484722222222222</v>
      </c>
      <c r="C7" s="8" t="n">
        <v>7408</v>
      </c>
      <c r="D7" s="8" t="s">
        <v>16</v>
      </c>
      <c r="E7" s="8" t="n">
        <v>3240</v>
      </c>
      <c r="F7" s="8" t="n">
        <v>2840</v>
      </c>
      <c r="G7" s="9" t="n">
        <v>400</v>
      </c>
      <c r="H7" s="8" t="s">
        <v>11</v>
      </c>
      <c r="I7" s="8" t="s">
        <v>12</v>
      </c>
      <c r="J7" s="5" t="s">
        <v>13</v>
      </c>
      <c r="K7" s="5"/>
      <c r="L7" s="5"/>
    </row>
    <row r="8" customFormat="false" ht="15" hidden="false" customHeight="false" outlineLevel="0" collapsed="false">
      <c r="A8" s="6" t="n">
        <v>44743</v>
      </c>
      <c r="B8" s="7" t="n">
        <v>0.442361111111111</v>
      </c>
      <c r="C8" s="8" t="n">
        <v>7401</v>
      </c>
      <c r="D8" s="8" t="s">
        <v>17</v>
      </c>
      <c r="E8" s="8" t="n">
        <v>2700</v>
      </c>
      <c r="F8" s="8" t="n">
        <v>2360</v>
      </c>
      <c r="G8" s="9" t="n">
        <v>340</v>
      </c>
      <c r="H8" s="8" t="s">
        <v>11</v>
      </c>
      <c r="I8" s="8" t="s">
        <v>12</v>
      </c>
      <c r="J8" s="5" t="s">
        <v>13</v>
      </c>
      <c r="K8" s="5"/>
      <c r="L8" s="5"/>
    </row>
    <row r="9" customFormat="false" ht="15" hidden="false" customHeight="false" outlineLevel="0" collapsed="false">
      <c r="A9" s="6" t="n">
        <v>44743</v>
      </c>
      <c r="B9" s="7" t="n">
        <v>0.447916666666667</v>
      </c>
      <c r="C9" s="8" t="n">
        <v>3037</v>
      </c>
      <c r="D9" s="8" t="s">
        <v>18</v>
      </c>
      <c r="E9" s="8" t="n">
        <v>18280</v>
      </c>
      <c r="F9" s="8" t="n">
        <v>15760</v>
      </c>
      <c r="G9" s="9" t="n">
        <v>2520</v>
      </c>
      <c r="H9" s="8" t="s">
        <v>11</v>
      </c>
      <c r="I9" s="8" t="s">
        <v>19</v>
      </c>
      <c r="J9" s="5" t="s">
        <v>13</v>
      </c>
      <c r="K9" s="5"/>
      <c r="L9" s="5"/>
    </row>
    <row r="10" customFormat="false" ht="15" hidden="false" customHeight="false" outlineLevel="0" collapsed="false">
      <c r="A10" s="6" t="n">
        <v>44743</v>
      </c>
      <c r="B10" s="7" t="n">
        <v>0.88125</v>
      </c>
      <c r="C10" s="8" t="n">
        <v>7441</v>
      </c>
      <c r="D10" s="8" t="s">
        <v>18</v>
      </c>
      <c r="E10" s="8" t="n">
        <v>22960</v>
      </c>
      <c r="F10" s="8" t="n">
        <v>15980</v>
      </c>
      <c r="G10" s="9" t="n">
        <v>6980</v>
      </c>
      <c r="H10" s="8" t="s">
        <v>11</v>
      </c>
      <c r="I10" s="8" t="s">
        <v>12</v>
      </c>
      <c r="J10" s="5" t="s">
        <v>13</v>
      </c>
      <c r="K10" s="5"/>
      <c r="L10" s="5"/>
    </row>
    <row r="11" customFormat="false" ht="15" hidden="false" customHeight="false" outlineLevel="0" collapsed="false">
      <c r="A11" s="6" t="n">
        <v>44743</v>
      </c>
      <c r="B11" s="7" t="n">
        <v>0.538888888888889</v>
      </c>
      <c r="C11" s="8" t="n">
        <v>7417</v>
      </c>
      <c r="D11" s="8" t="s">
        <v>20</v>
      </c>
      <c r="E11" s="8" t="n">
        <v>2780</v>
      </c>
      <c r="F11" s="8" t="n">
        <v>2700</v>
      </c>
      <c r="G11" s="9" t="n">
        <v>80</v>
      </c>
      <c r="H11" s="8" t="s">
        <v>11</v>
      </c>
      <c r="I11" s="8" t="s">
        <v>21</v>
      </c>
      <c r="J11" s="5" t="s">
        <v>13</v>
      </c>
      <c r="K11" s="5"/>
      <c r="L11" s="5"/>
    </row>
    <row r="12" customFormat="false" ht="15" hidden="false" customHeight="false" outlineLevel="0" collapsed="false">
      <c r="A12" s="6" t="n">
        <v>44743</v>
      </c>
      <c r="B12" s="7" t="n">
        <v>0.858333333333333</v>
      </c>
      <c r="C12" s="8" t="n">
        <v>7438</v>
      </c>
      <c r="D12" s="8" t="s">
        <v>17</v>
      </c>
      <c r="E12" s="8" t="n">
        <v>2580</v>
      </c>
      <c r="F12" s="8" t="n">
        <v>2360</v>
      </c>
      <c r="G12" s="9" t="n">
        <v>220</v>
      </c>
      <c r="H12" s="8" t="s">
        <v>11</v>
      </c>
      <c r="I12" s="8" t="s">
        <v>12</v>
      </c>
      <c r="J12" s="5" t="s">
        <v>13</v>
      </c>
      <c r="K12" s="5"/>
      <c r="L12" s="5"/>
    </row>
    <row r="13" customFormat="false" ht="15" hidden="false" customHeight="false" outlineLevel="0" collapsed="false">
      <c r="A13" s="6" t="n">
        <v>44743</v>
      </c>
      <c r="B13" s="7" t="n">
        <v>0.708333333333333</v>
      </c>
      <c r="C13" s="10" t="n">
        <v>7430</v>
      </c>
      <c r="D13" s="8" t="s">
        <v>14</v>
      </c>
      <c r="E13" s="8" t="n">
        <v>15100</v>
      </c>
      <c r="F13" s="8" t="n">
        <v>12700</v>
      </c>
      <c r="G13" s="9" t="n">
        <v>2400</v>
      </c>
      <c r="H13" s="8" t="s">
        <v>11</v>
      </c>
      <c r="I13" s="8" t="s">
        <v>12</v>
      </c>
      <c r="J13" s="5" t="s">
        <v>13</v>
      </c>
      <c r="K13" s="5"/>
      <c r="L13" s="5"/>
    </row>
    <row r="14" customFormat="false" ht="13.8" hidden="false" customHeight="false" outlineLevel="0" collapsed="false">
      <c r="A14" s="6" t="n">
        <v>44744</v>
      </c>
      <c r="B14" s="7" t="n">
        <v>0.888888888888889</v>
      </c>
      <c r="C14" s="8" t="n">
        <v>7488</v>
      </c>
      <c r="D14" s="8" t="s">
        <v>17</v>
      </c>
      <c r="E14" s="8" t="n">
        <v>2660</v>
      </c>
      <c r="F14" s="8" t="n">
        <v>2360</v>
      </c>
      <c r="G14" s="9" t="n">
        <v>300</v>
      </c>
      <c r="H14" s="8" t="s">
        <v>11</v>
      </c>
      <c r="I14" s="8" t="s">
        <v>12</v>
      </c>
      <c r="J14" s="5" t="s">
        <v>13</v>
      </c>
      <c r="K14" s="5"/>
      <c r="L14" s="5"/>
    </row>
    <row r="15" customFormat="false" ht="13.8" hidden="false" customHeight="false" outlineLevel="0" collapsed="false">
      <c r="A15" s="6" t="n">
        <v>44744</v>
      </c>
      <c r="B15" s="7" t="n">
        <v>0.876388888888889</v>
      </c>
      <c r="C15" s="8" t="n">
        <v>7487</v>
      </c>
      <c r="D15" s="8" t="s">
        <v>10</v>
      </c>
      <c r="E15" s="8" t="n">
        <v>24040</v>
      </c>
      <c r="F15" s="8" t="n">
        <v>15960</v>
      </c>
      <c r="G15" s="9" t="n">
        <v>8080</v>
      </c>
      <c r="H15" s="8" t="s">
        <v>11</v>
      </c>
      <c r="I15" s="8" t="s">
        <v>12</v>
      </c>
      <c r="J15" s="5" t="s">
        <v>13</v>
      </c>
      <c r="K15" s="5"/>
      <c r="L15" s="5"/>
    </row>
    <row r="16" customFormat="false" ht="13.8" hidden="false" customHeight="false" outlineLevel="0" collapsed="false">
      <c r="A16" s="6" t="n">
        <v>44744</v>
      </c>
      <c r="B16" s="7" t="n">
        <v>0.695833333333333</v>
      </c>
      <c r="C16" s="8" t="n">
        <v>7483</v>
      </c>
      <c r="D16" s="8" t="s">
        <v>14</v>
      </c>
      <c r="E16" s="8" t="n">
        <v>15820</v>
      </c>
      <c r="F16" s="8" t="n">
        <v>12760</v>
      </c>
      <c r="G16" s="9" t="n">
        <v>3060</v>
      </c>
      <c r="H16" s="8" t="s">
        <v>11</v>
      </c>
      <c r="I16" s="8" t="s">
        <v>12</v>
      </c>
      <c r="J16" s="5" t="s">
        <v>13</v>
      </c>
      <c r="K16" s="5"/>
      <c r="L16" s="5"/>
    </row>
    <row r="17" customFormat="false" ht="13.8" hidden="false" customHeight="false" outlineLevel="0" collapsed="false">
      <c r="A17" s="6" t="n">
        <v>44744</v>
      </c>
      <c r="B17" s="7" t="n">
        <v>0.447916666666667</v>
      </c>
      <c r="C17" s="8" t="n">
        <v>7475</v>
      </c>
      <c r="D17" s="8" t="s">
        <v>16</v>
      </c>
      <c r="E17" s="8" t="n">
        <v>3260</v>
      </c>
      <c r="F17" s="8" t="n">
        <v>2840</v>
      </c>
      <c r="G17" s="9" t="n">
        <v>420</v>
      </c>
      <c r="H17" s="8" t="s">
        <v>11</v>
      </c>
      <c r="I17" s="8" t="s">
        <v>22</v>
      </c>
      <c r="J17" s="5" t="s">
        <v>13</v>
      </c>
      <c r="K17" s="5"/>
      <c r="L17" s="5"/>
    </row>
    <row r="18" customFormat="false" ht="13.8" hidden="false" customHeight="false" outlineLevel="0" collapsed="false">
      <c r="A18" s="6" t="n">
        <v>44744</v>
      </c>
      <c r="B18" s="7" t="n">
        <v>0.152777777777778</v>
      </c>
      <c r="C18" s="8" t="n">
        <v>7449</v>
      </c>
      <c r="D18" s="8" t="s">
        <v>18</v>
      </c>
      <c r="E18" s="8" t="n">
        <v>25580</v>
      </c>
      <c r="F18" s="8" t="n">
        <v>15960</v>
      </c>
      <c r="G18" s="9" t="n">
        <v>9620</v>
      </c>
      <c r="H18" s="8" t="s">
        <v>11</v>
      </c>
      <c r="I18" s="8" t="s">
        <v>12</v>
      </c>
      <c r="J18" s="5" t="s">
        <v>13</v>
      </c>
      <c r="K18" s="5"/>
      <c r="L18" s="5"/>
    </row>
    <row r="19" customFormat="false" ht="13.8" hidden="false" customHeight="false" outlineLevel="0" collapsed="false">
      <c r="A19" s="6" t="n">
        <v>44744</v>
      </c>
      <c r="B19" s="7" t="n">
        <v>0.458333333333333</v>
      </c>
      <c r="C19" s="8" t="n">
        <v>7476</v>
      </c>
      <c r="D19" s="8" t="s">
        <v>17</v>
      </c>
      <c r="E19" s="8" t="n">
        <v>2640</v>
      </c>
      <c r="F19" s="8" t="n">
        <v>2400</v>
      </c>
      <c r="G19" s="9" t="n">
        <v>240</v>
      </c>
      <c r="H19" s="8" t="s">
        <v>11</v>
      </c>
      <c r="I19" s="8" t="s">
        <v>12</v>
      </c>
      <c r="J19" s="5" t="s">
        <v>13</v>
      </c>
      <c r="K19" s="5"/>
      <c r="L19" s="5"/>
    </row>
    <row r="20" customFormat="false" ht="13.8" hidden="false" customHeight="false" outlineLevel="0" collapsed="false">
      <c r="A20" s="6" t="n">
        <v>44744</v>
      </c>
      <c r="B20" s="7" t="n">
        <v>0.366666666666667</v>
      </c>
      <c r="C20" s="8" t="n">
        <v>7470</v>
      </c>
      <c r="D20" s="8" t="s">
        <v>16</v>
      </c>
      <c r="E20" s="8" t="n">
        <v>3180</v>
      </c>
      <c r="F20" s="8" t="n">
        <v>2840</v>
      </c>
      <c r="G20" s="9" t="n">
        <v>340</v>
      </c>
      <c r="H20" s="8" t="s">
        <v>11</v>
      </c>
      <c r="I20" s="8" t="s">
        <v>12</v>
      </c>
      <c r="J20" s="5" t="s">
        <v>13</v>
      </c>
      <c r="K20" s="5"/>
      <c r="L20" s="5"/>
    </row>
    <row r="21" customFormat="false" ht="13.8" hidden="false" customHeight="false" outlineLevel="0" collapsed="false">
      <c r="A21" s="6" t="n">
        <v>44744</v>
      </c>
      <c r="B21" s="7" t="n">
        <v>0.0902777777777778</v>
      </c>
      <c r="C21" s="8" t="n">
        <v>7444</v>
      </c>
      <c r="D21" s="8" t="s">
        <v>14</v>
      </c>
      <c r="E21" s="8" t="n">
        <v>21280</v>
      </c>
      <c r="F21" s="8" t="n">
        <v>12680</v>
      </c>
      <c r="G21" s="9" t="n">
        <v>8600</v>
      </c>
      <c r="H21" s="8" t="s">
        <v>11</v>
      </c>
      <c r="I21" s="8" t="s">
        <v>12</v>
      </c>
      <c r="J21" s="5" t="s">
        <v>13</v>
      </c>
      <c r="K21" s="5"/>
      <c r="L21" s="5"/>
    </row>
    <row r="22" customFormat="false" ht="13.8" hidden="false" customHeight="false" outlineLevel="0" collapsed="false">
      <c r="A22" s="6" t="n">
        <v>44744</v>
      </c>
      <c r="B22" s="7" t="n">
        <v>0.242361111111111</v>
      </c>
      <c r="C22" s="8" t="n">
        <v>7456</v>
      </c>
      <c r="D22" s="8" t="s">
        <v>18</v>
      </c>
      <c r="E22" s="8" t="n">
        <v>18940</v>
      </c>
      <c r="F22" s="8" t="n">
        <v>15940</v>
      </c>
      <c r="G22" s="9" t="n">
        <v>3000</v>
      </c>
      <c r="H22" s="8" t="s">
        <v>11</v>
      </c>
      <c r="I22" s="8" t="s">
        <v>12</v>
      </c>
      <c r="J22" s="5" t="s">
        <v>13</v>
      </c>
      <c r="K22" s="5"/>
      <c r="L22" s="5"/>
    </row>
    <row r="23" customFormat="false" ht="13.8" hidden="false" customHeight="false" outlineLevel="0" collapsed="false">
      <c r="A23" s="6" t="n">
        <v>44744</v>
      </c>
      <c r="B23" s="7" t="n">
        <v>0.2375</v>
      </c>
      <c r="C23" s="8" t="n">
        <v>7453</v>
      </c>
      <c r="D23" s="8" t="s">
        <v>14</v>
      </c>
      <c r="E23" s="8" t="n">
        <v>21280</v>
      </c>
      <c r="F23" s="8" t="n">
        <v>12660</v>
      </c>
      <c r="G23" s="9" t="n">
        <v>8620</v>
      </c>
      <c r="H23" s="8" t="s">
        <v>11</v>
      </c>
      <c r="I23" s="8" t="s">
        <v>12</v>
      </c>
      <c r="J23" s="5" t="s">
        <v>13</v>
      </c>
      <c r="K23" s="5"/>
      <c r="L23" s="5"/>
    </row>
    <row r="24" customFormat="false" ht="13.8" hidden="false" customHeight="false" outlineLevel="0" collapsed="false">
      <c r="A24" s="6" t="n">
        <v>44744</v>
      </c>
      <c r="B24" s="7" t="n">
        <v>0.472222222222222</v>
      </c>
      <c r="C24" s="8" t="n">
        <v>141590</v>
      </c>
      <c r="D24" s="8" t="s">
        <v>10</v>
      </c>
      <c r="E24" s="8" t="n">
        <v>18560</v>
      </c>
      <c r="F24" s="8" t="n">
        <v>15760</v>
      </c>
      <c r="G24" s="9" t="n">
        <v>2800</v>
      </c>
      <c r="H24" s="8" t="s">
        <v>11</v>
      </c>
      <c r="I24" s="8" t="s">
        <v>23</v>
      </c>
      <c r="J24" s="5" t="s">
        <v>13</v>
      </c>
      <c r="K24" s="5"/>
      <c r="L24" s="5"/>
    </row>
    <row r="25" customFormat="false" ht="15" hidden="false" customHeight="false" outlineLevel="0" collapsed="false">
      <c r="A25" s="6" t="n">
        <v>44745</v>
      </c>
      <c r="B25" s="7" t="n">
        <v>0.854166666666667</v>
      </c>
      <c r="C25" s="8" t="n">
        <v>7513</v>
      </c>
      <c r="D25" s="8" t="s">
        <v>17</v>
      </c>
      <c r="E25" s="8" t="n">
        <v>2720</v>
      </c>
      <c r="F25" s="8" t="n">
        <v>2340</v>
      </c>
      <c r="G25" s="9" t="n">
        <v>380</v>
      </c>
      <c r="H25" s="8" t="s">
        <v>11</v>
      </c>
      <c r="I25" s="8" t="s">
        <v>12</v>
      </c>
      <c r="J25" s="5" t="s">
        <v>13</v>
      </c>
      <c r="K25" s="5"/>
      <c r="L25" s="5"/>
    </row>
    <row r="26" customFormat="false" ht="15" hidden="false" customHeight="false" outlineLevel="0" collapsed="false">
      <c r="A26" s="6" t="n">
        <v>44745</v>
      </c>
      <c r="B26" s="7" t="n">
        <v>0.433333333333333</v>
      </c>
      <c r="C26" s="8" t="n">
        <v>7510</v>
      </c>
      <c r="D26" s="8" t="s">
        <v>17</v>
      </c>
      <c r="E26" s="8" t="n">
        <v>2740</v>
      </c>
      <c r="F26" s="8" t="n">
        <v>2380</v>
      </c>
      <c r="G26" s="9" t="n">
        <v>360</v>
      </c>
      <c r="H26" s="8" t="s">
        <v>11</v>
      </c>
      <c r="I26" s="8" t="s">
        <v>12</v>
      </c>
      <c r="J26" s="5" t="s">
        <v>13</v>
      </c>
      <c r="K26" s="5"/>
      <c r="L26" s="5"/>
    </row>
    <row r="27" customFormat="false" ht="15" hidden="false" customHeight="false" outlineLevel="0" collapsed="false">
      <c r="A27" s="6" t="n">
        <v>44745</v>
      </c>
      <c r="B27" s="7" t="n">
        <v>0.686805555555556</v>
      </c>
      <c r="C27" s="8" t="n">
        <v>7512</v>
      </c>
      <c r="D27" s="8" t="s">
        <v>14</v>
      </c>
      <c r="E27" s="8" t="n">
        <v>14800</v>
      </c>
      <c r="F27" s="8" t="n">
        <v>12700</v>
      </c>
      <c r="G27" s="9" t="n">
        <v>2100</v>
      </c>
      <c r="H27" s="8" t="s">
        <v>11</v>
      </c>
      <c r="I27" s="8" t="s">
        <v>12</v>
      </c>
      <c r="J27" s="5" t="s">
        <v>13</v>
      </c>
      <c r="K27" s="5"/>
      <c r="L27" s="5"/>
    </row>
    <row r="28" customFormat="false" ht="15" hidden="false" customHeight="false" outlineLevel="0" collapsed="false">
      <c r="A28" s="6" t="n">
        <v>44745</v>
      </c>
      <c r="B28" s="7" t="n">
        <v>0.8625</v>
      </c>
      <c r="C28" s="8" t="n">
        <v>7514</v>
      </c>
      <c r="D28" s="8" t="s">
        <v>10</v>
      </c>
      <c r="E28" s="8" t="n">
        <v>23560</v>
      </c>
      <c r="F28" s="8" t="n">
        <v>15900</v>
      </c>
      <c r="G28" s="9" t="n">
        <v>7660</v>
      </c>
      <c r="H28" s="8" t="s">
        <v>11</v>
      </c>
      <c r="I28" s="8" t="s">
        <v>12</v>
      </c>
      <c r="J28" s="5" t="s">
        <v>13</v>
      </c>
      <c r="K28" s="5"/>
      <c r="L28" s="5"/>
    </row>
    <row r="29" customFormat="false" ht="15" hidden="false" customHeight="false" outlineLevel="0" collapsed="false">
      <c r="A29" s="6" t="n">
        <v>44745</v>
      </c>
      <c r="B29" s="7" t="n">
        <v>0.245833333333333</v>
      </c>
      <c r="C29" s="8" t="n">
        <v>7502</v>
      </c>
      <c r="D29" s="8" t="s">
        <v>18</v>
      </c>
      <c r="E29" s="8" t="n">
        <v>25960</v>
      </c>
      <c r="F29" s="8" t="n">
        <v>15960</v>
      </c>
      <c r="G29" s="9" t="n">
        <v>10000</v>
      </c>
      <c r="H29" s="8" t="s">
        <v>11</v>
      </c>
      <c r="I29" s="8" t="s">
        <v>12</v>
      </c>
      <c r="J29" s="5" t="s">
        <v>13</v>
      </c>
      <c r="K29" s="5"/>
      <c r="L29" s="5"/>
    </row>
    <row r="30" customFormat="false" ht="15" hidden="false" customHeight="false" outlineLevel="0" collapsed="false">
      <c r="A30" s="6" t="n">
        <v>44745</v>
      </c>
      <c r="B30" s="7" t="n">
        <v>0.378472222222222</v>
      </c>
      <c r="C30" s="8" t="n">
        <v>7509</v>
      </c>
      <c r="D30" s="8" t="s">
        <v>16</v>
      </c>
      <c r="E30" s="8" t="n">
        <v>3680</v>
      </c>
      <c r="F30" s="8" t="n">
        <v>2980</v>
      </c>
      <c r="G30" s="9" t="n">
        <v>700</v>
      </c>
      <c r="H30" s="8" t="s">
        <v>11</v>
      </c>
      <c r="I30" s="8" t="s">
        <v>12</v>
      </c>
      <c r="J30" s="5" t="s">
        <v>13</v>
      </c>
      <c r="K30" s="5"/>
      <c r="L30" s="5"/>
    </row>
    <row r="31" customFormat="false" ht="15" hidden="false" customHeight="false" outlineLevel="0" collapsed="false">
      <c r="A31" s="6" t="n">
        <v>44745</v>
      </c>
      <c r="B31" s="7" t="n">
        <v>0.209722222222222</v>
      </c>
      <c r="C31" s="8" t="n">
        <v>7499</v>
      </c>
      <c r="D31" s="8" t="s">
        <v>15</v>
      </c>
      <c r="E31" s="8" t="n">
        <v>4380</v>
      </c>
      <c r="F31" s="8" t="n">
        <v>3660</v>
      </c>
      <c r="G31" s="9" t="n">
        <v>720</v>
      </c>
      <c r="H31" s="8" t="s">
        <v>11</v>
      </c>
      <c r="I31" s="8" t="s">
        <v>12</v>
      </c>
      <c r="J31" s="5" t="s">
        <v>13</v>
      </c>
      <c r="K31" s="5"/>
      <c r="L31" s="5"/>
    </row>
    <row r="32" customFormat="false" ht="15" hidden="false" customHeight="false" outlineLevel="0" collapsed="false">
      <c r="A32" s="6" t="n">
        <v>44745</v>
      </c>
      <c r="B32" s="7" t="n">
        <v>0.127083333333333</v>
      </c>
      <c r="C32" s="8" t="n">
        <v>7495</v>
      </c>
      <c r="D32" s="8" t="s">
        <v>15</v>
      </c>
      <c r="E32" s="8" t="n">
        <v>4680</v>
      </c>
      <c r="F32" s="8" t="n">
        <v>3580</v>
      </c>
      <c r="G32" s="9" t="n">
        <v>1100</v>
      </c>
      <c r="H32" s="8" t="s">
        <v>11</v>
      </c>
      <c r="I32" s="8" t="s">
        <v>12</v>
      </c>
      <c r="J32" s="5" t="s">
        <v>13</v>
      </c>
      <c r="K32" s="5"/>
      <c r="L32" s="5"/>
    </row>
    <row r="33" customFormat="false" ht="15" hidden="false" customHeight="false" outlineLevel="0" collapsed="false">
      <c r="A33" s="6" t="n">
        <v>44745</v>
      </c>
      <c r="B33" s="7" t="n">
        <v>0.00972222222222222</v>
      </c>
      <c r="C33" s="8" t="n">
        <v>7489</v>
      </c>
      <c r="D33" s="8" t="s">
        <v>24</v>
      </c>
      <c r="E33" s="8" t="n">
        <v>14240</v>
      </c>
      <c r="F33" s="8" t="n">
        <v>12480</v>
      </c>
      <c r="G33" s="9" t="n">
        <v>1760</v>
      </c>
      <c r="H33" s="8" t="s">
        <v>11</v>
      </c>
      <c r="I33" s="8" t="s">
        <v>12</v>
      </c>
      <c r="J33" s="5" t="s">
        <v>13</v>
      </c>
      <c r="K33" s="5"/>
      <c r="L33" s="5"/>
    </row>
    <row r="34" customFormat="false" ht="15" hidden="false" customHeight="false" outlineLevel="0" collapsed="false">
      <c r="A34" s="6" t="n">
        <v>44745</v>
      </c>
      <c r="B34" s="7" t="n">
        <v>0.252777777777778</v>
      </c>
      <c r="C34" s="8" t="n">
        <v>7504</v>
      </c>
      <c r="D34" s="8" t="s">
        <v>14</v>
      </c>
      <c r="E34" s="8" t="n">
        <v>15340</v>
      </c>
      <c r="F34" s="8" t="n">
        <v>12800</v>
      </c>
      <c r="G34" s="9" t="n">
        <v>2540</v>
      </c>
      <c r="H34" s="8" t="s">
        <v>11</v>
      </c>
      <c r="I34" s="8" t="s">
        <v>12</v>
      </c>
      <c r="J34" s="5" t="s">
        <v>13</v>
      </c>
      <c r="K34" s="5"/>
      <c r="L34" s="5"/>
    </row>
    <row r="35" customFormat="false" ht="15" hidden="false" customHeight="false" outlineLevel="0" collapsed="false">
      <c r="A35" s="6" t="n">
        <v>44745</v>
      </c>
      <c r="B35" s="7" t="n">
        <v>0.138194444444444</v>
      </c>
      <c r="C35" s="8" t="n">
        <v>7496</v>
      </c>
      <c r="D35" s="8" t="s">
        <v>14</v>
      </c>
      <c r="E35" s="8" t="n">
        <v>19700</v>
      </c>
      <c r="F35" s="8" t="n">
        <v>12780</v>
      </c>
      <c r="G35" s="9" t="n">
        <v>6920</v>
      </c>
      <c r="H35" s="8" t="s">
        <v>11</v>
      </c>
      <c r="I35" s="8" t="s">
        <v>12</v>
      </c>
      <c r="J35" s="5" t="s">
        <v>13</v>
      </c>
      <c r="K35" s="5"/>
      <c r="L35" s="5"/>
    </row>
    <row r="36" customFormat="false" ht="15" hidden="false" customHeight="false" outlineLevel="0" collapsed="false">
      <c r="A36" s="6" t="n">
        <v>44745</v>
      </c>
      <c r="B36" s="7" t="n">
        <v>0.0472222222222222</v>
      </c>
      <c r="C36" s="8" t="n">
        <v>7490</v>
      </c>
      <c r="D36" s="8" t="s">
        <v>14</v>
      </c>
      <c r="E36" s="8" t="n">
        <v>21540</v>
      </c>
      <c r="F36" s="8" t="n">
        <v>12780</v>
      </c>
      <c r="G36" s="9" t="n">
        <v>8760</v>
      </c>
      <c r="H36" s="8" t="s">
        <v>11</v>
      </c>
      <c r="I36" s="8" t="s">
        <v>12</v>
      </c>
      <c r="J36" s="5" t="s">
        <v>13</v>
      </c>
      <c r="K36" s="5"/>
      <c r="L36" s="5"/>
    </row>
    <row r="37" customFormat="false" ht="15" hidden="false" customHeight="false" outlineLevel="0" collapsed="false">
      <c r="A37" s="6" t="n">
        <v>44745</v>
      </c>
      <c r="B37" s="7" t="n">
        <v>0.239583333333333</v>
      </c>
      <c r="C37" s="8" t="n">
        <v>7501</v>
      </c>
      <c r="D37" s="8" t="s">
        <v>10</v>
      </c>
      <c r="E37" s="8" t="n">
        <v>21980</v>
      </c>
      <c r="F37" s="8" t="n">
        <v>15940</v>
      </c>
      <c r="G37" s="9" t="n">
        <v>6040</v>
      </c>
      <c r="H37" s="8" t="s">
        <v>11</v>
      </c>
      <c r="I37" s="8" t="s">
        <v>12</v>
      </c>
      <c r="J37" s="5" t="s">
        <v>13</v>
      </c>
      <c r="K37" s="5"/>
      <c r="L37" s="5"/>
    </row>
    <row r="38" customFormat="false" ht="15" hidden="false" customHeight="false" outlineLevel="0" collapsed="false">
      <c r="A38" s="6" t="n">
        <v>44746</v>
      </c>
      <c r="B38" s="7" t="n">
        <v>0.460416666666667</v>
      </c>
      <c r="C38" s="8" t="n">
        <v>3067</v>
      </c>
      <c r="D38" s="8" t="s">
        <v>10</v>
      </c>
      <c r="E38" s="8" t="n">
        <v>17900</v>
      </c>
      <c r="F38" s="8" t="n">
        <v>15760</v>
      </c>
      <c r="G38" s="9" t="n">
        <v>2140</v>
      </c>
      <c r="H38" s="8" t="s">
        <v>11</v>
      </c>
      <c r="I38" s="8" t="s">
        <v>19</v>
      </c>
      <c r="J38" s="5" t="s">
        <v>13</v>
      </c>
      <c r="K38" s="5"/>
      <c r="L38" s="5"/>
    </row>
    <row r="39" customFormat="false" ht="15" hidden="false" customHeight="false" outlineLevel="0" collapsed="false">
      <c r="A39" s="6" t="n">
        <v>44746</v>
      </c>
      <c r="B39" s="7" t="n">
        <v>0.358333333333333</v>
      </c>
      <c r="C39" s="8" t="n">
        <v>7551</v>
      </c>
      <c r="D39" s="8" t="s">
        <v>25</v>
      </c>
      <c r="E39" s="8" t="n">
        <v>6440</v>
      </c>
      <c r="F39" s="8" t="n">
        <v>5700</v>
      </c>
      <c r="G39" s="9" t="n">
        <v>740</v>
      </c>
      <c r="H39" s="8" t="s">
        <v>11</v>
      </c>
      <c r="I39" s="8" t="s">
        <v>22</v>
      </c>
      <c r="J39" s="5" t="s">
        <v>13</v>
      </c>
      <c r="K39" s="5"/>
      <c r="L39" s="5"/>
    </row>
    <row r="40" customFormat="false" ht="15" hidden="false" customHeight="false" outlineLevel="0" collapsed="false">
      <c r="A40" s="6" t="n">
        <v>44746</v>
      </c>
      <c r="B40" s="7" t="n">
        <v>0.486805555555556</v>
      </c>
      <c r="C40" s="8" t="n">
        <v>7567</v>
      </c>
      <c r="D40" s="8" t="s">
        <v>25</v>
      </c>
      <c r="E40" s="8" t="n">
        <v>6420</v>
      </c>
      <c r="F40" s="8" t="n">
        <v>5680</v>
      </c>
      <c r="G40" s="9" t="n">
        <v>740</v>
      </c>
      <c r="H40" s="8" t="s">
        <v>11</v>
      </c>
      <c r="I40" s="8" t="s">
        <v>22</v>
      </c>
      <c r="J40" s="5" t="s">
        <v>13</v>
      </c>
      <c r="K40" s="5"/>
      <c r="L40" s="5"/>
    </row>
    <row r="41" customFormat="false" ht="15" hidden="false" customHeight="false" outlineLevel="0" collapsed="false">
      <c r="A41" s="6" t="n">
        <v>44746</v>
      </c>
      <c r="B41" s="7" t="n">
        <v>0.370138888888889</v>
      </c>
      <c r="C41" s="8" t="n">
        <v>7552</v>
      </c>
      <c r="D41" s="8" t="s">
        <v>16</v>
      </c>
      <c r="E41" s="8" t="n">
        <v>3440</v>
      </c>
      <c r="F41" s="8" t="n">
        <v>2860</v>
      </c>
      <c r="G41" s="9" t="n">
        <v>580</v>
      </c>
      <c r="H41" s="8" t="s">
        <v>11</v>
      </c>
      <c r="I41" s="8" t="s">
        <v>12</v>
      </c>
      <c r="J41" s="5" t="s">
        <v>13</v>
      </c>
      <c r="K41" s="5"/>
      <c r="L41" s="5"/>
    </row>
    <row r="42" customFormat="false" ht="15" hidden="false" customHeight="false" outlineLevel="0" collapsed="false">
      <c r="A42" s="6" t="n">
        <v>44746</v>
      </c>
      <c r="B42" s="7" t="n">
        <v>0.435416666666667</v>
      </c>
      <c r="C42" s="8" t="n">
        <v>7558</v>
      </c>
      <c r="D42" s="8" t="s">
        <v>17</v>
      </c>
      <c r="E42" s="8" t="n">
        <v>2720</v>
      </c>
      <c r="F42" s="8" t="n">
        <v>2360</v>
      </c>
      <c r="G42" s="9" t="n">
        <v>360</v>
      </c>
      <c r="H42" s="8" t="s">
        <v>11</v>
      </c>
      <c r="I42" s="8" t="s">
        <v>12</v>
      </c>
      <c r="J42" s="5" t="s">
        <v>13</v>
      </c>
      <c r="K42" s="5"/>
      <c r="L42" s="5"/>
    </row>
    <row r="43" customFormat="false" ht="15" hidden="false" customHeight="false" outlineLevel="0" collapsed="false">
      <c r="A43" s="6" t="n">
        <v>44746</v>
      </c>
      <c r="B43" s="7" t="n">
        <v>0.209722222222222</v>
      </c>
      <c r="C43" s="8" t="n">
        <v>7524</v>
      </c>
      <c r="D43" s="8" t="s">
        <v>20</v>
      </c>
      <c r="E43" s="8" t="n">
        <v>3380</v>
      </c>
      <c r="F43" s="8" t="n">
        <v>2800</v>
      </c>
      <c r="G43" s="9" t="n">
        <v>580</v>
      </c>
      <c r="H43" s="8" t="s">
        <v>11</v>
      </c>
      <c r="I43" s="8" t="s">
        <v>12</v>
      </c>
      <c r="J43" s="5" t="s">
        <v>13</v>
      </c>
      <c r="K43" s="5"/>
      <c r="L43" s="5"/>
    </row>
    <row r="44" customFormat="false" ht="15" hidden="false" customHeight="false" outlineLevel="0" collapsed="false">
      <c r="A44" s="6" t="n">
        <v>44746</v>
      </c>
      <c r="B44" s="7" t="n">
        <v>0.241666666666667</v>
      </c>
      <c r="C44" s="8" t="n">
        <v>7532</v>
      </c>
      <c r="D44" s="8" t="s">
        <v>10</v>
      </c>
      <c r="E44" s="8" t="n">
        <v>21360</v>
      </c>
      <c r="F44" s="8" t="n">
        <v>15900</v>
      </c>
      <c r="G44" s="9" t="n">
        <v>5460</v>
      </c>
      <c r="H44" s="8" t="s">
        <v>11</v>
      </c>
      <c r="I44" s="8" t="s">
        <v>12</v>
      </c>
      <c r="J44" s="5" t="s">
        <v>13</v>
      </c>
      <c r="K44" s="5"/>
      <c r="L44" s="5"/>
    </row>
    <row r="45" customFormat="false" ht="15" hidden="false" customHeight="false" outlineLevel="0" collapsed="false">
      <c r="A45" s="6" t="n">
        <v>44746</v>
      </c>
      <c r="B45" s="7" t="n">
        <v>0.224305555555556</v>
      </c>
      <c r="C45" s="8" t="n">
        <v>7530</v>
      </c>
      <c r="D45" s="8" t="s">
        <v>18</v>
      </c>
      <c r="E45" s="8" t="n">
        <v>24060</v>
      </c>
      <c r="F45" s="8" t="n">
        <v>15860</v>
      </c>
      <c r="G45" s="9" t="n">
        <v>8200</v>
      </c>
      <c r="H45" s="8" t="s">
        <v>11</v>
      </c>
      <c r="I45" s="8" t="s">
        <v>12</v>
      </c>
      <c r="J45" s="5" t="s">
        <v>13</v>
      </c>
      <c r="K45" s="5"/>
      <c r="L45" s="5"/>
    </row>
    <row r="46" customFormat="false" ht="15" hidden="false" customHeight="false" outlineLevel="0" collapsed="false">
      <c r="A46" s="6" t="n">
        <v>44746</v>
      </c>
      <c r="B46" s="7" t="n">
        <v>0.119444444444444</v>
      </c>
      <c r="C46" s="8" t="n">
        <v>7521</v>
      </c>
      <c r="D46" s="8" t="s">
        <v>20</v>
      </c>
      <c r="E46" s="8" t="n">
        <v>3380</v>
      </c>
      <c r="F46" s="8" t="n">
        <v>2700</v>
      </c>
      <c r="G46" s="9" t="n">
        <v>680</v>
      </c>
      <c r="H46" s="8" t="s">
        <v>11</v>
      </c>
      <c r="I46" s="8" t="s">
        <v>12</v>
      </c>
      <c r="J46" s="5" t="s">
        <v>13</v>
      </c>
      <c r="K46" s="5"/>
      <c r="L46" s="5"/>
    </row>
    <row r="47" customFormat="false" ht="15" hidden="false" customHeight="false" outlineLevel="0" collapsed="false">
      <c r="A47" s="6" t="n">
        <v>44746</v>
      </c>
      <c r="B47" s="7" t="n">
        <v>0.253472222222222</v>
      </c>
      <c r="C47" s="8" t="n">
        <v>7535</v>
      </c>
      <c r="D47" s="8" t="s">
        <v>14</v>
      </c>
      <c r="E47" s="8" t="n">
        <v>15480</v>
      </c>
      <c r="F47" s="8" t="n">
        <v>12700</v>
      </c>
      <c r="G47" s="9" t="n">
        <v>2780</v>
      </c>
      <c r="H47" s="8" t="s">
        <v>11</v>
      </c>
      <c r="I47" s="8" t="s">
        <v>12</v>
      </c>
      <c r="J47" s="5" t="s">
        <v>13</v>
      </c>
      <c r="K47" s="5"/>
      <c r="L47" s="5"/>
    </row>
    <row r="48" customFormat="false" ht="15" hidden="false" customHeight="false" outlineLevel="0" collapsed="false">
      <c r="A48" s="6" t="n">
        <v>44746</v>
      </c>
      <c r="B48" s="7" t="n">
        <v>0.128472222222222</v>
      </c>
      <c r="C48" s="8" t="n">
        <v>7522</v>
      </c>
      <c r="D48" s="8" t="s">
        <v>14</v>
      </c>
      <c r="E48" s="8" t="n">
        <v>19140</v>
      </c>
      <c r="F48" s="8" t="n">
        <v>12720</v>
      </c>
      <c r="G48" s="9" t="n">
        <v>6420</v>
      </c>
      <c r="H48" s="8" t="s">
        <v>11</v>
      </c>
      <c r="I48" s="8" t="s">
        <v>12</v>
      </c>
      <c r="J48" s="5" t="s">
        <v>13</v>
      </c>
      <c r="K48" s="5"/>
      <c r="L48" s="5"/>
    </row>
    <row r="49" customFormat="false" ht="15" hidden="false" customHeight="false" outlineLevel="0" collapsed="false">
      <c r="A49" s="6" t="n">
        <v>44746</v>
      </c>
      <c r="B49" s="7" t="n">
        <v>0.0493055555555556</v>
      </c>
      <c r="C49" s="8" t="n">
        <v>7516</v>
      </c>
      <c r="D49" s="8" t="s">
        <v>14</v>
      </c>
      <c r="E49" s="8" t="n">
        <v>21160</v>
      </c>
      <c r="F49" s="8" t="n">
        <v>12700</v>
      </c>
      <c r="G49" s="9" t="n">
        <v>8460</v>
      </c>
      <c r="H49" s="8" t="s">
        <v>11</v>
      </c>
      <c r="I49" s="8" t="s">
        <v>12</v>
      </c>
      <c r="J49" s="5" t="s">
        <v>13</v>
      </c>
      <c r="K49" s="5"/>
      <c r="L49" s="5"/>
    </row>
    <row r="50" customFormat="false" ht="15" hidden="false" customHeight="false" outlineLevel="0" collapsed="false">
      <c r="A50" s="6" t="n">
        <v>44746</v>
      </c>
      <c r="B50" s="7" t="n">
        <v>0.878472222222222</v>
      </c>
      <c r="C50" s="8" t="n">
        <v>7587</v>
      </c>
      <c r="D50" s="8" t="s">
        <v>10</v>
      </c>
      <c r="E50" s="8" t="n">
        <v>22040</v>
      </c>
      <c r="F50" s="8" t="n">
        <v>16020</v>
      </c>
      <c r="G50" s="9" t="n">
        <v>6020</v>
      </c>
      <c r="H50" s="8" t="s">
        <v>11</v>
      </c>
      <c r="I50" s="8" t="s">
        <v>12</v>
      </c>
      <c r="J50" s="5" t="s">
        <v>13</v>
      </c>
      <c r="K50" s="5"/>
      <c r="L50" s="5"/>
    </row>
    <row r="51" customFormat="false" ht="15" hidden="false" customHeight="false" outlineLevel="0" collapsed="false">
      <c r="A51" s="6" t="n">
        <v>44746</v>
      </c>
      <c r="B51" s="7" t="n">
        <v>0.732638888888889</v>
      </c>
      <c r="C51" s="8" t="n">
        <v>7584</v>
      </c>
      <c r="D51" s="8" t="s">
        <v>14</v>
      </c>
      <c r="E51" s="8" t="n">
        <v>16000</v>
      </c>
      <c r="F51" s="8" t="n">
        <v>12760</v>
      </c>
      <c r="G51" s="9" t="n">
        <v>3240</v>
      </c>
      <c r="H51" s="8" t="s">
        <v>11</v>
      </c>
      <c r="I51" s="8" t="s">
        <v>12</v>
      </c>
      <c r="J51" s="5" t="s">
        <v>13</v>
      </c>
      <c r="K51" s="5"/>
      <c r="L51" s="5"/>
    </row>
    <row r="52" customFormat="false" ht="15" hidden="false" customHeight="false" outlineLevel="0" collapsed="false">
      <c r="A52" s="6" t="n">
        <v>44747</v>
      </c>
      <c r="B52" s="7" t="n">
        <v>0.243055555555556</v>
      </c>
      <c r="C52" s="8" t="n">
        <v>7605</v>
      </c>
      <c r="D52" s="8" t="s">
        <v>14</v>
      </c>
      <c r="E52" s="8" t="n">
        <v>20180</v>
      </c>
      <c r="F52" s="8" t="n">
        <v>12760</v>
      </c>
      <c r="G52" s="9" t="n">
        <v>7420</v>
      </c>
      <c r="H52" s="8" t="s">
        <v>11</v>
      </c>
      <c r="I52" s="8" t="s">
        <v>12</v>
      </c>
      <c r="J52" s="5" t="s">
        <v>13</v>
      </c>
      <c r="K52" s="5"/>
      <c r="L52" s="5"/>
    </row>
    <row r="53" customFormat="false" ht="15" hidden="false" customHeight="false" outlineLevel="0" collapsed="false">
      <c r="A53" s="6" t="n">
        <v>44747</v>
      </c>
      <c r="B53" s="7" t="n">
        <v>0.0604166666666667</v>
      </c>
      <c r="C53" s="8" t="n">
        <v>7589</v>
      </c>
      <c r="D53" s="8" t="s">
        <v>14</v>
      </c>
      <c r="E53" s="8" t="n">
        <v>21040</v>
      </c>
      <c r="F53" s="8" t="n">
        <v>12780</v>
      </c>
      <c r="G53" s="9" t="n">
        <v>8260</v>
      </c>
      <c r="H53" s="8" t="s">
        <v>11</v>
      </c>
      <c r="I53" s="8" t="s">
        <v>12</v>
      </c>
      <c r="J53" s="5" t="s">
        <v>13</v>
      </c>
      <c r="K53" s="5"/>
      <c r="L53" s="5"/>
    </row>
    <row r="54" customFormat="false" ht="15" hidden="false" customHeight="false" outlineLevel="0" collapsed="false">
      <c r="A54" s="6" t="n">
        <v>44747</v>
      </c>
      <c r="B54" s="7" t="n">
        <v>0.243055555555556</v>
      </c>
      <c r="C54" s="8" t="n">
        <v>1606</v>
      </c>
      <c r="D54" s="8" t="s">
        <v>10</v>
      </c>
      <c r="E54" s="8" t="n">
        <v>20900</v>
      </c>
      <c r="F54" s="8" t="n">
        <v>16000</v>
      </c>
      <c r="G54" s="9" t="n">
        <v>4900</v>
      </c>
      <c r="H54" s="8" t="s">
        <v>11</v>
      </c>
      <c r="I54" s="8" t="s">
        <v>12</v>
      </c>
      <c r="J54" s="5" t="s">
        <v>13</v>
      </c>
      <c r="K54" s="5"/>
      <c r="L54" s="5"/>
    </row>
    <row r="55" customFormat="false" ht="15" hidden="false" customHeight="false" outlineLevel="0" collapsed="false">
      <c r="A55" s="6" t="n">
        <v>44747</v>
      </c>
      <c r="B55" s="7" t="n">
        <v>0.24375</v>
      </c>
      <c r="C55" s="8" t="n">
        <v>7607</v>
      </c>
      <c r="D55" s="8" t="s">
        <v>18</v>
      </c>
      <c r="E55" s="8" t="n">
        <v>25880</v>
      </c>
      <c r="F55" s="8" t="n">
        <v>15800</v>
      </c>
      <c r="G55" s="9" t="n">
        <v>10080</v>
      </c>
      <c r="H55" s="8" t="s">
        <v>11</v>
      </c>
      <c r="I55" s="8" t="s">
        <v>12</v>
      </c>
      <c r="J55" s="5" t="s">
        <v>13</v>
      </c>
      <c r="K55" s="5"/>
      <c r="L55" s="5"/>
    </row>
    <row r="56" customFormat="false" ht="15" hidden="false" customHeight="false" outlineLevel="0" collapsed="false">
      <c r="A56" s="6" t="n">
        <v>44747</v>
      </c>
      <c r="B56" s="7" t="n">
        <v>0.210416666666667</v>
      </c>
      <c r="C56" s="8" t="n">
        <v>7600</v>
      </c>
      <c r="D56" s="8" t="s">
        <v>15</v>
      </c>
      <c r="E56" s="8" t="n">
        <v>5100</v>
      </c>
      <c r="F56" s="8" t="n">
        <v>3700</v>
      </c>
      <c r="G56" s="9" t="n">
        <v>1400</v>
      </c>
      <c r="H56" s="8" t="s">
        <v>11</v>
      </c>
      <c r="I56" s="8" t="s">
        <v>12</v>
      </c>
      <c r="J56" s="5" t="s">
        <v>13</v>
      </c>
      <c r="K56" s="5"/>
      <c r="L56" s="5"/>
    </row>
    <row r="57" customFormat="false" ht="15" hidden="false" customHeight="false" outlineLevel="0" collapsed="false">
      <c r="A57" s="6" t="n">
        <v>44747</v>
      </c>
      <c r="B57" s="7" t="n">
        <v>0.209027777777778</v>
      </c>
      <c r="C57" s="8" t="n">
        <v>7599</v>
      </c>
      <c r="D57" s="8" t="s">
        <v>20</v>
      </c>
      <c r="E57" s="8" t="n">
        <v>3020</v>
      </c>
      <c r="F57" s="8" t="n">
        <v>2820</v>
      </c>
      <c r="G57" s="9" t="n">
        <v>200</v>
      </c>
      <c r="H57" s="8" t="s">
        <v>11</v>
      </c>
      <c r="I57" s="8" t="s">
        <v>12</v>
      </c>
      <c r="J57" s="5" t="s">
        <v>13</v>
      </c>
      <c r="K57" s="5"/>
      <c r="L57" s="5"/>
    </row>
    <row r="58" customFormat="false" ht="15" hidden="false" customHeight="false" outlineLevel="0" collapsed="false">
      <c r="A58" s="6" t="n">
        <v>44747</v>
      </c>
      <c r="B58" s="7" t="n">
        <v>0.452777777777778</v>
      </c>
      <c r="C58" s="8" t="n">
        <v>7627</v>
      </c>
      <c r="D58" s="8" t="s">
        <v>17</v>
      </c>
      <c r="E58" s="8" t="n">
        <v>2700</v>
      </c>
      <c r="F58" s="8" t="n">
        <v>2380</v>
      </c>
      <c r="G58" s="9" t="n">
        <v>320</v>
      </c>
      <c r="H58" s="8" t="s">
        <v>11</v>
      </c>
      <c r="I58" s="8" t="s">
        <v>12</v>
      </c>
      <c r="J58" s="5" t="s">
        <v>13</v>
      </c>
      <c r="K58" s="5"/>
      <c r="L58" s="5"/>
    </row>
    <row r="59" customFormat="false" ht="15" hidden="false" customHeight="false" outlineLevel="0" collapsed="false">
      <c r="A59" s="6" t="n">
        <v>44747</v>
      </c>
      <c r="B59" s="7" t="n">
        <v>0.360416666666667</v>
      </c>
      <c r="C59" s="8" t="n">
        <v>7618</v>
      </c>
      <c r="D59" s="8" t="s">
        <v>16</v>
      </c>
      <c r="E59" s="8" t="n">
        <v>3580</v>
      </c>
      <c r="F59" s="8" t="n">
        <v>2840</v>
      </c>
      <c r="G59" s="9" t="n">
        <v>740</v>
      </c>
      <c r="H59" s="8" t="s">
        <v>11</v>
      </c>
      <c r="I59" s="8" t="s">
        <v>12</v>
      </c>
      <c r="J59" s="5" t="s">
        <v>13</v>
      </c>
      <c r="K59" s="5"/>
      <c r="L59" s="5"/>
    </row>
    <row r="60" customFormat="false" ht="15" hidden="false" customHeight="false" outlineLevel="0" collapsed="false">
      <c r="A60" s="6" t="n">
        <v>44747</v>
      </c>
      <c r="B60" s="7" t="n">
        <v>0.465972222222222</v>
      </c>
      <c r="C60" s="8" t="n">
        <v>7631</v>
      </c>
      <c r="D60" s="8" t="s">
        <v>16</v>
      </c>
      <c r="E60" s="8" t="n">
        <v>2980</v>
      </c>
      <c r="F60" s="8" t="n">
        <v>2840</v>
      </c>
      <c r="G60" s="9" t="n">
        <v>140</v>
      </c>
      <c r="H60" s="8" t="s">
        <v>11</v>
      </c>
      <c r="I60" s="8" t="s">
        <v>12</v>
      </c>
      <c r="J60" s="5" t="s">
        <v>13</v>
      </c>
      <c r="K60" s="5"/>
      <c r="L60" s="5"/>
    </row>
    <row r="61" customFormat="false" ht="15" hidden="false" customHeight="false" outlineLevel="0" collapsed="false">
      <c r="A61" s="6" t="n">
        <v>44747</v>
      </c>
      <c r="B61" s="7" t="n">
        <v>0.478472222222222</v>
      </c>
      <c r="C61" s="8" t="n">
        <v>141673</v>
      </c>
      <c r="D61" s="8" t="s">
        <v>10</v>
      </c>
      <c r="E61" s="8" t="n">
        <v>17680</v>
      </c>
      <c r="F61" s="8" t="n">
        <v>15940</v>
      </c>
      <c r="G61" s="9" t="n">
        <v>1740</v>
      </c>
      <c r="H61" s="8" t="s">
        <v>11</v>
      </c>
      <c r="I61" s="8" t="s">
        <v>23</v>
      </c>
      <c r="J61" s="5" t="s">
        <v>13</v>
      </c>
      <c r="K61" s="5"/>
      <c r="L61" s="5"/>
    </row>
    <row r="62" customFormat="false" ht="15" hidden="false" customHeight="false" outlineLevel="0" collapsed="false">
      <c r="A62" s="6" t="n">
        <v>44747</v>
      </c>
      <c r="B62" s="7" t="n">
        <v>0.697916666666667</v>
      </c>
      <c r="C62" s="8" t="n">
        <v>7657</v>
      </c>
      <c r="D62" s="8" t="s">
        <v>14</v>
      </c>
      <c r="E62" s="8" t="n">
        <v>15340</v>
      </c>
      <c r="F62" s="8" t="n">
        <v>12700</v>
      </c>
      <c r="G62" s="9" t="n">
        <v>2640</v>
      </c>
      <c r="H62" s="8" t="s">
        <v>11</v>
      </c>
      <c r="I62" s="8" t="s">
        <v>12</v>
      </c>
      <c r="J62" s="5" t="s">
        <v>13</v>
      </c>
      <c r="K62" s="5"/>
      <c r="L62" s="5"/>
    </row>
    <row r="63" customFormat="false" ht="15" hidden="false" customHeight="false" outlineLevel="0" collapsed="false">
      <c r="A63" s="6" t="n">
        <v>44747</v>
      </c>
      <c r="B63" s="7" t="n">
        <v>0.871527777777778</v>
      </c>
      <c r="C63" s="8" t="n">
        <v>7664</v>
      </c>
      <c r="D63" s="7" t="s">
        <v>10</v>
      </c>
      <c r="E63" s="8" t="n">
        <v>22560</v>
      </c>
      <c r="F63" s="8" t="n">
        <v>16020</v>
      </c>
      <c r="G63" s="9" t="n">
        <v>6540</v>
      </c>
      <c r="H63" s="8" t="s">
        <v>11</v>
      </c>
      <c r="I63" s="8" t="s">
        <v>12</v>
      </c>
      <c r="J63" s="5" t="s">
        <v>13</v>
      </c>
      <c r="K63" s="5"/>
      <c r="L63" s="5"/>
    </row>
    <row r="64" customFormat="false" ht="15" hidden="false" customHeight="false" outlineLevel="0" collapsed="false">
      <c r="A64" s="6" t="n">
        <v>44747</v>
      </c>
      <c r="B64" s="7" t="n">
        <v>0.854166666666667</v>
      </c>
      <c r="C64" s="8" t="n">
        <v>7663</v>
      </c>
      <c r="D64" s="8" t="s">
        <v>17</v>
      </c>
      <c r="E64" s="8" t="n">
        <v>2620</v>
      </c>
      <c r="F64" s="8" t="n">
        <v>2400</v>
      </c>
      <c r="G64" s="9" t="n">
        <v>220</v>
      </c>
      <c r="H64" s="8" t="s">
        <v>11</v>
      </c>
      <c r="I64" s="8" t="s">
        <v>12</v>
      </c>
      <c r="J64" s="5" t="s">
        <v>13</v>
      </c>
      <c r="K64" s="5"/>
      <c r="L64" s="5"/>
    </row>
    <row r="65" customFormat="false" ht="13.8" hidden="false" customHeight="false" outlineLevel="0" collapsed="false">
      <c r="A65" s="6" t="n">
        <v>44748</v>
      </c>
      <c r="B65" s="7" t="n">
        <v>0.460416666666667</v>
      </c>
      <c r="C65" s="8" t="n">
        <v>7705</v>
      </c>
      <c r="D65" s="8" t="s">
        <v>16</v>
      </c>
      <c r="E65" s="8" t="n">
        <v>3420</v>
      </c>
      <c r="F65" s="8" t="n">
        <v>2880</v>
      </c>
      <c r="G65" s="9" t="n">
        <v>540</v>
      </c>
      <c r="H65" s="8" t="s">
        <v>11</v>
      </c>
      <c r="I65" s="8" t="s">
        <v>12</v>
      </c>
      <c r="J65" s="5" t="s">
        <v>13</v>
      </c>
      <c r="K65" s="5"/>
      <c r="L65" s="5"/>
    </row>
    <row r="66" customFormat="false" ht="13.8" hidden="false" customHeight="false" outlineLevel="0" collapsed="false">
      <c r="A66" s="6" t="n">
        <v>44748</v>
      </c>
      <c r="B66" s="7" t="n">
        <v>0.456944444444444</v>
      </c>
      <c r="C66" s="8" t="n">
        <v>7703</v>
      </c>
      <c r="D66" s="8" t="s">
        <v>17</v>
      </c>
      <c r="E66" s="8" t="n">
        <v>2640</v>
      </c>
      <c r="F66" s="8" t="n">
        <v>2360</v>
      </c>
      <c r="G66" s="9" t="n">
        <v>280</v>
      </c>
      <c r="H66" s="8" t="s">
        <v>11</v>
      </c>
      <c r="I66" s="8" t="s">
        <v>12</v>
      </c>
      <c r="J66" s="5" t="s">
        <v>13</v>
      </c>
      <c r="K66" s="5"/>
      <c r="L66" s="5"/>
    </row>
    <row r="67" customFormat="false" ht="13.8" hidden="false" customHeight="false" outlineLevel="0" collapsed="false">
      <c r="A67" s="6" t="n">
        <v>44748</v>
      </c>
      <c r="B67" s="7" t="n">
        <v>0.332638888888889</v>
      </c>
      <c r="C67" s="8" t="n">
        <v>7692</v>
      </c>
      <c r="D67" s="8" t="s">
        <v>25</v>
      </c>
      <c r="E67" s="8" t="n">
        <v>6940</v>
      </c>
      <c r="F67" s="8" t="n">
        <v>5680</v>
      </c>
      <c r="G67" s="9" t="n">
        <v>1260</v>
      </c>
      <c r="H67" s="8" t="s">
        <v>11</v>
      </c>
      <c r="I67" s="8" t="s">
        <v>22</v>
      </c>
      <c r="J67" s="5" t="s">
        <v>13</v>
      </c>
      <c r="K67" s="5"/>
      <c r="L67" s="5"/>
    </row>
    <row r="68" customFormat="false" ht="13.8" hidden="false" customHeight="false" outlineLevel="0" collapsed="false">
      <c r="A68" s="6" t="n">
        <v>44748</v>
      </c>
      <c r="B68" s="7" t="n">
        <v>0.226388888888889</v>
      </c>
      <c r="C68" s="8" t="n">
        <v>7677</v>
      </c>
      <c r="D68" s="8" t="s">
        <v>10</v>
      </c>
      <c r="E68" s="8" t="n">
        <v>19440</v>
      </c>
      <c r="F68" s="8" t="n">
        <v>16020</v>
      </c>
      <c r="G68" s="9" t="n">
        <v>3420</v>
      </c>
      <c r="H68" s="8" t="s">
        <v>11</v>
      </c>
      <c r="I68" s="8" t="s">
        <v>12</v>
      </c>
      <c r="J68" s="5" t="s">
        <v>13</v>
      </c>
      <c r="K68" s="5"/>
      <c r="L68" s="5"/>
    </row>
    <row r="69" customFormat="false" ht="13.8" hidden="false" customHeight="false" outlineLevel="0" collapsed="false">
      <c r="A69" s="6" t="n">
        <v>44748</v>
      </c>
      <c r="B69" s="7" t="n">
        <v>0.488888888888889</v>
      </c>
      <c r="C69" s="8" t="n">
        <v>7712</v>
      </c>
      <c r="D69" s="8" t="s">
        <v>25</v>
      </c>
      <c r="E69" s="8" t="n">
        <v>6320</v>
      </c>
      <c r="F69" s="8" t="n">
        <v>5660</v>
      </c>
      <c r="G69" s="9" t="n">
        <v>660</v>
      </c>
      <c r="H69" s="8" t="s">
        <v>11</v>
      </c>
      <c r="I69" s="8" t="s">
        <v>22</v>
      </c>
      <c r="J69" s="5" t="s">
        <v>13</v>
      </c>
      <c r="K69" s="5"/>
      <c r="L69" s="5"/>
    </row>
    <row r="70" customFormat="false" ht="13.8" hidden="false" customHeight="false" outlineLevel="0" collapsed="false">
      <c r="A70" s="6" t="n">
        <v>44748</v>
      </c>
      <c r="B70" s="7" t="n">
        <v>0.2125</v>
      </c>
      <c r="C70" s="8" t="n">
        <v>7675</v>
      </c>
      <c r="D70" s="8" t="s">
        <v>15</v>
      </c>
      <c r="E70" s="8" t="n">
        <v>5020</v>
      </c>
      <c r="F70" s="8" t="n">
        <v>3680</v>
      </c>
      <c r="G70" s="9" t="n">
        <v>1340</v>
      </c>
      <c r="H70" s="8" t="s">
        <v>11</v>
      </c>
      <c r="I70" s="8" t="s">
        <v>12</v>
      </c>
      <c r="J70" s="5" t="s">
        <v>13</v>
      </c>
      <c r="K70" s="5"/>
      <c r="L70" s="5"/>
    </row>
    <row r="71" customFormat="false" ht="13.8" hidden="false" customHeight="false" outlineLevel="0" collapsed="false">
      <c r="A71" s="6" t="n">
        <v>44748</v>
      </c>
      <c r="B71" s="7" t="n">
        <v>0.0895833333333333</v>
      </c>
      <c r="C71" s="8" t="n">
        <v>7668</v>
      </c>
      <c r="D71" s="8" t="s">
        <v>10</v>
      </c>
      <c r="E71" s="8" t="n">
        <v>24320</v>
      </c>
      <c r="F71" s="8" t="n">
        <v>15980</v>
      </c>
      <c r="G71" s="9" t="n">
        <v>8340</v>
      </c>
      <c r="H71" s="8" t="s">
        <v>11</v>
      </c>
      <c r="I71" s="8" t="s">
        <v>12</v>
      </c>
      <c r="J71" s="5" t="s">
        <v>13</v>
      </c>
      <c r="K71" s="5"/>
      <c r="L71" s="5"/>
    </row>
    <row r="72" customFormat="false" ht="13.8" hidden="false" customHeight="false" outlineLevel="0" collapsed="false">
      <c r="A72" s="6" t="n">
        <v>44748</v>
      </c>
      <c r="B72" s="7" t="n">
        <v>0.0645833333333333</v>
      </c>
      <c r="C72" s="8" t="n">
        <v>7667</v>
      </c>
      <c r="D72" s="8" t="s">
        <v>14</v>
      </c>
      <c r="E72" s="8" t="n">
        <v>21520</v>
      </c>
      <c r="F72" s="8" t="n">
        <v>12700</v>
      </c>
      <c r="G72" s="9" t="n">
        <v>8820</v>
      </c>
      <c r="H72" s="8" t="s">
        <v>11</v>
      </c>
      <c r="I72" s="8" t="s">
        <v>12</v>
      </c>
      <c r="J72" s="5" t="s">
        <v>13</v>
      </c>
      <c r="K72" s="5"/>
      <c r="L72" s="5"/>
    </row>
    <row r="73" customFormat="false" ht="13.8" hidden="false" customHeight="false" outlineLevel="0" collapsed="false">
      <c r="A73" s="6" t="n">
        <v>44748</v>
      </c>
      <c r="B73" s="7" t="n">
        <v>0.250694444444444</v>
      </c>
      <c r="C73" s="8" t="n">
        <v>7684</v>
      </c>
      <c r="D73" s="8" t="s">
        <v>14</v>
      </c>
      <c r="E73" s="8" t="n">
        <v>20840</v>
      </c>
      <c r="F73" s="8" t="n">
        <v>12720</v>
      </c>
      <c r="G73" s="9" t="n">
        <v>8120</v>
      </c>
      <c r="H73" s="8" t="s">
        <v>11</v>
      </c>
      <c r="I73" s="8" t="s">
        <v>12</v>
      </c>
      <c r="J73" s="5" t="s">
        <v>13</v>
      </c>
      <c r="K73" s="5"/>
      <c r="L73" s="5"/>
    </row>
    <row r="74" customFormat="false" ht="13.8" hidden="false" customHeight="false" outlineLevel="0" collapsed="false">
      <c r="A74" s="6" t="n">
        <v>44748</v>
      </c>
      <c r="B74" s="7" t="n">
        <v>0.877777777777778</v>
      </c>
      <c r="C74" s="8" t="n">
        <v>7740</v>
      </c>
      <c r="D74" s="8" t="s">
        <v>10</v>
      </c>
      <c r="E74" s="8" t="n">
        <v>23300</v>
      </c>
      <c r="F74" s="8" t="n">
        <v>16080</v>
      </c>
      <c r="G74" s="9" t="n">
        <v>7220</v>
      </c>
      <c r="H74" s="8" t="s">
        <v>11</v>
      </c>
      <c r="I74" s="8" t="s">
        <v>12</v>
      </c>
      <c r="J74" s="5" t="s">
        <v>13</v>
      </c>
      <c r="K74" s="5"/>
      <c r="L74" s="5"/>
    </row>
    <row r="75" customFormat="false" ht="13.8" hidden="false" customHeight="false" outlineLevel="0" collapsed="false">
      <c r="A75" s="6" t="n">
        <v>44748</v>
      </c>
      <c r="B75" s="7" t="n">
        <v>0.542361111111111</v>
      </c>
      <c r="C75" s="8" t="n">
        <v>7718</v>
      </c>
      <c r="D75" s="8" t="s">
        <v>20</v>
      </c>
      <c r="E75" s="8" t="n">
        <v>3080</v>
      </c>
      <c r="F75" s="8" t="n">
        <v>2800</v>
      </c>
      <c r="G75" s="9" t="n">
        <v>280</v>
      </c>
      <c r="H75" s="8" t="s">
        <v>11</v>
      </c>
      <c r="I75" s="8" t="s">
        <v>21</v>
      </c>
      <c r="J75" s="5" t="s">
        <v>13</v>
      </c>
      <c r="K75" s="5"/>
      <c r="L75" s="5"/>
    </row>
    <row r="76" customFormat="false" ht="13.8" hidden="false" customHeight="false" outlineLevel="0" collapsed="false">
      <c r="A76" s="6" t="n">
        <v>44748</v>
      </c>
      <c r="B76" s="7" t="n">
        <v>0.691666666666667</v>
      </c>
      <c r="C76" s="8" t="n">
        <v>7731</v>
      </c>
      <c r="D76" s="8" t="s">
        <v>14</v>
      </c>
      <c r="E76" s="8" t="n">
        <v>15080</v>
      </c>
      <c r="F76" s="8" t="n">
        <v>12760</v>
      </c>
      <c r="G76" s="9" t="n">
        <v>2320</v>
      </c>
      <c r="H76" s="8" t="s">
        <v>11</v>
      </c>
      <c r="I76" s="8" t="s">
        <v>12</v>
      </c>
      <c r="J76" s="5" t="s">
        <v>13</v>
      </c>
      <c r="K76" s="5"/>
      <c r="L76" s="5"/>
    </row>
    <row r="77" customFormat="false" ht="13.8" hidden="false" customHeight="false" outlineLevel="0" collapsed="false">
      <c r="A77" s="6" t="n">
        <v>44749</v>
      </c>
      <c r="B77" s="7" t="n">
        <v>0.215972222222222</v>
      </c>
      <c r="C77" s="8" t="n">
        <v>7754</v>
      </c>
      <c r="D77" s="8" t="s">
        <v>15</v>
      </c>
      <c r="E77" s="8" t="n">
        <v>4200</v>
      </c>
      <c r="F77" s="8" t="n">
        <v>3760</v>
      </c>
      <c r="G77" s="9" t="n">
        <v>440</v>
      </c>
      <c r="H77" s="8" t="s">
        <v>11</v>
      </c>
      <c r="I77" s="8" t="s">
        <v>12</v>
      </c>
      <c r="J77" s="5" t="s">
        <v>13</v>
      </c>
      <c r="K77" s="5"/>
      <c r="L77" s="5"/>
    </row>
    <row r="78" customFormat="false" ht="13.8" hidden="false" customHeight="false" outlineLevel="0" collapsed="false">
      <c r="A78" s="6" t="n">
        <v>44749</v>
      </c>
      <c r="B78" s="7" t="n">
        <v>0.249305555555556</v>
      </c>
      <c r="C78" s="8" t="n">
        <v>7760</v>
      </c>
      <c r="D78" s="8" t="s">
        <v>14</v>
      </c>
      <c r="E78" s="8" t="n">
        <v>20500</v>
      </c>
      <c r="F78" s="8" t="n">
        <v>12760</v>
      </c>
      <c r="G78" s="9" t="n">
        <v>7740</v>
      </c>
      <c r="H78" s="8" t="s">
        <v>11</v>
      </c>
      <c r="I78" s="8" t="s">
        <v>12</v>
      </c>
      <c r="J78" s="5" t="s">
        <v>13</v>
      </c>
      <c r="K78" s="5"/>
      <c r="L78" s="5"/>
    </row>
    <row r="79" customFormat="false" ht="13.8" hidden="false" customHeight="false" outlineLevel="0" collapsed="false">
      <c r="A79" s="6" t="n">
        <v>44749</v>
      </c>
      <c r="B79" s="7" t="n">
        <v>0.127777777777778</v>
      </c>
      <c r="C79" s="8" t="n">
        <v>7749</v>
      </c>
      <c r="D79" s="8" t="s">
        <v>15</v>
      </c>
      <c r="E79" s="8" t="n">
        <v>4420</v>
      </c>
      <c r="F79" s="8" t="n">
        <v>3580</v>
      </c>
      <c r="G79" s="9" t="n">
        <v>840</v>
      </c>
      <c r="H79" s="8" t="s">
        <v>11</v>
      </c>
      <c r="I79" s="8" t="s">
        <v>12</v>
      </c>
      <c r="J79" s="5" t="s">
        <v>13</v>
      </c>
      <c r="K79" s="5"/>
      <c r="L79" s="5"/>
    </row>
    <row r="80" customFormat="false" ht="13.8" hidden="false" customHeight="false" outlineLevel="0" collapsed="false">
      <c r="A80" s="6" t="n">
        <v>44749</v>
      </c>
      <c r="B80" s="7" t="n">
        <v>0.393055555555556</v>
      </c>
      <c r="C80" s="8" t="n">
        <v>7777</v>
      </c>
      <c r="D80" s="8" t="s">
        <v>16</v>
      </c>
      <c r="E80" s="8" t="n">
        <v>3200</v>
      </c>
      <c r="F80" s="8" t="n">
        <v>2860</v>
      </c>
      <c r="G80" s="9" t="n">
        <v>340</v>
      </c>
      <c r="H80" s="8" t="s">
        <v>11</v>
      </c>
      <c r="I80" s="8" t="s">
        <v>12</v>
      </c>
      <c r="J80" s="5" t="s">
        <v>13</v>
      </c>
      <c r="K80" s="5"/>
      <c r="L80" s="5"/>
    </row>
    <row r="81" customFormat="false" ht="13.8" hidden="false" customHeight="false" outlineLevel="0" collapsed="false">
      <c r="A81" s="6" t="n">
        <v>44749</v>
      </c>
      <c r="B81" s="7" t="n">
        <v>0.441666666666667</v>
      </c>
      <c r="C81" s="8" t="n">
        <v>7785</v>
      </c>
      <c r="D81" s="8" t="s">
        <v>17</v>
      </c>
      <c r="E81" s="8" t="n">
        <v>2600</v>
      </c>
      <c r="F81" s="8" t="n">
        <v>2340</v>
      </c>
      <c r="G81" s="9" t="n">
        <v>260</v>
      </c>
      <c r="H81" s="8" t="s">
        <v>11</v>
      </c>
      <c r="I81" s="8" t="s">
        <v>12</v>
      </c>
      <c r="J81" s="5" t="s">
        <v>13</v>
      </c>
      <c r="K81" s="5"/>
      <c r="L81" s="5"/>
    </row>
    <row r="82" customFormat="false" ht="13.8" hidden="false" customHeight="false" outlineLevel="0" collapsed="false">
      <c r="A82" s="6" t="n">
        <v>44749</v>
      </c>
      <c r="B82" s="7" t="n">
        <v>0.140972222222222</v>
      </c>
      <c r="C82" s="8" t="n">
        <v>7750</v>
      </c>
      <c r="D82" s="8" t="s">
        <v>10</v>
      </c>
      <c r="E82" s="8" t="n">
        <v>24580</v>
      </c>
      <c r="F82" s="8" t="n">
        <v>16060</v>
      </c>
      <c r="G82" s="9" t="n">
        <v>8520</v>
      </c>
      <c r="H82" s="8" t="s">
        <v>11</v>
      </c>
      <c r="I82" s="8" t="s">
        <v>12</v>
      </c>
      <c r="J82" s="5" t="s">
        <v>13</v>
      </c>
      <c r="K82" s="5"/>
      <c r="L82" s="5"/>
    </row>
    <row r="83" customFormat="false" ht="13.8" hidden="false" customHeight="false" outlineLevel="0" collapsed="false">
      <c r="A83" s="6" t="n">
        <v>44749</v>
      </c>
      <c r="B83" s="7" t="n">
        <v>0.25</v>
      </c>
      <c r="C83" s="8" t="n">
        <v>7761</v>
      </c>
      <c r="D83" s="8" t="s">
        <v>10</v>
      </c>
      <c r="E83" s="8" t="n">
        <v>20260</v>
      </c>
      <c r="F83" s="8" t="n">
        <v>16040</v>
      </c>
      <c r="G83" s="9" t="n">
        <v>4220</v>
      </c>
      <c r="H83" s="8" t="s">
        <v>11</v>
      </c>
      <c r="I83" s="8" t="s">
        <v>12</v>
      </c>
      <c r="J83" s="5" t="s">
        <v>13</v>
      </c>
      <c r="K83" s="5"/>
      <c r="L83" s="5"/>
    </row>
    <row r="84" customFormat="false" ht="13.8" hidden="false" customHeight="false" outlineLevel="0" collapsed="false">
      <c r="A84" s="6" t="n">
        <v>44749</v>
      </c>
      <c r="B84" s="7" t="n">
        <v>0.0576388888888889</v>
      </c>
      <c r="C84" s="8" t="n">
        <v>7743</v>
      </c>
      <c r="D84" s="8" t="s">
        <v>14</v>
      </c>
      <c r="E84" s="8" t="n">
        <v>21720</v>
      </c>
      <c r="F84" s="8" t="n">
        <v>12780</v>
      </c>
      <c r="G84" s="9" t="n">
        <v>8940</v>
      </c>
      <c r="H84" s="8" t="s">
        <v>11</v>
      </c>
      <c r="I84" s="8" t="s">
        <v>12</v>
      </c>
      <c r="J84" s="5" t="s">
        <v>13</v>
      </c>
      <c r="K84" s="5"/>
      <c r="L84" s="5"/>
    </row>
    <row r="85" customFormat="false" ht="13.8" hidden="false" customHeight="false" outlineLevel="0" collapsed="false">
      <c r="A85" s="6" t="n">
        <v>44749</v>
      </c>
      <c r="B85" s="7" t="n">
        <v>0.880555555555556</v>
      </c>
      <c r="C85" s="8" t="n">
        <v>7821</v>
      </c>
      <c r="D85" s="8" t="s">
        <v>10</v>
      </c>
      <c r="E85" s="8" t="n">
        <v>23200</v>
      </c>
      <c r="F85" s="8" t="n">
        <v>16080</v>
      </c>
      <c r="G85" s="9" t="n">
        <v>7120</v>
      </c>
      <c r="H85" s="8" t="s">
        <v>11</v>
      </c>
      <c r="I85" s="8" t="s">
        <v>12</v>
      </c>
      <c r="J85" s="5" t="s">
        <v>13</v>
      </c>
      <c r="K85" s="5"/>
      <c r="L85" s="5"/>
    </row>
    <row r="86" customFormat="false" ht="13.8" hidden="false" customHeight="false" outlineLevel="0" collapsed="false">
      <c r="A86" s="6" t="n">
        <v>44749</v>
      </c>
      <c r="B86" s="7" t="n">
        <v>0.704166666666667</v>
      </c>
      <c r="C86" s="8" t="n">
        <v>7813</v>
      </c>
      <c r="D86" s="8" t="s">
        <v>14</v>
      </c>
      <c r="E86" s="8" t="n">
        <v>15100</v>
      </c>
      <c r="F86" s="8" t="n">
        <v>12700</v>
      </c>
      <c r="G86" s="9" t="n">
        <v>2400</v>
      </c>
      <c r="H86" s="8" t="s">
        <v>11</v>
      </c>
      <c r="I86" s="8" t="s">
        <v>12</v>
      </c>
      <c r="J86" s="5" t="s">
        <v>13</v>
      </c>
      <c r="K86" s="5"/>
      <c r="L86" s="5"/>
    </row>
    <row r="87" customFormat="false" ht="13.8" hidden="false" customHeight="false" outlineLevel="0" collapsed="false">
      <c r="A87" s="6" t="n">
        <v>44749</v>
      </c>
      <c r="B87" s="7" t="n">
        <v>0.528472222222222</v>
      </c>
      <c r="C87" s="8" t="n">
        <v>7797</v>
      </c>
      <c r="D87" s="8" t="s">
        <v>20</v>
      </c>
      <c r="E87" s="8" t="n">
        <v>3180</v>
      </c>
      <c r="F87" s="8" t="n">
        <v>2780</v>
      </c>
      <c r="G87" s="9" t="n">
        <v>400</v>
      </c>
      <c r="H87" s="8" t="s">
        <v>11</v>
      </c>
      <c r="I87" s="8" t="s">
        <v>21</v>
      </c>
      <c r="J87" s="5" t="s">
        <v>13</v>
      </c>
      <c r="K87" s="5"/>
      <c r="L87" s="5"/>
    </row>
    <row r="88" customFormat="false" ht="13.8" hidden="false" customHeight="false" outlineLevel="0" collapsed="false">
      <c r="A88" s="6" t="n">
        <v>44749</v>
      </c>
      <c r="B88" s="7" t="n">
        <v>0.8625</v>
      </c>
      <c r="C88" s="8" t="n">
        <v>7819</v>
      </c>
      <c r="D88" s="8" t="s">
        <v>17</v>
      </c>
      <c r="E88" s="8" t="n">
        <v>2640</v>
      </c>
      <c r="F88" s="8" t="n">
        <v>2340</v>
      </c>
      <c r="G88" s="9" t="n">
        <v>300</v>
      </c>
      <c r="H88" s="8" t="s">
        <v>11</v>
      </c>
      <c r="I88" s="8" t="s">
        <v>12</v>
      </c>
      <c r="J88" s="5" t="s">
        <v>13</v>
      </c>
      <c r="K88" s="5"/>
      <c r="L88" s="5"/>
    </row>
    <row r="89" customFormat="false" ht="13.8" hidden="false" customHeight="false" outlineLevel="0" collapsed="false">
      <c r="A89" s="6" t="n">
        <v>44750</v>
      </c>
      <c r="B89" s="7" t="n">
        <v>0.235416666666667</v>
      </c>
      <c r="C89" s="8" t="n">
        <v>7841</v>
      </c>
      <c r="D89" s="8" t="s">
        <v>14</v>
      </c>
      <c r="E89" s="8" t="n">
        <v>20660</v>
      </c>
      <c r="F89" s="8" t="n">
        <v>12740</v>
      </c>
      <c r="G89" s="9" t="n">
        <v>7920</v>
      </c>
      <c r="H89" s="8" t="s">
        <v>11</v>
      </c>
      <c r="I89" s="8" t="s">
        <v>12</v>
      </c>
      <c r="J89" s="5" t="s">
        <v>13</v>
      </c>
      <c r="K89" s="5"/>
      <c r="L89" s="5"/>
    </row>
    <row r="90" customFormat="false" ht="13.8" hidden="false" customHeight="false" outlineLevel="0" collapsed="false">
      <c r="A90" s="6" t="n">
        <v>44750</v>
      </c>
      <c r="B90" s="7" t="n">
        <v>0.0701388888888889</v>
      </c>
      <c r="C90" s="8" t="n">
        <v>7825</v>
      </c>
      <c r="D90" s="8" t="s">
        <v>14</v>
      </c>
      <c r="E90" s="8" t="n">
        <v>21320</v>
      </c>
      <c r="F90" s="8" t="n">
        <v>12720</v>
      </c>
      <c r="G90" s="9" t="n">
        <v>8600</v>
      </c>
      <c r="H90" s="8" t="s">
        <v>11</v>
      </c>
      <c r="I90" s="8" t="s">
        <v>12</v>
      </c>
      <c r="J90" s="5" t="s">
        <v>13</v>
      </c>
      <c r="K90" s="5"/>
      <c r="L90" s="5"/>
    </row>
    <row r="91" customFormat="false" ht="13.8" hidden="false" customHeight="false" outlineLevel="0" collapsed="false">
      <c r="A91" s="6" t="n">
        <v>44750</v>
      </c>
      <c r="B91" s="7" t="n">
        <v>0.00972222222222222</v>
      </c>
      <c r="C91" s="8" t="n">
        <v>7824</v>
      </c>
      <c r="D91" s="8" t="s">
        <v>24</v>
      </c>
      <c r="E91" s="8" t="n">
        <v>15280</v>
      </c>
      <c r="F91" s="8" t="n">
        <v>12520</v>
      </c>
      <c r="G91" s="9" t="n">
        <v>2760</v>
      </c>
      <c r="H91" s="8" t="s">
        <v>11</v>
      </c>
      <c r="I91" s="8" t="s">
        <v>12</v>
      </c>
      <c r="J91" s="5" t="s">
        <v>13</v>
      </c>
      <c r="K91" s="5"/>
      <c r="L91" s="5"/>
    </row>
    <row r="92" customFormat="false" ht="13.8" hidden="false" customHeight="false" outlineLevel="0" collapsed="false">
      <c r="A92" s="6" t="n">
        <v>44750</v>
      </c>
      <c r="B92" s="7" t="n">
        <v>0.240972222222222</v>
      </c>
      <c r="C92" s="8" t="n">
        <v>7843</v>
      </c>
      <c r="D92" s="8" t="s">
        <v>10</v>
      </c>
      <c r="E92" s="8" t="n">
        <v>20380</v>
      </c>
      <c r="F92" s="8" t="n">
        <v>16060</v>
      </c>
      <c r="G92" s="9" t="n">
        <v>4320</v>
      </c>
      <c r="H92" s="8" t="s">
        <v>11</v>
      </c>
      <c r="I92" s="8" t="s">
        <v>12</v>
      </c>
      <c r="J92" s="5" t="s">
        <v>13</v>
      </c>
      <c r="K92" s="5"/>
      <c r="L92" s="5"/>
    </row>
    <row r="93" customFormat="false" ht="13.8" hidden="false" customHeight="false" outlineLevel="0" collapsed="false">
      <c r="A93" s="6" t="n">
        <v>44750</v>
      </c>
      <c r="B93" s="7" t="n">
        <v>0.123611111111111</v>
      </c>
      <c r="C93" s="8" t="n">
        <v>7831</v>
      </c>
      <c r="D93" s="8" t="s">
        <v>20</v>
      </c>
      <c r="E93" s="8" t="n">
        <v>3160</v>
      </c>
      <c r="F93" s="8" t="n">
        <v>2740</v>
      </c>
      <c r="G93" s="9" t="n">
        <v>420</v>
      </c>
      <c r="H93" s="8" t="s">
        <v>11</v>
      </c>
      <c r="I93" s="8" t="s">
        <v>12</v>
      </c>
      <c r="J93" s="5" t="s">
        <v>13</v>
      </c>
      <c r="K93" s="5"/>
      <c r="L93" s="5"/>
    </row>
    <row r="94" customFormat="false" ht="13.8" hidden="false" customHeight="false" outlineLevel="0" collapsed="false">
      <c r="A94" s="6" t="n">
        <v>44750</v>
      </c>
      <c r="B94" s="7" t="n">
        <v>0.184027777777778</v>
      </c>
      <c r="C94" s="8" t="n">
        <v>7834</v>
      </c>
      <c r="D94" s="8" t="s">
        <v>20</v>
      </c>
      <c r="E94" s="8" t="n">
        <v>3420</v>
      </c>
      <c r="F94" s="8" t="n">
        <v>2840</v>
      </c>
      <c r="G94" s="9" t="n">
        <v>580</v>
      </c>
      <c r="H94" s="8" t="s">
        <v>11</v>
      </c>
      <c r="I94" s="8" t="s">
        <v>12</v>
      </c>
      <c r="J94" s="5" t="s">
        <v>13</v>
      </c>
      <c r="K94" s="5"/>
      <c r="L94" s="5"/>
    </row>
    <row r="95" customFormat="false" ht="13.8" hidden="false" customHeight="false" outlineLevel="0" collapsed="false">
      <c r="A95" s="6" t="n">
        <v>44750</v>
      </c>
      <c r="B95" s="7" t="n">
        <v>0.222222222222222</v>
      </c>
      <c r="C95" s="8" t="n">
        <v>7836</v>
      </c>
      <c r="D95" s="8" t="s">
        <v>20</v>
      </c>
      <c r="E95" s="8" t="n">
        <v>3320</v>
      </c>
      <c r="F95" s="8" t="n">
        <v>2840</v>
      </c>
      <c r="G95" s="9" t="n">
        <v>480</v>
      </c>
      <c r="H95" s="8" t="s">
        <v>11</v>
      </c>
      <c r="I95" s="8" t="s">
        <v>12</v>
      </c>
      <c r="J95" s="5" t="s">
        <v>13</v>
      </c>
      <c r="K95" s="5"/>
      <c r="L95" s="5"/>
    </row>
    <row r="96" customFormat="false" ht="13.8" hidden="false" customHeight="false" outlineLevel="0" collapsed="false">
      <c r="A96" s="6" t="n">
        <v>44750</v>
      </c>
      <c r="B96" s="7" t="n">
        <v>0.225694444444444</v>
      </c>
      <c r="C96" s="8" t="n">
        <v>7840</v>
      </c>
      <c r="D96" s="8" t="s">
        <v>18</v>
      </c>
      <c r="E96" s="8" t="n">
        <v>25960</v>
      </c>
      <c r="F96" s="8" t="n">
        <v>15780</v>
      </c>
      <c r="G96" s="9" t="n">
        <v>10180</v>
      </c>
      <c r="H96" s="8" t="s">
        <v>11</v>
      </c>
      <c r="I96" s="8" t="s">
        <v>12</v>
      </c>
      <c r="J96" s="5" t="s">
        <v>13</v>
      </c>
      <c r="K96" s="5"/>
      <c r="L96" s="5"/>
    </row>
    <row r="97" customFormat="false" ht="13.8" hidden="false" customHeight="false" outlineLevel="0" collapsed="false">
      <c r="A97" s="6" t="n">
        <v>44748</v>
      </c>
      <c r="B97" s="7" t="n">
        <v>0.856944444444444</v>
      </c>
      <c r="C97" s="8" t="n">
        <v>7739</v>
      </c>
      <c r="D97" s="8" t="s">
        <v>17</v>
      </c>
      <c r="E97" s="8" t="n">
        <v>2640</v>
      </c>
      <c r="F97" s="8" t="n">
        <v>2360</v>
      </c>
      <c r="G97" s="9" t="n">
        <v>280</v>
      </c>
      <c r="H97" s="8" t="s">
        <v>11</v>
      </c>
      <c r="I97" s="8" t="s">
        <v>12</v>
      </c>
      <c r="J97" s="5" t="s">
        <v>13</v>
      </c>
      <c r="K97" s="5"/>
      <c r="L97" s="5"/>
    </row>
    <row r="98" customFormat="false" ht="15" hidden="false" customHeight="false" outlineLevel="0" collapsed="false">
      <c r="A98" s="6" t="n">
        <v>44750</v>
      </c>
      <c r="B98" s="7" t="n">
        <v>0.465972222222222</v>
      </c>
      <c r="C98" s="8" t="n">
        <v>7867</v>
      </c>
      <c r="D98" s="8" t="s">
        <v>17</v>
      </c>
      <c r="E98" s="8" t="n">
        <v>2680</v>
      </c>
      <c r="F98" s="8" t="n">
        <v>2380</v>
      </c>
      <c r="G98" s="9" t="n">
        <v>300</v>
      </c>
      <c r="H98" s="8" t="s">
        <v>11</v>
      </c>
      <c r="I98" s="8" t="s">
        <v>12</v>
      </c>
      <c r="J98" s="5" t="s">
        <v>13</v>
      </c>
      <c r="K98" s="5"/>
      <c r="L98" s="5"/>
    </row>
    <row r="99" customFormat="false" ht="15" hidden="false" customHeight="false" outlineLevel="0" collapsed="false">
      <c r="A99" s="6" t="n">
        <v>44750</v>
      </c>
      <c r="B99" s="7" t="n">
        <v>0.327777777777778</v>
      </c>
      <c r="C99" s="8" t="n">
        <v>7854</v>
      </c>
      <c r="D99" s="8" t="s">
        <v>16</v>
      </c>
      <c r="E99" s="8" t="n">
        <v>3240</v>
      </c>
      <c r="F99" s="8" t="n">
        <v>2960</v>
      </c>
      <c r="G99" s="9" t="n">
        <v>280</v>
      </c>
      <c r="H99" s="8" t="s">
        <v>11</v>
      </c>
      <c r="I99" s="8" t="s">
        <v>12</v>
      </c>
      <c r="J99" s="5" t="s">
        <v>13</v>
      </c>
      <c r="K99" s="5"/>
      <c r="L99" s="5"/>
    </row>
    <row r="100" customFormat="false" ht="15" hidden="false" customHeight="false" outlineLevel="0" collapsed="false">
      <c r="A100" s="6" t="n">
        <v>44750</v>
      </c>
      <c r="B100" s="7" t="n">
        <v>0.463888888888889</v>
      </c>
      <c r="C100" s="8" t="n">
        <v>7868</v>
      </c>
      <c r="D100" s="8" t="s">
        <v>16</v>
      </c>
      <c r="E100" s="8" t="n">
        <v>3620</v>
      </c>
      <c r="F100" s="8" t="n">
        <v>2940</v>
      </c>
      <c r="G100" s="9" t="n">
        <v>680</v>
      </c>
      <c r="H100" s="8" t="s">
        <v>11</v>
      </c>
      <c r="I100" s="8" t="s">
        <v>22</v>
      </c>
      <c r="J100" s="5" t="s">
        <v>13</v>
      </c>
      <c r="K100" s="5"/>
      <c r="L100" s="5"/>
    </row>
    <row r="101" customFormat="false" ht="15" hidden="false" customHeight="false" outlineLevel="0" collapsed="false">
      <c r="A101" s="6" t="n">
        <v>44750</v>
      </c>
      <c r="B101" s="7" t="n">
        <v>0.865277777777778</v>
      </c>
      <c r="C101" s="8" t="n">
        <v>7901</v>
      </c>
      <c r="D101" s="8" t="s">
        <v>16</v>
      </c>
      <c r="E101" s="8" t="n">
        <v>3000</v>
      </c>
      <c r="F101" s="8" t="n">
        <v>2860</v>
      </c>
      <c r="G101" s="9" t="n">
        <v>140</v>
      </c>
      <c r="H101" s="8" t="s">
        <v>11</v>
      </c>
      <c r="I101" s="6" t="s">
        <v>12</v>
      </c>
      <c r="J101" s="5" t="s">
        <v>13</v>
      </c>
      <c r="K101" s="5"/>
      <c r="L101" s="5"/>
    </row>
    <row r="102" customFormat="false" ht="15" hidden="false" customHeight="false" outlineLevel="0" collapsed="false">
      <c r="A102" s="6" t="n">
        <v>44750</v>
      </c>
      <c r="B102" s="7" t="n">
        <v>0.715972222222222</v>
      </c>
      <c r="C102" s="8" t="n">
        <v>7893</v>
      </c>
      <c r="D102" s="8" t="s">
        <v>14</v>
      </c>
      <c r="E102" s="8" t="n">
        <v>14900</v>
      </c>
      <c r="F102" s="8" t="n">
        <v>12780</v>
      </c>
      <c r="G102" s="9" t="n">
        <v>2120</v>
      </c>
      <c r="H102" s="8" t="s">
        <v>11</v>
      </c>
      <c r="I102" s="8" t="s">
        <v>12</v>
      </c>
      <c r="J102" s="5" t="s">
        <v>13</v>
      </c>
      <c r="K102" s="5"/>
      <c r="L102" s="5"/>
    </row>
    <row r="103" customFormat="false" ht="15" hidden="false" customHeight="false" outlineLevel="0" collapsed="false">
      <c r="A103" s="6" t="n">
        <v>44750</v>
      </c>
      <c r="B103" s="7" t="n">
        <v>0.885416666666667</v>
      </c>
      <c r="C103" s="8" t="n">
        <v>7903</v>
      </c>
      <c r="D103" s="8" t="s">
        <v>10</v>
      </c>
      <c r="E103" s="8" t="n">
        <v>23500</v>
      </c>
      <c r="F103" s="8" t="n">
        <v>16100</v>
      </c>
      <c r="G103" s="9" t="n">
        <v>7400</v>
      </c>
      <c r="H103" s="8" t="s">
        <v>11</v>
      </c>
      <c r="I103" s="8" t="s">
        <v>12</v>
      </c>
      <c r="J103" s="5" t="s">
        <v>13</v>
      </c>
      <c r="K103" s="5"/>
      <c r="L103" s="5"/>
    </row>
    <row r="104" customFormat="false" ht="15" hidden="false" customHeight="false" outlineLevel="0" collapsed="false">
      <c r="A104" s="6" t="n">
        <v>44750</v>
      </c>
      <c r="B104" s="7" t="n">
        <v>0.864583333333333</v>
      </c>
      <c r="C104" s="8" t="n">
        <v>7900</v>
      </c>
      <c r="D104" s="8" t="s">
        <v>17</v>
      </c>
      <c r="E104" s="8" t="n">
        <v>2540</v>
      </c>
      <c r="F104" s="8" t="n">
        <v>2340</v>
      </c>
      <c r="G104" s="9" t="n">
        <v>200</v>
      </c>
      <c r="H104" s="8" t="s">
        <v>11</v>
      </c>
      <c r="I104" s="8" t="s">
        <v>12</v>
      </c>
      <c r="J104" s="5" t="s">
        <v>13</v>
      </c>
      <c r="K104" s="5"/>
      <c r="L104" s="5"/>
    </row>
    <row r="105" customFormat="false" ht="15" hidden="false" customHeight="false" outlineLevel="0" collapsed="false">
      <c r="A105" s="6" t="n">
        <v>44750</v>
      </c>
      <c r="B105" s="7" t="n">
        <v>0.484027777777778</v>
      </c>
      <c r="C105" s="8" t="n">
        <v>141844</v>
      </c>
      <c r="D105" s="8" t="s">
        <v>10</v>
      </c>
      <c r="E105" s="8" t="n">
        <v>18080</v>
      </c>
      <c r="F105" s="8" t="n">
        <v>15880</v>
      </c>
      <c r="G105" s="9" t="n">
        <v>2200</v>
      </c>
      <c r="H105" s="8" t="s">
        <v>11</v>
      </c>
      <c r="I105" s="8" t="s">
        <v>23</v>
      </c>
      <c r="J105" s="5" t="s">
        <v>13</v>
      </c>
      <c r="K105" s="5"/>
      <c r="L105" s="5"/>
    </row>
    <row r="106" customFormat="false" ht="15" hidden="false" customHeight="false" outlineLevel="0" collapsed="false">
      <c r="A106" s="6" t="n">
        <v>44751</v>
      </c>
      <c r="B106" s="7" t="n">
        <v>0.895833333333333</v>
      </c>
      <c r="C106" s="8" t="n">
        <v>7956</v>
      </c>
      <c r="D106" s="8" t="s">
        <v>17</v>
      </c>
      <c r="E106" s="8" t="n">
        <v>2620</v>
      </c>
      <c r="F106" s="8" t="n">
        <v>2360</v>
      </c>
      <c r="G106" s="9" t="n">
        <v>260</v>
      </c>
      <c r="H106" s="8" t="s">
        <v>11</v>
      </c>
      <c r="I106" s="8" t="s">
        <v>12</v>
      </c>
      <c r="J106" s="5" t="s">
        <v>13</v>
      </c>
      <c r="K106" s="5"/>
      <c r="L106" s="5"/>
    </row>
    <row r="107" customFormat="false" ht="15" hidden="false" customHeight="false" outlineLevel="0" collapsed="false">
      <c r="A107" s="6" t="n">
        <v>44751</v>
      </c>
      <c r="B107" s="7" t="n">
        <v>0.859027777777778</v>
      </c>
      <c r="C107" s="8" t="n">
        <v>7954</v>
      </c>
      <c r="D107" s="8" t="s">
        <v>16</v>
      </c>
      <c r="E107" s="8" t="n">
        <v>3100</v>
      </c>
      <c r="F107" s="8" t="n">
        <v>2760</v>
      </c>
      <c r="G107" s="9" t="n">
        <v>340</v>
      </c>
      <c r="H107" s="8" t="s">
        <v>11</v>
      </c>
      <c r="I107" s="8" t="s">
        <v>12</v>
      </c>
      <c r="J107" s="5" t="s">
        <v>13</v>
      </c>
      <c r="K107" s="5"/>
      <c r="L107" s="5"/>
    </row>
    <row r="108" customFormat="false" ht="15" hidden="false" customHeight="false" outlineLevel="0" collapsed="false">
      <c r="A108" s="6" t="n">
        <v>44751</v>
      </c>
      <c r="B108" s="7" t="n">
        <v>0.466666666666667</v>
      </c>
      <c r="C108" s="8" t="n">
        <v>7946</v>
      </c>
      <c r="D108" s="8" t="s">
        <v>17</v>
      </c>
      <c r="E108" s="8" t="n">
        <v>2740</v>
      </c>
      <c r="F108" s="8" t="n">
        <v>2400</v>
      </c>
      <c r="G108" s="9" t="n">
        <v>340</v>
      </c>
      <c r="H108" s="8" t="s">
        <v>11</v>
      </c>
      <c r="I108" s="8" t="s">
        <v>12</v>
      </c>
      <c r="J108" s="5" t="s">
        <v>13</v>
      </c>
      <c r="K108" s="5"/>
      <c r="L108" s="5"/>
    </row>
    <row r="109" customFormat="false" ht="15" hidden="false" customHeight="false" outlineLevel="0" collapsed="false">
      <c r="A109" s="6" t="n">
        <v>44751</v>
      </c>
      <c r="B109" s="7" t="n">
        <v>0.433333333333333</v>
      </c>
      <c r="C109" s="8" t="n">
        <v>7941</v>
      </c>
      <c r="D109" s="8" t="s">
        <v>16</v>
      </c>
      <c r="E109" s="8" t="n">
        <v>3460</v>
      </c>
      <c r="F109" s="8" t="n">
        <v>2840</v>
      </c>
      <c r="G109" s="9" t="n">
        <v>620</v>
      </c>
      <c r="H109" s="8" t="s">
        <v>11</v>
      </c>
      <c r="I109" s="8" t="s">
        <v>12</v>
      </c>
      <c r="J109" s="5" t="s">
        <v>13</v>
      </c>
      <c r="K109" s="5"/>
      <c r="L109" s="5"/>
    </row>
    <row r="110" customFormat="false" ht="15" hidden="false" customHeight="false" outlineLevel="0" collapsed="false">
      <c r="A110" s="6" t="n">
        <v>44751</v>
      </c>
      <c r="B110" s="7" t="n">
        <v>0.159722222222222</v>
      </c>
      <c r="C110" s="8" t="n">
        <v>7913</v>
      </c>
      <c r="D110" s="8" t="s">
        <v>14</v>
      </c>
      <c r="E110" s="8" t="n">
        <v>22700</v>
      </c>
      <c r="F110" s="8" t="n">
        <v>12780</v>
      </c>
      <c r="G110" s="9" t="n">
        <v>9920</v>
      </c>
      <c r="H110" s="8" t="s">
        <v>11</v>
      </c>
      <c r="I110" s="8" t="s">
        <v>12</v>
      </c>
      <c r="J110" s="5" t="s">
        <v>13</v>
      </c>
      <c r="K110" s="5"/>
      <c r="L110" s="5"/>
    </row>
    <row r="111" customFormat="false" ht="15" hidden="false" customHeight="false" outlineLevel="0" collapsed="false">
      <c r="A111" s="6" t="n">
        <v>44751</v>
      </c>
      <c r="B111" s="7" t="n">
        <v>0.0534722222222222</v>
      </c>
      <c r="C111" s="8" t="n">
        <v>7905</v>
      </c>
      <c r="D111" s="8" t="s">
        <v>14</v>
      </c>
      <c r="E111" s="8" t="n">
        <v>21240</v>
      </c>
      <c r="F111" s="8" t="n">
        <v>12780</v>
      </c>
      <c r="G111" s="9" t="n">
        <v>8460</v>
      </c>
      <c r="H111" s="8" t="s">
        <v>11</v>
      </c>
      <c r="I111" s="8" t="s">
        <v>12</v>
      </c>
      <c r="J111" s="5" t="s">
        <v>13</v>
      </c>
      <c r="K111" s="5"/>
      <c r="L111" s="5"/>
    </row>
    <row r="112" customFormat="false" ht="15" hidden="false" customHeight="false" outlineLevel="0" collapsed="false">
      <c r="A112" s="6" t="n">
        <v>44751</v>
      </c>
      <c r="B112" s="7" t="n">
        <v>0.126388888888889</v>
      </c>
      <c r="C112" s="8" t="n">
        <v>7911</v>
      </c>
      <c r="D112" s="8" t="s">
        <v>15</v>
      </c>
      <c r="E112" s="8" t="n">
        <v>4580</v>
      </c>
      <c r="F112" s="8" t="n">
        <v>3600</v>
      </c>
      <c r="G112" s="9" t="n">
        <v>980</v>
      </c>
      <c r="H112" s="8" t="s">
        <v>11</v>
      </c>
      <c r="I112" s="8" t="s">
        <v>12</v>
      </c>
      <c r="J112" s="5" t="s">
        <v>13</v>
      </c>
      <c r="K112" s="5"/>
      <c r="L112" s="5"/>
    </row>
    <row r="113" customFormat="false" ht="15" hidden="false" customHeight="false" outlineLevel="0" collapsed="false">
      <c r="A113" s="6" t="n">
        <v>44751</v>
      </c>
      <c r="B113" s="7" t="n">
        <v>0.2125</v>
      </c>
      <c r="C113" s="8" t="n">
        <v>7916</v>
      </c>
      <c r="D113" s="8" t="s">
        <v>15</v>
      </c>
      <c r="E113" s="8" t="n">
        <v>4440</v>
      </c>
      <c r="F113" s="8" t="n">
        <v>3780</v>
      </c>
      <c r="G113" s="9" t="n">
        <v>660</v>
      </c>
      <c r="H113" s="8" t="s">
        <v>11</v>
      </c>
      <c r="I113" s="8" t="s">
        <v>12</v>
      </c>
      <c r="J113" s="5" t="s">
        <v>13</v>
      </c>
      <c r="K113" s="5"/>
      <c r="L113" s="5"/>
    </row>
    <row r="114" customFormat="false" ht="15" hidden="false" customHeight="false" outlineLevel="0" collapsed="false">
      <c r="A114" s="6" t="n">
        <v>44751</v>
      </c>
      <c r="B114" s="7" t="n">
        <v>0.205555555555556</v>
      </c>
      <c r="C114" s="8" t="n">
        <v>7915</v>
      </c>
      <c r="D114" s="8" t="s">
        <v>10</v>
      </c>
      <c r="E114" s="8" t="n">
        <v>25920</v>
      </c>
      <c r="F114" s="8" t="n">
        <v>16080</v>
      </c>
      <c r="G114" s="9" t="n">
        <v>9840</v>
      </c>
      <c r="H114" s="8" t="s">
        <v>11</v>
      </c>
      <c r="I114" s="8" t="s">
        <v>12</v>
      </c>
      <c r="J114" s="5" t="s">
        <v>13</v>
      </c>
      <c r="K114" s="5"/>
      <c r="L114" s="5"/>
    </row>
    <row r="115" customFormat="false" ht="15" hidden="false" customHeight="false" outlineLevel="0" collapsed="false">
      <c r="A115" s="6" t="n">
        <v>44751</v>
      </c>
      <c r="B115" s="7" t="n">
        <v>0.461111111111111</v>
      </c>
      <c r="C115" s="8" t="n">
        <v>7944</v>
      </c>
      <c r="D115" s="8" t="s">
        <v>10</v>
      </c>
      <c r="E115" s="8" t="n">
        <v>20240</v>
      </c>
      <c r="F115" s="8" t="n">
        <v>16020</v>
      </c>
      <c r="G115" s="9" t="n">
        <v>4220</v>
      </c>
      <c r="H115" s="8" t="s">
        <v>11</v>
      </c>
      <c r="I115" s="8" t="s">
        <v>12</v>
      </c>
      <c r="J115" s="5" t="s">
        <v>13</v>
      </c>
      <c r="K115" s="5"/>
      <c r="L115" s="5"/>
    </row>
    <row r="116" customFormat="false" ht="15" hidden="false" customHeight="false" outlineLevel="0" collapsed="false">
      <c r="A116" s="6" t="n">
        <v>44751</v>
      </c>
      <c r="B116" s="7" t="n">
        <v>0.708333333333333</v>
      </c>
      <c r="C116" s="8" t="n">
        <v>7953</v>
      </c>
      <c r="D116" s="8" t="s">
        <v>14</v>
      </c>
      <c r="E116" s="8" t="n">
        <v>15620</v>
      </c>
      <c r="F116" s="8" t="n">
        <v>12720</v>
      </c>
      <c r="G116" s="9" t="n">
        <v>2900</v>
      </c>
      <c r="H116" s="8" t="s">
        <v>11</v>
      </c>
      <c r="I116" s="8" t="s">
        <v>12</v>
      </c>
      <c r="J116" s="5" t="s">
        <v>13</v>
      </c>
      <c r="K116" s="5"/>
      <c r="L116" s="5"/>
    </row>
    <row r="117" customFormat="false" ht="15" hidden="false" customHeight="false" outlineLevel="0" collapsed="false">
      <c r="A117" s="6" t="n">
        <v>44751</v>
      </c>
      <c r="B117" s="7" t="n">
        <v>0.256944444444444</v>
      </c>
      <c r="C117" s="8" t="n">
        <v>7924</v>
      </c>
      <c r="D117" s="8" t="s">
        <v>18</v>
      </c>
      <c r="E117" s="8" t="n">
        <v>18120</v>
      </c>
      <c r="F117" s="8" t="n">
        <v>15660</v>
      </c>
      <c r="G117" s="9" t="n">
        <v>2460</v>
      </c>
      <c r="H117" s="8" t="s">
        <v>11</v>
      </c>
      <c r="I117" s="8" t="s">
        <v>12</v>
      </c>
      <c r="J117" s="5" t="s">
        <v>13</v>
      </c>
      <c r="K117" s="5"/>
      <c r="L117" s="5"/>
    </row>
    <row r="118" customFormat="false" ht="15" hidden="false" customHeight="false" outlineLevel="0" collapsed="false">
      <c r="A118" s="6" t="n">
        <v>44751</v>
      </c>
      <c r="B118" s="7" t="n">
        <v>0.44375</v>
      </c>
      <c r="C118" s="8" t="n">
        <v>141886</v>
      </c>
      <c r="D118" s="8" t="s">
        <v>26</v>
      </c>
      <c r="E118" s="8" t="n">
        <v>17940</v>
      </c>
      <c r="F118" s="8" t="n">
        <v>15980</v>
      </c>
      <c r="G118" s="9" t="n">
        <v>1960</v>
      </c>
      <c r="H118" s="8" t="s">
        <v>11</v>
      </c>
      <c r="I118" s="8" t="s">
        <v>23</v>
      </c>
      <c r="J118" s="5" t="s">
        <v>13</v>
      </c>
      <c r="K118" s="5"/>
      <c r="L118" s="5"/>
    </row>
    <row r="119" customFormat="false" ht="15" hidden="false" customHeight="false" outlineLevel="0" collapsed="false">
      <c r="A119" s="6" t="n">
        <v>44752</v>
      </c>
      <c r="B119" s="7" t="n">
        <v>0.249305555555556</v>
      </c>
      <c r="C119" s="8" t="n">
        <v>7974</v>
      </c>
      <c r="D119" s="8" t="s">
        <v>18</v>
      </c>
      <c r="E119" s="8" t="n">
        <v>27060</v>
      </c>
      <c r="F119" s="8" t="n">
        <v>15820</v>
      </c>
      <c r="G119" s="9" t="n">
        <v>11240</v>
      </c>
      <c r="H119" s="8" t="s">
        <v>11</v>
      </c>
      <c r="I119" s="8" t="s">
        <v>12</v>
      </c>
      <c r="J119" s="5" t="s">
        <v>13</v>
      </c>
      <c r="K119" s="5"/>
      <c r="L119" s="5"/>
    </row>
    <row r="120" customFormat="false" ht="15" hidden="false" customHeight="false" outlineLevel="0" collapsed="false">
      <c r="A120" s="6" t="n">
        <v>44752</v>
      </c>
      <c r="B120" s="7" t="n">
        <v>0.234027777777778</v>
      </c>
      <c r="C120" s="8" t="n">
        <v>7973</v>
      </c>
      <c r="D120" s="8" t="s">
        <v>14</v>
      </c>
      <c r="E120" s="8" t="n">
        <v>14600</v>
      </c>
      <c r="F120" s="8" t="n">
        <v>12660</v>
      </c>
      <c r="G120" s="9" t="n">
        <v>1940</v>
      </c>
      <c r="H120" s="8" t="s">
        <v>11</v>
      </c>
      <c r="I120" s="8" t="s">
        <v>12</v>
      </c>
      <c r="J120" s="5" t="s">
        <v>13</v>
      </c>
      <c r="K120" s="5"/>
      <c r="L120" s="5"/>
    </row>
    <row r="121" customFormat="false" ht="15" hidden="false" customHeight="false" outlineLevel="0" collapsed="false">
      <c r="A121" s="6" t="n">
        <v>44752</v>
      </c>
      <c r="B121" s="7" t="n">
        <v>0.0576388888888889</v>
      </c>
      <c r="C121" s="8" t="n">
        <v>7958</v>
      </c>
      <c r="D121" s="8" t="s">
        <v>14</v>
      </c>
      <c r="E121" s="8" t="n">
        <v>20020</v>
      </c>
      <c r="F121" s="8" t="n">
        <v>12680</v>
      </c>
      <c r="G121" s="9" t="n">
        <v>7340</v>
      </c>
      <c r="H121" s="8" t="s">
        <v>11</v>
      </c>
      <c r="I121" s="8" t="s">
        <v>12</v>
      </c>
      <c r="J121" s="5" t="s">
        <v>13</v>
      </c>
      <c r="K121" s="5"/>
      <c r="L121" s="5"/>
    </row>
    <row r="122" customFormat="false" ht="15" hidden="false" customHeight="false" outlineLevel="0" collapsed="false">
      <c r="A122" s="6" t="n">
        <v>44752</v>
      </c>
      <c r="B122" s="7" t="n">
        <v>0.174305555555556</v>
      </c>
      <c r="C122" s="8" t="n">
        <v>7966</v>
      </c>
      <c r="D122" s="8" t="s">
        <v>14</v>
      </c>
      <c r="E122" s="8" t="n">
        <v>22180</v>
      </c>
      <c r="F122" s="8" t="n">
        <v>12680</v>
      </c>
      <c r="G122" s="9" t="n">
        <v>9500</v>
      </c>
      <c r="H122" s="8" t="s">
        <v>11</v>
      </c>
      <c r="I122" s="8" t="s">
        <v>12</v>
      </c>
      <c r="J122" s="5" t="s">
        <v>13</v>
      </c>
      <c r="K122" s="5"/>
      <c r="L122" s="5"/>
    </row>
    <row r="123" customFormat="false" ht="15" hidden="false" customHeight="false" outlineLevel="0" collapsed="false">
      <c r="A123" s="6" t="n">
        <v>44752</v>
      </c>
      <c r="B123" s="7" t="n">
        <v>0.870138888888889</v>
      </c>
      <c r="C123" s="8" t="n">
        <v>7985</v>
      </c>
      <c r="D123" s="8" t="s">
        <v>16</v>
      </c>
      <c r="E123" s="8" t="n">
        <v>3100</v>
      </c>
      <c r="F123" s="8" t="n">
        <v>2860</v>
      </c>
      <c r="G123" s="9" t="n">
        <v>240</v>
      </c>
      <c r="H123" s="8" t="s">
        <v>11</v>
      </c>
      <c r="I123" s="8" t="s">
        <v>12</v>
      </c>
      <c r="J123" s="5" t="s">
        <v>13</v>
      </c>
      <c r="K123" s="5"/>
      <c r="L123" s="5"/>
    </row>
    <row r="124" customFormat="false" ht="15" hidden="false" customHeight="false" outlineLevel="0" collapsed="false">
      <c r="A124" s="6" t="n">
        <v>44752</v>
      </c>
      <c r="B124" s="7" t="n">
        <v>0.466666666666667</v>
      </c>
      <c r="C124" s="8" t="n">
        <v>7981</v>
      </c>
      <c r="D124" s="8" t="s">
        <v>17</v>
      </c>
      <c r="E124" s="8" t="n">
        <v>2740</v>
      </c>
      <c r="F124" s="8" t="n">
        <v>2380</v>
      </c>
      <c r="G124" s="9" t="n">
        <v>360</v>
      </c>
      <c r="H124" s="8" t="s">
        <v>11</v>
      </c>
      <c r="I124" s="8" t="s">
        <v>12</v>
      </c>
      <c r="J124" s="5" t="s">
        <v>13</v>
      </c>
      <c r="K124" s="5"/>
      <c r="L124" s="5"/>
    </row>
    <row r="125" customFormat="false" ht="15" hidden="false" customHeight="false" outlineLevel="0" collapsed="false">
      <c r="A125" s="6" t="n">
        <v>44752</v>
      </c>
      <c r="B125" s="7" t="n">
        <v>0.00902777777777778</v>
      </c>
      <c r="C125" s="8" t="n">
        <v>7957</v>
      </c>
      <c r="D125" s="8" t="s">
        <v>24</v>
      </c>
      <c r="E125" s="8" t="n">
        <v>14140</v>
      </c>
      <c r="F125" s="8" t="n">
        <v>12340</v>
      </c>
      <c r="G125" s="9" t="n">
        <v>1800</v>
      </c>
      <c r="H125" s="8" t="s">
        <v>11</v>
      </c>
      <c r="I125" s="8" t="s">
        <v>12</v>
      </c>
      <c r="J125" s="5" t="s">
        <v>13</v>
      </c>
      <c r="K125" s="5"/>
      <c r="L125" s="5"/>
    </row>
    <row r="126" customFormat="false" ht="15" hidden="false" customHeight="false" outlineLevel="0" collapsed="false">
      <c r="A126" s="6" t="n">
        <v>44752</v>
      </c>
      <c r="B126" s="7" t="n">
        <v>0.230555555555556</v>
      </c>
      <c r="C126" s="8" t="n">
        <v>7972</v>
      </c>
      <c r="D126" s="8" t="s">
        <v>10</v>
      </c>
      <c r="E126" s="8" t="n">
        <v>25380</v>
      </c>
      <c r="F126" s="8" t="n">
        <v>16140</v>
      </c>
      <c r="G126" s="9" t="n">
        <v>9240</v>
      </c>
      <c r="H126" s="8" t="s">
        <v>11</v>
      </c>
      <c r="I126" s="8" t="s">
        <v>12</v>
      </c>
      <c r="J126" s="5" t="s">
        <v>13</v>
      </c>
      <c r="K126" s="5"/>
      <c r="L126" s="5"/>
    </row>
    <row r="127" customFormat="false" ht="15" hidden="false" customHeight="false" outlineLevel="0" collapsed="false">
      <c r="A127" s="6" t="n">
        <v>44752</v>
      </c>
      <c r="B127" s="7" t="n">
        <v>0.453472222222222</v>
      </c>
      <c r="C127" s="8" t="n">
        <v>7980</v>
      </c>
      <c r="D127" s="8" t="s">
        <v>16</v>
      </c>
      <c r="E127" s="8" t="n">
        <v>3560</v>
      </c>
      <c r="F127" s="8" t="n">
        <v>2860</v>
      </c>
      <c r="G127" s="9" t="n">
        <v>700</v>
      </c>
      <c r="H127" s="8" t="s">
        <v>11</v>
      </c>
      <c r="I127" s="8" t="s">
        <v>12</v>
      </c>
      <c r="J127" s="5" t="s">
        <v>13</v>
      </c>
      <c r="K127" s="5"/>
      <c r="L127" s="5"/>
    </row>
    <row r="128" customFormat="false" ht="15" hidden="false" customHeight="false" outlineLevel="0" collapsed="false">
      <c r="A128" s="6" t="n">
        <v>44752</v>
      </c>
      <c r="B128" s="7" t="n">
        <v>0.879861111111111</v>
      </c>
      <c r="C128" s="8" t="n">
        <v>7986</v>
      </c>
      <c r="D128" s="8" t="s">
        <v>10</v>
      </c>
      <c r="E128" s="8" t="n">
        <v>27340</v>
      </c>
      <c r="F128" s="8" t="n">
        <v>16180</v>
      </c>
      <c r="G128" s="9" t="n">
        <v>11160</v>
      </c>
      <c r="H128" s="8" t="s">
        <v>11</v>
      </c>
      <c r="I128" s="8" t="s">
        <v>12</v>
      </c>
      <c r="J128" s="5" t="s">
        <v>13</v>
      </c>
      <c r="K128" s="5"/>
      <c r="L128" s="5"/>
    </row>
    <row r="129" customFormat="false" ht="15" hidden="false" customHeight="false" outlineLevel="0" collapsed="false">
      <c r="A129" s="6" t="n">
        <v>44752</v>
      </c>
      <c r="B129" s="7" t="n">
        <v>0.869444444444444</v>
      </c>
      <c r="C129" s="8" t="n">
        <v>7984</v>
      </c>
      <c r="D129" s="8" t="s">
        <v>17</v>
      </c>
      <c r="E129" s="8" t="n">
        <v>2640</v>
      </c>
      <c r="F129" s="8" t="n">
        <v>2340</v>
      </c>
      <c r="G129" s="9" t="n">
        <v>300</v>
      </c>
      <c r="H129" s="8" t="s">
        <v>11</v>
      </c>
      <c r="I129" s="8" t="s">
        <v>12</v>
      </c>
      <c r="J129" s="5" t="s">
        <v>13</v>
      </c>
      <c r="K129" s="5"/>
      <c r="L129" s="5"/>
    </row>
    <row r="130" customFormat="false" ht="15" hidden="false" customHeight="false" outlineLevel="0" collapsed="false">
      <c r="A130" s="6" t="n">
        <v>44752</v>
      </c>
      <c r="B130" s="7" t="n">
        <v>0.697222222222222</v>
      </c>
      <c r="C130" s="8" t="n">
        <v>7983</v>
      </c>
      <c r="D130" s="8" t="s">
        <v>14</v>
      </c>
      <c r="E130" s="8" t="n">
        <v>15220</v>
      </c>
      <c r="F130" s="8" t="n">
        <v>12780</v>
      </c>
      <c r="G130" s="9" t="n">
        <v>2440</v>
      </c>
      <c r="H130" s="8" t="s">
        <v>11</v>
      </c>
      <c r="I130" s="8" t="s">
        <v>12</v>
      </c>
      <c r="J130" s="5" t="s">
        <v>13</v>
      </c>
      <c r="K130" s="5"/>
      <c r="L130" s="5"/>
    </row>
    <row r="131" customFormat="false" ht="15" hidden="false" customHeight="false" outlineLevel="0" collapsed="false">
      <c r="A131" s="6" t="n">
        <v>44752</v>
      </c>
      <c r="B131" s="7" t="n">
        <v>0.191666666666667</v>
      </c>
      <c r="C131" s="8" t="n">
        <v>7967</v>
      </c>
      <c r="D131" s="8" t="s">
        <v>16</v>
      </c>
      <c r="E131" s="8" t="n">
        <v>3140</v>
      </c>
      <c r="F131" s="8" t="n">
        <v>2860</v>
      </c>
      <c r="G131" s="9" t="n">
        <v>280</v>
      </c>
      <c r="H131" s="8" t="s">
        <v>11</v>
      </c>
      <c r="I131" s="8" t="s">
        <v>12</v>
      </c>
      <c r="J131" s="5" t="s">
        <v>13</v>
      </c>
      <c r="K131" s="5"/>
      <c r="L131" s="5"/>
    </row>
    <row r="132" customFormat="false" ht="15" hidden="false" customHeight="false" outlineLevel="0" collapsed="false">
      <c r="A132" s="6" t="n">
        <v>44752</v>
      </c>
      <c r="B132" s="7" t="n">
        <v>0.219444444444444</v>
      </c>
      <c r="C132" s="8" t="n">
        <v>7970</v>
      </c>
      <c r="D132" s="8" t="s">
        <v>15</v>
      </c>
      <c r="E132" s="8" t="n">
        <v>4560</v>
      </c>
      <c r="F132" s="8" t="n">
        <v>3780</v>
      </c>
      <c r="G132" s="9" t="n">
        <v>780</v>
      </c>
      <c r="H132" s="8" t="s">
        <v>11</v>
      </c>
      <c r="I132" s="8" t="s">
        <v>12</v>
      </c>
      <c r="J132" s="5" t="s">
        <v>13</v>
      </c>
      <c r="K132" s="5"/>
      <c r="L132" s="5"/>
    </row>
    <row r="133" customFormat="false" ht="15" hidden="false" customHeight="false" outlineLevel="0" collapsed="false">
      <c r="A133" s="6" t="n">
        <v>44752</v>
      </c>
      <c r="B133" s="7" t="n">
        <v>0.128472222222222</v>
      </c>
      <c r="C133" s="8" t="n">
        <v>7963</v>
      </c>
      <c r="D133" s="8" t="s">
        <v>15</v>
      </c>
      <c r="E133" s="8" t="n">
        <v>4840</v>
      </c>
      <c r="F133" s="8" t="n">
        <v>3600</v>
      </c>
      <c r="G133" s="9" t="n">
        <v>1240</v>
      </c>
      <c r="H133" s="8" t="s">
        <v>11</v>
      </c>
      <c r="I133" s="8" t="s">
        <v>12</v>
      </c>
      <c r="J133" s="5" t="s">
        <v>13</v>
      </c>
      <c r="K133" s="5"/>
      <c r="L133" s="5"/>
    </row>
    <row r="134" customFormat="false" ht="15" hidden="false" customHeight="false" outlineLevel="0" collapsed="false">
      <c r="A134" s="6" t="n">
        <v>44753</v>
      </c>
      <c r="B134" s="7" t="n">
        <v>0.192361111111111</v>
      </c>
      <c r="C134" s="8" t="n">
        <v>7994</v>
      </c>
      <c r="D134" s="8" t="s">
        <v>16</v>
      </c>
      <c r="E134" s="8" t="n">
        <v>2940</v>
      </c>
      <c r="F134" s="8" t="n">
        <v>2860</v>
      </c>
      <c r="G134" s="9" t="n">
        <v>80</v>
      </c>
      <c r="H134" s="8" t="s">
        <v>11</v>
      </c>
      <c r="I134" s="8" t="s">
        <v>12</v>
      </c>
      <c r="J134" s="5" t="s">
        <v>13</v>
      </c>
      <c r="K134" s="5"/>
      <c r="L134" s="5"/>
    </row>
    <row r="135" customFormat="false" ht="15" hidden="false" customHeight="false" outlineLevel="0" collapsed="false">
      <c r="A135" s="6" t="n">
        <v>44753</v>
      </c>
      <c r="B135" s="7" t="n">
        <v>0.243055555555556</v>
      </c>
      <c r="C135" s="8" t="n">
        <v>8004</v>
      </c>
      <c r="D135" s="8" t="s">
        <v>10</v>
      </c>
      <c r="E135" s="8" t="n">
        <v>23240</v>
      </c>
      <c r="F135" s="8" t="n">
        <v>16160</v>
      </c>
      <c r="G135" s="9" t="n">
        <v>7080</v>
      </c>
      <c r="H135" s="8" t="s">
        <v>11</v>
      </c>
      <c r="I135" s="8" t="s">
        <v>12</v>
      </c>
      <c r="J135" s="5" t="s">
        <v>13</v>
      </c>
      <c r="K135" s="5"/>
      <c r="L135" s="5"/>
    </row>
    <row r="136" customFormat="false" ht="15" hidden="false" customHeight="false" outlineLevel="0" collapsed="false">
      <c r="A136" s="6" t="n">
        <v>44753</v>
      </c>
      <c r="B136" s="7" t="n">
        <v>0.211111111111111</v>
      </c>
      <c r="C136" s="8" t="n">
        <v>7995</v>
      </c>
      <c r="D136" s="8" t="s">
        <v>15</v>
      </c>
      <c r="E136" s="8" t="n">
        <v>4320</v>
      </c>
      <c r="F136" s="8" t="n">
        <v>3780</v>
      </c>
      <c r="G136" s="9" t="n">
        <v>540</v>
      </c>
      <c r="H136" s="8" t="s">
        <v>11</v>
      </c>
      <c r="I136" s="8" t="s">
        <v>12</v>
      </c>
      <c r="J136" s="5" t="s">
        <v>13</v>
      </c>
      <c r="K136" s="5"/>
      <c r="L136" s="5"/>
    </row>
    <row r="137" customFormat="false" ht="15" hidden="false" customHeight="false" outlineLevel="0" collapsed="false">
      <c r="A137" s="6" t="n">
        <v>44753</v>
      </c>
      <c r="B137" s="7" t="n">
        <v>0.113888888888889</v>
      </c>
      <c r="C137" s="8" t="n">
        <v>7991</v>
      </c>
      <c r="D137" s="8" t="s">
        <v>15</v>
      </c>
      <c r="E137" s="8" t="n">
        <v>4620</v>
      </c>
      <c r="F137" s="8" t="n">
        <v>3580</v>
      </c>
      <c r="G137" s="9" t="n">
        <v>1040</v>
      </c>
      <c r="H137" s="8" t="s">
        <v>11</v>
      </c>
      <c r="I137" s="8" t="s">
        <v>12</v>
      </c>
      <c r="J137" s="5" t="s">
        <v>13</v>
      </c>
      <c r="K137" s="5"/>
      <c r="L137" s="5"/>
    </row>
    <row r="138" customFormat="false" ht="15" hidden="false" customHeight="false" outlineLevel="0" collapsed="false">
      <c r="A138" s="6" t="n">
        <v>44753</v>
      </c>
      <c r="B138" s="7" t="n">
        <v>0.246527777777778</v>
      </c>
      <c r="C138" s="8" t="n">
        <v>8005</v>
      </c>
      <c r="D138" s="8" t="s">
        <v>14</v>
      </c>
      <c r="E138" s="8" t="n">
        <v>22820</v>
      </c>
      <c r="F138" s="8" t="n">
        <v>12760</v>
      </c>
      <c r="G138" s="9" t="n">
        <v>10060</v>
      </c>
      <c r="H138" s="8" t="s">
        <v>11</v>
      </c>
      <c r="I138" s="8" t="s">
        <v>12</v>
      </c>
      <c r="J138" s="5" t="s">
        <v>13</v>
      </c>
      <c r="K138" s="5"/>
      <c r="L138" s="5"/>
    </row>
    <row r="139" customFormat="false" ht="15" hidden="false" customHeight="false" outlineLevel="0" collapsed="false">
      <c r="A139" s="6" t="n">
        <v>44753</v>
      </c>
      <c r="B139" s="7" t="n">
        <v>0.0708333333333333</v>
      </c>
      <c r="C139" s="8" t="n">
        <v>7987</v>
      </c>
      <c r="D139" s="8" t="s">
        <v>14</v>
      </c>
      <c r="E139" s="8" t="n">
        <v>21100</v>
      </c>
      <c r="F139" s="8" t="n">
        <v>12760</v>
      </c>
      <c r="G139" s="9" t="n">
        <v>8340</v>
      </c>
      <c r="H139" s="8" t="s">
        <v>11</v>
      </c>
      <c r="I139" s="8" t="s">
        <v>12</v>
      </c>
      <c r="J139" s="5" t="s">
        <v>13</v>
      </c>
      <c r="K139" s="5"/>
      <c r="L139" s="5"/>
    </row>
    <row r="140" customFormat="false" ht="15" hidden="false" customHeight="false" outlineLevel="0" collapsed="false">
      <c r="A140" s="6" t="n">
        <v>44753</v>
      </c>
      <c r="B140" s="7" t="n">
        <v>0.242361111111111</v>
      </c>
      <c r="C140" s="8" t="n">
        <v>8002</v>
      </c>
      <c r="D140" s="8" t="s">
        <v>18</v>
      </c>
      <c r="E140" s="8" t="n">
        <v>25080</v>
      </c>
      <c r="F140" s="8" t="n">
        <v>15840</v>
      </c>
      <c r="G140" s="9" t="n">
        <v>9240</v>
      </c>
      <c r="H140" s="8" t="s">
        <v>11</v>
      </c>
      <c r="I140" s="8" t="s">
        <v>12</v>
      </c>
      <c r="J140" s="5" t="s">
        <v>13</v>
      </c>
      <c r="K140" s="5"/>
      <c r="L140" s="5"/>
    </row>
    <row r="141" customFormat="false" ht="15" hidden="false" customHeight="false" outlineLevel="0" collapsed="false">
      <c r="A141" s="6" t="n">
        <v>44753</v>
      </c>
      <c r="B141" s="7" t="n">
        <v>0.467361111111111</v>
      </c>
      <c r="C141" s="8" t="n">
        <v>8038</v>
      </c>
      <c r="D141" s="8" t="s">
        <v>16</v>
      </c>
      <c r="E141" s="8" t="n">
        <v>3280</v>
      </c>
      <c r="F141" s="8" t="n">
        <v>2820</v>
      </c>
      <c r="G141" s="9" t="n">
        <v>460</v>
      </c>
      <c r="H141" s="8" t="s">
        <v>11</v>
      </c>
      <c r="I141" s="8" t="s">
        <v>22</v>
      </c>
      <c r="J141" s="5" t="s">
        <v>13</v>
      </c>
      <c r="K141" s="5"/>
      <c r="L141" s="5"/>
    </row>
    <row r="142" customFormat="false" ht="15" hidden="false" customHeight="false" outlineLevel="0" collapsed="false">
      <c r="A142" s="6" t="n">
        <v>44753</v>
      </c>
      <c r="B142" s="7" t="n">
        <v>0.392361111111111</v>
      </c>
      <c r="C142" s="8" t="n">
        <v>8024</v>
      </c>
      <c r="D142" s="8" t="s">
        <v>16</v>
      </c>
      <c r="E142" s="8" t="n">
        <v>3060</v>
      </c>
      <c r="F142" s="8" t="n">
        <v>2820</v>
      </c>
      <c r="G142" s="9" t="n">
        <v>240</v>
      </c>
      <c r="H142" s="8" t="s">
        <v>11</v>
      </c>
      <c r="I142" s="8" t="s">
        <v>12</v>
      </c>
      <c r="J142" s="5" t="s">
        <v>13</v>
      </c>
      <c r="K142" s="5"/>
      <c r="L142" s="5"/>
    </row>
    <row r="143" customFormat="false" ht="15" hidden="false" customHeight="false" outlineLevel="0" collapsed="false">
      <c r="A143" s="6" t="n">
        <v>44753</v>
      </c>
      <c r="B143" s="7" t="n">
        <v>0.333333333333333</v>
      </c>
      <c r="C143" s="8" t="n">
        <v>8017</v>
      </c>
      <c r="D143" s="8" t="s">
        <v>16</v>
      </c>
      <c r="E143" s="8" t="n">
        <v>3360</v>
      </c>
      <c r="F143" s="8" t="n">
        <v>2840</v>
      </c>
      <c r="G143" s="9" t="n">
        <v>520</v>
      </c>
      <c r="H143" s="8" t="s">
        <v>11</v>
      </c>
      <c r="I143" s="8" t="s">
        <v>22</v>
      </c>
      <c r="J143" s="5" t="s">
        <v>13</v>
      </c>
      <c r="K143" s="5"/>
      <c r="L143" s="5"/>
    </row>
    <row r="144" customFormat="false" ht="15" hidden="false" customHeight="false" outlineLevel="0" collapsed="false">
      <c r="A144" s="6" t="n">
        <v>44753</v>
      </c>
      <c r="B144" s="7" t="n">
        <v>0.460416666666667</v>
      </c>
      <c r="C144" s="8" t="n">
        <v>8035</v>
      </c>
      <c r="D144" s="8" t="s">
        <v>17</v>
      </c>
      <c r="E144" s="8" t="n">
        <v>2720</v>
      </c>
      <c r="F144" s="8" t="n">
        <v>2400</v>
      </c>
      <c r="G144" s="9" t="n">
        <v>320</v>
      </c>
      <c r="H144" s="8" t="s">
        <v>11</v>
      </c>
      <c r="I144" s="8" t="s">
        <v>12</v>
      </c>
      <c r="J144" s="5" t="s">
        <v>13</v>
      </c>
      <c r="K144" s="5"/>
      <c r="L144" s="5"/>
    </row>
    <row r="145" customFormat="false" ht="15" hidden="false" customHeight="false" outlineLevel="0" collapsed="false">
      <c r="A145" s="6" t="n">
        <v>44753</v>
      </c>
      <c r="B145" s="7" t="n">
        <v>0.878472222222222</v>
      </c>
      <c r="C145" s="8" t="n">
        <v>8059</v>
      </c>
      <c r="D145" s="8" t="s">
        <v>10</v>
      </c>
      <c r="E145" s="8" t="n">
        <v>23840</v>
      </c>
      <c r="F145" s="8" t="n">
        <v>16200</v>
      </c>
      <c r="G145" s="9" t="n">
        <v>7640</v>
      </c>
      <c r="H145" s="8" t="s">
        <v>11</v>
      </c>
      <c r="I145" s="8" t="s">
        <v>12</v>
      </c>
      <c r="J145" s="5" t="s">
        <v>13</v>
      </c>
      <c r="K145" s="5"/>
      <c r="L145" s="5"/>
    </row>
    <row r="146" customFormat="false" ht="15" hidden="false" customHeight="false" outlineLevel="0" collapsed="false">
      <c r="A146" s="6" t="n">
        <v>44753</v>
      </c>
      <c r="B146" s="7" t="n">
        <v>0.493055555555556</v>
      </c>
      <c r="C146" s="8" t="n">
        <v>3089</v>
      </c>
      <c r="D146" s="8" t="s">
        <v>10</v>
      </c>
      <c r="E146" s="8" t="n">
        <v>18020</v>
      </c>
      <c r="F146" s="8" t="n">
        <v>16000</v>
      </c>
      <c r="G146" s="9" t="n">
        <v>2020</v>
      </c>
      <c r="H146" s="8" t="s">
        <v>11</v>
      </c>
      <c r="I146" s="8" t="s">
        <v>19</v>
      </c>
      <c r="J146" s="5" t="s">
        <v>13</v>
      </c>
      <c r="K146" s="5"/>
      <c r="L146" s="5"/>
    </row>
    <row r="147" customFormat="false" ht="15" hidden="false" customHeight="false" outlineLevel="0" collapsed="false">
      <c r="A147" s="6" t="n">
        <v>44753</v>
      </c>
      <c r="B147" s="7" t="n">
        <v>0.874305555555556</v>
      </c>
      <c r="C147" s="8" t="n">
        <v>8058</v>
      </c>
      <c r="D147" s="8" t="s">
        <v>17</v>
      </c>
      <c r="E147" s="8" t="n">
        <v>2600</v>
      </c>
      <c r="F147" s="8" t="n">
        <v>2360</v>
      </c>
      <c r="G147" s="9" t="n">
        <v>240</v>
      </c>
      <c r="H147" s="8" t="s">
        <v>11</v>
      </c>
      <c r="I147" s="8" t="s">
        <v>12</v>
      </c>
      <c r="J147" s="5" t="s">
        <v>13</v>
      </c>
      <c r="K147" s="5"/>
      <c r="L147" s="5"/>
    </row>
    <row r="148" customFormat="false" ht="15" hidden="false" customHeight="false" outlineLevel="0" collapsed="false">
      <c r="A148" s="6" t="n">
        <v>44753</v>
      </c>
      <c r="B148" s="7" t="n">
        <v>0.706944444444444</v>
      </c>
      <c r="C148" s="8" t="n">
        <v>8055</v>
      </c>
      <c r="D148" s="8" t="s">
        <v>14</v>
      </c>
      <c r="E148" s="8" t="n">
        <v>15300</v>
      </c>
      <c r="F148" s="8" t="n">
        <v>12700</v>
      </c>
      <c r="G148" s="9" t="n">
        <v>2600</v>
      </c>
      <c r="H148" s="8" t="s">
        <v>11</v>
      </c>
      <c r="I148" s="8" t="s">
        <v>12</v>
      </c>
      <c r="J148" s="5" t="s">
        <v>13</v>
      </c>
      <c r="K148" s="5"/>
      <c r="L148" s="5"/>
    </row>
    <row r="149" customFormat="false" ht="15" hidden="false" customHeight="false" outlineLevel="0" collapsed="false">
      <c r="A149" s="6" t="n">
        <v>44754</v>
      </c>
      <c r="B149" s="7" t="n">
        <v>0.236805555555556</v>
      </c>
      <c r="C149" s="8" t="n">
        <v>8077</v>
      </c>
      <c r="D149" s="8" t="s">
        <v>10</v>
      </c>
      <c r="E149" s="8" t="n">
        <v>22440</v>
      </c>
      <c r="F149" s="8" t="n">
        <v>16180</v>
      </c>
      <c r="G149" s="9" t="n">
        <v>6260</v>
      </c>
      <c r="H149" s="8" t="s">
        <v>11</v>
      </c>
      <c r="I149" s="8" t="s">
        <v>12</v>
      </c>
      <c r="J149" s="5" t="s">
        <v>13</v>
      </c>
      <c r="K149" s="5"/>
      <c r="L149" s="5"/>
    </row>
    <row r="150" customFormat="false" ht="15" hidden="false" customHeight="false" outlineLevel="0" collapsed="false">
      <c r="A150" s="6" t="n">
        <v>44754</v>
      </c>
      <c r="B150" s="7" t="n">
        <v>0.252083333333333</v>
      </c>
      <c r="C150" s="8" t="n">
        <v>8081</v>
      </c>
      <c r="D150" s="8" t="s">
        <v>24</v>
      </c>
      <c r="E150" s="8" t="n">
        <v>19760</v>
      </c>
      <c r="F150" s="8" t="n">
        <v>12440</v>
      </c>
      <c r="G150" s="9" t="n">
        <v>7320</v>
      </c>
      <c r="H150" s="8" t="s">
        <v>11</v>
      </c>
      <c r="I150" s="8" t="s">
        <v>12</v>
      </c>
      <c r="J150" s="5" t="s">
        <v>13</v>
      </c>
      <c r="K150" s="5"/>
      <c r="L150" s="5"/>
    </row>
    <row r="151" customFormat="false" ht="15" hidden="false" customHeight="false" outlineLevel="0" collapsed="false">
      <c r="A151" s="6" t="n">
        <v>44754</v>
      </c>
      <c r="B151" s="7" t="n">
        <v>0.211805555555556</v>
      </c>
      <c r="C151" s="8" t="n">
        <v>8072</v>
      </c>
      <c r="D151" s="8" t="s">
        <v>15</v>
      </c>
      <c r="E151" s="8" t="n">
        <v>5020</v>
      </c>
      <c r="F151" s="8" t="n">
        <v>3700</v>
      </c>
      <c r="G151" s="9" t="n">
        <v>1320</v>
      </c>
      <c r="H151" s="8" t="s">
        <v>11</v>
      </c>
      <c r="I151" s="8" t="s">
        <v>12</v>
      </c>
      <c r="J151" s="5" t="s">
        <v>13</v>
      </c>
      <c r="K151" s="5"/>
      <c r="L151" s="5"/>
    </row>
    <row r="152" customFormat="false" ht="15" hidden="false" customHeight="false" outlineLevel="0" collapsed="false">
      <c r="A152" s="6" t="n">
        <v>44754</v>
      </c>
      <c r="B152" s="7" t="n">
        <v>0.228472222222222</v>
      </c>
      <c r="C152" s="8" t="n">
        <v>8074</v>
      </c>
      <c r="D152" s="8" t="s">
        <v>18</v>
      </c>
      <c r="E152" s="8" t="n">
        <v>25120</v>
      </c>
      <c r="F152" s="8" t="n">
        <v>15780</v>
      </c>
      <c r="G152" s="9" t="n">
        <v>9340</v>
      </c>
      <c r="H152" s="8" t="s">
        <v>11</v>
      </c>
      <c r="I152" s="8" t="s">
        <v>12</v>
      </c>
      <c r="J152" s="5" t="s">
        <v>13</v>
      </c>
      <c r="K152" s="5"/>
      <c r="L152" s="5"/>
    </row>
    <row r="153" customFormat="false" ht="15" hidden="false" customHeight="false" outlineLevel="0" collapsed="false">
      <c r="A153" s="6" t="n">
        <v>44754</v>
      </c>
      <c r="B153" s="7" t="n">
        <v>0.211805555555556</v>
      </c>
      <c r="C153" s="8" t="n">
        <v>8073</v>
      </c>
      <c r="D153" s="8" t="s">
        <v>20</v>
      </c>
      <c r="E153" s="8" t="n">
        <v>3020</v>
      </c>
      <c r="F153" s="8" t="n">
        <v>2800</v>
      </c>
      <c r="G153" s="9" t="n">
        <v>220</v>
      </c>
      <c r="H153" s="8" t="s">
        <v>11</v>
      </c>
      <c r="I153" s="8" t="s">
        <v>12</v>
      </c>
      <c r="J153" s="5" t="s">
        <v>13</v>
      </c>
      <c r="K153" s="5"/>
      <c r="L153" s="5"/>
    </row>
    <row r="154" customFormat="false" ht="15" hidden="false" customHeight="false" outlineLevel="0" collapsed="false">
      <c r="A154" s="6" t="n">
        <v>44754</v>
      </c>
      <c r="B154" s="7" t="n">
        <v>0.0118055555555556</v>
      </c>
      <c r="C154" s="8" t="n">
        <v>8060</v>
      </c>
      <c r="D154" s="8" t="s">
        <v>24</v>
      </c>
      <c r="E154" s="8" t="n">
        <v>13700</v>
      </c>
      <c r="F154" s="8" t="n">
        <v>12440</v>
      </c>
      <c r="G154" s="9" t="n">
        <v>1260</v>
      </c>
      <c r="H154" s="8" t="s">
        <v>11</v>
      </c>
      <c r="I154" s="8" t="s">
        <v>12</v>
      </c>
      <c r="J154" s="5" t="s">
        <v>13</v>
      </c>
      <c r="K154" s="5"/>
      <c r="L154" s="5"/>
    </row>
    <row r="155" customFormat="false" ht="15" hidden="false" customHeight="false" outlineLevel="0" collapsed="false">
      <c r="A155" s="6" t="n">
        <v>44754</v>
      </c>
      <c r="B155" s="7" t="n">
        <v>0.458333333333333</v>
      </c>
      <c r="C155" s="8" t="n">
        <v>8107</v>
      </c>
      <c r="D155" s="8" t="s">
        <v>16</v>
      </c>
      <c r="E155" s="8" t="n">
        <v>3460</v>
      </c>
      <c r="F155" s="8" t="n">
        <v>2820</v>
      </c>
      <c r="G155" s="9" t="n">
        <v>640</v>
      </c>
      <c r="H155" s="8" t="s">
        <v>11</v>
      </c>
      <c r="I155" s="8" t="s">
        <v>12</v>
      </c>
      <c r="J155" s="5" t="s">
        <v>13</v>
      </c>
      <c r="K155" s="5"/>
      <c r="L155" s="5"/>
    </row>
    <row r="156" customFormat="false" ht="15" hidden="false" customHeight="false" outlineLevel="0" collapsed="false">
      <c r="A156" s="6" t="n">
        <v>44754</v>
      </c>
      <c r="B156" s="7" t="n">
        <v>0.539583333333333</v>
      </c>
      <c r="C156" s="8" t="n">
        <v>8115</v>
      </c>
      <c r="D156" s="8" t="s">
        <v>20</v>
      </c>
      <c r="E156" s="8" t="n">
        <v>3080</v>
      </c>
      <c r="F156" s="8" t="n">
        <v>2780</v>
      </c>
      <c r="G156" s="9" t="n">
        <v>300</v>
      </c>
      <c r="H156" s="8" t="s">
        <v>11</v>
      </c>
      <c r="I156" s="8" t="s">
        <v>21</v>
      </c>
      <c r="J156" s="5" t="s">
        <v>13</v>
      </c>
      <c r="K156" s="5"/>
      <c r="L156" s="5"/>
    </row>
    <row r="157" customFormat="false" ht="15" hidden="false" customHeight="false" outlineLevel="0" collapsed="false">
      <c r="A157" s="6" t="n">
        <v>44754</v>
      </c>
      <c r="B157" s="7" t="n">
        <v>0.465972222222222</v>
      </c>
      <c r="C157" s="8" t="n">
        <v>8108</v>
      </c>
      <c r="D157" s="8" t="s">
        <v>17</v>
      </c>
      <c r="E157" s="8" t="n">
        <v>2640</v>
      </c>
      <c r="F157" s="8" t="n">
        <v>2380</v>
      </c>
      <c r="G157" s="9" t="n">
        <v>260</v>
      </c>
      <c r="H157" s="8" t="s">
        <v>11</v>
      </c>
      <c r="I157" s="8" t="s">
        <v>12</v>
      </c>
      <c r="J157" s="5" t="s">
        <v>13</v>
      </c>
      <c r="K157" s="5"/>
      <c r="L157" s="5"/>
    </row>
    <row r="158" customFormat="false" ht="15" hidden="false" customHeight="false" outlineLevel="0" collapsed="false">
      <c r="A158" s="6" t="n">
        <v>44754</v>
      </c>
      <c r="B158" s="7" t="n">
        <v>0.709722222222222</v>
      </c>
      <c r="C158" s="8" t="n">
        <v>8128</v>
      </c>
      <c r="D158" s="8" t="s">
        <v>24</v>
      </c>
      <c r="E158" s="8" t="n">
        <v>15540</v>
      </c>
      <c r="F158" s="8" t="n">
        <v>12420</v>
      </c>
      <c r="G158" s="9" t="n">
        <v>3120</v>
      </c>
      <c r="H158" s="8" t="s">
        <v>11</v>
      </c>
      <c r="I158" s="8" t="s">
        <v>12</v>
      </c>
      <c r="J158" s="5" t="s">
        <v>13</v>
      </c>
      <c r="K158" s="5"/>
      <c r="L158" s="5"/>
    </row>
    <row r="159" customFormat="false" ht="15" hidden="false" customHeight="false" outlineLevel="0" collapsed="false">
      <c r="A159" s="6" t="n">
        <v>44754</v>
      </c>
      <c r="B159" s="7" t="n">
        <v>0.879166666666667</v>
      </c>
      <c r="C159" s="8" t="n">
        <v>8132</v>
      </c>
      <c r="D159" s="8" t="s">
        <v>10</v>
      </c>
      <c r="E159" s="8" t="n">
        <v>20020</v>
      </c>
      <c r="F159" s="8" t="n">
        <v>16180</v>
      </c>
      <c r="G159" s="9" t="n">
        <v>3840</v>
      </c>
      <c r="H159" s="8" t="s">
        <v>11</v>
      </c>
      <c r="I159" s="8" t="s">
        <v>12</v>
      </c>
      <c r="J159" s="5" t="s">
        <v>13</v>
      </c>
      <c r="K159" s="5"/>
      <c r="L159" s="5"/>
    </row>
    <row r="160" customFormat="false" ht="15" hidden="false" customHeight="false" outlineLevel="0" collapsed="false">
      <c r="A160" s="6" t="n">
        <v>44754</v>
      </c>
      <c r="B160" s="7" t="n">
        <v>0.86875</v>
      </c>
      <c r="C160" s="8" t="n">
        <v>8131</v>
      </c>
      <c r="D160" s="8" t="s">
        <v>17</v>
      </c>
      <c r="E160" s="8" t="n">
        <v>2620</v>
      </c>
      <c r="F160" s="8" t="n">
        <v>2380</v>
      </c>
      <c r="G160" s="9" t="n">
        <v>240</v>
      </c>
      <c r="H160" s="8" t="s">
        <v>11</v>
      </c>
      <c r="I160" s="8" t="s">
        <v>12</v>
      </c>
      <c r="J160" s="5" t="s">
        <v>13</v>
      </c>
      <c r="K160" s="5"/>
      <c r="L160" s="5"/>
    </row>
    <row r="161" customFormat="false" ht="15" hidden="false" customHeight="false" outlineLevel="0" collapsed="false">
      <c r="A161" s="6" t="n">
        <v>44754</v>
      </c>
      <c r="B161" s="7" t="n">
        <v>0.536805555555556</v>
      </c>
      <c r="C161" s="8" t="n">
        <v>142005</v>
      </c>
      <c r="D161" s="8" t="s">
        <v>18</v>
      </c>
      <c r="E161" s="8" t="n">
        <v>17160</v>
      </c>
      <c r="F161" s="8" t="n">
        <v>15700</v>
      </c>
      <c r="G161" s="9" t="n">
        <v>1460</v>
      </c>
      <c r="H161" s="8" t="s">
        <v>11</v>
      </c>
      <c r="I161" s="8" t="s">
        <v>23</v>
      </c>
      <c r="J161" s="5" t="s">
        <v>13</v>
      </c>
      <c r="K161" s="5"/>
      <c r="L161" s="5"/>
    </row>
    <row r="162" customFormat="false" ht="15" hidden="false" customHeight="false" outlineLevel="0" collapsed="false">
      <c r="A162" s="6" t="n">
        <v>44755</v>
      </c>
      <c r="B162" s="7" t="n">
        <v>0.248611111111111</v>
      </c>
      <c r="C162" s="8" t="n">
        <v>8152</v>
      </c>
      <c r="D162" s="8" t="s">
        <v>24</v>
      </c>
      <c r="E162" s="8" t="n">
        <v>20240</v>
      </c>
      <c r="F162" s="8" t="n">
        <v>12380</v>
      </c>
      <c r="G162" s="9" t="n">
        <v>7860</v>
      </c>
      <c r="H162" s="8" t="s">
        <v>11</v>
      </c>
      <c r="I162" s="8" t="s">
        <v>12</v>
      </c>
      <c r="J162" s="5" t="s">
        <v>13</v>
      </c>
      <c r="K162" s="5"/>
      <c r="L162" s="5"/>
    </row>
    <row r="163" customFormat="false" ht="15" hidden="false" customHeight="false" outlineLevel="0" collapsed="false">
      <c r="A163" s="6" t="n">
        <v>44755</v>
      </c>
      <c r="B163" s="7" t="n">
        <v>0.235416666666667</v>
      </c>
      <c r="C163" s="8" t="n">
        <v>8150</v>
      </c>
      <c r="D163" s="8" t="s">
        <v>10</v>
      </c>
      <c r="E163" s="8" t="n">
        <v>21480</v>
      </c>
      <c r="F163" s="8" t="n">
        <v>16160</v>
      </c>
      <c r="G163" s="9" t="n">
        <v>5320</v>
      </c>
      <c r="H163" s="8" t="s">
        <v>11</v>
      </c>
      <c r="I163" s="8" t="s">
        <v>12</v>
      </c>
      <c r="J163" s="5" t="s">
        <v>13</v>
      </c>
      <c r="K163" s="5"/>
      <c r="L163" s="5"/>
    </row>
    <row r="164" customFormat="false" ht="15" hidden="false" customHeight="false" outlineLevel="0" collapsed="false">
      <c r="A164" s="6" t="n">
        <v>44755</v>
      </c>
      <c r="B164" s="7" t="n">
        <v>0.2125</v>
      </c>
      <c r="C164" s="8" t="n">
        <v>8144</v>
      </c>
      <c r="D164" s="8" t="s">
        <v>15</v>
      </c>
      <c r="E164" s="8" t="n">
        <v>4300</v>
      </c>
      <c r="F164" s="8" t="n">
        <v>3680</v>
      </c>
      <c r="G164" s="9" t="n">
        <v>620</v>
      </c>
      <c r="H164" s="8" t="s">
        <v>11</v>
      </c>
      <c r="I164" s="8" t="s">
        <v>12</v>
      </c>
      <c r="J164" s="5" t="s">
        <v>13</v>
      </c>
      <c r="K164" s="5"/>
      <c r="L164" s="5"/>
    </row>
    <row r="165" customFormat="false" ht="15" hidden="false" customHeight="false" outlineLevel="0" collapsed="false">
      <c r="A165" s="6" t="n">
        <v>44755</v>
      </c>
      <c r="B165" s="7" t="n">
        <v>0.131944444444444</v>
      </c>
      <c r="C165" s="8" t="n">
        <v>8140</v>
      </c>
      <c r="D165" s="8" t="s">
        <v>15</v>
      </c>
      <c r="E165" s="8" t="n">
        <v>4640</v>
      </c>
      <c r="F165" s="8" t="n">
        <v>3600</v>
      </c>
      <c r="G165" s="9" t="n">
        <v>1040</v>
      </c>
      <c r="H165" s="8" t="s">
        <v>11</v>
      </c>
      <c r="I165" s="8" t="s">
        <v>12</v>
      </c>
      <c r="J165" s="5" t="s">
        <v>13</v>
      </c>
      <c r="K165" s="5"/>
      <c r="L165" s="5"/>
    </row>
    <row r="166" customFormat="false" ht="15" hidden="false" customHeight="false" outlineLevel="0" collapsed="false">
      <c r="A166" s="6" t="n">
        <v>44755</v>
      </c>
      <c r="B166" s="7" t="n">
        <v>0.144444444444444</v>
      </c>
      <c r="C166" s="8" t="n">
        <v>8141</v>
      </c>
      <c r="D166" s="8" t="s">
        <v>10</v>
      </c>
      <c r="E166" s="8" t="n">
        <v>26360</v>
      </c>
      <c r="F166" s="8" t="n">
        <v>16280</v>
      </c>
      <c r="G166" s="9" t="n">
        <v>10080</v>
      </c>
      <c r="H166" s="8" t="s">
        <v>11</v>
      </c>
      <c r="I166" s="8" t="s">
        <v>12</v>
      </c>
      <c r="J166" s="5" t="s">
        <v>13</v>
      </c>
      <c r="K166" s="5"/>
      <c r="L166" s="5"/>
    </row>
    <row r="167" customFormat="false" ht="15" hidden="false" customHeight="false" outlineLevel="0" collapsed="false">
      <c r="A167" s="6" t="n">
        <v>44755</v>
      </c>
      <c r="B167" s="7" t="n">
        <v>0.213194444444444</v>
      </c>
      <c r="C167" s="8" t="n">
        <v>8145</v>
      </c>
      <c r="D167" s="8" t="s">
        <v>20</v>
      </c>
      <c r="E167" s="8" t="n">
        <v>3140</v>
      </c>
      <c r="F167" s="8" t="n">
        <v>2840</v>
      </c>
      <c r="G167" s="9" t="n">
        <v>300</v>
      </c>
      <c r="H167" s="8" t="s">
        <v>11</v>
      </c>
      <c r="I167" s="8" t="s">
        <v>12</v>
      </c>
      <c r="J167" s="5" t="s">
        <v>13</v>
      </c>
      <c r="K167" s="5"/>
      <c r="L167" s="5"/>
    </row>
    <row r="168" customFormat="false" ht="15" hidden="false" customHeight="false" outlineLevel="0" collapsed="false">
      <c r="A168" s="6" t="n">
        <v>44755</v>
      </c>
      <c r="B168" s="7" t="n">
        <v>0.0701388888888889</v>
      </c>
      <c r="C168" s="8" t="n">
        <v>8133</v>
      </c>
      <c r="D168" s="8" t="s">
        <v>24</v>
      </c>
      <c r="E168" s="8" t="n">
        <v>21180</v>
      </c>
      <c r="F168" s="8" t="n">
        <v>12400</v>
      </c>
      <c r="G168" s="9" t="n">
        <v>8780</v>
      </c>
      <c r="H168" s="8" t="s">
        <v>11</v>
      </c>
      <c r="I168" s="8" t="s">
        <v>12</v>
      </c>
      <c r="J168" s="5" t="s">
        <v>13</v>
      </c>
      <c r="K168" s="5"/>
      <c r="L168" s="5"/>
    </row>
    <row r="169" customFormat="false" ht="15" hidden="false" customHeight="false" outlineLevel="0" collapsed="false">
      <c r="A169" s="6" t="n">
        <v>44755</v>
      </c>
      <c r="B169" s="7" t="n">
        <v>0.353472222222222</v>
      </c>
      <c r="C169" s="8" t="n">
        <v>142036</v>
      </c>
      <c r="D169" s="8" t="s">
        <v>18</v>
      </c>
      <c r="E169" s="8" t="n">
        <v>16600</v>
      </c>
      <c r="F169" s="8" t="n">
        <v>15700</v>
      </c>
      <c r="G169" s="9" t="n">
        <v>900</v>
      </c>
      <c r="H169" s="8" t="s">
        <v>11</v>
      </c>
      <c r="I169" s="8" t="s">
        <v>23</v>
      </c>
      <c r="J169" s="5" t="s">
        <v>13</v>
      </c>
      <c r="K169" s="5"/>
      <c r="L169" s="5"/>
    </row>
    <row r="170" customFormat="false" ht="15" hidden="false" customHeight="false" outlineLevel="0" collapsed="false">
      <c r="A170" s="6" t="n">
        <v>44755</v>
      </c>
      <c r="B170" s="7" t="n">
        <v>0.486805555555556</v>
      </c>
      <c r="C170" s="8" t="n">
        <v>8174</v>
      </c>
      <c r="D170" s="8" t="s">
        <v>25</v>
      </c>
      <c r="E170" s="8" t="n">
        <v>6560</v>
      </c>
      <c r="F170" s="8" t="n">
        <v>5620</v>
      </c>
      <c r="G170" s="9" t="n">
        <v>940</v>
      </c>
      <c r="H170" s="8" t="s">
        <v>11</v>
      </c>
      <c r="I170" s="8" t="s">
        <v>22</v>
      </c>
      <c r="J170" s="5" t="s">
        <v>13</v>
      </c>
      <c r="K170" s="5"/>
      <c r="L170" s="5"/>
    </row>
    <row r="171" customFormat="false" ht="15" hidden="false" customHeight="false" outlineLevel="0" collapsed="false">
      <c r="A171" s="6" t="n">
        <v>44755</v>
      </c>
      <c r="B171" s="7" t="n">
        <v>0.463888888888889</v>
      </c>
      <c r="C171" s="8" t="n">
        <v>8169</v>
      </c>
      <c r="D171" s="8" t="s">
        <v>17</v>
      </c>
      <c r="E171" s="8" t="n">
        <v>2740</v>
      </c>
      <c r="F171" s="8" t="n">
        <v>2380</v>
      </c>
      <c r="G171" s="9" t="n">
        <v>360</v>
      </c>
      <c r="H171" s="8" t="s">
        <v>11</v>
      </c>
      <c r="I171" s="8" t="s">
        <v>12</v>
      </c>
      <c r="J171" s="5" t="s">
        <v>13</v>
      </c>
      <c r="K171" s="5"/>
      <c r="L171" s="5"/>
    </row>
    <row r="172" customFormat="false" ht="15" hidden="false" customHeight="false" outlineLevel="0" collapsed="false">
      <c r="A172" s="6" t="n">
        <v>44755</v>
      </c>
      <c r="B172" s="7" t="n">
        <v>0.313888888888889</v>
      </c>
      <c r="C172" s="8" t="n">
        <v>8157</v>
      </c>
      <c r="D172" s="8" t="s">
        <v>16</v>
      </c>
      <c r="E172" s="8" t="n">
        <v>3520</v>
      </c>
      <c r="F172" s="8" t="n">
        <v>2880</v>
      </c>
      <c r="G172" s="9" t="n">
        <v>640</v>
      </c>
      <c r="H172" s="8" t="s">
        <v>11</v>
      </c>
      <c r="I172" s="8" t="s">
        <v>22</v>
      </c>
      <c r="J172" s="5" t="s">
        <v>13</v>
      </c>
      <c r="K172" s="5"/>
      <c r="L172" s="5"/>
    </row>
    <row r="173" customFormat="false" ht="15" hidden="false" customHeight="false" outlineLevel="0" collapsed="false">
      <c r="A173" s="6" t="n">
        <v>44755</v>
      </c>
      <c r="B173" s="7" t="n">
        <v>0.504861111111111</v>
      </c>
      <c r="C173" s="8" t="n">
        <v>8176</v>
      </c>
      <c r="D173" s="8" t="s">
        <v>16</v>
      </c>
      <c r="E173" s="8" t="n">
        <v>3200</v>
      </c>
      <c r="F173" s="8" t="n">
        <v>2780</v>
      </c>
      <c r="G173" s="9" t="n">
        <v>420</v>
      </c>
      <c r="H173" s="8" t="s">
        <v>11</v>
      </c>
      <c r="I173" s="8" t="s">
        <v>22</v>
      </c>
      <c r="J173" s="5" t="s">
        <v>13</v>
      </c>
      <c r="K173" s="5"/>
      <c r="L173" s="5"/>
    </row>
    <row r="174" customFormat="false" ht="15" hidden="false" customHeight="false" outlineLevel="0" collapsed="false">
      <c r="A174" s="6" t="n">
        <v>44755</v>
      </c>
      <c r="B174" s="7" t="n">
        <v>0.434722222222222</v>
      </c>
      <c r="C174" s="8" t="n">
        <v>8168</v>
      </c>
      <c r="D174" s="8" t="s">
        <v>16</v>
      </c>
      <c r="E174" s="8" t="n">
        <v>3540</v>
      </c>
      <c r="F174" s="8" t="n">
        <v>2880</v>
      </c>
      <c r="G174" s="9" t="n">
        <v>660</v>
      </c>
      <c r="H174" s="8" t="s">
        <v>11</v>
      </c>
      <c r="I174" s="8" t="s">
        <v>22</v>
      </c>
      <c r="J174" s="5" t="s">
        <v>13</v>
      </c>
      <c r="K174" s="5"/>
      <c r="L174" s="5"/>
    </row>
    <row r="175" customFormat="false" ht="15" hidden="false" customHeight="false" outlineLevel="0" collapsed="false">
      <c r="A175" s="6" t="n">
        <v>44755</v>
      </c>
      <c r="B175" s="7" t="n">
        <v>0.711111111111111</v>
      </c>
      <c r="C175" s="8" t="n">
        <v>8193</v>
      </c>
      <c r="D175" s="8" t="s">
        <v>24</v>
      </c>
      <c r="E175" s="8" t="n">
        <v>15800</v>
      </c>
      <c r="F175" s="8" t="n">
        <v>12340</v>
      </c>
      <c r="G175" s="9" t="n">
        <v>3460</v>
      </c>
      <c r="H175" s="8" t="s">
        <v>11</v>
      </c>
      <c r="I175" s="8" t="s">
        <v>12</v>
      </c>
      <c r="J175" s="5" t="s">
        <v>13</v>
      </c>
      <c r="K175" s="5"/>
      <c r="L175" s="5"/>
    </row>
    <row r="176" customFormat="false" ht="15" hidden="false" customHeight="false" outlineLevel="0" collapsed="false">
      <c r="A176" s="6" t="n">
        <v>44755</v>
      </c>
      <c r="B176" s="7" t="n">
        <v>0.888888888888889</v>
      </c>
      <c r="C176" s="8" t="n">
        <v>8202</v>
      </c>
      <c r="D176" s="8" t="s">
        <v>10</v>
      </c>
      <c r="E176" s="8" t="n">
        <v>24800</v>
      </c>
      <c r="F176" s="8" t="n">
        <v>16240</v>
      </c>
      <c r="G176" s="9" t="n">
        <v>8560</v>
      </c>
      <c r="H176" s="8" t="s">
        <v>11</v>
      </c>
      <c r="I176" s="8" t="s">
        <v>12</v>
      </c>
      <c r="J176" s="5" t="s">
        <v>13</v>
      </c>
      <c r="K176" s="5"/>
      <c r="L176" s="5"/>
    </row>
    <row r="177" customFormat="false" ht="15" hidden="false" customHeight="false" outlineLevel="0" collapsed="false">
      <c r="A177" s="6" t="n">
        <v>44755</v>
      </c>
      <c r="B177" s="7" t="n">
        <v>0.865972222222222</v>
      </c>
      <c r="C177" s="8" t="n">
        <v>8200</v>
      </c>
      <c r="D177" s="8" t="s">
        <v>17</v>
      </c>
      <c r="E177" s="8" t="n">
        <v>2660</v>
      </c>
      <c r="F177" s="8" t="n">
        <v>2360</v>
      </c>
      <c r="G177" s="9" t="n">
        <v>300</v>
      </c>
      <c r="H177" s="8" t="s">
        <v>11</v>
      </c>
      <c r="I177" s="8" t="s">
        <v>12</v>
      </c>
      <c r="J177" s="5" t="s">
        <v>13</v>
      </c>
      <c r="K177" s="5"/>
      <c r="L177" s="5"/>
    </row>
    <row r="178" customFormat="false" ht="15" hidden="false" customHeight="false" outlineLevel="0" collapsed="false">
      <c r="A178" s="6" t="n">
        <v>44755</v>
      </c>
      <c r="B178" s="7" t="n">
        <v>0.535416666666667</v>
      </c>
      <c r="C178" s="8" t="n">
        <v>8181</v>
      </c>
      <c r="D178" s="8" t="s">
        <v>20</v>
      </c>
      <c r="E178" s="8" t="n">
        <v>3240</v>
      </c>
      <c r="F178" s="8" t="n">
        <v>2800</v>
      </c>
      <c r="G178" s="9" t="n">
        <v>440</v>
      </c>
      <c r="H178" s="8" t="s">
        <v>11</v>
      </c>
      <c r="I178" s="8" t="s">
        <v>21</v>
      </c>
      <c r="J178" s="5" t="s">
        <v>13</v>
      </c>
      <c r="K178" s="5"/>
      <c r="L178" s="5"/>
    </row>
    <row r="179" customFormat="false" ht="15" hidden="false" customHeight="false" outlineLevel="0" collapsed="false">
      <c r="A179" s="6" t="n">
        <v>44756</v>
      </c>
      <c r="B179" s="7" t="n">
        <v>0.450694444444444</v>
      </c>
      <c r="C179" s="8" t="n">
        <v>8233</v>
      </c>
      <c r="D179" s="8" t="s">
        <v>16</v>
      </c>
      <c r="E179" s="8" t="n">
        <v>3440</v>
      </c>
      <c r="F179" s="8" t="n">
        <v>2840</v>
      </c>
      <c r="G179" s="9" t="n">
        <v>600</v>
      </c>
      <c r="H179" s="8" t="s">
        <v>11</v>
      </c>
      <c r="I179" s="8" t="s">
        <v>12</v>
      </c>
      <c r="J179" s="5" t="s">
        <v>13</v>
      </c>
      <c r="K179" s="5"/>
      <c r="L179" s="5"/>
    </row>
    <row r="180" customFormat="false" ht="15" hidden="false" customHeight="false" outlineLevel="0" collapsed="false">
      <c r="A180" s="6" t="n">
        <v>44756</v>
      </c>
      <c r="B180" s="7" t="n">
        <v>0.247222222222222</v>
      </c>
      <c r="C180" s="8" t="n">
        <v>8221</v>
      </c>
      <c r="D180" s="8" t="s">
        <v>10</v>
      </c>
      <c r="E180" s="8" t="n">
        <v>19540</v>
      </c>
      <c r="F180" s="8" t="n">
        <v>16220</v>
      </c>
      <c r="G180" s="9" t="n">
        <v>3320</v>
      </c>
      <c r="H180" s="8" t="s">
        <v>11</v>
      </c>
      <c r="I180" s="8" t="s">
        <v>12</v>
      </c>
      <c r="J180" s="5" t="s">
        <v>13</v>
      </c>
      <c r="K180" s="5"/>
      <c r="L180" s="5"/>
    </row>
    <row r="181" customFormat="false" ht="15" hidden="false" customHeight="false" outlineLevel="0" collapsed="false">
      <c r="A181" s="6" t="n">
        <v>44756</v>
      </c>
      <c r="B181" s="7" t="n">
        <v>0.535416666666667</v>
      </c>
      <c r="C181" s="8" t="n">
        <v>8238</v>
      </c>
      <c r="D181" s="8" t="s">
        <v>20</v>
      </c>
      <c r="E181" s="8" t="n">
        <v>3220</v>
      </c>
      <c r="F181" s="8" t="n">
        <v>2800</v>
      </c>
      <c r="G181" s="9" t="n">
        <v>420</v>
      </c>
      <c r="H181" s="8" t="s">
        <v>11</v>
      </c>
      <c r="I181" s="8" t="s">
        <v>21</v>
      </c>
      <c r="J181" s="5" t="s">
        <v>13</v>
      </c>
      <c r="K181" s="5"/>
      <c r="L181" s="5"/>
    </row>
    <row r="182" customFormat="false" ht="15" hidden="false" customHeight="false" outlineLevel="0" collapsed="false">
      <c r="A182" s="6" t="n">
        <v>44756</v>
      </c>
      <c r="B182" s="7" t="n">
        <v>0.363888888888889</v>
      </c>
      <c r="C182" s="8" t="n">
        <v>8228</v>
      </c>
      <c r="D182" s="8" t="s">
        <v>17</v>
      </c>
      <c r="E182" s="8" t="n">
        <v>2560</v>
      </c>
      <c r="F182" s="8" t="n">
        <v>2360</v>
      </c>
      <c r="G182" s="9" t="n">
        <v>200</v>
      </c>
      <c r="H182" s="8" t="s">
        <v>11</v>
      </c>
      <c r="I182" s="8" t="s">
        <v>12</v>
      </c>
      <c r="J182" s="5" t="s">
        <v>13</v>
      </c>
      <c r="K182" s="5"/>
      <c r="L182" s="5"/>
    </row>
    <row r="183" customFormat="false" ht="15" hidden="false" customHeight="false" outlineLevel="0" collapsed="false">
      <c r="A183" s="6" t="n">
        <v>44756</v>
      </c>
      <c r="B183" s="7" t="n">
        <v>0.140972222222222</v>
      </c>
      <c r="C183" s="8" t="n">
        <v>8209</v>
      </c>
      <c r="D183" s="8" t="s">
        <v>10</v>
      </c>
      <c r="E183" s="8" t="n">
        <v>26460</v>
      </c>
      <c r="F183" s="8" t="n">
        <v>16240</v>
      </c>
      <c r="G183" s="9" t="n">
        <v>10220</v>
      </c>
      <c r="H183" s="8" t="s">
        <v>11</v>
      </c>
      <c r="I183" s="8" t="s">
        <v>12</v>
      </c>
      <c r="J183" s="5" t="s">
        <v>13</v>
      </c>
      <c r="K183" s="5"/>
      <c r="L183" s="5"/>
    </row>
    <row r="184" customFormat="false" ht="15" hidden="false" customHeight="false" outlineLevel="0" collapsed="false">
      <c r="A184" s="6" t="n">
        <v>44756</v>
      </c>
      <c r="B184" s="7" t="n">
        <v>0.14375</v>
      </c>
      <c r="C184" s="8" t="n">
        <v>8210</v>
      </c>
      <c r="D184" s="8" t="s">
        <v>15</v>
      </c>
      <c r="E184" s="8" t="n">
        <v>4620</v>
      </c>
      <c r="F184" s="8" t="n">
        <v>3580</v>
      </c>
      <c r="G184" s="9" t="n">
        <v>1040</v>
      </c>
      <c r="H184" s="8" t="s">
        <v>11</v>
      </c>
      <c r="I184" s="8" t="s">
        <v>12</v>
      </c>
      <c r="J184" s="5" t="s">
        <v>13</v>
      </c>
      <c r="K184" s="5"/>
      <c r="L184" s="5"/>
    </row>
    <row r="185" customFormat="false" ht="15" hidden="false" customHeight="false" outlineLevel="0" collapsed="false">
      <c r="A185" s="6" t="n">
        <v>44756</v>
      </c>
      <c r="B185" s="7" t="n">
        <v>0.215972222222222</v>
      </c>
      <c r="C185" s="8" t="n">
        <v>8214</v>
      </c>
      <c r="D185" s="8" t="s">
        <v>15</v>
      </c>
      <c r="E185" s="8" t="n">
        <v>4340</v>
      </c>
      <c r="F185" s="8" t="n">
        <v>3780</v>
      </c>
      <c r="G185" s="9" t="n">
        <v>560</v>
      </c>
      <c r="H185" s="8" t="s">
        <v>11</v>
      </c>
      <c r="I185" s="8" t="s">
        <v>12</v>
      </c>
      <c r="J185" s="5" t="s">
        <v>13</v>
      </c>
      <c r="K185" s="5"/>
      <c r="L185" s="5"/>
    </row>
    <row r="186" customFormat="false" ht="15" hidden="false" customHeight="false" outlineLevel="0" collapsed="false">
      <c r="A186" s="6" t="n">
        <v>44756</v>
      </c>
      <c r="B186" s="7" t="n">
        <v>0.257638888888889</v>
      </c>
      <c r="C186" s="8" t="n">
        <v>8222</v>
      </c>
      <c r="D186" s="8" t="s">
        <v>24</v>
      </c>
      <c r="E186" s="8" t="n">
        <v>20520</v>
      </c>
      <c r="F186" s="8" t="n">
        <v>12460</v>
      </c>
      <c r="G186" s="9" t="n">
        <v>8060</v>
      </c>
      <c r="H186" s="8" t="s">
        <v>11</v>
      </c>
      <c r="I186" s="8" t="s">
        <v>12</v>
      </c>
      <c r="J186" s="5" t="s">
        <v>13</v>
      </c>
      <c r="K186" s="5"/>
      <c r="L186" s="5"/>
    </row>
    <row r="187" customFormat="false" ht="15" hidden="false" customHeight="false" outlineLevel="0" collapsed="false">
      <c r="A187" s="6" t="n">
        <v>44756</v>
      </c>
      <c r="B187" s="7" t="n">
        <v>0.0923611111111111</v>
      </c>
      <c r="C187" s="8" t="n">
        <v>8203</v>
      </c>
      <c r="D187" s="8" t="s">
        <v>24</v>
      </c>
      <c r="E187" s="8" t="n">
        <v>22020</v>
      </c>
      <c r="F187" s="8" t="n">
        <v>12600</v>
      </c>
      <c r="G187" s="9" t="n">
        <v>9420</v>
      </c>
      <c r="H187" s="8" t="s">
        <v>11</v>
      </c>
      <c r="I187" s="8" t="s">
        <v>12</v>
      </c>
      <c r="J187" s="5" t="s">
        <v>13</v>
      </c>
      <c r="K187" s="5"/>
      <c r="L187" s="5"/>
    </row>
    <row r="188" customFormat="false" ht="15" hidden="false" customHeight="false" outlineLevel="0" collapsed="false">
      <c r="A188" s="6" t="n">
        <v>44756</v>
      </c>
      <c r="B188" s="7" t="n">
        <v>0.880555555555556</v>
      </c>
      <c r="C188" s="8" t="n">
        <v>8263</v>
      </c>
      <c r="D188" s="8" t="s">
        <v>10</v>
      </c>
      <c r="E188" s="8" t="n">
        <v>24400</v>
      </c>
      <c r="F188" s="8" t="n">
        <v>16260</v>
      </c>
      <c r="G188" s="9" t="n">
        <v>8140</v>
      </c>
      <c r="H188" s="8" t="s">
        <v>11</v>
      </c>
      <c r="I188" s="6" t="s">
        <v>12</v>
      </c>
      <c r="J188" s="5" t="s">
        <v>13</v>
      </c>
      <c r="K188" s="5"/>
      <c r="L188" s="5"/>
    </row>
    <row r="189" customFormat="false" ht="15" hidden="false" customHeight="false" outlineLevel="0" collapsed="false">
      <c r="A189" s="6" t="n">
        <v>44756</v>
      </c>
      <c r="B189" s="7" t="n">
        <v>0.878472222222222</v>
      </c>
      <c r="C189" s="8" t="n">
        <v>8261</v>
      </c>
      <c r="D189" s="8" t="s">
        <v>17</v>
      </c>
      <c r="E189" s="8" t="n">
        <v>2600</v>
      </c>
      <c r="F189" s="8" t="n">
        <v>2360</v>
      </c>
      <c r="G189" s="9" t="n">
        <v>240</v>
      </c>
      <c r="H189" s="8" t="s">
        <v>11</v>
      </c>
      <c r="I189" s="8" t="s">
        <v>12</v>
      </c>
      <c r="J189" s="5" t="s">
        <v>13</v>
      </c>
      <c r="K189" s="5"/>
      <c r="L189" s="5"/>
    </row>
    <row r="190" customFormat="false" ht="15" hidden="false" customHeight="false" outlineLevel="0" collapsed="false">
      <c r="A190" s="6" t="n">
        <v>44756</v>
      </c>
      <c r="B190" s="7" t="n">
        <v>0.878472222222222</v>
      </c>
      <c r="C190" s="8" t="n">
        <v>8262</v>
      </c>
      <c r="D190" s="8" t="s">
        <v>16</v>
      </c>
      <c r="E190" s="8" t="n">
        <v>2900</v>
      </c>
      <c r="F190" s="8" t="n">
        <v>2840</v>
      </c>
      <c r="G190" s="9" t="n">
        <v>60</v>
      </c>
      <c r="H190" s="8" t="s">
        <v>11</v>
      </c>
      <c r="I190" s="8" t="s">
        <v>12</v>
      </c>
      <c r="J190" s="5" t="s">
        <v>13</v>
      </c>
      <c r="K190" s="5"/>
      <c r="L190" s="5"/>
    </row>
    <row r="191" customFormat="false" ht="15" hidden="false" customHeight="false" outlineLevel="0" collapsed="false">
      <c r="A191" s="6" t="n">
        <v>44756</v>
      </c>
      <c r="B191" s="7" t="n">
        <v>0.702777777777778</v>
      </c>
      <c r="C191" s="8" t="n">
        <v>8253</v>
      </c>
      <c r="D191" s="8" t="s">
        <v>14</v>
      </c>
      <c r="E191" s="8" t="n">
        <v>15080</v>
      </c>
      <c r="F191" s="8" t="n">
        <v>12720</v>
      </c>
      <c r="G191" s="9" t="n">
        <v>2360</v>
      </c>
      <c r="H191" s="8" t="s">
        <v>11</v>
      </c>
      <c r="I191" s="8" t="s">
        <v>12</v>
      </c>
      <c r="J191" s="5" t="s">
        <v>13</v>
      </c>
      <c r="K191" s="5"/>
      <c r="L191" s="5"/>
    </row>
    <row r="192" customFormat="false" ht="15" hidden="false" customHeight="false" outlineLevel="0" collapsed="false">
      <c r="A192" s="6" t="n">
        <v>44757</v>
      </c>
      <c r="B192" s="7" t="n">
        <v>0.252777777777778</v>
      </c>
      <c r="C192" s="8" t="n">
        <v>8284</v>
      </c>
      <c r="D192" s="8" t="s">
        <v>10</v>
      </c>
      <c r="E192" s="8" t="n">
        <v>27200</v>
      </c>
      <c r="F192" s="8" t="n">
        <v>16220</v>
      </c>
      <c r="G192" s="9" t="n">
        <v>10980</v>
      </c>
      <c r="H192" s="8" t="s">
        <v>11</v>
      </c>
      <c r="I192" s="8" t="s">
        <v>12</v>
      </c>
      <c r="J192" s="5" t="s">
        <v>13</v>
      </c>
      <c r="K192" s="5"/>
      <c r="L192" s="5"/>
    </row>
    <row r="193" customFormat="false" ht="15" hidden="false" customHeight="false" outlineLevel="0" collapsed="false">
      <c r="A193" s="6" t="n">
        <v>44757</v>
      </c>
      <c r="B193" s="7" t="n">
        <v>0.24375</v>
      </c>
      <c r="C193" s="8" t="n">
        <v>8281</v>
      </c>
      <c r="D193" s="8" t="s">
        <v>14</v>
      </c>
      <c r="E193" s="8" t="n">
        <v>22180</v>
      </c>
      <c r="F193" s="8" t="n">
        <v>12740</v>
      </c>
      <c r="G193" s="9" t="n">
        <v>9440</v>
      </c>
      <c r="H193" s="8" t="s">
        <v>11</v>
      </c>
      <c r="I193" s="8" t="s">
        <v>12</v>
      </c>
      <c r="J193" s="5" t="s">
        <v>13</v>
      </c>
      <c r="K193" s="5"/>
      <c r="L193" s="5"/>
    </row>
    <row r="194" customFormat="false" ht="15" hidden="false" customHeight="false" outlineLevel="0" collapsed="false">
      <c r="A194" s="6" t="n">
        <v>44757</v>
      </c>
      <c r="B194" s="7" t="n">
        <v>0.0520833333333333</v>
      </c>
      <c r="C194" s="8" t="n">
        <v>8266</v>
      </c>
      <c r="D194" s="8" t="s">
        <v>14</v>
      </c>
      <c r="E194" s="8" t="n">
        <v>20640</v>
      </c>
      <c r="F194" s="8" t="n">
        <v>12760</v>
      </c>
      <c r="G194" s="9" t="n">
        <v>7880</v>
      </c>
      <c r="H194" s="8" t="s">
        <v>11</v>
      </c>
      <c r="I194" s="8" t="s">
        <v>12</v>
      </c>
      <c r="J194" s="5" t="s">
        <v>13</v>
      </c>
      <c r="K194" s="5"/>
      <c r="L194" s="5"/>
    </row>
    <row r="195" customFormat="false" ht="15" hidden="false" customHeight="false" outlineLevel="0" collapsed="false">
      <c r="A195" s="6" t="n">
        <v>44757</v>
      </c>
      <c r="B195" s="7" t="n">
        <v>0.0131944444444444</v>
      </c>
      <c r="C195" s="8" t="n">
        <v>8265</v>
      </c>
      <c r="D195" s="8" t="s">
        <v>24</v>
      </c>
      <c r="E195" s="8" t="n">
        <v>13500</v>
      </c>
      <c r="F195" s="8" t="n">
        <v>12420</v>
      </c>
      <c r="G195" s="9" t="n">
        <v>1080</v>
      </c>
      <c r="H195" s="8" t="s">
        <v>11</v>
      </c>
      <c r="I195" s="8" t="s">
        <v>12</v>
      </c>
      <c r="J195" s="5" t="s">
        <v>13</v>
      </c>
      <c r="K195" s="5"/>
      <c r="L195" s="5"/>
    </row>
    <row r="196" customFormat="false" ht="15" hidden="false" customHeight="false" outlineLevel="0" collapsed="false">
      <c r="A196" s="6" t="n">
        <v>44757</v>
      </c>
      <c r="B196" s="7" t="n">
        <v>0.124305555555556</v>
      </c>
      <c r="C196" s="8" t="n">
        <v>8272</v>
      </c>
      <c r="D196" s="8" t="s">
        <v>15</v>
      </c>
      <c r="E196" s="8" t="n">
        <v>4640</v>
      </c>
      <c r="F196" s="8" t="n">
        <v>3620</v>
      </c>
      <c r="G196" s="9" t="n">
        <v>1020</v>
      </c>
      <c r="H196" s="8" t="s">
        <v>11</v>
      </c>
      <c r="I196" s="8" t="s">
        <v>12</v>
      </c>
      <c r="J196" s="5" t="s">
        <v>13</v>
      </c>
      <c r="K196" s="5"/>
      <c r="L196" s="5"/>
    </row>
    <row r="197" customFormat="false" ht="15" hidden="false" customHeight="false" outlineLevel="0" collapsed="false">
      <c r="A197" s="6" t="n">
        <v>44757</v>
      </c>
      <c r="B197" s="7" t="n">
        <v>0.445138888888889</v>
      </c>
      <c r="C197" s="8" t="n">
        <v>8304</v>
      </c>
      <c r="D197" s="8" t="s">
        <v>17</v>
      </c>
      <c r="E197" s="8" t="n">
        <v>2640</v>
      </c>
      <c r="F197" s="8" t="n">
        <v>2360</v>
      </c>
      <c r="G197" s="9" t="n">
        <v>280</v>
      </c>
      <c r="H197" s="8" t="s">
        <v>11</v>
      </c>
      <c r="I197" s="8" t="s">
        <v>12</v>
      </c>
      <c r="J197" s="5" t="s">
        <v>13</v>
      </c>
      <c r="K197" s="5"/>
      <c r="L197" s="5"/>
    </row>
    <row r="198" customFormat="false" ht="15" hidden="false" customHeight="false" outlineLevel="0" collapsed="false">
      <c r="A198" s="6" t="n">
        <v>44757</v>
      </c>
      <c r="B198" s="7" t="n">
        <v>0.325</v>
      </c>
      <c r="C198" s="8" t="n">
        <v>8291</v>
      </c>
      <c r="D198" s="8" t="s">
        <v>26</v>
      </c>
      <c r="E198" s="8" t="n">
        <v>18960</v>
      </c>
      <c r="F198" s="8" t="n">
        <v>15960</v>
      </c>
      <c r="G198" s="9" t="n">
        <v>3000</v>
      </c>
      <c r="H198" s="8" t="s">
        <v>11</v>
      </c>
      <c r="I198" s="8" t="s">
        <v>22</v>
      </c>
      <c r="J198" s="5" t="s">
        <v>13</v>
      </c>
      <c r="K198" s="5"/>
      <c r="L198" s="5"/>
    </row>
    <row r="199" customFormat="false" ht="15" hidden="false" customHeight="false" outlineLevel="0" collapsed="false">
      <c r="A199" s="6" t="n">
        <v>44757</v>
      </c>
      <c r="B199" s="7" t="n">
        <v>0.424305555555556</v>
      </c>
      <c r="C199" s="8" t="n">
        <v>8300</v>
      </c>
      <c r="D199" s="8" t="s">
        <v>26</v>
      </c>
      <c r="E199" s="8" t="n">
        <v>22680</v>
      </c>
      <c r="F199" s="8" t="n">
        <v>15300</v>
      </c>
      <c r="G199" s="9" t="n">
        <v>7380</v>
      </c>
      <c r="H199" s="8" t="s">
        <v>11</v>
      </c>
      <c r="I199" s="8" t="s">
        <v>27</v>
      </c>
      <c r="J199" s="5" t="s">
        <v>13</v>
      </c>
      <c r="K199" s="5"/>
      <c r="L199" s="5"/>
    </row>
    <row r="200" customFormat="false" ht="15" hidden="false" customHeight="false" outlineLevel="0" collapsed="false">
      <c r="A200" s="6" t="n">
        <v>44757</v>
      </c>
      <c r="B200" s="7" t="n">
        <v>0.2875</v>
      </c>
      <c r="C200" s="8" t="n">
        <v>8287</v>
      </c>
      <c r="D200" s="8" t="s">
        <v>26</v>
      </c>
      <c r="E200" s="8" t="n">
        <v>18060</v>
      </c>
      <c r="F200" s="8" t="n">
        <v>16220</v>
      </c>
      <c r="G200" s="9" t="n">
        <v>1840</v>
      </c>
      <c r="H200" s="8" t="s">
        <v>11</v>
      </c>
      <c r="I200" s="8" t="s">
        <v>22</v>
      </c>
      <c r="J200" s="5" t="s">
        <v>13</v>
      </c>
      <c r="K200" s="5"/>
      <c r="L200" s="5"/>
    </row>
    <row r="201" customFormat="false" ht="15" hidden="false" customHeight="false" outlineLevel="0" collapsed="false">
      <c r="A201" s="6" t="n">
        <v>44757</v>
      </c>
      <c r="B201" s="7" t="n">
        <v>0.715277777777778</v>
      </c>
      <c r="C201" s="8" t="n">
        <v>8331</v>
      </c>
      <c r="D201" s="8" t="s">
        <v>14</v>
      </c>
      <c r="E201" s="8" t="n">
        <v>15660</v>
      </c>
      <c r="F201" s="8" t="n">
        <v>12680</v>
      </c>
      <c r="G201" s="9" t="n">
        <v>2980</v>
      </c>
      <c r="H201" s="8" t="s">
        <v>11</v>
      </c>
      <c r="I201" s="8" t="s">
        <v>12</v>
      </c>
      <c r="J201" s="5" t="s">
        <v>13</v>
      </c>
      <c r="K201" s="5"/>
      <c r="L201" s="5"/>
    </row>
    <row r="202" customFormat="false" ht="15" hidden="false" customHeight="false" outlineLevel="0" collapsed="false">
      <c r="A202" s="6" t="n">
        <v>44757</v>
      </c>
      <c r="B202" s="7" t="n">
        <v>0.88125</v>
      </c>
      <c r="C202" s="8" t="n">
        <v>8339</v>
      </c>
      <c r="D202" s="8" t="s">
        <v>10</v>
      </c>
      <c r="E202" s="8" t="n">
        <v>23500</v>
      </c>
      <c r="F202" s="8" t="n">
        <v>15980</v>
      </c>
      <c r="G202" s="9" t="n">
        <v>7520</v>
      </c>
      <c r="H202" s="8" t="s">
        <v>11</v>
      </c>
      <c r="I202" s="8" t="s">
        <v>12</v>
      </c>
      <c r="J202" s="5" t="s">
        <v>13</v>
      </c>
      <c r="K202" s="5"/>
      <c r="L202" s="5"/>
    </row>
    <row r="203" customFormat="false" ht="15" hidden="false" customHeight="false" outlineLevel="0" collapsed="false">
      <c r="A203" s="6" t="n">
        <v>44757</v>
      </c>
      <c r="B203" s="7" t="n">
        <v>0.872222222222222</v>
      </c>
      <c r="C203" s="8" t="n">
        <v>8336</v>
      </c>
      <c r="D203" s="8" t="s">
        <v>17</v>
      </c>
      <c r="E203" s="8" t="n">
        <v>2540</v>
      </c>
      <c r="F203" s="8" t="n">
        <v>2320</v>
      </c>
      <c r="G203" s="9" t="n">
        <v>220</v>
      </c>
      <c r="H203" s="8" t="s">
        <v>11</v>
      </c>
      <c r="I203" s="8" t="s">
        <v>12</v>
      </c>
      <c r="J203" s="5" t="s">
        <v>13</v>
      </c>
      <c r="K203" s="5"/>
      <c r="L203" s="5"/>
    </row>
    <row r="204" customFormat="false" ht="15" hidden="false" customHeight="false" outlineLevel="0" collapsed="false">
      <c r="A204" s="6" t="n">
        <v>44757</v>
      </c>
      <c r="B204" s="7" t="n">
        <v>0.872916666666667</v>
      </c>
      <c r="C204" s="8" t="n">
        <v>8337</v>
      </c>
      <c r="D204" s="8" t="s">
        <v>16</v>
      </c>
      <c r="E204" s="8" t="n">
        <v>3020</v>
      </c>
      <c r="F204" s="8" t="n">
        <v>2820</v>
      </c>
      <c r="G204" s="11" t="n">
        <v>200</v>
      </c>
      <c r="H204" s="8" t="s">
        <v>11</v>
      </c>
      <c r="I204" s="8" t="s">
        <v>12</v>
      </c>
      <c r="J204" s="5" t="s">
        <v>13</v>
      </c>
      <c r="K204" s="5"/>
      <c r="L204" s="5"/>
    </row>
    <row r="205" customFormat="false" ht="15" hidden="false" customHeight="false" outlineLevel="0" collapsed="false">
      <c r="A205" s="6" t="n">
        <v>44758</v>
      </c>
      <c r="B205" s="7" t="n">
        <v>0.321527777777778</v>
      </c>
      <c r="C205" s="8" t="n">
        <v>8369</v>
      </c>
      <c r="D205" s="8" t="s">
        <v>16</v>
      </c>
      <c r="E205" s="8" t="n">
        <v>3340</v>
      </c>
      <c r="F205" s="8" t="n">
        <v>2840</v>
      </c>
      <c r="G205" s="9" t="n">
        <v>500</v>
      </c>
      <c r="H205" s="8" t="s">
        <v>11</v>
      </c>
      <c r="I205" s="8" t="s">
        <v>22</v>
      </c>
      <c r="J205" s="5" t="s">
        <v>13</v>
      </c>
      <c r="K205" s="5"/>
      <c r="L205" s="5"/>
    </row>
    <row r="206" customFormat="false" ht="15" hidden="false" customHeight="false" outlineLevel="0" collapsed="false">
      <c r="A206" s="6" t="n">
        <v>44757</v>
      </c>
      <c r="B206" s="7" t="n">
        <v>0.518055555555556</v>
      </c>
      <c r="C206" s="8" t="n">
        <v>3107</v>
      </c>
      <c r="D206" s="8" t="s">
        <v>10</v>
      </c>
      <c r="E206" s="8" t="n">
        <v>17700</v>
      </c>
      <c r="F206" s="8" t="n">
        <v>16000</v>
      </c>
      <c r="G206" s="9" t="n">
        <v>1700</v>
      </c>
      <c r="H206" s="8" t="s">
        <v>11</v>
      </c>
      <c r="I206" s="8" t="s">
        <v>19</v>
      </c>
      <c r="J206" s="5" t="s">
        <v>13</v>
      </c>
      <c r="K206" s="5"/>
      <c r="L206" s="5"/>
    </row>
    <row r="207" customFormat="false" ht="15" hidden="false" customHeight="false" outlineLevel="0" collapsed="false">
      <c r="A207" s="6" t="n">
        <v>44758</v>
      </c>
      <c r="B207" s="7" t="n">
        <v>0.209027777777778</v>
      </c>
      <c r="C207" s="8" t="n">
        <v>8352</v>
      </c>
      <c r="D207" s="8" t="s">
        <v>16</v>
      </c>
      <c r="E207" s="8" t="n">
        <v>3660</v>
      </c>
      <c r="F207" s="8" t="n">
        <v>2940</v>
      </c>
      <c r="G207" s="9" t="n">
        <v>720</v>
      </c>
      <c r="H207" s="8" t="s">
        <v>11</v>
      </c>
      <c r="I207" s="8" t="s">
        <v>12</v>
      </c>
      <c r="J207" s="5" t="s">
        <v>13</v>
      </c>
      <c r="K207" s="5"/>
      <c r="L207" s="5"/>
    </row>
    <row r="208" customFormat="false" ht="15" hidden="false" customHeight="false" outlineLevel="0" collapsed="false">
      <c r="A208" s="6" t="n">
        <v>44758</v>
      </c>
      <c r="B208" s="7" t="n">
        <v>0.880555555555556</v>
      </c>
      <c r="C208" s="8" t="n">
        <v>8384</v>
      </c>
      <c r="D208" s="8" t="s">
        <v>10</v>
      </c>
      <c r="E208" s="8" t="n">
        <v>24760</v>
      </c>
      <c r="F208" s="8" t="n">
        <v>15860</v>
      </c>
      <c r="G208" s="9" t="n">
        <v>8900</v>
      </c>
      <c r="H208" s="8" t="s">
        <v>11</v>
      </c>
      <c r="I208" s="8" t="s">
        <v>12</v>
      </c>
      <c r="J208" s="5" t="s">
        <v>13</v>
      </c>
      <c r="K208" s="5"/>
      <c r="L208" s="5"/>
    </row>
    <row r="209" customFormat="false" ht="15" hidden="false" customHeight="false" outlineLevel="0" collapsed="false">
      <c r="A209" s="6" t="n">
        <v>44758</v>
      </c>
      <c r="B209" s="7" t="n">
        <v>0.439583333333333</v>
      </c>
      <c r="C209" s="8" t="n">
        <v>8376</v>
      </c>
      <c r="D209" s="8" t="s">
        <v>16</v>
      </c>
      <c r="E209" s="8" t="n">
        <v>3160</v>
      </c>
      <c r="F209" s="8" t="n">
        <v>2840</v>
      </c>
      <c r="G209" s="9" t="n">
        <v>320</v>
      </c>
      <c r="H209" s="8" t="s">
        <v>11</v>
      </c>
      <c r="I209" s="8" t="s">
        <v>12</v>
      </c>
      <c r="J209" s="5" t="s">
        <v>13</v>
      </c>
      <c r="K209" s="5"/>
      <c r="L209" s="5"/>
    </row>
    <row r="210" customFormat="false" ht="15" hidden="false" customHeight="false" outlineLevel="0" collapsed="false">
      <c r="A210" s="6" t="n">
        <v>44758</v>
      </c>
      <c r="B210" s="7" t="n">
        <v>0.866666666666667</v>
      </c>
      <c r="C210" s="8" t="n">
        <v>8382</v>
      </c>
      <c r="D210" s="8" t="s">
        <v>16</v>
      </c>
      <c r="E210" s="8" t="n">
        <v>3120</v>
      </c>
      <c r="F210" s="8" t="n">
        <v>2860</v>
      </c>
      <c r="G210" s="9" t="n">
        <v>260</v>
      </c>
      <c r="H210" s="8" t="s">
        <v>11</v>
      </c>
      <c r="I210" s="8" t="s">
        <v>12</v>
      </c>
      <c r="J210" s="5" t="s">
        <v>13</v>
      </c>
      <c r="K210" s="5"/>
      <c r="L210" s="5"/>
    </row>
    <row r="211" customFormat="false" ht="15" hidden="false" customHeight="false" outlineLevel="0" collapsed="false">
      <c r="A211" s="6" t="n">
        <v>44758</v>
      </c>
      <c r="B211" s="7" t="n">
        <v>0.358333333333333</v>
      </c>
      <c r="C211" s="8" t="n">
        <v>8372</v>
      </c>
      <c r="D211" s="8" t="s">
        <v>17</v>
      </c>
      <c r="E211" s="8" t="n">
        <v>2740</v>
      </c>
      <c r="F211" s="8" t="n">
        <v>2360</v>
      </c>
      <c r="G211" s="9" t="n">
        <v>380</v>
      </c>
      <c r="H211" s="8" t="s">
        <v>11</v>
      </c>
      <c r="I211" s="8" t="s">
        <v>12</v>
      </c>
      <c r="J211" s="5" t="s">
        <v>13</v>
      </c>
      <c r="K211" s="5"/>
      <c r="L211" s="5"/>
    </row>
    <row r="212" customFormat="false" ht="15" hidden="false" customHeight="false" outlineLevel="0" collapsed="false">
      <c r="A212" s="6" t="n">
        <v>44758</v>
      </c>
      <c r="B212" s="7" t="n">
        <v>0.867361111111111</v>
      </c>
      <c r="C212" s="8" t="n">
        <v>8383</v>
      </c>
      <c r="D212" s="8" t="s">
        <v>17</v>
      </c>
      <c r="E212" s="8" t="n">
        <v>2640</v>
      </c>
      <c r="F212" s="8" t="n">
        <v>2320</v>
      </c>
      <c r="G212" s="9" t="n">
        <v>320</v>
      </c>
      <c r="H212" s="8" t="s">
        <v>11</v>
      </c>
      <c r="I212" s="8" t="s">
        <v>12</v>
      </c>
      <c r="J212" s="5" t="s">
        <v>13</v>
      </c>
      <c r="K212" s="5"/>
      <c r="L212" s="5"/>
    </row>
    <row r="213" customFormat="false" ht="15" hidden="false" customHeight="false" outlineLevel="0" collapsed="false">
      <c r="A213" s="6" t="n">
        <v>44758</v>
      </c>
      <c r="B213" s="7" t="n">
        <v>0.696527777777778</v>
      </c>
      <c r="C213" s="8" t="n">
        <v>8381</v>
      </c>
      <c r="D213" s="8" t="s">
        <v>14</v>
      </c>
      <c r="E213" s="8" t="n">
        <v>15040</v>
      </c>
      <c r="F213" s="8" t="n">
        <v>12680</v>
      </c>
      <c r="G213" s="9" t="n">
        <v>2360</v>
      </c>
      <c r="H213" s="8" t="s">
        <v>11</v>
      </c>
      <c r="I213" s="8" t="s">
        <v>12</v>
      </c>
      <c r="J213" s="5" t="s">
        <v>13</v>
      </c>
      <c r="K213" s="5"/>
      <c r="L213" s="5"/>
    </row>
    <row r="214" customFormat="false" ht="15" hidden="false" customHeight="false" outlineLevel="0" collapsed="false">
      <c r="A214" s="6" t="n">
        <v>44758</v>
      </c>
      <c r="B214" s="7" t="n">
        <v>0.0451388888888889</v>
      </c>
      <c r="C214" s="8" t="n">
        <v>8340</v>
      </c>
      <c r="D214" s="8" t="s">
        <v>14</v>
      </c>
      <c r="E214" s="8" t="n">
        <v>21360</v>
      </c>
      <c r="F214" s="8" t="n">
        <v>12880</v>
      </c>
      <c r="G214" s="9" t="n">
        <v>8480</v>
      </c>
      <c r="H214" s="8" t="s">
        <v>11</v>
      </c>
      <c r="I214" s="8" t="s">
        <v>12</v>
      </c>
      <c r="J214" s="5" t="s">
        <v>13</v>
      </c>
      <c r="K214" s="5"/>
      <c r="L214" s="5"/>
    </row>
    <row r="215" customFormat="false" ht="15" hidden="false" customHeight="false" outlineLevel="0" collapsed="false">
      <c r="A215" s="6" t="n">
        <v>44758</v>
      </c>
      <c r="B215" s="7" t="n">
        <v>0.129166666666667</v>
      </c>
      <c r="C215" s="8" t="n">
        <v>8345</v>
      </c>
      <c r="D215" s="8" t="s">
        <v>14</v>
      </c>
      <c r="E215" s="8" t="n">
        <v>19780</v>
      </c>
      <c r="F215" s="8" t="n">
        <v>12680</v>
      </c>
      <c r="G215" s="9" t="n">
        <v>7100</v>
      </c>
      <c r="H215" s="8" t="s">
        <v>11</v>
      </c>
      <c r="I215" s="8" t="s">
        <v>12</v>
      </c>
      <c r="J215" s="5" t="s">
        <v>13</v>
      </c>
      <c r="K215" s="5"/>
      <c r="L215" s="5"/>
    </row>
    <row r="216" customFormat="false" ht="15" hidden="false" customHeight="false" outlineLevel="0" collapsed="false">
      <c r="A216" s="6" t="n">
        <v>44758</v>
      </c>
      <c r="B216" s="7" t="n">
        <v>0.246527777777778</v>
      </c>
      <c r="C216" s="8" t="n">
        <v>8360</v>
      </c>
      <c r="D216" s="8" t="s">
        <v>14</v>
      </c>
      <c r="E216" s="8" t="n">
        <v>16040</v>
      </c>
      <c r="F216" s="8" t="n">
        <v>12680</v>
      </c>
      <c r="G216" s="9" t="n">
        <v>3360</v>
      </c>
      <c r="H216" s="8" t="s">
        <v>11</v>
      </c>
      <c r="I216" s="8" t="s">
        <v>12</v>
      </c>
      <c r="J216" s="5" t="s">
        <v>13</v>
      </c>
      <c r="K216" s="5"/>
      <c r="L216" s="5"/>
    </row>
    <row r="217" customFormat="false" ht="15" hidden="false" customHeight="false" outlineLevel="0" collapsed="false">
      <c r="A217" s="6" t="n">
        <v>44758</v>
      </c>
      <c r="B217" s="7" t="n">
        <v>0.240277777777778</v>
      </c>
      <c r="C217" s="8" t="n">
        <v>8359</v>
      </c>
      <c r="D217" s="8" t="s">
        <v>18</v>
      </c>
      <c r="E217" s="8" t="n">
        <v>24600</v>
      </c>
      <c r="F217" s="8" t="n">
        <v>15840</v>
      </c>
      <c r="G217" s="9" t="n">
        <v>8760</v>
      </c>
      <c r="H217" s="8" t="s">
        <v>11</v>
      </c>
      <c r="I217" s="8" t="s">
        <v>12</v>
      </c>
      <c r="J217" s="5" t="s">
        <v>13</v>
      </c>
      <c r="K217" s="5"/>
      <c r="L217" s="5"/>
    </row>
    <row r="218" customFormat="false" ht="15" hidden="false" customHeight="false" outlineLevel="0" collapsed="false">
      <c r="A218" s="6" t="n">
        <v>44758</v>
      </c>
      <c r="B218" s="7" t="n">
        <v>0.323611111111111</v>
      </c>
      <c r="C218" s="8" t="n">
        <v>8371</v>
      </c>
      <c r="D218" s="8" t="s">
        <v>26</v>
      </c>
      <c r="E218" s="8" t="n">
        <v>23920</v>
      </c>
      <c r="F218" s="8" t="n">
        <v>15300</v>
      </c>
      <c r="G218" s="9" t="n">
        <v>8620</v>
      </c>
      <c r="H218" s="8" t="s">
        <v>11</v>
      </c>
      <c r="I218" s="8" t="s">
        <v>27</v>
      </c>
      <c r="J218" s="5" t="s">
        <v>13</v>
      </c>
      <c r="K218" s="5"/>
      <c r="L218" s="5"/>
    </row>
    <row r="219" customFormat="false" ht="15" hidden="false" customHeight="false" outlineLevel="0" collapsed="false">
      <c r="A219" s="6" t="n">
        <v>44758</v>
      </c>
      <c r="B219" s="7" t="n">
        <v>0.130555555555556</v>
      </c>
      <c r="C219" s="8" t="n">
        <v>8346</v>
      </c>
      <c r="D219" s="8" t="s">
        <v>16</v>
      </c>
      <c r="E219" s="8" t="n">
        <v>3420</v>
      </c>
      <c r="F219" s="8" t="n">
        <v>2840</v>
      </c>
      <c r="G219" s="9" t="n">
        <v>580</v>
      </c>
      <c r="H219" s="8" t="s">
        <v>11</v>
      </c>
      <c r="I219" s="8" t="s">
        <v>12</v>
      </c>
      <c r="J219" s="5" t="s">
        <v>13</v>
      </c>
      <c r="K219" s="5"/>
      <c r="L219" s="5"/>
    </row>
    <row r="220" customFormat="false" ht="15" hidden="false" customHeight="false" outlineLevel="0" collapsed="false">
      <c r="A220" s="6" t="n">
        <v>44758</v>
      </c>
      <c r="B220" s="7" t="n">
        <v>0.233333333333333</v>
      </c>
      <c r="C220" s="8" t="n">
        <v>8357</v>
      </c>
      <c r="D220" s="8" t="s">
        <v>10</v>
      </c>
      <c r="E220" s="8" t="n">
        <v>26240</v>
      </c>
      <c r="F220" s="8" t="n">
        <v>15980</v>
      </c>
      <c r="G220" s="9" t="n">
        <v>10260</v>
      </c>
      <c r="H220" s="8" t="s">
        <v>11</v>
      </c>
      <c r="I220" s="8" t="s">
        <v>12</v>
      </c>
      <c r="J220" s="5" t="s">
        <v>13</v>
      </c>
      <c r="K220" s="5"/>
      <c r="L220" s="5"/>
    </row>
    <row r="221" customFormat="false" ht="15" hidden="false" customHeight="false" outlineLevel="0" collapsed="false">
      <c r="A221" s="6" t="n">
        <v>44758</v>
      </c>
      <c r="B221" s="7" t="n">
        <v>0.320833333333333</v>
      </c>
      <c r="C221" s="8" t="n">
        <v>8368</v>
      </c>
      <c r="D221" s="8" t="s">
        <v>16</v>
      </c>
      <c r="E221" s="8" t="n">
        <v>3360</v>
      </c>
      <c r="F221" s="8" t="n">
        <v>2840</v>
      </c>
      <c r="G221" s="9" t="n">
        <v>520</v>
      </c>
      <c r="H221" s="8" t="s">
        <v>11</v>
      </c>
      <c r="I221" s="8" t="s">
        <v>22</v>
      </c>
      <c r="J221" s="5" t="s">
        <v>13</v>
      </c>
      <c r="K221" s="5"/>
      <c r="L221" s="5"/>
    </row>
    <row r="222" customFormat="false" ht="15" hidden="false" customHeight="false" outlineLevel="0" collapsed="false">
      <c r="A222" s="6" t="n">
        <v>44758</v>
      </c>
      <c r="B222" s="7" t="n">
        <v>0.468055555555555</v>
      </c>
      <c r="C222" s="8" t="n">
        <v>142216</v>
      </c>
      <c r="D222" s="8" t="s">
        <v>18</v>
      </c>
      <c r="E222" s="8" t="n">
        <v>18540</v>
      </c>
      <c r="F222" s="8" t="n">
        <v>15660</v>
      </c>
      <c r="G222" s="9" t="n">
        <v>2880</v>
      </c>
      <c r="H222" s="8" t="s">
        <v>11</v>
      </c>
      <c r="I222" s="8" t="s">
        <v>23</v>
      </c>
      <c r="J222" s="5" t="s">
        <v>13</v>
      </c>
      <c r="K222" s="5"/>
      <c r="L222" s="5"/>
    </row>
    <row r="223" customFormat="false" ht="15" hidden="false" customHeight="false" outlineLevel="0" collapsed="false">
      <c r="A223" s="6" t="n">
        <v>44759</v>
      </c>
      <c r="B223" s="7" t="n">
        <v>0.697916666666667</v>
      </c>
      <c r="C223" s="8" t="n">
        <v>8410</v>
      </c>
      <c r="D223" s="8" t="s">
        <v>14</v>
      </c>
      <c r="E223" s="8" t="n">
        <v>15920</v>
      </c>
      <c r="F223" s="8" t="n">
        <v>12740</v>
      </c>
      <c r="G223" s="9" t="n">
        <v>3180</v>
      </c>
      <c r="H223" s="8" t="s">
        <v>11</v>
      </c>
      <c r="I223" s="8" t="s">
        <v>12</v>
      </c>
      <c r="J223" s="5" t="s">
        <v>13</v>
      </c>
      <c r="K223" s="5"/>
      <c r="L223" s="5"/>
    </row>
    <row r="224" customFormat="false" ht="15" hidden="false" customHeight="false" outlineLevel="0" collapsed="false">
      <c r="A224" s="6" t="n">
        <v>44759</v>
      </c>
      <c r="B224" s="7" t="n">
        <v>0.025</v>
      </c>
      <c r="C224" s="8" t="n">
        <v>8385</v>
      </c>
      <c r="D224" s="8" t="s">
        <v>24</v>
      </c>
      <c r="E224" s="8" t="n">
        <v>15080</v>
      </c>
      <c r="F224" s="8" t="n">
        <v>12360</v>
      </c>
      <c r="G224" s="9" t="n">
        <v>2720</v>
      </c>
      <c r="H224" s="8" t="s">
        <v>11</v>
      </c>
      <c r="I224" s="8" t="s">
        <v>12</v>
      </c>
      <c r="J224" s="5" t="s">
        <v>13</v>
      </c>
      <c r="K224" s="5"/>
      <c r="L224" s="5"/>
    </row>
    <row r="225" customFormat="false" ht="15" hidden="false" customHeight="false" outlineLevel="0" collapsed="false">
      <c r="A225" s="6" t="n">
        <v>44759</v>
      </c>
      <c r="B225" s="7" t="n">
        <v>0.731944444444444</v>
      </c>
      <c r="C225" s="8" t="n">
        <v>8411</v>
      </c>
      <c r="D225" s="8" t="s">
        <v>10</v>
      </c>
      <c r="E225" s="8" t="n">
        <v>22140</v>
      </c>
      <c r="F225" s="8" t="n">
        <v>15900</v>
      </c>
      <c r="G225" s="9" t="n">
        <v>6240</v>
      </c>
      <c r="H225" s="8" t="s">
        <v>11</v>
      </c>
      <c r="I225" s="8" t="s">
        <v>12</v>
      </c>
      <c r="J225" s="5" t="s">
        <v>13</v>
      </c>
      <c r="K225" s="5"/>
      <c r="L225" s="5"/>
    </row>
    <row r="226" customFormat="false" ht="15" hidden="false" customHeight="false" outlineLevel="0" collapsed="false">
      <c r="A226" s="6" t="n">
        <v>44759</v>
      </c>
      <c r="B226" s="7" t="n">
        <v>0.873611111111111</v>
      </c>
      <c r="C226" s="8" t="n">
        <v>8413</v>
      </c>
      <c r="D226" s="8" t="s">
        <v>17</v>
      </c>
      <c r="E226" s="8" t="n">
        <v>2560</v>
      </c>
      <c r="F226" s="8" t="n">
        <v>2360</v>
      </c>
      <c r="G226" s="9" t="n">
        <v>200</v>
      </c>
      <c r="H226" s="8" t="s">
        <v>11</v>
      </c>
      <c r="I226" s="8" t="s">
        <v>12</v>
      </c>
      <c r="J226" s="5" t="s">
        <v>13</v>
      </c>
      <c r="K226" s="5"/>
      <c r="L226" s="5"/>
    </row>
    <row r="227" customFormat="false" ht="15" hidden="false" customHeight="false" outlineLevel="0" collapsed="false">
      <c r="A227" s="6" t="n">
        <v>44759</v>
      </c>
      <c r="B227" s="7" t="n">
        <v>0.881944444444444</v>
      </c>
      <c r="C227" s="8" t="n">
        <v>8414</v>
      </c>
      <c r="D227" s="8" t="s">
        <v>10</v>
      </c>
      <c r="E227" s="8" t="n">
        <v>24300</v>
      </c>
      <c r="F227" s="8" t="n">
        <v>15960</v>
      </c>
      <c r="G227" s="9" t="n">
        <v>8340</v>
      </c>
      <c r="H227" s="8" t="s">
        <v>11</v>
      </c>
      <c r="I227" s="8" t="s">
        <v>12</v>
      </c>
      <c r="J227" s="5" t="s">
        <v>13</v>
      </c>
      <c r="K227" s="5"/>
      <c r="L227" s="5"/>
    </row>
    <row r="228" customFormat="false" ht="15" hidden="false" customHeight="false" outlineLevel="0" collapsed="false">
      <c r="A228" s="6" t="n">
        <v>44759</v>
      </c>
      <c r="B228" s="7" t="n">
        <v>0.865277777777778</v>
      </c>
      <c r="C228" s="8" t="n">
        <v>8412</v>
      </c>
      <c r="D228" s="8" t="s">
        <v>16</v>
      </c>
      <c r="E228" s="8" t="n">
        <v>3020</v>
      </c>
      <c r="F228" s="8" t="n">
        <v>2800</v>
      </c>
      <c r="G228" s="9" t="n">
        <v>220</v>
      </c>
      <c r="H228" s="8" t="s">
        <v>11</v>
      </c>
      <c r="I228" s="8" t="s">
        <v>12</v>
      </c>
      <c r="J228" s="5" t="s">
        <v>13</v>
      </c>
      <c r="K228" s="5"/>
      <c r="L228" s="5"/>
    </row>
    <row r="229" customFormat="false" ht="15" hidden="false" customHeight="false" outlineLevel="0" collapsed="false">
      <c r="A229" s="6" t="n">
        <v>44759</v>
      </c>
      <c r="B229" s="7" t="n">
        <v>0.215277777777778</v>
      </c>
      <c r="C229" s="8" t="n">
        <v>8397</v>
      </c>
      <c r="D229" s="8" t="s">
        <v>15</v>
      </c>
      <c r="E229" s="8" t="n">
        <v>5120</v>
      </c>
      <c r="F229" s="8" t="n">
        <v>3680</v>
      </c>
      <c r="G229" s="9" t="n">
        <v>1440</v>
      </c>
      <c r="H229" s="8" t="s">
        <v>11</v>
      </c>
      <c r="I229" s="8" t="s">
        <v>12</v>
      </c>
      <c r="J229" s="5" t="s">
        <v>13</v>
      </c>
      <c r="K229" s="5"/>
      <c r="L229" s="5"/>
    </row>
    <row r="230" customFormat="false" ht="15" hidden="false" customHeight="false" outlineLevel="0" collapsed="false">
      <c r="A230" s="6" t="n">
        <v>44759</v>
      </c>
      <c r="B230" s="7" t="n">
        <v>0.41875</v>
      </c>
      <c r="C230" s="8" t="n">
        <v>8407</v>
      </c>
      <c r="D230" s="8" t="s">
        <v>16</v>
      </c>
      <c r="E230" s="8" t="n">
        <v>3480</v>
      </c>
      <c r="F230" s="8" t="n">
        <v>2820</v>
      </c>
      <c r="G230" s="9" t="n">
        <v>660</v>
      </c>
      <c r="H230" s="8" t="s">
        <v>11</v>
      </c>
      <c r="I230" s="8" t="s">
        <v>12</v>
      </c>
      <c r="J230" s="5" t="s">
        <v>13</v>
      </c>
      <c r="K230" s="5"/>
      <c r="L230" s="5"/>
    </row>
    <row r="231" customFormat="false" ht="15" hidden="false" customHeight="false" outlineLevel="0" collapsed="false">
      <c r="A231" s="6" t="n">
        <v>44759</v>
      </c>
      <c r="B231" s="7" t="n">
        <v>0.24375</v>
      </c>
      <c r="C231" s="8" t="n">
        <v>8399</v>
      </c>
      <c r="D231" s="8" t="s">
        <v>14</v>
      </c>
      <c r="E231" s="8" t="n">
        <v>22820</v>
      </c>
      <c r="F231" s="8" t="n">
        <v>12800</v>
      </c>
      <c r="G231" s="9" t="n">
        <v>10020</v>
      </c>
      <c r="H231" s="8" t="s">
        <v>11</v>
      </c>
      <c r="I231" s="8" t="s">
        <v>12</v>
      </c>
      <c r="J231" s="5" t="s">
        <v>13</v>
      </c>
      <c r="K231" s="5"/>
      <c r="L231" s="5"/>
    </row>
    <row r="232" customFormat="false" ht="15" hidden="false" customHeight="false" outlineLevel="0" collapsed="false">
      <c r="A232" s="6" t="n">
        <v>44759</v>
      </c>
      <c r="B232" s="7" t="n">
        <v>0.0506944444444444</v>
      </c>
      <c r="C232" s="8" t="n">
        <v>8386</v>
      </c>
      <c r="D232" s="8" t="s">
        <v>14</v>
      </c>
      <c r="E232" s="8" t="n">
        <v>22020</v>
      </c>
      <c r="F232" s="8" t="n">
        <v>12780</v>
      </c>
      <c r="G232" s="9" t="n">
        <v>9240</v>
      </c>
      <c r="H232" s="8" t="s">
        <v>11</v>
      </c>
      <c r="I232" s="8" t="s">
        <v>12</v>
      </c>
      <c r="J232" s="5" t="s">
        <v>13</v>
      </c>
      <c r="K232" s="5"/>
      <c r="L232" s="5"/>
    </row>
    <row r="233" customFormat="false" ht="15" hidden="false" customHeight="false" outlineLevel="0" collapsed="false">
      <c r="A233" s="6" t="n">
        <v>44759</v>
      </c>
      <c r="B233" s="7" t="n">
        <v>0.115277777777778</v>
      </c>
      <c r="C233" s="8" t="n">
        <v>8389</v>
      </c>
      <c r="D233" s="8" t="s">
        <v>18</v>
      </c>
      <c r="E233" s="8" t="n">
        <v>16560</v>
      </c>
      <c r="F233" s="8" t="n">
        <v>15880</v>
      </c>
      <c r="G233" s="9" t="n">
        <v>680</v>
      </c>
      <c r="H233" s="8" t="s">
        <v>11</v>
      </c>
      <c r="I233" s="8" t="s">
        <v>12</v>
      </c>
      <c r="J233" s="5" t="s">
        <v>13</v>
      </c>
      <c r="K233" s="5"/>
      <c r="L233" s="5"/>
    </row>
    <row r="234" customFormat="false" ht="15" hidden="false" customHeight="false" outlineLevel="0" collapsed="false">
      <c r="A234" s="6" t="n">
        <v>44759</v>
      </c>
      <c r="B234" s="7" t="n">
        <v>0.465972222222222</v>
      </c>
      <c r="C234" s="8" t="n">
        <v>8408</v>
      </c>
      <c r="D234" s="8" t="s">
        <v>17</v>
      </c>
      <c r="E234" s="8" t="n">
        <v>2680</v>
      </c>
      <c r="F234" s="8" t="n">
        <v>2380</v>
      </c>
      <c r="G234" s="9" t="n">
        <v>300</v>
      </c>
      <c r="H234" s="8" t="s">
        <v>11</v>
      </c>
      <c r="I234" s="8" t="s">
        <v>12</v>
      </c>
      <c r="J234" s="5" t="s">
        <v>13</v>
      </c>
      <c r="K234" s="5"/>
      <c r="L234" s="5"/>
    </row>
    <row r="235" customFormat="false" ht="15" hidden="false" customHeight="false" outlineLevel="0" collapsed="false">
      <c r="A235" s="6" t="n">
        <v>44757</v>
      </c>
      <c r="B235" s="7" t="n">
        <v>0.534027777777778</v>
      </c>
      <c r="C235" s="8" t="n">
        <v>8314</v>
      </c>
      <c r="D235" s="8" t="s">
        <v>20</v>
      </c>
      <c r="E235" s="8" t="n">
        <v>2980</v>
      </c>
      <c r="F235" s="8" t="n">
        <v>2800</v>
      </c>
      <c r="G235" s="9" t="n">
        <v>180</v>
      </c>
      <c r="H235" s="8" t="s">
        <v>11</v>
      </c>
      <c r="I235" s="8" t="s">
        <v>21</v>
      </c>
      <c r="J235" s="5" t="s">
        <v>13</v>
      </c>
      <c r="K235" s="5"/>
      <c r="L235" s="5"/>
    </row>
    <row r="236" customFormat="false" ht="15" hidden="false" customHeight="false" outlineLevel="0" collapsed="false">
      <c r="A236" s="6" t="n">
        <v>44759</v>
      </c>
      <c r="B236" s="7" t="n">
        <v>0.206944444444444</v>
      </c>
      <c r="C236" s="8" t="n">
        <v>8394</v>
      </c>
      <c r="D236" s="8" t="s">
        <v>20</v>
      </c>
      <c r="E236" s="8" t="n">
        <v>3400</v>
      </c>
      <c r="F236" s="8" t="n">
        <v>2800</v>
      </c>
      <c r="G236" s="9" t="n">
        <v>600</v>
      </c>
      <c r="H236" s="8" t="s">
        <v>11</v>
      </c>
      <c r="I236" s="8" t="s">
        <v>12</v>
      </c>
      <c r="J236" s="5" t="s">
        <v>13</v>
      </c>
      <c r="K236" s="5"/>
      <c r="L236" s="5"/>
    </row>
    <row r="237" customFormat="false" ht="15" hidden="false" customHeight="false" outlineLevel="0" collapsed="false">
      <c r="A237" s="6" t="n">
        <v>44759</v>
      </c>
      <c r="B237" s="7" t="n">
        <v>0.153472222222222</v>
      </c>
      <c r="C237" s="8" t="n">
        <v>8393</v>
      </c>
      <c r="D237" s="8" t="s">
        <v>10</v>
      </c>
      <c r="E237" s="8" t="n">
        <v>23760</v>
      </c>
      <c r="F237" s="8" t="n">
        <v>15960</v>
      </c>
      <c r="G237" s="9" t="n">
        <v>7800</v>
      </c>
      <c r="H237" s="8" t="s">
        <v>11</v>
      </c>
      <c r="I237" s="8" t="s">
        <v>12</v>
      </c>
      <c r="J237" s="5" t="s">
        <v>13</v>
      </c>
      <c r="K237" s="5"/>
      <c r="L237" s="5"/>
    </row>
    <row r="238" customFormat="false" ht="15" hidden="false" customHeight="false" outlineLevel="0" collapsed="false">
      <c r="A238" s="6" t="n">
        <v>44760</v>
      </c>
      <c r="B238" s="7" t="n">
        <v>0.238888888888889</v>
      </c>
      <c r="C238" s="8" t="n">
        <v>8431</v>
      </c>
      <c r="D238" s="8" t="s">
        <v>18</v>
      </c>
      <c r="E238" s="8" t="n">
        <v>26080</v>
      </c>
      <c r="F238" s="8" t="n">
        <v>15860</v>
      </c>
      <c r="G238" s="9" t="n">
        <v>10220</v>
      </c>
      <c r="H238" s="8" t="s">
        <v>11</v>
      </c>
      <c r="I238" s="8" t="s">
        <v>12</v>
      </c>
      <c r="J238" s="5" t="s">
        <v>13</v>
      </c>
      <c r="K238" s="5"/>
      <c r="L238" s="5"/>
    </row>
    <row r="239" customFormat="false" ht="15" hidden="false" customHeight="false" outlineLevel="0" collapsed="false">
      <c r="A239" s="6" t="n">
        <v>44760</v>
      </c>
      <c r="B239" s="7" t="n">
        <v>0.213888888888889</v>
      </c>
      <c r="C239" s="8" t="n">
        <v>8426</v>
      </c>
      <c r="D239" s="8" t="s">
        <v>15</v>
      </c>
      <c r="E239" s="8" t="n">
        <v>5100</v>
      </c>
      <c r="F239" s="8" t="n">
        <v>3680</v>
      </c>
      <c r="G239" s="9" t="n">
        <v>1420</v>
      </c>
      <c r="H239" s="8" t="s">
        <v>11</v>
      </c>
      <c r="I239" s="8" t="s">
        <v>12</v>
      </c>
      <c r="J239" s="5" t="s">
        <v>13</v>
      </c>
      <c r="K239" s="5"/>
      <c r="L239" s="5"/>
    </row>
    <row r="240" customFormat="false" ht="15" hidden="false" customHeight="false" outlineLevel="0" collapsed="false">
      <c r="A240" s="6" t="n">
        <v>44760</v>
      </c>
      <c r="B240" s="7" t="n">
        <v>0.242361111111111</v>
      </c>
      <c r="C240" s="8" t="n">
        <v>8429</v>
      </c>
      <c r="D240" s="8" t="s">
        <v>14</v>
      </c>
      <c r="E240" s="8" t="n">
        <v>16720</v>
      </c>
      <c r="F240" s="8" t="n">
        <v>12720</v>
      </c>
      <c r="G240" s="9" t="n">
        <v>4000</v>
      </c>
      <c r="H240" s="8" t="s">
        <v>11</v>
      </c>
      <c r="I240" s="8" t="s">
        <v>12</v>
      </c>
      <c r="J240" s="5" t="s">
        <v>13</v>
      </c>
      <c r="K240" s="5"/>
      <c r="L240" s="5"/>
    </row>
    <row r="241" customFormat="false" ht="15" hidden="false" customHeight="false" outlineLevel="0" collapsed="false">
      <c r="A241" s="6" t="n">
        <v>44760</v>
      </c>
      <c r="B241" s="7" t="n">
        <v>0.130555555555556</v>
      </c>
      <c r="C241" s="8" t="n">
        <v>8422</v>
      </c>
      <c r="D241" s="8" t="s">
        <v>14</v>
      </c>
      <c r="E241" s="8" t="n">
        <v>19900</v>
      </c>
      <c r="F241" s="8" t="n">
        <v>12940</v>
      </c>
      <c r="G241" s="9" t="n">
        <v>6960</v>
      </c>
      <c r="H241" s="8" t="s">
        <v>11</v>
      </c>
      <c r="I241" s="8" t="s">
        <v>12</v>
      </c>
      <c r="J241" s="5" t="s">
        <v>13</v>
      </c>
      <c r="K241" s="5"/>
      <c r="L241" s="5"/>
    </row>
    <row r="242" customFormat="false" ht="15" hidden="false" customHeight="false" outlineLevel="0" collapsed="false">
      <c r="A242" s="6" t="n">
        <v>44760</v>
      </c>
      <c r="B242" s="7" t="n">
        <v>0.0479166666666667</v>
      </c>
      <c r="C242" s="8" t="n">
        <v>8416</v>
      </c>
      <c r="D242" s="8" t="s">
        <v>14</v>
      </c>
      <c r="E242" s="8" t="n">
        <v>21080</v>
      </c>
      <c r="F242" s="8" t="n">
        <v>12940</v>
      </c>
      <c r="G242" s="9" t="n">
        <v>8140</v>
      </c>
      <c r="H242" s="8" t="s">
        <v>11</v>
      </c>
      <c r="I242" s="8" t="s">
        <v>12</v>
      </c>
      <c r="J242" s="5" t="s">
        <v>13</v>
      </c>
      <c r="K242" s="5"/>
      <c r="L242" s="5"/>
    </row>
    <row r="243" customFormat="false" ht="15" hidden="false" customHeight="false" outlineLevel="0" collapsed="false">
      <c r="A243" s="6" t="n">
        <v>44760</v>
      </c>
      <c r="B243" s="7" t="n">
        <v>0.244444444444444</v>
      </c>
      <c r="C243" s="8" t="n">
        <v>8430</v>
      </c>
      <c r="D243" s="8" t="s">
        <v>10</v>
      </c>
      <c r="E243" s="8" t="n">
        <v>25280</v>
      </c>
      <c r="F243" s="8" t="n">
        <v>15960</v>
      </c>
      <c r="G243" s="9" t="n">
        <v>9320</v>
      </c>
      <c r="H243" s="8" t="s">
        <v>11</v>
      </c>
      <c r="I243" s="8" t="s">
        <v>12</v>
      </c>
      <c r="J243" s="5" t="s">
        <v>13</v>
      </c>
      <c r="K243" s="5"/>
      <c r="L243" s="5"/>
    </row>
    <row r="244" customFormat="false" ht="15" hidden="false" customHeight="false" outlineLevel="0" collapsed="false">
      <c r="A244" s="6" t="n">
        <v>44760</v>
      </c>
      <c r="B244" s="7" t="n">
        <v>0.201388888888889</v>
      </c>
      <c r="C244" s="8" t="n">
        <v>8424</v>
      </c>
      <c r="D244" s="8" t="s">
        <v>20</v>
      </c>
      <c r="E244" s="8" t="n">
        <v>3360</v>
      </c>
      <c r="F244" s="8" t="n">
        <v>2800</v>
      </c>
      <c r="G244" s="9" t="n">
        <v>560</v>
      </c>
      <c r="H244" s="8" t="s">
        <v>11</v>
      </c>
      <c r="I244" s="8" t="s">
        <v>12</v>
      </c>
      <c r="J244" s="5" t="s">
        <v>13</v>
      </c>
      <c r="K244" s="5"/>
      <c r="L244" s="5"/>
    </row>
    <row r="245" customFormat="false" ht="15" hidden="false" customHeight="false" outlineLevel="0" collapsed="false">
      <c r="A245" s="6" t="n">
        <v>44757</v>
      </c>
      <c r="B245" s="7" t="n">
        <v>0.211111111111111</v>
      </c>
      <c r="C245" s="8" t="n">
        <v>8274</v>
      </c>
      <c r="D245" s="8" t="s">
        <v>15</v>
      </c>
      <c r="E245" s="8" t="n">
        <v>4340</v>
      </c>
      <c r="F245" s="8" t="n">
        <v>3680</v>
      </c>
      <c r="G245" s="9" t="n">
        <v>660</v>
      </c>
      <c r="H245" s="8" t="s">
        <v>11</v>
      </c>
      <c r="I245" s="8" t="s">
        <v>12</v>
      </c>
      <c r="J245" s="5" t="s">
        <v>13</v>
      </c>
      <c r="K245" s="5"/>
      <c r="L245" s="5"/>
    </row>
    <row r="246" customFormat="false" ht="15" hidden="false" customHeight="false" outlineLevel="0" collapsed="false">
      <c r="A246" s="6" t="n">
        <v>44757</v>
      </c>
      <c r="B246" s="7" t="n">
        <v>0.236111111111111</v>
      </c>
      <c r="C246" s="8" t="n">
        <v>8279</v>
      </c>
      <c r="D246" s="8" t="s">
        <v>18</v>
      </c>
      <c r="E246" s="8" t="n">
        <v>21240</v>
      </c>
      <c r="F246" s="8" t="n">
        <v>15720</v>
      </c>
      <c r="G246" s="9" t="n">
        <v>5520</v>
      </c>
      <c r="H246" s="8" t="s">
        <v>11</v>
      </c>
      <c r="I246" s="8" t="s">
        <v>12</v>
      </c>
      <c r="J246" s="5" t="s">
        <v>13</v>
      </c>
      <c r="K246" s="5"/>
      <c r="L246" s="5"/>
    </row>
    <row r="247" customFormat="false" ht="15" hidden="false" customHeight="false" outlineLevel="0" collapsed="false">
      <c r="A247" s="6" t="n">
        <v>44758</v>
      </c>
      <c r="B247" s="7" t="n">
        <v>0.175694444444444</v>
      </c>
      <c r="C247" s="8" t="n">
        <v>8350</v>
      </c>
      <c r="D247" s="8" t="s">
        <v>20</v>
      </c>
      <c r="E247" s="8" t="n">
        <v>3200</v>
      </c>
      <c r="F247" s="8" t="n">
        <v>2700</v>
      </c>
      <c r="G247" s="9" t="n">
        <v>500</v>
      </c>
      <c r="H247" s="8" t="s">
        <v>11</v>
      </c>
      <c r="I247" s="8" t="s">
        <v>12</v>
      </c>
      <c r="J247" s="5" t="s">
        <v>13</v>
      </c>
      <c r="K247" s="5"/>
      <c r="L247" s="5"/>
    </row>
    <row r="248" customFormat="false" ht="15" hidden="false" customHeight="false" outlineLevel="0" collapsed="false">
      <c r="A248" s="6" t="n">
        <v>44760</v>
      </c>
      <c r="B248" s="7" t="n">
        <v>0.5125</v>
      </c>
      <c r="C248" s="8" t="n">
        <v>3127</v>
      </c>
      <c r="D248" s="8" t="s">
        <v>18</v>
      </c>
      <c r="E248" s="8" t="n">
        <v>18340</v>
      </c>
      <c r="F248" s="8" t="n">
        <v>15760</v>
      </c>
      <c r="G248" s="9" t="n">
        <v>2580</v>
      </c>
      <c r="H248" s="8" t="s">
        <v>11</v>
      </c>
      <c r="I248" s="8" t="s">
        <v>19</v>
      </c>
      <c r="J248" s="5" t="s">
        <v>13</v>
      </c>
      <c r="K248" s="5"/>
      <c r="L248" s="5"/>
    </row>
    <row r="249" customFormat="false" ht="15" hidden="false" customHeight="false" outlineLevel="0" collapsed="false">
      <c r="A249" s="6" t="n">
        <v>44760</v>
      </c>
      <c r="B249" s="7" t="n">
        <v>0.719444444444444</v>
      </c>
      <c r="C249" s="8" t="n">
        <v>8479</v>
      </c>
      <c r="D249" s="8" t="s">
        <v>14</v>
      </c>
      <c r="E249" s="8" t="n">
        <v>15900</v>
      </c>
      <c r="F249" s="8" t="n">
        <v>12780</v>
      </c>
      <c r="G249" s="9" t="n">
        <v>3120</v>
      </c>
      <c r="H249" s="8" t="s">
        <v>11</v>
      </c>
      <c r="I249" s="8" t="s">
        <v>12</v>
      </c>
      <c r="J249" s="5" t="s">
        <v>13</v>
      </c>
      <c r="K249" s="5"/>
      <c r="L249" s="5"/>
    </row>
    <row r="250" customFormat="false" ht="15" hidden="false" customHeight="false" outlineLevel="0" collapsed="false">
      <c r="A250" s="6" t="n">
        <v>44760</v>
      </c>
      <c r="B250" s="7" t="n">
        <v>0.883333333333333</v>
      </c>
      <c r="C250" s="8" t="n">
        <v>8481</v>
      </c>
      <c r="D250" s="8" t="s">
        <v>10</v>
      </c>
      <c r="E250" s="8" t="n">
        <v>23320</v>
      </c>
      <c r="F250" s="8" t="n">
        <v>16020</v>
      </c>
      <c r="G250" s="9" t="n">
        <v>7300</v>
      </c>
      <c r="H250" s="8" t="s">
        <v>11</v>
      </c>
      <c r="I250" s="8" t="s">
        <v>12</v>
      </c>
      <c r="J250" s="5" t="s">
        <v>13</v>
      </c>
      <c r="K250" s="5"/>
      <c r="L250" s="5"/>
    </row>
    <row r="251" customFormat="false" ht="15" hidden="false" customHeight="false" outlineLevel="0" collapsed="false">
      <c r="A251" s="6" t="n">
        <v>44760</v>
      </c>
      <c r="B251" s="7" t="n">
        <v>0.474305555555556</v>
      </c>
      <c r="C251" s="8" t="n">
        <v>8464</v>
      </c>
      <c r="D251" s="8" t="s">
        <v>16</v>
      </c>
      <c r="E251" s="8" t="n">
        <v>3520</v>
      </c>
      <c r="F251" s="8" t="n">
        <v>2980</v>
      </c>
      <c r="G251" s="9" t="n">
        <v>540</v>
      </c>
      <c r="H251" s="8" t="s">
        <v>11</v>
      </c>
      <c r="I251" s="8" t="s">
        <v>22</v>
      </c>
      <c r="J251" s="5" t="s">
        <v>13</v>
      </c>
      <c r="K251" s="5"/>
      <c r="L251" s="5"/>
    </row>
    <row r="252" customFormat="false" ht="15" hidden="false" customHeight="false" outlineLevel="0" collapsed="false">
      <c r="A252" s="6" t="n">
        <v>44760</v>
      </c>
      <c r="B252" s="7" t="n">
        <v>0.371527777777778</v>
      </c>
      <c r="C252" s="8" t="n">
        <v>8448</v>
      </c>
      <c r="D252" s="8" t="s">
        <v>16</v>
      </c>
      <c r="E252" s="8" t="n">
        <v>3240</v>
      </c>
      <c r="F252" s="8" t="n">
        <v>2840</v>
      </c>
      <c r="G252" s="9" t="n">
        <v>400</v>
      </c>
      <c r="H252" s="8" t="s">
        <v>11</v>
      </c>
      <c r="I252" s="8" t="s">
        <v>22</v>
      </c>
      <c r="J252" s="5" t="s">
        <v>13</v>
      </c>
      <c r="K252" s="5"/>
      <c r="L252" s="5"/>
    </row>
    <row r="253" customFormat="false" ht="15" hidden="false" customHeight="false" outlineLevel="0" collapsed="false">
      <c r="A253" s="6" t="n">
        <v>44760</v>
      </c>
      <c r="B253" s="7" t="n">
        <v>0.290972222222222</v>
      </c>
      <c r="C253" s="8" t="n">
        <v>8438</v>
      </c>
      <c r="D253" s="8" t="s">
        <v>16</v>
      </c>
      <c r="E253" s="8" t="n">
        <v>3480</v>
      </c>
      <c r="F253" s="8" t="n">
        <v>2840</v>
      </c>
      <c r="G253" s="9" t="n">
        <v>640</v>
      </c>
      <c r="H253" s="8" t="s">
        <v>11</v>
      </c>
      <c r="I253" s="8" t="s">
        <v>22</v>
      </c>
      <c r="J253" s="5" t="s">
        <v>13</v>
      </c>
      <c r="K253" s="5"/>
      <c r="L253" s="5"/>
    </row>
    <row r="254" customFormat="false" ht="15" hidden="false" customHeight="false" outlineLevel="0" collapsed="false">
      <c r="A254" s="6" t="n">
        <v>44760</v>
      </c>
      <c r="B254" s="7" t="n">
        <v>0.311805555555556</v>
      </c>
      <c r="C254" s="8" t="n">
        <v>8440</v>
      </c>
      <c r="D254" s="8" t="s">
        <v>17</v>
      </c>
      <c r="E254" s="8" t="n">
        <v>2660</v>
      </c>
      <c r="F254" s="8" t="n">
        <v>2400</v>
      </c>
      <c r="G254" s="9" t="n">
        <v>260</v>
      </c>
      <c r="H254" s="8" t="s">
        <v>11</v>
      </c>
      <c r="I254" s="8" t="s">
        <v>12</v>
      </c>
      <c r="J254" s="5" t="s">
        <v>13</v>
      </c>
      <c r="K254" s="5"/>
      <c r="L254" s="5"/>
    </row>
    <row r="255" customFormat="false" ht="15" hidden="false" customHeight="false" outlineLevel="0" collapsed="false">
      <c r="A255" s="6" t="n">
        <v>44760</v>
      </c>
      <c r="B255" s="7" t="n">
        <v>0.868055555555555</v>
      </c>
      <c r="C255" s="8" t="n">
        <v>8480</v>
      </c>
      <c r="D255" s="8" t="s">
        <v>17</v>
      </c>
      <c r="E255" s="8" t="n">
        <v>2640</v>
      </c>
      <c r="F255" s="8" t="n">
        <v>2340</v>
      </c>
      <c r="G255" s="9" t="n">
        <v>300</v>
      </c>
      <c r="H255" s="8" t="s">
        <v>11</v>
      </c>
      <c r="I255" s="8" t="s">
        <v>12</v>
      </c>
      <c r="J255" s="5" t="s">
        <v>13</v>
      </c>
      <c r="K255" s="5"/>
      <c r="L255" s="5"/>
    </row>
    <row r="256" customFormat="false" ht="15" hidden="false" customHeight="false" outlineLevel="0" collapsed="false">
      <c r="A256" s="6" t="n">
        <v>44760</v>
      </c>
      <c r="B256" s="7" t="n">
        <v>0.4375</v>
      </c>
      <c r="C256" s="8" t="n">
        <v>8457</v>
      </c>
      <c r="D256" s="8" t="s">
        <v>17</v>
      </c>
      <c r="E256" s="8" t="n">
        <v>2660</v>
      </c>
      <c r="F256" s="8" t="n">
        <v>2380</v>
      </c>
      <c r="G256" s="9" t="n">
        <v>280</v>
      </c>
      <c r="H256" s="8" t="s">
        <v>11</v>
      </c>
      <c r="I256" s="8" t="s">
        <v>12</v>
      </c>
      <c r="J256" s="5" t="s">
        <v>13</v>
      </c>
      <c r="K256" s="5"/>
      <c r="L256" s="5"/>
    </row>
    <row r="257" customFormat="false" ht="15" hidden="false" customHeight="false" outlineLevel="0" collapsed="false">
      <c r="A257" s="6" t="n">
        <v>44761</v>
      </c>
      <c r="B257" s="7" t="n">
        <v>0.240972222222222</v>
      </c>
      <c r="C257" s="8" t="n">
        <v>8497</v>
      </c>
      <c r="D257" s="8" t="s">
        <v>18</v>
      </c>
      <c r="E257" s="8" t="n">
        <v>22520</v>
      </c>
      <c r="F257" s="8" t="n">
        <v>15940</v>
      </c>
      <c r="G257" s="9" t="n">
        <v>6580</v>
      </c>
      <c r="H257" s="8" t="s">
        <v>11</v>
      </c>
      <c r="I257" s="8" t="s">
        <v>12</v>
      </c>
      <c r="J257" s="5" t="s">
        <v>13</v>
      </c>
      <c r="K257" s="5"/>
      <c r="L257" s="5"/>
    </row>
    <row r="258" customFormat="false" ht="15" hidden="false" customHeight="false" outlineLevel="0" collapsed="false">
      <c r="A258" s="6" t="n">
        <v>44761</v>
      </c>
      <c r="B258" s="7" t="n">
        <v>0.208333333333333</v>
      </c>
      <c r="C258" s="8" t="n">
        <v>8492</v>
      </c>
      <c r="D258" s="8" t="s">
        <v>20</v>
      </c>
      <c r="E258" s="8" t="n">
        <v>3120</v>
      </c>
      <c r="F258" s="8" t="n">
        <v>2840</v>
      </c>
      <c r="G258" s="9" t="n">
        <v>280</v>
      </c>
      <c r="H258" s="8" t="s">
        <v>11</v>
      </c>
      <c r="I258" s="8" t="s">
        <v>12</v>
      </c>
      <c r="J258" s="5" t="s">
        <v>13</v>
      </c>
      <c r="K258" s="5"/>
      <c r="L258" s="5"/>
    </row>
    <row r="259" customFormat="false" ht="15" hidden="false" customHeight="false" outlineLevel="0" collapsed="false">
      <c r="A259" s="6" t="n">
        <v>44761</v>
      </c>
      <c r="B259" s="7" t="n">
        <v>0.0618055555555556</v>
      </c>
      <c r="C259" s="8" t="n">
        <v>8483</v>
      </c>
      <c r="D259" s="8" t="s">
        <v>14</v>
      </c>
      <c r="E259" s="8" t="n">
        <v>21260</v>
      </c>
      <c r="F259" s="8" t="n">
        <v>12780</v>
      </c>
      <c r="G259" s="9" t="n">
        <v>8480</v>
      </c>
      <c r="H259" s="8" t="s">
        <v>11</v>
      </c>
      <c r="I259" s="8" t="s">
        <v>12</v>
      </c>
      <c r="J259" s="5" t="s">
        <v>13</v>
      </c>
      <c r="K259" s="5"/>
      <c r="L259" s="5"/>
    </row>
    <row r="260" customFormat="false" ht="15" hidden="false" customHeight="false" outlineLevel="0" collapsed="false">
      <c r="A260" s="6" t="n">
        <v>44761</v>
      </c>
      <c r="B260" s="7" t="n">
        <v>0.209722222222222</v>
      </c>
      <c r="C260" s="8" t="n">
        <v>8493</v>
      </c>
      <c r="D260" s="8" t="s">
        <v>15</v>
      </c>
      <c r="E260" s="8" t="n">
        <v>5020</v>
      </c>
      <c r="F260" s="8" t="n">
        <v>3700</v>
      </c>
      <c r="G260" s="9" t="n">
        <v>1320</v>
      </c>
      <c r="H260" s="8" t="s">
        <v>11</v>
      </c>
      <c r="I260" s="8" t="s">
        <v>12</v>
      </c>
      <c r="J260" s="5" t="s">
        <v>13</v>
      </c>
      <c r="K260" s="5"/>
      <c r="L260" s="5"/>
    </row>
    <row r="261" customFormat="false" ht="15" hidden="false" customHeight="false" outlineLevel="0" collapsed="false">
      <c r="A261" s="6" t="n">
        <v>44761</v>
      </c>
      <c r="B261" s="7" t="n">
        <v>0.251388888888889</v>
      </c>
      <c r="C261" s="8" t="n">
        <v>8499</v>
      </c>
      <c r="D261" s="8" t="s">
        <v>14</v>
      </c>
      <c r="E261" s="8" t="n">
        <v>21160</v>
      </c>
      <c r="F261" s="8" t="n">
        <v>12740</v>
      </c>
      <c r="G261" s="9" t="n">
        <v>8420</v>
      </c>
      <c r="H261" s="8" t="s">
        <v>11</v>
      </c>
      <c r="I261" s="8" t="s">
        <v>12</v>
      </c>
      <c r="J261" s="5" t="s">
        <v>13</v>
      </c>
      <c r="K261" s="5"/>
      <c r="L261" s="5"/>
    </row>
    <row r="262" customFormat="false" ht="15" hidden="false" customHeight="false" outlineLevel="0" collapsed="false">
      <c r="A262" s="6" t="n">
        <v>44761</v>
      </c>
      <c r="B262" s="7" t="n">
        <v>0.0145833333333333</v>
      </c>
      <c r="C262" s="8" t="n">
        <v>8482</v>
      </c>
      <c r="D262" s="8" t="s">
        <v>24</v>
      </c>
      <c r="E262" s="8" t="n">
        <v>13620</v>
      </c>
      <c r="F262" s="8" t="n">
        <v>12360</v>
      </c>
      <c r="G262" s="9" t="n">
        <v>1260</v>
      </c>
      <c r="H262" s="8" t="s">
        <v>11</v>
      </c>
      <c r="I262" s="8" t="s">
        <v>12</v>
      </c>
      <c r="J262" s="5" t="s">
        <v>13</v>
      </c>
      <c r="K262" s="5"/>
      <c r="L262" s="5"/>
    </row>
    <row r="263" customFormat="false" ht="15" hidden="false" customHeight="false" outlineLevel="0" collapsed="false">
      <c r="A263" s="6" t="n">
        <v>44754</v>
      </c>
      <c r="B263" s="7" t="n">
        <v>0.974305555555556</v>
      </c>
      <c r="C263" s="8" t="n">
        <v>437237</v>
      </c>
      <c r="D263" s="8" t="s">
        <v>14</v>
      </c>
      <c r="E263" s="8" t="n">
        <v>22200</v>
      </c>
      <c r="F263" s="8" t="n">
        <v>12920</v>
      </c>
      <c r="G263" s="9" t="n">
        <v>9280</v>
      </c>
      <c r="H263" s="8" t="s">
        <v>11</v>
      </c>
      <c r="I263" s="8" t="s">
        <v>12</v>
      </c>
      <c r="J263" s="5" t="s">
        <v>28</v>
      </c>
      <c r="K263" s="5"/>
      <c r="L263" s="5"/>
    </row>
    <row r="264" customFormat="false" ht="15" hidden="false" customHeight="false" outlineLevel="0" collapsed="false">
      <c r="A264" s="6" t="n">
        <v>44761</v>
      </c>
      <c r="B264" s="7" t="n">
        <v>0.884722222222222</v>
      </c>
      <c r="C264" s="8" t="n">
        <v>8553</v>
      </c>
      <c r="D264" s="8" t="s">
        <v>10</v>
      </c>
      <c r="E264" s="8" t="n">
        <v>24040</v>
      </c>
      <c r="F264" s="8" t="n">
        <v>16100</v>
      </c>
      <c r="G264" s="9" t="n">
        <v>7940</v>
      </c>
      <c r="H264" s="8" t="s">
        <v>11</v>
      </c>
      <c r="I264" s="8" t="s">
        <v>12</v>
      </c>
      <c r="J264" s="5" t="s">
        <v>13</v>
      </c>
      <c r="K264" s="5"/>
      <c r="L264" s="5"/>
    </row>
    <row r="265" customFormat="false" ht="15" hidden="false" customHeight="false" outlineLevel="0" collapsed="false">
      <c r="A265" s="6" t="n">
        <v>44761</v>
      </c>
      <c r="B265" s="7" t="n">
        <v>0.298611111111111</v>
      </c>
      <c r="C265" s="8" t="n">
        <v>8508</v>
      </c>
      <c r="D265" s="8" t="s">
        <v>16</v>
      </c>
      <c r="E265" s="8" t="n">
        <v>3460</v>
      </c>
      <c r="F265" s="8" t="n">
        <v>2900</v>
      </c>
      <c r="G265" s="9" t="n">
        <v>560</v>
      </c>
      <c r="H265" s="8" t="s">
        <v>11</v>
      </c>
      <c r="I265" s="8" t="s">
        <v>22</v>
      </c>
      <c r="J265" s="5" t="s">
        <v>13</v>
      </c>
      <c r="K265" s="5"/>
      <c r="L265" s="5"/>
    </row>
    <row r="266" customFormat="false" ht="15" hidden="false" customHeight="false" outlineLevel="0" collapsed="false">
      <c r="A266" s="6" t="n">
        <v>44761</v>
      </c>
      <c r="B266" s="7" t="n">
        <v>0.380555555555556</v>
      </c>
      <c r="C266" s="8" t="n">
        <v>8518</v>
      </c>
      <c r="D266" s="8" t="s">
        <v>17</v>
      </c>
      <c r="E266" s="8" t="n">
        <v>2640</v>
      </c>
      <c r="F266" s="8" t="n">
        <v>2380</v>
      </c>
      <c r="G266" s="9" t="n">
        <v>260</v>
      </c>
      <c r="H266" s="8" t="s">
        <v>11</v>
      </c>
      <c r="I266" s="8" t="s">
        <v>12</v>
      </c>
      <c r="J266" s="5" t="s">
        <v>13</v>
      </c>
      <c r="K266" s="5"/>
      <c r="L266" s="5"/>
    </row>
    <row r="267" customFormat="false" ht="15" hidden="false" customHeight="false" outlineLevel="0" collapsed="false">
      <c r="A267" s="6" t="n">
        <v>44761</v>
      </c>
      <c r="B267" s="7" t="n">
        <v>0.710416666666667</v>
      </c>
      <c r="C267" s="8" t="n">
        <v>8544</v>
      </c>
      <c r="D267" s="8" t="s">
        <v>14</v>
      </c>
      <c r="E267" s="8" t="n">
        <v>15140</v>
      </c>
      <c r="F267" s="8" t="n">
        <v>12780</v>
      </c>
      <c r="G267" s="9" t="n">
        <v>2360</v>
      </c>
      <c r="H267" s="8" t="s">
        <v>11</v>
      </c>
      <c r="I267" s="8" t="s">
        <v>12</v>
      </c>
      <c r="J267" s="5" t="s">
        <v>13</v>
      </c>
      <c r="K267" s="5"/>
      <c r="L267" s="5"/>
    </row>
    <row r="268" customFormat="false" ht="15" hidden="false" customHeight="false" outlineLevel="0" collapsed="false">
      <c r="A268" s="6" t="n">
        <v>44761</v>
      </c>
      <c r="B268" s="7" t="n">
        <v>0.865277777777778</v>
      </c>
      <c r="C268" s="8" t="n">
        <v>8551</v>
      </c>
      <c r="D268" s="8" t="s">
        <v>17</v>
      </c>
      <c r="E268" s="8" t="n">
        <v>2620</v>
      </c>
      <c r="F268" s="8" t="n">
        <v>2380</v>
      </c>
      <c r="G268" s="9" t="n">
        <v>240</v>
      </c>
      <c r="H268" s="8" t="s">
        <v>11</v>
      </c>
      <c r="I268" s="8" t="s">
        <v>12</v>
      </c>
      <c r="J268" s="5" t="s">
        <v>13</v>
      </c>
      <c r="K268" s="5"/>
      <c r="L268" s="5"/>
    </row>
    <row r="269" customFormat="false" ht="15" hidden="false" customHeight="false" outlineLevel="0" collapsed="false">
      <c r="A269" s="6" t="n">
        <v>44761</v>
      </c>
      <c r="B269" s="7" t="n">
        <v>0.386111111111111</v>
      </c>
      <c r="C269" s="8" t="n">
        <v>8519</v>
      </c>
      <c r="D269" s="8" t="s">
        <v>16</v>
      </c>
      <c r="E269" s="8" t="n">
        <v>3240</v>
      </c>
      <c r="F269" s="8" t="n">
        <v>2880</v>
      </c>
      <c r="G269" s="9" t="n">
        <v>360</v>
      </c>
      <c r="H269" s="8" t="s">
        <v>11</v>
      </c>
      <c r="I269" s="8" t="s">
        <v>12</v>
      </c>
      <c r="J269" s="5" t="s">
        <v>13</v>
      </c>
      <c r="K269" s="5"/>
      <c r="L269" s="5"/>
    </row>
    <row r="270" customFormat="false" ht="15" hidden="false" customHeight="false" outlineLevel="0" collapsed="false">
      <c r="A270" s="6" t="n">
        <v>44761</v>
      </c>
      <c r="B270" s="7" t="n">
        <v>0.454166666666667</v>
      </c>
      <c r="C270" s="8" t="n">
        <v>8525</v>
      </c>
      <c r="D270" s="8" t="s">
        <v>16</v>
      </c>
      <c r="E270" s="8" t="n">
        <v>3300</v>
      </c>
      <c r="F270" s="8" t="n">
        <v>2980</v>
      </c>
      <c r="G270" s="9" t="n">
        <v>320</v>
      </c>
      <c r="H270" s="8" t="s">
        <v>11</v>
      </c>
      <c r="I270" s="8" t="s">
        <v>22</v>
      </c>
      <c r="J270" s="5" t="s">
        <v>13</v>
      </c>
      <c r="K270" s="5"/>
      <c r="L270" s="5"/>
    </row>
    <row r="271" customFormat="false" ht="15" hidden="false" customHeight="false" outlineLevel="0" collapsed="false">
      <c r="A271" s="6" t="n">
        <v>44761</v>
      </c>
      <c r="B271" s="7" t="n">
        <v>0.49375</v>
      </c>
      <c r="C271" s="8" t="n">
        <v>142309</v>
      </c>
      <c r="D271" s="8" t="s">
        <v>18</v>
      </c>
      <c r="E271" s="8" t="n">
        <v>17760</v>
      </c>
      <c r="F271" s="8" t="n">
        <v>15700</v>
      </c>
      <c r="G271" s="9" t="n">
        <v>2060</v>
      </c>
      <c r="H271" s="8" t="s">
        <v>11</v>
      </c>
      <c r="I271" s="8" t="s">
        <v>23</v>
      </c>
      <c r="J271" s="5" t="s">
        <v>13</v>
      </c>
      <c r="K271" s="5"/>
      <c r="L271" s="5"/>
    </row>
    <row r="272" customFormat="false" ht="15" hidden="false" customHeight="false" outlineLevel="0" collapsed="false">
      <c r="A272" s="6" t="n">
        <v>44762</v>
      </c>
      <c r="B272" s="7" t="n">
        <v>0.249305555555556</v>
      </c>
      <c r="C272" s="8" t="n">
        <v>8572</v>
      </c>
      <c r="D272" s="8" t="s">
        <v>14</v>
      </c>
      <c r="E272" s="8" t="n">
        <v>21540</v>
      </c>
      <c r="F272" s="8" t="n">
        <v>12780</v>
      </c>
      <c r="G272" s="9" t="n">
        <v>8760</v>
      </c>
      <c r="H272" s="8" t="s">
        <v>11</v>
      </c>
      <c r="I272" s="8" t="s">
        <v>12</v>
      </c>
      <c r="J272" s="5" t="s">
        <v>13</v>
      </c>
      <c r="K272" s="5"/>
      <c r="L272" s="5"/>
    </row>
    <row r="273" customFormat="false" ht="15" hidden="false" customHeight="false" outlineLevel="0" collapsed="false">
      <c r="A273" s="6" t="n">
        <v>44762</v>
      </c>
      <c r="B273" s="7" t="n">
        <v>0.0631944444444444</v>
      </c>
      <c r="C273" s="8" t="n">
        <v>8555</v>
      </c>
      <c r="D273" s="8" t="s">
        <v>14</v>
      </c>
      <c r="E273" s="8" t="n">
        <v>21560</v>
      </c>
      <c r="F273" s="8" t="n">
        <v>12780</v>
      </c>
      <c r="G273" s="9" t="n">
        <v>8780</v>
      </c>
      <c r="H273" s="8" t="s">
        <v>11</v>
      </c>
      <c r="I273" s="8" t="s">
        <v>12</v>
      </c>
      <c r="J273" s="5" t="s">
        <v>13</v>
      </c>
      <c r="K273" s="5"/>
      <c r="L273" s="5"/>
    </row>
    <row r="274" customFormat="false" ht="15" hidden="false" customHeight="false" outlineLevel="0" collapsed="false">
      <c r="A274" s="6" t="n">
        <v>44762</v>
      </c>
      <c r="B274" s="7" t="n">
        <v>0.1875</v>
      </c>
      <c r="C274" s="8" t="n">
        <v>8565</v>
      </c>
      <c r="D274" s="8" t="s">
        <v>16</v>
      </c>
      <c r="E274" s="8" t="n">
        <v>3440</v>
      </c>
      <c r="F274" s="8" t="n">
        <v>2860</v>
      </c>
      <c r="G274" s="9" t="n">
        <v>580</v>
      </c>
      <c r="H274" s="8" t="s">
        <v>11</v>
      </c>
      <c r="I274" s="8" t="s">
        <v>12</v>
      </c>
      <c r="J274" s="5" t="s">
        <v>13</v>
      </c>
      <c r="K274" s="5"/>
      <c r="L274" s="5"/>
    </row>
    <row r="275" customFormat="false" ht="15" hidden="false" customHeight="false" outlineLevel="0" collapsed="false">
      <c r="A275" s="6" t="n">
        <v>44762</v>
      </c>
      <c r="B275" s="7" t="n">
        <v>0.107638888888889</v>
      </c>
      <c r="C275" s="8" t="n">
        <v>8558</v>
      </c>
      <c r="D275" s="8" t="s">
        <v>16</v>
      </c>
      <c r="E275" s="8" t="n">
        <v>3360</v>
      </c>
      <c r="F275" s="8" t="n">
        <v>2860</v>
      </c>
      <c r="G275" s="9" t="n">
        <v>500</v>
      </c>
      <c r="H275" s="8" t="s">
        <v>11</v>
      </c>
      <c r="I275" s="8" t="s">
        <v>12</v>
      </c>
      <c r="J275" s="5" t="s">
        <v>13</v>
      </c>
      <c r="K275" s="5"/>
      <c r="L275" s="5"/>
    </row>
    <row r="276" customFormat="false" ht="15" hidden="false" customHeight="false" outlineLevel="0" collapsed="false">
      <c r="A276" s="6" t="n">
        <v>44762</v>
      </c>
      <c r="B276" s="7" t="n">
        <v>0.241666666666667</v>
      </c>
      <c r="C276" s="8" t="n">
        <v>8570</v>
      </c>
      <c r="D276" s="8" t="s">
        <v>10</v>
      </c>
      <c r="E276" s="8" t="n">
        <v>20460</v>
      </c>
      <c r="F276" s="8" t="n">
        <v>16060</v>
      </c>
      <c r="G276" s="9" t="n">
        <v>4400</v>
      </c>
      <c r="H276" s="8" t="s">
        <v>11</v>
      </c>
      <c r="I276" s="8" t="s">
        <v>12</v>
      </c>
      <c r="J276" s="5" t="s">
        <v>13</v>
      </c>
      <c r="K276" s="5"/>
      <c r="L276" s="5"/>
    </row>
    <row r="277" customFormat="false" ht="15" hidden="false" customHeight="false" outlineLevel="0" collapsed="false">
      <c r="A277" s="6" t="n">
        <v>44762</v>
      </c>
      <c r="B277" s="7" t="n">
        <v>0.14375</v>
      </c>
      <c r="C277" s="8" t="n">
        <v>8562</v>
      </c>
      <c r="D277" s="8" t="s">
        <v>10</v>
      </c>
      <c r="E277" s="8" t="n">
        <v>26520</v>
      </c>
      <c r="F277" s="8" t="n">
        <v>16080</v>
      </c>
      <c r="G277" s="9" t="n">
        <v>10440</v>
      </c>
      <c r="H277" s="8" t="s">
        <v>11</v>
      </c>
      <c r="I277" s="8" t="s">
        <v>12</v>
      </c>
      <c r="J277" s="5" t="s">
        <v>13</v>
      </c>
      <c r="K277" s="5"/>
      <c r="L277" s="5"/>
    </row>
    <row r="278" customFormat="false" ht="15" hidden="false" customHeight="false" outlineLevel="0" collapsed="false">
      <c r="A278" s="6" t="n">
        <v>44762</v>
      </c>
      <c r="B278" s="7" t="n">
        <v>0.201388888888889</v>
      </c>
      <c r="C278" s="8" t="n">
        <v>8566</v>
      </c>
      <c r="D278" s="8" t="s">
        <v>20</v>
      </c>
      <c r="E278" s="8" t="n">
        <v>3500</v>
      </c>
      <c r="F278" s="8" t="n">
        <v>2900</v>
      </c>
      <c r="G278" s="9" t="n">
        <v>600</v>
      </c>
      <c r="H278" s="8" t="s">
        <v>11</v>
      </c>
      <c r="I278" s="8" t="s">
        <v>12</v>
      </c>
      <c r="J278" s="5" t="s">
        <v>13</v>
      </c>
      <c r="K278" s="5"/>
      <c r="L278" s="5"/>
    </row>
    <row r="279" customFormat="false" ht="15" hidden="false" customHeight="false" outlineLevel="0" collapsed="false">
      <c r="A279" s="6" t="n">
        <v>44762</v>
      </c>
      <c r="B279" s="7" t="n">
        <v>0.329861111111111</v>
      </c>
      <c r="C279" s="8" t="n">
        <v>8579</v>
      </c>
      <c r="D279" s="8" t="s">
        <v>16</v>
      </c>
      <c r="E279" s="8" t="n">
        <v>3340</v>
      </c>
      <c r="F279" s="8" t="n">
        <v>2880</v>
      </c>
      <c r="G279" s="9" t="n">
        <v>460</v>
      </c>
      <c r="H279" s="8" t="s">
        <v>11</v>
      </c>
      <c r="I279" s="8" t="s">
        <v>22</v>
      </c>
      <c r="J279" s="5" t="s">
        <v>13</v>
      </c>
      <c r="K279" s="5"/>
      <c r="L279" s="5"/>
    </row>
    <row r="280" customFormat="false" ht="15" hidden="false" customHeight="false" outlineLevel="0" collapsed="false">
      <c r="A280" s="6" t="n">
        <v>44762</v>
      </c>
      <c r="B280" s="7" t="n">
        <v>0.460416666666667</v>
      </c>
      <c r="C280" s="8" t="n">
        <v>8591</v>
      </c>
      <c r="D280" s="8" t="s">
        <v>16</v>
      </c>
      <c r="E280" s="8" t="n">
        <v>3180</v>
      </c>
      <c r="F280" s="8" t="n">
        <v>2940</v>
      </c>
      <c r="G280" s="9" t="n">
        <v>240</v>
      </c>
      <c r="H280" s="8" t="s">
        <v>11</v>
      </c>
      <c r="I280" s="8" t="s">
        <v>22</v>
      </c>
      <c r="J280" s="5" t="s">
        <v>13</v>
      </c>
      <c r="K280" s="5"/>
      <c r="L280" s="5"/>
    </row>
    <row r="281" customFormat="false" ht="15" hidden="false" customHeight="false" outlineLevel="0" collapsed="false">
      <c r="A281" s="6" t="n">
        <v>44762</v>
      </c>
      <c r="B281" s="7" t="n">
        <v>0.394444444444444</v>
      </c>
      <c r="C281" s="8" t="n">
        <v>8584</v>
      </c>
      <c r="D281" s="8" t="s">
        <v>16</v>
      </c>
      <c r="E281" s="8" t="n">
        <v>3160</v>
      </c>
      <c r="F281" s="8" t="n">
        <v>2860</v>
      </c>
      <c r="G281" s="9" t="n">
        <v>300</v>
      </c>
      <c r="H281" s="8" t="s">
        <v>11</v>
      </c>
      <c r="I281" s="8" t="s">
        <v>12</v>
      </c>
      <c r="J281" s="5" t="s">
        <v>13</v>
      </c>
      <c r="K281" s="5"/>
      <c r="L281" s="5"/>
    </row>
    <row r="282" customFormat="false" ht="15" hidden="false" customHeight="false" outlineLevel="0" collapsed="false">
      <c r="A282" s="6" t="n">
        <v>44762</v>
      </c>
      <c r="B282" s="7" t="n">
        <v>0.538888888888889</v>
      </c>
      <c r="C282" s="8" t="n">
        <v>8599</v>
      </c>
      <c r="D282" s="8" t="s">
        <v>20</v>
      </c>
      <c r="E282" s="8" t="n">
        <v>2980</v>
      </c>
      <c r="F282" s="8" t="n">
        <v>2800</v>
      </c>
      <c r="G282" s="9" t="n">
        <v>180</v>
      </c>
      <c r="H282" s="8" t="s">
        <v>11</v>
      </c>
      <c r="I282" s="8" t="s">
        <v>21</v>
      </c>
      <c r="J282" s="5" t="s">
        <v>13</v>
      </c>
      <c r="K282" s="5"/>
      <c r="L282" s="5"/>
    </row>
    <row r="283" customFormat="false" ht="15" hidden="false" customHeight="false" outlineLevel="0" collapsed="false">
      <c r="A283" s="6" t="n">
        <v>44762</v>
      </c>
      <c r="B283" s="7" t="n">
        <v>0.469444444444444</v>
      </c>
      <c r="C283" s="8" t="n">
        <v>8592</v>
      </c>
      <c r="D283" s="8" t="s">
        <v>17</v>
      </c>
      <c r="E283" s="8" t="n">
        <v>2760</v>
      </c>
      <c r="F283" s="8" t="n">
        <v>2400</v>
      </c>
      <c r="G283" s="9" t="n">
        <v>360</v>
      </c>
      <c r="H283" s="8" t="s">
        <v>11</v>
      </c>
      <c r="I283" s="8" t="s">
        <v>12</v>
      </c>
      <c r="J283" s="5" t="s">
        <v>13</v>
      </c>
      <c r="K283" s="5"/>
      <c r="L283" s="5"/>
    </row>
    <row r="284" customFormat="false" ht="15" hidden="false" customHeight="false" outlineLevel="0" collapsed="false">
      <c r="A284" s="6" t="n">
        <v>44762</v>
      </c>
      <c r="B284" s="7" t="n">
        <v>0.88125</v>
      </c>
      <c r="C284" s="8" t="n">
        <v>8617</v>
      </c>
      <c r="D284" s="8" t="s">
        <v>10</v>
      </c>
      <c r="E284" s="8" t="n">
        <v>23260</v>
      </c>
      <c r="F284" s="8" t="n">
        <v>15820</v>
      </c>
      <c r="G284" s="9" t="n">
        <v>7440</v>
      </c>
      <c r="H284" s="8" t="s">
        <v>11</v>
      </c>
      <c r="I284" s="8" t="s">
        <v>12</v>
      </c>
      <c r="J284" s="5" t="s">
        <v>13</v>
      </c>
      <c r="K284" s="5"/>
      <c r="L284" s="5"/>
    </row>
    <row r="285" customFormat="false" ht="15" hidden="false" customHeight="false" outlineLevel="0" collapsed="false">
      <c r="A285" s="6" t="n">
        <v>44762</v>
      </c>
      <c r="B285" s="7" t="n">
        <v>0.678472222222222</v>
      </c>
      <c r="C285" s="8" t="n">
        <v>8609</v>
      </c>
      <c r="D285" s="8" t="s">
        <v>14</v>
      </c>
      <c r="E285" s="8" t="n">
        <v>14460</v>
      </c>
      <c r="F285" s="8" t="n">
        <v>12720</v>
      </c>
      <c r="G285" s="9" t="n">
        <v>1740</v>
      </c>
      <c r="H285" s="8" t="s">
        <v>11</v>
      </c>
      <c r="I285" s="8" t="s">
        <v>12</v>
      </c>
      <c r="J285" s="5" t="s">
        <v>13</v>
      </c>
      <c r="K285" s="5"/>
      <c r="L285" s="5"/>
    </row>
    <row r="286" customFormat="false" ht="15" hidden="false" customHeight="false" outlineLevel="0" collapsed="false">
      <c r="A286" s="6" t="n">
        <v>44762</v>
      </c>
      <c r="B286" s="7" t="n">
        <v>0.870833333333333</v>
      </c>
      <c r="C286" s="8" t="n">
        <v>8616</v>
      </c>
      <c r="D286" s="8" t="s">
        <v>17</v>
      </c>
      <c r="E286" s="8" t="n">
        <v>2600</v>
      </c>
      <c r="F286" s="8" t="n">
        <v>2360</v>
      </c>
      <c r="G286" s="9" t="n">
        <v>240</v>
      </c>
      <c r="H286" s="8" t="s">
        <v>11</v>
      </c>
      <c r="I286" s="8" t="s">
        <v>12</v>
      </c>
      <c r="J286" s="5" t="s">
        <v>13</v>
      </c>
      <c r="K286" s="5"/>
      <c r="L286" s="5"/>
    </row>
    <row r="287" customFormat="false" ht="15" hidden="false" customHeight="false" outlineLevel="0" collapsed="false">
      <c r="A287" s="6" t="n">
        <v>44763</v>
      </c>
      <c r="B287" s="7" t="n">
        <v>0.249305555555556</v>
      </c>
      <c r="C287" s="8" t="n">
        <v>8635</v>
      </c>
      <c r="D287" s="8" t="s">
        <v>10</v>
      </c>
      <c r="E287" s="8" t="n">
        <v>21140</v>
      </c>
      <c r="F287" s="8" t="n">
        <v>15960</v>
      </c>
      <c r="G287" s="9" t="n">
        <v>5180</v>
      </c>
      <c r="H287" s="8" t="s">
        <v>11</v>
      </c>
      <c r="I287" s="8" t="s">
        <v>12</v>
      </c>
      <c r="J287" s="5" t="s">
        <v>13</v>
      </c>
      <c r="K287" s="5"/>
      <c r="L287" s="5"/>
    </row>
    <row r="288" customFormat="false" ht="15" hidden="false" customHeight="false" outlineLevel="0" collapsed="false">
      <c r="A288" s="6" t="n">
        <v>44763</v>
      </c>
      <c r="B288" s="7" t="n">
        <v>0.0659722222222222</v>
      </c>
      <c r="C288" s="8" t="n">
        <v>8619</v>
      </c>
      <c r="D288" s="8" t="s">
        <v>14</v>
      </c>
      <c r="E288" s="8" t="n">
        <v>22020</v>
      </c>
      <c r="F288" s="8" t="n">
        <v>12740</v>
      </c>
      <c r="G288" s="9" t="n">
        <v>9280</v>
      </c>
      <c r="H288" s="8" t="s">
        <v>11</v>
      </c>
      <c r="I288" s="8" t="s">
        <v>12</v>
      </c>
      <c r="J288" s="5" t="s">
        <v>13</v>
      </c>
      <c r="K288" s="5"/>
      <c r="L288" s="5"/>
    </row>
    <row r="289" customFormat="false" ht="15" hidden="false" customHeight="false" outlineLevel="0" collapsed="false">
      <c r="A289" s="6" t="n">
        <v>44763</v>
      </c>
      <c r="B289" s="7" t="n">
        <v>0.138194444444444</v>
      </c>
      <c r="C289" s="8" t="n">
        <v>8625</v>
      </c>
      <c r="D289" s="8" t="s">
        <v>15</v>
      </c>
      <c r="E289" s="8" t="n">
        <v>4700</v>
      </c>
      <c r="F289" s="8" t="n">
        <v>3600</v>
      </c>
      <c r="G289" s="9" t="n">
        <v>1100</v>
      </c>
      <c r="H289" s="8" t="s">
        <v>11</v>
      </c>
      <c r="I289" s="8" t="s">
        <v>12</v>
      </c>
      <c r="J289" s="5" t="s">
        <v>13</v>
      </c>
      <c r="K289" s="5"/>
      <c r="L289" s="5"/>
    </row>
    <row r="290" customFormat="false" ht="15" hidden="false" customHeight="false" outlineLevel="0" collapsed="false">
      <c r="A290" s="6" t="n">
        <v>44763</v>
      </c>
      <c r="B290" s="7" t="n">
        <v>0.211111111111111</v>
      </c>
      <c r="C290" s="8" t="n">
        <v>8632</v>
      </c>
      <c r="D290" s="8" t="s">
        <v>15</v>
      </c>
      <c r="E290" s="8" t="n">
        <v>4360</v>
      </c>
      <c r="F290" s="8" t="n">
        <v>3780</v>
      </c>
      <c r="G290" s="9" t="n">
        <v>580</v>
      </c>
      <c r="H290" s="8" t="s">
        <v>11</v>
      </c>
      <c r="I290" s="8" t="s">
        <v>12</v>
      </c>
      <c r="J290" s="5" t="s">
        <v>13</v>
      </c>
      <c r="K290" s="5"/>
      <c r="L290" s="5"/>
    </row>
    <row r="291" customFormat="false" ht="15" hidden="false" customHeight="false" outlineLevel="0" collapsed="false">
      <c r="A291" s="6" t="n">
        <v>44763</v>
      </c>
      <c r="B291" s="7" t="n">
        <v>0.248611111111111</v>
      </c>
      <c r="C291" s="8" t="n">
        <v>8636</v>
      </c>
      <c r="D291" s="8" t="s">
        <v>14</v>
      </c>
      <c r="E291" s="8" t="n">
        <v>22120</v>
      </c>
      <c r="F291" s="8" t="n">
        <v>12720</v>
      </c>
      <c r="G291" s="9" t="n">
        <v>9400</v>
      </c>
      <c r="H291" s="8" t="s">
        <v>11</v>
      </c>
      <c r="I291" s="8" t="s">
        <v>12</v>
      </c>
      <c r="J291" s="5" t="s">
        <v>13</v>
      </c>
      <c r="K291" s="5"/>
      <c r="L291" s="5"/>
    </row>
    <row r="292" customFormat="false" ht="15" hidden="false" customHeight="false" outlineLevel="0" collapsed="false">
      <c r="A292" s="6" t="n">
        <v>44763</v>
      </c>
      <c r="B292" s="7" t="n">
        <v>0.141666666666667</v>
      </c>
      <c r="C292" s="8" t="n">
        <v>8626</v>
      </c>
      <c r="D292" s="8" t="s">
        <v>10</v>
      </c>
      <c r="E292" s="8" t="n">
        <v>25260</v>
      </c>
      <c r="F292" s="8" t="n">
        <v>15980</v>
      </c>
      <c r="G292" s="9" t="n">
        <v>9280</v>
      </c>
      <c r="H292" s="8" t="s">
        <v>11</v>
      </c>
      <c r="I292" s="8" t="s">
        <v>12</v>
      </c>
      <c r="J292" s="5" t="s">
        <v>13</v>
      </c>
      <c r="K292" s="5"/>
      <c r="L292" s="5"/>
    </row>
    <row r="293" customFormat="false" ht="15" hidden="false" customHeight="false" outlineLevel="0" collapsed="false">
      <c r="A293" s="6" t="n">
        <v>44763</v>
      </c>
      <c r="B293" s="7" t="n">
        <v>0.547916666666667</v>
      </c>
      <c r="C293" s="8" t="n">
        <v>8665</v>
      </c>
      <c r="D293" s="8" t="s">
        <v>20</v>
      </c>
      <c r="E293" s="8" t="n">
        <v>3260</v>
      </c>
      <c r="F293" s="8" t="n">
        <v>2780</v>
      </c>
      <c r="G293" s="9" t="n">
        <v>480</v>
      </c>
      <c r="H293" s="8" t="s">
        <v>11</v>
      </c>
      <c r="I293" s="8" t="s">
        <v>21</v>
      </c>
      <c r="J293" s="5" t="s">
        <v>13</v>
      </c>
      <c r="K293" s="5"/>
      <c r="L293" s="5"/>
    </row>
    <row r="294" customFormat="false" ht="15" hidden="false" customHeight="false" outlineLevel="0" collapsed="false">
      <c r="A294" s="6" t="n">
        <v>44763</v>
      </c>
      <c r="B294" s="7" t="n">
        <v>0.883333333333333</v>
      </c>
      <c r="C294" s="8" t="n">
        <v>8674</v>
      </c>
      <c r="D294" s="8" t="s">
        <v>10</v>
      </c>
      <c r="E294" s="8" t="n">
        <v>24700</v>
      </c>
      <c r="F294" s="8" t="n">
        <v>15920</v>
      </c>
      <c r="G294" s="9" t="n">
        <v>8780</v>
      </c>
      <c r="H294" s="8" t="s">
        <v>11</v>
      </c>
      <c r="I294" s="8" t="s">
        <v>12</v>
      </c>
      <c r="J294" s="5" t="s">
        <v>13</v>
      </c>
      <c r="K294" s="5"/>
      <c r="L294" s="5"/>
    </row>
    <row r="295" customFormat="false" ht="15" hidden="false" customHeight="false" outlineLevel="0" collapsed="false">
      <c r="A295" s="6" t="n">
        <v>44763</v>
      </c>
      <c r="B295" s="7" t="n">
        <v>0.695833333333333</v>
      </c>
      <c r="C295" s="8" t="n">
        <v>8668</v>
      </c>
      <c r="D295" s="8" t="s">
        <v>14</v>
      </c>
      <c r="E295" s="8" t="n">
        <v>15080</v>
      </c>
      <c r="F295" s="8" t="n">
        <v>12780</v>
      </c>
      <c r="G295" s="9" t="n">
        <v>2300</v>
      </c>
      <c r="H295" s="8" t="s">
        <v>11</v>
      </c>
      <c r="I295" s="8" t="s">
        <v>12</v>
      </c>
      <c r="J295" s="5" t="s">
        <v>13</v>
      </c>
      <c r="K295" s="5"/>
      <c r="L295" s="5"/>
    </row>
    <row r="296" customFormat="false" ht="15" hidden="false" customHeight="false" outlineLevel="0" collapsed="false">
      <c r="A296" s="6" t="n">
        <v>44763</v>
      </c>
      <c r="B296" s="7" t="n">
        <v>0.865277777777778</v>
      </c>
      <c r="C296" s="8" t="n">
        <v>8672</v>
      </c>
      <c r="D296" s="8" t="s">
        <v>17</v>
      </c>
      <c r="E296" s="8" t="n">
        <v>2600</v>
      </c>
      <c r="F296" s="8" t="n">
        <v>2340</v>
      </c>
      <c r="G296" s="9" t="n">
        <v>260</v>
      </c>
      <c r="H296" s="8" t="s">
        <v>11</v>
      </c>
      <c r="I296" s="8" t="s">
        <v>12</v>
      </c>
      <c r="J296" s="5" t="s">
        <v>13</v>
      </c>
      <c r="K296" s="5"/>
      <c r="L296" s="5"/>
    </row>
    <row r="297" customFormat="false" ht="15" hidden="false" customHeight="false" outlineLevel="0" collapsed="false">
      <c r="A297" s="6" t="n">
        <v>44763</v>
      </c>
      <c r="B297" s="7" t="n">
        <v>0.863888888888889</v>
      </c>
      <c r="C297" s="8" t="n">
        <v>8673</v>
      </c>
      <c r="D297" s="8" t="s">
        <v>16</v>
      </c>
      <c r="E297" s="8" t="n">
        <v>2920</v>
      </c>
      <c r="F297" s="8" t="n">
        <v>2820</v>
      </c>
      <c r="G297" s="9" t="n">
        <v>100</v>
      </c>
      <c r="H297" s="8" t="s">
        <v>11</v>
      </c>
      <c r="I297" s="8" t="s">
        <v>12</v>
      </c>
      <c r="J297" s="5" t="s">
        <v>13</v>
      </c>
      <c r="K297" s="5"/>
      <c r="L297" s="5"/>
    </row>
    <row r="298" customFormat="false" ht="15" hidden="false" customHeight="false" outlineLevel="0" collapsed="false">
      <c r="A298" s="6" t="n">
        <v>44763</v>
      </c>
      <c r="B298" s="7" t="n">
        <v>0.466666666666667</v>
      </c>
      <c r="C298" s="8" t="n">
        <v>8661</v>
      </c>
      <c r="D298" s="8" t="s">
        <v>17</v>
      </c>
      <c r="E298" s="8" t="n">
        <v>2700</v>
      </c>
      <c r="F298" s="8" t="n">
        <v>2360</v>
      </c>
      <c r="G298" s="9" t="n">
        <v>340</v>
      </c>
      <c r="H298" s="8" t="s">
        <v>11</v>
      </c>
      <c r="I298" s="8" t="s">
        <v>12</v>
      </c>
      <c r="J298" s="5" t="s">
        <v>13</v>
      </c>
      <c r="K298" s="5"/>
      <c r="L298" s="5"/>
    </row>
    <row r="299" customFormat="false" ht="15" hidden="false" customHeight="false" outlineLevel="0" collapsed="false">
      <c r="A299" s="6" t="n">
        <v>44763</v>
      </c>
      <c r="B299" s="7" t="n">
        <v>0.459027777777778</v>
      </c>
      <c r="C299" s="8" t="n">
        <v>8658</v>
      </c>
      <c r="D299" s="8" t="s">
        <v>16</v>
      </c>
      <c r="E299" s="8" t="n">
        <v>3260</v>
      </c>
      <c r="F299" s="8" t="n">
        <v>2860</v>
      </c>
      <c r="G299" s="9" t="n">
        <v>400</v>
      </c>
      <c r="H299" s="8" t="s">
        <v>11</v>
      </c>
      <c r="I299" s="8" t="s">
        <v>12</v>
      </c>
      <c r="J299" s="5" t="s">
        <v>13</v>
      </c>
      <c r="K299" s="5"/>
      <c r="L299" s="5"/>
    </row>
    <row r="300" customFormat="false" ht="15" hidden="false" customHeight="false" outlineLevel="0" collapsed="false">
      <c r="A300" s="6" t="n">
        <v>44763</v>
      </c>
      <c r="B300" s="7" t="n">
        <v>0.284027777777778</v>
      </c>
      <c r="C300" s="8" t="n">
        <v>8643</v>
      </c>
      <c r="D300" s="8" t="s">
        <v>16</v>
      </c>
      <c r="E300" s="8" t="n">
        <v>2900</v>
      </c>
      <c r="F300" s="8" t="n">
        <v>2860</v>
      </c>
      <c r="G300" s="9" t="n">
        <v>40</v>
      </c>
      <c r="H300" s="8" t="s">
        <v>11</v>
      </c>
      <c r="I300" s="8" t="s">
        <v>22</v>
      </c>
      <c r="J300" s="5" t="s">
        <v>13</v>
      </c>
      <c r="K300" s="5"/>
      <c r="L300" s="5"/>
    </row>
    <row r="301" customFormat="false" ht="15" hidden="false" customHeight="false" outlineLevel="0" collapsed="false">
      <c r="A301" s="12" t="n">
        <v>44763</v>
      </c>
      <c r="B301" s="13" t="n">
        <v>0.626388888888889</v>
      </c>
      <c r="C301" s="14" t="n">
        <v>142452</v>
      </c>
      <c r="D301" s="14" t="s">
        <v>18</v>
      </c>
      <c r="E301" s="14" t="n">
        <v>17080</v>
      </c>
      <c r="F301" s="14" t="n">
        <v>15620</v>
      </c>
      <c r="G301" s="15" t="n">
        <v>1460</v>
      </c>
      <c r="H301" s="14" t="s">
        <v>11</v>
      </c>
      <c r="I301" s="14" t="s">
        <v>23</v>
      </c>
      <c r="J301" s="5" t="s">
        <v>13</v>
      </c>
      <c r="K301" s="5"/>
      <c r="L301" s="5"/>
    </row>
    <row r="302" customFormat="false" ht="15" hidden="false" customHeight="false" outlineLevel="0" collapsed="false">
      <c r="A302" s="6" t="n">
        <v>44764</v>
      </c>
      <c r="B302" s="7" t="n">
        <v>0.240277777777778</v>
      </c>
      <c r="C302" s="8" t="n">
        <v>8692</v>
      </c>
      <c r="D302" s="8" t="s">
        <v>18</v>
      </c>
      <c r="E302" s="8" t="n">
        <v>22980</v>
      </c>
      <c r="F302" s="8" t="n">
        <v>15780</v>
      </c>
      <c r="G302" s="9" t="n">
        <v>7200</v>
      </c>
      <c r="H302" s="8" t="s">
        <v>11</v>
      </c>
      <c r="I302" s="8" t="s">
        <v>12</v>
      </c>
      <c r="J302" s="5" t="s">
        <v>13</v>
      </c>
      <c r="K302" s="5"/>
      <c r="L302" s="5"/>
    </row>
    <row r="303" customFormat="false" ht="15" hidden="false" customHeight="false" outlineLevel="0" collapsed="false">
      <c r="A303" s="6" t="n">
        <v>44764</v>
      </c>
      <c r="B303" s="7" t="n">
        <v>0.24375</v>
      </c>
      <c r="C303" s="8" t="n">
        <v>8693</v>
      </c>
      <c r="D303" s="8" t="s">
        <v>10</v>
      </c>
      <c r="E303" s="8" t="n">
        <v>27380</v>
      </c>
      <c r="F303" s="8" t="n">
        <v>16000</v>
      </c>
      <c r="G303" s="9" t="n">
        <v>11380</v>
      </c>
      <c r="H303" s="8" t="s">
        <v>11</v>
      </c>
      <c r="I303" s="8" t="s">
        <v>12</v>
      </c>
      <c r="J303" s="5" t="s">
        <v>13</v>
      </c>
      <c r="K303" s="5"/>
      <c r="L303" s="5"/>
    </row>
    <row r="304" customFormat="false" ht="15" hidden="false" customHeight="false" outlineLevel="0" collapsed="false">
      <c r="A304" s="6" t="n">
        <v>44764</v>
      </c>
      <c r="B304" s="7" t="n">
        <v>0.2125</v>
      </c>
      <c r="C304" s="8" t="n">
        <v>8687</v>
      </c>
      <c r="D304" s="8" t="s">
        <v>15</v>
      </c>
      <c r="E304" s="8" t="n">
        <v>5200</v>
      </c>
      <c r="F304" s="8" t="n">
        <v>3680</v>
      </c>
      <c r="G304" s="9" t="n">
        <v>1520</v>
      </c>
      <c r="H304" s="8" t="s">
        <v>11</v>
      </c>
      <c r="I304" s="8" t="s">
        <v>12</v>
      </c>
      <c r="J304" s="5" t="s">
        <v>13</v>
      </c>
      <c r="K304" s="5"/>
      <c r="L304" s="5"/>
    </row>
    <row r="305" customFormat="false" ht="15" hidden="false" customHeight="false" outlineLevel="0" collapsed="false">
      <c r="A305" s="6" t="n">
        <v>44764</v>
      </c>
      <c r="B305" s="7" t="n">
        <v>0.246527777777778</v>
      </c>
      <c r="C305" s="8" t="n">
        <v>8695</v>
      </c>
      <c r="D305" s="8" t="s">
        <v>14</v>
      </c>
      <c r="E305" s="8" t="n">
        <v>22380</v>
      </c>
      <c r="F305" s="8" t="n">
        <v>12800</v>
      </c>
      <c r="G305" s="9" t="n">
        <v>9580</v>
      </c>
      <c r="H305" s="8" t="s">
        <v>11</v>
      </c>
      <c r="I305" s="8" t="s">
        <v>12</v>
      </c>
      <c r="J305" s="5" t="s">
        <v>13</v>
      </c>
      <c r="K305" s="5"/>
      <c r="L305" s="5"/>
    </row>
    <row r="306" customFormat="false" ht="15" hidden="false" customHeight="false" outlineLevel="0" collapsed="false">
      <c r="A306" s="6" t="n">
        <v>44764</v>
      </c>
      <c r="B306" s="7" t="n">
        <v>0.0513888888888889</v>
      </c>
      <c r="C306" s="8" t="n">
        <v>8676</v>
      </c>
      <c r="D306" s="8" t="s">
        <v>14</v>
      </c>
      <c r="E306" s="8" t="n">
        <v>21420</v>
      </c>
      <c r="F306" s="8" t="n">
        <v>13020</v>
      </c>
      <c r="G306" s="9" t="n">
        <v>8400</v>
      </c>
      <c r="H306" s="8" t="s">
        <v>11</v>
      </c>
      <c r="I306" s="8" t="s">
        <v>12</v>
      </c>
      <c r="J306" s="5" t="s">
        <v>13</v>
      </c>
      <c r="K306" s="5"/>
      <c r="L306" s="5"/>
    </row>
    <row r="307" customFormat="false" ht="15" hidden="false" customHeight="false" outlineLevel="0" collapsed="false">
      <c r="A307" s="6" t="n">
        <v>44764</v>
      </c>
      <c r="B307" s="7" t="n">
        <v>0.209027777777778</v>
      </c>
      <c r="C307" s="8" t="n">
        <v>8685</v>
      </c>
      <c r="D307" s="8" t="s">
        <v>20</v>
      </c>
      <c r="E307" s="8" t="n">
        <v>3280</v>
      </c>
      <c r="F307" s="8" t="n">
        <v>2820</v>
      </c>
      <c r="G307" s="9" t="n">
        <v>460</v>
      </c>
      <c r="H307" s="8" t="s">
        <v>11</v>
      </c>
      <c r="I307" s="8" t="s">
        <v>12</v>
      </c>
      <c r="J307" s="5" t="s">
        <v>13</v>
      </c>
      <c r="K307" s="5"/>
      <c r="L307" s="5"/>
    </row>
    <row r="308" customFormat="false" ht="15" hidden="false" customHeight="false" outlineLevel="0" collapsed="false">
      <c r="A308" s="6" t="n">
        <v>44764</v>
      </c>
      <c r="B308" s="7" t="n">
        <v>0.0215277777777778</v>
      </c>
      <c r="C308" s="8" t="n">
        <v>8675</v>
      </c>
      <c r="D308" s="8" t="s">
        <v>24</v>
      </c>
      <c r="E308" s="8" t="n">
        <v>16380</v>
      </c>
      <c r="F308" s="8" t="n">
        <v>12460</v>
      </c>
      <c r="G308" s="9" t="n">
        <v>3920</v>
      </c>
      <c r="H308" s="8" t="s">
        <v>11</v>
      </c>
      <c r="I308" s="8" t="s">
        <v>12</v>
      </c>
      <c r="J308" s="5" t="s">
        <v>13</v>
      </c>
      <c r="K308" s="5"/>
      <c r="L308" s="5"/>
    </row>
    <row r="309" customFormat="false" ht="15" hidden="false" customHeight="false" outlineLevel="0" collapsed="false">
      <c r="A309" s="6" t="n">
        <v>44764</v>
      </c>
      <c r="B309" s="7" t="n">
        <v>0.479861111111111</v>
      </c>
      <c r="C309" s="8" t="n">
        <v>3139</v>
      </c>
      <c r="D309" s="8" t="s">
        <v>18</v>
      </c>
      <c r="E309" s="8" t="n">
        <v>18720</v>
      </c>
      <c r="F309" s="8" t="n">
        <v>15760</v>
      </c>
      <c r="G309" s="9" t="n">
        <v>2960</v>
      </c>
      <c r="H309" s="8" t="s">
        <v>11</v>
      </c>
      <c r="I309" s="8" t="s">
        <v>19</v>
      </c>
      <c r="J309" s="5" t="s">
        <v>13</v>
      </c>
      <c r="K309" s="5"/>
      <c r="L309" s="5"/>
    </row>
    <row r="310" customFormat="false" ht="15" hidden="false" customHeight="false" outlineLevel="0" collapsed="false">
      <c r="A310" s="6" t="n">
        <v>44764</v>
      </c>
      <c r="B310" s="7" t="n">
        <v>0.4</v>
      </c>
      <c r="C310" s="8" t="n">
        <v>8712</v>
      </c>
      <c r="D310" s="8" t="s">
        <v>16</v>
      </c>
      <c r="E310" s="8" t="n">
        <v>3320</v>
      </c>
      <c r="F310" s="8" t="n">
        <v>2980</v>
      </c>
      <c r="G310" s="9" t="n">
        <v>340</v>
      </c>
      <c r="H310" s="8" t="s">
        <v>11</v>
      </c>
      <c r="I310" s="8" t="s">
        <v>12</v>
      </c>
      <c r="J310" s="5" t="s">
        <v>13</v>
      </c>
      <c r="K310" s="5"/>
      <c r="L310" s="5"/>
    </row>
    <row r="311" customFormat="false" ht="15" hidden="false" customHeight="false" outlineLevel="0" collapsed="false">
      <c r="A311" s="6" t="n">
        <v>44764</v>
      </c>
      <c r="B311" s="7" t="n">
        <v>0.333333333333333</v>
      </c>
      <c r="C311" s="8" t="n">
        <v>8703</v>
      </c>
      <c r="D311" s="8" t="s">
        <v>16</v>
      </c>
      <c r="E311" s="8" t="n">
        <v>3560</v>
      </c>
      <c r="F311" s="8" t="n">
        <v>3000</v>
      </c>
      <c r="G311" s="9" t="n">
        <v>560</v>
      </c>
      <c r="H311" s="8" t="s">
        <v>11</v>
      </c>
      <c r="I311" s="8" t="s">
        <v>12</v>
      </c>
      <c r="J311" s="5" t="s">
        <v>13</v>
      </c>
      <c r="K311" s="5"/>
      <c r="L311" s="5"/>
    </row>
    <row r="312" customFormat="false" ht="15" hidden="false" customHeight="false" outlineLevel="0" collapsed="false">
      <c r="A312" s="6" t="n">
        <v>44764</v>
      </c>
      <c r="B312" s="7" t="n">
        <v>0.429861111111111</v>
      </c>
      <c r="C312" s="8" t="n">
        <v>8715</v>
      </c>
      <c r="D312" s="8" t="s">
        <v>20</v>
      </c>
      <c r="E312" s="8" t="n">
        <v>3220</v>
      </c>
      <c r="F312" s="8" t="n">
        <v>2680</v>
      </c>
      <c r="G312" s="9" t="n">
        <v>540</v>
      </c>
      <c r="H312" s="8" t="s">
        <v>11</v>
      </c>
      <c r="I312" s="8" t="s">
        <v>21</v>
      </c>
      <c r="J312" s="5" t="s">
        <v>13</v>
      </c>
      <c r="K312" s="5"/>
      <c r="L312" s="5"/>
    </row>
    <row r="313" customFormat="false" ht="15" hidden="false" customHeight="false" outlineLevel="0" collapsed="false">
      <c r="A313" s="6" t="n">
        <v>44764</v>
      </c>
      <c r="B313" s="7" t="n">
        <v>0.459722222222222</v>
      </c>
      <c r="C313" s="8" t="n">
        <v>8720</v>
      </c>
      <c r="D313" s="8" t="s">
        <v>16</v>
      </c>
      <c r="E313" s="8" t="n">
        <v>3240</v>
      </c>
      <c r="F313" s="8" t="n">
        <v>2980</v>
      </c>
      <c r="G313" s="9" t="n">
        <v>260</v>
      </c>
      <c r="H313" s="8" t="s">
        <v>11</v>
      </c>
      <c r="I313" s="8" t="s">
        <v>22</v>
      </c>
      <c r="J313" s="5" t="s">
        <v>13</v>
      </c>
      <c r="K313" s="5"/>
      <c r="L313" s="5"/>
    </row>
    <row r="314" customFormat="false" ht="15" hidden="false" customHeight="false" outlineLevel="0" collapsed="false">
      <c r="A314" s="6" t="n">
        <v>44764</v>
      </c>
      <c r="B314" s="7" t="n">
        <v>0.468055555555555</v>
      </c>
      <c r="C314" s="8" t="n">
        <v>8722</v>
      </c>
      <c r="D314" s="8" t="s">
        <v>17</v>
      </c>
      <c r="E314" s="8" t="n">
        <v>2680</v>
      </c>
      <c r="F314" s="8" t="n">
        <v>2360</v>
      </c>
      <c r="G314" s="9" t="n">
        <v>320</v>
      </c>
      <c r="H314" s="8" t="s">
        <v>11</v>
      </c>
      <c r="I314" s="8" t="s">
        <v>12</v>
      </c>
      <c r="J314" s="5" t="s">
        <v>13</v>
      </c>
      <c r="K314" s="5"/>
      <c r="L314" s="5"/>
    </row>
    <row r="315" customFormat="false" ht="15" hidden="false" customHeight="false" outlineLevel="0" collapsed="false">
      <c r="A315" s="6" t="n">
        <v>44764</v>
      </c>
      <c r="B315" s="7" t="n">
        <v>0.861111111111111</v>
      </c>
      <c r="C315" s="8" t="n">
        <v>8744</v>
      </c>
      <c r="D315" s="8" t="s">
        <v>16</v>
      </c>
      <c r="E315" s="8" t="n">
        <v>3080</v>
      </c>
      <c r="F315" s="8" t="n">
        <v>2840</v>
      </c>
      <c r="G315" s="9" t="n">
        <v>240</v>
      </c>
      <c r="H315" s="8" t="s">
        <v>11</v>
      </c>
      <c r="I315" s="8" t="s">
        <v>12</v>
      </c>
      <c r="J315" s="5" t="s">
        <v>13</v>
      </c>
      <c r="K315" s="5"/>
      <c r="L315" s="5"/>
    </row>
    <row r="316" customFormat="false" ht="15" hidden="false" customHeight="false" outlineLevel="0" collapsed="false">
      <c r="A316" s="6" t="n">
        <v>44764</v>
      </c>
      <c r="B316" s="7" t="n">
        <v>0.884027777777778</v>
      </c>
      <c r="C316" s="8" t="n">
        <v>8746</v>
      </c>
      <c r="D316" s="8" t="s">
        <v>10</v>
      </c>
      <c r="E316" s="8" t="n">
        <v>24840</v>
      </c>
      <c r="F316" s="8" t="n">
        <v>15960</v>
      </c>
      <c r="G316" s="9" t="n">
        <v>8880</v>
      </c>
      <c r="H316" s="8" t="s">
        <v>11</v>
      </c>
      <c r="I316" s="8" t="s">
        <v>12</v>
      </c>
      <c r="J316" s="5" t="s">
        <v>13</v>
      </c>
      <c r="K316" s="5"/>
      <c r="L316" s="5"/>
    </row>
    <row r="317" customFormat="false" ht="15" hidden="false" customHeight="false" outlineLevel="0" collapsed="false">
      <c r="A317" s="6" t="n">
        <v>44764</v>
      </c>
      <c r="B317" s="7" t="n">
        <v>0.706944444444444</v>
      </c>
      <c r="C317" s="8" t="n">
        <v>8736</v>
      </c>
      <c r="D317" s="8" t="s">
        <v>14</v>
      </c>
      <c r="E317" s="8" t="n">
        <v>15640</v>
      </c>
      <c r="F317" s="8" t="n">
        <v>12740</v>
      </c>
      <c r="G317" s="9" t="n">
        <v>2900</v>
      </c>
      <c r="H317" s="8" t="s">
        <v>11</v>
      </c>
      <c r="I317" s="8" t="s">
        <v>12</v>
      </c>
      <c r="J317" s="5" t="s">
        <v>13</v>
      </c>
      <c r="K317" s="5"/>
      <c r="L317" s="5"/>
    </row>
    <row r="318" customFormat="false" ht="15" hidden="false" customHeight="false" outlineLevel="0" collapsed="false">
      <c r="A318" s="6" t="n">
        <v>44764</v>
      </c>
      <c r="B318" s="7" t="n">
        <v>0.865277777777778</v>
      </c>
      <c r="C318" s="8" t="n">
        <v>8745</v>
      </c>
      <c r="D318" s="8" t="s">
        <v>17</v>
      </c>
      <c r="E318" s="8" t="n">
        <v>2600</v>
      </c>
      <c r="F318" s="8" t="n">
        <v>2380</v>
      </c>
      <c r="G318" s="9" t="n">
        <v>220</v>
      </c>
      <c r="H318" s="8" t="s">
        <v>11</v>
      </c>
      <c r="I318" s="8" t="s">
        <v>12</v>
      </c>
      <c r="J318" s="5" t="s">
        <v>13</v>
      </c>
      <c r="K318" s="5"/>
      <c r="L318" s="5"/>
    </row>
    <row r="319" customFormat="false" ht="15" hidden="false" customHeight="false" outlineLevel="0" collapsed="false">
      <c r="A319" s="6" t="n">
        <v>44765</v>
      </c>
      <c r="B319" s="7" t="n">
        <v>0.338888888888889</v>
      </c>
      <c r="C319" s="8" t="n">
        <v>142524</v>
      </c>
      <c r="D319" s="8" t="s">
        <v>26</v>
      </c>
      <c r="E319" s="8" t="n">
        <v>18020</v>
      </c>
      <c r="F319" s="8" t="n">
        <v>15600</v>
      </c>
      <c r="G319" s="9" t="n">
        <v>2420</v>
      </c>
      <c r="H319" s="8" t="s">
        <v>11</v>
      </c>
      <c r="I319" s="8" t="s">
        <v>23</v>
      </c>
      <c r="J319" s="5" t="s">
        <v>13</v>
      </c>
      <c r="K319" s="5"/>
      <c r="L319" s="5"/>
    </row>
    <row r="320" customFormat="false" ht="15" hidden="false" customHeight="false" outlineLevel="0" collapsed="false">
      <c r="A320" s="6" t="n">
        <v>44765</v>
      </c>
      <c r="B320" s="7" t="n">
        <v>0.485416666666667</v>
      </c>
      <c r="C320" s="8" t="n">
        <v>142537</v>
      </c>
      <c r="D320" s="8" t="s">
        <v>18</v>
      </c>
      <c r="E320" s="8" t="n">
        <v>17460</v>
      </c>
      <c r="F320" s="8" t="n">
        <v>15600</v>
      </c>
      <c r="G320" s="9" t="n">
        <v>1860</v>
      </c>
      <c r="H320" s="8" t="s">
        <v>11</v>
      </c>
      <c r="I320" s="8" t="s">
        <v>23</v>
      </c>
      <c r="J320" s="5" t="s">
        <v>13</v>
      </c>
      <c r="K320" s="5"/>
      <c r="L320" s="5"/>
    </row>
    <row r="321" customFormat="false" ht="15" hidden="false" customHeight="false" outlineLevel="0" collapsed="false">
      <c r="A321" s="6" t="n">
        <v>44765</v>
      </c>
      <c r="B321" s="7" t="n">
        <v>0.238194444444444</v>
      </c>
      <c r="C321" s="8" t="n">
        <v>8763</v>
      </c>
      <c r="D321" s="8" t="s">
        <v>18</v>
      </c>
      <c r="E321" s="8" t="n">
        <v>23220</v>
      </c>
      <c r="F321" s="8" t="n">
        <v>15720</v>
      </c>
      <c r="G321" s="9" t="n">
        <v>7500</v>
      </c>
      <c r="H321" s="8" t="s">
        <v>11</v>
      </c>
      <c r="I321" s="8" t="s">
        <v>12</v>
      </c>
      <c r="J321" s="5" t="s">
        <v>13</v>
      </c>
      <c r="K321" s="5"/>
      <c r="L321" s="5"/>
    </row>
    <row r="322" customFormat="false" ht="15" hidden="false" customHeight="false" outlineLevel="0" collapsed="false">
      <c r="A322" s="6" t="n">
        <v>44765</v>
      </c>
      <c r="B322" s="7" t="n">
        <v>0.248611111111111</v>
      </c>
      <c r="C322" s="8" t="n">
        <v>8768</v>
      </c>
      <c r="D322" s="8" t="s">
        <v>14</v>
      </c>
      <c r="E322" s="8" t="n">
        <v>21800</v>
      </c>
      <c r="F322" s="8" t="n">
        <v>12700</v>
      </c>
      <c r="G322" s="9" t="n">
        <v>9100</v>
      </c>
      <c r="H322" s="8" t="s">
        <v>11</v>
      </c>
      <c r="I322" s="8" t="s">
        <v>12</v>
      </c>
      <c r="J322" s="5" t="s">
        <v>13</v>
      </c>
      <c r="K322" s="5"/>
      <c r="L322" s="5"/>
    </row>
    <row r="323" customFormat="false" ht="15" hidden="false" customHeight="false" outlineLevel="0" collapsed="false">
      <c r="A323" s="6" t="n">
        <v>44765</v>
      </c>
      <c r="B323" s="7" t="n">
        <v>0.454861111111111</v>
      </c>
      <c r="C323" s="8" t="n">
        <v>8779</v>
      </c>
      <c r="D323" s="8" t="s">
        <v>16</v>
      </c>
      <c r="E323" s="8" t="n">
        <v>3240</v>
      </c>
      <c r="F323" s="8" t="n">
        <v>2860</v>
      </c>
      <c r="G323" s="9" t="n">
        <v>380</v>
      </c>
      <c r="H323" s="8" t="s">
        <v>11</v>
      </c>
      <c r="I323" s="8" t="s">
        <v>22</v>
      </c>
      <c r="J323" s="5" t="s">
        <v>13</v>
      </c>
      <c r="K323" s="5"/>
      <c r="L323" s="5"/>
    </row>
    <row r="324" customFormat="false" ht="15" hidden="false" customHeight="false" outlineLevel="0" collapsed="false">
      <c r="A324" s="6" t="n">
        <v>44765</v>
      </c>
      <c r="B324" s="7" t="n">
        <v>0.872222222222222</v>
      </c>
      <c r="C324" s="8" t="n">
        <v>8782</v>
      </c>
      <c r="D324" s="8" t="s">
        <v>17</v>
      </c>
      <c r="E324" s="8" t="n">
        <v>2720</v>
      </c>
      <c r="F324" s="8" t="n">
        <v>2380</v>
      </c>
      <c r="G324" s="9" t="n">
        <v>340</v>
      </c>
      <c r="H324" s="8" t="s">
        <v>11</v>
      </c>
      <c r="I324" s="8" t="s">
        <v>12</v>
      </c>
      <c r="J324" s="5" t="s">
        <v>13</v>
      </c>
      <c r="K324" s="5"/>
      <c r="L324" s="5"/>
    </row>
    <row r="325" customFormat="false" ht="15" hidden="false" customHeight="false" outlineLevel="0" collapsed="false">
      <c r="A325" s="6" t="n">
        <v>44765</v>
      </c>
      <c r="B325" s="7" t="n">
        <v>0.888888888888889</v>
      </c>
      <c r="C325" s="8" t="n">
        <v>8783</v>
      </c>
      <c r="D325" s="8" t="s">
        <v>10</v>
      </c>
      <c r="E325" s="8" t="n">
        <v>24740</v>
      </c>
      <c r="F325" s="8" t="n">
        <v>15940</v>
      </c>
      <c r="G325" s="9" t="n">
        <v>8800</v>
      </c>
      <c r="H325" s="8" t="s">
        <v>11</v>
      </c>
      <c r="I325" s="8" t="s">
        <v>12</v>
      </c>
      <c r="J325" s="5" t="s">
        <v>13</v>
      </c>
      <c r="K325" s="5"/>
      <c r="L325" s="5"/>
    </row>
    <row r="326" customFormat="false" ht="15" hidden="false" customHeight="false" outlineLevel="0" collapsed="false">
      <c r="A326" s="6" t="n">
        <v>44765</v>
      </c>
      <c r="B326" s="7" t="n">
        <v>0.708333333333333</v>
      </c>
      <c r="C326" s="8" t="n">
        <v>8781</v>
      </c>
      <c r="D326" s="8" t="s">
        <v>14</v>
      </c>
      <c r="E326" s="8" t="n">
        <v>15480</v>
      </c>
      <c r="F326" s="8" t="n">
        <v>12800</v>
      </c>
      <c r="G326" s="9" t="n">
        <v>2680</v>
      </c>
      <c r="H326" s="8" t="s">
        <v>11</v>
      </c>
      <c r="I326" s="8" t="s">
        <v>12</v>
      </c>
      <c r="J326" s="5" t="s">
        <v>13</v>
      </c>
      <c r="K326" s="5"/>
      <c r="L326" s="5"/>
    </row>
    <row r="327" customFormat="false" ht="15" hidden="false" customHeight="false" outlineLevel="0" collapsed="false">
      <c r="A327" s="6" t="n">
        <v>44765</v>
      </c>
      <c r="B327" s="7" t="n">
        <v>0.379861111111111</v>
      </c>
      <c r="C327" s="8" t="n">
        <v>8776</v>
      </c>
      <c r="D327" s="8" t="s">
        <v>26</v>
      </c>
      <c r="E327" s="8" t="n">
        <v>18360</v>
      </c>
      <c r="F327" s="8" t="n">
        <v>16000</v>
      </c>
      <c r="G327" s="9" t="n">
        <v>2360</v>
      </c>
      <c r="H327" s="8" t="s">
        <v>11</v>
      </c>
      <c r="I327" s="8" t="s">
        <v>22</v>
      </c>
      <c r="J327" s="5" t="s">
        <v>13</v>
      </c>
      <c r="K327" s="5"/>
      <c r="L327" s="5"/>
    </row>
    <row r="328" customFormat="false" ht="15" hidden="false" customHeight="false" outlineLevel="0" collapsed="false">
      <c r="A328" s="6" t="n">
        <v>44765</v>
      </c>
      <c r="B328" s="7" t="n">
        <v>0.391666666666667</v>
      </c>
      <c r="C328" s="8" t="n">
        <v>8777</v>
      </c>
      <c r="D328" s="8" t="s">
        <v>16</v>
      </c>
      <c r="E328" s="8" t="n">
        <v>3260</v>
      </c>
      <c r="F328" s="8" t="n">
        <v>2860</v>
      </c>
      <c r="G328" s="9" t="n">
        <v>400</v>
      </c>
      <c r="H328" s="8" t="s">
        <v>11</v>
      </c>
      <c r="I328" s="8" t="s">
        <v>12</v>
      </c>
      <c r="J328" s="5" t="s">
        <v>13</v>
      </c>
      <c r="K328" s="5"/>
      <c r="L328" s="5"/>
    </row>
    <row r="329" customFormat="false" ht="15" hidden="false" customHeight="false" outlineLevel="0" collapsed="false">
      <c r="A329" s="6" t="n">
        <v>44765</v>
      </c>
      <c r="B329" s="7" t="n">
        <v>0.238888888888889</v>
      </c>
      <c r="C329" s="8" t="n">
        <v>8762</v>
      </c>
      <c r="D329" s="8" t="s">
        <v>10</v>
      </c>
      <c r="E329" s="8" t="n">
        <v>26980</v>
      </c>
      <c r="F329" s="8" t="n">
        <v>16020</v>
      </c>
      <c r="G329" s="9" t="n">
        <v>10960</v>
      </c>
      <c r="H329" s="8" t="s">
        <v>11</v>
      </c>
      <c r="I329" s="8" t="s">
        <v>12</v>
      </c>
      <c r="J329" s="5" t="s">
        <v>13</v>
      </c>
      <c r="K329" s="5"/>
      <c r="L329" s="5"/>
    </row>
    <row r="330" customFormat="false" ht="15" hidden="false" customHeight="false" outlineLevel="0" collapsed="false">
      <c r="A330" s="6" t="n">
        <v>44765</v>
      </c>
      <c r="B330" s="7" t="n">
        <v>0.0548611111111111</v>
      </c>
      <c r="C330" s="8" t="n">
        <v>8749</v>
      </c>
      <c r="D330" s="8" t="s">
        <v>14</v>
      </c>
      <c r="E330" s="8" t="n">
        <v>22600</v>
      </c>
      <c r="F330" s="8" t="n">
        <v>12720</v>
      </c>
      <c r="G330" s="9" t="n">
        <v>9880</v>
      </c>
      <c r="H330" s="8" t="s">
        <v>11</v>
      </c>
      <c r="I330" s="8" t="s">
        <v>12</v>
      </c>
      <c r="J330" s="5" t="s">
        <v>13</v>
      </c>
      <c r="K330" s="5"/>
      <c r="L330" s="5"/>
    </row>
    <row r="331" customFormat="false" ht="15" hidden="false" customHeight="false" outlineLevel="0" collapsed="false">
      <c r="A331" s="6" t="n">
        <v>44765</v>
      </c>
      <c r="B331" s="7" t="n">
        <v>0.29375</v>
      </c>
      <c r="C331" s="8" t="n">
        <v>8773</v>
      </c>
      <c r="D331" s="8" t="s">
        <v>16</v>
      </c>
      <c r="E331" s="8" t="n">
        <v>3220</v>
      </c>
      <c r="F331" s="8" t="n">
        <v>2880</v>
      </c>
      <c r="G331" s="9" t="n">
        <v>340</v>
      </c>
      <c r="H331" s="8" t="s">
        <v>11</v>
      </c>
      <c r="I331" s="8" t="s">
        <v>22</v>
      </c>
      <c r="J331" s="5" t="s">
        <v>13</v>
      </c>
      <c r="K331" s="5"/>
      <c r="L331" s="5"/>
    </row>
    <row r="332" customFormat="false" ht="15" hidden="false" customHeight="false" outlineLevel="0" collapsed="false">
      <c r="A332" s="6" t="n">
        <v>44765</v>
      </c>
      <c r="B332" s="7" t="n">
        <v>0.211805555555556</v>
      </c>
      <c r="C332" s="8" t="n">
        <v>8758</v>
      </c>
      <c r="D332" s="8" t="s">
        <v>15</v>
      </c>
      <c r="E332" s="8" t="n">
        <v>4320</v>
      </c>
      <c r="F332" s="8" t="n">
        <v>3680</v>
      </c>
      <c r="G332" s="9" t="n">
        <v>640</v>
      </c>
      <c r="H332" s="8" t="s">
        <v>11</v>
      </c>
      <c r="I332" s="8" t="s">
        <v>12</v>
      </c>
      <c r="J332" s="5" t="s">
        <v>13</v>
      </c>
      <c r="K332" s="5"/>
      <c r="L332" s="5"/>
    </row>
    <row r="333" customFormat="false" ht="15" hidden="false" customHeight="false" outlineLevel="0" collapsed="false">
      <c r="A333" s="6" t="n">
        <v>44765</v>
      </c>
      <c r="B333" s="7" t="n">
        <v>0.133333333333333</v>
      </c>
      <c r="C333" s="8" t="n">
        <v>8754</v>
      </c>
      <c r="D333" s="8" t="s">
        <v>15</v>
      </c>
      <c r="E333" s="8" t="n">
        <v>4860</v>
      </c>
      <c r="F333" s="8" t="n">
        <v>3600</v>
      </c>
      <c r="G333" s="9" t="n">
        <v>1260</v>
      </c>
      <c r="H333" s="8" t="s">
        <v>11</v>
      </c>
      <c r="I333" s="8" t="s">
        <v>12</v>
      </c>
      <c r="J333" s="5" t="s">
        <v>13</v>
      </c>
      <c r="K333" s="5"/>
      <c r="L333" s="5"/>
    </row>
    <row r="334" customFormat="false" ht="15" hidden="false" customHeight="false" outlineLevel="0" collapsed="false">
      <c r="A334" s="6" t="n">
        <v>44765</v>
      </c>
      <c r="B334" s="7" t="n">
        <v>0.458333333333333</v>
      </c>
      <c r="C334" s="8" t="n">
        <v>8780</v>
      </c>
      <c r="D334" s="8" t="s">
        <v>17</v>
      </c>
      <c r="E334" s="8" t="n">
        <v>2760</v>
      </c>
      <c r="F334" s="8" t="n">
        <v>2420</v>
      </c>
      <c r="G334" s="9" t="n">
        <v>340</v>
      </c>
      <c r="H334" s="8" t="s">
        <v>11</v>
      </c>
      <c r="I334" s="8" t="s">
        <v>12</v>
      </c>
      <c r="J334" s="5" t="s">
        <v>13</v>
      </c>
      <c r="K334" s="5"/>
      <c r="L334" s="5"/>
    </row>
    <row r="335" customFormat="false" ht="15" hidden="false" customHeight="false" outlineLevel="0" collapsed="false">
      <c r="A335" s="6" t="n">
        <v>44766</v>
      </c>
      <c r="B335" s="7" t="n">
        <v>0.972222222222222</v>
      </c>
      <c r="C335" s="8" t="n">
        <v>8820</v>
      </c>
      <c r="D335" s="8" t="s">
        <v>24</v>
      </c>
      <c r="E335" s="8" t="n">
        <v>15400</v>
      </c>
      <c r="F335" s="8" t="n">
        <v>12400</v>
      </c>
      <c r="G335" s="9" t="n">
        <v>3000</v>
      </c>
      <c r="H335" s="8" t="s">
        <v>11</v>
      </c>
      <c r="I335" s="8" t="s">
        <v>12</v>
      </c>
      <c r="J335" s="5" t="s">
        <v>13</v>
      </c>
      <c r="K335" s="5"/>
      <c r="L335" s="5"/>
    </row>
    <row r="336" customFormat="false" ht="15" hidden="false" customHeight="false" outlineLevel="0" collapsed="false">
      <c r="A336" s="6" t="n">
        <v>44766</v>
      </c>
      <c r="B336" s="7" t="n">
        <v>0.457638888888889</v>
      </c>
      <c r="C336" s="8" t="n">
        <v>8813</v>
      </c>
      <c r="D336" s="8" t="s">
        <v>17</v>
      </c>
      <c r="E336" s="8" t="n">
        <v>2740</v>
      </c>
      <c r="F336" s="8" t="n">
        <v>2380</v>
      </c>
      <c r="G336" s="9" t="n">
        <v>360</v>
      </c>
      <c r="H336" s="8" t="s">
        <v>11</v>
      </c>
      <c r="I336" s="8" t="s">
        <v>12</v>
      </c>
      <c r="J336" s="5" t="s">
        <v>13</v>
      </c>
      <c r="K336" s="5"/>
      <c r="L336" s="5"/>
    </row>
    <row r="337" customFormat="false" ht="15" hidden="false" customHeight="false" outlineLevel="0" collapsed="false">
      <c r="A337" s="6" t="n">
        <v>44766</v>
      </c>
      <c r="B337" s="7" t="n">
        <v>0.868055555555555</v>
      </c>
      <c r="C337" s="8" t="n">
        <v>8816</v>
      </c>
      <c r="D337" s="8" t="s">
        <v>17</v>
      </c>
      <c r="E337" s="8" t="n">
        <v>2640</v>
      </c>
      <c r="F337" s="8" t="n">
        <v>2340</v>
      </c>
      <c r="G337" s="9" t="n">
        <v>300</v>
      </c>
      <c r="H337" s="8" t="s">
        <v>11</v>
      </c>
      <c r="I337" s="8" t="s">
        <v>12</v>
      </c>
      <c r="J337" s="5" t="s">
        <v>13</v>
      </c>
      <c r="K337" s="5"/>
      <c r="L337" s="5"/>
    </row>
    <row r="338" customFormat="false" ht="15" hidden="false" customHeight="false" outlineLevel="0" collapsed="false">
      <c r="A338" s="6" t="n">
        <v>44766</v>
      </c>
      <c r="B338" s="7" t="n">
        <v>0.8875</v>
      </c>
      <c r="C338" s="8" t="n">
        <v>8818</v>
      </c>
      <c r="D338" s="8" t="s">
        <v>10</v>
      </c>
      <c r="E338" s="8" t="n">
        <v>25140</v>
      </c>
      <c r="F338" s="8" t="n">
        <v>15960</v>
      </c>
      <c r="G338" s="9" t="n">
        <v>9180</v>
      </c>
      <c r="H338" s="8" t="s">
        <v>11</v>
      </c>
      <c r="I338" s="8" t="s">
        <v>12</v>
      </c>
      <c r="J338" s="5" t="s">
        <v>13</v>
      </c>
      <c r="K338" s="5"/>
      <c r="L338" s="5"/>
    </row>
    <row r="339" customFormat="false" ht="15" hidden="false" customHeight="false" outlineLevel="0" collapsed="false">
      <c r="A339" s="6" t="n">
        <v>44766</v>
      </c>
      <c r="B339" s="7" t="n">
        <v>0.215972222222222</v>
      </c>
      <c r="C339" s="8" t="n">
        <v>8802</v>
      </c>
      <c r="D339" s="8" t="s">
        <v>15</v>
      </c>
      <c r="E339" s="8" t="n">
        <v>4480</v>
      </c>
      <c r="F339" s="8" t="n">
        <v>3580</v>
      </c>
      <c r="G339" s="9" t="n">
        <v>900</v>
      </c>
      <c r="H339" s="8" t="s">
        <v>11</v>
      </c>
      <c r="I339" s="8" t="s">
        <v>12</v>
      </c>
      <c r="J339" s="5" t="s">
        <v>13</v>
      </c>
      <c r="K339" s="5"/>
      <c r="L339" s="5"/>
    </row>
    <row r="340" customFormat="false" ht="15" hidden="false" customHeight="false" outlineLevel="0" collapsed="false">
      <c r="A340" s="6" t="n">
        <v>44766</v>
      </c>
      <c r="B340" s="7" t="n">
        <v>0.0416666666666667</v>
      </c>
      <c r="C340" s="8" t="n">
        <v>8785</v>
      </c>
      <c r="D340" s="8" t="s">
        <v>14</v>
      </c>
      <c r="E340" s="8" t="n">
        <v>22180</v>
      </c>
      <c r="F340" s="8" t="n">
        <v>12780</v>
      </c>
      <c r="G340" s="9" t="n">
        <v>9400</v>
      </c>
      <c r="H340" s="8" t="s">
        <v>11</v>
      </c>
      <c r="I340" s="8" t="s">
        <v>12</v>
      </c>
      <c r="J340" s="5" t="s">
        <v>13</v>
      </c>
      <c r="K340" s="5"/>
      <c r="L340" s="5"/>
    </row>
    <row r="341" customFormat="false" ht="15" hidden="false" customHeight="false" outlineLevel="0" collapsed="false">
      <c r="A341" s="6" t="n">
        <v>44766</v>
      </c>
      <c r="B341" s="7" t="n">
        <v>0.215277777777778</v>
      </c>
      <c r="C341" s="8" t="n">
        <v>8800</v>
      </c>
      <c r="D341" s="8" t="s">
        <v>20</v>
      </c>
      <c r="E341" s="8" t="n">
        <v>3420</v>
      </c>
      <c r="F341" s="8" t="n">
        <v>2820</v>
      </c>
      <c r="G341" s="9" t="n">
        <v>600</v>
      </c>
      <c r="H341" s="8" t="s">
        <v>11</v>
      </c>
      <c r="I341" s="8" t="s">
        <v>12</v>
      </c>
      <c r="J341" s="5" t="s">
        <v>13</v>
      </c>
      <c r="K341" s="5"/>
      <c r="L341" s="5"/>
    </row>
    <row r="342" customFormat="false" ht="15" hidden="false" customHeight="false" outlineLevel="0" collapsed="false">
      <c r="A342" s="6" t="n">
        <v>44766</v>
      </c>
      <c r="B342" s="7" t="n">
        <v>0.111805555555556</v>
      </c>
      <c r="C342" s="8" t="n">
        <v>8788</v>
      </c>
      <c r="D342" s="8" t="s">
        <v>20</v>
      </c>
      <c r="E342" s="8" t="n">
        <v>3300</v>
      </c>
      <c r="F342" s="8" t="n">
        <v>2740</v>
      </c>
      <c r="G342" s="9" t="n">
        <v>560</v>
      </c>
      <c r="H342" s="8" t="s">
        <v>11</v>
      </c>
      <c r="I342" s="8" t="s">
        <v>12</v>
      </c>
      <c r="J342" s="5" t="s">
        <v>13</v>
      </c>
      <c r="K342" s="5"/>
      <c r="L342" s="5"/>
    </row>
    <row r="343" customFormat="false" ht="15" hidden="false" customHeight="false" outlineLevel="0" collapsed="false">
      <c r="A343" s="6" t="n">
        <v>44766</v>
      </c>
      <c r="B343" s="7" t="n">
        <v>0.349305555555556</v>
      </c>
      <c r="C343" s="8" t="n">
        <v>8810</v>
      </c>
      <c r="D343" s="8" t="s">
        <v>20</v>
      </c>
      <c r="E343" s="8" t="n">
        <v>3180</v>
      </c>
      <c r="F343" s="8" t="n">
        <v>2700</v>
      </c>
      <c r="G343" s="9" t="n">
        <v>480</v>
      </c>
      <c r="H343" s="8" t="s">
        <v>11</v>
      </c>
      <c r="I343" s="8" t="s">
        <v>12</v>
      </c>
      <c r="J343" s="5" t="s">
        <v>13</v>
      </c>
      <c r="K343" s="5"/>
      <c r="L343" s="5"/>
    </row>
    <row r="344" customFormat="false" ht="15" hidden="false" customHeight="false" outlineLevel="0" collapsed="false">
      <c r="A344" s="6" t="n">
        <v>44766</v>
      </c>
      <c r="B344" s="7" t="n">
        <v>0.459722222222222</v>
      </c>
      <c r="C344" s="8" t="n">
        <v>8814</v>
      </c>
      <c r="D344" s="8" t="s">
        <v>20</v>
      </c>
      <c r="E344" s="8" t="n">
        <v>2960</v>
      </c>
      <c r="F344" s="8" t="n">
        <v>2700</v>
      </c>
      <c r="G344" s="9" t="n">
        <v>260</v>
      </c>
      <c r="H344" s="8" t="s">
        <v>11</v>
      </c>
      <c r="I344" s="8" t="s">
        <v>12</v>
      </c>
      <c r="J344" s="5" t="s">
        <v>13</v>
      </c>
      <c r="K344" s="5"/>
      <c r="L344" s="5"/>
    </row>
    <row r="345" customFormat="false" ht="15" hidden="false" customHeight="false" outlineLevel="0" collapsed="false">
      <c r="A345" s="6" t="n">
        <v>44766</v>
      </c>
      <c r="B345" s="7" t="n">
        <v>0.867361111111111</v>
      </c>
      <c r="C345" s="8" t="n">
        <v>8817</v>
      </c>
      <c r="D345" s="8" t="s">
        <v>20</v>
      </c>
      <c r="E345" s="8" t="n">
        <v>2860</v>
      </c>
      <c r="F345" s="8" t="n">
        <v>2700</v>
      </c>
      <c r="G345" s="9" t="n">
        <v>160</v>
      </c>
      <c r="H345" s="8" t="s">
        <v>11</v>
      </c>
      <c r="I345" s="8" t="s">
        <v>12</v>
      </c>
      <c r="J345" s="5" t="s">
        <v>13</v>
      </c>
      <c r="K345" s="5"/>
      <c r="L345" s="5"/>
    </row>
    <row r="346" customFormat="false" ht="15" hidden="false" customHeight="false" outlineLevel="0" collapsed="false">
      <c r="A346" s="6" t="n">
        <v>44766</v>
      </c>
      <c r="B346" s="7" t="n">
        <v>0.7125</v>
      </c>
      <c r="C346" s="8" t="n">
        <v>8815</v>
      </c>
      <c r="D346" s="8" t="s">
        <v>14</v>
      </c>
      <c r="E346" s="8" t="n">
        <v>16560</v>
      </c>
      <c r="F346" s="8" t="n">
        <v>12780</v>
      </c>
      <c r="G346" s="9" t="n">
        <v>3780</v>
      </c>
      <c r="H346" s="8" t="s">
        <v>11</v>
      </c>
      <c r="I346" s="8" t="s">
        <v>12</v>
      </c>
      <c r="J346" s="5" t="s">
        <v>13</v>
      </c>
      <c r="K346" s="5"/>
      <c r="L346" s="5"/>
    </row>
    <row r="347" customFormat="false" ht="15" hidden="false" customHeight="false" outlineLevel="0" collapsed="false">
      <c r="A347" s="6" t="n">
        <v>44766</v>
      </c>
      <c r="B347" s="7" t="n">
        <v>0.229861111111111</v>
      </c>
      <c r="C347" s="8" t="n">
        <v>8804</v>
      </c>
      <c r="D347" s="8" t="s">
        <v>18</v>
      </c>
      <c r="E347" s="8" t="n">
        <v>24220</v>
      </c>
      <c r="F347" s="8" t="n">
        <v>15680</v>
      </c>
      <c r="G347" s="9" t="n">
        <v>8540</v>
      </c>
      <c r="H347" s="8" t="s">
        <v>11</v>
      </c>
      <c r="I347" s="8" t="s">
        <v>12</v>
      </c>
      <c r="J347" s="5" t="s">
        <v>13</v>
      </c>
      <c r="K347" s="5"/>
      <c r="L347" s="5"/>
    </row>
    <row r="348" customFormat="false" ht="15" hidden="false" customHeight="false" outlineLevel="0" collapsed="false">
      <c r="A348" s="6" t="n">
        <v>44766</v>
      </c>
      <c r="B348" s="7" t="n">
        <v>0.250694444444444</v>
      </c>
      <c r="C348" s="8" t="n">
        <v>8806</v>
      </c>
      <c r="D348" s="8" t="s">
        <v>14</v>
      </c>
      <c r="E348" s="8" t="n">
        <v>14460</v>
      </c>
      <c r="F348" s="8" t="n">
        <v>12800</v>
      </c>
      <c r="G348" s="9" t="n">
        <v>1660</v>
      </c>
      <c r="H348" s="8" t="s">
        <v>11</v>
      </c>
      <c r="I348" s="8" t="s">
        <v>12</v>
      </c>
      <c r="J348" s="5" t="s">
        <v>13</v>
      </c>
      <c r="K348" s="5"/>
      <c r="L348" s="5"/>
    </row>
    <row r="349" customFormat="false" ht="15" hidden="false" customHeight="false" outlineLevel="0" collapsed="false">
      <c r="A349" s="6" t="n">
        <v>44766</v>
      </c>
      <c r="B349" s="7" t="n">
        <v>0.215972222222222</v>
      </c>
      <c r="C349" s="8" t="n">
        <v>8799</v>
      </c>
      <c r="D349" s="8" t="s">
        <v>17</v>
      </c>
      <c r="E349" s="8" t="n">
        <v>2620</v>
      </c>
      <c r="F349" s="8" t="n">
        <v>2480</v>
      </c>
      <c r="G349" s="9" t="n">
        <v>140</v>
      </c>
      <c r="H349" s="8" t="s">
        <v>11</v>
      </c>
      <c r="I349" s="8" t="s">
        <v>12</v>
      </c>
      <c r="J349" s="5" t="s">
        <v>13</v>
      </c>
      <c r="K349" s="5"/>
      <c r="L349" s="5"/>
    </row>
    <row r="350" customFormat="false" ht="15" hidden="false" customHeight="false" outlineLevel="0" collapsed="false">
      <c r="A350" s="6" t="n">
        <v>44766</v>
      </c>
      <c r="B350" s="7" t="n">
        <v>0.148611111111111</v>
      </c>
      <c r="C350" s="8" t="n">
        <v>8793</v>
      </c>
      <c r="D350" s="8" t="s">
        <v>10</v>
      </c>
      <c r="E350" s="8" t="n">
        <v>27280</v>
      </c>
      <c r="F350" s="8" t="n">
        <v>15980</v>
      </c>
      <c r="G350" s="9" t="n">
        <v>11300</v>
      </c>
      <c r="H350" s="8" t="s">
        <v>11</v>
      </c>
      <c r="I350" s="8" t="s">
        <v>12</v>
      </c>
      <c r="J350" s="5" t="s">
        <v>13</v>
      </c>
      <c r="K350" s="5"/>
      <c r="L350" s="5"/>
    </row>
    <row r="351" customFormat="false" ht="15" hidden="false" customHeight="false" outlineLevel="0" collapsed="false">
      <c r="A351" s="6" t="n">
        <v>44766</v>
      </c>
      <c r="B351" s="7" t="n">
        <v>0.163888888888889</v>
      </c>
      <c r="C351" s="8" t="n">
        <v>8796</v>
      </c>
      <c r="D351" s="8" t="s">
        <v>14</v>
      </c>
      <c r="E351" s="8" t="n">
        <v>23080</v>
      </c>
      <c r="F351" s="8" t="n">
        <v>12820</v>
      </c>
      <c r="G351" s="9" t="n">
        <v>10260</v>
      </c>
      <c r="H351" s="8" t="s">
        <v>11</v>
      </c>
      <c r="I351" s="8" t="s">
        <v>12</v>
      </c>
      <c r="J351" s="5" t="s">
        <v>13</v>
      </c>
      <c r="K351" s="5"/>
      <c r="L351" s="5"/>
    </row>
    <row r="352" customFormat="false" ht="15" hidden="false" customHeight="false" outlineLevel="0" collapsed="false">
      <c r="A352" s="6" t="n">
        <v>44767</v>
      </c>
      <c r="B352" s="7" t="n">
        <v>0.120138888888889</v>
      </c>
      <c r="C352" s="8" t="n">
        <v>8826</v>
      </c>
      <c r="D352" s="8" t="s">
        <v>15</v>
      </c>
      <c r="E352" s="8" t="n">
        <v>4800</v>
      </c>
      <c r="F352" s="8" t="n">
        <v>3580</v>
      </c>
      <c r="G352" s="9" t="n">
        <v>1220</v>
      </c>
      <c r="H352" s="8" t="s">
        <v>11</v>
      </c>
      <c r="I352" s="8" t="s">
        <v>12</v>
      </c>
      <c r="J352" s="5" t="s">
        <v>13</v>
      </c>
      <c r="K352" s="5"/>
      <c r="L352" s="5"/>
    </row>
    <row r="353" customFormat="false" ht="15" hidden="false" customHeight="false" outlineLevel="0" collapsed="false">
      <c r="A353" s="6" t="n">
        <v>44767</v>
      </c>
      <c r="B353" s="7" t="n">
        <v>0.211111111111111</v>
      </c>
      <c r="C353" s="8" t="n">
        <v>8832</v>
      </c>
      <c r="D353" s="8" t="s">
        <v>15</v>
      </c>
      <c r="E353" s="8" t="n">
        <v>4280</v>
      </c>
      <c r="F353" s="8" t="n">
        <v>3680</v>
      </c>
      <c r="G353" s="9" t="n">
        <v>600</v>
      </c>
      <c r="H353" s="8" t="s">
        <v>11</v>
      </c>
      <c r="I353" s="8" t="s">
        <v>12</v>
      </c>
      <c r="J353" s="5" t="s">
        <v>13</v>
      </c>
      <c r="K353" s="5"/>
      <c r="L353" s="5"/>
    </row>
    <row r="354" customFormat="false" ht="15" hidden="false" customHeight="false" outlineLevel="0" collapsed="false">
      <c r="A354" s="6" t="n">
        <v>44767</v>
      </c>
      <c r="B354" s="7" t="n">
        <v>0.249305555555556</v>
      </c>
      <c r="C354" s="8" t="n">
        <v>8836</v>
      </c>
      <c r="D354" s="8" t="s">
        <v>10</v>
      </c>
      <c r="E354" s="8" t="n">
        <v>28040</v>
      </c>
      <c r="F354" s="8" t="n">
        <v>16040</v>
      </c>
      <c r="G354" s="9" t="n">
        <v>12000</v>
      </c>
      <c r="H354" s="8" t="s">
        <v>11</v>
      </c>
      <c r="I354" s="8" t="s">
        <v>12</v>
      </c>
      <c r="J354" s="5" t="s">
        <v>13</v>
      </c>
      <c r="K354" s="5"/>
      <c r="L354" s="5"/>
    </row>
    <row r="355" customFormat="false" ht="15" hidden="false" customHeight="false" outlineLevel="0" collapsed="false">
      <c r="A355" s="6" t="n">
        <v>44767</v>
      </c>
      <c r="B355" s="7" t="n">
        <v>0.236111111111111</v>
      </c>
      <c r="C355" s="8" t="n">
        <v>8835</v>
      </c>
      <c r="D355" s="8" t="s">
        <v>18</v>
      </c>
      <c r="E355" s="8" t="n">
        <v>23400</v>
      </c>
      <c r="F355" s="8" t="n">
        <v>15800</v>
      </c>
      <c r="G355" s="9" t="n">
        <v>7600</v>
      </c>
      <c r="H355" s="8" t="s">
        <v>11</v>
      </c>
      <c r="I355" s="8" t="s">
        <v>12</v>
      </c>
      <c r="J355" s="5" t="s">
        <v>13</v>
      </c>
      <c r="K355" s="5"/>
      <c r="L355" s="5"/>
    </row>
    <row r="356" customFormat="false" ht="15" hidden="false" customHeight="false" outlineLevel="0" collapsed="false">
      <c r="A356" s="6" t="n">
        <v>44767</v>
      </c>
      <c r="B356" s="7" t="n">
        <v>0.0534722222222222</v>
      </c>
      <c r="C356" s="8" t="n">
        <v>8821</v>
      </c>
      <c r="D356" s="8" t="s">
        <v>14</v>
      </c>
      <c r="E356" s="8" t="n">
        <v>22080</v>
      </c>
      <c r="F356" s="8" t="n">
        <v>12740</v>
      </c>
      <c r="G356" s="9" t="n">
        <v>9340</v>
      </c>
      <c r="H356" s="8" t="s">
        <v>11</v>
      </c>
      <c r="I356" s="8" t="s">
        <v>12</v>
      </c>
      <c r="J356" s="5" t="s">
        <v>13</v>
      </c>
      <c r="K356" s="5"/>
      <c r="L356" s="5"/>
    </row>
    <row r="357" customFormat="false" ht="15" hidden="false" customHeight="false" outlineLevel="0" collapsed="false">
      <c r="A357" s="6" t="n">
        <v>44767</v>
      </c>
      <c r="B357" s="7" t="n">
        <v>0.25</v>
      </c>
      <c r="C357" s="8" t="n">
        <v>8837</v>
      </c>
      <c r="D357" s="8" t="s">
        <v>14</v>
      </c>
      <c r="E357" s="8" t="n">
        <v>21880</v>
      </c>
      <c r="F357" s="8" t="n">
        <v>12700</v>
      </c>
      <c r="G357" s="9" t="n">
        <v>9180</v>
      </c>
      <c r="H357" s="8" t="s">
        <v>11</v>
      </c>
      <c r="I357" s="8" t="s">
        <v>12</v>
      </c>
      <c r="J357" s="5" t="s">
        <v>13</v>
      </c>
      <c r="K357" s="5"/>
      <c r="L357" s="5"/>
    </row>
    <row r="358" customFormat="false" ht="15" hidden="false" customHeight="false" outlineLevel="0" collapsed="false">
      <c r="A358" s="6" t="n">
        <v>44767</v>
      </c>
      <c r="B358" s="7" t="n">
        <v>0.206944444444444</v>
      </c>
      <c r="C358" s="8" t="n">
        <v>8831</v>
      </c>
      <c r="D358" s="8" t="s">
        <v>20</v>
      </c>
      <c r="E358" s="8" t="n">
        <v>3040</v>
      </c>
      <c r="F358" s="8" t="n">
        <v>2820</v>
      </c>
      <c r="G358" s="9" t="n">
        <v>220</v>
      </c>
      <c r="H358" s="8" t="s">
        <v>11</v>
      </c>
      <c r="I358" s="8" t="s">
        <v>12</v>
      </c>
      <c r="J358" s="5" t="s">
        <v>13</v>
      </c>
      <c r="K358" s="5"/>
      <c r="L358" s="5"/>
    </row>
    <row r="359" customFormat="false" ht="15" hidden="false" customHeight="false" outlineLevel="0" collapsed="false">
      <c r="A359" s="6" t="n">
        <v>44767</v>
      </c>
      <c r="B359" s="7" t="n">
        <v>0.452083333333333</v>
      </c>
      <c r="C359" s="8" t="n">
        <v>8861</v>
      </c>
      <c r="D359" s="8" t="s">
        <v>17</v>
      </c>
      <c r="E359" s="8" t="n">
        <v>2640</v>
      </c>
      <c r="F359" s="8" t="n">
        <v>2360</v>
      </c>
      <c r="G359" s="9" t="n">
        <v>280</v>
      </c>
      <c r="H359" s="8" t="s">
        <v>11</v>
      </c>
      <c r="I359" s="8" t="s">
        <v>12</v>
      </c>
      <c r="J359" s="5" t="s">
        <v>13</v>
      </c>
      <c r="K359" s="5"/>
      <c r="L359" s="5"/>
    </row>
    <row r="360" customFormat="false" ht="15" hidden="false" customHeight="false" outlineLevel="0" collapsed="false">
      <c r="A360" s="6" t="n">
        <v>44767</v>
      </c>
      <c r="B360" s="7" t="n">
        <v>0.866666666666667</v>
      </c>
      <c r="C360" s="8" t="n">
        <v>8884</v>
      </c>
      <c r="D360" s="8" t="s">
        <v>17</v>
      </c>
      <c r="E360" s="8" t="n">
        <v>2620</v>
      </c>
      <c r="F360" s="8" t="n">
        <v>2380</v>
      </c>
      <c r="G360" s="9" t="n">
        <v>240</v>
      </c>
      <c r="H360" s="8" t="s">
        <v>11</v>
      </c>
      <c r="I360" s="8" t="s">
        <v>12</v>
      </c>
      <c r="J360" s="5" t="s">
        <v>13</v>
      </c>
      <c r="K360" s="5"/>
      <c r="L360" s="5"/>
    </row>
    <row r="361" customFormat="false" ht="15" hidden="false" customHeight="false" outlineLevel="0" collapsed="false">
      <c r="A361" s="6" t="n">
        <v>44767</v>
      </c>
      <c r="B361" s="7" t="n">
        <v>0.886805555555556</v>
      </c>
      <c r="C361" s="8" t="n">
        <v>8885</v>
      </c>
      <c r="D361" s="8" t="s">
        <v>10</v>
      </c>
      <c r="E361" s="8" t="n">
        <v>24400</v>
      </c>
      <c r="F361" s="8" t="n">
        <v>16140</v>
      </c>
      <c r="G361" s="9" t="n">
        <v>8260</v>
      </c>
      <c r="H361" s="8" t="s">
        <v>11</v>
      </c>
      <c r="I361" s="8" t="s">
        <v>12</v>
      </c>
      <c r="J361" s="5" t="s">
        <v>13</v>
      </c>
      <c r="K361" s="5"/>
      <c r="L361" s="5"/>
    </row>
    <row r="362" customFormat="false" ht="15" hidden="false" customHeight="false" outlineLevel="0" collapsed="false">
      <c r="A362" s="6" t="n">
        <v>44767</v>
      </c>
      <c r="B362" s="7" t="n">
        <v>0.469444444444444</v>
      </c>
      <c r="C362" s="8" t="n">
        <v>8863</v>
      </c>
      <c r="D362" s="8" t="s">
        <v>25</v>
      </c>
      <c r="E362" s="8" t="n">
        <v>6540</v>
      </c>
      <c r="F362" s="8" t="n">
        <v>5580</v>
      </c>
      <c r="G362" s="9" t="n">
        <v>960</v>
      </c>
      <c r="H362" s="8" t="s">
        <v>11</v>
      </c>
      <c r="I362" s="8" t="s">
        <v>22</v>
      </c>
      <c r="J362" s="5" t="s">
        <v>13</v>
      </c>
      <c r="K362" s="5"/>
      <c r="L362" s="5"/>
    </row>
    <row r="363" customFormat="false" ht="15" hidden="false" customHeight="false" outlineLevel="0" collapsed="false">
      <c r="A363" s="6" t="n">
        <v>44767</v>
      </c>
      <c r="B363" s="7" t="n">
        <v>0.344444444444444</v>
      </c>
      <c r="C363" s="8" t="n">
        <v>8854</v>
      </c>
      <c r="D363" s="8" t="s">
        <v>25</v>
      </c>
      <c r="E363" s="8" t="n">
        <v>6300</v>
      </c>
      <c r="F363" s="8" t="n">
        <v>5580</v>
      </c>
      <c r="G363" s="9" t="n">
        <v>720</v>
      </c>
      <c r="H363" s="8" t="s">
        <v>11</v>
      </c>
      <c r="I363" s="8" t="s">
        <v>22</v>
      </c>
      <c r="J363" s="5" t="s">
        <v>13</v>
      </c>
      <c r="K363" s="5"/>
      <c r="L363" s="5"/>
    </row>
    <row r="364" customFormat="false" ht="15" hidden="false" customHeight="false" outlineLevel="0" collapsed="false">
      <c r="A364" s="6" t="n">
        <v>44767</v>
      </c>
      <c r="B364" s="7" t="n">
        <v>0.297916666666667</v>
      </c>
      <c r="C364" s="8" t="n">
        <v>8849</v>
      </c>
      <c r="D364" s="8" t="s">
        <v>17</v>
      </c>
      <c r="E364" s="8" t="n">
        <v>2620</v>
      </c>
      <c r="F364" s="8" t="n">
        <v>2360</v>
      </c>
      <c r="G364" s="9" t="n">
        <v>260</v>
      </c>
      <c r="H364" s="8" t="s">
        <v>11</v>
      </c>
      <c r="I364" s="8" t="s">
        <v>12</v>
      </c>
      <c r="J364" s="5" t="s">
        <v>13</v>
      </c>
      <c r="K364" s="5"/>
      <c r="L364" s="5"/>
    </row>
    <row r="365" customFormat="false" ht="15" hidden="false" customHeight="false" outlineLevel="0" collapsed="false">
      <c r="A365" s="6" t="n">
        <v>44767</v>
      </c>
      <c r="B365" s="7" t="n">
        <v>0.715277777777778</v>
      </c>
      <c r="C365" s="8" t="n">
        <v>8878</v>
      </c>
      <c r="D365" s="8" t="s">
        <v>14</v>
      </c>
      <c r="E365" s="8" t="n">
        <v>16180</v>
      </c>
      <c r="F365" s="8" t="n">
        <v>12800</v>
      </c>
      <c r="G365" s="9" t="n">
        <v>3380</v>
      </c>
      <c r="H365" s="8" t="s">
        <v>11</v>
      </c>
      <c r="I365" s="8" t="s">
        <v>12</v>
      </c>
      <c r="J365" s="5" t="s">
        <v>13</v>
      </c>
      <c r="K365" s="5"/>
      <c r="L365" s="5"/>
    </row>
    <row r="366" customFormat="false" ht="15" hidden="false" customHeight="false" outlineLevel="0" collapsed="false">
      <c r="A366" s="6" t="n">
        <v>44767</v>
      </c>
      <c r="B366" s="7" t="n">
        <v>0.509027777777778</v>
      </c>
      <c r="C366" s="8" t="n">
        <v>3151</v>
      </c>
      <c r="D366" s="8" t="s">
        <v>18</v>
      </c>
      <c r="E366" s="8" t="n">
        <v>18640</v>
      </c>
      <c r="F366" s="8" t="n">
        <v>16000</v>
      </c>
      <c r="G366" s="9" t="n">
        <v>2640</v>
      </c>
      <c r="H366" s="8" t="s">
        <v>11</v>
      </c>
      <c r="I366" s="8" t="s">
        <v>19</v>
      </c>
      <c r="J366" s="5" t="s">
        <v>13</v>
      </c>
      <c r="K366" s="5"/>
      <c r="L366" s="5"/>
    </row>
    <row r="367" customFormat="false" ht="15" hidden="false" customHeight="false" outlineLevel="0" collapsed="false">
      <c r="A367" s="6" t="n">
        <v>44768</v>
      </c>
      <c r="B367" s="7" t="n">
        <v>0.238194444444444</v>
      </c>
      <c r="C367" s="8" t="n">
        <v>8904</v>
      </c>
      <c r="D367" s="8" t="s">
        <v>18</v>
      </c>
      <c r="E367" s="8" t="n">
        <v>22840</v>
      </c>
      <c r="F367" s="8" t="n">
        <v>15740</v>
      </c>
      <c r="G367" s="9" t="n">
        <v>7100</v>
      </c>
      <c r="H367" s="8" t="s">
        <v>11</v>
      </c>
      <c r="I367" s="8" t="s">
        <v>12</v>
      </c>
      <c r="J367" s="5" t="s">
        <v>13</v>
      </c>
      <c r="K367" s="5"/>
      <c r="L367" s="5"/>
    </row>
    <row r="368" customFormat="false" ht="15" hidden="false" customHeight="false" outlineLevel="0" collapsed="false">
      <c r="A368" s="6" t="n">
        <v>44768</v>
      </c>
      <c r="B368" s="7" t="n">
        <v>0.210416666666667</v>
      </c>
      <c r="C368" s="8" t="n">
        <v>8898</v>
      </c>
      <c r="D368" s="8" t="s">
        <v>15</v>
      </c>
      <c r="E368" s="8" t="n">
        <v>5000</v>
      </c>
      <c r="F368" s="8" t="n">
        <v>3700</v>
      </c>
      <c r="G368" s="9" t="n">
        <v>1300</v>
      </c>
      <c r="H368" s="8" t="s">
        <v>11</v>
      </c>
      <c r="I368" s="8" t="s">
        <v>12</v>
      </c>
      <c r="J368" s="5" t="s">
        <v>13</v>
      </c>
      <c r="K368" s="5"/>
      <c r="L368" s="5"/>
    </row>
    <row r="369" customFormat="false" ht="15" hidden="false" customHeight="false" outlineLevel="0" collapsed="false">
      <c r="A369" s="6" t="n">
        <v>44768</v>
      </c>
      <c r="B369" s="7" t="n">
        <v>0.0243055555555556</v>
      </c>
      <c r="C369" s="8" t="n">
        <v>8887</v>
      </c>
      <c r="D369" s="8" t="s">
        <v>24</v>
      </c>
      <c r="E369" s="8" t="n">
        <v>13640</v>
      </c>
      <c r="F369" s="8" t="n">
        <v>12400</v>
      </c>
      <c r="G369" s="9" t="n">
        <v>1240</v>
      </c>
      <c r="H369" s="8" t="s">
        <v>11</v>
      </c>
      <c r="I369" s="8" t="s">
        <v>12</v>
      </c>
      <c r="J369" s="5" t="s">
        <v>13</v>
      </c>
      <c r="K369" s="5"/>
      <c r="L369" s="5"/>
    </row>
    <row r="370" customFormat="false" ht="15" hidden="false" customHeight="false" outlineLevel="0" collapsed="false">
      <c r="A370" s="6" t="n">
        <v>44768</v>
      </c>
      <c r="B370" s="7" t="n">
        <v>0.204166666666667</v>
      </c>
      <c r="C370" s="8" t="n">
        <v>8897</v>
      </c>
      <c r="D370" s="8" t="s">
        <v>20</v>
      </c>
      <c r="E370" s="8" t="n">
        <v>3380</v>
      </c>
      <c r="F370" s="8" t="n">
        <v>2800</v>
      </c>
      <c r="G370" s="9" t="n">
        <v>580</v>
      </c>
      <c r="H370" s="8" t="s">
        <v>11</v>
      </c>
      <c r="I370" s="8" t="s">
        <v>12</v>
      </c>
      <c r="J370" s="5" t="s">
        <v>13</v>
      </c>
      <c r="K370" s="5"/>
      <c r="L370" s="5"/>
    </row>
    <row r="371" customFormat="false" ht="15" hidden="false" customHeight="false" outlineLevel="0" collapsed="false">
      <c r="A371" s="6" t="n">
        <v>44768</v>
      </c>
      <c r="B371" s="7" t="n">
        <v>0.253472222222222</v>
      </c>
      <c r="C371" s="8" t="n">
        <v>8907</v>
      </c>
      <c r="D371" s="8" t="s">
        <v>10</v>
      </c>
      <c r="E371" s="8" t="n">
        <v>27880</v>
      </c>
      <c r="F371" s="8" t="n">
        <v>16160</v>
      </c>
      <c r="G371" s="9" t="n">
        <v>11720</v>
      </c>
      <c r="H371" s="8" t="s">
        <v>11</v>
      </c>
      <c r="I371" s="8" t="s">
        <v>12</v>
      </c>
      <c r="J371" s="5" t="s">
        <v>13</v>
      </c>
      <c r="K371" s="5"/>
      <c r="L371" s="5"/>
    </row>
    <row r="372" customFormat="false" ht="15" hidden="false" customHeight="false" outlineLevel="0" collapsed="false">
      <c r="A372" s="6" t="n">
        <v>44768</v>
      </c>
      <c r="B372" s="7" t="n">
        <v>0.240972222222222</v>
      </c>
      <c r="C372" s="8" t="n">
        <v>8905</v>
      </c>
      <c r="D372" s="8" t="s">
        <v>14</v>
      </c>
      <c r="E372" s="8" t="n">
        <v>22320</v>
      </c>
      <c r="F372" s="8" t="n">
        <v>12760</v>
      </c>
      <c r="G372" s="9" t="n">
        <v>9560</v>
      </c>
      <c r="H372" s="8" t="s">
        <v>11</v>
      </c>
      <c r="I372" s="8" t="s">
        <v>12</v>
      </c>
      <c r="J372" s="5" t="s">
        <v>13</v>
      </c>
      <c r="K372" s="5"/>
      <c r="L372" s="5"/>
    </row>
    <row r="373" customFormat="false" ht="15" hidden="false" customHeight="false" outlineLevel="0" collapsed="false">
      <c r="A373" s="6" t="n">
        <v>44768</v>
      </c>
      <c r="B373" s="7" t="n">
        <v>0.0576388888888889</v>
      </c>
      <c r="C373" s="8" t="n">
        <v>8888</v>
      </c>
      <c r="D373" s="8" t="s">
        <v>14</v>
      </c>
      <c r="E373" s="8" t="n">
        <v>21900</v>
      </c>
      <c r="F373" s="8" t="n">
        <v>12800</v>
      </c>
      <c r="G373" s="9" t="n">
        <v>9100</v>
      </c>
      <c r="H373" s="8" t="s">
        <v>11</v>
      </c>
      <c r="I373" s="8" t="s">
        <v>12</v>
      </c>
      <c r="J373" s="5" t="s">
        <v>13</v>
      </c>
      <c r="K373" s="5"/>
      <c r="L373" s="5"/>
    </row>
    <row r="374" customFormat="false" ht="15" hidden="false" customHeight="false" outlineLevel="0" collapsed="false">
      <c r="A374" s="6" t="n">
        <v>44768</v>
      </c>
      <c r="B374" s="7" t="n">
        <v>0.456944444444444</v>
      </c>
      <c r="C374" s="8" t="n">
        <v>8937</v>
      </c>
      <c r="D374" s="8" t="s">
        <v>25</v>
      </c>
      <c r="E374" s="8" t="n">
        <v>5720</v>
      </c>
      <c r="F374" s="8" t="n">
        <v>5560</v>
      </c>
      <c r="G374" s="9" t="n">
        <v>160</v>
      </c>
      <c r="H374" s="8" t="s">
        <v>11</v>
      </c>
      <c r="I374" s="8" t="s">
        <v>22</v>
      </c>
      <c r="J374" s="5" t="s">
        <v>13</v>
      </c>
      <c r="K374" s="5"/>
      <c r="L374" s="5"/>
    </row>
    <row r="375" customFormat="false" ht="15" hidden="false" customHeight="false" outlineLevel="0" collapsed="false">
      <c r="A375" s="6" t="n">
        <v>44768</v>
      </c>
      <c r="B375" s="7" t="n">
        <v>0.869444444444444</v>
      </c>
      <c r="C375" s="8" t="n">
        <v>8958</v>
      </c>
      <c r="D375" s="8" t="s">
        <v>17</v>
      </c>
      <c r="E375" s="8" t="n">
        <v>2560</v>
      </c>
      <c r="F375" s="8" t="n">
        <v>2380</v>
      </c>
      <c r="G375" s="9" t="n">
        <v>180</v>
      </c>
      <c r="H375" s="8" t="s">
        <v>11</v>
      </c>
      <c r="I375" s="8" t="s">
        <v>12</v>
      </c>
      <c r="J375" s="5" t="s">
        <v>13</v>
      </c>
      <c r="K375" s="5"/>
      <c r="L375" s="5"/>
    </row>
    <row r="376" customFormat="false" ht="15" hidden="false" customHeight="false" outlineLevel="0" collapsed="false">
      <c r="A376" s="6" t="n">
        <v>44768</v>
      </c>
      <c r="B376" s="7" t="n">
        <v>0.319444444444444</v>
      </c>
      <c r="C376" s="8" t="n">
        <v>8916</v>
      </c>
      <c r="D376" s="8" t="s">
        <v>17</v>
      </c>
      <c r="E376" s="8" t="n">
        <v>2620</v>
      </c>
      <c r="F376" s="8" t="n">
        <v>2380</v>
      </c>
      <c r="G376" s="9" t="n">
        <v>240</v>
      </c>
      <c r="H376" s="8" t="s">
        <v>11</v>
      </c>
      <c r="I376" s="8" t="s">
        <v>12</v>
      </c>
      <c r="J376" s="5" t="s">
        <v>13</v>
      </c>
      <c r="K376" s="5"/>
      <c r="L376" s="5"/>
    </row>
    <row r="377" customFormat="false" ht="15" hidden="false" customHeight="false" outlineLevel="0" collapsed="false">
      <c r="A377" s="6" t="n">
        <v>44768</v>
      </c>
      <c r="B377" s="7" t="n">
        <v>0.467361111111111</v>
      </c>
      <c r="C377" s="8" t="n">
        <v>8938</v>
      </c>
      <c r="D377" s="8" t="s">
        <v>17</v>
      </c>
      <c r="E377" s="8" t="n">
        <v>2640</v>
      </c>
      <c r="F377" s="8" t="n">
        <v>2380</v>
      </c>
      <c r="G377" s="9" t="n">
        <v>260</v>
      </c>
      <c r="H377" s="8" t="s">
        <v>11</v>
      </c>
      <c r="I377" s="8" t="s">
        <v>12</v>
      </c>
      <c r="J377" s="5" t="s">
        <v>13</v>
      </c>
      <c r="K377" s="5"/>
      <c r="L377" s="5"/>
    </row>
    <row r="378" customFormat="false" ht="15" hidden="false" customHeight="false" outlineLevel="0" collapsed="false">
      <c r="A378" s="6" t="n">
        <v>44768</v>
      </c>
      <c r="B378" s="7" t="n">
        <v>0.8875</v>
      </c>
      <c r="C378" s="8" t="n">
        <v>8959</v>
      </c>
      <c r="D378" s="8" t="s">
        <v>10</v>
      </c>
      <c r="E378" s="8" t="n">
        <v>24840</v>
      </c>
      <c r="F378" s="8" t="n">
        <v>16100</v>
      </c>
      <c r="G378" s="9" t="n">
        <v>8740</v>
      </c>
      <c r="H378" s="8" t="s">
        <v>11</v>
      </c>
      <c r="I378" s="8" t="s">
        <v>12</v>
      </c>
      <c r="J378" s="5" t="s">
        <v>13</v>
      </c>
      <c r="K378" s="5"/>
      <c r="L378" s="5"/>
    </row>
    <row r="379" customFormat="false" ht="15" hidden="false" customHeight="false" outlineLevel="0" collapsed="false">
      <c r="A379" s="6" t="n">
        <v>44768</v>
      </c>
      <c r="B379" s="7" t="n">
        <v>0.369444444444444</v>
      </c>
      <c r="C379" s="8" t="n">
        <v>8922</v>
      </c>
      <c r="D379" s="8" t="s">
        <v>25</v>
      </c>
      <c r="E379" s="8" t="n">
        <v>6360</v>
      </c>
      <c r="F379" s="8" t="n">
        <v>5560</v>
      </c>
      <c r="G379" s="9" t="n">
        <v>800</v>
      </c>
      <c r="H379" s="8" t="s">
        <v>11</v>
      </c>
      <c r="I379" s="8" t="s">
        <v>21</v>
      </c>
      <c r="J379" s="5" t="s">
        <v>13</v>
      </c>
      <c r="K379" s="5"/>
      <c r="L379" s="5"/>
    </row>
    <row r="380" customFormat="false" ht="15" hidden="false" customHeight="false" outlineLevel="0" collapsed="false">
      <c r="A380" s="6" t="n">
        <v>44768</v>
      </c>
      <c r="B380" s="7" t="n">
        <v>0.461805555555556</v>
      </c>
      <c r="C380" s="8" t="n">
        <v>142664</v>
      </c>
      <c r="D380" s="8" t="s">
        <v>18</v>
      </c>
      <c r="E380" s="8" t="n">
        <v>17720</v>
      </c>
      <c r="F380" s="8" t="n">
        <v>15620</v>
      </c>
      <c r="G380" s="9" t="n">
        <v>2100</v>
      </c>
      <c r="H380" s="8" t="s">
        <v>11</v>
      </c>
      <c r="I380" s="8" t="s">
        <v>23</v>
      </c>
      <c r="J380" s="5" t="s">
        <v>13</v>
      </c>
      <c r="K380" s="5"/>
      <c r="L380" s="5"/>
    </row>
    <row r="381" customFormat="false" ht="15" hidden="false" customHeight="false" outlineLevel="0" collapsed="false">
      <c r="A381" s="6" t="n">
        <v>44769</v>
      </c>
      <c r="B381" s="7" t="n">
        <v>0.220138888888889</v>
      </c>
      <c r="C381" s="8" t="n">
        <v>8972</v>
      </c>
      <c r="D381" s="8" t="s">
        <v>15</v>
      </c>
      <c r="E381" s="8" t="n">
        <v>4240</v>
      </c>
      <c r="F381" s="8" t="n">
        <v>3780</v>
      </c>
      <c r="G381" s="9" t="n">
        <v>460</v>
      </c>
      <c r="H381" s="8" t="s">
        <v>11</v>
      </c>
      <c r="I381" s="8" t="s">
        <v>12</v>
      </c>
      <c r="J381" s="5" t="s">
        <v>13</v>
      </c>
      <c r="K381" s="5"/>
      <c r="L381" s="5"/>
    </row>
    <row r="382" customFormat="false" ht="15" hidden="false" customHeight="false" outlineLevel="0" collapsed="false">
      <c r="A382" s="6" t="n">
        <v>44769</v>
      </c>
      <c r="B382" s="7" t="n">
        <v>0.242361111111111</v>
      </c>
      <c r="C382" s="8" t="n">
        <v>8976</v>
      </c>
      <c r="D382" s="8" t="s">
        <v>10</v>
      </c>
      <c r="E382" s="8" t="n">
        <v>20820</v>
      </c>
      <c r="F382" s="8" t="n">
        <v>16020</v>
      </c>
      <c r="G382" s="9" t="n">
        <v>4800</v>
      </c>
      <c r="H382" s="8" t="s">
        <v>11</v>
      </c>
      <c r="I382" s="8" t="s">
        <v>12</v>
      </c>
      <c r="J382" s="5" t="s">
        <v>13</v>
      </c>
      <c r="K382" s="5"/>
      <c r="L382" s="5"/>
    </row>
    <row r="383" customFormat="false" ht="15" hidden="false" customHeight="false" outlineLevel="0" collapsed="false">
      <c r="A383" s="6" t="n">
        <v>44769</v>
      </c>
      <c r="B383" s="7" t="n">
        <v>0.1625</v>
      </c>
      <c r="C383" s="8" t="n">
        <v>8970</v>
      </c>
      <c r="D383" s="8" t="s">
        <v>15</v>
      </c>
      <c r="E383" s="8" t="n">
        <v>4900</v>
      </c>
      <c r="F383" s="8" t="n">
        <v>3600</v>
      </c>
      <c r="G383" s="9" t="n">
        <v>1300</v>
      </c>
      <c r="H383" s="8" t="s">
        <v>11</v>
      </c>
      <c r="I383" s="8" t="s">
        <v>12</v>
      </c>
      <c r="J383" s="5" t="s">
        <v>13</v>
      </c>
      <c r="K383" s="5"/>
      <c r="L383" s="5"/>
    </row>
    <row r="384" customFormat="false" ht="15" hidden="false" customHeight="false" outlineLevel="0" collapsed="false">
      <c r="A384" s="6" t="n">
        <v>44769</v>
      </c>
      <c r="B384" s="7" t="n">
        <v>0.146527777777778</v>
      </c>
      <c r="C384" s="8" t="n">
        <v>8968</v>
      </c>
      <c r="D384" s="8" t="s">
        <v>14</v>
      </c>
      <c r="E384" s="8" t="n">
        <v>20220</v>
      </c>
      <c r="F384" s="8" t="n">
        <v>12740</v>
      </c>
      <c r="G384" s="9" t="n">
        <v>7480</v>
      </c>
      <c r="H384" s="8" t="s">
        <v>11</v>
      </c>
      <c r="I384" s="8" t="s">
        <v>12</v>
      </c>
      <c r="J384" s="5" t="s">
        <v>13</v>
      </c>
      <c r="K384" s="5"/>
      <c r="L384" s="5"/>
    </row>
    <row r="385" customFormat="false" ht="15" hidden="false" customHeight="false" outlineLevel="0" collapsed="false">
      <c r="A385" s="6" t="n">
        <v>44769</v>
      </c>
      <c r="B385" s="7" t="n">
        <v>0.0569444444444444</v>
      </c>
      <c r="C385" s="8" t="n">
        <v>8960</v>
      </c>
      <c r="D385" s="8" t="s">
        <v>14</v>
      </c>
      <c r="E385" s="8" t="n">
        <v>21560</v>
      </c>
      <c r="F385" s="8" t="n">
        <v>12760</v>
      </c>
      <c r="G385" s="9" t="n">
        <v>8800</v>
      </c>
      <c r="H385" s="8" t="s">
        <v>11</v>
      </c>
      <c r="I385" s="8" t="s">
        <v>12</v>
      </c>
      <c r="J385" s="5" t="s">
        <v>13</v>
      </c>
      <c r="K385" s="5"/>
      <c r="L385" s="5"/>
    </row>
    <row r="386" customFormat="false" ht="15" hidden="false" customHeight="false" outlineLevel="0" collapsed="false">
      <c r="A386" s="6" t="n">
        <v>44769</v>
      </c>
      <c r="B386" s="7" t="n">
        <v>0.134027777777778</v>
      </c>
      <c r="C386" s="8" t="n">
        <v>8966</v>
      </c>
      <c r="D386" s="8" t="s">
        <v>10</v>
      </c>
      <c r="E386" s="8" t="n">
        <v>27580</v>
      </c>
      <c r="F386" s="8" t="n">
        <v>16080</v>
      </c>
      <c r="G386" s="9" t="n">
        <v>11500</v>
      </c>
      <c r="H386" s="8" t="s">
        <v>11</v>
      </c>
      <c r="I386" s="8" t="s">
        <v>12</v>
      </c>
      <c r="J386" s="5" t="s">
        <v>13</v>
      </c>
      <c r="K386" s="5"/>
      <c r="L386" s="5"/>
    </row>
    <row r="387" customFormat="false" ht="15" hidden="false" customHeight="false" outlineLevel="0" collapsed="false">
      <c r="A387" s="6" t="n">
        <v>44769</v>
      </c>
      <c r="B387" s="7" t="n">
        <v>0.207638888888889</v>
      </c>
      <c r="C387" s="8" t="n">
        <v>8971</v>
      </c>
      <c r="D387" s="8" t="s">
        <v>14</v>
      </c>
      <c r="E387" s="8" t="n">
        <v>16540</v>
      </c>
      <c r="F387" s="8" t="n">
        <v>12720</v>
      </c>
      <c r="G387" s="9" t="n">
        <v>3820</v>
      </c>
      <c r="H387" s="8" t="s">
        <v>11</v>
      </c>
      <c r="I387" s="8" t="s">
        <v>12</v>
      </c>
      <c r="J387" s="5" t="s">
        <v>13</v>
      </c>
      <c r="K387" s="5"/>
      <c r="L387" s="5"/>
    </row>
    <row r="388" customFormat="false" ht="15" hidden="false" customHeight="false" outlineLevel="0" collapsed="false">
      <c r="A388" s="6" t="n">
        <v>44769</v>
      </c>
      <c r="B388" s="7" t="n">
        <v>0.483333333333333</v>
      </c>
      <c r="C388" s="8" t="n">
        <v>9005</v>
      </c>
      <c r="D388" s="8" t="s">
        <v>26</v>
      </c>
      <c r="E388" s="8" t="n">
        <v>30520</v>
      </c>
      <c r="F388" s="8" t="n">
        <v>15300</v>
      </c>
      <c r="G388" s="9" t="n">
        <v>15220</v>
      </c>
      <c r="H388" s="8" t="s">
        <v>11</v>
      </c>
      <c r="I388" s="8" t="s">
        <v>27</v>
      </c>
      <c r="J388" s="5" t="s">
        <v>13</v>
      </c>
      <c r="K388" s="5"/>
      <c r="L388" s="5"/>
    </row>
    <row r="389" customFormat="false" ht="15" hidden="false" customHeight="false" outlineLevel="0" collapsed="false">
      <c r="A389" s="6" t="n">
        <v>44769</v>
      </c>
      <c r="B389" s="7" t="n">
        <v>0.464583333333333</v>
      </c>
      <c r="C389" s="8" t="n">
        <v>9000</v>
      </c>
      <c r="D389" s="8" t="s">
        <v>26</v>
      </c>
      <c r="E389" s="8" t="n">
        <v>29040</v>
      </c>
      <c r="F389" s="8" t="n">
        <v>15300</v>
      </c>
      <c r="G389" s="9" t="n">
        <v>13740</v>
      </c>
      <c r="H389" s="8" t="s">
        <v>11</v>
      </c>
      <c r="I389" s="8" t="s">
        <v>27</v>
      </c>
      <c r="J389" s="5" t="s">
        <v>13</v>
      </c>
      <c r="K389" s="5"/>
      <c r="L389" s="5"/>
    </row>
    <row r="390" customFormat="false" ht="15" hidden="false" customHeight="false" outlineLevel="0" collapsed="false">
      <c r="A390" s="6" t="n">
        <v>44769</v>
      </c>
      <c r="B390" s="7" t="n">
        <v>0.444444444444444</v>
      </c>
      <c r="C390" s="8" t="n">
        <v>8998</v>
      </c>
      <c r="D390" s="8" t="s">
        <v>26</v>
      </c>
      <c r="E390" s="8" t="n">
        <v>27680</v>
      </c>
      <c r="F390" s="8" t="n">
        <v>15300</v>
      </c>
      <c r="G390" s="9" t="n">
        <v>12380</v>
      </c>
      <c r="H390" s="8" t="s">
        <v>11</v>
      </c>
      <c r="I390" s="8" t="s">
        <v>27</v>
      </c>
      <c r="J390" s="5" t="s">
        <v>13</v>
      </c>
      <c r="K390" s="5"/>
      <c r="L390" s="5"/>
    </row>
    <row r="391" customFormat="false" ht="15" hidden="false" customHeight="false" outlineLevel="0" collapsed="false">
      <c r="A391" s="6" t="n">
        <v>44769</v>
      </c>
      <c r="B391" s="7" t="n">
        <v>0.419444444444444</v>
      </c>
      <c r="C391" s="8" t="n">
        <v>8995</v>
      </c>
      <c r="D391" s="8" t="s">
        <v>26</v>
      </c>
      <c r="E391" s="8" t="n">
        <v>25540</v>
      </c>
      <c r="F391" s="8" t="n">
        <v>15300</v>
      </c>
      <c r="G391" s="9" t="n">
        <v>10240</v>
      </c>
      <c r="H391" s="8" t="s">
        <v>11</v>
      </c>
      <c r="I391" s="8" t="s">
        <v>27</v>
      </c>
      <c r="J391" s="5" t="s">
        <v>13</v>
      </c>
      <c r="K391" s="5"/>
      <c r="L391" s="5"/>
    </row>
    <row r="392" customFormat="false" ht="15" hidden="false" customHeight="false" outlineLevel="0" collapsed="false">
      <c r="A392" s="6" t="n">
        <v>44769</v>
      </c>
      <c r="B392" s="7" t="n">
        <v>0.326388888888889</v>
      </c>
      <c r="C392" s="8" t="n">
        <v>8986</v>
      </c>
      <c r="D392" s="8" t="s">
        <v>26</v>
      </c>
      <c r="E392" s="8" t="n">
        <v>22900</v>
      </c>
      <c r="F392" s="8" t="n">
        <v>15300</v>
      </c>
      <c r="G392" s="9" t="n">
        <v>7600</v>
      </c>
      <c r="H392" s="8" t="s">
        <v>11</v>
      </c>
      <c r="I392" s="8" t="s">
        <v>27</v>
      </c>
      <c r="J392" s="5" t="s">
        <v>13</v>
      </c>
      <c r="K392" s="5"/>
      <c r="L392" s="5"/>
    </row>
    <row r="393" customFormat="false" ht="15" hidden="false" customHeight="false" outlineLevel="0" collapsed="false">
      <c r="A393" s="6" t="n">
        <v>44769</v>
      </c>
      <c r="B393" s="7" t="n">
        <v>0.460416666666667</v>
      </c>
      <c r="C393" s="8" t="n">
        <v>9002</v>
      </c>
      <c r="D393" s="8" t="s">
        <v>25</v>
      </c>
      <c r="E393" s="8" t="n">
        <v>5720</v>
      </c>
      <c r="F393" s="8" t="n">
        <v>5620</v>
      </c>
      <c r="G393" s="9" t="n">
        <v>100</v>
      </c>
      <c r="H393" s="8" t="s">
        <v>11</v>
      </c>
      <c r="I393" s="8" t="s">
        <v>21</v>
      </c>
      <c r="J393" s="5" t="s">
        <v>13</v>
      </c>
      <c r="K393" s="5"/>
      <c r="L393" s="5"/>
    </row>
    <row r="394" customFormat="false" ht="15" hidden="false" customHeight="false" outlineLevel="0" collapsed="false">
      <c r="A394" s="6" t="n">
        <v>44769</v>
      </c>
      <c r="B394" s="7" t="n">
        <v>0.375</v>
      </c>
      <c r="C394" s="8" t="n">
        <v>8992</v>
      </c>
      <c r="D394" s="8" t="s">
        <v>25</v>
      </c>
      <c r="E394" s="8" t="n">
        <v>6380</v>
      </c>
      <c r="F394" s="8" t="n">
        <v>5640</v>
      </c>
      <c r="G394" s="9" t="n">
        <v>740</v>
      </c>
      <c r="H394" s="8" t="s">
        <v>11</v>
      </c>
      <c r="I394" s="8" t="s">
        <v>22</v>
      </c>
      <c r="J394" s="5" t="s">
        <v>13</v>
      </c>
      <c r="K394" s="5"/>
      <c r="L394" s="5"/>
    </row>
    <row r="395" customFormat="false" ht="15" hidden="false" customHeight="false" outlineLevel="0" collapsed="false">
      <c r="A395" s="6" t="n">
        <v>44769</v>
      </c>
      <c r="B395" s="7" t="n">
        <v>0.301388888888889</v>
      </c>
      <c r="C395" s="8" t="n">
        <v>8985</v>
      </c>
      <c r="D395" s="8" t="s">
        <v>17</v>
      </c>
      <c r="E395" s="8" t="n">
        <v>2620</v>
      </c>
      <c r="F395" s="8" t="n">
        <v>2380</v>
      </c>
      <c r="G395" s="9" t="n">
        <v>240</v>
      </c>
      <c r="H395" s="8" t="s">
        <v>11</v>
      </c>
      <c r="I395" s="8" t="s">
        <v>12</v>
      </c>
      <c r="J395" s="5" t="s">
        <v>13</v>
      </c>
      <c r="K395" s="5"/>
      <c r="L395" s="5"/>
    </row>
    <row r="396" customFormat="false" ht="15" hidden="false" customHeight="false" outlineLevel="0" collapsed="false">
      <c r="A396" s="6" t="n">
        <v>44769</v>
      </c>
      <c r="B396" s="7" t="n">
        <v>0.465972222222222</v>
      </c>
      <c r="C396" s="8" t="n">
        <v>9003</v>
      </c>
      <c r="D396" s="8" t="s">
        <v>17</v>
      </c>
      <c r="E396" s="8" t="n">
        <v>2740</v>
      </c>
      <c r="F396" s="8" t="n">
        <v>2400</v>
      </c>
      <c r="G396" s="9" t="n">
        <v>340</v>
      </c>
      <c r="H396" s="8" t="s">
        <v>11</v>
      </c>
      <c r="I396" s="8" t="s">
        <v>12</v>
      </c>
      <c r="J396" s="5" t="s">
        <v>13</v>
      </c>
      <c r="K396" s="5"/>
      <c r="L396" s="5"/>
    </row>
    <row r="397" customFormat="false" ht="15" hidden="false" customHeight="false" outlineLevel="0" collapsed="false">
      <c r="A397" s="6" t="n">
        <v>44769</v>
      </c>
      <c r="B397" s="7" t="n">
        <v>0.876388888888889</v>
      </c>
      <c r="C397" s="8" t="n">
        <v>9028</v>
      </c>
      <c r="D397" s="8" t="s">
        <v>16</v>
      </c>
      <c r="E397" s="8" t="n">
        <v>3120</v>
      </c>
      <c r="F397" s="8" t="n">
        <v>2800</v>
      </c>
      <c r="G397" s="9" t="n">
        <v>320</v>
      </c>
      <c r="H397" s="8" t="s">
        <v>11</v>
      </c>
      <c r="I397" s="8" t="s">
        <v>12</v>
      </c>
      <c r="J397" s="5" t="s">
        <v>13</v>
      </c>
      <c r="K397" s="5"/>
      <c r="L397" s="5"/>
    </row>
    <row r="398" customFormat="false" ht="15" hidden="false" customHeight="false" outlineLevel="0" collapsed="false">
      <c r="A398" s="6" t="n">
        <v>44769</v>
      </c>
      <c r="B398" s="7" t="n">
        <v>0.752777777777778</v>
      </c>
      <c r="C398" s="8" t="n">
        <v>9023</v>
      </c>
      <c r="D398" s="8" t="s">
        <v>17</v>
      </c>
      <c r="E398" s="8" t="n">
        <v>2720</v>
      </c>
      <c r="F398" s="8" t="n">
        <v>2360</v>
      </c>
      <c r="G398" s="9" t="n">
        <v>360</v>
      </c>
      <c r="H398" s="8" t="s">
        <v>11</v>
      </c>
      <c r="I398" s="8" t="s">
        <v>12</v>
      </c>
      <c r="J398" s="5" t="s">
        <v>13</v>
      </c>
      <c r="K398" s="5"/>
      <c r="L398" s="5"/>
    </row>
    <row r="399" customFormat="false" ht="15" hidden="false" customHeight="false" outlineLevel="0" collapsed="false">
      <c r="A399" s="6" t="n">
        <v>44770</v>
      </c>
      <c r="B399" s="7" t="n">
        <v>0.203472222222222</v>
      </c>
      <c r="C399" s="8" t="n">
        <v>9044</v>
      </c>
      <c r="D399" s="8" t="s">
        <v>16</v>
      </c>
      <c r="E399" s="8" t="n">
        <v>3400</v>
      </c>
      <c r="F399" s="8" t="n">
        <v>2840</v>
      </c>
      <c r="G399" s="9" t="n">
        <v>560</v>
      </c>
      <c r="H399" s="8" t="s">
        <v>11</v>
      </c>
      <c r="I399" s="8" t="s">
        <v>12</v>
      </c>
      <c r="J399" s="5" t="s">
        <v>13</v>
      </c>
      <c r="K399" s="5"/>
      <c r="L399" s="5"/>
    </row>
    <row r="400" customFormat="false" ht="15" hidden="false" customHeight="false" outlineLevel="0" collapsed="false">
      <c r="A400" s="6" t="n">
        <v>44770</v>
      </c>
      <c r="B400" s="7" t="n">
        <v>0.126388888888889</v>
      </c>
      <c r="C400" s="8" t="n">
        <v>9036</v>
      </c>
      <c r="D400" s="8" t="s">
        <v>16</v>
      </c>
      <c r="E400" s="8" t="n">
        <v>3420</v>
      </c>
      <c r="F400" s="8" t="n">
        <v>2840</v>
      </c>
      <c r="G400" s="9" t="n">
        <v>580</v>
      </c>
      <c r="H400" s="8" t="s">
        <v>11</v>
      </c>
      <c r="I400" s="8" t="s">
        <v>12</v>
      </c>
      <c r="J400" s="5" t="s">
        <v>13</v>
      </c>
      <c r="K400" s="5"/>
      <c r="L400" s="5"/>
    </row>
    <row r="401" customFormat="false" ht="15" hidden="false" customHeight="false" outlineLevel="0" collapsed="false">
      <c r="A401" s="6" t="n">
        <v>44770</v>
      </c>
      <c r="B401" s="7" t="n">
        <v>0.128472222222222</v>
      </c>
      <c r="C401" s="8" t="n">
        <v>9038</v>
      </c>
      <c r="D401" s="8" t="s">
        <v>10</v>
      </c>
      <c r="E401" s="8" t="n">
        <v>27140</v>
      </c>
      <c r="F401" s="8" t="n">
        <v>16020</v>
      </c>
      <c r="G401" s="9" t="n">
        <v>11120</v>
      </c>
      <c r="H401" s="8" t="s">
        <v>11</v>
      </c>
      <c r="I401" s="8" t="s">
        <v>12</v>
      </c>
      <c r="J401" s="5" t="s">
        <v>13</v>
      </c>
      <c r="K401" s="5"/>
      <c r="L401" s="5"/>
    </row>
    <row r="402" customFormat="false" ht="15" hidden="false" customHeight="false" outlineLevel="0" collapsed="false">
      <c r="A402" s="6" t="n">
        <v>44770</v>
      </c>
      <c r="B402" s="7" t="n">
        <v>0.254166666666667</v>
      </c>
      <c r="C402" s="8" t="n">
        <v>9054</v>
      </c>
      <c r="D402" s="8" t="s">
        <v>10</v>
      </c>
      <c r="E402" s="8" t="n">
        <v>25340</v>
      </c>
      <c r="F402" s="8" t="n">
        <v>16000</v>
      </c>
      <c r="G402" s="9" t="n">
        <v>9340</v>
      </c>
      <c r="H402" s="8" t="s">
        <v>11</v>
      </c>
      <c r="I402" s="8" t="s">
        <v>12</v>
      </c>
      <c r="J402" s="5" t="s">
        <v>13</v>
      </c>
      <c r="K402" s="5"/>
      <c r="L402" s="5"/>
    </row>
    <row r="403" customFormat="false" ht="15" hidden="false" customHeight="false" outlineLevel="0" collapsed="false">
      <c r="A403" s="6" t="n">
        <v>44770</v>
      </c>
      <c r="B403" s="7" t="n">
        <v>0.123611111111111</v>
      </c>
      <c r="C403" s="8" t="n">
        <v>9035</v>
      </c>
      <c r="D403" s="8" t="s">
        <v>14</v>
      </c>
      <c r="E403" s="8" t="n">
        <v>20940</v>
      </c>
      <c r="F403" s="8" t="n">
        <v>12760</v>
      </c>
      <c r="G403" s="9" t="n">
        <v>8180</v>
      </c>
      <c r="H403" s="8" t="s">
        <v>11</v>
      </c>
      <c r="I403" s="8" t="s">
        <v>12</v>
      </c>
      <c r="J403" s="5" t="s">
        <v>13</v>
      </c>
      <c r="K403" s="5"/>
      <c r="L403" s="5"/>
    </row>
    <row r="404" customFormat="false" ht="15" hidden="false" customHeight="false" outlineLevel="0" collapsed="false">
      <c r="A404" s="6" t="n">
        <v>44770</v>
      </c>
      <c r="B404" s="7" t="n">
        <v>0.0354166666666667</v>
      </c>
      <c r="C404" s="8" t="n">
        <v>9031</v>
      </c>
      <c r="D404" s="8" t="s">
        <v>14</v>
      </c>
      <c r="E404" s="8" t="n">
        <v>21360</v>
      </c>
      <c r="F404" s="8" t="n">
        <v>12960</v>
      </c>
      <c r="G404" s="9" t="n">
        <v>8400</v>
      </c>
      <c r="H404" s="8" t="s">
        <v>11</v>
      </c>
      <c r="I404" s="8" t="s">
        <v>12</v>
      </c>
      <c r="J404" s="5" t="s">
        <v>13</v>
      </c>
      <c r="K404" s="5"/>
      <c r="L404" s="5"/>
    </row>
    <row r="405" customFormat="false" ht="15" hidden="false" customHeight="false" outlineLevel="0" collapsed="false">
      <c r="A405" s="6" t="n">
        <v>44770</v>
      </c>
      <c r="B405" s="7" t="n">
        <v>0.148611111111111</v>
      </c>
      <c r="C405" s="8" t="n">
        <v>9040</v>
      </c>
      <c r="D405" s="8" t="s">
        <v>20</v>
      </c>
      <c r="E405" s="8" t="n">
        <v>3040</v>
      </c>
      <c r="F405" s="8" t="n">
        <v>2740</v>
      </c>
      <c r="G405" s="9" t="n">
        <v>300</v>
      </c>
      <c r="H405" s="8" t="s">
        <v>11</v>
      </c>
      <c r="I405" s="8" t="s">
        <v>12</v>
      </c>
      <c r="J405" s="5" t="s">
        <v>13</v>
      </c>
      <c r="K405" s="5"/>
      <c r="L405" s="5"/>
    </row>
    <row r="406" customFormat="false" ht="15" hidden="false" customHeight="false" outlineLevel="0" collapsed="false">
      <c r="A406" s="6" t="n">
        <v>44770</v>
      </c>
      <c r="B406" s="7" t="n">
        <v>0.218055555555556</v>
      </c>
      <c r="C406" s="8" t="n">
        <v>9048</v>
      </c>
      <c r="D406" s="8" t="s">
        <v>20</v>
      </c>
      <c r="E406" s="8" t="n">
        <v>3260</v>
      </c>
      <c r="F406" s="8" t="n">
        <v>2920</v>
      </c>
      <c r="G406" s="9" t="n">
        <v>340</v>
      </c>
      <c r="H406" s="8" t="s">
        <v>11</v>
      </c>
      <c r="I406" s="8" t="s">
        <v>12</v>
      </c>
      <c r="J406" s="5" t="s">
        <v>13</v>
      </c>
      <c r="K406" s="5"/>
      <c r="L406" s="5"/>
    </row>
    <row r="407" customFormat="false" ht="15" hidden="false" customHeight="false" outlineLevel="0" collapsed="false">
      <c r="A407" s="6" t="n">
        <v>44770</v>
      </c>
      <c r="B407" s="7" t="n">
        <v>0.243055555555556</v>
      </c>
      <c r="C407" s="8" t="n">
        <v>9053</v>
      </c>
      <c r="D407" s="8" t="s">
        <v>14</v>
      </c>
      <c r="E407" s="8" t="n">
        <v>18280</v>
      </c>
      <c r="F407" s="8" t="n">
        <v>12760</v>
      </c>
      <c r="G407" s="9" t="n">
        <v>5520</v>
      </c>
      <c r="H407" s="8" t="s">
        <v>11</v>
      </c>
      <c r="I407" s="8" t="s">
        <v>12</v>
      </c>
      <c r="J407" s="5" t="s">
        <v>13</v>
      </c>
      <c r="K407" s="5"/>
      <c r="L407" s="5"/>
    </row>
    <row r="408" customFormat="false" ht="15" hidden="false" customHeight="false" outlineLevel="0" collapsed="false">
      <c r="A408" s="6" t="n">
        <v>44770</v>
      </c>
      <c r="B408" s="7" t="n">
        <v>0.378472222222222</v>
      </c>
      <c r="C408" s="8" t="n">
        <v>9072</v>
      </c>
      <c r="D408" s="8" t="s">
        <v>17</v>
      </c>
      <c r="E408" s="8" t="n">
        <v>2740</v>
      </c>
      <c r="F408" s="8" t="n">
        <v>2340</v>
      </c>
      <c r="G408" s="9" t="n">
        <v>400</v>
      </c>
      <c r="H408" s="8" t="s">
        <v>11</v>
      </c>
      <c r="I408" s="8" t="s">
        <v>12</v>
      </c>
      <c r="J408" s="5" t="s">
        <v>13</v>
      </c>
      <c r="K408" s="5"/>
      <c r="L408" s="5"/>
    </row>
    <row r="409" customFormat="false" ht="15" hidden="false" customHeight="false" outlineLevel="0" collapsed="false">
      <c r="A409" s="6" t="n">
        <v>44770</v>
      </c>
      <c r="B409" s="7" t="n">
        <v>0.36875</v>
      </c>
      <c r="C409" s="8" t="n">
        <v>9071</v>
      </c>
      <c r="D409" s="8" t="s">
        <v>16</v>
      </c>
      <c r="E409" s="8" t="n">
        <v>3440</v>
      </c>
      <c r="F409" s="8" t="n">
        <v>2820</v>
      </c>
      <c r="G409" s="9" t="n">
        <v>620</v>
      </c>
      <c r="H409" s="8" t="s">
        <v>11</v>
      </c>
      <c r="I409" s="8" t="s">
        <v>12</v>
      </c>
      <c r="J409" s="5" t="s">
        <v>13</v>
      </c>
      <c r="K409" s="5"/>
      <c r="L409" s="5"/>
    </row>
    <row r="410" customFormat="false" ht="15" hidden="false" customHeight="false" outlineLevel="0" collapsed="false">
      <c r="A410" s="6" t="n">
        <v>44770</v>
      </c>
      <c r="B410" s="7" t="n">
        <v>0.363888888888889</v>
      </c>
      <c r="C410" s="8" t="n">
        <v>9068</v>
      </c>
      <c r="D410" s="8" t="s">
        <v>26</v>
      </c>
      <c r="E410" s="8" t="n">
        <v>25600</v>
      </c>
      <c r="F410" s="8" t="n">
        <v>15300</v>
      </c>
      <c r="G410" s="9" t="n">
        <v>10300</v>
      </c>
      <c r="H410" s="8" t="s">
        <v>11</v>
      </c>
      <c r="I410" s="8" t="s">
        <v>27</v>
      </c>
      <c r="J410" s="5" t="s">
        <v>13</v>
      </c>
      <c r="K410" s="5"/>
      <c r="L410" s="5"/>
    </row>
    <row r="411" customFormat="false" ht="15" hidden="false" customHeight="false" outlineLevel="0" collapsed="false">
      <c r="A411" s="6" t="n">
        <v>44770</v>
      </c>
      <c r="B411" s="7" t="n">
        <v>0.70625</v>
      </c>
      <c r="C411" s="8" t="n">
        <v>9096</v>
      </c>
      <c r="D411" s="8" t="s">
        <v>14</v>
      </c>
      <c r="E411" s="8" t="n">
        <v>15760</v>
      </c>
      <c r="F411" s="8" t="n">
        <v>12700</v>
      </c>
      <c r="G411" s="9" t="n">
        <v>3060</v>
      </c>
      <c r="H411" s="8" t="s">
        <v>11</v>
      </c>
      <c r="I411" s="8" t="s">
        <v>12</v>
      </c>
      <c r="J411" s="5" t="s">
        <v>13</v>
      </c>
      <c r="K411" s="5"/>
      <c r="L411" s="5"/>
    </row>
    <row r="412" customFormat="false" ht="15" hidden="false" customHeight="false" outlineLevel="0" collapsed="false">
      <c r="A412" s="6" t="n">
        <v>44770</v>
      </c>
      <c r="B412" s="7" t="n">
        <v>0.882638888888889</v>
      </c>
      <c r="C412" s="8" t="n">
        <v>9108</v>
      </c>
      <c r="D412" s="8" t="s">
        <v>10</v>
      </c>
      <c r="E412" s="8" t="n">
        <v>26540</v>
      </c>
      <c r="F412" s="8" t="n">
        <v>16060</v>
      </c>
      <c r="G412" s="9" t="n">
        <v>10480</v>
      </c>
      <c r="H412" s="8" t="s">
        <v>11</v>
      </c>
      <c r="I412" s="8" t="s">
        <v>12</v>
      </c>
      <c r="J412" s="5" t="s">
        <v>13</v>
      </c>
      <c r="K412" s="5"/>
      <c r="L412" s="5"/>
    </row>
    <row r="413" customFormat="false" ht="15" hidden="false" customHeight="false" outlineLevel="0" collapsed="false">
      <c r="A413" s="6" t="n">
        <v>44770</v>
      </c>
      <c r="B413" s="7" t="n">
        <v>0.863194444444444</v>
      </c>
      <c r="C413" s="8" t="n">
        <v>9105</v>
      </c>
      <c r="D413" s="8" t="s">
        <v>16</v>
      </c>
      <c r="E413" s="8" t="n">
        <v>3200</v>
      </c>
      <c r="F413" s="8" t="n">
        <v>2840</v>
      </c>
      <c r="G413" s="9" t="n">
        <v>360</v>
      </c>
      <c r="H413" s="8" t="s">
        <v>11</v>
      </c>
      <c r="I413" s="8" t="s">
        <v>12</v>
      </c>
      <c r="J413" s="5" t="s">
        <v>13</v>
      </c>
      <c r="K413" s="5"/>
      <c r="L413" s="5"/>
    </row>
    <row r="414" customFormat="false" ht="15" hidden="false" customHeight="false" outlineLevel="0" collapsed="false">
      <c r="A414" s="6" t="n">
        <v>44770</v>
      </c>
      <c r="B414" s="7" t="n">
        <v>0.547222222222222</v>
      </c>
      <c r="C414" s="8" t="n">
        <v>9086</v>
      </c>
      <c r="D414" s="8" t="s">
        <v>20</v>
      </c>
      <c r="E414" s="8" t="n">
        <v>3100</v>
      </c>
      <c r="F414" s="8" t="n">
        <v>2820</v>
      </c>
      <c r="G414" s="9" t="n">
        <v>280</v>
      </c>
      <c r="H414" s="8" t="s">
        <v>11</v>
      </c>
      <c r="I414" s="8" t="s">
        <v>21</v>
      </c>
      <c r="J414" s="5" t="s">
        <v>13</v>
      </c>
      <c r="K414" s="5"/>
      <c r="L414" s="5"/>
    </row>
    <row r="415" customFormat="false" ht="15" hidden="false" customHeight="false" outlineLevel="0" collapsed="false">
      <c r="A415" s="6" t="n">
        <v>44770</v>
      </c>
      <c r="B415" s="7" t="n">
        <v>0.865972222222222</v>
      </c>
      <c r="C415" s="8" t="n">
        <v>9106</v>
      </c>
      <c r="D415" s="8" t="s">
        <v>17</v>
      </c>
      <c r="E415" s="8" t="n">
        <v>2640</v>
      </c>
      <c r="F415" s="8" t="n">
        <v>2340</v>
      </c>
      <c r="G415" s="9" t="n">
        <v>300</v>
      </c>
      <c r="H415" s="8" t="s">
        <v>11</v>
      </c>
      <c r="I415" s="8" t="s">
        <v>12</v>
      </c>
      <c r="J415" s="5" t="s">
        <v>13</v>
      </c>
      <c r="K415" s="5"/>
      <c r="L415" s="5"/>
    </row>
    <row r="416" customFormat="false" ht="15" hidden="false" customHeight="false" outlineLevel="0" collapsed="false">
      <c r="A416" s="6" t="n">
        <v>44771</v>
      </c>
      <c r="B416" s="7" t="n">
        <v>0.206944444444444</v>
      </c>
      <c r="C416" s="8" t="n">
        <v>9122</v>
      </c>
      <c r="D416" s="8" t="s">
        <v>15</v>
      </c>
      <c r="E416" s="8" t="n">
        <v>4300</v>
      </c>
      <c r="F416" s="8" t="n">
        <v>3660</v>
      </c>
      <c r="G416" s="9" t="n">
        <v>640</v>
      </c>
      <c r="H416" s="8" t="s">
        <v>11</v>
      </c>
      <c r="I416" s="8" t="s">
        <v>12</v>
      </c>
      <c r="J416" s="5" t="s">
        <v>13</v>
      </c>
      <c r="K416" s="5"/>
      <c r="L416" s="5"/>
    </row>
    <row r="417" customFormat="false" ht="15" hidden="false" customHeight="false" outlineLevel="0" collapsed="false">
      <c r="A417" s="6" t="n">
        <v>44771</v>
      </c>
      <c r="B417" s="7" t="n">
        <v>0.134027777777778</v>
      </c>
      <c r="C417" s="8" t="n">
        <v>9119</v>
      </c>
      <c r="D417" s="8" t="s">
        <v>15</v>
      </c>
      <c r="E417" s="8" t="n">
        <v>4720</v>
      </c>
      <c r="F417" s="8" t="n">
        <v>3580</v>
      </c>
      <c r="G417" s="9" t="n">
        <v>1140</v>
      </c>
      <c r="H417" s="8" t="s">
        <v>11</v>
      </c>
      <c r="I417" s="8" t="s">
        <v>12</v>
      </c>
      <c r="J417" s="5" t="s">
        <v>13</v>
      </c>
      <c r="K417" s="5"/>
      <c r="L417" s="5"/>
    </row>
    <row r="418" customFormat="false" ht="15" hidden="false" customHeight="false" outlineLevel="0" collapsed="false">
      <c r="A418" s="6" t="n">
        <v>44771</v>
      </c>
      <c r="B418" s="7" t="n">
        <v>0.0361111111111111</v>
      </c>
      <c r="C418" s="8" t="n">
        <v>9111</v>
      </c>
      <c r="D418" s="8" t="s">
        <v>14</v>
      </c>
      <c r="E418" s="8" t="n">
        <v>21200</v>
      </c>
      <c r="F418" s="8" t="n">
        <v>12920</v>
      </c>
      <c r="G418" s="9" t="n">
        <v>8280</v>
      </c>
      <c r="H418" s="8" t="s">
        <v>11</v>
      </c>
      <c r="I418" s="8" t="s">
        <v>12</v>
      </c>
      <c r="J418" s="5" t="s">
        <v>13</v>
      </c>
      <c r="K418" s="5"/>
      <c r="L418" s="5"/>
    </row>
    <row r="419" customFormat="false" ht="15" hidden="false" customHeight="false" outlineLevel="0" collapsed="false">
      <c r="A419" s="6" t="n">
        <v>44771</v>
      </c>
      <c r="B419" s="7" t="n">
        <v>0.122222222222222</v>
      </c>
      <c r="C419" s="8" t="n">
        <v>9117</v>
      </c>
      <c r="D419" s="8" t="s">
        <v>14</v>
      </c>
      <c r="E419" s="8" t="n">
        <v>20400</v>
      </c>
      <c r="F419" s="8" t="n">
        <v>12720</v>
      </c>
      <c r="G419" s="9" t="n">
        <v>7680</v>
      </c>
      <c r="H419" s="8" t="s">
        <v>11</v>
      </c>
      <c r="I419" s="8" t="s">
        <v>12</v>
      </c>
      <c r="J419" s="5" t="s">
        <v>13</v>
      </c>
      <c r="K419" s="5"/>
      <c r="L419" s="5"/>
    </row>
    <row r="420" customFormat="false" ht="15" hidden="false" customHeight="false" outlineLevel="0" collapsed="false">
      <c r="A420" s="6" t="n">
        <v>44771</v>
      </c>
      <c r="B420" s="7" t="n">
        <v>0.246527777777778</v>
      </c>
      <c r="C420" s="8" t="n">
        <v>9128</v>
      </c>
      <c r="D420" s="8" t="s">
        <v>14</v>
      </c>
      <c r="E420" s="8" t="n">
        <v>16280</v>
      </c>
      <c r="F420" s="8" t="n">
        <v>12700</v>
      </c>
      <c r="G420" s="9" t="n">
        <v>3580</v>
      </c>
      <c r="H420" s="8" t="s">
        <v>11</v>
      </c>
      <c r="I420" s="8" t="s">
        <v>12</v>
      </c>
      <c r="J420" s="5" t="s">
        <v>13</v>
      </c>
      <c r="K420" s="5"/>
      <c r="L420" s="5"/>
    </row>
    <row r="421" customFormat="false" ht="15" hidden="false" customHeight="false" outlineLevel="0" collapsed="false">
      <c r="A421" s="6" t="n">
        <v>44771</v>
      </c>
      <c r="B421" s="7" t="n">
        <v>0.0194444444444444</v>
      </c>
      <c r="C421" s="8" t="n">
        <v>9110</v>
      </c>
      <c r="D421" s="8" t="s">
        <v>24</v>
      </c>
      <c r="E421" s="8" t="n">
        <v>15900</v>
      </c>
      <c r="F421" s="8" t="n">
        <v>12360</v>
      </c>
      <c r="G421" s="9" t="n">
        <v>3540</v>
      </c>
      <c r="H421" s="8" t="s">
        <v>11</v>
      </c>
      <c r="I421" s="8" t="s">
        <v>12</v>
      </c>
      <c r="J421" s="5" t="s">
        <v>13</v>
      </c>
      <c r="K421" s="5"/>
      <c r="L421" s="5"/>
    </row>
    <row r="422" customFormat="false" ht="15" hidden="false" customHeight="false" outlineLevel="0" collapsed="false">
      <c r="A422" s="6" t="n">
        <v>44771</v>
      </c>
      <c r="B422" s="7" t="n">
        <v>0.245833333333333</v>
      </c>
      <c r="C422" s="8" t="n">
        <v>9129</v>
      </c>
      <c r="D422" s="8" t="s">
        <v>10</v>
      </c>
      <c r="E422" s="8" t="n">
        <v>28140</v>
      </c>
      <c r="F422" s="8" t="n">
        <v>16100</v>
      </c>
      <c r="G422" s="9" t="n">
        <v>12040</v>
      </c>
      <c r="H422" s="8" t="s">
        <v>11</v>
      </c>
      <c r="I422" s="8" t="s">
        <v>12</v>
      </c>
      <c r="J422" s="5" t="s">
        <v>13</v>
      </c>
      <c r="K422" s="5"/>
      <c r="L422" s="5"/>
    </row>
    <row r="423" customFormat="false" ht="15" hidden="false" customHeight="false" outlineLevel="0" collapsed="false">
      <c r="A423" s="6" t="n">
        <v>44771</v>
      </c>
      <c r="B423" s="7" t="n">
        <v>0.20625</v>
      </c>
      <c r="C423" s="8" t="n">
        <v>9121</v>
      </c>
      <c r="D423" s="8" t="s">
        <v>20</v>
      </c>
      <c r="E423" s="8" t="n">
        <v>3240</v>
      </c>
      <c r="F423" s="8" t="n">
        <v>2820</v>
      </c>
      <c r="G423" s="9" t="n">
        <v>420</v>
      </c>
      <c r="H423" s="8" t="s">
        <v>11</v>
      </c>
      <c r="I423" s="8" t="s">
        <v>12</v>
      </c>
      <c r="J423" s="5" t="s">
        <v>13</v>
      </c>
      <c r="K423" s="5"/>
      <c r="L423" s="5"/>
    </row>
    <row r="424" customFormat="false" ht="15" hidden="false" customHeight="false" outlineLevel="0" collapsed="false">
      <c r="A424" s="6" t="n">
        <v>44771</v>
      </c>
      <c r="B424" s="7" t="n">
        <v>0.2375</v>
      </c>
      <c r="C424" s="8" t="n">
        <v>9126</v>
      </c>
      <c r="D424" s="8" t="s">
        <v>18</v>
      </c>
      <c r="E424" s="8" t="n">
        <v>26640</v>
      </c>
      <c r="F424" s="8" t="n">
        <v>15880</v>
      </c>
      <c r="G424" s="9" t="n">
        <v>10760</v>
      </c>
      <c r="H424" s="8" t="s">
        <v>11</v>
      </c>
      <c r="I424" s="8" t="s">
        <v>12</v>
      </c>
      <c r="J424" s="5" t="s">
        <v>13</v>
      </c>
      <c r="K424" s="5"/>
      <c r="L424" s="5"/>
    </row>
    <row r="425" customFormat="false" ht="15" hidden="false" customHeight="false" outlineLevel="0" collapsed="false">
      <c r="A425" s="6" t="n">
        <v>44771</v>
      </c>
      <c r="B425" s="7" t="n">
        <v>0.330555555555556</v>
      </c>
      <c r="C425" s="8" t="n">
        <v>9141</v>
      </c>
      <c r="D425" s="8" t="s">
        <v>16</v>
      </c>
      <c r="E425" s="8" t="n">
        <v>3280</v>
      </c>
      <c r="F425" s="8" t="n">
        <v>2840</v>
      </c>
      <c r="G425" s="9" t="n">
        <v>440</v>
      </c>
      <c r="H425" s="8" t="s">
        <v>11</v>
      </c>
      <c r="I425" s="8" t="s">
        <v>12</v>
      </c>
      <c r="J425" s="5" t="s">
        <v>13</v>
      </c>
      <c r="K425" s="5"/>
      <c r="L425" s="5"/>
    </row>
    <row r="426" customFormat="false" ht="15" hidden="false" customHeight="false" outlineLevel="0" collapsed="false">
      <c r="A426" s="6" t="n">
        <v>44771</v>
      </c>
      <c r="B426" s="7" t="n">
        <v>0.4625</v>
      </c>
      <c r="C426" s="8" t="n">
        <v>9153</v>
      </c>
      <c r="D426" s="8" t="s">
        <v>16</v>
      </c>
      <c r="E426" s="8" t="n">
        <v>2980</v>
      </c>
      <c r="F426" s="8" t="n">
        <v>2840</v>
      </c>
      <c r="G426" s="9" t="n">
        <v>140</v>
      </c>
      <c r="H426" s="8" t="s">
        <v>11</v>
      </c>
      <c r="I426" s="8" t="s">
        <v>12</v>
      </c>
      <c r="J426" s="5" t="s">
        <v>13</v>
      </c>
      <c r="K426" s="5"/>
      <c r="L426" s="5"/>
    </row>
    <row r="427" customFormat="false" ht="15" hidden="false" customHeight="false" outlineLevel="0" collapsed="false">
      <c r="A427" s="6" t="n">
        <v>44771</v>
      </c>
      <c r="B427" s="7" t="n">
        <v>0.459027777777778</v>
      </c>
      <c r="C427" s="8" t="n">
        <v>9151</v>
      </c>
      <c r="D427" s="8" t="s">
        <v>17</v>
      </c>
      <c r="E427" s="8" t="n">
        <v>2600</v>
      </c>
      <c r="F427" s="8" t="n">
        <v>2360</v>
      </c>
      <c r="G427" s="9" t="n">
        <v>240</v>
      </c>
      <c r="H427" s="8" t="s">
        <v>11</v>
      </c>
      <c r="I427" s="8" t="s">
        <v>12</v>
      </c>
      <c r="J427" s="5" t="s">
        <v>13</v>
      </c>
      <c r="K427" s="5"/>
      <c r="L427" s="5"/>
    </row>
    <row r="428" customFormat="false" ht="15" hidden="false" customHeight="false" outlineLevel="0" collapsed="false">
      <c r="A428" s="6" t="n">
        <v>44771</v>
      </c>
      <c r="B428" s="7" t="n">
        <v>0.470138888888889</v>
      </c>
      <c r="C428" s="8" t="n">
        <v>9155</v>
      </c>
      <c r="D428" s="8" t="s">
        <v>25</v>
      </c>
      <c r="E428" s="8" t="n">
        <v>5760</v>
      </c>
      <c r="F428" s="8" t="n">
        <v>5600</v>
      </c>
      <c r="G428" s="9" t="n">
        <v>160</v>
      </c>
      <c r="H428" s="8" t="s">
        <v>11</v>
      </c>
      <c r="I428" s="8" t="s">
        <v>22</v>
      </c>
      <c r="J428" s="5" t="s">
        <v>13</v>
      </c>
      <c r="K428" s="5"/>
      <c r="L428" s="5"/>
    </row>
    <row r="429" customFormat="false" ht="15" hidden="false" customHeight="false" outlineLevel="0" collapsed="false">
      <c r="A429" s="6" t="n">
        <v>44771</v>
      </c>
      <c r="B429" s="7" t="n">
        <v>0.355555555555556</v>
      </c>
      <c r="C429" s="8" t="n">
        <v>9145</v>
      </c>
      <c r="D429" s="8" t="s">
        <v>25</v>
      </c>
      <c r="E429" s="8" t="n">
        <v>6400</v>
      </c>
      <c r="F429" s="8" t="n">
        <v>5620</v>
      </c>
      <c r="G429" s="9" t="n">
        <v>780</v>
      </c>
      <c r="H429" s="8" t="s">
        <v>11</v>
      </c>
      <c r="I429" s="8" t="s">
        <v>22</v>
      </c>
      <c r="J429" s="5" t="s">
        <v>13</v>
      </c>
      <c r="K429" s="5"/>
      <c r="L429" s="5"/>
    </row>
    <row r="430" customFormat="false" ht="15" hidden="false" customHeight="false" outlineLevel="0" collapsed="false">
      <c r="A430" s="6" t="n">
        <v>44771</v>
      </c>
      <c r="B430" s="7" t="n">
        <v>0.5125</v>
      </c>
      <c r="C430" s="8" t="n">
        <v>3164</v>
      </c>
      <c r="D430" s="8" t="s">
        <v>18</v>
      </c>
      <c r="E430" s="8" t="n">
        <v>18980</v>
      </c>
      <c r="F430" s="8" t="n">
        <v>15760</v>
      </c>
      <c r="G430" s="9" t="n">
        <v>3220</v>
      </c>
      <c r="H430" s="8" t="s">
        <v>11</v>
      </c>
      <c r="I430" s="8" t="s">
        <v>19</v>
      </c>
      <c r="J430" s="5" t="s">
        <v>13</v>
      </c>
      <c r="K430" s="5"/>
      <c r="L430" s="5"/>
    </row>
    <row r="431" customFormat="false" ht="15" hidden="false" customHeight="false" outlineLevel="0" collapsed="false">
      <c r="A431" s="6" t="n">
        <v>44770</v>
      </c>
      <c r="B431" s="7" t="n">
        <v>0.509722222222222</v>
      </c>
      <c r="C431" s="8" t="n">
        <v>142841</v>
      </c>
      <c r="D431" s="8" t="s">
        <v>10</v>
      </c>
      <c r="E431" s="8" t="n">
        <v>17780</v>
      </c>
      <c r="F431" s="8" t="n">
        <v>15860</v>
      </c>
      <c r="G431" s="9" t="n">
        <v>1920</v>
      </c>
      <c r="H431" s="8" t="s">
        <v>11</v>
      </c>
      <c r="I431" s="8" t="s">
        <v>23</v>
      </c>
      <c r="J431" s="5" t="s">
        <v>13</v>
      </c>
      <c r="K431" s="5"/>
      <c r="L431" s="5"/>
    </row>
    <row r="432" customFormat="false" ht="15" hidden="false" customHeight="false" outlineLevel="0" collapsed="false">
      <c r="A432" s="6" t="n">
        <v>44771</v>
      </c>
      <c r="B432" s="7" t="n">
        <v>0.707638888888889</v>
      </c>
      <c r="C432" s="8" t="n">
        <v>9168</v>
      </c>
      <c r="D432" s="8" t="s">
        <v>14</v>
      </c>
      <c r="E432" s="8" t="n">
        <v>16040</v>
      </c>
      <c r="F432" s="8" t="n">
        <v>12760</v>
      </c>
      <c r="G432" s="9" t="n">
        <v>3280</v>
      </c>
      <c r="H432" s="8" t="s">
        <v>11</v>
      </c>
      <c r="I432" s="8" t="s">
        <v>12</v>
      </c>
      <c r="J432" s="5" t="s">
        <v>13</v>
      </c>
      <c r="K432" s="5"/>
      <c r="L432" s="5"/>
    </row>
    <row r="433" customFormat="false" ht="15" hidden="false" customHeight="false" outlineLevel="0" collapsed="false">
      <c r="A433" s="6" t="n">
        <v>44771</v>
      </c>
      <c r="B433" s="7" t="n">
        <v>0.86875</v>
      </c>
      <c r="C433" s="8" t="n">
        <v>9174</v>
      </c>
      <c r="D433" s="8" t="s">
        <v>17</v>
      </c>
      <c r="E433" s="8" t="n">
        <v>2680</v>
      </c>
      <c r="F433" s="8" t="n">
        <v>2380</v>
      </c>
      <c r="G433" s="9" t="n">
        <v>300</v>
      </c>
      <c r="H433" s="8" t="s">
        <v>11</v>
      </c>
      <c r="I433" s="8" t="s">
        <v>12</v>
      </c>
      <c r="J433" s="5" t="s">
        <v>13</v>
      </c>
      <c r="K433" s="5"/>
      <c r="L433" s="5"/>
    </row>
    <row r="434" customFormat="false" ht="15" hidden="false" customHeight="false" outlineLevel="0" collapsed="false">
      <c r="A434" s="6" t="n">
        <v>44771</v>
      </c>
      <c r="B434" s="7" t="n">
        <v>0.545833333333333</v>
      </c>
      <c r="C434" s="8" t="n">
        <v>9159</v>
      </c>
      <c r="D434" s="8" t="s">
        <v>20</v>
      </c>
      <c r="E434" s="8" t="n">
        <v>3140</v>
      </c>
      <c r="F434" s="8" t="n">
        <v>2820</v>
      </c>
      <c r="G434" s="9" t="n">
        <v>320</v>
      </c>
      <c r="H434" s="8" t="s">
        <v>11</v>
      </c>
      <c r="I434" s="8" t="s">
        <v>21</v>
      </c>
      <c r="J434" s="5" t="s">
        <v>13</v>
      </c>
      <c r="K434" s="5"/>
      <c r="L434" s="5"/>
    </row>
    <row r="435" customFormat="false" ht="15" hidden="false" customHeight="false" outlineLevel="0" collapsed="false">
      <c r="A435" s="6" t="n">
        <v>44771</v>
      </c>
      <c r="B435" s="7" t="n">
        <v>0.890972222222222</v>
      </c>
      <c r="C435" s="8" t="n">
        <v>9176</v>
      </c>
      <c r="D435" s="8" t="s">
        <v>10</v>
      </c>
      <c r="E435" s="8" t="n">
        <v>26080</v>
      </c>
      <c r="F435" s="8" t="n">
        <v>16180</v>
      </c>
      <c r="G435" s="9" t="n">
        <v>9900</v>
      </c>
      <c r="H435" s="8" t="s">
        <v>11</v>
      </c>
      <c r="I435" s="8" t="s">
        <v>12</v>
      </c>
      <c r="J435" s="5" t="s">
        <v>13</v>
      </c>
      <c r="K435" s="5"/>
      <c r="L435" s="5"/>
    </row>
    <row r="436" customFormat="false" ht="15" hidden="false" customHeight="false" outlineLevel="0" collapsed="false">
      <c r="A436" s="6" t="n">
        <v>44772</v>
      </c>
      <c r="B436" s="7" t="n">
        <v>0.461111111111111</v>
      </c>
      <c r="C436" s="8" t="n">
        <v>9213</v>
      </c>
      <c r="D436" s="8" t="s">
        <v>17</v>
      </c>
      <c r="E436" s="8" t="n">
        <v>2660</v>
      </c>
      <c r="F436" s="8" t="n">
        <v>2380</v>
      </c>
      <c r="G436" s="9" t="n">
        <v>280</v>
      </c>
      <c r="H436" s="8" t="s">
        <v>11</v>
      </c>
      <c r="I436" s="8" t="s">
        <v>12</v>
      </c>
      <c r="J436" s="5" t="s">
        <v>13</v>
      </c>
      <c r="K436" s="5"/>
      <c r="L436" s="5"/>
    </row>
    <row r="437" customFormat="false" ht="15" hidden="false" customHeight="false" outlineLevel="0" collapsed="false">
      <c r="A437" s="6" t="n">
        <v>44772</v>
      </c>
      <c r="B437" s="7" t="n">
        <v>0.247222222222222</v>
      </c>
      <c r="C437" s="8" t="n">
        <v>9195</v>
      </c>
      <c r="D437" s="8" t="s">
        <v>10</v>
      </c>
      <c r="E437" s="8" t="n">
        <v>27220</v>
      </c>
      <c r="F437" s="8" t="n">
        <v>16180</v>
      </c>
      <c r="G437" s="9" t="n">
        <v>11040</v>
      </c>
      <c r="H437" s="8" t="s">
        <v>11</v>
      </c>
      <c r="I437" s="8" t="s">
        <v>12</v>
      </c>
      <c r="J437" s="5" t="s">
        <v>13</v>
      </c>
      <c r="K437" s="5"/>
      <c r="L437" s="5"/>
    </row>
    <row r="438" customFormat="false" ht="15" hidden="false" customHeight="false" outlineLevel="0" collapsed="false">
      <c r="A438" s="6" t="n">
        <v>44772</v>
      </c>
      <c r="B438" s="7" t="n">
        <v>0.223611111111111</v>
      </c>
      <c r="C438" s="8" t="n">
        <v>9190</v>
      </c>
      <c r="D438" s="8" t="s">
        <v>20</v>
      </c>
      <c r="E438" s="8" t="n">
        <v>3120</v>
      </c>
      <c r="F438" s="8" t="n">
        <v>2800</v>
      </c>
      <c r="G438" s="9" t="n">
        <v>320</v>
      </c>
      <c r="H438" s="8" t="s">
        <v>11</v>
      </c>
      <c r="I438" s="8" t="s">
        <v>12</v>
      </c>
      <c r="J438" s="5" t="s">
        <v>13</v>
      </c>
      <c r="K438" s="5"/>
      <c r="L438" s="5"/>
    </row>
    <row r="439" customFormat="false" ht="15" hidden="false" customHeight="false" outlineLevel="0" collapsed="false">
      <c r="A439" s="6" t="n">
        <v>44772</v>
      </c>
      <c r="B439" s="7" t="n">
        <v>0.401388888888889</v>
      </c>
      <c r="C439" s="8" t="n">
        <v>9210</v>
      </c>
      <c r="D439" s="8" t="s">
        <v>25</v>
      </c>
      <c r="E439" s="8" t="n">
        <v>6320</v>
      </c>
      <c r="F439" s="8" t="n">
        <v>5580</v>
      </c>
      <c r="G439" s="9" t="n">
        <v>740</v>
      </c>
      <c r="H439" s="8" t="s">
        <v>11</v>
      </c>
      <c r="I439" s="8" t="s">
        <v>22</v>
      </c>
      <c r="J439" s="5" t="s">
        <v>13</v>
      </c>
      <c r="K439" s="5"/>
      <c r="L439" s="5"/>
    </row>
    <row r="440" customFormat="false" ht="15" hidden="false" customHeight="false" outlineLevel="0" collapsed="false">
      <c r="A440" s="6" t="n">
        <v>44772</v>
      </c>
      <c r="B440" s="7" t="n">
        <v>0.434027777777778</v>
      </c>
      <c r="C440" s="8" t="n">
        <v>9211</v>
      </c>
      <c r="D440" s="8" t="s">
        <v>16</v>
      </c>
      <c r="E440" s="8" t="n">
        <v>3400</v>
      </c>
      <c r="F440" s="8" t="n">
        <v>2820</v>
      </c>
      <c r="G440" s="9" t="n">
        <v>580</v>
      </c>
      <c r="H440" s="8" t="s">
        <v>11</v>
      </c>
      <c r="I440" s="8" t="s">
        <v>12</v>
      </c>
      <c r="J440" s="5" t="s">
        <v>13</v>
      </c>
      <c r="K440" s="5"/>
      <c r="L440" s="5"/>
    </row>
    <row r="441" customFormat="false" ht="15" hidden="false" customHeight="false" outlineLevel="0" collapsed="false">
      <c r="A441" s="6" t="n">
        <v>44772</v>
      </c>
      <c r="B441" s="7" t="n">
        <v>0.1375</v>
      </c>
      <c r="C441" s="8" t="n">
        <v>9182</v>
      </c>
      <c r="D441" s="8" t="s">
        <v>14</v>
      </c>
      <c r="E441" s="8" t="n">
        <v>20920</v>
      </c>
      <c r="F441" s="8" t="n">
        <v>12780</v>
      </c>
      <c r="G441" s="9" t="n">
        <v>8140</v>
      </c>
      <c r="H441" s="8" t="s">
        <v>11</v>
      </c>
      <c r="I441" s="8" t="s">
        <v>12</v>
      </c>
      <c r="J441" s="5" t="s">
        <v>13</v>
      </c>
      <c r="K441" s="5"/>
      <c r="L441" s="5"/>
    </row>
    <row r="442" customFormat="false" ht="15" hidden="false" customHeight="false" outlineLevel="0" collapsed="false">
      <c r="A442" s="6" t="n">
        <v>44772</v>
      </c>
      <c r="B442" s="7" t="n">
        <v>0.242361111111111</v>
      </c>
      <c r="C442" s="8" t="n">
        <v>9193</v>
      </c>
      <c r="D442" s="8" t="s">
        <v>14</v>
      </c>
      <c r="E442" s="8" t="n">
        <v>16780</v>
      </c>
      <c r="F442" s="8" t="n">
        <v>12760</v>
      </c>
      <c r="G442" s="9" t="n">
        <v>4020</v>
      </c>
      <c r="H442" s="8" t="s">
        <v>11</v>
      </c>
      <c r="I442" s="8" t="s">
        <v>12</v>
      </c>
      <c r="J442" s="5" t="s">
        <v>13</v>
      </c>
      <c r="K442" s="5"/>
      <c r="L442" s="5"/>
    </row>
    <row r="443" customFormat="false" ht="15" hidden="false" customHeight="false" outlineLevel="0" collapsed="false">
      <c r="A443" s="6" t="n">
        <v>44772</v>
      </c>
      <c r="B443" s="7" t="n">
        <v>0.143055555555556</v>
      </c>
      <c r="C443" s="8" t="n">
        <v>9183</v>
      </c>
      <c r="D443" s="8" t="s">
        <v>15</v>
      </c>
      <c r="E443" s="8" t="n">
        <v>4880</v>
      </c>
      <c r="F443" s="8" t="n">
        <v>3560</v>
      </c>
      <c r="G443" s="9" t="n">
        <v>1320</v>
      </c>
      <c r="H443" s="8" t="s">
        <v>11</v>
      </c>
      <c r="I443" s="8" t="s">
        <v>12</v>
      </c>
      <c r="J443" s="5" t="s">
        <v>13</v>
      </c>
      <c r="K443" s="5"/>
      <c r="L443" s="5"/>
    </row>
    <row r="444" customFormat="false" ht="15" hidden="false" customHeight="false" outlineLevel="0" collapsed="false">
      <c r="A444" s="6" t="n">
        <v>44772</v>
      </c>
      <c r="B444" s="7" t="n">
        <v>0.0458333333333333</v>
      </c>
      <c r="C444" s="8" t="n">
        <v>9177</v>
      </c>
      <c r="D444" s="8" t="s">
        <v>14</v>
      </c>
      <c r="E444" s="8" t="n">
        <v>21680</v>
      </c>
      <c r="F444" s="8" t="n">
        <v>13000</v>
      </c>
      <c r="G444" s="9" t="n">
        <v>8680</v>
      </c>
      <c r="H444" s="8" t="s">
        <v>11</v>
      </c>
      <c r="I444" s="8" t="s">
        <v>12</v>
      </c>
      <c r="J444" s="5" t="s">
        <v>13</v>
      </c>
      <c r="K444" s="5"/>
      <c r="L444" s="5"/>
    </row>
    <row r="445" customFormat="false" ht="15" hidden="false" customHeight="false" outlineLevel="0" collapsed="false">
      <c r="A445" s="6" t="n">
        <v>44772</v>
      </c>
      <c r="B445" s="7" t="n">
        <v>0.213888888888889</v>
      </c>
      <c r="C445" s="8" t="n">
        <v>9188</v>
      </c>
      <c r="D445" s="8" t="s">
        <v>15</v>
      </c>
      <c r="E445" s="8" t="n">
        <v>4320</v>
      </c>
      <c r="F445" s="8" t="n">
        <v>3660</v>
      </c>
      <c r="G445" s="9" t="n">
        <v>660</v>
      </c>
      <c r="H445" s="8" t="s">
        <v>11</v>
      </c>
      <c r="I445" s="8" t="s">
        <v>12</v>
      </c>
      <c r="J445" s="5" t="s">
        <v>13</v>
      </c>
      <c r="K445" s="5"/>
      <c r="L445" s="5"/>
    </row>
    <row r="446" customFormat="false" ht="15" hidden="false" customHeight="false" outlineLevel="0" collapsed="false">
      <c r="A446" s="6" t="n">
        <v>44772</v>
      </c>
      <c r="B446" s="7" t="n">
        <v>0.24375</v>
      </c>
      <c r="C446" s="8" t="n">
        <v>9194</v>
      </c>
      <c r="D446" s="8" t="s">
        <v>18</v>
      </c>
      <c r="E446" s="8" t="n">
        <v>23620</v>
      </c>
      <c r="F446" s="8" t="n">
        <v>15760</v>
      </c>
      <c r="G446" s="9" t="n">
        <v>7860</v>
      </c>
      <c r="H446" s="8" t="s">
        <v>11</v>
      </c>
      <c r="I446" s="8" t="s">
        <v>12</v>
      </c>
      <c r="J446" s="5" t="s">
        <v>13</v>
      </c>
      <c r="K446" s="5"/>
      <c r="L446" s="5"/>
    </row>
    <row r="447" customFormat="false" ht="15" hidden="false" customHeight="false" outlineLevel="0" collapsed="false">
      <c r="A447" s="6" t="n">
        <v>44772</v>
      </c>
      <c r="B447" s="7" t="n">
        <v>0.709027777777778</v>
      </c>
      <c r="C447" s="8" t="n">
        <v>9218</v>
      </c>
      <c r="D447" s="8" t="s">
        <v>14</v>
      </c>
      <c r="E447" s="8" t="n">
        <v>15580</v>
      </c>
      <c r="F447" s="8" t="n">
        <v>12700</v>
      </c>
      <c r="G447" s="9" t="n">
        <v>2880</v>
      </c>
      <c r="H447" s="8" t="s">
        <v>11</v>
      </c>
      <c r="I447" s="8" t="s">
        <v>12</v>
      </c>
      <c r="J447" s="5" t="s">
        <v>13</v>
      </c>
      <c r="K447" s="5"/>
      <c r="L447" s="5"/>
    </row>
    <row r="448" customFormat="false" ht="15" hidden="false" customHeight="false" outlineLevel="0" collapsed="false">
      <c r="A448" s="6" t="n">
        <v>44772</v>
      </c>
      <c r="B448" s="7" t="n">
        <v>0.870833333333333</v>
      </c>
      <c r="C448" s="8" t="n">
        <v>9219</v>
      </c>
      <c r="D448" s="8" t="s">
        <v>17</v>
      </c>
      <c r="E448" s="8" t="n">
        <v>2700</v>
      </c>
      <c r="F448" s="8" t="n">
        <v>2360</v>
      </c>
      <c r="G448" s="9" t="n">
        <v>340</v>
      </c>
      <c r="H448" s="8" t="s">
        <v>11</v>
      </c>
      <c r="I448" s="8" t="s">
        <v>12</v>
      </c>
      <c r="J448" s="5" t="s">
        <v>13</v>
      </c>
      <c r="K448" s="5"/>
      <c r="L448" s="5"/>
    </row>
    <row r="449" customFormat="false" ht="15" hidden="false" customHeight="false" outlineLevel="0" collapsed="false">
      <c r="A449" s="6" t="n">
        <v>44772</v>
      </c>
      <c r="B449" s="7" t="n">
        <v>0.888888888888889</v>
      </c>
      <c r="C449" s="8" t="n">
        <v>9220</v>
      </c>
      <c r="D449" s="8" t="s">
        <v>10</v>
      </c>
      <c r="E449" s="8" t="n">
        <v>26000</v>
      </c>
      <c r="F449" s="8" t="n">
        <v>16020</v>
      </c>
      <c r="G449" s="9" t="n">
        <v>9980</v>
      </c>
      <c r="H449" s="8" t="s">
        <v>11</v>
      </c>
      <c r="I449" s="8" t="s">
        <v>12</v>
      </c>
      <c r="J449" s="5" t="s">
        <v>13</v>
      </c>
      <c r="K449" s="5"/>
      <c r="L449" s="5"/>
    </row>
    <row r="450" customFormat="false" ht="15" hidden="false" customHeight="false" outlineLevel="0" collapsed="false">
      <c r="A450" s="6" t="n">
        <v>44772</v>
      </c>
      <c r="B450" s="7" t="n">
        <v>0.486111111111111</v>
      </c>
      <c r="C450" s="8" t="n">
        <v>142939</v>
      </c>
      <c r="D450" s="8" t="s">
        <v>10</v>
      </c>
      <c r="E450" s="8" t="n">
        <v>17900</v>
      </c>
      <c r="F450" s="8" t="n">
        <v>15800</v>
      </c>
      <c r="G450" s="9" t="n">
        <v>2100</v>
      </c>
      <c r="H450" s="8" t="s">
        <v>11</v>
      </c>
      <c r="I450" s="8" t="s">
        <v>23</v>
      </c>
      <c r="J450" s="5" t="s">
        <v>13</v>
      </c>
      <c r="K450" s="5"/>
      <c r="L450" s="5"/>
    </row>
    <row r="451" customFormat="false" ht="15" hidden="false" customHeight="false" outlineLevel="0" collapsed="false">
      <c r="A451" s="6" t="n">
        <v>44773</v>
      </c>
      <c r="B451" s="7" t="n">
        <v>0.245833333333333</v>
      </c>
      <c r="C451" s="8" t="n">
        <v>9237</v>
      </c>
      <c r="D451" s="8" t="s">
        <v>18</v>
      </c>
      <c r="E451" s="8" t="n">
        <v>27900</v>
      </c>
      <c r="F451" s="8" t="n">
        <v>15960</v>
      </c>
      <c r="G451" s="9" t="n">
        <v>11940</v>
      </c>
      <c r="H451" s="8" t="s">
        <v>11</v>
      </c>
      <c r="I451" s="8" t="s">
        <v>12</v>
      </c>
      <c r="J451" s="5" t="s">
        <v>13</v>
      </c>
      <c r="K451" s="5"/>
      <c r="L451" s="5"/>
    </row>
    <row r="452" customFormat="false" ht="15" hidden="false" customHeight="false" outlineLevel="0" collapsed="false">
      <c r="A452" s="6" t="n">
        <v>44773</v>
      </c>
      <c r="B452" s="7" t="n">
        <v>0.0493055555555556</v>
      </c>
      <c r="C452" s="8" t="n">
        <v>9222</v>
      </c>
      <c r="D452" s="8" t="s">
        <v>14</v>
      </c>
      <c r="E452" s="8" t="n">
        <v>22520</v>
      </c>
      <c r="F452" s="8" t="n">
        <v>12920</v>
      </c>
      <c r="G452" s="9" t="n">
        <v>9600</v>
      </c>
      <c r="H452" s="8" t="s">
        <v>11</v>
      </c>
      <c r="I452" s="8" t="s">
        <v>12</v>
      </c>
      <c r="J452" s="5" t="s">
        <v>13</v>
      </c>
      <c r="K452" s="5"/>
      <c r="L452" s="5"/>
    </row>
    <row r="453" customFormat="false" ht="15" hidden="false" customHeight="false" outlineLevel="0" collapsed="false">
      <c r="A453" s="6" t="n">
        <v>44773</v>
      </c>
      <c r="B453" s="7" t="n">
        <v>0.146527777777778</v>
      </c>
      <c r="C453" s="8" t="n">
        <v>9230</v>
      </c>
      <c r="D453" s="8" t="s">
        <v>14</v>
      </c>
      <c r="E453" s="8" t="n">
        <v>21420</v>
      </c>
      <c r="F453" s="8" t="n">
        <v>12700</v>
      </c>
      <c r="G453" s="9" t="n">
        <v>8720</v>
      </c>
      <c r="H453" s="8" t="s">
        <v>11</v>
      </c>
      <c r="I453" s="8" t="s">
        <v>12</v>
      </c>
      <c r="J453" s="5" t="s">
        <v>13</v>
      </c>
      <c r="K453" s="5"/>
      <c r="L453" s="5"/>
    </row>
    <row r="454" customFormat="false" ht="15" hidden="false" customHeight="false" outlineLevel="0" collapsed="false">
      <c r="A454" s="6" t="n">
        <v>44773</v>
      </c>
      <c r="B454" s="7" t="n">
        <v>0.139583333333333</v>
      </c>
      <c r="C454" s="8" t="n">
        <v>9229</v>
      </c>
      <c r="D454" s="8" t="s">
        <v>15</v>
      </c>
      <c r="E454" s="8" t="n">
        <v>4840</v>
      </c>
      <c r="F454" s="8" t="n">
        <v>3600</v>
      </c>
      <c r="G454" s="9" t="n">
        <v>1240</v>
      </c>
      <c r="H454" s="8" t="s">
        <v>11</v>
      </c>
      <c r="I454" s="8" t="s">
        <v>12</v>
      </c>
      <c r="J454" s="5" t="s">
        <v>13</v>
      </c>
      <c r="K454" s="5"/>
      <c r="L454" s="5"/>
    </row>
    <row r="455" customFormat="false" ht="15" hidden="false" customHeight="false" outlineLevel="0" collapsed="false">
      <c r="A455" s="6" t="n">
        <v>44773</v>
      </c>
      <c r="B455" s="7" t="n">
        <v>0.215277777777778</v>
      </c>
      <c r="C455" s="8" t="n">
        <v>9232</v>
      </c>
      <c r="D455" s="8" t="s">
        <v>15</v>
      </c>
      <c r="E455" s="8" t="n">
        <v>4500</v>
      </c>
      <c r="F455" s="8" t="n">
        <v>3680</v>
      </c>
      <c r="G455" s="9" t="n">
        <v>820</v>
      </c>
      <c r="H455" s="8" t="s">
        <v>11</v>
      </c>
      <c r="I455" s="8" t="s">
        <v>12</v>
      </c>
      <c r="J455" s="5" t="s">
        <v>13</v>
      </c>
      <c r="K455" s="5"/>
      <c r="L455" s="5"/>
    </row>
    <row r="456" customFormat="false" ht="15" hidden="false" customHeight="false" outlineLevel="0" collapsed="false">
      <c r="A456" s="6" t="n">
        <v>44773</v>
      </c>
      <c r="B456" s="7" t="n">
        <v>0.243055555555556</v>
      </c>
      <c r="C456" s="8" t="n">
        <v>9235</v>
      </c>
      <c r="D456" s="8" t="s">
        <v>10</v>
      </c>
      <c r="E456" s="8" t="n">
        <v>27920</v>
      </c>
      <c r="F456" s="8" t="n">
        <v>16100</v>
      </c>
      <c r="G456" s="9" t="n">
        <v>11820</v>
      </c>
      <c r="H456" s="8" t="s">
        <v>11</v>
      </c>
      <c r="I456" s="8" t="s">
        <v>12</v>
      </c>
      <c r="J456" s="5" t="s">
        <v>13</v>
      </c>
      <c r="K456" s="5"/>
      <c r="L456" s="5"/>
    </row>
    <row r="457" customFormat="false" ht="15" hidden="false" customHeight="false" outlineLevel="0" collapsed="false">
      <c r="A457" s="6" t="n">
        <v>44773</v>
      </c>
      <c r="B457" s="7" t="n">
        <v>0.461805555555556</v>
      </c>
      <c r="C457" s="8" t="n">
        <v>9246</v>
      </c>
      <c r="D457" s="8" t="s">
        <v>16</v>
      </c>
      <c r="E457" s="8" t="n">
        <v>3420</v>
      </c>
      <c r="F457" s="8" t="n">
        <v>2860</v>
      </c>
      <c r="G457" s="9" t="n">
        <v>560</v>
      </c>
      <c r="H457" s="8" t="s">
        <v>11</v>
      </c>
      <c r="I457" s="8" t="s">
        <v>12</v>
      </c>
      <c r="J457" s="5" t="s">
        <v>13</v>
      </c>
      <c r="K457" s="5"/>
      <c r="L457" s="5"/>
    </row>
    <row r="458" customFormat="false" ht="15" hidden="false" customHeight="false" outlineLevel="0" collapsed="false">
      <c r="A458" s="6" t="n">
        <v>44773</v>
      </c>
      <c r="B458" s="7" t="n">
        <v>0.25</v>
      </c>
      <c r="C458" s="8" t="n">
        <v>9239</v>
      </c>
      <c r="D458" s="8" t="s">
        <v>14</v>
      </c>
      <c r="E458" s="8" t="n">
        <v>14620</v>
      </c>
      <c r="F458" s="8" t="n">
        <v>12680</v>
      </c>
      <c r="G458" s="9" t="n">
        <v>1940</v>
      </c>
      <c r="H458" s="8" t="s">
        <v>11</v>
      </c>
      <c r="I458" s="8" t="s">
        <v>12</v>
      </c>
      <c r="J458" s="5" t="s">
        <v>13</v>
      </c>
      <c r="K458" s="5"/>
      <c r="L458" s="5"/>
    </row>
    <row r="459" customFormat="false" ht="15" hidden="false" customHeight="false" outlineLevel="0" collapsed="false">
      <c r="A459" s="6" t="n">
        <v>44773</v>
      </c>
      <c r="B459" s="7" t="n">
        <v>0.453472222222222</v>
      </c>
      <c r="C459" s="8" t="n">
        <v>9245</v>
      </c>
      <c r="D459" s="8" t="s">
        <v>17</v>
      </c>
      <c r="E459" s="8" t="n">
        <v>2680</v>
      </c>
      <c r="F459" s="8" t="n">
        <v>2380</v>
      </c>
      <c r="G459" s="9" t="n">
        <v>300</v>
      </c>
      <c r="H459" s="8" t="s">
        <v>11</v>
      </c>
      <c r="I459" s="8" t="s">
        <v>12</v>
      </c>
      <c r="J459" s="5" t="s">
        <v>13</v>
      </c>
      <c r="K459" s="5"/>
      <c r="L459" s="5"/>
    </row>
    <row r="460" customFormat="false" ht="15" hidden="false" customHeight="false" outlineLevel="0" collapsed="false">
      <c r="A460" s="6" t="n">
        <v>44773</v>
      </c>
      <c r="B460" s="7" t="n">
        <v>0.36875</v>
      </c>
      <c r="C460" s="8" t="n">
        <v>9244</v>
      </c>
      <c r="D460" s="8" t="s">
        <v>26</v>
      </c>
      <c r="E460" s="8" t="n">
        <v>18260</v>
      </c>
      <c r="F460" s="8" t="n">
        <v>16060</v>
      </c>
      <c r="G460" s="9" t="n">
        <v>2200</v>
      </c>
      <c r="H460" s="8" t="s">
        <v>11</v>
      </c>
      <c r="I460" s="8" t="s">
        <v>22</v>
      </c>
      <c r="J460" s="5" t="s">
        <v>13</v>
      </c>
      <c r="K460" s="5"/>
      <c r="L460" s="5"/>
    </row>
    <row r="461" customFormat="false" ht="15" hidden="false" customHeight="false" outlineLevel="0" collapsed="false">
      <c r="A461" s="6" t="n">
        <v>44773</v>
      </c>
      <c r="B461" s="7" t="n">
        <v>0.876388888888889</v>
      </c>
      <c r="C461" s="8" t="n">
        <v>9249</v>
      </c>
      <c r="D461" s="8" t="s">
        <v>10</v>
      </c>
      <c r="E461" s="8" t="n">
        <v>25360</v>
      </c>
      <c r="F461" s="8" t="n">
        <v>15960</v>
      </c>
      <c r="G461" s="9" t="n">
        <v>9400</v>
      </c>
      <c r="H461" s="8" t="s">
        <v>11</v>
      </c>
      <c r="I461" s="8" t="s">
        <v>12</v>
      </c>
      <c r="J461" s="5" t="s">
        <v>13</v>
      </c>
      <c r="K461" s="5"/>
      <c r="L461" s="5"/>
    </row>
    <row r="462" customFormat="false" ht="15" hidden="false" customHeight="false" outlineLevel="0" collapsed="false">
      <c r="A462" s="6" t="n">
        <v>44773</v>
      </c>
      <c r="B462" s="7" t="n">
        <v>0.701388888888889</v>
      </c>
      <c r="C462" s="8" t="n">
        <v>9247</v>
      </c>
      <c r="D462" s="8" t="s">
        <v>14</v>
      </c>
      <c r="E462" s="8" t="n">
        <v>16120</v>
      </c>
      <c r="F462" s="8" t="n">
        <v>12760</v>
      </c>
      <c r="G462" s="9" t="n">
        <v>3360</v>
      </c>
      <c r="H462" s="8" t="s">
        <v>11</v>
      </c>
      <c r="I462" s="8" t="s">
        <v>12</v>
      </c>
      <c r="J462" s="5" t="s">
        <v>13</v>
      </c>
      <c r="K462" s="5"/>
      <c r="L462" s="5"/>
    </row>
    <row r="463" customFormat="false" ht="15" hidden="false" customHeight="false" outlineLevel="0" collapsed="false">
      <c r="A463" s="6" t="n">
        <v>44773</v>
      </c>
      <c r="B463" s="7" t="n">
        <v>0.86875</v>
      </c>
      <c r="C463" s="8" t="n">
        <v>9248</v>
      </c>
      <c r="D463" s="8" t="s">
        <v>17</v>
      </c>
      <c r="E463" s="8" t="n">
        <v>2740</v>
      </c>
      <c r="F463" s="8" t="n">
        <v>2340</v>
      </c>
      <c r="G463" s="9" t="n">
        <v>400</v>
      </c>
      <c r="H463" s="8" t="s">
        <v>11</v>
      </c>
      <c r="I463" s="8" t="s">
        <v>12</v>
      </c>
      <c r="J463" s="5" t="s">
        <v>13</v>
      </c>
      <c r="K463" s="5"/>
      <c r="L463" s="5"/>
    </row>
    <row r="464" customFormat="false" ht="15" hidden="false" customHeight="false" outlineLevel="0" collapsed="false">
      <c r="A464" s="6" t="n">
        <v>44773</v>
      </c>
      <c r="B464" s="7" t="n">
        <v>0.984722222222222</v>
      </c>
      <c r="C464" s="8" t="n">
        <v>9250</v>
      </c>
      <c r="D464" s="8" t="s">
        <v>24</v>
      </c>
      <c r="E464" s="8" t="n">
        <v>15180</v>
      </c>
      <c r="F464" s="8" t="n">
        <v>12440</v>
      </c>
      <c r="G464" s="9" t="n">
        <v>2740</v>
      </c>
      <c r="H464" s="8" t="s">
        <v>11</v>
      </c>
      <c r="I464" s="8" t="s">
        <v>12</v>
      </c>
      <c r="J464" s="5" t="s">
        <v>13</v>
      </c>
      <c r="K464" s="5"/>
      <c r="L464" s="5"/>
    </row>
    <row r="465" customFormat="false" ht="15" hidden="false" customHeight="false" outlineLevel="0" collapsed="false">
      <c r="A465" s="6" t="n">
        <v>44744</v>
      </c>
      <c r="B465" s="7" t="n">
        <v>0.216666666666667</v>
      </c>
      <c r="C465" s="8" t="n">
        <v>7452</v>
      </c>
      <c r="D465" s="8" t="s">
        <v>15</v>
      </c>
      <c r="E465" s="8" t="n">
        <v>5040</v>
      </c>
      <c r="F465" s="8" t="n">
        <v>3700</v>
      </c>
      <c r="G465" s="9" t="n">
        <v>1340</v>
      </c>
      <c r="H465" s="8" t="s">
        <v>11</v>
      </c>
      <c r="I465" s="8" t="s">
        <v>12</v>
      </c>
      <c r="J465" s="5" t="s">
        <v>13</v>
      </c>
      <c r="K465" s="5"/>
      <c r="L465" s="5"/>
    </row>
    <row r="466" customFormat="false" ht="15" hidden="false" customHeight="false" outlineLevel="0" collapsed="false">
      <c r="A466" s="6" t="n">
        <v>44761</v>
      </c>
      <c r="B466" s="7" t="n">
        <v>0.254166666666667</v>
      </c>
      <c r="C466" s="8" t="n">
        <v>8498</v>
      </c>
      <c r="D466" s="8" t="s">
        <v>10</v>
      </c>
      <c r="E466" s="8" t="n">
        <v>25560</v>
      </c>
      <c r="F466" s="8" t="n">
        <v>16060</v>
      </c>
      <c r="G466" s="9" t="n">
        <v>9500</v>
      </c>
      <c r="H466" s="8" t="s">
        <v>11</v>
      </c>
      <c r="I466" s="8" t="s">
        <v>12</v>
      </c>
      <c r="J466" s="5" t="s">
        <v>13</v>
      </c>
      <c r="K466" s="5"/>
      <c r="L466" s="5"/>
    </row>
    <row r="467" customFormat="false" ht="15" hidden="false" customHeight="false" outlineLevel="0" collapsed="false">
      <c r="A467" s="6" t="n">
        <v>44768</v>
      </c>
      <c r="B467" s="7" t="n">
        <v>0.711805555555555</v>
      </c>
      <c r="C467" s="8" t="n">
        <v>8953</v>
      </c>
      <c r="D467" s="8" t="s">
        <v>14</v>
      </c>
      <c r="E467" s="8" t="n">
        <v>15540</v>
      </c>
      <c r="F467" s="8" t="n">
        <v>12740</v>
      </c>
      <c r="G467" s="9" t="n">
        <v>2800</v>
      </c>
      <c r="H467" s="8" t="s">
        <v>11</v>
      </c>
      <c r="I467" s="8" t="s">
        <v>12</v>
      </c>
      <c r="J467" s="5" t="s">
        <v>13</v>
      </c>
      <c r="K467" s="5"/>
      <c r="L467" s="5"/>
    </row>
    <row r="468" customFormat="false" ht="15" hidden="false" customHeight="false" outlineLevel="0" collapsed="false">
      <c r="A468" s="6"/>
      <c r="B468" s="8"/>
      <c r="C468" s="8"/>
      <c r="D468" s="8"/>
      <c r="E468" s="8"/>
      <c r="F468" s="8"/>
      <c r="G468" s="9"/>
      <c r="H468" s="8"/>
      <c r="I468" s="8"/>
      <c r="J468" s="5"/>
      <c r="K468" s="5"/>
      <c r="L468" s="5"/>
    </row>
    <row r="469" customFormat="false" ht="15" hidden="false" customHeight="false" outlineLevel="0" collapsed="false">
      <c r="A469" s="6"/>
      <c r="B469" s="8"/>
      <c r="C469" s="8"/>
      <c r="D469" s="8"/>
      <c r="E469" s="8"/>
      <c r="F469" s="8"/>
      <c r="G469" s="9"/>
      <c r="H469" s="8"/>
      <c r="I469" s="8"/>
      <c r="J469" s="5"/>
      <c r="K469" s="5"/>
      <c r="L469" s="5"/>
    </row>
    <row r="470" customFormat="false" ht="15" hidden="false" customHeight="false" outlineLevel="0" collapsed="false">
      <c r="A470" s="6"/>
      <c r="B470" s="8"/>
      <c r="C470" s="8"/>
      <c r="D470" s="8"/>
      <c r="E470" s="8"/>
      <c r="F470" s="8"/>
      <c r="G470" s="9"/>
      <c r="H470" s="8"/>
      <c r="I470" s="8"/>
      <c r="J470" s="5"/>
      <c r="K470" s="5"/>
      <c r="L470" s="5"/>
    </row>
    <row r="471" customFormat="false" ht="15" hidden="false" customHeight="false" outlineLevel="0" collapsed="false">
      <c r="A471" s="6"/>
      <c r="B471" s="8"/>
      <c r="C471" s="8"/>
      <c r="D471" s="8"/>
      <c r="E471" s="8"/>
      <c r="F471" s="8"/>
      <c r="G471" s="9"/>
      <c r="H471" s="8"/>
      <c r="I471" s="8"/>
      <c r="J471" s="5"/>
      <c r="K471" s="5"/>
      <c r="L471" s="5"/>
    </row>
    <row r="472" customFormat="false" ht="15" hidden="false" customHeight="false" outlineLevel="0" collapsed="false">
      <c r="A472" s="6"/>
      <c r="B472" s="8"/>
      <c r="C472" s="8"/>
      <c r="D472" s="8"/>
      <c r="E472" s="8"/>
      <c r="F472" s="8"/>
      <c r="G472" s="9"/>
      <c r="H472" s="8"/>
      <c r="I472" s="8"/>
      <c r="J472" s="5"/>
      <c r="K472" s="5"/>
      <c r="L472" s="5"/>
    </row>
    <row r="473" customFormat="false" ht="15" hidden="false" customHeight="false" outlineLevel="0" collapsed="false">
      <c r="A473" s="6"/>
      <c r="B473" s="8"/>
      <c r="C473" s="8"/>
      <c r="D473" s="8"/>
      <c r="E473" s="8"/>
      <c r="F473" s="8"/>
      <c r="G473" s="9"/>
      <c r="H473" s="8"/>
      <c r="I473" s="8"/>
      <c r="J473" s="5"/>
      <c r="K473" s="5"/>
      <c r="L473" s="5"/>
    </row>
    <row r="474" customFormat="false" ht="15" hidden="false" customHeight="false" outlineLevel="0" collapsed="false">
      <c r="A474" s="6"/>
      <c r="B474" s="8"/>
      <c r="C474" s="8"/>
      <c r="D474" s="8"/>
      <c r="E474" s="8"/>
      <c r="F474" s="8"/>
      <c r="G474" s="9"/>
      <c r="H474" s="8"/>
      <c r="I474" s="8"/>
      <c r="J474" s="5"/>
      <c r="K474" s="5"/>
      <c r="L474" s="5"/>
    </row>
    <row r="475" customFormat="false" ht="15" hidden="false" customHeight="false" outlineLevel="0" collapsed="false">
      <c r="A475" s="6"/>
      <c r="B475" s="8"/>
      <c r="C475" s="8"/>
      <c r="D475" s="8"/>
      <c r="E475" s="8"/>
      <c r="F475" s="8"/>
      <c r="G475" s="9"/>
      <c r="H475" s="8"/>
      <c r="I475" s="8"/>
      <c r="J475" s="5"/>
      <c r="K475" s="5"/>
      <c r="L475" s="5"/>
    </row>
    <row r="476" customFormat="false" ht="15" hidden="false" customHeight="false" outlineLevel="0" collapsed="false">
      <c r="A476" s="6"/>
      <c r="B476" s="8"/>
      <c r="C476" s="8"/>
      <c r="D476" s="8"/>
      <c r="E476" s="8"/>
      <c r="F476" s="8"/>
      <c r="G476" s="9"/>
      <c r="H476" s="8"/>
      <c r="I476" s="8"/>
      <c r="J476" s="5"/>
      <c r="K476" s="5"/>
      <c r="L476" s="5"/>
    </row>
    <row r="477" customFormat="false" ht="15" hidden="false" customHeight="false" outlineLevel="0" collapsed="false">
      <c r="A477" s="6"/>
      <c r="B477" s="8"/>
      <c r="C477" s="8"/>
      <c r="D477" s="8"/>
      <c r="E477" s="8"/>
      <c r="F477" s="8"/>
      <c r="G477" s="9"/>
      <c r="H477" s="8"/>
      <c r="I477" s="8"/>
      <c r="J477" s="5"/>
      <c r="K477" s="5"/>
      <c r="L477" s="5"/>
    </row>
    <row r="478" customFormat="false" ht="15" hidden="false" customHeight="false" outlineLevel="0" collapsed="false">
      <c r="A478" s="6"/>
      <c r="B478" s="8"/>
      <c r="C478" s="8"/>
      <c r="D478" s="8"/>
      <c r="E478" s="8"/>
      <c r="F478" s="8"/>
      <c r="G478" s="9"/>
      <c r="H478" s="8"/>
      <c r="I478" s="8"/>
      <c r="J478" s="5"/>
      <c r="K478" s="5"/>
      <c r="L478" s="5"/>
    </row>
    <row r="479" customFormat="false" ht="15" hidden="false" customHeight="false" outlineLevel="0" collapsed="false">
      <c r="A479" s="6"/>
      <c r="B479" s="8"/>
      <c r="C479" s="8"/>
      <c r="D479" s="8"/>
      <c r="E479" s="8"/>
      <c r="F479" s="8"/>
      <c r="G479" s="9"/>
      <c r="H479" s="8"/>
      <c r="I479" s="8"/>
      <c r="J479" s="5"/>
      <c r="K479" s="5"/>
      <c r="L479" s="5"/>
    </row>
    <row r="480" customFormat="false" ht="15" hidden="false" customHeight="false" outlineLevel="0" collapsed="false">
      <c r="A480" s="6"/>
      <c r="B480" s="8"/>
      <c r="C480" s="8"/>
      <c r="D480" s="8"/>
      <c r="E480" s="8"/>
      <c r="F480" s="8"/>
      <c r="G480" s="9"/>
      <c r="H480" s="8"/>
      <c r="I480" s="8"/>
      <c r="J480" s="5"/>
      <c r="K480" s="5"/>
      <c r="L480" s="5"/>
    </row>
    <row r="481" customFormat="false" ht="15" hidden="false" customHeight="false" outlineLevel="0" collapsed="false">
      <c r="A481" s="6"/>
      <c r="B481" s="8"/>
      <c r="C481" s="8"/>
      <c r="D481" s="8"/>
      <c r="E481" s="8"/>
      <c r="F481" s="8"/>
      <c r="G481" s="9"/>
      <c r="H481" s="8"/>
      <c r="I481" s="8"/>
      <c r="J481" s="5"/>
      <c r="K481" s="5"/>
      <c r="L481" s="5"/>
    </row>
    <row r="482" customFormat="false" ht="15" hidden="false" customHeight="false" outlineLevel="0" collapsed="false">
      <c r="A482" s="6"/>
      <c r="B482" s="8"/>
      <c r="C482" s="8"/>
      <c r="D482" s="8"/>
      <c r="E482" s="8"/>
      <c r="F482" s="8"/>
      <c r="G482" s="9"/>
      <c r="H482" s="8"/>
      <c r="I482" s="8"/>
      <c r="J482" s="5"/>
      <c r="K482" s="5"/>
      <c r="L482" s="5"/>
    </row>
    <row r="483" customFormat="false" ht="15" hidden="false" customHeight="false" outlineLevel="0" collapsed="false">
      <c r="A483" s="6"/>
      <c r="B483" s="8"/>
      <c r="C483" s="8"/>
      <c r="D483" s="8"/>
      <c r="E483" s="8"/>
      <c r="F483" s="8"/>
      <c r="G483" s="9"/>
      <c r="H483" s="8"/>
      <c r="I483" s="8"/>
      <c r="J483" s="5"/>
      <c r="K483" s="5"/>
      <c r="L483" s="5"/>
    </row>
    <row r="484" customFormat="false" ht="15" hidden="false" customHeight="false" outlineLevel="0" collapsed="false">
      <c r="A484" s="6"/>
      <c r="B484" s="8"/>
      <c r="C484" s="8"/>
      <c r="D484" s="8"/>
      <c r="E484" s="8"/>
      <c r="F484" s="8"/>
      <c r="G484" s="9"/>
      <c r="H484" s="8"/>
      <c r="I484" s="8"/>
      <c r="J484" s="5"/>
      <c r="K484" s="5"/>
      <c r="L484" s="5"/>
    </row>
    <row r="485" customFormat="false" ht="15" hidden="false" customHeight="false" outlineLevel="0" collapsed="false">
      <c r="A485" s="6"/>
      <c r="B485" s="8"/>
      <c r="C485" s="8"/>
      <c r="D485" s="8"/>
      <c r="E485" s="8"/>
      <c r="F485" s="8"/>
      <c r="G485" s="9"/>
      <c r="H485" s="8"/>
      <c r="I485" s="8"/>
      <c r="J485" s="5"/>
      <c r="K485" s="5"/>
      <c r="L485" s="5"/>
    </row>
    <row r="486" customFormat="false" ht="15" hidden="false" customHeight="false" outlineLevel="0" collapsed="false">
      <c r="A486" s="6"/>
      <c r="B486" s="8"/>
      <c r="C486" s="8"/>
      <c r="D486" s="8"/>
      <c r="E486" s="8"/>
      <c r="F486" s="8"/>
      <c r="G486" s="9"/>
      <c r="H486" s="8"/>
      <c r="I486" s="8"/>
      <c r="J486" s="5"/>
      <c r="K486" s="5"/>
      <c r="L486" s="5"/>
    </row>
    <row r="487" customFormat="false" ht="15" hidden="false" customHeight="false" outlineLevel="0" collapsed="false">
      <c r="A487" s="6"/>
      <c r="B487" s="8"/>
      <c r="C487" s="8"/>
      <c r="D487" s="8"/>
      <c r="E487" s="8"/>
      <c r="F487" s="8"/>
      <c r="G487" s="9"/>
      <c r="H487" s="8"/>
      <c r="I487" s="8"/>
      <c r="J487" s="5"/>
      <c r="K487" s="5"/>
      <c r="L487" s="5"/>
    </row>
    <row r="488" customFormat="false" ht="15" hidden="false" customHeight="false" outlineLevel="0" collapsed="false">
      <c r="A488" s="6"/>
      <c r="B488" s="8"/>
      <c r="C488" s="8"/>
      <c r="D488" s="8"/>
      <c r="E488" s="8"/>
      <c r="F488" s="8"/>
      <c r="G488" s="9"/>
      <c r="H488" s="8"/>
      <c r="I488" s="8"/>
      <c r="J488" s="5"/>
      <c r="K488" s="5"/>
      <c r="L488" s="5"/>
    </row>
    <row r="489" customFormat="false" ht="15" hidden="false" customHeight="false" outlineLevel="0" collapsed="false">
      <c r="A489" s="6"/>
      <c r="B489" s="8"/>
      <c r="C489" s="8"/>
      <c r="D489" s="8"/>
      <c r="E489" s="8"/>
      <c r="F489" s="8"/>
      <c r="G489" s="9"/>
      <c r="H489" s="8"/>
      <c r="I489" s="8"/>
      <c r="J489" s="5"/>
      <c r="K489" s="5"/>
      <c r="L489" s="5"/>
    </row>
    <row r="490" customFormat="false" ht="15" hidden="false" customHeight="false" outlineLevel="0" collapsed="false">
      <c r="A490" s="6"/>
      <c r="B490" s="8"/>
      <c r="C490" s="8"/>
      <c r="D490" s="8"/>
      <c r="E490" s="8"/>
      <c r="F490" s="8"/>
      <c r="G490" s="9"/>
      <c r="H490" s="8"/>
      <c r="I490" s="8"/>
      <c r="J490" s="5"/>
      <c r="K490" s="5"/>
      <c r="L490" s="5"/>
    </row>
    <row r="491" customFormat="false" ht="15" hidden="false" customHeight="false" outlineLevel="0" collapsed="false">
      <c r="A491" s="6"/>
      <c r="B491" s="8"/>
      <c r="C491" s="8"/>
      <c r="D491" s="8"/>
      <c r="E491" s="8"/>
      <c r="F491" s="8"/>
      <c r="G491" s="9"/>
      <c r="H491" s="8"/>
      <c r="I491" s="8"/>
      <c r="J491" s="5"/>
      <c r="K491" s="5"/>
      <c r="L491" s="5"/>
    </row>
    <row r="492" customFormat="false" ht="15" hidden="false" customHeight="false" outlineLevel="0" collapsed="false">
      <c r="A492" s="6"/>
      <c r="B492" s="8"/>
      <c r="C492" s="8"/>
      <c r="D492" s="8"/>
      <c r="E492" s="8"/>
      <c r="F492" s="8"/>
      <c r="G492" s="9"/>
      <c r="H492" s="8"/>
      <c r="I492" s="8"/>
      <c r="J492" s="5"/>
      <c r="K492" s="5"/>
      <c r="L492" s="5"/>
    </row>
    <row r="493" customFormat="false" ht="15" hidden="false" customHeight="false" outlineLevel="0" collapsed="false">
      <c r="A493" s="6"/>
      <c r="B493" s="8"/>
      <c r="C493" s="8"/>
      <c r="D493" s="8"/>
      <c r="E493" s="8"/>
      <c r="F493" s="8"/>
      <c r="G493" s="9"/>
      <c r="H493" s="8"/>
      <c r="I493" s="8"/>
      <c r="J493" s="5"/>
      <c r="K493" s="5"/>
      <c r="L493" s="5"/>
    </row>
    <row r="494" customFormat="false" ht="15" hidden="false" customHeight="false" outlineLevel="0" collapsed="false">
      <c r="A494" s="6"/>
      <c r="B494" s="8"/>
      <c r="C494" s="8"/>
      <c r="D494" s="8"/>
      <c r="E494" s="8"/>
      <c r="F494" s="8"/>
      <c r="G494" s="9"/>
      <c r="H494" s="8"/>
      <c r="I494" s="8"/>
      <c r="J494" s="5"/>
      <c r="K494" s="5"/>
      <c r="L494" s="5"/>
    </row>
    <row r="495" customFormat="false" ht="15" hidden="false" customHeight="false" outlineLevel="0" collapsed="false">
      <c r="A495" s="6"/>
      <c r="B495" s="8"/>
      <c r="C495" s="8"/>
      <c r="D495" s="8"/>
      <c r="E495" s="8"/>
      <c r="F495" s="8"/>
      <c r="G495" s="9"/>
      <c r="H495" s="8"/>
      <c r="I495" s="8"/>
      <c r="J495" s="5"/>
      <c r="K495" s="5"/>
      <c r="L495" s="5"/>
    </row>
    <row r="496" customFormat="false" ht="15" hidden="false" customHeight="false" outlineLevel="0" collapsed="false">
      <c r="A496" s="6"/>
      <c r="B496" s="8"/>
      <c r="C496" s="8"/>
      <c r="D496" s="8"/>
      <c r="E496" s="8"/>
      <c r="F496" s="8"/>
      <c r="G496" s="9"/>
      <c r="H496" s="8"/>
      <c r="I496" s="8"/>
      <c r="J496" s="5"/>
      <c r="K496" s="5"/>
      <c r="L496" s="5"/>
    </row>
    <row r="497" customFormat="false" ht="15" hidden="false" customHeight="false" outlineLevel="0" collapsed="false">
      <c r="A497" s="6"/>
      <c r="B497" s="8"/>
      <c r="C497" s="8"/>
      <c r="D497" s="8"/>
      <c r="E497" s="8"/>
      <c r="F497" s="8"/>
      <c r="G497" s="9"/>
      <c r="H497" s="8"/>
      <c r="I497" s="8"/>
      <c r="J497" s="5"/>
      <c r="K497" s="5"/>
      <c r="L497" s="5"/>
    </row>
    <row r="498" customFormat="false" ht="15" hidden="false" customHeight="false" outlineLevel="0" collapsed="false">
      <c r="A498" s="6"/>
      <c r="B498" s="8"/>
      <c r="C498" s="8"/>
      <c r="D498" s="8"/>
      <c r="E498" s="8"/>
      <c r="F498" s="8"/>
      <c r="G498" s="9"/>
      <c r="H498" s="8"/>
      <c r="I498" s="8"/>
      <c r="J498" s="5"/>
      <c r="K498" s="5"/>
      <c r="L498" s="5"/>
    </row>
    <row r="499" customFormat="false" ht="15" hidden="false" customHeight="false" outlineLevel="0" collapsed="false">
      <c r="A499" s="6"/>
      <c r="B499" s="8"/>
      <c r="C499" s="8"/>
      <c r="D499" s="8"/>
      <c r="E499" s="8"/>
      <c r="F499" s="8"/>
      <c r="G499" s="9"/>
      <c r="H499" s="8"/>
      <c r="I499" s="8"/>
      <c r="J499" s="5"/>
      <c r="K499" s="5"/>
      <c r="L499" s="5"/>
    </row>
    <row r="500" customFormat="false" ht="15" hidden="false" customHeight="false" outlineLevel="0" collapsed="false">
      <c r="A500" s="6"/>
      <c r="B500" s="8"/>
      <c r="C500" s="8"/>
      <c r="D500" s="8"/>
      <c r="E500" s="8"/>
      <c r="F500" s="8"/>
      <c r="G500" s="9"/>
      <c r="H500" s="8"/>
      <c r="I500" s="8"/>
      <c r="J500" s="5"/>
      <c r="K500" s="5"/>
      <c r="L500" s="5"/>
    </row>
    <row r="501" customFormat="false" ht="15" hidden="false" customHeight="false" outlineLevel="0" collapsed="false">
      <c r="A501" s="6"/>
      <c r="B501" s="8"/>
      <c r="C501" s="8"/>
      <c r="D501" s="8"/>
      <c r="E501" s="8"/>
      <c r="F501" s="8"/>
      <c r="G501" s="9"/>
      <c r="H501" s="8"/>
      <c r="I501" s="8"/>
      <c r="J501" s="5"/>
      <c r="K501" s="5"/>
      <c r="L501" s="5"/>
    </row>
    <row r="502" customFormat="false" ht="15" hidden="false" customHeight="false" outlineLevel="0" collapsed="false">
      <c r="A502" s="6"/>
      <c r="B502" s="8"/>
      <c r="C502" s="8"/>
      <c r="D502" s="8"/>
      <c r="E502" s="8"/>
      <c r="F502" s="8"/>
      <c r="G502" s="9"/>
      <c r="H502" s="8"/>
      <c r="I502" s="8"/>
      <c r="J502" s="5"/>
      <c r="K502" s="5"/>
      <c r="L502" s="5"/>
    </row>
    <row r="503" customFormat="false" ht="15" hidden="false" customHeight="false" outlineLevel="0" collapsed="false">
      <c r="A503" s="6"/>
      <c r="B503" s="8"/>
      <c r="C503" s="8"/>
      <c r="D503" s="8"/>
      <c r="E503" s="8"/>
      <c r="F503" s="8"/>
      <c r="G503" s="9"/>
      <c r="H503" s="8"/>
      <c r="I503" s="8"/>
      <c r="J503" s="5"/>
      <c r="K503" s="5"/>
      <c r="L503" s="5"/>
    </row>
    <row r="504" customFormat="false" ht="15" hidden="false" customHeight="false" outlineLevel="0" collapsed="false">
      <c r="A504" s="6"/>
      <c r="B504" s="8"/>
      <c r="C504" s="8"/>
      <c r="D504" s="8"/>
      <c r="E504" s="8"/>
      <c r="F504" s="8"/>
      <c r="G504" s="9"/>
      <c r="H504" s="8"/>
      <c r="I504" s="8"/>
      <c r="J504" s="5"/>
      <c r="K504" s="5"/>
      <c r="L504" s="5"/>
    </row>
    <row r="505" customFormat="false" ht="15" hidden="false" customHeight="false" outlineLevel="0" collapsed="false">
      <c r="A505" s="6"/>
      <c r="B505" s="8"/>
      <c r="C505" s="8"/>
      <c r="D505" s="8"/>
      <c r="E505" s="8"/>
      <c r="F505" s="8"/>
      <c r="G505" s="9"/>
      <c r="H505" s="8"/>
      <c r="I505" s="8"/>
      <c r="J505" s="5"/>
      <c r="K505" s="5"/>
      <c r="L505" s="5"/>
    </row>
    <row r="506" customFormat="false" ht="15" hidden="false" customHeight="false" outlineLevel="0" collapsed="false">
      <c r="A506" s="6"/>
      <c r="B506" s="8"/>
      <c r="C506" s="8"/>
      <c r="D506" s="8"/>
      <c r="E506" s="8"/>
      <c r="F506" s="8"/>
      <c r="G506" s="9"/>
      <c r="H506" s="8"/>
      <c r="I506" s="8"/>
      <c r="J506" s="5"/>
      <c r="K506" s="5"/>
      <c r="L506" s="5"/>
    </row>
    <row r="507" customFormat="false" ht="15" hidden="false" customHeight="false" outlineLevel="0" collapsed="false">
      <c r="A507" s="6"/>
      <c r="B507" s="8"/>
      <c r="C507" s="8"/>
      <c r="D507" s="8"/>
      <c r="E507" s="8"/>
      <c r="F507" s="8"/>
      <c r="G507" s="9"/>
      <c r="H507" s="8"/>
      <c r="I507" s="8"/>
      <c r="J507" s="5"/>
      <c r="K507" s="5"/>
      <c r="L507" s="5"/>
    </row>
    <row r="508" customFormat="false" ht="15" hidden="false" customHeight="false" outlineLevel="0" collapsed="false">
      <c r="A508" s="6"/>
      <c r="B508" s="8"/>
      <c r="C508" s="8"/>
      <c r="D508" s="8"/>
      <c r="E508" s="8"/>
      <c r="F508" s="8"/>
      <c r="G508" s="9"/>
      <c r="H508" s="8"/>
      <c r="I508" s="8"/>
      <c r="J508" s="5"/>
      <c r="K508" s="5"/>
      <c r="L508" s="5"/>
    </row>
    <row r="509" customFormat="false" ht="15" hidden="false" customHeight="false" outlineLevel="0" collapsed="false">
      <c r="A509" s="6"/>
      <c r="B509" s="8"/>
      <c r="C509" s="8"/>
      <c r="D509" s="8"/>
      <c r="E509" s="8"/>
      <c r="F509" s="8"/>
      <c r="G509" s="9"/>
      <c r="H509" s="8"/>
      <c r="I509" s="8"/>
      <c r="J509" s="5"/>
      <c r="K509" s="5"/>
      <c r="L509" s="5"/>
    </row>
    <row r="510" customFormat="false" ht="15" hidden="false" customHeight="false" outlineLevel="0" collapsed="false">
      <c r="A510" s="6"/>
      <c r="B510" s="8"/>
      <c r="C510" s="8"/>
      <c r="D510" s="8"/>
      <c r="E510" s="8"/>
      <c r="F510" s="8"/>
      <c r="G510" s="9"/>
      <c r="H510" s="8"/>
      <c r="I510" s="8"/>
      <c r="J510" s="5"/>
      <c r="K510" s="5"/>
      <c r="L510" s="5"/>
    </row>
    <row r="511" customFormat="false" ht="15" hidden="false" customHeight="false" outlineLevel="0" collapsed="false">
      <c r="A511" s="6"/>
      <c r="B511" s="8"/>
      <c r="C511" s="8"/>
      <c r="D511" s="8"/>
      <c r="E511" s="8"/>
      <c r="F511" s="8"/>
      <c r="G511" s="9"/>
      <c r="H511" s="8"/>
      <c r="I511" s="8"/>
      <c r="J511" s="5"/>
      <c r="K511" s="5"/>
      <c r="L511" s="5"/>
    </row>
    <row r="512" customFormat="false" ht="15" hidden="false" customHeight="false" outlineLevel="0" collapsed="false">
      <c r="A512" s="6"/>
      <c r="B512" s="8"/>
      <c r="C512" s="8"/>
      <c r="D512" s="8"/>
      <c r="E512" s="8"/>
      <c r="F512" s="8"/>
      <c r="G512" s="9"/>
      <c r="H512" s="8"/>
      <c r="I512" s="8"/>
      <c r="J512" s="5"/>
      <c r="K512" s="5"/>
      <c r="L512" s="5"/>
    </row>
    <row r="513" customFormat="false" ht="15" hidden="false" customHeight="false" outlineLevel="0" collapsed="false">
      <c r="A513" s="6"/>
      <c r="B513" s="8"/>
      <c r="C513" s="8"/>
      <c r="D513" s="8"/>
      <c r="E513" s="8"/>
      <c r="F513" s="8"/>
      <c r="G513" s="9"/>
      <c r="H513" s="8"/>
      <c r="I513" s="8"/>
      <c r="J513" s="5"/>
      <c r="K513" s="5"/>
      <c r="L513" s="5"/>
    </row>
    <row r="514" customFormat="false" ht="15" hidden="false" customHeight="false" outlineLevel="0" collapsed="false">
      <c r="A514" s="6"/>
      <c r="B514" s="8"/>
      <c r="C514" s="8"/>
      <c r="D514" s="8"/>
      <c r="E514" s="8"/>
      <c r="F514" s="8"/>
      <c r="G514" s="9"/>
      <c r="H514" s="8"/>
      <c r="I514" s="8"/>
      <c r="J514" s="5"/>
      <c r="K514" s="5"/>
      <c r="L514" s="5"/>
    </row>
    <row r="515" customFormat="false" ht="15" hidden="false" customHeight="false" outlineLevel="0" collapsed="false">
      <c r="A515" s="6"/>
      <c r="B515" s="8"/>
      <c r="C515" s="8"/>
      <c r="D515" s="8"/>
      <c r="E515" s="8"/>
      <c r="F515" s="8"/>
      <c r="G515" s="9"/>
      <c r="H515" s="8"/>
      <c r="I515" s="8"/>
      <c r="J515" s="5"/>
      <c r="K515" s="5"/>
      <c r="L515" s="5"/>
    </row>
    <row r="516" customFormat="false" ht="15" hidden="false" customHeight="false" outlineLevel="0" collapsed="false">
      <c r="A516" s="6"/>
      <c r="B516" s="8"/>
      <c r="C516" s="8"/>
      <c r="D516" s="8"/>
      <c r="E516" s="8"/>
      <c r="F516" s="8"/>
      <c r="G516" s="9"/>
      <c r="H516" s="8"/>
      <c r="I516" s="8"/>
      <c r="J516" s="5"/>
      <c r="K516" s="5"/>
      <c r="L516" s="5"/>
    </row>
    <row r="517" customFormat="false" ht="15" hidden="false" customHeight="false" outlineLevel="0" collapsed="false">
      <c r="A517" s="6"/>
      <c r="B517" s="8"/>
      <c r="C517" s="8"/>
      <c r="D517" s="8"/>
      <c r="E517" s="8"/>
      <c r="F517" s="8"/>
      <c r="G517" s="9"/>
      <c r="H517" s="8"/>
      <c r="I517" s="8"/>
      <c r="J517" s="5"/>
      <c r="K517" s="5"/>
      <c r="L517" s="5"/>
    </row>
    <row r="518" customFormat="false" ht="15" hidden="false" customHeight="false" outlineLevel="0" collapsed="false">
      <c r="A518" s="6"/>
      <c r="B518" s="8"/>
      <c r="C518" s="8"/>
      <c r="D518" s="8"/>
      <c r="E518" s="8"/>
      <c r="F518" s="8"/>
      <c r="G518" s="9"/>
      <c r="H518" s="8"/>
      <c r="I518" s="8"/>
      <c r="J518" s="5"/>
      <c r="K518" s="5"/>
      <c r="L518" s="5"/>
    </row>
    <row r="519" customFormat="false" ht="15" hidden="false" customHeight="false" outlineLevel="0" collapsed="false">
      <c r="A519" s="6"/>
      <c r="B519" s="8"/>
      <c r="C519" s="8"/>
      <c r="D519" s="8"/>
      <c r="E519" s="8"/>
      <c r="F519" s="8"/>
      <c r="G519" s="9"/>
      <c r="H519" s="8"/>
      <c r="I519" s="8"/>
      <c r="J519" s="5"/>
      <c r="K519" s="5"/>
      <c r="L519" s="5"/>
    </row>
    <row r="520" customFormat="false" ht="15" hidden="false" customHeight="false" outlineLevel="0" collapsed="false">
      <c r="A520" s="6"/>
      <c r="B520" s="8"/>
      <c r="C520" s="8"/>
      <c r="D520" s="8"/>
      <c r="E520" s="8"/>
      <c r="F520" s="8"/>
      <c r="G520" s="9"/>
      <c r="H520" s="8"/>
      <c r="I520" s="8"/>
      <c r="J520" s="5"/>
      <c r="K520" s="5"/>
      <c r="L520" s="5"/>
    </row>
    <row r="521" customFormat="false" ht="15" hidden="false" customHeight="false" outlineLevel="0" collapsed="false">
      <c r="A521" s="6"/>
      <c r="B521" s="8"/>
      <c r="C521" s="8"/>
      <c r="D521" s="8"/>
      <c r="E521" s="8"/>
      <c r="F521" s="8"/>
      <c r="G521" s="9"/>
      <c r="H521" s="8"/>
      <c r="I521" s="8"/>
      <c r="J521" s="5"/>
      <c r="K521" s="5"/>
      <c r="L521" s="5"/>
    </row>
    <row r="522" customFormat="false" ht="15" hidden="false" customHeight="false" outlineLevel="0" collapsed="false">
      <c r="A522" s="6"/>
      <c r="B522" s="8"/>
      <c r="C522" s="8"/>
      <c r="D522" s="8"/>
      <c r="E522" s="8"/>
      <c r="F522" s="8"/>
      <c r="G522" s="9"/>
      <c r="H522" s="8"/>
      <c r="I522" s="8"/>
      <c r="J522" s="5"/>
      <c r="K522" s="5"/>
      <c r="L522" s="5"/>
    </row>
    <row r="523" customFormat="false" ht="15" hidden="false" customHeight="false" outlineLevel="0" collapsed="false">
      <c r="A523" s="6"/>
      <c r="B523" s="8"/>
      <c r="C523" s="8"/>
      <c r="D523" s="8"/>
      <c r="E523" s="8"/>
      <c r="F523" s="8"/>
      <c r="G523" s="9"/>
      <c r="H523" s="8"/>
      <c r="I523" s="8"/>
      <c r="J523" s="5"/>
      <c r="K523" s="5"/>
      <c r="L523" s="5"/>
    </row>
    <row r="524" customFormat="false" ht="15" hidden="false" customHeight="false" outlineLevel="0" collapsed="false">
      <c r="A524" s="6"/>
      <c r="B524" s="8"/>
      <c r="C524" s="8"/>
      <c r="D524" s="8"/>
      <c r="E524" s="8"/>
      <c r="F524" s="8"/>
      <c r="G524" s="9"/>
      <c r="H524" s="8"/>
      <c r="I524" s="8"/>
      <c r="J524" s="5"/>
      <c r="K524" s="5"/>
      <c r="L524" s="5"/>
    </row>
    <row r="525" customFormat="false" ht="15" hidden="false" customHeight="false" outlineLevel="0" collapsed="false">
      <c r="A525" s="6"/>
      <c r="B525" s="8"/>
      <c r="C525" s="8"/>
      <c r="D525" s="8"/>
      <c r="E525" s="8"/>
      <c r="F525" s="8"/>
      <c r="G525" s="9"/>
      <c r="H525" s="8"/>
      <c r="I525" s="8"/>
      <c r="J525" s="5"/>
      <c r="K525" s="5"/>
      <c r="L525" s="5"/>
    </row>
    <row r="526" customFormat="false" ht="15" hidden="false" customHeight="false" outlineLevel="0" collapsed="false">
      <c r="A526" s="6"/>
      <c r="B526" s="8"/>
      <c r="C526" s="8"/>
      <c r="D526" s="8"/>
      <c r="E526" s="8"/>
      <c r="F526" s="8"/>
      <c r="G526" s="9"/>
      <c r="H526" s="8"/>
      <c r="I526" s="8"/>
      <c r="J526" s="5"/>
      <c r="K526" s="5"/>
      <c r="L526" s="5"/>
    </row>
    <row r="527" customFormat="false" ht="15" hidden="false" customHeight="false" outlineLevel="0" collapsed="false">
      <c r="A527" s="6"/>
      <c r="B527" s="8"/>
      <c r="C527" s="8"/>
      <c r="D527" s="8"/>
      <c r="E527" s="8"/>
      <c r="F527" s="8"/>
      <c r="G527" s="9"/>
      <c r="H527" s="8"/>
      <c r="I527" s="8"/>
      <c r="J527" s="5"/>
      <c r="K527" s="5"/>
      <c r="L527" s="5"/>
    </row>
    <row r="528" customFormat="false" ht="15" hidden="false" customHeight="false" outlineLevel="0" collapsed="false">
      <c r="A528" s="6"/>
      <c r="B528" s="8"/>
      <c r="C528" s="8"/>
      <c r="D528" s="8"/>
      <c r="E528" s="8"/>
      <c r="F528" s="8"/>
      <c r="G528" s="9"/>
      <c r="H528" s="8"/>
      <c r="I528" s="8"/>
      <c r="J528" s="5"/>
      <c r="K528" s="5"/>
      <c r="L528" s="5"/>
    </row>
    <row r="529" customFormat="false" ht="15" hidden="false" customHeight="false" outlineLevel="0" collapsed="false">
      <c r="A529" s="6"/>
      <c r="B529" s="8"/>
      <c r="C529" s="8"/>
      <c r="D529" s="8"/>
      <c r="E529" s="8"/>
      <c r="F529" s="8"/>
      <c r="G529" s="9"/>
      <c r="H529" s="8"/>
      <c r="I529" s="8"/>
      <c r="J529" s="5"/>
      <c r="K529" s="5"/>
      <c r="L529" s="5"/>
    </row>
    <row r="530" customFormat="false" ht="15" hidden="false" customHeight="false" outlineLevel="0" collapsed="false">
      <c r="A530" s="6"/>
      <c r="B530" s="8"/>
      <c r="C530" s="8"/>
      <c r="D530" s="8"/>
      <c r="E530" s="8"/>
      <c r="F530" s="8"/>
      <c r="G530" s="9"/>
      <c r="H530" s="8"/>
      <c r="I530" s="8"/>
      <c r="J530" s="5"/>
      <c r="K530" s="5"/>
      <c r="L530" s="5"/>
    </row>
    <row r="531" customFormat="false" ht="15" hidden="false" customHeight="false" outlineLevel="0" collapsed="false">
      <c r="A531" s="6"/>
      <c r="B531" s="8"/>
      <c r="C531" s="8"/>
      <c r="D531" s="8"/>
      <c r="E531" s="8"/>
      <c r="F531" s="8"/>
      <c r="G531" s="9"/>
      <c r="H531" s="8"/>
      <c r="I531" s="8"/>
      <c r="J531" s="5"/>
      <c r="K531" s="5"/>
      <c r="L531" s="5"/>
    </row>
    <row r="532" customFormat="false" ht="15" hidden="false" customHeight="false" outlineLevel="0" collapsed="false">
      <c r="A532" s="6"/>
      <c r="B532" s="8"/>
      <c r="C532" s="8"/>
      <c r="D532" s="8"/>
      <c r="E532" s="8"/>
      <c r="F532" s="8"/>
      <c r="G532" s="9"/>
      <c r="H532" s="8"/>
      <c r="I532" s="8"/>
      <c r="J532" s="5"/>
      <c r="K532" s="5"/>
      <c r="L532" s="5"/>
    </row>
    <row r="533" customFormat="false" ht="15" hidden="false" customHeight="false" outlineLevel="0" collapsed="false">
      <c r="A533" s="6"/>
      <c r="B533" s="8"/>
      <c r="C533" s="8"/>
      <c r="D533" s="8"/>
      <c r="E533" s="8"/>
      <c r="F533" s="8"/>
      <c r="G533" s="9"/>
      <c r="H533" s="8"/>
      <c r="I533" s="8"/>
      <c r="J533" s="5"/>
      <c r="K533" s="5"/>
      <c r="L533" s="5"/>
    </row>
    <row r="534" customFormat="false" ht="15" hidden="false" customHeight="false" outlineLevel="0" collapsed="false">
      <c r="A534" s="6"/>
      <c r="B534" s="8"/>
      <c r="C534" s="8"/>
      <c r="D534" s="8"/>
      <c r="E534" s="8"/>
      <c r="F534" s="8"/>
      <c r="G534" s="9"/>
      <c r="H534" s="8"/>
      <c r="I534" s="8"/>
      <c r="J534" s="5"/>
      <c r="K534" s="5"/>
      <c r="L534" s="5"/>
    </row>
    <row r="535" customFormat="false" ht="15" hidden="false" customHeight="false" outlineLevel="0" collapsed="false">
      <c r="A535" s="6"/>
      <c r="B535" s="8"/>
      <c r="C535" s="8"/>
      <c r="D535" s="8"/>
      <c r="E535" s="8"/>
      <c r="F535" s="8"/>
      <c r="G535" s="9"/>
      <c r="H535" s="8"/>
      <c r="I535" s="8"/>
      <c r="J535" s="5"/>
      <c r="K535" s="5"/>
      <c r="L535" s="5"/>
    </row>
    <row r="536" customFormat="false" ht="15" hidden="false" customHeight="false" outlineLevel="0" collapsed="false">
      <c r="A536" s="6"/>
      <c r="B536" s="8"/>
      <c r="C536" s="8"/>
      <c r="D536" s="8"/>
      <c r="E536" s="8"/>
      <c r="F536" s="8"/>
      <c r="G536" s="9"/>
      <c r="H536" s="8"/>
      <c r="I536" s="8"/>
      <c r="J536" s="5"/>
      <c r="K536" s="5"/>
      <c r="L536" s="5"/>
    </row>
    <row r="537" customFormat="false" ht="15" hidden="false" customHeight="false" outlineLevel="0" collapsed="false">
      <c r="A537" s="6"/>
      <c r="B537" s="8"/>
      <c r="C537" s="8"/>
      <c r="D537" s="8"/>
      <c r="E537" s="8"/>
      <c r="F537" s="8"/>
      <c r="G537" s="9"/>
      <c r="H537" s="8"/>
      <c r="I537" s="8"/>
      <c r="J537" s="5"/>
      <c r="K537" s="5"/>
      <c r="L537" s="5"/>
    </row>
    <row r="538" customFormat="false" ht="15" hidden="false" customHeight="false" outlineLevel="0" collapsed="false">
      <c r="A538" s="6"/>
      <c r="B538" s="8"/>
      <c r="C538" s="8"/>
      <c r="D538" s="8"/>
      <c r="E538" s="8"/>
      <c r="F538" s="8"/>
      <c r="G538" s="9"/>
      <c r="H538" s="8"/>
      <c r="I538" s="8"/>
      <c r="J538" s="5"/>
      <c r="K538" s="5"/>
      <c r="L538" s="5"/>
    </row>
    <row r="539" customFormat="false" ht="15" hidden="false" customHeight="false" outlineLevel="0" collapsed="false">
      <c r="A539" s="6"/>
      <c r="B539" s="8"/>
      <c r="C539" s="8"/>
      <c r="D539" s="8"/>
      <c r="E539" s="8"/>
      <c r="F539" s="8"/>
      <c r="G539" s="9"/>
      <c r="H539" s="8"/>
      <c r="I539" s="8"/>
      <c r="J539" s="5"/>
      <c r="K539" s="5"/>
      <c r="L539" s="5"/>
    </row>
    <row r="540" customFormat="false" ht="15" hidden="false" customHeight="false" outlineLevel="0" collapsed="false">
      <c r="A540" s="6"/>
      <c r="B540" s="8"/>
      <c r="C540" s="8"/>
      <c r="D540" s="8"/>
      <c r="E540" s="8"/>
      <c r="F540" s="8"/>
      <c r="G540" s="9"/>
      <c r="H540" s="8"/>
      <c r="I540" s="8"/>
      <c r="J540" s="5"/>
      <c r="K540" s="5"/>
      <c r="L540" s="5"/>
    </row>
    <row r="541" customFormat="false" ht="15" hidden="false" customHeight="false" outlineLevel="0" collapsed="false">
      <c r="A541" s="6"/>
      <c r="B541" s="8"/>
      <c r="C541" s="8"/>
      <c r="D541" s="8"/>
      <c r="E541" s="8"/>
      <c r="F541" s="8"/>
      <c r="G541" s="9"/>
      <c r="H541" s="8"/>
      <c r="I541" s="8"/>
      <c r="J541" s="5"/>
      <c r="K541" s="5"/>
      <c r="L541" s="5"/>
    </row>
    <row r="542" customFormat="false" ht="15" hidden="false" customHeight="false" outlineLevel="0" collapsed="false">
      <c r="A542" s="6"/>
      <c r="B542" s="8"/>
      <c r="C542" s="8"/>
      <c r="D542" s="8"/>
      <c r="E542" s="8"/>
      <c r="F542" s="8"/>
      <c r="G542" s="9"/>
      <c r="H542" s="8"/>
      <c r="I542" s="8"/>
      <c r="J542" s="5"/>
      <c r="K542" s="5"/>
      <c r="L542" s="5"/>
    </row>
    <row r="543" customFormat="false" ht="15" hidden="false" customHeight="false" outlineLevel="0" collapsed="false">
      <c r="A543" s="6"/>
      <c r="B543" s="8"/>
      <c r="C543" s="8"/>
      <c r="D543" s="8"/>
      <c r="E543" s="8"/>
      <c r="F543" s="8"/>
      <c r="G543" s="9"/>
      <c r="H543" s="8"/>
      <c r="I543" s="8"/>
      <c r="J543" s="5"/>
      <c r="K543" s="5"/>
      <c r="L543" s="5"/>
    </row>
    <row r="544" customFormat="false" ht="15" hidden="false" customHeight="false" outlineLevel="0" collapsed="false">
      <c r="A544" s="6"/>
      <c r="B544" s="8"/>
      <c r="C544" s="8"/>
      <c r="D544" s="8"/>
      <c r="E544" s="8"/>
      <c r="F544" s="8"/>
      <c r="G544" s="9"/>
      <c r="H544" s="8"/>
      <c r="I544" s="8"/>
      <c r="J544" s="5"/>
      <c r="K544" s="5"/>
      <c r="L544" s="5"/>
    </row>
    <row r="545" customFormat="false" ht="15" hidden="false" customHeight="false" outlineLevel="0" collapsed="false">
      <c r="A545" s="6"/>
      <c r="B545" s="8"/>
      <c r="C545" s="8"/>
      <c r="D545" s="8"/>
      <c r="E545" s="8"/>
      <c r="F545" s="8"/>
      <c r="G545" s="9"/>
      <c r="H545" s="8"/>
      <c r="I545" s="8"/>
      <c r="J545" s="5"/>
      <c r="K545" s="5"/>
      <c r="L545" s="5"/>
    </row>
    <row r="546" customFormat="false" ht="15" hidden="false" customHeight="false" outlineLevel="0" collapsed="false">
      <c r="A546" s="6"/>
      <c r="B546" s="8"/>
      <c r="C546" s="8"/>
      <c r="D546" s="8"/>
      <c r="E546" s="8"/>
      <c r="F546" s="8"/>
      <c r="G546" s="9"/>
      <c r="H546" s="8"/>
      <c r="I546" s="8"/>
      <c r="J546" s="5"/>
      <c r="K546" s="5"/>
      <c r="L546" s="5"/>
    </row>
    <row r="547" customFormat="false" ht="15" hidden="false" customHeight="false" outlineLevel="0" collapsed="false">
      <c r="A547" s="6"/>
      <c r="B547" s="8"/>
      <c r="C547" s="8"/>
      <c r="D547" s="8"/>
      <c r="E547" s="8"/>
      <c r="F547" s="8"/>
      <c r="G547" s="9"/>
      <c r="H547" s="8"/>
      <c r="I547" s="8"/>
      <c r="J547" s="5"/>
      <c r="K547" s="5"/>
      <c r="L547" s="5"/>
    </row>
    <row r="548" customFormat="false" ht="15" hidden="false" customHeight="false" outlineLevel="0" collapsed="false">
      <c r="A548" s="6"/>
      <c r="B548" s="8"/>
      <c r="C548" s="8"/>
      <c r="D548" s="8"/>
      <c r="E548" s="8"/>
      <c r="F548" s="8"/>
      <c r="G548" s="9"/>
      <c r="H548" s="8"/>
      <c r="I548" s="8"/>
      <c r="J548" s="5"/>
      <c r="K548" s="5"/>
      <c r="L548" s="5"/>
    </row>
    <row r="549" customFormat="false" ht="15" hidden="false" customHeight="false" outlineLevel="0" collapsed="false">
      <c r="A549" s="6"/>
      <c r="B549" s="8"/>
      <c r="C549" s="8"/>
      <c r="D549" s="8"/>
      <c r="E549" s="8"/>
      <c r="F549" s="8"/>
      <c r="G549" s="9"/>
      <c r="H549" s="8"/>
      <c r="I549" s="8"/>
      <c r="J549" s="5"/>
      <c r="K549" s="5"/>
      <c r="L549" s="5"/>
    </row>
    <row r="550" customFormat="false" ht="15" hidden="false" customHeight="false" outlineLevel="0" collapsed="false">
      <c r="A550" s="6"/>
      <c r="B550" s="8"/>
      <c r="C550" s="8"/>
      <c r="D550" s="8"/>
      <c r="E550" s="8"/>
      <c r="F550" s="8"/>
      <c r="G550" s="9"/>
      <c r="H550" s="8"/>
      <c r="I550" s="8"/>
      <c r="J550" s="5"/>
      <c r="K550" s="5"/>
      <c r="L550" s="5"/>
    </row>
    <row r="551" customFormat="false" ht="15" hidden="false" customHeight="false" outlineLevel="0" collapsed="false">
      <c r="A551" s="6"/>
      <c r="B551" s="8"/>
      <c r="C551" s="8"/>
      <c r="D551" s="8"/>
      <c r="E551" s="8"/>
      <c r="F551" s="8"/>
      <c r="G551" s="9"/>
      <c r="H551" s="8"/>
      <c r="I551" s="8"/>
      <c r="J551" s="5"/>
      <c r="K551" s="5"/>
      <c r="L551" s="5"/>
    </row>
    <row r="552" customFormat="false" ht="15" hidden="false" customHeight="false" outlineLevel="0" collapsed="false">
      <c r="A552" s="6"/>
      <c r="B552" s="8"/>
      <c r="C552" s="8"/>
      <c r="D552" s="8"/>
      <c r="E552" s="8"/>
      <c r="F552" s="8"/>
      <c r="G552" s="9"/>
      <c r="H552" s="8"/>
      <c r="I552" s="8"/>
      <c r="J552" s="5"/>
      <c r="K552" s="5"/>
      <c r="L552" s="5"/>
    </row>
    <row r="553" customFormat="false" ht="15" hidden="false" customHeight="false" outlineLevel="0" collapsed="false">
      <c r="A553" s="6"/>
      <c r="B553" s="8"/>
      <c r="C553" s="8"/>
      <c r="D553" s="8"/>
      <c r="E553" s="8"/>
      <c r="F553" s="8"/>
      <c r="G553" s="9"/>
      <c r="H553" s="8"/>
      <c r="I553" s="8"/>
      <c r="J553" s="5"/>
      <c r="K553" s="5"/>
      <c r="L553" s="5"/>
    </row>
    <row r="554" customFormat="false" ht="15" hidden="false" customHeight="false" outlineLevel="0" collapsed="false">
      <c r="A554" s="6"/>
      <c r="B554" s="8"/>
      <c r="C554" s="8"/>
      <c r="D554" s="8"/>
      <c r="E554" s="8"/>
      <c r="F554" s="8"/>
      <c r="G554" s="9"/>
      <c r="H554" s="8"/>
      <c r="I554" s="8"/>
      <c r="J554" s="5"/>
      <c r="K554" s="5"/>
      <c r="L554" s="5"/>
    </row>
    <row r="555" customFormat="false" ht="15" hidden="false" customHeight="false" outlineLevel="0" collapsed="false">
      <c r="A555" s="6"/>
      <c r="B555" s="8"/>
      <c r="C555" s="8"/>
      <c r="D555" s="8"/>
      <c r="E555" s="8"/>
      <c r="F555" s="8"/>
      <c r="G555" s="9"/>
      <c r="H555" s="8"/>
      <c r="I555" s="8"/>
      <c r="J555" s="5"/>
      <c r="K555" s="5"/>
      <c r="L555" s="5"/>
    </row>
    <row r="556" customFormat="false" ht="15" hidden="false" customHeight="false" outlineLevel="0" collapsed="false">
      <c r="A556" s="6"/>
      <c r="B556" s="8"/>
      <c r="C556" s="8"/>
      <c r="D556" s="8"/>
      <c r="E556" s="8"/>
      <c r="F556" s="8"/>
      <c r="G556" s="9"/>
      <c r="H556" s="8"/>
      <c r="I556" s="8"/>
      <c r="J556" s="5"/>
      <c r="K556" s="5"/>
      <c r="L556" s="5"/>
    </row>
    <row r="557" customFormat="false" ht="15" hidden="false" customHeight="false" outlineLevel="0" collapsed="false">
      <c r="A557" s="6"/>
      <c r="B557" s="8"/>
      <c r="C557" s="8"/>
      <c r="D557" s="8"/>
      <c r="E557" s="8"/>
      <c r="F557" s="8"/>
      <c r="G557" s="9"/>
      <c r="H557" s="8"/>
      <c r="I557" s="8"/>
      <c r="J557" s="5"/>
      <c r="K557" s="5"/>
      <c r="L557" s="5"/>
    </row>
    <row r="558" customFormat="false" ht="15" hidden="false" customHeight="false" outlineLevel="0" collapsed="false">
      <c r="A558" s="6"/>
      <c r="B558" s="8"/>
      <c r="C558" s="8"/>
      <c r="D558" s="8"/>
      <c r="E558" s="8"/>
      <c r="F558" s="8"/>
      <c r="G558" s="9"/>
      <c r="H558" s="8"/>
      <c r="I558" s="8"/>
      <c r="J558" s="5"/>
      <c r="K558" s="5"/>
      <c r="L558" s="5"/>
    </row>
    <row r="559" customFormat="false" ht="15" hidden="false" customHeight="false" outlineLevel="0" collapsed="false">
      <c r="A559" s="6"/>
      <c r="B559" s="8"/>
      <c r="C559" s="8"/>
      <c r="D559" s="8"/>
      <c r="E559" s="8"/>
      <c r="F559" s="8"/>
      <c r="G559" s="9"/>
      <c r="H559" s="8"/>
      <c r="I559" s="8"/>
      <c r="J559" s="5"/>
      <c r="K559" s="5"/>
      <c r="L559" s="5"/>
    </row>
    <row r="560" customFormat="false" ht="15" hidden="false" customHeight="false" outlineLevel="0" collapsed="false">
      <c r="A560" s="6"/>
      <c r="B560" s="8"/>
      <c r="C560" s="8"/>
      <c r="D560" s="8"/>
      <c r="E560" s="8"/>
      <c r="F560" s="8"/>
      <c r="G560" s="9"/>
      <c r="H560" s="8"/>
      <c r="I560" s="8"/>
      <c r="J560" s="5"/>
      <c r="K560" s="5"/>
      <c r="L560" s="5"/>
    </row>
    <row r="561" customFormat="false" ht="15" hidden="false" customHeight="false" outlineLevel="0" collapsed="false">
      <c r="A561" s="6"/>
      <c r="B561" s="8"/>
      <c r="C561" s="8"/>
      <c r="D561" s="8"/>
      <c r="E561" s="8"/>
      <c r="F561" s="8"/>
      <c r="G561" s="9"/>
      <c r="H561" s="8"/>
      <c r="I561" s="8"/>
      <c r="J561" s="5"/>
      <c r="K561" s="5"/>
      <c r="L561" s="5"/>
    </row>
    <row r="562" customFormat="false" ht="15" hidden="false" customHeight="false" outlineLevel="0" collapsed="false">
      <c r="A562" s="6"/>
      <c r="B562" s="8"/>
      <c r="C562" s="8"/>
      <c r="D562" s="8"/>
      <c r="E562" s="8"/>
      <c r="F562" s="8"/>
      <c r="G562" s="9"/>
      <c r="H562" s="8"/>
      <c r="I562" s="8"/>
      <c r="J562" s="5"/>
      <c r="K562" s="5"/>
      <c r="L562" s="5"/>
    </row>
    <row r="563" customFormat="false" ht="15" hidden="false" customHeight="false" outlineLevel="0" collapsed="false">
      <c r="A563" s="6"/>
      <c r="B563" s="8"/>
      <c r="C563" s="8"/>
      <c r="D563" s="8"/>
      <c r="E563" s="8"/>
      <c r="F563" s="8"/>
      <c r="G563" s="9"/>
      <c r="H563" s="8"/>
      <c r="I563" s="8"/>
      <c r="J563" s="5"/>
      <c r="K563" s="5"/>
      <c r="L563" s="5"/>
    </row>
    <row r="564" customFormat="false" ht="15" hidden="false" customHeight="false" outlineLevel="0" collapsed="false">
      <c r="A564" s="6"/>
      <c r="B564" s="8"/>
      <c r="C564" s="8"/>
      <c r="D564" s="8"/>
      <c r="E564" s="8"/>
      <c r="F564" s="8"/>
      <c r="G564" s="9"/>
      <c r="H564" s="8"/>
      <c r="I564" s="8"/>
      <c r="J564" s="5"/>
      <c r="K564" s="5"/>
      <c r="L564" s="5"/>
    </row>
    <row r="565" customFormat="false" ht="15" hidden="false" customHeight="false" outlineLevel="0" collapsed="false">
      <c r="A565" s="6"/>
      <c r="B565" s="8"/>
      <c r="C565" s="8"/>
      <c r="D565" s="8"/>
      <c r="E565" s="8"/>
      <c r="F565" s="8"/>
      <c r="G565" s="9"/>
      <c r="H565" s="8"/>
      <c r="I565" s="8"/>
      <c r="J565" s="5"/>
      <c r="K565" s="5"/>
      <c r="L565" s="5"/>
    </row>
    <row r="566" customFormat="false" ht="15" hidden="false" customHeight="false" outlineLevel="0" collapsed="false">
      <c r="A566" s="6"/>
      <c r="B566" s="8"/>
      <c r="C566" s="8"/>
      <c r="D566" s="8"/>
      <c r="E566" s="8"/>
      <c r="F566" s="8"/>
      <c r="G566" s="9"/>
      <c r="H566" s="8"/>
      <c r="I566" s="8"/>
      <c r="J566" s="5"/>
      <c r="K566" s="5"/>
      <c r="L566" s="5"/>
    </row>
    <row r="567" customFormat="false" ht="15" hidden="false" customHeight="false" outlineLevel="0" collapsed="false">
      <c r="A567" s="6"/>
      <c r="B567" s="8"/>
      <c r="C567" s="8"/>
      <c r="D567" s="8"/>
      <c r="E567" s="8"/>
      <c r="F567" s="8"/>
      <c r="G567" s="9"/>
      <c r="H567" s="8"/>
      <c r="I567" s="8"/>
      <c r="J567" s="5"/>
      <c r="K567" s="5"/>
      <c r="L567" s="5"/>
    </row>
    <row r="568" customFormat="false" ht="15" hidden="false" customHeight="false" outlineLevel="0" collapsed="false">
      <c r="A568" s="6"/>
      <c r="B568" s="8"/>
      <c r="C568" s="8"/>
      <c r="D568" s="8"/>
      <c r="E568" s="8"/>
      <c r="F568" s="8"/>
      <c r="G568" s="9"/>
      <c r="H568" s="8"/>
      <c r="I568" s="8"/>
      <c r="J568" s="5"/>
      <c r="K568" s="5"/>
      <c r="L568" s="5"/>
    </row>
    <row r="569" customFormat="false" ht="15" hidden="false" customHeight="false" outlineLevel="0" collapsed="false">
      <c r="A569" s="6"/>
      <c r="B569" s="8"/>
      <c r="C569" s="8"/>
      <c r="D569" s="8"/>
      <c r="E569" s="8"/>
      <c r="F569" s="8"/>
      <c r="G569" s="9"/>
      <c r="H569" s="8"/>
      <c r="I569" s="8"/>
      <c r="J569" s="5"/>
      <c r="K569" s="5"/>
      <c r="L569" s="5"/>
    </row>
    <row r="570" customFormat="false" ht="15" hidden="false" customHeight="false" outlineLevel="0" collapsed="false">
      <c r="A570" s="6"/>
      <c r="B570" s="8"/>
      <c r="C570" s="8"/>
      <c r="D570" s="8"/>
      <c r="E570" s="8"/>
      <c r="F570" s="8"/>
      <c r="G570" s="9"/>
      <c r="H570" s="8"/>
      <c r="I570" s="8"/>
      <c r="J570" s="5"/>
      <c r="K570" s="5"/>
      <c r="L570" s="5"/>
    </row>
    <row r="571" customFormat="false" ht="15" hidden="false" customHeight="false" outlineLevel="0" collapsed="false">
      <c r="A571" s="6"/>
      <c r="B571" s="8"/>
      <c r="C571" s="8"/>
      <c r="D571" s="8"/>
      <c r="E571" s="8"/>
      <c r="F571" s="8"/>
      <c r="G571" s="9"/>
      <c r="H571" s="8"/>
      <c r="I571" s="8"/>
      <c r="J571" s="5"/>
      <c r="K571" s="5"/>
      <c r="L571" s="5"/>
    </row>
    <row r="572" customFormat="false" ht="15" hidden="false" customHeight="false" outlineLevel="0" collapsed="false">
      <c r="A572" s="6"/>
      <c r="B572" s="8"/>
      <c r="C572" s="8"/>
      <c r="D572" s="8"/>
      <c r="E572" s="8"/>
      <c r="F572" s="8"/>
      <c r="G572" s="9"/>
      <c r="H572" s="8"/>
      <c r="I572" s="8"/>
      <c r="J572" s="5"/>
      <c r="K572" s="5"/>
      <c r="L572" s="5"/>
    </row>
    <row r="573" customFormat="false" ht="15" hidden="false" customHeight="false" outlineLevel="0" collapsed="false">
      <c r="A573" s="6"/>
      <c r="B573" s="8"/>
      <c r="C573" s="8"/>
      <c r="D573" s="8"/>
      <c r="E573" s="8"/>
      <c r="F573" s="8"/>
      <c r="G573" s="9"/>
      <c r="H573" s="8"/>
      <c r="I573" s="8"/>
      <c r="J573" s="5"/>
      <c r="K573" s="5"/>
      <c r="L573" s="5"/>
    </row>
    <row r="574" customFormat="false" ht="15" hidden="false" customHeight="false" outlineLevel="0" collapsed="false">
      <c r="A574" s="6"/>
      <c r="B574" s="8"/>
      <c r="C574" s="8"/>
      <c r="D574" s="8"/>
      <c r="E574" s="8"/>
      <c r="F574" s="8"/>
      <c r="G574" s="9"/>
      <c r="H574" s="8"/>
      <c r="I574" s="8"/>
      <c r="J574" s="5"/>
      <c r="K574" s="5"/>
      <c r="L574" s="5"/>
    </row>
    <row r="575" customFormat="false" ht="15" hidden="false" customHeight="false" outlineLevel="0" collapsed="false">
      <c r="A575" s="6"/>
      <c r="B575" s="8"/>
      <c r="C575" s="8"/>
      <c r="D575" s="8"/>
      <c r="E575" s="8"/>
      <c r="F575" s="8"/>
      <c r="G575" s="9"/>
      <c r="H575" s="8"/>
      <c r="I575" s="8"/>
      <c r="J575" s="5"/>
      <c r="K575" s="5"/>
      <c r="L575" s="5"/>
    </row>
    <row r="576" customFormat="false" ht="15" hidden="false" customHeight="false" outlineLevel="0" collapsed="false">
      <c r="A576" s="6"/>
      <c r="B576" s="8"/>
      <c r="C576" s="8"/>
      <c r="D576" s="8"/>
      <c r="E576" s="8"/>
      <c r="F576" s="8"/>
      <c r="G576" s="9"/>
      <c r="H576" s="8"/>
      <c r="I576" s="8"/>
      <c r="J576" s="5"/>
      <c r="K576" s="5"/>
      <c r="L576" s="5"/>
    </row>
    <row r="577" customFormat="false" ht="15" hidden="false" customHeight="false" outlineLevel="0" collapsed="false">
      <c r="A577" s="6"/>
      <c r="B577" s="8"/>
      <c r="C577" s="8"/>
      <c r="D577" s="8"/>
      <c r="E577" s="8"/>
      <c r="F577" s="8"/>
      <c r="G577" s="9"/>
      <c r="H577" s="8"/>
      <c r="I577" s="8"/>
      <c r="J577" s="5"/>
      <c r="K577" s="5"/>
      <c r="L577" s="5"/>
    </row>
    <row r="578" customFormat="false" ht="15" hidden="false" customHeight="false" outlineLevel="0" collapsed="false">
      <c r="A578" s="6"/>
      <c r="B578" s="8"/>
      <c r="C578" s="8"/>
      <c r="D578" s="8"/>
      <c r="E578" s="8"/>
      <c r="F578" s="8"/>
      <c r="G578" s="9"/>
      <c r="H578" s="8"/>
      <c r="I578" s="8"/>
      <c r="J578" s="5"/>
      <c r="K578" s="5"/>
      <c r="L578" s="5"/>
    </row>
    <row r="579" customFormat="false" ht="15" hidden="false" customHeight="false" outlineLevel="0" collapsed="false">
      <c r="A579" s="6"/>
      <c r="B579" s="8"/>
      <c r="C579" s="8"/>
      <c r="D579" s="8"/>
      <c r="E579" s="8"/>
      <c r="F579" s="8"/>
      <c r="G579" s="9"/>
      <c r="H579" s="8"/>
      <c r="I579" s="8"/>
      <c r="J579" s="5"/>
      <c r="K579" s="5"/>
      <c r="L579" s="5"/>
    </row>
    <row r="580" customFormat="false" ht="15" hidden="false" customHeight="false" outlineLevel="0" collapsed="false">
      <c r="A580" s="6"/>
      <c r="B580" s="8"/>
      <c r="C580" s="8"/>
      <c r="D580" s="8"/>
      <c r="E580" s="8"/>
      <c r="F580" s="8"/>
      <c r="G580" s="9"/>
      <c r="H580" s="8"/>
      <c r="I580" s="8"/>
      <c r="J580" s="5"/>
      <c r="K580" s="5"/>
      <c r="L580" s="5"/>
    </row>
    <row r="581" customFormat="false" ht="15" hidden="false" customHeight="false" outlineLevel="0" collapsed="false">
      <c r="A581" s="6"/>
      <c r="B581" s="8"/>
      <c r="C581" s="8"/>
      <c r="D581" s="8"/>
      <c r="E581" s="8"/>
      <c r="F581" s="8"/>
      <c r="G581" s="9"/>
      <c r="H581" s="8"/>
      <c r="I581" s="8"/>
      <c r="J581" s="5"/>
      <c r="K581" s="5"/>
      <c r="L581" s="5"/>
    </row>
    <row r="582" customFormat="false" ht="15" hidden="false" customHeight="false" outlineLevel="0" collapsed="false">
      <c r="A582" s="6"/>
      <c r="B582" s="8"/>
      <c r="C582" s="8"/>
      <c r="D582" s="8"/>
      <c r="E582" s="8"/>
      <c r="F582" s="8"/>
      <c r="G582" s="9"/>
      <c r="H582" s="8"/>
      <c r="I582" s="8"/>
      <c r="J582" s="5"/>
      <c r="K582" s="5"/>
      <c r="L582" s="5"/>
    </row>
    <row r="583" customFormat="false" ht="15" hidden="false" customHeight="false" outlineLevel="0" collapsed="false">
      <c r="A583" s="6"/>
      <c r="B583" s="8"/>
      <c r="C583" s="8"/>
      <c r="D583" s="8"/>
      <c r="E583" s="8"/>
      <c r="F583" s="8"/>
      <c r="G583" s="9"/>
      <c r="H583" s="8"/>
      <c r="I583" s="8"/>
      <c r="J583" s="5"/>
      <c r="K583" s="5"/>
      <c r="L583" s="5"/>
    </row>
    <row r="584" customFormat="false" ht="15" hidden="false" customHeight="false" outlineLevel="0" collapsed="false">
      <c r="A584" s="6"/>
      <c r="B584" s="8"/>
      <c r="C584" s="8"/>
      <c r="D584" s="8"/>
      <c r="E584" s="8"/>
      <c r="F584" s="8"/>
      <c r="G584" s="9"/>
      <c r="H584" s="8"/>
      <c r="I584" s="8"/>
      <c r="J584" s="5"/>
      <c r="K584" s="5"/>
      <c r="L584" s="5"/>
    </row>
    <row r="585" customFormat="false" ht="15" hidden="false" customHeight="false" outlineLevel="0" collapsed="false">
      <c r="A585" s="6"/>
      <c r="B585" s="8"/>
      <c r="C585" s="8"/>
      <c r="D585" s="8"/>
      <c r="E585" s="8"/>
      <c r="F585" s="8"/>
      <c r="G585" s="9"/>
      <c r="H585" s="8"/>
      <c r="I585" s="8"/>
      <c r="J585" s="5"/>
      <c r="K585" s="5"/>
      <c r="L585" s="5"/>
    </row>
    <row r="586" customFormat="false" ht="15" hidden="false" customHeight="false" outlineLevel="0" collapsed="false">
      <c r="A586" s="6"/>
      <c r="B586" s="8"/>
      <c r="C586" s="8"/>
      <c r="D586" s="8"/>
      <c r="E586" s="8"/>
      <c r="F586" s="8"/>
      <c r="G586" s="9"/>
      <c r="H586" s="8"/>
      <c r="I586" s="8"/>
      <c r="J586" s="5"/>
      <c r="K586" s="5"/>
      <c r="L586" s="5"/>
    </row>
    <row r="587" customFormat="false" ht="15" hidden="false" customHeight="false" outlineLevel="0" collapsed="false">
      <c r="A587" s="6"/>
      <c r="B587" s="8"/>
      <c r="C587" s="8"/>
      <c r="D587" s="8"/>
      <c r="E587" s="8"/>
      <c r="F587" s="8"/>
      <c r="G587" s="9"/>
      <c r="H587" s="8"/>
      <c r="I587" s="8"/>
      <c r="J587" s="5"/>
      <c r="K587" s="5"/>
      <c r="L587" s="5"/>
    </row>
    <row r="588" customFormat="false" ht="15" hidden="false" customHeight="false" outlineLevel="0" collapsed="false">
      <c r="A588" s="6"/>
      <c r="B588" s="8"/>
      <c r="C588" s="8"/>
      <c r="D588" s="8"/>
      <c r="E588" s="8"/>
      <c r="F588" s="8"/>
      <c r="G588" s="9"/>
      <c r="H588" s="8"/>
      <c r="I588" s="8"/>
      <c r="J588" s="5"/>
      <c r="K588" s="5"/>
      <c r="L588" s="5"/>
    </row>
    <row r="589" customFormat="false" ht="15" hidden="false" customHeight="false" outlineLevel="0" collapsed="false">
      <c r="A589" s="8"/>
      <c r="B589" s="8"/>
      <c r="C589" s="8"/>
      <c r="D589" s="8"/>
      <c r="E589" s="8"/>
      <c r="F589" s="8"/>
      <c r="G589" s="9"/>
      <c r="H589" s="8"/>
      <c r="I589" s="8"/>
      <c r="J589" s="5"/>
      <c r="K589" s="5"/>
      <c r="L589" s="5"/>
    </row>
    <row r="590" customFormat="false" ht="15" hidden="false" customHeight="false" outlineLevel="0" collapsed="false">
      <c r="A590" s="8"/>
      <c r="B590" s="8"/>
      <c r="C590" s="8"/>
      <c r="D590" s="8"/>
      <c r="E590" s="8"/>
      <c r="F590" s="8"/>
      <c r="G590" s="9"/>
      <c r="H590" s="8"/>
      <c r="I590" s="8"/>
      <c r="J590" s="5"/>
      <c r="K590" s="5"/>
      <c r="L590" s="5"/>
    </row>
    <row r="591" customFormat="false" ht="15" hidden="false" customHeight="false" outlineLevel="0" collapsed="false">
      <c r="A591" s="8"/>
      <c r="B591" s="8"/>
      <c r="C591" s="8"/>
      <c r="D591" s="8"/>
      <c r="E591" s="8"/>
      <c r="F591" s="8"/>
      <c r="G591" s="9"/>
      <c r="H591" s="8"/>
      <c r="I591" s="8"/>
      <c r="J591" s="5"/>
      <c r="K591" s="5"/>
      <c r="L591" s="5"/>
    </row>
    <row r="592" customFormat="false" ht="15" hidden="false" customHeight="false" outlineLevel="0" collapsed="false">
      <c r="A592" s="8"/>
      <c r="B592" s="8"/>
      <c r="C592" s="8"/>
      <c r="D592" s="8"/>
      <c r="E592" s="8"/>
      <c r="F592" s="8"/>
      <c r="G592" s="9"/>
      <c r="H592" s="8"/>
      <c r="I592" s="8"/>
      <c r="J592" s="5"/>
      <c r="K592" s="5"/>
      <c r="L592" s="5"/>
    </row>
    <row r="593" customFormat="false" ht="15" hidden="false" customHeight="false" outlineLevel="0" collapsed="false">
      <c r="A593" s="8"/>
      <c r="B593" s="8"/>
      <c r="C593" s="8"/>
      <c r="D593" s="8"/>
      <c r="E593" s="8"/>
      <c r="F593" s="8"/>
      <c r="G593" s="9"/>
      <c r="H593" s="8"/>
      <c r="I593" s="8"/>
      <c r="J593" s="5"/>
      <c r="K593" s="5"/>
      <c r="L593" s="5"/>
    </row>
    <row r="594" customFormat="false" ht="15" hidden="false" customHeight="false" outlineLevel="0" collapsed="false">
      <c r="A594" s="8"/>
      <c r="B594" s="8"/>
      <c r="C594" s="8"/>
      <c r="D594" s="8"/>
      <c r="E594" s="8"/>
      <c r="F594" s="8"/>
      <c r="G594" s="9"/>
      <c r="H594" s="8"/>
      <c r="I594" s="8"/>
      <c r="J594" s="5"/>
      <c r="K594" s="5"/>
      <c r="L594" s="5"/>
    </row>
    <row r="595" customFormat="false" ht="15" hidden="false" customHeight="false" outlineLevel="0" collapsed="false">
      <c r="A595" s="8"/>
      <c r="B595" s="8"/>
      <c r="C595" s="8"/>
      <c r="D595" s="8"/>
      <c r="E595" s="8"/>
      <c r="F595" s="8"/>
      <c r="G595" s="9"/>
      <c r="H595" s="8"/>
      <c r="I595" s="8"/>
      <c r="J595" s="5"/>
      <c r="K595" s="5"/>
      <c r="L595" s="5"/>
    </row>
    <row r="596" customFormat="false" ht="15" hidden="false" customHeight="false" outlineLevel="0" collapsed="false">
      <c r="A596" s="8"/>
      <c r="B596" s="8"/>
      <c r="C596" s="8"/>
      <c r="D596" s="8"/>
      <c r="E596" s="8"/>
      <c r="F596" s="8"/>
      <c r="G596" s="9"/>
      <c r="H596" s="8"/>
      <c r="I596" s="8"/>
      <c r="J596" s="5"/>
      <c r="K596" s="5"/>
      <c r="L596" s="5"/>
    </row>
    <row r="597" customFormat="false" ht="15" hidden="false" customHeight="false" outlineLevel="0" collapsed="false">
      <c r="A597" s="8"/>
      <c r="B597" s="8"/>
      <c r="C597" s="8"/>
      <c r="D597" s="8"/>
      <c r="E597" s="8"/>
      <c r="F597" s="8"/>
      <c r="G597" s="9"/>
      <c r="H597" s="8"/>
      <c r="I597" s="8"/>
      <c r="J597" s="5"/>
      <c r="K597" s="5"/>
      <c r="L597" s="5"/>
    </row>
    <row r="598" customFormat="false" ht="15" hidden="false" customHeight="false" outlineLevel="0" collapsed="false">
      <c r="A598" s="8"/>
      <c r="B598" s="8"/>
      <c r="C598" s="8"/>
      <c r="D598" s="8"/>
      <c r="E598" s="8"/>
      <c r="F598" s="8"/>
      <c r="G598" s="9"/>
      <c r="H598" s="8"/>
      <c r="I598" s="8"/>
      <c r="J598" s="5"/>
      <c r="K598" s="5"/>
      <c r="L598" s="5"/>
    </row>
    <row r="599" customFormat="false" ht="15" hidden="false" customHeight="false" outlineLevel="0" collapsed="false">
      <c r="A599" s="8"/>
      <c r="B599" s="8"/>
      <c r="C599" s="8"/>
      <c r="D599" s="8"/>
      <c r="E599" s="8"/>
      <c r="F599" s="8"/>
      <c r="G599" s="9"/>
      <c r="H599" s="8"/>
      <c r="I599" s="8"/>
      <c r="J599" s="5"/>
      <c r="K599" s="5"/>
      <c r="L599" s="5"/>
    </row>
    <row r="600" customFormat="false" ht="15" hidden="false" customHeight="false" outlineLevel="0" collapsed="false">
      <c r="A600" s="8"/>
      <c r="B600" s="8"/>
      <c r="C600" s="8"/>
      <c r="D600" s="8"/>
      <c r="E600" s="8"/>
      <c r="F600" s="8"/>
      <c r="G600" s="9"/>
      <c r="H600" s="8"/>
      <c r="I600" s="8"/>
      <c r="J600" s="5"/>
      <c r="K600" s="5"/>
      <c r="L600" s="5"/>
    </row>
    <row r="601" customFormat="false" ht="15" hidden="false" customHeight="false" outlineLevel="0" collapsed="false">
      <c r="A601" s="8"/>
      <c r="B601" s="8"/>
      <c r="C601" s="8"/>
      <c r="D601" s="8"/>
      <c r="E601" s="8"/>
      <c r="F601" s="8"/>
      <c r="G601" s="9"/>
      <c r="H601" s="8"/>
      <c r="I601" s="8"/>
      <c r="J601" s="5"/>
      <c r="K601" s="5"/>
      <c r="L601" s="5"/>
    </row>
    <row r="602" customFormat="false" ht="15" hidden="false" customHeight="false" outlineLevel="0" collapsed="false">
      <c r="A602" s="8"/>
      <c r="B602" s="8"/>
      <c r="C602" s="8"/>
      <c r="D602" s="8"/>
      <c r="E602" s="8"/>
      <c r="F602" s="8"/>
      <c r="G602" s="9"/>
      <c r="H602" s="8"/>
      <c r="I602" s="8"/>
      <c r="J602" s="5"/>
      <c r="K602" s="5"/>
      <c r="L602" s="5"/>
    </row>
    <row r="603" customFormat="false" ht="15" hidden="false" customHeight="false" outlineLevel="0" collapsed="false">
      <c r="A603" s="8"/>
      <c r="B603" s="8"/>
      <c r="C603" s="8"/>
      <c r="D603" s="8"/>
      <c r="E603" s="8"/>
      <c r="F603" s="8"/>
      <c r="G603" s="9"/>
      <c r="H603" s="8"/>
      <c r="I603" s="8"/>
      <c r="J603" s="5"/>
      <c r="K603" s="5"/>
      <c r="L603" s="5"/>
    </row>
    <row r="604" customFormat="false" ht="15" hidden="false" customHeight="false" outlineLevel="0" collapsed="false">
      <c r="A604" s="8"/>
      <c r="B604" s="8"/>
      <c r="C604" s="8"/>
      <c r="D604" s="8"/>
      <c r="E604" s="8"/>
      <c r="F604" s="8"/>
      <c r="G604" s="9"/>
      <c r="H604" s="8"/>
      <c r="I604" s="8"/>
      <c r="J604" s="5"/>
      <c r="K604" s="5"/>
      <c r="L604" s="5"/>
    </row>
    <row r="605" customFormat="false" ht="15" hidden="false" customHeight="false" outlineLevel="0" collapsed="false">
      <c r="A605" s="8"/>
      <c r="B605" s="8"/>
      <c r="C605" s="8"/>
      <c r="D605" s="8"/>
      <c r="E605" s="8"/>
      <c r="F605" s="8"/>
      <c r="G605" s="9"/>
      <c r="H605" s="8"/>
      <c r="I605" s="8"/>
      <c r="J605" s="5"/>
      <c r="K605" s="5"/>
      <c r="L605" s="5"/>
    </row>
    <row r="606" customFormat="false" ht="15" hidden="false" customHeight="false" outlineLevel="0" collapsed="false">
      <c r="A606" s="8"/>
      <c r="B606" s="8"/>
      <c r="C606" s="8"/>
      <c r="D606" s="8"/>
      <c r="E606" s="8"/>
      <c r="F606" s="8"/>
      <c r="G606" s="9"/>
      <c r="H606" s="8"/>
      <c r="I606" s="8"/>
      <c r="J606" s="5"/>
      <c r="K606" s="5"/>
      <c r="L606" s="5"/>
    </row>
    <row r="607" customFormat="false" ht="15" hidden="false" customHeight="false" outlineLevel="0" collapsed="false">
      <c r="A607" s="8"/>
      <c r="B607" s="8"/>
      <c r="C607" s="8"/>
      <c r="D607" s="8"/>
      <c r="E607" s="8"/>
      <c r="F607" s="8"/>
      <c r="G607" s="9"/>
      <c r="H607" s="8"/>
      <c r="I607" s="8"/>
      <c r="J607" s="5"/>
      <c r="K607" s="5"/>
      <c r="L607" s="5"/>
    </row>
    <row r="608" customFormat="false" ht="15" hidden="false" customHeight="false" outlineLevel="0" collapsed="false">
      <c r="A608" s="8"/>
      <c r="B608" s="8"/>
      <c r="C608" s="8"/>
      <c r="D608" s="8"/>
      <c r="E608" s="8"/>
      <c r="F608" s="8"/>
      <c r="G608" s="9"/>
      <c r="H608" s="8"/>
      <c r="I608" s="8"/>
      <c r="J608" s="5"/>
      <c r="K608" s="5"/>
      <c r="L608" s="5"/>
    </row>
    <row r="609" customFormat="false" ht="15" hidden="false" customHeight="false" outlineLevel="0" collapsed="false">
      <c r="A609" s="8"/>
      <c r="B609" s="8"/>
      <c r="C609" s="8"/>
      <c r="D609" s="8"/>
      <c r="E609" s="8"/>
      <c r="F609" s="8"/>
      <c r="G609" s="9"/>
      <c r="H609" s="8"/>
      <c r="I609" s="8"/>
      <c r="J609" s="5"/>
      <c r="K609" s="5"/>
      <c r="L609" s="5"/>
    </row>
    <row r="610" customFormat="false" ht="15" hidden="false" customHeight="false" outlineLevel="0" collapsed="false">
      <c r="A610" s="8"/>
      <c r="B610" s="8"/>
      <c r="C610" s="8"/>
      <c r="D610" s="8"/>
      <c r="E610" s="8"/>
      <c r="F610" s="8"/>
      <c r="G610" s="9"/>
      <c r="H610" s="8"/>
      <c r="I610" s="8"/>
      <c r="J610" s="5"/>
      <c r="K610" s="5"/>
      <c r="L610" s="5"/>
    </row>
    <row r="611" customFormat="false" ht="15" hidden="false" customHeight="false" outlineLevel="0" collapsed="false">
      <c r="A611" s="8"/>
      <c r="B611" s="8"/>
      <c r="C611" s="8"/>
      <c r="D611" s="8"/>
      <c r="E611" s="8"/>
      <c r="F611" s="8"/>
      <c r="G611" s="9"/>
      <c r="H611" s="8"/>
      <c r="I611" s="8"/>
      <c r="J611" s="5"/>
      <c r="K611" s="5"/>
      <c r="L611" s="5"/>
    </row>
    <row r="612" customFormat="false" ht="15" hidden="false" customHeight="false" outlineLevel="0" collapsed="false">
      <c r="A612" s="8"/>
      <c r="B612" s="8"/>
      <c r="C612" s="8"/>
      <c r="D612" s="8"/>
      <c r="E612" s="8"/>
      <c r="F612" s="8"/>
      <c r="G612" s="9"/>
      <c r="H612" s="8"/>
      <c r="I612" s="8"/>
      <c r="J612" s="5"/>
      <c r="K612" s="5"/>
      <c r="L612" s="5"/>
    </row>
    <row r="613" customFormat="false" ht="15" hidden="false" customHeight="false" outlineLevel="0" collapsed="false">
      <c r="A613" s="8"/>
      <c r="B613" s="8"/>
      <c r="C613" s="8"/>
      <c r="D613" s="8"/>
      <c r="E613" s="8"/>
      <c r="F613" s="8"/>
      <c r="G613" s="9"/>
      <c r="H613" s="8"/>
      <c r="I613" s="8"/>
      <c r="J613" s="5"/>
      <c r="K613" s="5"/>
      <c r="L613" s="5"/>
    </row>
    <row r="614" customFormat="false" ht="15" hidden="false" customHeight="false" outlineLevel="0" collapsed="false">
      <c r="A614" s="8"/>
      <c r="B614" s="8"/>
      <c r="C614" s="8"/>
      <c r="D614" s="8"/>
      <c r="E614" s="8"/>
      <c r="F614" s="8"/>
      <c r="G614" s="9"/>
      <c r="H614" s="8"/>
      <c r="I614" s="8"/>
      <c r="J614" s="5"/>
      <c r="K614" s="5"/>
      <c r="L614" s="5"/>
    </row>
    <row r="615" customFormat="false" ht="15" hidden="false" customHeight="false" outlineLevel="0" collapsed="false">
      <c r="A615" s="8"/>
      <c r="B615" s="8"/>
      <c r="C615" s="8"/>
      <c r="D615" s="8"/>
      <c r="E615" s="8"/>
      <c r="F615" s="8"/>
      <c r="G615" s="9"/>
      <c r="H615" s="8"/>
      <c r="I615" s="8"/>
      <c r="J615" s="5"/>
      <c r="K615" s="5"/>
      <c r="L615" s="5"/>
    </row>
    <row r="616" customFormat="false" ht="15" hidden="false" customHeight="false" outlineLevel="0" collapsed="false">
      <c r="A616" s="8"/>
      <c r="B616" s="8"/>
      <c r="C616" s="8"/>
      <c r="D616" s="8"/>
      <c r="E616" s="8"/>
      <c r="F616" s="8"/>
      <c r="G616" s="9"/>
      <c r="H616" s="8"/>
      <c r="I616" s="8"/>
      <c r="J616" s="5"/>
      <c r="K616" s="5"/>
      <c r="L616" s="5"/>
    </row>
    <row r="617" customFormat="false" ht="15" hidden="false" customHeight="false" outlineLevel="0" collapsed="false">
      <c r="A617" s="8"/>
      <c r="B617" s="8"/>
      <c r="C617" s="8"/>
      <c r="D617" s="8"/>
      <c r="E617" s="8"/>
      <c r="F617" s="8"/>
      <c r="G617" s="9"/>
      <c r="H617" s="8"/>
      <c r="I617" s="8"/>
      <c r="J617" s="5"/>
      <c r="K617" s="5"/>
      <c r="L617" s="5"/>
    </row>
    <row r="618" customFormat="false" ht="15" hidden="false" customHeight="false" outlineLevel="0" collapsed="false">
      <c r="A618" s="8"/>
      <c r="B618" s="8"/>
      <c r="C618" s="8"/>
      <c r="D618" s="8"/>
      <c r="E618" s="8"/>
      <c r="F618" s="8"/>
      <c r="G618" s="9"/>
      <c r="H618" s="8"/>
      <c r="I618" s="8"/>
      <c r="J618" s="5"/>
      <c r="K618" s="5"/>
      <c r="L618" s="5"/>
    </row>
    <row r="619" customFormat="false" ht="15" hidden="false" customHeight="false" outlineLevel="0" collapsed="false">
      <c r="A619" s="8"/>
      <c r="B619" s="8"/>
      <c r="C619" s="8"/>
      <c r="D619" s="8"/>
      <c r="E619" s="8"/>
      <c r="F619" s="8"/>
      <c r="G619" s="9"/>
      <c r="H619" s="8"/>
      <c r="I619" s="8"/>
      <c r="J619" s="5"/>
      <c r="K619" s="5"/>
      <c r="L619" s="5"/>
    </row>
    <row r="620" customFormat="false" ht="15" hidden="false" customHeight="false" outlineLevel="0" collapsed="false">
      <c r="A620" s="8"/>
      <c r="B620" s="8"/>
      <c r="C620" s="8"/>
      <c r="D620" s="8"/>
      <c r="E620" s="8"/>
      <c r="F620" s="8"/>
      <c r="G620" s="9"/>
      <c r="H620" s="8"/>
      <c r="I620" s="8"/>
      <c r="J620" s="5"/>
      <c r="K620" s="5"/>
      <c r="L620" s="5"/>
    </row>
    <row r="621" customFormat="false" ht="15" hidden="false" customHeight="false" outlineLevel="0" collapsed="false">
      <c r="A621" s="8"/>
      <c r="B621" s="8"/>
      <c r="C621" s="8"/>
      <c r="D621" s="8"/>
      <c r="E621" s="8"/>
      <c r="F621" s="8"/>
      <c r="G621" s="9"/>
      <c r="H621" s="8"/>
      <c r="I621" s="8"/>
      <c r="J621" s="5"/>
      <c r="K621" s="5"/>
      <c r="L621" s="5"/>
    </row>
    <row r="622" customFormat="false" ht="15" hidden="false" customHeight="false" outlineLevel="0" collapsed="false">
      <c r="A622" s="8"/>
      <c r="B622" s="8"/>
      <c r="C622" s="8"/>
      <c r="D622" s="8"/>
      <c r="E622" s="8"/>
      <c r="F622" s="8"/>
      <c r="G622" s="8"/>
      <c r="H622" s="8"/>
      <c r="I622" s="8"/>
      <c r="J622" s="5"/>
      <c r="K622" s="5"/>
      <c r="L622" s="5"/>
    </row>
    <row r="623" customFormat="false" ht="15" hidden="false" customHeight="false" outlineLevel="0" collapsed="false">
      <c r="A623" s="8"/>
      <c r="B623" s="8"/>
      <c r="C623" s="8"/>
      <c r="D623" s="8"/>
      <c r="E623" s="8"/>
      <c r="F623" s="8"/>
      <c r="G623" s="8"/>
      <c r="H623" s="8"/>
      <c r="I623" s="8"/>
      <c r="J623" s="5"/>
      <c r="K623" s="5"/>
      <c r="L623" s="5"/>
    </row>
    <row r="624" customFormat="false" ht="15" hidden="false" customHeight="false" outlineLevel="0" collapsed="false">
      <c r="A624" s="8"/>
      <c r="B624" s="8"/>
      <c r="C624" s="8"/>
      <c r="D624" s="8"/>
      <c r="E624" s="8"/>
      <c r="F624" s="8"/>
      <c r="G624" s="8"/>
      <c r="H624" s="8"/>
      <c r="I624" s="8"/>
      <c r="J624" s="5"/>
      <c r="K624" s="5"/>
      <c r="L624" s="5"/>
    </row>
    <row r="625" customFormat="false" ht="15" hidden="false" customHeight="false" outlineLevel="0" collapsed="false">
      <c r="A625" s="8"/>
      <c r="B625" s="8"/>
      <c r="C625" s="8"/>
      <c r="D625" s="8"/>
      <c r="E625" s="8"/>
      <c r="F625" s="8"/>
      <c r="G625" s="8"/>
      <c r="H625" s="8"/>
      <c r="I625" s="8"/>
      <c r="J625" s="5"/>
      <c r="K625" s="5"/>
      <c r="L625" s="5"/>
    </row>
    <row r="626" customFormat="false" ht="15" hidden="false" customHeight="false" outlineLevel="0" collapsed="false">
      <c r="A626" s="8"/>
      <c r="B626" s="8"/>
      <c r="C626" s="8"/>
      <c r="D626" s="8"/>
      <c r="E626" s="8"/>
      <c r="F626" s="8"/>
      <c r="G626" s="8"/>
      <c r="H626" s="8"/>
      <c r="I626" s="8"/>
      <c r="J626" s="5"/>
      <c r="K626" s="5"/>
      <c r="L626" s="5"/>
    </row>
    <row r="627" customFormat="false" ht="15" hidden="false" customHeight="false" outlineLevel="0" collapsed="false">
      <c r="A627" s="8"/>
      <c r="B627" s="8"/>
      <c r="C627" s="8"/>
      <c r="D627" s="8"/>
      <c r="E627" s="8"/>
      <c r="F627" s="8"/>
      <c r="G627" s="8"/>
      <c r="H627" s="8"/>
      <c r="I627" s="8"/>
      <c r="J627" s="5"/>
      <c r="K627" s="5"/>
      <c r="L627" s="5"/>
    </row>
    <row r="628" customFormat="false" ht="15" hidden="false" customHeight="false" outlineLevel="0" collapsed="false">
      <c r="A628" s="8"/>
      <c r="B628" s="8"/>
      <c r="C628" s="8"/>
      <c r="D628" s="8"/>
      <c r="E628" s="8"/>
      <c r="F628" s="8"/>
      <c r="G628" s="8"/>
      <c r="H628" s="8"/>
      <c r="I628" s="8"/>
      <c r="J628" s="5"/>
      <c r="K628" s="5"/>
      <c r="L628" s="5"/>
    </row>
    <row r="629" customFormat="false" ht="15" hidden="false" customHeight="false" outlineLevel="0" collapsed="false">
      <c r="A629" s="8"/>
      <c r="B629" s="8"/>
      <c r="C629" s="8"/>
      <c r="D629" s="8"/>
      <c r="E629" s="8"/>
      <c r="F629" s="8"/>
      <c r="G629" s="8"/>
      <c r="H629" s="8"/>
      <c r="I629" s="8"/>
      <c r="J629" s="5"/>
      <c r="K629" s="5"/>
      <c r="L629" s="5"/>
    </row>
    <row r="630" customFormat="false" ht="15" hidden="false" customHeight="false" outlineLevel="0" collapsed="false">
      <c r="A630" s="8"/>
      <c r="B630" s="8"/>
      <c r="C630" s="8"/>
      <c r="D630" s="8"/>
      <c r="E630" s="8"/>
      <c r="F630" s="8"/>
      <c r="G630" s="8"/>
      <c r="H630" s="8"/>
      <c r="I630" s="8"/>
      <c r="J630" s="5"/>
      <c r="K630" s="5"/>
      <c r="L630" s="5"/>
    </row>
    <row r="631" customFormat="false" ht="15" hidden="false" customHeight="false" outlineLevel="0" collapsed="false">
      <c r="A631" s="8"/>
      <c r="B631" s="8"/>
      <c r="C631" s="8"/>
      <c r="D631" s="8"/>
      <c r="E631" s="8"/>
      <c r="F631" s="8"/>
      <c r="G631" s="8"/>
      <c r="H631" s="8"/>
      <c r="I631" s="8"/>
      <c r="J631" s="5"/>
      <c r="K631" s="5"/>
      <c r="L631" s="5"/>
    </row>
    <row r="632" customFormat="false" ht="15" hidden="false" customHeight="false" outlineLevel="0" collapsed="false">
      <c r="A632" s="8"/>
      <c r="B632" s="8"/>
      <c r="C632" s="8"/>
      <c r="D632" s="8"/>
      <c r="E632" s="8"/>
      <c r="F632" s="8"/>
      <c r="G632" s="8"/>
      <c r="H632" s="8"/>
      <c r="I632" s="8"/>
      <c r="J632" s="5"/>
      <c r="K632" s="5"/>
      <c r="L632" s="5"/>
    </row>
    <row r="633" customFormat="false" ht="15" hidden="false" customHeight="false" outlineLevel="0" collapsed="false">
      <c r="A633" s="8"/>
      <c r="B633" s="8"/>
      <c r="C633" s="8"/>
      <c r="D633" s="8"/>
      <c r="E633" s="8"/>
      <c r="F633" s="8"/>
      <c r="G633" s="8"/>
      <c r="H633" s="8"/>
      <c r="I633" s="8"/>
      <c r="J633" s="5"/>
      <c r="K633" s="5"/>
      <c r="L633" s="5"/>
    </row>
    <row r="634" customFormat="false" ht="15" hidden="false" customHeight="false" outlineLevel="0" collapsed="false">
      <c r="A634" s="8"/>
      <c r="B634" s="8"/>
      <c r="C634" s="8"/>
      <c r="D634" s="8"/>
      <c r="E634" s="8"/>
      <c r="F634" s="8"/>
      <c r="G634" s="8"/>
      <c r="H634" s="8"/>
      <c r="I634" s="8"/>
      <c r="J634" s="5"/>
      <c r="K634" s="5"/>
      <c r="L634" s="5"/>
    </row>
    <row r="635" customFormat="false" ht="15" hidden="false" customHeight="false" outlineLevel="0" collapsed="false">
      <c r="A635" s="8"/>
      <c r="B635" s="8"/>
      <c r="C635" s="8"/>
      <c r="D635" s="8"/>
      <c r="E635" s="8"/>
      <c r="F635" s="8"/>
      <c r="G635" s="8"/>
      <c r="H635" s="8"/>
      <c r="I635" s="8"/>
      <c r="J635" s="5"/>
      <c r="K635" s="5"/>
      <c r="L635" s="5"/>
    </row>
    <row r="636" customFormat="false" ht="15" hidden="false" customHeight="false" outlineLevel="0" collapsed="false">
      <c r="A636" s="8"/>
      <c r="B636" s="8"/>
      <c r="C636" s="8"/>
      <c r="D636" s="8"/>
      <c r="E636" s="8"/>
      <c r="F636" s="8"/>
      <c r="G636" s="8"/>
      <c r="H636" s="8"/>
      <c r="I636" s="8"/>
      <c r="J636" s="5"/>
      <c r="K636" s="5"/>
      <c r="L636" s="5"/>
    </row>
    <row r="637" customFormat="false" ht="15" hidden="false" customHeight="false" outlineLevel="0" collapsed="false">
      <c r="A637" s="8"/>
      <c r="B637" s="8"/>
      <c r="C637" s="8"/>
      <c r="D637" s="8"/>
      <c r="E637" s="8"/>
      <c r="F637" s="8"/>
      <c r="G637" s="8"/>
      <c r="H637" s="8"/>
      <c r="I637" s="8"/>
      <c r="J637" s="5"/>
      <c r="K637" s="5"/>
      <c r="L637" s="5"/>
    </row>
    <row r="638" customFormat="false" ht="15" hidden="false" customHeight="false" outlineLevel="0" collapsed="false">
      <c r="A638" s="8"/>
      <c r="B638" s="8"/>
      <c r="C638" s="8"/>
      <c r="D638" s="8"/>
      <c r="E638" s="8"/>
      <c r="F638" s="8"/>
      <c r="G638" s="8"/>
      <c r="H638" s="8"/>
      <c r="I638" s="8"/>
      <c r="J638" s="5"/>
      <c r="K638" s="5"/>
      <c r="L638" s="5"/>
    </row>
    <row r="639" customFormat="false" ht="15" hidden="false" customHeight="false" outlineLevel="0" collapsed="false">
      <c r="A639" s="8"/>
      <c r="B639" s="8"/>
      <c r="C639" s="8"/>
      <c r="D639" s="8"/>
      <c r="E639" s="8"/>
      <c r="F639" s="8"/>
      <c r="G639" s="8"/>
      <c r="H639" s="8"/>
      <c r="I639" s="8"/>
      <c r="J639" s="5"/>
      <c r="K639" s="5"/>
      <c r="L639" s="5"/>
    </row>
    <row r="640" customFormat="false" ht="15" hidden="false" customHeight="false" outlineLevel="0" collapsed="false">
      <c r="A640" s="8"/>
      <c r="B640" s="8"/>
      <c r="C640" s="8"/>
      <c r="D640" s="8"/>
      <c r="E640" s="8"/>
      <c r="F640" s="8"/>
      <c r="G640" s="8"/>
      <c r="H640" s="8"/>
      <c r="I640" s="8"/>
      <c r="J640" s="5"/>
      <c r="K640" s="5"/>
      <c r="L640" s="5"/>
    </row>
    <row r="641" customFormat="false" ht="15" hidden="false" customHeight="false" outlineLevel="0" collapsed="false">
      <c r="A641" s="8"/>
      <c r="B641" s="8"/>
      <c r="C641" s="8"/>
      <c r="D641" s="8"/>
      <c r="E641" s="8"/>
      <c r="F641" s="8"/>
      <c r="G641" s="8"/>
      <c r="H641" s="8"/>
      <c r="I641" s="8"/>
      <c r="J641" s="5"/>
      <c r="K641" s="5"/>
      <c r="L641" s="5"/>
    </row>
    <row r="642" customFormat="false" ht="15" hidden="false" customHeight="false" outlineLevel="0" collapsed="false">
      <c r="A642" s="8"/>
      <c r="B642" s="8"/>
      <c r="C642" s="8"/>
      <c r="D642" s="8"/>
      <c r="E642" s="8"/>
      <c r="F642" s="8"/>
      <c r="G642" s="8"/>
      <c r="H642" s="8"/>
      <c r="I642" s="8"/>
      <c r="J642" s="5"/>
      <c r="K642" s="5"/>
      <c r="L642" s="5"/>
    </row>
    <row r="643" customFormat="false" ht="15" hidden="false" customHeight="false" outlineLevel="0" collapsed="false">
      <c r="A643" s="8"/>
      <c r="B643" s="8"/>
      <c r="C643" s="8"/>
      <c r="D643" s="8"/>
      <c r="E643" s="8"/>
      <c r="F643" s="8"/>
      <c r="G643" s="8"/>
      <c r="H643" s="8"/>
      <c r="I643" s="8"/>
      <c r="J643" s="5"/>
      <c r="K643" s="5"/>
      <c r="L643" s="5"/>
    </row>
    <row r="644" customFormat="false" ht="15" hidden="false" customHeight="false" outlineLevel="0" collapsed="false">
      <c r="A644" s="8"/>
      <c r="B644" s="8"/>
      <c r="C644" s="8"/>
      <c r="D644" s="8"/>
      <c r="E644" s="8"/>
      <c r="F644" s="8"/>
      <c r="G644" s="8"/>
      <c r="H644" s="8"/>
      <c r="I644" s="8"/>
      <c r="J644" s="5"/>
      <c r="K644" s="5"/>
      <c r="L644" s="5"/>
    </row>
    <row r="645" customFormat="false" ht="15" hidden="false" customHeight="false" outlineLevel="0" collapsed="false">
      <c r="A645" s="8"/>
      <c r="B645" s="8"/>
      <c r="C645" s="8"/>
      <c r="D645" s="8"/>
      <c r="E645" s="8"/>
      <c r="F645" s="8"/>
      <c r="G645" s="8"/>
      <c r="H645" s="8"/>
      <c r="I645" s="8"/>
      <c r="J645" s="5"/>
      <c r="K645" s="5"/>
      <c r="L645" s="5"/>
    </row>
    <row r="646" customFormat="false" ht="15" hidden="false" customHeight="false" outlineLevel="0" collapsed="false">
      <c r="A646" s="8"/>
      <c r="B646" s="8"/>
      <c r="C646" s="8"/>
      <c r="D646" s="8"/>
      <c r="E646" s="8"/>
      <c r="F646" s="8"/>
      <c r="G646" s="8"/>
      <c r="H646" s="8"/>
      <c r="I646" s="8"/>
      <c r="J646" s="5"/>
      <c r="K646" s="5"/>
      <c r="L646" s="5"/>
    </row>
    <row r="647" customFormat="false" ht="15" hidden="false" customHeight="false" outlineLevel="0" collapsed="false">
      <c r="A647" s="8"/>
      <c r="B647" s="8"/>
      <c r="C647" s="8"/>
      <c r="D647" s="8"/>
      <c r="E647" s="8"/>
      <c r="F647" s="8"/>
      <c r="G647" s="8"/>
      <c r="H647" s="8"/>
      <c r="I647" s="8"/>
      <c r="J647" s="5"/>
      <c r="K647" s="5"/>
      <c r="L647" s="5"/>
    </row>
    <row r="648" customFormat="false" ht="15" hidden="false" customHeight="false" outlineLevel="0" collapsed="false">
      <c r="A648" s="8"/>
      <c r="B648" s="8"/>
      <c r="C648" s="8"/>
      <c r="D648" s="8"/>
      <c r="E648" s="8"/>
      <c r="F648" s="8"/>
      <c r="G648" s="8"/>
      <c r="H648" s="8"/>
      <c r="I648" s="8"/>
      <c r="J648" s="5"/>
      <c r="K648" s="5"/>
      <c r="L648" s="5"/>
    </row>
    <row r="649" customFormat="false" ht="15" hidden="false" customHeight="false" outlineLevel="0" collapsed="false">
      <c r="A649" s="8"/>
      <c r="B649" s="8"/>
      <c r="C649" s="8"/>
      <c r="D649" s="8"/>
      <c r="E649" s="8"/>
      <c r="F649" s="8"/>
      <c r="G649" s="8"/>
      <c r="H649" s="8"/>
      <c r="I649" s="8"/>
      <c r="J649" s="5"/>
      <c r="K649" s="5"/>
      <c r="L649" s="5"/>
    </row>
    <row r="650" customFormat="false" ht="15" hidden="false" customHeight="false" outlineLevel="0" collapsed="false">
      <c r="A650" s="8"/>
      <c r="B650" s="8"/>
      <c r="C650" s="8"/>
      <c r="D650" s="8"/>
      <c r="E650" s="8"/>
      <c r="F650" s="8"/>
      <c r="G650" s="8"/>
      <c r="H650" s="8"/>
      <c r="I650" s="8"/>
      <c r="J650" s="5"/>
      <c r="K650" s="5"/>
      <c r="L650" s="5"/>
    </row>
    <row r="651" customFormat="false" ht="15" hidden="false" customHeight="false" outlineLevel="0" collapsed="false">
      <c r="A651" s="8"/>
      <c r="B651" s="8"/>
      <c r="C651" s="8"/>
      <c r="D651" s="8"/>
      <c r="E651" s="8"/>
      <c r="F651" s="8"/>
      <c r="G651" s="8"/>
      <c r="H651" s="8"/>
      <c r="I651" s="8"/>
      <c r="J651" s="5"/>
      <c r="K651" s="5"/>
      <c r="L651" s="5"/>
    </row>
    <row r="652" customFormat="false" ht="15" hidden="false" customHeight="false" outlineLevel="0" collapsed="false">
      <c r="A652" s="8"/>
      <c r="B652" s="8"/>
      <c r="C652" s="8"/>
      <c r="D652" s="8"/>
      <c r="E652" s="8"/>
      <c r="F652" s="8"/>
      <c r="G652" s="8"/>
      <c r="H652" s="8"/>
      <c r="I652" s="8"/>
      <c r="J652" s="5"/>
      <c r="K652" s="5"/>
      <c r="L652" s="5"/>
    </row>
    <row r="653" customFormat="false" ht="15" hidden="false" customHeight="false" outlineLevel="0" collapsed="false">
      <c r="A653" s="8"/>
      <c r="B653" s="8"/>
      <c r="C653" s="8"/>
      <c r="D653" s="8"/>
      <c r="E653" s="8"/>
      <c r="F653" s="8"/>
      <c r="G653" s="8"/>
      <c r="H653" s="8"/>
      <c r="I653" s="8"/>
      <c r="J653" s="5"/>
      <c r="K653" s="5"/>
      <c r="L653" s="5"/>
    </row>
    <row r="654" customFormat="false" ht="15" hidden="false" customHeight="false" outlineLevel="0" collapsed="false">
      <c r="A654" s="8"/>
      <c r="B654" s="8"/>
      <c r="C654" s="8"/>
      <c r="D654" s="8"/>
      <c r="E654" s="8"/>
      <c r="F654" s="8"/>
      <c r="G654" s="8"/>
      <c r="H654" s="8"/>
      <c r="I654" s="8"/>
      <c r="J654" s="5"/>
      <c r="K654" s="5"/>
      <c r="L654" s="5"/>
    </row>
    <row r="655" customFormat="false" ht="15" hidden="false" customHeight="false" outlineLevel="0" collapsed="false">
      <c r="A655" s="8"/>
      <c r="B655" s="8"/>
      <c r="C655" s="8"/>
      <c r="D655" s="8"/>
      <c r="E655" s="8"/>
      <c r="F655" s="8"/>
      <c r="G655" s="8"/>
      <c r="H655" s="8"/>
      <c r="I655" s="8"/>
      <c r="J655" s="5"/>
      <c r="K655" s="5"/>
      <c r="L655" s="5"/>
    </row>
    <row r="656" customFormat="false" ht="15" hidden="false" customHeight="false" outlineLevel="0" collapsed="false">
      <c r="A656" s="8"/>
      <c r="B656" s="8"/>
      <c r="C656" s="8"/>
      <c r="D656" s="8"/>
      <c r="E656" s="8"/>
      <c r="F656" s="8"/>
      <c r="G656" s="8"/>
      <c r="H656" s="8"/>
      <c r="I656" s="8"/>
      <c r="J656" s="5"/>
      <c r="K656" s="5"/>
      <c r="L656" s="5"/>
    </row>
    <row r="657" customFormat="false" ht="15" hidden="false" customHeight="false" outlineLevel="0" collapsed="false">
      <c r="A657" s="8"/>
      <c r="B657" s="8"/>
      <c r="C657" s="8"/>
      <c r="D657" s="8"/>
      <c r="E657" s="8"/>
      <c r="F657" s="8"/>
      <c r="G657" s="8"/>
      <c r="H657" s="8"/>
      <c r="I657" s="8"/>
      <c r="J657" s="5"/>
      <c r="K657" s="5"/>
      <c r="L657" s="5"/>
    </row>
    <row r="658" customFormat="false" ht="15" hidden="false" customHeight="false" outlineLevel="0" collapsed="false">
      <c r="A658" s="8"/>
      <c r="B658" s="8"/>
      <c r="C658" s="8"/>
      <c r="D658" s="8"/>
      <c r="E658" s="8"/>
      <c r="F658" s="8"/>
      <c r="G658" s="8"/>
      <c r="H658" s="8"/>
      <c r="I658" s="8"/>
      <c r="J658" s="5"/>
      <c r="K658" s="5"/>
      <c r="L658" s="5"/>
    </row>
    <row r="659" customFormat="false" ht="15" hidden="false" customHeight="false" outlineLevel="0" collapsed="false">
      <c r="A659" s="8"/>
      <c r="B659" s="8"/>
      <c r="C659" s="8"/>
      <c r="D659" s="8"/>
      <c r="E659" s="8"/>
      <c r="F659" s="8"/>
      <c r="G659" s="8"/>
      <c r="H659" s="8"/>
      <c r="I659" s="8"/>
      <c r="J659" s="5"/>
      <c r="K659" s="5"/>
      <c r="L659" s="5"/>
    </row>
    <row r="660" customFormat="false" ht="15" hidden="false" customHeight="false" outlineLevel="0" collapsed="false">
      <c r="A660" s="8"/>
      <c r="B660" s="8"/>
      <c r="C660" s="8"/>
      <c r="D660" s="8"/>
      <c r="E660" s="8"/>
      <c r="F660" s="8"/>
      <c r="G660" s="8"/>
      <c r="H660" s="8"/>
      <c r="I660" s="8"/>
      <c r="J660" s="5"/>
      <c r="K660" s="5"/>
      <c r="L660" s="5"/>
    </row>
    <row r="661" customFormat="false" ht="15" hidden="false" customHeight="false" outlineLevel="0" collapsed="false">
      <c r="A661" s="8"/>
      <c r="B661" s="8"/>
      <c r="C661" s="8"/>
      <c r="D661" s="8"/>
      <c r="E661" s="8"/>
      <c r="F661" s="8"/>
      <c r="G661" s="8"/>
      <c r="H661" s="8"/>
      <c r="I661" s="8"/>
      <c r="J661" s="5"/>
      <c r="K661" s="5"/>
      <c r="L661" s="5"/>
    </row>
    <row r="662" customFormat="false" ht="15" hidden="false" customHeight="false" outlineLevel="0" collapsed="false">
      <c r="A662" s="8"/>
      <c r="B662" s="8"/>
      <c r="C662" s="8"/>
      <c r="D662" s="8"/>
      <c r="E662" s="8"/>
      <c r="F662" s="8"/>
      <c r="G662" s="8"/>
      <c r="H662" s="8"/>
      <c r="I662" s="8"/>
      <c r="J662" s="5"/>
      <c r="K662" s="5"/>
      <c r="L662" s="5"/>
    </row>
    <row r="663" customFormat="false" ht="15" hidden="false" customHeight="false" outlineLevel="0" collapsed="false">
      <c r="A663" s="8"/>
      <c r="B663" s="8"/>
      <c r="C663" s="8"/>
      <c r="D663" s="8"/>
      <c r="E663" s="8"/>
      <c r="F663" s="8"/>
      <c r="G663" s="8"/>
      <c r="H663" s="8"/>
      <c r="I663" s="8"/>
      <c r="J663" s="5"/>
      <c r="K663" s="5"/>
      <c r="L663" s="5"/>
    </row>
    <row r="664" customFormat="false" ht="15" hidden="false" customHeight="false" outlineLevel="0" collapsed="false">
      <c r="A664" s="8"/>
      <c r="B664" s="8"/>
      <c r="C664" s="8"/>
      <c r="D664" s="8"/>
      <c r="E664" s="8"/>
      <c r="F664" s="8"/>
      <c r="G664" s="8"/>
      <c r="H664" s="8"/>
      <c r="I664" s="8"/>
      <c r="J664" s="5"/>
      <c r="K664" s="5"/>
      <c r="L664" s="5"/>
    </row>
    <row r="665" customFormat="false" ht="15" hidden="false" customHeight="false" outlineLevel="0" collapsed="false">
      <c r="A665" s="8"/>
      <c r="B665" s="8"/>
      <c r="C665" s="8"/>
      <c r="D665" s="8"/>
      <c r="E665" s="8"/>
      <c r="F665" s="8"/>
      <c r="G665" s="8"/>
      <c r="H665" s="8"/>
      <c r="I665" s="8"/>
      <c r="J665" s="5"/>
      <c r="K665" s="5"/>
      <c r="L665" s="5"/>
    </row>
    <row r="666" customFormat="false" ht="15" hidden="false" customHeight="false" outlineLevel="0" collapsed="false">
      <c r="A666" s="8"/>
      <c r="B666" s="8"/>
      <c r="C666" s="8"/>
      <c r="D666" s="8"/>
      <c r="E666" s="8"/>
      <c r="F666" s="8"/>
      <c r="G666" s="8"/>
      <c r="H666" s="8"/>
      <c r="I666" s="8"/>
      <c r="J666" s="5"/>
      <c r="K666" s="5"/>
      <c r="L666" s="5"/>
    </row>
    <row r="667" customFormat="false" ht="15" hidden="false" customHeight="false" outlineLevel="0" collapsed="false">
      <c r="A667" s="8"/>
      <c r="B667" s="8"/>
      <c r="C667" s="8"/>
      <c r="D667" s="8"/>
      <c r="E667" s="8"/>
      <c r="F667" s="8"/>
      <c r="G667" s="8"/>
      <c r="H667" s="8"/>
      <c r="I667" s="8"/>
      <c r="J667" s="5"/>
      <c r="K667" s="5"/>
      <c r="L667" s="5"/>
    </row>
    <row r="668" customFormat="false" ht="15" hidden="false" customHeight="false" outlineLevel="0" collapsed="false">
      <c r="A668" s="8"/>
      <c r="B668" s="8"/>
      <c r="C668" s="8"/>
      <c r="D668" s="8"/>
      <c r="E668" s="8"/>
      <c r="F668" s="8"/>
      <c r="G668" s="8"/>
      <c r="H668" s="8"/>
      <c r="I668" s="8"/>
      <c r="J668" s="5"/>
      <c r="K668" s="5"/>
      <c r="L668" s="5"/>
    </row>
    <row r="669" customFormat="false" ht="15" hidden="false" customHeight="false" outlineLevel="0" collapsed="false">
      <c r="A669" s="8"/>
      <c r="B669" s="8"/>
      <c r="C669" s="8"/>
      <c r="D669" s="8"/>
      <c r="E669" s="8"/>
      <c r="F669" s="8"/>
      <c r="G669" s="8"/>
      <c r="H669" s="8"/>
      <c r="I669" s="8"/>
      <c r="J669" s="5"/>
      <c r="K669" s="5"/>
      <c r="L669" s="5"/>
    </row>
    <row r="670" customFormat="false" ht="15" hidden="false" customHeight="false" outlineLevel="0" collapsed="false">
      <c r="A670" s="8"/>
      <c r="B670" s="8"/>
      <c r="C670" s="8"/>
      <c r="D670" s="8"/>
      <c r="E670" s="8"/>
      <c r="F670" s="8"/>
      <c r="G670" s="8"/>
      <c r="H670" s="8"/>
      <c r="I670" s="8"/>
      <c r="J670" s="5"/>
      <c r="K670" s="5"/>
      <c r="L670" s="5"/>
    </row>
    <row r="671" customFormat="false" ht="15" hidden="false" customHeight="false" outlineLevel="0" collapsed="false">
      <c r="A671" s="8"/>
      <c r="B671" s="8"/>
      <c r="C671" s="8"/>
      <c r="D671" s="8"/>
      <c r="E671" s="8"/>
      <c r="F671" s="8"/>
      <c r="G671" s="8"/>
      <c r="H671" s="8"/>
      <c r="I671" s="8"/>
      <c r="J671" s="5"/>
      <c r="K671" s="5"/>
      <c r="L671" s="5"/>
    </row>
    <row r="672" customFormat="false" ht="15" hidden="false" customHeight="false" outlineLevel="0" collapsed="false">
      <c r="A672" s="8"/>
      <c r="B672" s="8"/>
      <c r="C672" s="8"/>
      <c r="D672" s="8"/>
      <c r="E672" s="8"/>
      <c r="F672" s="8"/>
      <c r="G672" s="8"/>
      <c r="H672" s="8"/>
      <c r="I672" s="8"/>
      <c r="J672" s="5"/>
      <c r="K672" s="5"/>
      <c r="L672" s="5"/>
    </row>
    <row r="673" customFormat="false" ht="15" hidden="false" customHeight="false" outlineLevel="0" collapsed="false">
      <c r="A673" s="8"/>
      <c r="B673" s="8"/>
      <c r="C673" s="8"/>
      <c r="D673" s="8"/>
      <c r="E673" s="8"/>
      <c r="F673" s="8"/>
      <c r="G673" s="8"/>
      <c r="H673" s="8"/>
      <c r="I673" s="8"/>
      <c r="J673" s="5"/>
      <c r="K673" s="5"/>
      <c r="L673" s="5"/>
    </row>
    <row r="674" customFormat="false" ht="15" hidden="false" customHeight="false" outlineLevel="0" collapsed="false">
      <c r="A674" s="6"/>
      <c r="B674" s="7"/>
      <c r="C674" s="8"/>
      <c r="D674" s="8"/>
      <c r="E674" s="8"/>
      <c r="F674" s="8"/>
      <c r="G674" s="8"/>
      <c r="H674" s="8"/>
      <c r="I674" s="8"/>
      <c r="J674" s="5"/>
      <c r="K674" s="5"/>
      <c r="L674" s="5"/>
    </row>
    <row r="675" customFormat="false" ht="15" hidden="false" customHeight="false" outlineLevel="0" collapsed="false">
      <c r="A675" s="8"/>
      <c r="B675" s="8"/>
      <c r="C675" s="8"/>
      <c r="D675" s="8"/>
      <c r="E675" s="8"/>
      <c r="F675" s="8"/>
      <c r="G675" s="8"/>
      <c r="H675" s="8"/>
      <c r="I675" s="8"/>
      <c r="J675" s="5"/>
      <c r="K675" s="5"/>
      <c r="L675" s="5"/>
    </row>
    <row r="676" customFormat="false" ht="15" hidden="false" customHeight="false" outlineLevel="0" collapsed="false">
      <c r="A676" s="8"/>
      <c r="B676" s="8"/>
      <c r="C676" s="8"/>
      <c r="D676" s="8"/>
      <c r="E676" s="8"/>
      <c r="F676" s="8"/>
      <c r="G676" s="8"/>
      <c r="H676" s="8"/>
      <c r="I676" s="8"/>
      <c r="J676" s="5"/>
      <c r="K676" s="5"/>
      <c r="L676" s="5"/>
    </row>
    <row r="677" customFormat="false" ht="15" hidden="false" customHeight="false" outlineLevel="0" collapsed="false">
      <c r="A677" s="8"/>
      <c r="B677" s="8"/>
      <c r="C677" s="8"/>
      <c r="D677" s="8"/>
      <c r="E677" s="8"/>
      <c r="F677" s="8"/>
      <c r="G677" s="8"/>
      <c r="H677" s="8"/>
      <c r="I677" s="8"/>
      <c r="J677" s="5"/>
      <c r="K677" s="5"/>
      <c r="L677" s="5"/>
    </row>
    <row r="678" customFormat="false" ht="15" hidden="false" customHeight="false" outlineLevel="0" collapsed="false">
      <c r="A678" s="8"/>
      <c r="B678" s="8"/>
      <c r="C678" s="8"/>
      <c r="D678" s="8"/>
      <c r="E678" s="8"/>
      <c r="F678" s="8"/>
      <c r="G678" s="8"/>
      <c r="H678" s="8"/>
      <c r="I678" s="8"/>
      <c r="J678" s="5"/>
      <c r="K678" s="5"/>
      <c r="L678" s="5"/>
    </row>
    <row r="679" customFormat="false" ht="15" hidden="false" customHeight="false" outlineLevel="0" collapsed="false">
      <c r="A679" s="8"/>
      <c r="B679" s="8"/>
      <c r="C679" s="8"/>
      <c r="D679" s="8"/>
      <c r="E679" s="8"/>
      <c r="F679" s="8"/>
      <c r="G679" s="8"/>
      <c r="H679" s="8"/>
      <c r="I679" s="8"/>
      <c r="J679" s="5"/>
      <c r="K679" s="5"/>
      <c r="L679" s="5"/>
    </row>
    <row r="680" customFormat="false" ht="15" hidden="false" customHeight="false" outlineLevel="0" collapsed="false">
      <c r="A680" s="8"/>
      <c r="B680" s="8"/>
      <c r="C680" s="8"/>
      <c r="D680" s="8"/>
      <c r="E680" s="8"/>
      <c r="F680" s="8"/>
      <c r="G680" s="8"/>
      <c r="H680" s="8"/>
      <c r="I680" s="8"/>
      <c r="J680" s="5"/>
      <c r="K680" s="5"/>
      <c r="L680" s="5"/>
    </row>
    <row r="681" customFormat="false" ht="15" hidden="false" customHeight="false" outlineLevel="0" collapsed="false">
      <c r="A681" s="8"/>
      <c r="B681" s="8"/>
      <c r="C681" s="8"/>
      <c r="D681" s="8"/>
      <c r="E681" s="8"/>
      <c r="F681" s="8"/>
      <c r="G681" s="8"/>
      <c r="H681" s="8"/>
      <c r="I681" s="8"/>
      <c r="J681" s="5"/>
      <c r="K681" s="5"/>
      <c r="L681" s="5"/>
    </row>
    <row r="682" customFormat="false" ht="15" hidden="false" customHeight="false" outlineLevel="0" collapsed="false">
      <c r="A682" s="8"/>
      <c r="B682" s="8"/>
      <c r="C682" s="8"/>
      <c r="D682" s="8"/>
      <c r="E682" s="8"/>
      <c r="F682" s="8"/>
      <c r="G682" s="8"/>
      <c r="H682" s="8"/>
      <c r="I682" s="8"/>
      <c r="J682" s="5"/>
      <c r="K682" s="5"/>
      <c r="L682" s="5"/>
    </row>
    <row r="683" customFormat="false" ht="15" hidden="false" customHeight="false" outlineLevel="0" collapsed="false">
      <c r="A683" s="8"/>
      <c r="B683" s="8"/>
      <c r="C683" s="8"/>
      <c r="D683" s="8"/>
      <c r="E683" s="8"/>
      <c r="F683" s="8"/>
      <c r="G683" s="8"/>
      <c r="H683" s="8"/>
      <c r="I683" s="8"/>
      <c r="J683" s="5"/>
      <c r="K683" s="5"/>
      <c r="L683" s="5"/>
    </row>
    <row r="684" customFormat="false" ht="15" hidden="false" customHeight="false" outlineLevel="0" collapsed="false">
      <c r="A684" s="8"/>
      <c r="B684" s="8"/>
      <c r="C684" s="8"/>
      <c r="D684" s="8"/>
      <c r="E684" s="8"/>
      <c r="F684" s="8"/>
      <c r="G684" s="8"/>
      <c r="H684" s="8"/>
      <c r="I684" s="8"/>
      <c r="J684" s="5"/>
      <c r="K684" s="5"/>
      <c r="L684" s="5"/>
    </row>
    <row r="685" customFormat="false" ht="15" hidden="false" customHeight="false" outlineLevel="0" collapsed="false">
      <c r="A685" s="8"/>
      <c r="B685" s="8"/>
      <c r="C685" s="8"/>
      <c r="D685" s="8"/>
      <c r="E685" s="8"/>
      <c r="F685" s="8"/>
      <c r="G685" s="8"/>
      <c r="H685" s="8"/>
      <c r="I685" s="8"/>
      <c r="J685" s="5"/>
      <c r="K685" s="5"/>
      <c r="L685" s="5"/>
    </row>
    <row r="686" customFormat="false" ht="15" hidden="false" customHeight="false" outlineLevel="0" collapsed="false">
      <c r="A686" s="8"/>
      <c r="B686" s="8"/>
      <c r="C686" s="8"/>
      <c r="D686" s="8"/>
      <c r="E686" s="8"/>
      <c r="F686" s="8"/>
      <c r="G686" s="8"/>
      <c r="H686" s="8"/>
      <c r="I686" s="8"/>
      <c r="J686" s="5"/>
      <c r="K686" s="5"/>
      <c r="L686" s="5"/>
    </row>
    <row r="687" customFormat="false" ht="15" hidden="false" customHeight="false" outlineLevel="0" collapsed="false">
      <c r="A687" s="8"/>
      <c r="B687" s="8"/>
      <c r="C687" s="8"/>
      <c r="D687" s="8"/>
      <c r="E687" s="8"/>
      <c r="F687" s="8"/>
      <c r="G687" s="8"/>
      <c r="H687" s="8"/>
      <c r="I687" s="8"/>
      <c r="J687" s="5"/>
      <c r="K687" s="5"/>
      <c r="L687" s="5"/>
    </row>
    <row r="688" customFormat="false" ht="15" hidden="false" customHeight="false" outlineLevel="0" collapsed="false">
      <c r="A688" s="8"/>
      <c r="B688" s="8"/>
      <c r="C688" s="8"/>
      <c r="D688" s="8"/>
      <c r="E688" s="8"/>
      <c r="F688" s="8"/>
      <c r="G688" s="8"/>
      <c r="H688" s="8"/>
      <c r="I688" s="8"/>
      <c r="J688" s="5"/>
      <c r="K688" s="5"/>
      <c r="L688" s="5"/>
    </row>
    <row r="689" customFormat="false" ht="15" hidden="false" customHeight="false" outlineLevel="0" collapsed="false">
      <c r="A689" s="8"/>
      <c r="B689" s="8"/>
      <c r="C689" s="8"/>
      <c r="D689" s="8"/>
      <c r="E689" s="8"/>
      <c r="F689" s="8"/>
      <c r="G689" s="8"/>
      <c r="H689" s="8"/>
      <c r="I689" s="8"/>
      <c r="J689" s="5"/>
      <c r="K689" s="5"/>
      <c r="L689" s="5"/>
    </row>
    <row r="690" customFormat="false" ht="15" hidden="false" customHeight="false" outlineLevel="0" collapsed="false">
      <c r="A690" s="8"/>
      <c r="B690" s="8"/>
      <c r="C690" s="8"/>
      <c r="D690" s="8"/>
      <c r="E690" s="8"/>
      <c r="F690" s="8"/>
      <c r="G690" s="8"/>
      <c r="H690" s="8"/>
      <c r="I690" s="8"/>
      <c r="J690" s="5"/>
      <c r="K690" s="5"/>
      <c r="L690" s="5"/>
    </row>
    <row r="691" customFormat="false" ht="15" hidden="false" customHeight="false" outlineLevel="0" collapsed="false">
      <c r="A691" s="8"/>
      <c r="B691" s="8"/>
      <c r="C691" s="8"/>
      <c r="D691" s="8"/>
      <c r="E691" s="8"/>
      <c r="F691" s="8"/>
      <c r="G691" s="8"/>
      <c r="H691" s="8"/>
      <c r="I691" s="8"/>
      <c r="J691" s="5"/>
      <c r="K691" s="5"/>
      <c r="L691" s="5"/>
    </row>
    <row r="692" customFormat="false" ht="15" hidden="false" customHeight="false" outlineLevel="0" collapsed="false">
      <c r="A692" s="8"/>
      <c r="B692" s="8"/>
      <c r="C692" s="8"/>
      <c r="D692" s="8"/>
      <c r="E692" s="8"/>
      <c r="F692" s="8"/>
      <c r="G692" s="8"/>
      <c r="H692" s="8"/>
      <c r="I692" s="8"/>
      <c r="J692" s="5"/>
      <c r="K692" s="5"/>
      <c r="L692" s="5"/>
    </row>
    <row r="693" customFormat="false" ht="15" hidden="false" customHeight="false" outlineLevel="0" collapsed="false">
      <c r="A693" s="8"/>
      <c r="B693" s="8"/>
      <c r="C693" s="8"/>
      <c r="D693" s="8"/>
      <c r="E693" s="8"/>
      <c r="F693" s="8"/>
      <c r="G693" s="8"/>
      <c r="H693" s="8"/>
      <c r="I693" s="8"/>
      <c r="J693" s="5"/>
      <c r="K693" s="5"/>
      <c r="L693" s="5"/>
    </row>
    <row r="694" customFormat="false" ht="15" hidden="false" customHeight="false" outlineLevel="0" collapsed="false">
      <c r="A694" s="8"/>
      <c r="B694" s="8"/>
      <c r="C694" s="8"/>
      <c r="D694" s="8"/>
      <c r="E694" s="8"/>
      <c r="F694" s="8"/>
      <c r="G694" s="8"/>
      <c r="H694" s="8"/>
      <c r="I694" s="8"/>
      <c r="J694" s="5"/>
      <c r="K694" s="5"/>
      <c r="L694" s="5"/>
    </row>
    <row r="695" customFormat="false" ht="15" hidden="false" customHeight="false" outlineLevel="0" collapsed="false">
      <c r="A695" s="8"/>
      <c r="B695" s="8"/>
      <c r="C695" s="8"/>
      <c r="D695" s="8"/>
      <c r="E695" s="8"/>
      <c r="F695" s="8"/>
      <c r="G695" s="8"/>
      <c r="H695" s="8"/>
      <c r="I695" s="8"/>
      <c r="J695" s="5"/>
      <c r="K695" s="5"/>
      <c r="L695" s="5"/>
    </row>
    <row r="696" customFormat="false" ht="15" hidden="false" customHeight="false" outlineLevel="0" collapsed="false">
      <c r="A696" s="8"/>
      <c r="B696" s="8"/>
      <c r="C696" s="8"/>
      <c r="D696" s="8"/>
      <c r="E696" s="8"/>
      <c r="F696" s="8"/>
      <c r="G696" s="8"/>
      <c r="H696" s="8"/>
      <c r="I696" s="8"/>
      <c r="J696" s="5"/>
      <c r="K696" s="5"/>
      <c r="L696" s="5"/>
    </row>
    <row r="697" customFormat="false" ht="15" hidden="false" customHeight="false" outlineLevel="0" collapsed="false">
      <c r="A697" s="8"/>
      <c r="B697" s="8"/>
      <c r="C697" s="8"/>
      <c r="D697" s="8"/>
      <c r="E697" s="8"/>
      <c r="F697" s="8"/>
      <c r="G697" s="8"/>
      <c r="H697" s="8"/>
      <c r="I697" s="8"/>
      <c r="J697" s="5"/>
      <c r="K697" s="5"/>
      <c r="L697" s="5"/>
    </row>
    <row r="698" customFormat="false" ht="15" hidden="false" customHeight="false" outlineLevel="0" collapsed="false">
      <c r="A698" s="8"/>
      <c r="B698" s="8"/>
      <c r="C698" s="8"/>
      <c r="D698" s="8"/>
      <c r="E698" s="8"/>
      <c r="F698" s="8"/>
      <c r="G698" s="8"/>
      <c r="H698" s="8"/>
      <c r="I698" s="8"/>
      <c r="J698" s="5"/>
      <c r="K698" s="5"/>
      <c r="L698" s="5"/>
    </row>
    <row r="699" customFormat="false" ht="15" hidden="false" customHeight="false" outlineLevel="0" collapsed="false">
      <c r="A699" s="8"/>
      <c r="B699" s="8"/>
      <c r="C699" s="8"/>
      <c r="D699" s="8"/>
      <c r="E699" s="8"/>
      <c r="F699" s="8"/>
      <c r="G699" s="8"/>
      <c r="H699" s="8"/>
      <c r="I699" s="8"/>
      <c r="J699" s="5"/>
      <c r="K699" s="5"/>
      <c r="L699" s="5"/>
    </row>
    <row r="700" customFormat="false" ht="15" hidden="false" customHeight="false" outlineLevel="0" collapsed="false">
      <c r="A700" s="8"/>
      <c r="B700" s="8"/>
      <c r="C700" s="8"/>
      <c r="D700" s="8"/>
      <c r="E700" s="8"/>
      <c r="F700" s="8"/>
      <c r="G700" s="8"/>
      <c r="H700" s="8"/>
      <c r="I700" s="8"/>
      <c r="J700" s="5"/>
      <c r="K700" s="5"/>
      <c r="L700" s="5"/>
    </row>
    <row r="701" customFormat="false" ht="15" hidden="false" customHeight="false" outlineLevel="0" collapsed="false">
      <c r="A701" s="8"/>
      <c r="B701" s="8"/>
      <c r="C701" s="8"/>
      <c r="D701" s="8"/>
      <c r="E701" s="8"/>
      <c r="F701" s="8"/>
      <c r="G701" s="8"/>
      <c r="H701" s="8"/>
      <c r="I701" s="8"/>
      <c r="J701" s="5"/>
      <c r="K701" s="5"/>
      <c r="L701" s="5"/>
    </row>
    <row r="702" customFormat="false" ht="15" hidden="false" customHeight="false" outlineLevel="0" collapsed="false">
      <c r="A702" s="8"/>
      <c r="B702" s="8"/>
      <c r="C702" s="8"/>
      <c r="D702" s="8"/>
      <c r="E702" s="8"/>
      <c r="F702" s="8"/>
      <c r="G702" s="8"/>
      <c r="H702" s="8"/>
      <c r="I702" s="8"/>
      <c r="J702" s="5"/>
      <c r="K702" s="5"/>
      <c r="L702" s="5"/>
    </row>
    <row r="703" customFormat="false" ht="15" hidden="false" customHeight="false" outlineLevel="0" collapsed="false">
      <c r="A703" s="8"/>
      <c r="B703" s="8"/>
      <c r="C703" s="8"/>
      <c r="D703" s="8"/>
      <c r="E703" s="8"/>
      <c r="F703" s="8"/>
      <c r="G703" s="8"/>
      <c r="H703" s="8"/>
      <c r="I703" s="8"/>
      <c r="J703" s="5"/>
      <c r="K703" s="5"/>
      <c r="L703" s="5"/>
    </row>
    <row r="704" customFormat="false" ht="15" hidden="false" customHeight="false" outlineLevel="0" collapsed="false">
      <c r="A704" s="8"/>
      <c r="B704" s="8"/>
      <c r="C704" s="8"/>
      <c r="D704" s="8"/>
      <c r="E704" s="8"/>
      <c r="F704" s="8"/>
      <c r="G704" s="8"/>
      <c r="H704" s="8"/>
      <c r="I704" s="8"/>
      <c r="J704" s="5"/>
      <c r="K704" s="5"/>
      <c r="L704" s="5"/>
    </row>
    <row r="705" customFormat="false" ht="15" hidden="false" customHeight="false" outlineLevel="0" collapsed="false">
      <c r="A705" s="8"/>
      <c r="B705" s="8"/>
      <c r="C705" s="8"/>
      <c r="D705" s="8"/>
      <c r="E705" s="8"/>
      <c r="F705" s="8"/>
      <c r="G705" s="8"/>
      <c r="H705" s="8"/>
      <c r="I705" s="8"/>
      <c r="J705" s="5"/>
      <c r="K705" s="5"/>
      <c r="L705" s="5"/>
    </row>
    <row r="706" customFormat="false" ht="15" hidden="false" customHeight="false" outlineLevel="0" collapsed="false">
      <c r="A706" s="8"/>
      <c r="B706" s="8"/>
      <c r="C706" s="8"/>
      <c r="D706" s="8"/>
      <c r="E706" s="8"/>
      <c r="F706" s="8"/>
      <c r="G706" s="8"/>
      <c r="H706" s="8"/>
      <c r="I706" s="8"/>
      <c r="J706" s="5"/>
      <c r="K706" s="5"/>
      <c r="L706" s="5"/>
    </row>
    <row r="707" customFormat="false" ht="15" hidden="false" customHeight="false" outlineLevel="0" collapsed="false">
      <c r="A707" s="8"/>
      <c r="B707" s="8"/>
      <c r="C707" s="8"/>
      <c r="D707" s="8"/>
      <c r="E707" s="8"/>
      <c r="F707" s="8"/>
      <c r="G707" s="8"/>
      <c r="H707" s="8"/>
      <c r="I707" s="8"/>
      <c r="J707" s="5"/>
      <c r="K707" s="5"/>
      <c r="L707" s="5"/>
    </row>
    <row r="708" customFormat="false" ht="15" hidden="false" customHeight="false" outlineLevel="0" collapsed="false">
      <c r="A708" s="8"/>
      <c r="B708" s="8"/>
      <c r="C708" s="8"/>
      <c r="D708" s="8"/>
      <c r="E708" s="8"/>
      <c r="F708" s="8"/>
      <c r="G708" s="8"/>
      <c r="H708" s="8"/>
      <c r="I708" s="8"/>
      <c r="J708" s="5"/>
      <c r="K708" s="5"/>
      <c r="L708" s="5"/>
    </row>
    <row r="709" customFormat="false" ht="15" hidden="false" customHeight="false" outlineLevel="0" collapsed="false">
      <c r="A709" s="8"/>
      <c r="B709" s="8"/>
      <c r="C709" s="8"/>
      <c r="D709" s="8"/>
      <c r="E709" s="8"/>
      <c r="F709" s="8"/>
      <c r="G709" s="8"/>
      <c r="H709" s="8"/>
      <c r="I709" s="8"/>
      <c r="J709" s="5"/>
      <c r="K709" s="5"/>
      <c r="L709" s="5"/>
    </row>
  </sheetData>
  <autoFilter ref="A1:J46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6" t="s">
        <v>29</v>
      </c>
      <c r="B1" s="17" t="s">
        <v>8</v>
      </c>
      <c r="C1" s="18"/>
      <c r="D1" s="18"/>
      <c r="E1" s="18"/>
      <c r="F1" s="18"/>
      <c r="G1" s="18"/>
      <c r="H1" s="19"/>
    </row>
    <row r="2" customFormat="false" ht="12.8" hidden="false" customHeight="false" outlineLevel="0" collapsed="false">
      <c r="A2" s="20" t="s">
        <v>3</v>
      </c>
      <c r="B2" s="21" t="s">
        <v>27</v>
      </c>
      <c r="C2" s="22" t="s">
        <v>21</v>
      </c>
      <c r="D2" s="22" t="s">
        <v>12</v>
      </c>
      <c r="E2" s="22" t="s">
        <v>19</v>
      </c>
      <c r="F2" s="22" t="s">
        <v>23</v>
      </c>
      <c r="G2" s="22" t="s">
        <v>22</v>
      </c>
      <c r="H2" s="23" t="s">
        <v>30</v>
      </c>
    </row>
    <row r="3" customFormat="false" ht="12.8" hidden="false" customHeight="false" outlineLevel="0" collapsed="false">
      <c r="A3" s="24" t="s">
        <v>26</v>
      </c>
      <c r="B3" s="25" t="n">
        <v>85480</v>
      </c>
      <c r="C3" s="26"/>
      <c r="D3" s="26"/>
      <c r="E3" s="26"/>
      <c r="F3" s="27" t="n">
        <v>4380</v>
      </c>
      <c r="G3" s="28" t="n">
        <v>9400</v>
      </c>
      <c r="H3" s="29" t="n">
        <v>99260</v>
      </c>
    </row>
    <row r="4" customFormat="false" ht="12.8" hidden="false" customHeight="false" outlineLevel="0" collapsed="false">
      <c r="A4" s="30" t="s">
        <v>20</v>
      </c>
      <c r="B4" s="31"/>
      <c r="C4" s="32" t="n">
        <v>3900</v>
      </c>
      <c r="D4" s="32" t="n">
        <v>10700</v>
      </c>
      <c r="E4" s="33"/>
      <c r="F4" s="33"/>
      <c r="G4" s="34"/>
      <c r="H4" s="35" t="n">
        <v>14600</v>
      </c>
    </row>
    <row r="5" customFormat="false" ht="12.8" hidden="false" customHeight="false" outlineLevel="0" collapsed="false">
      <c r="A5" s="30" t="s">
        <v>18</v>
      </c>
      <c r="B5" s="31"/>
      <c r="C5" s="33"/>
      <c r="D5" s="32" t="n">
        <v>190600</v>
      </c>
      <c r="E5" s="32" t="n">
        <v>13920</v>
      </c>
      <c r="F5" s="32" t="n">
        <v>12720</v>
      </c>
      <c r="G5" s="34"/>
      <c r="H5" s="35" t="n">
        <v>217240</v>
      </c>
    </row>
    <row r="6" customFormat="false" ht="12.8" hidden="false" customHeight="false" outlineLevel="0" collapsed="false">
      <c r="A6" s="30" t="s">
        <v>10</v>
      </c>
      <c r="B6" s="31"/>
      <c r="C6" s="33"/>
      <c r="D6" s="32" t="n">
        <v>564780</v>
      </c>
      <c r="E6" s="32" t="n">
        <v>5860</v>
      </c>
      <c r="F6" s="32" t="n">
        <v>10760</v>
      </c>
      <c r="G6" s="34"/>
      <c r="H6" s="35" t="n">
        <v>581400</v>
      </c>
    </row>
    <row r="7" customFormat="false" ht="12.8" hidden="false" customHeight="false" outlineLevel="0" collapsed="false">
      <c r="A7" s="30" t="s">
        <v>17</v>
      </c>
      <c r="B7" s="31"/>
      <c r="C7" s="33"/>
      <c r="D7" s="32" t="n">
        <v>19000</v>
      </c>
      <c r="E7" s="33"/>
      <c r="F7" s="33"/>
      <c r="G7" s="34"/>
      <c r="H7" s="35" t="n">
        <v>19000</v>
      </c>
    </row>
    <row r="8" customFormat="false" ht="12.8" hidden="false" customHeight="false" outlineLevel="0" collapsed="false">
      <c r="A8" s="30" t="s">
        <v>24</v>
      </c>
      <c r="B8" s="31"/>
      <c r="C8" s="33"/>
      <c r="D8" s="32" t="n">
        <v>75100</v>
      </c>
      <c r="E8" s="33"/>
      <c r="F8" s="33"/>
      <c r="G8" s="34"/>
      <c r="H8" s="35" t="n">
        <v>75100</v>
      </c>
    </row>
    <row r="9" customFormat="false" ht="12.8" hidden="false" customHeight="false" outlineLevel="0" collapsed="false">
      <c r="A9" s="30" t="s">
        <v>16</v>
      </c>
      <c r="B9" s="31"/>
      <c r="C9" s="33"/>
      <c r="D9" s="32" t="n">
        <v>18900</v>
      </c>
      <c r="E9" s="33"/>
      <c r="F9" s="33"/>
      <c r="G9" s="36" t="n">
        <v>9000</v>
      </c>
      <c r="H9" s="35" t="n">
        <v>27900</v>
      </c>
    </row>
    <row r="10" customFormat="false" ht="12.8" hidden="false" customHeight="false" outlineLevel="0" collapsed="false">
      <c r="A10" s="30" t="s">
        <v>14</v>
      </c>
      <c r="B10" s="31"/>
      <c r="C10" s="33"/>
      <c r="D10" s="32" t="n">
        <v>602760</v>
      </c>
      <c r="E10" s="33"/>
      <c r="F10" s="33"/>
      <c r="G10" s="34"/>
      <c r="H10" s="35" t="n">
        <v>602760</v>
      </c>
    </row>
    <row r="11" customFormat="false" ht="12.8" hidden="false" customHeight="false" outlineLevel="0" collapsed="false">
      <c r="A11" s="30" t="s">
        <v>15</v>
      </c>
      <c r="B11" s="31"/>
      <c r="C11" s="33"/>
      <c r="D11" s="32" t="n">
        <v>40800</v>
      </c>
      <c r="E11" s="33"/>
      <c r="F11" s="33"/>
      <c r="G11" s="34"/>
      <c r="H11" s="35" t="n">
        <v>40800</v>
      </c>
    </row>
    <row r="12" customFormat="false" ht="12.8" hidden="false" customHeight="false" outlineLevel="0" collapsed="false">
      <c r="A12" s="30" t="s">
        <v>25</v>
      </c>
      <c r="B12" s="37"/>
      <c r="C12" s="38" t="n">
        <v>900</v>
      </c>
      <c r="D12" s="39"/>
      <c r="E12" s="39"/>
      <c r="F12" s="39"/>
      <c r="G12" s="40" t="n">
        <v>8600</v>
      </c>
      <c r="H12" s="41" t="n">
        <v>9500</v>
      </c>
    </row>
    <row r="13" customFormat="false" ht="12.8" hidden="false" customHeight="false" outlineLevel="0" collapsed="false">
      <c r="A13" s="42" t="s">
        <v>30</v>
      </c>
      <c r="B13" s="43" t="n">
        <v>85480</v>
      </c>
      <c r="C13" s="44" t="n">
        <v>4800</v>
      </c>
      <c r="D13" s="44" t="n">
        <v>1522640</v>
      </c>
      <c r="E13" s="44" t="n">
        <v>19780</v>
      </c>
      <c r="F13" s="44" t="n">
        <v>27860</v>
      </c>
      <c r="G13" s="45" t="n">
        <v>27000</v>
      </c>
      <c r="H13" s="46" t="n">
        <v>1687560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7" activeCellId="0" sqref="D77"/>
    </sheetView>
  </sheetViews>
  <sheetFormatPr defaultColWidth="8.48828125" defaultRowHeight="13.8" zeroHeight="false" outlineLevelRow="0" outlineLevelCol="0"/>
  <cols>
    <col collapsed="false" customWidth="true" hidden="false" outlineLevel="0" max="1" min="1" style="47" width="16.58"/>
    <col collapsed="false" customWidth="true" hidden="false" outlineLevel="0" max="2" min="2" style="48" width="19.45"/>
    <col collapsed="false" customWidth="true" hidden="false" outlineLevel="0" max="3" min="3" style="48" width="11.76"/>
    <col collapsed="false" customWidth="true" hidden="false" outlineLevel="0" max="4" min="4" style="47" width="14.78"/>
    <col collapsed="false" customWidth="true" hidden="false" outlineLevel="0" max="6" min="5" style="48" width="12.37"/>
    <col collapsed="false" customWidth="true" hidden="false" outlineLevel="0" max="7" min="7" style="48" width="14.78"/>
    <col collapsed="false" customWidth="true" hidden="false" outlineLevel="0" max="8" min="8" style="48" width="15.95"/>
    <col collapsed="false" customWidth="true" hidden="false" outlineLevel="0" max="9" min="9" style="48" width="17.4"/>
    <col collapsed="false" customWidth="false" hidden="false" outlineLevel="0" max="11" min="10" style="48" width="8.48"/>
    <col collapsed="false" customWidth="true" hidden="false" outlineLevel="0" max="12" min="12" style="48" width="8.97"/>
    <col collapsed="false" customWidth="true" hidden="false" outlineLevel="0" max="13" min="13" style="48" width="14.04"/>
    <col collapsed="false" customWidth="true" hidden="false" outlineLevel="0" max="14" min="14" style="48" width="7.78"/>
    <col collapsed="false" customWidth="false" hidden="false" outlineLevel="0" max="1024" min="15" style="48" width="8.48"/>
  </cols>
  <sheetData>
    <row r="1" customFormat="false" ht="13.8" hidden="false" customHeight="false" outlineLevel="0" collapsed="false">
      <c r="A1" s="47" t="n">
        <v>1</v>
      </c>
      <c r="B1" s="47" t="n">
        <v>2</v>
      </c>
      <c r="C1" s="47" t="n">
        <v>3</v>
      </c>
      <c r="D1" s="47" t="n">
        <v>4</v>
      </c>
      <c r="E1" s="47" t="n">
        <v>5</v>
      </c>
      <c r="F1" s="47" t="n">
        <v>6</v>
      </c>
      <c r="G1" s="47" t="n">
        <v>7</v>
      </c>
    </row>
    <row r="2" customFormat="false" ht="13.8" hidden="false" customHeight="false" outlineLevel="0" collapsed="false">
      <c r="A2" s="49" t="s">
        <v>3</v>
      </c>
      <c r="B2" s="50" t="s">
        <v>31</v>
      </c>
      <c r="C2" s="51" t="s">
        <v>21</v>
      </c>
      <c r="D2" s="51" t="s">
        <v>12</v>
      </c>
      <c r="E2" s="51" t="s">
        <v>19</v>
      </c>
      <c r="F2" s="51" t="s">
        <v>23</v>
      </c>
      <c r="G2" s="51" t="s">
        <v>32</v>
      </c>
      <c r="H2" s="52" t="s">
        <v>30</v>
      </c>
    </row>
    <row r="3" customFormat="false" ht="13.8" hidden="false" customHeight="false" outlineLevel="0" collapsed="false">
      <c r="A3" s="53" t="s">
        <v>26</v>
      </c>
      <c r="B3" s="54" t="n">
        <v>85480</v>
      </c>
      <c r="C3" s="55"/>
      <c r="D3" s="55"/>
      <c r="E3" s="55"/>
      <c r="F3" s="55" t="n">
        <v>4380</v>
      </c>
      <c r="G3" s="56" t="n">
        <v>9400</v>
      </c>
      <c r="H3" s="57" t="n">
        <f aca="false">SUM(B3:G3)</f>
        <v>99260</v>
      </c>
    </row>
    <row r="4" customFormat="false" ht="13.8" hidden="false" customHeight="false" outlineLevel="0" collapsed="false">
      <c r="A4" s="58" t="s">
        <v>20</v>
      </c>
      <c r="B4" s="59"/>
      <c r="C4" s="60" t="n">
        <v>3900</v>
      </c>
      <c r="D4" s="60" t="n">
        <v>10700</v>
      </c>
      <c r="E4" s="60"/>
      <c r="F4" s="60"/>
      <c r="G4" s="61"/>
      <c r="H4" s="57" t="n">
        <f aca="false">SUM(B4:G4)</f>
        <v>14600</v>
      </c>
    </row>
    <row r="5" customFormat="false" ht="13.8" hidden="false" customHeight="false" outlineLevel="0" collapsed="false">
      <c r="A5" s="58" t="s">
        <v>18</v>
      </c>
      <c r="B5" s="59"/>
      <c r="C5" s="60"/>
      <c r="D5" s="60" t="n">
        <v>190600</v>
      </c>
      <c r="E5" s="60" t="n">
        <v>13920</v>
      </c>
      <c r="F5" s="60" t="n">
        <v>12720</v>
      </c>
      <c r="G5" s="61"/>
      <c r="H5" s="57" t="n">
        <f aca="false">SUM(B5:G5)</f>
        <v>217240</v>
      </c>
    </row>
    <row r="6" customFormat="false" ht="13.8" hidden="false" customHeight="false" outlineLevel="0" collapsed="false">
      <c r="A6" s="58" t="s">
        <v>10</v>
      </c>
      <c r="B6" s="59"/>
      <c r="C6" s="60"/>
      <c r="D6" s="60" t="n">
        <v>564780</v>
      </c>
      <c r="E6" s="60" t="n">
        <v>5860</v>
      </c>
      <c r="F6" s="60" t="n">
        <v>10760</v>
      </c>
      <c r="G6" s="61"/>
      <c r="H6" s="57" t="n">
        <f aca="false">SUM(B6:G6)</f>
        <v>581400</v>
      </c>
    </row>
    <row r="7" customFormat="false" ht="13.8" hidden="false" customHeight="false" outlineLevel="0" collapsed="false">
      <c r="A7" s="58" t="s">
        <v>17</v>
      </c>
      <c r="B7" s="59"/>
      <c r="C7" s="60"/>
      <c r="D7" s="60" t="n">
        <v>19000</v>
      </c>
      <c r="E7" s="60"/>
      <c r="F7" s="60"/>
      <c r="G7" s="61"/>
      <c r="H7" s="57" t="n">
        <f aca="false">SUM(B7:G7)</f>
        <v>19000</v>
      </c>
    </row>
    <row r="8" customFormat="false" ht="13.8" hidden="false" customHeight="false" outlineLevel="0" collapsed="false">
      <c r="A8" s="58" t="s">
        <v>24</v>
      </c>
      <c r="B8" s="59"/>
      <c r="C8" s="60"/>
      <c r="D8" s="60" t="n">
        <v>75100</v>
      </c>
      <c r="E8" s="60"/>
      <c r="F8" s="60"/>
      <c r="G8" s="61"/>
      <c r="H8" s="57" t="n">
        <f aca="false">SUM(B8:G8)</f>
        <v>75100</v>
      </c>
    </row>
    <row r="9" customFormat="false" ht="13.8" hidden="false" customHeight="false" outlineLevel="0" collapsed="false">
      <c r="A9" s="58" t="s">
        <v>16</v>
      </c>
      <c r="B9" s="59"/>
      <c r="C9" s="60"/>
      <c r="D9" s="60" t="n">
        <v>18900</v>
      </c>
      <c r="E9" s="60"/>
      <c r="F9" s="60"/>
      <c r="G9" s="61" t="n">
        <v>9000</v>
      </c>
      <c r="H9" s="57" t="n">
        <f aca="false">SUM(B9:G9)</f>
        <v>27900</v>
      </c>
    </row>
    <row r="10" customFormat="false" ht="13.8" hidden="false" customHeight="false" outlineLevel="0" collapsed="false">
      <c r="A10" s="58" t="s">
        <v>14</v>
      </c>
      <c r="B10" s="59"/>
      <c r="C10" s="60"/>
      <c r="D10" s="60" t="n">
        <v>602760</v>
      </c>
      <c r="E10" s="60"/>
      <c r="F10" s="60"/>
      <c r="G10" s="61"/>
      <c r="H10" s="57" t="n">
        <f aca="false">SUM(B10:G10)</f>
        <v>602760</v>
      </c>
    </row>
    <row r="11" customFormat="false" ht="13.8" hidden="false" customHeight="false" outlineLevel="0" collapsed="false">
      <c r="A11" s="58" t="s">
        <v>15</v>
      </c>
      <c r="B11" s="59"/>
      <c r="C11" s="60"/>
      <c r="D11" s="60" t="n">
        <v>40800</v>
      </c>
      <c r="E11" s="60"/>
      <c r="F11" s="60"/>
      <c r="G11" s="61"/>
      <c r="H11" s="57" t="n">
        <f aca="false">SUM(B11:G11)</f>
        <v>40800</v>
      </c>
    </row>
    <row r="12" customFormat="false" ht="13.8" hidden="false" customHeight="false" outlineLevel="0" collapsed="false">
      <c r="A12" s="58" t="s">
        <v>25</v>
      </c>
      <c r="B12" s="59"/>
      <c r="C12" s="60" t="n">
        <v>900</v>
      </c>
      <c r="D12" s="60"/>
      <c r="E12" s="60"/>
      <c r="F12" s="60"/>
      <c r="G12" s="61" t="n">
        <v>8600</v>
      </c>
      <c r="H12" s="57" t="n">
        <f aca="false">SUM(B12:G12)</f>
        <v>9500</v>
      </c>
    </row>
    <row r="13" customFormat="false" ht="13.8" hidden="false" customHeight="false" outlineLevel="0" collapsed="false">
      <c r="A13" s="58"/>
      <c r="B13" s="62"/>
      <c r="C13" s="63"/>
      <c r="D13" s="63"/>
      <c r="E13" s="63"/>
      <c r="F13" s="63"/>
      <c r="G13" s="64"/>
      <c r="H13" s="57" t="n">
        <f aca="false">SUM(B13:G13)</f>
        <v>0</v>
      </c>
      <c r="I13" s="48" t="s">
        <v>33</v>
      </c>
    </row>
    <row r="14" s="48" customFormat="true" ht="13.8" hidden="false" customHeight="false" outlineLevel="0" collapsed="false">
      <c r="B14" s="65"/>
      <c r="C14" s="65"/>
      <c r="D14" s="65"/>
      <c r="E14" s="65"/>
      <c r="F14" s="65"/>
      <c r="G14" s="65"/>
      <c r="H14" s="57" t="n">
        <f aca="false">SUM(B14:G14)</f>
        <v>0</v>
      </c>
    </row>
    <row r="15" customFormat="false" ht="13.8" hidden="false" customHeight="false" outlineLevel="0" collapsed="false">
      <c r="A15" s="52" t="s">
        <v>30</v>
      </c>
      <c r="B15" s="66" t="n">
        <f aca="false">SUM(B3:B14)</f>
        <v>85480</v>
      </c>
      <c r="C15" s="66" t="n">
        <f aca="false">SUM(C3:C14)</f>
        <v>4800</v>
      </c>
      <c r="D15" s="66" t="n">
        <f aca="false">SUM(D3:D14)</f>
        <v>1522640</v>
      </c>
      <c r="E15" s="66" t="n">
        <f aca="false">SUM(E3:E14)</f>
        <v>19780</v>
      </c>
      <c r="F15" s="66" t="n">
        <f aca="false">SUM(F3:F14)</f>
        <v>27860</v>
      </c>
      <c r="G15" s="66" t="n">
        <f aca="false">SUM(G3:G14)</f>
        <v>27000</v>
      </c>
      <c r="H15" s="67" t="n">
        <f aca="false">SUM(B15:G15)</f>
        <v>1687560</v>
      </c>
    </row>
    <row r="16" customFormat="false" ht="13.8" hidden="false" customHeight="false" outlineLevel="0" collapsed="false">
      <c r="A16" s="68" t="s">
        <v>34</v>
      </c>
      <c r="B16" s="69" t="n">
        <f aca="false">+E79</f>
        <v>85480</v>
      </c>
      <c r="C16" s="69" t="n">
        <f aca="false">+E73</f>
        <v>4800</v>
      </c>
      <c r="D16" s="69" t="n">
        <f aca="false">+F35</f>
        <v>1522640</v>
      </c>
      <c r="E16" s="69" t="n">
        <f aca="false">+E64</f>
        <v>19780</v>
      </c>
      <c r="F16" s="69" t="n">
        <f aca="false">+E56</f>
        <v>27860</v>
      </c>
      <c r="G16" s="69" t="n">
        <f aca="false">+F46</f>
        <v>27000</v>
      </c>
      <c r="H16" s="70" t="n">
        <f aca="false">SUM(B16:G16)</f>
        <v>1687560</v>
      </c>
    </row>
    <row r="17" customFormat="false" ht="13.8" hidden="false" customHeight="false" outlineLevel="0" collapsed="false">
      <c r="C17" s="71"/>
      <c r="D17" s="71"/>
      <c r="E17" s="71"/>
      <c r="F17" s="71"/>
      <c r="G17" s="71"/>
      <c r="H17" s="71"/>
    </row>
    <row r="18" customFormat="false" ht="13.8" hidden="false" customHeight="false" outlineLevel="0" collapsed="false">
      <c r="C18" s="71"/>
      <c r="D18" s="71" t="s">
        <v>35</v>
      </c>
      <c r="E18" s="71" t="s">
        <v>36</v>
      </c>
      <c r="F18" s="71" t="s">
        <v>37</v>
      </c>
      <c r="G18" s="71"/>
      <c r="H18" s="71"/>
    </row>
    <row r="19" customFormat="false" ht="13.8" hidden="false" customHeight="false" outlineLevel="0" collapsed="false">
      <c r="A19" s="72" t="s">
        <v>38</v>
      </c>
      <c r="B19" s="72"/>
      <c r="C19" s="72"/>
      <c r="D19" s="73" t="n">
        <f aca="false">+F35+F46+E56+E64+E73+E79</f>
        <v>1687560</v>
      </c>
      <c r="E19" s="74" t="n">
        <f aca="false">+G35+G46+F56+F64+F73+F79</f>
        <v>1687560</v>
      </c>
      <c r="F19" s="73" t="n">
        <f aca="false">+E19-D19</f>
        <v>0</v>
      </c>
      <c r="G19" s="71"/>
      <c r="H19" s="71"/>
    </row>
    <row r="20" customFormat="false" ht="13.8" hidden="false" customHeight="false" outlineLevel="0" collapsed="false">
      <c r="C20" s="71"/>
      <c r="D20" s="71"/>
      <c r="E20" s="71"/>
      <c r="F20" s="71"/>
      <c r="G20" s="71"/>
      <c r="H20" s="71"/>
    </row>
    <row r="21" s="48" customFormat="true" ht="13.8" hidden="false" customHeight="false" outlineLevel="0" collapsed="false"/>
    <row r="22" customFormat="false" ht="13.8" hidden="false" customHeight="false" outlineLevel="0" collapsed="false">
      <c r="A22" s="71" t="s">
        <v>12</v>
      </c>
      <c r="B22" s="71"/>
      <c r="C22" s="71"/>
      <c r="D22" s="71"/>
      <c r="E22" s="71"/>
      <c r="F22" s="71"/>
      <c r="G22" s="71"/>
      <c r="H22" s="71"/>
    </row>
    <row r="23" customFormat="false" ht="13.8" hidden="false" customHeight="false" outlineLevel="0" collapsed="false">
      <c r="A23" s="47" t="s">
        <v>39</v>
      </c>
      <c r="B23" s="48" t="s">
        <v>40</v>
      </c>
      <c r="C23" s="75" t="s">
        <v>41</v>
      </c>
      <c r="D23" s="76" t="s">
        <v>42</v>
      </c>
      <c r="E23" s="75" t="s">
        <v>43</v>
      </c>
      <c r="F23" s="77" t="s">
        <v>44</v>
      </c>
      <c r="G23" s="75" t="s">
        <v>36</v>
      </c>
      <c r="H23" s="75"/>
    </row>
    <row r="24" customFormat="false" ht="13.8" hidden="false" customHeight="false" outlineLevel="0" collapsed="false">
      <c r="A24" s="78" t="n">
        <v>109</v>
      </c>
      <c r="B24" s="79" t="s">
        <v>45</v>
      </c>
      <c r="C24" s="80" t="s">
        <v>26</v>
      </c>
      <c r="D24" s="81"/>
      <c r="E24" s="80"/>
      <c r="F24" s="82"/>
      <c r="G24" s="83" t="n">
        <f aca="false">IFERROR(INDEX($B$3:$G$14,MATCH(C24,$A$3:$A$14,0),MATCH($A$22,$B$2:$G$2,0)),0)</f>
        <v>0</v>
      </c>
      <c r="H24" s="84" t="str">
        <f aca="false">IF(G24=F24,"Bien",G24-F24)</f>
        <v>Bien</v>
      </c>
    </row>
    <row r="25" customFormat="false" ht="13.8" hidden="false" customHeight="false" outlineLevel="0" collapsed="false">
      <c r="A25" s="85" t="n">
        <v>333</v>
      </c>
      <c r="B25" s="86" t="s">
        <v>46</v>
      </c>
      <c r="C25" s="87" t="s">
        <v>20</v>
      </c>
      <c r="D25" s="88" t="n">
        <v>1</v>
      </c>
      <c r="E25" s="75" t="s">
        <v>47</v>
      </c>
      <c r="F25" s="77" t="n">
        <v>10700</v>
      </c>
      <c r="G25" s="89" t="n">
        <f aca="false">IFERROR(INDEX($B$3:$G$14,MATCH(C25,$A$3:$A$14,0),MATCH($A$22,$B$2:$G$2,0)),0)</f>
        <v>10700</v>
      </c>
      <c r="H25" s="90" t="str">
        <f aca="false">IF(G25=F25,"Bien",G25-F25)</f>
        <v>Bien</v>
      </c>
    </row>
    <row r="26" customFormat="false" ht="14.9" hidden="false" customHeight="false" outlineLevel="0" collapsed="false">
      <c r="A26" s="91" t="n">
        <v>320</v>
      </c>
      <c r="B26" s="92" t="s">
        <v>48</v>
      </c>
      <c r="C26" s="75" t="s">
        <v>18</v>
      </c>
      <c r="D26" s="88" t="s">
        <v>49</v>
      </c>
      <c r="E26" s="75" t="s">
        <v>47</v>
      </c>
      <c r="F26" s="77" t="n">
        <v>190600</v>
      </c>
      <c r="G26" s="89" t="n">
        <f aca="false">IFERROR(INDEX($B$3:$G$14,MATCH(C26,$A$3:$A$14,0),MATCH($A$22,$B$2:$G$2,0)),0)</f>
        <v>190600</v>
      </c>
      <c r="H26" s="90" t="str">
        <f aca="false">IF(G26=F26,"Bien",G26-F26)</f>
        <v>Bien</v>
      </c>
    </row>
    <row r="27" customFormat="false" ht="14.9" hidden="false" customHeight="false" outlineLevel="0" collapsed="false">
      <c r="A27" s="91" t="n">
        <v>321</v>
      </c>
      <c r="B27" s="92" t="s">
        <v>50</v>
      </c>
      <c r="C27" s="75" t="s">
        <v>10</v>
      </c>
      <c r="D27" s="88" t="s">
        <v>49</v>
      </c>
      <c r="E27" s="75" t="s">
        <v>47</v>
      </c>
      <c r="F27" s="77" t="n">
        <v>564780</v>
      </c>
      <c r="G27" s="89" t="n">
        <f aca="false">IFERROR(INDEX($B$3:$G$14,MATCH(C27,$A$3:$A$14,0),MATCH($A$22,$B$2:$G$2,0)),0)</f>
        <v>564780</v>
      </c>
      <c r="H27" s="90" t="str">
        <f aca="false">IF(G27=F27,"Bien",G27-F27)</f>
        <v>Bien</v>
      </c>
    </row>
    <row r="28" customFormat="false" ht="13.8" hidden="false" customHeight="false" outlineLevel="0" collapsed="false">
      <c r="A28" s="85" t="n">
        <v>316</v>
      </c>
      <c r="B28" s="48" t="s">
        <v>51</v>
      </c>
      <c r="C28" s="75" t="s">
        <v>17</v>
      </c>
      <c r="D28" s="88" t="s">
        <v>49</v>
      </c>
      <c r="E28" s="75" t="s">
        <v>47</v>
      </c>
      <c r="F28" s="0" t="n">
        <v>19000</v>
      </c>
      <c r="G28" s="89" t="n">
        <f aca="false">IFERROR(INDEX($B$3:$G$14,MATCH(C28,$A$3:$A$14,0),MATCH($A$22,$B$2:$G$2,0)),0)</f>
        <v>19000</v>
      </c>
      <c r="H28" s="90" t="str">
        <f aca="false">IF(G28=F28,"Bien",G28-F28)</f>
        <v>Bien</v>
      </c>
    </row>
    <row r="29" customFormat="false" ht="14.9" hidden="false" customHeight="false" outlineLevel="0" collapsed="false">
      <c r="A29" s="91" t="n">
        <v>196</v>
      </c>
      <c r="B29" s="92" t="s">
        <v>52</v>
      </c>
      <c r="C29" s="75" t="s">
        <v>24</v>
      </c>
      <c r="D29" s="88" t="s">
        <v>49</v>
      </c>
      <c r="E29" s="75" t="s">
        <v>47</v>
      </c>
      <c r="F29" s="0" t="n">
        <v>75100</v>
      </c>
      <c r="G29" s="89" t="n">
        <f aca="false">IFERROR(INDEX($B$3:$G$14,MATCH(C29,$A$3:$A$14,0),MATCH($A$22,$B$2:$G$2,0)),0)</f>
        <v>75100</v>
      </c>
      <c r="H29" s="90" t="str">
        <f aca="false">IF(G29=F29,"Bien",G29-F29)</f>
        <v>Bien</v>
      </c>
      <c r="I29" s="48" t="s">
        <v>53</v>
      </c>
    </row>
    <row r="30" customFormat="false" ht="13.8" hidden="false" customHeight="false" outlineLevel="0" collapsed="false">
      <c r="A30" s="85" t="n">
        <v>309</v>
      </c>
      <c r="B30" s="48" t="s">
        <v>54</v>
      </c>
      <c r="C30" s="75" t="s">
        <v>16</v>
      </c>
      <c r="D30" s="88" t="s">
        <v>49</v>
      </c>
      <c r="E30" s="75" t="s">
        <v>47</v>
      </c>
      <c r="F30" s="0" t="n">
        <v>18900</v>
      </c>
      <c r="G30" s="89" t="n">
        <f aca="false">IFERROR(INDEX($B$3:$G$14,MATCH(C30,$A$3:$A$14,0),MATCH($A$22,$B$2:$G$2,0)),0)</f>
        <v>18900</v>
      </c>
      <c r="H30" s="90" t="str">
        <f aca="false">IF(G30=F30,"Bien",G30-F30)</f>
        <v>Bien</v>
      </c>
      <c r="L30" s="85"/>
      <c r="M30" s="93"/>
      <c r="N30" s="86"/>
    </row>
    <row r="31" customFormat="false" ht="14.9" hidden="false" customHeight="false" outlineLevel="0" collapsed="false">
      <c r="A31" s="85" t="n">
        <v>318</v>
      </c>
      <c r="B31" s="92" t="s">
        <v>52</v>
      </c>
      <c r="C31" s="75" t="s">
        <v>14</v>
      </c>
      <c r="D31" s="88" t="s">
        <v>49</v>
      </c>
      <c r="E31" s="75" t="s">
        <v>47</v>
      </c>
      <c r="F31" s="0" t="n">
        <v>602760</v>
      </c>
      <c r="G31" s="89" t="n">
        <f aca="false">IFERROR(INDEX($B$3:$G$14,MATCH(C31,$A$3:$A$14,0),MATCH($A$22,$B$2:$G$2,0)),0)</f>
        <v>602760</v>
      </c>
      <c r="H31" s="90" t="str">
        <f aca="false">IF(G31=F31,"Bien",G31-F31)</f>
        <v>Bien</v>
      </c>
      <c r="L31" s="85"/>
      <c r="M31" s="86"/>
      <c r="N31" s="86"/>
    </row>
    <row r="32" customFormat="false" ht="14.9" hidden="false" customHeight="false" outlineLevel="0" collapsed="false">
      <c r="A32" s="85" t="n">
        <v>310</v>
      </c>
      <c r="B32" s="92" t="s">
        <v>55</v>
      </c>
      <c r="C32" s="86" t="s">
        <v>15</v>
      </c>
      <c r="D32" s="88" t="n">
        <v>1</v>
      </c>
      <c r="E32" s="75" t="s">
        <v>56</v>
      </c>
      <c r="F32" s="0" t="n">
        <v>40800</v>
      </c>
      <c r="G32" s="89" t="n">
        <f aca="false">IFERROR(INDEX($B$3:$G$14,MATCH(C32,$A$3:$A$14,0),MATCH($A$22,$B$2:$G$2,0)),0)</f>
        <v>40800</v>
      </c>
      <c r="H32" s="90" t="str">
        <f aca="false">IF(G32=F32,"Bien",G32-F32)</f>
        <v>Bien</v>
      </c>
      <c r="N32" s="92"/>
    </row>
    <row r="33" customFormat="false" ht="13.8" hidden="false" customHeight="false" outlineLevel="0" collapsed="false">
      <c r="A33" s="85" t="n">
        <v>296</v>
      </c>
      <c r="B33" s="86" t="s">
        <v>57</v>
      </c>
      <c r="C33" s="86" t="s">
        <v>25</v>
      </c>
      <c r="D33" s="88"/>
      <c r="E33" s="75"/>
      <c r="F33" s="94"/>
      <c r="G33" s="89" t="n">
        <f aca="false">IFERROR(INDEX($B$3:$G$14,MATCH(C33,$A$3:$A$14,0),MATCH($A$22,$B$2:$G$2,0)),0)</f>
        <v>0</v>
      </c>
      <c r="H33" s="95" t="str">
        <f aca="false">IF(G33=F33,"Bien",G33-F33)</f>
        <v>Bien</v>
      </c>
      <c r="N33" s="92"/>
    </row>
    <row r="34" customFormat="false" ht="13.8" hidden="false" customHeight="false" outlineLevel="0" collapsed="false">
      <c r="A34" s="96"/>
      <c r="B34" s="97" t="s">
        <v>45</v>
      </c>
      <c r="C34" s="97" t="s">
        <v>58</v>
      </c>
      <c r="D34" s="98"/>
      <c r="E34" s="99"/>
      <c r="F34" s="100"/>
      <c r="G34" s="101" t="n">
        <f aca="false">IFERROR(INDEX($B$3:$G$14,MATCH(C34,$A$3:$A$14,0),MATCH($A$22,$B$2:$G$2,0)),0)</f>
        <v>0</v>
      </c>
      <c r="H34" s="102" t="str">
        <f aca="false">IF(G34=F34,"Bien",G34-F34)</f>
        <v>Bien</v>
      </c>
      <c r="I34" s="48" t="s">
        <v>59</v>
      </c>
      <c r="N34" s="92"/>
    </row>
    <row r="35" customFormat="false" ht="13.8" hidden="false" customHeight="false" outlineLevel="0" collapsed="false">
      <c r="C35" s="75"/>
      <c r="D35" s="76"/>
      <c r="E35" s="75"/>
      <c r="F35" s="103" t="n">
        <f aca="false">SUM(F24:F34)</f>
        <v>1522640</v>
      </c>
      <c r="G35" s="104" t="n">
        <f aca="false">SUM(G24:G34)</f>
        <v>1522640</v>
      </c>
      <c r="H35" s="75"/>
      <c r="I35" s="105" t="str">
        <f aca="false">IF(G35=D15,"OK","Revisar")</f>
        <v>OK</v>
      </c>
      <c r="L35" s="85"/>
      <c r="N35" s="75"/>
    </row>
    <row r="36" customFormat="false" ht="13.8" hidden="false" customHeight="false" outlineLevel="0" collapsed="false">
      <c r="A36" s="71" t="str">
        <f aca="false">+G2</f>
        <v>VOLUMINOSOS</v>
      </c>
      <c r="B36" s="71"/>
      <c r="C36" s="71"/>
      <c r="D36" s="71"/>
      <c r="E36" s="71"/>
      <c r="F36" s="71"/>
      <c r="G36" s="71"/>
      <c r="H36" s="71"/>
      <c r="L36" s="85"/>
      <c r="N36" s="75"/>
    </row>
    <row r="37" customFormat="false" ht="13.8" hidden="false" customHeight="false" outlineLevel="0" collapsed="false">
      <c r="C37" s="75" t="s">
        <v>41</v>
      </c>
      <c r="D37" s="76" t="s">
        <v>60</v>
      </c>
      <c r="E37" s="75" t="s">
        <v>61</v>
      </c>
      <c r="F37" s="103" t="s">
        <v>44</v>
      </c>
      <c r="G37" s="75" t="s">
        <v>36</v>
      </c>
      <c r="H37" s="75"/>
    </row>
    <row r="38" customFormat="false" ht="13.8" hidden="false" customHeight="false" outlineLevel="0" collapsed="false">
      <c r="A38" s="78" t="n">
        <v>109</v>
      </c>
      <c r="B38" s="79" t="s">
        <v>45</v>
      </c>
      <c r="C38" s="80" t="s">
        <v>26</v>
      </c>
      <c r="D38" s="106" t="n">
        <v>2</v>
      </c>
      <c r="E38" s="82" t="n">
        <v>4</v>
      </c>
      <c r="F38" s="82" t="n">
        <v>9400</v>
      </c>
      <c r="G38" s="107" t="n">
        <f aca="false">IFERROR(INDEX($B$3:$G$14,MATCH(C38,$A$3:$A$14,0),MATCH($A$36,$B$2:$G$2,0)),0)</f>
        <v>9400</v>
      </c>
      <c r="H38" s="108" t="str">
        <f aca="false">IF(G38=F38,"Bien",G38-F38)</f>
        <v>Bien</v>
      </c>
    </row>
    <row r="39" customFormat="false" ht="13.8" hidden="false" customHeight="false" outlineLevel="0" collapsed="false">
      <c r="A39" s="85" t="n">
        <v>333</v>
      </c>
      <c r="B39" s="48" t="s">
        <v>46</v>
      </c>
      <c r="C39" s="75" t="s">
        <v>20</v>
      </c>
      <c r="D39" s="109"/>
      <c r="E39" s="77"/>
      <c r="F39" s="77"/>
      <c r="G39" s="110" t="n">
        <f aca="false">IFERROR(INDEX($B$3:$G$14,MATCH(C39,$A$3:$A$14,0),MATCH($A$36,$B$2:$G$2,0)),0)</f>
        <v>0</v>
      </c>
      <c r="H39" s="111" t="str">
        <f aca="false">IF(G39=F39,"Bien",G39-F39)</f>
        <v>Bien</v>
      </c>
    </row>
    <row r="40" customFormat="false" ht="13.8" hidden="false" customHeight="false" outlineLevel="0" collapsed="false">
      <c r="A40" s="85" t="n">
        <v>316</v>
      </c>
      <c r="B40" s="86" t="s">
        <v>51</v>
      </c>
      <c r="C40" s="86" t="s">
        <v>17</v>
      </c>
      <c r="D40" s="109"/>
      <c r="E40" s="77"/>
      <c r="F40" s="77"/>
      <c r="G40" s="110" t="n">
        <f aca="false">IFERROR(INDEX($B$3:$G$14,MATCH(C40,$A$3:$A$14,0),MATCH($A$36,$B$2:$G$2,0)),0)</f>
        <v>0</v>
      </c>
      <c r="H40" s="111" t="str">
        <f aca="false">IF(G40=F40,"Bien",G40-F40)</f>
        <v>Bien</v>
      </c>
    </row>
    <row r="41" customFormat="false" ht="13.8" hidden="false" customHeight="false" outlineLevel="0" collapsed="false">
      <c r="A41" s="85" t="n">
        <v>309</v>
      </c>
      <c r="B41" s="48" t="s">
        <v>54</v>
      </c>
      <c r="C41" s="75" t="s">
        <v>16</v>
      </c>
      <c r="D41" s="109" t="n">
        <v>2</v>
      </c>
      <c r="E41" s="77" t="n">
        <v>20</v>
      </c>
      <c r="F41" s="77" t="n">
        <v>9000</v>
      </c>
      <c r="G41" s="110" t="n">
        <f aca="false">IFERROR(INDEX($B$3:$G$14,MATCH(C41,$A$3:$A$14,0),MATCH($A$36,$B$2:$G$2,0)),0)</f>
        <v>9000</v>
      </c>
      <c r="H41" s="112" t="str">
        <f aca="false">IF(G41=F41,"Bien",G41-F41)</f>
        <v>Bien</v>
      </c>
    </row>
    <row r="42" customFormat="false" ht="13.8" hidden="false" customHeight="false" outlineLevel="0" collapsed="false">
      <c r="A42" s="85" t="n">
        <v>296</v>
      </c>
      <c r="B42" s="86" t="s">
        <v>57</v>
      </c>
      <c r="C42" s="86" t="s">
        <v>25</v>
      </c>
      <c r="D42" s="113" t="n">
        <v>2</v>
      </c>
      <c r="E42" s="114" t="n">
        <v>12</v>
      </c>
      <c r="F42" s="114" t="n">
        <v>8600</v>
      </c>
      <c r="G42" s="110" t="n">
        <f aca="false">IFERROR(INDEX($B$3:$G$14,MATCH(C42,$A$3:$A$14,0),MATCH($A$36,$B$2:$G$2,0)),0)</f>
        <v>8600</v>
      </c>
      <c r="H42" s="112" t="str">
        <f aca="false">IF(G42=F42,"Bien",G42-F42)</f>
        <v>Bien</v>
      </c>
    </row>
    <row r="43" customFormat="false" ht="13.8" hidden="false" customHeight="false" outlineLevel="0" collapsed="false">
      <c r="A43" s="85"/>
      <c r="B43" s="115" t="s">
        <v>45</v>
      </c>
      <c r="C43" s="115" t="s">
        <v>58</v>
      </c>
      <c r="D43" s="113"/>
      <c r="E43" s="114"/>
      <c r="F43" s="114"/>
      <c r="G43" s="110" t="n">
        <f aca="false">IFERROR(INDEX($B$3:$G$14,MATCH(C43,$A$3:$A$14,0),MATCH($A$36,$B$2:$G$2,0)),0)</f>
        <v>0</v>
      </c>
      <c r="H43" s="111" t="str">
        <f aca="false">IF(G43=F43,"Bien",G43-F43)</f>
        <v>Bien</v>
      </c>
    </row>
    <row r="44" customFormat="false" ht="13.8" hidden="false" customHeight="false" outlineLevel="0" collapsed="false">
      <c r="A44" s="85"/>
      <c r="B44" s="86"/>
      <c r="C44" s="115" t="s">
        <v>62</v>
      </c>
      <c r="D44" s="113"/>
      <c r="E44" s="114"/>
      <c r="F44" s="114"/>
      <c r="G44" s="110" t="n">
        <f aca="false">IFERROR(INDEX($B$3:$G$14,MATCH(C44,$A$3:$A$14,0),MATCH($A$36,$B$2:$G$2,0)),0)</f>
        <v>0</v>
      </c>
      <c r="H44" s="111" t="str">
        <f aca="false">IF(G44=F44,"Bien",G44-F44)</f>
        <v>Bien</v>
      </c>
    </row>
    <row r="45" customFormat="false" ht="14.9" hidden="false" customHeight="false" outlineLevel="0" collapsed="false">
      <c r="A45" s="96"/>
      <c r="B45" s="116" t="s">
        <v>63</v>
      </c>
      <c r="C45" s="117" t="s">
        <v>64</v>
      </c>
      <c r="D45" s="118"/>
      <c r="E45" s="119"/>
      <c r="F45" s="119"/>
      <c r="G45" s="120" t="n">
        <f aca="false">IFERROR(INDEX($B$3:$G$14,MATCH(C45,$A$3:$A$14,0),MATCH($A$36,$B$2:$G$2,0)),0)</f>
        <v>0</v>
      </c>
      <c r="H45" s="121" t="str">
        <f aca="false">IF(G45=F45,"Bien",G45-F45)</f>
        <v>Bien</v>
      </c>
    </row>
    <row r="46" s="48" customFormat="true" ht="13.8" hidden="false" customHeight="false" outlineLevel="0" collapsed="false">
      <c r="D46" s="76"/>
      <c r="E46" s="75"/>
      <c r="F46" s="103" t="n">
        <f aca="false">SUM(F38:F45)</f>
        <v>27000</v>
      </c>
      <c r="G46" s="104" t="n">
        <f aca="false">SUM(G38:G45)</f>
        <v>27000</v>
      </c>
      <c r="H46" s="75"/>
      <c r="I46" s="105" t="str">
        <f aca="false">+IF(G46=G15,"OK","Revisar")</f>
        <v>OK</v>
      </c>
    </row>
    <row r="47" customFormat="false" ht="13.8" hidden="false" customHeight="false" outlineLevel="0" collapsed="false">
      <c r="C47" s="75"/>
      <c r="D47" s="76"/>
      <c r="E47" s="75"/>
      <c r="F47" s="103"/>
      <c r="G47" s="104"/>
      <c r="H47" s="75"/>
    </row>
    <row r="48" customFormat="false" ht="13.8" hidden="false" customHeight="false" outlineLevel="0" collapsed="false">
      <c r="A48" s="71" t="s">
        <v>23</v>
      </c>
      <c r="B48" s="71"/>
      <c r="C48" s="71"/>
      <c r="D48" s="71"/>
      <c r="E48" s="71"/>
      <c r="F48" s="71"/>
      <c r="G48" s="71"/>
      <c r="H48" s="71"/>
    </row>
    <row r="49" customFormat="false" ht="13.8" hidden="false" customHeight="false" outlineLevel="0" collapsed="false">
      <c r="C49" s="122" t="s">
        <v>41</v>
      </c>
      <c r="D49" s="123" t="s">
        <v>61</v>
      </c>
      <c r="E49" s="124" t="s">
        <v>44</v>
      </c>
      <c r="F49" s="125" t="s">
        <v>36</v>
      </c>
      <c r="G49" s="75"/>
      <c r="H49" s="75"/>
    </row>
    <row r="50" customFormat="false" ht="13.8" hidden="false" customHeight="false" outlineLevel="0" collapsed="false">
      <c r="A50" s="126" t="n">
        <v>109</v>
      </c>
      <c r="B50" s="127" t="s">
        <v>45</v>
      </c>
      <c r="C50" s="80" t="s">
        <v>26</v>
      </c>
      <c r="D50" s="128" t="n">
        <v>2</v>
      </c>
      <c r="E50" s="129" t="n">
        <v>4380</v>
      </c>
      <c r="F50" s="130" t="n">
        <f aca="false">IFERROR(INDEX($B$3:$G$14,MATCH(C50,$A$3:$A$14,0),MATCH($A$48,$B$2:$G$2,0)),0)</f>
        <v>4380</v>
      </c>
      <c r="G50" s="108" t="str">
        <f aca="false">IF(F50=E50,"Bien",F50-E50)</f>
        <v>Bien</v>
      </c>
      <c r="H50" s="75"/>
    </row>
    <row r="51" customFormat="false" ht="14.9" hidden="false" customHeight="false" outlineLevel="0" collapsed="false">
      <c r="A51" s="131" t="n">
        <v>320</v>
      </c>
      <c r="B51" s="132" t="s">
        <v>48</v>
      </c>
      <c r="C51" s="75" t="s">
        <v>18</v>
      </c>
      <c r="D51" s="133" t="n">
        <v>7</v>
      </c>
      <c r="E51" s="134" t="n">
        <v>12720</v>
      </c>
      <c r="F51" s="135" t="n">
        <f aca="false">IFERROR(INDEX($B$3:$G$14,MATCH(C51,$A$3:$A$14,0),MATCH($A$48,$B$2:$G$2,0)),0)</f>
        <v>12720</v>
      </c>
      <c r="G51" s="111" t="str">
        <f aca="false">IF(F51=E51,"Bien",F51-E51)</f>
        <v>Bien</v>
      </c>
      <c r="H51" s="75"/>
    </row>
    <row r="52" customFormat="false" ht="14.9" hidden="false" customHeight="false" outlineLevel="0" collapsed="false">
      <c r="A52" s="131" t="n">
        <v>321</v>
      </c>
      <c r="B52" s="132" t="s">
        <v>50</v>
      </c>
      <c r="C52" s="75" t="s">
        <v>10</v>
      </c>
      <c r="D52" s="133" t="n">
        <v>5</v>
      </c>
      <c r="E52" s="134" t="n">
        <v>10760</v>
      </c>
      <c r="F52" s="135" t="n">
        <f aca="false">IFERROR(INDEX($B$3:$G$14,MATCH(C52,$A$3:$A$14,0),MATCH($A$48,$B$2:$G$2,0)),0)</f>
        <v>10760</v>
      </c>
      <c r="G52" s="111" t="str">
        <f aca="false">IF(F52=E52,"Bien",F52-E52)</f>
        <v>Bien</v>
      </c>
      <c r="H52" s="75"/>
    </row>
    <row r="53" customFormat="false" ht="13.8" hidden="false" customHeight="false" outlineLevel="0" collapsed="false">
      <c r="A53" s="136" t="n">
        <v>296</v>
      </c>
      <c r="B53" s="137" t="s">
        <v>57</v>
      </c>
      <c r="C53" s="75" t="s">
        <v>25</v>
      </c>
      <c r="D53" s="133"/>
      <c r="E53" s="138"/>
      <c r="F53" s="135" t="n">
        <f aca="false">IFERROR(INDEX($B$3:$G$14,MATCH(C53,$A$3:$A$14,0),MATCH($A$48,$B$2:$G$2,0)),0)</f>
        <v>0</v>
      </c>
      <c r="G53" s="111" t="str">
        <f aca="false">IF(F53=E53,"Bien",F53-E53)</f>
        <v>Bien</v>
      </c>
      <c r="H53" s="75"/>
    </row>
    <row r="54" customFormat="false" ht="14.9" hidden="false" customHeight="false" outlineLevel="0" collapsed="false">
      <c r="A54" s="131"/>
      <c r="B54" s="139"/>
      <c r="C54" s="140" t="s">
        <v>62</v>
      </c>
      <c r="D54" s="141"/>
      <c r="E54" s="142"/>
      <c r="F54" s="135" t="n">
        <f aca="false">IFERROR(INDEX($B$3:$G$14,MATCH(C54,$A$3:$A$14,0),MATCH($A$48,$B$2:$G$2,0)),0)</f>
        <v>0</v>
      </c>
      <c r="G54" s="111" t="str">
        <f aca="false">IF(F54=E54,"Bien",F54-E54)</f>
        <v>Bien</v>
      </c>
      <c r="H54" s="75"/>
    </row>
    <row r="55" customFormat="false" ht="13.8" hidden="false" customHeight="false" outlineLevel="0" collapsed="false">
      <c r="A55" s="143"/>
      <c r="B55" s="144" t="s">
        <v>45</v>
      </c>
      <c r="C55" s="97" t="s">
        <v>58</v>
      </c>
      <c r="D55" s="145"/>
      <c r="E55" s="146"/>
      <c r="F55" s="147" t="n">
        <f aca="false">IFERROR(INDEX($B$3:$G$14,MATCH(C55,$A$3:$A$14,0),MATCH($A$48,$B$2:$G$2,0)),0)</f>
        <v>0</v>
      </c>
      <c r="G55" s="121" t="str">
        <f aca="false">IF(F55=E55,"Bien",F55-E55)</f>
        <v>Bien</v>
      </c>
      <c r="H55" s="75"/>
    </row>
    <row r="56" customFormat="false" ht="13.8" hidden="false" customHeight="false" outlineLevel="0" collapsed="false">
      <c r="C56" s="75"/>
      <c r="D56" s="133"/>
      <c r="E56" s="104" t="n">
        <f aca="false">SUM(E50:E55)</f>
        <v>27860</v>
      </c>
      <c r="F56" s="104" t="n">
        <f aca="false">SUM(F50:F55)</f>
        <v>27860</v>
      </c>
      <c r="G56" s="75"/>
      <c r="H56" s="75"/>
      <c r="I56" s="105" t="str">
        <f aca="false">+IF(F56=F15,"OK","Revisar")</f>
        <v>OK</v>
      </c>
    </row>
    <row r="57" customFormat="false" ht="13.8" hidden="false" customHeight="false" outlineLevel="0" collapsed="false">
      <c r="A57" s="71" t="s">
        <v>19</v>
      </c>
      <c r="B57" s="71"/>
      <c r="C57" s="71"/>
      <c r="D57" s="71"/>
      <c r="E57" s="71"/>
      <c r="F57" s="71"/>
      <c r="G57" s="71"/>
      <c r="H57" s="75"/>
    </row>
    <row r="58" customFormat="false" ht="13.8" hidden="false" customHeight="false" outlineLevel="0" collapsed="false">
      <c r="C58" s="75" t="s">
        <v>41</v>
      </c>
      <c r="D58" s="76" t="s">
        <v>61</v>
      </c>
      <c r="E58" s="75" t="s">
        <v>44</v>
      </c>
      <c r="F58" s="103" t="s">
        <v>36</v>
      </c>
      <c r="G58" s="75"/>
      <c r="H58" s="75"/>
    </row>
    <row r="59" customFormat="false" ht="13.8" hidden="false" customHeight="false" outlineLevel="0" collapsed="false">
      <c r="A59" s="148" t="n">
        <v>109</v>
      </c>
      <c r="B59" s="149" t="s">
        <v>45</v>
      </c>
      <c r="C59" s="150" t="s">
        <v>26</v>
      </c>
      <c r="D59" s="151"/>
      <c r="E59" s="152"/>
      <c r="F59" s="153" t="n">
        <f aca="false">IFERROR(INDEX($B$3:$G$14,MATCH(C59,$A$3:$A$14,0),MATCH($A$57,$B$2:$G$2,0)),0)</f>
        <v>0</v>
      </c>
      <c r="G59" s="154" t="str">
        <f aca="false">IF(F59=E59,"Bien",F59-E59)</f>
        <v>Bien</v>
      </c>
      <c r="H59" s="75"/>
    </row>
    <row r="60" customFormat="false" ht="14.9" hidden="false" customHeight="false" outlineLevel="0" collapsed="false">
      <c r="A60" s="155" t="n">
        <v>320</v>
      </c>
      <c r="B60" s="92" t="s">
        <v>48</v>
      </c>
      <c r="C60" s="75" t="s">
        <v>18</v>
      </c>
      <c r="D60" s="141" t="n">
        <v>5</v>
      </c>
      <c r="E60" s="142" t="n">
        <v>13920</v>
      </c>
      <c r="F60" s="89" t="n">
        <f aca="false">IFERROR(INDEX($B$3:$G$14,MATCH(C60,$A$3:$A$14,0),MATCH($A$57,$B$2:$G$2,0)),0)</f>
        <v>13920</v>
      </c>
      <c r="G60" s="95" t="str">
        <f aca="false">IF(F60=E60,"Bien",F60-E60)</f>
        <v>Bien</v>
      </c>
      <c r="H60" s="75"/>
    </row>
    <row r="61" customFormat="false" ht="14.9" hidden="false" customHeight="false" outlineLevel="0" collapsed="false">
      <c r="A61" s="155" t="n">
        <v>321</v>
      </c>
      <c r="B61" s="92" t="s">
        <v>50</v>
      </c>
      <c r="C61" s="75" t="s">
        <v>10</v>
      </c>
      <c r="D61" s="141" t="n">
        <v>3</v>
      </c>
      <c r="E61" s="142" t="n">
        <v>5860</v>
      </c>
      <c r="F61" s="89" t="n">
        <f aca="false">IFERROR(INDEX($B$3:$G$14,MATCH(C61,$A$3:$A$14,0),MATCH($A$57,$B$2:$G$2,0)),0)</f>
        <v>5860</v>
      </c>
      <c r="G61" s="95" t="str">
        <f aca="false">IF(F61=E61,"Bien",F61-E61)</f>
        <v>Bien</v>
      </c>
      <c r="H61" s="75"/>
    </row>
    <row r="62" customFormat="false" ht="13.8" hidden="false" customHeight="false" outlineLevel="0" collapsed="false">
      <c r="A62" s="156" t="n">
        <v>296</v>
      </c>
      <c r="B62" s="48" t="s">
        <v>57</v>
      </c>
      <c r="C62" s="75" t="s">
        <v>25</v>
      </c>
      <c r="D62" s="141"/>
      <c r="E62" s="142"/>
      <c r="F62" s="89" t="n">
        <f aca="false">IFERROR(INDEX($B$3:$G$14,MATCH(C62,$A$3:$A$14,0),MATCH($A$57,$B$2:$G$2,0)),0)</f>
        <v>0</v>
      </c>
      <c r="G62" s="95" t="str">
        <f aca="false">IF(F62=E62,"Bien",F62-E62)</f>
        <v>Bien</v>
      </c>
      <c r="H62" s="75"/>
    </row>
    <row r="63" customFormat="false" ht="14.9" hidden="false" customHeight="false" outlineLevel="0" collapsed="false">
      <c r="A63" s="157"/>
      <c r="B63" s="158"/>
      <c r="C63" s="159" t="s">
        <v>62</v>
      </c>
      <c r="D63" s="160"/>
      <c r="E63" s="161"/>
      <c r="F63" s="162" t="n">
        <f aca="false">IFERROR(INDEX($B$3:$G$14,MATCH(C63,$A$3:$A$14,0),MATCH($A$57,$B$2:$G$2,0)),0)</f>
        <v>0</v>
      </c>
      <c r="G63" s="102" t="str">
        <f aca="false">IF(F63=E63,"Bien",F63-E63)</f>
        <v>Bien</v>
      </c>
      <c r="H63" s="75"/>
    </row>
    <row r="64" customFormat="false" ht="13.8" hidden="false" customHeight="false" outlineLevel="0" collapsed="false">
      <c r="C64" s="75"/>
      <c r="D64" s="133"/>
      <c r="E64" s="104" t="n">
        <f aca="false">SUM(E59:E63)</f>
        <v>19780</v>
      </c>
      <c r="F64" s="104" t="n">
        <f aca="false">SUM(F59:F63)</f>
        <v>19780</v>
      </c>
      <c r="G64" s="75"/>
      <c r="H64" s="75"/>
      <c r="I64" s="105" t="str">
        <f aca="false">+IF(F64=E15,"OK","Revisar")</f>
        <v>OK</v>
      </c>
    </row>
    <row r="65" customFormat="false" ht="13.8" hidden="false" customHeight="false" outlineLevel="0" collapsed="false">
      <c r="A65" s="71" t="s">
        <v>21</v>
      </c>
      <c r="B65" s="71"/>
      <c r="C65" s="71"/>
      <c r="D65" s="71"/>
      <c r="E65" s="71"/>
      <c r="F65" s="71"/>
      <c r="G65" s="71"/>
      <c r="H65" s="75"/>
    </row>
    <row r="66" customFormat="false" ht="13.8" hidden="false" customHeight="false" outlineLevel="0" collapsed="false">
      <c r="C66" s="75" t="s">
        <v>41</v>
      </c>
      <c r="D66" s="76" t="s">
        <v>61</v>
      </c>
      <c r="E66" s="75" t="s">
        <v>44</v>
      </c>
      <c r="F66" s="103" t="s">
        <v>36</v>
      </c>
      <c r="G66" s="75"/>
      <c r="H66" s="75"/>
    </row>
    <row r="67" customFormat="false" ht="13.8" hidden="false" customHeight="false" outlineLevel="0" collapsed="false">
      <c r="A67" s="148" t="n">
        <v>109</v>
      </c>
      <c r="B67" s="149" t="s">
        <v>45</v>
      </c>
      <c r="C67" s="150" t="s">
        <v>26</v>
      </c>
      <c r="D67" s="163"/>
      <c r="E67" s="152"/>
      <c r="F67" s="153" t="n">
        <f aca="false">IFERROR(INDEX($B$3:$G$14,MATCH(C67,$A$3:$A$14,0),MATCH($A$65,$B$2:$G$2,0)),0)</f>
        <v>0</v>
      </c>
      <c r="G67" s="154" t="str">
        <f aca="false">IF(F67=E67,"Bien",F67-E67)</f>
        <v>Bien</v>
      </c>
      <c r="H67" s="75"/>
    </row>
    <row r="68" customFormat="false" ht="13.8" hidden="false" customHeight="false" outlineLevel="0" collapsed="false">
      <c r="A68" s="156" t="n">
        <v>333</v>
      </c>
      <c r="B68" s="86" t="s">
        <v>46</v>
      </c>
      <c r="C68" s="86" t="s">
        <v>20</v>
      </c>
      <c r="D68" s="141" t="n">
        <v>12</v>
      </c>
      <c r="E68" s="164" t="n">
        <v>3900</v>
      </c>
      <c r="F68" s="89" t="n">
        <f aca="false">IFERROR(INDEX($B$3:$G$14,MATCH(C68,$A$3:$A$14,0),MATCH($A$65,$B$2:$G$2,0)),0)</f>
        <v>3900</v>
      </c>
      <c r="G68" s="95" t="str">
        <f aca="false">IF(F68=E68,"Bien",F68-E68)</f>
        <v>Bien</v>
      </c>
      <c r="H68" s="75"/>
    </row>
    <row r="69" customFormat="false" ht="14.9" hidden="false" customHeight="false" outlineLevel="0" collapsed="false">
      <c r="A69" s="165"/>
      <c r="B69" s="48" t="s">
        <v>63</v>
      </c>
      <c r="C69" s="92" t="s">
        <v>64</v>
      </c>
      <c r="D69" s="138"/>
      <c r="E69" s="138"/>
      <c r="F69" s="89" t="n">
        <f aca="false">IFERROR(INDEX($B$3:$G$14,MATCH(C69,$A$3:$A$14,0),MATCH($A$65,$B$2:$G$2,0)),0)</f>
        <v>0</v>
      </c>
      <c r="G69" s="95" t="str">
        <f aca="false">IF(F69=E69,"Bien",F69-E69)</f>
        <v>Bien</v>
      </c>
      <c r="H69" s="75"/>
    </row>
    <row r="70" customFormat="false" ht="13.8" hidden="false" customHeight="false" outlineLevel="0" collapsed="false">
      <c r="A70" s="156" t="n">
        <v>316</v>
      </c>
      <c r="B70" s="48" t="s">
        <v>51</v>
      </c>
      <c r="C70" s="75" t="s">
        <v>17</v>
      </c>
      <c r="D70" s="138"/>
      <c r="E70" s="138"/>
      <c r="F70" s="89" t="n">
        <f aca="false">IFERROR(INDEX($B$3:$G$14,MATCH(C70,$A$3:$A$14,0),MATCH($A$65,$B$2:$G$2,0)),0)</f>
        <v>0</v>
      </c>
      <c r="G70" s="95" t="str">
        <f aca="false">IF(F70=E70,"Bien",F70-E70)</f>
        <v>Bien</v>
      </c>
      <c r="H70" s="75"/>
    </row>
    <row r="71" customFormat="false" ht="13.8" hidden="false" customHeight="false" outlineLevel="0" collapsed="false">
      <c r="A71" s="156" t="n">
        <v>309</v>
      </c>
      <c r="B71" s="48" t="s">
        <v>54</v>
      </c>
      <c r="C71" s="75" t="s">
        <v>16</v>
      </c>
      <c r="D71" s="133"/>
      <c r="E71" s="134"/>
      <c r="F71" s="89" t="n">
        <f aca="false">IFERROR(INDEX($B$3:$G$14,MATCH(C71,$A$3:$A$14,0),MATCH($A$65,$B$2:$G$2,0)),0)</f>
        <v>0</v>
      </c>
      <c r="G71" s="95" t="str">
        <f aca="false">IF(F71=E71,"Bien",F71-E71)</f>
        <v>Bien</v>
      </c>
      <c r="H71" s="75"/>
    </row>
    <row r="72" customFormat="false" ht="13.8" hidden="false" customHeight="false" outlineLevel="0" collapsed="false">
      <c r="A72" s="166" t="n">
        <v>296</v>
      </c>
      <c r="B72" s="158" t="s">
        <v>57</v>
      </c>
      <c r="C72" s="158" t="s">
        <v>25</v>
      </c>
      <c r="D72" s="160" t="n">
        <v>2</v>
      </c>
      <c r="E72" s="167" t="n">
        <v>900</v>
      </c>
      <c r="F72" s="162" t="n">
        <f aca="false">IFERROR(INDEX($B$3:$G$14,MATCH(C72,$A$3:$A$14,0),MATCH($A$65,$B$2:$G$2,0)),0)</f>
        <v>900</v>
      </c>
      <c r="G72" s="102" t="str">
        <f aca="false">IF(F72=E72,"Bien",F72-E72)</f>
        <v>Bien</v>
      </c>
      <c r="H72" s="75"/>
    </row>
    <row r="73" customFormat="false" ht="13.8" hidden="false" customHeight="false" outlineLevel="0" collapsed="false">
      <c r="C73" s="75"/>
      <c r="D73" s="133"/>
      <c r="E73" s="104" t="n">
        <f aca="false">SUM(E67:E72)</f>
        <v>4800</v>
      </c>
      <c r="F73" s="104" t="n">
        <f aca="false">SUM(F67:F72)</f>
        <v>4800</v>
      </c>
      <c r="G73" s="75"/>
      <c r="H73" s="75"/>
      <c r="I73" s="105" t="str">
        <f aca="false">+IF(F73=C15,"OK","Revisar")</f>
        <v>OK</v>
      </c>
    </row>
    <row r="74" customFormat="false" ht="13.8" hidden="false" customHeight="false" outlineLevel="0" collapsed="false">
      <c r="A74" s="71" t="s">
        <v>31</v>
      </c>
      <c r="B74" s="71"/>
      <c r="C74" s="71"/>
      <c r="D74" s="71"/>
      <c r="E74" s="71"/>
      <c r="F74" s="71"/>
      <c r="G74" s="71"/>
      <c r="H74" s="75"/>
    </row>
    <row r="75" customFormat="false" ht="13.8" hidden="false" customHeight="false" outlineLevel="0" collapsed="false">
      <c r="C75" s="75" t="s">
        <v>41</v>
      </c>
      <c r="D75" s="76" t="s">
        <v>61</v>
      </c>
      <c r="E75" s="75" t="s">
        <v>44</v>
      </c>
      <c r="F75" s="103" t="s">
        <v>36</v>
      </c>
      <c r="G75" s="75"/>
      <c r="H75" s="75"/>
    </row>
    <row r="76" customFormat="false" ht="13.8" hidden="false" customHeight="false" outlineLevel="0" collapsed="false">
      <c r="A76" s="148" t="n">
        <v>109</v>
      </c>
      <c r="B76" s="149" t="s">
        <v>45</v>
      </c>
      <c r="C76" s="150" t="s">
        <v>26</v>
      </c>
      <c r="D76" s="151" t="n">
        <v>8</v>
      </c>
      <c r="E76" s="152" t="n">
        <v>85480</v>
      </c>
      <c r="F76" s="153" t="n">
        <f aca="false">IFERROR(INDEX($B$3:$G$14,MATCH(C76,$A$3:$A$14,0),MATCH($A$74,$B$2:$G$2,0)),0)</f>
        <v>85480</v>
      </c>
      <c r="G76" s="154" t="str">
        <f aca="false">IF(F76=E76,"Bien",F76-E76)</f>
        <v>Bien</v>
      </c>
      <c r="H76" s="75"/>
    </row>
    <row r="77" customFormat="false" ht="13.8" hidden="false" customHeight="false" outlineLevel="0" collapsed="false">
      <c r="A77" s="156" t="n">
        <v>309</v>
      </c>
      <c r="B77" s="48" t="s">
        <v>54</v>
      </c>
      <c r="C77" s="75" t="s">
        <v>16</v>
      </c>
      <c r="D77" s="133"/>
      <c r="E77" s="138"/>
      <c r="F77" s="89" t="n">
        <f aca="false">IFERROR(INDEX($B$3:$G$14,MATCH(C77,$A$3:$A$14,0),MATCH($A$74,$B$2:$G$2,0)),0)</f>
        <v>0</v>
      </c>
      <c r="G77" s="95" t="str">
        <f aca="false">IF(F77=E77,"Bien",F77-E77)</f>
        <v>Bien</v>
      </c>
      <c r="H77" s="75"/>
    </row>
    <row r="78" customFormat="false" ht="13.8" hidden="false" customHeight="false" outlineLevel="0" collapsed="false">
      <c r="A78" s="166" t="n">
        <v>296</v>
      </c>
      <c r="B78" s="158" t="s">
        <v>57</v>
      </c>
      <c r="C78" s="158" t="s">
        <v>25</v>
      </c>
      <c r="D78" s="160"/>
      <c r="E78" s="161"/>
      <c r="F78" s="162" t="n">
        <f aca="false">IFERROR(INDEX($B$3:$G$14,MATCH(C78,$A$3:$A$14,0),MATCH($A$74,$B$2:$G$2,0)),0)</f>
        <v>0</v>
      </c>
      <c r="G78" s="102" t="str">
        <f aca="false">IF(F78=E78,"Bien",F78-E78)</f>
        <v>Bien</v>
      </c>
      <c r="H78" s="75"/>
    </row>
    <row r="79" customFormat="false" ht="13.8" hidden="false" customHeight="false" outlineLevel="0" collapsed="false">
      <c r="C79" s="75"/>
      <c r="D79" s="133"/>
      <c r="E79" s="104" t="n">
        <f aca="false">SUM(E76:E78)</f>
        <v>85480</v>
      </c>
      <c r="F79" s="104" t="n">
        <f aca="false">SUM(F76:F78)</f>
        <v>85480</v>
      </c>
      <c r="G79" s="75"/>
      <c r="H79" s="75"/>
      <c r="I79" s="105" t="str">
        <f aca="false">+IF(F79=B15,"OK","Revisar")</f>
        <v>OK</v>
      </c>
    </row>
  </sheetData>
  <mergeCells count="7">
    <mergeCell ref="A19:C19"/>
    <mergeCell ref="A22:H22"/>
    <mergeCell ref="A36:H36"/>
    <mergeCell ref="A48:H48"/>
    <mergeCell ref="A57:G57"/>
    <mergeCell ref="A65:G65"/>
    <mergeCell ref="A74:G74"/>
  </mergeCells>
  <conditionalFormatting sqref="H24:H34">
    <cfRule type="cellIs" priority="2" operator="notEqual" aboveAverage="0" equalAverage="0" bottom="0" percent="0" rank="0" text="" dxfId="9">
      <formula>""bien""</formula>
    </cfRule>
  </conditionalFormatting>
  <conditionalFormatting sqref="H38">
    <cfRule type="cellIs" priority="3" operator="notEqual" aboveAverage="0" equalAverage="0" bottom="0" percent="0" rank="0" text="" dxfId="10">
      <formula>""bien""</formula>
    </cfRule>
  </conditionalFormatting>
  <conditionalFormatting sqref="H39:H45">
    <cfRule type="cellIs" priority="4" operator="notEqual" aboveAverage="0" equalAverage="0" bottom="0" percent="0" rank="0" text="" dxfId="11">
      <formula>""bien""</formula>
    </cfRule>
  </conditionalFormatting>
  <conditionalFormatting sqref="G50">
    <cfRule type="cellIs" priority="5" operator="notEqual" aboveAverage="0" equalAverage="0" bottom="0" percent="0" rank="0" text="" dxfId="12">
      <formula>""bien""</formula>
    </cfRule>
  </conditionalFormatting>
  <conditionalFormatting sqref="G51:G55">
    <cfRule type="cellIs" priority="6" operator="notEqual" aboveAverage="0" equalAverage="0" bottom="0" percent="0" rank="0" text="" dxfId="13">
      <formula>""bien""</formula>
    </cfRule>
  </conditionalFormatting>
  <conditionalFormatting sqref="G59">
    <cfRule type="cellIs" priority="7" operator="notEqual" aboveAverage="0" equalAverage="0" bottom="0" percent="0" rank="0" text="" dxfId="14">
      <formula>""bien""</formula>
    </cfRule>
  </conditionalFormatting>
  <conditionalFormatting sqref="G60:G63">
    <cfRule type="cellIs" priority="8" operator="notEqual" aboveAverage="0" equalAverage="0" bottom="0" percent="0" rank="0" text="" dxfId="15">
      <formula>""bien""</formula>
    </cfRule>
  </conditionalFormatting>
  <conditionalFormatting sqref="G67">
    <cfRule type="cellIs" priority="9" operator="notEqual" aboveAverage="0" equalAverage="0" bottom="0" percent="0" rank="0" text="" dxfId="16">
      <formula>""bien""</formula>
    </cfRule>
  </conditionalFormatting>
  <conditionalFormatting sqref="G68:G72">
    <cfRule type="cellIs" priority="10" operator="notEqual" aboveAverage="0" equalAverage="0" bottom="0" percent="0" rank="0" text="" dxfId="17">
      <formula>""bien""</formula>
    </cfRule>
  </conditionalFormatting>
  <conditionalFormatting sqref="G76">
    <cfRule type="cellIs" priority="11" operator="notEqual" aboveAverage="0" equalAverage="0" bottom="0" percent="0" rank="0" text="" dxfId="18">
      <formula>""bien""</formula>
    </cfRule>
  </conditionalFormatting>
  <conditionalFormatting sqref="G77:G78">
    <cfRule type="cellIs" priority="12" operator="notEqual" aboveAverage="0" equalAverage="0" bottom="0" percent="0" rank="0" text="" dxfId="19">
      <formula>""bien""</formula>
    </cfRule>
  </conditionalFormatting>
  <conditionalFormatting sqref="B16:G16">
    <cfRule type="cellIs" priority="13" operator="notEqual" aboveAverage="0" equalAverage="0" bottom="0" percent="0" rank="0" text="" dxfId="20">
      <formula>#REF!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arpeta" ma:contentTypeID="0x012000D96F098ED5E78F49B4E623047188DB6F" ma:contentTypeVersion="0" ma:contentTypeDescription="Crear nueva carpeta." ma:contentTypeScope="" ma:versionID="e9eb27d8e2cb7f102e8d4388d8cfd20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8145ba8b14c3a68460a880463bfe25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Número secundario de elemento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Recuento secundario de carpetas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Props1.xml><?xml version="1.0" encoding="utf-8"?>
<ds:datastoreItem xmlns:ds="http://schemas.openxmlformats.org/officeDocument/2006/customXml" ds:itemID="{73BF4194-3B07-4541-B2FE-7AD8D9CF0A78}"/>
</file>

<file path=customXml/itemProps2.xml><?xml version="1.0" encoding="utf-8"?>
<ds:datastoreItem xmlns:ds="http://schemas.openxmlformats.org/officeDocument/2006/customXml" ds:itemID="{9830CB01-D23A-4D87-BDEF-D84E96C7B98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LibreOffice/7.2.7.2$Windows_X86_64 LibreOffice_project/8d71d29d553c0f7dcbfa38fbfda25ee34cce99a2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2022-08-01T11:42:52Z</dcterms:created>
  <dc:creator>usuario</dc:creator>
  <dc:description/>
  <dc:language>es-ES</dc:language>
  <cp:lastModifiedBy/>
  <dcterms:modified xsi:type="dcterms:W3CDTF">2022-08-26T09:31:13Z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