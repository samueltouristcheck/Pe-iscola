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Hoja1!$A$1:$J$421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<sst xmlns="http://schemas.openxmlformats.org/spreadsheetml/2006/main" count="1870" uniqueCount="67">
  <si>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</si>
  <si>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</si>
  <si>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</si>
  <si>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</si>
  <si>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</si>
  <si>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</si>
  <si>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</si>
  <si>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</si>
  <si>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</si>
  <si>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</si>
  <si>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7809JZX</t>
  </si>
  <si>
    <t xml:space="preserve">PEÑISCOLA</t>
  </si>
  <si>
    <t xml:space="preserve">RSU</t>
  </si>
  <si>
    <t xml:space="preserve">x</t>
  </si>
  <si>
    <t xml:space="preserve">1076KSZ</t>
  </si>
  <si>
    <t xml:space="preserve">1821KBZ</t>
  </si>
  <si>
    <t xml:space="preserve">7542KBV</t>
  </si>
  <si>
    <t xml:space="preserve">7957JZS</t>
  </si>
  <si>
    <t xml:space="preserve">VOL</t>
  </si>
  <si>
    <t xml:space="preserve">3686KBG</t>
  </si>
  <si>
    <t xml:space="preserve">1730KBZ</t>
  </si>
  <si>
    <t xml:space="preserve">SEL.PAP</t>
  </si>
  <si>
    <t xml:space="preserve">SEL.ENV</t>
  </si>
  <si>
    <t xml:space="preserve">8500BYJ</t>
  </si>
  <si>
    <t xml:space="preserve">5313GBZ</t>
  </si>
  <si>
    <t xml:space="preserve">6120JZX</t>
  </si>
  <si>
    <t xml:space="preserve">0257LYP</t>
  </si>
  <si>
    <t xml:space="preserve">PODA</t>
  </si>
  <si>
    <t xml:space="preserve">0315BGK</t>
  </si>
  <si>
    <t xml:space="preserve">BARREDURIA 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</si>
  <si>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</si>
  <si>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</si>
  <si>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</si>
  <si>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</si>
  <si>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</si>
  <si>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</si>
  <si>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</si>
  <si>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</si>
  <si>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</si>
  <si>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</si>
  <si>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</si>
  <si>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</si>
  <si>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</si>
  <si>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</si>
  <si>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</si>
  <si>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</si>
  <si>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</si>
  <si>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</si>
  <si>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2-3-4-5</t>
  </si>
  <si>
    <t xml:space="preserve">Día</t>
  </si>
  <si>
    <t xml:space="preserve">Volquete Jardinería</t>
  </si>
  <si>
    <t xml:space="preserve">Día/Noche</t>
  </si>
  <si>
    <t xml:space="preserve">Recolector 22 _ 1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</si>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</sst>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4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8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8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9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20" createdVersion="3">
  <cacheSource type="worksheet">
    <worksheetSource ref="A1:J421" sheet="Hoja1"/>
  </cacheSource>
  <cacheFields count="10">
    <cacheField name="Fecha" numFmtId="0">
      <sharedItems containsSemiMixedTypes="0" containsNonDate="0" containsDate="1" containsString="0" minDate="2023-07-01T00:00:00" maxDate="2023-07-31T00:00:00" count="31"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</sharedItems>
    </cacheField>
    <cacheField name="Fecha / hora" numFmtId="0">
      <sharedItems containsSemiMixedTypes="0" containsString="0" containsNumber="1" minValue="0.0138888888888889" maxValue="160314" count="276">
        <n v="0.0138888888888889"/>
        <n v="0.0201388888888889"/>
        <n v="0.0229166666666667"/>
        <n v="0.0243055555555556"/>
        <n v="0.0270833333333333"/>
        <n v="0.0277777777777778"/>
        <n v="0.0333333333333333"/>
        <n v="0.0340277777777778"/>
        <n v="0.0430555555555556"/>
        <n v="0.0465277777777778"/>
        <n v="0.0520833333333333"/>
        <n v="0.0527777777777778"/>
        <n v="0.0534722222222222"/>
        <n v="0.05625"/>
        <n v="0.0576388888888889"/>
        <n v="0.0583333333333333"/>
        <n v="0.0597222222222222"/>
        <n v="0.0604166666666667"/>
        <n v="0.0625"/>
        <n v="0.0638888888888889"/>
        <n v="0.0645833333333333"/>
        <n v="0.0652777777777778"/>
        <n v="0.0673611111111111"/>
        <n v="0.0680555555555556"/>
        <n v="0.0708333333333333"/>
        <n v="0.0722222222222222"/>
        <n v="0.0743055555555556"/>
        <n v="0.0770833333333333"/>
        <n v="0.0791666666666667"/>
        <n v="0.0868055555555556"/>
        <n v="0.0888888888888889"/>
        <n v="0.101388888888889"/>
        <n v="0.104861111111111"/>
        <n v="0.105555555555556"/>
        <n v="0.106944444444444"/>
        <n v="0.110416666666667"/>
        <n v="0.111805555555556"/>
        <n v="0.113194444444444"/>
        <n v="0.113888888888889"/>
        <n v="0.115277777777778"/>
        <n v="0.116666666666667"/>
        <n v="0.117361111111111"/>
        <n v="0.118055555555556"/>
        <n v="0.11875"/>
        <n v="0.120138888888889"/>
        <n v="0.120833333333333"/>
        <n v="0.126388888888889"/>
        <n v="0.127777777777778"/>
        <n v="0.130555555555556"/>
        <n v="0.135416666666667"/>
        <n v="0.136805555555556"/>
        <n v="0.145138888888889"/>
        <n v="0.145833333333333"/>
        <n v="0.147916666666667"/>
        <n v="0.154861111111111"/>
        <n v="0.157638888888889"/>
        <n v="0.158333333333333"/>
        <n v="0.165972222222222"/>
        <n v="0.177083333333333"/>
        <n v="0.183333333333333"/>
        <n v="0.193055555555556"/>
        <n v="0.19375"/>
        <n v="0.199305555555556"/>
        <n v="0.201388888888889"/>
        <n v="0.204166666666667"/>
        <n v="0.205555555555556"/>
        <n v="0.20625"/>
        <n v="0.207638888888889"/>
        <n v="0.208333333333333"/>
        <n v="0.209027777777778"/>
        <n v="0.209722222222222"/>
        <n v="0.211111111111111"/>
        <n v="0.211805555555556"/>
        <n v="0.2125"/>
        <n v="0.213194444444444"/>
        <n v="0.213888888888889"/>
        <n v="0.214583333333333"/>
        <n v="0.215277777777778"/>
        <n v="0.215972222222222"/>
        <n v="0.217361111111111"/>
        <n v="0.21875"/>
        <n v="0.220138888888889"/>
        <n v="0.221527777777778"/>
        <n v="0.222916666666667"/>
        <n v="0.225"/>
        <n v="0.225694444444444"/>
        <n v="0.226388888888889"/>
        <n v="0.229861111111111"/>
        <n v="0.230555555555556"/>
        <n v="0.23125"/>
        <n v="0.231944444444444"/>
        <n v="0.232638888888889"/>
        <n v="0.233333333333333"/>
        <n v="0.234027777777778"/>
        <n v="0.234722222222222"/>
        <n v="0.235416666666667"/>
        <n v="0.236111111111111"/>
        <n v="0.2375"/>
        <n v="0.238194444444444"/>
        <n v="0.238888888888889"/>
        <n v="0.240277777777778"/>
        <n v="0.240972222222222"/>
        <n v="0.241666666666667"/>
        <n v="0.242361111111111"/>
        <n v="0.243055555555556"/>
        <n v="0.24375"/>
        <n v="0.244444444444444"/>
        <n v="0.245138888888889"/>
        <n v="0.245833333333333"/>
        <n v="0.246527777777778"/>
        <n v="0.247222222222222"/>
        <n v="0.247916666666667"/>
        <n v="0.248611111111111"/>
        <n v="0.249305555555556"/>
        <n v="0.25"/>
        <n v="0.250694444444444"/>
        <n v="0.251388888888889"/>
        <n v="0.252777777777778"/>
        <n v="0.25625"/>
        <n v="0.256944444444445"/>
        <n v="0.281944444444444"/>
        <n v="0.289583333333333"/>
        <n v="0.299305555555556"/>
        <n v="0.313194444444444"/>
        <n v="0.329166666666667"/>
        <n v="0.332638888888889"/>
        <n v="0.333333333333333"/>
        <n v="0.334722222222222"/>
        <n v="0.335416666666667"/>
        <n v="0.347222222222222"/>
        <n v="0.351388888888889"/>
        <n v="0.352083333333333"/>
        <n v="0.352777777777778"/>
        <n v="0.354166666666667"/>
        <n v="0.355555555555556"/>
        <n v="0.356944444444444"/>
        <n v="0.359027777777778"/>
        <n v="0.368055555555556"/>
        <n v="0.376388888888889"/>
        <n v="0.377777777777778"/>
        <n v="0.378472222222222"/>
        <n v="0.382638888888889"/>
        <n v="0.386805555555556"/>
        <n v="0.4"/>
        <n v="0.404166666666667"/>
        <n v="0.404861111111111"/>
        <n v="0.408333333333333"/>
        <n v="0.417361111111111"/>
        <n v="0.421527777777778"/>
        <n v="0.422222222222222"/>
        <n v="0.422916666666667"/>
        <n v="0.425694444444444"/>
        <n v="0.428472222222222"/>
        <n v="0.43125"/>
        <n v="0.431944444444444"/>
        <n v="0.432638888888889"/>
        <n v="0.436805555555556"/>
        <n v="0.4375"/>
        <n v="0.438888888888889"/>
        <n v="0.440277777777778"/>
        <n v="0.440972222222222"/>
        <n v="0.441666666666667"/>
        <n v="0.442361111111111"/>
        <n v="0.443055555555556"/>
        <n v="0.44375"/>
        <n v="0.444444444444444"/>
        <n v="0.445138888888889"/>
        <n v="0.445833333333333"/>
        <n v="0.447222222222222"/>
        <n v="0.447916666666667"/>
        <n v="0.448611111111111"/>
        <n v="0.449305555555556"/>
        <n v="0.451388888888889"/>
        <n v="0.452083333333333"/>
        <n v="0.452777777777778"/>
        <n v="0.453472222222222"/>
        <n v="0.454166666666667"/>
        <n v="0.454861111111111"/>
        <n v="0.45625"/>
        <n v="0.456944444444444"/>
        <n v="0.457638888888889"/>
        <n v="0.458333333333333"/>
        <n v="0.459722222222222"/>
        <n v="0.460416666666667"/>
        <n v="0.4625"/>
        <n v="0.463888888888889"/>
        <n v="0.464583333333333"/>
        <n v="0.466666666666667"/>
        <n v="0.467361111111111"/>
        <n v="0.468055555555556"/>
        <n v="0.46875"/>
        <n v="0.470138888888889"/>
        <n v="0.472222222222222"/>
        <n v="0.472916666666667"/>
        <n v="0.473611111111111"/>
        <n v="0.474305555555556"/>
        <n v="0.475"/>
        <n v="0.476388888888889"/>
        <n v="0.477083333333333"/>
        <n v="0.477777777777778"/>
        <n v="0.479166666666667"/>
        <n v="0.479861111111111"/>
        <n v="0.483333333333333"/>
        <n v="0.485416666666667"/>
        <n v="0.486111111111111"/>
        <n v="0.486805555555556"/>
        <n v="0.491666666666667"/>
        <n v="0.494444444444444"/>
        <n v="0.499305555555556"/>
        <n v="0.5"/>
        <n v="0.500694444444444"/>
        <n v="0.503472222222222"/>
        <n v="0.521527777777778"/>
        <n v="0.525694444444445"/>
        <n v="0.533333333333333"/>
        <n v="0.540277777777778"/>
        <n v="0.540972222222222"/>
        <n v="0.542361111111111"/>
        <n v="0.543055555555556"/>
        <n v="0.547916666666667"/>
        <n v="0.6875"/>
        <n v="0.688194444444444"/>
        <n v="0.689583333333333"/>
        <n v="0.694444444444445"/>
        <n v="0.695833333333333"/>
        <n v="0.696527777777778"/>
        <n v="0.697222222222222"/>
        <n v="0.697916666666667"/>
        <n v="0.698611111111111"/>
        <n v="0.7"/>
        <n v="0.700694444444444"/>
        <n v="0.701388888888889"/>
        <n v="0.703472222222222"/>
        <n v="0.704166666666667"/>
        <n v="0.70625"/>
        <n v="0.706944444444444"/>
        <n v="0.708333333333333"/>
        <n v="0.711805555555556"/>
        <n v="0.713194444444445"/>
        <n v="0.714583333333333"/>
        <n v="0.716666666666667"/>
        <n v="0.719444444444444"/>
        <n v="0.854861111111111"/>
        <n v="0.859027777777778"/>
        <n v="0.8625"/>
        <n v="0.863194444444444"/>
        <n v="0.870138888888889"/>
        <n v="0.870833333333333"/>
        <n v="0.871527777777778"/>
        <n v="0.872222222222222"/>
        <n v="0.873611111111111"/>
        <n v="0.874305555555556"/>
        <n v="0.875"/>
        <n v="0.875694444444444"/>
        <n v="0.876388888888889"/>
        <n v="0.877083333333333"/>
        <n v="0.878472222222222"/>
        <n v="0.879166666666667"/>
        <n v="0.879861111111111"/>
        <n v="0.880555555555556"/>
        <n v="0.88125"/>
        <n v="0.882638888888889"/>
        <n v="0.884027777777778"/>
        <n v="0.885416666666667"/>
        <n v="0.886111111111111"/>
        <n v="0.886805555555556"/>
        <n v="0.8875"/>
        <n v="0.888194444444444"/>
        <n v="0.888888888888889"/>
        <n v="0.889583333333333"/>
        <n v="0.890972222222222"/>
        <n v="0.89375"/>
        <n v="0.907638888888889"/>
        <n v="0.922916666666667"/>
        <n v="0.974305555555556"/>
        <n v="160314"/>
      </sharedItems>
    </cacheField>
    <cacheField name="Ticket" numFmtId="0">
      <sharedItems containsString="0" containsBlank="1" containsNumber="1" containsInteger="1" minValue="4402" maxValue="160376" count="420">
        <n v="4402"/>
        <n v="4448"/>
        <n v="4454"/>
        <n v="4472"/>
        <n v="4480"/>
        <n v="4507"/>
        <n v="4535"/>
        <n v="19000"/>
        <n v="24469"/>
        <n v="24531"/>
        <n v="24532"/>
        <n v="24541"/>
        <n v="24547"/>
        <n v="24548"/>
        <n v="24549"/>
        <n v="24562"/>
        <n v="24565"/>
        <n v="24567"/>
        <n v="24572"/>
        <n v="24573"/>
        <n v="24574"/>
        <n v="24575"/>
        <n v="24579"/>
        <n v="24588"/>
        <n v="24589"/>
        <n v="24590"/>
        <n v="24591"/>
        <n v="24596"/>
        <n v="24597"/>
        <n v="24599"/>
        <n v="24600"/>
        <n v="24601"/>
        <n v="24604"/>
        <n v="24610"/>
        <n v="24616"/>
        <n v="24619"/>
        <n v="24621"/>
        <n v="24633"/>
        <n v="24639"/>
        <n v="24645"/>
        <n v="24647"/>
        <n v="24663"/>
        <n v="24665"/>
        <n v="24666"/>
        <n v="24669"/>
        <n v="24681"/>
        <n v="24685"/>
        <n v="24686"/>
        <n v="24688"/>
        <n v="24705"/>
        <n v="24728"/>
        <n v="24738"/>
        <n v="24739"/>
        <n v="24741"/>
        <n v="24744"/>
        <n v="24749"/>
        <n v="24750"/>
        <n v="24754"/>
        <n v="24773"/>
        <n v="24781"/>
        <n v="24783"/>
        <n v="24803"/>
        <n v="24812"/>
        <n v="24814"/>
        <n v="24818"/>
        <n v="24824"/>
        <n v="24829"/>
        <n v="24833"/>
        <n v="24834"/>
        <n v="24844"/>
        <n v="24857"/>
        <n v="24860"/>
        <n v="24873"/>
        <n v="24878"/>
        <n v="24879"/>
        <n v="24881"/>
        <n v="24882"/>
        <n v="24887"/>
        <n v="24890"/>
        <n v="24892"/>
        <n v="24893"/>
        <n v="24895"/>
        <n v="24914"/>
        <n v="24916"/>
        <n v="24928"/>
        <n v="24931"/>
        <n v="24932"/>
        <n v="24935"/>
        <n v="24940"/>
        <n v="24947"/>
        <n v="24951"/>
        <n v="24952"/>
        <n v="24953"/>
        <n v="24966"/>
        <n v="24969"/>
        <n v="24970"/>
        <n v="24974"/>
        <n v="24977"/>
        <n v="24978"/>
        <n v="24979"/>
        <n v="24981"/>
        <n v="24982"/>
        <n v="24987"/>
        <n v="24992"/>
        <n v="24995"/>
        <n v="24996"/>
        <n v="24997"/>
        <n v="25002"/>
        <n v="25003"/>
        <n v="25004"/>
        <n v="25006"/>
        <n v="25007"/>
        <n v="25008"/>
        <n v="25012"/>
        <n v="25015"/>
        <n v="25023"/>
        <n v="25024"/>
        <n v="25025"/>
        <n v="25030"/>
        <n v="25038"/>
        <n v="25051"/>
        <n v="25052"/>
        <n v="25070"/>
        <n v="25072"/>
        <n v="25074"/>
        <n v="25077"/>
        <n v="25087"/>
        <n v="25090"/>
        <n v="25093"/>
        <n v="25094"/>
        <n v="25104"/>
        <n v="25107"/>
        <n v="25115"/>
        <n v="25116"/>
        <n v="25117"/>
        <n v="25126"/>
        <n v="25136"/>
        <n v="25140"/>
        <n v="25141"/>
        <n v="25144"/>
        <n v="25147"/>
        <n v="25151"/>
        <n v="25154"/>
        <n v="25159"/>
        <n v="25161"/>
        <n v="25173"/>
        <n v="25184"/>
        <n v="25191"/>
        <n v="25208"/>
        <n v="25214"/>
        <n v="25216"/>
        <n v="25218"/>
        <n v="25224"/>
        <n v="25225"/>
        <n v="25227"/>
        <n v="25234"/>
        <n v="25236"/>
        <n v="25248"/>
        <n v="25251"/>
        <n v="25263"/>
        <n v="25271"/>
        <n v="25281"/>
        <n v="25285"/>
        <n v="25286"/>
        <n v="25289"/>
        <n v="25293"/>
        <n v="25295"/>
        <n v="25299"/>
        <n v="25304"/>
        <n v="25306"/>
        <n v="25307"/>
        <n v="25323"/>
        <n v="25327"/>
        <n v="25328"/>
        <n v="25334"/>
        <n v="25343"/>
        <n v="25350"/>
        <n v="25351"/>
        <n v="25353"/>
        <n v="25354"/>
        <n v="25358"/>
        <n v="25365"/>
        <n v="25367"/>
        <n v="25369"/>
        <n v="25379"/>
        <n v="25382"/>
        <n v="25384"/>
        <n v="25386"/>
        <n v="25390"/>
        <n v="25391"/>
        <n v="25392"/>
        <n v="25393"/>
        <n v="25394"/>
        <n v="25400"/>
        <n v="25405"/>
        <n v="25406"/>
        <n v="25410"/>
        <n v="25411"/>
        <n v="25412"/>
        <n v="25417"/>
        <n v="25418"/>
        <n v="25419"/>
        <n v="25420"/>
        <n v="25421"/>
        <n v="25423"/>
        <n v="25425"/>
        <n v="25428"/>
        <n v="25435"/>
        <n v="25436"/>
        <n v="25438"/>
        <n v="25439"/>
        <n v="25442"/>
        <n v="25457"/>
        <n v="25467"/>
        <n v="25470"/>
        <n v="25492"/>
        <n v="25494"/>
        <n v="25495"/>
        <n v="25497"/>
        <n v="25499"/>
        <n v="25501"/>
        <n v="25509"/>
        <n v="25512"/>
        <n v="25515"/>
        <n v="25516"/>
        <n v="25532"/>
        <n v="25535"/>
        <n v="25540"/>
        <n v="25555"/>
        <n v="25563"/>
        <n v="25564"/>
        <n v="25568"/>
        <n v="25572"/>
        <n v="25576"/>
        <n v="25578"/>
        <n v="25582"/>
        <n v="25583"/>
        <n v="25595"/>
        <n v="25607"/>
        <n v="25608"/>
        <n v="25613"/>
        <n v="25614"/>
        <n v="25627"/>
        <n v="25634"/>
        <n v="25635"/>
        <n v="25638"/>
        <n v="25644"/>
        <n v="25645"/>
        <n v="25650"/>
        <n v="25654"/>
        <n v="25655"/>
        <n v="25670"/>
        <n v="25673"/>
        <n v="25682"/>
        <n v="25686"/>
        <n v="25696"/>
        <n v="25702"/>
        <n v="25704"/>
        <n v="25707"/>
        <n v="25708"/>
        <n v="25712"/>
        <n v="25718"/>
        <n v="25721"/>
        <n v="25722"/>
        <n v="25723"/>
        <n v="25735"/>
        <n v="25738"/>
        <n v="25751"/>
        <n v="25756"/>
        <n v="25758"/>
        <n v="25760"/>
        <n v="25765"/>
        <n v="25771"/>
        <n v="25773"/>
        <n v="25774"/>
        <n v="25775"/>
        <n v="25792"/>
        <n v="25794"/>
        <n v="25799"/>
        <n v="25804"/>
        <n v="25806"/>
        <n v="25807"/>
        <n v="25809"/>
        <n v="25811"/>
        <n v="25819"/>
        <n v="25820"/>
        <n v="25825"/>
        <n v="25826"/>
        <n v="25827"/>
        <n v="25832"/>
        <n v="25833"/>
        <n v="25834"/>
        <n v="25836"/>
        <n v="25837"/>
        <n v="25840"/>
        <n v="25844"/>
        <n v="25847"/>
        <n v="25851"/>
        <n v="25853"/>
        <n v="25856"/>
        <n v="25863"/>
        <n v="25872"/>
        <n v="25874"/>
        <n v="25876"/>
        <n v="25886"/>
        <n v="25888"/>
        <n v="25889"/>
        <n v="25891"/>
        <n v="25893"/>
        <n v="25896"/>
        <n v="25904"/>
        <n v="25908"/>
        <n v="25909"/>
        <n v="25911"/>
        <n v="25923"/>
        <n v="25927"/>
        <n v="25931"/>
        <n v="25932"/>
        <n v="25952"/>
        <n v="25958"/>
        <n v="25959"/>
        <n v="25963"/>
        <n v="25969"/>
        <n v="25970"/>
        <n v="25973"/>
        <n v="25980"/>
        <n v="25981"/>
        <n v="25996"/>
        <n v="25999"/>
        <n v="26000"/>
        <n v="26007"/>
        <n v="26016"/>
        <n v="26027"/>
        <n v="26033"/>
        <n v="26035"/>
        <n v="26038"/>
        <n v="26042"/>
        <n v="26046"/>
        <n v="26047"/>
        <n v="26054"/>
        <n v="26055"/>
        <n v="26071"/>
        <n v="26072"/>
        <n v="26076"/>
        <n v="26087"/>
        <n v="26098"/>
        <n v="26104"/>
        <n v="26105"/>
        <n v="26107"/>
        <n v="26112"/>
        <n v="26115"/>
        <n v="26118"/>
        <n v="26122"/>
        <n v="26125"/>
        <n v="26130"/>
        <n v="26143"/>
        <n v="26146"/>
        <n v="26147"/>
        <n v="26153"/>
        <n v="26156"/>
        <n v="26161"/>
        <n v="26175"/>
        <n v="26180"/>
        <n v="26181"/>
        <n v="26185"/>
        <n v="26190"/>
        <n v="26197"/>
        <n v="26199"/>
        <n v="26200"/>
        <n v="26202"/>
        <n v="26205"/>
        <n v="26207"/>
        <n v="26208"/>
        <n v="26214"/>
        <n v="26220"/>
        <n v="26223"/>
        <n v="26225"/>
        <n v="26226"/>
        <n v="26229"/>
        <n v="26230"/>
        <n v="26238"/>
        <n v="26240"/>
        <n v="26241"/>
        <n v="26243"/>
        <n v="26246"/>
        <n v="26249"/>
        <n v="26255"/>
        <n v="26256"/>
        <n v="26257"/>
        <n v="26258"/>
        <n v="26266"/>
        <n v="26267"/>
        <n v="26269"/>
        <n v="26271"/>
        <n v="26272"/>
        <n v="26275"/>
        <n v="26282"/>
        <n v="26283"/>
        <n v="26287"/>
        <n v="26288"/>
        <n v="26290"/>
        <n v="26305"/>
        <n v="26314"/>
        <n v="26315"/>
        <n v="26322"/>
        <n v="26333"/>
        <n v="26336"/>
        <n v="26337"/>
        <n v="158815"/>
        <n v="158919"/>
        <n v="159035"/>
        <n v="159292"/>
        <n v="159448"/>
        <n v="159500"/>
        <n v="159754"/>
        <n v="159958"/>
        <n v="160198"/>
        <n v="160314"/>
        <n v="160376"/>
        <m/>
      </sharedItems>
    </cacheField>
    <cacheField name="Matrícula" numFmtId="0">
      <sharedItems count="12">
        <s v="0257LYP"/>
        <s v="0315BGK"/>
        <s v="1076KSZ"/>
        <s v="1730KBZ"/>
        <s v="1821KBZ"/>
        <s v="3686KBG"/>
        <s v="5313GBZ"/>
        <s v="6120JZX"/>
        <s v="7542KBV"/>
        <s v="7809JZX"/>
        <s v="7957JZS"/>
        <s v="8500BYJ"/>
      </sharedItems>
    </cacheField>
    <cacheField name="Peso total" numFmtId="0">
      <sharedItems containsSemiMixedTypes="0" containsString="0" containsNumber="1" containsInteger="1" minValue="1700" maxValue="31180" count="294">
        <n v="1700"/>
        <n v="2400"/>
        <n v="2520"/>
        <n v="2540"/>
        <n v="2560"/>
        <n v="2600"/>
        <n v="2620"/>
        <n v="2640"/>
        <n v="2680"/>
        <n v="2720"/>
        <n v="2780"/>
        <n v="2900"/>
        <n v="2920"/>
        <n v="2940"/>
        <n v="2960"/>
        <n v="2980"/>
        <n v="3000"/>
        <n v="3020"/>
        <n v="3040"/>
        <n v="3060"/>
        <n v="3080"/>
        <n v="3100"/>
        <n v="3120"/>
        <n v="3140"/>
        <n v="3180"/>
        <n v="3220"/>
        <n v="3240"/>
        <n v="3260"/>
        <n v="3280"/>
        <n v="3300"/>
        <n v="3340"/>
        <n v="3360"/>
        <n v="3380"/>
        <n v="3400"/>
        <n v="3420"/>
        <n v="3440"/>
        <n v="3480"/>
        <n v="3500"/>
        <n v="3520"/>
        <n v="3560"/>
        <n v="3580"/>
        <n v="3640"/>
        <n v="3660"/>
        <n v="3720"/>
        <n v="3760"/>
        <n v="3780"/>
        <n v="3860"/>
        <n v="3880"/>
        <n v="4000"/>
        <n v="4040"/>
        <n v="4060"/>
        <n v="4080"/>
        <n v="4120"/>
        <n v="4140"/>
        <n v="4160"/>
        <n v="4220"/>
        <n v="4260"/>
        <n v="4280"/>
        <n v="4300"/>
        <n v="4340"/>
        <n v="4380"/>
        <n v="4420"/>
        <n v="4440"/>
        <n v="4480"/>
        <n v="4580"/>
        <n v="4600"/>
        <n v="4620"/>
        <n v="4640"/>
        <n v="4660"/>
        <n v="4680"/>
        <n v="4700"/>
        <n v="4720"/>
        <n v="4740"/>
        <n v="4780"/>
        <n v="4800"/>
        <n v="4840"/>
        <n v="4900"/>
        <n v="5060"/>
        <n v="5080"/>
        <n v="5900"/>
        <n v="6100"/>
        <n v="6120"/>
        <n v="6160"/>
        <n v="6200"/>
        <n v="6240"/>
        <n v="6320"/>
        <n v="6340"/>
        <n v="6360"/>
        <n v="6460"/>
        <n v="6520"/>
        <n v="6540"/>
        <n v="6580"/>
        <n v="6680"/>
        <n v="6800"/>
        <n v="6840"/>
        <n v="6900"/>
        <n v="7000"/>
        <n v="7040"/>
        <n v="12960"/>
        <n v="13080"/>
        <n v="13140"/>
        <n v="13520"/>
        <n v="14080"/>
        <n v="14460"/>
        <n v="14520"/>
        <n v="14540"/>
        <n v="14700"/>
        <n v="14900"/>
        <n v="15060"/>
        <n v="15120"/>
        <n v="15200"/>
        <n v="15240"/>
        <n v="15300"/>
        <n v="15320"/>
        <n v="15400"/>
        <n v="15420"/>
        <n v="15520"/>
        <n v="15560"/>
        <n v="15580"/>
        <n v="15620"/>
        <n v="15660"/>
        <n v="15760"/>
        <n v="15840"/>
        <n v="15860"/>
        <n v="15880"/>
        <n v="15900"/>
        <n v="15940"/>
        <n v="15960"/>
        <n v="15980"/>
        <n v="16040"/>
        <n v="16140"/>
        <n v="16160"/>
        <n v="16300"/>
        <n v="16360"/>
        <n v="16660"/>
        <n v="17480"/>
        <n v="17540"/>
        <n v="17660"/>
        <n v="17680"/>
        <n v="17780"/>
        <n v="17820"/>
        <n v="17840"/>
        <n v="17880"/>
        <n v="17900"/>
        <n v="17980"/>
        <n v="18000"/>
        <n v="18020"/>
        <n v="18040"/>
        <n v="18080"/>
        <n v="18140"/>
        <n v="18220"/>
        <n v="18240"/>
        <n v="18260"/>
        <n v="18440"/>
        <n v="18480"/>
        <n v="18500"/>
        <n v="18520"/>
        <n v="18560"/>
        <n v="18580"/>
        <n v="18620"/>
        <n v="18680"/>
        <n v="18700"/>
        <n v="19000"/>
        <n v="19100"/>
        <n v="19140"/>
        <n v="19320"/>
        <n v="19600"/>
        <n v="19720"/>
        <n v="19860"/>
        <n v="20080"/>
        <n v="20280"/>
        <n v="20400"/>
        <n v="20760"/>
        <n v="20920"/>
        <n v="21000"/>
        <n v="21020"/>
        <n v="21100"/>
        <n v="21140"/>
        <n v="21260"/>
        <n v="21280"/>
        <n v="21300"/>
        <n v="21320"/>
        <n v="21360"/>
        <n v="21420"/>
        <n v="21440"/>
        <n v="21460"/>
        <n v="21520"/>
        <n v="21600"/>
        <n v="21620"/>
        <n v="21640"/>
        <n v="21660"/>
        <n v="21700"/>
        <n v="21720"/>
        <n v="21740"/>
        <n v="21780"/>
        <n v="21800"/>
        <n v="21860"/>
        <n v="21880"/>
        <n v="21900"/>
        <n v="21920"/>
        <n v="21960"/>
        <n v="21980"/>
        <n v="22000"/>
        <n v="22020"/>
        <n v="22040"/>
        <n v="22140"/>
        <n v="22180"/>
        <n v="22200"/>
        <n v="22220"/>
        <n v="22240"/>
        <n v="22260"/>
        <n v="22320"/>
        <n v="22340"/>
        <n v="22360"/>
        <n v="22400"/>
        <n v="22460"/>
        <n v="22520"/>
        <n v="22580"/>
        <n v="22700"/>
        <n v="22740"/>
        <n v="22760"/>
        <n v="22820"/>
        <n v="22840"/>
        <n v="22860"/>
        <n v="22880"/>
        <n v="22900"/>
        <n v="22920"/>
        <n v="23000"/>
        <n v="23060"/>
        <n v="23120"/>
        <n v="23160"/>
        <n v="23180"/>
        <n v="23220"/>
        <n v="23300"/>
        <n v="23320"/>
        <n v="23360"/>
        <n v="23480"/>
        <n v="23520"/>
        <n v="23540"/>
        <n v="23560"/>
        <n v="23660"/>
        <n v="23740"/>
        <n v="23800"/>
        <n v="23820"/>
        <n v="23860"/>
        <n v="23940"/>
        <n v="24060"/>
        <n v="24180"/>
        <n v="24260"/>
        <n v="24300"/>
        <n v="24580"/>
        <n v="24640"/>
        <n v="24660"/>
        <n v="24860"/>
        <n v="24920"/>
        <n v="24940"/>
        <n v="24980"/>
        <n v="25040"/>
        <n v="25100"/>
        <n v="25120"/>
        <n v="25260"/>
        <n v="25360"/>
        <n v="25440"/>
        <n v="25480"/>
        <n v="25620"/>
        <n v="25640"/>
        <n v="25680"/>
        <n v="25740"/>
        <n v="25840"/>
        <n v="25900"/>
        <n v="26040"/>
        <n v="26160"/>
        <n v="26440"/>
        <n v="26680"/>
        <n v="26700"/>
        <n v="26740"/>
        <n v="26940"/>
        <n v="26960"/>
        <n v="27020"/>
        <n v="27040"/>
        <n v="27320"/>
        <n v="27380"/>
        <n v="27500"/>
        <n v="27540"/>
        <n v="27600"/>
        <n v="28220"/>
        <n v="29480"/>
        <n v="29520"/>
        <n v="30080"/>
        <n v="30160"/>
        <n v="30400"/>
        <n v="30560"/>
        <n v="30980"/>
        <n v="31180"/>
      </sharedItems>
    </cacheField>
    <cacheField name="Tara" numFmtId="0">
      <sharedItems containsSemiMixedTypes="0" containsString="0" containsNumber="1" containsInteger="1" minValue="1240" maxValue="16320" count="99">
        <n v="1240"/>
        <n v="1580"/>
        <n v="2320"/>
        <n v="2380"/>
        <n v="2400"/>
        <n v="2420"/>
        <n v="2440"/>
        <n v="2460"/>
        <n v="2600"/>
        <n v="2620"/>
        <n v="2660"/>
        <n v="2680"/>
        <n v="2700"/>
        <n v="2720"/>
        <n v="2740"/>
        <n v="2760"/>
        <n v="2780"/>
        <n v="2800"/>
        <n v="2820"/>
        <n v="2840"/>
        <n v="2860"/>
        <n v="2880"/>
        <n v="2900"/>
        <n v="2940"/>
        <n v="2960"/>
        <n v="2980"/>
        <n v="3040"/>
        <n v="3580"/>
        <n v="3600"/>
        <n v="3620"/>
        <n v="3660"/>
        <n v="3680"/>
        <n v="3700"/>
        <n v="3760"/>
        <n v="3780"/>
        <n v="3800"/>
        <n v="5460"/>
        <n v="5480"/>
        <n v="5500"/>
        <n v="5520"/>
        <n v="5560"/>
        <n v="5580"/>
        <n v="5600"/>
        <n v="5620"/>
        <n v="5640"/>
        <n v="12380"/>
        <n v="12400"/>
        <n v="12420"/>
        <n v="12440"/>
        <n v="12460"/>
        <n v="12480"/>
        <n v="12500"/>
        <n v="12520"/>
        <n v="12540"/>
        <n v="13080"/>
        <n v="13100"/>
        <n v="13120"/>
        <n v="13140"/>
        <n v="13160"/>
        <n v="13180"/>
        <n v="13200"/>
        <n v="13220"/>
        <n v="13240"/>
        <n v="13260"/>
        <n v="13280"/>
        <n v="13320"/>
        <n v="13340"/>
        <n v="13400"/>
        <n v="13420"/>
        <n v="13440"/>
        <n v="13460"/>
        <n v="15240"/>
        <n v="15300"/>
        <n v="1540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60"/>
        <n v="16180"/>
        <n v="16200"/>
        <n v="16220"/>
        <n v="16320"/>
      </sharedItems>
    </cacheField>
    <cacheField name="Carga" numFmtId="0">
      <sharedItems containsSemiMixedTypes="0" containsString="0" containsNumber="1" containsInteger="1" minValue="120" maxValue="15880" count="232"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80"/>
        <n v="700"/>
        <n v="720"/>
        <n v="740"/>
        <n v="760"/>
        <n v="780"/>
        <n v="800"/>
        <n v="820"/>
        <n v="840"/>
        <n v="860"/>
        <n v="880"/>
        <n v="900"/>
        <n v="920"/>
        <n v="960"/>
        <n v="980"/>
        <n v="1000"/>
        <n v="1020"/>
        <n v="1040"/>
        <n v="1060"/>
        <n v="1080"/>
        <n v="1100"/>
        <n v="1120"/>
        <n v="1160"/>
        <n v="1180"/>
        <n v="1200"/>
        <n v="1220"/>
        <n v="1240"/>
        <n v="1280"/>
        <n v="1300"/>
        <n v="1320"/>
        <n v="1360"/>
        <n v="1380"/>
        <n v="1420"/>
        <n v="1480"/>
        <n v="1520"/>
        <n v="1540"/>
        <n v="1600"/>
        <n v="1640"/>
        <n v="1840"/>
        <n v="1880"/>
        <n v="1920"/>
        <n v="1980"/>
        <n v="2020"/>
        <n v="2040"/>
        <n v="2060"/>
        <n v="2080"/>
        <n v="2120"/>
        <n v="2140"/>
        <n v="2160"/>
        <n v="2180"/>
        <n v="2220"/>
        <n v="2240"/>
        <n v="2300"/>
        <n v="2320"/>
        <n v="2360"/>
        <n v="2380"/>
        <n v="2420"/>
        <n v="2440"/>
        <n v="2460"/>
        <n v="2480"/>
        <n v="2500"/>
        <n v="2520"/>
        <n v="2540"/>
        <n v="2560"/>
        <n v="2600"/>
        <n v="2640"/>
        <n v="2680"/>
        <n v="2700"/>
        <n v="2720"/>
        <n v="2740"/>
        <n v="2800"/>
        <n v="2840"/>
        <n v="2860"/>
        <n v="2920"/>
        <n v="2980"/>
        <n v="3240"/>
        <n v="3260"/>
        <n v="3360"/>
        <n v="3380"/>
        <n v="3400"/>
        <n v="3700"/>
        <n v="3820"/>
        <n v="4460"/>
        <n v="5300"/>
        <n v="5340"/>
        <n v="5360"/>
        <n v="5380"/>
        <n v="5400"/>
        <n v="5540"/>
        <n v="5680"/>
        <n v="5720"/>
        <n v="5860"/>
        <n v="5880"/>
        <n v="5920"/>
        <n v="5980"/>
        <n v="6040"/>
        <n v="6100"/>
        <n v="6360"/>
        <n v="6420"/>
        <n v="6460"/>
        <n v="6500"/>
        <n v="6640"/>
        <n v="6700"/>
        <n v="6760"/>
        <n v="6840"/>
        <n v="6860"/>
        <n v="6920"/>
        <n v="6940"/>
        <n v="7120"/>
        <n v="7140"/>
        <n v="7160"/>
        <n v="7240"/>
        <n v="7280"/>
        <n v="7400"/>
        <n v="7420"/>
        <n v="7440"/>
        <n v="7480"/>
        <n v="7500"/>
        <n v="7540"/>
        <n v="7560"/>
        <n v="7760"/>
        <n v="7820"/>
        <n v="7840"/>
        <n v="7860"/>
        <n v="7920"/>
        <n v="7980"/>
        <n v="8080"/>
        <n v="8140"/>
        <n v="8180"/>
        <n v="8200"/>
        <n v="8220"/>
        <n v="8240"/>
        <n v="8280"/>
        <n v="8320"/>
        <n v="8340"/>
        <n v="8360"/>
        <n v="8380"/>
        <n v="8440"/>
        <n v="8460"/>
        <n v="8500"/>
        <n v="8520"/>
        <n v="8580"/>
        <n v="8640"/>
        <n v="8660"/>
        <n v="8680"/>
        <n v="8700"/>
        <n v="8740"/>
        <n v="8760"/>
        <n v="8780"/>
        <n v="8820"/>
        <n v="8840"/>
        <n v="8900"/>
        <n v="8920"/>
        <n v="8940"/>
        <n v="8980"/>
        <n v="9000"/>
        <n v="9020"/>
        <n v="9040"/>
        <n v="9060"/>
        <n v="9080"/>
        <n v="9140"/>
        <n v="9160"/>
        <n v="9200"/>
        <n v="9220"/>
        <n v="9260"/>
        <n v="9400"/>
        <n v="9520"/>
        <n v="9580"/>
        <n v="9660"/>
        <n v="9680"/>
        <n v="9700"/>
        <n v="9720"/>
        <n v="9740"/>
        <n v="9760"/>
        <n v="9780"/>
        <n v="9800"/>
        <n v="9840"/>
        <n v="9860"/>
        <n v="9880"/>
        <n v="9920"/>
        <n v="10060"/>
        <n v="10240"/>
        <n v="10500"/>
        <n v="10580"/>
        <n v="10760"/>
        <n v="10860"/>
        <n v="10900"/>
        <n v="10920"/>
        <n v="11120"/>
        <n v="11180"/>
        <n v="11300"/>
        <n v="11320"/>
        <n v="11440"/>
        <n v="11460"/>
        <n v="11700"/>
        <n v="11760"/>
        <n v="12200"/>
        <n v="14180"/>
        <n v="14220"/>
        <n v="14780"/>
        <n v="14860"/>
        <n v="15100"/>
        <n v="15260"/>
        <n v="15680"/>
        <n v="15880"/>
      </sharedItems>
    </cacheField>
    <cacheField name="Población" numFmtId="0">
      <sharedItems count="1">
        <s v="PEÑISCOLA"/>
      </sharedItems>
    </cacheField>
    <cacheField name="Residuo" numFmtId="0">
      <sharedItems count="6">
        <s v="BARREDURIA "/>
        <s v="PODA"/>
        <s v="RSU"/>
        <s v="SEL.ENV"/>
        <s v="SEL.PAP"/>
        <s v="VOL"/>
      </sharedItems>
    </cacheField>
    <cacheField name="Revisado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">
  <r>
    <x v="0"/>
    <x v="40"/>
    <x v="10"/>
    <x v="9"/>
    <x v="75"/>
    <x v="29"/>
    <x v="52"/>
    <x v="0"/>
    <x v="2"/>
    <x v="0"/>
  </r>
  <r>
    <x v="0"/>
    <x v="258"/>
    <x v="20"/>
    <x v="2"/>
    <x v="21"/>
    <x v="11"/>
    <x v="15"/>
    <x v="0"/>
    <x v="2"/>
    <x v="0"/>
  </r>
  <r>
    <x v="0"/>
    <x v="257"/>
    <x v="19"/>
    <x v="4"/>
    <x v="207"/>
    <x v="91"/>
    <x v="123"/>
    <x v="0"/>
    <x v="2"/>
    <x v="0"/>
  </r>
  <r>
    <x v="0"/>
    <x v="119"/>
    <x v="14"/>
    <x v="9"/>
    <x v="68"/>
    <x v="34"/>
    <x v="37"/>
    <x v="0"/>
    <x v="2"/>
    <x v="0"/>
  </r>
  <r>
    <x v="0"/>
    <x v="105"/>
    <x v="13"/>
    <x v="4"/>
    <x v="245"/>
    <x v="91"/>
    <x v="149"/>
    <x v="0"/>
    <x v="2"/>
    <x v="0"/>
  </r>
  <r>
    <x v="0"/>
    <x v="155"/>
    <x v="15"/>
    <x v="2"/>
    <x v="28"/>
    <x v="11"/>
    <x v="24"/>
    <x v="0"/>
    <x v="2"/>
    <x v="0"/>
  </r>
  <r>
    <x v="0"/>
    <x v="108"/>
    <x v="12"/>
    <x v="8"/>
    <x v="169"/>
    <x v="58"/>
    <x v="133"/>
    <x v="0"/>
    <x v="2"/>
    <x v="0"/>
  </r>
  <r>
    <x v="0"/>
    <x v="31"/>
    <x v="9"/>
    <x v="8"/>
    <x v="214"/>
    <x v="68"/>
    <x v="181"/>
    <x v="0"/>
    <x v="2"/>
    <x v="0"/>
  </r>
  <r>
    <x v="0"/>
    <x v="200"/>
    <x v="17"/>
    <x v="10"/>
    <x v="94"/>
    <x v="37"/>
    <x v="57"/>
    <x v="0"/>
    <x v="5"/>
    <x v="0"/>
  </r>
  <r>
    <x v="0"/>
    <x v="184"/>
    <x v="16"/>
    <x v="5"/>
    <x v="4"/>
    <x v="4"/>
    <x v="2"/>
    <x v="0"/>
    <x v="2"/>
    <x v="0"/>
  </r>
  <r>
    <x v="0"/>
    <x v="229"/>
    <x v="18"/>
    <x v="8"/>
    <x v="111"/>
    <x v="55"/>
    <x v="74"/>
    <x v="0"/>
    <x v="2"/>
    <x v="0"/>
  </r>
  <r>
    <x v="0"/>
    <x v="209"/>
    <x v="8"/>
    <x v="2"/>
    <x v="23"/>
    <x v="11"/>
    <x v="17"/>
    <x v="0"/>
    <x v="2"/>
    <x v="0"/>
  </r>
  <r>
    <x v="0"/>
    <x v="97"/>
    <x v="11"/>
    <x v="3"/>
    <x v="268"/>
    <x v="95"/>
    <x v="195"/>
    <x v="0"/>
    <x v="2"/>
    <x v="0"/>
  </r>
  <r>
    <x v="0"/>
    <x v="203"/>
    <x v="408"/>
    <x v="4"/>
    <x v="146"/>
    <x v="93"/>
    <x v="66"/>
    <x v="0"/>
    <x v="4"/>
    <x v="0"/>
  </r>
  <r>
    <x v="1"/>
    <x v="116"/>
    <x v="25"/>
    <x v="3"/>
    <x v="251"/>
    <x v="83"/>
    <x v="172"/>
    <x v="0"/>
    <x v="2"/>
    <x v="0"/>
  </r>
  <r>
    <x v="1"/>
    <x v="30"/>
    <x v="21"/>
    <x v="8"/>
    <x v="180"/>
    <x v="65"/>
    <x v="152"/>
    <x v="0"/>
    <x v="2"/>
    <x v="0"/>
  </r>
  <r>
    <x v="1"/>
    <x v="189"/>
    <x v="28"/>
    <x v="5"/>
    <x v="4"/>
    <x v="3"/>
    <x v="3"/>
    <x v="0"/>
    <x v="2"/>
    <x v="0"/>
  </r>
  <r>
    <x v="1"/>
    <x v="103"/>
    <x v="23"/>
    <x v="8"/>
    <x v="196"/>
    <x v="55"/>
    <x v="174"/>
    <x v="0"/>
    <x v="2"/>
    <x v="0"/>
  </r>
  <r>
    <x v="1"/>
    <x v="252"/>
    <x v="30"/>
    <x v="4"/>
    <x v="193"/>
    <x v="79"/>
    <x v="119"/>
    <x v="0"/>
    <x v="2"/>
    <x v="0"/>
  </r>
  <r>
    <x v="1"/>
    <x v="190"/>
    <x v="27"/>
    <x v="2"/>
    <x v="29"/>
    <x v="8"/>
    <x v="28"/>
    <x v="0"/>
    <x v="2"/>
    <x v="0"/>
  </r>
  <r>
    <x v="1"/>
    <x v="252"/>
    <x v="31"/>
    <x v="2"/>
    <x v="10"/>
    <x v="10"/>
    <x v="0"/>
    <x v="0"/>
    <x v="2"/>
    <x v="0"/>
  </r>
  <r>
    <x v="1"/>
    <x v="107"/>
    <x v="24"/>
    <x v="4"/>
    <x v="250"/>
    <x v="90"/>
    <x v="166"/>
    <x v="0"/>
    <x v="2"/>
    <x v="0"/>
  </r>
  <r>
    <x v="1"/>
    <x v="231"/>
    <x v="29"/>
    <x v="8"/>
    <x v="130"/>
    <x v="61"/>
    <x v="100"/>
    <x v="0"/>
    <x v="2"/>
    <x v="0"/>
  </r>
  <r>
    <x v="1"/>
    <x v="118"/>
    <x v="26"/>
    <x v="9"/>
    <x v="63"/>
    <x v="31"/>
    <x v="33"/>
    <x v="0"/>
    <x v="2"/>
    <x v="0"/>
  </r>
  <r>
    <x v="1"/>
    <x v="34"/>
    <x v="22"/>
    <x v="9"/>
    <x v="67"/>
    <x v="28"/>
    <x v="44"/>
    <x v="0"/>
    <x v="2"/>
    <x v="0"/>
  </r>
  <r>
    <x v="2"/>
    <x v="29"/>
    <x v="32"/>
    <x v="8"/>
    <x v="187"/>
    <x v="62"/>
    <x v="162"/>
    <x v="0"/>
    <x v="2"/>
    <x v="0"/>
  </r>
  <r>
    <x v="2"/>
    <x v="108"/>
    <x v="35"/>
    <x v="8"/>
    <x v="161"/>
    <x v="67"/>
    <x v="110"/>
    <x v="0"/>
    <x v="2"/>
    <x v="0"/>
  </r>
  <r>
    <x v="2"/>
    <x v="112"/>
    <x v="36"/>
    <x v="4"/>
    <x v="234"/>
    <x v="78"/>
    <x v="143"/>
    <x v="0"/>
    <x v="2"/>
    <x v="0"/>
  </r>
  <r>
    <x v="2"/>
    <x v="77"/>
    <x v="33"/>
    <x v="2"/>
    <x v="45"/>
    <x v="12"/>
    <x v="46"/>
    <x v="0"/>
    <x v="2"/>
    <x v="0"/>
  </r>
  <r>
    <x v="2"/>
    <x v="99"/>
    <x v="34"/>
    <x v="3"/>
    <x v="263"/>
    <x v="90"/>
    <x v="192"/>
    <x v="0"/>
    <x v="2"/>
    <x v="0"/>
  </r>
  <r>
    <x v="2"/>
    <x v="185"/>
    <x v="40"/>
    <x v="2"/>
    <x v="27"/>
    <x v="16"/>
    <x v="18"/>
    <x v="0"/>
    <x v="2"/>
    <x v="0"/>
  </r>
  <r>
    <x v="2"/>
    <x v="159"/>
    <x v="38"/>
    <x v="5"/>
    <x v="8"/>
    <x v="6"/>
    <x v="6"/>
    <x v="0"/>
    <x v="2"/>
    <x v="0"/>
  </r>
  <r>
    <x v="2"/>
    <x v="251"/>
    <x v="42"/>
    <x v="4"/>
    <x v="204"/>
    <x v="86"/>
    <x v="122"/>
    <x v="0"/>
    <x v="2"/>
    <x v="0"/>
  </r>
  <r>
    <x v="2"/>
    <x v="263"/>
    <x v="43"/>
    <x v="5"/>
    <x v="2"/>
    <x v="3"/>
    <x v="1"/>
    <x v="0"/>
    <x v="2"/>
    <x v="0"/>
  </r>
  <r>
    <x v="2"/>
    <x v="139"/>
    <x v="37"/>
    <x v="10"/>
    <x v="96"/>
    <x v="36"/>
    <x v="62"/>
    <x v="0"/>
    <x v="5"/>
    <x v="0"/>
  </r>
  <r>
    <x v="2"/>
    <x v="183"/>
    <x v="39"/>
    <x v="10"/>
    <x v="79"/>
    <x v="41"/>
    <x v="10"/>
    <x v="0"/>
    <x v="5"/>
    <x v="0"/>
  </r>
  <r>
    <x v="2"/>
    <x v="237"/>
    <x v="41"/>
    <x v="8"/>
    <x v="121"/>
    <x v="60"/>
    <x v="90"/>
    <x v="0"/>
    <x v="2"/>
    <x v="0"/>
  </r>
  <r>
    <x v="2"/>
    <x v="177"/>
    <x v="0"/>
    <x v="4"/>
    <x v="142"/>
    <x v="74"/>
    <x v="73"/>
    <x v="0"/>
    <x v="3"/>
    <x v="0"/>
  </r>
  <r>
    <x v="3"/>
    <x v="77"/>
    <x v="45"/>
    <x v="9"/>
    <x v="77"/>
    <x v="31"/>
    <x v="58"/>
    <x v="0"/>
    <x v="2"/>
    <x v="0"/>
  </r>
  <r>
    <x v="3"/>
    <x v="94"/>
    <x v="47"/>
    <x v="4"/>
    <x v="179"/>
    <x v="85"/>
    <x v="110"/>
    <x v="0"/>
    <x v="2"/>
    <x v="0"/>
  </r>
  <r>
    <x v="3"/>
    <x v="102"/>
    <x v="48"/>
    <x v="8"/>
    <x v="168"/>
    <x v="58"/>
    <x v="129"/>
    <x v="0"/>
    <x v="2"/>
    <x v="0"/>
  </r>
  <r>
    <x v="3"/>
    <x v="28"/>
    <x v="44"/>
    <x v="8"/>
    <x v="197"/>
    <x v="60"/>
    <x v="171"/>
    <x v="0"/>
    <x v="2"/>
    <x v="0"/>
  </r>
  <r>
    <x v="3"/>
    <x v="88"/>
    <x v="46"/>
    <x v="3"/>
    <x v="254"/>
    <x v="86"/>
    <x v="179"/>
    <x v="0"/>
    <x v="2"/>
    <x v="0"/>
  </r>
  <r>
    <x v="3"/>
    <x v="194"/>
    <x v="409"/>
    <x v="3"/>
    <x v="143"/>
    <x v="87"/>
    <x v="66"/>
    <x v="0"/>
    <x v="4"/>
    <x v="0"/>
  </r>
  <r>
    <x v="3"/>
    <x v="173"/>
    <x v="49"/>
    <x v="2"/>
    <x v="27"/>
    <x v="13"/>
    <x v="21"/>
    <x v="0"/>
    <x v="2"/>
    <x v="0"/>
  </r>
  <r>
    <x v="3"/>
    <x v="221"/>
    <x v="50"/>
    <x v="8"/>
    <x v="105"/>
    <x v="61"/>
    <x v="56"/>
    <x v="0"/>
    <x v="2"/>
    <x v="0"/>
  </r>
  <r>
    <x v="3"/>
    <x v="243"/>
    <x v="51"/>
    <x v="2"/>
    <x v="19"/>
    <x v="8"/>
    <x v="17"/>
    <x v="0"/>
    <x v="2"/>
    <x v="0"/>
  </r>
  <r>
    <x v="3"/>
    <x v="253"/>
    <x v="52"/>
    <x v="4"/>
    <x v="217"/>
    <x v="80"/>
    <x v="129"/>
    <x v="0"/>
    <x v="2"/>
    <x v="0"/>
  </r>
  <r>
    <x v="4"/>
    <x v="135"/>
    <x v="58"/>
    <x v="10"/>
    <x v="90"/>
    <x v="44"/>
    <x v="38"/>
    <x v="0"/>
    <x v="5"/>
    <x v="0"/>
  </r>
  <r>
    <x v="4"/>
    <x v="166"/>
    <x v="60"/>
    <x v="10"/>
    <x v="86"/>
    <x v="43"/>
    <x v="29"/>
    <x v="0"/>
    <x v="5"/>
    <x v="0"/>
  </r>
  <r>
    <x v="4"/>
    <x v="220"/>
    <x v="61"/>
    <x v="8"/>
    <x v="110"/>
    <x v="58"/>
    <x v="70"/>
    <x v="0"/>
    <x v="2"/>
    <x v="0"/>
  </r>
  <r>
    <x v="4"/>
    <x v="160"/>
    <x v="59"/>
    <x v="2"/>
    <x v="28"/>
    <x v="10"/>
    <x v="25"/>
    <x v="0"/>
    <x v="2"/>
    <x v="0"/>
  </r>
  <r>
    <x v="4"/>
    <x v="244"/>
    <x v="62"/>
    <x v="4"/>
    <x v="250"/>
    <x v="78"/>
    <x v="173"/>
    <x v="0"/>
    <x v="2"/>
    <x v="0"/>
  </r>
  <r>
    <x v="4"/>
    <x v="270"/>
    <x v="63"/>
    <x v="2"/>
    <x v="18"/>
    <x v="12"/>
    <x v="11"/>
    <x v="0"/>
    <x v="2"/>
    <x v="0"/>
  </r>
  <r>
    <x v="4"/>
    <x v="23"/>
    <x v="53"/>
    <x v="8"/>
    <x v="209"/>
    <x v="63"/>
    <x v="181"/>
    <x v="0"/>
    <x v="2"/>
    <x v="0"/>
  </r>
  <r>
    <x v="4"/>
    <x v="102"/>
    <x v="57"/>
    <x v="8"/>
    <x v="167"/>
    <x v="61"/>
    <x v="127"/>
    <x v="0"/>
    <x v="2"/>
    <x v="0"/>
  </r>
  <r>
    <x v="4"/>
    <x v="60"/>
    <x v="55"/>
    <x v="3"/>
    <x v="282"/>
    <x v="88"/>
    <x v="220"/>
    <x v="0"/>
    <x v="2"/>
    <x v="0"/>
  </r>
  <r>
    <x v="4"/>
    <x v="33"/>
    <x v="54"/>
    <x v="9"/>
    <x v="65"/>
    <x v="28"/>
    <x v="42"/>
    <x v="0"/>
    <x v="2"/>
    <x v="0"/>
  </r>
  <r>
    <x v="4"/>
    <x v="66"/>
    <x v="56"/>
    <x v="9"/>
    <x v="54"/>
    <x v="32"/>
    <x v="17"/>
    <x v="0"/>
    <x v="2"/>
    <x v="0"/>
  </r>
  <r>
    <x v="5"/>
    <x v="93"/>
    <x v="67"/>
    <x v="8"/>
    <x v="160"/>
    <x v="57"/>
    <x v="115"/>
    <x v="0"/>
    <x v="2"/>
    <x v="0"/>
  </r>
  <r>
    <x v="5"/>
    <x v="19"/>
    <x v="64"/>
    <x v="8"/>
    <x v="226"/>
    <x v="58"/>
    <x v="200"/>
    <x v="0"/>
    <x v="2"/>
    <x v="0"/>
  </r>
  <r>
    <x v="5"/>
    <x v="110"/>
    <x v="68"/>
    <x v="3"/>
    <x v="165"/>
    <x v="84"/>
    <x v="104"/>
    <x v="0"/>
    <x v="2"/>
    <x v="0"/>
  </r>
  <r>
    <x v="5"/>
    <x v="69"/>
    <x v="66"/>
    <x v="9"/>
    <x v="78"/>
    <x v="35"/>
    <x v="54"/>
    <x v="0"/>
    <x v="2"/>
    <x v="0"/>
  </r>
  <r>
    <x v="5"/>
    <x v="54"/>
    <x v="65"/>
    <x v="3"/>
    <x v="275"/>
    <x v="85"/>
    <x v="211"/>
    <x v="0"/>
    <x v="2"/>
    <x v="0"/>
  </r>
  <r>
    <x v="5"/>
    <x v="191"/>
    <x v="410"/>
    <x v="4"/>
    <x v="137"/>
    <x v="89"/>
    <x v="63"/>
    <x v="0"/>
    <x v="4"/>
    <x v="0"/>
  </r>
  <r>
    <x v="5"/>
    <x v="170"/>
    <x v="70"/>
    <x v="2"/>
    <x v="26"/>
    <x v="12"/>
    <x v="21"/>
    <x v="0"/>
    <x v="2"/>
    <x v="0"/>
  </r>
  <r>
    <x v="5"/>
    <x v="182"/>
    <x v="71"/>
    <x v="10"/>
    <x v="82"/>
    <x v="43"/>
    <x v="21"/>
    <x v="0"/>
    <x v="5"/>
    <x v="0"/>
  </r>
  <r>
    <x v="5"/>
    <x v="232"/>
    <x v="72"/>
    <x v="8"/>
    <x v="126"/>
    <x v="61"/>
    <x v="95"/>
    <x v="0"/>
    <x v="2"/>
    <x v="0"/>
  </r>
  <r>
    <x v="5"/>
    <x v="249"/>
    <x v="73"/>
    <x v="4"/>
    <x v="211"/>
    <x v="81"/>
    <x v="125"/>
    <x v="0"/>
    <x v="2"/>
    <x v="0"/>
  </r>
  <r>
    <x v="5"/>
    <x v="267"/>
    <x v="74"/>
    <x v="2"/>
    <x v="12"/>
    <x v="12"/>
    <x v="5"/>
    <x v="0"/>
    <x v="2"/>
    <x v="0"/>
  </r>
  <r>
    <x v="5"/>
    <x v="122"/>
    <x v="69"/>
    <x v="11"/>
    <x v="132"/>
    <x v="71"/>
    <x v="45"/>
    <x v="0"/>
    <x v="5"/>
    <x v="0"/>
  </r>
  <r>
    <x v="6"/>
    <x v="105"/>
    <x v="81"/>
    <x v="8"/>
    <x v="173"/>
    <x v="58"/>
    <x v="147"/>
    <x v="0"/>
    <x v="2"/>
    <x v="0"/>
  </r>
  <r>
    <x v="6"/>
    <x v="98"/>
    <x v="80"/>
    <x v="4"/>
    <x v="178"/>
    <x v="80"/>
    <x v="113"/>
    <x v="0"/>
    <x v="2"/>
    <x v="0"/>
  </r>
  <r>
    <x v="6"/>
    <x v="71"/>
    <x v="78"/>
    <x v="2"/>
    <x v="41"/>
    <x v="17"/>
    <x v="35"/>
    <x v="0"/>
    <x v="2"/>
    <x v="0"/>
  </r>
  <r>
    <x v="6"/>
    <x v="7"/>
    <x v="75"/>
    <x v="6"/>
    <x v="107"/>
    <x v="45"/>
    <x v="88"/>
    <x v="0"/>
    <x v="2"/>
    <x v="0"/>
  </r>
  <r>
    <x v="6"/>
    <x v="62"/>
    <x v="77"/>
    <x v="5"/>
    <x v="9"/>
    <x v="7"/>
    <x v="7"/>
    <x v="0"/>
    <x v="2"/>
    <x v="0"/>
  </r>
  <r>
    <x v="6"/>
    <x v="82"/>
    <x v="79"/>
    <x v="3"/>
    <x v="269"/>
    <x v="88"/>
    <x v="204"/>
    <x v="0"/>
    <x v="2"/>
    <x v="0"/>
  </r>
  <r>
    <x v="6"/>
    <x v="21"/>
    <x v="76"/>
    <x v="8"/>
    <x v="206"/>
    <x v="56"/>
    <x v="185"/>
    <x v="0"/>
    <x v="2"/>
    <x v="0"/>
  </r>
  <r>
    <x v="6"/>
    <x v="188"/>
    <x v="1"/>
    <x v="4"/>
    <x v="151"/>
    <x v="74"/>
    <x v="86"/>
    <x v="0"/>
    <x v="3"/>
    <x v="0"/>
  </r>
  <r>
    <x v="6"/>
    <x v="195"/>
    <x v="83"/>
    <x v="2"/>
    <x v="22"/>
    <x v="11"/>
    <x v="16"/>
    <x v="0"/>
    <x v="2"/>
    <x v="0"/>
  </r>
  <r>
    <x v="6"/>
    <x v="251"/>
    <x v="85"/>
    <x v="4"/>
    <x v="223"/>
    <x v="83"/>
    <x v="133"/>
    <x v="0"/>
    <x v="2"/>
    <x v="0"/>
  </r>
  <r>
    <x v="6"/>
    <x v="223"/>
    <x v="84"/>
    <x v="8"/>
    <x v="116"/>
    <x v="57"/>
    <x v="82"/>
    <x v="0"/>
    <x v="2"/>
    <x v="0"/>
  </r>
  <r>
    <x v="6"/>
    <x v="259"/>
    <x v="86"/>
    <x v="2"/>
    <x v="16"/>
    <x v="10"/>
    <x v="11"/>
    <x v="0"/>
    <x v="2"/>
    <x v="0"/>
  </r>
  <r>
    <x v="6"/>
    <x v="179"/>
    <x v="82"/>
    <x v="5"/>
    <x v="3"/>
    <x v="3"/>
    <x v="2"/>
    <x v="0"/>
    <x v="2"/>
    <x v="0"/>
  </r>
  <r>
    <x v="7"/>
    <x v="103"/>
    <x v="92"/>
    <x v="3"/>
    <x v="280"/>
    <x v="80"/>
    <x v="219"/>
    <x v="0"/>
    <x v="2"/>
    <x v="0"/>
  </r>
  <r>
    <x v="7"/>
    <x v="98"/>
    <x v="91"/>
    <x v="8"/>
    <x v="192"/>
    <x v="54"/>
    <x v="169"/>
    <x v="0"/>
    <x v="2"/>
    <x v="0"/>
  </r>
  <r>
    <x v="7"/>
    <x v="157"/>
    <x v="94"/>
    <x v="5"/>
    <x v="10"/>
    <x v="7"/>
    <x v="10"/>
    <x v="0"/>
    <x v="2"/>
    <x v="0"/>
  </r>
  <r>
    <x v="7"/>
    <x v="229"/>
    <x v="97"/>
    <x v="8"/>
    <x v="121"/>
    <x v="61"/>
    <x v="89"/>
    <x v="0"/>
    <x v="2"/>
    <x v="0"/>
  </r>
  <r>
    <x v="7"/>
    <x v="208"/>
    <x v="96"/>
    <x v="4"/>
    <x v="141"/>
    <x v="77"/>
    <x v="69"/>
    <x v="0"/>
    <x v="2"/>
    <x v="0"/>
  </r>
  <r>
    <x v="7"/>
    <x v="72"/>
    <x v="89"/>
    <x v="9"/>
    <x v="56"/>
    <x v="31"/>
    <x v="23"/>
    <x v="0"/>
    <x v="2"/>
    <x v="0"/>
  </r>
  <r>
    <x v="7"/>
    <x v="46"/>
    <x v="88"/>
    <x v="9"/>
    <x v="68"/>
    <x v="27"/>
    <x v="46"/>
    <x v="0"/>
    <x v="2"/>
    <x v="0"/>
  </r>
  <r>
    <x v="7"/>
    <x v="86"/>
    <x v="90"/>
    <x v="4"/>
    <x v="194"/>
    <x v="82"/>
    <x v="118"/>
    <x v="0"/>
    <x v="2"/>
    <x v="0"/>
  </r>
  <r>
    <x v="7"/>
    <x v="247"/>
    <x v="98"/>
    <x v="4"/>
    <x v="218"/>
    <x v="83"/>
    <x v="130"/>
    <x v="0"/>
    <x v="2"/>
    <x v="0"/>
  </r>
  <r>
    <x v="7"/>
    <x v="265"/>
    <x v="99"/>
    <x v="2"/>
    <x v="13"/>
    <x v="10"/>
    <x v="8"/>
    <x v="0"/>
    <x v="2"/>
    <x v="0"/>
  </r>
  <r>
    <x v="7"/>
    <x v="24"/>
    <x v="87"/>
    <x v="8"/>
    <x v="189"/>
    <x v="56"/>
    <x v="167"/>
    <x v="0"/>
    <x v="2"/>
    <x v="0"/>
  </r>
  <r>
    <x v="7"/>
    <x v="146"/>
    <x v="93"/>
    <x v="2"/>
    <x v="28"/>
    <x v="12"/>
    <x v="23"/>
    <x v="0"/>
    <x v="2"/>
    <x v="0"/>
  </r>
  <r>
    <x v="7"/>
    <x v="167"/>
    <x v="95"/>
    <x v="10"/>
    <x v="81"/>
    <x v="42"/>
    <x v="20"/>
    <x v="0"/>
    <x v="5"/>
    <x v="0"/>
  </r>
  <r>
    <x v="8"/>
    <x v="131"/>
    <x v="107"/>
    <x v="7"/>
    <x v="29"/>
    <x v="20"/>
    <x v="16"/>
    <x v="0"/>
    <x v="2"/>
    <x v="0"/>
  </r>
  <r>
    <x v="8"/>
    <x v="96"/>
    <x v="104"/>
    <x v="3"/>
    <x v="281"/>
    <x v="83"/>
    <x v="219"/>
    <x v="0"/>
    <x v="2"/>
    <x v="0"/>
  </r>
  <r>
    <x v="8"/>
    <x v="223"/>
    <x v="110"/>
    <x v="8"/>
    <x v="108"/>
    <x v="57"/>
    <x v="67"/>
    <x v="0"/>
    <x v="2"/>
    <x v="0"/>
  </r>
  <r>
    <x v="8"/>
    <x v="47"/>
    <x v="102"/>
    <x v="9"/>
    <x v="74"/>
    <x v="27"/>
    <x v="52"/>
    <x v="0"/>
    <x v="2"/>
    <x v="0"/>
  </r>
  <r>
    <x v="8"/>
    <x v="266"/>
    <x v="112"/>
    <x v="2"/>
    <x v="15"/>
    <x v="11"/>
    <x v="9"/>
    <x v="0"/>
    <x v="2"/>
    <x v="0"/>
  </r>
  <r>
    <x v="8"/>
    <x v="258"/>
    <x v="111"/>
    <x v="4"/>
    <x v="242"/>
    <x v="80"/>
    <x v="151"/>
    <x v="0"/>
    <x v="2"/>
    <x v="0"/>
  </r>
  <r>
    <x v="8"/>
    <x v="100"/>
    <x v="105"/>
    <x v="8"/>
    <x v="217"/>
    <x v="59"/>
    <x v="192"/>
    <x v="0"/>
    <x v="2"/>
    <x v="0"/>
  </r>
  <r>
    <x v="8"/>
    <x v="10"/>
    <x v="101"/>
    <x v="8"/>
    <x v="174"/>
    <x v="59"/>
    <x v="148"/>
    <x v="0"/>
    <x v="2"/>
    <x v="0"/>
  </r>
  <r>
    <x v="8"/>
    <x v="167"/>
    <x v="108"/>
    <x v="5"/>
    <x v="8"/>
    <x v="5"/>
    <x v="7"/>
    <x v="0"/>
    <x v="2"/>
    <x v="0"/>
  </r>
  <r>
    <x v="8"/>
    <x v="206"/>
    <x v="109"/>
    <x v="7"/>
    <x v="19"/>
    <x v="20"/>
    <x v="4"/>
    <x v="0"/>
    <x v="2"/>
    <x v="0"/>
  </r>
  <r>
    <x v="8"/>
    <x v="103"/>
    <x v="106"/>
    <x v="4"/>
    <x v="241"/>
    <x v="82"/>
    <x v="148"/>
    <x v="0"/>
    <x v="2"/>
    <x v="0"/>
  </r>
  <r>
    <x v="8"/>
    <x v="5"/>
    <x v="100"/>
    <x v="6"/>
    <x v="106"/>
    <x v="50"/>
    <x v="77"/>
    <x v="0"/>
    <x v="2"/>
    <x v="0"/>
  </r>
  <r>
    <x v="8"/>
    <x v="79"/>
    <x v="103"/>
    <x v="9"/>
    <x v="57"/>
    <x v="30"/>
    <x v="25"/>
    <x v="0"/>
    <x v="2"/>
    <x v="0"/>
  </r>
  <r>
    <x v="9"/>
    <x v="70"/>
    <x v="117"/>
    <x v="6"/>
    <x v="178"/>
    <x v="52"/>
    <x v="173"/>
    <x v="0"/>
    <x v="2"/>
    <x v="0"/>
  </r>
  <r>
    <x v="9"/>
    <x v="69"/>
    <x v="116"/>
    <x v="9"/>
    <x v="63"/>
    <x v="32"/>
    <x v="32"/>
    <x v="0"/>
    <x v="2"/>
    <x v="0"/>
  </r>
  <r>
    <x v="9"/>
    <x v="32"/>
    <x v="114"/>
    <x v="9"/>
    <x v="68"/>
    <x v="28"/>
    <x v="45"/>
    <x v="0"/>
    <x v="2"/>
    <x v="0"/>
  </r>
  <r>
    <x v="9"/>
    <x v="65"/>
    <x v="115"/>
    <x v="4"/>
    <x v="178"/>
    <x v="79"/>
    <x v="114"/>
    <x v="0"/>
    <x v="2"/>
    <x v="0"/>
  </r>
  <r>
    <x v="9"/>
    <x v="12"/>
    <x v="113"/>
    <x v="8"/>
    <x v="203"/>
    <x v="59"/>
    <x v="177"/>
    <x v="0"/>
    <x v="2"/>
    <x v="0"/>
  </r>
  <r>
    <x v="9"/>
    <x v="113"/>
    <x v="118"/>
    <x v="3"/>
    <x v="272"/>
    <x v="83"/>
    <x v="209"/>
    <x v="0"/>
    <x v="2"/>
    <x v="0"/>
  </r>
  <r>
    <x v="9"/>
    <x v="168"/>
    <x v="120"/>
    <x v="5"/>
    <x v="5"/>
    <x v="5"/>
    <x v="3"/>
    <x v="0"/>
    <x v="2"/>
    <x v="0"/>
  </r>
  <r>
    <x v="9"/>
    <x v="169"/>
    <x v="121"/>
    <x v="7"/>
    <x v="38"/>
    <x v="25"/>
    <x v="21"/>
    <x v="0"/>
    <x v="2"/>
    <x v="0"/>
  </r>
  <r>
    <x v="9"/>
    <x v="196"/>
    <x v="2"/>
    <x v="4"/>
    <x v="150"/>
    <x v="74"/>
    <x v="85"/>
    <x v="0"/>
    <x v="3"/>
    <x v="0"/>
  </r>
  <r>
    <x v="9"/>
    <x v="251"/>
    <x v="123"/>
    <x v="4"/>
    <x v="211"/>
    <x v="84"/>
    <x v="124"/>
    <x v="0"/>
    <x v="2"/>
    <x v="0"/>
  </r>
  <r>
    <x v="9"/>
    <x v="270"/>
    <x v="124"/>
    <x v="2"/>
    <x v="14"/>
    <x v="11"/>
    <x v="8"/>
    <x v="0"/>
    <x v="2"/>
    <x v="0"/>
  </r>
  <r>
    <x v="9"/>
    <x v="238"/>
    <x v="122"/>
    <x v="6"/>
    <x v="110"/>
    <x v="49"/>
    <x v="96"/>
    <x v="0"/>
    <x v="2"/>
    <x v="0"/>
  </r>
  <r>
    <x v="9"/>
    <x v="126"/>
    <x v="119"/>
    <x v="0"/>
    <x v="162"/>
    <x v="94"/>
    <x v="98"/>
    <x v="0"/>
    <x v="5"/>
    <x v="0"/>
  </r>
  <r>
    <x v="10"/>
    <x v="65"/>
    <x v="126"/>
    <x v="2"/>
    <x v="48"/>
    <x v="17"/>
    <x v="51"/>
    <x v="0"/>
    <x v="2"/>
    <x v="0"/>
  </r>
  <r>
    <x v="10"/>
    <x v="93"/>
    <x v="129"/>
    <x v="3"/>
    <x v="264"/>
    <x v="82"/>
    <x v="197"/>
    <x v="0"/>
    <x v="2"/>
    <x v="0"/>
  </r>
  <r>
    <x v="10"/>
    <x v="87"/>
    <x v="128"/>
    <x v="4"/>
    <x v="188"/>
    <x v="83"/>
    <x v="116"/>
    <x v="0"/>
    <x v="2"/>
    <x v="0"/>
  </r>
  <r>
    <x v="10"/>
    <x v="0"/>
    <x v="125"/>
    <x v="6"/>
    <x v="98"/>
    <x v="49"/>
    <x v="19"/>
    <x v="0"/>
    <x v="2"/>
    <x v="0"/>
  </r>
  <r>
    <x v="10"/>
    <x v="76"/>
    <x v="127"/>
    <x v="6"/>
    <x v="172"/>
    <x v="50"/>
    <x v="159"/>
    <x v="0"/>
    <x v="2"/>
    <x v="0"/>
  </r>
  <r>
    <x v="10"/>
    <x v="202"/>
    <x v="411"/>
    <x v="4"/>
    <x v="148"/>
    <x v="87"/>
    <x v="71"/>
    <x v="0"/>
    <x v="4"/>
    <x v="0"/>
  </r>
  <r>
    <x v="10"/>
    <x v="188"/>
    <x v="134"/>
    <x v="7"/>
    <x v="29"/>
    <x v="21"/>
    <x v="15"/>
    <x v="0"/>
    <x v="2"/>
    <x v="0"/>
  </r>
  <r>
    <x v="10"/>
    <x v="123"/>
    <x v="130"/>
    <x v="2"/>
    <x v="16"/>
    <x v="11"/>
    <x v="10"/>
    <x v="0"/>
    <x v="2"/>
    <x v="0"/>
  </r>
  <r>
    <x v="10"/>
    <x v="260"/>
    <x v="138"/>
    <x v="2"/>
    <x v="23"/>
    <x v="14"/>
    <x v="14"/>
    <x v="0"/>
    <x v="2"/>
    <x v="0"/>
  </r>
  <r>
    <x v="10"/>
    <x v="251"/>
    <x v="137"/>
    <x v="4"/>
    <x v="221"/>
    <x v="85"/>
    <x v="131"/>
    <x v="0"/>
    <x v="2"/>
    <x v="0"/>
  </r>
  <r>
    <x v="10"/>
    <x v="229"/>
    <x v="136"/>
    <x v="8"/>
    <x v="112"/>
    <x v="59"/>
    <x v="73"/>
    <x v="0"/>
    <x v="2"/>
    <x v="0"/>
  </r>
  <r>
    <x v="10"/>
    <x v="218"/>
    <x v="135"/>
    <x v="8"/>
    <x v="175"/>
    <x v="60"/>
    <x v="148"/>
    <x v="0"/>
    <x v="2"/>
    <x v="0"/>
  </r>
  <r>
    <x v="10"/>
    <x v="124"/>
    <x v="131"/>
    <x v="10"/>
    <x v="92"/>
    <x v="44"/>
    <x v="44"/>
    <x v="0"/>
    <x v="5"/>
    <x v="0"/>
  </r>
  <r>
    <x v="10"/>
    <x v="172"/>
    <x v="132"/>
    <x v="10"/>
    <x v="93"/>
    <x v="44"/>
    <x v="49"/>
    <x v="0"/>
    <x v="5"/>
    <x v="0"/>
  </r>
  <r>
    <x v="10"/>
    <x v="187"/>
    <x v="133"/>
    <x v="2"/>
    <x v="32"/>
    <x v="20"/>
    <x v="20"/>
    <x v="0"/>
    <x v="2"/>
    <x v="0"/>
  </r>
  <r>
    <x v="11"/>
    <x v="102"/>
    <x v="143"/>
    <x v="8"/>
    <x v="183"/>
    <x v="60"/>
    <x v="157"/>
    <x v="0"/>
    <x v="2"/>
    <x v="0"/>
  </r>
  <r>
    <x v="11"/>
    <x v="16"/>
    <x v="139"/>
    <x v="8"/>
    <x v="199"/>
    <x v="62"/>
    <x v="171"/>
    <x v="0"/>
    <x v="2"/>
    <x v="0"/>
  </r>
  <r>
    <x v="11"/>
    <x v="58"/>
    <x v="141"/>
    <x v="3"/>
    <x v="271"/>
    <x v="82"/>
    <x v="208"/>
    <x v="0"/>
    <x v="2"/>
    <x v="0"/>
  </r>
  <r>
    <x v="11"/>
    <x v="113"/>
    <x v="144"/>
    <x v="3"/>
    <x v="166"/>
    <x v="81"/>
    <x v="107"/>
    <x v="0"/>
    <x v="2"/>
    <x v="0"/>
  </r>
  <r>
    <x v="11"/>
    <x v="74"/>
    <x v="142"/>
    <x v="9"/>
    <x v="53"/>
    <x v="32"/>
    <x v="16"/>
    <x v="0"/>
    <x v="2"/>
    <x v="0"/>
  </r>
  <r>
    <x v="11"/>
    <x v="38"/>
    <x v="140"/>
    <x v="9"/>
    <x v="67"/>
    <x v="28"/>
    <x v="44"/>
    <x v="0"/>
    <x v="2"/>
    <x v="0"/>
  </r>
  <r>
    <x v="11"/>
    <x v="268"/>
    <x v="150"/>
    <x v="2"/>
    <x v="22"/>
    <x v="11"/>
    <x v="16"/>
    <x v="0"/>
    <x v="2"/>
    <x v="0"/>
  </r>
  <r>
    <x v="11"/>
    <x v="220"/>
    <x v="148"/>
    <x v="8"/>
    <x v="115"/>
    <x v="56"/>
    <x v="79"/>
    <x v="0"/>
    <x v="2"/>
    <x v="0"/>
  </r>
  <r>
    <x v="11"/>
    <x v="133"/>
    <x v="145"/>
    <x v="7"/>
    <x v="30"/>
    <x v="20"/>
    <x v="18"/>
    <x v="0"/>
    <x v="2"/>
    <x v="0"/>
  </r>
  <r>
    <x v="11"/>
    <x v="163"/>
    <x v="146"/>
    <x v="5"/>
    <x v="7"/>
    <x v="4"/>
    <x v="6"/>
    <x v="0"/>
    <x v="2"/>
    <x v="0"/>
  </r>
  <r>
    <x v="11"/>
    <x v="205"/>
    <x v="147"/>
    <x v="10"/>
    <x v="89"/>
    <x v="43"/>
    <x v="38"/>
    <x v="0"/>
    <x v="5"/>
    <x v="0"/>
  </r>
  <r>
    <x v="11"/>
    <x v="245"/>
    <x v="149"/>
    <x v="3"/>
    <x v="253"/>
    <x v="79"/>
    <x v="182"/>
    <x v="0"/>
    <x v="2"/>
    <x v="0"/>
  </r>
  <r>
    <x v="12"/>
    <x v="59"/>
    <x v="153"/>
    <x v="3"/>
    <x v="276"/>
    <x v="87"/>
    <x v="214"/>
    <x v="0"/>
    <x v="2"/>
    <x v="0"/>
  </r>
  <r>
    <x v="12"/>
    <x v="113"/>
    <x v="156"/>
    <x v="3"/>
    <x v="148"/>
    <x v="86"/>
    <x v="72"/>
    <x v="0"/>
    <x v="2"/>
    <x v="0"/>
  </r>
  <r>
    <x v="12"/>
    <x v="107"/>
    <x v="155"/>
    <x v="8"/>
    <x v="198"/>
    <x v="63"/>
    <x v="169"/>
    <x v="0"/>
    <x v="2"/>
    <x v="0"/>
  </r>
  <r>
    <x v="12"/>
    <x v="17"/>
    <x v="151"/>
    <x v="8"/>
    <x v="210"/>
    <x v="64"/>
    <x v="181"/>
    <x v="0"/>
    <x v="2"/>
    <x v="0"/>
  </r>
  <r>
    <x v="12"/>
    <x v="66"/>
    <x v="154"/>
    <x v="2"/>
    <x v="30"/>
    <x v="20"/>
    <x v="18"/>
    <x v="0"/>
    <x v="2"/>
    <x v="0"/>
  </r>
  <r>
    <x v="12"/>
    <x v="51"/>
    <x v="152"/>
    <x v="2"/>
    <x v="36"/>
    <x v="12"/>
    <x v="32"/>
    <x v="0"/>
    <x v="2"/>
    <x v="0"/>
  </r>
  <r>
    <x v="12"/>
    <x v="127"/>
    <x v="157"/>
    <x v="10"/>
    <x v="88"/>
    <x v="42"/>
    <x v="36"/>
    <x v="0"/>
    <x v="5"/>
    <x v="0"/>
  </r>
  <r>
    <x v="12"/>
    <x v="201"/>
    <x v="159"/>
    <x v="10"/>
    <x v="82"/>
    <x v="41"/>
    <x v="23"/>
    <x v="0"/>
    <x v="5"/>
    <x v="0"/>
  </r>
  <r>
    <x v="12"/>
    <x v="270"/>
    <x v="163"/>
    <x v="2"/>
    <x v="17"/>
    <x v="12"/>
    <x v="10"/>
    <x v="0"/>
    <x v="2"/>
    <x v="0"/>
  </r>
  <r>
    <x v="12"/>
    <x v="235"/>
    <x v="161"/>
    <x v="6"/>
    <x v="133"/>
    <x v="53"/>
    <x v="108"/>
    <x v="0"/>
    <x v="2"/>
    <x v="0"/>
  </r>
  <r>
    <x v="12"/>
    <x v="215"/>
    <x v="160"/>
    <x v="2"/>
    <x v="20"/>
    <x v="15"/>
    <x v="10"/>
    <x v="0"/>
    <x v="1"/>
    <x v="0"/>
  </r>
  <r>
    <x v="12"/>
    <x v="134"/>
    <x v="158"/>
    <x v="7"/>
    <x v="40"/>
    <x v="21"/>
    <x v="28"/>
    <x v="0"/>
    <x v="2"/>
    <x v="0"/>
  </r>
  <r>
    <x v="12"/>
    <x v="248"/>
    <x v="162"/>
    <x v="4"/>
    <x v="216"/>
    <x v="80"/>
    <x v="128"/>
    <x v="0"/>
    <x v="2"/>
    <x v="0"/>
  </r>
  <r>
    <x v="12"/>
    <x v="195"/>
    <x v="412"/>
    <x v="3"/>
    <x v="136"/>
    <x v="89"/>
    <x v="60"/>
    <x v="0"/>
    <x v="4"/>
    <x v="0"/>
  </r>
  <r>
    <x v="13"/>
    <x v="94"/>
    <x v="168"/>
    <x v="4"/>
    <x v="152"/>
    <x v="78"/>
    <x v="83"/>
    <x v="0"/>
    <x v="2"/>
    <x v="0"/>
  </r>
  <r>
    <x v="13"/>
    <x v="57"/>
    <x v="166"/>
    <x v="4"/>
    <x v="211"/>
    <x v="79"/>
    <x v="126"/>
    <x v="0"/>
    <x v="2"/>
    <x v="0"/>
  </r>
  <r>
    <x v="13"/>
    <x v="106"/>
    <x v="170"/>
    <x v="3"/>
    <x v="246"/>
    <x v="85"/>
    <x v="153"/>
    <x v="0"/>
    <x v="2"/>
    <x v="0"/>
  </r>
  <r>
    <x v="13"/>
    <x v="71"/>
    <x v="167"/>
    <x v="9"/>
    <x v="59"/>
    <x v="33"/>
    <x v="23"/>
    <x v="0"/>
    <x v="2"/>
    <x v="0"/>
  </r>
  <r>
    <x v="13"/>
    <x v="35"/>
    <x v="165"/>
    <x v="9"/>
    <x v="71"/>
    <x v="28"/>
    <x v="48"/>
    <x v="0"/>
    <x v="2"/>
    <x v="0"/>
  </r>
  <r>
    <x v="13"/>
    <x v="27"/>
    <x v="164"/>
    <x v="8"/>
    <x v="199"/>
    <x v="59"/>
    <x v="173"/>
    <x v="0"/>
    <x v="2"/>
    <x v="0"/>
  </r>
  <r>
    <x v="13"/>
    <x v="212"/>
    <x v="174"/>
    <x v="2"/>
    <x v="20"/>
    <x v="16"/>
    <x v="9"/>
    <x v="0"/>
    <x v="1"/>
    <x v="0"/>
  </r>
  <r>
    <x v="13"/>
    <x v="171"/>
    <x v="172"/>
    <x v="1"/>
    <x v="156"/>
    <x v="96"/>
    <x v="80"/>
    <x v="0"/>
    <x v="2"/>
    <x v="0"/>
  </r>
  <r>
    <x v="13"/>
    <x v="144"/>
    <x v="171"/>
    <x v="9"/>
    <x v="66"/>
    <x v="29"/>
    <x v="42"/>
    <x v="0"/>
    <x v="2"/>
    <x v="0"/>
  </r>
  <r>
    <x v="13"/>
    <x v="170"/>
    <x v="173"/>
    <x v="10"/>
    <x v="86"/>
    <x v="41"/>
    <x v="31"/>
    <x v="0"/>
    <x v="5"/>
    <x v="0"/>
  </r>
  <r>
    <x v="13"/>
    <x v="105"/>
    <x v="169"/>
    <x v="8"/>
    <x v="191"/>
    <x v="60"/>
    <x v="166"/>
    <x v="0"/>
    <x v="2"/>
    <x v="0"/>
  </r>
  <r>
    <x v="13"/>
    <x v="168"/>
    <x v="3"/>
    <x v="3"/>
    <x v="157"/>
    <x v="74"/>
    <x v="97"/>
    <x v="0"/>
    <x v="3"/>
    <x v="0"/>
  </r>
  <r>
    <x v="13"/>
    <x v="137"/>
    <x v="413"/>
    <x v="1"/>
    <x v="158"/>
    <x v="92"/>
    <x v="85"/>
    <x v="0"/>
    <x v="4"/>
    <x v="0"/>
  </r>
  <r>
    <x v="13"/>
    <x v="258"/>
    <x v="176"/>
    <x v="4"/>
    <x v="229"/>
    <x v="85"/>
    <x v="136"/>
    <x v="0"/>
    <x v="2"/>
    <x v="0"/>
  </r>
  <r>
    <x v="13"/>
    <x v="268"/>
    <x v="177"/>
    <x v="2"/>
    <x v="15"/>
    <x v="11"/>
    <x v="9"/>
    <x v="0"/>
    <x v="2"/>
    <x v="0"/>
  </r>
  <r>
    <x v="14"/>
    <x v="161"/>
    <x v="185"/>
    <x v="5"/>
    <x v="6"/>
    <x v="5"/>
    <x v="4"/>
    <x v="0"/>
    <x v="2"/>
    <x v="0"/>
  </r>
  <r>
    <x v="14"/>
    <x v="85"/>
    <x v="182"/>
    <x v="8"/>
    <x v="215"/>
    <x v="60"/>
    <x v="191"/>
    <x v="0"/>
    <x v="2"/>
    <x v="0"/>
  </r>
  <r>
    <x v="14"/>
    <x v="3"/>
    <x v="178"/>
    <x v="6"/>
    <x v="109"/>
    <x v="52"/>
    <x v="91"/>
    <x v="0"/>
    <x v="2"/>
    <x v="0"/>
  </r>
  <r>
    <x v="14"/>
    <x v="242"/>
    <x v="189"/>
    <x v="4"/>
    <x v="239"/>
    <x v="86"/>
    <x v="146"/>
    <x v="0"/>
    <x v="2"/>
    <x v="0"/>
  </r>
  <r>
    <x v="14"/>
    <x v="186"/>
    <x v="186"/>
    <x v="4"/>
    <x v="147"/>
    <x v="82"/>
    <x v="73"/>
    <x v="0"/>
    <x v="2"/>
    <x v="0"/>
  </r>
  <r>
    <x v="14"/>
    <x v="222"/>
    <x v="188"/>
    <x v="8"/>
    <x v="118"/>
    <x v="61"/>
    <x v="81"/>
    <x v="0"/>
    <x v="2"/>
    <x v="0"/>
  </r>
  <r>
    <x v="14"/>
    <x v="70"/>
    <x v="181"/>
    <x v="9"/>
    <x v="58"/>
    <x v="31"/>
    <x v="25"/>
    <x v="0"/>
    <x v="2"/>
    <x v="0"/>
  </r>
  <r>
    <x v="14"/>
    <x v="44"/>
    <x v="180"/>
    <x v="9"/>
    <x v="72"/>
    <x v="27"/>
    <x v="49"/>
    <x v="0"/>
    <x v="2"/>
    <x v="0"/>
  </r>
  <r>
    <x v="14"/>
    <x v="92"/>
    <x v="183"/>
    <x v="4"/>
    <x v="249"/>
    <x v="84"/>
    <x v="161"/>
    <x v="0"/>
    <x v="2"/>
    <x v="0"/>
  </r>
  <r>
    <x v="14"/>
    <x v="264"/>
    <x v="191"/>
    <x v="2"/>
    <x v="18"/>
    <x v="10"/>
    <x v="13"/>
    <x v="0"/>
    <x v="2"/>
    <x v="0"/>
  </r>
  <r>
    <x v="14"/>
    <x v="207"/>
    <x v="187"/>
    <x v="2"/>
    <x v="14"/>
    <x v="11"/>
    <x v="8"/>
    <x v="0"/>
    <x v="2"/>
    <x v="0"/>
  </r>
  <r>
    <x v="14"/>
    <x v="125"/>
    <x v="184"/>
    <x v="2"/>
    <x v="17"/>
    <x v="11"/>
    <x v="11"/>
    <x v="0"/>
    <x v="2"/>
    <x v="0"/>
  </r>
  <r>
    <x v="14"/>
    <x v="265"/>
    <x v="190"/>
    <x v="3"/>
    <x v="267"/>
    <x v="87"/>
    <x v="198"/>
    <x v="0"/>
    <x v="2"/>
    <x v="0"/>
  </r>
  <r>
    <x v="14"/>
    <x v="20"/>
    <x v="179"/>
    <x v="8"/>
    <x v="208"/>
    <x v="57"/>
    <x v="186"/>
    <x v="0"/>
    <x v="2"/>
    <x v="0"/>
  </r>
  <r>
    <x v="15"/>
    <x v="178"/>
    <x v="200"/>
    <x v="7"/>
    <x v="21"/>
    <x v="23"/>
    <x v="2"/>
    <x v="0"/>
    <x v="2"/>
    <x v="0"/>
  </r>
  <r>
    <x v="15"/>
    <x v="274"/>
    <x v="204"/>
    <x v="6"/>
    <x v="101"/>
    <x v="51"/>
    <x v="43"/>
    <x v="0"/>
    <x v="2"/>
    <x v="0"/>
  </r>
  <r>
    <x v="15"/>
    <x v="228"/>
    <x v="201"/>
    <x v="8"/>
    <x v="124"/>
    <x v="60"/>
    <x v="93"/>
    <x v="0"/>
    <x v="2"/>
    <x v="0"/>
  </r>
  <r>
    <x v="15"/>
    <x v="172"/>
    <x v="199"/>
    <x v="5"/>
    <x v="3"/>
    <x v="4"/>
    <x v="1"/>
    <x v="0"/>
    <x v="2"/>
    <x v="0"/>
  </r>
  <r>
    <x v="15"/>
    <x v="271"/>
    <x v="203"/>
    <x v="2"/>
    <x v="21"/>
    <x v="11"/>
    <x v="15"/>
    <x v="0"/>
    <x v="2"/>
    <x v="0"/>
  </r>
  <r>
    <x v="15"/>
    <x v="253"/>
    <x v="202"/>
    <x v="4"/>
    <x v="235"/>
    <x v="83"/>
    <x v="141"/>
    <x v="0"/>
    <x v="2"/>
    <x v="0"/>
  </r>
  <r>
    <x v="15"/>
    <x v="109"/>
    <x v="197"/>
    <x v="3"/>
    <x v="281"/>
    <x v="89"/>
    <x v="218"/>
    <x v="0"/>
    <x v="2"/>
    <x v="0"/>
  </r>
  <r>
    <x v="15"/>
    <x v="104"/>
    <x v="196"/>
    <x v="8"/>
    <x v="230"/>
    <x v="62"/>
    <x v="206"/>
    <x v="0"/>
    <x v="2"/>
    <x v="0"/>
  </r>
  <r>
    <x v="15"/>
    <x v="63"/>
    <x v="194"/>
    <x v="2"/>
    <x v="43"/>
    <x v="15"/>
    <x v="40"/>
    <x v="0"/>
    <x v="2"/>
    <x v="0"/>
  </r>
  <r>
    <x v="15"/>
    <x v="67"/>
    <x v="195"/>
    <x v="7"/>
    <x v="19"/>
    <x v="22"/>
    <x v="2"/>
    <x v="0"/>
    <x v="2"/>
    <x v="0"/>
  </r>
  <r>
    <x v="15"/>
    <x v="41"/>
    <x v="193"/>
    <x v="7"/>
    <x v="44"/>
    <x v="22"/>
    <x v="36"/>
    <x v="0"/>
    <x v="2"/>
    <x v="0"/>
  </r>
  <r>
    <x v="15"/>
    <x v="11"/>
    <x v="192"/>
    <x v="8"/>
    <x v="213"/>
    <x v="70"/>
    <x v="178"/>
    <x v="0"/>
    <x v="2"/>
    <x v="0"/>
  </r>
  <r>
    <x v="15"/>
    <x v="109"/>
    <x v="198"/>
    <x v="4"/>
    <x v="265"/>
    <x v="84"/>
    <x v="196"/>
    <x v="0"/>
    <x v="2"/>
    <x v="0"/>
  </r>
  <r>
    <x v="16"/>
    <x v="67"/>
    <x v="207"/>
    <x v="9"/>
    <x v="58"/>
    <x v="30"/>
    <x v="26"/>
    <x v="0"/>
    <x v="2"/>
    <x v="0"/>
  </r>
  <r>
    <x v="16"/>
    <x v="39"/>
    <x v="206"/>
    <x v="9"/>
    <x v="70"/>
    <x v="27"/>
    <x v="48"/>
    <x v="0"/>
    <x v="2"/>
    <x v="0"/>
  </r>
  <r>
    <x v="16"/>
    <x v="83"/>
    <x v="210"/>
    <x v="4"/>
    <x v="255"/>
    <x v="84"/>
    <x v="181"/>
    <x v="0"/>
    <x v="2"/>
    <x v="0"/>
  </r>
  <r>
    <x v="16"/>
    <x v="17"/>
    <x v="205"/>
    <x v="8"/>
    <x v="200"/>
    <x v="61"/>
    <x v="173"/>
    <x v="0"/>
    <x v="2"/>
    <x v="0"/>
  </r>
  <r>
    <x v="16"/>
    <x v="68"/>
    <x v="208"/>
    <x v="2"/>
    <x v="11"/>
    <x v="12"/>
    <x v="4"/>
    <x v="0"/>
    <x v="2"/>
    <x v="0"/>
  </r>
  <r>
    <x v="16"/>
    <x v="107"/>
    <x v="211"/>
    <x v="8"/>
    <x v="184"/>
    <x v="60"/>
    <x v="158"/>
    <x v="0"/>
    <x v="2"/>
    <x v="0"/>
  </r>
  <r>
    <x v="16"/>
    <x v="81"/>
    <x v="209"/>
    <x v="3"/>
    <x v="257"/>
    <x v="80"/>
    <x v="188"/>
    <x v="0"/>
    <x v="2"/>
    <x v="0"/>
  </r>
  <r>
    <x v="16"/>
    <x v="170"/>
    <x v="213"/>
    <x v="5"/>
    <x v="5"/>
    <x v="4"/>
    <x v="4"/>
    <x v="0"/>
    <x v="2"/>
    <x v="0"/>
  </r>
  <r>
    <x v="16"/>
    <x v="140"/>
    <x v="212"/>
    <x v="10"/>
    <x v="87"/>
    <x v="43"/>
    <x v="30"/>
    <x v="0"/>
    <x v="5"/>
    <x v="0"/>
  </r>
  <r>
    <x v="16"/>
    <x v="181"/>
    <x v="214"/>
    <x v="7"/>
    <x v="42"/>
    <x v="26"/>
    <x v="25"/>
    <x v="0"/>
    <x v="2"/>
    <x v="0"/>
  </r>
  <r>
    <x v="16"/>
    <x v="165"/>
    <x v="4"/>
    <x v="4"/>
    <x v="159"/>
    <x v="74"/>
    <x v="99"/>
    <x v="0"/>
    <x v="3"/>
    <x v="0"/>
  </r>
  <r>
    <x v="16"/>
    <x v="241"/>
    <x v="215"/>
    <x v="8"/>
    <x v="128"/>
    <x v="63"/>
    <x v="95"/>
    <x v="0"/>
    <x v="2"/>
    <x v="0"/>
  </r>
  <r>
    <x v="16"/>
    <x v="267"/>
    <x v="217"/>
    <x v="2"/>
    <x v="14"/>
    <x v="11"/>
    <x v="8"/>
    <x v="0"/>
    <x v="2"/>
    <x v="0"/>
  </r>
  <r>
    <x v="16"/>
    <x v="253"/>
    <x v="216"/>
    <x v="4"/>
    <x v="215"/>
    <x v="86"/>
    <x v="126"/>
    <x v="0"/>
    <x v="2"/>
    <x v="0"/>
  </r>
  <r>
    <x v="17"/>
    <x v="92"/>
    <x v="222"/>
    <x v="4"/>
    <x v="236"/>
    <x v="85"/>
    <x v="144"/>
    <x v="0"/>
    <x v="2"/>
    <x v="0"/>
  </r>
  <r>
    <x v="17"/>
    <x v="176"/>
    <x v="226"/>
    <x v="10"/>
    <x v="80"/>
    <x v="37"/>
    <x v="25"/>
    <x v="0"/>
    <x v="5"/>
    <x v="0"/>
  </r>
  <r>
    <x v="17"/>
    <x v="1"/>
    <x v="218"/>
    <x v="6"/>
    <x v="100"/>
    <x v="49"/>
    <x v="27"/>
    <x v="0"/>
    <x v="2"/>
    <x v="0"/>
  </r>
  <r>
    <x v="17"/>
    <x v="170"/>
    <x v="225"/>
    <x v="7"/>
    <x v="36"/>
    <x v="24"/>
    <x v="20"/>
    <x v="0"/>
    <x v="2"/>
    <x v="0"/>
  </r>
  <r>
    <x v="17"/>
    <x v="103"/>
    <x v="224"/>
    <x v="8"/>
    <x v="176"/>
    <x v="62"/>
    <x v="150"/>
    <x v="0"/>
    <x v="2"/>
    <x v="0"/>
  </r>
  <r>
    <x v="17"/>
    <x v="15"/>
    <x v="219"/>
    <x v="8"/>
    <x v="177"/>
    <x v="61"/>
    <x v="151"/>
    <x v="0"/>
    <x v="2"/>
    <x v="0"/>
  </r>
  <r>
    <x v="17"/>
    <x v="197"/>
    <x v="227"/>
    <x v="5"/>
    <x v="5"/>
    <x v="2"/>
    <x v="8"/>
    <x v="0"/>
    <x v="2"/>
    <x v="0"/>
  </r>
  <r>
    <x v="17"/>
    <x v="70"/>
    <x v="221"/>
    <x v="9"/>
    <x v="60"/>
    <x v="32"/>
    <x v="27"/>
    <x v="0"/>
    <x v="2"/>
    <x v="0"/>
  </r>
  <r>
    <x v="17"/>
    <x v="36"/>
    <x v="220"/>
    <x v="9"/>
    <x v="64"/>
    <x v="28"/>
    <x v="41"/>
    <x v="0"/>
    <x v="2"/>
    <x v="0"/>
  </r>
  <r>
    <x v="17"/>
    <x v="101"/>
    <x v="223"/>
    <x v="3"/>
    <x v="261"/>
    <x v="78"/>
    <x v="193"/>
    <x v="0"/>
    <x v="2"/>
    <x v="0"/>
  </r>
  <r>
    <x v="17"/>
    <x v="192"/>
    <x v="414"/>
    <x v="4"/>
    <x v="149"/>
    <x v="81"/>
    <x v="78"/>
    <x v="0"/>
    <x v="4"/>
    <x v="0"/>
  </r>
  <r>
    <x v="17"/>
    <x v="224"/>
    <x v="228"/>
    <x v="8"/>
    <x v="113"/>
    <x v="59"/>
    <x v="74"/>
    <x v="0"/>
    <x v="2"/>
    <x v="0"/>
  </r>
  <r>
    <x v="17"/>
    <x v="254"/>
    <x v="230"/>
    <x v="4"/>
    <x v="231"/>
    <x v="89"/>
    <x v="135"/>
    <x v="0"/>
    <x v="2"/>
    <x v="0"/>
  </r>
  <r>
    <x v="17"/>
    <x v="246"/>
    <x v="229"/>
    <x v="2"/>
    <x v="17"/>
    <x v="8"/>
    <x v="15"/>
    <x v="0"/>
    <x v="2"/>
    <x v="0"/>
  </r>
  <r>
    <x v="18"/>
    <x v="13"/>
    <x v="231"/>
    <x v="8"/>
    <x v="205"/>
    <x v="58"/>
    <x v="181"/>
    <x v="0"/>
    <x v="2"/>
    <x v="0"/>
  </r>
  <r>
    <x v="18"/>
    <x v="76"/>
    <x v="234"/>
    <x v="2"/>
    <x v="37"/>
    <x v="18"/>
    <x v="27"/>
    <x v="0"/>
    <x v="2"/>
    <x v="0"/>
  </r>
  <r>
    <x v="18"/>
    <x v="192"/>
    <x v="240"/>
    <x v="7"/>
    <x v="20"/>
    <x v="19"/>
    <x v="6"/>
    <x v="0"/>
    <x v="2"/>
    <x v="0"/>
  </r>
  <r>
    <x v="18"/>
    <x v="167"/>
    <x v="239"/>
    <x v="10"/>
    <x v="85"/>
    <x v="36"/>
    <x v="36"/>
    <x v="0"/>
    <x v="5"/>
    <x v="0"/>
  </r>
  <r>
    <x v="18"/>
    <x v="61"/>
    <x v="233"/>
    <x v="7"/>
    <x v="45"/>
    <x v="23"/>
    <x v="35"/>
    <x v="0"/>
    <x v="2"/>
    <x v="0"/>
  </r>
  <r>
    <x v="18"/>
    <x v="106"/>
    <x v="235"/>
    <x v="3"/>
    <x v="181"/>
    <x v="75"/>
    <x v="115"/>
    <x v="0"/>
    <x v="2"/>
    <x v="0"/>
  </r>
  <r>
    <x v="18"/>
    <x v="49"/>
    <x v="232"/>
    <x v="3"/>
    <x v="248"/>
    <x v="76"/>
    <x v="165"/>
    <x v="0"/>
    <x v="2"/>
    <x v="0"/>
  </r>
  <r>
    <x v="18"/>
    <x v="128"/>
    <x v="237"/>
    <x v="10"/>
    <x v="95"/>
    <x v="37"/>
    <x v="59"/>
    <x v="0"/>
    <x v="5"/>
    <x v="0"/>
  </r>
  <r>
    <x v="18"/>
    <x v="116"/>
    <x v="236"/>
    <x v="8"/>
    <x v="224"/>
    <x v="59"/>
    <x v="197"/>
    <x v="0"/>
    <x v="2"/>
    <x v="0"/>
  </r>
  <r>
    <x v="18"/>
    <x v="169"/>
    <x v="238"/>
    <x v="5"/>
    <x v="8"/>
    <x v="5"/>
    <x v="7"/>
    <x v="0"/>
    <x v="2"/>
    <x v="0"/>
  </r>
  <r>
    <x v="18"/>
    <x v="268"/>
    <x v="244"/>
    <x v="2"/>
    <x v="26"/>
    <x v="11"/>
    <x v="22"/>
    <x v="0"/>
    <x v="2"/>
    <x v="0"/>
  </r>
  <r>
    <x v="18"/>
    <x v="227"/>
    <x v="242"/>
    <x v="8"/>
    <x v="117"/>
    <x v="62"/>
    <x v="80"/>
    <x v="0"/>
    <x v="2"/>
    <x v="0"/>
  </r>
  <r>
    <x v="18"/>
    <x v="200"/>
    <x v="241"/>
    <x v="1"/>
    <x v="159"/>
    <x v="95"/>
    <x v="84"/>
    <x v="0"/>
    <x v="2"/>
    <x v="0"/>
  </r>
  <r>
    <x v="18"/>
    <x v="246"/>
    <x v="243"/>
    <x v="4"/>
    <x v="247"/>
    <x v="88"/>
    <x v="154"/>
    <x v="0"/>
    <x v="2"/>
    <x v="0"/>
  </r>
  <r>
    <x v="19"/>
    <x v="270"/>
    <x v="257"/>
    <x v="2"/>
    <x v="21"/>
    <x v="11"/>
    <x v="15"/>
    <x v="0"/>
    <x v="2"/>
    <x v="0"/>
  </r>
  <r>
    <x v="19"/>
    <x v="256"/>
    <x v="256"/>
    <x v="4"/>
    <x v="248"/>
    <x v="89"/>
    <x v="156"/>
    <x v="0"/>
    <x v="2"/>
    <x v="0"/>
  </r>
  <r>
    <x v="19"/>
    <x v="230"/>
    <x v="255"/>
    <x v="8"/>
    <x v="122"/>
    <x v="57"/>
    <x v="94"/>
    <x v="0"/>
    <x v="2"/>
    <x v="0"/>
  </r>
  <r>
    <x v="19"/>
    <x v="216"/>
    <x v="254"/>
    <x v="2"/>
    <x v="26"/>
    <x v="11"/>
    <x v="22"/>
    <x v="0"/>
    <x v="1"/>
    <x v="0"/>
  </r>
  <r>
    <x v="19"/>
    <x v="211"/>
    <x v="253"/>
    <x v="7"/>
    <x v="20"/>
    <x v="15"/>
    <x v="10"/>
    <x v="0"/>
    <x v="5"/>
    <x v="0"/>
  </r>
  <r>
    <x v="19"/>
    <x v="107"/>
    <x v="249"/>
    <x v="8"/>
    <x v="195"/>
    <x v="61"/>
    <x v="168"/>
    <x v="0"/>
    <x v="2"/>
    <x v="0"/>
  </r>
  <r>
    <x v="19"/>
    <x v="22"/>
    <x v="245"/>
    <x v="8"/>
    <x v="190"/>
    <x v="61"/>
    <x v="164"/>
    <x v="0"/>
    <x v="2"/>
    <x v="0"/>
  </r>
  <r>
    <x v="19"/>
    <x v="78"/>
    <x v="248"/>
    <x v="9"/>
    <x v="59"/>
    <x v="33"/>
    <x v="23"/>
    <x v="0"/>
    <x v="2"/>
    <x v="0"/>
  </r>
  <r>
    <x v="19"/>
    <x v="111"/>
    <x v="250"/>
    <x v="3"/>
    <x v="170"/>
    <x v="77"/>
    <x v="109"/>
    <x v="0"/>
    <x v="2"/>
    <x v="0"/>
  </r>
  <r>
    <x v="19"/>
    <x v="52"/>
    <x v="247"/>
    <x v="9"/>
    <x v="69"/>
    <x v="28"/>
    <x v="46"/>
    <x v="0"/>
    <x v="2"/>
    <x v="0"/>
  </r>
  <r>
    <x v="19"/>
    <x v="150"/>
    <x v="252"/>
    <x v="7"/>
    <x v="35"/>
    <x v="15"/>
    <x v="27"/>
    <x v="0"/>
    <x v="5"/>
    <x v="0"/>
  </r>
  <r>
    <x v="19"/>
    <x v="137"/>
    <x v="251"/>
    <x v="7"/>
    <x v="30"/>
    <x v="15"/>
    <x v="23"/>
    <x v="0"/>
    <x v="2"/>
    <x v="0"/>
  </r>
  <r>
    <x v="19"/>
    <x v="50"/>
    <x v="246"/>
    <x v="3"/>
    <x v="252"/>
    <x v="78"/>
    <x v="176"/>
    <x v="0"/>
    <x v="2"/>
    <x v="0"/>
  </r>
  <r>
    <x v="19"/>
    <x v="193"/>
    <x v="415"/>
    <x v="4"/>
    <x v="138"/>
    <x v="93"/>
    <x v="62"/>
    <x v="0"/>
    <x v="4"/>
    <x v="0"/>
  </r>
  <r>
    <x v="20"/>
    <x v="2"/>
    <x v="258"/>
    <x v="6"/>
    <x v="103"/>
    <x v="47"/>
    <x v="70"/>
    <x v="0"/>
    <x v="2"/>
    <x v="0"/>
  </r>
  <r>
    <x v="20"/>
    <x v="40"/>
    <x v="260"/>
    <x v="9"/>
    <x v="68"/>
    <x v="27"/>
    <x v="46"/>
    <x v="0"/>
    <x v="2"/>
    <x v="0"/>
  </r>
  <r>
    <x v="20"/>
    <x v="73"/>
    <x v="261"/>
    <x v="9"/>
    <x v="57"/>
    <x v="31"/>
    <x v="24"/>
    <x v="0"/>
    <x v="2"/>
    <x v="0"/>
  </r>
  <r>
    <x v="20"/>
    <x v="111"/>
    <x v="264"/>
    <x v="3"/>
    <x v="284"/>
    <x v="78"/>
    <x v="222"/>
    <x v="0"/>
    <x v="2"/>
    <x v="0"/>
  </r>
  <r>
    <x v="20"/>
    <x v="102"/>
    <x v="263"/>
    <x v="8"/>
    <x v="226"/>
    <x v="56"/>
    <x v="202"/>
    <x v="0"/>
    <x v="2"/>
    <x v="0"/>
  </r>
  <r>
    <x v="20"/>
    <x v="15"/>
    <x v="259"/>
    <x v="8"/>
    <x v="179"/>
    <x v="55"/>
    <x v="155"/>
    <x v="0"/>
    <x v="2"/>
    <x v="0"/>
  </r>
  <r>
    <x v="20"/>
    <x v="93"/>
    <x v="262"/>
    <x v="4"/>
    <x v="234"/>
    <x v="88"/>
    <x v="139"/>
    <x v="0"/>
    <x v="2"/>
    <x v="0"/>
  </r>
  <r>
    <x v="20"/>
    <x v="167"/>
    <x v="7"/>
    <x v="4"/>
    <x v="162"/>
    <x v="74"/>
    <x v="102"/>
    <x v="0"/>
    <x v="3"/>
    <x v="0"/>
  </r>
  <r>
    <x v="20"/>
    <x v="185"/>
    <x v="266"/>
    <x v="7"/>
    <x v="24"/>
    <x v="18"/>
    <x v="12"/>
    <x v="0"/>
    <x v="2"/>
    <x v="0"/>
  </r>
  <r>
    <x v="20"/>
    <x v="236"/>
    <x v="267"/>
    <x v="8"/>
    <x v="123"/>
    <x v="61"/>
    <x v="92"/>
    <x v="0"/>
    <x v="2"/>
    <x v="0"/>
  </r>
  <r>
    <x v="20"/>
    <x v="170"/>
    <x v="265"/>
    <x v="5"/>
    <x v="0"/>
    <x v="0"/>
    <x v="17"/>
    <x v="0"/>
    <x v="2"/>
    <x v="0"/>
  </r>
  <r>
    <x v="20"/>
    <x v="254"/>
    <x v="268"/>
    <x v="4"/>
    <x v="238"/>
    <x v="91"/>
    <x v="142"/>
    <x v="0"/>
    <x v="2"/>
    <x v="0"/>
  </r>
  <r>
    <x v="20"/>
    <x v="270"/>
    <x v="269"/>
    <x v="2"/>
    <x v="19"/>
    <x v="11"/>
    <x v="13"/>
    <x v="0"/>
    <x v="2"/>
    <x v="0"/>
  </r>
  <r>
    <x v="21"/>
    <x v="98"/>
    <x v="274"/>
    <x v="4"/>
    <x v="237"/>
    <x v="90"/>
    <x v="142"/>
    <x v="0"/>
    <x v="2"/>
    <x v="0"/>
  </r>
  <r>
    <x v="21"/>
    <x v="147"/>
    <x v="276"/>
    <x v="7"/>
    <x v="32"/>
    <x v="18"/>
    <x v="22"/>
    <x v="0"/>
    <x v="2"/>
    <x v="0"/>
  </r>
  <r>
    <x v="21"/>
    <x v="162"/>
    <x v="277"/>
    <x v="5"/>
    <x v="1"/>
    <x v="1"/>
    <x v="34"/>
    <x v="0"/>
    <x v="2"/>
    <x v="0"/>
  </r>
  <r>
    <x v="21"/>
    <x v="232"/>
    <x v="279"/>
    <x v="8"/>
    <x v="129"/>
    <x v="59"/>
    <x v="99"/>
    <x v="0"/>
    <x v="2"/>
    <x v="0"/>
  </r>
  <r>
    <x v="21"/>
    <x v="91"/>
    <x v="273"/>
    <x v="3"/>
    <x v="278"/>
    <x v="81"/>
    <x v="215"/>
    <x v="0"/>
    <x v="2"/>
    <x v="0"/>
  </r>
  <r>
    <x v="21"/>
    <x v="251"/>
    <x v="280"/>
    <x v="4"/>
    <x v="240"/>
    <x v="92"/>
    <x v="145"/>
    <x v="0"/>
    <x v="2"/>
    <x v="0"/>
  </r>
  <r>
    <x v="21"/>
    <x v="9"/>
    <x v="270"/>
    <x v="8"/>
    <x v="195"/>
    <x v="69"/>
    <x v="162"/>
    <x v="0"/>
    <x v="2"/>
    <x v="0"/>
  </r>
  <r>
    <x v="21"/>
    <x v="106"/>
    <x v="275"/>
    <x v="8"/>
    <x v="219"/>
    <x v="61"/>
    <x v="193"/>
    <x v="0"/>
    <x v="2"/>
    <x v="0"/>
  </r>
  <r>
    <x v="21"/>
    <x v="269"/>
    <x v="281"/>
    <x v="2"/>
    <x v="23"/>
    <x v="11"/>
    <x v="17"/>
    <x v="0"/>
    <x v="2"/>
    <x v="0"/>
  </r>
  <r>
    <x v="21"/>
    <x v="73"/>
    <x v="272"/>
    <x v="9"/>
    <x v="52"/>
    <x v="32"/>
    <x v="15"/>
    <x v="0"/>
    <x v="2"/>
    <x v="0"/>
  </r>
  <r>
    <x v="21"/>
    <x v="45"/>
    <x v="271"/>
    <x v="9"/>
    <x v="74"/>
    <x v="28"/>
    <x v="51"/>
    <x v="0"/>
    <x v="2"/>
    <x v="0"/>
  </r>
  <r>
    <x v="21"/>
    <x v="201"/>
    <x v="278"/>
    <x v="4"/>
    <x v="155"/>
    <x v="86"/>
    <x v="87"/>
    <x v="0"/>
    <x v="2"/>
    <x v="0"/>
  </r>
  <r>
    <x v="22"/>
    <x v="112"/>
    <x v="287"/>
    <x v="3"/>
    <x v="273"/>
    <x v="75"/>
    <x v="213"/>
    <x v="0"/>
    <x v="2"/>
    <x v="0"/>
  </r>
  <r>
    <x v="22"/>
    <x v="70"/>
    <x v="285"/>
    <x v="2"/>
    <x v="37"/>
    <x v="16"/>
    <x v="29"/>
    <x v="0"/>
    <x v="2"/>
    <x v="0"/>
  </r>
  <r>
    <x v="22"/>
    <x v="112"/>
    <x v="288"/>
    <x v="4"/>
    <x v="259"/>
    <x v="91"/>
    <x v="183"/>
    <x v="0"/>
    <x v="2"/>
    <x v="0"/>
  </r>
  <r>
    <x v="22"/>
    <x v="67"/>
    <x v="284"/>
    <x v="7"/>
    <x v="50"/>
    <x v="18"/>
    <x v="53"/>
    <x v="0"/>
    <x v="2"/>
    <x v="0"/>
  </r>
  <r>
    <x v="22"/>
    <x v="6"/>
    <x v="282"/>
    <x v="6"/>
    <x v="104"/>
    <x v="46"/>
    <x v="73"/>
    <x v="0"/>
    <x v="2"/>
    <x v="0"/>
  </r>
  <r>
    <x v="22"/>
    <x v="8"/>
    <x v="283"/>
    <x v="8"/>
    <x v="202"/>
    <x v="66"/>
    <x v="170"/>
    <x v="0"/>
    <x v="2"/>
    <x v="0"/>
  </r>
  <r>
    <x v="22"/>
    <x v="110"/>
    <x v="286"/>
    <x v="8"/>
    <x v="228"/>
    <x v="59"/>
    <x v="205"/>
    <x v="0"/>
    <x v="2"/>
    <x v="0"/>
  </r>
  <r>
    <x v="22"/>
    <x v="145"/>
    <x v="289"/>
    <x v="7"/>
    <x v="37"/>
    <x v="21"/>
    <x v="25"/>
    <x v="0"/>
    <x v="2"/>
    <x v="0"/>
  </r>
  <r>
    <x v="22"/>
    <x v="226"/>
    <x v="291"/>
    <x v="8"/>
    <x v="127"/>
    <x v="61"/>
    <x v="96"/>
    <x v="0"/>
    <x v="2"/>
    <x v="0"/>
  </r>
  <r>
    <x v="22"/>
    <x v="251"/>
    <x v="292"/>
    <x v="4"/>
    <x v="236"/>
    <x v="90"/>
    <x v="140"/>
    <x v="0"/>
    <x v="2"/>
    <x v="0"/>
  </r>
  <r>
    <x v="22"/>
    <x v="159"/>
    <x v="290"/>
    <x v="5"/>
    <x v="3"/>
    <x v="5"/>
    <x v="0"/>
    <x v="0"/>
    <x v="2"/>
    <x v="0"/>
  </r>
  <r>
    <x v="22"/>
    <x v="272"/>
    <x v="293"/>
    <x v="2"/>
    <x v="18"/>
    <x v="10"/>
    <x v="13"/>
    <x v="0"/>
    <x v="2"/>
    <x v="0"/>
  </r>
  <r>
    <x v="23"/>
    <x v="16"/>
    <x v="294"/>
    <x v="8"/>
    <x v="204"/>
    <x v="63"/>
    <x v="175"/>
    <x v="0"/>
    <x v="2"/>
    <x v="0"/>
  </r>
  <r>
    <x v="23"/>
    <x v="79"/>
    <x v="297"/>
    <x v="8"/>
    <x v="222"/>
    <x v="63"/>
    <x v="194"/>
    <x v="0"/>
    <x v="2"/>
    <x v="0"/>
  </r>
  <r>
    <x v="23"/>
    <x v="110"/>
    <x v="299"/>
    <x v="3"/>
    <x v="283"/>
    <x v="78"/>
    <x v="221"/>
    <x v="0"/>
    <x v="2"/>
    <x v="0"/>
  </r>
  <r>
    <x v="23"/>
    <x v="70"/>
    <x v="296"/>
    <x v="9"/>
    <x v="55"/>
    <x v="32"/>
    <x v="20"/>
    <x v="0"/>
    <x v="2"/>
    <x v="0"/>
  </r>
  <r>
    <x v="23"/>
    <x v="49"/>
    <x v="295"/>
    <x v="9"/>
    <x v="73"/>
    <x v="28"/>
    <x v="50"/>
    <x v="0"/>
    <x v="2"/>
    <x v="0"/>
  </r>
  <r>
    <x v="23"/>
    <x v="84"/>
    <x v="298"/>
    <x v="4"/>
    <x v="191"/>
    <x v="85"/>
    <x v="117"/>
    <x v="0"/>
    <x v="2"/>
    <x v="0"/>
  </r>
  <r>
    <x v="23"/>
    <x v="250"/>
    <x v="305"/>
    <x v="4"/>
    <x v="199"/>
    <x v="83"/>
    <x v="121"/>
    <x v="0"/>
    <x v="2"/>
    <x v="0"/>
  </r>
  <r>
    <x v="23"/>
    <x v="124"/>
    <x v="300"/>
    <x v="10"/>
    <x v="97"/>
    <x v="39"/>
    <x v="61"/>
    <x v="0"/>
    <x v="5"/>
    <x v="0"/>
  </r>
  <r>
    <x v="23"/>
    <x v="239"/>
    <x v="304"/>
    <x v="8"/>
    <x v="130"/>
    <x v="58"/>
    <x v="101"/>
    <x v="0"/>
    <x v="2"/>
    <x v="0"/>
  </r>
  <r>
    <x v="23"/>
    <x v="262"/>
    <x v="306"/>
    <x v="2"/>
    <x v="14"/>
    <x v="12"/>
    <x v="7"/>
    <x v="0"/>
    <x v="2"/>
    <x v="0"/>
  </r>
  <r>
    <x v="23"/>
    <x v="175"/>
    <x v="302"/>
    <x v="10"/>
    <x v="86"/>
    <x v="38"/>
    <x v="35"/>
    <x v="0"/>
    <x v="5"/>
    <x v="0"/>
  </r>
  <r>
    <x v="23"/>
    <x v="187"/>
    <x v="303"/>
    <x v="1"/>
    <x v="160"/>
    <x v="95"/>
    <x v="87"/>
    <x v="0"/>
    <x v="2"/>
    <x v="0"/>
  </r>
  <r>
    <x v="23"/>
    <x v="180"/>
    <x v="301"/>
    <x v="7"/>
    <x v="39"/>
    <x v="25"/>
    <x v="23"/>
    <x v="0"/>
    <x v="2"/>
    <x v="0"/>
  </r>
  <r>
    <x v="23"/>
    <x v="174"/>
    <x v="5"/>
    <x v="4"/>
    <x v="154"/>
    <x v="74"/>
    <x v="95"/>
    <x v="0"/>
    <x v="3"/>
    <x v="0"/>
  </r>
  <r>
    <x v="24"/>
    <x v="37"/>
    <x v="309"/>
    <x v="9"/>
    <x v="74"/>
    <x v="27"/>
    <x v="52"/>
    <x v="0"/>
    <x v="2"/>
    <x v="0"/>
  </r>
  <r>
    <x v="24"/>
    <x v="1"/>
    <x v="307"/>
    <x v="6"/>
    <x v="99"/>
    <x v="46"/>
    <x v="27"/>
    <x v="0"/>
    <x v="2"/>
    <x v="0"/>
  </r>
  <r>
    <x v="24"/>
    <x v="113"/>
    <x v="313"/>
    <x v="3"/>
    <x v="279"/>
    <x v="79"/>
    <x v="216"/>
    <x v="0"/>
    <x v="2"/>
    <x v="0"/>
  </r>
  <r>
    <x v="24"/>
    <x v="87"/>
    <x v="311"/>
    <x v="4"/>
    <x v="182"/>
    <x v="86"/>
    <x v="112"/>
    <x v="0"/>
    <x v="2"/>
    <x v="0"/>
  </r>
  <r>
    <x v="24"/>
    <x v="64"/>
    <x v="310"/>
    <x v="9"/>
    <x v="49"/>
    <x v="31"/>
    <x v="12"/>
    <x v="0"/>
    <x v="2"/>
    <x v="0"/>
  </r>
  <r>
    <x v="24"/>
    <x v="21"/>
    <x v="308"/>
    <x v="8"/>
    <x v="187"/>
    <x v="57"/>
    <x v="165"/>
    <x v="0"/>
    <x v="2"/>
    <x v="0"/>
  </r>
  <r>
    <x v="24"/>
    <x v="91"/>
    <x v="312"/>
    <x v="8"/>
    <x v="198"/>
    <x v="57"/>
    <x v="174"/>
    <x v="0"/>
    <x v="2"/>
    <x v="0"/>
  </r>
  <r>
    <x v="24"/>
    <x v="136"/>
    <x v="314"/>
    <x v="7"/>
    <x v="26"/>
    <x v="20"/>
    <x v="13"/>
    <x v="0"/>
    <x v="2"/>
    <x v="0"/>
  </r>
  <r>
    <x v="24"/>
    <x v="250"/>
    <x v="320"/>
    <x v="4"/>
    <x v="223"/>
    <x v="86"/>
    <x v="132"/>
    <x v="0"/>
    <x v="2"/>
    <x v="0"/>
  </r>
  <r>
    <x v="24"/>
    <x v="156"/>
    <x v="316"/>
    <x v="10"/>
    <x v="83"/>
    <x v="37"/>
    <x v="29"/>
    <x v="0"/>
    <x v="5"/>
    <x v="0"/>
  </r>
  <r>
    <x v="24"/>
    <x v="168"/>
    <x v="317"/>
    <x v="5"/>
    <x v="6"/>
    <x v="6"/>
    <x v="3"/>
    <x v="0"/>
    <x v="2"/>
    <x v="0"/>
  </r>
  <r>
    <x v="24"/>
    <x v="250"/>
    <x v="319"/>
    <x v="2"/>
    <x v="23"/>
    <x v="9"/>
    <x v="20"/>
    <x v="0"/>
    <x v="2"/>
    <x v="0"/>
  </r>
  <r>
    <x v="24"/>
    <x v="233"/>
    <x v="318"/>
    <x v="8"/>
    <x v="114"/>
    <x v="61"/>
    <x v="76"/>
    <x v="0"/>
    <x v="2"/>
    <x v="0"/>
  </r>
  <r>
    <x v="24"/>
    <x v="141"/>
    <x v="315"/>
    <x v="9"/>
    <x v="51"/>
    <x v="27"/>
    <x v="19"/>
    <x v="0"/>
    <x v="2"/>
    <x v="0"/>
  </r>
  <r>
    <x v="24"/>
    <x v="204"/>
    <x v="416"/>
    <x v="4"/>
    <x v="144"/>
    <x v="86"/>
    <x v="68"/>
    <x v="0"/>
    <x v="4"/>
    <x v="0"/>
  </r>
  <r>
    <x v="25"/>
    <x v="80"/>
    <x v="324"/>
    <x v="9"/>
    <x v="64"/>
    <x v="35"/>
    <x v="32"/>
    <x v="0"/>
    <x v="2"/>
    <x v="0"/>
  </r>
  <r>
    <x v="25"/>
    <x v="48"/>
    <x v="322"/>
    <x v="9"/>
    <x v="74"/>
    <x v="29"/>
    <x v="50"/>
    <x v="0"/>
    <x v="2"/>
    <x v="0"/>
  </r>
  <r>
    <x v="25"/>
    <x v="116"/>
    <x v="325"/>
    <x v="4"/>
    <x v="197"/>
    <x v="84"/>
    <x v="120"/>
    <x v="0"/>
    <x v="2"/>
    <x v="0"/>
  </r>
  <r>
    <x v="25"/>
    <x v="56"/>
    <x v="323"/>
    <x v="4"/>
    <x v="270"/>
    <x v="85"/>
    <x v="207"/>
    <x v="0"/>
    <x v="2"/>
    <x v="0"/>
  </r>
  <r>
    <x v="25"/>
    <x v="18"/>
    <x v="321"/>
    <x v="8"/>
    <x v="188"/>
    <x v="62"/>
    <x v="163"/>
    <x v="0"/>
    <x v="2"/>
    <x v="0"/>
  </r>
  <r>
    <x v="25"/>
    <x v="117"/>
    <x v="326"/>
    <x v="8"/>
    <x v="228"/>
    <x v="61"/>
    <x v="203"/>
    <x v="0"/>
    <x v="2"/>
    <x v="0"/>
  </r>
  <r>
    <x v="25"/>
    <x v="217"/>
    <x v="331"/>
    <x v="2"/>
    <x v="25"/>
    <x v="16"/>
    <x v="16"/>
    <x v="0"/>
    <x v="1"/>
    <x v="0"/>
  </r>
  <r>
    <x v="25"/>
    <x v="264"/>
    <x v="334"/>
    <x v="2"/>
    <x v="19"/>
    <x v="10"/>
    <x v="14"/>
    <x v="0"/>
    <x v="2"/>
    <x v="0"/>
  </r>
  <r>
    <x v="25"/>
    <x v="151"/>
    <x v="328"/>
    <x v="7"/>
    <x v="33"/>
    <x v="20"/>
    <x v="21"/>
    <x v="0"/>
    <x v="2"/>
    <x v="0"/>
  </r>
  <r>
    <x v="25"/>
    <x v="225"/>
    <x v="332"/>
    <x v="8"/>
    <x v="113"/>
    <x v="58"/>
    <x v="75"/>
    <x v="0"/>
    <x v="2"/>
    <x v="0"/>
  </r>
  <r>
    <x v="25"/>
    <x v="193"/>
    <x v="330"/>
    <x v="10"/>
    <x v="79"/>
    <x v="42"/>
    <x v="9"/>
    <x v="0"/>
    <x v="5"/>
    <x v="0"/>
  </r>
  <r>
    <x v="25"/>
    <x v="252"/>
    <x v="333"/>
    <x v="4"/>
    <x v="244"/>
    <x v="83"/>
    <x v="151"/>
    <x v="0"/>
    <x v="2"/>
    <x v="0"/>
  </r>
  <r>
    <x v="25"/>
    <x v="163"/>
    <x v="329"/>
    <x v="5"/>
    <x v="5"/>
    <x v="5"/>
    <x v="3"/>
    <x v="0"/>
    <x v="2"/>
    <x v="0"/>
  </r>
  <r>
    <x v="25"/>
    <x v="142"/>
    <x v="327"/>
    <x v="11"/>
    <x v="139"/>
    <x v="73"/>
    <x v="82"/>
    <x v="0"/>
    <x v="5"/>
    <x v="0"/>
  </r>
  <r>
    <x v="26"/>
    <x v="14"/>
    <x v="335"/>
    <x v="8"/>
    <x v="185"/>
    <x v="59"/>
    <x v="159"/>
    <x v="0"/>
    <x v="2"/>
    <x v="0"/>
  </r>
  <r>
    <x v="26"/>
    <x v="112"/>
    <x v="339"/>
    <x v="8"/>
    <x v="232"/>
    <x v="58"/>
    <x v="207"/>
    <x v="0"/>
    <x v="2"/>
    <x v="0"/>
  </r>
  <r>
    <x v="26"/>
    <x v="64"/>
    <x v="338"/>
    <x v="2"/>
    <x v="16"/>
    <x v="12"/>
    <x v="9"/>
    <x v="0"/>
    <x v="2"/>
    <x v="0"/>
  </r>
  <r>
    <x v="26"/>
    <x v="64"/>
    <x v="337"/>
    <x v="7"/>
    <x v="46"/>
    <x v="23"/>
    <x v="39"/>
    <x v="0"/>
    <x v="2"/>
    <x v="0"/>
  </r>
  <r>
    <x v="26"/>
    <x v="114"/>
    <x v="340"/>
    <x v="4"/>
    <x v="256"/>
    <x v="88"/>
    <x v="180"/>
    <x v="0"/>
    <x v="2"/>
    <x v="0"/>
  </r>
  <r>
    <x v="26"/>
    <x v="53"/>
    <x v="336"/>
    <x v="2"/>
    <x v="33"/>
    <x v="12"/>
    <x v="28"/>
    <x v="0"/>
    <x v="2"/>
    <x v="0"/>
  </r>
  <r>
    <x v="26"/>
    <x v="153"/>
    <x v="341"/>
    <x v="7"/>
    <x v="29"/>
    <x v="19"/>
    <x v="17"/>
    <x v="0"/>
    <x v="2"/>
    <x v="0"/>
  </r>
  <r>
    <x v="26"/>
    <x v="154"/>
    <x v="342"/>
    <x v="3"/>
    <x v="220"/>
    <x v="86"/>
    <x v="130"/>
    <x v="0"/>
    <x v="2"/>
    <x v="0"/>
  </r>
  <r>
    <x v="26"/>
    <x v="187"/>
    <x v="343"/>
    <x v="10"/>
    <x v="86"/>
    <x v="42"/>
    <x v="30"/>
    <x v="0"/>
    <x v="5"/>
    <x v="0"/>
  </r>
  <r>
    <x v="26"/>
    <x v="275"/>
    <x v="417"/>
    <x v="4"/>
    <x v="135"/>
    <x v="89"/>
    <x v="59"/>
    <x v="0"/>
    <x v="4"/>
    <x v="0"/>
  </r>
  <r>
    <x v="26"/>
    <x v="235"/>
    <x v="345"/>
    <x v="8"/>
    <x v="120"/>
    <x v="61"/>
    <x v="84"/>
    <x v="0"/>
    <x v="2"/>
    <x v="0"/>
  </r>
  <r>
    <x v="26"/>
    <x v="265"/>
    <x v="347"/>
    <x v="2"/>
    <x v="18"/>
    <x v="11"/>
    <x v="12"/>
    <x v="0"/>
    <x v="2"/>
    <x v="0"/>
  </r>
  <r>
    <x v="26"/>
    <x v="219"/>
    <x v="344"/>
    <x v="2"/>
    <x v="47"/>
    <x v="16"/>
    <x v="47"/>
    <x v="0"/>
    <x v="1"/>
    <x v="0"/>
  </r>
  <r>
    <x v="26"/>
    <x v="255"/>
    <x v="346"/>
    <x v="4"/>
    <x v="233"/>
    <x v="89"/>
    <x v="138"/>
    <x v="0"/>
    <x v="2"/>
    <x v="0"/>
  </r>
  <r>
    <x v="27"/>
    <x v="71"/>
    <x v="351"/>
    <x v="9"/>
    <x v="68"/>
    <x v="32"/>
    <x v="40"/>
    <x v="0"/>
    <x v="2"/>
    <x v="0"/>
  </r>
  <r>
    <x v="27"/>
    <x v="114"/>
    <x v="353"/>
    <x v="8"/>
    <x v="171"/>
    <x v="62"/>
    <x v="137"/>
    <x v="0"/>
    <x v="2"/>
    <x v="0"/>
  </r>
  <r>
    <x v="27"/>
    <x v="55"/>
    <x v="350"/>
    <x v="4"/>
    <x v="268"/>
    <x v="89"/>
    <x v="201"/>
    <x v="0"/>
    <x v="2"/>
    <x v="0"/>
  </r>
  <r>
    <x v="27"/>
    <x v="121"/>
    <x v="354"/>
    <x v="4"/>
    <x v="243"/>
    <x v="86"/>
    <x v="148"/>
    <x v="0"/>
    <x v="2"/>
    <x v="0"/>
  </r>
  <r>
    <x v="27"/>
    <x v="48"/>
    <x v="349"/>
    <x v="9"/>
    <x v="76"/>
    <x v="28"/>
    <x v="55"/>
    <x v="0"/>
    <x v="2"/>
    <x v="0"/>
  </r>
  <r>
    <x v="27"/>
    <x v="25"/>
    <x v="348"/>
    <x v="8"/>
    <x v="191"/>
    <x v="62"/>
    <x v="165"/>
    <x v="0"/>
    <x v="2"/>
    <x v="0"/>
  </r>
  <r>
    <x v="27"/>
    <x v="94"/>
    <x v="352"/>
    <x v="6"/>
    <x v="140"/>
    <x v="50"/>
    <x v="111"/>
    <x v="0"/>
    <x v="2"/>
    <x v="0"/>
  </r>
  <r>
    <x v="27"/>
    <x v="213"/>
    <x v="360"/>
    <x v="2"/>
    <x v="14"/>
    <x v="18"/>
    <x v="1"/>
    <x v="0"/>
    <x v="1"/>
    <x v="0"/>
  </r>
  <r>
    <x v="27"/>
    <x v="257"/>
    <x v="362"/>
    <x v="4"/>
    <x v="227"/>
    <x v="89"/>
    <x v="134"/>
    <x v="0"/>
    <x v="2"/>
    <x v="0"/>
  </r>
  <r>
    <x v="27"/>
    <x v="234"/>
    <x v="361"/>
    <x v="8"/>
    <x v="125"/>
    <x v="58"/>
    <x v="96"/>
    <x v="0"/>
    <x v="2"/>
    <x v="0"/>
  </r>
  <r>
    <x v="27"/>
    <x v="265"/>
    <x v="363"/>
    <x v="2"/>
    <x v="20"/>
    <x v="11"/>
    <x v="14"/>
    <x v="0"/>
    <x v="2"/>
    <x v="0"/>
  </r>
  <r>
    <x v="27"/>
    <x v="148"/>
    <x v="355"/>
    <x v="1"/>
    <x v="145"/>
    <x v="94"/>
    <x v="65"/>
    <x v="0"/>
    <x v="2"/>
    <x v="0"/>
  </r>
  <r>
    <x v="27"/>
    <x v="198"/>
    <x v="359"/>
    <x v="1"/>
    <x v="141"/>
    <x v="98"/>
    <x v="61"/>
    <x v="0"/>
    <x v="5"/>
    <x v="0"/>
  </r>
  <r>
    <x v="27"/>
    <x v="158"/>
    <x v="356"/>
    <x v="7"/>
    <x v="31"/>
    <x v="19"/>
    <x v="20"/>
    <x v="0"/>
    <x v="2"/>
    <x v="0"/>
  </r>
  <r>
    <x v="27"/>
    <x v="166"/>
    <x v="357"/>
    <x v="5"/>
    <x v="2"/>
    <x v="4"/>
    <x v="0"/>
    <x v="0"/>
    <x v="2"/>
    <x v="0"/>
  </r>
  <r>
    <x v="27"/>
    <x v="191"/>
    <x v="358"/>
    <x v="10"/>
    <x v="92"/>
    <x v="41"/>
    <x v="47"/>
    <x v="0"/>
    <x v="5"/>
    <x v="0"/>
  </r>
  <r>
    <x v="27"/>
    <x v="129"/>
    <x v="418"/>
    <x v="1"/>
    <x v="153"/>
    <x v="85"/>
    <x v="85"/>
    <x v="0"/>
    <x v="4"/>
    <x v="0"/>
  </r>
  <r>
    <x v="27"/>
    <x v="214"/>
    <x v="419"/>
    <x v="4"/>
    <x v="163"/>
    <x v="78"/>
    <x v="103"/>
    <x v="0"/>
    <x v="3"/>
    <x v="0"/>
  </r>
  <r>
    <x v="28"/>
    <x v="264"/>
    <x v="382"/>
    <x v="2"/>
    <x v="21"/>
    <x v="11"/>
    <x v="15"/>
    <x v="0"/>
    <x v="2"/>
    <x v="0"/>
  </r>
  <r>
    <x v="28"/>
    <x v="261"/>
    <x v="381"/>
    <x v="4"/>
    <x v="258"/>
    <x v="90"/>
    <x v="183"/>
    <x v="0"/>
    <x v="2"/>
    <x v="0"/>
  </r>
  <r>
    <x v="28"/>
    <x v="112"/>
    <x v="370"/>
    <x v="8"/>
    <x v="225"/>
    <x v="58"/>
    <x v="199"/>
    <x v="0"/>
    <x v="2"/>
    <x v="0"/>
  </r>
  <r>
    <x v="28"/>
    <x v="143"/>
    <x v="376"/>
    <x v="1"/>
    <x v="293"/>
    <x v="72"/>
    <x v="231"/>
    <x v="0"/>
    <x v="0"/>
    <x v="0"/>
  </r>
  <r>
    <x v="28"/>
    <x v="72"/>
    <x v="366"/>
    <x v="9"/>
    <x v="61"/>
    <x v="31"/>
    <x v="30"/>
    <x v="0"/>
    <x v="2"/>
    <x v="0"/>
  </r>
  <r>
    <x v="28"/>
    <x v="43"/>
    <x v="365"/>
    <x v="9"/>
    <x v="72"/>
    <x v="27"/>
    <x v="49"/>
    <x v="0"/>
    <x v="2"/>
    <x v="0"/>
  </r>
  <r>
    <x v="28"/>
    <x v="26"/>
    <x v="364"/>
    <x v="8"/>
    <x v="201"/>
    <x v="60"/>
    <x v="175"/>
    <x v="0"/>
    <x v="2"/>
    <x v="0"/>
  </r>
  <r>
    <x v="28"/>
    <x v="90"/>
    <x v="368"/>
    <x v="3"/>
    <x v="280"/>
    <x v="87"/>
    <x v="217"/>
    <x v="0"/>
    <x v="2"/>
    <x v="0"/>
  </r>
  <r>
    <x v="28"/>
    <x v="156"/>
    <x v="378"/>
    <x v="7"/>
    <x v="33"/>
    <x v="18"/>
    <x v="23"/>
    <x v="0"/>
    <x v="2"/>
    <x v="0"/>
  </r>
  <r>
    <x v="28"/>
    <x v="161"/>
    <x v="379"/>
    <x v="5"/>
    <x v="3"/>
    <x v="4"/>
    <x v="1"/>
    <x v="0"/>
    <x v="2"/>
    <x v="0"/>
  </r>
  <r>
    <x v="28"/>
    <x v="138"/>
    <x v="375"/>
    <x v="1"/>
    <x v="290"/>
    <x v="72"/>
    <x v="228"/>
    <x v="0"/>
    <x v="0"/>
    <x v="0"/>
  </r>
  <r>
    <x v="28"/>
    <x v="120"/>
    <x v="372"/>
    <x v="1"/>
    <x v="289"/>
    <x v="72"/>
    <x v="227"/>
    <x v="0"/>
    <x v="0"/>
    <x v="0"/>
  </r>
  <r>
    <x v="28"/>
    <x v="91"/>
    <x v="367"/>
    <x v="4"/>
    <x v="274"/>
    <x v="92"/>
    <x v="210"/>
    <x v="0"/>
    <x v="2"/>
    <x v="0"/>
  </r>
  <r>
    <x v="28"/>
    <x v="132"/>
    <x v="374"/>
    <x v="1"/>
    <x v="291"/>
    <x v="72"/>
    <x v="229"/>
    <x v="0"/>
    <x v="0"/>
    <x v="0"/>
  </r>
  <r>
    <x v="28"/>
    <x v="122"/>
    <x v="373"/>
    <x v="1"/>
    <x v="288"/>
    <x v="72"/>
    <x v="226"/>
    <x v="0"/>
    <x v="0"/>
    <x v="0"/>
  </r>
  <r>
    <x v="28"/>
    <x v="104"/>
    <x v="369"/>
    <x v="1"/>
    <x v="286"/>
    <x v="72"/>
    <x v="224"/>
    <x v="0"/>
    <x v="0"/>
    <x v="0"/>
  </r>
  <r>
    <x v="28"/>
    <x v="225"/>
    <x v="380"/>
    <x v="8"/>
    <x v="126"/>
    <x v="61"/>
    <x v="95"/>
    <x v="0"/>
    <x v="2"/>
    <x v="0"/>
  </r>
  <r>
    <x v="28"/>
    <x v="149"/>
    <x v="377"/>
    <x v="1"/>
    <x v="292"/>
    <x v="72"/>
    <x v="230"/>
    <x v="0"/>
    <x v="0"/>
    <x v="0"/>
  </r>
  <r>
    <x v="28"/>
    <x v="118"/>
    <x v="371"/>
    <x v="1"/>
    <x v="287"/>
    <x v="72"/>
    <x v="225"/>
    <x v="0"/>
    <x v="0"/>
    <x v="0"/>
  </r>
  <r>
    <x v="29"/>
    <x v="152"/>
    <x v="390"/>
    <x v="7"/>
    <x v="32"/>
    <x v="20"/>
    <x v="20"/>
    <x v="0"/>
    <x v="2"/>
    <x v="0"/>
  </r>
  <r>
    <x v="29"/>
    <x v="199"/>
    <x v="391"/>
    <x v="2"/>
    <x v="17"/>
    <x v="11"/>
    <x v="11"/>
    <x v="0"/>
    <x v="2"/>
    <x v="0"/>
  </r>
  <r>
    <x v="29"/>
    <x v="228"/>
    <x v="392"/>
    <x v="8"/>
    <x v="131"/>
    <x v="59"/>
    <x v="101"/>
    <x v="0"/>
    <x v="2"/>
    <x v="0"/>
  </r>
  <r>
    <x v="29"/>
    <x v="265"/>
    <x v="393"/>
    <x v="2"/>
    <x v="21"/>
    <x v="11"/>
    <x v="15"/>
    <x v="0"/>
    <x v="2"/>
    <x v="0"/>
  </r>
  <r>
    <x v="29"/>
    <x v="273"/>
    <x v="394"/>
    <x v="4"/>
    <x v="262"/>
    <x v="97"/>
    <x v="190"/>
    <x v="0"/>
    <x v="2"/>
    <x v="0"/>
  </r>
  <r>
    <x v="29"/>
    <x v="75"/>
    <x v="386"/>
    <x v="9"/>
    <x v="62"/>
    <x v="32"/>
    <x v="30"/>
    <x v="0"/>
    <x v="2"/>
    <x v="0"/>
  </r>
  <r>
    <x v="29"/>
    <x v="42"/>
    <x v="385"/>
    <x v="9"/>
    <x v="75"/>
    <x v="28"/>
    <x v="53"/>
    <x v="0"/>
    <x v="2"/>
    <x v="0"/>
  </r>
  <r>
    <x v="29"/>
    <x v="96"/>
    <x v="388"/>
    <x v="4"/>
    <x v="260"/>
    <x v="92"/>
    <x v="187"/>
    <x v="0"/>
    <x v="2"/>
    <x v="0"/>
  </r>
  <r>
    <x v="29"/>
    <x v="115"/>
    <x v="389"/>
    <x v="8"/>
    <x v="209"/>
    <x v="60"/>
    <x v="184"/>
    <x v="0"/>
    <x v="2"/>
    <x v="0"/>
  </r>
  <r>
    <x v="29"/>
    <x v="15"/>
    <x v="384"/>
    <x v="8"/>
    <x v="186"/>
    <x v="60"/>
    <x v="160"/>
    <x v="0"/>
    <x v="2"/>
    <x v="0"/>
  </r>
  <r>
    <x v="29"/>
    <x v="4"/>
    <x v="383"/>
    <x v="6"/>
    <x v="102"/>
    <x v="48"/>
    <x v="64"/>
    <x v="0"/>
    <x v="2"/>
    <x v="0"/>
  </r>
  <r>
    <x v="29"/>
    <x v="89"/>
    <x v="387"/>
    <x v="3"/>
    <x v="285"/>
    <x v="87"/>
    <x v="223"/>
    <x v="0"/>
    <x v="2"/>
    <x v="0"/>
  </r>
  <r>
    <x v="30"/>
    <x v="95"/>
    <x v="399"/>
    <x v="3"/>
    <x v="277"/>
    <x v="91"/>
    <x v="212"/>
    <x v="0"/>
    <x v="2"/>
    <x v="0"/>
  </r>
  <r>
    <x v="30"/>
    <x v="88"/>
    <x v="398"/>
    <x v="4"/>
    <x v="266"/>
    <x v="94"/>
    <x v="193"/>
    <x v="0"/>
    <x v="2"/>
    <x v="0"/>
  </r>
  <r>
    <x v="30"/>
    <x v="104"/>
    <x v="400"/>
    <x v="8"/>
    <x v="212"/>
    <x v="57"/>
    <x v="189"/>
    <x v="0"/>
    <x v="2"/>
    <x v="0"/>
  </r>
  <r>
    <x v="30"/>
    <x v="68"/>
    <x v="397"/>
    <x v="2"/>
    <x v="32"/>
    <x v="18"/>
    <x v="22"/>
    <x v="0"/>
    <x v="2"/>
    <x v="0"/>
  </r>
  <r>
    <x v="30"/>
    <x v="14"/>
    <x v="395"/>
    <x v="8"/>
    <x v="208"/>
    <x v="57"/>
    <x v="186"/>
    <x v="0"/>
    <x v="2"/>
    <x v="0"/>
  </r>
  <r>
    <x v="30"/>
    <x v="66"/>
    <x v="396"/>
    <x v="7"/>
    <x v="50"/>
    <x v="23"/>
    <x v="48"/>
    <x v="0"/>
    <x v="2"/>
    <x v="0"/>
  </r>
  <r>
    <x v="30"/>
    <x v="164"/>
    <x v="403"/>
    <x v="7"/>
    <x v="34"/>
    <x v="20"/>
    <x v="22"/>
    <x v="0"/>
    <x v="2"/>
    <x v="0"/>
  </r>
  <r>
    <x v="30"/>
    <x v="165"/>
    <x v="402"/>
    <x v="5"/>
    <x v="6"/>
    <x v="6"/>
    <x v="3"/>
    <x v="0"/>
    <x v="2"/>
    <x v="0"/>
  </r>
  <r>
    <x v="30"/>
    <x v="184"/>
    <x v="6"/>
    <x v="4"/>
    <x v="164"/>
    <x v="74"/>
    <x v="105"/>
    <x v="0"/>
    <x v="3"/>
    <x v="0"/>
  </r>
  <r>
    <x v="30"/>
    <x v="130"/>
    <x v="401"/>
    <x v="10"/>
    <x v="84"/>
    <x v="40"/>
    <x v="27"/>
    <x v="0"/>
    <x v="5"/>
    <x v="0"/>
  </r>
  <r>
    <x v="30"/>
    <x v="210"/>
    <x v="404"/>
    <x v="10"/>
    <x v="91"/>
    <x v="41"/>
    <x v="42"/>
    <x v="0"/>
    <x v="5"/>
    <x v="0"/>
  </r>
  <r>
    <x v="30"/>
    <x v="240"/>
    <x v="405"/>
    <x v="8"/>
    <x v="134"/>
    <x v="63"/>
    <x v="106"/>
    <x v="0"/>
    <x v="2"/>
    <x v="0"/>
  </r>
  <r>
    <x v="30"/>
    <x v="259"/>
    <x v="406"/>
    <x v="4"/>
    <x v="238"/>
    <x v="93"/>
    <x v="140"/>
    <x v="0"/>
    <x v="2"/>
    <x v="0"/>
  </r>
  <r>
    <x v="30"/>
    <x v="269"/>
    <x v="407"/>
    <x v="2"/>
    <x v="17"/>
    <x v="10"/>
    <x v="12"/>
    <x v="0"/>
    <x v="2"/>
    <x v="0"/>
  </r>
  <r>
    <x v="13"/>
    <x v="226"/>
    <x v="175"/>
    <x v="8"/>
    <x v="119"/>
    <x v="57"/>
    <x v="86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H17" firstHeaderRow="1" firstDataRow="2" firstDataCol="1" rowPageCount="1" colPageCount="1"/>
  <pivotFields count="10">
    <pivotField axis="axisPage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4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8" zeroHeight="false" outlineLevelRow="0" outlineLevelCol="0"/>
  <cols>
    <col collapsed="false" customWidth="true" hidden="false" outlineLevel="0" max="9" min="9" style="0" width="12.57"/>
  </cols>
  <sheetData>
    <row r="1" customFormat="false" ht="1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8" hidden="false" customHeight="false" outlineLevel="0" collapsed="false">
      <c r="A2" s="6" t="n">
        <v>45108</v>
      </c>
      <c r="B2" s="7" t="n">
        <v>0.116666666666667</v>
      </c>
      <c r="C2" s="8" t="n">
        <v>24532</v>
      </c>
      <c r="D2" s="8" t="s">
        <v>10</v>
      </c>
      <c r="E2" s="8" t="n">
        <v>4840</v>
      </c>
      <c r="F2" s="8" t="n">
        <v>3620</v>
      </c>
      <c r="G2" s="8" t="n">
        <v>1220</v>
      </c>
      <c r="H2" s="8" t="s">
        <v>11</v>
      </c>
      <c r="I2" s="8" t="s">
        <v>12</v>
      </c>
      <c r="J2" s="0" t="s">
        <v>13</v>
      </c>
    </row>
    <row r="3" customFormat="false" ht="18" hidden="false" customHeight="false" outlineLevel="0" collapsed="false">
      <c r="A3" s="6" t="n">
        <v>45108</v>
      </c>
      <c r="B3" s="7" t="n">
        <v>0.879861111111111</v>
      </c>
      <c r="C3" s="8" t="n">
        <v>24574</v>
      </c>
      <c r="D3" s="8" t="s">
        <v>14</v>
      </c>
      <c r="E3" s="8" t="n">
        <v>3100</v>
      </c>
      <c r="F3" s="8" t="n">
        <v>2680</v>
      </c>
      <c r="G3" s="8" t="n">
        <v>420</v>
      </c>
      <c r="H3" s="8" t="s">
        <v>11</v>
      </c>
      <c r="I3" s="8" t="s">
        <v>12</v>
      </c>
      <c r="J3" s="0" t="s">
        <v>13</v>
      </c>
    </row>
    <row r="4" customFormat="false" ht="18" hidden="false" customHeight="false" outlineLevel="0" collapsed="false">
      <c r="A4" s="6" t="n">
        <v>45108</v>
      </c>
      <c r="B4" s="7" t="n">
        <v>0.879166666666667</v>
      </c>
      <c r="C4" s="8" t="n">
        <v>24573</v>
      </c>
      <c r="D4" s="8" t="s">
        <v>15</v>
      </c>
      <c r="E4" s="8" t="n">
        <v>22200</v>
      </c>
      <c r="F4" s="8" t="n">
        <v>16100</v>
      </c>
      <c r="G4" s="8" t="n">
        <v>6100</v>
      </c>
      <c r="H4" s="8" t="s">
        <v>11</v>
      </c>
      <c r="I4" s="8" t="s">
        <v>12</v>
      </c>
      <c r="J4" s="0" t="s">
        <v>13</v>
      </c>
    </row>
    <row r="5" customFormat="false" ht="18" hidden="false" customHeight="false" outlineLevel="0" collapsed="false">
      <c r="A5" s="6" t="n">
        <v>45108</v>
      </c>
      <c r="B5" s="7" t="n">
        <v>0.256944444444445</v>
      </c>
      <c r="C5" s="8" t="n">
        <v>24549</v>
      </c>
      <c r="D5" s="8" t="s">
        <v>10</v>
      </c>
      <c r="E5" s="8" t="n">
        <v>4660</v>
      </c>
      <c r="F5" s="8" t="n">
        <v>3780</v>
      </c>
      <c r="G5" s="8" t="n">
        <v>880</v>
      </c>
      <c r="H5" s="8" t="s">
        <v>11</v>
      </c>
      <c r="I5" s="8" t="s">
        <v>12</v>
      </c>
      <c r="J5" s="0" t="s">
        <v>13</v>
      </c>
    </row>
    <row r="6" customFormat="false" ht="18" hidden="false" customHeight="false" outlineLevel="0" collapsed="false">
      <c r="A6" s="6" t="n">
        <v>45108</v>
      </c>
      <c r="B6" s="7" t="n">
        <v>0.24375</v>
      </c>
      <c r="C6" s="8" t="n">
        <v>24548</v>
      </c>
      <c r="D6" s="8" t="s">
        <v>15</v>
      </c>
      <c r="E6" s="8" t="n">
        <v>23940</v>
      </c>
      <c r="F6" s="8" t="n">
        <v>16100</v>
      </c>
      <c r="G6" s="8" t="n">
        <v>7840</v>
      </c>
      <c r="H6" s="8" t="s">
        <v>11</v>
      </c>
      <c r="I6" s="8" t="s">
        <v>12</v>
      </c>
      <c r="J6" s="0" t="s">
        <v>13</v>
      </c>
    </row>
    <row r="7" customFormat="false" ht="18" hidden="false" customHeight="false" outlineLevel="0" collapsed="false">
      <c r="A7" s="6" t="n">
        <v>45108</v>
      </c>
      <c r="B7" s="7" t="n">
        <v>0.432638888888889</v>
      </c>
      <c r="C7" s="8" t="n">
        <v>24562</v>
      </c>
      <c r="D7" s="8" t="s">
        <v>14</v>
      </c>
      <c r="E7" s="8" t="n">
        <v>3280</v>
      </c>
      <c r="F7" s="8" t="n">
        <v>2680</v>
      </c>
      <c r="G7" s="8" t="n">
        <v>600</v>
      </c>
      <c r="H7" s="8" t="s">
        <v>11</v>
      </c>
      <c r="I7" s="8" t="s">
        <v>12</v>
      </c>
      <c r="J7" s="0" t="s">
        <v>13</v>
      </c>
    </row>
    <row r="8" customFormat="false" ht="18" hidden="false" customHeight="false" outlineLevel="0" collapsed="false">
      <c r="A8" s="6" t="n">
        <v>45108</v>
      </c>
      <c r="B8" s="7" t="n">
        <v>0.245833333333333</v>
      </c>
      <c r="C8" s="8" t="n">
        <v>24547</v>
      </c>
      <c r="D8" s="8" t="s">
        <v>16</v>
      </c>
      <c r="E8" s="8" t="n">
        <v>20080</v>
      </c>
      <c r="F8" s="8" t="n">
        <v>13160</v>
      </c>
      <c r="G8" s="8" t="n">
        <v>6920</v>
      </c>
      <c r="H8" s="8" t="s">
        <v>11</v>
      </c>
      <c r="I8" s="8" t="s">
        <v>12</v>
      </c>
      <c r="J8" s="0" t="s">
        <v>13</v>
      </c>
    </row>
    <row r="9" customFormat="false" ht="18" hidden="false" customHeight="false" outlineLevel="0" collapsed="false">
      <c r="A9" s="6" t="n">
        <v>45108</v>
      </c>
      <c r="B9" s="7" t="n">
        <v>0.101388888888889</v>
      </c>
      <c r="C9" s="8" t="n">
        <v>24531</v>
      </c>
      <c r="D9" s="8" t="s">
        <v>16</v>
      </c>
      <c r="E9" s="8" t="n">
        <v>22400</v>
      </c>
      <c r="F9" s="8" t="n">
        <v>13420</v>
      </c>
      <c r="G9" s="8" t="n">
        <v>8980</v>
      </c>
      <c r="H9" s="8" t="s">
        <v>11</v>
      </c>
      <c r="I9" s="8" t="s">
        <v>12</v>
      </c>
      <c r="J9" s="0" t="s">
        <v>13</v>
      </c>
    </row>
    <row r="10" customFormat="false" ht="18" hidden="false" customHeight="false" outlineLevel="0" collapsed="false">
      <c r="A10" s="6" t="n">
        <v>45108</v>
      </c>
      <c r="B10" s="7" t="n">
        <v>0.479166666666667</v>
      </c>
      <c r="C10" s="8" t="n">
        <v>24567</v>
      </c>
      <c r="D10" s="8" t="s">
        <v>17</v>
      </c>
      <c r="E10" s="8" t="n">
        <v>6840</v>
      </c>
      <c r="F10" s="8" t="n">
        <v>5480</v>
      </c>
      <c r="G10" s="8" t="n">
        <v>1360</v>
      </c>
      <c r="H10" s="8" t="s">
        <v>11</v>
      </c>
      <c r="I10" s="8" t="s">
        <v>18</v>
      </c>
      <c r="J10" s="0" t="s">
        <v>13</v>
      </c>
    </row>
    <row r="11" customFormat="false" ht="18" hidden="false" customHeight="false" outlineLevel="0" collapsed="false">
      <c r="A11" s="6" t="n">
        <v>45108</v>
      </c>
      <c r="B11" s="7" t="n">
        <v>0.4625</v>
      </c>
      <c r="C11" s="8" t="n">
        <v>24565</v>
      </c>
      <c r="D11" s="8" t="s">
        <v>19</v>
      </c>
      <c r="E11" s="8" t="n">
        <v>2560</v>
      </c>
      <c r="F11" s="8" t="n">
        <v>2400</v>
      </c>
      <c r="G11" s="8" t="n">
        <v>160</v>
      </c>
      <c r="H11" s="8" t="s">
        <v>11</v>
      </c>
      <c r="I11" s="8" t="s">
        <v>12</v>
      </c>
      <c r="J11" s="0" t="s">
        <v>13</v>
      </c>
    </row>
    <row r="12" customFormat="false" ht="18" hidden="false" customHeight="false" outlineLevel="0" collapsed="false">
      <c r="A12" s="6" t="n">
        <v>45108</v>
      </c>
      <c r="B12" s="7" t="n">
        <v>0.7</v>
      </c>
      <c r="C12" s="8" t="n">
        <v>24572</v>
      </c>
      <c r="D12" s="8" t="s">
        <v>16</v>
      </c>
      <c r="E12" s="8" t="n">
        <v>15240</v>
      </c>
      <c r="F12" s="8" t="n">
        <v>13100</v>
      </c>
      <c r="G12" s="8" t="n">
        <v>2140</v>
      </c>
      <c r="H12" s="8" t="s">
        <v>11</v>
      </c>
      <c r="I12" s="8" t="s">
        <v>12</v>
      </c>
      <c r="J12" s="0" t="s">
        <v>13</v>
      </c>
    </row>
    <row r="13" customFormat="false" ht="18" hidden="false" customHeight="false" outlineLevel="0" collapsed="false">
      <c r="A13" s="6" t="n">
        <v>45108</v>
      </c>
      <c r="B13" s="7" t="n">
        <v>0.5</v>
      </c>
      <c r="C13" s="8" t="n">
        <v>24469</v>
      </c>
      <c r="D13" s="8" t="s">
        <v>14</v>
      </c>
      <c r="E13" s="8" t="n">
        <v>3140</v>
      </c>
      <c r="F13" s="8" t="n">
        <v>2680</v>
      </c>
      <c r="G13" s="8" t="n">
        <v>460</v>
      </c>
      <c r="H13" s="8" t="s">
        <v>11</v>
      </c>
      <c r="I13" s="8" t="s">
        <v>12</v>
      </c>
      <c r="J13" s="0" t="s">
        <v>13</v>
      </c>
    </row>
    <row r="14" customFormat="false" ht="18" hidden="false" customHeight="false" outlineLevel="0" collapsed="false">
      <c r="A14" s="6" t="n">
        <v>45108</v>
      </c>
      <c r="B14" s="7" t="n">
        <v>0.2375</v>
      </c>
      <c r="C14" s="8" t="n">
        <v>24541</v>
      </c>
      <c r="D14" s="8" t="s">
        <v>20</v>
      </c>
      <c r="E14" s="8" t="n">
        <v>25840</v>
      </c>
      <c r="F14" s="8" t="n">
        <v>16180</v>
      </c>
      <c r="G14" s="8" t="n">
        <v>9660</v>
      </c>
      <c r="H14" s="8" t="s">
        <v>11</v>
      </c>
      <c r="I14" s="8" t="s">
        <v>12</v>
      </c>
      <c r="J14" s="0" t="s">
        <v>13</v>
      </c>
    </row>
    <row r="15" customFormat="false" ht="13.8" hidden="true" customHeight="false" outlineLevel="0" collapsed="false">
      <c r="A15" s="6" t="n">
        <v>45108</v>
      </c>
      <c r="B15" s="7" t="n">
        <v>0.485416666666667</v>
      </c>
      <c r="C15" s="8" t="n">
        <v>158815</v>
      </c>
      <c r="D15" s="8" t="s">
        <v>15</v>
      </c>
      <c r="E15" s="8" t="n">
        <v>18020</v>
      </c>
      <c r="F15" s="8" t="n">
        <v>16140</v>
      </c>
      <c r="G15" s="9" t="n">
        <v>1880</v>
      </c>
      <c r="H15" s="8" t="s">
        <v>11</v>
      </c>
      <c r="I15" s="8" t="s">
        <v>21</v>
      </c>
      <c r="J15" s="10" t="s">
        <v>13</v>
      </c>
    </row>
    <row r="16" customFormat="false" ht="13.8" hidden="false" customHeight="false" outlineLevel="0" collapsed="false">
      <c r="A16" s="6" t="n">
        <v>45109</v>
      </c>
      <c r="B16" s="7" t="n">
        <v>0.251388888888889</v>
      </c>
      <c r="C16" s="8" t="n">
        <v>24590</v>
      </c>
      <c r="D16" s="8" t="s">
        <v>20</v>
      </c>
      <c r="E16" s="8" t="n">
        <v>24640</v>
      </c>
      <c r="F16" s="8" t="n">
        <v>15940</v>
      </c>
      <c r="G16" s="8" t="n">
        <v>8700</v>
      </c>
      <c r="H16" s="8" t="s">
        <v>11</v>
      </c>
      <c r="I16" s="8" t="s">
        <v>12</v>
      </c>
      <c r="J16" s="0" t="s">
        <v>13</v>
      </c>
    </row>
    <row r="17" customFormat="false" ht="13.8" hidden="false" customHeight="false" outlineLevel="0" collapsed="false">
      <c r="A17" s="6" t="n">
        <v>45109</v>
      </c>
      <c r="B17" s="7" t="n">
        <v>0.0888888888888889</v>
      </c>
      <c r="C17" s="8" t="n">
        <v>24575</v>
      </c>
      <c r="D17" s="8" t="s">
        <v>16</v>
      </c>
      <c r="E17" s="8" t="n">
        <v>21300</v>
      </c>
      <c r="F17" s="8" t="n">
        <v>13320</v>
      </c>
      <c r="G17" s="8" t="n">
        <v>7980</v>
      </c>
      <c r="H17" s="8" t="s">
        <v>11</v>
      </c>
      <c r="I17" s="8" t="s">
        <v>12</v>
      </c>
      <c r="J17" s="0" t="s">
        <v>13</v>
      </c>
    </row>
    <row r="18" customFormat="false" ht="13.8" hidden="false" customHeight="false" outlineLevel="0" collapsed="false">
      <c r="A18" s="6" t="n">
        <v>45109</v>
      </c>
      <c r="B18" s="7" t="n">
        <v>0.468055555555556</v>
      </c>
      <c r="C18" s="8" t="n">
        <v>24597</v>
      </c>
      <c r="D18" s="8" t="s">
        <v>19</v>
      </c>
      <c r="E18" s="8" t="n">
        <v>2560</v>
      </c>
      <c r="F18" s="8" t="n">
        <v>2380</v>
      </c>
      <c r="G18" s="9" t="n">
        <v>180</v>
      </c>
      <c r="H18" s="8" t="s">
        <v>11</v>
      </c>
      <c r="I18" s="8" t="s">
        <v>12</v>
      </c>
      <c r="J18" s="0" t="s">
        <v>13</v>
      </c>
    </row>
    <row r="19" customFormat="false" ht="13.8" hidden="false" customHeight="false" outlineLevel="0" collapsed="false">
      <c r="A19" s="6" t="n">
        <v>45109</v>
      </c>
      <c r="B19" s="7" t="n">
        <v>0.242361111111111</v>
      </c>
      <c r="C19" s="8" t="n">
        <v>24588</v>
      </c>
      <c r="D19" s="8" t="s">
        <v>16</v>
      </c>
      <c r="E19" s="8" t="n">
        <v>21860</v>
      </c>
      <c r="F19" s="8" t="n">
        <v>13100</v>
      </c>
      <c r="G19" s="9" t="n">
        <v>8760</v>
      </c>
      <c r="H19" s="8" t="s">
        <v>11</v>
      </c>
      <c r="I19" s="8" t="s">
        <v>12</v>
      </c>
      <c r="J19" s="0" t="s">
        <v>13</v>
      </c>
    </row>
    <row r="20" customFormat="false" ht="13.8" hidden="false" customHeight="false" outlineLevel="0" collapsed="false">
      <c r="A20" s="6" t="n">
        <v>45109</v>
      </c>
      <c r="B20" s="7" t="n">
        <v>0.875</v>
      </c>
      <c r="C20" s="8" t="n">
        <v>24600</v>
      </c>
      <c r="D20" s="8" t="s">
        <v>15</v>
      </c>
      <c r="E20" s="8" t="n">
        <v>21740</v>
      </c>
      <c r="F20" s="8" t="n">
        <v>15860</v>
      </c>
      <c r="G20" s="9" t="n">
        <v>5880</v>
      </c>
      <c r="H20" s="8" t="s">
        <v>11</v>
      </c>
      <c r="I20" s="8" t="s">
        <v>12</v>
      </c>
      <c r="J20" s="0" t="s">
        <v>13</v>
      </c>
    </row>
    <row r="21" customFormat="false" ht="13.8" hidden="false" customHeight="false" outlineLevel="0" collapsed="false">
      <c r="A21" s="6" t="n">
        <v>45109</v>
      </c>
      <c r="B21" s="7" t="n">
        <v>0.46875</v>
      </c>
      <c r="C21" s="8" t="n">
        <v>24596</v>
      </c>
      <c r="D21" s="8" t="s">
        <v>14</v>
      </c>
      <c r="E21" s="8" t="n">
        <v>3300</v>
      </c>
      <c r="F21" s="8" t="n">
        <v>2600</v>
      </c>
      <c r="G21" s="9" t="n">
        <v>700</v>
      </c>
      <c r="H21" s="8" t="s">
        <v>11</v>
      </c>
      <c r="I21" s="8" t="s">
        <v>12</v>
      </c>
      <c r="J21" s="0" t="s">
        <v>13</v>
      </c>
    </row>
    <row r="22" customFormat="false" ht="13.8" hidden="false" customHeight="false" outlineLevel="0" collapsed="false">
      <c r="A22" s="6" t="n">
        <v>45109</v>
      </c>
      <c r="B22" s="7" t="n">
        <v>0.875</v>
      </c>
      <c r="C22" s="8" t="n">
        <v>24601</v>
      </c>
      <c r="D22" s="8" t="s">
        <v>14</v>
      </c>
      <c r="E22" s="8" t="n">
        <v>2780</v>
      </c>
      <c r="F22" s="8" t="n">
        <v>2660</v>
      </c>
      <c r="G22" s="9" t="n">
        <v>120</v>
      </c>
      <c r="H22" s="8" t="s">
        <v>11</v>
      </c>
      <c r="I22" s="8" t="s">
        <v>12</v>
      </c>
      <c r="J22" s="0" t="s">
        <v>13</v>
      </c>
    </row>
    <row r="23" customFormat="false" ht="13.8" hidden="false" customHeight="false" outlineLevel="0" collapsed="false">
      <c r="A23" s="6" t="n">
        <v>45109</v>
      </c>
      <c r="B23" s="7" t="n">
        <v>0.245138888888889</v>
      </c>
      <c r="C23" s="8" t="n">
        <v>24589</v>
      </c>
      <c r="D23" s="8" t="s">
        <v>15</v>
      </c>
      <c r="E23" s="8" t="n">
        <v>24580</v>
      </c>
      <c r="F23" s="8" t="n">
        <v>16080</v>
      </c>
      <c r="G23" s="9" t="n">
        <v>8500</v>
      </c>
      <c r="H23" s="8" t="s">
        <v>11</v>
      </c>
      <c r="I23" s="8" t="s">
        <v>12</v>
      </c>
      <c r="J23" s="0" t="s">
        <v>13</v>
      </c>
    </row>
    <row r="24" customFormat="false" ht="13.8" hidden="false" customHeight="false" outlineLevel="0" collapsed="false">
      <c r="A24" s="6" t="n">
        <v>45109</v>
      </c>
      <c r="B24" s="7" t="n">
        <v>0.701388888888889</v>
      </c>
      <c r="C24" s="8" t="n">
        <v>24599</v>
      </c>
      <c r="D24" s="8" t="s">
        <v>16</v>
      </c>
      <c r="E24" s="8" t="n">
        <v>16140</v>
      </c>
      <c r="F24" s="8" t="n">
        <v>13220</v>
      </c>
      <c r="G24" s="9" t="n">
        <v>2920</v>
      </c>
      <c r="H24" s="8" t="s">
        <v>11</v>
      </c>
      <c r="I24" s="8" t="s">
        <v>12</v>
      </c>
      <c r="J24" s="0" t="s">
        <v>13</v>
      </c>
    </row>
    <row r="25" customFormat="false" ht="13.8" hidden="false" customHeight="false" outlineLevel="0" collapsed="false">
      <c r="A25" s="6" t="n">
        <v>45109</v>
      </c>
      <c r="B25" s="7" t="n">
        <v>0.25625</v>
      </c>
      <c r="C25" s="8" t="n">
        <v>24591</v>
      </c>
      <c r="D25" s="8" t="s">
        <v>10</v>
      </c>
      <c r="E25" s="8" t="n">
        <v>4480</v>
      </c>
      <c r="F25" s="8" t="n">
        <v>3680</v>
      </c>
      <c r="G25" s="9" t="n">
        <v>800</v>
      </c>
      <c r="H25" s="8" t="s">
        <v>11</v>
      </c>
      <c r="I25" s="8" t="s">
        <v>12</v>
      </c>
      <c r="J25" s="0" t="s">
        <v>13</v>
      </c>
    </row>
    <row r="26" customFormat="false" ht="13.8" hidden="false" customHeight="false" outlineLevel="0" collapsed="false">
      <c r="A26" s="6" t="n">
        <v>45109</v>
      </c>
      <c r="B26" s="7" t="n">
        <v>0.106944444444444</v>
      </c>
      <c r="C26" s="8" t="n">
        <v>24579</v>
      </c>
      <c r="D26" s="8" t="s">
        <v>10</v>
      </c>
      <c r="E26" s="8" t="n">
        <v>4640</v>
      </c>
      <c r="F26" s="8" t="n">
        <v>3600</v>
      </c>
      <c r="G26" s="9" t="n">
        <v>1040</v>
      </c>
      <c r="H26" s="8" t="s">
        <v>11</v>
      </c>
      <c r="I26" s="8" t="s">
        <v>12</v>
      </c>
      <c r="J26" s="0" t="s">
        <v>13</v>
      </c>
    </row>
    <row r="27" customFormat="false" ht="13.8" hidden="false" customHeight="false" outlineLevel="0" collapsed="false">
      <c r="A27" s="6" t="n">
        <v>45110</v>
      </c>
      <c r="B27" s="7" t="n">
        <v>0.0868055555555556</v>
      </c>
      <c r="C27" s="8" t="n">
        <v>24604</v>
      </c>
      <c r="D27" s="8" t="s">
        <v>16</v>
      </c>
      <c r="E27" s="8" t="n">
        <v>21600</v>
      </c>
      <c r="F27" s="8" t="n">
        <v>13240</v>
      </c>
      <c r="G27" s="9" t="n">
        <v>8360</v>
      </c>
      <c r="H27" s="8" t="s">
        <v>11</v>
      </c>
      <c r="I27" s="8" t="s">
        <v>12</v>
      </c>
      <c r="J27" s="0" t="s">
        <v>13</v>
      </c>
    </row>
    <row r="28" customFormat="false" ht="13.8" hidden="false" customHeight="false" outlineLevel="0" collapsed="false">
      <c r="A28" s="6" t="n">
        <v>45110</v>
      </c>
      <c r="B28" s="7" t="n">
        <v>0.245833333333333</v>
      </c>
      <c r="C28" s="8" t="n">
        <v>24619</v>
      </c>
      <c r="D28" s="8" t="s">
        <v>16</v>
      </c>
      <c r="E28" s="8" t="n">
        <v>18700</v>
      </c>
      <c r="F28" s="8" t="n">
        <v>13400</v>
      </c>
      <c r="G28" s="9" t="n">
        <v>5300</v>
      </c>
      <c r="H28" s="8" t="s">
        <v>11</v>
      </c>
      <c r="I28" s="8" t="s">
        <v>12</v>
      </c>
      <c r="J28" s="0" t="s">
        <v>13</v>
      </c>
    </row>
    <row r="29" customFormat="false" ht="13.8" hidden="false" customHeight="false" outlineLevel="0" collapsed="false">
      <c r="A29" s="6" t="n">
        <v>45110</v>
      </c>
      <c r="B29" s="7" t="n">
        <v>0.248611111111111</v>
      </c>
      <c r="C29" s="8" t="n">
        <v>24621</v>
      </c>
      <c r="D29" s="8" t="s">
        <v>15</v>
      </c>
      <c r="E29" s="8" t="n">
        <v>23320</v>
      </c>
      <c r="F29" s="8" t="n">
        <v>15840</v>
      </c>
      <c r="G29" s="9" t="n">
        <v>7480</v>
      </c>
      <c r="H29" s="8" t="s">
        <v>11</v>
      </c>
      <c r="I29" s="8" t="s">
        <v>12</v>
      </c>
      <c r="J29" s="0" t="s">
        <v>13</v>
      </c>
    </row>
    <row r="30" customFormat="false" ht="13.8" hidden="false" customHeight="false" outlineLevel="0" collapsed="false">
      <c r="A30" s="6" t="n">
        <v>45110</v>
      </c>
      <c r="B30" s="7" t="n">
        <v>0.215277777777778</v>
      </c>
      <c r="C30" s="8" t="n">
        <v>24610</v>
      </c>
      <c r="D30" s="8" t="s">
        <v>14</v>
      </c>
      <c r="E30" s="8" t="n">
        <v>3780</v>
      </c>
      <c r="F30" s="8" t="n">
        <v>2700</v>
      </c>
      <c r="G30" s="9" t="n">
        <v>1080</v>
      </c>
      <c r="H30" s="8" t="s">
        <v>11</v>
      </c>
      <c r="I30" s="8" t="s">
        <v>12</v>
      </c>
      <c r="J30" s="0" t="s">
        <v>13</v>
      </c>
    </row>
    <row r="31" customFormat="false" ht="13.8" hidden="false" customHeight="false" outlineLevel="0" collapsed="false">
      <c r="A31" s="6" t="n">
        <v>45110</v>
      </c>
      <c r="B31" s="7" t="n">
        <v>0.238888888888889</v>
      </c>
      <c r="C31" s="8" t="n">
        <v>24616</v>
      </c>
      <c r="D31" s="8" t="s">
        <v>20</v>
      </c>
      <c r="E31" s="8" t="n">
        <v>25480</v>
      </c>
      <c r="F31" s="8" t="n">
        <v>16080</v>
      </c>
      <c r="G31" s="9" t="n">
        <v>9400</v>
      </c>
      <c r="H31" s="8" t="s">
        <v>11</v>
      </c>
      <c r="I31" s="8" t="s">
        <v>12</v>
      </c>
      <c r="J31" s="0" t="s">
        <v>13</v>
      </c>
    </row>
    <row r="32" customFormat="false" ht="13.8" hidden="false" customHeight="false" outlineLevel="0" collapsed="false">
      <c r="A32" s="6" t="n">
        <v>45110</v>
      </c>
      <c r="B32" s="7" t="n">
        <v>0.463888888888889</v>
      </c>
      <c r="C32" s="8" t="n">
        <v>24647</v>
      </c>
      <c r="D32" s="8" t="s">
        <v>14</v>
      </c>
      <c r="E32" s="8" t="n">
        <v>3260</v>
      </c>
      <c r="F32" s="8" t="n">
        <v>2780</v>
      </c>
      <c r="G32" s="9" t="n">
        <v>480</v>
      </c>
      <c r="H32" s="8" t="s">
        <v>11</v>
      </c>
      <c r="I32" s="8" t="s">
        <v>12</v>
      </c>
      <c r="J32" s="0" t="s">
        <v>13</v>
      </c>
    </row>
    <row r="33" customFormat="false" ht="13.8" hidden="false" customHeight="false" outlineLevel="0" collapsed="false">
      <c r="A33" s="6" t="n">
        <v>45110</v>
      </c>
      <c r="B33" s="7" t="n">
        <v>0.440277777777778</v>
      </c>
      <c r="C33" s="8" t="n">
        <v>24639</v>
      </c>
      <c r="D33" s="8" t="s">
        <v>19</v>
      </c>
      <c r="E33" s="8" t="n">
        <v>2680</v>
      </c>
      <c r="F33" s="8" t="n">
        <v>2440</v>
      </c>
      <c r="G33" s="9" t="n">
        <v>240</v>
      </c>
      <c r="H33" s="8" t="s">
        <v>11</v>
      </c>
      <c r="I33" s="8" t="s">
        <v>12</v>
      </c>
      <c r="J33" s="0" t="s">
        <v>13</v>
      </c>
    </row>
    <row r="34" customFormat="false" ht="13.8" hidden="false" customHeight="false" outlineLevel="0" collapsed="false">
      <c r="A34" s="6" t="n">
        <v>45110</v>
      </c>
      <c r="B34" s="7" t="n">
        <v>0.874305555555556</v>
      </c>
      <c r="C34" s="8" t="n">
        <v>24665</v>
      </c>
      <c r="D34" s="8" t="s">
        <v>15</v>
      </c>
      <c r="E34" s="8" t="n">
        <v>22040</v>
      </c>
      <c r="F34" s="8" t="n">
        <v>16000</v>
      </c>
      <c r="G34" s="9" t="n">
        <v>6040</v>
      </c>
      <c r="H34" s="8" t="s">
        <v>11</v>
      </c>
      <c r="I34" s="8" t="s">
        <v>12</v>
      </c>
      <c r="J34" s="0" t="s">
        <v>13</v>
      </c>
    </row>
    <row r="35" customFormat="false" ht="13.8" hidden="false" customHeight="false" outlineLevel="0" collapsed="false">
      <c r="A35" s="6" t="n">
        <v>45110</v>
      </c>
      <c r="B35" s="7" t="n">
        <v>0.885416666666667</v>
      </c>
      <c r="C35" s="8" t="n">
        <v>24666</v>
      </c>
      <c r="D35" s="8" t="s">
        <v>19</v>
      </c>
      <c r="E35" s="8" t="n">
        <v>2520</v>
      </c>
      <c r="F35" s="8" t="n">
        <v>2380</v>
      </c>
      <c r="G35" s="9" t="n">
        <v>140</v>
      </c>
      <c r="H35" s="8" t="s">
        <v>11</v>
      </c>
      <c r="I35" s="8" t="s">
        <v>12</v>
      </c>
      <c r="J35" s="0" t="s">
        <v>13</v>
      </c>
    </row>
    <row r="36" customFormat="false" ht="13.8" hidden="false" customHeight="false" outlineLevel="0" collapsed="false">
      <c r="A36" s="6" t="n">
        <v>45110</v>
      </c>
      <c r="B36" s="7" t="n">
        <v>0.377777777777778</v>
      </c>
      <c r="C36" s="8" t="n">
        <v>24633</v>
      </c>
      <c r="D36" s="8" t="s">
        <v>17</v>
      </c>
      <c r="E36" s="8" t="n">
        <v>7000</v>
      </c>
      <c r="F36" s="8" t="n">
        <v>5460</v>
      </c>
      <c r="G36" s="9" t="n">
        <v>1540</v>
      </c>
      <c r="H36" s="8" t="s">
        <v>11</v>
      </c>
      <c r="I36" s="8" t="s">
        <v>18</v>
      </c>
      <c r="J36" s="0" t="s">
        <v>13</v>
      </c>
    </row>
    <row r="37" customFormat="false" ht="13.8" hidden="false" customHeight="false" outlineLevel="0" collapsed="false">
      <c r="A37" s="6" t="n">
        <v>45110</v>
      </c>
      <c r="B37" s="7" t="n">
        <v>0.460416666666667</v>
      </c>
      <c r="C37" s="8" t="n">
        <v>24645</v>
      </c>
      <c r="D37" s="8" t="s">
        <v>17</v>
      </c>
      <c r="E37" s="8" t="n">
        <v>5900</v>
      </c>
      <c r="F37" s="8" t="n">
        <v>5580</v>
      </c>
      <c r="G37" s="9" t="n">
        <v>320</v>
      </c>
      <c r="H37" s="8" t="s">
        <v>11</v>
      </c>
      <c r="I37" s="8" t="s">
        <v>18</v>
      </c>
      <c r="J37" s="0" t="s">
        <v>13</v>
      </c>
    </row>
    <row r="38" customFormat="false" ht="13.8" hidden="false" customHeight="false" outlineLevel="0" collapsed="false">
      <c r="A38" s="6" t="n">
        <v>45110</v>
      </c>
      <c r="B38" s="7" t="n">
        <v>0.711805555555556</v>
      </c>
      <c r="C38" s="8" t="n">
        <v>24663</v>
      </c>
      <c r="D38" s="8" t="s">
        <v>16</v>
      </c>
      <c r="E38" s="8" t="n">
        <v>15760</v>
      </c>
      <c r="F38" s="8" t="n">
        <v>13200</v>
      </c>
      <c r="G38" s="9" t="n">
        <v>2560</v>
      </c>
      <c r="H38" s="8" t="s">
        <v>11</v>
      </c>
      <c r="I38" s="8" t="s">
        <v>12</v>
      </c>
      <c r="J38" s="0" t="s">
        <v>13</v>
      </c>
    </row>
    <row r="39" customFormat="false" ht="13.8" hidden="true" customHeight="false" outlineLevel="0" collapsed="false">
      <c r="A39" s="6" t="n">
        <v>45110</v>
      </c>
      <c r="B39" s="7" t="n">
        <v>0.454861111111111</v>
      </c>
      <c r="C39" s="8" t="n">
        <v>4402</v>
      </c>
      <c r="D39" s="8" t="s">
        <v>15</v>
      </c>
      <c r="E39" s="8" t="n">
        <v>17880</v>
      </c>
      <c r="F39" s="8" t="n">
        <v>15760</v>
      </c>
      <c r="G39" s="9" t="n">
        <v>2120</v>
      </c>
      <c r="H39" s="8" t="s">
        <v>11</v>
      </c>
      <c r="I39" s="8" t="s">
        <v>22</v>
      </c>
      <c r="J39" s="10" t="s">
        <v>13</v>
      </c>
    </row>
    <row r="40" customFormat="false" ht="13.8" hidden="false" customHeight="false" outlineLevel="0" collapsed="false">
      <c r="A40" s="6" t="n">
        <v>45111</v>
      </c>
      <c r="B40" s="7" t="n">
        <v>0.215277777777778</v>
      </c>
      <c r="C40" s="8" t="n">
        <v>24681</v>
      </c>
      <c r="D40" s="8" t="s">
        <v>10</v>
      </c>
      <c r="E40" s="8" t="n">
        <v>5060</v>
      </c>
      <c r="F40" s="8" t="n">
        <v>3680</v>
      </c>
      <c r="G40" s="9" t="n">
        <v>1380</v>
      </c>
      <c r="H40" s="8" t="s">
        <v>11</v>
      </c>
      <c r="I40" s="8" t="s">
        <v>12</v>
      </c>
      <c r="J40" s="0" t="s">
        <v>13</v>
      </c>
    </row>
    <row r="41" customFormat="false" ht="13.8" hidden="false" customHeight="false" outlineLevel="0" collapsed="false">
      <c r="A41" s="6" t="n">
        <v>45111</v>
      </c>
      <c r="B41" s="7" t="n">
        <v>0.234722222222222</v>
      </c>
      <c r="C41" s="8" t="n">
        <v>24686</v>
      </c>
      <c r="D41" s="8" t="s">
        <v>15</v>
      </c>
      <c r="E41" s="8" t="n">
        <v>21280</v>
      </c>
      <c r="F41" s="8" t="n">
        <v>15980</v>
      </c>
      <c r="G41" s="9" t="n">
        <v>5300</v>
      </c>
      <c r="H41" s="8" t="s">
        <v>11</v>
      </c>
      <c r="I41" s="8" t="s">
        <v>12</v>
      </c>
      <c r="J41" s="0" t="s">
        <v>13</v>
      </c>
    </row>
    <row r="42" customFormat="false" ht="13.8" hidden="false" customHeight="false" outlineLevel="0" collapsed="false">
      <c r="A42" s="6" t="n">
        <v>45111</v>
      </c>
      <c r="B42" s="7" t="n">
        <v>0.241666666666667</v>
      </c>
      <c r="C42" s="8" t="n">
        <v>24688</v>
      </c>
      <c r="D42" s="8" t="s">
        <v>16</v>
      </c>
      <c r="E42" s="8" t="n">
        <v>19860</v>
      </c>
      <c r="F42" s="8" t="n">
        <v>13160</v>
      </c>
      <c r="G42" s="9" t="n">
        <v>6700</v>
      </c>
      <c r="H42" s="8" t="s">
        <v>11</v>
      </c>
      <c r="I42" s="8" t="s">
        <v>12</v>
      </c>
      <c r="J42" s="0" t="s">
        <v>13</v>
      </c>
    </row>
    <row r="43" customFormat="false" ht="13.8" hidden="false" customHeight="false" outlineLevel="0" collapsed="false">
      <c r="A43" s="6" t="n">
        <v>45111</v>
      </c>
      <c r="B43" s="7" t="n">
        <v>0.0791666666666667</v>
      </c>
      <c r="C43" s="8" t="n">
        <v>24669</v>
      </c>
      <c r="D43" s="8" t="s">
        <v>16</v>
      </c>
      <c r="E43" s="8" t="n">
        <v>21880</v>
      </c>
      <c r="F43" s="8" t="n">
        <v>13200</v>
      </c>
      <c r="G43" s="9" t="n">
        <v>8680</v>
      </c>
      <c r="H43" s="8" t="s">
        <v>11</v>
      </c>
      <c r="I43" s="8" t="s">
        <v>12</v>
      </c>
      <c r="J43" s="0" t="s">
        <v>13</v>
      </c>
    </row>
    <row r="44" customFormat="false" ht="13.8" hidden="false" customHeight="false" outlineLevel="0" collapsed="false">
      <c r="A44" s="6" t="n">
        <v>45111</v>
      </c>
      <c r="B44" s="7" t="n">
        <v>0.230555555555556</v>
      </c>
      <c r="C44" s="8" t="n">
        <v>24685</v>
      </c>
      <c r="D44" s="8" t="s">
        <v>20</v>
      </c>
      <c r="E44" s="8" t="n">
        <v>24920</v>
      </c>
      <c r="F44" s="8" t="n">
        <v>16000</v>
      </c>
      <c r="G44" s="9" t="n">
        <v>8920</v>
      </c>
      <c r="H44" s="8" t="s">
        <v>11</v>
      </c>
      <c r="I44" s="8" t="s">
        <v>12</v>
      </c>
      <c r="J44" s="0" t="s">
        <v>13</v>
      </c>
    </row>
    <row r="45" customFormat="false" ht="13.8" hidden="true" customHeight="false" outlineLevel="0" collapsed="false">
      <c r="A45" s="6" t="n">
        <v>45111</v>
      </c>
      <c r="B45" s="7" t="n">
        <v>0.473611111111111</v>
      </c>
      <c r="C45" s="8" t="n">
        <v>158919</v>
      </c>
      <c r="D45" s="8" t="s">
        <v>20</v>
      </c>
      <c r="E45" s="8" t="n">
        <v>17900</v>
      </c>
      <c r="F45" s="8" t="n">
        <v>16020</v>
      </c>
      <c r="G45" s="9" t="n">
        <v>1880</v>
      </c>
      <c r="H45" s="8" t="s">
        <v>11</v>
      </c>
      <c r="I45" s="8" t="s">
        <v>21</v>
      </c>
      <c r="J45" s="10" t="s">
        <v>13</v>
      </c>
    </row>
    <row r="46" customFormat="false" ht="13.8" hidden="false" customHeight="false" outlineLevel="0" collapsed="false">
      <c r="A46" s="6" t="n">
        <v>45111</v>
      </c>
      <c r="B46" s="7" t="n">
        <v>0.452083333333333</v>
      </c>
      <c r="C46" s="8" t="n">
        <v>24705</v>
      </c>
      <c r="D46" s="8" t="s">
        <v>14</v>
      </c>
      <c r="E46" s="8" t="n">
        <v>3260</v>
      </c>
      <c r="F46" s="8" t="n">
        <v>2720</v>
      </c>
      <c r="G46" s="9" t="n">
        <v>540</v>
      </c>
      <c r="H46" s="8" t="s">
        <v>11</v>
      </c>
      <c r="I46" s="8" t="s">
        <v>12</v>
      </c>
      <c r="J46" s="0" t="s">
        <v>13</v>
      </c>
    </row>
    <row r="47" customFormat="false" ht="13.8" hidden="false" customHeight="false" outlineLevel="0" collapsed="false">
      <c r="A47" s="6" t="n">
        <v>45111</v>
      </c>
      <c r="B47" s="7" t="n">
        <v>0.688194444444444</v>
      </c>
      <c r="C47" s="8" t="n">
        <v>24728</v>
      </c>
      <c r="D47" s="8" t="s">
        <v>16</v>
      </c>
      <c r="E47" s="8" t="n">
        <v>14540</v>
      </c>
      <c r="F47" s="8" t="n">
        <v>13220</v>
      </c>
      <c r="G47" s="9" t="n">
        <v>1320</v>
      </c>
      <c r="H47" s="8" t="s">
        <v>11</v>
      </c>
      <c r="I47" s="8" t="s">
        <v>12</v>
      </c>
      <c r="J47" s="0" t="s">
        <v>13</v>
      </c>
    </row>
    <row r="48" customFormat="false" ht="13.8" hidden="false" customHeight="false" outlineLevel="0" collapsed="false">
      <c r="A48" s="6" t="n">
        <v>45111</v>
      </c>
      <c r="B48" s="7" t="n">
        <v>0.859027777777778</v>
      </c>
      <c r="C48" s="8" t="n">
        <v>24738</v>
      </c>
      <c r="D48" s="8" t="s">
        <v>14</v>
      </c>
      <c r="E48" s="8" t="n">
        <v>3060</v>
      </c>
      <c r="F48" s="8" t="n">
        <v>2600</v>
      </c>
      <c r="G48" s="9" t="n">
        <v>460</v>
      </c>
      <c r="H48" s="8" t="s">
        <v>11</v>
      </c>
      <c r="I48" s="8" t="s">
        <v>12</v>
      </c>
      <c r="J48" s="0" t="s">
        <v>13</v>
      </c>
    </row>
    <row r="49" customFormat="false" ht="13.8" hidden="false" customHeight="false" outlineLevel="0" collapsed="false">
      <c r="A49" s="6" t="n">
        <v>45111</v>
      </c>
      <c r="B49" s="7" t="n">
        <v>0.875694444444444</v>
      </c>
      <c r="C49" s="8" t="n">
        <v>24739</v>
      </c>
      <c r="D49" s="8" t="s">
        <v>15</v>
      </c>
      <c r="E49" s="8" t="n">
        <v>22580</v>
      </c>
      <c r="F49" s="8" t="n">
        <v>15880</v>
      </c>
      <c r="G49" s="9" t="n">
        <v>6700</v>
      </c>
      <c r="H49" s="8" t="s">
        <v>11</v>
      </c>
      <c r="I49" s="8" t="s">
        <v>12</v>
      </c>
      <c r="J49" s="0" t="s">
        <v>13</v>
      </c>
    </row>
    <row r="50" customFormat="false" ht="13.8" hidden="false" customHeight="false" outlineLevel="0" collapsed="false">
      <c r="A50" s="6" t="n">
        <v>45112</v>
      </c>
      <c r="B50" s="7" t="n">
        <v>0.356944444444444</v>
      </c>
      <c r="C50" s="8" t="n">
        <v>24773</v>
      </c>
      <c r="D50" s="8" t="s">
        <v>17</v>
      </c>
      <c r="E50" s="8" t="n">
        <v>6540</v>
      </c>
      <c r="F50" s="8" t="n">
        <v>5640</v>
      </c>
      <c r="G50" s="9" t="n">
        <v>900</v>
      </c>
      <c r="H50" s="8" t="s">
        <v>11</v>
      </c>
      <c r="I50" s="8" t="s">
        <v>18</v>
      </c>
      <c r="J50" s="0" t="s">
        <v>13</v>
      </c>
    </row>
    <row r="51" customFormat="false" ht="13.8" hidden="false" customHeight="false" outlineLevel="0" collapsed="false">
      <c r="A51" s="6" t="n">
        <v>45112</v>
      </c>
      <c r="B51" s="7" t="n">
        <v>0.445138888888889</v>
      </c>
      <c r="C51" s="8" t="n">
        <v>24783</v>
      </c>
      <c r="D51" s="8" t="s">
        <v>17</v>
      </c>
      <c r="E51" s="8" t="n">
        <v>6340</v>
      </c>
      <c r="F51" s="8" t="n">
        <v>5620</v>
      </c>
      <c r="G51" s="9" t="n">
        <v>720</v>
      </c>
      <c r="H51" s="8" t="s">
        <v>11</v>
      </c>
      <c r="I51" s="8" t="s">
        <v>18</v>
      </c>
      <c r="J51" s="0" t="s">
        <v>13</v>
      </c>
    </row>
    <row r="52" customFormat="false" ht="13.8" hidden="false" customHeight="false" outlineLevel="0" collapsed="false">
      <c r="A52" s="6" t="n">
        <v>45112</v>
      </c>
      <c r="B52" s="7" t="n">
        <v>0.6875</v>
      </c>
      <c r="C52" s="8" t="n">
        <v>24803</v>
      </c>
      <c r="D52" s="8" t="s">
        <v>16</v>
      </c>
      <c r="E52" s="8" t="n">
        <v>15200</v>
      </c>
      <c r="F52" s="8" t="n">
        <v>13160</v>
      </c>
      <c r="G52" s="9" t="n">
        <v>2040</v>
      </c>
      <c r="H52" s="8" t="s">
        <v>11</v>
      </c>
      <c r="I52" s="8" t="s">
        <v>12</v>
      </c>
      <c r="J52" s="0" t="s">
        <v>13</v>
      </c>
    </row>
    <row r="53" customFormat="false" ht="13.8" hidden="false" customHeight="false" outlineLevel="0" collapsed="false">
      <c r="A53" s="6" t="n">
        <v>45112</v>
      </c>
      <c r="B53" s="7" t="n">
        <v>0.440972222222222</v>
      </c>
      <c r="C53" s="8" t="n">
        <v>24781</v>
      </c>
      <c r="D53" s="8" t="s">
        <v>14</v>
      </c>
      <c r="E53" s="8" t="n">
        <v>3280</v>
      </c>
      <c r="F53" s="8" t="n">
        <v>2660</v>
      </c>
      <c r="G53" s="9" t="n">
        <v>620</v>
      </c>
      <c r="H53" s="8" t="s">
        <v>11</v>
      </c>
      <c r="I53" s="8" t="s">
        <v>12</v>
      </c>
      <c r="J53" s="0" t="s">
        <v>13</v>
      </c>
    </row>
    <row r="54" customFormat="false" ht="13.8" hidden="false" customHeight="false" outlineLevel="0" collapsed="false">
      <c r="A54" s="6" t="n">
        <v>45112</v>
      </c>
      <c r="B54" s="7" t="n">
        <v>0.8625</v>
      </c>
      <c r="C54" s="8" t="n">
        <v>24812</v>
      </c>
      <c r="D54" s="8" t="s">
        <v>15</v>
      </c>
      <c r="E54" s="8" t="n">
        <v>24580</v>
      </c>
      <c r="F54" s="8" t="n">
        <v>15840</v>
      </c>
      <c r="G54" s="9" t="n">
        <v>8740</v>
      </c>
      <c r="H54" s="8" t="s">
        <v>11</v>
      </c>
      <c r="I54" s="8" t="s">
        <v>12</v>
      </c>
      <c r="J54" s="0" t="s">
        <v>13</v>
      </c>
    </row>
    <row r="55" customFormat="false" ht="13.8" hidden="false" customHeight="false" outlineLevel="0" collapsed="false">
      <c r="A55" s="6" t="n">
        <v>45112</v>
      </c>
      <c r="B55" s="7" t="n">
        <v>0.890972222222222</v>
      </c>
      <c r="C55" s="8" t="n">
        <v>24814</v>
      </c>
      <c r="D55" s="8" t="s">
        <v>14</v>
      </c>
      <c r="E55" s="8" t="n">
        <v>3040</v>
      </c>
      <c r="F55" s="8" t="n">
        <v>2700</v>
      </c>
      <c r="G55" s="9" t="n">
        <v>340</v>
      </c>
      <c r="H55" s="8" t="s">
        <v>11</v>
      </c>
      <c r="I55" s="8" t="s">
        <v>12</v>
      </c>
      <c r="J55" s="0" t="s">
        <v>13</v>
      </c>
    </row>
    <row r="56" customFormat="false" ht="13.8" hidden="false" customHeight="false" outlineLevel="0" collapsed="false">
      <c r="A56" s="6" t="n">
        <v>45112</v>
      </c>
      <c r="B56" s="7" t="n">
        <v>0.0680555555555556</v>
      </c>
      <c r="C56" s="8" t="n">
        <v>24741</v>
      </c>
      <c r="D56" s="8" t="s">
        <v>16</v>
      </c>
      <c r="E56" s="8" t="n">
        <v>22240</v>
      </c>
      <c r="F56" s="8" t="n">
        <v>13260</v>
      </c>
      <c r="G56" s="9" t="n">
        <v>8980</v>
      </c>
      <c r="H56" s="8" t="s">
        <v>11</v>
      </c>
      <c r="I56" s="8" t="s">
        <v>12</v>
      </c>
      <c r="J56" s="0" t="s">
        <v>13</v>
      </c>
    </row>
    <row r="57" customFormat="false" ht="13.8" hidden="false" customHeight="false" outlineLevel="0" collapsed="false">
      <c r="A57" s="6" t="n">
        <v>45112</v>
      </c>
      <c r="B57" s="7" t="n">
        <v>0.241666666666667</v>
      </c>
      <c r="C57" s="8" t="n">
        <v>24754</v>
      </c>
      <c r="D57" s="8" t="s">
        <v>16</v>
      </c>
      <c r="E57" s="8" t="n">
        <v>19720</v>
      </c>
      <c r="F57" s="8" t="n">
        <v>13220</v>
      </c>
      <c r="G57" s="9" t="n">
        <v>6500</v>
      </c>
      <c r="H57" s="8" t="s">
        <v>11</v>
      </c>
      <c r="I57" s="8" t="s">
        <v>12</v>
      </c>
      <c r="J57" s="0" t="s">
        <v>13</v>
      </c>
    </row>
    <row r="58" customFormat="false" ht="13.8" hidden="false" customHeight="false" outlineLevel="0" collapsed="false">
      <c r="A58" s="6" t="n">
        <v>45112</v>
      </c>
      <c r="B58" s="7" t="n">
        <v>0.193055555555556</v>
      </c>
      <c r="C58" s="8" t="n">
        <v>24749</v>
      </c>
      <c r="D58" s="8" t="s">
        <v>20</v>
      </c>
      <c r="E58" s="8" t="n">
        <v>27500</v>
      </c>
      <c r="F58" s="8" t="n">
        <v>16040</v>
      </c>
      <c r="G58" s="9" t="n">
        <v>11460</v>
      </c>
      <c r="H58" s="8" t="s">
        <v>11</v>
      </c>
      <c r="I58" s="8" t="s">
        <v>12</v>
      </c>
      <c r="J58" s="0" t="s">
        <v>13</v>
      </c>
    </row>
    <row r="59" customFormat="false" ht="13.8" hidden="false" customHeight="false" outlineLevel="0" collapsed="false">
      <c r="A59" s="6" t="n">
        <v>45112</v>
      </c>
      <c r="B59" s="7" t="n">
        <v>0.105555555555556</v>
      </c>
      <c r="C59" s="8" t="n">
        <v>24744</v>
      </c>
      <c r="D59" s="8" t="s">
        <v>10</v>
      </c>
      <c r="E59" s="8" t="n">
        <v>4600</v>
      </c>
      <c r="F59" s="8" t="n">
        <v>3600</v>
      </c>
      <c r="G59" s="9" t="n">
        <v>1000</v>
      </c>
      <c r="H59" s="8" t="s">
        <v>11</v>
      </c>
      <c r="I59" s="8" t="s">
        <v>12</v>
      </c>
      <c r="J59" s="0" t="s">
        <v>13</v>
      </c>
    </row>
    <row r="60" customFormat="false" ht="13.8" hidden="false" customHeight="false" outlineLevel="0" collapsed="false">
      <c r="A60" s="6" t="n">
        <v>45112</v>
      </c>
      <c r="B60" s="7" t="n">
        <v>0.20625</v>
      </c>
      <c r="C60" s="8" t="n">
        <v>24750</v>
      </c>
      <c r="D60" s="8" t="s">
        <v>10</v>
      </c>
      <c r="E60" s="8" t="n">
        <v>4160</v>
      </c>
      <c r="F60" s="8" t="n">
        <v>3700</v>
      </c>
      <c r="G60" s="9" t="n">
        <v>460</v>
      </c>
      <c r="H60" s="8" t="s">
        <v>11</v>
      </c>
      <c r="I60" s="8" t="s">
        <v>12</v>
      </c>
      <c r="J60" s="0" t="s">
        <v>13</v>
      </c>
    </row>
    <row r="61" customFormat="false" ht="13.8" hidden="false" customHeight="false" outlineLevel="0" collapsed="false">
      <c r="A61" s="6" t="n">
        <v>45113</v>
      </c>
      <c r="B61" s="7" t="n">
        <v>0.234027777777778</v>
      </c>
      <c r="C61" s="8" t="n">
        <v>24833</v>
      </c>
      <c r="D61" s="8" t="s">
        <v>16</v>
      </c>
      <c r="E61" s="8" t="n">
        <v>18680</v>
      </c>
      <c r="F61" s="8" t="n">
        <v>13140</v>
      </c>
      <c r="G61" s="9" t="n">
        <v>5540</v>
      </c>
      <c r="H61" s="8" t="s">
        <v>11</v>
      </c>
      <c r="I61" s="8" t="s">
        <v>12</v>
      </c>
      <c r="J61" s="0" t="s">
        <v>13</v>
      </c>
    </row>
    <row r="62" customFormat="false" ht="13.8" hidden="false" customHeight="false" outlineLevel="0" collapsed="false">
      <c r="A62" s="6" t="n">
        <v>45113</v>
      </c>
      <c r="B62" s="7" t="n">
        <v>0.0638888888888889</v>
      </c>
      <c r="C62" s="8" t="n">
        <v>24818</v>
      </c>
      <c r="D62" s="8" t="s">
        <v>16</v>
      </c>
      <c r="E62" s="8" t="n">
        <v>22920</v>
      </c>
      <c r="F62" s="8" t="n">
        <v>13160</v>
      </c>
      <c r="G62" s="9" t="n">
        <v>9760</v>
      </c>
      <c r="H62" s="8" t="s">
        <v>11</v>
      </c>
      <c r="I62" s="8" t="s">
        <v>12</v>
      </c>
      <c r="J62" s="0" t="s">
        <v>13</v>
      </c>
    </row>
    <row r="63" customFormat="false" ht="13.8" hidden="false" customHeight="false" outlineLevel="0" collapsed="false">
      <c r="A63" s="6" t="n">
        <v>45113</v>
      </c>
      <c r="B63" s="7" t="n">
        <v>0.247222222222222</v>
      </c>
      <c r="C63" s="8" t="n">
        <v>24834</v>
      </c>
      <c r="D63" s="8" t="s">
        <v>20</v>
      </c>
      <c r="E63" s="8" t="n">
        <v>19320</v>
      </c>
      <c r="F63" s="8" t="n">
        <v>15960</v>
      </c>
      <c r="G63" s="9" t="n">
        <v>3360</v>
      </c>
      <c r="H63" s="8" t="s">
        <v>11</v>
      </c>
      <c r="I63" s="8" t="s">
        <v>12</v>
      </c>
      <c r="J63" s="0" t="s">
        <v>13</v>
      </c>
    </row>
    <row r="64" customFormat="false" ht="13.8" hidden="false" customHeight="false" outlineLevel="0" collapsed="false">
      <c r="A64" s="6" t="n">
        <v>45113</v>
      </c>
      <c r="B64" s="7" t="n">
        <v>0.209027777777778</v>
      </c>
      <c r="C64" s="8" t="n">
        <v>24829</v>
      </c>
      <c r="D64" s="8" t="s">
        <v>10</v>
      </c>
      <c r="E64" s="8" t="n">
        <v>5080</v>
      </c>
      <c r="F64" s="8" t="n">
        <v>3800</v>
      </c>
      <c r="G64" s="9" t="n">
        <v>1280</v>
      </c>
      <c r="H64" s="8" t="s">
        <v>11</v>
      </c>
      <c r="I64" s="8" t="s">
        <v>12</v>
      </c>
      <c r="J64" s="0" t="s">
        <v>13</v>
      </c>
    </row>
    <row r="65" customFormat="false" ht="13.8" hidden="false" customHeight="false" outlineLevel="0" collapsed="false">
      <c r="A65" s="6" t="n">
        <v>45113</v>
      </c>
      <c r="B65" s="7" t="n">
        <v>0.154861111111111</v>
      </c>
      <c r="C65" s="8" t="n">
        <v>24824</v>
      </c>
      <c r="D65" s="8" t="s">
        <v>20</v>
      </c>
      <c r="E65" s="8" t="n">
        <v>26740</v>
      </c>
      <c r="F65" s="8" t="n">
        <v>15980</v>
      </c>
      <c r="G65" s="9" t="n">
        <v>10760</v>
      </c>
      <c r="H65" s="8" t="s">
        <v>11</v>
      </c>
      <c r="I65" s="8" t="s">
        <v>12</v>
      </c>
      <c r="J65" s="0" t="s">
        <v>13</v>
      </c>
    </row>
    <row r="66" customFormat="false" ht="13.8" hidden="true" customHeight="false" outlineLevel="0" collapsed="false">
      <c r="A66" s="6" t="n">
        <v>45113</v>
      </c>
      <c r="B66" s="7" t="n">
        <v>0.470138888888889</v>
      </c>
      <c r="C66" s="8" t="n">
        <v>159035</v>
      </c>
      <c r="D66" s="8" t="s">
        <v>15</v>
      </c>
      <c r="E66" s="8" t="n">
        <v>17660</v>
      </c>
      <c r="F66" s="8" t="n">
        <v>16060</v>
      </c>
      <c r="G66" s="9" t="n">
        <v>1600</v>
      </c>
      <c r="H66" s="8" t="s">
        <v>11</v>
      </c>
      <c r="I66" s="8" t="s">
        <v>21</v>
      </c>
      <c r="J66" s="10" t="s">
        <v>13</v>
      </c>
    </row>
    <row r="67" customFormat="false" ht="13.8" hidden="false" customHeight="false" outlineLevel="0" collapsed="false">
      <c r="A67" s="6" t="n">
        <v>45113</v>
      </c>
      <c r="B67" s="7" t="n">
        <v>0.448611111111111</v>
      </c>
      <c r="C67" s="8" t="n">
        <v>24857</v>
      </c>
      <c r="D67" s="8" t="s">
        <v>14</v>
      </c>
      <c r="E67" s="8" t="n">
        <v>3240</v>
      </c>
      <c r="F67" s="8" t="n">
        <v>2700</v>
      </c>
      <c r="G67" s="9" t="n">
        <v>540</v>
      </c>
      <c r="H67" s="8" t="s">
        <v>11</v>
      </c>
      <c r="I67" s="8" t="s">
        <v>12</v>
      </c>
      <c r="J67" s="0" t="s">
        <v>13</v>
      </c>
    </row>
    <row r="68" customFormat="false" ht="13.8" hidden="false" customHeight="false" outlineLevel="0" collapsed="false">
      <c r="A68" s="6" t="n">
        <v>45113</v>
      </c>
      <c r="B68" s="7" t="n">
        <v>0.459722222222222</v>
      </c>
      <c r="C68" s="8" t="n">
        <v>24860</v>
      </c>
      <c r="D68" s="8" t="s">
        <v>17</v>
      </c>
      <c r="E68" s="8" t="n">
        <v>6160</v>
      </c>
      <c r="F68" s="8" t="n">
        <v>5620</v>
      </c>
      <c r="G68" s="9" t="n">
        <v>540</v>
      </c>
      <c r="H68" s="8" t="s">
        <v>11</v>
      </c>
      <c r="I68" s="8" t="s">
        <v>18</v>
      </c>
      <c r="J68" s="0" t="s">
        <v>13</v>
      </c>
    </row>
    <row r="69" customFormat="false" ht="13.8" hidden="false" customHeight="false" outlineLevel="0" collapsed="false">
      <c r="A69" s="6" t="n">
        <v>45113</v>
      </c>
      <c r="B69" s="7" t="n">
        <v>0.703472222222222</v>
      </c>
      <c r="C69" s="8" t="n">
        <v>24873</v>
      </c>
      <c r="D69" s="8" t="s">
        <v>16</v>
      </c>
      <c r="E69" s="8" t="n">
        <v>15940</v>
      </c>
      <c r="F69" s="8" t="n">
        <v>13220</v>
      </c>
      <c r="G69" s="9" t="n">
        <v>2720</v>
      </c>
      <c r="H69" s="8" t="s">
        <v>11</v>
      </c>
      <c r="I69" s="8" t="s">
        <v>12</v>
      </c>
      <c r="J69" s="0" t="s">
        <v>13</v>
      </c>
    </row>
    <row r="70" customFormat="false" ht="13.8" hidden="false" customHeight="false" outlineLevel="0" collapsed="false">
      <c r="A70" s="6" t="n">
        <v>45113</v>
      </c>
      <c r="B70" s="7" t="n">
        <v>0.872222222222222</v>
      </c>
      <c r="C70" s="8" t="n">
        <v>24878</v>
      </c>
      <c r="D70" s="8" t="s">
        <v>15</v>
      </c>
      <c r="E70" s="8" t="n">
        <v>22320</v>
      </c>
      <c r="F70" s="8" t="n">
        <v>15900</v>
      </c>
      <c r="G70" s="9" t="n">
        <v>6420</v>
      </c>
      <c r="H70" s="8" t="s">
        <v>11</v>
      </c>
      <c r="I70" s="8" t="s">
        <v>12</v>
      </c>
      <c r="J70" s="0" t="s">
        <v>13</v>
      </c>
    </row>
    <row r="71" customFormat="false" ht="13.8" hidden="false" customHeight="false" outlineLevel="0" collapsed="false">
      <c r="A71" s="6" t="n">
        <v>45113</v>
      </c>
      <c r="B71" s="7" t="n">
        <v>0.888194444444444</v>
      </c>
      <c r="C71" s="8" t="n">
        <v>24879</v>
      </c>
      <c r="D71" s="8" t="s">
        <v>14</v>
      </c>
      <c r="E71" s="8" t="n">
        <v>2920</v>
      </c>
      <c r="F71" s="8" t="n">
        <v>2700</v>
      </c>
      <c r="G71" s="9" t="n">
        <v>220</v>
      </c>
      <c r="H71" s="8" t="s">
        <v>11</v>
      </c>
      <c r="I71" s="8" t="s">
        <v>12</v>
      </c>
      <c r="J71" s="0" t="s">
        <v>13</v>
      </c>
    </row>
    <row r="72" customFormat="false" ht="13.8" hidden="false" customHeight="false" outlineLevel="0" collapsed="false">
      <c r="A72" s="6" t="n">
        <v>45113</v>
      </c>
      <c r="B72" s="7" t="n">
        <v>0.299305555555556</v>
      </c>
      <c r="C72" s="8" t="n">
        <v>24844</v>
      </c>
      <c r="D72" s="8" t="s">
        <v>23</v>
      </c>
      <c r="E72" s="8" t="n">
        <v>16300</v>
      </c>
      <c r="F72" s="8" t="n">
        <v>15240</v>
      </c>
      <c r="G72" s="9" t="n">
        <v>1060</v>
      </c>
      <c r="H72" s="8" t="s">
        <v>11</v>
      </c>
      <c r="I72" s="8" t="s">
        <v>18</v>
      </c>
      <c r="J72" s="0" t="s">
        <v>13</v>
      </c>
    </row>
    <row r="73" customFormat="false" ht="13.8" hidden="false" customHeight="false" outlineLevel="0" collapsed="false">
      <c r="A73" s="6" t="n">
        <v>45114</v>
      </c>
      <c r="B73" s="7" t="n">
        <v>0.24375</v>
      </c>
      <c r="C73" s="8" t="n">
        <v>24895</v>
      </c>
      <c r="D73" s="8" t="s">
        <v>16</v>
      </c>
      <c r="E73" s="8" t="n">
        <v>20920</v>
      </c>
      <c r="F73" s="8" t="n">
        <v>13160</v>
      </c>
      <c r="G73" s="9" t="n">
        <v>7760</v>
      </c>
      <c r="H73" s="8" t="s">
        <v>11</v>
      </c>
      <c r="I73" s="8" t="s">
        <v>12</v>
      </c>
      <c r="J73" s="0" t="s">
        <v>13</v>
      </c>
    </row>
    <row r="74" customFormat="false" ht="13.8" hidden="false" customHeight="false" outlineLevel="0" collapsed="false">
      <c r="A74" s="6" t="n">
        <v>45114</v>
      </c>
      <c r="B74" s="7" t="n">
        <v>0.238194444444444</v>
      </c>
      <c r="C74" s="8" t="n">
        <v>24893</v>
      </c>
      <c r="D74" s="8" t="s">
        <v>15</v>
      </c>
      <c r="E74" s="8" t="n">
        <v>21260</v>
      </c>
      <c r="F74" s="8" t="n">
        <v>15880</v>
      </c>
      <c r="G74" s="9" t="n">
        <v>5380</v>
      </c>
      <c r="H74" s="8" t="s">
        <v>11</v>
      </c>
      <c r="I74" s="8" t="s">
        <v>12</v>
      </c>
      <c r="J74" s="0" t="s">
        <v>13</v>
      </c>
    </row>
    <row r="75" customFormat="false" ht="13.8" hidden="false" customHeight="false" outlineLevel="0" collapsed="false">
      <c r="A75" s="6" t="n">
        <v>45114</v>
      </c>
      <c r="B75" s="7" t="n">
        <v>0.211111111111111</v>
      </c>
      <c r="C75" s="8" t="n">
        <v>24890</v>
      </c>
      <c r="D75" s="8" t="s">
        <v>14</v>
      </c>
      <c r="E75" s="8" t="n">
        <v>3640</v>
      </c>
      <c r="F75" s="8" t="n">
        <v>2800</v>
      </c>
      <c r="G75" s="9" t="n">
        <v>840</v>
      </c>
      <c r="H75" s="8" t="s">
        <v>11</v>
      </c>
      <c r="I75" s="8" t="s">
        <v>12</v>
      </c>
      <c r="J75" s="0" t="s">
        <v>13</v>
      </c>
    </row>
    <row r="76" customFormat="false" ht="13.8" hidden="false" customHeight="false" outlineLevel="0" collapsed="false">
      <c r="A76" s="6" t="n">
        <v>45114</v>
      </c>
      <c r="B76" s="7" t="n">
        <v>0.0340277777777778</v>
      </c>
      <c r="C76" s="8" t="n">
        <v>24881</v>
      </c>
      <c r="D76" s="8" t="s">
        <v>24</v>
      </c>
      <c r="E76" s="8" t="n">
        <v>14900</v>
      </c>
      <c r="F76" s="8" t="n">
        <v>12380</v>
      </c>
      <c r="G76" s="9" t="n">
        <v>2520</v>
      </c>
      <c r="H76" s="8" t="s">
        <v>11</v>
      </c>
      <c r="I76" s="8" t="s">
        <v>12</v>
      </c>
      <c r="J76" s="0" t="s">
        <v>13</v>
      </c>
    </row>
    <row r="77" customFormat="false" ht="13.8" hidden="false" customHeight="false" outlineLevel="0" collapsed="false">
      <c r="A77" s="6" t="n">
        <v>45114</v>
      </c>
      <c r="B77" s="7" t="n">
        <v>0.199305555555556</v>
      </c>
      <c r="C77" s="8" t="n">
        <v>24887</v>
      </c>
      <c r="D77" s="8" t="s">
        <v>19</v>
      </c>
      <c r="E77" s="8" t="n">
        <v>2720</v>
      </c>
      <c r="F77" s="8" t="n">
        <v>2460</v>
      </c>
      <c r="G77" s="9" t="n">
        <v>260</v>
      </c>
      <c r="H77" s="8" t="s">
        <v>11</v>
      </c>
      <c r="I77" s="8" t="s">
        <v>12</v>
      </c>
      <c r="J77" s="0" t="s">
        <v>13</v>
      </c>
    </row>
    <row r="78" customFormat="false" ht="13.8" hidden="false" customHeight="false" outlineLevel="0" collapsed="false">
      <c r="A78" s="6" t="n">
        <v>45114</v>
      </c>
      <c r="B78" s="7" t="n">
        <v>0.221527777777778</v>
      </c>
      <c r="C78" s="8" t="n">
        <v>24892</v>
      </c>
      <c r="D78" s="8" t="s">
        <v>20</v>
      </c>
      <c r="E78" s="8" t="n">
        <v>25900</v>
      </c>
      <c r="F78" s="8" t="n">
        <v>16040</v>
      </c>
      <c r="G78" s="9" t="n">
        <v>9860</v>
      </c>
      <c r="H78" s="8" t="s">
        <v>11</v>
      </c>
      <c r="I78" s="8" t="s">
        <v>12</v>
      </c>
      <c r="J78" s="0" t="s">
        <v>13</v>
      </c>
    </row>
    <row r="79" customFormat="false" ht="13.8" hidden="false" customHeight="false" outlineLevel="0" collapsed="false">
      <c r="A79" s="6" t="n">
        <v>45114</v>
      </c>
      <c r="B79" s="7" t="n">
        <v>0.0652777777777778</v>
      </c>
      <c r="C79" s="8" t="n">
        <v>24882</v>
      </c>
      <c r="D79" s="8" t="s">
        <v>16</v>
      </c>
      <c r="E79" s="8" t="n">
        <v>22180</v>
      </c>
      <c r="F79" s="8" t="n">
        <v>13120</v>
      </c>
      <c r="G79" s="9" t="n">
        <v>9060</v>
      </c>
      <c r="H79" s="8" t="s">
        <v>11</v>
      </c>
      <c r="I79" s="8" t="s">
        <v>12</v>
      </c>
      <c r="J79" s="0" t="s">
        <v>13</v>
      </c>
    </row>
    <row r="80" customFormat="false" ht="13.8" hidden="true" customHeight="false" outlineLevel="0" collapsed="false">
      <c r="A80" s="6" t="n">
        <v>45114</v>
      </c>
      <c r="B80" s="7" t="n">
        <v>0.467361111111111</v>
      </c>
      <c r="C80" s="8" t="n">
        <v>4448</v>
      </c>
      <c r="D80" s="8" t="s">
        <v>15</v>
      </c>
      <c r="E80" s="8" t="n">
        <v>18240</v>
      </c>
      <c r="F80" s="8" t="n">
        <v>15760</v>
      </c>
      <c r="G80" s="9" t="n">
        <v>2480</v>
      </c>
      <c r="H80" s="8" t="s">
        <v>11</v>
      </c>
      <c r="I80" s="8" t="s">
        <v>22</v>
      </c>
      <c r="J80" s="10" t="s">
        <v>13</v>
      </c>
    </row>
    <row r="81" customFormat="false" ht="13.8" hidden="false" customHeight="false" outlineLevel="0" collapsed="false">
      <c r="A81" s="6" t="n">
        <v>45114</v>
      </c>
      <c r="B81" s="7" t="n">
        <v>0.474305555555556</v>
      </c>
      <c r="C81" s="8" t="n">
        <v>24916</v>
      </c>
      <c r="D81" s="8" t="s">
        <v>14</v>
      </c>
      <c r="E81" s="8" t="n">
        <v>3120</v>
      </c>
      <c r="F81" s="8" t="n">
        <v>2680</v>
      </c>
      <c r="G81" s="9" t="n">
        <v>440</v>
      </c>
      <c r="H81" s="8" t="s">
        <v>11</v>
      </c>
      <c r="I81" s="8" t="s">
        <v>12</v>
      </c>
      <c r="J81" s="0" t="s">
        <v>13</v>
      </c>
    </row>
    <row r="82" customFormat="false" ht="13.8" hidden="false" customHeight="false" outlineLevel="0" collapsed="false">
      <c r="A82" s="6" t="n">
        <v>45114</v>
      </c>
      <c r="B82" s="7" t="n">
        <v>0.874305555555556</v>
      </c>
      <c r="C82" s="8" t="n">
        <v>24931</v>
      </c>
      <c r="D82" s="8" t="s">
        <v>15</v>
      </c>
      <c r="E82" s="8" t="n">
        <v>22860</v>
      </c>
      <c r="F82" s="8" t="n">
        <v>15940</v>
      </c>
      <c r="G82" s="9" t="n">
        <v>6920</v>
      </c>
      <c r="H82" s="8" t="s">
        <v>11</v>
      </c>
      <c r="I82" s="8" t="s">
        <v>12</v>
      </c>
      <c r="J82" s="0" t="s">
        <v>13</v>
      </c>
    </row>
    <row r="83" customFormat="false" ht="13.8" hidden="false" customHeight="false" outlineLevel="0" collapsed="false">
      <c r="A83" s="6" t="n">
        <v>45114</v>
      </c>
      <c r="B83" s="7" t="n">
        <v>0.694444444444445</v>
      </c>
      <c r="C83" s="8" t="n">
        <v>24928</v>
      </c>
      <c r="D83" s="8" t="s">
        <v>16</v>
      </c>
      <c r="E83" s="8" t="n">
        <v>15520</v>
      </c>
      <c r="F83" s="8" t="n">
        <v>13140</v>
      </c>
      <c r="G83" s="9" t="n">
        <v>2380</v>
      </c>
      <c r="H83" s="8" t="s">
        <v>11</v>
      </c>
      <c r="I83" s="8" t="s">
        <v>12</v>
      </c>
      <c r="J83" s="0" t="s">
        <v>13</v>
      </c>
    </row>
    <row r="84" customFormat="false" ht="13.8" hidden="false" customHeight="false" outlineLevel="0" collapsed="false">
      <c r="A84" s="6" t="n">
        <v>45114</v>
      </c>
      <c r="B84" s="7" t="n">
        <v>0.880555555555556</v>
      </c>
      <c r="C84" s="8" t="n">
        <v>24932</v>
      </c>
      <c r="D84" s="8" t="s">
        <v>14</v>
      </c>
      <c r="E84" s="8" t="n">
        <v>3000</v>
      </c>
      <c r="F84" s="8" t="n">
        <v>2660</v>
      </c>
      <c r="G84" s="9" t="n">
        <v>340</v>
      </c>
      <c r="H84" s="8" t="s">
        <v>11</v>
      </c>
      <c r="I84" s="8" t="s">
        <v>12</v>
      </c>
      <c r="J84" s="0" t="s">
        <v>13</v>
      </c>
    </row>
    <row r="85" customFormat="false" ht="13.8" hidden="false" customHeight="false" outlineLevel="0" collapsed="false">
      <c r="A85" s="6" t="n">
        <v>45114</v>
      </c>
      <c r="B85" s="7" t="n">
        <v>0.456944444444444</v>
      </c>
      <c r="C85" s="8" t="n">
        <v>24914</v>
      </c>
      <c r="D85" s="8" t="s">
        <v>19</v>
      </c>
      <c r="E85" s="8" t="n">
        <v>2540</v>
      </c>
      <c r="F85" s="8" t="n">
        <v>2380</v>
      </c>
      <c r="G85" s="9" t="n">
        <v>160</v>
      </c>
      <c r="H85" s="8" t="s">
        <v>11</v>
      </c>
      <c r="I85" s="8" t="s">
        <v>12</v>
      </c>
      <c r="J85" s="0" t="s">
        <v>13</v>
      </c>
    </row>
    <row r="86" customFormat="false" ht="13.8" hidden="false" customHeight="false" outlineLevel="0" collapsed="false">
      <c r="A86" s="6" t="n">
        <v>45115</v>
      </c>
      <c r="B86" s="7" t="n">
        <v>0.242361111111111</v>
      </c>
      <c r="C86" s="8" t="n">
        <v>24953</v>
      </c>
      <c r="D86" s="8" t="s">
        <v>20</v>
      </c>
      <c r="E86" s="8" t="n">
        <v>27320</v>
      </c>
      <c r="F86" s="8" t="n">
        <v>15880</v>
      </c>
      <c r="G86" s="9" t="n">
        <v>11440</v>
      </c>
      <c r="H86" s="8" t="s">
        <v>11</v>
      </c>
      <c r="I86" s="8" t="s">
        <v>12</v>
      </c>
      <c r="J86" s="0" t="s">
        <v>13</v>
      </c>
    </row>
    <row r="87" customFormat="false" ht="13.8" hidden="false" customHeight="false" outlineLevel="0" collapsed="false">
      <c r="A87" s="6" t="n">
        <v>45115</v>
      </c>
      <c r="B87" s="7" t="n">
        <v>0.238194444444444</v>
      </c>
      <c r="C87" s="8" t="n">
        <v>24952</v>
      </c>
      <c r="D87" s="8" t="s">
        <v>16</v>
      </c>
      <c r="E87" s="8" t="n">
        <v>21720</v>
      </c>
      <c r="F87" s="8" t="n">
        <v>13080</v>
      </c>
      <c r="G87" s="9" t="n">
        <v>8640</v>
      </c>
      <c r="H87" s="8" t="s">
        <v>11</v>
      </c>
      <c r="I87" s="8" t="s">
        <v>12</v>
      </c>
      <c r="J87" s="0" t="s">
        <v>13</v>
      </c>
    </row>
    <row r="88" customFormat="false" ht="13.8" hidden="false" customHeight="false" outlineLevel="0" collapsed="false">
      <c r="A88" s="6" t="n">
        <v>45115</v>
      </c>
      <c r="B88" s="7" t="n">
        <v>0.4375</v>
      </c>
      <c r="C88" s="8" t="n">
        <v>24969</v>
      </c>
      <c r="D88" s="8" t="s">
        <v>19</v>
      </c>
      <c r="E88" s="8" t="n">
        <v>2780</v>
      </c>
      <c r="F88" s="8" t="n">
        <v>2460</v>
      </c>
      <c r="G88" s="9" t="n">
        <v>320</v>
      </c>
      <c r="H88" s="8" t="s">
        <v>11</v>
      </c>
      <c r="I88" s="8" t="s">
        <v>12</v>
      </c>
      <c r="J88" s="0" t="s">
        <v>13</v>
      </c>
    </row>
    <row r="89" customFormat="false" ht="13.8" hidden="false" customHeight="false" outlineLevel="0" collapsed="false">
      <c r="A89" s="6" t="n">
        <v>45115</v>
      </c>
      <c r="B89" s="7" t="n">
        <v>0.7</v>
      </c>
      <c r="C89" s="8" t="n">
        <v>24977</v>
      </c>
      <c r="D89" s="8" t="s">
        <v>16</v>
      </c>
      <c r="E89" s="8" t="n">
        <v>15760</v>
      </c>
      <c r="F89" s="8" t="n">
        <v>13220</v>
      </c>
      <c r="G89" s="9" t="n">
        <v>2540</v>
      </c>
      <c r="H89" s="8" t="s">
        <v>11</v>
      </c>
      <c r="I89" s="8" t="s">
        <v>12</v>
      </c>
      <c r="J89" s="0" t="s">
        <v>13</v>
      </c>
    </row>
    <row r="90" customFormat="false" ht="13.8" hidden="false" customHeight="false" outlineLevel="0" collapsed="false">
      <c r="A90" s="6" t="n">
        <v>45115</v>
      </c>
      <c r="B90" s="7" t="n">
        <v>0.499305555555556</v>
      </c>
      <c r="C90" s="8" t="n">
        <v>24974</v>
      </c>
      <c r="D90" s="8" t="s">
        <v>15</v>
      </c>
      <c r="E90" s="8" t="n">
        <v>17840</v>
      </c>
      <c r="F90" s="8" t="n">
        <v>15820</v>
      </c>
      <c r="G90" s="9" t="n">
        <v>2020</v>
      </c>
      <c r="H90" s="8" t="s">
        <v>11</v>
      </c>
      <c r="I90" s="8" t="s">
        <v>12</v>
      </c>
      <c r="J90" s="0" t="s">
        <v>13</v>
      </c>
    </row>
    <row r="91" customFormat="false" ht="13.8" hidden="false" customHeight="false" outlineLevel="0" collapsed="false">
      <c r="A91" s="6" t="n">
        <v>45115</v>
      </c>
      <c r="B91" s="7" t="n">
        <v>0.211805555555556</v>
      </c>
      <c r="C91" s="8" t="n">
        <v>24947</v>
      </c>
      <c r="D91" s="8" t="s">
        <v>10</v>
      </c>
      <c r="E91" s="8" t="n">
        <v>4260</v>
      </c>
      <c r="F91" s="8" t="n">
        <v>3680</v>
      </c>
      <c r="G91" s="9" t="n">
        <v>580</v>
      </c>
      <c r="H91" s="8" t="s">
        <v>11</v>
      </c>
      <c r="I91" s="8" t="s">
        <v>12</v>
      </c>
      <c r="J91" s="0" t="s">
        <v>13</v>
      </c>
    </row>
    <row r="92" customFormat="false" ht="13.8" hidden="false" customHeight="false" outlineLevel="0" collapsed="false">
      <c r="A92" s="6" t="n">
        <v>45115</v>
      </c>
      <c r="B92" s="7" t="n">
        <v>0.126388888888889</v>
      </c>
      <c r="C92" s="8" t="n">
        <v>24940</v>
      </c>
      <c r="D92" s="8" t="s">
        <v>10</v>
      </c>
      <c r="E92" s="8" t="n">
        <v>4660</v>
      </c>
      <c r="F92" s="8" t="n">
        <v>3580</v>
      </c>
      <c r="G92" s="9" t="n">
        <v>1080</v>
      </c>
      <c r="H92" s="8" t="s">
        <v>11</v>
      </c>
      <c r="I92" s="8" t="s">
        <v>12</v>
      </c>
      <c r="J92" s="0" t="s">
        <v>13</v>
      </c>
    </row>
    <row r="93" customFormat="false" ht="13.8" hidden="false" customHeight="false" outlineLevel="0" collapsed="false">
      <c r="A93" s="6" t="n">
        <v>45115</v>
      </c>
      <c r="B93" s="7" t="n">
        <v>0.226388888888889</v>
      </c>
      <c r="C93" s="8" t="n">
        <v>24951</v>
      </c>
      <c r="D93" s="8" t="s">
        <v>15</v>
      </c>
      <c r="E93" s="8" t="n">
        <v>21780</v>
      </c>
      <c r="F93" s="8" t="n">
        <v>15920</v>
      </c>
      <c r="G93" s="9" t="n">
        <v>5860</v>
      </c>
      <c r="H93" s="8" t="s">
        <v>11</v>
      </c>
      <c r="I93" s="8" t="s">
        <v>12</v>
      </c>
      <c r="J93" s="0" t="s">
        <v>13</v>
      </c>
    </row>
    <row r="94" customFormat="false" ht="13.8" hidden="false" customHeight="false" outlineLevel="0" collapsed="false">
      <c r="A94" s="6" t="n">
        <v>45115</v>
      </c>
      <c r="B94" s="7" t="n">
        <v>0.870833333333333</v>
      </c>
      <c r="C94" s="8" t="n">
        <v>24978</v>
      </c>
      <c r="D94" s="8" t="s">
        <v>15</v>
      </c>
      <c r="E94" s="8" t="n">
        <v>22700</v>
      </c>
      <c r="F94" s="8" t="n">
        <v>15940</v>
      </c>
      <c r="G94" s="9" t="n">
        <v>6760</v>
      </c>
      <c r="H94" s="8" t="s">
        <v>11</v>
      </c>
      <c r="I94" s="8" t="s">
        <v>12</v>
      </c>
      <c r="J94" s="0" t="s">
        <v>13</v>
      </c>
    </row>
    <row r="95" customFormat="false" ht="13.8" hidden="false" customHeight="false" outlineLevel="0" collapsed="false">
      <c r="A95" s="6" t="n">
        <v>45115</v>
      </c>
      <c r="B95" s="7" t="n">
        <v>0.886805555555556</v>
      </c>
      <c r="C95" s="8" t="n">
        <v>24979</v>
      </c>
      <c r="D95" s="8" t="s">
        <v>14</v>
      </c>
      <c r="E95" s="8" t="n">
        <v>2940</v>
      </c>
      <c r="F95" s="8" t="n">
        <v>2660</v>
      </c>
      <c r="G95" s="9" t="n">
        <v>280</v>
      </c>
      <c r="H95" s="8" t="s">
        <v>11</v>
      </c>
      <c r="I95" s="8" t="s">
        <v>12</v>
      </c>
      <c r="J95" s="0" t="s">
        <v>13</v>
      </c>
    </row>
    <row r="96" customFormat="false" ht="13.8" hidden="false" customHeight="false" outlineLevel="0" collapsed="false">
      <c r="A96" s="6" t="n">
        <v>45115</v>
      </c>
      <c r="B96" s="7" t="n">
        <v>0.0708333333333333</v>
      </c>
      <c r="C96" s="8" t="n">
        <v>24935</v>
      </c>
      <c r="D96" s="8" t="s">
        <v>16</v>
      </c>
      <c r="E96" s="8" t="n">
        <v>21640</v>
      </c>
      <c r="F96" s="8" t="n">
        <v>13120</v>
      </c>
      <c r="G96" s="9" t="n">
        <v>8520</v>
      </c>
      <c r="H96" s="8" t="s">
        <v>11</v>
      </c>
      <c r="I96" s="8" t="s">
        <v>12</v>
      </c>
      <c r="J96" s="0" t="s">
        <v>13</v>
      </c>
    </row>
    <row r="97" customFormat="false" ht="13.8" hidden="false" customHeight="false" outlineLevel="0" collapsed="false">
      <c r="A97" s="6" t="n">
        <v>45115</v>
      </c>
      <c r="B97" s="7" t="n">
        <v>0.408333333333333</v>
      </c>
      <c r="C97" s="8" t="n">
        <v>24966</v>
      </c>
      <c r="D97" s="8" t="s">
        <v>14</v>
      </c>
      <c r="E97" s="8" t="n">
        <v>3280</v>
      </c>
      <c r="F97" s="8" t="n">
        <v>2700</v>
      </c>
      <c r="G97" s="9" t="n">
        <v>580</v>
      </c>
      <c r="H97" s="8" t="s">
        <v>11</v>
      </c>
      <c r="I97" s="8" t="s">
        <v>12</v>
      </c>
      <c r="J97" s="0" t="s">
        <v>13</v>
      </c>
    </row>
    <row r="98" customFormat="false" ht="13.8" hidden="false" customHeight="false" outlineLevel="0" collapsed="false">
      <c r="A98" s="6" t="n">
        <v>45115</v>
      </c>
      <c r="B98" s="7" t="n">
        <v>0.445833333333333</v>
      </c>
      <c r="C98" s="8" t="n">
        <v>24970</v>
      </c>
      <c r="D98" s="8" t="s">
        <v>17</v>
      </c>
      <c r="E98" s="8" t="n">
        <v>6120</v>
      </c>
      <c r="F98" s="8" t="n">
        <v>5600</v>
      </c>
      <c r="G98" s="9" t="n">
        <v>520</v>
      </c>
      <c r="H98" s="8" t="s">
        <v>11</v>
      </c>
      <c r="I98" s="8" t="s">
        <v>18</v>
      </c>
      <c r="J98" s="0" t="s">
        <v>13</v>
      </c>
    </row>
    <row r="99" customFormat="false" ht="13.8" hidden="false" customHeight="false" outlineLevel="0" collapsed="false">
      <c r="A99" s="6" t="n">
        <v>45116</v>
      </c>
      <c r="B99" s="7" t="n">
        <v>0.352083333333333</v>
      </c>
      <c r="C99" s="8" t="n">
        <v>25002</v>
      </c>
      <c r="D99" s="8" t="s">
        <v>25</v>
      </c>
      <c r="E99" s="8" t="n">
        <v>3300</v>
      </c>
      <c r="F99" s="8" t="n">
        <v>2860</v>
      </c>
      <c r="G99" s="9" t="n">
        <v>440</v>
      </c>
      <c r="H99" s="8" t="s">
        <v>11</v>
      </c>
      <c r="I99" s="8" t="s">
        <v>12</v>
      </c>
      <c r="J99" s="0" t="s">
        <v>13</v>
      </c>
    </row>
    <row r="100" customFormat="false" ht="13.8" hidden="false" customHeight="false" outlineLevel="0" collapsed="false">
      <c r="A100" s="6" t="n">
        <v>45116</v>
      </c>
      <c r="B100" s="7" t="n">
        <v>0.236111111111111</v>
      </c>
      <c r="C100" s="8" t="n">
        <v>24995</v>
      </c>
      <c r="D100" s="8" t="s">
        <v>20</v>
      </c>
      <c r="E100" s="8" t="n">
        <v>27380</v>
      </c>
      <c r="F100" s="8" t="n">
        <v>15940</v>
      </c>
      <c r="G100" s="9" t="n">
        <v>11440</v>
      </c>
      <c r="H100" s="8" t="s">
        <v>11</v>
      </c>
      <c r="I100" s="8" t="s">
        <v>12</v>
      </c>
      <c r="J100" s="0" t="s">
        <v>13</v>
      </c>
    </row>
    <row r="101" customFormat="false" ht="13.8" hidden="false" customHeight="false" outlineLevel="0" collapsed="false">
      <c r="A101" s="6" t="n">
        <v>45116</v>
      </c>
      <c r="B101" s="7" t="n">
        <v>0.694444444444445</v>
      </c>
      <c r="C101" s="8" t="n">
        <v>25006</v>
      </c>
      <c r="D101" s="8" t="s">
        <v>16</v>
      </c>
      <c r="E101" s="8" t="n">
        <v>15060</v>
      </c>
      <c r="F101" s="8" t="n">
        <v>13140</v>
      </c>
      <c r="G101" s="9" t="n">
        <v>1920</v>
      </c>
      <c r="H101" s="8" t="s">
        <v>11</v>
      </c>
      <c r="I101" s="8" t="s">
        <v>12</v>
      </c>
      <c r="J101" s="0" t="s">
        <v>13</v>
      </c>
    </row>
    <row r="102" customFormat="false" ht="13.8" hidden="false" customHeight="false" outlineLevel="0" collapsed="false">
      <c r="A102" s="6" t="n">
        <v>45116</v>
      </c>
      <c r="B102" s="7" t="n">
        <v>0.127777777777778</v>
      </c>
      <c r="C102" s="8" t="n">
        <v>24987</v>
      </c>
      <c r="D102" s="8" t="s">
        <v>10</v>
      </c>
      <c r="E102" s="8" t="n">
        <v>4800</v>
      </c>
      <c r="F102" s="8" t="n">
        <v>3580</v>
      </c>
      <c r="G102" s="9" t="n">
        <v>1220</v>
      </c>
      <c r="H102" s="8" t="s">
        <v>11</v>
      </c>
      <c r="I102" s="6" t="s">
        <v>12</v>
      </c>
      <c r="J102" s="0" t="s">
        <v>13</v>
      </c>
    </row>
    <row r="103" customFormat="false" ht="13.8" hidden="false" customHeight="false" outlineLevel="0" collapsed="false">
      <c r="A103" s="6" t="n">
        <v>45116</v>
      </c>
      <c r="B103" s="7" t="n">
        <v>0.8875</v>
      </c>
      <c r="C103" s="8" t="n">
        <v>25008</v>
      </c>
      <c r="D103" s="8" t="s">
        <v>14</v>
      </c>
      <c r="E103" s="8" t="n">
        <v>2980</v>
      </c>
      <c r="F103" s="8" t="n">
        <v>2680</v>
      </c>
      <c r="G103" s="9" t="n">
        <v>300</v>
      </c>
      <c r="H103" s="8" t="s">
        <v>11</v>
      </c>
      <c r="I103" s="8" t="s">
        <v>12</v>
      </c>
      <c r="J103" s="0" t="s">
        <v>13</v>
      </c>
    </row>
    <row r="104" customFormat="false" ht="13.8" hidden="false" customHeight="false" outlineLevel="0" collapsed="false">
      <c r="A104" s="6" t="n">
        <v>45116</v>
      </c>
      <c r="B104" s="7" t="n">
        <v>0.879861111111111</v>
      </c>
      <c r="C104" s="8" t="n">
        <v>25007</v>
      </c>
      <c r="D104" s="8" t="s">
        <v>15</v>
      </c>
      <c r="E104" s="8" t="n">
        <v>23800</v>
      </c>
      <c r="F104" s="8" t="n">
        <v>15880</v>
      </c>
      <c r="G104" s="9" t="n">
        <v>7920</v>
      </c>
      <c r="H104" s="8" t="s">
        <v>11</v>
      </c>
      <c r="I104" s="8" t="s">
        <v>12</v>
      </c>
      <c r="J104" s="0" t="s">
        <v>13</v>
      </c>
    </row>
    <row r="105" customFormat="false" ht="13.8" hidden="false" customHeight="false" outlineLevel="0" collapsed="false">
      <c r="A105" s="6" t="n">
        <v>45116</v>
      </c>
      <c r="B105" s="7" t="n">
        <v>0.240277777777778</v>
      </c>
      <c r="C105" s="8" t="n">
        <v>24996</v>
      </c>
      <c r="D105" s="8" t="s">
        <v>16</v>
      </c>
      <c r="E105" s="8" t="n">
        <v>22580</v>
      </c>
      <c r="F105" s="8" t="n">
        <v>13180</v>
      </c>
      <c r="G105" s="9" t="n">
        <v>9400</v>
      </c>
      <c r="H105" s="8" t="s">
        <v>11</v>
      </c>
      <c r="I105" s="8" t="s">
        <v>12</v>
      </c>
      <c r="J105" s="0" t="s">
        <v>13</v>
      </c>
    </row>
    <row r="106" customFormat="false" ht="13.8" hidden="false" customHeight="false" outlineLevel="0" collapsed="false">
      <c r="A106" s="6" t="n">
        <v>45116</v>
      </c>
      <c r="B106" s="7" t="n">
        <v>0.0520833333333333</v>
      </c>
      <c r="C106" s="8" t="n">
        <v>24982</v>
      </c>
      <c r="D106" s="8" t="s">
        <v>16</v>
      </c>
      <c r="E106" s="8" t="n">
        <v>21000</v>
      </c>
      <c r="F106" s="8" t="n">
        <v>13180</v>
      </c>
      <c r="G106" s="9" t="n">
        <v>7820</v>
      </c>
      <c r="H106" s="8" t="s">
        <v>11</v>
      </c>
      <c r="I106" s="8" t="s">
        <v>12</v>
      </c>
      <c r="J106" s="0" t="s">
        <v>13</v>
      </c>
    </row>
    <row r="107" customFormat="false" ht="13.8" hidden="false" customHeight="false" outlineLevel="0" collapsed="false">
      <c r="A107" s="6" t="n">
        <v>45116</v>
      </c>
      <c r="B107" s="7" t="n">
        <v>0.445833333333333</v>
      </c>
      <c r="C107" s="8" t="n">
        <v>25003</v>
      </c>
      <c r="D107" s="8" t="s">
        <v>19</v>
      </c>
      <c r="E107" s="8" t="n">
        <v>2680</v>
      </c>
      <c r="F107" s="8" t="n">
        <v>2420</v>
      </c>
      <c r="G107" s="9" t="n">
        <v>260</v>
      </c>
      <c r="H107" s="8" t="s">
        <v>11</v>
      </c>
      <c r="I107" s="8" t="s">
        <v>12</v>
      </c>
      <c r="J107" s="0" t="s">
        <v>13</v>
      </c>
    </row>
    <row r="108" customFormat="false" ht="13.8" hidden="false" customHeight="false" outlineLevel="0" collapsed="false">
      <c r="A108" s="6" t="n">
        <v>45116</v>
      </c>
      <c r="B108" s="7" t="n">
        <v>0.491666666666667</v>
      </c>
      <c r="C108" s="8" t="n">
        <v>25004</v>
      </c>
      <c r="D108" s="8" t="s">
        <v>25</v>
      </c>
      <c r="E108" s="8" t="n">
        <v>3060</v>
      </c>
      <c r="F108" s="8" t="n">
        <v>2860</v>
      </c>
      <c r="G108" s="9" t="n">
        <v>200</v>
      </c>
      <c r="H108" s="8" t="s">
        <v>11</v>
      </c>
      <c r="I108" s="8" t="s">
        <v>12</v>
      </c>
      <c r="J108" s="0" t="s">
        <v>13</v>
      </c>
    </row>
    <row r="109" customFormat="false" ht="13.8" hidden="false" customHeight="false" outlineLevel="0" collapsed="false">
      <c r="A109" s="6" t="n">
        <v>45116</v>
      </c>
      <c r="B109" s="7" t="n">
        <v>0.242361111111111</v>
      </c>
      <c r="C109" s="8" t="n">
        <v>24997</v>
      </c>
      <c r="D109" s="8" t="s">
        <v>15</v>
      </c>
      <c r="E109" s="8" t="n">
        <v>23740</v>
      </c>
      <c r="F109" s="8" t="n">
        <v>15920</v>
      </c>
      <c r="G109" s="9" t="n">
        <v>7820</v>
      </c>
      <c r="H109" s="8" t="s">
        <v>11</v>
      </c>
      <c r="I109" s="8" t="s">
        <v>12</v>
      </c>
      <c r="J109" s="0" t="s">
        <v>13</v>
      </c>
    </row>
    <row r="110" customFormat="false" ht="13.8" hidden="false" customHeight="false" outlineLevel="0" collapsed="false">
      <c r="A110" s="6" t="n">
        <v>45116</v>
      </c>
      <c r="B110" s="7" t="n">
        <v>0.0277777777777778</v>
      </c>
      <c r="C110" s="8" t="n">
        <v>24981</v>
      </c>
      <c r="D110" s="8" t="s">
        <v>24</v>
      </c>
      <c r="E110" s="8" t="n">
        <v>14700</v>
      </c>
      <c r="F110" s="8" t="n">
        <v>12480</v>
      </c>
      <c r="G110" s="9" t="n">
        <v>2220</v>
      </c>
      <c r="H110" s="8" t="s">
        <v>11</v>
      </c>
      <c r="I110" s="8" t="s">
        <v>12</v>
      </c>
      <c r="J110" s="0" t="s">
        <v>13</v>
      </c>
    </row>
    <row r="111" customFormat="false" ht="13.8" hidden="false" customHeight="false" outlineLevel="0" collapsed="false">
      <c r="A111" s="6" t="n">
        <v>45116</v>
      </c>
      <c r="B111" s="7" t="n">
        <v>0.217361111111111</v>
      </c>
      <c r="C111" s="8" t="n">
        <v>24992</v>
      </c>
      <c r="D111" s="8" t="s">
        <v>10</v>
      </c>
      <c r="E111" s="8" t="n">
        <v>4280</v>
      </c>
      <c r="F111" s="8" t="n">
        <v>3660</v>
      </c>
      <c r="G111" s="9" t="n">
        <v>620</v>
      </c>
      <c r="H111" s="8" t="s">
        <v>11</v>
      </c>
      <c r="I111" s="8" t="s">
        <v>12</v>
      </c>
      <c r="J111" s="0" t="s">
        <v>13</v>
      </c>
    </row>
    <row r="112" customFormat="false" ht="13.8" hidden="false" customHeight="false" outlineLevel="0" collapsed="false">
      <c r="A112" s="6" t="n">
        <v>45117</v>
      </c>
      <c r="B112" s="7" t="n">
        <v>0.209722222222222</v>
      </c>
      <c r="C112" s="8" t="n">
        <v>25025</v>
      </c>
      <c r="D112" s="8" t="s">
        <v>24</v>
      </c>
      <c r="E112" s="8" t="n">
        <v>21260</v>
      </c>
      <c r="F112" s="8" t="n">
        <v>12520</v>
      </c>
      <c r="G112" s="9" t="n">
        <v>8740</v>
      </c>
      <c r="H112" s="8" t="s">
        <v>11</v>
      </c>
      <c r="I112" s="8" t="s">
        <v>12</v>
      </c>
      <c r="J112" s="0" t="s">
        <v>13</v>
      </c>
    </row>
    <row r="113" customFormat="false" ht="13.8" hidden="false" customHeight="false" outlineLevel="0" collapsed="false">
      <c r="A113" s="6" t="n">
        <v>45117</v>
      </c>
      <c r="B113" s="7" t="n">
        <v>0.209027777777778</v>
      </c>
      <c r="C113" s="8" t="n">
        <v>25024</v>
      </c>
      <c r="D113" s="8" t="s">
        <v>10</v>
      </c>
      <c r="E113" s="8" t="n">
        <v>4480</v>
      </c>
      <c r="F113" s="8" t="n">
        <v>3700</v>
      </c>
      <c r="G113" s="9" t="n">
        <v>780</v>
      </c>
      <c r="H113" s="8" t="s">
        <v>11</v>
      </c>
      <c r="I113" s="8" t="s">
        <v>12</v>
      </c>
      <c r="J113" s="0" t="s">
        <v>13</v>
      </c>
    </row>
    <row r="114" customFormat="false" ht="13.8" hidden="false" customHeight="false" outlineLevel="0" collapsed="false">
      <c r="A114" s="6" t="n">
        <v>45117</v>
      </c>
      <c r="B114" s="7" t="n">
        <v>0.104861111111111</v>
      </c>
      <c r="C114" s="8" t="n">
        <v>25015</v>
      </c>
      <c r="D114" s="8" t="s">
        <v>10</v>
      </c>
      <c r="E114" s="8" t="n">
        <v>4660</v>
      </c>
      <c r="F114" s="8" t="n">
        <v>3600</v>
      </c>
      <c r="G114" s="9" t="n">
        <v>1060</v>
      </c>
      <c r="H114" s="8" t="s">
        <v>11</v>
      </c>
      <c r="I114" s="8" t="s">
        <v>12</v>
      </c>
      <c r="J114" s="0" t="s">
        <v>13</v>
      </c>
    </row>
    <row r="115" customFormat="false" ht="13.8" hidden="false" customHeight="false" outlineLevel="0" collapsed="false">
      <c r="A115" s="6" t="n">
        <v>45117</v>
      </c>
      <c r="B115" s="7" t="n">
        <v>0.205555555555556</v>
      </c>
      <c r="C115" s="8" t="n">
        <v>25023</v>
      </c>
      <c r="D115" s="8" t="s">
        <v>15</v>
      </c>
      <c r="E115" s="8" t="n">
        <v>21260</v>
      </c>
      <c r="F115" s="8" t="n">
        <v>15860</v>
      </c>
      <c r="G115" s="9" t="n">
        <v>5400</v>
      </c>
      <c r="H115" s="8" t="s">
        <v>11</v>
      </c>
      <c r="I115" s="8" t="s">
        <v>12</v>
      </c>
      <c r="J115" s="0" t="s">
        <v>13</v>
      </c>
    </row>
    <row r="116" customFormat="false" ht="13.8" hidden="false" customHeight="false" outlineLevel="0" collapsed="false">
      <c r="A116" s="6" t="n">
        <v>45117</v>
      </c>
      <c r="B116" s="7" t="n">
        <v>0.0534722222222222</v>
      </c>
      <c r="C116" s="8" t="n">
        <v>25012</v>
      </c>
      <c r="D116" s="8" t="s">
        <v>16</v>
      </c>
      <c r="E116" s="8" t="n">
        <v>22020</v>
      </c>
      <c r="F116" s="8" t="n">
        <v>13180</v>
      </c>
      <c r="G116" s="9" t="n">
        <v>8840</v>
      </c>
      <c r="H116" s="8" t="s">
        <v>11</v>
      </c>
      <c r="I116" s="8" t="s">
        <v>12</v>
      </c>
      <c r="J116" s="0" t="s">
        <v>13</v>
      </c>
    </row>
    <row r="117" customFormat="false" ht="13.8" hidden="false" customHeight="false" outlineLevel="0" collapsed="false">
      <c r="A117" s="6" t="n">
        <v>45117</v>
      </c>
      <c r="B117" s="7" t="n">
        <v>0.249305555555556</v>
      </c>
      <c r="C117" s="8" t="n">
        <v>25030</v>
      </c>
      <c r="D117" s="8" t="s">
        <v>20</v>
      </c>
      <c r="E117" s="8" t="n">
        <v>26440</v>
      </c>
      <c r="F117" s="8" t="n">
        <v>15940</v>
      </c>
      <c r="G117" s="9" t="n">
        <v>10500</v>
      </c>
      <c r="H117" s="8" t="s">
        <v>11</v>
      </c>
      <c r="I117" s="8" t="s">
        <v>12</v>
      </c>
      <c r="J117" s="0" t="s">
        <v>13</v>
      </c>
    </row>
    <row r="118" customFormat="false" ht="13.8" hidden="false" customHeight="false" outlineLevel="0" collapsed="false">
      <c r="A118" s="6" t="n">
        <v>45117</v>
      </c>
      <c r="B118" s="7" t="n">
        <v>0.447222222222222</v>
      </c>
      <c r="C118" s="8" t="n">
        <v>25051</v>
      </c>
      <c r="D118" s="8" t="s">
        <v>19</v>
      </c>
      <c r="E118" s="8" t="n">
        <v>2600</v>
      </c>
      <c r="F118" s="8" t="n">
        <v>2420</v>
      </c>
      <c r="G118" s="9" t="n">
        <v>180</v>
      </c>
      <c r="H118" s="8" t="s">
        <v>11</v>
      </c>
      <c r="I118" s="8" t="s">
        <v>12</v>
      </c>
      <c r="J118" s="0" t="s">
        <v>13</v>
      </c>
    </row>
    <row r="119" customFormat="false" ht="13.8" hidden="false" customHeight="false" outlineLevel="0" collapsed="false">
      <c r="A119" s="6" t="n">
        <v>45117</v>
      </c>
      <c r="B119" s="7" t="n">
        <v>0.447916666666667</v>
      </c>
      <c r="C119" s="8" t="n">
        <v>25052</v>
      </c>
      <c r="D119" s="8" t="s">
        <v>25</v>
      </c>
      <c r="E119" s="8" t="n">
        <v>3520</v>
      </c>
      <c r="F119" s="8" t="n">
        <v>2980</v>
      </c>
      <c r="G119" s="9" t="n">
        <v>540</v>
      </c>
      <c r="H119" s="8" t="s">
        <v>11</v>
      </c>
      <c r="I119" s="8" t="s">
        <v>12</v>
      </c>
      <c r="J119" s="0" t="s">
        <v>13</v>
      </c>
    </row>
    <row r="120" customFormat="false" ht="13.8" hidden="true" customHeight="false" outlineLevel="0" collapsed="false">
      <c r="A120" s="6" t="n">
        <v>45117</v>
      </c>
      <c r="B120" s="7" t="n">
        <v>0.475</v>
      </c>
      <c r="C120" s="8" t="n">
        <v>4454</v>
      </c>
      <c r="D120" s="8" t="s">
        <v>15</v>
      </c>
      <c r="E120" s="8" t="n">
        <v>18220</v>
      </c>
      <c r="F120" s="8" t="n">
        <v>15760</v>
      </c>
      <c r="G120" s="9" t="n">
        <v>2460</v>
      </c>
      <c r="H120" s="8" t="s">
        <v>11</v>
      </c>
      <c r="I120" s="8" t="s">
        <v>22</v>
      </c>
      <c r="J120" s="10" t="s">
        <v>13</v>
      </c>
    </row>
    <row r="121" customFormat="false" ht="13.8" hidden="false" customHeight="false" outlineLevel="0" collapsed="false">
      <c r="A121" s="6" t="n">
        <v>45117</v>
      </c>
      <c r="B121" s="7" t="n">
        <v>0.874305555555556</v>
      </c>
      <c r="C121" s="8" t="n">
        <v>25072</v>
      </c>
      <c r="D121" s="8" t="s">
        <v>15</v>
      </c>
      <c r="E121" s="8" t="n">
        <v>22320</v>
      </c>
      <c r="F121" s="8" t="n">
        <v>15960</v>
      </c>
      <c r="G121" s="9" t="n">
        <v>6360</v>
      </c>
      <c r="H121" s="8" t="s">
        <v>11</v>
      </c>
      <c r="I121" s="8" t="s">
        <v>12</v>
      </c>
      <c r="J121" s="0" t="s">
        <v>13</v>
      </c>
    </row>
    <row r="122" customFormat="false" ht="13.8" hidden="false" customHeight="false" outlineLevel="0" collapsed="false">
      <c r="A122" s="6" t="n">
        <v>45117</v>
      </c>
      <c r="B122" s="7" t="n">
        <v>0.890972222222222</v>
      </c>
      <c r="C122" s="8" t="n">
        <v>25074</v>
      </c>
      <c r="D122" s="8" t="s">
        <v>14</v>
      </c>
      <c r="E122" s="8" t="n">
        <v>2960</v>
      </c>
      <c r="F122" s="8" t="n">
        <v>2680</v>
      </c>
      <c r="G122" s="9" t="n">
        <v>280</v>
      </c>
      <c r="H122" s="8" t="s">
        <v>11</v>
      </c>
      <c r="I122" s="8" t="s">
        <v>12</v>
      </c>
      <c r="J122" s="0" t="s">
        <v>13</v>
      </c>
    </row>
    <row r="123" customFormat="false" ht="13.8" hidden="false" customHeight="false" outlineLevel="0" collapsed="false">
      <c r="A123" s="6" t="n">
        <v>45117</v>
      </c>
      <c r="B123" s="7" t="n">
        <v>0.713194444444445</v>
      </c>
      <c r="C123" s="8" t="n">
        <v>25070</v>
      </c>
      <c r="D123" s="8" t="s">
        <v>24</v>
      </c>
      <c r="E123" s="8" t="n">
        <v>15200</v>
      </c>
      <c r="F123" s="8" t="n">
        <v>12460</v>
      </c>
      <c r="G123" s="9" t="n">
        <v>2740</v>
      </c>
      <c r="H123" s="8" t="s">
        <v>11</v>
      </c>
      <c r="I123" s="8" t="s">
        <v>12</v>
      </c>
      <c r="J123" s="0" t="s">
        <v>13</v>
      </c>
    </row>
    <row r="124" customFormat="false" ht="13.8" hidden="false" customHeight="false" outlineLevel="0" collapsed="false">
      <c r="A124" s="6" t="n">
        <v>45117</v>
      </c>
      <c r="B124" s="7" t="n">
        <v>0.333333333333333</v>
      </c>
      <c r="C124" s="8" t="n">
        <v>25038</v>
      </c>
      <c r="D124" s="8" t="s">
        <v>26</v>
      </c>
      <c r="E124" s="8" t="n">
        <v>19000</v>
      </c>
      <c r="F124" s="8" t="n">
        <v>16160</v>
      </c>
      <c r="G124" s="9" t="n">
        <v>2840</v>
      </c>
      <c r="H124" s="8" t="s">
        <v>11</v>
      </c>
      <c r="I124" s="8" t="s">
        <v>18</v>
      </c>
      <c r="J124" s="0" t="s">
        <v>13</v>
      </c>
    </row>
    <row r="125" customFormat="false" ht="13.8" hidden="false" customHeight="false" outlineLevel="0" collapsed="false">
      <c r="A125" s="6" t="n">
        <v>45118</v>
      </c>
      <c r="B125" s="7" t="n">
        <v>0.205555555555556</v>
      </c>
      <c r="C125" s="8" t="n">
        <v>25087</v>
      </c>
      <c r="D125" s="8" t="s">
        <v>14</v>
      </c>
      <c r="E125" s="8" t="n">
        <v>4000</v>
      </c>
      <c r="F125" s="8" t="n">
        <v>2800</v>
      </c>
      <c r="G125" s="9" t="n">
        <v>1200</v>
      </c>
      <c r="H125" s="8" t="s">
        <v>11</v>
      </c>
      <c r="I125" s="8" t="s">
        <v>12</v>
      </c>
      <c r="J125" s="0" t="s">
        <v>13</v>
      </c>
    </row>
    <row r="126" customFormat="false" ht="13.8" hidden="false" customHeight="false" outlineLevel="0" collapsed="false">
      <c r="A126" s="6" t="n">
        <v>45118</v>
      </c>
      <c r="B126" s="7" t="n">
        <v>0.234027777777778</v>
      </c>
      <c r="C126" s="8" t="n">
        <v>25094</v>
      </c>
      <c r="D126" s="8" t="s">
        <v>20</v>
      </c>
      <c r="E126" s="8" t="n">
        <v>25620</v>
      </c>
      <c r="F126" s="8" t="n">
        <v>15920</v>
      </c>
      <c r="G126" s="9" t="n">
        <v>9700</v>
      </c>
      <c r="H126" s="8" t="s">
        <v>11</v>
      </c>
      <c r="I126" s="8" t="s">
        <v>12</v>
      </c>
      <c r="J126" s="0" t="s">
        <v>13</v>
      </c>
    </row>
    <row r="127" customFormat="false" ht="13.8" hidden="false" customHeight="false" outlineLevel="0" collapsed="false">
      <c r="A127" s="6" t="n">
        <v>45118</v>
      </c>
      <c r="B127" s="7" t="n">
        <v>0.229861111111111</v>
      </c>
      <c r="C127" s="8" t="n">
        <v>25093</v>
      </c>
      <c r="D127" s="8" t="s">
        <v>15</v>
      </c>
      <c r="E127" s="8" t="n">
        <v>21620</v>
      </c>
      <c r="F127" s="8" t="n">
        <v>15940</v>
      </c>
      <c r="G127" s="9" t="n">
        <v>5680</v>
      </c>
      <c r="H127" s="8" t="s">
        <v>11</v>
      </c>
      <c r="I127" s="8" t="s">
        <v>12</v>
      </c>
      <c r="J127" s="0" t="s">
        <v>13</v>
      </c>
    </row>
    <row r="128" customFormat="false" ht="13.8" hidden="false" customHeight="false" outlineLevel="0" collapsed="false">
      <c r="A128" s="6" t="n">
        <v>45118</v>
      </c>
      <c r="B128" s="7" t="n">
        <v>0.0138888888888889</v>
      </c>
      <c r="C128" s="8" t="n">
        <v>25077</v>
      </c>
      <c r="D128" s="8" t="s">
        <v>24</v>
      </c>
      <c r="E128" s="8" t="n">
        <v>12960</v>
      </c>
      <c r="F128" s="8" t="n">
        <v>12460</v>
      </c>
      <c r="G128" s="9" t="n">
        <v>500</v>
      </c>
      <c r="H128" s="8" t="s">
        <v>11</v>
      </c>
      <c r="I128" s="8" t="s">
        <v>12</v>
      </c>
      <c r="J128" s="0" t="s">
        <v>13</v>
      </c>
    </row>
    <row r="129" customFormat="false" ht="13.8" hidden="false" customHeight="false" outlineLevel="0" collapsed="false">
      <c r="A129" s="6" t="n">
        <v>45118</v>
      </c>
      <c r="B129" s="7" t="n">
        <v>0.214583333333333</v>
      </c>
      <c r="C129" s="8" t="n">
        <v>25090</v>
      </c>
      <c r="D129" s="8" t="s">
        <v>24</v>
      </c>
      <c r="E129" s="8" t="n">
        <v>20760</v>
      </c>
      <c r="F129" s="8" t="n">
        <v>12480</v>
      </c>
      <c r="G129" s="9" t="n">
        <v>8280</v>
      </c>
      <c r="H129" s="8" t="s">
        <v>11</v>
      </c>
      <c r="I129" s="8" t="s">
        <v>12</v>
      </c>
      <c r="J129" s="0" t="s">
        <v>13</v>
      </c>
    </row>
    <row r="130" customFormat="false" ht="13.8" hidden="true" customHeight="false" outlineLevel="0" collapsed="false">
      <c r="A130" s="6" t="n">
        <v>45118</v>
      </c>
      <c r="B130" s="7" t="n">
        <v>0.483333333333333</v>
      </c>
      <c r="C130" s="8" t="n">
        <v>159292</v>
      </c>
      <c r="D130" s="8" t="s">
        <v>15</v>
      </c>
      <c r="E130" s="8" t="n">
        <v>18080</v>
      </c>
      <c r="F130" s="8" t="n">
        <v>16020</v>
      </c>
      <c r="G130" s="9" t="n">
        <v>2060</v>
      </c>
      <c r="H130" s="8" t="s">
        <v>11</v>
      </c>
      <c r="I130" s="8" t="s">
        <v>21</v>
      </c>
      <c r="J130" s="10" t="s">
        <v>13</v>
      </c>
    </row>
    <row r="131" customFormat="false" ht="13.8" hidden="false" customHeight="false" outlineLevel="0" collapsed="false">
      <c r="A131" s="6" t="n">
        <v>45118</v>
      </c>
      <c r="B131" s="7" t="n">
        <v>0.467361111111111</v>
      </c>
      <c r="C131" s="8" t="n">
        <v>25117</v>
      </c>
      <c r="D131" s="8" t="s">
        <v>25</v>
      </c>
      <c r="E131" s="8" t="n">
        <v>3300</v>
      </c>
      <c r="F131" s="8" t="n">
        <v>2880</v>
      </c>
      <c r="G131" s="9" t="n">
        <v>420</v>
      </c>
      <c r="H131" s="8" t="s">
        <v>11</v>
      </c>
      <c r="I131" s="8" t="s">
        <v>12</v>
      </c>
      <c r="J131" s="0" t="s">
        <v>13</v>
      </c>
    </row>
    <row r="132" customFormat="false" ht="13.8" hidden="false" customHeight="false" outlineLevel="0" collapsed="false">
      <c r="A132" s="6" t="n">
        <v>45118</v>
      </c>
      <c r="B132" s="7" t="n">
        <v>0.313194444444444</v>
      </c>
      <c r="C132" s="8" t="n">
        <v>25104</v>
      </c>
      <c r="D132" s="8" t="s">
        <v>14</v>
      </c>
      <c r="E132" s="8" t="n">
        <v>3000</v>
      </c>
      <c r="F132" s="8" t="n">
        <v>2680</v>
      </c>
      <c r="G132" s="9" t="n">
        <v>320</v>
      </c>
      <c r="H132" s="8" t="s">
        <v>11</v>
      </c>
      <c r="I132" s="8" t="s">
        <v>12</v>
      </c>
      <c r="J132" s="0" t="s">
        <v>13</v>
      </c>
    </row>
    <row r="133" customFormat="false" ht="13.8" hidden="false" customHeight="false" outlineLevel="0" collapsed="false">
      <c r="A133" s="6" t="n">
        <v>45118</v>
      </c>
      <c r="B133" s="7" t="n">
        <v>0.88125</v>
      </c>
      <c r="C133" s="8" t="n">
        <v>25141</v>
      </c>
      <c r="D133" s="8" t="s">
        <v>14</v>
      </c>
      <c r="E133" s="8" t="n">
        <v>3140</v>
      </c>
      <c r="F133" s="8" t="n">
        <v>2740</v>
      </c>
      <c r="G133" s="9" t="n">
        <v>400</v>
      </c>
      <c r="H133" s="8" t="s">
        <v>11</v>
      </c>
      <c r="I133" s="8" t="s">
        <v>12</v>
      </c>
      <c r="J133" s="0" t="s">
        <v>13</v>
      </c>
    </row>
    <row r="134" customFormat="false" ht="13.8" hidden="false" customHeight="false" outlineLevel="0" collapsed="false">
      <c r="A134" s="6" t="n">
        <v>45118</v>
      </c>
      <c r="B134" s="7" t="n">
        <v>0.874305555555556</v>
      </c>
      <c r="C134" s="8" t="n">
        <v>25140</v>
      </c>
      <c r="D134" s="8" t="s">
        <v>15</v>
      </c>
      <c r="E134" s="8" t="n">
        <v>22820</v>
      </c>
      <c r="F134" s="8" t="n">
        <v>15980</v>
      </c>
      <c r="G134" s="9" t="n">
        <v>6840</v>
      </c>
      <c r="H134" s="8" t="s">
        <v>11</v>
      </c>
      <c r="I134" s="8" t="s">
        <v>12</v>
      </c>
      <c r="J134" s="0" t="s">
        <v>13</v>
      </c>
    </row>
    <row r="135" customFormat="false" ht="13.8" hidden="false" customHeight="false" outlineLevel="0" collapsed="false">
      <c r="A135" s="6" t="n">
        <v>45118</v>
      </c>
      <c r="B135" s="7" t="n">
        <v>0.7</v>
      </c>
      <c r="C135" s="8" t="n">
        <v>25136</v>
      </c>
      <c r="D135" s="8" t="s">
        <v>16</v>
      </c>
      <c r="E135" s="8" t="n">
        <v>15300</v>
      </c>
      <c r="F135" s="8" t="n">
        <v>13180</v>
      </c>
      <c r="G135" s="9" t="n">
        <v>2120</v>
      </c>
      <c r="H135" s="8" t="s">
        <v>11</v>
      </c>
      <c r="I135" s="8" t="s">
        <v>12</v>
      </c>
      <c r="J135" s="0" t="s">
        <v>13</v>
      </c>
    </row>
    <row r="136" customFormat="false" ht="13.8" hidden="false" customHeight="false" outlineLevel="0" collapsed="false">
      <c r="A136" s="6" t="n">
        <v>45118</v>
      </c>
      <c r="B136" s="7" t="n">
        <v>0.543055555555556</v>
      </c>
      <c r="C136" s="8" t="n">
        <v>25126</v>
      </c>
      <c r="D136" s="8" t="s">
        <v>16</v>
      </c>
      <c r="E136" s="8" t="n">
        <v>21020</v>
      </c>
      <c r="F136" s="8" t="n">
        <v>13200</v>
      </c>
      <c r="G136" s="9" t="n">
        <v>7820</v>
      </c>
      <c r="H136" s="8" t="s">
        <v>11</v>
      </c>
      <c r="I136" s="8" t="s">
        <v>12</v>
      </c>
      <c r="J136" s="0" t="s">
        <v>13</v>
      </c>
    </row>
    <row r="137" customFormat="false" ht="13.8" hidden="false" customHeight="false" outlineLevel="0" collapsed="false">
      <c r="A137" s="6" t="n">
        <v>45118</v>
      </c>
      <c r="B137" s="7" t="n">
        <v>0.329166666666667</v>
      </c>
      <c r="C137" s="8" t="n">
        <v>25107</v>
      </c>
      <c r="D137" s="8" t="s">
        <v>17</v>
      </c>
      <c r="E137" s="8" t="n">
        <v>6680</v>
      </c>
      <c r="F137" s="8" t="n">
        <v>5640</v>
      </c>
      <c r="G137" s="9" t="n">
        <v>1040</v>
      </c>
      <c r="H137" s="8" t="s">
        <v>11</v>
      </c>
      <c r="I137" s="8" t="s">
        <v>18</v>
      </c>
      <c r="J137" s="0" t="s">
        <v>13</v>
      </c>
    </row>
    <row r="138" customFormat="false" ht="13.8" hidden="false" customHeight="false" outlineLevel="0" collapsed="false">
      <c r="A138" s="6" t="n">
        <v>45118</v>
      </c>
      <c r="B138" s="7" t="n">
        <v>0.451388888888889</v>
      </c>
      <c r="C138" s="8" t="n">
        <v>25115</v>
      </c>
      <c r="D138" s="8" t="s">
        <v>17</v>
      </c>
      <c r="E138" s="8" t="n">
        <v>6800</v>
      </c>
      <c r="F138" s="8" t="n">
        <v>5640</v>
      </c>
      <c r="G138" s="9" t="n">
        <v>1160</v>
      </c>
      <c r="H138" s="8" t="s">
        <v>11</v>
      </c>
      <c r="I138" s="8" t="s">
        <v>18</v>
      </c>
      <c r="J138" s="0" t="s">
        <v>13</v>
      </c>
    </row>
    <row r="139" customFormat="false" ht="13.8" hidden="false" customHeight="false" outlineLevel="0" collapsed="false">
      <c r="A139" s="6" t="n">
        <v>45118</v>
      </c>
      <c r="B139" s="7" t="n">
        <v>0.466666666666667</v>
      </c>
      <c r="C139" s="8" t="n">
        <v>25116</v>
      </c>
      <c r="D139" s="8" t="s">
        <v>14</v>
      </c>
      <c r="E139" s="8" t="n">
        <v>3380</v>
      </c>
      <c r="F139" s="8" t="n">
        <v>2860</v>
      </c>
      <c r="G139" s="9" t="n">
        <v>520</v>
      </c>
      <c r="H139" s="8" t="s">
        <v>11</v>
      </c>
      <c r="I139" s="8" t="s">
        <v>12</v>
      </c>
      <c r="J139" s="0" t="s">
        <v>13</v>
      </c>
    </row>
    <row r="140" customFormat="false" ht="13.8" hidden="false" customHeight="false" outlineLevel="0" collapsed="false">
      <c r="A140" s="6" t="n">
        <v>45119</v>
      </c>
      <c r="B140" s="7" t="n">
        <v>0.241666666666667</v>
      </c>
      <c r="C140" s="8" t="n">
        <v>25159</v>
      </c>
      <c r="D140" s="8" t="s">
        <v>16</v>
      </c>
      <c r="E140" s="8" t="n">
        <v>21420</v>
      </c>
      <c r="F140" s="8" t="n">
        <v>13200</v>
      </c>
      <c r="G140" s="9" t="n">
        <v>8220</v>
      </c>
      <c r="H140" s="8" t="s">
        <v>11</v>
      </c>
      <c r="I140" s="8" t="s">
        <v>12</v>
      </c>
      <c r="J140" s="0" t="s">
        <v>13</v>
      </c>
    </row>
    <row r="141" customFormat="false" ht="13.8" hidden="false" customHeight="false" outlineLevel="0" collapsed="false">
      <c r="A141" s="6" t="n">
        <v>45119</v>
      </c>
      <c r="B141" s="7" t="n">
        <v>0.0597222222222222</v>
      </c>
      <c r="C141" s="8" t="n">
        <v>25144</v>
      </c>
      <c r="D141" s="8" t="s">
        <v>16</v>
      </c>
      <c r="E141" s="8" t="n">
        <v>21920</v>
      </c>
      <c r="F141" s="8" t="n">
        <v>13240</v>
      </c>
      <c r="G141" s="9" t="n">
        <v>8680</v>
      </c>
      <c r="H141" s="8" t="s">
        <v>11</v>
      </c>
      <c r="I141" s="8" t="s">
        <v>12</v>
      </c>
      <c r="J141" s="0" t="s">
        <v>13</v>
      </c>
    </row>
    <row r="142" customFormat="false" ht="13.8" hidden="false" customHeight="false" outlineLevel="0" collapsed="false">
      <c r="A142" s="6" t="n">
        <v>45119</v>
      </c>
      <c r="B142" s="7" t="n">
        <v>0.177083333333333</v>
      </c>
      <c r="C142" s="8" t="n">
        <v>25151</v>
      </c>
      <c r="D142" s="8" t="s">
        <v>20</v>
      </c>
      <c r="E142" s="8" t="n">
        <v>26160</v>
      </c>
      <c r="F142" s="8" t="n">
        <v>15920</v>
      </c>
      <c r="G142" s="9" t="n">
        <v>10240</v>
      </c>
      <c r="H142" s="8" t="s">
        <v>11</v>
      </c>
      <c r="I142" s="8" t="s">
        <v>12</v>
      </c>
      <c r="J142" s="0" t="s">
        <v>13</v>
      </c>
    </row>
    <row r="143" customFormat="false" ht="13.8" hidden="false" customHeight="false" outlineLevel="0" collapsed="false">
      <c r="A143" s="6" t="n">
        <v>45119</v>
      </c>
      <c r="B143" s="7" t="n">
        <v>0.249305555555556</v>
      </c>
      <c r="C143" s="8" t="n">
        <v>25161</v>
      </c>
      <c r="D143" s="8" t="s">
        <v>20</v>
      </c>
      <c r="E143" s="8" t="n">
        <v>19600</v>
      </c>
      <c r="F143" s="8" t="n">
        <v>15900</v>
      </c>
      <c r="G143" s="9" t="n">
        <v>3700</v>
      </c>
      <c r="H143" s="8" t="s">
        <v>11</v>
      </c>
      <c r="I143" s="8" t="s">
        <v>12</v>
      </c>
      <c r="J143" s="0" t="s">
        <v>13</v>
      </c>
    </row>
    <row r="144" customFormat="false" ht="13.8" hidden="false" customHeight="false" outlineLevel="0" collapsed="false">
      <c r="A144" s="6" t="n">
        <v>45119</v>
      </c>
      <c r="B144" s="7" t="n">
        <v>0.213194444444444</v>
      </c>
      <c r="C144" s="8" t="n">
        <v>25154</v>
      </c>
      <c r="D144" s="8" t="s">
        <v>10</v>
      </c>
      <c r="E144" s="8" t="n">
        <v>4140</v>
      </c>
      <c r="F144" s="8" t="n">
        <v>3700</v>
      </c>
      <c r="G144" s="9" t="n">
        <v>440</v>
      </c>
      <c r="H144" s="8" t="s">
        <v>11</v>
      </c>
      <c r="I144" s="8" t="s">
        <v>12</v>
      </c>
      <c r="J144" s="0" t="s">
        <v>13</v>
      </c>
    </row>
    <row r="145" customFormat="false" ht="13.8" hidden="false" customHeight="false" outlineLevel="0" collapsed="false">
      <c r="A145" s="6" t="n">
        <v>45119</v>
      </c>
      <c r="B145" s="7" t="n">
        <v>0.113888888888889</v>
      </c>
      <c r="C145" s="8" t="n">
        <v>25147</v>
      </c>
      <c r="D145" s="8" t="s">
        <v>10</v>
      </c>
      <c r="E145" s="8" t="n">
        <v>4640</v>
      </c>
      <c r="F145" s="8" t="n">
        <v>3600</v>
      </c>
      <c r="G145" s="9" t="n">
        <v>1040</v>
      </c>
      <c r="H145" s="8" t="s">
        <v>11</v>
      </c>
      <c r="I145" s="8" t="s">
        <v>12</v>
      </c>
      <c r="J145" s="0" t="s">
        <v>13</v>
      </c>
    </row>
    <row r="146" customFormat="false" ht="13.8" hidden="false" customHeight="false" outlineLevel="0" collapsed="false">
      <c r="A146" s="6" t="n">
        <v>45119</v>
      </c>
      <c r="B146" s="7" t="n">
        <v>0.888888888888889</v>
      </c>
      <c r="C146" s="8" t="n">
        <v>25216</v>
      </c>
      <c r="D146" s="8" t="s">
        <v>14</v>
      </c>
      <c r="E146" s="8" t="n">
        <v>3120</v>
      </c>
      <c r="F146" s="8" t="n">
        <v>2680</v>
      </c>
      <c r="G146" s="9" t="n">
        <v>440</v>
      </c>
      <c r="H146" s="8" t="s">
        <v>11</v>
      </c>
      <c r="I146" s="8" t="s">
        <v>12</v>
      </c>
      <c r="J146" s="0" t="s">
        <v>13</v>
      </c>
    </row>
    <row r="147" customFormat="false" ht="13.8" hidden="false" customHeight="false" outlineLevel="0" collapsed="false">
      <c r="A147" s="6" t="n">
        <v>45119</v>
      </c>
      <c r="B147" s="7" t="n">
        <v>0.6875</v>
      </c>
      <c r="C147" s="8" t="n">
        <v>25208</v>
      </c>
      <c r="D147" s="8" t="s">
        <v>16</v>
      </c>
      <c r="E147" s="8" t="n">
        <v>15420</v>
      </c>
      <c r="F147" s="8" t="n">
        <v>13120</v>
      </c>
      <c r="G147" s="9" t="n">
        <v>2300</v>
      </c>
      <c r="H147" s="8" t="s">
        <v>11</v>
      </c>
      <c r="I147" s="8" t="s">
        <v>12</v>
      </c>
      <c r="J147" s="0" t="s">
        <v>13</v>
      </c>
    </row>
    <row r="148" customFormat="false" ht="13.8" hidden="false" customHeight="false" outlineLevel="0" collapsed="false">
      <c r="A148" s="6" t="n">
        <v>45119</v>
      </c>
      <c r="B148" s="7" t="n">
        <v>0.354166666666667</v>
      </c>
      <c r="C148" s="8" t="n">
        <v>25173</v>
      </c>
      <c r="D148" s="8" t="s">
        <v>25</v>
      </c>
      <c r="E148" s="8" t="n">
        <v>3340</v>
      </c>
      <c r="F148" s="8" t="n">
        <v>2860</v>
      </c>
      <c r="G148" s="9" t="n">
        <v>480</v>
      </c>
      <c r="H148" s="8" t="s">
        <v>11</v>
      </c>
      <c r="I148" s="8" t="s">
        <v>12</v>
      </c>
      <c r="J148" s="0" t="s">
        <v>13</v>
      </c>
    </row>
    <row r="149" customFormat="false" ht="13.8" hidden="false" customHeight="false" outlineLevel="0" collapsed="false">
      <c r="A149" s="6" t="n">
        <v>45119</v>
      </c>
      <c r="B149" s="7" t="n">
        <v>0.443055555555556</v>
      </c>
      <c r="C149" s="8" t="n">
        <v>25184</v>
      </c>
      <c r="D149" s="8" t="s">
        <v>19</v>
      </c>
      <c r="E149" s="8" t="n">
        <v>2640</v>
      </c>
      <c r="F149" s="8" t="n">
        <v>2400</v>
      </c>
      <c r="G149" s="9" t="n">
        <v>240</v>
      </c>
      <c r="H149" s="8" t="s">
        <v>11</v>
      </c>
      <c r="I149" s="8" t="s">
        <v>12</v>
      </c>
      <c r="J149" s="0" t="s">
        <v>13</v>
      </c>
    </row>
    <row r="150" customFormat="false" ht="13.8" hidden="false" customHeight="false" outlineLevel="0" collapsed="false">
      <c r="A150" s="6" t="n">
        <v>45119</v>
      </c>
      <c r="B150" s="7" t="n">
        <v>0.486805555555556</v>
      </c>
      <c r="C150" s="8" t="n">
        <v>25191</v>
      </c>
      <c r="D150" s="8" t="s">
        <v>17</v>
      </c>
      <c r="E150" s="8" t="n">
        <v>6520</v>
      </c>
      <c r="F150" s="8" t="n">
        <v>5620</v>
      </c>
      <c r="G150" s="9" t="n">
        <v>900</v>
      </c>
      <c r="H150" s="8" t="s">
        <v>11</v>
      </c>
      <c r="I150" s="8" t="s">
        <v>18</v>
      </c>
      <c r="J150" s="0" t="s">
        <v>13</v>
      </c>
    </row>
    <row r="151" customFormat="false" ht="13.8" hidden="false" customHeight="false" outlineLevel="0" collapsed="false">
      <c r="A151" s="6" t="n">
        <v>45119</v>
      </c>
      <c r="B151" s="7" t="n">
        <v>0.863194444444444</v>
      </c>
      <c r="C151" s="8" t="n">
        <v>25214</v>
      </c>
      <c r="D151" s="8" t="s">
        <v>20</v>
      </c>
      <c r="E151" s="8" t="n">
        <v>24860</v>
      </c>
      <c r="F151" s="8" t="n">
        <v>15860</v>
      </c>
      <c r="G151" s="9" t="n">
        <v>9000</v>
      </c>
      <c r="H151" s="8" t="s">
        <v>11</v>
      </c>
      <c r="I151" s="8" t="s">
        <v>12</v>
      </c>
      <c r="J151" s="0" t="s">
        <v>13</v>
      </c>
    </row>
    <row r="152" customFormat="false" ht="13.8" hidden="false" customHeight="false" outlineLevel="0" collapsed="false">
      <c r="A152" s="6" t="n">
        <v>45120</v>
      </c>
      <c r="B152" s="7" t="n">
        <v>0.183333333333333</v>
      </c>
      <c r="C152" s="8" t="n">
        <v>25225</v>
      </c>
      <c r="D152" s="8" t="s">
        <v>20</v>
      </c>
      <c r="E152" s="8" t="n">
        <v>26940</v>
      </c>
      <c r="F152" s="8" t="n">
        <v>16020</v>
      </c>
      <c r="G152" s="9" t="n">
        <v>10920</v>
      </c>
      <c r="H152" s="8" t="s">
        <v>11</v>
      </c>
      <c r="I152" s="8" t="s">
        <v>12</v>
      </c>
      <c r="J152" s="0" t="s">
        <v>13</v>
      </c>
    </row>
    <row r="153" customFormat="false" ht="13.8" hidden="false" customHeight="false" outlineLevel="0" collapsed="false">
      <c r="A153" s="6" t="n">
        <v>45120</v>
      </c>
      <c r="B153" s="7" t="n">
        <v>0.249305555555556</v>
      </c>
      <c r="C153" s="8" t="n">
        <v>25236</v>
      </c>
      <c r="D153" s="8" t="s">
        <v>20</v>
      </c>
      <c r="E153" s="8" t="n">
        <v>18080</v>
      </c>
      <c r="F153" s="8" t="n">
        <v>16000</v>
      </c>
      <c r="G153" s="9" t="n">
        <v>2080</v>
      </c>
      <c r="H153" s="8" t="s">
        <v>11</v>
      </c>
      <c r="I153" s="8" t="s">
        <v>12</v>
      </c>
      <c r="J153" s="0" t="s">
        <v>13</v>
      </c>
    </row>
    <row r="154" customFormat="false" ht="13.8" hidden="false" customHeight="false" outlineLevel="0" collapsed="false">
      <c r="A154" s="6" t="n">
        <v>45120</v>
      </c>
      <c r="B154" s="7" t="n">
        <v>0.245138888888889</v>
      </c>
      <c r="C154" s="8" t="n">
        <v>25234</v>
      </c>
      <c r="D154" s="8" t="s">
        <v>16</v>
      </c>
      <c r="E154" s="8" t="n">
        <v>21900</v>
      </c>
      <c r="F154" s="8" t="n">
        <v>13260</v>
      </c>
      <c r="G154" s="9" t="n">
        <v>8640</v>
      </c>
      <c r="H154" s="8" t="s">
        <v>11</v>
      </c>
      <c r="I154" s="8" t="s">
        <v>12</v>
      </c>
      <c r="J154" s="0" t="s">
        <v>13</v>
      </c>
    </row>
    <row r="155" customFormat="false" ht="13.8" hidden="false" customHeight="false" outlineLevel="0" collapsed="false">
      <c r="A155" s="6" t="n">
        <v>45120</v>
      </c>
      <c r="B155" s="7" t="n">
        <v>0.0604166666666667</v>
      </c>
      <c r="C155" s="8" t="n">
        <v>25218</v>
      </c>
      <c r="D155" s="8" t="s">
        <v>16</v>
      </c>
      <c r="E155" s="8" t="n">
        <v>22260</v>
      </c>
      <c r="F155" s="8" t="n">
        <v>13280</v>
      </c>
      <c r="G155" s="9" t="n">
        <v>8980</v>
      </c>
      <c r="H155" s="8" t="s">
        <v>11</v>
      </c>
      <c r="I155" s="8" t="s">
        <v>12</v>
      </c>
      <c r="J155" s="0" t="s">
        <v>13</v>
      </c>
    </row>
    <row r="156" customFormat="false" ht="13.8" hidden="false" customHeight="false" outlineLevel="0" collapsed="false">
      <c r="A156" s="6" t="n">
        <v>45120</v>
      </c>
      <c r="B156" s="7" t="n">
        <v>0.20625</v>
      </c>
      <c r="C156" s="8" t="n">
        <v>25227</v>
      </c>
      <c r="D156" s="8" t="s">
        <v>14</v>
      </c>
      <c r="E156" s="8" t="n">
        <v>3340</v>
      </c>
      <c r="F156" s="8" t="n">
        <v>2860</v>
      </c>
      <c r="G156" s="9" t="n">
        <v>480</v>
      </c>
      <c r="H156" s="8" t="s">
        <v>11</v>
      </c>
      <c r="I156" s="8" t="s">
        <v>12</v>
      </c>
      <c r="J156" s="0" t="s">
        <v>13</v>
      </c>
    </row>
    <row r="157" customFormat="false" ht="13.8" hidden="false" customHeight="false" outlineLevel="0" collapsed="false">
      <c r="A157" s="6" t="n">
        <v>45120</v>
      </c>
      <c r="B157" s="7" t="n">
        <v>0.145138888888889</v>
      </c>
      <c r="C157" s="8" t="n">
        <v>25224</v>
      </c>
      <c r="D157" s="8" t="s">
        <v>14</v>
      </c>
      <c r="E157" s="8" t="n">
        <v>3480</v>
      </c>
      <c r="F157" s="8" t="n">
        <v>2700</v>
      </c>
      <c r="G157" s="9" t="n">
        <v>780</v>
      </c>
      <c r="H157" s="8" t="s">
        <v>11</v>
      </c>
      <c r="I157" s="8" t="s">
        <v>12</v>
      </c>
      <c r="J157" s="0" t="s">
        <v>13</v>
      </c>
    </row>
    <row r="158" customFormat="false" ht="13.8" hidden="false" customHeight="false" outlineLevel="0" collapsed="false">
      <c r="A158" s="6" t="n">
        <v>45120</v>
      </c>
      <c r="B158" s="7" t="n">
        <v>0.334722222222222</v>
      </c>
      <c r="C158" s="8" t="n">
        <v>25248</v>
      </c>
      <c r="D158" s="8" t="s">
        <v>17</v>
      </c>
      <c r="E158" s="8" t="n">
        <v>6460</v>
      </c>
      <c r="F158" s="8" t="n">
        <v>5600</v>
      </c>
      <c r="G158" s="9" t="n">
        <v>860</v>
      </c>
      <c r="H158" s="8" t="s">
        <v>11</v>
      </c>
      <c r="I158" s="8" t="s">
        <v>18</v>
      </c>
      <c r="J158" s="0" t="s">
        <v>13</v>
      </c>
    </row>
    <row r="159" customFormat="false" ht="13.8" hidden="false" customHeight="false" outlineLevel="0" collapsed="false">
      <c r="A159" s="6" t="n">
        <v>45120</v>
      </c>
      <c r="B159" s="7" t="n">
        <v>0.479861111111111</v>
      </c>
      <c r="C159" s="8" t="n">
        <v>25263</v>
      </c>
      <c r="D159" s="8" t="s">
        <v>17</v>
      </c>
      <c r="E159" s="8" t="n">
        <v>6160</v>
      </c>
      <c r="F159" s="8" t="n">
        <v>5580</v>
      </c>
      <c r="G159" s="9" t="n">
        <v>580</v>
      </c>
      <c r="H159" s="8" t="s">
        <v>11</v>
      </c>
      <c r="I159" s="8" t="s">
        <v>18</v>
      </c>
      <c r="J159" s="0" t="s">
        <v>13</v>
      </c>
    </row>
    <row r="160" customFormat="false" ht="13.8" hidden="false" customHeight="false" outlineLevel="0" collapsed="false">
      <c r="A160" s="6" t="n">
        <v>45120</v>
      </c>
      <c r="B160" s="7" t="n">
        <v>0.890972222222222</v>
      </c>
      <c r="C160" s="8" t="n">
        <v>25286</v>
      </c>
      <c r="D160" s="8" t="s">
        <v>14</v>
      </c>
      <c r="E160" s="8" t="n">
        <v>3020</v>
      </c>
      <c r="F160" s="8" t="n">
        <v>2700</v>
      </c>
      <c r="G160" s="9" t="n">
        <v>320</v>
      </c>
      <c r="H160" s="8" t="s">
        <v>11</v>
      </c>
      <c r="I160" s="8" t="s">
        <v>12</v>
      </c>
      <c r="J160" s="0" t="s">
        <v>13</v>
      </c>
    </row>
    <row r="161" customFormat="false" ht="13.8" hidden="false" customHeight="false" outlineLevel="0" collapsed="false">
      <c r="A161" s="6" t="n">
        <v>45120</v>
      </c>
      <c r="B161" s="7" t="n">
        <v>0.706944444444444</v>
      </c>
      <c r="C161" s="8" t="n">
        <v>25281</v>
      </c>
      <c r="D161" s="8" t="s">
        <v>24</v>
      </c>
      <c r="E161" s="8" t="n">
        <v>16360</v>
      </c>
      <c r="F161" s="8" t="n">
        <v>12540</v>
      </c>
      <c r="G161" s="9" t="n">
        <v>3820</v>
      </c>
      <c r="H161" s="8" t="s">
        <v>11</v>
      </c>
      <c r="I161" s="8" t="s">
        <v>12</v>
      </c>
      <c r="J161" s="0" t="s">
        <v>13</v>
      </c>
    </row>
    <row r="162" customFormat="false" ht="13.8" hidden="false" customHeight="false" outlineLevel="0" collapsed="false">
      <c r="A162" s="6" t="n">
        <v>45120</v>
      </c>
      <c r="B162" s="7" t="n">
        <v>0.540277777777778</v>
      </c>
      <c r="C162" s="8" t="n">
        <v>25271</v>
      </c>
      <c r="D162" s="8" t="s">
        <v>14</v>
      </c>
      <c r="E162" s="8" t="n">
        <v>3080</v>
      </c>
      <c r="F162" s="8" t="n">
        <v>2760</v>
      </c>
      <c r="G162" s="9" t="n">
        <v>320</v>
      </c>
      <c r="H162" s="8" t="s">
        <v>11</v>
      </c>
      <c r="I162" s="8" t="s">
        <v>27</v>
      </c>
      <c r="J162" s="0" t="s">
        <v>13</v>
      </c>
    </row>
    <row r="163" customFormat="false" ht="13.8" hidden="false" customHeight="false" outlineLevel="0" collapsed="false">
      <c r="A163" s="6" t="n">
        <v>45120</v>
      </c>
      <c r="B163" s="7" t="n">
        <v>0.355555555555556</v>
      </c>
      <c r="C163" s="8" t="n">
        <v>25251</v>
      </c>
      <c r="D163" s="8" t="s">
        <v>25</v>
      </c>
      <c r="E163" s="8" t="n">
        <v>3580</v>
      </c>
      <c r="F163" s="8" t="n">
        <v>2880</v>
      </c>
      <c r="G163" s="9" t="n">
        <v>700</v>
      </c>
      <c r="H163" s="8" t="s">
        <v>11</v>
      </c>
      <c r="I163" s="8" t="s">
        <v>12</v>
      </c>
      <c r="J163" s="0" t="s">
        <v>13</v>
      </c>
    </row>
    <row r="164" customFormat="false" ht="13.8" hidden="false" customHeight="false" outlineLevel="0" collapsed="false">
      <c r="A164" s="6" t="n">
        <v>45120</v>
      </c>
      <c r="B164" s="7" t="n">
        <v>0.871527777777778</v>
      </c>
      <c r="C164" s="8" t="n">
        <v>25285</v>
      </c>
      <c r="D164" s="8" t="s">
        <v>15</v>
      </c>
      <c r="E164" s="8" t="n">
        <v>22520</v>
      </c>
      <c r="F164" s="8" t="n">
        <v>15880</v>
      </c>
      <c r="G164" s="9" t="n">
        <v>6640</v>
      </c>
      <c r="H164" s="8" t="s">
        <v>11</v>
      </c>
      <c r="I164" s="8" t="s">
        <v>12</v>
      </c>
      <c r="J164" s="0" t="s">
        <v>13</v>
      </c>
    </row>
    <row r="165" customFormat="false" ht="13.8" hidden="true" customHeight="false" outlineLevel="0" collapsed="false">
      <c r="A165" s="6" t="n">
        <v>45120</v>
      </c>
      <c r="B165" s="7" t="n">
        <v>0.474305555555556</v>
      </c>
      <c r="C165" s="8" t="n">
        <v>159448</v>
      </c>
      <c r="D165" s="8" t="s">
        <v>20</v>
      </c>
      <c r="E165" s="8" t="n">
        <v>17540</v>
      </c>
      <c r="F165" s="8" t="n">
        <v>16060</v>
      </c>
      <c r="G165" s="9" t="n">
        <v>1480</v>
      </c>
      <c r="H165" s="8" t="s">
        <v>11</v>
      </c>
      <c r="I165" s="8" t="s">
        <v>21</v>
      </c>
      <c r="J165" s="10" t="s">
        <v>13</v>
      </c>
    </row>
    <row r="166" customFormat="false" ht="13.8" hidden="false" customHeight="false" outlineLevel="0" collapsed="false">
      <c r="A166" s="6" t="n">
        <v>45121</v>
      </c>
      <c r="B166" s="7" t="n">
        <v>0.234722222222222</v>
      </c>
      <c r="C166" s="8" t="n">
        <v>25304</v>
      </c>
      <c r="D166" s="8" t="s">
        <v>15</v>
      </c>
      <c r="E166" s="8" t="n">
        <v>18260</v>
      </c>
      <c r="F166" s="8" t="n">
        <v>15840</v>
      </c>
      <c r="G166" s="9" t="n">
        <v>2420</v>
      </c>
      <c r="H166" s="8" t="s">
        <v>11</v>
      </c>
      <c r="I166" s="8" t="s">
        <v>12</v>
      </c>
      <c r="J166" s="0" t="s">
        <v>13</v>
      </c>
    </row>
    <row r="167" customFormat="false" ht="13.8" hidden="false" customHeight="false" outlineLevel="0" collapsed="false">
      <c r="A167" s="6" t="n">
        <v>45121</v>
      </c>
      <c r="B167" s="7" t="n">
        <v>0.165972222222222</v>
      </c>
      <c r="C167" s="8" t="n">
        <v>25295</v>
      </c>
      <c r="D167" s="8" t="s">
        <v>15</v>
      </c>
      <c r="E167" s="8" t="n">
        <v>22320</v>
      </c>
      <c r="F167" s="8" t="n">
        <v>15860</v>
      </c>
      <c r="G167" s="9" t="n">
        <v>6460</v>
      </c>
      <c r="H167" s="8" t="s">
        <v>11</v>
      </c>
      <c r="I167" s="8" t="s">
        <v>12</v>
      </c>
      <c r="J167" s="0" t="s">
        <v>13</v>
      </c>
    </row>
    <row r="168" customFormat="false" ht="13.8" hidden="false" customHeight="false" outlineLevel="0" collapsed="false">
      <c r="A168" s="6" t="n">
        <v>45121</v>
      </c>
      <c r="B168" s="7" t="n">
        <v>0.244444444444444</v>
      </c>
      <c r="C168" s="8" t="n">
        <v>25307</v>
      </c>
      <c r="D168" s="8" t="s">
        <v>20</v>
      </c>
      <c r="E168" s="8" t="n">
        <v>24060</v>
      </c>
      <c r="F168" s="8" t="n">
        <v>15980</v>
      </c>
      <c r="G168" s="9" t="n">
        <v>8080</v>
      </c>
      <c r="H168" s="8" t="s">
        <v>11</v>
      </c>
      <c r="I168" s="8" t="s">
        <v>12</v>
      </c>
      <c r="J168" s="0" t="s">
        <v>13</v>
      </c>
    </row>
    <row r="169" customFormat="false" ht="13.8" hidden="false" customHeight="false" outlineLevel="0" collapsed="false">
      <c r="A169" s="6" t="n">
        <v>45121</v>
      </c>
      <c r="B169" s="7" t="n">
        <v>0.211111111111111</v>
      </c>
      <c r="C169" s="8" t="n">
        <v>25299</v>
      </c>
      <c r="D169" s="8" t="s">
        <v>10</v>
      </c>
      <c r="E169" s="8" t="n">
        <v>4340</v>
      </c>
      <c r="F169" s="8" t="n">
        <v>3760</v>
      </c>
      <c r="G169" s="9" t="n">
        <v>580</v>
      </c>
      <c r="H169" s="8" t="s">
        <v>11</v>
      </c>
      <c r="I169" s="6" t="s">
        <v>12</v>
      </c>
      <c r="J169" s="0" t="s">
        <v>13</v>
      </c>
    </row>
    <row r="170" customFormat="false" ht="13.8" hidden="false" customHeight="false" outlineLevel="0" collapsed="false">
      <c r="A170" s="6" t="n">
        <v>45121</v>
      </c>
      <c r="B170" s="7" t="n">
        <v>0.110416666666667</v>
      </c>
      <c r="C170" s="8" t="n">
        <v>25293</v>
      </c>
      <c r="D170" s="8" t="s">
        <v>10</v>
      </c>
      <c r="E170" s="8" t="n">
        <v>4720</v>
      </c>
      <c r="F170" s="8" t="n">
        <v>3600</v>
      </c>
      <c r="G170" s="9" t="n">
        <v>1120</v>
      </c>
      <c r="H170" s="8" t="s">
        <v>11</v>
      </c>
      <c r="I170" s="8" t="s">
        <v>12</v>
      </c>
      <c r="J170" s="0" t="s">
        <v>13</v>
      </c>
    </row>
    <row r="171" customFormat="false" ht="13.8" hidden="false" customHeight="false" outlineLevel="0" collapsed="false">
      <c r="A171" s="6" t="n">
        <v>45121</v>
      </c>
      <c r="B171" s="7" t="n">
        <v>0.0770833333333333</v>
      </c>
      <c r="C171" s="8" t="n">
        <v>25289</v>
      </c>
      <c r="D171" s="8" t="s">
        <v>16</v>
      </c>
      <c r="E171" s="8" t="n">
        <v>21920</v>
      </c>
      <c r="F171" s="8" t="n">
        <v>13180</v>
      </c>
      <c r="G171" s="9" t="n">
        <v>8740</v>
      </c>
      <c r="H171" s="8" t="s">
        <v>11</v>
      </c>
      <c r="I171" s="8" t="s">
        <v>12</v>
      </c>
      <c r="J171" s="0" t="s">
        <v>13</v>
      </c>
    </row>
    <row r="172" customFormat="false" ht="13.8" hidden="false" customHeight="false" outlineLevel="0" collapsed="false">
      <c r="A172" s="6" t="n">
        <v>45121</v>
      </c>
      <c r="B172" s="7" t="n">
        <v>0.521527777777778</v>
      </c>
      <c r="C172" s="8" t="n">
        <v>25334</v>
      </c>
      <c r="D172" s="8" t="s">
        <v>14</v>
      </c>
      <c r="E172" s="8" t="n">
        <v>3080</v>
      </c>
      <c r="F172" s="8" t="n">
        <v>2780</v>
      </c>
      <c r="G172" s="9" t="n">
        <v>300</v>
      </c>
      <c r="H172" s="8" t="s">
        <v>11</v>
      </c>
      <c r="I172" s="8" t="s">
        <v>27</v>
      </c>
      <c r="J172" s="0" t="s">
        <v>13</v>
      </c>
    </row>
    <row r="173" customFormat="false" ht="13.8" hidden="false" customHeight="false" outlineLevel="0" collapsed="false">
      <c r="A173" s="6" t="n">
        <v>45121</v>
      </c>
      <c r="B173" s="7" t="n">
        <v>0.449305555555556</v>
      </c>
      <c r="C173" s="8" t="n">
        <v>25327</v>
      </c>
      <c r="D173" s="8" t="s">
        <v>28</v>
      </c>
      <c r="E173" s="8" t="n">
        <v>18520</v>
      </c>
      <c r="F173" s="8" t="n">
        <v>16200</v>
      </c>
      <c r="G173" s="9" t="n">
        <v>2320</v>
      </c>
      <c r="H173" s="8" t="s">
        <v>11</v>
      </c>
      <c r="I173" s="8" t="s">
        <v>12</v>
      </c>
      <c r="J173" s="0" t="s">
        <v>13</v>
      </c>
    </row>
    <row r="174" customFormat="false" ht="13.8" hidden="false" customHeight="false" outlineLevel="0" collapsed="false">
      <c r="A174" s="6" t="n">
        <v>45121</v>
      </c>
      <c r="B174" s="7" t="n">
        <v>0.404166666666667</v>
      </c>
      <c r="C174" s="8" t="n">
        <v>25323</v>
      </c>
      <c r="D174" s="8" t="s">
        <v>10</v>
      </c>
      <c r="E174" s="8" t="n">
        <v>4620</v>
      </c>
      <c r="F174" s="8" t="n">
        <v>3620</v>
      </c>
      <c r="G174" s="9" t="n">
        <v>1000</v>
      </c>
      <c r="H174" s="8" t="s">
        <v>11</v>
      </c>
      <c r="I174" s="8" t="s">
        <v>12</v>
      </c>
      <c r="J174" s="0" t="s">
        <v>13</v>
      </c>
    </row>
    <row r="175" customFormat="false" ht="13.8" hidden="false" customHeight="false" outlineLevel="0" collapsed="false">
      <c r="A175" s="6" t="n">
        <v>45121</v>
      </c>
      <c r="B175" s="7" t="n">
        <v>0.448611111111111</v>
      </c>
      <c r="C175" s="8" t="n">
        <v>25328</v>
      </c>
      <c r="D175" s="8" t="s">
        <v>17</v>
      </c>
      <c r="E175" s="8" t="n">
        <v>6340</v>
      </c>
      <c r="F175" s="8" t="n">
        <v>5580</v>
      </c>
      <c r="G175" s="9" t="n">
        <v>760</v>
      </c>
      <c r="H175" s="8" t="s">
        <v>11</v>
      </c>
      <c r="I175" s="8" t="s">
        <v>18</v>
      </c>
      <c r="J175" s="0" t="s">
        <v>13</v>
      </c>
    </row>
    <row r="176" customFormat="false" ht="13.8" hidden="false" customHeight="false" outlineLevel="0" collapsed="false">
      <c r="A176" s="6" t="n">
        <v>45121</v>
      </c>
      <c r="B176" s="7" t="n">
        <v>0.24375</v>
      </c>
      <c r="C176" s="8" t="n">
        <v>25306</v>
      </c>
      <c r="D176" s="8" t="s">
        <v>16</v>
      </c>
      <c r="E176" s="8" t="n">
        <v>21700</v>
      </c>
      <c r="F176" s="8" t="n">
        <v>13200</v>
      </c>
      <c r="G176" s="9" t="n">
        <v>8500</v>
      </c>
      <c r="H176" s="8" t="s">
        <v>11</v>
      </c>
      <c r="I176" s="8" t="s">
        <v>12</v>
      </c>
      <c r="J176" s="0" t="s">
        <v>13</v>
      </c>
    </row>
    <row r="177" customFormat="false" ht="13.8" hidden="true" customHeight="false" outlineLevel="0" collapsed="false">
      <c r="A177" s="6" t="n">
        <v>45121</v>
      </c>
      <c r="B177" s="7" t="n">
        <v>0.447222222222222</v>
      </c>
      <c r="C177" s="8" t="n">
        <v>4472</v>
      </c>
      <c r="D177" s="8" t="s">
        <v>20</v>
      </c>
      <c r="E177" s="8" t="n">
        <v>18560</v>
      </c>
      <c r="F177" s="8" t="n">
        <v>15760</v>
      </c>
      <c r="G177" s="9" t="n">
        <v>2800</v>
      </c>
      <c r="H177" s="8" t="s">
        <v>11</v>
      </c>
      <c r="I177" s="8" t="s">
        <v>22</v>
      </c>
      <c r="J177" s="10" t="s">
        <v>13</v>
      </c>
    </row>
    <row r="178" customFormat="false" ht="13.8" hidden="true" customHeight="false" outlineLevel="0" collapsed="false">
      <c r="A178" s="6" t="n">
        <v>45121</v>
      </c>
      <c r="B178" s="7" t="n">
        <v>0.368055555555556</v>
      </c>
      <c r="C178" s="8" t="n">
        <v>159500</v>
      </c>
      <c r="D178" s="8" t="s">
        <v>28</v>
      </c>
      <c r="E178" s="8" t="n">
        <v>18580</v>
      </c>
      <c r="F178" s="8" t="n">
        <v>16120</v>
      </c>
      <c r="G178" s="9" t="n">
        <v>2460</v>
      </c>
      <c r="H178" s="8" t="s">
        <v>11</v>
      </c>
      <c r="I178" s="8" t="s">
        <v>21</v>
      </c>
      <c r="J178" s="10" t="s">
        <v>13</v>
      </c>
    </row>
    <row r="179" customFormat="false" ht="13.8" hidden="false" customHeight="false" outlineLevel="0" collapsed="false">
      <c r="A179" s="6" t="n">
        <v>45121</v>
      </c>
      <c r="B179" s="7" t="n">
        <v>0.879861111111111</v>
      </c>
      <c r="C179" s="8" t="n">
        <v>25350</v>
      </c>
      <c r="D179" s="8" t="s">
        <v>15</v>
      </c>
      <c r="E179" s="8" t="n">
        <v>23120</v>
      </c>
      <c r="F179" s="8" t="n">
        <v>15980</v>
      </c>
      <c r="G179" s="9" t="n">
        <v>7140</v>
      </c>
      <c r="H179" s="8" t="s">
        <v>11</v>
      </c>
      <c r="I179" s="8" t="s">
        <v>12</v>
      </c>
      <c r="J179" s="0" t="s">
        <v>13</v>
      </c>
    </row>
    <row r="180" customFormat="false" ht="13.8" hidden="false" customHeight="false" outlineLevel="0" collapsed="false">
      <c r="A180" s="6" t="n">
        <v>45121</v>
      </c>
      <c r="B180" s="7" t="n">
        <v>0.888888888888889</v>
      </c>
      <c r="C180" s="8" t="n">
        <v>25351</v>
      </c>
      <c r="D180" s="8" t="s">
        <v>14</v>
      </c>
      <c r="E180" s="8" t="n">
        <v>2980</v>
      </c>
      <c r="F180" s="8" t="n">
        <v>2680</v>
      </c>
      <c r="G180" s="9" t="n">
        <v>300</v>
      </c>
      <c r="H180" s="8" t="s">
        <v>11</v>
      </c>
      <c r="I180" s="8" t="s">
        <v>12</v>
      </c>
      <c r="J180" s="0" t="s">
        <v>13</v>
      </c>
    </row>
    <row r="181" customFormat="false" ht="13.8" hidden="false" customHeight="false" outlineLevel="0" collapsed="false">
      <c r="A181" s="6" t="n">
        <v>45122</v>
      </c>
      <c r="B181" s="7" t="n">
        <v>0.441666666666667</v>
      </c>
      <c r="C181" s="8" t="n">
        <v>25382</v>
      </c>
      <c r="D181" s="8" t="s">
        <v>19</v>
      </c>
      <c r="E181" s="8" t="n">
        <v>2620</v>
      </c>
      <c r="F181" s="8" t="n">
        <v>2420</v>
      </c>
      <c r="G181" s="9" t="n">
        <v>200</v>
      </c>
      <c r="H181" s="8" t="s">
        <v>11</v>
      </c>
      <c r="I181" s="8" t="s">
        <v>12</v>
      </c>
      <c r="J181" s="0" t="s">
        <v>13</v>
      </c>
    </row>
    <row r="182" customFormat="false" ht="13.8" hidden="false" customHeight="false" outlineLevel="0" collapsed="false">
      <c r="A182" s="6" t="n">
        <v>45122</v>
      </c>
      <c r="B182" s="7" t="n">
        <v>0.225694444444444</v>
      </c>
      <c r="C182" s="8" t="n">
        <v>25367</v>
      </c>
      <c r="D182" s="8" t="s">
        <v>16</v>
      </c>
      <c r="E182" s="8" t="n">
        <v>22460</v>
      </c>
      <c r="F182" s="8" t="n">
        <v>13200</v>
      </c>
      <c r="G182" s="9" t="n">
        <v>9260</v>
      </c>
      <c r="H182" s="8" t="s">
        <v>11</v>
      </c>
      <c r="I182" s="8" t="s">
        <v>12</v>
      </c>
      <c r="J182" s="0" t="s">
        <v>13</v>
      </c>
    </row>
    <row r="183" customFormat="false" ht="13.8" hidden="false" customHeight="false" outlineLevel="0" collapsed="false">
      <c r="A183" s="6" t="n">
        <v>45122</v>
      </c>
      <c r="B183" s="7" t="n">
        <v>0.0243055555555556</v>
      </c>
      <c r="C183" s="8" t="n">
        <v>25353</v>
      </c>
      <c r="D183" s="8" t="s">
        <v>24</v>
      </c>
      <c r="E183" s="8" t="n">
        <v>15120</v>
      </c>
      <c r="F183" s="8" t="n">
        <v>12520</v>
      </c>
      <c r="G183" s="9" t="n">
        <v>2600</v>
      </c>
      <c r="H183" s="8" t="s">
        <v>11</v>
      </c>
      <c r="I183" s="8" t="s">
        <v>12</v>
      </c>
      <c r="J183" s="0" t="s">
        <v>13</v>
      </c>
    </row>
    <row r="184" customFormat="false" ht="13.8" hidden="false" customHeight="false" outlineLevel="0" collapsed="false">
      <c r="A184" s="6" t="n">
        <v>45122</v>
      </c>
      <c r="B184" s="7" t="n">
        <v>0.854861111111111</v>
      </c>
      <c r="C184" s="8" t="n">
        <v>25391</v>
      </c>
      <c r="D184" s="8" t="s">
        <v>15</v>
      </c>
      <c r="E184" s="8" t="n">
        <v>23560</v>
      </c>
      <c r="F184" s="8" t="n">
        <v>16000</v>
      </c>
      <c r="G184" s="9" t="n">
        <v>7560</v>
      </c>
      <c r="H184" s="8" t="s">
        <v>11</v>
      </c>
      <c r="I184" s="8" t="s">
        <v>12</v>
      </c>
      <c r="J184" s="0" t="s">
        <v>13</v>
      </c>
    </row>
    <row r="185" customFormat="false" ht="13.8" hidden="false" customHeight="false" outlineLevel="0" collapsed="false">
      <c r="A185" s="6" t="n">
        <v>45122</v>
      </c>
      <c r="B185" s="7" t="n">
        <v>0.464583333333333</v>
      </c>
      <c r="C185" s="8" t="n">
        <v>25384</v>
      </c>
      <c r="D185" s="8" t="s">
        <v>15</v>
      </c>
      <c r="E185" s="8" t="n">
        <v>18040</v>
      </c>
      <c r="F185" s="8" t="n">
        <v>15920</v>
      </c>
      <c r="G185" s="9" t="n">
        <v>2120</v>
      </c>
      <c r="H185" s="8" t="s">
        <v>11</v>
      </c>
      <c r="I185" s="8" t="s">
        <v>12</v>
      </c>
      <c r="J185" s="0" t="s">
        <v>13</v>
      </c>
    </row>
    <row r="186" customFormat="false" ht="13.8" hidden="false" customHeight="false" outlineLevel="0" collapsed="false">
      <c r="A186" s="6" t="n">
        <v>45122</v>
      </c>
      <c r="B186" s="7" t="n">
        <v>0.689583333333333</v>
      </c>
      <c r="C186" s="8" t="n">
        <v>25390</v>
      </c>
      <c r="D186" s="8" t="s">
        <v>16</v>
      </c>
      <c r="E186" s="8" t="n">
        <v>15580</v>
      </c>
      <c r="F186" s="8" t="n">
        <v>13220</v>
      </c>
      <c r="G186" s="9" t="n">
        <v>2360</v>
      </c>
      <c r="H186" s="8" t="s">
        <v>11</v>
      </c>
      <c r="I186" s="8" t="s">
        <v>12</v>
      </c>
      <c r="J186" s="0" t="s">
        <v>13</v>
      </c>
    </row>
    <row r="187" customFormat="false" ht="13.8" hidden="false" customHeight="false" outlineLevel="0" collapsed="false">
      <c r="A187" s="6" t="n">
        <v>45122</v>
      </c>
      <c r="B187" s="7" t="n">
        <v>0.209722222222222</v>
      </c>
      <c r="C187" s="8" t="n">
        <v>25365</v>
      </c>
      <c r="D187" s="8" t="s">
        <v>10</v>
      </c>
      <c r="E187" s="8" t="n">
        <v>4300</v>
      </c>
      <c r="F187" s="8" t="n">
        <v>3680</v>
      </c>
      <c r="G187" s="9" t="n">
        <v>620</v>
      </c>
      <c r="H187" s="8" t="s">
        <v>11</v>
      </c>
      <c r="I187" s="8" t="s">
        <v>12</v>
      </c>
      <c r="J187" s="0" t="s">
        <v>13</v>
      </c>
    </row>
    <row r="188" customFormat="false" ht="13.8" hidden="false" customHeight="false" outlineLevel="0" collapsed="false">
      <c r="A188" s="6" t="n">
        <v>45122</v>
      </c>
      <c r="B188" s="7" t="n">
        <v>0.120138888888889</v>
      </c>
      <c r="C188" s="8" t="n">
        <v>25358</v>
      </c>
      <c r="D188" s="8" t="s">
        <v>10</v>
      </c>
      <c r="E188" s="8" t="n">
        <v>4740</v>
      </c>
      <c r="F188" s="8" t="n">
        <v>3580</v>
      </c>
      <c r="G188" s="9" t="n">
        <v>1160</v>
      </c>
      <c r="H188" s="8" t="s">
        <v>11</v>
      </c>
      <c r="I188" s="8" t="s">
        <v>12</v>
      </c>
      <c r="J188" s="0" t="s">
        <v>13</v>
      </c>
    </row>
    <row r="189" customFormat="false" ht="13.8" hidden="false" customHeight="false" outlineLevel="0" collapsed="false">
      <c r="A189" s="6" t="n">
        <v>45122</v>
      </c>
      <c r="B189" s="7" t="n">
        <v>0.233333333333333</v>
      </c>
      <c r="C189" s="8" t="n">
        <v>25369</v>
      </c>
      <c r="D189" s="8" t="s">
        <v>15</v>
      </c>
      <c r="E189" s="8" t="n">
        <v>24300</v>
      </c>
      <c r="F189" s="8" t="n">
        <v>15960</v>
      </c>
      <c r="G189" s="9" t="n">
        <v>8340</v>
      </c>
      <c r="H189" s="8" t="s">
        <v>11</v>
      </c>
      <c r="I189" s="8" t="s">
        <v>12</v>
      </c>
      <c r="J189" s="0" t="s">
        <v>13</v>
      </c>
    </row>
    <row r="190" customFormat="false" ht="13.8" hidden="false" customHeight="false" outlineLevel="0" collapsed="false">
      <c r="A190" s="6" t="n">
        <v>45122</v>
      </c>
      <c r="B190" s="7" t="n">
        <v>0.886111111111111</v>
      </c>
      <c r="C190" s="8" t="n">
        <v>25393</v>
      </c>
      <c r="D190" s="8" t="s">
        <v>14</v>
      </c>
      <c r="E190" s="8" t="n">
        <v>3040</v>
      </c>
      <c r="F190" s="8" t="n">
        <v>2660</v>
      </c>
      <c r="G190" s="9" t="n">
        <v>380</v>
      </c>
      <c r="H190" s="8" t="s">
        <v>11</v>
      </c>
      <c r="I190" s="8" t="s">
        <v>12</v>
      </c>
      <c r="J190" s="0" t="s">
        <v>13</v>
      </c>
    </row>
    <row r="191" customFormat="false" ht="13.8" hidden="false" customHeight="false" outlineLevel="0" collapsed="false">
      <c r="A191" s="6" t="n">
        <v>45122</v>
      </c>
      <c r="B191" s="7" t="n">
        <v>0.494444444444444</v>
      </c>
      <c r="C191" s="8" t="n">
        <v>25386</v>
      </c>
      <c r="D191" s="8" t="s">
        <v>14</v>
      </c>
      <c r="E191" s="8" t="n">
        <v>2960</v>
      </c>
      <c r="F191" s="8" t="n">
        <v>2680</v>
      </c>
      <c r="G191" s="9" t="n">
        <v>280</v>
      </c>
      <c r="H191" s="8" t="s">
        <v>11</v>
      </c>
      <c r="I191" s="8" t="s">
        <v>12</v>
      </c>
      <c r="J191" s="0" t="s">
        <v>13</v>
      </c>
    </row>
    <row r="192" customFormat="false" ht="13.8" hidden="false" customHeight="false" outlineLevel="0" collapsed="false">
      <c r="A192" s="6" t="n">
        <v>45122</v>
      </c>
      <c r="B192" s="7" t="n">
        <v>0.332638888888889</v>
      </c>
      <c r="C192" s="8" t="n">
        <v>25379</v>
      </c>
      <c r="D192" s="8" t="s">
        <v>14</v>
      </c>
      <c r="E192" s="8" t="n">
        <v>3020</v>
      </c>
      <c r="F192" s="8" t="n">
        <v>2680</v>
      </c>
      <c r="G192" s="9" t="n">
        <v>340</v>
      </c>
      <c r="H192" s="8" t="s">
        <v>11</v>
      </c>
      <c r="I192" s="6" t="s">
        <v>12</v>
      </c>
      <c r="J192" s="0" t="s">
        <v>13</v>
      </c>
    </row>
    <row r="193" customFormat="false" ht="13.8" hidden="false" customHeight="false" outlineLevel="0" collapsed="false">
      <c r="A193" s="6" t="n">
        <v>45122</v>
      </c>
      <c r="B193" s="7" t="n">
        <v>0.886805555555556</v>
      </c>
      <c r="C193" s="8" t="n">
        <v>25392</v>
      </c>
      <c r="D193" s="8" t="s">
        <v>20</v>
      </c>
      <c r="E193" s="8" t="n">
        <v>25740</v>
      </c>
      <c r="F193" s="8" t="n">
        <v>16020</v>
      </c>
      <c r="G193" s="9" t="n">
        <v>9720</v>
      </c>
      <c r="H193" s="8" t="s">
        <v>11</v>
      </c>
      <c r="I193" s="8" t="s">
        <v>12</v>
      </c>
      <c r="J193" s="0" t="s">
        <v>13</v>
      </c>
    </row>
    <row r="194" customFormat="false" ht="13.8" hidden="false" customHeight="false" outlineLevel="0" collapsed="false">
      <c r="A194" s="6" t="n">
        <v>45122</v>
      </c>
      <c r="B194" s="7" t="n">
        <v>0.0645833333333333</v>
      </c>
      <c r="C194" s="8" t="n">
        <v>25354</v>
      </c>
      <c r="D194" s="8" t="s">
        <v>16</v>
      </c>
      <c r="E194" s="8" t="n">
        <v>22220</v>
      </c>
      <c r="F194" s="8" t="n">
        <v>13140</v>
      </c>
      <c r="G194" s="9" t="n">
        <v>9080</v>
      </c>
      <c r="H194" s="8" t="s">
        <v>11</v>
      </c>
      <c r="I194" s="8" t="s">
        <v>12</v>
      </c>
      <c r="J194" s="0" t="s">
        <v>13</v>
      </c>
    </row>
    <row r="195" customFormat="false" ht="13.8" hidden="false" customHeight="false" outlineLevel="0" collapsed="false">
      <c r="A195" s="6" t="n">
        <v>45123</v>
      </c>
      <c r="B195" s="7" t="n">
        <v>0.45625</v>
      </c>
      <c r="C195" s="8" t="n">
        <v>25418</v>
      </c>
      <c r="D195" s="8" t="s">
        <v>25</v>
      </c>
      <c r="E195" s="8" t="n">
        <v>3100</v>
      </c>
      <c r="F195" s="8" t="n">
        <v>2940</v>
      </c>
      <c r="G195" s="9" t="n">
        <v>160</v>
      </c>
      <c r="H195" s="8" t="s">
        <v>11</v>
      </c>
      <c r="I195" s="8" t="s">
        <v>12</v>
      </c>
      <c r="J195" s="0" t="s">
        <v>13</v>
      </c>
    </row>
    <row r="196" customFormat="false" ht="13.8" hidden="false" customHeight="false" outlineLevel="0" collapsed="false">
      <c r="A196" s="6" t="n">
        <v>45123</v>
      </c>
      <c r="B196" s="7" t="n">
        <v>0.974305555555556</v>
      </c>
      <c r="C196" s="8" t="n">
        <v>25423</v>
      </c>
      <c r="D196" s="8" t="s">
        <v>24</v>
      </c>
      <c r="E196" s="8" t="n">
        <v>13520</v>
      </c>
      <c r="F196" s="8" t="n">
        <v>12500</v>
      </c>
      <c r="G196" s="9" t="n">
        <v>1020</v>
      </c>
      <c r="H196" s="8" t="s">
        <v>11</v>
      </c>
      <c r="I196" s="8" t="s">
        <v>12</v>
      </c>
      <c r="J196" s="0" t="s">
        <v>13</v>
      </c>
    </row>
    <row r="197" customFormat="false" ht="13.8" hidden="false" customHeight="false" outlineLevel="0" collapsed="false">
      <c r="A197" s="6" t="n">
        <v>45123</v>
      </c>
      <c r="B197" s="7" t="n">
        <v>0.698611111111111</v>
      </c>
      <c r="C197" s="8" t="n">
        <v>25419</v>
      </c>
      <c r="D197" s="8" t="s">
        <v>16</v>
      </c>
      <c r="E197" s="8" t="n">
        <v>15880</v>
      </c>
      <c r="F197" s="8" t="n">
        <v>13200</v>
      </c>
      <c r="G197" s="9" t="n">
        <v>2680</v>
      </c>
      <c r="H197" s="8" t="s">
        <v>11</v>
      </c>
      <c r="I197" s="8" t="s">
        <v>12</v>
      </c>
      <c r="J197" s="0" t="s">
        <v>13</v>
      </c>
    </row>
    <row r="198" customFormat="false" ht="13.8" hidden="false" customHeight="false" outlineLevel="0" collapsed="false">
      <c r="A198" s="6" t="n">
        <v>45123</v>
      </c>
      <c r="B198" s="7" t="n">
        <v>0.451388888888889</v>
      </c>
      <c r="C198" s="8" t="n">
        <v>25417</v>
      </c>
      <c r="D198" s="8" t="s">
        <v>19</v>
      </c>
      <c r="E198" s="8" t="n">
        <v>2540</v>
      </c>
      <c r="F198" s="8" t="n">
        <v>2400</v>
      </c>
      <c r="G198" s="9" t="n">
        <v>140</v>
      </c>
      <c r="H198" s="8" t="s">
        <v>11</v>
      </c>
      <c r="I198" s="8" t="s">
        <v>12</v>
      </c>
      <c r="J198" s="0" t="s">
        <v>13</v>
      </c>
    </row>
    <row r="199" customFormat="false" ht="13.8" hidden="false" customHeight="false" outlineLevel="0" collapsed="false">
      <c r="A199" s="6" t="n">
        <v>45123</v>
      </c>
      <c r="B199" s="7" t="n">
        <v>0.89375</v>
      </c>
      <c r="C199" s="8" t="n">
        <v>25421</v>
      </c>
      <c r="D199" s="8" t="s">
        <v>14</v>
      </c>
      <c r="E199" s="8" t="n">
        <v>3100</v>
      </c>
      <c r="F199" s="8" t="n">
        <v>2680</v>
      </c>
      <c r="G199" s="9" t="n">
        <v>420</v>
      </c>
      <c r="H199" s="8" t="s">
        <v>11</v>
      </c>
      <c r="I199" s="8" t="s">
        <v>12</v>
      </c>
      <c r="J199" s="0" t="s">
        <v>13</v>
      </c>
    </row>
    <row r="200" customFormat="false" ht="13.8" hidden="false" customHeight="false" outlineLevel="0" collapsed="false">
      <c r="A200" s="6" t="n">
        <v>45123</v>
      </c>
      <c r="B200" s="7" t="n">
        <v>0.875694444444444</v>
      </c>
      <c r="C200" s="8" t="n">
        <v>25420</v>
      </c>
      <c r="D200" s="8" t="s">
        <v>15</v>
      </c>
      <c r="E200" s="8" t="n">
        <v>23360</v>
      </c>
      <c r="F200" s="8" t="n">
        <v>15940</v>
      </c>
      <c r="G200" s="9" t="n">
        <v>7420</v>
      </c>
      <c r="H200" s="8" t="s">
        <v>11</v>
      </c>
      <c r="I200" s="8" t="s">
        <v>12</v>
      </c>
      <c r="J200" s="0" t="s">
        <v>13</v>
      </c>
    </row>
    <row r="201" customFormat="false" ht="13.8" hidden="false" customHeight="false" outlineLevel="0" collapsed="false">
      <c r="A201" s="6" t="n">
        <v>45123</v>
      </c>
      <c r="B201" s="7" t="n">
        <v>0.246527777777778</v>
      </c>
      <c r="C201" s="8" t="n">
        <v>25411</v>
      </c>
      <c r="D201" s="8" t="s">
        <v>20</v>
      </c>
      <c r="E201" s="8" t="n">
        <v>27380</v>
      </c>
      <c r="F201" s="8" t="n">
        <v>16060</v>
      </c>
      <c r="G201" s="9" t="n">
        <v>11320</v>
      </c>
      <c r="H201" s="8" t="s">
        <v>11</v>
      </c>
      <c r="I201" s="8" t="s">
        <v>12</v>
      </c>
      <c r="J201" s="0" t="s">
        <v>13</v>
      </c>
    </row>
    <row r="202" customFormat="false" ht="13.8" hidden="false" customHeight="false" outlineLevel="0" collapsed="false">
      <c r="A202" s="6" t="n">
        <v>45123</v>
      </c>
      <c r="B202" s="7" t="n">
        <v>0.243055555555556</v>
      </c>
      <c r="C202" s="8" t="n">
        <v>25410</v>
      </c>
      <c r="D202" s="8" t="s">
        <v>16</v>
      </c>
      <c r="E202" s="8" t="n">
        <v>23160</v>
      </c>
      <c r="F202" s="8" t="n">
        <v>13240</v>
      </c>
      <c r="G202" s="9" t="n">
        <v>9920</v>
      </c>
      <c r="H202" s="8" t="s">
        <v>11</v>
      </c>
      <c r="I202" s="8" t="s">
        <v>12</v>
      </c>
      <c r="J202" s="0" t="s">
        <v>13</v>
      </c>
    </row>
    <row r="203" customFormat="false" ht="13.8" hidden="false" customHeight="false" outlineLevel="0" collapsed="false">
      <c r="A203" s="6" t="n">
        <v>45123</v>
      </c>
      <c r="B203" s="7" t="n">
        <v>0.201388888888889</v>
      </c>
      <c r="C203" s="8" t="n">
        <v>25405</v>
      </c>
      <c r="D203" s="8" t="s">
        <v>14</v>
      </c>
      <c r="E203" s="8" t="n">
        <v>3720</v>
      </c>
      <c r="F203" s="8" t="n">
        <v>2760</v>
      </c>
      <c r="G203" s="9" t="n">
        <v>960</v>
      </c>
      <c r="H203" s="8" t="s">
        <v>11</v>
      </c>
      <c r="I203" s="8" t="s">
        <v>12</v>
      </c>
      <c r="J203" s="0" t="s">
        <v>13</v>
      </c>
    </row>
    <row r="204" customFormat="false" ht="13.8" hidden="false" customHeight="false" outlineLevel="0" collapsed="false">
      <c r="A204" s="6" t="n">
        <v>45123</v>
      </c>
      <c r="B204" s="7" t="n">
        <v>0.207638888888889</v>
      </c>
      <c r="C204" s="8" t="n">
        <v>25406</v>
      </c>
      <c r="D204" s="8" t="s">
        <v>25</v>
      </c>
      <c r="E204" s="8" t="n">
        <v>3060</v>
      </c>
      <c r="F204" s="8" t="n">
        <v>2900</v>
      </c>
      <c r="G204" s="9" t="n">
        <v>160</v>
      </c>
      <c r="H204" s="8" t="s">
        <v>11</v>
      </c>
      <c r="I204" s="8" t="s">
        <v>12</v>
      </c>
      <c r="J204" s="0" t="s">
        <v>13</v>
      </c>
    </row>
    <row r="205" customFormat="false" ht="13.8" hidden="false" customHeight="false" outlineLevel="0" collapsed="false">
      <c r="A205" s="6" t="n">
        <v>45123</v>
      </c>
      <c r="B205" s="7" t="n">
        <v>0.117361111111111</v>
      </c>
      <c r="C205" s="8" t="n">
        <v>25400</v>
      </c>
      <c r="D205" s="8" t="s">
        <v>25</v>
      </c>
      <c r="E205" s="8" t="n">
        <v>3760</v>
      </c>
      <c r="F205" s="8" t="n">
        <v>2900</v>
      </c>
      <c r="G205" s="9" t="n">
        <v>860</v>
      </c>
      <c r="H205" s="8" t="s">
        <v>11</v>
      </c>
      <c r="I205" s="8" t="s">
        <v>12</v>
      </c>
      <c r="J205" s="0" t="s">
        <v>13</v>
      </c>
    </row>
    <row r="206" customFormat="false" ht="13.8" hidden="false" customHeight="false" outlineLevel="0" collapsed="false">
      <c r="A206" s="6" t="n">
        <v>45123</v>
      </c>
      <c r="B206" s="7" t="n">
        <v>0.0527777777777778</v>
      </c>
      <c r="C206" s="8" t="n">
        <v>25394</v>
      </c>
      <c r="D206" s="8" t="s">
        <v>16</v>
      </c>
      <c r="E206" s="8" t="n">
        <v>22360</v>
      </c>
      <c r="F206" s="8" t="n">
        <v>13460</v>
      </c>
      <c r="G206" s="9" t="n">
        <v>8900</v>
      </c>
      <c r="H206" s="8" t="s">
        <v>11</v>
      </c>
      <c r="I206" s="8" t="s">
        <v>12</v>
      </c>
      <c r="J206" s="0" t="s">
        <v>13</v>
      </c>
    </row>
    <row r="207" customFormat="false" ht="13.8" hidden="false" customHeight="false" outlineLevel="0" collapsed="false">
      <c r="A207" s="6" t="n">
        <v>45123</v>
      </c>
      <c r="B207" s="7" t="n">
        <v>0.246527777777778</v>
      </c>
      <c r="C207" s="8" t="n">
        <v>25412</v>
      </c>
      <c r="D207" s="8" t="s">
        <v>15</v>
      </c>
      <c r="E207" s="8" t="n">
        <v>25640</v>
      </c>
      <c r="F207" s="8" t="n">
        <v>15960</v>
      </c>
      <c r="G207" s="9" t="n">
        <v>9680</v>
      </c>
      <c r="H207" s="8" t="s">
        <v>11</v>
      </c>
      <c r="I207" s="8" t="s">
        <v>12</v>
      </c>
      <c r="J207" s="0" t="s">
        <v>13</v>
      </c>
    </row>
    <row r="208" customFormat="false" ht="13.8" hidden="false" customHeight="false" outlineLevel="0" collapsed="false">
      <c r="A208" s="6" t="n">
        <v>45124</v>
      </c>
      <c r="B208" s="7" t="n">
        <v>0.207638888888889</v>
      </c>
      <c r="C208" s="8" t="n">
        <v>25435</v>
      </c>
      <c r="D208" s="8" t="s">
        <v>10</v>
      </c>
      <c r="E208" s="8" t="n">
        <v>4300</v>
      </c>
      <c r="F208" s="8" t="n">
        <v>3660</v>
      </c>
      <c r="G208" s="9" t="n">
        <v>640</v>
      </c>
      <c r="H208" s="8" t="s">
        <v>11</v>
      </c>
      <c r="I208" s="6" t="s">
        <v>12</v>
      </c>
      <c r="J208" s="0" t="s">
        <v>13</v>
      </c>
    </row>
    <row r="209" customFormat="false" ht="13.8" hidden="false" customHeight="false" outlineLevel="0" collapsed="false">
      <c r="A209" s="6" t="n">
        <v>45124</v>
      </c>
      <c r="B209" s="7" t="n">
        <v>0.115277777777778</v>
      </c>
      <c r="C209" s="8" t="n">
        <v>25428</v>
      </c>
      <c r="D209" s="8" t="s">
        <v>10</v>
      </c>
      <c r="E209" s="8" t="n">
        <v>4700</v>
      </c>
      <c r="F209" s="8" t="n">
        <v>3580</v>
      </c>
      <c r="G209" s="9" t="n">
        <v>1120</v>
      </c>
      <c r="H209" s="8" t="s">
        <v>11</v>
      </c>
      <c r="I209" s="8" t="s">
        <v>12</v>
      </c>
      <c r="J209" s="0" t="s">
        <v>13</v>
      </c>
    </row>
    <row r="210" customFormat="false" ht="13.8" hidden="false" customHeight="false" outlineLevel="0" collapsed="false">
      <c r="A210" s="6" t="n">
        <v>45124</v>
      </c>
      <c r="B210" s="7" t="n">
        <v>0.222916666666667</v>
      </c>
      <c r="C210" s="8" t="n">
        <v>25439</v>
      </c>
      <c r="D210" s="8" t="s">
        <v>15</v>
      </c>
      <c r="E210" s="8" t="n">
        <v>24940</v>
      </c>
      <c r="F210" s="8" t="n">
        <v>15960</v>
      </c>
      <c r="G210" s="9" t="n">
        <v>8980</v>
      </c>
      <c r="H210" s="8" t="s">
        <v>11</v>
      </c>
      <c r="I210" s="8" t="s">
        <v>12</v>
      </c>
      <c r="J210" s="0" t="s">
        <v>13</v>
      </c>
    </row>
    <row r="211" customFormat="false" ht="13.8" hidden="false" customHeight="false" outlineLevel="0" collapsed="false">
      <c r="A211" s="6" t="n">
        <v>45124</v>
      </c>
      <c r="B211" s="7" t="n">
        <v>0.0604166666666667</v>
      </c>
      <c r="C211" s="8" t="n">
        <v>25425</v>
      </c>
      <c r="D211" s="8" t="s">
        <v>16</v>
      </c>
      <c r="E211" s="8" t="n">
        <v>21960</v>
      </c>
      <c r="F211" s="8" t="n">
        <v>13220</v>
      </c>
      <c r="G211" s="9" t="n">
        <v>8740</v>
      </c>
      <c r="H211" s="8" t="s">
        <v>11</v>
      </c>
      <c r="I211" s="8" t="s">
        <v>12</v>
      </c>
      <c r="J211" s="0" t="s">
        <v>13</v>
      </c>
    </row>
    <row r="212" customFormat="false" ht="13.8" hidden="false" customHeight="false" outlineLevel="0" collapsed="false">
      <c r="A212" s="6" t="n">
        <v>45124</v>
      </c>
      <c r="B212" s="7" t="n">
        <v>0.208333333333333</v>
      </c>
      <c r="C212" s="8" t="n">
        <v>25436</v>
      </c>
      <c r="D212" s="8" t="s">
        <v>14</v>
      </c>
      <c r="E212" s="8" t="n">
        <v>2900</v>
      </c>
      <c r="F212" s="8" t="n">
        <v>2700</v>
      </c>
      <c r="G212" s="9" t="n">
        <v>200</v>
      </c>
      <c r="H212" s="8" t="s">
        <v>11</v>
      </c>
      <c r="I212" s="8" t="s">
        <v>12</v>
      </c>
      <c r="J212" s="0" t="s">
        <v>13</v>
      </c>
    </row>
    <row r="213" customFormat="false" ht="13.8" hidden="false" customHeight="false" outlineLevel="0" collapsed="false">
      <c r="A213" s="6" t="n">
        <v>45124</v>
      </c>
      <c r="B213" s="7" t="n">
        <v>0.245138888888889</v>
      </c>
      <c r="C213" s="8" t="n">
        <v>25442</v>
      </c>
      <c r="D213" s="8" t="s">
        <v>16</v>
      </c>
      <c r="E213" s="8" t="n">
        <v>21440</v>
      </c>
      <c r="F213" s="8" t="n">
        <v>13200</v>
      </c>
      <c r="G213" s="9" t="n">
        <v>8240</v>
      </c>
      <c r="H213" s="8" t="s">
        <v>11</v>
      </c>
      <c r="I213" s="8" t="s">
        <v>12</v>
      </c>
      <c r="J213" s="0" t="s">
        <v>13</v>
      </c>
    </row>
    <row r="214" customFormat="false" ht="13.8" hidden="false" customHeight="false" outlineLevel="0" collapsed="false">
      <c r="A214" s="6" t="n">
        <v>45124</v>
      </c>
      <c r="B214" s="7" t="n">
        <v>0.220138888888889</v>
      </c>
      <c r="C214" s="8" t="n">
        <v>25438</v>
      </c>
      <c r="D214" s="8" t="s">
        <v>20</v>
      </c>
      <c r="E214" s="8" t="n">
        <v>25040</v>
      </c>
      <c r="F214" s="8" t="n">
        <v>15880</v>
      </c>
      <c r="G214" s="9" t="n">
        <v>9160</v>
      </c>
      <c r="H214" s="8" t="s">
        <v>11</v>
      </c>
      <c r="I214" s="8" t="s">
        <v>12</v>
      </c>
      <c r="J214" s="0" t="s">
        <v>13</v>
      </c>
    </row>
    <row r="215" customFormat="false" ht="13.8" hidden="false" customHeight="false" outlineLevel="0" collapsed="false">
      <c r="A215" s="6" t="n">
        <v>45124</v>
      </c>
      <c r="B215" s="7" t="n">
        <v>0.448611111111111</v>
      </c>
      <c r="C215" s="8" t="n">
        <v>25467</v>
      </c>
      <c r="D215" s="8" t="s">
        <v>19</v>
      </c>
      <c r="E215" s="8" t="n">
        <v>2600</v>
      </c>
      <c r="F215" s="8" t="n">
        <v>2400</v>
      </c>
      <c r="G215" s="9" t="n">
        <v>200</v>
      </c>
      <c r="H215" s="8" t="s">
        <v>11</v>
      </c>
      <c r="I215" s="8" t="s">
        <v>12</v>
      </c>
      <c r="J215" s="0" t="s">
        <v>13</v>
      </c>
    </row>
    <row r="216" customFormat="false" ht="13.8" hidden="false" customHeight="false" outlineLevel="0" collapsed="false">
      <c r="A216" s="6" t="n">
        <v>45124</v>
      </c>
      <c r="B216" s="7" t="n">
        <v>0.378472222222222</v>
      </c>
      <c r="C216" s="8" t="n">
        <v>25457</v>
      </c>
      <c r="D216" s="8" t="s">
        <v>17</v>
      </c>
      <c r="E216" s="8" t="n">
        <v>6360</v>
      </c>
      <c r="F216" s="8" t="n">
        <v>5620</v>
      </c>
      <c r="G216" s="9" t="n">
        <v>740</v>
      </c>
      <c r="H216" s="8" t="s">
        <v>11</v>
      </c>
      <c r="I216" s="8" t="s">
        <v>18</v>
      </c>
      <c r="J216" s="0" t="s">
        <v>13</v>
      </c>
    </row>
    <row r="217" customFormat="false" ht="13.8" hidden="false" customHeight="false" outlineLevel="0" collapsed="false">
      <c r="A217" s="6" t="n">
        <v>45124</v>
      </c>
      <c r="B217" s="7" t="n">
        <v>0.458333333333333</v>
      </c>
      <c r="C217" s="8" t="n">
        <v>25470</v>
      </c>
      <c r="D217" s="8" t="s">
        <v>25</v>
      </c>
      <c r="E217" s="8" t="n">
        <v>3660</v>
      </c>
      <c r="F217" s="8" t="n">
        <v>3040</v>
      </c>
      <c r="G217" s="9" t="n">
        <v>620</v>
      </c>
      <c r="H217" s="8" t="s">
        <v>11</v>
      </c>
      <c r="I217" s="8" t="s">
        <v>12</v>
      </c>
      <c r="J217" s="0" t="s">
        <v>13</v>
      </c>
    </row>
    <row r="218" customFormat="false" ht="13.8" hidden="true" customHeight="false" outlineLevel="0" collapsed="false">
      <c r="A218" s="6" t="n">
        <v>45124</v>
      </c>
      <c r="B218" s="7" t="n">
        <v>0.444444444444444</v>
      </c>
      <c r="C218" s="8" t="n">
        <v>4480</v>
      </c>
      <c r="D218" s="8" t="s">
        <v>15</v>
      </c>
      <c r="E218" s="8" t="n">
        <v>18620</v>
      </c>
      <c r="F218" s="8" t="n">
        <v>15760</v>
      </c>
      <c r="G218" s="9" t="n">
        <v>2860</v>
      </c>
      <c r="H218" s="8" t="s">
        <v>11</v>
      </c>
      <c r="I218" s="8" t="s">
        <v>22</v>
      </c>
      <c r="J218" s="10" t="s">
        <v>13</v>
      </c>
    </row>
    <row r="219" customFormat="false" ht="13.8" hidden="false" customHeight="false" outlineLevel="0" collapsed="false">
      <c r="A219" s="6" t="n">
        <v>45124</v>
      </c>
      <c r="B219" s="7" t="n">
        <v>0.719444444444444</v>
      </c>
      <c r="C219" s="8" t="n">
        <v>25492</v>
      </c>
      <c r="D219" s="8" t="s">
        <v>16</v>
      </c>
      <c r="E219" s="8" t="n">
        <v>15980</v>
      </c>
      <c r="F219" s="8" t="n">
        <v>13260</v>
      </c>
      <c r="G219" s="9" t="n">
        <v>2720</v>
      </c>
      <c r="H219" s="8" t="s">
        <v>11</v>
      </c>
      <c r="I219" s="8" t="s">
        <v>12</v>
      </c>
      <c r="J219" s="0" t="s">
        <v>13</v>
      </c>
    </row>
    <row r="220" customFormat="false" ht="13.8" hidden="false" customHeight="false" outlineLevel="0" collapsed="false">
      <c r="A220" s="6" t="n">
        <v>45124</v>
      </c>
      <c r="B220" s="7" t="n">
        <v>0.888194444444444</v>
      </c>
      <c r="C220" s="8" t="n">
        <v>25495</v>
      </c>
      <c r="D220" s="8" t="s">
        <v>14</v>
      </c>
      <c r="E220" s="8" t="n">
        <v>2960</v>
      </c>
      <c r="F220" s="8" t="n">
        <v>2680</v>
      </c>
      <c r="G220" s="9" t="n">
        <v>280</v>
      </c>
      <c r="H220" s="8" t="s">
        <v>11</v>
      </c>
      <c r="I220" s="8" t="s">
        <v>12</v>
      </c>
      <c r="J220" s="0" t="s">
        <v>13</v>
      </c>
    </row>
    <row r="221" customFormat="false" ht="13.8" hidden="false" customHeight="false" outlineLevel="0" collapsed="false">
      <c r="A221" s="6" t="n">
        <v>45124</v>
      </c>
      <c r="B221" s="7" t="n">
        <v>0.875694444444444</v>
      </c>
      <c r="C221" s="8" t="n">
        <v>25494</v>
      </c>
      <c r="D221" s="8" t="s">
        <v>15</v>
      </c>
      <c r="E221" s="8" t="n">
        <v>22460</v>
      </c>
      <c r="F221" s="8" t="n">
        <v>16000</v>
      </c>
      <c r="G221" s="9" t="n">
        <v>6460</v>
      </c>
      <c r="H221" s="8" t="s">
        <v>11</v>
      </c>
      <c r="I221" s="8" t="s">
        <v>12</v>
      </c>
      <c r="J221" s="0" t="s">
        <v>13</v>
      </c>
    </row>
    <row r="222" customFormat="false" ht="13.8" hidden="false" customHeight="false" outlineLevel="0" collapsed="false">
      <c r="A222" s="6" t="n">
        <v>45125</v>
      </c>
      <c r="B222" s="7" t="n">
        <v>0.233333333333333</v>
      </c>
      <c r="C222" s="8" t="n">
        <v>25512</v>
      </c>
      <c r="D222" s="8" t="s">
        <v>15</v>
      </c>
      <c r="E222" s="8" t="n">
        <v>23480</v>
      </c>
      <c r="F222" s="8" t="n">
        <v>15980</v>
      </c>
      <c r="G222" s="9" t="n">
        <v>7500</v>
      </c>
      <c r="H222" s="8" t="s">
        <v>11</v>
      </c>
      <c r="I222" s="8" t="s">
        <v>12</v>
      </c>
      <c r="J222" s="0" t="s">
        <v>13</v>
      </c>
    </row>
    <row r="223" customFormat="false" ht="13.8" hidden="false" customHeight="false" outlineLevel="0" collapsed="false">
      <c r="A223" s="6" t="n">
        <v>45125</v>
      </c>
      <c r="B223" s="7" t="n">
        <v>0.454166666666667</v>
      </c>
      <c r="C223" s="8" t="n">
        <v>25535</v>
      </c>
      <c r="D223" s="8" t="s">
        <v>17</v>
      </c>
      <c r="E223" s="8" t="n">
        <v>6100</v>
      </c>
      <c r="F223" s="8" t="n">
        <v>5480</v>
      </c>
      <c r="G223" s="9" t="n">
        <v>620</v>
      </c>
      <c r="H223" s="8" t="s">
        <v>11</v>
      </c>
      <c r="I223" s="8" t="s">
        <v>18</v>
      </c>
      <c r="J223" s="0" t="s">
        <v>13</v>
      </c>
    </row>
    <row r="224" customFormat="false" ht="13.8" hidden="false" customHeight="false" outlineLevel="0" collapsed="false">
      <c r="A224" s="6" t="n">
        <v>45125</v>
      </c>
      <c r="B224" s="7" t="n">
        <v>0.0201388888888889</v>
      </c>
      <c r="C224" s="8" t="n">
        <v>25497</v>
      </c>
      <c r="D224" s="8" t="s">
        <v>24</v>
      </c>
      <c r="E224" s="8" t="n">
        <v>13140</v>
      </c>
      <c r="F224" s="8" t="n">
        <v>12460</v>
      </c>
      <c r="G224" s="9" t="n">
        <v>680</v>
      </c>
      <c r="H224" s="8" t="s">
        <v>11</v>
      </c>
      <c r="I224" s="8" t="s">
        <v>12</v>
      </c>
      <c r="J224" s="0" t="s">
        <v>13</v>
      </c>
    </row>
    <row r="225" customFormat="false" ht="13.8" hidden="false" customHeight="false" outlineLevel="0" collapsed="false">
      <c r="A225" s="6" t="n">
        <v>45125</v>
      </c>
      <c r="B225" s="7" t="n">
        <v>0.448611111111111</v>
      </c>
      <c r="C225" s="8" t="n">
        <v>25532</v>
      </c>
      <c r="D225" s="8" t="s">
        <v>25</v>
      </c>
      <c r="E225" s="8" t="n">
        <v>3480</v>
      </c>
      <c r="F225" s="8" t="n">
        <v>2960</v>
      </c>
      <c r="G225" s="9" t="n">
        <v>520</v>
      </c>
      <c r="H225" s="8" t="s">
        <v>11</v>
      </c>
      <c r="I225" s="8" t="s">
        <v>12</v>
      </c>
      <c r="J225" s="0" t="s">
        <v>13</v>
      </c>
    </row>
    <row r="226" customFormat="false" ht="13.8" hidden="false" customHeight="false" outlineLevel="0" collapsed="false">
      <c r="A226" s="6" t="n">
        <v>45125</v>
      </c>
      <c r="B226" s="7" t="n">
        <v>0.242361111111111</v>
      </c>
      <c r="C226" s="8" t="n">
        <v>25516</v>
      </c>
      <c r="D226" s="8" t="s">
        <v>16</v>
      </c>
      <c r="E226" s="8" t="n">
        <v>21100</v>
      </c>
      <c r="F226" s="8" t="n">
        <v>13240</v>
      </c>
      <c r="G226" s="9" t="n">
        <v>7860</v>
      </c>
      <c r="H226" s="8" t="s">
        <v>11</v>
      </c>
      <c r="I226" s="8" t="s">
        <v>12</v>
      </c>
      <c r="J226" s="0" t="s">
        <v>13</v>
      </c>
    </row>
    <row r="227" customFormat="false" ht="13.8" hidden="false" customHeight="false" outlineLevel="0" collapsed="false">
      <c r="A227" s="6" t="n">
        <v>45125</v>
      </c>
      <c r="B227" s="7" t="n">
        <v>0.0583333333333333</v>
      </c>
      <c r="C227" s="8" t="n">
        <v>25499</v>
      </c>
      <c r="D227" s="8" t="s">
        <v>16</v>
      </c>
      <c r="E227" s="8" t="n">
        <v>21140</v>
      </c>
      <c r="F227" s="8" t="n">
        <v>13220</v>
      </c>
      <c r="G227" s="9" t="n">
        <v>7920</v>
      </c>
      <c r="H227" s="8" t="s">
        <v>11</v>
      </c>
      <c r="I227" s="8" t="s">
        <v>12</v>
      </c>
      <c r="J227" s="0" t="s">
        <v>13</v>
      </c>
    </row>
    <row r="228" customFormat="false" ht="13.8" hidden="false" customHeight="false" outlineLevel="0" collapsed="false">
      <c r="A228" s="6" t="n">
        <v>45125</v>
      </c>
      <c r="B228" s="7" t="n">
        <v>0.476388888888889</v>
      </c>
      <c r="C228" s="8" t="n">
        <v>25540</v>
      </c>
      <c r="D228" s="8" t="s">
        <v>19</v>
      </c>
      <c r="E228" s="8" t="n">
        <v>2600</v>
      </c>
      <c r="F228" s="8" t="n">
        <v>2320</v>
      </c>
      <c r="G228" s="9" t="n">
        <v>280</v>
      </c>
      <c r="H228" s="8" t="s">
        <v>11</v>
      </c>
      <c r="I228" s="8" t="s">
        <v>12</v>
      </c>
      <c r="J228" s="0" t="s">
        <v>13</v>
      </c>
    </row>
    <row r="229" customFormat="false" ht="13.8" hidden="false" customHeight="false" outlineLevel="0" collapsed="false">
      <c r="A229" s="6" t="n">
        <v>45125</v>
      </c>
      <c r="B229" s="7" t="n">
        <v>0.209722222222222</v>
      </c>
      <c r="C229" s="8" t="n">
        <v>25509</v>
      </c>
      <c r="D229" s="8" t="s">
        <v>10</v>
      </c>
      <c r="E229" s="8" t="n">
        <v>4380</v>
      </c>
      <c r="F229" s="8" t="n">
        <v>3700</v>
      </c>
      <c r="G229" s="9" t="n">
        <v>680</v>
      </c>
      <c r="H229" s="8" t="s">
        <v>11</v>
      </c>
      <c r="I229" s="8" t="s">
        <v>12</v>
      </c>
      <c r="J229" s="0" t="s">
        <v>13</v>
      </c>
    </row>
    <row r="230" customFormat="false" ht="13.8" hidden="false" customHeight="false" outlineLevel="0" collapsed="false">
      <c r="A230" s="6" t="n">
        <v>45125</v>
      </c>
      <c r="B230" s="7" t="n">
        <v>0.111805555555556</v>
      </c>
      <c r="C230" s="8" t="n">
        <v>25501</v>
      </c>
      <c r="D230" s="8" t="s">
        <v>10</v>
      </c>
      <c r="E230" s="8" t="n">
        <v>4580</v>
      </c>
      <c r="F230" s="8" t="n">
        <v>3600</v>
      </c>
      <c r="G230" s="9" t="n">
        <v>980</v>
      </c>
      <c r="H230" s="8" t="s">
        <v>11</v>
      </c>
      <c r="I230" s="8" t="s">
        <v>12</v>
      </c>
      <c r="J230" s="0" t="s">
        <v>13</v>
      </c>
    </row>
    <row r="231" customFormat="false" ht="13.8" hidden="false" customHeight="false" outlineLevel="0" collapsed="false">
      <c r="A231" s="6" t="n">
        <v>45125</v>
      </c>
      <c r="B231" s="7" t="n">
        <v>0.240972222222222</v>
      </c>
      <c r="C231" s="8" t="n">
        <v>25515</v>
      </c>
      <c r="D231" s="8" t="s">
        <v>20</v>
      </c>
      <c r="E231" s="8" t="n">
        <v>25360</v>
      </c>
      <c r="F231" s="8" t="n">
        <v>15840</v>
      </c>
      <c r="G231" s="9" t="n">
        <v>9520</v>
      </c>
      <c r="H231" s="8" t="s">
        <v>11</v>
      </c>
      <c r="I231" s="8" t="s">
        <v>12</v>
      </c>
      <c r="J231" s="0" t="s">
        <v>13</v>
      </c>
    </row>
    <row r="232" customFormat="false" ht="13.8" hidden="true" customHeight="false" outlineLevel="0" collapsed="false">
      <c r="A232" s="6" t="n">
        <v>45125</v>
      </c>
      <c r="B232" s="11" t="n">
        <v>0.472222222222222</v>
      </c>
      <c r="C232" s="12" t="n">
        <v>159754</v>
      </c>
      <c r="D232" s="12" t="s">
        <v>15</v>
      </c>
      <c r="E232" s="12" t="n">
        <v>18140</v>
      </c>
      <c r="F232" s="12" t="n">
        <v>15900</v>
      </c>
      <c r="G232" s="12" t="n">
        <v>2240</v>
      </c>
      <c r="H232" s="12" t="s">
        <v>11</v>
      </c>
      <c r="I232" s="12" t="s">
        <v>21</v>
      </c>
      <c r="J232" s="10" t="s">
        <v>13</v>
      </c>
    </row>
    <row r="233" customFormat="false" ht="13.8" hidden="false" customHeight="false" outlineLevel="0" collapsed="false">
      <c r="A233" s="6" t="n">
        <v>45125</v>
      </c>
      <c r="B233" s="7" t="n">
        <v>0.695833333333333</v>
      </c>
      <c r="C233" s="8" t="n">
        <v>25555</v>
      </c>
      <c r="D233" s="8" t="s">
        <v>16</v>
      </c>
      <c r="E233" s="8" t="n">
        <v>15320</v>
      </c>
      <c r="F233" s="8" t="n">
        <v>13180</v>
      </c>
      <c r="G233" s="9" t="n">
        <v>2140</v>
      </c>
      <c r="H233" s="8" t="s">
        <v>11</v>
      </c>
      <c r="I233" s="8" t="s">
        <v>12</v>
      </c>
      <c r="J233" s="0" t="s">
        <v>13</v>
      </c>
    </row>
    <row r="234" customFormat="false" ht="13.8" hidden="false" customHeight="false" outlineLevel="0" collapsed="false">
      <c r="A234" s="6" t="n">
        <v>45125</v>
      </c>
      <c r="B234" s="7" t="n">
        <v>0.876388888888889</v>
      </c>
      <c r="C234" s="8" t="n">
        <v>25564</v>
      </c>
      <c r="D234" s="8" t="s">
        <v>15</v>
      </c>
      <c r="E234" s="8" t="n">
        <v>23180</v>
      </c>
      <c r="F234" s="8" t="n">
        <v>16060</v>
      </c>
      <c r="G234" s="9" t="n">
        <v>7120</v>
      </c>
      <c r="H234" s="8" t="s">
        <v>11</v>
      </c>
      <c r="I234" s="8" t="s">
        <v>12</v>
      </c>
      <c r="J234" s="0" t="s">
        <v>13</v>
      </c>
    </row>
    <row r="235" customFormat="false" ht="13.8" hidden="false" customHeight="false" outlineLevel="0" collapsed="false">
      <c r="A235" s="6" t="n">
        <v>45125</v>
      </c>
      <c r="B235" s="7" t="n">
        <v>0.870138888888889</v>
      </c>
      <c r="C235" s="8" t="n">
        <v>25563</v>
      </c>
      <c r="D235" s="8" t="s">
        <v>14</v>
      </c>
      <c r="E235" s="8" t="n">
        <v>3020</v>
      </c>
      <c r="F235" s="8" t="n">
        <v>2600</v>
      </c>
      <c r="G235" s="9" t="n">
        <v>420</v>
      </c>
      <c r="H235" s="8" t="s">
        <v>11</v>
      </c>
      <c r="I235" s="8" t="s">
        <v>12</v>
      </c>
      <c r="J235" s="0" t="s">
        <v>13</v>
      </c>
    </row>
    <row r="236" customFormat="false" ht="13.8" hidden="false" customHeight="false" outlineLevel="0" collapsed="false">
      <c r="A236" s="6" t="n">
        <v>45126</v>
      </c>
      <c r="B236" s="7" t="n">
        <v>0.05625</v>
      </c>
      <c r="C236" s="8" t="n">
        <v>25568</v>
      </c>
      <c r="D236" s="8" t="s">
        <v>16</v>
      </c>
      <c r="E236" s="8" t="n">
        <v>22140</v>
      </c>
      <c r="F236" s="8" t="n">
        <v>13160</v>
      </c>
      <c r="G236" s="9" t="n">
        <v>8980</v>
      </c>
      <c r="H236" s="8" t="s">
        <v>11</v>
      </c>
      <c r="I236" s="8" t="s">
        <v>12</v>
      </c>
      <c r="J236" s="0" t="s">
        <v>13</v>
      </c>
    </row>
    <row r="237" customFormat="false" ht="13.8" hidden="false" customHeight="false" outlineLevel="0" collapsed="false">
      <c r="A237" s="6" t="n">
        <v>45126</v>
      </c>
      <c r="B237" s="7" t="n">
        <v>0.214583333333333</v>
      </c>
      <c r="C237" s="8" t="n">
        <v>25578</v>
      </c>
      <c r="D237" s="8" t="s">
        <v>14</v>
      </c>
      <c r="E237" s="8" t="n">
        <v>3500</v>
      </c>
      <c r="F237" s="8" t="n">
        <v>2820</v>
      </c>
      <c r="G237" s="9" t="n">
        <v>680</v>
      </c>
      <c r="H237" s="8" t="s">
        <v>11</v>
      </c>
      <c r="I237" s="8" t="s">
        <v>12</v>
      </c>
      <c r="J237" s="0" t="s">
        <v>13</v>
      </c>
    </row>
    <row r="238" customFormat="false" ht="13.8" hidden="false" customHeight="false" outlineLevel="0" collapsed="false">
      <c r="A238" s="6" t="n">
        <v>45126</v>
      </c>
      <c r="B238" s="7" t="n">
        <v>0.472222222222222</v>
      </c>
      <c r="C238" s="8" t="n">
        <v>25613</v>
      </c>
      <c r="D238" s="8" t="s">
        <v>25</v>
      </c>
      <c r="E238" s="8" t="n">
        <v>3080</v>
      </c>
      <c r="F238" s="8" t="n">
        <v>2840</v>
      </c>
      <c r="G238" s="9" t="n">
        <v>240</v>
      </c>
      <c r="H238" s="8" t="s">
        <v>11</v>
      </c>
      <c r="I238" s="8" t="s">
        <v>12</v>
      </c>
      <c r="J238" s="0" t="s">
        <v>13</v>
      </c>
    </row>
    <row r="239" customFormat="false" ht="13.8" hidden="false" customHeight="false" outlineLevel="0" collapsed="false">
      <c r="A239" s="6" t="n">
        <v>45126</v>
      </c>
      <c r="B239" s="7" t="n">
        <v>0.445833333333333</v>
      </c>
      <c r="C239" s="8" t="n">
        <v>25608</v>
      </c>
      <c r="D239" s="8" t="s">
        <v>17</v>
      </c>
      <c r="E239" s="8" t="n">
        <v>6320</v>
      </c>
      <c r="F239" s="8" t="n">
        <v>5460</v>
      </c>
      <c r="G239" s="9" t="n">
        <v>860</v>
      </c>
      <c r="H239" s="8" t="s">
        <v>11</v>
      </c>
      <c r="I239" s="8" t="s">
        <v>18</v>
      </c>
      <c r="J239" s="0" t="s">
        <v>13</v>
      </c>
    </row>
    <row r="240" customFormat="false" ht="13.8" hidden="false" customHeight="false" outlineLevel="0" collapsed="false">
      <c r="A240" s="6" t="n">
        <v>45126</v>
      </c>
      <c r="B240" s="7" t="n">
        <v>0.19375</v>
      </c>
      <c r="C240" s="8" t="n">
        <v>25576</v>
      </c>
      <c r="D240" s="8" t="s">
        <v>25</v>
      </c>
      <c r="E240" s="8" t="n">
        <v>3780</v>
      </c>
      <c r="F240" s="8" t="n">
        <v>2940</v>
      </c>
      <c r="G240" s="9" t="n">
        <v>840</v>
      </c>
      <c r="H240" s="8" t="s">
        <v>11</v>
      </c>
      <c r="I240" s="8" t="s">
        <v>12</v>
      </c>
      <c r="J240" s="0" t="s">
        <v>13</v>
      </c>
    </row>
    <row r="241" customFormat="false" ht="13.8" hidden="false" customHeight="false" outlineLevel="0" collapsed="false">
      <c r="A241" s="6" t="n">
        <v>45126</v>
      </c>
      <c r="B241" s="7" t="n">
        <v>0.244444444444444</v>
      </c>
      <c r="C241" s="8" t="n">
        <v>25582</v>
      </c>
      <c r="D241" s="8" t="s">
        <v>20</v>
      </c>
      <c r="E241" s="8" t="n">
        <v>21320</v>
      </c>
      <c r="F241" s="8" t="n">
        <v>15780</v>
      </c>
      <c r="G241" s="9" t="n">
        <v>5540</v>
      </c>
      <c r="H241" s="8" t="s">
        <v>11</v>
      </c>
      <c r="I241" s="8" t="s">
        <v>12</v>
      </c>
      <c r="J241" s="0" t="s">
        <v>13</v>
      </c>
    </row>
    <row r="242" customFormat="false" ht="13.8" hidden="false" customHeight="false" outlineLevel="0" collapsed="false">
      <c r="A242" s="6" t="n">
        <v>45126</v>
      </c>
      <c r="B242" s="7" t="n">
        <v>0.135416666666667</v>
      </c>
      <c r="C242" s="8" t="n">
        <v>25572</v>
      </c>
      <c r="D242" s="8" t="s">
        <v>20</v>
      </c>
      <c r="E242" s="8" t="n">
        <v>24260</v>
      </c>
      <c r="F242" s="8" t="n">
        <v>15800</v>
      </c>
      <c r="G242" s="9" t="n">
        <v>8460</v>
      </c>
      <c r="H242" s="8" t="s">
        <v>11</v>
      </c>
      <c r="I242" s="8" t="s">
        <v>12</v>
      </c>
      <c r="J242" s="0" t="s">
        <v>13</v>
      </c>
    </row>
    <row r="243" customFormat="false" ht="13.8" hidden="false" customHeight="false" outlineLevel="0" collapsed="false">
      <c r="A243" s="6" t="n">
        <v>45126</v>
      </c>
      <c r="B243" s="7" t="n">
        <v>0.335416666666667</v>
      </c>
      <c r="C243" s="8" t="n">
        <v>25595</v>
      </c>
      <c r="D243" s="8" t="s">
        <v>17</v>
      </c>
      <c r="E243" s="8" t="n">
        <v>6900</v>
      </c>
      <c r="F243" s="8" t="n">
        <v>5480</v>
      </c>
      <c r="G243" s="9" t="n">
        <v>1420</v>
      </c>
      <c r="H243" s="8" t="s">
        <v>11</v>
      </c>
      <c r="I243" s="8" t="s">
        <v>18</v>
      </c>
      <c r="J243" s="0" t="s">
        <v>13</v>
      </c>
    </row>
    <row r="244" customFormat="false" ht="13.8" hidden="false" customHeight="false" outlineLevel="0" collapsed="false">
      <c r="A244" s="6" t="n">
        <v>45126</v>
      </c>
      <c r="B244" s="7" t="n">
        <v>0.251388888888889</v>
      </c>
      <c r="C244" s="8" t="n">
        <v>25583</v>
      </c>
      <c r="D244" s="8" t="s">
        <v>16</v>
      </c>
      <c r="E244" s="8" t="n">
        <v>22880</v>
      </c>
      <c r="F244" s="8" t="n">
        <v>13180</v>
      </c>
      <c r="G244" s="9" t="n">
        <v>9700</v>
      </c>
      <c r="H244" s="8" t="s">
        <v>11</v>
      </c>
      <c r="I244" s="8" t="s">
        <v>12</v>
      </c>
      <c r="J244" s="0" t="s">
        <v>13</v>
      </c>
    </row>
    <row r="245" customFormat="false" ht="13.8" hidden="false" customHeight="false" outlineLevel="0" collapsed="false">
      <c r="A245" s="6" t="n">
        <v>45126</v>
      </c>
      <c r="B245" s="7" t="n">
        <v>0.447916666666667</v>
      </c>
      <c r="C245" s="8" t="n">
        <v>25607</v>
      </c>
      <c r="D245" s="8" t="s">
        <v>19</v>
      </c>
      <c r="E245" s="8" t="n">
        <v>2680</v>
      </c>
      <c r="F245" s="8" t="n">
        <v>2420</v>
      </c>
      <c r="G245" s="9" t="n">
        <v>260</v>
      </c>
      <c r="H245" s="8" t="s">
        <v>11</v>
      </c>
      <c r="I245" s="8" t="s">
        <v>12</v>
      </c>
      <c r="J245" s="0" t="s">
        <v>13</v>
      </c>
    </row>
    <row r="246" customFormat="false" ht="13.8" hidden="false" customHeight="false" outlineLevel="0" collapsed="false">
      <c r="A246" s="6" t="n">
        <v>45126</v>
      </c>
      <c r="B246" s="7" t="n">
        <v>0.888888888888889</v>
      </c>
      <c r="C246" s="8" t="n">
        <v>25635</v>
      </c>
      <c r="D246" s="8" t="s">
        <v>14</v>
      </c>
      <c r="E246" s="8" t="n">
        <v>3240</v>
      </c>
      <c r="F246" s="8" t="n">
        <v>2680</v>
      </c>
      <c r="G246" s="9" t="n">
        <v>560</v>
      </c>
      <c r="H246" s="8" t="s">
        <v>11</v>
      </c>
      <c r="I246" s="8" t="s">
        <v>12</v>
      </c>
      <c r="J246" s="0" t="s">
        <v>13</v>
      </c>
    </row>
    <row r="247" customFormat="false" ht="13.8" hidden="false" customHeight="false" outlineLevel="0" collapsed="false">
      <c r="A247" s="6" t="n">
        <v>45126</v>
      </c>
      <c r="B247" s="7" t="n">
        <v>0.697916666666667</v>
      </c>
      <c r="C247" s="8" t="n">
        <v>25627</v>
      </c>
      <c r="D247" s="8" t="s">
        <v>16</v>
      </c>
      <c r="E247" s="8" t="n">
        <v>15560</v>
      </c>
      <c r="F247" s="8" t="n">
        <v>13240</v>
      </c>
      <c r="G247" s="9" t="n">
        <v>2320</v>
      </c>
      <c r="H247" s="8" t="s">
        <v>11</v>
      </c>
      <c r="I247" s="8" t="s">
        <v>12</v>
      </c>
      <c r="J247" s="0" t="s">
        <v>13</v>
      </c>
    </row>
    <row r="248" customFormat="false" ht="13.8" hidden="false" customHeight="false" outlineLevel="0" collapsed="false">
      <c r="A248" s="6" t="n">
        <v>45126</v>
      </c>
      <c r="B248" s="7" t="n">
        <v>0.479166666666667</v>
      </c>
      <c r="C248" s="8" t="n">
        <v>25614</v>
      </c>
      <c r="D248" s="8" t="s">
        <v>28</v>
      </c>
      <c r="E248" s="8" t="n">
        <v>18620</v>
      </c>
      <c r="F248" s="8" t="n">
        <v>16180</v>
      </c>
      <c r="G248" s="9" t="n">
        <v>2440</v>
      </c>
      <c r="H248" s="8" t="s">
        <v>11</v>
      </c>
      <c r="I248" s="8" t="s">
        <v>12</v>
      </c>
      <c r="J248" s="0" t="s">
        <v>13</v>
      </c>
    </row>
    <row r="249" customFormat="false" ht="13.8" hidden="false" customHeight="false" outlineLevel="0" collapsed="false">
      <c r="A249" s="6" t="n">
        <v>45126</v>
      </c>
      <c r="B249" s="7" t="n">
        <v>0.870138888888889</v>
      </c>
      <c r="C249" s="8" t="n">
        <v>25634</v>
      </c>
      <c r="D249" s="8" t="s">
        <v>15</v>
      </c>
      <c r="E249" s="8" t="n">
        <v>24180</v>
      </c>
      <c r="F249" s="8" t="n">
        <v>16040</v>
      </c>
      <c r="G249" s="9" t="n">
        <v>8140</v>
      </c>
      <c r="H249" s="8" t="s">
        <v>11</v>
      </c>
      <c r="I249" s="8" t="s">
        <v>12</v>
      </c>
      <c r="J249" s="0" t="s">
        <v>13</v>
      </c>
    </row>
    <row r="250" customFormat="false" ht="13.8" hidden="false" customHeight="false" outlineLevel="0" collapsed="false">
      <c r="A250" s="6" t="n">
        <v>45127</v>
      </c>
      <c r="B250" s="7" t="n">
        <v>0.890972222222222</v>
      </c>
      <c r="C250" s="8" t="n">
        <v>25704</v>
      </c>
      <c r="D250" s="8" t="s">
        <v>14</v>
      </c>
      <c r="E250" s="8" t="n">
        <v>3100</v>
      </c>
      <c r="F250" s="8" t="n">
        <v>2680</v>
      </c>
      <c r="G250" s="9" t="n">
        <v>420</v>
      </c>
      <c r="H250" s="8" t="s">
        <v>11</v>
      </c>
      <c r="I250" s="8" t="s">
        <v>12</v>
      </c>
      <c r="J250" s="0" t="s">
        <v>13</v>
      </c>
    </row>
    <row r="251" customFormat="false" ht="13.8" hidden="false" customHeight="false" outlineLevel="0" collapsed="false">
      <c r="A251" s="6" t="n">
        <v>45127</v>
      </c>
      <c r="B251" s="7" t="n">
        <v>0.878472222222222</v>
      </c>
      <c r="C251" s="8" t="n">
        <v>25702</v>
      </c>
      <c r="D251" s="8" t="s">
        <v>15</v>
      </c>
      <c r="E251" s="8" t="n">
        <v>24260</v>
      </c>
      <c r="F251" s="8" t="n">
        <v>16060</v>
      </c>
      <c r="G251" s="9" t="n">
        <v>8200</v>
      </c>
      <c r="H251" s="8" t="s">
        <v>11</v>
      </c>
      <c r="I251" s="8" t="s">
        <v>12</v>
      </c>
      <c r="J251" s="0" t="s">
        <v>13</v>
      </c>
    </row>
    <row r="252" customFormat="false" ht="13.8" hidden="false" customHeight="false" outlineLevel="0" collapsed="false">
      <c r="A252" s="6" t="n">
        <v>45127</v>
      </c>
      <c r="B252" s="7" t="n">
        <v>0.700694444444444</v>
      </c>
      <c r="C252" s="8" t="n">
        <v>25696</v>
      </c>
      <c r="D252" s="8" t="s">
        <v>16</v>
      </c>
      <c r="E252" s="8" t="n">
        <v>15840</v>
      </c>
      <c r="F252" s="8" t="n">
        <v>13140</v>
      </c>
      <c r="G252" s="9" t="n">
        <v>2700</v>
      </c>
      <c r="H252" s="8" t="s">
        <v>11</v>
      </c>
      <c r="I252" s="8" t="s">
        <v>12</v>
      </c>
      <c r="J252" s="0" t="s">
        <v>13</v>
      </c>
    </row>
    <row r="253" customFormat="false" ht="13.8" hidden="false" customHeight="false" outlineLevel="0" collapsed="false">
      <c r="A253" s="6" t="n">
        <v>45127</v>
      </c>
      <c r="B253" s="7" t="n">
        <v>0.540972222222222</v>
      </c>
      <c r="C253" s="8" t="n">
        <v>25686</v>
      </c>
      <c r="D253" s="8" t="s">
        <v>14</v>
      </c>
      <c r="E253" s="8" t="n">
        <v>3240</v>
      </c>
      <c r="F253" s="8" t="n">
        <v>2680</v>
      </c>
      <c r="G253" s="9" t="n">
        <v>560</v>
      </c>
      <c r="H253" s="8" t="s">
        <v>11</v>
      </c>
      <c r="I253" s="8" t="s">
        <v>27</v>
      </c>
      <c r="J253" s="0" t="s">
        <v>13</v>
      </c>
    </row>
    <row r="254" customFormat="false" ht="13.8" hidden="false" customHeight="false" outlineLevel="0" collapsed="false">
      <c r="A254" s="6" t="n">
        <v>45127</v>
      </c>
      <c r="B254" s="7" t="n">
        <v>0.503472222222222</v>
      </c>
      <c r="C254" s="8" t="n">
        <v>25682</v>
      </c>
      <c r="D254" s="8" t="s">
        <v>25</v>
      </c>
      <c r="E254" s="8" t="n">
        <v>3080</v>
      </c>
      <c r="F254" s="8" t="n">
        <v>2760</v>
      </c>
      <c r="G254" s="9" t="n">
        <v>320</v>
      </c>
      <c r="H254" s="8" t="s">
        <v>11</v>
      </c>
      <c r="I254" s="8" t="s">
        <v>18</v>
      </c>
      <c r="J254" s="0" t="s">
        <v>13</v>
      </c>
    </row>
    <row r="255" customFormat="false" ht="13.8" hidden="false" customHeight="false" outlineLevel="0" collapsed="false">
      <c r="A255" s="6" t="n">
        <v>45127</v>
      </c>
      <c r="B255" s="7" t="n">
        <v>0.245138888888889</v>
      </c>
      <c r="C255" s="8" t="n">
        <v>25654</v>
      </c>
      <c r="D255" s="8" t="s">
        <v>16</v>
      </c>
      <c r="E255" s="8" t="n">
        <v>21800</v>
      </c>
      <c r="F255" s="8" t="n">
        <v>13220</v>
      </c>
      <c r="G255" s="9" t="n">
        <v>8580</v>
      </c>
      <c r="H255" s="8" t="s">
        <v>11</v>
      </c>
      <c r="I255" s="8" t="s">
        <v>12</v>
      </c>
      <c r="J255" s="0" t="s">
        <v>13</v>
      </c>
    </row>
    <row r="256" customFormat="false" ht="13.8" hidden="false" customHeight="false" outlineLevel="0" collapsed="false">
      <c r="A256" s="6" t="n">
        <v>45127</v>
      </c>
      <c r="B256" s="7" t="n">
        <v>0.0673611111111111</v>
      </c>
      <c r="C256" s="8" t="n">
        <v>25638</v>
      </c>
      <c r="D256" s="8" t="s">
        <v>16</v>
      </c>
      <c r="E256" s="8" t="n">
        <v>21660</v>
      </c>
      <c r="F256" s="8" t="n">
        <v>13220</v>
      </c>
      <c r="G256" s="9" t="n">
        <v>8440</v>
      </c>
      <c r="H256" s="8" t="s">
        <v>11</v>
      </c>
      <c r="I256" s="8" t="s">
        <v>12</v>
      </c>
      <c r="J256" s="0" t="s">
        <v>13</v>
      </c>
    </row>
    <row r="257" customFormat="false" ht="13.8" hidden="false" customHeight="false" outlineLevel="0" collapsed="false">
      <c r="A257" s="6" t="n">
        <v>45127</v>
      </c>
      <c r="B257" s="7" t="n">
        <v>0.215972222222222</v>
      </c>
      <c r="C257" s="8" t="n">
        <v>25650</v>
      </c>
      <c r="D257" s="8" t="s">
        <v>10</v>
      </c>
      <c r="E257" s="8" t="n">
        <v>4340</v>
      </c>
      <c r="F257" s="8" t="n">
        <v>3760</v>
      </c>
      <c r="G257" s="9" t="n">
        <v>580</v>
      </c>
      <c r="H257" s="8" t="s">
        <v>11</v>
      </c>
      <c r="I257" s="8" t="s">
        <v>12</v>
      </c>
      <c r="J257" s="0" t="s">
        <v>13</v>
      </c>
    </row>
    <row r="258" customFormat="false" ht="13.8" hidden="false" customHeight="false" outlineLevel="0" collapsed="false">
      <c r="A258" s="6" t="n">
        <v>45127</v>
      </c>
      <c r="B258" s="7" t="n">
        <v>0.247916666666667</v>
      </c>
      <c r="C258" s="8" t="n">
        <v>25655</v>
      </c>
      <c r="D258" s="8" t="s">
        <v>20</v>
      </c>
      <c r="E258" s="8" t="n">
        <v>20280</v>
      </c>
      <c r="F258" s="8" t="n">
        <v>15820</v>
      </c>
      <c r="G258" s="9" t="n">
        <v>4460</v>
      </c>
      <c r="H258" s="8" t="s">
        <v>11</v>
      </c>
      <c r="I258" s="8" t="s">
        <v>12</v>
      </c>
      <c r="J258" s="0" t="s">
        <v>13</v>
      </c>
    </row>
    <row r="259" customFormat="false" ht="13.8" hidden="false" customHeight="false" outlineLevel="0" collapsed="false">
      <c r="A259" s="6" t="n">
        <v>45127</v>
      </c>
      <c r="B259" s="7" t="n">
        <v>0.145833333333333</v>
      </c>
      <c r="C259" s="8" t="n">
        <v>25645</v>
      </c>
      <c r="D259" s="8" t="s">
        <v>10</v>
      </c>
      <c r="E259" s="8" t="n">
        <v>4680</v>
      </c>
      <c r="F259" s="8" t="n">
        <v>3600</v>
      </c>
      <c r="G259" s="9" t="n">
        <v>1080</v>
      </c>
      <c r="H259" s="8" t="s">
        <v>11</v>
      </c>
      <c r="I259" s="8" t="s">
        <v>12</v>
      </c>
      <c r="J259" s="0" t="s">
        <v>13</v>
      </c>
    </row>
    <row r="260" customFormat="false" ht="13.8" hidden="false" customHeight="false" outlineLevel="0" collapsed="false">
      <c r="A260" s="6" t="n">
        <v>45127</v>
      </c>
      <c r="B260" s="7" t="n">
        <v>0.422916666666667</v>
      </c>
      <c r="C260" s="8" t="n">
        <v>25673</v>
      </c>
      <c r="D260" s="8" t="s">
        <v>25</v>
      </c>
      <c r="E260" s="8" t="n">
        <v>3440</v>
      </c>
      <c r="F260" s="8" t="n">
        <v>2760</v>
      </c>
      <c r="G260" s="9" t="n">
        <v>680</v>
      </c>
      <c r="H260" s="8" t="s">
        <v>11</v>
      </c>
      <c r="I260" s="8" t="s">
        <v>18</v>
      </c>
      <c r="J260" s="0" t="s">
        <v>13</v>
      </c>
    </row>
    <row r="261" customFormat="false" ht="13.8" hidden="false" customHeight="false" outlineLevel="0" collapsed="false">
      <c r="A261" s="6" t="n">
        <v>45127</v>
      </c>
      <c r="B261" s="7" t="n">
        <v>0.368055555555556</v>
      </c>
      <c r="C261" s="8" t="n">
        <v>25670</v>
      </c>
      <c r="D261" s="8" t="s">
        <v>25</v>
      </c>
      <c r="E261" s="8" t="n">
        <v>3340</v>
      </c>
      <c r="F261" s="8" t="n">
        <v>2760</v>
      </c>
      <c r="G261" s="9" t="n">
        <v>580</v>
      </c>
      <c r="H261" s="8" t="s">
        <v>11</v>
      </c>
      <c r="I261" s="8" t="s">
        <v>12</v>
      </c>
      <c r="J261" s="0" t="s">
        <v>13</v>
      </c>
    </row>
    <row r="262" customFormat="false" ht="13.8" hidden="false" customHeight="false" outlineLevel="0" collapsed="false">
      <c r="A262" s="6" t="n">
        <v>45127</v>
      </c>
      <c r="B262" s="7" t="n">
        <v>0.136805555555556</v>
      </c>
      <c r="C262" s="8" t="n">
        <v>25644</v>
      </c>
      <c r="D262" s="8" t="s">
        <v>20</v>
      </c>
      <c r="E262" s="8" t="n">
        <v>24660</v>
      </c>
      <c r="F262" s="8" t="n">
        <v>15840</v>
      </c>
      <c r="G262" s="9" t="n">
        <v>8820</v>
      </c>
      <c r="H262" s="8" t="s">
        <v>11</v>
      </c>
      <c r="I262" s="8" t="s">
        <v>12</v>
      </c>
      <c r="J262" s="0" t="s">
        <v>13</v>
      </c>
    </row>
    <row r="263" customFormat="false" ht="13.8" hidden="true" customHeight="false" outlineLevel="0" collapsed="false">
      <c r="A263" s="6" t="n">
        <v>45127</v>
      </c>
      <c r="B263" s="7" t="n">
        <v>0.472916666666667</v>
      </c>
      <c r="C263" s="8" t="n">
        <v>159958</v>
      </c>
      <c r="D263" s="8" t="s">
        <v>15</v>
      </c>
      <c r="E263" s="8" t="n">
        <v>17680</v>
      </c>
      <c r="F263" s="8" t="n">
        <v>16140</v>
      </c>
      <c r="G263" s="9" t="n">
        <v>1540</v>
      </c>
      <c r="H263" s="8" t="s">
        <v>11</v>
      </c>
      <c r="I263" s="8" t="s">
        <v>21</v>
      </c>
      <c r="J263" s="10" t="s">
        <v>13</v>
      </c>
    </row>
    <row r="264" customFormat="false" ht="13.8" hidden="false" customHeight="false" outlineLevel="0" collapsed="false">
      <c r="A264" s="6" t="n">
        <v>45128</v>
      </c>
      <c r="B264" s="7" t="n">
        <v>0.0229166666666667</v>
      </c>
      <c r="C264" s="8" t="n">
        <v>25707</v>
      </c>
      <c r="D264" s="8" t="s">
        <v>24</v>
      </c>
      <c r="E264" s="8" t="n">
        <v>14460</v>
      </c>
      <c r="F264" s="8" t="n">
        <v>12420</v>
      </c>
      <c r="G264" s="9" t="n">
        <v>2040</v>
      </c>
      <c r="H264" s="8" t="s">
        <v>11</v>
      </c>
      <c r="I264" s="8" t="s">
        <v>12</v>
      </c>
      <c r="J264" s="0" t="s">
        <v>13</v>
      </c>
    </row>
    <row r="265" customFormat="false" ht="13.8" hidden="false" customHeight="false" outlineLevel="0" collapsed="false">
      <c r="A265" s="6" t="n">
        <v>45128</v>
      </c>
      <c r="B265" s="7" t="n">
        <v>0.116666666666667</v>
      </c>
      <c r="C265" s="8" t="n">
        <v>25712</v>
      </c>
      <c r="D265" s="8" t="s">
        <v>10</v>
      </c>
      <c r="E265" s="8" t="n">
        <v>4660</v>
      </c>
      <c r="F265" s="8" t="n">
        <v>3580</v>
      </c>
      <c r="G265" s="9" t="n">
        <v>1080</v>
      </c>
      <c r="H265" s="8" t="s">
        <v>11</v>
      </c>
      <c r="I265" s="8" t="s">
        <v>12</v>
      </c>
      <c r="J265" s="0" t="s">
        <v>13</v>
      </c>
    </row>
    <row r="266" customFormat="false" ht="13.8" hidden="false" customHeight="false" outlineLevel="0" collapsed="false">
      <c r="A266" s="6" t="n">
        <v>45128</v>
      </c>
      <c r="B266" s="7" t="n">
        <v>0.2125</v>
      </c>
      <c r="C266" s="8" t="n">
        <v>25718</v>
      </c>
      <c r="D266" s="8" t="s">
        <v>10</v>
      </c>
      <c r="E266" s="8" t="n">
        <v>4280</v>
      </c>
      <c r="F266" s="8" t="n">
        <v>3680</v>
      </c>
      <c r="G266" s="9" t="n">
        <v>600</v>
      </c>
      <c r="H266" s="8" t="s">
        <v>11</v>
      </c>
      <c r="I266" s="8" t="s">
        <v>12</v>
      </c>
      <c r="J266" s="0" t="s">
        <v>13</v>
      </c>
    </row>
    <row r="267" customFormat="false" ht="13.8" hidden="false" customHeight="false" outlineLevel="0" collapsed="false">
      <c r="A267" s="6" t="n">
        <v>45128</v>
      </c>
      <c r="B267" s="7" t="n">
        <v>0.247916666666667</v>
      </c>
      <c r="C267" s="8" t="n">
        <v>25723</v>
      </c>
      <c r="D267" s="8" t="s">
        <v>20</v>
      </c>
      <c r="E267" s="8" t="n">
        <v>27600</v>
      </c>
      <c r="F267" s="8" t="n">
        <v>15840</v>
      </c>
      <c r="G267" s="9" t="n">
        <v>11760</v>
      </c>
      <c r="H267" s="8" t="s">
        <v>11</v>
      </c>
      <c r="I267" s="8" t="s">
        <v>12</v>
      </c>
      <c r="J267" s="0" t="s">
        <v>13</v>
      </c>
    </row>
    <row r="268" customFormat="false" ht="13.8" hidden="false" customHeight="false" outlineLevel="0" collapsed="false">
      <c r="A268" s="6" t="n">
        <v>45128</v>
      </c>
      <c r="B268" s="7" t="n">
        <v>0.241666666666667</v>
      </c>
      <c r="C268" s="8" t="n">
        <v>25722</v>
      </c>
      <c r="D268" s="8" t="s">
        <v>16</v>
      </c>
      <c r="E268" s="8" t="n">
        <v>22920</v>
      </c>
      <c r="F268" s="8" t="n">
        <v>13120</v>
      </c>
      <c r="G268" s="9" t="n">
        <v>9800</v>
      </c>
      <c r="H268" s="8" t="s">
        <v>11</v>
      </c>
      <c r="I268" s="8" t="s">
        <v>12</v>
      </c>
      <c r="J268" s="0" t="s">
        <v>13</v>
      </c>
    </row>
    <row r="269" customFormat="false" ht="13.8" hidden="false" customHeight="false" outlineLevel="0" collapsed="false">
      <c r="A269" s="6" t="n">
        <v>45128</v>
      </c>
      <c r="B269" s="7" t="n">
        <v>0.0583333333333333</v>
      </c>
      <c r="C269" s="8" t="n">
        <v>25708</v>
      </c>
      <c r="D269" s="8" t="s">
        <v>16</v>
      </c>
      <c r="E269" s="8" t="n">
        <v>21280</v>
      </c>
      <c r="F269" s="8" t="n">
        <v>13100</v>
      </c>
      <c r="G269" s="9" t="n">
        <v>8180</v>
      </c>
      <c r="H269" s="8" t="s">
        <v>11</v>
      </c>
      <c r="I269" s="8" t="s">
        <v>12</v>
      </c>
      <c r="J269" s="0" t="s">
        <v>13</v>
      </c>
    </row>
    <row r="270" customFormat="false" ht="13.8" hidden="false" customHeight="false" outlineLevel="0" collapsed="false">
      <c r="A270" s="6" t="n">
        <v>45128</v>
      </c>
      <c r="B270" s="7" t="n">
        <v>0.234027777777778</v>
      </c>
      <c r="C270" s="8" t="n">
        <v>25721</v>
      </c>
      <c r="D270" s="8" t="s">
        <v>15</v>
      </c>
      <c r="E270" s="8" t="n">
        <v>23320</v>
      </c>
      <c r="F270" s="8" t="n">
        <v>16040</v>
      </c>
      <c r="G270" s="9" t="n">
        <v>7280</v>
      </c>
      <c r="H270" s="8" t="s">
        <v>11</v>
      </c>
      <c r="I270" s="8" t="s">
        <v>12</v>
      </c>
      <c r="J270" s="0" t="s">
        <v>13</v>
      </c>
    </row>
    <row r="271" customFormat="false" ht="13.8" hidden="true" customHeight="false" outlineLevel="0" collapsed="false">
      <c r="A271" s="6" t="n">
        <v>45128</v>
      </c>
      <c r="B271" s="7" t="n">
        <v>0.445833333333333</v>
      </c>
      <c r="C271" s="8" t="n">
        <v>19000</v>
      </c>
      <c r="D271" s="8" t="s">
        <v>15</v>
      </c>
      <c r="E271" s="8" t="n">
        <v>19000</v>
      </c>
      <c r="F271" s="8" t="n">
        <v>15760</v>
      </c>
      <c r="G271" s="9" t="n">
        <v>3240</v>
      </c>
      <c r="H271" s="8" t="s">
        <v>11</v>
      </c>
      <c r="I271" s="8" t="s">
        <v>22</v>
      </c>
      <c r="J271" s="10" t="s">
        <v>13</v>
      </c>
    </row>
    <row r="272" customFormat="false" ht="13.8" hidden="false" customHeight="false" outlineLevel="0" collapsed="false">
      <c r="A272" s="6" t="n">
        <v>45128</v>
      </c>
      <c r="B272" s="7" t="n">
        <v>0.463888888888889</v>
      </c>
      <c r="C272" s="8" t="n">
        <v>25738</v>
      </c>
      <c r="D272" s="8" t="s">
        <v>25</v>
      </c>
      <c r="E272" s="8" t="n">
        <v>3180</v>
      </c>
      <c r="F272" s="8" t="n">
        <v>2820</v>
      </c>
      <c r="G272" s="9" t="n">
        <v>360</v>
      </c>
      <c r="H272" s="8" t="s">
        <v>11</v>
      </c>
      <c r="I272" s="8" t="s">
        <v>12</v>
      </c>
      <c r="J272" s="0" t="s">
        <v>13</v>
      </c>
    </row>
    <row r="273" customFormat="false" ht="13.8" hidden="false" customHeight="false" outlineLevel="0" collapsed="false">
      <c r="A273" s="6" t="n">
        <v>45128</v>
      </c>
      <c r="B273" s="7" t="n">
        <v>0.708333333333333</v>
      </c>
      <c r="C273" s="8" t="n">
        <v>25751</v>
      </c>
      <c r="D273" s="8" t="s">
        <v>16</v>
      </c>
      <c r="E273" s="8" t="n">
        <v>15860</v>
      </c>
      <c r="F273" s="8" t="n">
        <v>13220</v>
      </c>
      <c r="G273" s="9" t="n">
        <v>2640</v>
      </c>
      <c r="H273" s="8" t="s">
        <v>11</v>
      </c>
      <c r="I273" s="8" t="s">
        <v>12</v>
      </c>
      <c r="J273" s="0" t="s">
        <v>13</v>
      </c>
    </row>
    <row r="274" customFormat="false" ht="13.8" hidden="false" customHeight="false" outlineLevel="0" collapsed="false">
      <c r="A274" s="6" t="n">
        <v>45128</v>
      </c>
      <c r="B274" s="7" t="n">
        <v>0.448611111111111</v>
      </c>
      <c r="C274" s="8" t="n">
        <v>25735</v>
      </c>
      <c r="D274" s="8" t="s">
        <v>19</v>
      </c>
      <c r="E274" s="8" t="n">
        <v>1700</v>
      </c>
      <c r="F274" s="8" t="n">
        <v>1240</v>
      </c>
      <c r="G274" s="9" t="n">
        <v>460</v>
      </c>
      <c r="H274" s="8" t="s">
        <v>11</v>
      </c>
      <c r="I274" s="8" t="s">
        <v>12</v>
      </c>
      <c r="J274" s="0" t="s">
        <v>13</v>
      </c>
    </row>
    <row r="275" customFormat="false" ht="13.8" hidden="false" customHeight="false" outlineLevel="0" collapsed="false">
      <c r="A275" s="6" t="n">
        <v>45128</v>
      </c>
      <c r="B275" s="7" t="n">
        <v>0.876388888888889</v>
      </c>
      <c r="C275" s="8" t="n">
        <v>25756</v>
      </c>
      <c r="D275" s="8" t="s">
        <v>15</v>
      </c>
      <c r="E275" s="8" t="n">
        <v>23540</v>
      </c>
      <c r="F275" s="8" t="n">
        <v>16100</v>
      </c>
      <c r="G275" s="9" t="n">
        <v>7440</v>
      </c>
      <c r="H275" s="8" t="s">
        <v>11</v>
      </c>
      <c r="I275" s="8" t="s">
        <v>12</v>
      </c>
      <c r="J275" s="0" t="s">
        <v>13</v>
      </c>
    </row>
    <row r="276" customFormat="false" ht="13.8" hidden="false" customHeight="false" outlineLevel="0" collapsed="false">
      <c r="A276" s="6" t="n">
        <v>45128</v>
      </c>
      <c r="B276" s="7" t="n">
        <v>0.890972222222222</v>
      </c>
      <c r="C276" s="8" t="n">
        <v>25758</v>
      </c>
      <c r="D276" s="8" t="s">
        <v>14</v>
      </c>
      <c r="E276" s="8" t="n">
        <v>3060</v>
      </c>
      <c r="F276" s="8" t="n">
        <v>2680</v>
      </c>
      <c r="G276" s="9" t="n">
        <v>380</v>
      </c>
      <c r="H276" s="8" t="s">
        <v>11</v>
      </c>
      <c r="I276" s="8" t="s">
        <v>12</v>
      </c>
      <c r="J276" s="0" t="s">
        <v>13</v>
      </c>
    </row>
    <row r="277" customFormat="false" ht="13.8" hidden="false" customHeight="false" outlineLevel="0" collapsed="false">
      <c r="A277" s="6" t="n">
        <v>45129</v>
      </c>
      <c r="B277" s="7" t="n">
        <v>0.238194444444444</v>
      </c>
      <c r="C277" s="8" t="n">
        <v>25774</v>
      </c>
      <c r="D277" s="8" t="s">
        <v>15</v>
      </c>
      <c r="E277" s="8" t="n">
        <v>23520</v>
      </c>
      <c r="F277" s="8" t="n">
        <v>16080</v>
      </c>
      <c r="G277" s="9" t="n">
        <v>7440</v>
      </c>
      <c r="H277" s="8" t="s">
        <v>11</v>
      </c>
      <c r="I277" s="8" t="s">
        <v>12</v>
      </c>
      <c r="J277" s="0" t="s">
        <v>13</v>
      </c>
    </row>
    <row r="278" customFormat="false" ht="13.8" hidden="false" customHeight="false" outlineLevel="0" collapsed="false">
      <c r="A278" s="6" t="n">
        <v>45129</v>
      </c>
      <c r="B278" s="7" t="n">
        <v>0.417361111111111</v>
      </c>
      <c r="C278" s="8" t="n">
        <v>25792</v>
      </c>
      <c r="D278" s="8" t="s">
        <v>25</v>
      </c>
      <c r="E278" s="8" t="n">
        <v>3380</v>
      </c>
      <c r="F278" s="8" t="n">
        <v>2820</v>
      </c>
      <c r="G278" s="9" t="n">
        <v>560</v>
      </c>
      <c r="H278" s="8" t="s">
        <v>11</v>
      </c>
      <c r="I278" s="8" t="s">
        <v>12</v>
      </c>
      <c r="J278" s="0" t="s">
        <v>13</v>
      </c>
    </row>
    <row r="279" customFormat="false" ht="13.8" hidden="false" customHeight="false" outlineLevel="0" collapsed="false">
      <c r="A279" s="6" t="n">
        <v>45129</v>
      </c>
      <c r="B279" s="7" t="n">
        <v>0.442361111111111</v>
      </c>
      <c r="C279" s="8" t="n">
        <v>25794</v>
      </c>
      <c r="D279" s="8" t="s">
        <v>19</v>
      </c>
      <c r="E279" s="8" t="n">
        <v>2400</v>
      </c>
      <c r="F279" s="8" t="n">
        <v>1580</v>
      </c>
      <c r="G279" s="9" t="n">
        <v>820</v>
      </c>
      <c r="H279" s="8" t="s">
        <v>11</v>
      </c>
      <c r="I279" s="8" t="s">
        <v>12</v>
      </c>
      <c r="J279" s="0" t="s">
        <v>13</v>
      </c>
    </row>
    <row r="280" customFormat="false" ht="13.8" hidden="false" customHeight="false" outlineLevel="0" collapsed="false">
      <c r="A280" s="6" t="n">
        <v>45129</v>
      </c>
      <c r="B280" s="7" t="n">
        <v>0.703472222222222</v>
      </c>
      <c r="C280" s="8" t="n">
        <v>25804</v>
      </c>
      <c r="D280" s="8" t="s">
        <v>16</v>
      </c>
      <c r="E280" s="8" t="n">
        <v>16040</v>
      </c>
      <c r="F280" s="8" t="n">
        <v>13180</v>
      </c>
      <c r="G280" s="9" t="n">
        <v>2860</v>
      </c>
      <c r="H280" s="8" t="s">
        <v>11</v>
      </c>
      <c r="I280" s="8" t="s">
        <v>12</v>
      </c>
      <c r="J280" s="0" t="s">
        <v>13</v>
      </c>
    </row>
    <row r="281" customFormat="false" ht="13.8" hidden="false" customHeight="false" outlineLevel="0" collapsed="false">
      <c r="A281" s="6" t="n">
        <v>45129</v>
      </c>
      <c r="B281" s="7" t="n">
        <v>0.232638888888889</v>
      </c>
      <c r="C281" s="8" t="n">
        <v>25773</v>
      </c>
      <c r="D281" s="8" t="s">
        <v>20</v>
      </c>
      <c r="E281" s="8" t="n">
        <v>27020</v>
      </c>
      <c r="F281" s="8" t="n">
        <v>15900</v>
      </c>
      <c r="G281" s="9" t="n">
        <v>11120</v>
      </c>
      <c r="H281" s="8" t="s">
        <v>11</v>
      </c>
      <c r="I281" s="8" t="s">
        <v>12</v>
      </c>
      <c r="J281" s="0" t="s">
        <v>13</v>
      </c>
    </row>
    <row r="282" customFormat="false" ht="13.8" hidden="false" customHeight="false" outlineLevel="0" collapsed="false">
      <c r="A282" s="6" t="n">
        <v>45129</v>
      </c>
      <c r="B282" s="7" t="n">
        <v>0.874305555555556</v>
      </c>
      <c r="C282" s="8" t="n">
        <v>25806</v>
      </c>
      <c r="D282" s="8" t="s">
        <v>15</v>
      </c>
      <c r="E282" s="8" t="n">
        <v>23660</v>
      </c>
      <c r="F282" s="8" t="n">
        <v>16120</v>
      </c>
      <c r="G282" s="9" t="n">
        <v>7540</v>
      </c>
      <c r="H282" s="8" t="s">
        <v>11</v>
      </c>
      <c r="I282" s="8" t="s">
        <v>12</v>
      </c>
      <c r="J282" s="0" t="s">
        <v>13</v>
      </c>
    </row>
    <row r="283" customFormat="false" ht="13.8" hidden="false" customHeight="false" outlineLevel="0" collapsed="false">
      <c r="A283" s="6" t="n">
        <v>45129</v>
      </c>
      <c r="B283" s="7" t="n">
        <v>0.0465277777777778</v>
      </c>
      <c r="C283" s="8" t="n">
        <v>25760</v>
      </c>
      <c r="D283" s="8" t="s">
        <v>16</v>
      </c>
      <c r="E283" s="8" t="n">
        <v>21800</v>
      </c>
      <c r="F283" s="8" t="n">
        <v>13440</v>
      </c>
      <c r="G283" s="9" t="n">
        <v>8360</v>
      </c>
      <c r="H283" s="8" t="s">
        <v>11</v>
      </c>
      <c r="I283" s="8" t="s">
        <v>12</v>
      </c>
      <c r="J283" s="0" t="s">
        <v>13</v>
      </c>
    </row>
    <row r="284" customFormat="false" ht="13.8" hidden="false" customHeight="false" outlineLevel="0" collapsed="false">
      <c r="A284" s="6" t="n">
        <v>45129</v>
      </c>
      <c r="B284" s="7" t="n">
        <v>0.244444444444444</v>
      </c>
      <c r="C284" s="8" t="n">
        <v>25775</v>
      </c>
      <c r="D284" s="8" t="s">
        <v>16</v>
      </c>
      <c r="E284" s="8" t="n">
        <v>22740</v>
      </c>
      <c r="F284" s="8" t="n">
        <v>13220</v>
      </c>
      <c r="G284" s="9" t="n">
        <v>9520</v>
      </c>
      <c r="H284" s="8" t="s">
        <v>11</v>
      </c>
      <c r="I284" s="8" t="s">
        <v>12</v>
      </c>
      <c r="J284" s="0" t="s">
        <v>13</v>
      </c>
    </row>
    <row r="285" customFormat="false" ht="13.8" hidden="false" customHeight="false" outlineLevel="0" collapsed="false">
      <c r="A285" s="6" t="n">
        <v>45129</v>
      </c>
      <c r="B285" s="7" t="n">
        <v>0.889583333333333</v>
      </c>
      <c r="C285" s="8" t="n">
        <v>25807</v>
      </c>
      <c r="D285" s="8" t="s">
        <v>14</v>
      </c>
      <c r="E285" s="8" t="n">
        <v>3140</v>
      </c>
      <c r="F285" s="8" t="n">
        <v>2680</v>
      </c>
      <c r="G285" s="9" t="n">
        <v>460</v>
      </c>
      <c r="H285" s="8" t="s">
        <v>11</v>
      </c>
      <c r="I285" s="8" t="s">
        <v>12</v>
      </c>
      <c r="J285" s="0" t="s">
        <v>13</v>
      </c>
    </row>
    <row r="286" customFormat="false" ht="13.8" hidden="false" customHeight="false" outlineLevel="0" collapsed="false">
      <c r="A286" s="6" t="n">
        <v>45129</v>
      </c>
      <c r="B286" s="7" t="n">
        <v>0.2125</v>
      </c>
      <c r="C286" s="8" t="n">
        <v>25771</v>
      </c>
      <c r="D286" s="8" t="s">
        <v>10</v>
      </c>
      <c r="E286" s="8" t="n">
        <v>4120</v>
      </c>
      <c r="F286" s="8" t="n">
        <v>3700</v>
      </c>
      <c r="G286" s="9" t="n">
        <v>420</v>
      </c>
      <c r="H286" s="8" t="s">
        <v>11</v>
      </c>
      <c r="I286" s="8" t="s">
        <v>12</v>
      </c>
      <c r="J286" s="0" t="s">
        <v>13</v>
      </c>
    </row>
    <row r="287" customFormat="false" ht="13.8" hidden="false" customHeight="false" outlineLevel="0" collapsed="false">
      <c r="A287" s="6" t="n">
        <v>45129</v>
      </c>
      <c r="B287" s="7" t="n">
        <v>0.120833333333333</v>
      </c>
      <c r="C287" s="8" t="n">
        <v>25765</v>
      </c>
      <c r="D287" s="8" t="s">
        <v>10</v>
      </c>
      <c r="E287" s="8" t="n">
        <v>4800</v>
      </c>
      <c r="F287" s="8" t="n">
        <v>3600</v>
      </c>
      <c r="G287" s="9" t="n">
        <v>1200</v>
      </c>
      <c r="H287" s="8" t="s">
        <v>11</v>
      </c>
      <c r="I287" s="8" t="s">
        <v>12</v>
      </c>
      <c r="J287" s="0" t="s">
        <v>13</v>
      </c>
    </row>
    <row r="288" customFormat="false" ht="13.8" hidden="false" customHeight="false" outlineLevel="0" collapsed="false">
      <c r="A288" s="6" t="n">
        <v>45129</v>
      </c>
      <c r="B288" s="7" t="n">
        <v>0.479861111111111</v>
      </c>
      <c r="C288" s="8" t="n">
        <v>25799</v>
      </c>
      <c r="D288" s="8" t="s">
        <v>15</v>
      </c>
      <c r="E288" s="8" t="n">
        <v>18500</v>
      </c>
      <c r="F288" s="8" t="n">
        <v>16000</v>
      </c>
      <c r="G288" s="9" t="n">
        <v>2500</v>
      </c>
      <c r="H288" s="8" t="s">
        <v>11</v>
      </c>
      <c r="I288" s="8" t="s">
        <v>12</v>
      </c>
      <c r="J288" s="0" t="s">
        <v>13</v>
      </c>
    </row>
    <row r="289" customFormat="false" ht="13.8" hidden="false" customHeight="false" outlineLevel="0" collapsed="false">
      <c r="A289" s="6" t="n">
        <v>45130</v>
      </c>
      <c r="B289" s="7" t="n">
        <v>0.248611111111111</v>
      </c>
      <c r="C289" s="8" t="n">
        <v>25826</v>
      </c>
      <c r="D289" s="8" t="s">
        <v>20</v>
      </c>
      <c r="E289" s="8" t="n">
        <v>26680</v>
      </c>
      <c r="F289" s="8" t="n">
        <v>15780</v>
      </c>
      <c r="G289" s="9" t="n">
        <v>10900</v>
      </c>
      <c r="H289" s="8" t="s">
        <v>11</v>
      </c>
      <c r="I289" s="8" t="s">
        <v>12</v>
      </c>
      <c r="J289" s="0" t="s">
        <v>13</v>
      </c>
    </row>
    <row r="290" customFormat="false" ht="13.8" hidden="false" customHeight="false" outlineLevel="0" collapsed="false">
      <c r="A290" s="6" t="n">
        <v>45130</v>
      </c>
      <c r="B290" s="7" t="n">
        <v>0.209722222222222</v>
      </c>
      <c r="C290" s="8" t="n">
        <v>25820</v>
      </c>
      <c r="D290" s="8" t="s">
        <v>14</v>
      </c>
      <c r="E290" s="8" t="n">
        <v>3500</v>
      </c>
      <c r="F290" s="8" t="n">
        <v>2780</v>
      </c>
      <c r="G290" s="9" t="n">
        <v>720</v>
      </c>
      <c r="H290" s="8" t="s">
        <v>11</v>
      </c>
      <c r="I290" s="8" t="s">
        <v>12</v>
      </c>
      <c r="J290" s="0" t="s">
        <v>13</v>
      </c>
    </row>
    <row r="291" customFormat="false" ht="13.8" hidden="false" customHeight="false" outlineLevel="0" collapsed="false">
      <c r="A291" s="6" t="n">
        <v>45130</v>
      </c>
      <c r="B291" s="7" t="n">
        <v>0.248611111111111</v>
      </c>
      <c r="C291" s="8" t="n">
        <v>25827</v>
      </c>
      <c r="D291" s="8" t="s">
        <v>15</v>
      </c>
      <c r="E291" s="8" t="n">
        <v>25120</v>
      </c>
      <c r="F291" s="8" t="n">
        <v>16100</v>
      </c>
      <c r="G291" s="9" t="n">
        <v>9020</v>
      </c>
      <c r="H291" s="8" t="s">
        <v>11</v>
      </c>
      <c r="I291" s="8" t="s">
        <v>12</v>
      </c>
      <c r="J291" s="0" t="s">
        <v>13</v>
      </c>
    </row>
    <row r="292" customFormat="false" ht="13.8" hidden="false" customHeight="false" outlineLevel="0" collapsed="false">
      <c r="A292" s="6" t="n">
        <v>45130</v>
      </c>
      <c r="B292" s="7" t="n">
        <v>0.207638888888889</v>
      </c>
      <c r="C292" s="8" t="n">
        <v>25819</v>
      </c>
      <c r="D292" s="8" t="s">
        <v>25</v>
      </c>
      <c r="E292" s="8" t="n">
        <v>4060</v>
      </c>
      <c r="F292" s="8" t="n">
        <v>2820</v>
      </c>
      <c r="G292" s="9" t="n">
        <v>1240</v>
      </c>
      <c r="H292" s="8" t="s">
        <v>11</v>
      </c>
      <c r="I292" s="8" t="s">
        <v>12</v>
      </c>
      <c r="J292" s="0" t="s">
        <v>13</v>
      </c>
    </row>
    <row r="293" customFormat="false" ht="13.8" hidden="false" customHeight="false" outlineLevel="0" collapsed="false">
      <c r="A293" s="6" t="n">
        <v>45130</v>
      </c>
      <c r="B293" s="7" t="n">
        <v>0.0333333333333333</v>
      </c>
      <c r="C293" s="8" t="n">
        <v>25809</v>
      </c>
      <c r="D293" s="8" t="s">
        <v>24</v>
      </c>
      <c r="E293" s="8" t="n">
        <v>14520</v>
      </c>
      <c r="F293" s="8" t="n">
        <v>12400</v>
      </c>
      <c r="G293" s="9" t="n">
        <v>2120</v>
      </c>
      <c r="H293" s="8" t="s">
        <v>11</v>
      </c>
      <c r="I293" s="8" t="s">
        <v>12</v>
      </c>
      <c r="J293" s="0" t="s">
        <v>13</v>
      </c>
    </row>
    <row r="294" customFormat="false" ht="13.8" hidden="false" customHeight="false" outlineLevel="0" collapsed="false">
      <c r="A294" s="6" t="n">
        <v>45130</v>
      </c>
      <c r="B294" s="7" t="n">
        <v>0.0430555555555556</v>
      </c>
      <c r="C294" s="8" t="n">
        <v>25811</v>
      </c>
      <c r="D294" s="8" t="s">
        <v>16</v>
      </c>
      <c r="E294" s="8" t="n">
        <v>22000</v>
      </c>
      <c r="F294" s="8" t="n">
        <v>13340</v>
      </c>
      <c r="G294" s="9" t="n">
        <v>8660</v>
      </c>
      <c r="H294" s="8" t="s">
        <v>11</v>
      </c>
      <c r="I294" s="8" t="s">
        <v>12</v>
      </c>
      <c r="J294" s="0" t="s">
        <v>13</v>
      </c>
    </row>
    <row r="295" customFormat="false" ht="13.8" hidden="false" customHeight="false" outlineLevel="0" collapsed="false">
      <c r="A295" s="6" t="n">
        <v>45130</v>
      </c>
      <c r="B295" s="7" t="n">
        <v>0.247222222222222</v>
      </c>
      <c r="C295" s="8" t="n">
        <v>25825</v>
      </c>
      <c r="D295" s="8" t="s">
        <v>16</v>
      </c>
      <c r="E295" s="8" t="n">
        <v>23060</v>
      </c>
      <c r="F295" s="8" t="n">
        <v>13180</v>
      </c>
      <c r="G295" s="9" t="n">
        <v>9880</v>
      </c>
      <c r="H295" s="8" t="s">
        <v>11</v>
      </c>
      <c r="I295" s="8" t="s">
        <v>12</v>
      </c>
      <c r="J295" s="0" t="s">
        <v>13</v>
      </c>
    </row>
    <row r="296" customFormat="false" ht="13.8" hidden="false" customHeight="false" outlineLevel="0" collapsed="false">
      <c r="A296" s="6" t="n">
        <v>45130</v>
      </c>
      <c r="B296" s="7" t="n">
        <v>0.404861111111111</v>
      </c>
      <c r="C296" s="8" t="n">
        <v>25832</v>
      </c>
      <c r="D296" s="8" t="s">
        <v>25</v>
      </c>
      <c r="E296" s="8" t="n">
        <v>3500</v>
      </c>
      <c r="F296" s="8" t="n">
        <v>2880</v>
      </c>
      <c r="G296" s="9" t="n">
        <v>620</v>
      </c>
      <c r="H296" s="8" t="s">
        <v>11</v>
      </c>
      <c r="I296" s="8" t="s">
        <v>12</v>
      </c>
      <c r="J296" s="0" t="s">
        <v>13</v>
      </c>
    </row>
    <row r="297" customFormat="false" ht="13.8" hidden="false" customHeight="false" outlineLevel="0" collapsed="false">
      <c r="A297" s="6" t="n">
        <v>45130</v>
      </c>
      <c r="B297" s="7" t="n">
        <v>0.697222222222222</v>
      </c>
      <c r="C297" s="8" t="n">
        <v>25834</v>
      </c>
      <c r="D297" s="8" t="s">
        <v>16</v>
      </c>
      <c r="E297" s="8" t="n">
        <v>15960</v>
      </c>
      <c r="F297" s="8" t="n">
        <v>13220</v>
      </c>
      <c r="G297" s="9" t="n">
        <v>2740</v>
      </c>
      <c r="H297" s="8" t="s">
        <v>11</v>
      </c>
      <c r="I297" s="8" t="s">
        <v>12</v>
      </c>
      <c r="J297" s="0" t="s">
        <v>13</v>
      </c>
    </row>
    <row r="298" customFormat="false" ht="13.8" hidden="false" customHeight="false" outlineLevel="0" collapsed="false">
      <c r="A298" s="6" t="n">
        <v>45130</v>
      </c>
      <c r="B298" s="7" t="n">
        <v>0.874305555555556</v>
      </c>
      <c r="C298" s="8" t="n">
        <v>25836</v>
      </c>
      <c r="D298" s="8" t="s">
        <v>15</v>
      </c>
      <c r="E298" s="8" t="n">
        <v>23480</v>
      </c>
      <c r="F298" s="8" t="n">
        <v>16080</v>
      </c>
      <c r="G298" s="9" t="n">
        <v>7400</v>
      </c>
      <c r="H298" s="8" t="s">
        <v>11</v>
      </c>
      <c r="I298" s="8" t="s">
        <v>12</v>
      </c>
      <c r="J298" s="0" t="s">
        <v>13</v>
      </c>
    </row>
    <row r="299" customFormat="false" ht="13.8" hidden="false" customHeight="false" outlineLevel="0" collapsed="false">
      <c r="A299" s="6" t="n">
        <v>45130</v>
      </c>
      <c r="B299" s="7" t="n">
        <v>0.440277777777778</v>
      </c>
      <c r="C299" s="8" t="n">
        <v>25833</v>
      </c>
      <c r="D299" s="8" t="s">
        <v>19</v>
      </c>
      <c r="E299" s="8" t="n">
        <v>2540</v>
      </c>
      <c r="F299" s="8" t="n">
        <v>2420</v>
      </c>
      <c r="G299" s="9" t="n">
        <v>120</v>
      </c>
      <c r="H299" s="8" t="s">
        <v>11</v>
      </c>
      <c r="I299" s="8" t="s">
        <v>12</v>
      </c>
      <c r="J299" s="0" t="s">
        <v>13</v>
      </c>
    </row>
    <row r="300" customFormat="false" ht="13.8" hidden="false" customHeight="false" outlineLevel="0" collapsed="false">
      <c r="A300" s="6" t="n">
        <v>45130</v>
      </c>
      <c r="B300" s="7" t="n">
        <v>0.907638888888889</v>
      </c>
      <c r="C300" s="8" t="n">
        <v>25837</v>
      </c>
      <c r="D300" s="8" t="s">
        <v>14</v>
      </c>
      <c r="E300" s="8" t="n">
        <v>3040</v>
      </c>
      <c r="F300" s="8" t="n">
        <v>2660</v>
      </c>
      <c r="G300" s="9" t="n">
        <v>380</v>
      </c>
      <c r="H300" s="8" t="s">
        <v>11</v>
      </c>
      <c r="I300" s="8" t="s">
        <v>12</v>
      </c>
      <c r="J300" s="0" t="s">
        <v>13</v>
      </c>
    </row>
    <row r="301" customFormat="false" ht="13.8" hidden="false" customHeight="false" outlineLevel="0" collapsed="false">
      <c r="A301" s="6" t="n">
        <v>45131</v>
      </c>
      <c r="B301" s="7" t="n">
        <v>0.0597222222222222</v>
      </c>
      <c r="C301" s="8" t="n">
        <v>25840</v>
      </c>
      <c r="D301" s="8" t="s">
        <v>16</v>
      </c>
      <c r="E301" s="8" t="n">
        <v>22040</v>
      </c>
      <c r="F301" s="8" t="n">
        <v>13260</v>
      </c>
      <c r="G301" s="9" t="n">
        <v>8780</v>
      </c>
      <c r="H301" s="8" t="s">
        <v>11</v>
      </c>
      <c r="I301" s="8" t="s">
        <v>12</v>
      </c>
      <c r="J301" s="0" t="s">
        <v>13</v>
      </c>
    </row>
    <row r="302" customFormat="false" ht="13.8" hidden="false" customHeight="false" outlineLevel="0" collapsed="false">
      <c r="A302" s="6" t="n">
        <v>45131</v>
      </c>
      <c r="B302" s="7" t="n">
        <v>0.217361111111111</v>
      </c>
      <c r="C302" s="8" t="n">
        <v>25851</v>
      </c>
      <c r="D302" s="8" t="s">
        <v>16</v>
      </c>
      <c r="E302" s="8" t="n">
        <v>22840</v>
      </c>
      <c r="F302" s="8" t="n">
        <v>13260</v>
      </c>
      <c r="G302" s="9" t="n">
        <v>9580</v>
      </c>
      <c r="H302" s="8" t="s">
        <v>11</v>
      </c>
      <c r="I302" s="8" t="s">
        <v>12</v>
      </c>
      <c r="J302" s="0" t="s">
        <v>13</v>
      </c>
    </row>
    <row r="303" customFormat="false" ht="13.8" hidden="false" customHeight="false" outlineLevel="0" collapsed="false">
      <c r="A303" s="6" t="n">
        <v>45131</v>
      </c>
      <c r="B303" s="7" t="n">
        <v>0.247222222222222</v>
      </c>
      <c r="C303" s="8" t="n">
        <v>25856</v>
      </c>
      <c r="D303" s="8" t="s">
        <v>20</v>
      </c>
      <c r="E303" s="8" t="n">
        <v>27540</v>
      </c>
      <c r="F303" s="8" t="n">
        <v>15840</v>
      </c>
      <c r="G303" s="9" t="n">
        <v>11700</v>
      </c>
      <c r="H303" s="8" t="s">
        <v>11</v>
      </c>
      <c r="I303" s="8" t="s">
        <v>12</v>
      </c>
      <c r="J303" s="0" t="s">
        <v>13</v>
      </c>
    </row>
    <row r="304" customFormat="false" ht="13.8" hidden="false" customHeight="false" outlineLevel="0" collapsed="false">
      <c r="A304" s="6" t="n">
        <v>45131</v>
      </c>
      <c r="B304" s="7" t="n">
        <v>0.209722222222222</v>
      </c>
      <c r="C304" s="8" t="n">
        <v>25847</v>
      </c>
      <c r="D304" s="8" t="s">
        <v>10</v>
      </c>
      <c r="E304" s="8" t="n">
        <v>4220</v>
      </c>
      <c r="F304" s="8" t="n">
        <v>3700</v>
      </c>
      <c r="G304" s="9" t="n">
        <v>520</v>
      </c>
      <c r="H304" s="8" t="s">
        <v>11</v>
      </c>
      <c r="I304" s="8" t="s">
        <v>12</v>
      </c>
      <c r="J304" s="0" t="s">
        <v>13</v>
      </c>
    </row>
    <row r="305" customFormat="false" ht="13.8" hidden="false" customHeight="false" outlineLevel="0" collapsed="false">
      <c r="A305" s="6" t="n">
        <v>45131</v>
      </c>
      <c r="B305" s="7" t="n">
        <v>0.135416666666667</v>
      </c>
      <c r="C305" s="8" t="n">
        <v>25844</v>
      </c>
      <c r="D305" s="8" t="s">
        <v>10</v>
      </c>
      <c r="E305" s="8" t="n">
        <v>4780</v>
      </c>
      <c r="F305" s="8" t="n">
        <v>3600</v>
      </c>
      <c r="G305" s="9" t="n">
        <v>1180</v>
      </c>
      <c r="H305" s="8" t="s">
        <v>11</v>
      </c>
      <c r="I305" s="8" t="s">
        <v>12</v>
      </c>
      <c r="J305" s="0" t="s">
        <v>13</v>
      </c>
    </row>
    <row r="306" customFormat="false" ht="13.8" hidden="false" customHeight="false" outlineLevel="0" collapsed="false">
      <c r="A306" s="6" t="n">
        <v>45131</v>
      </c>
      <c r="B306" s="7" t="n">
        <v>0.225</v>
      </c>
      <c r="C306" s="8" t="n">
        <v>25853</v>
      </c>
      <c r="D306" s="8" t="s">
        <v>15</v>
      </c>
      <c r="E306" s="8" t="n">
        <v>21700</v>
      </c>
      <c r="F306" s="8" t="n">
        <v>15980</v>
      </c>
      <c r="G306" s="9" t="n">
        <v>5720</v>
      </c>
      <c r="H306" s="8" t="s">
        <v>11</v>
      </c>
      <c r="I306" s="8" t="s">
        <v>12</v>
      </c>
      <c r="J306" s="0" t="s">
        <v>13</v>
      </c>
    </row>
    <row r="307" customFormat="false" ht="13.8" hidden="false" customHeight="false" outlineLevel="0" collapsed="false">
      <c r="A307" s="6" t="n">
        <v>45131</v>
      </c>
      <c r="B307" s="7" t="n">
        <v>0.873611111111111</v>
      </c>
      <c r="C307" s="8" t="n">
        <v>25888</v>
      </c>
      <c r="D307" s="8" t="s">
        <v>15</v>
      </c>
      <c r="E307" s="8" t="n">
        <v>21920</v>
      </c>
      <c r="F307" s="8" t="n">
        <v>15940</v>
      </c>
      <c r="G307" s="9" t="n">
        <v>5980</v>
      </c>
      <c r="H307" s="6" t="s">
        <v>11</v>
      </c>
      <c r="I307" s="8" t="s">
        <v>12</v>
      </c>
      <c r="J307" s="0" t="s">
        <v>13</v>
      </c>
    </row>
    <row r="308" customFormat="false" ht="13.8" hidden="false" customHeight="false" outlineLevel="0" collapsed="false">
      <c r="A308" s="6" t="n">
        <v>45131</v>
      </c>
      <c r="B308" s="7" t="n">
        <v>0.329166666666667</v>
      </c>
      <c r="C308" s="8" t="n">
        <v>25863</v>
      </c>
      <c r="D308" s="8" t="s">
        <v>17</v>
      </c>
      <c r="E308" s="8" t="n">
        <v>7040</v>
      </c>
      <c r="F308" s="8" t="n">
        <v>5520</v>
      </c>
      <c r="G308" s="9" t="n">
        <v>1520</v>
      </c>
      <c r="H308" s="8" t="s">
        <v>11</v>
      </c>
      <c r="I308" s="8" t="s">
        <v>18</v>
      </c>
      <c r="J308" s="0" t="s">
        <v>13</v>
      </c>
    </row>
    <row r="309" customFormat="false" ht="13.8" hidden="false" customHeight="false" outlineLevel="0" collapsed="false">
      <c r="A309" s="6" t="n">
        <v>45131</v>
      </c>
      <c r="B309" s="7" t="n">
        <v>0.714583333333333</v>
      </c>
      <c r="C309" s="8" t="n">
        <v>25886</v>
      </c>
      <c r="D309" s="8" t="s">
        <v>16</v>
      </c>
      <c r="E309" s="8" t="n">
        <v>16140</v>
      </c>
      <c r="F309" s="8" t="n">
        <v>13160</v>
      </c>
      <c r="G309" s="9" t="n">
        <v>2980</v>
      </c>
      <c r="H309" s="8" t="s">
        <v>11</v>
      </c>
      <c r="I309" s="8" t="s">
        <v>12</v>
      </c>
      <c r="J309" s="0" t="s">
        <v>13</v>
      </c>
    </row>
    <row r="310" customFormat="false" ht="13.8" hidden="false" customHeight="false" outlineLevel="0" collapsed="false">
      <c r="A310" s="6" t="n">
        <v>45131</v>
      </c>
      <c r="B310" s="7" t="n">
        <v>0.884027777777778</v>
      </c>
      <c r="C310" s="8" t="n">
        <v>25889</v>
      </c>
      <c r="D310" s="8" t="s">
        <v>14</v>
      </c>
      <c r="E310" s="8" t="n">
        <v>2960</v>
      </c>
      <c r="F310" s="8" t="n">
        <v>2700</v>
      </c>
      <c r="G310" s="9" t="n">
        <v>260</v>
      </c>
      <c r="H310" s="8" t="s">
        <v>11</v>
      </c>
      <c r="I310" s="8" t="s">
        <v>12</v>
      </c>
      <c r="J310" s="0" t="s">
        <v>13</v>
      </c>
    </row>
    <row r="311" customFormat="false" ht="13.8" hidden="false" customHeight="false" outlineLevel="0" collapsed="false">
      <c r="A311" s="6" t="n">
        <v>45131</v>
      </c>
      <c r="B311" s="7" t="n">
        <v>0.453472222222222</v>
      </c>
      <c r="C311" s="8" t="n">
        <v>25874</v>
      </c>
      <c r="D311" s="8" t="s">
        <v>17</v>
      </c>
      <c r="E311" s="8" t="n">
        <v>6340</v>
      </c>
      <c r="F311" s="8" t="n">
        <v>5500</v>
      </c>
      <c r="G311" s="9" t="n">
        <v>840</v>
      </c>
      <c r="H311" s="8" t="s">
        <v>11</v>
      </c>
      <c r="I311" s="8" t="s">
        <v>18</v>
      </c>
      <c r="J311" s="0" t="s">
        <v>13</v>
      </c>
    </row>
    <row r="312" customFormat="false" ht="13.8" hidden="false" customHeight="false" outlineLevel="0" collapsed="false">
      <c r="A312" s="6" t="n">
        <v>45131</v>
      </c>
      <c r="B312" s="7" t="n">
        <v>0.466666666666667</v>
      </c>
      <c r="C312" s="8" t="n">
        <v>25876</v>
      </c>
      <c r="D312" s="8" t="s">
        <v>28</v>
      </c>
      <c r="E312" s="8" t="n">
        <v>18680</v>
      </c>
      <c r="F312" s="8" t="n">
        <v>16180</v>
      </c>
      <c r="G312" s="9" t="n">
        <v>2500</v>
      </c>
      <c r="H312" s="8" t="s">
        <v>11</v>
      </c>
      <c r="I312" s="8" t="s">
        <v>12</v>
      </c>
      <c r="J312" s="0" t="s">
        <v>13</v>
      </c>
    </row>
    <row r="313" customFormat="false" ht="13.8" hidden="false" customHeight="false" outlineLevel="0" collapsed="false">
      <c r="A313" s="6" t="n">
        <v>45131</v>
      </c>
      <c r="B313" s="7" t="n">
        <v>0.457638888888889</v>
      </c>
      <c r="C313" s="8" t="n">
        <v>25872</v>
      </c>
      <c r="D313" s="8" t="s">
        <v>25</v>
      </c>
      <c r="E313" s="8" t="n">
        <v>3560</v>
      </c>
      <c r="F313" s="8" t="n">
        <v>2980</v>
      </c>
      <c r="G313" s="9" t="n">
        <v>580</v>
      </c>
      <c r="H313" s="8" t="s">
        <v>11</v>
      </c>
      <c r="I313" s="8" t="s">
        <v>12</v>
      </c>
      <c r="J313" s="0" t="s">
        <v>13</v>
      </c>
    </row>
    <row r="314" customFormat="false" ht="13.8" hidden="true" customHeight="false" outlineLevel="0" collapsed="false">
      <c r="A314" s="6" t="n">
        <v>45131</v>
      </c>
      <c r="B314" s="7" t="n">
        <v>0.452777777777778</v>
      </c>
      <c r="C314" s="8" t="n">
        <v>4507</v>
      </c>
      <c r="D314" s="8" t="s">
        <v>15</v>
      </c>
      <c r="E314" s="8" t="n">
        <v>18480</v>
      </c>
      <c r="F314" s="8" t="n">
        <v>15760</v>
      </c>
      <c r="G314" s="9" t="n">
        <v>2720</v>
      </c>
      <c r="H314" s="8" t="s">
        <v>11</v>
      </c>
      <c r="I314" s="8" t="s">
        <v>22</v>
      </c>
      <c r="J314" s="10" t="s">
        <v>13</v>
      </c>
    </row>
    <row r="315" customFormat="false" ht="13.8" hidden="false" customHeight="false" outlineLevel="0" collapsed="false">
      <c r="A315" s="6" t="n">
        <v>45132</v>
      </c>
      <c r="B315" s="7" t="n">
        <v>0.113194444444444</v>
      </c>
      <c r="C315" s="8" t="n">
        <v>25896</v>
      </c>
      <c r="D315" s="8" t="s">
        <v>10</v>
      </c>
      <c r="E315" s="8" t="n">
        <v>4800</v>
      </c>
      <c r="F315" s="8" t="n">
        <v>3580</v>
      </c>
      <c r="G315" s="9" t="n">
        <v>1220</v>
      </c>
      <c r="H315" s="8" t="s">
        <v>11</v>
      </c>
      <c r="I315" s="8" t="s">
        <v>12</v>
      </c>
      <c r="J315" s="0" t="s">
        <v>13</v>
      </c>
    </row>
    <row r="316" customFormat="false" ht="13.8" hidden="false" customHeight="false" outlineLevel="0" collapsed="false">
      <c r="A316" s="6" t="n">
        <v>45132</v>
      </c>
      <c r="B316" s="7" t="n">
        <v>0.0201388888888889</v>
      </c>
      <c r="C316" s="8" t="n">
        <v>25891</v>
      </c>
      <c r="D316" s="8" t="s">
        <v>24</v>
      </c>
      <c r="E316" s="8" t="n">
        <v>13080</v>
      </c>
      <c r="F316" s="8" t="n">
        <v>12400</v>
      </c>
      <c r="G316" s="9" t="n">
        <v>680</v>
      </c>
      <c r="H316" s="8" t="s">
        <v>11</v>
      </c>
      <c r="I316" s="8" t="s">
        <v>12</v>
      </c>
      <c r="J316" s="0" t="s">
        <v>13</v>
      </c>
    </row>
    <row r="317" customFormat="false" ht="13.8" hidden="false" customHeight="false" outlineLevel="0" collapsed="false">
      <c r="A317" s="6" t="n">
        <v>45132</v>
      </c>
      <c r="B317" s="7" t="n">
        <v>0.249305555555556</v>
      </c>
      <c r="C317" s="8" t="n">
        <v>25911</v>
      </c>
      <c r="D317" s="8" t="s">
        <v>20</v>
      </c>
      <c r="E317" s="8" t="n">
        <v>27040</v>
      </c>
      <c r="F317" s="8" t="n">
        <v>15860</v>
      </c>
      <c r="G317" s="9" t="n">
        <v>11180</v>
      </c>
      <c r="H317" s="8" t="s">
        <v>11</v>
      </c>
      <c r="I317" s="8" t="s">
        <v>12</v>
      </c>
      <c r="J317" s="0" t="s">
        <v>13</v>
      </c>
    </row>
    <row r="318" customFormat="false" ht="13.8" hidden="false" customHeight="false" outlineLevel="0" collapsed="false">
      <c r="A318" s="6" t="n">
        <v>45132</v>
      </c>
      <c r="B318" s="7" t="n">
        <v>0.229861111111111</v>
      </c>
      <c r="C318" s="8" t="n">
        <v>25908</v>
      </c>
      <c r="D318" s="8" t="s">
        <v>15</v>
      </c>
      <c r="E318" s="8" t="n">
        <v>21360</v>
      </c>
      <c r="F318" s="8" t="n">
        <v>16000</v>
      </c>
      <c r="G318" s="9" t="n">
        <v>5360</v>
      </c>
      <c r="H318" s="8" t="s">
        <v>11</v>
      </c>
      <c r="I318" s="8" t="s">
        <v>12</v>
      </c>
      <c r="J318" s="0" t="s">
        <v>13</v>
      </c>
    </row>
    <row r="319" customFormat="false" ht="13.8" hidden="false" customHeight="false" outlineLevel="0" collapsed="false">
      <c r="A319" s="6" t="n">
        <v>45132</v>
      </c>
      <c r="B319" s="7" t="n">
        <v>0.204166666666667</v>
      </c>
      <c r="C319" s="8" t="n">
        <v>25904</v>
      </c>
      <c r="D319" s="8" t="s">
        <v>10</v>
      </c>
      <c r="E319" s="8" t="n">
        <v>4040</v>
      </c>
      <c r="F319" s="8" t="n">
        <v>3680</v>
      </c>
      <c r="G319" s="9" t="n">
        <v>360</v>
      </c>
      <c r="H319" s="8" t="s">
        <v>11</v>
      </c>
      <c r="I319" s="8" t="s">
        <v>12</v>
      </c>
      <c r="J319" s="0" t="s">
        <v>13</v>
      </c>
    </row>
    <row r="320" customFormat="false" ht="13.8" hidden="false" customHeight="false" outlineLevel="0" collapsed="false">
      <c r="A320" s="6" t="n">
        <v>45132</v>
      </c>
      <c r="B320" s="7" t="n">
        <v>0.0652777777777778</v>
      </c>
      <c r="C320" s="8" t="n">
        <v>25893</v>
      </c>
      <c r="D320" s="8" t="s">
        <v>16</v>
      </c>
      <c r="E320" s="8" t="n">
        <v>21600</v>
      </c>
      <c r="F320" s="8" t="n">
        <v>13140</v>
      </c>
      <c r="G320" s="9" t="n">
        <v>8460</v>
      </c>
      <c r="H320" s="8" t="s">
        <v>11</v>
      </c>
      <c r="I320" s="8" t="s">
        <v>12</v>
      </c>
      <c r="J320" s="0" t="s">
        <v>13</v>
      </c>
    </row>
    <row r="321" customFormat="false" ht="13.8" hidden="false" customHeight="false" outlineLevel="0" collapsed="false">
      <c r="A321" s="6" t="n">
        <v>45132</v>
      </c>
      <c r="B321" s="7" t="n">
        <v>0.232638888888889</v>
      </c>
      <c r="C321" s="8" t="n">
        <v>25909</v>
      </c>
      <c r="D321" s="8" t="s">
        <v>16</v>
      </c>
      <c r="E321" s="8" t="n">
        <v>21900</v>
      </c>
      <c r="F321" s="8" t="n">
        <v>13140</v>
      </c>
      <c r="G321" s="9" t="n">
        <v>8760</v>
      </c>
      <c r="H321" s="8" t="s">
        <v>11</v>
      </c>
      <c r="I321" s="8" t="s">
        <v>12</v>
      </c>
      <c r="J321" s="0" t="s">
        <v>13</v>
      </c>
    </row>
    <row r="322" customFormat="false" ht="13.8" hidden="false" customHeight="false" outlineLevel="0" collapsed="false">
      <c r="A322" s="6" t="n">
        <v>45132</v>
      </c>
      <c r="B322" s="7" t="n">
        <v>0.359027777777778</v>
      </c>
      <c r="C322" s="8" t="n">
        <v>25923</v>
      </c>
      <c r="D322" s="8" t="s">
        <v>25</v>
      </c>
      <c r="E322" s="8" t="n">
        <v>3240</v>
      </c>
      <c r="F322" s="8" t="n">
        <v>2860</v>
      </c>
      <c r="G322" s="9" t="n">
        <v>380</v>
      </c>
      <c r="H322" s="8" t="s">
        <v>11</v>
      </c>
      <c r="I322" s="8" t="s">
        <v>12</v>
      </c>
      <c r="J322" s="0" t="s">
        <v>13</v>
      </c>
    </row>
    <row r="323" customFormat="false" ht="13.8" hidden="false" customHeight="false" outlineLevel="0" collapsed="false">
      <c r="A323" s="6" t="n">
        <v>45132</v>
      </c>
      <c r="B323" s="7" t="n">
        <v>0.873611111111111</v>
      </c>
      <c r="C323" s="8" t="n">
        <v>25959</v>
      </c>
      <c r="D323" s="8" t="s">
        <v>15</v>
      </c>
      <c r="E323" s="8" t="n">
        <v>22860</v>
      </c>
      <c r="F323" s="8" t="n">
        <v>16000</v>
      </c>
      <c r="G323" s="9" t="n">
        <v>6860</v>
      </c>
      <c r="H323" s="8" t="s">
        <v>11</v>
      </c>
      <c r="I323" s="8" t="s">
        <v>12</v>
      </c>
      <c r="J323" s="0" t="s">
        <v>13</v>
      </c>
    </row>
    <row r="324" customFormat="false" ht="13.8" hidden="false" customHeight="false" outlineLevel="0" collapsed="false">
      <c r="A324" s="6" t="n">
        <v>45132</v>
      </c>
      <c r="B324" s="7" t="n">
        <v>0.436805555555556</v>
      </c>
      <c r="C324" s="8" t="n">
        <v>25931</v>
      </c>
      <c r="D324" s="8" t="s">
        <v>17</v>
      </c>
      <c r="E324" s="8" t="n">
        <v>6200</v>
      </c>
      <c r="F324" s="8" t="n">
        <v>5480</v>
      </c>
      <c r="G324" s="9" t="n">
        <v>720</v>
      </c>
      <c r="H324" s="8" t="s">
        <v>11</v>
      </c>
      <c r="I324" s="6" t="s">
        <v>18</v>
      </c>
      <c r="J324" s="0" t="s">
        <v>13</v>
      </c>
    </row>
    <row r="325" customFormat="false" ht="13.8" hidden="false" customHeight="false" outlineLevel="0" collapsed="false">
      <c r="A325" s="6" t="n">
        <v>45132</v>
      </c>
      <c r="B325" s="7" t="n">
        <v>0.447222222222222</v>
      </c>
      <c r="C325" s="8" t="n">
        <v>25932</v>
      </c>
      <c r="D325" s="8" t="s">
        <v>19</v>
      </c>
      <c r="E325" s="8" t="n">
        <v>2620</v>
      </c>
      <c r="F325" s="8" t="n">
        <v>2440</v>
      </c>
      <c r="G325" s="9" t="n">
        <v>180</v>
      </c>
      <c r="H325" s="8" t="s">
        <v>11</v>
      </c>
      <c r="I325" s="8" t="s">
        <v>12</v>
      </c>
      <c r="J325" s="0" t="s">
        <v>13</v>
      </c>
    </row>
    <row r="326" customFormat="false" ht="13.8" hidden="false" customHeight="false" outlineLevel="0" collapsed="false">
      <c r="A326" s="6" t="n">
        <v>45132</v>
      </c>
      <c r="B326" s="7" t="n">
        <v>0.873611111111111</v>
      </c>
      <c r="C326" s="8" t="n">
        <v>25958</v>
      </c>
      <c r="D326" s="8" t="s">
        <v>14</v>
      </c>
      <c r="E326" s="8" t="n">
        <v>3140</v>
      </c>
      <c r="F326" s="8" t="n">
        <v>2620</v>
      </c>
      <c r="G326" s="9" t="n">
        <v>520</v>
      </c>
      <c r="H326" s="8" t="s">
        <v>11</v>
      </c>
      <c r="I326" s="8" t="s">
        <v>12</v>
      </c>
      <c r="J326" s="0" t="s">
        <v>13</v>
      </c>
    </row>
    <row r="327" customFormat="false" ht="13.8" hidden="false" customHeight="false" outlineLevel="0" collapsed="false">
      <c r="A327" s="6" t="n">
        <v>45132</v>
      </c>
      <c r="B327" s="7" t="n">
        <v>0.704166666666667</v>
      </c>
      <c r="C327" s="8" t="n">
        <v>25952</v>
      </c>
      <c r="D327" s="8" t="s">
        <v>16</v>
      </c>
      <c r="E327" s="8" t="n">
        <v>15400</v>
      </c>
      <c r="F327" s="8" t="n">
        <v>13220</v>
      </c>
      <c r="G327" s="9" t="n">
        <v>2180</v>
      </c>
      <c r="H327" s="8" t="s">
        <v>11</v>
      </c>
      <c r="I327" s="8" t="s">
        <v>12</v>
      </c>
      <c r="J327" s="0" t="s">
        <v>13</v>
      </c>
    </row>
    <row r="328" customFormat="false" ht="13.8" hidden="false" customHeight="false" outlineLevel="0" collapsed="false">
      <c r="A328" s="6" t="n">
        <v>45132</v>
      </c>
      <c r="B328" s="7" t="n">
        <v>0.382638888888889</v>
      </c>
      <c r="C328" s="8" t="n">
        <v>25927</v>
      </c>
      <c r="D328" s="8" t="s">
        <v>10</v>
      </c>
      <c r="E328" s="8" t="n">
        <v>4080</v>
      </c>
      <c r="F328" s="8" t="n">
        <v>3580</v>
      </c>
      <c r="G328" s="9" t="n">
        <v>500</v>
      </c>
      <c r="H328" s="8" t="s">
        <v>11</v>
      </c>
      <c r="I328" s="8" t="s">
        <v>12</v>
      </c>
      <c r="J328" s="0" t="s">
        <v>13</v>
      </c>
    </row>
    <row r="329" customFormat="false" ht="13.8" hidden="true" customHeight="false" outlineLevel="0" collapsed="false">
      <c r="A329" s="6" t="n">
        <v>45132</v>
      </c>
      <c r="B329" s="7" t="n">
        <v>0.486111111111111</v>
      </c>
      <c r="C329" s="8" t="n">
        <v>160198</v>
      </c>
      <c r="D329" s="8" t="s">
        <v>15</v>
      </c>
      <c r="E329" s="8" t="n">
        <v>17980</v>
      </c>
      <c r="F329" s="8" t="n">
        <v>16000</v>
      </c>
      <c r="G329" s="9" t="n">
        <v>1980</v>
      </c>
      <c r="H329" s="8" t="s">
        <v>11</v>
      </c>
      <c r="I329" s="8" t="s">
        <v>21</v>
      </c>
      <c r="J329" s="10" t="s">
        <v>13</v>
      </c>
    </row>
    <row r="330" customFormat="false" ht="13.8" hidden="false" customHeight="false" outlineLevel="0" collapsed="false">
      <c r="A330" s="6" t="n">
        <v>45133</v>
      </c>
      <c r="B330" s="7" t="n">
        <v>0.21875</v>
      </c>
      <c r="C330" s="8" t="n">
        <v>25973</v>
      </c>
      <c r="D330" s="8" t="s">
        <v>10</v>
      </c>
      <c r="E330" s="8" t="n">
        <v>4580</v>
      </c>
      <c r="F330" s="8" t="n">
        <v>3800</v>
      </c>
      <c r="G330" s="9" t="n">
        <v>780</v>
      </c>
      <c r="H330" s="8" t="s">
        <v>11</v>
      </c>
      <c r="I330" s="8" t="s">
        <v>12</v>
      </c>
      <c r="J330" s="0" t="s">
        <v>13</v>
      </c>
    </row>
    <row r="331" customFormat="false" ht="13.8" hidden="false" customHeight="false" outlineLevel="0" collapsed="false">
      <c r="A331" s="6" t="n">
        <v>45133</v>
      </c>
      <c r="B331" s="7" t="n">
        <v>0.130555555555556</v>
      </c>
      <c r="C331" s="8" t="n">
        <v>25969</v>
      </c>
      <c r="D331" s="8" t="s">
        <v>10</v>
      </c>
      <c r="E331" s="8" t="n">
        <v>4800</v>
      </c>
      <c r="F331" s="8" t="n">
        <v>3620</v>
      </c>
      <c r="G331" s="9" t="n">
        <v>1180</v>
      </c>
      <c r="H331" s="8" t="s">
        <v>11</v>
      </c>
      <c r="I331" s="8" t="s">
        <v>12</v>
      </c>
      <c r="J331" s="0" t="s">
        <v>13</v>
      </c>
    </row>
    <row r="332" customFormat="false" ht="13.8" hidden="false" customHeight="false" outlineLevel="0" collapsed="false">
      <c r="A332" s="6" t="n">
        <v>45133</v>
      </c>
      <c r="B332" s="7" t="n">
        <v>0.251388888888889</v>
      </c>
      <c r="C332" s="8" t="n">
        <v>25980</v>
      </c>
      <c r="D332" s="8" t="s">
        <v>15</v>
      </c>
      <c r="E332" s="8" t="n">
        <v>21880</v>
      </c>
      <c r="F332" s="8" t="n">
        <v>15960</v>
      </c>
      <c r="G332" s="9" t="n">
        <v>5920</v>
      </c>
      <c r="H332" s="8" t="s">
        <v>11</v>
      </c>
      <c r="I332" s="8" t="s">
        <v>12</v>
      </c>
      <c r="J332" s="0" t="s">
        <v>13</v>
      </c>
    </row>
    <row r="333" customFormat="false" ht="13.8" hidden="false" customHeight="false" outlineLevel="0" collapsed="false">
      <c r="A333" s="6" t="n">
        <v>45133</v>
      </c>
      <c r="B333" s="7" t="n">
        <v>0.158333333333333</v>
      </c>
      <c r="C333" s="8" t="n">
        <v>25970</v>
      </c>
      <c r="D333" s="8" t="s">
        <v>15</v>
      </c>
      <c r="E333" s="8" t="n">
        <v>26040</v>
      </c>
      <c r="F333" s="8" t="n">
        <v>15980</v>
      </c>
      <c r="G333" s="9" t="n">
        <v>10060</v>
      </c>
      <c r="H333" s="8" t="s">
        <v>11</v>
      </c>
      <c r="I333" s="8" t="s">
        <v>12</v>
      </c>
      <c r="J333" s="0" t="s">
        <v>13</v>
      </c>
    </row>
    <row r="334" customFormat="false" ht="13.8" hidden="false" customHeight="false" outlineLevel="0" collapsed="false">
      <c r="A334" s="6" t="n">
        <v>45133</v>
      </c>
      <c r="B334" s="7" t="n">
        <v>0.0625</v>
      </c>
      <c r="C334" s="8" t="n">
        <v>25963</v>
      </c>
      <c r="D334" s="8" t="s">
        <v>16</v>
      </c>
      <c r="E334" s="8" t="n">
        <v>21620</v>
      </c>
      <c r="F334" s="8" t="n">
        <v>13240</v>
      </c>
      <c r="G334" s="9" t="n">
        <v>8380</v>
      </c>
      <c r="H334" s="8" t="s">
        <v>11</v>
      </c>
      <c r="I334" s="8" t="s">
        <v>12</v>
      </c>
      <c r="J334" s="0" t="s">
        <v>13</v>
      </c>
    </row>
    <row r="335" customFormat="false" ht="13.8" hidden="false" customHeight="false" outlineLevel="0" collapsed="false">
      <c r="A335" s="6" t="n">
        <v>45133</v>
      </c>
      <c r="B335" s="7" t="n">
        <v>0.252777777777778</v>
      </c>
      <c r="C335" s="8" t="n">
        <v>25981</v>
      </c>
      <c r="D335" s="8" t="s">
        <v>16</v>
      </c>
      <c r="E335" s="8" t="n">
        <v>23060</v>
      </c>
      <c r="F335" s="8" t="n">
        <v>13220</v>
      </c>
      <c r="G335" s="9" t="n">
        <v>9840</v>
      </c>
      <c r="H335" s="8" t="s">
        <v>11</v>
      </c>
      <c r="I335" s="8" t="s">
        <v>12</v>
      </c>
      <c r="J335" s="0" t="s">
        <v>13</v>
      </c>
    </row>
    <row r="336" customFormat="false" ht="13.8" hidden="false" customHeight="false" outlineLevel="0" collapsed="false">
      <c r="A336" s="6" t="n">
        <v>45133</v>
      </c>
      <c r="B336" s="7" t="n">
        <v>0.542361111111111</v>
      </c>
      <c r="C336" s="8" t="n">
        <v>26016</v>
      </c>
      <c r="D336" s="8" t="s">
        <v>14</v>
      </c>
      <c r="E336" s="8" t="n">
        <v>3220</v>
      </c>
      <c r="F336" s="8" t="n">
        <v>2780</v>
      </c>
      <c r="G336" s="9" t="n">
        <v>440</v>
      </c>
      <c r="H336" s="8" t="s">
        <v>11</v>
      </c>
      <c r="I336" s="8" t="s">
        <v>27</v>
      </c>
      <c r="J336" s="0" t="s">
        <v>13</v>
      </c>
    </row>
    <row r="337" customFormat="false" ht="13.8" hidden="false" customHeight="false" outlineLevel="0" collapsed="false">
      <c r="A337" s="6" t="n">
        <v>45133</v>
      </c>
      <c r="B337" s="7" t="n">
        <v>0.886111111111111</v>
      </c>
      <c r="C337" s="8" t="n">
        <v>26035</v>
      </c>
      <c r="D337" s="8" t="s">
        <v>14</v>
      </c>
      <c r="E337" s="8" t="n">
        <v>3060</v>
      </c>
      <c r="F337" s="8" t="n">
        <v>2660</v>
      </c>
      <c r="G337" s="9" t="n">
        <v>400</v>
      </c>
      <c r="H337" s="8" t="s">
        <v>11</v>
      </c>
      <c r="I337" s="8" t="s">
        <v>12</v>
      </c>
      <c r="J337" s="0" t="s">
        <v>13</v>
      </c>
    </row>
    <row r="338" customFormat="false" ht="13.8" hidden="false" customHeight="false" outlineLevel="0" collapsed="false">
      <c r="A338" s="6" t="n">
        <v>45133</v>
      </c>
      <c r="B338" s="7" t="n">
        <v>0.425694444444444</v>
      </c>
      <c r="C338" s="8" t="n">
        <v>25999</v>
      </c>
      <c r="D338" s="8" t="s">
        <v>25</v>
      </c>
      <c r="E338" s="8" t="n">
        <v>3400</v>
      </c>
      <c r="F338" s="8" t="n">
        <v>2860</v>
      </c>
      <c r="G338" s="9" t="n">
        <v>540</v>
      </c>
      <c r="H338" s="8" t="s">
        <v>11</v>
      </c>
      <c r="I338" s="8" t="s">
        <v>12</v>
      </c>
      <c r="J338" s="0" t="s">
        <v>13</v>
      </c>
    </row>
    <row r="339" customFormat="false" ht="13.8" hidden="false" customHeight="false" outlineLevel="0" collapsed="false">
      <c r="A339" s="6" t="n">
        <v>45133</v>
      </c>
      <c r="B339" s="7" t="n">
        <v>0.696527777777778</v>
      </c>
      <c r="C339" s="8" t="n">
        <v>26027</v>
      </c>
      <c r="D339" s="8" t="s">
        <v>16</v>
      </c>
      <c r="E339" s="8" t="n">
        <v>15320</v>
      </c>
      <c r="F339" s="8" t="n">
        <v>13160</v>
      </c>
      <c r="G339" s="9" t="n">
        <v>2160</v>
      </c>
      <c r="H339" s="8" t="s">
        <v>11</v>
      </c>
      <c r="I339" s="8" t="s">
        <v>12</v>
      </c>
      <c r="J339" s="0" t="s">
        <v>13</v>
      </c>
    </row>
    <row r="340" customFormat="false" ht="13.8" hidden="false" customHeight="false" outlineLevel="0" collapsed="false">
      <c r="A340" s="6" t="n">
        <v>45133</v>
      </c>
      <c r="B340" s="7" t="n">
        <v>0.472916666666667</v>
      </c>
      <c r="C340" s="8" t="n">
        <v>26007</v>
      </c>
      <c r="D340" s="8" t="s">
        <v>17</v>
      </c>
      <c r="E340" s="8" t="n">
        <v>5900</v>
      </c>
      <c r="F340" s="8" t="n">
        <v>5600</v>
      </c>
      <c r="G340" s="9" t="n">
        <v>300</v>
      </c>
      <c r="H340" s="8" t="s">
        <v>11</v>
      </c>
      <c r="I340" s="8" t="s">
        <v>18</v>
      </c>
      <c r="J340" s="0" t="s">
        <v>13</v>
      </c>
    </row>
    <row r="341" customFormat="false" ht="13.8" hidden="false" customHeight="false" outlineLevel="0" collapsed="false">
      <c r="A341" s="6" t="n">
        <v>45133</v>
      </c>
      <c r="B341" s="7" t="n">
        <v>0.875</v>
      </c>
      <c r="C341" s="8" t="n">
        <v>26033</v>
      </c>
      <c r="D341" s="8" t="s">
        <v>15</v>
      </c>
      <c r="E341" s="8" t="n">
        <v>23860</v>
      </c>
      <c r="F341" s="8" t="n">
        <v>15940</v>
      </c>
      <c r="G341" s="9" t="n">
        <v>7920</v>
      </c>
      <c r="H341" s="8" t="s">
        <v>11</v>
      </c>
      <c r="I341" s="8" t="s">
        <v>12</v>
      </c>
      <c r="J341" s="0" t="s">
        <v>13</v>
      </c>
    </row>
    <row r="342" customFormat="false" ht="13.8" hidden="false" customHeight="false" outlineLevel="0" collapsed="false">
      <c r="A342" s="6" t="n">
        <v>45133</v>
      </c>
      <c r="B342" s="7" t="n">
        <v>0.443055555555556</v>
      </c>
      <c r="C342" s="8" t="n">
        <v>26000</v>
      </c>
      <c r="D342" s="8" t="s">
        <v>19</v>
      </c>
      <c r="E342" s="8" t="n">
        <v>2600</v>
      </c>
      <c r="F342" s="8" t="n">
        <v>2420</v>
      </c>
      <c r="G342" s="9" t="n">
        <v>180</v>
      </c>
      <c r="H342" s="8" t="s">
        <v>11</v>
      </c>
      <c r="I342" s="8" t="s">
        <v>12</v>
      </c>
      <c r="J342" s="0" t="s">
        <v>13</v>
      </c>
    </row>
    <row r="343" customFormat="false" ht="13.8" hidden="false" customHeight="false" outlineLevel="0" collapsed="false">
      <c r="A343" s="6" t="n">
        <v>45133</v>
      </c>
      <c r="B343" s="7" t="n">
        <v>0.386805555555556</v>
      </c>
      <c r="C343" s="8" t="n">
        <v>25996</v>
      </c>
      <c r="D343" s="8" t="s">
        <v>23</v>
      </c>
      <c r="E343" s="8" t="n">
        <v>17780</v>
      </c>
      <c r="F343" s="8" t="n">
        <v>15400</v>
      </c>
      <c r="G343" s="9" t="n">
        <v>2380</v>
      </c>
      <c r="H343" s="8" t="s">
        <v>11</v>
      </c>
      <c r="I343" s="8" t="s">
        <v>18</v>
      </c>
      <c r="J343" s="0" t="s">
        <v>13</v>
      </c>
    </row>
    <row r="344" customFormat="false" ht="13.8" hidden="false" customHeight="false" outlineLevel="0" collapsed="false">
      <c r="A344" s="6" t="n">
        <v>45134</v>
      </c>
      <c r="B344" s="7" t="n">
        <v>0.0576388888888889</v>
      </c>
      <c r="C344" s="8" t="n">
        <v>26038</v>
      </c>
      <c r="D344" s="8" t="s">
        <v>16</v>
      </c>
      <c r="E344" s="8" t="n">
        <v>21460</v>
      </c>
      <c r="F344" s="8" t="n">
        <v>13180</v>
      </c>
      <c r="G344" s="9" t="n">
        <v>8280</v>
      </c>
      <c r="H344" s="8" t="s">
        <v>11</v>
      </c>
      <c r="I344" s="8" t="s">
        <v>12</v>
      </c>
      <c r="J344" s="0" t="s">
        <v>13</v>
      </c>
    </row>
    <row r="345" customFormat="false" ht="13.8" hidden="false" customHeight="false" outlineLevel="0" collapsed="false">
      <c r="A345" s="6" t="n">
        <v>45134</v>
      </c>
      <c r="B345" s="7" t="n">
        <v>0.248611111111111</v>
      </c>
      <c r="C345" s="8" t="n">
        <v>26054</v>
      </c>
      <c r="D345" s="8" t="s">
        <v>16</v>
      </c>
      <c r="E345" s="8" t="n">
        <v>23220</v>
      </c>
      <c r="F345" s="8" t="n">
        <v>13160</v>
      </c>
      <c r="G345" s="9" t="n">
        <v>10060</v>
      </c>
      <c r="H345" s="8" t="s">
        <v>11</v>
      </c>
      <c r="I345" s="8" t="s">
        <v>12</v>
      </c>
      <c r="J345" s="0" t="s">
        <v>13</v>
      </c>
    </row>
    <row r="346" customFormat="false" ht="13.8" hidden="false" customHeight="false" outlineLevel="0" collapsed="false">
      <c r="A346" s="6" t="n">
        <v>45134</v>
      </c>
      <c r="B346" s="7" t="n">
        <v>0.204166666666667</v>
      </c>
      <c r="C346" s="8" t="n">
        <v>26047</v>
      </c>
      <c r="D346" s="8" t="s">
        <v>14</v>
      </c>
      <c r="E346" s="8" t="n">
        <v>3000</v>
      </c>
      <c r="F346" s="8" t="n">
        <v>2700</v>
      </c>
      <c r="G346" s="9" t="n">
        <v>300</v>
      </c>
      <c r="H346" s="8" t="s">
        <v>11</v>
      </c>
      <c r="I346" s="8" t="s">
        <v>12</v>
      </c>
      <c r="J346" s="0" t="s">
        <v>13</v>
      </c>
    </row>
    <row r="347" customFormat="false" ht="13.8" hidden="false" customHeight="false" outlineLevel="0" collapsed="false">
      <c r="A347" s="6" t="n">
        <v>45134</v>
      </c>
      <c r="B347" s="7" t="n">
        <v>0.204166666666667</v>
      </c>
      <c r="C347" s="8" t="n">
        <v>26046</v>
      </c>
      <c r="D347" s="8" t="s">
        <v>25</v>
      </c>
      <c r="E347" s="8" t="n">
        <v>3860</v>
      </c>
      <c r="F347" s="8" t="n">
        <v>2940</v>
      </c>
      <c r="G347" s="9" t="n">
        <v>920</v>
      </c>
      <c r="H347" s="8" t="s">
        <v>11</v>
      </c>
      <c r="I347" s="8" t="s">
        <v>12</v>
      </c>
      <c r="J347" s="0" t="s">
        <v>13</v>
      </c>
    </row>
    <row r="348" customFormat="false" ht="13.8" hidden="false" customHeight="false" outlineLevel="0" collapsed="false">
      <c r="A348" s="6" t="n">
        <v>45134</v>
      </c>
      <c r="B348" s="7" t="n">
        <v>0.25</v>
      </c>
      <c r="C348" s="8" t="n">
        <v>26055</v>
      </c>
      <c r="D348" s="8" t="s">
        <v>15</v>
      </c>
      <c r="E348" s="8" t="n">
        <v>24980</v>
      </c>
      <c r="F348" s="8" t="n">
        <v>16040</v>
      </c>
      <c r="G348" s="9" t="n">
        <v>8940</v>
      </c>
      <c r="H348" s="8" t="s">
        <v>11</v>
      </c>
      <c r="I348" s="8" t="s">
        <v>12</v>
      </c>
      <c r="J348" s="0" t="s">
        <v>13</v>
      </c>
    </row>
    <row r="349" customFormat="false" ht="13.8" hidden="false" customHeight="false" outlineLevel="0" collapsed="false">
      <c r="A349" s="6" t="n">
        <v>45134</v>
      </c>
      <c r="B349" s="7" t="n">
        <v>0.147916666666667</v>
      </c>
      <c r="C349" s="8" t="n">
        <v>26042</v>
      </c>
      <c r="D349" s="8" t="s">
        <v>14</v>
      </c>
      <c r="E349" s="8" t="n">
        <v>3400</v>
      </c>
      <c r="F349" s="8" t="n">
        <v>2700</v>
      </c>
      <c r="G349" s="9" t="n">
        <v>700</v>
      </c>
      <c r="H349" s="8" t="s">
        <v>11</v>
      </c>
      <c r="I349" s="8" t="s">
        <v>12</v>
      </c>
      <c r="J349" s="0" t="s">
        <v>13</v>
      </c>
    </row>
    <row r="350" customFormat="false" ht="13.8" hidden="false" customHeight="false" outlineLevel="0" collapsed="false">
      <c r="A350" s="6" t="n">
        <v>45134</v>
      </c>
      <c r="B350" s="7" t="n">
        <v>0.43125</v>
      </c>
      <c r="C350" s="8" t="n">
        <v>26071</v>
      </c>
      <c r="D350" s="8" t="s">
        <v>25</v>
      </c>
      <c r="E350" s="8" t="n">
        <v>3300</v>
      </c>
      <c r="F350" s="8" t="n">
        <v>2840</v>
      </c>
      <c r="G350" s="9" t="n">
        <v>460</v>
      </c>
      <c r="H350" s="8" t="s">
        <v>11</v>
      </c>
      <c r="I350" s="8" t="s">
        <v>12</v>
      </c>
      <c r="J350" s="0" t="s">
        <v>13</v>
      </c>
    </row>
    <row r="351" customFormat="false" ht="13.8" hidden="false" customHeight="false" outlineLevel="0" collapsed="false">
      <c r="A351" s="6" t="n">
        <v>45134</v>
      </c>
      <c r="B351" s="7" t="n">
        <v>0.431944444444444</v>
      </c>
      <c r="C351" s="8" t="n">
        <v>26072</v>
      </c>
      <c r="D351" s="8" t="s">
        <v>20</v>
      </c>
      <c r="E351" s="8" t="n">
        <v>22760</v>
      </c>
      <c r="F351" s="8" t="n">
        <v>16000</v>
      </c>
      <c r="G351" s="9" t="n">
        <v>6760</v>
      </c>
      <c r="H351" s="8" t="s">
        <v>11</v>
      </c>
      <c r="I351" s="8" t="s">
        <v>12</v>
      </c>
      <c r="J351" s="0" t="s">
        <v>13</v>
      </c>
    </row>
    <row r="352" customFormat="false" ht="13.8" hidden="false" customHeight="false" outlineLevel="0" collapsed="false">
      <c r="A352" s="6" t="n">
        <v>45134</v>
      </c>
      <c r="B352" s="7" t="n">
        <v>0.466666666666667</v>
      </c>
      <c r="C352" s="8" t="n">
        <v>26076</v>
      </c>
      <c r="D352" s="8" t="s">
        <v>17</v>
      </c>
      <c r="E352" s="8" t="n">
        <v>6340</v>
      </c>
      <c r="F352" s="8" t="n">
        <v>5600</v>
      </c>
      <c r="G352" s="9" t="n">
        <v>740</v>
      </c>
      <c r="H352" s="8" t="s">
        <v>11</v>
      </c>
      <c r="I352" s="8" t="s">
        <v>18</v>
      </c>
      <c r="J352" s="0" t="s">
        <v>13</v>
      </c>
    </row>
    <row r="353" customFormat="false" ht="13.8" hidden="true" customHeight="false" outlineLevel="0" collapsed="false">
      <c r="A353" s="6" t="n">
        <v>45134</v>
      </c>
      <c r="B353" s="8" t="n">
        <v>160314</v>
      </c>
      <c r="C353" s="8" t="n">
        <v>160314</v>
      </c>
      <c r="D353" s="8" t="s">
        <v>15</v>
      </c>
      <c r="E353" s="8" t="n">
        <v>17480</v>
      </c>
      <c r="F353" s="8" t="n">
        <v>16060</v>
      </c>
      <c r="G353" s="9" t="n">
        <v>1420</v>
      </c>
      <c r="H353" s="8" t="s">
        <v>11</v>
      </c>
      <c r="I353" s="8" t="s">
        <v>21</v>
      </c>
      <c r="J353" s="10" t="s">
        <v>13</v>
      </c>
    </row>
    <row r="354" customFormat="false" ht="13.8" hidden="false" customHeight="false" outlineLevel="0" collapsed="false">
      <c r="A354" s="6" t="n">
        <v>45134</v>
      </c>
      <c r="B354" s="7" t="n">
        <v>0.706944444444444</v>
      </c>
      <c r="C354" s="8" t="n">
        <v>26098</v>
      </c>
      <c r="D354" s="8" t="s">
        <v>16</v>
      </c>
      <c r="E354" s="8" t="n">
        <v>15660</v>
      </c>
      <c r="F354" s="8" t="n">
        <v>13220</v>
      </c>
      <c r="G354" s="9" t="n">
        <v>2440</v>
      </c>
      <c r="H354" s="8" t="s">
        <v>11</v>
      </c>
      <c r="I354" s="8" t="s">
        <v>12</v>
      </c>
      <c r="J354" s="0" t="s">
        <v>13</v>
      </c>
    </row>
    <row r="355" customFormat="false" ht="13.8" hidden="false" customHeight="false" outlineLevel="0" collapsed="false">
      <c r="A355" s="6" t="n">
        <v>45134</v>
      </c>
      <c r="B355" s="7" t="n">
        <v>0.886805555555556</v>
      </c>
      <c r="C355" s="8" t="n">
        <v>26105</v>
      </c>
      <c r="D355" s="8" t="s">
        <v>14</v>
      </c>
      <c r="E355" s="8" t="n">
        <v>3040</v>
      </c>
      <c r="F355" s="8" t="n">
        <v>2680</v>
      </c>
      <c r="G355" s="9" t="n">
        <v>360</v>
      </c>
      <c r="H355" s="8" t="s">
        <v>11</v>
      </c>
      <c r="I355" s="8" t="s">
        <v>12</v>
      </c>
      <c r="J355" s="0" t="s">
        <v>13</v>
      </c>
    </row>
    <row r="356" customFormat="false" ht="13.8" hidden="false" customHeight="false" outlineLevel="0" collapsed="false">
      <c r="A356" s="6" t="n">
        <v>45134</v>
      </c>
      <c r="B356" s="7" t="n">
        <v>0.547916666666667</v>
      </c>
      <c r="C356" s="8" t="n">
        <v>26087</v>
      </c>
      <c r="D356" s="8" t="s">
        <v>14</v>
      </c>
      <c r="E356" s="8" t="n">
        <v>3880</v>
      </c>
      <c r="F356" s="8" t="n">
        <v>2780</v>
      </c>
      <c r="G356" s="9" t="n">
        <v>1100</v>
      </c>
      <c r="H356" s="8" t="s">
        <v>11</v>
      </c>
      <c r="I356" s="8" t="s">
        <v>27</v>
      </c>
      <c r="J356" s="0" t="s">
        <v>13</v>
      </c>
    </row>
    <row r="357" customFormat="false" ht="13.8" hidden="false" customHeight="false" outlineLevel="0" collapsed="false">
      <c r="A357" s="6" t="n">
        <v>45134</v>
      </c>
      <c r="B357" s="7" t="n">
        <v>0.877083333333333</v>
      </c>
      <c r="C357" s="8" t="n">
        <v>26104</v>
      </c>
      <c r="D357" s="8" t="s">
        <v>15</v>
      </c>
      <c r="E357" s="8" t="n">
        <v>23300</v>
      </c>
      <c r="F357" s="8" t="n">
        <v>16060</v>
      </c>
      <c r="G357" s="9" t="n">
        <v>7240</v>
      </c>
      <c r="H357" s="8" t="s">
        <v>11</v>
      </c>
      <c r="I357" s="8" t="s">
        <v>12</v>
      </c>
      <c r="J357" s="0" t="s">
        <v>13</v>
      </c>
    </row>
    <row r="358" customFormat="false" ht="13.8" hidden="false" customHeight="false" outlineLevel="0" collapsed="false">
      <c r="A358" s="6" t="n">
        <v>45135</v>
      </c>
      <c r="B358" s="7" t="n">
        <v>0.211111111111111</v>
      </c>
      <c r="C358" s="8" t="n">
        <v>26118</v>
      </c>
      <c r="D358" s="8" t="s">
        <v>10</v>
      </c>
      <c r="E358" s="8" t="n">
        <v>4660</v>
      </c>
      <c r="F358" s="8" t="n">
        <v>3700</v>
      </c>
      <c r="G358" s="9" t="n">
        <v>960</v>
      </c>
      <c r="H358" s="8" t="s">
        <v>11</v>
      </c>
      <c r="I358" s="8" t="s">
        <v>12</v>
      </c>
      <c r="J358" s="0" t="s">
        <v>13</v>
      </c>
    </row>
    <row r="359" customFormat="false" ht="13.8" hidden="false" customHeight="false" outlineLevel="0" collapsed="false">
      <c r="A359" s="6" t="n">
        <v>45135</v>
      </c>
      <c r="B359" s="7" t="n">
        <v>0.25</v>
      </c>
      <c r="C359" s="8" t="n">
        <v>26125</v>
      </c>
      <c r="D359" s="8" t="s">
        <v>16</v>
      </c>
      <c r="E359" s="8" t="n">
        <v>20400</v>
      </c>
      <c r="F359" s="8" t="n">
        <v>13240</v>
      </c>
      <c r="G359" s="9" t="n">
        <v>7160</v>
      </c>
      <c r="H359" s="8" t="s">
        <v>11</v>
      </c>
      <c r="I359" s="8" t="s">
        <v>12</v>
      </c>
      <c r="J359" s="0" t="s">
        <v>13</v>
      </c>
    </row>
    <row r="360" customFormat="false" ht="13.8" hidden="false" customHeight="false" outlineLevel="0" collapsed="false">
      <c r="A360" s="6" t="n">
        <v>45135</v>
      </c>
      <c r="B360" s="7" t="n">
        <v>0.157638888888889</v>
      </c>
      <c r="C360" s="8" t="n">
        <v>26115</v>
      </c>
      <c r="D360" s="8" t="s">
        <v>15</v>
      </c>
      <c r="E360" s="8" t="n">
        <v>25840</v>
      </c>
      <c r="F360" s="8" t="n">
        <v>16060</v>
      </c>
      <c r="G360" s="9" t="n">
        <v>9780</v>
      </c>
      <c r="H360" s="8" t="s">
        <v>11</v>
      </c>
      <c r="I360" s="8" t="s">
        <v>12</v>
      </c>
      <c r="J360" s="0" t="s">
        <v>13</v>
      </c>
    </row>
    <row r="361" customFormat="false" ht="13.8" hidden="false" customHeight="false" outlineLevel="0" collapsed="false">
      <c r="A361" s="6" t="n">
        <v>45135</v>
      </c>
      <c r="B361" s="7" t="n">
        <v>0.289583333333333</v>
      </c>
      <c r="C361" s="8" t="n">
        <v>26130</v>
      </c>
      <c r="D361" s="8" t="s">
        <v>15</v>
      </c>
      <c r="E361" s="8" t="n">
        <v>23820</v>
      </c>
      <c r="F361" s="8" t="n">
        <v>16000</v>
      </c>
      <c r="G361" s="9" t="n">
        <v>7820</v>
      </c>
      <c r="H361" s="8" t="s">
        <v>11</v>
      </c>
      <c r="I361" s="8" t="s">
        <v>12</v>
      </c>
      <c r="J361" s="0" t="s">
        <v>13</v>
      </c>
    </row>
    <row r="362" customFormat="false" ht="13.8" hidden="false" customHeight="false" outlineLevel="0" collapsed="false">
      <c r="A362" s="6" t="n">
        <v>45135</v>
      </c>
      <c r="B362" s="7" t="n">
        <v>0.130555555555556</v>
      </c>
      <c r="C362" s="8" t="n">
        <v>26112</v>
      </c>
      <c r="D362" s="8" t="s">
        <v>10</v>
      </c>
      <c r="E362" s="8" t="n">
        <v>4900</v>
      </c>
      <c r="F362" s="8" t="n">
        <v>3600</v>
      </c>
      <c r="G362" s="9" t="n">
        <v>1300</v>
      </c>
      <c r="H362" s="8" t="s">
        <v>11</v>
      </c>
      <c r="I362" s="8" t="s">
        <v>12</v>
      </c>
      <c r="J362" s="0" t="s">
        <v>13</v>
      </c>
    </row>
    <row r="363" customFormat="false" ht="13.8" hidden="false" customHeight="false" outlineLevel="0" collapsed="false">
      <c r="A363" s="6" t="n">
        <v>45135</v>
      </c>
      <c r="B363" s="7" t="n">
        <v>0.0722222222222222</v>
      </c>
      <c r="C363" s="8" t="n">
        <v>26107</v>
      </c>
      <c r="D363" s="8" t="s">
        <v>16</v>
      </c>
      <c r="E363" s="8" t="n">
        <v>21700</v>
      </c>
      <c r="F363" s="8" t="n">
        <v>13240</v>
      </c>
      <c r="G363" s="9" t="n">
        <v>8460</v>
      </c>
      <c r="H363" s="8" t="s">
        <v>11</v>
      </c>
      <c r="I363" s="8" t="s">
        <v>12</v>
      </c>
      <c r="J363" s="0" t="s">
        <v>13</v>
      </c>
    </row>
    <row r="364" customFormat="false" ht="13.8" hidden="false" customHeight="false" outlineLevel="0" collapsed="false">
      <c r="A364" s="6" t="n">
        <v>45135</v>
      </c>
      <c r="B364" s="7" t="n">
        <v>0.234722222222222</v>
      </c>
      <c r="C364" s="8" t="n">
        <v>26122</v>
      </c>
      <c r="D364" s="8" t="s">
        <v>24</v>
      </c>
      <c r="E364" s="8" t="n">
        <v>17820</v>
      </c>
      <c r="F364" s="8" t="n">
        <v>12480</v>
      </c>
      <c r="G364" s="9" t="n">
        <v>5340</v>
      </c>
      <c r="H364" s="8" t="s">
        <v>11</v>
      </c>
      <c r="I364" s="8" t="s">
        <v>12</v>
      </c>
      <c r="J364" s="0" t="s">
        <v>13</v>
      </c>
    </row>
    <row r="365" customFormat="false" ht="13.8" hidden="false" customHeight="false" outlineLevel="0" collapsed="false">
      <c r="A365" s="6" t="n">
        <v>45135</v>
      </c>
      <c r="B365" s="7" t="n">
        <v>0.525694444444445</v>
      </c>
      <c r="C365" s="8" t="n">
        <v>26161</v>
      </c>
      <c r="D365" s="8" t="s">
        <v>14</v>
      </c>
      <c r="E365" s="8" t="n">
        <v>2960</v>
      </c>
      <c r="F365" s="8" t="n">
        <v>2820</v>
      </c>
      <c r="G365" s="9" t="n">
        <v>140</v>
      </c>
      <c r="H365" s="8" t="s">
        <v>11</v>
      </c>
      <c r="I365" s="8" t="s">
        <v>27</v>
      </c>
      <c r="J365" s="0" t="s">
        <v>13</v>
      </c>
    </row>
    <row r="366" customFormat="false" ht="13.8" hidden="false" customHeight="false" outlineLevel="0" collapsed="false">
      <c r="A366" s="6" t="n">
        <v>45135</v>
      </c>
      <c r="B366" s="7" t="n">
        <v>0.879166666666667</v>
      </c>
      <c r="C366" s="8" t="n">
        <v>26180</v>
      </c>
      <c r="D366" s="8" t="s">
        <v>15</v>
      </c>
      <c r="E366" s="8" t="n">
        <v>23000</v>
      </c>
      <c r="F366" s="8" t="n">
        <v>16060</v>
      </c>
      <c r="G366" s="9" t="n">
        <v>6940</v>
      </c>
      <c r="H366" s="8" t="s">
        <v>11</v>
      </c>
      <c r="I366" s="8" t="s">
        <v>12</v>
      </c>
      <c r="J366" s="0" t="s">
        <v>13</v>
      </c>
    </row>
    <row r="367" customFormat="false" ht="13.8" hidden="false" customHeight="false" outlineLevel="0" collapsed="false">
      <c r="A367" s="6" t="n">
        <v>45135</v>
      </c>
      <c r="B367" s="7" t="n">
        <v>0.70625</v>
      </c>
      <c r="C367" s="8" t="n">
        <v>26175</v>
      </c>
      <c r="D367" s="8" t="s">
        <v>16</v>
      </c>
      <c r="E367" s="8" t="n">
        <v>15900</v>
      </c>
      <c r="F367" s="8" t="n">
        <v>13160</v>
      </c>
      <c r="G367" s="9" t="n">
        <v>2740</v>
      </c>
      <c r="H367" s="8" t="s">
        <v>11</v>
      </c>
      <c r="I367" s="8" t="s">
        <v>12</v>
      </c>
      <c r="J367" s="0" t="s">
        <v>13</v>
      </c>
    </row>
    <row r="368" customFormat="false" ht="13.8" hidden="false" customHeight="false" outlineLevel="0" collapsed="false">
      <c r="A368" s="6" t="n">
        <v>45135</v>
      </c>
      <c r="B368" s="7" t="n">
        <v>0.886805555555556</v>
      </c>
      <c r="C368" s="8" t="n">
        <v>26181</v>
      </c>
      <c r="D368" s="8" t="s">
        <v>14</v>
      </c>
      <c r="E368" s="8" t="n">
        <v>3080</v>
      </c>
      <c r="F368" s="8" t="n">
        <v>2680</v>
      </c>
      <c r="G368" s="9" t="n">
        <v>400</v>
      </c>
      <c r="H368" s="8" t="s">
        <v>11</v>
      </c>
      <c r="I368" s="8" t="s">
        <v>12</v>
      </c>
      <c r="J368" s="0" t="s">
        <v>13</v>
      </c>
    </row>
    <row r="369" customFormat="false" ht="13.8" hidden="false" customHeight="false" outlineLevel="0" collapsed="false">
      <c r="A369" s="6" t="n">
        <v>45135</v>
      </c>
      <c r="B369" s="7" t="n">
        <v>0.421527777777778</v>
      </c>
      <c r="C369" s="8" t="n">
        <v>26143</v>
      </c>
      <c r="D369" s="8" t="s">
        <v>28</v>
      </c>
      <c r="E369" s="8" t="n">
        <v>18000</v>
      </c>
      <c r="F369" s="8" t="n">
        <v>16160</v>
      </c>
      <c r="G369" s="9" t="n">
        <v>1840</v>
      </c>
      <c r="H369" s="8" t="s">
        <v>11</v>
      </c>
      <c r="I369" s="8" t="s">
        <v>12</v>
      </c>
      <c r="J369" s="0" t="s">
        <v>13</v>
      </c>
    </row>
    <row r="370" customFormat="false" ht="13.8" hidden="false" customHeight="false" outlineLevel="0" collapsed="false">
      <c r="A370" s="6" t="n">
        <v>45135</v>
      </c>
      <c r="B370" s="7" t="n">
        <v>0.477083333333333</v>
      </c>
      <c r="C370" s="8" t="n">
        <v>26156</v>
      </c>
      <c r="D370" s="8" t="s">
        <v>28</v>
      </c>
      <c r="E370" s="8" t="n">
        <v>17840</v>
      </c>
      <c r="F370" s="8" t="n">
        <v>16320</v>
      </c>
      <c r="G370" s="9" t="n">
        <v>1520</v>
      </c>
      <c r="H370" s="8" t="s">
        <v>11</v>
      </c>
      <c r="I370" s="8" t="s">
        <v>18</v>
      </c>
      <c r="J370" s="0" t="s">
        <v>13</v>
      </c>
    </row>
    <row r="371" customFormat="false" ht="13.8" hidden="false" customHeight="false" outlineLevel="0" collapsed="false">
      <c r="A371" s="6" t="n">
        <v>45135</v>
      </c>
      <c r="B371" s="7" t="n">
        <v>0.438888888888889</v>
      </c>
      <c r="C371" s="8" t="n">
        <v>26146</v>
      </c>
      <c r="D371" s="8" t="s">
        <v>25</v>
      </c>
      <c r="E371" s="8" t="n">
        <v>3360</v>
      </c>
      <c r="F371" s="8" t="n">
        <v>2840</v>
      </c>
      <c r="G371" s="9" t="n">
        <v>520</v>
      </c>
      <c r="H371" s="8" t="s">
        <v>11</v>
      </c>
      <c r="I371" s="8" t="s">
        <v>12</v>
      </c>
      <c r="J371" s="0" t="s">
        <v>13</v>
      </c>
    </row>
    <row r="372" customFormat="false" ht="13.8" hidden="false" customHeight="false" outlineLevel="0" collapsed="false">
      <c r="A372" s="6" t="n">
        <v>45135</v>
      </c>
      <c r="B372" s="7" t="n">
        <v>0.445138888888889</v>
      </c>
      <c r="C372" s="8" t="n">
        <v>26147</v>
      </c>
      <c r="D372" s="8" t="s">
        <v>19</v>
      </c>
      <c r="E372" s="8" t="n">
        <v>2520</v>
      </c>
      <c r="F372" s="8" t="n">
        <v>2400</v>
      </c>
      <c r="G372" s="9" t="n">
        <v>120</v>
      </c>
      <c r="H372" s="8" t="s">
        <v>11</v>
      </c>
      <c r="I372" s="8" t="s">
        <v>12</v>
      </c>
      <c r="J372" s="0" t="s">
        <v>13</v>
      </c>
    </row>
    <row r="373" customFormat="false" ht="13.8" hidden="false" customHeight="false" outlineLevel="0" collapsed="false">
      <c r="A373" s="6" t="n">
        <v>45135</v>
      </c>
      <c r="B373" s="7" t="n">
        <v>0.470138888888889</v>
      </c>
      <c r="C373" s="8" t="n">
        <v>26153</v>
      </c>
      <c r="D373" s="8" t="s">
        <v>17</v>
      </c>
      <c r="E373" s="8" t="n">
        <v>6680</v>
      </c>
      <c r="F373" s="8" t="n">
        <v>5580</v>
      </c>
      <c r="G373" s="9" t="n">
        <v>1100</v>
      </c>
      <c r="H373" s="8" t="s">
        <v>11</v>
      </c>
      <c r="I373" s="8" t="s">
        <v>18</v>
      </c>
      <c r="J373" s="0" t="s">
        <v>13</v>
      </c>
    </row>
    <row r="374" customFormat="false" ht="13.8" hidden="true" customHeight="false" outlineLevel="0" collapsed="false">
      <c r="A374" s="6" t="n">
        <v>45135</v>
      </c>
      <c r="B374" s="7" t="n">
        <v>0.347222222222222</v>
      </c>
      <c r="C374" s="8" t="n">
        <v>160376</v>
      </c>
      <c r="D374" s="8" t="s">
        <v>28</v>
      </c>
      <c r="E374" s="8" t="n">
        <v>18440</v>
      </c>
      <c r="F374" s="8" t="n">
        <v>15980</v>
      </c>
      <c r="G374" s="9" t="n">
        <v>2460</v>
      </c>
      <c r="H374" s="8" t="s">
        <v>11</v>
      </c>
      <c r="I374" s="8" t="s">
        <v>21</v>
      </c>
      <c r="J374" s="10" t="s">
        <v>13</v>
      </c>
    </row>
    <row r="375" customFormat="false" ht="13.8" hidden="true" customHeight="false" outlineLevel="0" collapsed="false">
      <c r="A375" s="6" t="n">
        <v>45135</v>
      </c>
      <c r="B375" s="7" t="n">
        <v>0.533333333333333</v>
      </c>
      <c r="C375" s="8"/>
      <c r="D375" s="8" t="s">
        <v>15</v>
      </c>
      <c r="E375" s="8" t="n">
        <v>19100</v>
      </c>
      <c r="F375" s="8" t="n">
        <v>15840</v>
      </c>
      <c r="G375" s="9" t="n">
        <v>3260</v>
      </c>
      <c r="H375" s="8" t="s">
        <v>11</v>
      </c>
      <c r="I375" s="8" t="s">
        <v>22</v>
      </c>
      <c r="J375" s="10" t="s">
        <v>13</v>
      </c>
    </row>
    <row r="376" customFormat="false" ht="13.8" hidden="false" customHeight="false" outlineLevel="0" collapsed="false">
      <c r="A376" s="6" t="n">
        <v>45136</v>
      </c>
      <c r="B376" s="7" t="n">
        <v>0.886111111111111</v>
      </c>
      <c r="C376" s="8" t="n">
        <v>26241</v>
      </c>
      <c r="D376" s="8" t="s">
        <v>14</v>
      </c>
      <c r="E376" s="8" t="n">
        <v>3100</v>
      </c>
      <c r="F376" s="8" t="n">
        <v>2680</v>
      </c>
      <c r="G376" s="9" t="n">
        <v>420</v>
      </c>
      <c r="H376" s="8" t="s">
        <v>11</v>
      </c>
      <c r="I376" s="8" t="s">
        <v>12</v>
      </c>
      <c r="J376" s="0" t="s">
        <v>13</v>
      </c>
    </row>
    <row r="377" customFormat="false" ht="13.8" hidden="false" customHeight="false" outlineLevel="0" collapsed="false">
      <c r="A377" s="6" t="n">
        <v>45136</v>
      </c>
      <c r="B377" s="7" t="n">
        <v>0.882638888888889</v>
      </c>
      <c r="C377" s="8" t="n">
        <v>26240</v>
      </c>
      <c r="D377" s="8" t="s">
        <v>15</v>
      </c>
      <c r="E377" s="8" t="n">
        <v>25100</v>
      </c>
      <c r="F377" s="8" t="n">
        <v>16080</v>
      </c>
      <c r="G377" s="9" t="n">
        <v>9020</v>
      </c>
      <c r="H377" s="8" t="s">
        <v>11</v>
      </c>
      <c r="I377" s="8" t="s">
        <v>12</v>
      </c>
      <c r="J377" s="0" t="s">
        <v>13</v>
      </c>
    </row>
    <row r="378" customFormat="false" ht="13.8" hidden="false" customHeight="false" outlineLevel="0" collapsed="false">
      <c r="A378" s="6" t="n">
        <v>45136</v>
      </c>
      <c r="B378" s="7" t="n">
        <v>0.248611111111111</v>
      </c>
      <c r="C378" s="8" t="n">
        <v>26205</v>
      </c>
      <c r="D378" s="8" t="s">
        <v>16</v>
      </c>
      <c r="E378" s="8" t="n">
        <v>22900</v>
      </c>
      <c r="F378" s="8" t="n">
        <v>13160</v>
      </c>
      <c r="G378" s="9" t="n">
        <v>9740</v>
      </c>
      <c r="H378" s="8" t="s">
        <v>11</v>
      </c>
      <c r="I378" s="8" t="s">
        <v>12</v>
      </c>
      <c r="J378" s="0" t="s">
        <v>13</v>
      </c>
    </row>
    <row r="379" customFormat="false" ht="13.8" hidden="false" customHeight="false" outlineLevel="0" collapsed="false">
      <c r="A379" s="6" t="n">
        <v>45136</v>
      </c>
      <c r="B379" s="7" t="n">
        <v>0.4</v>
      </c>
      <c r="C379" s="8" t="n">
        <v>26225</v>
      </c>
      <c r="D379" s="8" t="s">
        <v>28</v>
      </c>
      <c r="E379" s="8" t="n">
        <v>31180</v>
      </c>
      <c r="F379" s="8" t="n">
        <v>15300</v>
      </c>
      <c r="G379" s="9" t="n">
        <v>15880</v>
      </c>
      <c r="H379" s="8" t="s">
        <v>11</v>
      </c>
      <c r="I379" s="8" t="s">
        <v>29</v>
      </c>
      <c r="J379" s="0" t="s">
        <v>13</v>
      </c>
    </row>
    <row r="380" customFormat="false" ht="13.8" hidden="false" customHeight="false" outlineLevel="0" collapsed="false">
      <c r="A380" s="6" t="n">
        <v>45136</v>
      </c>
      <c r="B380" s="7" t="n">
        <v>0.211805555555556</v>
      </c>
      <c r="C380" s="8" t="n">
        <v>26197</v>
      </c>
      <c r="D380" s="8" t="s">
        <v>10</v>
      </c>
      <c r="E380" s="8" t="n">
        <v>4420</v>
      </c>
      <c r="F380" s="8" t="n">
        <v>3680</v>
      </c>
      <c r="G380" s="9" t="n">
        <v>740</v>
      </c>
      <c r="H380" s="8" t="s">
        <v>11</v>
      </c>
      <c r="I380" s="8" t="s">
        <v>12</v>
      </c>
      <c r="J380" s="0" t="s">
        <v>13</v>
      </c>
    </row>
    <row r="381" customFormat="false" ht="13.8" hidden="false" customHeight="false" outlineLevel="0" collapsed="false">
      <c r="A381" s="6" t="n">
        <v>45136</v>
      </c>
      <c r="B381" s="7" t="n">
        <v>0.11875</v>
      </c>
      <c r="C381" s="8" t="n">
        <v>26190</v>
      </c>
      <c r="D381" s="8" t="s">
        <v>10</v>
      </c>
      <c r="E381" s="8" t="n">
        <v>4740</v>
      </c>
      <c r="F381" s="8" t="n">
        <v>3580</v>
      </c>
      <c r="G381" s="9" t="n">
        <v>1160</v>
      </c>
      <c r="H381" s="8" t="s">
        <v>11</v>
      </c>
      <c r="I381" s="8" t="s">
        <v>12</v>
      </c>
      <c r="J381" s="0" t="s">
        <v>13</v>
      </c>
    </row>
    <row r="382" customFormat="false" ht="13.8" hidden="false" customHeight="false" outlineLevel="0" collapsed="false">
      <c r="A382" s="6" t="n">
        <v>45136</v>
      </c>
      <c r="B382" s="7" t="n">
        <v>0.0743055555555556</v>
      </c>
      <c r="C382" s="8" t="n">
        <v>26185</v>
      </c>
      <c r="D382" s="8" t="s">
        <v>16</v>
      </c>
      <c r="E382" s="8" t="n">
        <v>21980</v>
      </c>
      <c r="F382" s="8" t="n">
        <v>13200</v>
      </c>
      <c r="G382" s="9" t="n">
        <v>8780</v>
      </c>
      <c r="H382" s="8" t="s">
        <v>11</v>
      </c>
      <c r="I382" s="8" t="s">
        <v>12</v>
      </c>
      <c r="J382" s="0" t="s">
        <v>13</v>
      </c>
    </row>
    <row r="383" customFormat="false" ht="13.8" hidden="false" customHeight="false" outlineLevel="0" collapsed="false">
      <c r="A383" s="6" t="n">
        <v>45136</v>
      </c>
      <c r="B383" s="7" t="n">
        <v>0.231944444444444</v>
      </c>
      <c r="C383" s="8" t="n">
        <v>26200</v>
      </c>
      <c r="D383" s="8" t="s">
        <v>20</v>
      </c>
      <c r="E383" s="8" t="n">
        <v>27320</v>
      </c>
      <c r="F383" s="8" t="n">
        <v>16020</v>
      </c>
      <c r="G383" s="9" t="n">
        <v>11300</v>
      </c>
      <c r="H383" s="8" t="s">
        <v>11</v>
      </c>
      <c r="I383" s="8" t="s">
        <v>12</v>
      </c>
      <c r="J383" s="0" t="s">
        <v>13</v>
      </c>
    </row>
    <row r="384" customFormat="false" ht="13.8" hidden="false" customHeight="false" outlineLevel="0" collapsed="false">
      <c r="A384" s="6" t="n">
        <v>45136</v>
      </c>
      <c r="B384" s="7" t="n">
        <v>0.436805555555556</v>
      </c>
      <c r="C384" s="8" t="n">
        <v>26229</v>
      </c>
      <c r="D384" s="8" t="s">
        <v>25</v>
      </c>
      <c r="E384" s="8" t="n">
        <v>3400</v>
      </c>
      <c r="F384" s="8" t="n">
        <v>2820</v>
      </c>
      <c r="G384" s="9" t="n">
        <v>580</v>
      </c>
      <c r="H384" s="8" t="s">
        <v>11</v>
      </c>
      <c r="I384" s="8" t="s">
        <v>12</v>
      </c>
      <c r="J384" s="0" t="s">
        <v>13</v>
      </c>
    </row>
    <row r="385" customFormat="false" ht="13.8" hidden="false" customHeight="false" outlineLevel="0" collapsed="false">
      <c r="A385" s="6" t="n">
        <v>45136</v>
      </c>
      <c r="B385" s="7" t="n">
        <v>0.441666666666667</v>
      </c>
      <c r="C385" s="8" t="n">
        <v>26230</v>
      </c>
      <c r="D385" s="8" t="s">
        <v>19</v>
      </c>
      <c r="E385" s="8" t="n">
        <v>2540</v>
      </c>
      <c r="F385" s="8" t="n">
        <v>2400</v>
      </c>
      <c r="G385" s="9" t="n">
        <v>140</v>
      </c>
      <c r="H385" s="8" t="s">
        <v>11</v>
      </c>
      <c r="I385" s="8" t="s">
        <v>12</v>
      </c>
      <c r="J385" s="0" t="s">
        <v>13</v>
      </c>
    </row>
    <row r="386" customFormat="false" ht="13.8" hidden="false" customHeight="false" outlineLevel="0" collapsed="false">
      <c r="A386" s="6" t="n">
        <v>45136</v>
      </c>
      <c r="B386" s="7" t="n">
        <v>0.376388888888889</v>
      </c>
      <c r="C386" s="8" t="n">
        <v>26223</v>
      </c>
      <c r="D386" s="8" t="s">
        <v>28</v>
      </c>
      <c r="E386" s="8" t="n">
        <v>30400</v>
      </c>
      <c r="F386" s="8" t="n">
        <v>15300</v>
      </c>
      <c r="G386" s="9" t="n">
        <v>15100</v>
      </c>
      <c r="H386" s="8" t="s">
        <v>11</v>
      </c>
      <c r="I386" s="8" t="s">
        <v>29</v>
      </c>
      <c r="J386" s="0" t="s">
        <v>13</v>
      </c>
    </row>
    <row r="387" customFormat="false" ht="13.8" hidden="false" customHeight="false" outlineLevel="0" collapsed="false">
      <c r="A387" s="6" t="n">
        <v>45136</v>
      </c>
      <c r="B387" s="7" t="n">
        <v>0.281944444444444</v>
      </c>
      <c r="C387" s="8" t="n">
        <v>26208</v>
      </c>
      <c r="D387" s="8" t="s">
        <v>28</v>
      </c>
      <c r="E387" s="8" t="n">
        <v>30160</v>
      </c>
      <c r="F387" s="8" t="n">
        <v>15300</v>
      </c>
      <c r="G387" s="9" t="n">
        <v>14860</v>
      </c>
      <c r="H387" s="8" t="s">
        <v>11</v>
      </c>
      <c r="I387" s="8" t="s">
        <v>29</v>
      </c>
      <c r="J387" s="0" t="s">
        <v>13</v>
      </c>
    </row>
    <row r="388" customFormat="false" ht="13.8" hidden="false" customHeight="false" outlineLevel="0" collapsed="false">
      <c r="A388" s="6" t="n">
        <v>45136</v>
      </c>
      <c r="B388" s="7" t="n">
        <v>0.232638888888889</v>
      </c>
      <c r="C388" s="8" t="n">
        <v>26199</v>
      </c>
      <c r="D388" s="8" t="s">
        <v>15</v>
      </c>
      <c r="E388" s="8" t="n">
        <v>26700</v>
      </c>
      <c r="F388" s="8" t="n">
        <v>16120</v>
      </c>
      <c r="G388" s="9" t="n">
        <v>10580</v>
      </c>
      <c r="H388" s="8" t="s">
        <v>11</v>
      </c>
      <c r="I388" s="8" t="s">
        <v>12</v>
      </c>
      <c r="J388" s="0" t="s">
        <v>13</v>
      </c>
    </row>
    <row r="389" customFormat="false" ht="13.8" hidden="false" customHeight="false" outlineLevel="0" collapsed="false">
      <c r="A389" s="6" t="n">
        <v>45136</v>
      </c>
      <c r="B389" s="7" t="n">
        <v>0.352777777777778</v>
      </c>
      <c r="C389" s="8" t="n">
        <v>26220</v>
      </c>
      <c r="D389" s="8" t="s">
        <v>28</v>
      </c>
      <c r="E389" s="8" t="n">
        <v>30560</v>
      </c>
      <c r="F389" s="8" t="n">
        <v>15300</v>
      </c>
      <c r="G389" s="9" t="n">
        <v>15260</v>
      </c>
      <c r="H389" s="8" t="s">
        <v>11</v>
      </c>
      <c r="I389" s="8" t="s">
        <v>29</v>
      </c>
      <c r="J389" s="0" t="s">
        <v>13</v>
      </c>
    </row>
    <row r="390" customFormat="false" ht="13.8" hidden="false" customHeight="false" outlineLevel="0" collapsed="false">
      <c r="A390" s="6" t="n">
        <v>45136</v>
      </c>
      <c r="B390" s="7" t="n">
        <v>0.299305555555556</v>
      </c>
      <c r="C390" s="8" t="n">
        <v>26214</v>
      </c>
      <c r="D390" s="8" t="s">
        <v>28</v>
      </c>
      <c r="E390" s="8" t="n">
        <v>30080</v>
      </c>
      <c r="F390" s="8" t="n">
        <v>15300</v>
      </c>
      <c r="G390" s="9" t="n">
        <v>14780</v>
      </c>
      <c r="H390" s="8" t="s">
        <v>11</v>
      </c>
      <c r="I390" s="8" t="s">
        <v>29</v>
      </c>
      <c r="J390" s="0" t="s">
        <v>13</v>
      </c>
    </row>
    <row r="391" customFormat="false" ht="13.8" hidden="false" customHeight="false" outlineLevel="0" collapsed="false">
      <c r="A391" s="6" t="n">
        <v>45136</v>
      </c>
      <c r="B391" s="7" t="n">
        <v>0.243055555555556</v>
      </c>
      <c r="C391" s="8" t="n">
        <v>26202</v>
      </c>
      <c r="D391" s="8" t="s">
        <v>28</v>
      </c>
      <c r="E391" s="8" t="n">
        <v>29480</v>
      </c>
      <c r="F391" s="8" t="n">
        <v>15300</v>
      </c>
      <c r="G391" s="9" t="n">
        <v>14180</v>
      </c>
      <c r="H391" s="8" t="s">
        <v>11</v>
      </c>
      <c r="I391" s="8" t="s">
        <v>29</v>
      </c>
      <c r="J391" s="0" t="s">
        <v>13</v>
      </c>
    </row>
    <row r="392" customFormat="false" ht="13.8" hidden="false" customHeight="false" outlineLevel="0" collapsed="false">
      <c r="A392" s="6" t="n">
        <v>45136</v>
      </c>
      <c r="B392" s="7" t="n">
        <v>0.696527777777778</v>
      </c>
      <c r="C392" s="8" t="n">
        <v>26238</v>
      </c>
      <c r="D392" s="8" t="s">
        <v>16</v>
      </c>
      <c r="E392" s="8" t="n">
        <v>15940</v>
      </c>
      <c r="F392" s="8" t="n">
        <v>13220</v>
      </c>
      <c r="G392" s="9" t="n">
        <v>2720</v>
      </c>
      <c r="H392" s="8" t="s">
        <v>11</v>
      </c>
      <c r="I392" s="8" t="s">
        <v>12</v>
      </c>
      <c r="J392" s="0" t="s">
        <v>13</v>
      </c>
    </row>
    <row r="393" customFormat="false" ht="13.8" hidden="false" customHeight="false" outlineLevel="0" collapsed="false">
      <c r="A393" s="6" t="n">
        <v>45136</v>
      </c>
      <c r="B393" s="7" t="n">
        <v>0.422222222222222</v>
      </c>
      <c r="C393" s="8" t="n">
        <v>26226</v>
      </c>
      <c r="D393" s="8" t="s">
        <v>28</v>
      </c>
      <c r="E393" s="8" t="n">
        <v>30980</v>
      </c>
      <c r="F393" s="8" t="n">
        <v>15300</v>
      </c>
      <c r="G393" s="9" t="n">
        <v>15680</v>
      </c>
      <c r="H393" s="8" t="s">
        <v>11</v>
      </c>
      <c r="I393" s="8" t="s">
        <v>29</v>
      </c>
      <c r="J393" s="0" t="s">
        <v>13</v>
      </c>
    </row>
    <row r="394" customFormat="false" ht="13.8" hidden="false" customHeight="false" outlineLevel="0" collapsed="false">
      <c r="A394" s="6" t="n">
        <v>45136</v>
      </c>
      <c r="B394" s="7" t="n">
        <v>0.25625</v>
      </c>
      <c r="C394" s="8" t="n">
        <v>26207</v>
      </c>
      <c r="D394" s="8" t="s">
        <v>28</v>
      </c>
      <c r="E394" s="8" t="n">
        <v>29520</v>
      </c>
      <c r="F394" s="8" t="n">
        <v>15300</v>
      </c>
      <c r="G394" s="9" t="n">
        <v>14220</v>
      </c>
      <c r="H394" s="8" t="s">
        <v>11</v>
      </c>
      <c r="I394" s="8" t="s">
        <v>29</v>
      </c>
      <c r="J394" s="0" t="s">
        <v>13</v>
      </c>
    </row>
    <row r="395" customFormat="false" ht="13.8" hidden="false" customHeight="false" outlineLevel="0" collapsed="false">
      <c r="A395" s="6" t="n">
        <v>45137</v>
      </c>
      <c r="B395" s="7" t="n">
        <v>0.428472222222222</v>
      </c>
      <c r="C395" s="8" t="n">
        <v>26266</v>
      </c>
      <c r="D395" s="8" t="s">
        <v>25</v>
      </c>
      <c r="E395" s="8" t="n">
        <v>3380</v>
      </c>
      <c r="F395" s="8" t="n">
        <v>2860</v>
      </c>
      <c r="G395" s="9" t="n">
        <v>520</v>
      </c>
      <c r="H395" s="8" t="s">
        <v>11</v>
      </c>
      <c r="I395" s="8" t="s">
        <v>12</v>
      </c>
      <c r="J395" s="0" t="s">
        <v>13</v>
      </c>
    </row>
    <row r="396" customFormat="false" ht="13.8" hidden="false" customHeight="false" outlineLevel="0" collapsed="false">
      <c r="A396" s="6" t="n">
        <v>45137</v>
      </c>
      <c r="B396" s="7" t="n">
        <v>0.477777777777778</v>
      </c>
      <c r="C396" s="8" t="n">
        <v>26267</v>
      </c>
      <c r="D396" s="8" t="s">
        <v>14</v>
      </c>
      <c r="E396" s="8" t="n">
        <v>3020</v>
      </c>
      <c r="F396" s="8" t="n">
        <v>2680</v>
      </c>
      <c r="G396" s="9" t="n">
        <v>340</v>
      </c>
      <c r="H396" s="8" t="s">
        <v>11</v>
      </c>
      <c r="I396" s="8" t="s">
        <v>12</v>
      </c>
      <c r="J396" s="0" t="s">
        <v>13</v>
      </c>
    </row>
    <row r="397" customFormat="false" ht="13.8" hidden="false" customHeight="false" outlineLevel="0" collapsed="false">
      <c r="A397" s="6" t="n">
        <v>45137</v>
      </c>
      <c r="B397" s="7" t="n">
        <v>0.698611111111111</v>
      </c>
      <c r="C397" s="8" t="n">
        <v>26269</v>
      </c>
      <c r="D397" s="8" t="s">
        <v>16</v>
      </c>
      <c r="E397" s="8" t="n">
        <v>16160</v>
      </c>
      <c r="F397" s="8" t="n">
        <v>13180</v>
      </c>
      <c r="G397" s="9" t="n">
        <v>2980</v>
      </c>
      <c r="H397" s="8" t="s">
        <v>11</v>
      </c>
      <c r="I397" s="8" t="s">
        <v>12</v>
      </c>
      <c r="J397" s="0" t="s">
        <v>13</v>
      </c>
    </row>
    <row r="398" customFormat="false" ht="13.8" hidden="false" customHeight="false" outlineLevel="0" collapsed="false">
      <c r="A398" s="6" t="n">
        <v>45137</v>
      </c>
      <c r="B398" s="7" t="n">
        <v>0.886805555555556</v>
      </c>
      <c r="C398" s="8" t="n">
        <v>26271</v>
      </c>
      <c r="D398" s="8" t="s">
        <v>14</v>
      </c>
      <c r="E398" s="8" t="n">
        <v>3100</v>
      </c>
      <c r="F398" s="8" t="n">
        <v>2680</v>
      </c>
      <c r="G398" s="9" t="n">
        <v>420</v>
      </c>
      <c r="H398" s="8" t="s">
        <v>11</v>
      </c>
      <c r="I398" s="8" t="s">
        <v>12</v>
      </c>
      <c r="J398" s="0" t="s">
        <v>13</v>
      </c>
    </row>
    <row r="399" customFormat="false" ht="13.8" hidden="false" customHeight="false" outlineLevel="0" collapsed="false">
      <c r="A399" s="6" t="n">
        <v>45137</v>
      </c>
      <c r="B399" s="7" t="n">
        <v>0.922916666666667</v>
      </c>
      <c r="C399" s="8" t="n">
        <v>26272</v>
      </c>
      <c r="D399" s="8" t="s">
        <v>15</v>
      </c>
      <c r="E399" s="8" t="n">
        <v>25440</v>
      </c>
      <c r="F399" s="8" t="n">
        <v>16220</v>
      </c>
      <c r="G399" s="9" t="n">
        <v>9220</v>
      </c>
      <c r="H399" s="8" t="s">
        <v>11</v>
      </c>
      <c r="I399" s="8" t="s">
        <v>12</v>
      </c>
      <c r="J399" s="0" t="s">
        <v>13</v>
      </c>
    </row>
    <row r="400" customFormat="false" ht="13.8" hidden="false" customHeight="false" outlineLevel="0" collapsed="false">
      <c r="A400" s="6" t="n">
        <v>45137</v>
      </c>
      <c r="B400" s="7" t="n">
        <v>0.213888888888889</v>
      </c>
      <c r="C400" s="8" t="n">
        <v>26255</v>
      </c>
      <c r="D400" s="8" t="s">
        <v>10</v>
      </c>
      <c r="E400" s="8" t="n">
        <v>4440</v>
      </c>
      <c r="F400" s="8" t="n">
        <v>3700</v>
      </c>
      <c r="G400" s="9" t="n">
        <v>740</v>
      </c>
      <c r="H400" s="8" t="s">
        <v>11</v>
      </c>
      <c r="I400" s="8" t="s">
        <v>12</v>
      </c>
      <c r="J400" s="0" t="s">
        <v>13</v>
      </c>
    </row>
    <row r="401" customFormat="false" ht="13.8" hidden="false" customHeight="false" outlineLevel="0" collapsed="false">
      <c r="A401" s="6" t="n">
        <v>45137</v>
      </c>
      <c r="B401" s="7" t="n">
        <v>0.118055555555556</v>
      </c>
      <c r="C401" s="8" t="n">
        <v>26249</v>
      </c>
      <c r="D401" s="8" t="s">
        <v>10</v>
      </c>
      <c r="E401" s="8" t="n">
        <v>4840</v>
      </c>
      <c r="F401" s="8" t="n">
        <v>3600</v>
      </c>
      <c r="G401" s="9" t="n">
        <v>1240</v>
      </c>
      <c r="H401" s="8" t="s">
        <v>11</v>
      </c>
      <c r="I401" s="8" t="s">
        <v>12</v>
      </c>
      <c r="J401" s="0" t="s">
        <v>13</v>
      </c>
    </row>
    <row r="402" customFormat="false" ht="13.8" hidden="false" customHeight="false" outlineLevel="0" collapsed="false">
      <c r="A402" s="6" t="n">
        <v>45137</v>
      </c>
      <c r="B402" s="7" t="n">
        <v>0.236111111111111</v>
      </c>
      <c r="C402" s="8" t="n">
        <v>26257</v>
      </c>
      <c r="D402" s="8" t="s">
        <v>15</v>
      </c>
      <c r="E402" s="8" t="n">
        <v>25260</v>
      </c>
      <c r="F402" s="8" t="n">
        <v>16120</v>
      </c>
      <c r="G402" s="9" t="n">
        <v>9140</v>
      </c>
      <c r="H402" s="8" t="s">
        <v>11</v>
      </c>
      <c r="I402" s="8" t="s">
        <v>12</v>
      </c>
      <c r="J402" s="0" t="s">
        <v>13</v>
      </c>
    </row>
    <row r="403" customFormat="false" ht="13.8" hidden="false" customHeight="false" outlineLevel="0" collapsed="false">
      <c r="A403" s="6" t="n">
        <v>45137</v>
      </c>
      <c r="B403" s="7" t="n">
        <v>0.250694444444444</v>
      </c>
      <c r="C403" s="8" t="n">
        <v>26258</v>
      </c>
      <c r="D403" s="8" t="s">
        <v>16</v>
      </c>
      <c r="E403" s="8" t="n">
        <v>22240</v>
      </c>
      <c r="F403" s="8" t="n">
        <v>13200</v>
      </c>
      <c r="G403" s="9" t="n">
        <v>9040</v>
      </c>
      <c r="H403" s="8" t="s">
        <v>11</v>
      </c>
      <c r="I403" s="8" t="s">
        <v>12</v>
      </c>
      <c r="J403" s="0" t="s">
        <v>13</v>
      </c>
    </row>
    <row r="404" customFormat="false" ht="13.8" hidden="false" customHeight="false" outlineLevel="0" collapsed="false">
      <c r="A404" s="6" t="n">
        <v>45137</v>
      </c>
      <c r="B404" s="7" t="n">
        <v>0.0583333333333333</v>
      </c>
      <c r="C404" s="8" t="n">
        <v>26246</v>
      </c>
      <c r="D404" s="8" t="s">
        <v>16</v>
      </c>
      <c r="E404" s="8" t="n">
        <v>21520</v>
      </c>
      <c r="F404" s="8" t="n">
        <v>13200</v>
      </c>
      <c r="G404" s="9" t="n">
        <v>8320</v>
      </c>
      <c r="H404" s="8" t="s">
        <v>11</v>
      </c>
      <c r="I404" s="8" t="s">
        <v>12</v>
      </c>
      <c r="J404" s="0" t="s">
        <v>13</v>
      </c>
    </row>
    <row r="405" customFormat="false" ht="13.8" hidden="false" customHeight="false" outlineLevel="0" collapsed="false">
      <c r="A405" s="6" t="n">
        <v>45137</v>
      </c>
      <c r="B405" s="7" t="n">
        <v>0.0270833333333333</v>
      </c>
      <c r="C405" s="8" t="n">
        <v>26243</v>
      </c>
      <c r="D405" s="8" t="s">
        <v>24</v>
      </c>
      <c r="E405" s="8" t="n">
        <v>14080</v>
      </c>
      <c r="F405" s="8" t="n">
        <v>12440</v>
      </c>
      <c r="G405" s="9" t="n">
        <v>1640</v>
      </c>
      <c r="H405" s="8" t="s">
        <v>11</v>
      </c>
      <c r="I405" s="8" t="s">
        <v>12</v>
      </c>
      <c r="J405" s="0" t="s">
        <v>13</v>
      </c>
    </row>
    <row r="406" customFormat="false" ht="13.8" hidden="false" customHeight="false" outlineLevel="0" collapsed="false">
      <c r="A406" s="6" t="n">
        <v>45137</v>
      </c>
      <c r="B406" s="7" t="n">
        <v>0.23125</v>
      </c>
      <c r="C406" s="8" t="n">
        <v>26256</v>
      </c>
      <c r="D406" s="8" t="s">
        <v>20</v>
      </c>
      <c r="E406" s="8" t="n">
        <v>28220</v>
      </c>
      <c r="F406" s="8" t="n">
        <v>16020</v>
      </c>
      <c r="G406" s="9" t="n">
        <v>12200</v>
      </c>
      <c r="H406" s="8" t="s">
        <v>11</v>
      </c>
      <c r="I406" s="8" t="s">
        <v>12</v>
      </c>
      <c r="J406" s="0" t="s">
        <v>13</v>
      </c>
    </row>
    <row r="407" customFormat="false" ht="13.8" hidden="false" customHeight="false" outlineLevel="0" collapsed="false">
      <c r="A407" s="6" t="n">
        <v>45138</v>
      </c>
      <c r="B407" s="7" t="n">
        <v>0.235416666666667</v>
      </c>
      <c r="C407" s="8" t="n">
        <v>26288</v>
      </c>
      <c r="D407" s="8" t="s">
        <v>20</v>
      </c>
      <c r="E407" s="8" t="n">
        <v>26960</v>
      </c>
      <c r="F407" s="8" t="n">
        <v>16100</v>
      </c>
      <c r="G407" s="9" t="n">
        <v>10860</v>
      </c>
      <c r="H407" s="8" t="s">
        <v>11</v>
      </c>
      <c r="I407" s="8" t="s">
        <v>12</v>
      </c>
      <c r="J407" s="0" t="s">
        <v>13</v>
      </c>
    </row>
    <row r="408" customFormat="false" ht="13.8" hidden="false" customHeight="false" outlineLevel="0" collapsed="false">
      <c r="A408" s="6" t="n">
        <v>45138</v>
      </c>
      <c r="B408" s="7" t="n">
        <v>0.230555555555556</v>
      </c>
      <c r="C408" s="8" t="n">
        <v>26287</v>
      </c>
      <c r="D408" s="8" t="s">
        <v>15</v>
      </c>
      <c r="E408" s="8" t="n">
        <v>25680</v>
      </c>
      <c r="F408" s="8" t="n">
        <v>16160</v>
      </c>
      <c r="G408" s="9" t="n">
        <v>9520</v>
      </c>
      <c r="H408" s="8" t="s">
        <v>11</v>
      </c>
      <c r="I408" s="8" t="s">
        <v>12</v>
      </c>
      <c r="J408" s="0" t="s">
        <v>13</v>
      </c>
    </row>
    <row r="409" customFormat="false" ht="13.8" hidden="false" customHeight="false" outlineLevel="0" collapsed="false">
      <c r="A409" s="6" t="n">
        <v>45138</v>
      </c>
      <c r="B409" s="7" t="n">
        <v>0.243055555555556</v>
      </c>
      <c r="C409" s="8" t="n">
        <v>26290</v>
      </c>
      <c r="D409" s="8" t="s">
        <v>16</v>
      </c>
      <c r="E409" s="8" t="n">
        <v>22340</v>
      </c>
      <c r="F409" s="8" t="n">
        <v>13140</v>
      </c>
      <c r="G409" s="9" t="n">
        <v>9200</v>
      </c>
      <c r="H409" s="8" t="s">
        <v>11</v>
      </c>
      <c r="I409" s="8" t="s">
        <v>12</v>
      </c>
      <c r="J409" s="0" t="s">
        <v>13</v>
      </c>
    </row>
    <row r="410" customFormat="false" ht="13.8" hidden="false" customHeight="false" outlineLevel="0" collapsed="false">
      <c r="A410" s="6" t="n">
        <v>45138</v>
      </c>
      <c r="B410" s="7" t="n">
        <v>0.208333333333333</v>
      </c>
      <c r="C410" s="8" t="n">
        <v>26283</v>
      </c>
      <c r="D410" s="8" t="s">
        <v>14</v>
      </c>
      <c r="E410" s="8" t="n">
        <v>3380</v>
      </c>
      <c r="F410" s="8" t="n">
        <v>2820</v>
      </c>
      <c r="G410" s="9" t="n">
        <v>560</v>
      </c>
      <c r="H410" s="8" t="s">
        <v>11</v>
      </c>
      <c r="I410" s="8" t="s">
        <v>12</v>
      </c>
      <c r="J410" s="0" t="s">
        <v>13</v>
      </c>
    </row>
    <row r="411" customFormat="false" ht="13.8" hidden="false" customHeight="false" outlineLevel="0" collapsed="false">
      <c r="A411" s="6" t="n">
        <v>45138</v>
      </c>
      <c r="B411" s="7" t="n">
        <v>0.0576388888888889</v>
      </c>
      <c r="C411" s="8" t="n">
        <v>26275</v>
      </c>
      <c r="D411" s="8" t="s">
        <v>16</v>
      </c>
      <c r="E411" s="8" t="n">
        <v>22220</v>
      </c>
      <c r="F411" s="8" t="n">
        <v>13140</v>
      </c>
      <c r="G411" s="9" t="n">
        <v>9080</v>
      </c>
      <c r="H411" s="8" t="s">
        <v>11</v>
      </c>
      <c r="I411" s="8" t="s">
        <v>12</v>
      </c>
      <c r="J411" s="0" t="s">
        <v>13</v>
      </c>
    </row>
    <row r="412" customFormat="false" ht="13.8" hidden="false" customHeight="false" outlineLevel="0" collapsed="false">
      <c r="A412" s="6" t="n">
        <v>45138</v>
      </c>
      <c r="B412" s="7" t="n">
        <v>0.20625</v>
      </c>
      <c r="C412" s="8" t="n">
        <v>26282</v>
      </c>
      <c r="D412" s="8" t="s">
        <v>25</v>
      </c>
      <c r="E412" s="8" t="n">
        <v>4060</v>
      </c>
      <c r="F412" s="8" t="n">
        <v>2940</v>
      </c>
      <c r="G412" s="9" t="n">
        <v>1120</v>
      </c>
      <c r="H412" s="8" t="s">
        <v>11</v>
      </c>
      <c r="I412" s="8" t="s">
        <v>12</v>
      </c>
      <c r="J412" s="0" t="s">
        <v>13</v>
      </c>
    </row>
    <row r="413" customFormat="false" ht="13.8" hidden="false" customHeight="false" outlineLevel="0" collapsed="false">
      <c r="A413" s="6" t="n">
        <v>45138</v>
      </c>
      <c r="B413" s="7" t="n">
        <v>0.44375</v>
      </c>
      <c r="C413" s="8" t="n">
        <v>26315</v>
      </c>
      <c r="D413" s="8" t="s">
        <v>25</v>
      </c>
      <c r="E413" s="8" t="n">
        <v>3420</v>
      </c>
      <c r="F413" s="8" t="n">
        <v>2860</v>
      </c>
      <c r="G413" s="9" t="n">
        <v>560</v>
      </c>
      <c r="H413" s="8" t="s">
        <v>11</v>
      </c>
      <c r="I413" s="8" t="s">
        <v>12</v>
      </c>
      <c r="J413" s="0" t="s">
        <v>13</v>
      </c>
    </row>
    <row r="414" customFormat="false" ht="13.8" hidden="false" customHeight="false" outlineLevel="0" collapsed="false">
      <c r="A414" s="6" t="n">
        <v>45138</v>
      </c>
      <c r="B414" s="7" t="n">
        <v>0.444444444444444</v>
      </c>
      <c r="C414" s="8" t="n">
        <v>26314</v>
      </c>
      <c r="D414" s="8" t="s">
        <v>19</v>
      </c>
      <c r="E414" s="8" t="n">
        <v>2620</v>
      </c>
      <c r="F414" s="8" t="n">
        <v>2440</v>
      </c>
      <c r="G414" s="9" t="n">
        <v>180</v>
      </c>
      <c r="H414" s="8" t="s">
        <v>11</v>
      </c>
      <c r="I414" s="8" t="s">
        <v>12</v>
      </c>
      <c r="J414" s="0" t="s">
        <v>13</v>
      </c>
    </row>
    <row r="415" customFormat="false" ht="13.8" hidden="true" customHeight="false" outlineLevel="0" collapsed="false">
      <c r="A415" s="6" t="n">
        <v>45138</v>
      </c>
      <c r="B415" s="7" t="n">
        <v>0.4625</v>
      </c>
      <c r="C415" s="8" t="n">
        <v>4535</v>
      </c>
      <c r="D415" s="8" t="s">
        <v>15</v>
      </c>
      <c r="E415" s="8" t="n">
        <v>19140</v>
      </c>
      <c r="F415" s="8" t="n">
        <v>15760</v>
      </c>
      <c r="G415" s="9" t="n">
        <v>3380</v>
      </c>
      <c r="H415" s="8" t="s">
        <v>11</v>
      </c>
      <c r="I415" s="8" t="s">
        <v>22</v>
      </c>
      <c r="J415" s="10" t="s">
        <v>13</v>
      </c>
    </row>
    <row r="416" customFormat="false" ht="13.8" hidden="false" customHeight="false" outlineLevel="0" collapsed="false">
      <c r="A416" s="6" t="n">
        <v>45138</v>
      </c>
      <c r="B416" s="7" t="n">
        <v>0.351388888888889</v>
      </c>
      <c r="C416" s="8" t="n">
        <v>26305</v>
      </c>
      <c r="D416" s="8" t="s">
        <v>17</v>
      </c>
      <c r="E416" s="8" t="n">
        <v>6240</v>
      </c>
      <c r="F416" s="8" t="n">
        <v>5560</v>
      </c>
      <c r="G416" s="9" t="n">
        <v>680</v>
      </c>
      <c r="H416" s="8" t="s">
        <v>11</v>
      </c>
      <c r="I416" s="8" t="s">
        <v>18</v>
      </c>
      <c r="J416" s="0" t="s">
        <v>13</v>
      </c>
    </row>
    <row r="417" customFormat="false" ht="13.8" hidden="false" customHeight="false" outlineLevel="0" collapsed="false">
      <c r="A417" s="6" t="n">
        <v>45138</v>
      </c>
      <c r="B417" s="7" t="n">
        <v>0.500694444444444</v>
      </c>
      <c r="C417" s="8" t="n">
        <v>26322</v>
      </c>
      <c r="D417" s="8" t="s">
        <v>17</v>
      </c>
      <c r="E417" s="8" t="n">
        <v>6580</v>
      </c>
      <c r="F417" s="8" t="n">
        <v>5580</v>
      </c>
      <c r="G417" s="9" t="n">
        <v>1000</v>
      </c>
      <c r="H417" s="8" t="s">
        <v>11</v>
      </c>
      <c r="I417" s="8" t="s">
        <v>18</v>
      </c>
      <c r="J417" s="0" t="s">
        <v>13</v>
      </c>
    </row>
    <row r="418" customFormat="false" ht="13.8" hidden="false" customHeight="false" outlineLevel="0" collapsed="false">
      <c r="A418" s="6" t="n">
        <v>45138</v>
      </c>
      <c r="B418" s="7" t="n">
        <v>0.716666666666667</v>
      </c>
      <c r="C418" s="8" t="n">
        <v>26333</v>
      </c>
      <c r="D418" s="8" t="s">
        <v>16</v>
      </c>
      <c r="E418" s="8" t="n">
        <v>16660</v>
      </c>
      <c r="F418" s="8" t="n">
        <v>13260</v>
      </c>
      <c r="G418" s="9" t="n">
        <v>3400</v>
      </c>
      <c r="H418" s="8" t="s">
        <v>11</v>
      </c>
      <c r="I418" s="8" t="s">
        <v>12</v>
      </c>
      <c r="J418" s="0" t="s">
        <v>13</v>
      </c>
    </row>
    <row r="419" customFormat="false" ht="13.8" hidden="false" customHeight="false" outlineLevel="0" collapsed="false">
      <c r="A419" s="6" t="n">
        <v>45138</v>
      </c>
      <c r="B419" s="7" t="n">
        <v>0.880555555555556</v>
      </c>
      <c r="C419" s="8" t="n">
        <v>26336</v>
      </c>
      <c r="D419" s="8" t="s">
        <v>15</v>
      </c>
      <c r="E419" s="8" t="n">
        <v>23540</v>
      </c>
      <c r="F419" s="8" t="n">
        <v>16140</v>
      </c>
      <c r="G419" s="9" t="n">
        <v>7400</v>
      </c>
      <c r="H419" s="8" t="s">
        <v>11</v>
      </c>
      <c r="I419" s="8" t="s">
        <v>12</v>
      </c>
      <c r="J419" s="0" t="s">
        <v>13</v>
      </c>
    </row>
    <row r="420" customFormat="false" ht="13.8" hidden="false" customHeight="false" outlineLevel="0" collapsed="false">
      <c r="A420" s="6" t="n">
        <v>45138</v>
      </c>
      <c r="B420" s="7" t="n">
        <v>0.889583333333333</v>
      </c>
      <c r="C420" s="8" t="n">
        <v>26337</v>
      </c>
      <c r="D420" s="8" t="s">
        <v>14</v>
      </c>
      <c r="E420" s="8" t="n">
        <v>3020</v>
      </c>
      <c r="F420" s="8" t="n">
        <v>2660</v>
      </c>
      <c r="G420" s="9" t="n">
        <v>360</v>
      </c>
      <c r="H420" s="8" t="s">
        <v>11</v>
      </c>
      <c r="I420" s="8" t="s">
        <v>12</v>
      </c>
      <c r="J420" s="0" t="s">
        <v>13</v>
      </c>
    </row>
    <row r="421" customFormat="false" ht="13.8" hidden="false" customHeight="false" outlineLevel="0" collapsed="false">
      <c r="A421" s="6" t="n">
        <v>45121</v>
      </c>
      <c r="B421" s="7" t="n">
        <v>0.697222222222222</v>
      </c>
      <c r="C421" s="8" t="n">
        <v>25343</v>
      </c>
      <c r="D421" s="8" t="s">
        <v>16</v>
      </c>
      <c r="E421" s="8" t="n">
        <v>15620</v>
      </c>
      <c r="F421" s="8" t="n">
        <v>13140</v>
      </c>
      <c r="G421" s="9" t="n">
        <v>2480</v>
      </c>
      <c r="H421" s="8" t="s">
        <v>11</v>
      </c>
      <c r="I421" s="8" t="s">
        <v>12</v>
      </c>
      <c r="J421" s="0" t="s">
        <v>13</v>
      </c>
    </row>
    <row r="422" customFormat="false" ht="13.8" hidden="false" customHeight="false" outlineLevel="0" collapsed="false">
      <c r="J422" s="10"/>
    </row>
  </sheetData>
  <autoFilter ref="A1:J421">
    <filterColumn colId="8">
      <filters>
        <filter val="BARREDURIA "/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49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4" t="s">
        <v>30</v>
      </c>
    </row>
    <row r="3" customFormat="false" ht="12.8" hidden="false" customHeight="false" outlineLevel="0" collapsed="false">
      <c r="A3" s="15" t="s">
        <v>31</v>
      </c>
      <c r="B3" s="16" t="s">
        <v>8</v>
      </c>
      <c r="C3" s="17"/>
      <c r="D3" s="17"/>
      <c r="E3" s="17"/>
      <c r="F3" s="17"/>
      <c r="G3" s="17"/>
      <c r="H3" s="18"/>
    </row>
    <row r="4" customFormat="false" ht="12.8" hidden="false" customHeight="false" outlineLevel="0" collapsed="false">
      <c r="A4" s="19" t="s">
        <v>3</v>
      </c>
      <c r="B4" s="20" t="s">
        <v>29</v>
      </c>
      <c r="C4" s="21" t="s">
        <v>27</v>
      </c>
      <c r="D4" s="21" t="s">
        <v>12</v>
      </c>
      <c r="E4" s="21" t="s">
        <v>22</v>
      </c>
      <c r="F4" s="21" t="s">
        <v>21</v>
      </c>
      <c r="G4" s="21" t="s">
        <v>18</v>
      </c>
      <c r="H4" s="22" t="s">
        <v>32</v>
      </c>
    </row>
    <row r="5" customFormat="false" ht="12.8" hidden="false" customHeight="false" outlineLevel="0" collapsed="false">
      <c r="A5" s="23" t="s">
        <v>26</v>
      </c>
      <c r="B5" s="24"/>
      <c r="C5" s="25"/>
      <c r="D5" s="25"/>
      <c r="E5" s="25"/>
      <c r="F5" s="25"/>
      <c r="G5" s="26" t="n">
        <v>2840</v>
      </c>
      <c r="H5" s="27" t="n">
        <v>2840</v>
      </c>
    </row>
    <row r="6" customFormat="false" ht="12.8" hidden="false" customHeight="false" outlineLevel="0" collapsed="false">
      <c r="A6" s="28" t="s">
        <v>28</v>
      </c>
      <c r="B6" s="29" t="n">
        <v>119960</v>
      </c>
      <c r="C6" s="30"/>
      <c r="D6" s="31" t="n">
        <v>9100</v>
      </c>
      <c r="E6" s="30"/>
      <c r="F6" s="31" t="n">
        <v>4920</v>
      </c>
      <c r="G6" s="32" t="n">
        <v>1520</v>
      </c>
      <c r="H6" s="33" t="n">
        <v>135500</v>
      </c>
    </row>
    <row r="7" customFormat="false" ht="12.8" hidden="false" customHeight="false" outlineLevel="0" collapsed="false">
      <c r="A7" s="28" t="s">
        <v>14</v>
      </c>
      <c r="B7" s="34"/>
      <c r="C7" s="31" t="n">
        <v>2860</v>
      </c>
      <c r="D7" s="31" t="n">
        <v>26320</v>
      </c>
      <c r="E7" s="30"/>
      <c r="F7" s="30"/>
      <c r="G7" s="35"/>
      <c r="H7" s="33" t="n">
        <v>29180</v>
      </c>
    </row>
    <row r="8" customFormat="false" ht="12.8" hidden="false" customHeight="false" outlineLevel="0" collapsed="false">
      <c r="A8" s="28" t="s">
        <v>20</v>
      </c>
      <c r="B8" s="34"/>
      <c r="C8" s="30"/>
      <c r="D8" s="31" t="n">
        <v>324000</v>
      </c>
      <c r="E8" s="31" t="n">
        <v>2800</v>
      </c>
      <c r="F8" s="31" t="n">
        <v>3360</v>
      </c>
      <c r="G8" s="35"/>
      <c r="H8" s="33" t="n">
        <v>330160</v>
      </c>
    </row>
    <row r="9" customFormat="false" ht="12.8" hidden="false" customHeight="false" outlineLevel="0" collapsed="false">
      <c r="A9" s="28" t="s">
        <v>15</v>
      </c>
      <c r="B9" s="34"/>
      <c r="C9" s="30"/>
      <c r="D9" s="31" t="n">
        <v>432180</v>
      </c>
      <c r="E9" s="31" t="n">
        <v>22520</v>
      </c>
      <c r="F9" s="31" t="n">
        <v>12720</v>
      </c>
      <c r="G9" s="35"/>
      <c r="H9" s="33" t="n">
        <v>467420</v>
      </c>
    </row>
    <row r="10" customFormat="false" ht="12.8" hidden="false" customHeight="false" outlineLevel="0" collapsed="false">
      <c r="A10" s="28" t="s">
        <v>19</v>
      </c>
      <c r="B10" s="34"/>
      <c r="C10" s="30"/>
      <c r="D10" s="31" t="n">
        <v>5420</v>
      </c>
      <c r="E10" s="30"/>
      <c r="F10" s="30"/>
      <c r="G10" s="35"/>
      <c r="H10" s="33" t="n">
        <v>5420</v>
      </c>
    </row>
    <row r="11" customFormat="false" ht="12.8" hidden="false" customHeight="false" outlineLevel="0" collapsed="false">
      <c r="A11" s="28" t="s">
        <v>24</v>
      </c>
      <c r="B11" s="34"/>
      <c r="C11" s="30"/>
      <c r="D11" s="31" t="n">
        <v>44940</v>
      </c>
      <c r="E11" s="30"/>
      <c r="F11" s="30"/>
      <c r="G11" s="35"/>
      <c r="H11" s="33" t="n">
        <v>44940</v>
      </c>
    </row>
    <row r="12" customFormat="false" ht="12.8" hidden="false" customHeight="false" outlineLevel="0" collapsed="false">
      <c r="A12" s="28" t="s">
        <v>25</v>
      </c>
      <c r="B12" s="34"/>
      <c r="C12" s="30"/>
      <c r="D12" s="31" t="n">
        <v>15720</v>
      </c>
      <c r="E12" s="30"/>
      <c r="F12" s="30"/>
      <c r="G12" s="32" t="n">
        <v>1000</v>
      </c>
      <c r="H12" s="33" t="n">
        <v>16720</v>
      </c>
    </row>
    <row r="13" customFormat="false" ht="12.8" hidden="false" customHeight="false" outlineLevel="0" collapsed="false">
      <c r="A13" s="28" t="s">
        <v>16</v>
      </c>
      <c r="B13" s="34"/>
      <c r="C13" s="30"/>
      <c r="D13" s="31" t="n">
        <v>586220</v>
      </c>
      <c r="E13" s="30"/>
      <c r="F13" s="30"/>
      <c r="G13" s="35"/>
      <c r="H13" s="33" t="n">
        <v>586220</v>
      </c>
    </row>
    <row r="14" customFormat="false" ht="12.8" hidden="false" customHeight="false" outlineLevel="0" collapsed="false">
      <c r="A14" s="28" t="s">
        <v>10</v>
      </c>
      <c r="B14" s="34"/>
      <c r="C14" s="30"/>
      <c r="D14" s="31" t="n">
        <v>39620</v>
      </c>
      <c r="E14" s="30"/>
      <c r="F14" s="30"/>
      <c r="G14" s="35"/>
      <c r="H14" s="33" t="n">
        <v>39620</v>
      </c>
    </row>
    <row r="15" customFormat="false" ht="12.8" hidden="false" customHeight="false" outlineLevel="0" collapsed="false">
      <c r="A15" s="28" t="s">
        <v>17</v>
      </c>
      <c r="B15" s="34"/>
      <c r="C15" s="30"/>
      <c r="D15" s="30"/>
      <c r="E15" s="30"/>
      <c r="F15" s="30"/>
      <c r="G15" s="32" t="n">
        <v>21740</v>
      </c>
      <c r="H15" s="33" t="n">
        <v>21740</v>
      </c>
    </row>
    <row r="16" customFormat="false" ht="12.8" hidden="false" customHeight="false" outlineLevel="0" collapsed="false">
      <c r="A16" s="28" t="s">
        <v>23</v>
      </c>
      <c r="B16" s="36"/>
      <c r="C16" s="37"/>
      <c r="D16" s="37"/>
      <c r="E16" s="37"/>
      <c r="F16" s="37"/>
      <c r="G16" s="38" t="n">
        <v>3440</v>
      </c>
      <c r="H16" s="39" t="n">
        <v>3440</v>
      </c>
    </row>
    <row r="17" customFormat="false" ht="12.8" hidden="false" customHeight="false" outlineLevel="0" collapsed="false">
      <c r="A17" s="40" t="s">
        <v>32</v>
      </c>
      <c r="B17" s="41" t="n">
        <v>119960</v>
      </c>
      <c r="C17" s="42" t="n">
        <v>2860</v>
      </c>
      <c r="D17" s="42" t="n">
        <v>1483520</v>
      </c>
      <c r="E17" s="42" t="n">
        <v>25320</v>
      </c>
      <c r="F17" s="42" t="n">
        <v>21000</v>
      </c>
      <c r="G17" s="43" t="n">
        <v>30540</v>
      </c>
      <c r="H17" s="44" t="n">
        <v>1683200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10.4921875" defaultRowHeight="14" zeroHeight="false" outlineLevelRow="0" outlineLevelCol="0"/>
  <cols>
    <col collapsed="false" customWidth="true" hidden="false" outlineLevel="0" max="1" min="1" style="45" width="15.1"/>
    <col collapsed="false" customWidth="true" hidden="false" outlineLevel="0" max="2" min="2" style="46" width="17.71"/>
    <col collapsed="false" customWidth="true" hidden="false" outlineLevel="0" max="3" min="3" style="46" width="10.71"/>
    <col collapsed="false" customWidth="true" hidden="false" outlineLevel="0" max="4" min="4" style="45" width="13.46"/>
    <col collapsed="false" customWidth="true" hidden="false" outlineLevel="0" max="6" min="5" style="46" width="11.26"/>
    <col collapsed="false" customWidth="true" hidden="false" outlineLevel="0" max="7" min="7" style="46" width="13.46"/>
    <col collapsed="false" customWidth="true" hidden="false" outlineLevel="0" max="8" min="8" style="46" width="14.53"/>
    <col collapsed="false" customWidth="true" hidden="false" outlineLevel="0" max="9" min="9" style="46" width="15.85"/>
    <col collapsed="false" customWidth="true" hidden="false" outlineLevel="0" max="11" min="10" style="46" width="7.72"/>
    <col collapsed="false" customWidth="true" hidden="false" outlineLevel="0" max="12" min="12" style="46" width="8.17"/>
    <col collapsed="false" customWidth="true" hidden="false" outlineLevel="0" max="13" min="13" style="46" width="12.79"/>
    <col collapsed="false" customWidth="true" hidden="false" outlineLevel="0" max="14" min="14" style="46" width="7.08"/>
    <col collapsed="false" customWidth="true" hidden="false" outlineLevel="0" max="1024" min="15" style="0" width="7.72"/>
  </cols>
  <sheetData>
    <row r="1" customFormat="false" ht="13.8" hidden="false" customHeight="false" outlineLevel="0" collapsed="false">
      <c r="A1" s="45" t="n">
        <v>1</v>
      </c>
      <c r="B1" s="45" t="n">
        <v>2</v>
      </c>
      <c r="C1" s="45" t="n">
        <v>3</v>
      </c>
      <c r="D1" s="45" t="n">
        <v>4</v>
      </c>
      <c r="E1" s="45" t="n">
        <v>5</v>
      </c>
      <c r="F1" s="45" t="n">
        <v>6</v>
      </c>
      <c r="G1" s="45" t="n">
        <v>7</v>
      </c>
    </row>
    <row r="2" customFormat="false" ht="13.8" hidden="false" customHeight="false" outlineLevel="0" collapsed="false">
      <c r="A2" s="47" t="s">
        <v>3</v>
      </c>
      <c r="B2" s="48" t="s">
        <v>33</v>
      </c>
      <c r="C2" s="49" t="s">
        <v>27</v>
      </c>
      <c r="D2" s="49" t="s">
        <v>12</v>
      </c>
      <c r="E2" s="49" t="s">
        <v>22</v>
      </c>
      <c r="F2" s="49" t="s">
        <v>21</v>
      </c>
      <c r="G2" s="49" t="s">
        <v>34</v>
      </c>
      <c r="H2" s="50" t="s">
        <v>32</v>
      </c>
    </row>
    <row r="3" customFormat="false" ht="13.8" hidden="false" customHeight="false" outlineLevel="0" collapsed="false">
      <c r="A3" s="51" t="s">
        <v>26</v>
      </c>
      <c r="B3" s="52"/>
      <c r="C3" s="53"/>
      <c r="D3" s="53"/>
      <c r="E3" s="53"/>
      <c r="F3" s="53"/>
      <c r="G3" s="54" t="n">
        <v>2840</v>
      </c>
      <c r="H3" s="55" t="n">
        <f aca="false">SUM(B3:G3)</f>
        <v>2840</v>
      </c>
    </row>
    <row r="4" customFormat="false" ht="13.8" hidden="false" customHeight="false" outlineLevel="0" collapsed="false">
      <c r="A4" s="56" t="s">
        <v>28</v>
      </c>
      <c r="B4" s="57" t="n">
        <v>119960</v>
      </c>
      <c r="C4" s="58"/>
      <c r="D4" s="58" t="n">
        <v>9100</v>
      </c>
      <c r="E4" s="58"/>
      <c r="F4" s="58" t="n">
        <v>4920</v>
      </c>
      <c r="G4" s="59" t="n">
        <v>1520</v>
      </c>
      <c r="H4" s="55" t="n">
        <f aca="false">SUM(B4:G4)</f>
        <v>135500</v>
      </c>
    </row>
    <row r="5" customFormat="false" ht="13.8" hidden="false" customHeight="false" outlineLevel="0" collapsed="false">
      <c r="A5" s="56" t="s">
        <v>14</v>
      </c>
      <c r="B5" s="57"/>
      <c r="C5" s="58" t="n">
        <v>2860</v>
      </c>
      <c r="D5" s="58" t="n">
        <v>26320</v>
      </c>
      <c r="E5" s="58"/>
      <c r="F5" s="58"/>
      <c r="G5" s="59"/>
      <c r="H5" s="55" t="n">
        <f aca="false">SUM(B5:G5)</f>
        <v>29180</v>
      </c>
    </row>
    <row r="6" customFormat="false" ht="13.8" hidden="false" customHeight="false" outlineLevel="0" collapsed="false">
      <c r="A6" s="56" t="s">
        <v>20</v>
      </c>
      <c r="B6" s="57"/>
      <c r="C6" s="58"/>
      <c r="D6" s="58" t="n">
        <v>324000</v>
      </c>
      <c r="E6" s="58" t="n">
        <v>2800</v>
      </c>
      <c r="F6" s="58" t="n">
        <v>3360</v>
      </c>
      <c r="G6" s="59"/>
      <c r="H6" s="55" t="n">
        <f aca="false">SUM(B6:G6)</f>
        <v>330160</v>
      </c>
    </row>
    <row r="7" customFormat="false" ht="13.8" hidden="false" customHeight="false" outlineLevel="0" collapsed="false">
      <c r="A7" s="56" t="s">
        <v>15</v>
      </c>
      <c r="B7" s="57"/>
      <c r="C7" s="58"/>
      <c r="D7" s="58" t="n">
        <v>432180</v>
      </c>
      <c r="E7" s="58" t="n">
        <v>22520</v>
      </c>
      <c r="F7" s="58" t="n">
        <v>12720</v>
      </c>
      <c r="G7" s="59"/>
      <c r="H7" s="55" t="n">
        <f aca="false">SUM(B7:G7)</f>
        <v>467420</v>
      </c>
    </row>
    <row r="8" customFormat="false" ht="13.8" hidden="false" customHeight="false" outlineLevel="0" collapsed="false">
      <c r="A8" s="56" t="s">
        <v>19</v>
      </c>
      <c r="B8" s="57"/>
      <c r="C8" s="58"/>
      <c r="D8" s="58" t="n">
        <v>5420</v>
      </c>
      <c r="E8" s="58"/>
      <c r="F8" s="58"/>
      <c r="G8" s="59"/>
      <c r="H8" s="55" t="n">
        <f aca="false">SUM(B8:G8)</f>
        <v>5420</v>
      </c>
    </row>
    <row r="9" customFormat="false" ht="13.8" hidden="false" customHeight="false" outlineLevel="0" collapsed="false">
      <c r="A9" s="56" t="s">
        <v>24</v>
      </c>
      <c r="B9" s="57"/>
      <c r="C9" s="58"/>
      <c r="D9" s="58" t="n">
        <v>44940</v>
      </c>
      <c r="E9" s="58"/>
      <c r="F9" s="58"/>
      <c r="G9" s="59"/>
      <c r="H9" s="55" t="n">
        <f aca="false">SUM(B9:G9)</f>
        <v>44940</v>
      </c>
    </row>
    <row r="10" customFormat="false" ht="13.8" hidden="false" customHeight="false" outlineLevel="0" collapsed="false">
      <c r="A10" s="56" t="s">
        <v>25</v>
      </c>
      <c r="B10" s="57"/>
      <c r="C10" s="58"/>
      <c r="D10" s="58" t="n">
        <v>15720</v>
      </c>
      <c r="E10" s="58"/>
      <c r="F10" s="58"/>
      <c r="G10" s="59" t="n">
        <v>1000</v>
      </c>
      <c r="H10" s="55" t="n">
        <f aca="false">SUM(B10:G10)</f>
        <v>16720</v>
      </c>
    </row>
    <row r="11" customFormat="false" ht="13.8" hidden="false" customHeight="false" outlineLevel="0" collapsed="false">
      <c r="A11" s="56" t="s">
        <v>16</v>
      </c>
      <c r="B11" s="57"/>
      <c r="C11" s="58"/>
      <c r="D11" s="58" t="n">
        <v>586220</v>
      </c>
      <c r="E11" s="58"/>
      <c r="F11" s="58"/>
      <c r="G11" s="59"/>
      <c r="H11" s="55" t="n">
        <f aca="false">SUM(B11:G11)</f>
        <v>586220</v>
      </c>
    </row>
    <row r="12" customFormat="false" ht="13.8" hidden="false" customHeight="false" outlineLevel="0" collapsed="false">
      <c r="A12" s="56" t="s">
        <v>10</v>
      </c>
      <c r="B12" s="57"/>
      <c r="C12" s="58"/>
      <c r="D12" s="58" t="n">
        <v>39620</v>
      </c>
      <c r="E12" s="58"/>
      <c r="F12" s="58"/>
      <c r="G12" s="59"/>
      <c r="H12" s="55" t="n">
        <f aca="false">SUM(B12:G12)</f>
        <v>39620</v>
      </c>
    </row>
    <row r="13" customFormat="false" ht="13.8" hidden="false" customHeight="false" outlineLevel="0" collapsed="false">
      <c r="A13" s="56" t="s">
        <v>17</v>
      </c>
      <c r="B13" s="60"/>
      <c r="C13" s="61"/>
      <c r="D13" s="61"/>
      <c r="E13" s="61"/>
      <c r="F13" s="61"/>
      <c r="G13" s="62" t="n">
        <v>21740</v>
      </c>
      <c r="H13" s="55" t="n">
        <f aca="false">SUM(B13:G13)</f>
        <v>21740</v>
      </c>
      <c r="I13" s="46" t="s">
        <v>35</v>
      </c>
    </row>
    <row r="14" customFormat="false" ht="13.8" hidden="false" customHeight="false" outlineLevel="0" collapsed="false">
      <c r="A14" s="46" t="s">
        <v>23</v>
      </c>
      <c r="B14" s="63"/>
      <c r="C14" s="63"/>
      <c r="D14" s="63"/>
      <c r="E14" s="63"/>
      <c r="F14" s="63"/>
      <c r="G14" s="63" t="n">
        <v>3440</v>
      </c>
      <c r="H14" s="55" t="n">
        <f aca="false">SUM(B14:G14)</f>
        <v>3440</v>
      </c>
    </row>
    <row r="15" customFormat="false" ht="13.8" hidden="false" customHeight="false" outlineLevel="0" collapsed="false">
      <c r="A15" s="50" t="s">
        <v>32</v>
      </c>
      <c r="B15" s="64" t="n">
        <f aca="false">SUM(B3:B14)</f>
        <v>119960</v>
      </c>
      <c r="C15" s="64" t="n">
        <f aca="false">SUM(C3:C14)</f>
        <v>2860</v>
      </c>
      <c r="D15" s="64" t="n">
        <f aca="false">SUM(D3:D14)</f>
        <v>1483520</v>
      </c>
      <c r="E15" s="64" t="n">
        <f aca="false">SUM(E3:E14)</f>
        <v>25320</v>
      </c>
      <c r="F15" s="64" t="n">
        <f aca="false">SUM(F3:F14)</f>
        <v>21000</v>
      </c>
      <c r="G15" s="64" t="n">
        <f aca="false">SUM(G3:G14)</f>
        <v>30540</v>
      </c>
      <c r="H15" s="65" t="n">
        <f aca="false">SUM(B15:G15)</f>
        <v>1683200</v>
      </c>
    </row>
    <row r="16" customFormat="false" ht="13.8" hidden="false" customHeight="false" outlineLevel="0" collapsed="false">
      <c r="A16" s="66" t="s">
        <v>36</v>
      </c>
      <c r="B16" s="67" t="n">
        <f aca="false">+E80</f>
        <v>119960</v>
      </c>
      <c r="C16" s="67" t="n">
        <f aca="false">+E74</f>
        <v>2860</v>
      </c>
      <c r="D16" s="67" t="n">
        <f aca="false">+F35</f>
        <v>1483520</v>
      </c>
      <c r="E16" s="67" t="n">
        <f aca="false">+E65</f>
        <v>25320</v>
      </c>
      <c r="F16" s="67" t="n">
        <f aca="false">+E57</f>
        <v>21000</v>
      </c>
      <c r="G16" s="67" t="n">
        <f aca="false">+F47</f>
        <v>30540</v>
      </c>
      <c r="H16" s="68" t="n">
        <f aca="false">SUM(B16:G16)</f>
        <v>1683200</v>
      </c>
    </row>
    <row r="17" customFormat="false" ht="13.8" hidden="false" customHeight="false" outlineLevel="0" collapsed="false">
      <c r="C17" s="69"/>
      <c r="D17" s="69"/>
      <c r="E17" s="69"/>
      <c r="F17" s="69"/>
      <c r="G17" s="69"/>
      <c r="H17" s="69"/>
    </row>
    <row r="18" customFormat="false" ht="13.8" hidden="false" customHeight="false" outlineLevel="0" collapsed="false">
      <c r="C18" s="69"/>
      <c r="D18" s="69" t="s">
        <v>37</v>
      </c>
      <c r="E18" s="69" t="s">
        <v>38</v>
      </c>
      <c r="F18" s="69" t="s">
        <v>39</v>
      </c>
      <c r="G18" s="69"/>
      <c r="H18" s="69"/>
    </row>
    <row r="19" customFormat="false" ht="13.8" hidden="false" customHeight="false" outlineLevel="0" collapsed="false">
      <c r="A19" s="70" t="s">
        <v>40</v>
      </c>
      <c r="B19" s="70"/>
      <c r="C19" s="70"/>
      <c r="D19" s="71" t="n">
        <f aca="false">+F35+F47+E57+E65+E74+E80</f>
        <v>1683200</v>
      </c>
      <c r="E19" s="72" t="n">
        <f aca="false">+G35+G47+F57+F65+F74+F80</f>
        <v>1683200</v>
      </c>
      <c r="F19" s="71" t="n">
        <f aca="false">+E19-D19</f>
        <v>0</v>
      </c>
      <c r="G19" s="69"/>
      <c r="H19" s="69"/>
    </row>
    <row r="20" customFormat="false" ht="13.8" hidden="false" customHeight="false" outlineLevel="0" collapsed="false">
      <c r="C20" s="69"/>
      <c r="D20" s="69"/>
      <c r="E20" s="69"/>
      <c r="F20" s="69"/>
      <c r="G20" s="69"/>
      <c r="H20" s="69"/>
    </row>
    <row r="21" customFormat="false" ht="13.8" hidden="false" customHeight="false" outlineLevel="0" collapsed="false">
      <c r="A21" s="46"/>
      <c r="D21" s="46"/>
    </row>
    <row r="22" customFormat="false" ht="13.8" hidden="false" customHeight="false" outlineLevel="0" collapsed="false">
      <c r="A22" s="69" t="s">
        <v>12</v>
      </c>
      <c r="B22" s="69"/>
      <c r="C22" s="69"/>
      <c r="D22" s="69"/>
      <c r="E22" s="69"/>
      <c r="F22" s="69"/>
      <c r="G22" s="69"/>
      <c r="H22" s="69"/>
    </row>
    <row r="23" customFormat="false" ht="13.8" hidden="false" customHeight="false" outlineLevel="0" collapsed="false">
      <c r="A23" s="45" t="s">
        <v>41</v>
      </c>
      <c r="B23" s="46" t="s">
        <v>42</v>
      </c>
      <c r="C23" s="73" t="s">
        <v>43</v>
      </c>
      <c r="D23" s="74" t="s">
        <v>44</v>
      </c>
      <c r="E23" s="73" t="s">
        <v>45</v>
      </c>
      <c r="F23" s="75" t="s">
        <v>46</v>
      </c>
      <c r="G23" s="73" t="s">
        <v>38</v>
      </c>
      <c r="H23" s="73"/>
    </row>
    <row r="24" customFormat="false" ht="13.8" hidden="false" customHeight="false" outlineLevel="0" collapsed="false">
      <c r="A24" s="76" t="n">
        <v>109</v>
      </c>
      <c r="B24" s="77" t="s">
        <v>47</v>
      </c>
      <c r="C24" s="78" t="s">
        <v>28</v>
      </c>
      <c r="D24" s="79" t="s">
        <v>48</v>
      </c>
      <c r="E24" s="78" t="s">
        <v>49</v>
      </c>
      <c r="F24" s="80" t="n">
        <v>9100</v>
      </c>
      <c r="G24" s="81" t="n">
        <f aca="false">IFERROR(INDEX($B$3:$G$14,MATCH(C24,$A$3:$A$14,0),MATCH($A$22,$B$2:$G$2,0)),0)</f>
        <v>9100</v>
      </c>
      <c r="H24" s="82" t="str">
        <f aca="false">IF(G24=F24,"Bien",G24-F24)</f>
        <v>Bien</v>
      </c>
    </row>
    <row r="25" customFormat="false" ht="13.8" hidden="false" customHeight="false" outlineLevel="0" collapsed="false">
      <c r="A25" s="83" t="n">
        <v>333</v>
      </c>
      <c r="B25" s="84" t="s">
        <v>50</v>
      </c>
      <c r="C25" s="85" t="s">
        <v>14</v>
      </c>
      <c r="D25" s="79" t="s">
        <v>48</v>
      </c>
      <c r="E25" s="73" t="s">
        <v>51</v>
      </c>
      <c r="F25" s="75" t="n">
        <v>26320</v>
      </c>
      <c r="G25" s="86" t="n">
        <f aca="false">IFERROR(INDEX($B$3:$G$14,MATCH(C25,$A$3:$A$14,0),MATCH($A$22,$B$2:$G$2,0)),0)</f>
        <v>26320</v>
      </c>
      <c r="H25" s="87" t="str">
        <f aca="false">IF(G25=F25,"Bien",G25-F25)</f>
        <v>Bien</v>
      </c>
    </row>
    <row r="26" customFormat="false" ht="14.9" hidden="false" customHeight="false" outlineLevel="0" collapsed="false">
      <c r="A26" s="88" t="n">
        <v>320</v>
      </c>
      <c r="B26" s="89" t="s">
        <v>52</v>
      </c>
      <c r="C26" s="73" t="s">
        <v>20</v>
      </c>
      <c r="D26" s="79" t="s">
        <v>48</v>
      </c>
      <c r="E26" s="73" t="s">
        <v>51</v>
      </c>
      <c r="F26" s="75" t="n">
        <v>324000</v>
      </c>
      <c r="G26" s="86" t="n">
        <f aca="false">IFERROR(INDEX($B$3:$G$14,MATCH(C26,$A$3:$A$14,0),MATCH($A$22,$B$2:$G$2,0)),0)</f>
        <v>324000</v>
      </c>
      <c r="H26" s="87" t="str">
        <f aca="false">IF(G26=F26,"Bien",G26-F26)</f>
        <v>Bien</v>
      </c>
    </row>
    <row r="27" customFormat="false" ht="14.9" hidden="false" customHeight="false" outlineLevel="0" collapsed="false">
      <c r="A27" s="88" t="n">
        <v>321</v>
      </c>
      <c r="B27" s="89" t="s">
        <v>53</v>
      </c>
      <c r="C27" s="73" t="s">
        <v>15</v>
      </c>
      <c r="D27" s="79" t="s">
        <v>48</v>
      </c>
      <c r="E27" s="73" t="s">
        <v>51</v>
      </c>
      <c r="F27" s="75" t="n">
        <v>432180</v>
      </c>
      <c r="G27" s="86" t="n">
        <f aca="false">IFERROR(INDEX($B$3:$G$14,MATCH(C27,$A$3:$A$14,0),MATCH($A$22,$B$2:$G$2,0)),0)</f>
        <v>432180</v>
      </c>
      <c r="H27" s="87" t="str">
        <f aca="false">IF(G27=F27,"Bien",G27-F27)</f>
        <v>Bien</v>
      </c>
    </row>
    <row r="28" customFormat="false" ht="13.8" hidden="false" customHeight="false" outlineLevel="0" collapsed="false">
      <c r="A28" s="83" t="n">
        <v>316</v>
      </c>
      <c r="B28" s="46" t="s">
        <v>54</v>
      </c>
      <c r="C28" s="73" t="s">
        <v>19</v>
      </c>
      <c r="D28" s="79" t="s">
        <v>48</v>
      </c>
      <c r="E28" s="73" t="s">
        <v>51</v>
      </c>
      <c r="F28" s="0" t="n">
        <v>5420</v>
      </c>
      <c r="G28" s="86" t="n">
        <f aca="false">IFERROR(INDEX($B$3:$G$14,MATCH(C28,$A$3:$A$14,0),MATCH($A$22,$B$2:$G$2,0)),0)</f>
        <v>5420</v>
      </c>
      <c r="H28" s="87" t="str">
        <f aca="false">IF(G28=F28,"Bien",G28-F28)</f>
        <v>Bien</v>
      </c>
    </row>
    <row r="29" customFormat="false" ht="14.9" hidden="false" customHeight="false" outlineLevel="0" collapsed="false">
      <c r="A29" s="88" t="n">
        <v>196</v>
      </c>
      <c r="B29" s="89" t="s">
        <v>55</v>
      </c>
      <c r="C29" s="73" t="s">
        <v>24</v>
      </c>
      <c r="D29" s="79" t="s">
        <v>48</v>
      </c>
      <c r="E29" s="73" t="s">
        <v>51</v>
      </c>
      <c r="F29" s="0" t="n">
        <v>44940</v>
      </c>
      <c r="G29" s="86" t="n">
        <f aca="false">IFERROR(INDEX($B$3:$G$14,MATCH(C29,$A$3:$A$14,0),MATCH($A$22,$B$2:$G$2,0)),0)</f>
        <v>44940</v>
      </c>
      <c r="H29" s="87" t="str">
        <f aca="false">IF(G29=F29,"Bien",G29-F29)</f>
        <v>Bien</v>
      </c>
      <c r="I29" s="46" t="s">
        <v>56</v>
      </c>
    </row>
    <row r="30" customFormat="false" ht="13.8" hidden="false" customHeight="false" outlineLevel="0" collapsed="false">
      <c r="A30" s="83" t="n">
        <v>309</v>
      </c>
      <c r="B30" s="46" t="s">
        <v>57</v>
      </c>
      <c r="C30" s="73" t="s">
        <v>25</v>
      </c>
      <c r="D30" s="79" t="s">
        <v>48</v>
      </c>
      <c r="E30" s="73" t="s">
        <v>51</v>
      </c>
      <c r="F30" s="0" t="n">
        <v>15720</v>
      </c>
      <c r="G30" s="86" t="n">
        <f aca="false">IFERROR(INDEX($B$3:$G$14,MATCH(C30,$A$3:$A$14,0),MATCH($A$22,$B$2:$G$2,0)),0)</f>
        <v>15720</v>
      </c>
      <c r="H30" s="87" t="str">
        <f aca="false">IF(G30=F30,"Bien",G30-F30)</f>
        <v>Bien</v>
      </c>
      <c r="L30" s="90"/>
      <c r="M30" s="91"/>
      <c r="N30" s="92"/>
    </row>
    <row r="31" customFormat="false" ht="14.9" hidden="false" customHeight="false" outlineLevel="0" collapsed="false">
      <c r="A31" s="83" t="n">
        <v>318</v>
      </c>
      <c r="B31" s="89" t="s">
        <v>55</v>
      </c>
      <c r="C31" s="73" t="s">
        <v>16</v>
      </c>
      <c r="D31" s="79" t="n">
        <v>1</v>
      </c>
      <c r="E31" s="73" t="s">
        <v>51</v>
      </c>
      <c r="F31" s="0" t="n">
        <v>586220</v>
      </c>
      <c r="G31" s="86" t="n">
        <f aca="false">IFERROR(INDEX($B$3:$G$14,MATCH(C31,$A$3:$A$14,0),MATCH($A$22,$B$2:$G$2,0)),0)</f>
        <v>586220</v>
      </c>
      <c r="H31" s="87" t="str">
        <f aca="false">IF(G31=F31,"Bien",G31-F31)</f>
        <v>Bien</v>
      </c>
      <c r="L31" s="90"/>
      <c r="M31" s="84"/>
      <c r="N31" s="92"/>
    </row>
    <row r="32" customFormat="false" ht="14.9" hidden="false" customHeight="false" outlineLevel="0" collapsed="false">
      <c r="A32" s="83" t="n">
        <v>310</v>
      </c>
      <c r="B32" s="89" t="s">
        <v>58</v>
      </c>
      <c r="C32" s="84" t="s">
        <v>10</v>
      </c>
      <c r="D32" s="79" t="s">
        <v>48</v>
      </c>
      <c r="E32" s="73" t="s">
        <v>59</v>
      </c>
      <c r="F32" s="0" t="n">
        <v>39620</v>
      </c>
      <c r="G32" s="86" t="n">
        <f aca="false">IFERROR(INDEX($B$3:$G$14,MATCH(C32,$A$3:$A$14,0),MATCH($A$22,$B$2:$G$2,0)),0)</f>
        <v>39620</v>
      </c>
      <c r="H32" s="87" t="str">
        <f aca="false">IF(G32=F32,"Bien",G32-F32)</f>
        <v>Bien</v>
      </c>
      <c r="N32" s="89"/>
    </row>
    <row r="33" customFormat="false" ht="13.8" hidden="false" customHeight="false" outlineLevel="0" collapsed="false">
      <c r="A33" s="83" t="n">
        <v>296</v>
      </c>
      <c r="B33" s="84" t="s">
        <v>60</v>
      </c>
      <c r="C33" s="84" t="s">
        <v>17</v>
      </c>
      <c r="D33" s="93"/>
      <c r="E33" s="73"/>
      <c r="F33" s="94"/>
      <c r="G33" s="86" t="n">
        <f aca="false">IFERROR(INDEX($B$3:$G$14,MATCH(C33,$A$3:$A$14,0),MATCH($A$22,$B$2:$G$2,0)),0)</f>
        <v>0</v>
      </c>
      <c r="H33" s="95" t="str">
        <f aca="false">IF(G33=F33,"Bien",G33-F33)</f>
        <v>Bien</v>
      </c>
      <c r="N33" s="89"/>
    </row>
    <row r="34" customFormat="false" ht="13.8" hidden="false" customHeight="false" outlineLevel="0" collapsed="false">
      <c r="A34" s="96"/>
      <c r="B34" s="97" t="s">
        <v>47</v>
      </c>
      <c r="C34" s="97" t="s">
        <v>23</v>
      </c>
      <c r="D34" s="98"/>
      <c r="E34" s="99"/>
      <c r="F34" s="100"/>
      <c r="G34" s="101" t="n">
        <f aca="false">IFERROR(INDEX($B$3:$G$14,MATCH(C34,$A$3:$A$14,0),MATCH($A$22,$B$2:$G$2,0)),0)</f>
        <v>0</v>
      </c>
      <c r="H34" s="102" t="str">
        <f aca="false">IF(G34=F34,"Bien",G34-F34)</f>
        <v>Bien</v>
      </c>
      <c r="I34" s="46" t="s">
        <v>61</v>
      </c>
      <c r="N34" s="89"/>
    </row>
    <row r="35" customFormat="false" ht="13.8" hidden="false" customHeight="false" outlineLevel="0" collapsed="false">
      <c r="C35" s="73"/>
      <c r="D35" s="74"/>
      <c r="E35" s="73"/>
      <c r="F35" s="103" t="n">
        <f aca="false">SUM(F24:F34)</f>
        <v>1483520</v>
      </c>
      <c r="G35" s="104" t="n">
        <f aca="false">SUM(G24:G34)</f>
        <v>1483520</v>
      </c>
      <c r="H35" s="73"/>
      <c r="I35" s="105" t="str">
        <f aca="false">IF(G35=D15,"OK","Revisar")</f>
        <v>OK</v>
      </c>
      <c r="L35" s="90"/>
      <c r="N35" s="73"/>
    </row>
    <row r="36" customFormat="false" ht="13.8" hidden="false" customHeight="false" outlineLevel="0" collapsed="false">
      <c r="A36" s="69" t="str">
        <f aca="false">+G2</f>
        <v>VOLUMINOSOS</v>
      </c>
      <c r="B36" s="69"/>
      <c r="C36" s="69"/>
      <c r="D36" s="69"/>
      <c r="E36" s="69"/>
      <c r="F36" s="69"/>
      <c r="G36" s="69"/>
      <c r="H36" s="69"/>
      <c r="L36" s="90"/>
      <c r="N36" s="73"/>
    </row>
    <row r="37" customFormat="false" ht="13.8" hidden="false" customHeight="false" outlineLevel="0" collapsed="false">
      <c r="C37" s="73" t="s">
        <v>43</v>
      </c>
      <c r="D37" s="74" t="s">
        <v>62</v>
      </c>
      <c r="E37" s="73" t="s">
        <v>63</v>
      </c>
      <c r="F37" s="103" t="s">
        <v>46</v>
      </c>
      <c r="G37" s="73" t="s">
        <v>38</v>
      </c>
      <c r="H37" s="73"/>
    </row>
    <row r="38" customFormat="false" ht="13.8" hidden="false" customHeight="false" outlineLevel="0" collapsed="false">
      <c r="A38" s="76" t="n">
        <v>109</v>
      </c>
      <c r="B38" s="77" t="s">
        <v>47</v>
      </c>
      <c r="C38" s="78" t="s">
        <v>28</v>
      </c>
      <c r="D38" s="106" t="n">
        <v>2</v>
      </c>
      <c r="E38" s="80" t="n">
        <v>1</v>
      </c>
      <c r="F38" s="80" t="n">
        <v>1520</v>
      </c>
      <c r="G38" s="107" t="n">
        <f aca="false">IFERROR(INDEX($B$3:$G$14,MATCH(C38,$A$3:$A$14,0),MATCH($A$36,$B$2:$G$2,0)),0)</f>
        <v>1520</v>
      </c>
      <c r="H38" s="108" t="str">
        <f aca="false">IF(G38=F38,"Bien",G38-F38)</f>
        <v>Bien</v>
      </c>
    </row>
    <row r="39" customFormat="false" ht="13.8" hidden="false" customHeight="false" outlineLevel="0" collapsed="false">
      <c r="A39" s="83" t="n">
        <v>333</v>
      </c>
      <c r="B39" s="46" t="s">
        <v>50</v>
      </c>
      <c r="C39" s="73" t="s">
        <v>14</v>
      </c>
      <c r="D39" s="109"/>
      <c r="E39" s="75"/>
      <c r="F39" s="75"/>
      <c r="G39" s="110" t="n">
        <f aca="false">IFERROR(INDEX($B$3:$G$14,MATCH(C39,$A$3:$A$14,0),MATCH($A$36,$B$2:$G$2,0)),0)</f>
        <v>0</v>
      </c>
      <c r="H39" s="111" t="str">
        <f aca="false">IF(G39=F39,"Bien",G39-F39)</f>
        <v>Bien</v>
      </c>
    </row>
    <row r="40" customFormat="false" ht="13.8" hidden="false" customHeight="false" outlineLevel="0" collapsed="false">
      <c r="A40" s="83" t="n">
        <v>316</v>
      </c>
      <c r="B40" s="84" t="s">
        <v>54</v>
      </c>
      <c r="C40" s="84" t="s">
        <v>19</v>
      </c>
      <c r="D40" s="109"/>
      <c r="E40" s="75"/>
      <c r="F40" s="75"/>
      <c r="G40" s="110" t="n">
        <f aca="false">IFERROR(INDEX($B$3:$G$14,MATCH(C40,$A$3:$A$14,0),MATCH($A$36,$B$2:$G$2,0)),0)</f>
        <v>0</v>
      </c>
      <c r="H40" s="111" t="str">
        <f aca="false">IF(G40=F40,"Bien",G40-F40)</f>
        <v>Bien</v>
      </c>
    </row>
    <row r="41" customFormat="false" ht="13.8" hidden="false" customHeight="false" outlineLevel="0" collapsed="false">
      <c r="A41" s="83" t="n">
        <v>309</v>
      </c>
      <c r="B41" s="46" t="s">
        <v>57</v>
      </c>
      <c r="C41" s="73" t="s">
        <v>25</v>
      </c>
      <c r="D41" s="109" t="n">
        <v>2</v>
      </c>
      <c r="E41" s="75" t="n">
        <v>2</v>
      </c>
      <c r="F41" s="75" t="n">
        <v>1000</v>
      </c>
      <c r="G41" s="110" t="n">
        <f aca="false">IFERROR(INDEX($B$3:$G$14,MATCH(C41,$A$3:$A$14,0),MATCH($A$36,$B$2:$G$2,0)),0)</f>
        <v>1000</v>
      </c>
      <c r="H41" s="112" t="str">
        <f aca="false">IF(G41=F41,"Bien",G41-F41)</f>
        <v>Bien</v>
      </c>
    </row>
    <row r="42" customFormat="false" ht="13.8" hidden="false" customHeight="false" outlineLevel="0" collapsed="false">
      <c r="A42" s="83" t="n">
        <v>296</v>
      </c>
      <c r="B42" s="84" t="s">
        <v>60</v>
      </c>
      <c r="C42" s="84" t="s">
        <v>17</v>
      </c>
      <c r="D42" s="113" t="n">
        <v>2</v>
      </c>
      <c r="E42" s="114" t="n">
        <v>25</v>
      </c>
      <c r="F42" s="114" t="n">
        <v>21740</v>
      </c>
      <c r="G42" s="110" t="n">
        <f aca="false">IFERROR(INDEX($B$3:$G$14,MATCH(C42,$A$3:$A$14,0),MATCH($A$36,$B$2:$G$2,0)),0)</f>
        <v>21740</v>
      </c>
      <c r="H42" s="112" t="str">
        <f aca="false">IF(G42=F42,"Bien",G42-F42)</f>
        <v>Bien</v>
      </c>
    </row>
    <row r="43" customFormat="false" ht="13.8" hidden="false" customHeight="false" outlineLevel="0" collapsed="false">
      <c r="A43" s="83"/>
      <c r="B43" s="115" t="s">
        <v>47</v>
      </c>
      <c r="C43" s="115" t="s">
        <v>23</v>
      </c>
      <c r="D43" s="113" t="n">
        <v>2</v>
      </c>
      <c r="E43" s="114" t="n">
        <v>2</v>
      </c>
      <c r="F43" s="114" t="n">
        <v>3440</v>
      </c>
      <c r="G43" s="110" t="n">
        <f aca="false">IFERROR(INDEX($B$3:$G$14,MATCH(C43,$A$3:$A$14,0),MATCH($A$36,$B$2:$G$2,0)),0)</f>
        <v>3440</v>
      </c>
      <c r="H43" s="111" t="str">
        <f aca="false">IF(G43=F43,"Bien",G43-F43)</f>
        <v>Bien</v>
      </c>
    </row>
    <row r="44" customFormat="false" ht="13.8" hidden="false" customHeight="false" outlineLevel="0" collapsed="false">
      <c r="A44" s="83"/>
      <c r="B44" s="84"/>
      <c r="C44" s="115" t="s">
        <v>64</v>
      </c>
      <c r="D44" s="113"/>
      <c r="E44" s="114"/>
      <c r="F44" s="114"/>
      <c r="G44" s="110" t="n">
        <f aca="false">IFERROR(INDEX($B$3:$G$14,MATCH(C44,$A$3:$A$14,0),MATCH($A$36,$B$2:$G$2,0)),0)</f>
        <v>0</v>
      </c>
      <c r="H44" s="111" t="str">
        <f aca="false">IF(G44=F44,"Bien",G44-F44)</f>
        <v>Bien</v>
      </c>
    </row>
    <row r="45" customFormat="false" ht="14.9" hidden="false" customHeight="false" outlineLevel="0" collapsed="false">
      <c r="A45" s="96"/>
      <c r="B45" s="116" t="s">
        <v>65</v>
      </c>
      <c r="C45" s="117" t="s">
        <v>66</v>
      </c>
      <c r="D45" s="118"/>
      <c r="E45" s="119"/>
      <c r="F45" s="119"/>
      <c r="G45" s="120" t="n">
        <f aca="false">IFERROR(INDEX($B$3:$G$14,MATCH(C45,$A$3:$A$14,0),MATCH($A$36,$B$2:$G$2,0)),0)</f>
        <v>0</v>
      </c>
      <c r="H45" s="121" t="str">
        <f aca="false">IF(G45=F45,"Bien",G45-F45)</f>
        <v>Bien</v>
      </c>
    </row>
    <row r="46" customFormat="false" ht="14.9" hidden="false" customHeight="false" outlineLevel="0" collapsed="false">
      <c r="A46" s="96"/>
      <c r="B46" s="116"/>
      <c r="C46" s="117" t="s">
        <v>26</v>
      </c>
      <c r="D46" s="118" t="n">
        <v>2</v>
      </c>
      <c r="E46" s="119" t="n">
        <v>1</v>
      </c>
      <c r="F46" s="119" t="n">
        <v>2840</v>
      </c>
      <c r="G46" s="120" t="n">
        <f aca="false">IFERROR(INDEX($B$3:$G$14,MATCH(C46,$A$3:$A$14,0),MATCH($A$36,$B$2:$G$2,0)),0)</f>
        <v>2840</v>
      </c>
      <c r="H46" s="121" t="str">
        <f aca="false">IF(G46=F46,"Bien",G46-F46)</f>
        <v>Bien</v>
      </c>
    </row>
    <row r="47" customFormat="false" ht="13.8" hidden="false" customHeight="false" outlineLevel="0" collapsed="false">
      <c r="A47" s="46"/>
      <c r="D47" s="74"/>
      <c r="E47" s="73"/>
      <c r="F47" s="103" t="n">
        <f aca="false">SUM(F38:F46)</f>
        <v>30540</v>
      </c>
      <c r="G47" s="104" t="n">
        <f aca="false">SUM(G38:G46)</f>
        <v>30540</v>
      </c>
      <c r="H47" s="73"/>
      <c r="I47" s="105" t="str">
        <f aca="false">+IF(G47=G15,"OK","Revisar")</f>
        <v>OK</v>
      </c>
    </row>
    <row r="48" customFormat="false" ht="13.8" hidden="false" customHeight="false" outlineLevel="0" collapsed="false">
      <c r="C48" s="73"/>
      <c r="D48" s="74"/>
      <c r="E48" s="73"/>
      <c r="F48" s="103"/>
      <c r="G48" s="104"/>
      <c r="H48" s="73"/>
    </row>
    <row r="49" customFormat="false" ht="13.8" hidden="false" customHeight="false" outlineLevel="0" collapsed="false">
      <c r="A49" s="69" t="s">
        <v>21</v>
      </c>
      <c r="B49" s="69"/>
      <c r="C49" s="69"/>
      <c r="D49" s="69"/>
      <c r="E49" s="69"/>
      <c r="F49" s="69"/>
      <c r="G49" s="69"/>
      <c r="H49" s="69"/>
    </row>
    <row r="50" customFormat="false" ht="13.8" hidden="false" customHeight="false" outlineLevel="0" collapsed="false">
      <c r="C50" s="122" t="s">
        <v>43</v>
      </c>
      <c r="D50" s="123" t="s">
        <v>63</v>
      </c>
      <c r="E50" s="124" t="s">
        <v>46</v>
      </c>
      <c r="F50" s="125" t="s">
        <v>38</v>
      </c>
      <c r="G50" s="73"/>
      <c r="H50" s="73"/>
    </row>
    <row r="51" customFormat="false" ht="13.8" hidden="false" customHeight="false" outlineLevel="0" collapsed="false">
      <c r="A51" s="126" t="n">
        <v>109</v>
      </c>
      <c r="B51" s="127" t="s">
        <v>47</v>
      </c>
      <c r="C51" s="78" t="s">
        <v>28</v>
      </c>
      <c r="D51" s="128" t="n">
        <v>1</v>
      </c>
      <c r="E51" s="129" t="n">
        <v>4920</v>
      </c>
      <c r="F51" s="130" t="n">
        <f aca="false">IFERROR(INDEX($B$3:$G$14,MATCH(C51,$A$3:$A$14,0),MATCH($A$49,$B$2:$G$2,0)),0)</f>
        <v>4920</v>
      </c>
      <c r="G51" s="108" t="str">
        <f aca="false">IF(F51=E51,"Bien",F51-E51)</f>
        <v>Bien</v>
      </c>
      <c r="H51" s="73"/>
    </row>
    <row r="52" customFormat="false" ht="14.9" hidden="false" customHeight="false" outlineLevel="0" collapsed="false">
      <c r="A52" s="131" t="n">
        <v>320</v>
      </c>
      <c r="B52" s="132" t="s">
        <v>52</v>
      </c>
      <c r="C52" s="73" t="s">
        <v>20</v>
      </c>
      <c r="D52" s="133" t="n">
        <v>2</v>
      </c>
      <c r="E52" s="134" t="n">
        <v>3360</v>
      </c>
      <c r="F52" s="135" t="n">
        <f aca="false">IFERROR(INDEX($B$3:$G$14,MATCH(C52,$A$3:$A$14,0),MATCH($A$49,$B$2:$G$2,0)),0)</f>
        <v>3360</v>
      </c>
      <c r="G52" s="111" t="str">
        <f aca="false">IF(F52=E52,"Bien",F52-E52)</f>
        <v>Bien</v>
      </c>
      <c r="H52" s="73"/>
    </row>
    <row r="53" customFormat="false" ht="14.9" hidden="false" customHeight="false" outlineLevel="0" collapsed="false">
      <c r="A53" s="131" t="n">
        <v>321</v>
      </c>
      <c r="B53" s="132" t="s">
        <v>53</v>
      </c>
      <c r="C53" s="73" t="s">
        <v>15</v>
      </c>
      <c r="D53" s="133" t="n">
        <v>8</v>
      </c>
      <c r="E53" s="134" t="n">
        <v>12720</v>
      </c>
      <c r="F53" s="135" t="n">
        <f aca="false">IFERROR(INDEX($B$3:$G$14,MATCH(C53,$A$3:$A$14,0),MATCH($A$49,$B$2:$G$2,0)),0)</f>
        <v>12720</v>
      </c>
      <c r="G53" s="111" t="str">
        <f aca="false">IF(F53=E53,"Bien",F53-E53)</f>
        <v>Bien</v>
      </c>
      <c r="H53" s="73"/>
    </row>
    <row r="54" customFormat="false" ht="13.8" hidden="false" customHeight="false" outlineLevel="0" collapsed="false">
      <c r="A54" s="136" t="n">
        <v>296</v>
      </c>
      <c r="B54" s="137" t="s">
        <v>60</v>
      </c>
      <c r="C54" s="73" t="s">
        <v>17</v>
      </c>
      <c r="D54" s="133"/>
      <c r="E54" s="138"/>
      <c r="F54" s="135" t="n">
        <f aca="false">IFERROR(INDEX($B$3:$G$14,MATCH(C54,$A$3:$A$14,0),MATCH($A$49,$B$2:$G$2,0)),0)</f>
        <v>0</v>
      </c>
      <c r="G54" s="111" t="str">
        <f aca="false">IF(F54=E54,"Bien",F54-E54)</f>
        <v>Bien</v>
      </c>
      <c r="H54" s="73"/>
    </row>
    <row r="55" customFormat="false" ht="14.9" hidden="false" customHeight="false" outlineLevel="0" collapsed="false">
      <c r="A55" s="131"/>
      <c r="B55" s="139"/>
      <c r="C55" s="140" t="s">
        <v>64</v>
      </c>
      <c r="D55" s="141"/>
      <c r="E55" s="142"/>
      <c r="F55" s="135" t="n">
        <f aca="false">IFERROR(INDEX($B$3:$G$14,MATCH(C55,$A$3:$A$14,0),MATCH($A$49,$B$2:$G$2,0)),0)</f>
        <v>0</v>
      </c>
      <c r="G55" s="111" t="str">
        <f aca="false">IF(F55=E55,"Bien",F55-E55)</f>
        <v>Bien</v>
      </c>
      <c r="H55" s="73"/>
    </row>
    <row r="56" customFormat="false" ht="13.8" hidden="false" customHeight="false" outlineLevel="0" collapsed="false">
      <c r="A56" s="143"/>
      <c r="B56" s="144" t="s">
        <v>47</v>
      </c>
      <c r="C56" s="97" t="s">
        <v>23</v>
      </c>
      <c r="D56" s="145"/>
      <c r="E56" s="146"/>
      <c r="F56" s="147" t="n">
        <f aca="false">IFERROR(INDEX($B$3:$G$14,MATCH(C56,$A$3:$A$14,0),MATCH($A$49,$B$2:$G$2,0)),0)</f>
        <v>0</v>
      </c>
      <c r="G56" s="121" t="str">
        <f aca="false">IF(F56=E56,"Bien",F56-E56)</f>
        <v>Bien</v>
      </c>
      <c r="H56" s="73"/>
    </row>
    <row r="57" customFormat="false" ht="13.8" hidden="false" customHeight="false" outlineLevel="0" collapsed="false">
      <c r="C57" s="73"/>
      <c r="D57" s="133"/>
      <c r="E57" s="104" t="n">
        <f aca="false">SUM(E51:E56)</f>
        <v>21000</v>
      </c>
      <c r="F57" s="104" t="n">
        <f aca="false">SUM(F51:F56)</f>
        <v>21000</v>
      </c>
      <c r="G57" s="73"/>
      <c r="H57" s="73"/>
      <c r="I57" s="105" t="str">
        <f aca="false">+IF(F57=F15,"OK","Revisar")</f>
        <v>OK</v>
      </c>
    </row>
    <row r="58" customFormat="false" ht="13.8" hidden="false" customHeight="false" outlineLevel="0" collapsed="false">
      <c r="A58" s="69" t="s">
        <v>22</v>
      </c>
      <c r="B58" s="69"/>
      <c r="C58" s="69"/>
      <c r="D58" s="69"/>
      <c r="E58" s="69"/>
      <c r="F58" s="69"/>
      <c r="G58" s="69"/>
      <c r="H58" s="73"/>
    </row>
    <row r="59" customFormat="false" ht="13.8" hidden="false" customHeight="false" outlineLevel="0" collapsed="false">
      <c r="C59" s="73" t="s">
        <v>43</v>
      </c>
      <c r="D59" s="74" t="s">
        <v>63</v>
      </c>
      <c r="E59" s="73" t="s">
        <v>46</v>
      </c>
      <c r="F59" s="103" t="s">
        <v>38</v>
      </c>
      <c r="G59" s="73"/>
      <c r="H59" s="73"/>
    </row>
    <row r="60" customFormat="false" ht="13.8" hidden="false" customHeight="false" outlineLevel="0" collapsed="false">
      <c r="A60" s="148" t="n">
        <v>109</v>
      </c>
      <c r="B60" s="149" t="s">
        <v>47</v>
      </c>
      <c r="C60" s="150" t="s">
        <v>28</v>
      </c>
      <c r="D60" s="151"/>
      <c r="E60" s="152"/>
      <c r="F60" s="153" t="n">
        <f aca="false">IFERROR(INDEX($B$3:$G$14,MATCH(C60,$A$3:$A$14,0),MATCH($A$58,$B$2:$G$2,0)),0)</f>
        <v>0</v>
      </c>
      <c r="G60" s="154" t="str">
        <f aca="false">IF(F60=E60,"Bien",F60-E60)</f>
        <v>Bien</v>
      </c>
      <c r="H60" s="73"/>
    </row>
    <row r="61" customFormat="false" ht="14.9" hidden="false" customHeight="false" outlineLevel="0" collapsed="false">
      <c r="A61" s="155" t="n">
        <v>320</v>
      </c>
      <c r="B61" s="89" t="s">
        <v>52</v>
      </c>
      <c r="C61" s="73" t="s">
        <v>20</v>
      </c>
      <c r="D61" s="141" t="n">
        <v>6</v>
      </c>
      <c r="E61" s="142" t="n">
        <v>2800</v>
      </c>
      <c r="F61" s="86" t="n">
        <f aca="false">IFERROR(INDEX($B$3:$G$14,MATCH(C61,$A$3:$A$14,0),MATCH($A$58,$B$2:$G$2,0)),0)</f>
        <v>2800</v>
      </c>
      <c r="G61" s="95" t="str">
        <f aca="false">IF(F61=E61,"Bien",F61-E61)</f>
        <v>Bien</v>
      </c>
      <c r="H61" s="73"/>
    </row>
    <row r="62" customFormat="false" ht="14.9" hidden="false" customHeight="false" outlineLevel="0" collapsed="false">
      <c r="A62" s="155" t="n">
        <v>321</v>
      </c>
      <c r="B62" s="89" t="s">
        <v>53</v>
      </c>
      <c r="C62" s="73" t="s">
        <v>15</v>
      </c>
      <c r="D62" s="141" t="n">
        <v>8</v>
      </c>
      <c r="E62" s="142" t="n">
        <v>22520</v>
      </c>
      <c r="F62" s="86" t="n">
        <f aca="false">IFERROR(INDEX($B$3:$G$14,MATCH(C62,$A$3:$A$14,0),MATCH($A$58,$B$2:$G$2,0)),0)</f>
        <v>22520</v>
      </c>
      <c r="G62" s="95" t="str">
        <f aca="false">IF(F62=E62,"Bien",F62-E62)</f>
        <v>Bien</v>
      </c>
      <c r="H62" s="73"/>
    </row>
    <row r="63" customFormat="false" ht="13.8" hidden="false" customHeight="false" outlineLevel="0" collapsed="false">
      <c r="A63" s="156" t="n">
        <v>296</v>
      </c>
      <c r="B63" s="46" t="s">
        <v>60</v>
      </c>
      <c r="C63" s="73" t="s">
        <v>17</v>
      </c>
      <c r="D63" s="141"/>
      <c r="E63" s="142"/>
      <c r="F63" s="86" t="n">
        <f aca="false">IFERROR(INDEX($B$3:$G$14,MATCH(C63,$A$3:$A$14,0),MATCH($A$58,$B$2:$G$2,0)),0)</f>
        <v>0</v>
      </c>
      <c r="G63" s="95" t="str">
        <f aca="false">IF(F63=E63,"Bien",F63-E63)</f>
        <v>Bien</v>
      </c>
      <c r="H63" s="73"/>
    </row>
    <row r="64" customFormat="false" ht="14.9" hidden="false" customHeight="false" outlineLevel="0" collapsed="false">
      <c r="A64" s="157"/>
      <c r="B64" s="158"/>
      <c r="C64" s="159" t="s">
        <v>64</v>
      </c>
      <c r="D64" s="160"/>
      <c r="E64" s="161"/>
      <c r="F64" s="162" t="n">
        <f aca="false">IFERROR(INDEX($B$3:$G$14,MATCH(C64,$A$3:$A$14,0),MATCH($A$58,$B$2:$G$2,0)),0)</f>
        <v>0</v>
      </c>
      <c r="G64" s="102" t="str">
        <f aca="false">IF(F64=E64,"Bien",F64-E64)</f>
        <v>Bien</v>
      </c>
      <c r="H64" s="73"/>
    </row>
    <row r="65" customFormat="false" ht="13.8" hidden="false" customHeight="false" outlineLevel="0" collapsed="false">
      <c r="C65" s="73"/>
      <c r="D65" s="133"/>
      <c r="E65" s="104" t="n">
        <f aca="false">SUM(E60:E64)</f>
        <v>25320</v>
      </c>
      <c r="F65" s="104" t="n">
        <f aca="false">SUM(F60:F64)</f>
        <v>25320</v>
      </c>
      <c r="G65" s="73"/>
      <c r="H65" s="73"/>
      <c r="I65" s="105" t="str">
        <f aca="false">+IF(F65=E15,"OK","Revisar")</f>
        <v>OK</v>
      </c>
    </row>
    <row r="66" customFormat="false" ht="13.8" hidden="false" customHeight="false" outlineLevel="0" collapsed="false">
      <c r="A66" s="69" t="s">
        <v>27</v>
      </c>
      <c r="B66" s="69"/>
      <c r="C66" s="69"/>
      <c r="D66" s="69"/>
      <c r="E66" s="69"/>
      <c r="F66" s="69"/>
      <c r="G66" s="69"/>
      <c r="H66" s="73"/>
    </row>
    <row r="67" customFormat="false" ht="13.8" hidden="false" customHeight="false" outlineLevel="0" collapsed="false">
      <c r="C67" s="73" t="s">
        <v>43</v>
      </c>
      <c r="D67" s="74" t="s">
        <v>63</v>
      </c>
      <c r="E67" s="73" t="s">
        <v>46</v>
      </c>
      <c r="F67" s="103" t="s">
        <v>38</v>
      </c>
      <c r="G67" s="73"/>
      <c r="H67" s="73"/>
    </row>
    <row r="68" customFormat="false" ht="13.8" hidden="false" customHeight="false" outlineLevel="0" collapsed="false">
      <c r="A68" s="148" t="n">
        <v>109</v>
      </c>
      <c r="B68" s="149" t="s">
        <v>47</v>
      </c>
      <c r="C68" s="150" t="s">
        <v>28</v>
      </c>
      <c r="D68" s="163"/>
      <c r="E68" s="152"/>
      <c r="F68" s="153" t="n">
        <f aca="false">IFERROR(INDEX($B$3:$G$14,MATCH(C68,$A$3:$A$14,0),MATCH($A$66,$B$2:$G$2,0)),0)</f>
        <v>0</v>
      </c>
      <c r="G68" s="154" t="str">
        <f aca="false">IF(F68=E68,"Bien",F68-E68)</f>
        <v>Bien</v>
      </c>
      <c r="H68" s="73"/>
    </row>
    <row r="69" customFormat="false" ht="13.8" hidden="false" customHeight="false" outlineLevel="0" collapsed="false">
      <c r="A69" s="156" t="n">
        <v>333</v>
      </c>
      <c r="B69" s="84" t="s">
        <v>50</v>
      </c>
      <c r="C69" s="84" t="s">
        <v>14</v>
      </c>
      <c r="D69" s="141" t="n">
        <v>6</v>
      </c>
      <c r="E69" s="164" t="n">
        <v>2860</v>
      </c>
      <c r="F69" s="86" t="n">
        <f aca="false">IFERROR(INDEX($B$3:$G$14,MATCH(C69,$A$3:$A$14,0),MATCH($A$66,$B$2:$G$2,0)),0)</f>
        <v>2860</v>
      </c>
      <c r="G69" s="95" t="str">
        <f aca="false">IF(F69=E69,"Bien",F69-E69)</f>
        <v>Bien</v>
      </c>
      <c r="H69" s="73"/>
    </row>
    <row r="70" customFormat="false" ht="14.9" hidden="false" customHeight="false" outlineLevel="0" collapsed="false">
      <c r="A70" s="165"/>
      <c r="B70" s="46" t="s">
        <v>65</v>
      </c>
      <c r="C70" s="89" t="s">
        <v>66</v>
      </c>
      <c r="D70" s="138"/>
      <c r="E70" s="138"/>
      <c r="F70" s="86" t="n">
        <f aca="false">IFERROR(INDEX($B$3:$G$14,MATCH(C70,$A$3:$A$14,0),MATCH($A$66,$B$2:$G$2,0)),0)</f>
        <v>0</v>
      </c>
      <c r="G70" s="95" t="str">
        <f aca="false">IF(F70=E70,"Bien",F70-E70)</f>
        <v>Bien</v>
      </c>
      <c r="H70" s="73"/>
    </row>
    <row r="71" customFormat="false" ht="13.8" hidden="false" customHeight="false" outlineLevel="0" collapsed="false">
      <c r="A71" s="156" t="n">
        <v>316</v>
      </c>
      <c r="B71" s="46" t="s">
        <v>54</v>
      </c>
      <c r="C71" s="73" t="s">
        <v>19</v>
      </c>
      <c r="D71" s="138"/>
      <c r="E71" s="138"/>
      <c r="F71" s="86" t="n">
        <f aca="false">IFERROR(INDEX($B$3:$G$14,MATCH(C71,$A$3:$A$14,0),MATCH($A$66,$B$2:$G$2,0)),0)</f>
        <v>0</v>
      </c>
      <c r="G71" s="95" t="str">
        <f aca="false">IF(F71=E71,"Bien",F71-E71)</f>
        <v>Bien</v>
      </c>
      <c r="H71" s="73"/>
    </row>
    <row r="72" customFormat="false" ht="13.8" hidden="false" customHeight="false" outlineLevel="0" collapsed="false">
      <c r="A72" s="156" t="n">
        <v>309</v>
      </c>
      <c r="B72" s="46" t="s">
        <v>57</v>
      </c>
      <c r="C72" s="73" t="s">
        <v>25</v>
      </c>
      <c r="D72" s="133"/>
      <c r="E72" s="134"/>
      <c r="F72" s="86" t="n">
        <f aca="false">IFERROR(INDEX($B$3:$G$14,MATCH(C72,$A$3:$A$14,0),MATCH($A$66,$B$2:$G$2,0)),0)</f>
        <v>0</v>
      </c>
      <c r="G72" s="95" t="str">
        <f aca="false">IF(F72=E72,"Bien",F72-E72)</f>
        <v>Bien</v>
      </c>
      <c r="H72" s="73"/>
    </row>
    <row r="73" customFormat="false" ht="13.8" hidden="false" customHeight="false" outlineLevel="0" collapsed="false">
      <c r="A73" s="166" t="n">
        <v>296</v>
      </c>
      <c r="B73" s="158" t="s">
        <v>60</v>
      </c>
      <c r="C73" s="158" t="s">
        <v>17</v>
      </c>
      <c r="D73" s="160"/>
      <c r="E73" s="167"/>
      <c r="F73" s="162" t="n">
        <f aca="false">IFERROR(INDEX($B$3:$G$14,MATCH(C73,$A$3:$A$14,0),MATCH($A$66,$B$2:$G$2,0)),0)</f>
        <v>0</v>
      </c>
      <c r="G73" s="102" t="str">
        <f aca="false">IF(F73=E73,"Bien",F73-E73)</f>
        <v>Bien</v>
      </c>
      <c r="H73" s="73"/>
    </row>
    <row r="74" customFormat="false" ht="13.8" hidden="false" customHeight="false" outlineLevel="0" collapsed="false">
      <c r="C74" s="73"/>
      <c r="D74" s="133"/>
      <c r="E74" s="104" t="n">
        <f aca="false">SUM(E68:E73)</f>
        <v>2860</v>
      </c>
      <c r="F74" s="104" t="n">
        <f aca="false">SUM(F68:F73)</f>
        <v>2860</v>
      </c>
      <c r="G74" s="73"/>
      <c r="H74" s="73"/>
      <c r="I74" s="105" t="str">
        <f aca="false">+IF(F74=C15,"OK","Revisar")</f>
        <v>OK</v>
      </c>
    </row>
    <row r="75" customFormat="false" ht="13.8" hidden="false" customHeight="false" outlineLevel="0" collapsed="false">
      <c r="A75" s="69" t="s">
        <v>33</v>
      </c>
      <c r="B75" s="69"/>
      <c r="C75" s="69"/>
      <c r="D75" s="69"/>
      <c r="E75" s="69"/>
      <c r="F75" s="69"/>
      <c r="G75" s="69"/>
      <c r="H75" s="73"/>
    </row>
    <row r="76" customFormat="false" ht="13.8" hidden="false" customHeight="false" outlineLevel="0" collapsed="false">
      <c r="C76" s="73" t="s">
        <v>43</v>
      </c>
      <c r="D76" s="74" t="s">
        <v>63</v>
      </c>
      <c r="E76" s="73" t="s">
        <v>46</v>
      </c>
      <c r="F76" s="103" t="s">
        <v>38</v>
      </c>
      <c r="G76" s="73"/>
      <c r="H76" s="73"/>
    </row>
    <row r="77" customFormat="false" ht="13.8" hidden="false" customHeight="false" outlineLevel="0" collapsed="false">
      <c r="A77" s="148" t="n">
        <v>109</v>
      </c>
      <c r="B77" s="149" t="s">
        <v>47</v>
      </c>
      <c r="C77" s="150" t="s">
        <v>28</v>
      </c>
      <c r="D77" s="151" t="n">
        <v>8</v>
      </c>
      <c r="E77" s="152" t="n">
        <v>119960</v>
      </c>
      <c r="F77" s="153" t="n">
        <f aca="false">IFERROR(INDEX($B$3:$G$14,MATCH(C77,$A$3:$A$14,0),MATCH($A$75,$B$2:$G$2,0)),0)</f>
        <v>119960</v>
      </c>
      <c r="G77" s="154" t="str">
        <f aca="false">IF(F77=E77,"Bien",F77-E77)</f>
        <v>Bien</v>
      </c>
      <c r="H77" s="73"/>
    </row>
    <row r="78" customFormat="false" ht="13.8" hidden="false" customHeight="false" outlineLevel="0" collapsed="false">
      <c r="A78" s="156" t="n">
        <v>309</v>
      </c>
      <c r="B78" s="46" t="s">
        <v>57</v>
      </c>
      <c r="C78" s="73" t="s">
        <v>25</v>
      </c>
      <c r="D78" s="133"/>
      <c r="E78" s="138"/>
      <c r="F78" s="86" t="n">
        <f aca="false">IFERROR(INDEX($B$3:$G$14,MATCH(C78,$A$3:$A$14,0),MATCH($A$75,$B$2:$G$2,0)),0)</f>
        <v>0</v>
      </c>
      <c r="G78" s="95" t="str">
        <f aca="false">IF(F78=E78,"Bien",F78-E78)</f>
        <v>Bien</v>
      </c>
      <c r="H78" s="73"/>
    </row>
    <row r="79" customFormat="false" ht="13.8" hidden="false" customHeight="false" outlineLevel="0" collapsed="false">
      <c r="A79" s="166" t="n">
        <v>296</v>
      </c>
      <c r="B79" s="158" t="s">
        <v>60</v>
      </c>
      <c r="C79" s="158" t="s">
        <v>17</v>
      </c>
      <c r="D79" s="160"/>
      <c r="E79" s="161"/>
      <c r="F79" s="162" t="n">
        <f aca="false">IFERROR(INDEX($B$3:$G$14,MATCH(C79,$A$3:$A$14,0),MATCH($A$75,$B$2:$G$2,0)),0)</f>
        <v>0</v>
      </c>
      <c r="G79" s="102" t="str">
        <f aca="false">IF(F79=E79,"Bien",F79-E79)</f>
        <v>Bien</v>
      </c>
      <c r="H79" s="73"/>
    </row>
    <row r="80" customFormat="false" ht="13.8" hidden="false" customHeight="false" outlineLevel="0" collapsed="false">
      <c r="C80" s="73"/>
      <c r="D80" s="133"/>
      <c r="E80" s="104" t="n">
        <f aca="false">SUM(E77:E79)</f>
        <v>119960</v>
      </c>
      <c r="F80" s="104" t="n">
        <f aca="false">SUM(F77:F79)</f>
        <v>119960</v>
      </c>
      <c r="G80" s="73"/>
      <c r="H80" s="73"/>
      <c r="I80" s="105" t="str">
        <f aca="false">+IF(F80=B15,"OK","Revisar")</f>
        <v>OK</v>
      </c>
    </row>
  </sheetData>
  <mergeCells count="7">
    <mergeCell ref="A19:C19"/>
    <mergeCell ref="A22:H22"/>
    <mergeCell ref="A36:H36"/>
    <mergeCell ref="A49:H49"/>
    <mergeCell ref="A58:G58"/>
    <mergeCell ref="A66:G66"/>
    <mergeCell ref="A75:G75"/>
  </mergeCells>
  <conditionalFormatting sqref="H24:H34">
    <cfRule type="cellIs" priority="2" operator="notEqual" aboveAverage="0" equalAverage="0" bottom="0" percent="0" rank="0" text="" dxfId="2">
      <formula>""bien""</formula>
    </cfRule>
  </conditionalFormatting>
  <conditionalFormatting sqref="H38">
    <cfRule type="cellIs" priority="3" operator="notEqual" aboveAverage="0" equalAverage="0" bottom="0" percent="0" rank="0" text="" dxfId="3">
      <formula>""bien""</formula>
    </cfRule>
  </conditionalFormatting>
  <conditionalFormatting sqref="H39:H46">
    <cfRule type="cellIs" priority="4" operator="notEqual" aboveAverage="0" equalAverage="0" bottom="0" percent="0" rank="0" text="" dxfId="4">
      <formula>""bien""</formula>
    </cfRule>
  </conditionalFormatting>
  <conditionalFormatting sqref="G51">
    <cfRule type="cellIs" priority="5" operator="notEqual" aboveAverage="0" equalAverage="0" bottom="0" percent="0" rank="0" text="" dxfId="5">
      <formula>""bien""</formula>
    </cfRule>
  </conditionalFormatting>
  <conditionalFormatting sqref="G52:G56">
    <cfRule type="cellIs" priority="6" operator="notEqual" aboveAverage="0" equalAverage="0" bottom="0" percent="0" rank="0" text="" dxfId="6">
      <formula>""bien""</formula>
    </cfRule>
  </conditionalFormatting>
  <conditionalFormatting sqref="G60">
    <cfRule type="cellIs" priority="7" operator="notEqual" aboveAverage="0" equalAverage="0" bottom="0" percent="0" rank="0" text="" dxfId="7">
      <formula>""bien""</formula>
    </cfRule>
  </conditionalFormatting>
  <conditionalFormatting sqref="G61:G64">
    <cfRule type="cellIs" priority="8" operator="notEqual" aboveAverage="0" equalAverage="0" bottom="0" percent="0" rank="0" text="" dxfId="8">
      <formula>""bien""</formula>
    </cfRule>
  </conditionalFormatting>
  <conditionalFormatting sqref="G68">
    <cfRule type="cellIs" priority="9" operator="notEqual" aboveAverage="0" equalAverage="0" bottom="0" percent="0" rank="0" text="" dxfId="9">
      <formula>""bien""</formula>
    </cfRule>
  </conditionalFormatting>
  <conditionalFormatting sqref="G69:G73">
    <cfRule type="cellIs" priority="10" operator="notEqual" aboveAverage="0" equalAverage="0" bottom="0" percent="0" rank="0" text="" dxfId="10">
      <formula>""bien""</formula>
    </cfRule>
  </conditionalFormatting>
  <conditionalFormatting sqref="G77">
    <cfRule type="cellIs" priority="11" operator="notEqual" aboveAverage="0" equalAverage="0" bottom="0" percent="0" rank="0" text="" dxfId="11">
      <formula>""bien""</formula>
    </cfRule>
  </conditionalFormatting>
  <conditionalFormatting sqref="G78:G79">
    <cfRule type="cellIs" priority="12" operator="notEqual" aboveAverage="0" equalAverage="0" bottom="0" percent="0" rank="0" text="" dxfId="12">
      <formula>""bien""</formula>
    </cfRule>
  </conditionalFormatting>
  <conditionalFormatting sqref="B16:G16">
    <cfRule type="cellIs" priority="13" operator="notEqual" aboveAverage="0" equalAverage="0" bottom="0" percent="0" rank="0" text="" dxfId="13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A9554A-79A6-403A-9A6C-11F85B85EE0C}"/>
</file>

<file path=customXml/itemProps2.xml><?xml version="1.0" encoding="utf-8"?>
<ds:datastoreItem xmlns:ds="http://schemas.openxmlformats.org/officeDocument/2006/customXml" ds:itemID="{4763C09F-3C90-4ED8-BB55-7B46EA903021}"/>
</file>

<file path=customXml/itemProps3.xml><?xml version="1.0" encoding="utf-8"?>
<ds:datastoreItem xmlns:ds="http://schemas.openxmlformats.org/officeDocument/2006/customXml" ds:itemID="{689F8D1E-C8BA-4FA3-A3AC-71FB632F2FC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2023-08-03T05:44:09Z</dcterms:created>
  <dc:creator>Administrador</dc:creator>
  <dc:description/>
  <dc:language>es-ES</dc:language>
  <cp:lastModifiedBy/>
  <dcterms:modified xsi:type="dcterms:W3CDTF">2023-08-07T09:13:44Z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