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rtificacion_2_2_2" sheetId="1" state="visible" r:id="rId2"/>
    <sheet name="Hoja1" sheetId="2" state="visible" r:id="rId3"/>
    <sheet name="Tabla dinámica_Hoja1_1" sheetId="3" state="visible" r:id="rId4"/>
  </sheets>
  <definedNames>
    <definedName function="false" hidden="true" localSheetId="1" name="_xlnm._FilterDatabase" vbProcedure="false">Hoja1!$A$1:$J$261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<sst xmlns="http://schemas.openxmlformats.org/spreadsheetml/2006/main" count="1223" uniqueCount="65">
  <si>
    <t xml:space="preserve">Matrícula</t>
  </si>
  <si>
    <t xml:space="preserve">LIMP. PLAYA</t>
  </si>
  <si>
    <t xml:space="preserve">PODA</t>
  </si>
  <si>
    <t xml:space="preserve">RSU</t>
  </si>
  <si>
    <t xml:space="preserve">SEL.ENV</t>
  </si>
  <si>
    <t xml:space="preserve">SEL.PAP</t>
  </si>
  <si>
    <t xml:space="preserve">VOLUMINOSOS</t>
  </si>
  <si>
    <t xml:space="preserve">Total Resultado</t>
  </si>
  <si>
    <t xml:space="preserve">0315BGK</t>
  </si>
  <si>
    <t xml:space="preserve">1076KSZ</t>
  </si>
  <si>
    <t xml:space="preserve">1730KBZ</t>
  </si>
  <si>
    <t xml:space="preserve">1821KBZ</t>
  </si>
  <si>
    <t xml:space="preserve">3686KBG</t>
  </si>
  <si>
    <t xml:space="preserve">5313GBZ</t>
  </si>
  <si>
    <t xml:space="preserve">6120JZX</t>
  </si>
  <si>
    <t xml:space="preserve">7542KBV</t>
  </si>
  <si>
    <t xml:space="preserve">7809JZX</t>
  </si>
  <si>
    <t xml:space="preserve">7957JZS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</si>
  <si>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</si>
  <si>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</si>
  <si>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</si>
  <si>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</si>
  <si>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</si>
  <si>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</si>
  <si>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</si>
  <si>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</si>
  <si>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</si>
  <si>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</si>
  <si>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</si>
  <si>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</si>
  <si>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</si>
  <si>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</si>
  <si>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</si>
  <si>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Dia/Noche</t>
  </si>
  <si>
    <t xml:space="preserve">Recolector 22 _ 1</t>
  </si>
  <si>
    <t xml:space="preserve">Noche</t>
  </si>
  <si>
    <t xml:space="preserve">Recolector 22 _ 2</t>
  </si>
  <si>
    <t xml:space="preserve">volquete 4x4 LV</t>
  </si>
  <si>
    <t xml:space="preserve">Día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</si>
  <si>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</si>
  <si>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</si>
  <si>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</si>
  <si>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</si>
  <si>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</si>
  <si>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</si>
  <si>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</si>
  <si>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</si>
  <si>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</si>
  <si>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</si>
  <si>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</si>
  <si>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</si>
  <si>
    <t xml:space="preserve">Fecha</t>
  </si>
  <si>
    <t xml:space="preserve">Fecha / hora</t>
  </si>
  <si>
    <t xml:space="preserve">Ticket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</si>
  <si>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</si>
  <si>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</si>
  <si>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</si>
  <si>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</si>
  <si>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</si>
  <si>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</si>
  <si>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PEÑISCOLA </t>
  </si>
  <si>
    <t xml:space="preserve">x</t>
  </si>
  <si>
    <t xml:space="preserve">VOL</t>
  </si>
  <si>
    <t xml:space="preserve">- todo -</t>
  </si>
  <si>
    <t xml:space="preserve">Suma - Carga</t>
  </si>
</sst>
</file>

<file path=xl/styles.xml><?xml version="1.0" encoding="utf-8"?>
<styleSheet xmlns="http://schemas.openxmlformats.org/spreadsheetml/2006/main">
  <numFmts count="8">
    <numFmt numFmtId="164" formatCode="#,##0.00\ ;[RED]\-#,##0.00\ "/>
    <numFmt numFmtId="165" formatCode="General"/>
    <numFmt numFmtId="166" formatCode="#,##0;[RED]\-#,##0"/>
    <numFmt numFmtId="167" formatCode="#,##0"/>
    <numFmt numFmtId="168" formatCode="General"/>
    <numFmt numFmtId="169" formatCode="dd\-mm\-yy"/>
    <numFmt numFmtId="170" formatCode="h:mm"/>
    <numFmt numFmtId="171" formatCode="dd/mm/yyyy"/>
  </numFmts>
  <fonts count="14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3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5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5" fillId="2" borderId="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3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3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5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6" fillId="0" borderId="0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5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6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8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5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6" fontId="6" fillId="0" borderId="1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9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2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7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3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3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8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25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6" fillId="0" borderId="0" xfId="2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8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5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6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9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4" borderId="27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5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5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6" xfId="2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6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6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7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9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9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0" xfId="2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1" xfId="26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6" fillId="0" borderId="1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0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3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4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2"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b val="1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Calibri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60" createdVersion="3">
  <cacheSource type="worksheet">
    <worksheetSource ref="A1:J261" sheet="Hoja1"/>
  </cacheSource>
  <cacheFields count="10">
    <cacheField name="Fecha" numFmtId="0">
      <sharedItems containsSemiMixedTypes="0" containsNonDate="0" containsDate="1" containsString="0" minDate="2023-04-01T00:00:00" maxDate="2023-04-30T00:00:00" count="30"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</cacheField>
    <cacheField name="Fecha / hora" numFmtId="0">
      <sharedItems containsSemiMixedTypes="0" containsString="0" containsNumber="1" minValue="0.0118055555555556" maxValue="0.975694444444444" count="177">
        <n v="0.0118055555555556"/>
        <n v="0.0631944444444444"/>
        <n v="0.0680555555555555"/>
        <n v="0.06875"/>
        <n v="0.0756944444444444"/>
        <n v="0.0763888888888889"/>
        <n v="0.0777777777777778"/>
        <n v="0.0819444444444444"/>
        <n v="0.0826388888888889"/>
        <n v="0.0909722222222222"/>
        <n v="0.09375"/>
        <n v="0.0993055555555556"/>
        <n v="0.103472222222222"/>
        <n v="0.105555555555556"/>
        <n v="0.106944444444444"/>
        <n v="0.110416666666667"/>
        <n v="0.114583333333333"/>
        <n v="0.11875"/>
        <n v="0.121527777777778"/>
        <n v="0.125"/>
        <n v="0.125694444444444"/>
        <n v="0.127777777777778"/>
        <n v="0.133333333333333"/>
        <n v="0.134027777777778"/>
        <n v="0.138888888888889"/>
        <n v="0.14375"/>
        <n v="0.144444444444444"/>
        <n v="0.145833333333333"/>
        <n v="0.152083333333333"/>
        <n v="0.160416666666667"/>
        <n v="0.161111111111111"/>
        <n v="0.1625"/>
        <n v="0.178472222222222"/>
        <n v="0.182638888888889"/>
        <n v="0.185416666666667"/>
        <n v="0.1875"/>
        <n v="0.188194444444444"/>
        <n v="0.189583333333333"/>
        <n v="0.191666666666667"/>
        <n v="0.192361111111111"/>
        <n v="0.195138888888889"/>
        <n v="0.2"/>
        <n v="0.202083333333333"/>
        <n v="0.203472222222222"/>
        <n v="0.206944444444444"/>
        <n v="0.208333333333333"/>
        <n v="0.211111111111111"/>
        <n v="0.218055555555556"/>
        <n v="0.220833333333333"/>
        <n v="0.222916666666667"/>
        <n v="0.225694444444444"/>
        <n v="0.227083333333333"/>
        <n v="0.232638888888889"/>
        <n v="0.233333333333333"/>
        <n v="0.234722222222222"/>
        <n v="0.236805555555556"/>
        <n v="0.238888888888889"/>
        <n v="0.239583333333333"/>
        <n v="0.240277777777778"/>
        <n v="0.240972222222222"/>
        <n v="0.241666666666667"/>
        <n v="0.243055555555556"/>
        <n v="0.24375"/>
        <n v="0.244444444444444"/>
        <n v="0.245138888888889"/>
        <n v="0.245833333333333"/>
        <n v="0.246527777777778"/>
        <n v="0.247916666666667"/>
        <n v="0.249305555555556"/>
        <n v="0.25"/>
        <n v="0.250694444444444"/>
        <n v="0.251388888888889"/>
        <n v="0.252083333333333"/>
        <n v="0.252777777777778"/>
        <n v="0.253472222222222"/>
        <n v="0.254166666666667"/>
        <n v="0.254861111111111"/>
        <n v="0.255555555555556"/>
        <n v="0.25625"/>
        <n v="0.256944444444444"/>
        <n v="0.257638888888889"/>
        <n v="0.258333333333333"/>
        <n v="0.259722222222222"/>
        <n v="0.2625"/>
        <n v="0.29375"/>
        <n v="0.298611111111111"/>
        <n v="0.305555555555555"/>
        <n v="0.334722222222222"/>
        <n v="0.347222222222222"/>
        <n v="0.347916666666667"/>
        <n v="0.357638888888889"/>
        <n v="0.358333333333333"/>
        <n v="0.365277777777778"/>
        <n v="0.365972222222222"/>
        <n v="0.375"/>
        <n v="0.375694444444444"/>
        <n v="0.38125"/>
        <n v="0.407638888888889"/>
        <n v="0.420138888888889"/>
        <n v="0.428472222222222"/>
        <n v="0.429166666666667"/>
        <n v="0.429861111111111"/>
        <n v="0.430555555555556"/>
        <n v="0.435416666666667"/>
        <n v="0.436805555555555"/>
        <n v="0.440972222222222"/>
        <n v="0.447222222222222"/>
        <n v="0.459027777777778"/>
        <n v="0.4625"/>
        <n v="0.463888888888889"/>
        <n v="0.468055555555555"/>
        <n v="0.472222222222222"/>
        <n v="0.473611111111111"/>
        <n v="0.475"/>
        <n v="0.477083333333333"/>
        <n v="0.479166666666667"/>
        <n v="0.482638888888889"/>
        <n v="0.483333333333333"/>
        <n v="0.485416666666667"/>
        <n v="0.486111111111111"/>
        <n v="0.486805555555556"/>
        <n v="0.4875"/>
        <n v="0.488194444444444"/>
        <n v="0.489583333333333"/>
        <n v="0.490277777777778"/>
        <n v="0.490972222222222"/>
        <n v="0.491666666666667"/>
        <n v="0.493055555555556"/>
        <n v="0.49375"/>
        <n v="0.495138888888889"/>
        <n v="0.497222222222222"/>
        <n v="0.498611111111111"/>
        <n v="0.499305555555555"/>
        <n v="0.5"/>
        <n v="0.502777777777778"/>
        <n v="0.503472222222222"/>
        <n v="0.504166666666667"/>
        <n v="0.505555555555556"/>
        <n v="0.507638888888889"/>
        <n v="0.511111111111111"/>
        <n v="0.5125"/>
        <n v="0.513888888888889"/>
        <n v="0.515277777777778"/>
        <n v="0.516666666666667"/>
        <n v="0.517361111111111"/>
        <n v="0.520138888888889"/>
        <n v="0.520833333333333"/>
        <n v="0.522916666666667"/>
        <n v="0.525694444444444"/>
        <n v="0.528472222222222"/>
        <n v="0.539583333333333"/>
        <n v="0.552083333333333"/>
        <n v="0.555555555555556"/>
        <n v="0.669444444444444"/>
        <n v="0.690972222222222"/>
        <n v="0.691666666666667"/>
        <n v="0.692361111111111"/>
        <n v="0.693055555555556"/>
        <n v="0.697222222222222"/>
        <n v="0.697916666666667"/>
        <n v="0.7"/>
        <n v="0.853472222222222"/>
        <n v="0.865972222222222"/>
        <n v="0.86875"/>
        <n v="0.871527777777778"/>
        <n v="0.872222222222222"/>
        <n v="0.872916666666667"/>
        <n v="0.873611111111111"/>
        <n v="0.874305555555556"/>
        <n v="0.875"/>
        <n v="0.875694444444444"/>
        <n v="0.876388888888889"/>
        <n v="0.879166666666667"/>
        <n v="0.8875"/>
        <n v="0.889583333333333"/>
        <n v="0.893055555555556"/>
        <n v="0.975694444444444"/>
      </sharedItems>
    </cacheField>
    <cacheField name="Ticket" numFmtId="0">
      <sharedItems containsSemiMixedTypes="0" containsString="0" containsNumber="1" minValue="0.502777777777778" maxValue="204980" count="259">
        <n v="0.502777777777778"/>
        <n v="2940"/>
        <n v="4114"/>
        <n v="4126"/>
        <n v="4140"/>
        <n v="4158"/>
        <n v="4173"/>
        <n v="20109"/>
        <n v="20111"/>
        <n v="20119"/>
        <n v="20125"/>
        <n v="20126"/>
        <n v="20127"/>
        <n v="20133"/>
        <n v="20135"/>
        <n v="20137"/>
        <n v="20141"/>
        <n v="20147"/>
        <n v="20148"/>
        <n v="20150"/>
        <n v="20151"/>
        <n v="20154"/>
        <n v="20155"/>
        <n v="20158"/>
        <n v="20166"/>
        <n v="20169"/>
        <n v="20170"/>
        <n v="20171"/>
        <n v="20185"/>
        <n v="20188"/>
        <n v="20203"/>
        <n v="20204"/>
        <n v="20205"/>
        <n v="20209"/>
        <n v="20218"/>
        <n v="20221"/>
        <n v="20244"/>
        <n v="20251"/>
        <n v="20265"/>
        <n v="20267"/>
        <n v="20268"/>
        <n v="20270"/>
        <n v="20275"/>
        <n v="20276"/>
        <n v="20282"/>
        <n v="20286"/>
        <n v="20289"/>
        <n v="20296"/>
        <n v="20299"/>
        <n v="20312"/>
        <n v="20316"/>
        <n v="20325"/>
        <n v="20329"/>
        <n v="20330"/>
        <n v="20334"/>
        <n v="20345"/>
        <n v="20351"/>
        <n v="20362"/>
        <n v="20363"/>
        <n v="20364"/>
        <n v="20365"/>
        <n v="20366"/>
        <n v="20376"/>
        <n v="20378"/>
        <n v="20379"/>
        <n v="20381"/>
        <n v="20389"/>
        <n v="20397"/>
        <n v="20403"/>
        <n v="20404"/>
        <n v="20405"/>
        <n v="20408"/>
        <n v="20413"/>
        <n v="20423"/>
        <n v="20425"/>
        <n v="20426"/>
        <n v="20427"/>
        <n v="20438"/>
        <n v="20439"/>
        <n v="20440"/>
        <n v="20443"/>
        <n v="20444"/>
        <n v="20445"/>
        <n v="20446"/>
        <n v="20449"/>
        <n v="20454"/>
        <n v="20460"/>
        <n v="20461"/>
        <n v="20462"/>
        <n v="20464"/>
        <n v="20467"/>
        <n v="20469"/>
        <n v="20470"/>
        <n v="20471"/>
        <n v="20472"/>
        <n v="20474"/>
        <n v="20476"/>
        <n v="20482"/>
        <n v="20487"/>
        <n v="20489"/>
        <n v="20491"/>
        <n v="20492"/>
        <n v="20499"/>
        <n v="20500"/>
        <n v="20501"/>
        <n v="20502"/>
        <n v="20503"/>
        <n v="20507"/>
        <n v="20518"/>
        <n v="20519"/>
        <n v="20521"/>
        <n v="20539"/>
        <n v="20544"/>
        <n v="20548"/>
        <n v="20554"/>
        <n v="20565"/>
        <n v="20567"/>
        <n v="20568"/>
        <n v="20571"/>
        <n v="20579"/>
        <n v="20584"/>
        <n v="20585"/>
        <n v="20602"/>
        <n v="20607"/>
        <n v="20609"/>
        <n v="20626"/>
        <n v="20633"/>
        <n v="20639"/>
        <n v="20640"/>
        <n v="20658"/>
        <n v="20670"/>
        <n v="20671"/>
        <n v="20673"/>
        <n v="20686"/>
        <n v="20691"/>
        <n v="20696"/>
        <n v="20700"/>
        <n v="20701"/>
        <n v="20703"/>
        <n v="20707"/>
        <n v="20718"/>
        <n v="20727"/>
        <n v="20728"/>
        <n v="20739"/>
        <n v="20745"/>
        <n v="20753"/>
        <n v="20758"/>
        <n v="20759"/>
        <n v="20760"/>
        <n v="20768"/>
        <n v="20769"/>
        <n v="20772"/>
        <n v="20776"/>
        <n v="20780"/>
        <n v="20784"/>
        <n v="20785"/>
        <n v="20786"/>
        <n v="20789"/>
        <n v="20790"/>
        <n v="20795"/>
        <n v="20800"/>
        <n v="20807"/>
        <n v="20808"/>
        <n v="20810"/>
        <n v="20832"/>
        <n v="20858"/>
        <n v="20862"/>
        <n v="20864"/>
        <n v="20869"/>
        <n v="20870"/>
        <n v="20896"/>
        <n v="20897"/>
        <n v="20913"/>
        <n v="20918"/>
        <n v="20920"/>
        <n v="20933"/>
        <n v="20940"/>
        <n v="20947"/>
        <n v="20967"/>
        <n v="20971"/>
        <n v="20975"/>
        <n v="20977"/>
        <n v="20982"/>
        <n v="20986"/>
        <n v="20988"/>
        <n v="20990"/>
        <n v="21003"/>
        <n v="21005"/>
        <n v="21023"/>
        <n v="21029"/>
        <n v="21030"/>
        <n v="21031"/>
        <n v="21049"/>
        <n v="21052"/>
        <n v="21057"/>
        <n v="21070"/>
        <n v="21072"/>
        <n v="21079"/>
        <n v="21080"/>
        <n v="21087"/>
        <n v="21088"/>
        <n v="21098"/>
        <n v="21099"/>
        <n v="21103"/>
        <n v="21104"/>
        <n v="21109"/>
        <n v="21113"/>
        <n v="21121"/>
        <n v="21122"/>
        <n v="21123"/>
        <n v="21135"/>
        <n v="21141"/>
        <n v="21164"/>
        <n v="21170"/>
        <n v="21174"/>
        <n v="21179"/>
        <n v="21183"/>
        <n v="21188"/>
        <n v="21203"/>
        <n v="21206"/>
        <n v="21224"/>
        <n v="21225"/>
        <n v="21234"/>
        <n v="21235"/>
        <n v="21236"/>
        <n v="21254"/>
        <n v="21266"/>
        <n v="21286"/>
        <n v="21292"/>
        <n v="21299"/>
        <n v="21301"/>
        <n v="21302"/>
        <n v="21322"/>
        <n v="21328"/>
        <n v="21342"/>
        <n v="21352"/>
        <n v="21354"/>
        <n v="21362"/>
        <n v="21368"/>
        <n v="21369"/>
        <n v="21376"/>
        <n v="21391"/>
        <n v="21397"/>
        <n v="21399"/>
        <n v="21403"/>
        <n v="21404"/>
        <n v="21415"/>
        <n v="21421"/>
        <n v="21422"/>
        <n v="21428"/>
        <n v="21429"/>
        <n v="21430"/>
        <n v="21433"/>
        <n v="154563"/>
        <n v="154750"/>
        <n v="154795"/>
        <n v="155151"/>
        <n v="155474"/>
        <n v="204980"/>
      </sharedItems>
    </cacheField>
    <cacheField name="Matrícula" numFmtId="0">
      <sharedItems count="1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480" maxValue="27620" count="195">
        <n v="2480"/>
        <n v="2520"/>
        <n v="2540"/>
        <n v="2560"/>
        <n v="2580"/>
        <n v="2600"/>
        <n v="2620"/>
        <n v="2640"/>
        <n v="2680"/>
        <n v="2700"/>
        <n v="2740"/>
        <n v="2960"/>
        <n v="3000"/>
        <n v="3020"/>
        <n v="3040"/>
        <n v="3060"/>
        <n v="3080"/>
        <n v="3100"/>
        <n v="3120"/>
        <n v="3140"/>
        <n v="3160"/>
        <n v="3180"/>
        <n v="3200"/>
        <n v="3220"/>
        <n v="3240"/>
        <n v="3260"/>
        <n v="3300"/>
        <n v="3320"/>
        <n v="3340"/>
        <n v="3360"/>
        <n v="3400"/>
        <n v="3420"/>
        <n v="3440"/>
        <n v="3460"/>
        <n v="3500"/>
        <n v="3600"/>
        <n v="3640"/>
        <n v="3700"/>
        <n v="4120"/>
        <n v="4180"/>
        <n v="4260"/>
        <n v="4300"/>
        <n v="4340"/>
        <n v="4360"/>
        <n v="4400"/>
        <n v="4440"/>
        <n v="4460"/>
        <n v="4540"/>
        <n v="4560"/>
        <n v="4660"/>
        <n v="4780"/>
        <n v="4800"/>
        <n v="4820"/>
        <n v="4840"/>
        <n v="4960"/>
        <n v="5100"/>
        <n v="5160"/>
        <n v="5300"/>
        <n v="6000"/>
        <n v="6220"/>
        <n v="6280"/>
        <n v="6300"/>
        <n v="6340"/>
        <n v="6380"/>
        <n v="6400"/>
        <n v="6460"/>
        <n v="6520"/>
        <n v="6700"/>
        <n v="6800"/>
        <n v="6960"/>
        <n v="13380"/>
        <n v="13700"/>
        <n v="14120"/>
        <n v="14140"/>
        <n v="14380"/>
        <n v="14400"/>
        <n v="14420"/>
        <n v="14460"/>
        <n v="14580"/>
        <n v="14640"/>
        <n v="14800"/>
        <n v="14820"/>
        <n v="14920"/>
        <n v="15180"/>
        <n v="15260"/>
        <n v="15560"/>
        <n v="15740"/>
        <n v="15860"/>
        <n v="15940"/>
        <n v="15960"/>
        <n v="16180"/>
        <n v="16220"/>
        <n v="16280"/>
        <n v="16300"/>
        <n v="16320"/>
        <n v="16700"/>
        <n v="16820"/>
        <n v="16860"/>
        <n v="16960"/>
        <n v="17040"/>
        <n v="17200"/>
        <n v="17220"/>
        <n v="17280"/>
        <n v="17340"/>
        <n v="17400"/>
        <n v="17440"/>
        <n v="17460"/>
        <n v="17540"/>
        <n v="17700"/>
        <n v="17760"/>
        <n v="17800"/>
        <n v="17980"/>
        <n v="18060"/>
        <n v="18100"/>
        <n v="18140"/>
        <n v="18440"/>
        <n v="18500"/>
        <n v="18520"/>
        <n v="18720"/>
        <n v="18800"/>
        <n v="18920"/>
        <n v="19360"/>
        <n v="19580"/>
        <n v="19700"/>
        <n v="19840"/>
        <n v="19920"/>
        <n v="20000"/>
        <n v="20020"/>
        <n v="20100"/>
        <n v="20180"/>
        <n v="20200"/>
        <n v="20240"/>
        <n v="20320"/>
        <n v="20360"/>
        <n v="20560"/>
        <n v="20660"/>
        <n v="20700"/>
        <n v="20740"/>
        <n v="20800"/>
        <n v="20920"/>
        <n v="20940"/>
        <n v="21120"/>
        <n v="21180"/>
        <n v="21220"/>
        <n v="21240"/>
        <n v="21260"/>
        <n v="21300"/>
        <n v="21400"/>
        <n v="21420"/>
        <n v="21520"/>
        <n v="21580"/>
        <n v="21780"/>
        <n v="21940"/>
        <n v="21980"/>
        <n v="22020"/>
        <n v="22040"/>
        <n v="22060"/>
        <n v="22100"/>
        <n v="22120"/>
        <n v="22240"/>
        <n v="22320"/>
        <n v="22360"/>
        <n v="22460"/>
        <n v="22740"/>
        <n v="22840"/>
        <n v="23460"/>
        <n v="23640"/>
        <n v="23660"/>
        <n v="23760"/>
        <n v="23780"/>
        <n v="24140"/>
        <n v="24160"/>
        <n v="24180"/>
        <n v="24260"/>
        <n v="24560"/>
        <n v="25360"/>
        <n v="25400"/>
        <n v="25580"/>
        <n v="25720"/>
        <n v="25820"/>
        <n v="25860"/>
        <n v="25920"/>
        <n v="26080"/>
        <n v="26120"/>
        <n v="26260"/>
        <n v="26280"/>
        <n v="26420"/>
        <n v="26620"/>
        <n v="26760"/>
        <n v="26820"/>
        <n v="27000"/>
        <n v="27180"/>
        <n v="27220"/>
        <n v="27280"/>
        <n v="27620"/>
      </sharedItems>
    </cacheField>
    <cacheField name="Tara" numFmtId="0">
      <sharedItems containsSemiMixedTypes="0" containsString="0" containsNumber="1" containsInteger="1" minValue="2340" maxValue="16280" count="73">
        <n v="2340"/>
        <n v="2360"/>
        <n v="2380"/>
        <n v="2400"/>
        <n v="2440"/>
        <n v="2660"/>
        <n v="2680"/>
        <n v="2700"/>
        <n v="2720"/>
        <n v="2780"/>
        <n v="2800"/>
        <n v="2820"/>
        <n v="2840"/>
        <n v="2860"/>
        <n v="2880"/>
        <n v="2900"/>
        <n v="2920"/>
        <n v="2940"/>
        <n v="3180"/>
        <n v="3560"/>
        <n v="3580"/>
        <n v="3600"/>
        <n v="3660"/>
        <n v="3680"/>
        <n v="3700"/>
        <n v="3760"/>
        <n v="3780"/>
        <n v="3800"/>
        <n v="3820"/>
        <n v="5460"/>
        <n v="5540"/>
        <n v="5560"/>
        <n v="5580"/>
        <n v="5600"/>
        <n v="12440"/>
        <n v="12460"/>
        <n v="12480"/>
        <n v="12500"/>
        <n v="12540"/>
        <n v="13100"/>
        <n v="13120"/>
        <n v="13140"/>
        <n v="13160"/>
        <n v="13180"/>
        <n v="13200"/>
        <n v="13220"/>
        <n v="13240"/>
        <n v="13260"/>
        <n v="13280"/>
        <n v="13300"/>
        <n v="13320"/>
        <n v="13340"/>
        <n v="134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280"/>
      </sharedItems>
    </cacheField>
    <cacheField name="Carga" numFmtId="0">
      <sharedItems containsSemiMixedTypes="0" containsString="0" containsNumber="1" containsInteger="1" minValue="100" maxValue="11760" count="160">
        <n v="10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700"/>
        <n v="720"/>
        <n v="760"/>
        <n v="780"/>
        <n v="800"/>
        <n v="820"/>
        <n v="840"/>
        <n v="880"/>
        <n v="920"/>
        <n v="960"/>
        <n v="1000"/>
        <n v="1060"/>
        <n v="1100"/>
        <n v="1120"/>
        <n v="1140"/>
        <n v="1160"/>
        <n v="1180"/>
        <n v="1200"/>
        <n v="1220"/>
        <n v="1240"/>
        <n v="1260"/>
        <n v="1300"/>
        <n v="1320"/>
        <n v="1340"/>
        <n v="1360"/>
        <n v="1380"/>
        <n v="1400"/>
        <n v="1420"/>
        <n v="1460"/>
        <n v="1600"/>
        <n v="1640"/>
        <n v="1700"/>
        <n v="1800"/>
        <n v="1840"/>
        <n v="2040"/>
        <n v="2060"/>
        <n v="2100"/>
        <n v="2120"/>
        <n v="2180"/>
        <n v="2280"/>
        <n v="2340"/>
        <n v="2380"/>
        <n v="2560"/>
        <n v="2600"/>
        <n v="2660"/>
        <n v="2700"/>
        <n v="2740"/>
        <n v="2960"/>
        <n v="3000"/>
        <n v="3020"/>
        <n v="3080"/>
        <n v="3100"/>
        <n v="3160"/>
        <n v="3420"/>
        <n v="3540"/>
        <n v="3640"/>
        <n v="3800"/>
        <n v="3880"/>
        <n v="3900"/>
        <n v="4040"/>
        <n v="4080"/>
        <n v="4180"/>
        <n v="4220"/>
        <n v="4340"/>
        <n v="4400"/>
        <n v="4440"/>
        <n v="4740"/>
        <n v="4880"/>
        <n v="4940"/>
        <n v="5340"/>
        <n v="5420"/>
        <n v="5920"/>
        <n v="6220"/>
        <n v="6380"/>
        <n v="6500"/>
        <n v="6520"/>
        <n v="6640"/>
        <n v="6660"/>
        <n v="6800"/>
        <n v="6880"/>
        <n v="6960"/>
        <n v="7140"/>
        <n v="7200"/>
        <n v="7300"/>
        <n v="7460"/>
        <n v="7580"/>
        <n v="7680"/>
        <n v="7700"/>
        <n v="7820"/>
        <n v="7860"/>
        <n v="7880"/>
        <n v="7920"/>
        <n v="7940"/>
        <n v="8020"/>
        <n v="8040"/>
        <n v="8120"/>
        <n v="8180"/>
        <n v="8200"/>
        <n v="8220"/>
        <n v="8260"/>
        <n v="8280"/>
        <n v="8340"/>
        <n v="8460"/>
        <n v="8660"/>
        <n v="8720"/>
        <n v="8780"/>
        <n v="8820"/>
        <n v="8840"/>
        <n v="8900"/>
        <n v="8940"/>
        <n v="9340"/>
        <n v="9500"/>
        <n v="9620"/>
        <n v="9720"/>
        <n v="9780"/>
        <n v="9900"/>
        <n v="9940"/>
        <n v="10040"/>
        <n v="10200"/>
        <n v="10240"/>
        <n v="10300"/>
        <n v="10340"/>
        <n v="10500"/>
        <n v="10520"/>
        <n v="10560"/>
        <n v="10720"/>
        <n v="10760"/>
        <n v="10860"/>
        <n v="11080"/>
        <n v="11220"/>
        <n v="11400"/>
        <n v="11440"/>
        <n v="11760"/>
      </sharedItems>
    </cacheField>
    <cacheField name="Población" numFmtId="0">
      <sharedItems count="1">
        <s v="PEÑISCOLA "/>
      </sharedItems>
    </cacheField>
    <cacheField name="Residuo" numFmtId="0">
      <sharedItems count="5">
        <s v="PODA"/>
        <s v="RSU"/>
        <s v="SEL.ENV"/>
        <s v="SEL.PAP"/>
        <s v="VOL"/>
      </sharedItems>
    </cacheField>
    <cacheField name="Revisado" numFmtId="0">
      <sharedItems count="1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">
  <r>
    <x v="0"/>
    <x v="174"/>
    <x v="15"/>
    <x v="1"/>
    <x v="19"/>
    <x v="8"/>
    <x v="14"/>
    <x v="0"/>
    <x v="1"/>
    <x v="0"/>
  </r>
  <r>
    <x v="0"/>
    <x v="73"/>
    <x v="11"/>
    <x v="8"/>
    <x v="41"/>
    <x v="20"/>
    <x v="28"/>
    <x v="0"/>
    <x v="1"/>
    <x v="0"/>
  </r>
  <r>
    <x v="0"/>
    <x v="79"/>
    <x v="12"/>
    <x v="1"/>
    <x v="16"/>
    <x v="11"/>
    <x v="6"/>
    <x v="0"/>
    <x v="1"/>
    <x v="0"/>
  </r>
  <r>
    <x v="0"/>
    <x v="143"/>
    <x v="14"/>
    <x v="4"/>
    <x v="4"/>
    <x v="3"/>
    <x v="2"/>
    <x v="0"/>
    <x v="1"/>
    <x v="0"/>
  </r>
  <r>
    <x v="0"/>
    <x v="45"/>
    <x v="9"/>
    <x v="2"/>
    <x v="173"/>
    <x v="66"/>
    <x v="127"/>
    <x v="0"/>
    <x v="1"/>
    <x v="0"/>
  </r>
  <r>
    <x v="0"/>
    <x v="123"/>
    <x v="13"/>
    <x v="6"/>
    <x v="21"/>
    <x v="12"/>
    <x v="10"/>
    <x v="0"/>
    <x v="1"/>
    <x v="0"/>
  </r>
  <r>
    <x v="0"/>
    <x v="15"/>
    <x v="7"/>
    <x v="7"/>
    <x v="133"/>
    <x v="45"/>
    <x v="108"/>
    <x v="0"/>
    <x v="1"/>
    <x v="0"/>
  </r>
  <r>
    <x v="0"/>
    <x v="70"/>
    <x v="10"/>
    <x v="7"/>
    <x v="95"/>
    <x v="48"/>
    <x v="80"/>
    <x v="0"/>
    <x v="1"/>
    <x v="0"/>
  </r>
  <r>
    <x v="0"/>
    <x v="17"/>
    <x v="8"/>
    <x v="3"/>
    <x v="123"/>
    <x v="57"/>
    <x v="85"/>
    <x v="0"/>
    <x v="1"/>
    <x v="0"/>
  </r>
  <r>
    <x v="1"/>
    <x v="119"/>
    <x v="21"/>
    <x v="6"/>
    <x v="18"/>
    <x v="11"/>
    <x v="8"/>
    <x v="0"/>
    <x v="1"/>
    <x v="0"/>
  </r>
  <r>
    <x v="1"/>
    <x v="166"/>
    <x v="22"/>
    <x v="1"/>
    <x v="19"/>
    <x v="6"/>
    <x v="16"/>
    <x v="0"/>
    <x v="1"/>
    <x v="0"/>
  </r>
  <r>
    <x v="1"/>
    <x v="75"/>
    <x v="20"/>
    <x v="8"/>
    <x v="53"/>
    <x v="26"/>
    <x v="38"/>
    <x v="0"/>
    <x v="1"/>
    <x v="0"/>
  </r>
  <r>
    <x v="1"/>
    <x v="17"/>
    <x v="16"/>
    <x v="7"/>
    <x v="141"/>
    <x v="43"/>
    <x v="119"/>
    <x v="0"/>
    <x v="1"/>
    <x v="0"/>
  </r>
  <r>
    <x v="1"/>
    <x v="72"/>
    <x v="19"/>
    <x v="7"/>
    <x v="98"/>
    <x v="42"/>
    <x v="83"/>
    <x v="0"/>
    <x v="1"/>
    <x v="0"/>
  </r>
  <r>
    <x v="1"/>
    <x v="61"/>
    <x v="18"/>
    <x v="3"/>
    <x v="127"/>
    <x v="59"/>
    <x v="88"/>
    <x v="0"/>
    <x v="1"/>
    <x v="0"/>
  </r>
  <r>
    <x v="1"/>
    <x v="53"/>
    <x v="17"/>
    <x v="2"/>
    <x v="167"/>
    <x v="57"/>
    <x v="116"/>
    <x v="0"/>
    <x v="1"/>
    <x v="0"/>
  </r>
  <r>
    <x v="2"/>
    <x v="56"/>
    <x v="25"/>
    <x v="3"/>
    <x v="121"/>
    <x v="58"/>
    <x v="81"/>
    <x v="0"/>
    <x v="1"/>
    <x v="0"/>
  </r>
  <r>
    <x v="2"/>
    <x v="73"/>
    <x v="26"/>
    <x v="8"/>
    <x v="46"/>
    <x v="23"/>
    <x v="30"/>
    <x v="0"/>
    <x v="1"/>
    <x v="0"/>
  </r>
  <r>
    <x v="2"/>
    <x v="74"/>
    <x v="27"/>
    <x v="7"/>
    <x v="88"/>
    <x v="44"/>
    <x v="73"/>
    <x v="0"/>
    <x v="1"/>
    <x v="0"/>
  </r>
  <r>
    <x v="2"/>
    <x v="4"/>
    <x v="23"/>
    <x v="7"/>
    <x v="132"/>
    <x v="40"/>
    <x v="109"/>
    <x v="0"/>
    <x v="1"/>
    <x v="0"/>
  </r>
  <r>
    <x v="2"/>
    <x v="47"/>
    <x v="24"/>
    <x v="2"/>
    <x v="166"/>
    <x v="58"/>
    <x v="115"/>
    <x v="0"/>
    <x v="1"/>
    <x v="0"/>
  </r>
  <r>
    <x v="2"/>
    <x v="139"/>
    <x v="2"/>
    <x v="3"/>
    <x v="106"/>
    <x v="55"/>
    <x v="58"/>
    <x v="0"/>
    <x v="2"/>
    <x v="0"/>
  </r>
  <r>
    <x v="2"/>
    <x v="158"/>
    <x v="30"/>
    <x v="7"/>
    <x v="77"/>
    <x v="39"/>
    <x v="51"/>
    <x v="0"/>
    <x v="1"/>
    <x v="0"/>
  </r>
  <r>
    <x v="2"/>
    <x v="167"/>
    <x v="31"/>
    <x v="1"/>
    <x v="13"/>
    <x v="6"/>
    <x v="10"/>
    <x v="0"/>
    <x v="1"/>
    <x v="0"/>
  </r>
  <r>
    <x v="2"/>
    <x v="127"/>
    <x v="29"/>
    <x v="9"/>
    <x v="64"/>
    <x v="33"/>
    <x v="31"/>
    <x v="0"/>
    <x v="4"/>
    <x v="0"/>
  </r>
  <r>
    <x v="2"/>
    <x v="175"/>
    <x v="32"/>
    <x v="3"/>
    <x v="137"/>
    <x v="57"/>
    <x v="95"/>
    <x v="0"/>
    <x v="1"/>
    <x v="0"/>
  </r>
  <r>
    <x v="2"/>
    <x v="121"/>
    <x v="28"/>
    <x v="6"/>
    <x v="26"/>
    <x v="11"/>
    <x v="17"/>
    <x v="0"/>
    <x v="1"/>
    <x v="0"/>
  </r>
  <r>
    <x v="3"/>
    <x v="28"/>
    <x v="34"/>
    <x v="7"/>
    <x v="89"/>
    <x v="45"/>
    <x v="73"/>
    <x v="0"/>
    <x v="1"/>
    <x v="0"/>
  </r>
  <r>
    <x v="3"/>
    <x v="6"/>
    <x v="33"/>
    <x v="7"/>
    <x v="140"/>
    <x v="46"/>
    <x v="114"/>
    <x v="0"/>
    <x v="1"/>
    <x v="0"/>
  </r>
  <r>
    <x v="3"/>
    <x v="42"/>
    <x v="35"/>
    <x v="1"/>
    <x v="25"/>
    <x v="7"/>
    <x v="21"/>
    <x v="0"/>
    <x v="1"/>
    <x v="0"/>
  </r>
  <r>
    <x v="3"/>
    <x v="159"/>
    <x v="38"/>
    <x v="7"/>
    <x v="39"/>
    <x v="18"/>
    <x v="37"/>
    <x v="0"/>
    <x v="1"/>
    <x v="0"/>
  </r>
  <r>
    <x v="3"/>
    <x v="161"/>
    <x v="39"/>
    <x v="2"/>
    <x v="191"/>
    <x v="54"/>
    <x v="158"/>
    <x v="0"/>
    <x v="1"/>
    <x v="0"/>
  </r>
  <r>
    <x v="3"/>
    <x v="167"/>
    <x v="40"/>
    <x v="1"/>
    <x v="13"/>
    <x v="5"/>
    <x v="11"/>
    <x v="0"/>
    <x v="1"/>
    <x v="0"/>
  </r>
  <r>
    <x v="3"/>
    <x v="148"/>
    <x v="253"/>
    <x v="3"/>
    <x v="119"/>
    <x v="57"/>
    <x v="75"/>
    <x v="0"/>
    <x v="3"/>
    <x v="0"/>
  </r>
  <r>
    <x v="4"/>
    <x v="41"/>
    <x v="42"/>
    <x v="1"/>
    <x v="29"/>
    <x v="8"/>
    <x v="25"/>
    <x v="0"/>
    <x v="1"/>
    <x v="0"/>
  </r>
  <r>
    <x v="4"/>
    <x v="9"/>
    <x v="41"/>
    <x v="7"/>
    <x v="158"/>
    <x v="45"/>
    <x v="135"/>
    <x v="0"/>
    <x v="1"/>
    <x v="0"/>
  </r>
  <r>
    <x v="4"/>
    <x v="49"/>
    <x v="43"/>
    <x v="2"/>
    <x v="181"/>
    <x v="61"/>
    <x v="144"/>
    <x v="0"/>
    <x v="1"/>
    <x v="0"/>
  </r>
  <r>
    <x v="4"/>
    <x v="71"/>
    <x v="44"/>
    <x v="8"/>
    <x v="38"/>
    <x v="26"/>
    <x v="10"/>
    <x v="0"/>
    <x v="1"/>
    <x v="0"/>
  </r>
  <r>
    <x v="3"/>
    <x v="117"/>
    <x v="36"/>
    <x v="6"/>
    <x v="28"/>
    <x v="11"/>
    <x v="19"/>
    <x v="0"/>
    <x v="1"/>
    <x v="0"/>
  </r>
  <r>
    <x v="3"/>
    <x v="141"/>
    <x v="37"/>
    <x v="9"/>
    <x v="59"/>
    <x v="32"/>
    <x v="25"/>
    <x v="0"/>
    <x v="4"/>
    <x v="0"/>
  </r>
  <r>
    <x v="4"/>
    <x v="92"/>
    <x v="45"/>
    <x v="6"/>
    <x v="34"/>
    <x v="13"/>
    <x v="25"/>
    <x v="0"/>
    <x v="4"/>
    <x v="0"/>
  </r>
  <r>
    <x v="4"/>
    <x v="115"/>
    <x v="47"/>
    <x v="1"/>
    <x v="12"/>
    <x v="7"/>
    <x v="8"/>
    <x v="0"/>
    <x v="1"/>
    <x v="0"/>
  </r>
  <r>
    <x v="4"/>
    <x v="136"/>
    <x v="48"/>
    <x v="9"/>
    <x v="61"/>
    <x v="32"/>
    <x v="28"/>
    <x v="0"/>
    <x v="4"/>
    <x v="0"/>
  </r>
  <r>
    <x v="4"/>
    <x v="97"/>
    <x v="46"/>
    <x v="9"/>
    <x v="65"/>
    <x v="32"/>
    <x v="34"/>
    <x v="0"/>
    <x v="4"/>
    <x v="0"/>
  </r>
  <r>
    <x v="4"/>
    <x v="165"/>
    <x v="49"/>
    <x v="1"/>
    <x v="17"/>
    <x v="7"/>
    <x v="13"/>
    <x v="0"/>
    <x v="1"/>
    <x v="0"/>
  </r>
  <r>
    <x v="5"/>
    <x v="1"/>
    <x v="50"/>
    <x v="7"/>
    <x v="154"/>
    <x v="44"/>
    <x v="133"/>
    <x v="0"/>
    <x v="1"/>
    <x v="0"/>
  </r>
  <r>
    <x v="5"/>
    <x v="58"/>
    <x v="52"/>
    <x v="7"/>
    <x v="117"/>
    <x v="43"/>
    <x v="96"/>
    <x v="0"/>
    <x v="1"/>
    <x v="0"/>
  </r>
  <r>
    <x v="5"/>
    <x v="35"/>
    <x v="51"/>
    <x v="2"/>
    <x v="169"/>
    <x v="60"/>
    <x v="118"/>
    <x v="0"/>
    <x v="1"/>
    <x v="0"/>
  </r>
  <r>
    <x v="5"/>
    <x v="63"/>
    <x v="53"/>
    <x v="3"/>
    <x v="170"/>
    <x v="61"/>
    <x v="126"/>
    <x v="0"/>
    <x v="1"/>
    <x v="0"/>
  </r>
  <r>
    <x v="5"/>
    <x v="76"/>
    <x v="54"/>
    <x v="8"/>
    <x v="47"/>
    <x v="22"/>
    <x v="34"/>
    <x v="0"/>
    <x v="1"/>
    <x v="0"/>
  </r>
  <r>
    <x v="5"/>
    <x v="94"/>
    <x v="3"/>
    <x v="2"/>
    <x v="96"/>
    <x v="55"/>
    <x v="38"/>
    <x v="0"/>
    <x v="2"/>
    <x v="0"/>
  </r>
  <r>
    <x v="5"/>
    <x v="157"/>
    <x v="57"/>
    <x v="7"/>
    <x v="74"/>
    <x v="40"/>
    <x v="47"/>
    <x v="0"/>
    <x v="1"/>
    <x v="0"/>
  </r>
  <r>
    <x v="5"/>
    <x v="170"/>
    <x v="59"/>
    <x v="3"/>
    <x v="162"/>
    <x v="57"/>
    <x v="104"/>
    <x v="0"/>
    <x v="1"/>
    <x v="0"/>
  </r>
  <r>
    <x v="5"/>
    <x v="169"/>
    <x v="58"/>
    <x v="1"/>
    <x v="22"/>
    <x v="7"/>
    <x v="18"/>
    <x v="0"/>
    <x v="1"/>
    <x v="0"/>
  </r>
  <r>
    <x v="5"/>
    <x v="103"/>
    <x v="55"/>
    <x v="6"/>
    <x v="27"/>
    <x v="13"/>
    <x v="16"/>
    <x v="0"/>
    <x v="1"/>
    <x v="0"/>
  </r>
  <r>
    <x v="5"/>
    <x v="126"/>
    <x v="56"/>
    <x v="4"/>
    <x v="5"/>
    <x v="3"/>
    <x v="3"/>
    <x v="0"/>
    <x v="1"/>
    <x v="0"/>
  </r>
  <r>
    <x v="6"/>
    <x v="0"/>
    <x v="60"/>
    <x v="5"/>
    <x v="79"/>
    <x v="35"/>
    <x v="65"/>
    <x v="0"/>
    <x v="1"/>
    <x v="0"/>
  </r>
  <r>
    <x v="6"/>
    <x v="8"/>
    <x v="61"/>
    <x v="7"/>
    <x v="147"/>
    <x v="48"/>
    <x v="122"/>
    <x v="0"/>
    <x v="1"/>
    <x v="0"/>
  </r>
  <r>
    <x v="6"/>
    <x v="66"/>
    <x v="63"/>
    <x v="7"/>
    <x v="108"/>
    <x v="47"/>
    <x v="92"/>
    <x v="0"/>
    <x v="1"/>
    <x v="0"/>
  </r>
  <r>
    <x v="6"/>
    <x v="52"/>
    <x v="62"/>
    <x v="3"/>
    <x v="135"/>
    <x v="56"/>
    <x v="94"/>
    <x v="0"/>
    <x v="1"/>
    <x v="0"/>
  </r>
  <r>
    <x v="6"/>
    <x v="70"/>
    <x v="64"/>
    <x v="2"/>
    <x v="176"/>
    <x v="56"/>
    <x v="139"/>
    <x v="0"/>
    <x v="1"/>
    <x v="0"/>
  </r>
  <r>
    <x v="6"/>
    <x v="172"/>
    <x v="70"/>
    <x v="3"/>
    <x v="130"/>
    <x v="60"/>
    <x v="90"/>
    <x v="0"/>
    <x v="1"/>
    <x v="0"/>
  </r>
  <r>
    <x v="6"/>
    <x v="122"/>
    <x v="67"/>
    <x v="1"/>
    <x v="18"/>
    <x v="9"/>
    <x v="10"/>
    <x v="0"/>
    <x v="1"/>
    <x v="0"/>
  </r>
  <r>
    <x v="6"/>
    <x v="165"/>
    <x v="69"/>
    <x v="1"/>
    <x v="26"/>
    <x v="6"/>
    <x v="24"/>
    <x v="0"/>
    <x v="1"/>
    <x v="0"/>
  </r>
  <r>
    <x v="6"/>
    <x v="75"/>
    <x v="65"/>
    <x v="8"/>
    <x v="56"/>
    <x v="28"/>
    <x v="50"/>
    <x v="0"/>
    <x v="1"/>
    <x v="0"/>
  </r>
  <r>
    <x v="6"/>
    <x v="158"/>
    <x v="68"/>
    <x v="7"/>
    <x v="76"/>
    <x v="44"/>
    <x v="45"/>
    <x v="0"/>
    <x v="1"/>
    <x v="0"/>
  </r>
  <r>
    <x v="6"/>
    <x v="88"/>
    <x v="66"/>
    <x v="4"/>
    <x v="2"/>
    <x v="2"/>
    <x v="1"/>
    <x v="0"/>
    <x v="1"/>
    <x v="0"/>
  </r>
  <r>
    <x v="7"/>
    <x v="160"/>
    <x v="81"/>
    <x v="7"/>
    <x v="79"/>
    <x v="46"/>
    <x v="53"/>
    <x v="0"/>
    <x v="1"/>
    <x v="0"/>
  </r>
  <r>
    <x v="7"/>
    <x v="62"/>
    <x v="74"/>
    <x v="3"/>
    <x v="156"/>
    <x v="59"/>
    <x v="99"/>
    <x v="0"/>
    <x v="1"/>
    <x v="0"/>
  </r>
  <r>
    <x v="7"/>
    <x v="111"/>
    <x v="77"/>
    <x v="6"/>
    <x v="23"/>
    <x v="11"/>
    <x v="13"/>
    <x v="0"/>
    <x v="1"/>
    <x v="0"/>
  </r>
  <r>
    <x v="7"/>
    <x v="168"/>
    <x v="82"/>
    <x v="1"/>
    <x v="31"/>
    <x v="7"/>
    <x v="28"/>
    <x v="0"/>
    <x v="1"/>
    <x v="0"/>
  </r>
  <r>
    <x v="7"/>
    <x v="113"/>
    <x v="79"/>
    <x v="4"/>
    <x v="6"/>
    <x v="1"/>
    <x v="6"/>
    <x v="0"/>
    <x v="1"/>
    <x v="0"/>
  </r>
  <r>
    <x v="7"/>
    <x v="80"/>
    <x v="76"/>
    <x v="2"/>
    <x v="172"/>
    <x v="53"/>
    <x v="129"/>
    <x v="0"/>
    <x v="1"/>
    <x v="0"/>
  </r>
  <r>
    <x v="7"/>
    <x v="169"/>
    <x v="83"/>
    <x v="2"/>
    <x v="161"/>
    <x v="60"/>
    <x v="101"/>
    <x v="0"/>
    <x v="1"/>
    <x v="0"/>
  </r>
  <r>
    <x v="7"/>
    <x v="78"/>
    <x v="75"/>
    <x v="8"/>
    <x v="45"/>
    <x v="27"/>
    <x v="25"/>
    <x v="0"/>
    <x v="1"/>
    <x v="0"/>
  </r>
  <r>
    <x v="7"/>
    <x v="20"/>
    <x v="72"/>
    <x v="8"/>
    <x v="51"/>
    <x v="21"/>
    <x v="44"/>
    <x v="0"/>
    <x v="1"/>
    <x v="0"/>
  </r>
  <r>
    <x v="7"/>
    <x v="3"/>
    <x v="71"/>
    <x v="7"/>
    <x v="155"/>
    <x v="45"/>
    <x v="133"/>
    <x v="0"/>
    <x v="1"/>
    <x v="0"/>
  </r>
  <r>
    <x v="7"/>
    <x v="55"/>
    <x v="73"/>
    <x v="7"/>
    <x v="122"/>
    <x v="44"/>
    <x v="100"/>
    <x v="0"/>
    <x v="1"/>
    <x v="0"/>
  </r>
  <r>
    <x v="7"/>
    <x v="153"/>
    <x v="80"/>
    <x v="3"/>
    <x v="113"/>
    <x v="55"/>
    <x v="67"/>
    <x v="0"/>
    <x v="1"/>
    <x v="0"/>
  </r>
  <r>
    <x v="7"/>
    <x v="112"/>
    <x v="78"/>
    <x v="1"/>
    <x v="18"/>
    <x v="8"/>
    <x v="13"/>
    <x v="0"/>
    <x v="1"/>
    <x v="0"/>
  </r>
  <r>
    <x v="8"/>
    <x v="176"/>
    <x v="95"/>
    <x v="5"/>
    <x v="73"/>
    <x v="34"/>
    <x v="58"/>
    <x v="0"/>
    <x v="1"/>
    <x v="0"/>
  </r>
  <r>
    <x v="8"/>
    <x v="156"/>
    <x v="92"/>
    <x v="7"/>
    <x v="79"/>
    <x v="43"/>
    <x v="55"/>
    <x v="0"/>
    <x v="1"/>
    <x v="0"/>
  </r>
  <r>
    <x v="8"/>
    <x v="123"/>
    <x v="90"/>
    <x v="6"/>
    <x v="30"/>
    <x v="14"/>
    <x v="19"/>
    <x v="0"/>
    <x v="1"/>
    <x v="0"/>
  </r>
  <r>
    <x v="8"/>
    <x v="69"/>
    <x v="88"/>
    <x v="2"/>
    <x v="178"/>
    <x v="58"/>
    <x v="142"/>
    <x v="0"/>
    <x v="1"/>
    <x v="0"/>
  </r>
  <r>
    <x v="8"/>
    <x v="135"/>
    <x v="91"/>
    <x v="4"/>
    <x v="0"/>
    <x v="2"/>
    <x v="0"/>
    <x v="0"/>
    <x v="1"/>
    <x v="0"/>
  </r>
  <r>
    <x v="8"/>
    <x v="134"/>
    <x v="0"/>
    <x v="1"/>
    <x v="15"/>
    <x v="7"/>
    <x v="11"/>
    <x v="0"/>
    <x v="1"/>
    <x v="0"/>
  </r>
  <r>
    <x v="8"/>
    <x v="164"/>
    <x v="93"/>
    <x v="1"/>
    <x v="25"/>
    <x v="6"/>
    <x v="22"/>
    <x v="0"/>
    <x v="1"/>
    <x v="0"/>
  </r>
  <r>
    <x v="8"/>
    <x v="166"/>
    <x v="94"/>
    <x v="2"/>
    <x v="160"/>
    <x v="57"/>
    <x v="102"/>
    <x v="0"/>
    <x v="1"/>
    <x v="0"/>
  </r>
  <r>
    <x v="8"/>
    <x v="63"/>
    <x v="87"/>
    <x v="3"/>
    <x v="143"/>
    <x v="61"/>
    <x v="96"/>
    <x v="0"/>
    <x v="1"/>
    <x v="0"/>
  </r>
  <r>
    <x v="8"/>
    <x v="72"/>
    <x v="89"/>
    <x v="8"/>
    <x v="48"/>
    <x v="26"/>
    <x v="30"/>
    <x v="0"/>
    <x v="1"/>
    <x v="0"/>
  </r>
  <r>
    <x v="8"/>
    <x v="24"/>
    <x v="85"/>
    <x v="8"/>
    <x v="54"/>
    <x v="20"/>
    <x v="52"/>
    <x v="0"/>
    <x v="1"/>
    <x v="0"/>
  </r>
  <r>
    <x v="8"/>
    <x v="65"/>
    <x v="86"/>
    <x v="7"/>
    <x v="141"/>
    <x v="46"/>
    <x v="117"/>
    <x v="0"/>
    <x v="1"/>
    <x v="0"/>
  </r>
  <r>
    <x v="8"/>
    <x v="1"/>
    <x v="84"/>
    <x v="7"/>
    <x v="153"/>
    <x v="47"/>
    <x v="131"/>
    <x v="0"/>
    <x v="1"/>
    <x v="0"/>
  </r>
  <r>
    <x v="9"/>
    <x v="54"/>
    <x v="99"/>
    <x v="3"/>
    <x v="146"/>
    <x v="61"/>
    <x v="97"/>
    <x v="0"/>
    <x v="1"/>
    <x v="0"/>
  </r>
  <r>
    <x v="9"/>
    <x v="125"/>
    <x v="103"/>
    <x v="1"/>
    <x v="13"/>
    <x v="8"/>
    <x v="8"/>
    <x v="0"/>
    <x v="1"/>
    <x v="0"/>
  </r>
  <r>
    <x v="9"/>
    <x v="67"/>
    <x v="100"/>
    <x v="7"/>
    <x v="124"/>
    <x v="44"/>
    <x v="103"/>
    <x v="0"/>
    <x v="1"/>
    <x v="0"/>
  </r>
  <r>
    <x v="9"/>
    <x v="5"/>
    <x v="96"/>
    <x v="7"/>
    <x v="156"/>
    <x v="45"/>
    <x v="134"/>
    <x v="0"/>
    <x v="1"/>
    <x v="0"/>
  </r>
  <r>
    <x v="9"/>
    <x v="111"/>
    <x v="258"/>
    <x v="6"/>
    <x v="20"/>
    <x v="13"/>
    <x v="8"/>
    <x v="0"/>
    <x v="1"/>
    <x v="0"/>
  </r>
  <r>
    <x v="9"/>
    <x v="50"/>
    <x v="98"/>
    <x v="2"/>
    <x v="185"/>
    <x v="55"/>
    <x v="150"/>
    <x v="0"/>
    <x v="1"/>
    <x v="0"/>
  </r>
  <r>
    <x v="9"/>
    <x v="123"/>
    <x v="102"/>
    <x v="4"/>
    <x v="3"/>
    <x v="1"/>
    <x v="3"/>
    <x v="0"/>
    <x v="1"/>
    <x v="0"/>
  </r>
  <r>
    <x v="9"/>
    <x v="154"/>
    <x v="104"/>
    <x v="7"/>
    <x v="78"/>
    <x v="47"/>
    <x v="49"/>
    <x v="0"/>
    <x v="1"/>
    <x v="0"/>
  </r>
  <r>
    <x v="9"/>
    <x v="164"/>
    <x v="106"/>
    <x v="1"/>
    <x v="26"/>
    <x v="7"/>
    <x v="23"/>
    <x v="0"/>
    <x v="1"/>
    <x v="0"/>
  </r>
  <r>
    <x v="9"/>
    <x v="74"/>
    <x v="101"/>
    <x v="1"/>
    <x v="37"/>
    <x v="15"/>
    <x v="31"/>
    <x v="0"/>
    <x v="1"/>
    <x v="0"/>
  </r>
  <r>
    <x v="9"/>
    <x v="19"/>
    <x v="97"/>
    <x v="1"/>
    <x v="24"/>
    <x v="7"/>
    <x v="20"/>
    <x v="0"/>
    <x v="1"/>
    <x v="0"/>
  </r>
  <r>
    <x v="9"/>
    <x v="163"/>
    <x v="105"/>
    <x v="2"/>
    <x v="151"/>
    <x v="60"/>
    <x v="98"/>
    <x v="0"/>
    <x v="1"/>
    <x v="0"/>
  </r>
  <r>
    <x v="10"/>
    <x v="5"/>
    <x v="107"/>
    <x v="7"/>
    <x v="131"/>
    <x v="48"/>
    <x v="107"/>
    <x v="0"/>
    <x v="1"/>
    <x v="0"/>
  </r>
  <r>
    <x v="10"/>
    <x v="77"/>
    <x v="110"/>
    <x v="8"/>
    <x v="49"/>
    <x v="26"/>
    <x v="34"/>
    <x v="0"/>
    <x v="1"/>
    <x v="0"/>
  </r>
  <r>
    <x v="10"/>
    <x v="70"/>
    <x v="109"/>
    <x v="2"/>
    <x v="194"/>
    <x v="60"/>
    <x v="159"/>
    <x v="0"/>
    <x v="1"/>
    <x v="0"/>
  </r>
  <r>
    <x v="10"/>
    <x v="162"/>
    <x v="116"/>
    <x v="2"/>
    <x v="128"/>
    <x v="61"/>
    <x v="89"/>
    <x v="0"/>
    <x v="1"/>
    <x v="0"/>
  </r>
  <r>
    <x v="10"/>
    <x v="168"/>
    <x v="117"/>
    <x v="1"/>
    <x v="16"/>
    <x v="7"/>
    <x v="12"/>
    <x v="0"/>
    <x v="1"/>
    <x v="0"/>
  </r>
  <r>
    <x v="10"/>
    <x v="155"/>
    <x v="115"/>
    <x v="7"/>
    <x v="75"/>
    <x v="43"/>
    <x v="45"/>
    <x v="0"/>
    <x v="1"/>
    <x v="0"/>
  </r>
  <r>
    <x v="10"/>
    <x v="130"/>
    <x v="112"/>
    <x v="4"/>
    <x v="1"/>
    <x v="0"/>
    <x v="2"/>
    <x v="0"/>
    <x v="1"/>
    <x v="0"/>
  </r>
  <r>
    <x v="10"/>
    <x v="101"/>
    <x v="111"/>
    <x v="6"/>
    <x v="24"/>
    <x v="13"/>
    <x v="12"/>
    <x v="0"/>
    <x v="1"/>
    <x v="0"/>
  </r>
  <r>
    <x v="10"/>
    <x v="146"/>
    <x v="113"/>
    <x v="6"/>
    <x v="31"/>
    <x v="13"/>
    <x v="21"/>
    <x v="0"/>
    <x v="4"/>
    <x v="0"/>
  </r>
  <r>
    <x v="10"/>
    <x v="150"/>
    <x v="114"/>
    <x v="1"/>
    <x v="19"/>
    <x v="12"/>
    <x v="8"/>
    <x v="0"/>
    <x v="0"/>
    <x v="0"/>
  </r>
  <r>
    <x v="10"/>
    <x v="90"/>
    <x v="254"/>
    <x v="0"/>
    <x v="103"/>
    <x v="69"/>
    <x v="48"/>
    <x v="0"/>
    <x v="3"/>
    <x v="0"/>
  </r>
  <r>
    <x v="10"/>
    <x v="127"/>
    <x v="255"/>
    <x v="3"/>
    <x v="107"/>
    <x v="59"/>
    <x v="58"/>
    <x v="0"/>
    <x v="3"/>
    <x v="0"/>
  </r>
  <r>
    <x v="11"/>
    <x v="75"/>
    <x v="121"/>
    <x v="8"/>
    <x v="40"/>
    <x v="22"/>
    <x v="23"/>
    <x v="0"/>
    <x v="1"/>
    <x v="0"/>
  </r>
  <r>
    <x v="11"/>
    <x v="43"/>
    <x v="119"/>
    <x v="2"/>
    <x v="177"/>
    <x v="60"/>
    <x v="140"/>
    <x v="0"/>
    <x v="1"/>
    <x v="0"/>
  </r>
  <r>
    <x v="11"/>
    <x v="59"/>
    <x v="120"/>
    <x v="7"/>
    <x v="92"/>
    <x v="43"/>
    <x v="78"/>
    <x v="0"/>
    <x v="1"/>
    <x v="0"/>
  </r>
  <r>
    <x v="11"/>
    <x v="2"/>
    <x v="118"/>
    <x v="7"/>
    <x v="126"/>
    <x v="44"/>
    <x v="105"/>
    <x v="0"/>
    <x v="1"/>
    <x v="0"/>
  </r>
  <r>
    <x v="11"/>
    <x v="152"/>
    <x v="4"/>
    <x v="3"/>
    <x v="120"/>
    <x v="55"/>
    <x v="79"/>
    <x v="0"/>
    <x v="2"/>
    <x v="0"/>
  </r>
  <r>
    <x v="11"/>
    <x v="118"/>
    <x v="123"/>
    <x v="9"/>
    <x v="69"/>
    <x v="33"/>
    <x v="51"/>
    <x v="0"/>
    <x v="4"/>
    <x v="0"/>
  </r>
  <r>
    <x v="11"/>
    <x v="105"/>
    <x v="122"/>
    <x v="6"/>
    <x v="33"/>
    <x v="13"/>
    <x v="23"/>
    <x v="0"/>
    <x v="4"/>
    <x v="0"/>
  </r>
  <r>
    <x v="11"/>
    <x v="133"/>
    <x v="124"/>
    <x v="1"/>
    <x v="11"/>
    <x v="6"/>
    <x v="7"/>
    <x v="0"/>
    <x v="1"/>
    <x v="0"/>
  </r>
  <r>
    <x v="11"/>
    <x v="151"/>
    <x v="1"/>
    <x v="6"/>
    <x v="28"/>
    <x v="17"/>
    <x v="13"/>
    <x v="0"/>
    <x v="4"/>
    <x v="0"/>
  </r>
  <r>
    <x v="12"/>
    <x v="75"/>
    <x v="127"/>
    <x v="2"/>
    <x v="192"/>
    <x v="58"/>
    <x v="157"/>
    <x v="0"/>
    <x v="1"/>
    <x v="0"/>
  </r>
  <r>
    <x v="12"/>
    <x v="44"/>
    <x v="126"/>
    <x v="1"/>
    <x v="33"/>
    <x v="7"/>
    <x v="29"/>
    <x v="0"/>
    <x v="1"/>
    <x v="0"/>
  </r>
  <r>
    <x v="12"/>
    <x v="81"/>
    <x v="128"/>
    <x v="7"/>
    <x v="86"/>
    <x v="52"/>
    <x v="67"/>
    <x v="0"/>
    <x v="1"/>
    <x v="0"/>
  </r>
  <r>
    <x v="12"/>
    <x v="15"/>
    <x v="125"/>
    <x v="7"/>
    <x v="138"/>
    <x v="45"/>
    <x v="112"/>
    <x v="0"/>
    <x v="1"/>
    <x v="0"/>
  </r>
  <r>
    <x v="12"/>
    <x v="96"/>
    <x v="129"/>
    <x v="9"/>
    <x v="66"/>
    <x v="33"/>
    <x v="35"/>
    <x v="0"/>
    <x v="4"/>
    <x v="0"/>
  </r>
  <r>
    <x v="12"/>
    <x v="131"/>
    <x v="132"/>
    <x v="9"/>
    <x v="64"/>
    <x v="32"/>
    <x v="32"/>
    <x v="0"/>
    <x v="4"/>
    <x v="0"/>
  </r>
  <r>
    <x v="12"/>
    <x v="120"/>
    <x v="130"/>
    <x v="4"/>
    <x v="4"/>
    <x v="2"/>
    <x v="3"/>
    <x v="0"/>
    <x v="1"/>
    <x v="0"/>
  </r>
  <r>
    <x v="12"/>
    <x v="126"/>
    <x v="131"/>
    <x v="6"/>
    <x v="18"/>
    <x v="12"/>
    <x v="7"/>
    <x v="0"/>
    <x v="1"/>
    <x v="0"/>
  </r>
  <r>
    <x v="12"/>
    <x v="171"/>
    <x v="133"/>
    <x v="1"/>
    <x v="17"/>
    <x v="8"/>
    <x v="12"/>
    <x v="0"/>
    <x v="1"/>
    <x v="0"/>
  </r>
  <r>
    <x v="13"/>
    <x v="75"/>
    <x v="137"/>
    <x v="8"/>
    <x v="52"/>
    <x v="28"/>
    <x v="37"/>
    <x v="0"/>
    <x v="1"/>
    <x v="0"/>
  </r>
  <r>
    <x v="13"/>
    <x v="84"/>
    <x v="139"/>
    <x v="5"/>
    <x v="81"/>
    <x v="38"/>
    <x v="66"/>
    <x v="0"/>
    <x v="1"/>
    <x v="0"/>
  </r>
  <r>
    <x v="13"/>
    <x v="46"/>
    <x v="135"/>
    <x v="2"/>
    <x v="190"/>
    <x v="63"/>
    <x v="155"/>
    <x v="0"/>
    <x v="1"/>
    <x v="0"/>
  </r>
  <r>
    <x v="13"/>
    <x v="83"/>
    <x v="138"/>
    <x v="2"/>
    <x v="102"/>
    <x v="62"/>
    <x v="52"/>
    <x v="0"/>
    <x v="1"/>
    <x v="0"/>
  </r>
  <r>
    <x v="13"/>
    <x v="64"/>
    <x v="136"/>
    <x v="7"/>
    <x v="83"/>
    <x v="41"/>
    <x v="61"/>
    <x v="0"/>
    <x v="1"/>
    <x v="0"/>
  </r>
  <r>
    <x v="13"/>
    <x v="21"/>
    <x v="134"/>
    <x v="7"/>
    <x v="148"/>
    <x v="44"/>
    <x v="125"/>
    <x v="0"/>
    <x v="1"/>
    <x v="0"/>
  </r>
  <r>
    <x v="13"/>
    <x v="101"/>
    <x v="140"/>
    <x v="6"/>
    <x v="25"/>
    <x v="12"/>
    <x v="14"/>
    <x v="0"/>
    <x v="1"/>
    <x v="0"/>
  </r>
  <r>
    <x v="13"/>
    <x v="128"/>
    <x v="142"/>
    <x v="6"/>
    <x v="28"/>
    <x v="11"/>
    <x v="19"/>
    <x v="0"/>
    <x v="4"/>
    <x v="0"/>
  </r>
  <r>
    <x v="13"/>
    <x v="124"/>
    <x v="141"/>
    <x v="4"/>
    <x v="7"/>
    <x v="3"/>
    <x v="5"/>
    <x v="0"/>
    <x v="1"/>
    <x v="0"/>
  </r>
  <r>
    <x v="13"/>
    <x v="168"/>
    <x v="143"/>
    <x v="1"/>
    <x v="23"/>
    <x v="7"/>
    <x v="19"/>
    <x v="0"/>
    <x v="1"/>
    <x v="0"/>
  </r>
  <r>
    <x v="14"/>
    <x v="76"/>
    <x v="146"/>
    <x v="8"/>
    <x v="51"/>
    <x v="24"/>
    <x v="39"/>
    <x v="0"/>
    <x v="1"/>
    <x v="0"/>
  </r>
  <r>
    <x v="14"/>
    <x v="12"/>
    <x v="144"/>
    <x v="7"/>
    <x v="145"/>
    <x v="41"/>
    <x v="122"/>
    <x v="0"/>
    <x v="1"/>
    <x v="0"/>
  </r>
  <r>
    <x v="14"/>
    <x v="81"/>
    <x v="148"/>
    <x v="7"/>
    <x v="94"/>
    <x v="45"/>
    <x v="78"/>
    <x v="0"/>
    <x v="1"/>
    <x v="0"/>
  </r>
  <r>
    <x v="14"/>
    <x v="80"/>
    <x v="147"/>
    <x v="2"/>
    <x v="113"/>
    <x v="58"/>
    <x v="66"/>
    <x v="0"/>
    <x v="1"/>
    <x v="0"/>
  </r>
  <r>
    <x v="14"/>
    <x v="173"/>
    <x v="151"/>
    <x v="1"/>
    <x v="15"/>
    <x v="6"/>
    <x v="12"/>
    <x v="0"/>
    <x v="1"/>
    <x v="0"/>
  </r>
  <r>
    <x v="14"/>
    <x v="121"/>
    <x v="150"/>
    <x v="9"/>
    <x v="62"/>
    <x v="31"/>
    <x v="30"/>
    <x v="0"/>
    <x v="4"/>
    <x v="0"/>
  </r>
  <r>
    <x v="14"/>
    <x v="109"/>
    <x v="149"/>
    <x v="6"/>
    <x v="13"/>
    <x v="10"/>
    <x v="4"/>
    <x v="0"/>
    <x v="1"/>
    <x v="0"/>
  </r>
  <r>
    <x v="14"/>
    <x v="40"/>
    <x v="145"/>
    <x v="2"/>
    <x v="188"/>
    <x v="67"/>
    <x v="153"/>
    <x v="0"/>
    <x v="1"/>
    <x v="0"/>
  </r>
  <r>
    <x v="15"/>
    <x v="76"/>
    <x v="155"/>
    <x v="2"/>
    <x v="95"/>
    <x v="64"/>
    <x v="29"/>
    <x v="0"/>
    <x v="1"/>
    <x v="0"/>
  </r>
  <r>
    <x v="15"/>
    <x v="40"/>
    <x v="153"/>
    <x v="2"/>
    <x v="189"/>
    <x v="65"/>
    <x v="154"/>
    <x v="0"/>
    <x v="1"/>
    <x v="0"/>
  </r>
  <r>
    <x v="15"/>
    <x v="75"/>
    <x v="154"/>
    <x v="1"/>
    <x v="34"/>
    <x v="10"/>
    <x v="27"/>
    <x v="0"/>
    <x v="1"/>
    <x v="0"/>
  </r>
  <r>
    <x v="15"/>
    <x v="78"/>
    <x v="156"/>
    <x v="7"/>
    <x v="100"/>
    <x v="50"/>
    <x v="84"/>
    <x v="0"/>
    <x v="1"/>
    <x v="0"/>
  </r>
  <r>
    <x v="15"/>
    <x v="17"/>
    <x v="152"/>
    <x v="7"/>
    <x v="150"/>
    <x v="46"/>
    <x v="128"/>
    <x v="0"/>
    <x v="1"/>
    <x v="0"/>
  </r>
  <r>
    <x v="15"/>
    <x v="116"/>
    <x v="157"/>
    <x v="6"/>
    <x v="19"/>
    <x v="11"/>
    <x v="9"/>
    <x v="0"/>
    <x v="1"/>
    <x v="0"/>
  </r>
  <r>
    <x v="15"/>
    <x v="164"/>
    <x v="158"/>
    <x v="1"/>
    <x v="18"/>
    <x v="6"/>
    <x v="15"/>
    <x v="0"/>
    <x v="1"/>
    <x v="0"/>
  </r>
  <r>
    <x v="16"/>
    <x v="78"/>
    <x v="162"/>
    <x v="8"/>
    <x v="47"/>
    <x v="28"/>
    <x v="28"/>
    <x v="0"/>
    <x v="1"/>
    <x v="0"/>
  </r>
  <r>
    <x v="16"/>
    <x v="110"/>
    <x v="164"/>
    <x v="4"/>
    <x v="6"/>
    <x v="4"/>
    <x v="2"/>
    <x v="0"/>
    <x v="1"/>
    <x v="0"/>
  </r>
  <r>
    <x v="16"/>
    <x v="31"/>
    <x v="160"/>
    <x v="2"/>
    <x v="174"/>
    <x v="62"/>
    <x v="130"/>
    <x v="0"/>
    <x v="1"/>
    <x v="0"/>
  </r>
  <r>
    <x v="16"/>
    <x v="80"/>
    <x v="163"/>
    <x v="2"/>
    <x v="125"/>
    <x v="61"/>
    <x v="86"/>
    <x v="0"/>
    <x v="1"/>
    <x v="0"/>
  </r>
  <r>
    <x v="16"/>
    <x v="56"/>
    <x v="161"/>
    <x v="7"/>
    <x v="90"/>
    <x v="45"/>
    <x v="74"/>
    <x v="0"/>
    <x v="1"/>
    <x v="0"/>
  </r>
  <r>
    <x v="16"/>
    <x v="7"/>
    <x v="159"/>
    <x v="7"/>
    <x v="149"/>
    <x v="46"/>
    <x v="127"/>
    <x v="0"/>
    <x v="1"/>
    <x v="0"/>
  </r>
  <r>
    <x v="17"/>
    <x v="75"/>
    <x v="169"/>
    <x v="8"/>
    <x v="52"/>
    <x v="23"/>
    <x v="41"/>
    <x v="0"/>
    <x v="1"/>
    <x v="0"/>
  </r>
  <r>
    <x v="17"/>
    <x v="29"/>
    <x v="166"/>
    <x v="2"/>
    <x v="171"/>
    <x v="65"/>
    <x v="124"/>
    <x v="0"/>
    <x v="1"/>
    <x v="0"/>
  </r>
  <r>
    <x v="17"/>
    <x v="22"/>
    <x v="165"/>
    <x v="7"/>
    <x v="144"/>
    <x v="44"/>
    <x v="121"/>
    <x v="0"/>
    <x v="1"/>
    <x v="0"/>
  </r>
  <r>
    <x v="17"/>
    <x v="47"/>
    <x v="167"/>
    <x v="7"/>
    <x v="85"/>
    <x v="43"/>
    <x v="68"/>
    <x v="0"/>
    <x v="1"/>
    <x v="0"/>
  </r>
  <r>
    <x v="17"/>
    <x v="69"/>
    <x v="168"/>
    <x v="2"/>
    <x v="112"/>
    <x v="64"/>
    <x v="64"/>
    <x v="0"/>
    <x v="1"/>
    <x v="0"/>
  </r>
  <r>
    <x v="17"/>
    <x v="134"/>
    <x v="170"/>
    <x v="6"/>
    <x v="36"/>
    <x v="14"/>
    <x v="29"/>
    <x v="0"/>
    <x v="1"/>
    <x v="0"/>
  </r>
  <r>
    <x v="17"/>
    <x v="138"/>
    <x v="171"/>
    <x v="8"/>
    <x v="43"/>
    <x v="19"/>
    <x v="31"/>
    <x v="0"/>
    <x v="1"/>
    <x v="0"/>
  </r>
  <r>
    <x v="17"/>
    <x v="134"/>
    <x v="256"/>
    <x v="3"/>
    <x v="116"/>
    <x v="64"/>
    <x v="69"/>
    <x v="0"/>
    <x v="3"/>
    <x v="0"/>
  </r>
  <r>
    <x v="18"/>
    <x v="51"/>
    <x v="173"/>
    <x v="2"/>
    <x v="186"/>
    <x v="63"/>
    <x v="149"/>
    <x v="0"/>
    <x v="1"/>
    <x v="0"/>
  </r>
  <r>
    <x v="18"/>
    <x v="27"/>
    <x v="172"/>
    <x v="7"/>
    <x v="152"/>
    <x v="42"/>
    <x v="132"/>
    <x v="0"/>
    <x v="1"/>
    <x v="0"/>
  </r>
  <r>
    <x v="18"/>
    <x v="70"/>
    <x v="174"/>
    <x v="8"/>
    <x v="44"/>
    <x v="26"/>
    <x v="24"/>
    <x v="0"/>
    <x v="1"/>
    <x v="0"/>
  </r>
  <r>
    <x v="18"/>
    <x v="147"/>
    <x v="177"/>
    <x v="9"/>
    <x v="68"/>
    <x v="29"/>
    <x v="50"/>
    <x v="0"/>
    <x v="4"/>
    <x v="0"/>
  </r>
  <r>
    <x v="18"/>
    <x v="91"/>
    <x v="175"/>
    <x v="9"/>
    <x v="66"/>
    <x v="31"/>
    <x v="36"/>
    <x v="0"/>
    <x v="4"/>
    <x v="0"/>
  </r>
  <r>
    <x v="18"/>
    <x v="99"/>
    <x v="176"/>
    <x v="4"/>
    <x v="9"/>
    <x v="3"/>
    <x v="8"/>
    <x v="0"/>
    <x v="1"/>
    <x v="0"/>
  </r>
  <r>
    <x v="18"/>
    <x v="136"/>
    <x v="5"/>
    <x v="3"/>
    <x v="110"/>
    <x v="55"/>
    <x v="61"/>
    <x v="0"/>
    <x v="2"/>
    <x v="0"/>
  </r>
  <r>
    <x v="19"/>
    <x v="36"/>
    <x v="178"/>
    <x v="2"/>
    <x v="179"/>
    <x v="61"/>
    <x v="143"/>
    <x v="0"/>
    <x v="1"/>
    <x v="0"/>
  </r>
  <r>
    <x v="19"/>
    <x v="86"/>
    <x v="182"/>
    <x v="5"/>
    <x v="71"/>
    <x v="37"/>
    <x v="44"/>
    <x v="0"/>
    <x v="1"/>
    <x v="0"/>
  </r>
  <r>
    <x v="19"/>
    <x v="81"/>
    <x v="181"/>
    <x v="2"/>
    <x v="108"/>
    <x v="60"/>
    <x v="60"/>
    <x v="0"/>
    <x v="1"/>
    <x v="0"/>
  </r>
  <r>
    <x v="19"/>
    <x v="75"/>
    <x v="180"/>
    <x v="8"/>
    <x v="43"/>
    <x v="22"/>
    <x v="27"/>
    <x v="0"/>
    <x v="1"/>
    <x v="0"/>
  </r>
  <r>
    <x v="19"/>
    <x v="47"/>
    <x v="179"/>
    <x v="7"/>
    <x v="148"/>
    <x v="49"/>
    <x v="122"/>
    <x v="0"/>
    <x v="1"/>
    <x v="0"/>
  </r>
  <r>
    <x v="19"/>
    <x v="95"/>
    <x v="184"/>
    <x v="9"/>
    <x v="63"/>
    <x v="30"/>
    <x v="33"/>
    <x v="0"/>
    <x v="4"/>
    <x v="0"/>
  </r>
  <r>
    <x v="19"/>
    <x v="89"/>
    <x v="183"/>
    <x v="4"/>
    <x v="6"/>
    <x v="3"/>
    <x v="4"/>
    <x v="0"/>
    <x v="1"/>
    <x v="0"/>
  </r>
  <r>
    <x v="19"/>
    <x v="97"/>
    <x v="185"/>
    <x v="0"/>
    <x v="104"/>
    <x v="72"/>
    <x v="40"/>
    <x v="0"/>
    <x v="4"/>
    <x v="0"/>
  </r>
  <r>
    <x v="19"/>
    <x v="127"/>
    <x v="187"/>
    <x v="0"/>
    <x v="109"/>
    <x v="65"/>
    <x v="59"/>
    <x v="0"/>
    <x v="4"/>
    <x v="0"/>
  </r>
  <r>
    <x v="19"/>
    <x v="137"/>
    <x v="186"/>
    <x v="4"/>
    <x v="5"/>
    <x v="3"/>
    <x v="3"/>
    <x v="0"/>
    <x v="1"/>
    <x v="0"/>
  </r>
  <r>
    <x v="20"/>
    <x v="81"/>
    <x v="191"/>
    <x v="7"/>
    <x v="159"/>
    <x v="49"/>
    <x v="136"/>
    <x v="0"/>
    <x v="1"/>
    <x v="0"/>
  </r>
  <r>
    <x v="20"/>
    <x v="68"/>
    <x v="189"/>
    <x v="2"/>
    <x v="105"/>
    <x v="66"/>
    <x v="55"/>
    <x v="0"/>
    <x v="1"/>
    <x v="0"/>
  </r>
  <r>
    <x v="20"/>
    <x v="74"/>
    <x v="190"/>
    <x v="8"/>
    <x v="40"/>
    <x v="19"/>
    <x v="27"/>
    <x v="0"/>
    <x v="1"/>
    <x v="0"/>
  </r>
  <r>
    <x v="20"/>
    <x v="34"/>
    <x v="188"/>
    <x v="2"/>
    <x v="188"/>
    <x v="67"/>
    <x v="153"/>
    <x v="0"/>
    <x v="1"/>
    <x v="0"/>
  </r>
  <r>
    <x v="20"/>
    <x v="149"/>
    <x v="194"/>
    <x v="1"/>
    <x v="32"/>
    <x v="10"/>
    <x v="25"/>
    <x v="0"/>
    <x v="0"/>
    <x v="0"/>
  </r>
  <r>
    <x v="20"/>
    <x v="106"/>
    <x v="192"/>
    <x v="9"/>
    <x v="61"/>
    <x v="33"/>
    <x v="27"/>
    <x v="0"/>
    <x v="4"/>
    <x v="0"/>
  </r>
  <r>
    <x v="20"/>
    <x v="130"/>
    <x v="193"/>
    <x v="4"/>
    <x v="10"/>
    <x v="2"/>
    <x v="11"/>
    <x v="0"/>
    <x v="1"/>
    <x v="0"/>
  </r>
  <r>
    <x v="21"/>
    <x v="129"/>
    <x v="200"/>
    <x v="4"/>
    <x v="10"/>
    <x v="3"/>
    <x v="10"/>
    <x v="0"/>
    <x v="1"/>
    <x v="0"/>
  </r>
  <r>
    <x v="21"/>
    <x v="78"/>
    <x v="197"/>
    <x v="8"/>
    <x v="48"/>
    <x v="23"/>
    <x v="34"/>
    <x v="0"/>
    <x v="1"/>
    <x v="0"/>
  </r>
  <r>
    <x v="21"/>
    <x v="117"/>
    <x v="199"/>
    <x v="9"/>
    <x v="58"/>
    <x v="32"/>
    <x v="14"/>
    <x v="0"/>
    <x v="4"/>
    <x v="0"/>
  </r>
  <r>
    <x v="21"/>
    <x v="33"/>
    <x v="195"/>
    <x v="7"/>
    <x v="168"/>
    <x v="44"/>
    <x v="151"/>
    <x v="0"/>
    <x v="1"/>
    <x v="0"/>
  </r>
  <r>
    <x v="21"/>
    <x v="38"/>
    <x v="196"/>
    <x v="2"/>
    <x v="185"/>
    <x v="66"/>
    <x v="147"/>
    <x v="0"/>
    <x v="1"/>
    <x v="0"/>
  </r>
  <r>
    <x v="21"/>
    <x v="80"/>
    <x v="198"/>
    <x v="2"/>
    <x v="100"/>
    <x v="65"/>
    <x v="46"/>
    <x v="0"/>
    <x v="1"/>
    <x v="0"/>
  </r>
  <r>
    <x v="22"/>
    <x v="30"/>
    <x v="201"/>
    <x v="7"/>
    <x v="165"/>
    <x v="47"/>
    <x v="145"/>
    <x v="0"/>
    <x v="1"/>
    <x v="0"/>
  </r>
  <r>
    <x v="22"/>
    <x v="78"/>
    <x v="203"/>
    <x v="8"/>
    <x v="50"/>
    <x v="21"/>
    <x v="43"/>
    <x v="0"/>
    <x v="1"/>
    <x v="0"/>
  </r>
  <r>
    <x v="22"/>
    <x v="81"/>
    <x v="204"/>
    <x v="7"/>
    <x v="80"/>
    <x v="51"/>
    <x v="55"/>
    <x v="0"/>
    <x v="1"/>
    <x v="0"/>
  </r>
  <r>
    <x v="22"/>
    <x v="37"/>
    <x v="202"/>
    <x v="3"/>
    <x v="182"/>
    <x v="59"/>
    <x v="146"/>
    <x v="0"/>
    <x v="1"/>
    <x v="0"/>
  </r>
  <r>
    <x v="23"/>
    <x v="22"/>
    <x v="206"/>
    <x v="3"/>
    <x v="183"/>
    <x v="56"/>
    <x v="148"/>
    <x v="0"/>
    <x v="1"/>
    <x v="0"/>
  </r>
  <r>
    <x v="23"/>
    <x v="72"/>
    <x v="208"/>
    <x v="3"/>
    <x v="129"/>
    <x v="56"/>
    <x v="91"/>
    <x v="0"/>
    <x v="1"/>
    <x v="0"/>
  </r>
  <r>
    <x v="23"/>
    <x v="10"/>
    <x v="205"/>
    <x v="7"/>
    <x v="163"/>
    <x v="46"/>
    <x v="138"/>
    <x v="0"/>
    <x v="1"/>
    <x v="0"/>
  </r>
  <r>
    <x v="23"/>
    <x v="74"/>
    <x v="209"/>
    <x v="8"/>
    <x v="51"/>
    <x v="23"/>
    <x v="40"/>
    <x v="0"/>
    <x v="1"/>
    <x v="0"/>
  </r>
  <r>
    <x v="23"/>
    <x v="54"/>
    <x v="207"/>
    <x v="7"/>
    <x v="97"/>
    <x v="45"/>
    <x v="82"/>
    <x v="0"/>
    <x v="1"/>
    <x v="0"/>
  </r>
  <r>
    <x v="23"/>
    <x v="108"/>
    <x v="211"/>
    <x v="4"/>
    <x v="5"/>
    <x v="3"/>
    <x v="3"/>
    <x v="0"/>
    <x v="1"/>
    <x v="0"/>
  </r>
  <r>
    <x v="23"/>
    <x v="98"/>
    <x v="210"/>
    <x v="4"/>
    <x v="8"/>
    <x v="3"/>
    <x v="7"/>
    <x v="0"/>
    <x v="1"/>
    <x v="0"/>
  </r>
  <r>
    <x v="23"/>
    <x v="139"/>
    <x v="6"/>
    <x v="3"/>
    <x v="96"/>
    <x v="55"/>
    <x v="38"/>
    <x v="0"/>
    <x v="2"/>
    <x v="0"/>
  </r>
  <r>
    <x v="24"/>
    <x v="82"/>
    <x v="215"/>
    <x v="8"/>
    <x v="46"/>
    <x v="25"/>
    <x v="27"/>
    <x v="0"/>
    <x v="1"/>
    <x v="0"/>
  </r>
  <r>
    <x v="24"/>
    <x v="43"/>
    <x v="214"/>
    <x v="3"/>
    <x v="187"/>
    <x v="62"/>
    <x v="152"/>
    <x v="0"/>
    <x v="1"/>
    <x v="0"/>
  </r>
  <r>
    <x v="24"/>
    <x v="32"/>
    <x v="213"/>
    <x v="7"/>
    <x v="91"/>
    <x v="44"/>
    <x v="76"/>
    <x v="0"/>
    <x v="1"/>
    <x v="0"/>
  </r>
  <r>
    <x v="24"/>
    <x v="85"/>
    <x v="216"/>
    <x v="3"/>
    <x v="99"/>
    <x v="60"/>
    <x v="43"/>
    <x v="0"/>
    <x v="1"/>
    <x v="0"/>
  </r>
  <r>
    <x v="24"/>
    <x v="132"/>
    <x v="218"/>
    <x v="5"/>
    <x v="72"/>
    <x v="36"/>
    <x v="57"/>
    <x v="0"/>
    <x v="1"/>
    <x v="0"/>
  </r>
  <r>
    <x v="24"/>
    <x v="93"/>
    <x v="217"/>
    <x v="9"/>
    <x v="60"/>
    <x v="31"/>
    <x v="28"/>
    <x v="0"/>
    <x v="4"/>
    <x v="0"/>
  </r>
  <r>
    <x v="24"/>
    <x v="144"/>
    <x v="219"/>
    <x v="4"/>
    <x v="4"/>
    <x v="3"/>
    <x v="2"/>
    <x v="0"/>
    <x v="1"/>
    <x v="0"/>
  </r>
  <r>
    <x v="24"/>
    <x v="145"/>
    <x v="257"/>
    <x v="3"/>
    <x v="115"/>
    <x v="59"/>
    <x v="70"/>
    <x v="0"/>
    <x v="3"/>
    <x v="0"/>
  </r>
  <r>
    <x v="25"/>
    <x v="18"/>
    <x v="220"/>
    <x v="7"/>
    <x v="147"/>
    <x v="45"/>
    <x v="123"/>
    <x v="0"/>
    <x v="1"/>
    <x v="0"/>
  </r>
  <r>
    <x v="25"/>
    <x v="76"/>
    <x v="224"/>
    <x v="8"/>
    <x v="41"/>
    <x v="24"/>
    <x v="23"/>
    <x v="0"/>
    <x v="1"/>
    <x v="0"/>
  </r>
  <r>
    <x v="25"/>
    <x v="23"/>
    <x v="221"/>
    <x v="2"/>
    <x v="164"/>
    <x v="65"/>
    <x v="106"/>
    <x v="0"/>
    <x v="1"/>
    <x v="0"/>
  </r>
  <r>
    <x v="25"/>
    <x v="74"/>
    <x v="223"/>
    <x v="2"/>
    <x v="127"/>
    <x v="64"/>
    <x v="87"/>
    <x v="0"/>
    <x v="1"/>
    <x v="0"/>
  </r>
  <r>
    <x v="25"/>
    <x v="60"/>
    <x v="222"/>
    <x v="7"/>
    <x v="84"/>
    <x v="44"/>
    <x v="62"/>
    <x v="0"/>
    <x v="1"/>
    <x v="0"/>
  </r>
  <r>
    <x v="25"/>
    <x v="140"/>
    <x v="226"/>
    <x v="4"/>
    <x v="8"/>
    <x v="2"/>
    <x v="8"/>
    <x v="0"/>
    <x v="1"/>
    <x v="0"/>
  </r>
  <r>
    <x v="25"/>
    <x v="100"/>
    <x v="225"/>
    <x v="9"/>
    <x v="65"/>
    <x v="30"/>
    <x v="35"/>
    <x v="0"/>
    <x v="4"/>
    <x v="0"/>
  </r>
  <r>
    <x v="26"/>
    <x v="38"/>
    <x v="228"/>
    <x v="2"/>
    <x v="175"/>
    <x v="68"/>
    <x v="137"/>
    <x v="0"/>
    <x v="1"/>
    <x v="0"/>
  </r>
  <r>
    <x v="26"/>
    <x v="76"/>
    <x v="231"/>
    <x v="2"/>
    <x v="101"/>
    <x v="67"/>
    <x v="45"/>
    <x v="0"/>
    <x v="1"/>
    <x v="0"/>
  </r>
  <r>
    <x v="26"/>
    <x v="77"/>
    <x v="230"/>
    <x v="8"/>
    <x v="42"/>
    <x v="23"/>
    <x v="26"/>
    <x v="0"/>
    <x v="1"/>
    <x v="0"/>
  </r>
  <r>
    <x v="26"/>
    <x v="64"/>
    <x v="229"/>
    <x v="7"/>
    <x v="82"/>
    <x v="40"/>
    <x v="59"/>
    <x v="0"/>
    <x v="1"/>
    <x v="0"/>
  </r>
  <r>
    <x v="26"/>
    <x v="14"/>
    <x v="227"/>
    <x v="7"/>
    <x v="142"/>
    <x v="42"/>
    <x v="120"/>
    <x v="0"/>
    <x v="1"/>
    <x v="0"/>
  </r>
  <r>
    <x v="26"/>
    <x v="140"/>
    <x v="233"/>
    <x v="6"/>
    <x v="35"/>
    <x v="12"/>
    <x v="29"/>
    <x v="0"/>
    <x v="1"/>
    <x v="0"/>
  </r>
  <r>
    <x v="26"/>
    <x v="114"/>
    <x v="232"/>
    <x v="6"/>
    <x v="29"/>
    <x v="12"/>
    <x v="19"/>
    <x v="0"/>
    <x v="1"/>
    <x v="0"/>
  </r>
  <r>
    <x v="27"/>
    <x v="13"/>
    <x v="234"/>
    <x v="7"/>
    <x v="136"/>
    <x v="46"/>
    <x v="111"/>
    <x v="0"/>
    <x v="1"/>
    <x v="0"/>
  </r>
  <r>
    <x v="27"/>
    <x v="57"/>
    <x v="235"/>
    <x v="7"/>
    <x v="93"/>
    <x v="45"/>
    <x v="77"/>
    <x v="0"/>
    <x v="1"/>
    <x v="0"/>
  </r>
  <r>
    <x v="27"/>
    <x v="72"/>
    <x v="235"/>
    <x v="1"/>
    <x v="30"/>
    <x v="10"/>
    <x v="23"/>
    <x v="0"/>
    <x v="1"/>
    <x v="0"/>
  </r>
  <r>
    <x v="27"/>
    <x v="73"/>
    <x v="236"/>
    <x v="2"/>
    <x v="184"/>
    <x v="65"/>
    <x v="147"/>
    <x v="0"/>
    <x v="1"/>
    <x v="0"/>
  </r>
  <r>
    <x v="27"/>
    <x v="142"/>
    <x v="240"/>
    <x v="6"/>
    <x v="17"/>
    <x v="12"/>
    <x v="6"/>
    <x v="0"/>
    <x v="1"/>
    <x v="0"/>
  </r>
  <r>
    <x v="27"/>
    <x v="104"/>
    <x v="239"/>
    <x v="4"/>
    <x v="9"/>
    <x v="3"/>
    <x v="8"/>
    <x v="0"/>
    <x v="1"/>
    <x v="0"/>
  </r>
  <r>
    <x v="27"/>
    <x v="102"/>
    <x v="238"/>
    <x v="7"/>
    <x v="70"/>
    <x v="44"/>
    <x v="2"/>
    <x v="0"/>
    <x v="1"/>
    <x v="0"/>
  </r>
  <r>
    <x v="27"/>
    <x v="87"/>
    <x v="237"/>
    <x v="9"/>
    <x v="67"/>
    <x v="30"/>
    <x v="42"/>
    <x v="0"/>
    <x v="4"/>
    <x v="0"/>
  </r>
  <r>
    <x v="28"/>
    <x v="79"/>
    <x v="245"/>
    <x v="8"/>
    <x v="55"/>
    <x v="23"/>
    <x v="54"/>
    <x v="0"/>
    <x v="1"/>
    <x v="0"/>
  </r>
  <r>
    <x v="28"/>
    <x v="74"/>
    <x v="244"/>
    <x v="2"/>
    <x v="114"/>
    <x v="69"/>
    <x v="63"/>
    <x v="0"/>
    <x v="1"/>
    <x v="0"/>
  </r>
  <r>
    <x v="28"/>
    <x v="107"/>
    <x v="246"/>
    <x v="1"/>
    <x v="14"/>
    <x v="6"/>
    <x v="11"/>
    <x v="0"/>
    <x v="1"/>
    <x v="0"/>
  </r>
  <r>
    <x v="28"/>
    <x v="39"/>
    <x v="242"/>
    <x v="2"/>
    <x v="193"/>
    <x v="70"/>
    <x v="156"/>
    <x v="0"/>
    <x v="1"/>
    <x v="0"/>
  </r>
  <r>
    <x v="28"/>
    <x v="26"/>
    <x v="241"/>
    <x v="7"/>
    <x v="157"/>
    <x v="44"/>
    <x v="135"/>
    <x v="0"/>
    <x v="1"/>
    <x v="0"/>
  </r>
  <r>
    <x v="28"/>
    <x v="50"/>
    <x v="243"/>
    <x v="7"/>
    <x v="87"/>
    <x v="42"/>
    <x v="72"/>
    <x v="0"/>
    <x v="1"/>
    <x v="0"/>
  </r>
  <r>
    <x v="29"/>
    <x v="139"/>
    <x v="252"/>
    <x v="6"/>
    <x v="26"/>
    <x v="16"/>
    <x v="12"/>
    <x v="0"/>
    <x v="1"/>
    <x v="0"/>
  </r>
  <r>
    <x v="29"/>
    <x v="25"/>
    <x v="248"/>
    <x v="2"/>
    <x v="180"/>
    <x v="71"/>
    <x v="141"/>
    <x v="0"/>
    <x v="1"/>
    <x v="0"/>
  </r>
  <r>
    <x v="29"/>
    <x v="76"/>
    <x v="251"/>
    <x v="8"/>
    <x v="57"/>
    <x v="24"/>
    <x v="56"/>
    <x v="0"/>
    <x v="1"/>
    <x v="0"/>
  </r>
  <r>
    <x v="29"/>
    <x v="16"/>
    <x v="247"/>
    <x v="7"/>
    <x v="158"/>
    <x v="48"/>
    <x v="134"/>
    <x v="0"/>
    <x v="1"/>
    <x v="0"/>
  </r>
  <r>
    <x v="29"/>
    <x v="48"/>
    <x v="249"/>
    <x v="7"/>
    <x v="134"/>
    <x v="47"/>
    <x v="110"/>
    <x v="0"/>
    <x v="1"/>
    <x v="0"/>
  </r>
  <r>
    <x v="29"/>
    <x v="60"/>
    <x v="250"/>
    <x v="2"/>
    <x v="118"/>
    <x v="70"/>
    <x v="71"/>
    <x v="0"/>
    <x v="1"/>
    <x v="0"/>
  </r>
  <r>
    <x v="24"/>
    <x v="11"/>
    <x v="212"/>
    <x v="7"/>
    <x v="139"/>
    <x v="46"/>
    <x v="113"/>
    <x v="0"/>
    <x v="1"/>
    <x v="0"/>
  </r>
  <r>
    <x v="10"/>
    <x v="67"/>
    <x v="108"/>
    <x v="7"/>
    <x v="111"/>
    <x v="46"/>
    <x v="93"/>
    <x v="0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G15" firstHeaderRow="1" firstDataRow="2" firstDataCol="1" rowPageCount="1" colPageCount="1"/>
  <pivotFields count="10">
    <pivotField axis="axisPage" compact="0" showAll="0" defaultSubtotal="0" outline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5">
        <item x="0"/>
        <item x="1"/>
        <item x="2"/>
        <item x="3"/>
        <item x="4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7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2" activeCellId="0" sqref="E92"/>
    </sheetView>
  </sheetViews>
  <sheetFormatPr defaultColWidth="7.72265625" defaultRowHeight="13.8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2" width="17.73"/>
    <col collapsed="false" customWidth="true" hidden="false" outlineLevel="0" max="3" min="3" style="2" width="10.72"/>
    <col collapsed="false" customWidth="true" hidden="false" outlineLevel="0" max="4" min="4" style="1" width="13.47"/>
    <col collapsed="false" customWidth="true" hidden="false" outlineLevel="0" max="6" min="5" style="2" width="11.27"/>
    <col collapsed="false" customWidth="true" hidden="false" outlineLevel="0" max="7" min="7" style="2" width="13.47"/>
    <col collapsed="false" customWidth="true" hidden="false" outlineLevel="0" max="8" min="8" style="2" width="14.54"/>
    <col collapsed="false" customWidth="true" hidden="false" outlineLevel="0" max="9" min="9" style="2" width="15.87"/>
    <col collapsed="false" customWidth="false" hidden="false" outlineLevel="0" max="11" min="10" style="2" width="7.73"/>
    <col collapsed="false" customWidth="true" hidden="false" outlineLevel="0" max="12" min="12" style="2" width="8.18"/>
    <col collapsed="false" customWidth="true" hidden="false" outlineLevel="0" max="13" min="13" style="2" width="12.8"/>
    <col collapsed="false" customWidth="true" hidden="false" outlineLevel="0" max="14" min="14" style="2" width="7.09"/>
    <col collapsed="false" customWidth="false" hidden="false" outlineLevel="0" max="1024" min="15" style="2" width="7.73"/>
  </cols>
  <sheetData>
    <row r="1" customFormat="false" ht="13.8" hidden="false" customHeight="false" outlineLevel="0" collapsed="false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</row>
    <row r="2" customFormat="false" ht="13.8" hidden="false" customHeight="false" outlineLevel="0" collapsed="false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</row>
    <row r="3" customFormat="false" ht="13.8" hidden="false" customHeight="false" outlineLevel="0" collapsed="false">
      <c r="A3" s="7" t="s">
        <v>8</v>
      </c>
      <c r="B3" s="8"/>
      <c r="C3" s="8"/>
      <c r="D3" s="9"/>
      <c r="E3" s="9"/>
      <c r="F3" s="9" t="n">
        <v>1300</v>
      </c>
      <c r="G3" s="9" t="n">
        <v>2920</v>
      </c>
      <c r="H3" s="10" t="n">
        <f aca="false">SUM(B3:G3)</f>
        <v>4220</v>
      </c>
    </row>
    <row r="4" customFormat="false" ht="13.8" hidden="false" customHeight="false" outlineLevel="0" collapsed="false">
      <c r="A4" s="11" t="s">
        <v>9</v>
      </c>
      <c r="B4" s="12"/>
      <c r="C4" s="12" t="n">
        <v>940</v>
      </c>
      <c r="D4" s="13" t="n">
        <v>14300</v>
      </c>
      <c r="E4" s="13"/>
      <c r="F4" s="13"/>
      <c r="G4" s="13"/>
      <c r="H4" s="10" t="n">
        <f aca="false">SUM(B4:G4)</f>
        <v>15240</v>
      </c>
    </row>
    <row r="5" customFormat="false" ht="13.8" hidden="false" customHeight="false" outlineLevel="0" collapsed="false">
      <c r="A5" s="11" t="s">
        <v>10</v>
      </c>
      <c r="B5" s="12"/>
      <c r="C5" s="12"/>
      <c r="D5" s="13" t="n">
        <v>311660</v>
      </c>
      <c r="E5" s="13" t="n">
        <v>1060</v>
      </c>
      <c r="F5" s="13"/>
      <c r="G5" s="13"/>
      <c r="H5" s="10" t="n">
        <f aca="false">SUM(B5:G5)</f>
        <v>312720</v>
      </c>
    </row>
    <row r="6" customFormat="false" ht="13.8" hidden="false" customHeight="false" outlineLevel="0" collapsed="false">
      <c r="A6" s="11" t="s">
        <v>11</v>
      </c>
      <c r="B6" s="12"/>
      <c r="C6" s="12"/>
      <c r="D6" s="13" t="n">
        <v>96900</v>
      </c>
      <c r="E6" s="13" t="n">
        <v>7960</v>
      </c>
      <c r="F6" s="13" t="n">
        <v>9860</v>
      </c>
      <c r="G6" s="13"/>
      <c r="H6" s="10" t="n">
        <f aca="false">SUM(B6:G6)</f>
        <v>114720</v>
      </c>
    </row>
    <row r="7" customFormat="false" ht="13.8" hidden="false" customHeight="false" outlineLevel="0" collapsed="false">
      <c r="A7" s="11" t="s">
        <v>12</v>
      </c>
      <c r="B7" s="12"/>
      <c r="C7" s="12"/>
      <c r="D7" s="13" t="n">
        <v>4580</v>
      </c>
      <c r="E7" s="13"/>
      <c r="F7" s="13"/>
      <c r="G7" s="13"/>
      <c r="H7" s="10" t="n">
        <f aca="false">SUM(B7:G7)</f>
        <v>4580</v>
      </c>
    </row>
    <row r="8" customFormat="false" ht="13.8" hidden="false" customHeight="false" outlineLevel="0" collapsed="false">
      <c r="A8" s="11" t="s">
        <v>13</v>
      </c>
      <c r="B8" s="12"/>
      <c r="C8" s="12"/>
      <c r="D8" s="13" t="n">
        <v>9000</v>
      </c>
      <c r="E8" s="13"/>
      <c r="F8" s="13"/>
      <c r="G8" s="13"/>
      <c r="H8" s="10" t="n">
        <f aca="false">SUM(B8:G8)</f>
        <v>9000</v>
      </c>
    </row>
    <row r="9" customFormat="false" ht="13.8" hidden="false" customHeight="false" outlineLevel="0" collapsed="false">
      <c r="A9" s="11" t="s">
        <v>14</v>
      </c>
      <c r="B9" s="12"/>
      <c r="C9" s="12"/>
      <c r="D9" s="13" t="n">
        <v>7620</v>
      </c>
      <c r="E9" s="13"/>
      <c r="F9" s="13"/>
      <c r="G9" s="13" t="n">
        <v>2720</v>
      </c>
      <c r="H9" s="10" t="n">
        <f aca="false">SUM(B9:G9)</f>
        <v>10340</v>
      </c>
    </row>
    <row r="10" customFormat="false" ht="13.8" hidden="false" customHeight="false" outlineLevel="0" collapsed="false">
      <c r="A10" s="11" t="s">
        <v>15</v>
      </c>
      <c r="B10" s="12"/>
      <c r="C10" s="12"/>
      <c r="D10" s="13" t="n">
        <v>353120</v>
      </c>
      <c r="E10" s="13"/>
      <c r="F10" s="13"/>
      <c r="G10" s="13"/>
      <c r="H10" s="10" t="n">
        <f aca="false">SUM(B10:G10)</f>
        <v>353120</v>
      </c>
    </row>
    <row r="11" customFormat="false" ht="13.8" hidden="false" customHeight="false" outlineLevel="0" collapsed="false">
      <c r="A11" s="11" t="s">
        <v>16</v>
      </c>
      <c r="B11" s="12"/>
      <c r="C11" s="12"/>
      <c r="D11" s="13" t="n">
        <v>25540</v>
      </c>
      <c r="E11" s="13"/>
      <c r="F11" s="13"/>
      <c r="G11" s="13"/>
      <c r="H11" s="10" t="n">
        <f aca="false">SUM(B11:G11)</f>
        <v>25540</v>
      </c>
    </row>
    <row r="12" customFormat="false" ht="13.8" hidden="false" customHeight="false" outlineLevel="0" collapsed="false">
      <c r="A12" s="11" t="s">
        <v>17</v>
      </c>
      <c r="B12" s="12"/>
      <c r="C12" s="12"/>
      <c r="D12" s="13"/>
      <c r="E12" s="13"/>
      <c r="F12" s="13"/>
      <c r="G12" s="13" t="n">
        <v>13980</v>
      </c>
      <c r="H12" s="10" t="n">
        <f aca="false">SUM(B12:G12)</f>
        <v>13980</v>
      </c>
    </row>
    <row r="13" customFormat="false" ht="13.8" hidden="false" customHeight="false" outlineLevel="0" collapsed="false">
      <c r="A13" s="11"/>
      <c r="B13" s="14"/>
      <c r="C13" s="15"/>
      <c r="D13" s="15"/>
      <c r="E13" s="15"/>
      <c r="F13" s="15"/>
      <c r="G13" s="16"/>
      <c r="H13" s="10" t="n">
        <f aca="false">SUM(B13:G13)</f>
        <v>0</v>
      </c>
      <c r="I13" s="2" t="s">
        <v>18</v>
      </c>
    </row>
    <row r="14" s="2" customFormat="true" ht="13.8" hidden="false" customHeight="false" outlineLevel="0" collapsed="false">
      <c r="B14" s="17"/>
      <c r="C14" s="17"/>
      <c r="D14" s="17"/>
      <c r="E14" s="17"/>
      <c r="F14" s="17"/>
      <c r="G14" s="17"/>
      <c r="H14" s="10" t="n">
        <f aca="false">SUM(B14:G14)</f>
        <v>0</v>
      </c>
    </row>
    <row r="15" customFormat="false" ht="13.8" hidden="false" customHeight="false" outlineLevel="0" collapsed="false">
      <c r="A15" s="6" t="s">
        <v>7</v>
      </c>
      <c r="B15" s="18" t="n">
        <f aca="false">SUM(B3:B14)</f>
        <v>0</v>
      </c>
      <c r="C15" s="18" t="n">
        <f aca="false">SUM(C3:C14)</f>
        <v>940</v>
      </c>
      <c r="D15" s="18" t="n">
        <f aca="false">SUM(D3:D14)</f>
        <v>822720</v>
      </c>
      <c r="E15" s="18" t="n">
        <f aca="false">SUM(E3:E14)</f>
        <v>9020</v>
      </c>
      <c r="F15" s="18" t="n">
        <f aca="false">SUM(F3:F14)</f>
        <v>11160</v>
      </c>
      <c r="G15" s="18" t="n">
        <f aca="false">SUM(G3:G14)</f>
        <v>19620</v>
      </c>
      <c r="H15" s="19" t="n">
        <f aca="false">SUM(B15:G15)</f>
        <v>863460</v>
      </c>
    </row>
    <row r="16" customFormat="false" ht="13.8" hidden="false" customHeight="false" outlineLevel="0" collapsed="false">
      <c r="A16" s="20" t="s">
        <v>19</v>
      </c>
      <c r="B16" s="21" t="n">
        <f aca="false">+E79</f>
        <v>0</v>
      </c>
      <c r="C16" s="21" t="n">
        <f aca="false">+E73</f>
        <v>940</v>
      </c>
      <c r="D16" s="21" t="n">
        <f aca="false">+F35</f>
        <v>822720</v>
      </c>
      <c r="E16" s="21" t="n">
        <f aca="false">+E64</f>
        <v>9020</v>
      </c>
      <c r="F16" s="21" t="n">
        <f aca="false">+E56</f>
        <v>11160</v>
      </c>
      <c r="G16" s="21" t="n">
        <f aca="false">+F46</f>
        <v>19620</v>
      </c>
      <c r="H16" s="22" t="n">
        <f aca="false">SUM(B16:G16)</f>
        <v>863460</v>
      </c>
    </row>
    <row r="17" customFormat="false" ht="13.8" hidden="false" customHeight="false" outlineLevel="0" collapsed="false">
      <c r="C17" s="23"/>
      <c r="D17" s="23"/>
      <c r="E17" s="23"/>
      <c r="F17" s="23"/>
      <c r="G17" s="23"/>
      <c r="H17" s="23"/>
    </row>
    <row r="18" customFormat="false" ht="13.8" hidden="false" customHeight="false" outlineLevel="0" collapsed="false">
      <c r="C18" s="23"/>
      <c r="D18" s="23" t="s">
        <v>20</v>
      </c>
      <c r="E18" s="23" t="s">
        <v>21</v>
      </c>
      <c r="F18" s="23" t="s">
        <v>22</v>
      </c>
      <c r="G18" s="23"/>
      <c r="H18" s="23"/>
    </row>
    <row r="19" customFormat="false" ht="13.8" hidden="false" customHeight="false" outlineLevel="0" collapsed="false">
      <c r="A19" s="24" t="s">
        <v>23</v>
      </c>
      <c r="B19" s="24"/>
      <c r="C19" s="24"/>
      <c r="D19" s="25" t="n">
        <f aca="false">+F35+F46+E56+E64+E73+E79</f>
        <v>863460</v>
      </c>
      <c r="E19" s="26" t="n">
        <f aca="false">+G35+G46+F56+F64+F73+F79</f>
        <v>863460</v>
      </c>
      <c r="F19" s="25" t="n">
        <f aca="false">+E19-D19</f>
        <v>0</v>
      </c>
      <c r="G19" s="23"/>
      <c r="H19" s="23"/>
    </row>
    <row r="20" customFormat="false" ht="13.8" hidden="false" customHeight="false" outlineLevel="0" collapsed="false">
      <c r="C20" s="23"/>
      <c r="D20" s="23"/>
      <c r="E20" s="23"/>
      <c r="F20" s="23"/>
      <c r="G20" s="23"/>
      <c r="H20" s="23"/>
    </row>
    <row r="21" s="2" customFormat="true" ht="13.8" hidden="false" customHeight="false" outlineLevel="0" collapsed="false"/>
    <row r="22" customFormat="false" ht="13.8" hidden="false" customHeight="false" outlineLevel="0" collapsed="false">
      <c r="A22" s="23" t="s">
        <v>3</v>
      </c>
      <c r="B22" s="23"/>
      <c r="C22" s="23"/>
      <c r="D22" s="23"/>
      <c r="E22" s="23"/>
      <c r="F22" s="23"/>
      <c r="G22" s="23"/>
      <c r="H22" s="23"/>
    </row>
    <row r="23" customFormat="false" ht="13.8" hidden="false" customHeight="false" outlineLevel="0" collapsed="false">
      <c r="A23" s="1" t="s">
        <v>24</v>
      </c>
      <c r="B23" s="2" t="s">
        <v>25</v>
      </c>
      <c r="C23" s="27" t="s">
        <v>26</v>
      </c>
      <c r="D23" s="28" t="s">
        <v>27</v>
      </c>
      <c r="E23" s="27" t="s">
        <v>28</v>
      </c>
      <c r="F23" s="29" t="s">
        <v>29</v>
      </c>
      <c r="G23" s="27" t="s">
        <v>21</v>
      </c>
      <c r="H23" s="27"/>
    </row>
    <row r="24" customFormat="false" ht="13.8" hidden="false" customHeight="false" outlineLevel="0" collapsed="false">
      <c r="A24" s="30" t="n">
        <v>109</v>
      </c>
      <c r="B24" s="31" t="s">
        <v>30</v>
      </c>
      <c r="C24" s="32" t="s">
        <v>8</v>
      </c>
      <c r="D24" s="33"/>
      <c r="E24" s="32"/>
      <c r="F24" s="34"/>
      <c r="G24" s="35" t="n">
        <f aca="false">IFERROR(INDEX($B$3:$G$14,MATCH(C24,$A$3:$A$14,0),MATCH($A$22,$B$2:$G$2,0)),0)</f>
        <v>0</v>
      </c>
      <c r="H24" s="36" t="str">
        <f aca="false">IF(G24=F24,"Bien",G24-F24)</f>
        <v>Bien</v>
      </c>
    </row>
    <row r="25" customFormat="false" ht="13.8" hidden="false" customHeight="false" outlineLevel="0" collapsed="false">
      <c r="A25" s="37" t="n">
        <v>333</v>
      </c>
      <c r="B25" s="38" t="s">
        <v>31</v>
      </c>
      <c r="C25" s="39" t="s">
        <v>9</v>
      </c>
      <c r="D25" s="33" t="s">
        <v>32</v>
      </c>
      <c r="E25" s="27" t="s">
        <v>33</v>
      </c>
      <c r="F25" s="29" t="n">
        <v>14300</v>
      </c>
      <c r="G25" s="40" t="n">
        <f aca="false">IFERROR(INDEX($B$3:$G$14,MATCH(C25,$A$3:$A$14,0),MATCH($A$22,$B$2:$G$2,0)),0)</f>
        <v>14300</v>
      </c>
      <c r="H25" s="41" t="str">
        <f aca="false">IF(G25=F25,"Bien",G25-F25)</f>
        <v>Bien</v>
      </c>
    </row>
    <row r="26" customFormat="false" ht="14.9" hidden="false" customHeight="false" outlineLevel="0" collapsed="false">
      <c r="A26" s="42" t="n">
        <v>320</v>
      </c>
      <c r="B26" s="43" t="s">
        <v>34</v>
      </c>
      <c r="C26" s="27" t="s">
        <v>10</v>
      </c>
      <c r="D26" s="33" t="s">
        <v>32</v>
      </c>
      <c r="E26" s="27" t="s">
        <v>35</v>
      </c>
      <c r="F26" s="29" t="n">
        <v>311660</v>
      </c>
      <c r="G26" s="40" t="n">
        <f aca="false">IFERROR(INDEX($B$3:$G$14,MATCH(C26,$A$3:$A$14,0),MATCH($A$22,$B$2:$G$2,0)),0)</f>
        <v>311660</v>
      </c>
      <c r="H26" s="41" t="str">
        <f aca="false">IF(G26=F26,"Bien",G26-F26)</f>
        <v>Bien</v>
      </c>
    </row>
    <row r="27" customFormat="false" ht="14.9" hidden="false" customHeight="false" outlineLevel="0" collapsed="false">
      <c r="A27" s="42" t="n">
        <v>321</v>
      </c>
      <c r="B27" s="43" t="s">
        <v>36</v>
      </c>
      <c r="C27" s="27" t="s">
        <v>11</v>
      </c>
      <c r="D27" s="33" t="s">
        <v>32</v>
      </c>
      <c r="E27" s="27" t="s">
        <v>35</v>
      </c>
      <c r="F27" s="29" t="n">
        <v>96900</v>
      </c>
      <c r="G27" s="40" t="n">
        <f aca="false">IFERROR(INDEX($B$3:$G$14,MATCH(C27,$A$3:$A$14,0),MATCH($A$22,$B$2:$G$2,0)),0)</f>
        <v>96900</v>
      </c>
      <c r="H27" s="41" t="str">
        <f aca="false">IF(G27=F27,"Bien",G27-F27)</f>
        <v>Bien</v>
      </c>
    </row>
    <row r="28" customFormat="false" ht="13.8" hidden="false" customHeight="false" outlineLevel="0" collapsed="false">
      <c r="A28" s="37" t="n">
        <v>316</v>
      </c>
      <c r="B28" s="2" t="s">
        <v>37</v>
      </c>
      <c r="C28" s="27" t="s">
        <v>12</v>
      </c>
      <c r="D28" s="33" t="s">
        <v>32</v>
      </c>
      <c r="E28" s="27" t="s">
        <v>38</v>
      </c>
      <c r="F28" s="29" t="n">
        <v>4580</v>
      </c>
      <c r="G28" s="40" t="n">
        <f aca="false">IFERROR(INDEX($B$3:$G$14,MATCH(C28,$A$3:$A$14,0),MATCH($A$22,$B$2:$G$2,0)),0)</f>
        <v>4580</v>
      </c>
      <c r="H28" s="41" t="str">
        <f aca="false">IF(G28=F28,"Bien",G28-F28)</f>
        <v>Bien</v>
      </c>
    </row>
    <row r="29" customFormat="false" ht="14.9" hidden="false" customHeight="false" outlineLevel="0" collapsed="false">
      <c r="A29" s="42" t="n">
        <v>196</v>
      </c>
      <c r="B29" s="43" t="s">
        <v>39</v>
      </c>
      <c r="C29" s="27" t="s">
        <v>13</v>
      </c>
      <c r="D29" s="33" t="s">
        <v>32</v>
      </c>
      <c r="E29" s="27" t="s">
        <v>35</v>
      </c>
      <c r="F29" s="29" t="n">
        <v>9000</v>
      </c>
      <c r="G29" s="40" t="n">
        <f aca="false">IFERROR(INDEX($B$3:$G$14,MATCH(C29,$A$3:$A$14,0),MATCH($A$22,$B$2:$G$2,0)),0)</f>
        <v>9000</v>
      </c>
      <c r="H29" s="41" t="str">
        <f aca="false">IF(G29=F29,"Bien",G29-F29)</f>
        <v>Bien</v>
      </c>
      <c r="I29" s="2" t="s">
        <v>40</v>
      </c>
    </row>
    <row r="30" customFormat="false" ht="13.8" hidden="false" customHeight="false" outlineLevel="0" collapsed="false">
      <c r="A30" s="37" t="n">
        <v>309</v>
      </c>
      <c r="B30" s="2" t="s">
        <v>41</v>
      </c>
      <c r="C30" s="27" t="s">
        <v>14</v>
      </c>
      <c r="D30" s="33" t="s">
        <v>32</v>
      </c>
      <c r="E30" s="27" t="s">
        <v>33</v>
      </c>
      <c r="F30" s="29" t="n">
        <v>7620</v>
      </c>
      <c r="G30" s="40" t="n">
        <f aca="false">IFERROR(INDEX($B$3:$G$14,MATCH(C30,$A$3:$A$14,0),MATCH($A$22,$B$2:$G$2,0)),0)</f>
        <v>7620</v>
      </c>
      <c r="H30" s="41" t="str">
        <f aca="false">IF(G30=F30,"Bien",G30-F30)</f>
        <v>Bien</v>
      </c>
      <c r="L30" s="37"/>
      <c r="M30" s="44"/>
      <c r="N30" s="38"/>
    </row>
    <row r="31" customFormat="false" ht="14.9" hidden="false" customHeight="false" outlineLevel="0" collapsed="false">
      <c r="A31" s="37" t="n">
        <v>318</v>
      </c>
      <c r="B31" s="43" t="s">
        <v>39</v>
      </c>
      <c r="C31" s="27" t="s">
        <v>15</v>
      </c>
      <c r="D31" s="33" t="s">
        <v>32</v>
      </c>
      <c r="E31" s="27" t="s">
        <v>35</v>
      </c>
      <c r="F31" s="29" t="n">
        <v>353120</v>
      </c>
      <c r="G31" s="40" t="n">
        <f aca="false">IFERROR(INDEX($B$3:$G$14,MATCH(C31,$A$3:$A$14,0),MATCH($A$22,$B$2:$G$2,0)),0)</f>
        <v>353120</v>
      </c>
      <c r="H31" s="41" t="str">
        <f aca="false">IF(G31=F31,"Bien",G31-F31)</f>
        <v>Bien</v>
      </c>
      <c r="L31" s="37"/>
      <c r="M31" s="38"/>
      <c r="N31" s="38"/>
    </row>
    <row r="32" customFormat="false" ht="14.9" hidden="false" customHeight="false" outlineLevel="0" collapsed="false">
      <c r="A32" s="37" t="n">
        <v>310</v>
      </c>
      <c r="B32" s="43" t="s">
        <v>42</v>
      </c>
      <c r="C32" s="38" t="s">
        <v>16</v>
      </c>
      <c r="D32" s="33" t="n">
        <v>1</v>
      </c>
      <c r="E32" s="27" t="s">
        <v>35</v>
      </c>
      <c r="F32" s="29" t="n">
        <v>25540</v>
      </c>
      <c r="G32" s="40" t="n">
        <f aca="false">IFERROR(INDEX($B$3:$G$14,MATCH(C32,$A$3:$A$14,0),MATCH($A$22,$B$2:$G$2,0)),0)</f>
        <v>25540</v>
      </c>
      <c r="H32" s="41" t="str">
        <f aca="false">IF(G32=F32,"Bien",G32-F32)</f>
        <v>Bien</v>
      </c>
      <c r="N32" s="43"/>
    </row>
    <row r="33" customFormat="false" ht="13.8" hidden="false" customHeight="false" outlineLevel="0" collapsed="false">
      <c r="A33" s="37" t="n">
        <v>296</v>
      </c>
      <c r="B33" s="38" t="s">
        <v>43</v>
      </c>
      <c r="C33" s="38" t="s">
        <v>17</v>
      </c>
      <c r="D33" s="45"/>
      <c r="E33" s="27"/>
      <c r="F33" s="46"/>
      <c r="G33" s="40" t="n">
        <f aca="false">IFERROR(INDEX($B$3:$G$14,MATCH(C33,$A$3:$A$14,0),MATCH($A$22,$B$2:$G$2,0)),0)</f>
        <v>0</v>
      </c>
      <c r="H33" s="47" t="str">
        <f aca="false">IF(G33=F33,"Bien",G33-F33)</f>
        <v>Bien</v>
      </c>
      <c r="N33" s="43"/>
    </row>
    <row r="34" customFormat="false" ht="13.8" hidden="false" customHeight="false" outlineLevel="0" collapsed="false">
      <c r="A34" s="48"/>
      <c r="B34" s="49" t="s">
        <v>30</v>
      </c>
      <c r="C34" s="49" t="s">
        <v>44</v>
      </c>
      <c r="D34" s="50"/>
      <c r="E34" s="51"/>
      <c r="F34" s="52"/>
      <c r="G34" s="53" t="n">
        <f aca="false">IFERROR(INDEX($B$3:$G$14,MATCH(C34,$A$3:$A$14,0),MATCH($A$22,$B$2:$G$2,0)),0)</f>
        <v>0</v>
      </c>
      <c r="H34" s="54" t="str">
        <f aca="false">IF(G34=F34,"Bien",G34-F34)</f>
        <v>Bien</v>
      </c>
      <c r="I34" s="2" t="s">
        <v>45</v>
      </c>
      <c r="N34" s="43"/>
    </row>
    <row r="35" customFormat="false" ht="13.8" hidden="false" customHeight="false" outlineLevel="0" collapsed="false">
      <c r="C35" s="27"/>
      <c r="D35" s="28"/>
      <c r="E35" s="27"/>
      <c r="F35" s="55" t="n">
        <f aca="false">SUM(F24:F34)</f>
        <v>822720</v>
      </c>
      <c r="G35" s="56" t="n">
        <f aca="false">SUM(G24:G34)</f>
        <v>822720</v>
      </c>
      <c r="H35" s="27"/>
      <c r="I35" s="57" t="str">
        <f aca="false">IF(G35=D15,"OK","Revisar")</f>
        <v>OK</v>
      </c>
      <c r="L35" s="37"/>
      <c r="N35" s="27"/>
    </row>
    <row r="36" customFormat="false" ht="13.8" hidden="false" customHeight="false" outlineLevel="0" collapsed="false">
      <c r="A36" s="23" t="str">
        <f aca="false">+G2</f>
        <v>VOLUMINOSOS</v>
      </c>
      <c r="B36" s="23"/>
      <c r="C36" s="23"/>
      <c r="D36" s="23"/>
      <c r="E36" s="23"/>
      <c r="F36" s="23"/>
      <c r="G36" s="23"/>
      <c r="H36" s="23"/>
      <c r="L36" s="37"/>
      <c r="N36" s="27"/>
    </row>
    <row r="37" customFormat="false" ht="13.8" hidden="false" customHeight="false" outlineLevel="0" collapsed="false">
      <c r="C37" s="27" t="s">
        <v>26</v>
      </c>
      <c r="D37" s="28" t="s">
        <v>46</v>
      </c>
      <c r="E37" s="27" t="s">
        <v>47</v>
      </c>
      <c r="F37" s="55" t="s">
        <v>29</v>
      </c>
      <c r="G37" s="27" t="s">
        <v>21</v>
      </c>
      <c r="H37" s="27"/>
    </row>
    <row r="38" customFormat="false" ht="13.8" hidden="false" customHeight="false" outlineLevel="0" collapsed="false">
      <c r="A38" s="30" t="n">
        <v>109</v>
      </c>
      <c r="B38" s="31" t="s">
        <v>30</v>
      </c>
      <c r="C38" s="32" t="s">
        <v>8</v>
      </c>
      <c r="D38" s="58" t="n">
        <v>2</v>
      </c>
      <c r="E38" s="34" t="n">
        <v>2</v>
      </c>
      <c r="F38" s="34" t="n">
        <v>2920</v>
      </c>
      <c r="G38" s="59" t="n">
        <f aca="false">IFERROR(INDEX($B$3:$G$14,MATCH(C38,$A$3:$A$14,0),MATCH($A$36,$B$2:$G$2,0)),0)</f>
        <v>2920</v>
      </c>
      <c r="H38" s="60" t="str">
        <f aca="false">IF(G38=F38,"Bien",G38-F38)</f>
        <v>Bien</v>
      </c>
    </row>
    <row r="39" customFormat="false" ht="13.8" hidden="false" customHeight="false" outlineLevel="0" collapsed="false">
      <c r="A39" s="37" t="n">
        <v>333</v>
      </c>
      <c r="B39" s="2" t="s">
        <v>31</v>
      </c>
      <c r="C39" s="27" t="s">
        <v>9</v>
      </c>
      <c r="D39" s="61"/>
      <c r="E39" s="29"/>
      <c r="F39" s="29"/>
      <c r="G39" s="62" t="n">
        <f aca="false">IFERROR(INDEX($B$3:$G$14,MATCH(C39,$A$3:$A$14,0),MATCH($A$36,$B$2:$G$2,0)),0)</f>
        <v>0</v>
      </c>
      <c r="H39" s="63" t="str">
        <f aca="false">IF(G39=F39,"Bien",G39-F39)</f>
        <v>Bien</v>
      </c>
    </row>
    <row r="40" customFormat="false" ht="13.8" hidden="false" customHeight="false" outlineLevel="0" collapsed="false">
      <c r="A40" s="37" t="n">
        <v>316</v>
      </c>
      <c r="B40" s="38" t="s">
        <v>37</v>
      </c>
      <c r="C40" s="38" t="s">
        <v>12</v>
      </c>
      <c r="D40" s="61"/>
      <c r="E40" s="29"/>
      <c r="F40" s="29"/>
      <c r="G40" s="62" t="n">
        <f aca="false">IFERROR(INDEX($B$3:$G$14,MATCH(C40,$A$3:$A$14,0),MATCH($A$36,$B$2:$G$2,0)),0)</f>
        <v>0</v>
      </c>
      <c r="H40" s="63" t="str">
        <f aca="false">IF(G40=F40,"Bien",G40-F40)</f>
        <v>Bien</v>
      </c>
    </row>
    <row r="41" customFormat="false" ht="13.8" hidden="false" customHeight="false" outlineLevel="0" collapsed="false">
      <c r="A41" s="37" t="n">
        <v>309</v>
      </c>
      <c r="B41" s="2" t="s">
        <v>41</v>
      </c>
      <c r="C41" s="27" t="s">
        <v>14</v>
      </c>
      <c r="D41" s="61" t="n">
        <v>2</v>
      </c>
      <c r="E41" s="29" t="n">
        <v>5</v>
      </c>
      <c r="F41" s="29" t="n">
        <v>2720</v>
      </c>
      <c r="G41" s="62" t="n">
        <f aca="false">IFERROR(INDEX($B$3:$G$14,MATCH(C41,$A$3:$A$14,0),MATCH($A$36,$B$2:$G$2,0)),0)</f>
        <v>2720</v>
      </c>
      <c r="H41" s="64" t="str">
        <f aca="false">IF(G41=F41,"Bien",G41-F41)</f>
        <v>Bien</v>
      </c>
    </row>
    <row r="42" customFormat="false" ht="13.8" hidden="false" customHeight="false" outlineLevel="0" collapsed="false">
      <c r="A42" s="37" t="n">
        <v>296</v>
      </c>
      <c r="B42" s="38" t="s">
        <v>43</v>
      </c>
      <c r="C42" s="38" t="s">
        <v>17</v>
      </c>
      <c r="D42" s="65" t="n">
        <v>2</v>
      </c>
      <c r="E42" s="66" t="n">
        <v>16</v>
      </c>
      <c r="F42" s="66" t="n">
        <v>13980</v>
      </c>
      <c r="G42" s="62" t="n">
        <f aca="false">IFERROR(INDEX($B$3:$G$14,MATCH(C42,$A$3:$A$14,0),MATCH($A$36,$B$2:$G$2,0)),0)</f>
        <v>13980</v>
      </c>
      <c r="H42" s="64" t="str">
        <f aca="false">IF(G42=F42,"Bien",G42-F42)</f>
        <v>Bien</v>
      </c>
    </row>
    <row r="43" customFormat="false" ht="13.8" hidden="false" customHeight="false" outlineLevel="0" collapsed="false">
      <c r="A43" s="37"/>
      <c r="B43" s="67" t="s">
        <v>30</v>
      </c>
      <c r="C43" s="67" t="s">
        <v>44</v>
      </c>
      <c r="D43" s="65"/>
      <c r="E43" s="66"/>
      <c r="F43" s="66"/>
      <c r="G43" s="62" t="n">
        <f aca="false">IFERROR(INDEX($B$3:$G$14,MATCH(C43,$A$3:$A$14,0),MATCH($A$36,$B$2:$G$2,0)),0)</f>
        <v>0</v>
      </c>
      <c r="H43" s="63" t="str">
        <f aca="false">IF(G43=F43,"Bien",G43-F43)</f>
        <v>Bien</v>
      </c>
    </row>
    <row r="44" customFormat="false" ht="13.8" hidden="false" customHeight="false" outlineLevel="0" collapsed="false">
      <c r="A44" s="37"/>
      <c r="B44" s="38"/>
      <c r="C44" s="67" t="s">
        <v>48</v>
      </c>
      <c r="D44" s="65"/>
      <c r="E44" s="66"/>
      <c r="F44" s="66"/>
      <c r="G44" s="62" t="n">
        <f aca="false">IFERROR(INDEX($B$3:$G$14,MATCH(C44,$A$3:$A$14,0),MATCH($A$36,$B$2:$G$2,0)),0)</f>
        <v>0</v>
      </c>
      <c r="H44" s="63" t="str">
        <f aca="false">IF(G44=F44,"Bien",G44-F44)</f>
        <v>Bien</v>
      </c>
    </row>
    <row r="45" customFormat="false" ht="14.9" hidden="false" customHeight="false" outlineLevel="0" collapsed="false">
      <c r="A45" s="48"/>
      <c r="B45" s="68" t="s">
        <v>49</v>
      </c>
      <c r="C45" s="69" t="s">
        <v>50</v>
      </c>
      <c r="D45" s="70"/>
      <c r="E45" s="71"/>
      <c r="F45" s="71"/>
      <c r="G45" s="72" t="n">
        <f aca="false">IFERROR(INDEX($B$3:$G$14,MATCH(C45,$A$3:$A$14,0),MATCH($A$36,$B$2:$G$2,0)),0)</f>
        <v>0</v>
      </c>
      <c r="H45" s="73" t="str">
        <f aca="false">IF(G45=F45,"Bien",G45-F45)</f>
        <v>Bien</v>
      </c>
    </row>
    <row r="46" s="2" customFormat="true" ht="13.8" hidden="false" customHeight="false" outlineLevel="0" collapsed="false">
      <c r="D46" s="28"/>
      <c r="E46" s="27"/>
      <c r="F46" s="55" t="n">
        <f aca="false">SUM(F38:F45)</f>
        <v>19620</v>
      </c>
      <c r="G46" s="56" t="n">
        <f aca="false">SUM(G38:G45)</f>
        <v>19620</v>
      </c>
      <c r="H46" s="27"/>
      <c r="I46" s="57" t="str">
        <f aca="false">+IF(G46=G15,"OK","Revisar")</f>
        <v>OK</v>
      </c>
    </row>
    <row r="47" customFormat="false" ht="13.8" hidden="false" customHeight="false" outlineLevel="0" collapsed="false">
      <c r="C47" s="27"/>
      <c r="D47" s="28"/>
      <c r="E47" s="27"/>
      <c r="F47" s="55"/>
      <c r="G47" s="56"/>
      <c r="H47" s="27"/>
    </row>
    <row r="48" customFormat="false" ht="13.8" hidden="false" customHeight="false" outlineLevel="0" collapsed="false">
      <c r="A48" s="23" t="s">
        <v>5</v>
      </c>
      <c r="B48" s="23"/>
      <c r="C48" s="23"/>
      <c r="D48" s="23"/>
      <c r="E48" s="23"/>
      <c r="F48" s="23"/>
      <c r="G48" s="23"/>
      <c r="H48" s="23"/>
    </row>
    <row r="49" customFormat="false" ht="13.8" hidden="false" customHeight="false" outlineLevel="0" collapsed="false">
      <c r="C49" s="74" t="s">
        <v>26</v>
      </c>
      <c r="D49" s="75" t="s">
        <v>47</v>
      </c>
      <c r="E49" s="76" t="s">
        <v>29</v>
      </c>
      <c r="F49" s="77" t="s">
        <v>21</v>
      </c>
      <c r="G49" s="27"/>
      <c r="H49" s="27"/>
    </row>
    <row r="50" customFormat="false" ht="13.8" hidden="false" customHeight="false" outlineLevel="0" collapsed="false">
      <c r="A50" s="78" t="n">
        <v>109</v>
      </c>
      <c r="B50" s="79" t="s">
        <v>30</v>
      </c>
      <c r="C50" s="32" t="s">
        <v>8</v>
      </c>
      <c r="D50" s="80" t="n">
        <v>1</v>
      </c>
      <c r="E50" s="81" t="n">
        <v>1300</v>
      </c>
      <c r="F50" s="82" t="n">
        <f aca="false">IFERROR(INDEX($B$3:$G$14,MATCH(C50,$A$3:$A$14,0),MATCH($A$48,$B$2:$G$2,0)),0)</f>
        <v>1300</v>
      </c>
      <c r="G50" s="60" t="str">
        <f aca="false">IF(F50=E50,"Bien",F50-E50)</f>
        <v>Bien</v>
      </c>
      <c r="H50" s="27"/>
    </row>
    <row r="51" customFormat="false" ht="14.9" hidden="false" customHeight="false" outlineLevel="0" collapsed="false">
      <c r="A51" s="83" t="n">
        <v>320</v>
      </c>
      <c r="B51" s="84" t="s">
        <v>34</v>
      </c>
      <c r="C51" s="27" t="s">
        <v>10</v>
      </c>
      <c r="D51" s="85"/>
      <c r="E51" s="86"/>
      <c r="F51" s="87" t="n">
        <f aca="false">IFERROR(INDEX($B$3:$G$14,MATCH(C51,$A$3:$A$14,0),MATCH($A$48,$B$2:$G$2,0)),0)</f>
        <v>0</v>
      </c>
      <c r="G51" s="63" t="str">
        <f aca="false">IF(F51=E51,"Bien",F51-E51)</f>
        <v>Bien</v>
      </c>
      <c r="H51" s="27"/>
    </row>
    <row r="52" customFormat="false" ht="14.9" hidden="false" customHeight="false" outlineLevel="0" collapsed="false">
      <c r="A52" s="83" t="n">
        <v>321</v>
      </c>
      <c r="B52" s="84" t="s">
        <v>36</v>
      </c>
      <c r="C52" s="27" t="s">
        <v>11</v>
      </c>
      <c r="D52" s="85" t="n">
        <v>4</v>
      </c>
      <c r="E52" s="86" t="n">
        <v>9860</v>
      </c>
      <c r="F52" s="87" t="n">
        <f aca="false">IFERROR(INDEX($B$3:$G$14,MATCH(C52,$A$3:$A$14,0),MATCH($A$48,$B$2:$G$2,0)),0)</f>
        <v>9860</v>
      </c>
      <c r="G52" s="63" t="str">
        <f aca="false">IF(F52=E52,"Bien",F52-E52)</f>
        <v>Bien</v>
      </c>
      <c r="H52" s="27"/>
    </row>
    <row r="53" customFormat="false" ht="13.8" hidden="false" customHeight="false" outlineLevel="0" collapsed="false">
      <c r="A53" s="88" t="n">
        <v>296</v>
      </c>
      <c r="B53" s="89" t="s">
        <v>43</v>
      </c>
      <c r="C53" s="27" t="s">
        <v>17</v>
      </c>
      <c r="D53" s="85"/>
      <c r="E53" s="90"/>
      <c r="F53" s="87" t="n">
        <f aca="false">IFERROR(INDEX($B$3:$G$14,MATCH(C53,$A$3:$A$14,0),MATCH($A$48,$B$2:$G$2,0)),0)</f>
        <v>0</v>
      </c>
      <c r="G53" s="63" t="str">
        <f aca="false">IF(F53=E53,"Bien",F53-E53)</f>
        <v>Bien</v>
      </c>
      <c r="H53" s="27"/>
    </row>
    <row r="54" customFormat="false" ht="14.9" hidden="false" customHeight="false" outlineLevel="0" collapsed="false">
      <c r="A54" s="83"/>
      <c r="B54" s="91"/>
      <c r="C54" s="92" t="s">
        <v>48</v>
      </c>
      <c r="D54" s="93"/>
      <c r="E54" s="94"/>
      <c r="F54" s="87" t="n">
        <f aca="false">IFERROR(INDEX($B$3:$G$14,MATCH(C54,$A$3:$A$14,0),MATCH($A$48,$B$2:$G$2,0)),0)</f>
        <v>0</v>
      </c>
      <c r="G54" s="63" t="str">
        <f aca="false">IF(F54=E54,"Bien",F54-E54)</f>
        <v>Bien</v>
      </c>
      <c r="H54" s="27"/>
    </row>
    <row r="55" customFormat="false" ht="13.8" hidden="false" customHeight="false" outlineLevel="0" collapsed="false">
      <c r="A55" s="95"/>
      <c r="B55" s="96" t="s">
        <v>30</v>
      </c>
      <c r="C55" s="49" t="s">
        <v>44</v>
      </c>
      <c r="D55" s="97"/>
      <c r="E55" s="98"/>
      <c r="F55" s="99" t="n">
        <f aca="false">IFERROR(INDEX($B$3:$G$14,MATCH(C55,$A$3:$A$14,0),MATCH($A$48,$B$2:$G$2,0)),0)</f>
        <v>0</v>
      </c>
      <c r="G55" s="73" t="str">
        <f aca="false">IF(F55=E55,"Bien",F55-E55)</f>
        <v>Bien</v>
      </c>
      <c r="H55" s="27"/>
    </row>
    <row r="56" customFormat="false" ht="13.8" hidden="false" customHeight="false" outlineLevel="0" collapsed="false">
      <c r="C56" s="27"/>
      <c r="D56" s="85"/>
      <c r="E56" s="56" t="n">
        <f aca="false">SUM(E50:E55)</f>
        <v>11160</v>
      </c>
      <c r="F56" s="56" t="n">
        <f aca="false">SUM(F50:F55)</f>
        <v>11160</v>
      </c>
      <c r="G56" s="27"/>
      <c r="H56" s="27"/>
      <c r="I56" s="57" t="str">
        <f aca="false">+IF(F56=F15,"OK","Revisar")</f>
        <v>OK</v>
      </c>
    </row>
    <row r="57" customFormat="false" ht="13.8" hidden="false" customHeight="false" outlineLevel="0" collapsed="false">
      <c r="A57" s="23" t="s">
        <v>4</v>
      </c>
      <c r="B57" s="23"/>
      <c r="C57" s="23"/>
      <c r="D57" s="23"/>
      <c r="E57" s="23"/>
      <c r="F57" s="23"/>
      <c r="G57" s="23"/>
      <c r="H57" s="27"/>
    </row>
    <row r="58" customFormat="false" ht="13.8" hidden="false" customHeight="false" outlineLevel="0" collapsed="false">
      <c r="C58" s="27" t="s">
        <v>26</v>
      </c>
      <c r="D58" s="28" t="s">
        <v>47</v>
      </c>
      <c r="E58" s="27" t="s">
        <v>29</v>
      </c>
      <c r="F58" s="55" t="s">
        <v>21</v>
      </c>
      <c r="G58" s="27"/>
      <c r="H58" s="27"/>
    </row>
    <row r="59" customFormat="false" ht="13.8" hidden="false" customHeight="false" outlineLevel="0" collapsed="false">
      <c r="A59" s="100" t="n">
        <v>109</v>
      </c>
      <c r="B59" s="101" t="s">
        <v>30</v>
      </c>
      <c r="C59" s="102" t="s">
        <v>8</v>
      </c>
      <c r="D59" s="103"/>
      <c r="E59" s="104"/>
      <c r="F59" s="105" t="n">
        <f aca="false">IFERROR(INDEX($B$3:$G$14,MATCH(C59,$A$3:$A$14,0),MATCH($A$57,$B$2:$G$2,0)),0)</f>
        <v>0</v>
      </c>
      <c r="G59" s="106" t="str">
        <f aca="false">IF(F59=E59,"Bien",F59-E59)</f>
        <v>Bien</v>
      </c>
      <c r="H59" s="27"/>
    </row>
    <row r="60" customFormat="false" ht="14.9" hidden="false" customHeight="false" outlineLevel="0" collapsed="false">
      <c r="A60" s="107" t="n">
        <v>320</v>
      </c>
      <c r="B60" s="43" t="s">
        <v>34</v>
      </c>
      <c r="C60" s="27" t="s">
        <v>10</v>
      </c>
      <c r="D60" s="93" t="n">
        <v>1</v>
      </c>
      <c r="E60" s="94" t="n">
        <v>1060</v>
      </c>
      <c r="F60" s="40" t="n">
        <f aca="false">IFERROR(INDEX($B$3:$G$14,MATCH(C60,$A$3:$A$14,0),MATCH($A$57,$B$2:$G$2,0)),0)</f>
        <v>1060</v>
      </c>
      <c r="G60" s="47" t="str">
        <f aca="false">IF(F60=E60,"Bien",F60-E60)</f>
        <v>Bien</v>
      </c>
      <c r="H60" s="27"/>
    </row>
    <row r="61" customFormat="false" ht="14.9" hidden="false" customHeight="false" outlineLevel="0" collapsed="false">
      <c r="A61" s="107" t="n">
        <v>321</v>
      </c>
      <c r="B61" s="43" t="s">
        <v>36</v>
      </c>
      <c r="C61" s="27" t="s">
        <v>11</v>
      </c>
      <c r="D61" s="93" t="n">
        <v>4</v>
      </c>
      <c r="E61" s="94" t="n">
        <v>7960</v>
      </c>
      <c r="F61" s="40" t="n">
        <f aca="false">IFERROR(INDEX($B$3:$G$14,MATCH(C61,$A$3:$A$14,0),MATCH($A$57,$B$2:$G$2,0)),0)</f>
        <v>7960</v>
      </c>
      <c r="G61" s="47" t="str">
        <f aca="false">IF(F61=E61,"Bien",F61-E61)</f>
        <v>Bien</v>
      </c>
      <c r="H61" s="27"/>
    </row>
    <row r="62" customFormat="false" ht="13.8" hidden="false" customHeight="false" outlineLevel="0" collapsed="false">
      <c r="A62" s="108" t="n">
        <v>296</v>
      </c>
      <c r="B62" s="2" t="s">
        <v>43</v>
      </c>
      <c r="C62" s="27" t="s">
        <v>17</v>
      </c>
      <c r="D62" s="93"/>
      <c r="E62" s="94"/>
      <c r="F62" s="40" t="n">
        <f aca="false">IFERROR(INDEX($B$3:$G$14,MATCH(C62,$A$3:$A$14,0),MATCH($A$57,$B$2:$G$2,0)),0)</f>
        <v>0</v>
      </c>
      <c r="G62" s="47" t="str">
        <f aca="false">IF(F62=E62,"Bien",F62-E62)</f>
        <v>Bien</v>
      </c>
      <c r="H62" s="27"/>
    </row>
    <row r="63" customFormat="false" ht="14.9" hidden="false" customHeight="false" outlineLevel="0" collapsed="false">
      <c r="A63" s="109"/>
      <c r="B63" s="110"/>
      <c r="C63" s="111" t="s">
        <v>48</v>
      </c>
      <c r="D63" s="112"/>
      <c r="E63" s="113"/>
      <c r="F63" s="114" t="n">
        <f aca="false">IFERROR(INDEX($B$3:$G$14,MATCH(C63,$A$3:$A$14,0),MATCH($A$57,$B$2:$G$2,0)),0)</f>
        <v>0</v>
      </c>
      <c r="G63" s="54" t="str">
        <f aca="false">IF(F63=E63,"Bien",F63-E63)</f>
        <v>Bien</v>
      </c>
      <c r="H63" s="27"/>
    </row>
    <row r="64" customFormat="false" ht="13.8" hidden="false" customHeight="false" outlineLevel="0" collapsed="false">
      <c r="C64" s="27"/>
      <c r="D64" s="85"/>
      <c r="E64" s="56" t="n">
        <f aca="false">SUM(E59:E63)</f>
        <v>9020</v>
      </c>
      <c r="F64" s="56" t="n">
        <f aca="false">SUM(F59:F63)</f>
        <v>9020</v>
      </c>
      <c r="G64" s="27"/>
      <c r="H64" s="27"/>
      <c r="I64" s="57" t="str">
        <f aca="false">+IF(F64=E15,"OK","Revisar")</f>
        <v>OK</v>
      </c>
    </row>
    <row r="65" customFormat="false" ht="13.8" hidden="false" customHeight="false" outlineLevel="0" collapsed="false">
      <c r="A65" s="23" t="s">
        <v>2</v>
      </c>
      <c r="B65" s="23"/>
      <c r="C65" s="23"/>
      <c r="D65" s="23"/>
      <c r="E65" s="23"/>
      <c r="F65" s="23"/>
      <c r="G65" s="23"/>
      <c r="H65" s="27"/>
    </row>
    <row r="66" customFormat="false" ht="13.8" hidden="false" customHeight="false" outlineLevel="0" collapsed="false">
      <c r="C66" s="27" t="s">
        <v>26</v>
      </c>
      <c r="D66" s="28" t="s">
        <v>47</v>
      </c>
      <c r="E66" s="27" t="s">
        <v>29</v>
      </c>
      <c r="F66" s="55" t="s">
        <v>21</v>
      </c>
      <c r="G66" s="27"/>
      <c r="H66" s="27"/>
    </row>
    <row r="67" customFormat="false" ht="13.8" hidden="false" customHeight="false" outlineLevel="0" collapsed="false">
      <c r="A67" s="100" t="n">
        <v>109</v>
      </c>
      <c r="B67" s="101" t="s">
        <v>30</v>
      </c>
      <c r="C67" s="102" t="s">
        <v>8</v>
      </c>
      <c r="D67" s="115"/>
      <c r="E67" s="104"/>
      <c r="F67" s="105" t="n">
        <f aca="false">IFERROR(INDEX($B$3:$G$14,MATCH(C67,$A$3:$A$14,0),MATCH($A$65,$B$2:$G$2,0)),0)</f>
        <v>0</v>
      </c>
      <c r="G67" s="106" t="str">
        <f aca="false">IF(F67=E67,"Bien",F67-E67)</f>
        <v>Bien</v>
      </c>
      <c r="H67" s="27"/>
    </row>
    <row r="68" customFormat="false" ht="13.8" hidden="false" customHeight="false" outlineLevel="0" collapsed="false">
      <c r="A68" s="108" t="n">
        <v>333</v>
      </c>
      <c r="B68" s="38" t="s">
        <v>31</v>
      </c>
      <c r="C68" s="38" t="s">
        <v>9</v>
      </c>
      <c r="D68" s="93" t="s">
        <v>32</v>
      </c>
      <c r="E68" s="116" t="n">
        <v>940</v>
      </c>
      <c r="F68" s="40" t="n">
        <f aca="false">IFERROR(INDEX($B$3:$G$14,MATCH(C68,$A$3:$A$14,0),MATCH($A$65,$B$2:$G$2,0)),0)</f>
        <v>940</v>
      </c>
      <c r="G68" s="47" t="str">
        <f aca="false">IF(F68=E68,"Bien",F68-E68)</f>
        <v>Bien</v>
      </c>
      <c r="H68" s="27"/>
    </row>
    <row r="69" customFormat="false" ht="14.9" hidden="false" customHeight="false" outlineLevel="0" collapsed="false">
      <c r="A69" s="117"/>
      <c r="B69" s="2" t="s">
        <v>49</v>
      </c>
      <c r="C69" s="43" t="s">
        <v>50</v>
      </c>
      <c r="D69" s="90"/>
      <c r="E69" s="90"/>
      <c r="F69" s="40" t="n">
        <f aca="false">IFERROR(INDEX($B$3:$G$14,MATCH(C69,$A$3:$A$14,0),MATCH($A$65,$B$2:$G$2,0)),0)</f>
        <v>0</v>
      </c>
      <c r="G69" s="47" t="str">
        <f aca="false">IF(F69=E69,"Bien",F69-E69)</f>
        <v>Bien</v>
      </c>
      <c r="H69" s="27"/>
    </row>
    <row r="70" customFormat="false" ht="13.8" hidden="false" customHeight="false" outlineLevel="0" collapsed="false">
      <c r="A70" s="108" t="n">
        <v>316</v>
      </c>
      <c r="B70" s="2" t="s">
        <v>37</v>
      </c>
      <c r="C70" s="27" t="s">
        <v>12</v>
      </c>
      <c r="D70" s="90"/>
      <c r="E70" s="90"/>
      <c r="F70" s="40" t="n">
        <f aca="false">IFERROR(INDEX($B$3:$G$14,MATCH(C70,$A$3:$A$14,0),MATCH($A$65,$B$2:$G$2,0)),0)</f>
        <v>0</v>
      </c>
      <c r="G70" s="47" t="str">
        <f aca="false">IF(F70=E70,"Bien",F70-E70)</f>
        <v>Bien</v>
      </c>
      <c r="H70" s="27"/>
    </row>
    <row r="71" customFormat="false" ht="13.8" hidden="false" customHeight="false" outlineLevel="0" collapsed="false">
      <c r="A71" s="108" t="n">
        <v>309</v>
      </c>
      <c r="B71" s="2" t="s">
        <v>41</v>
      </c>
      <c r="C71" s="27" t="s">
        <v>14</v>
      </c>
      <c r="D71" s="85"/>
      <c r="E71" s="86"/>
      <c r="F71" s="40" t="n">
        <f aca="false">IFERROR(INDEX($B$3:$G$14,MATCH(C71,$A$3:$A$14,0),MATCH($A$65,$B$2:$G$2,0)),0)</f>
        <v>0</v>
      </c>
      <c r="G71" s="47" t="str">
        <f aca="false">IF(F71=E71,"Bien",F71-E71)</f>
        <v>Bien</v>
      </c>
      <c r="H71" s="27"/>
    </row>
    <row r="72" customFormat="false" ht="13.8" hidden="false" customHeight="false" outlineLevel="0" collapsed="false">
      <c r="A72" s="118" t="n">
        <v>296</v>
      </c>
      <c r="B72" s="110" t="s">
        <v>43</v>
      </c>
      <c r="C72" s="110" t="s">
        <v>17</v>
      </c>
      <c r="D72" s="112"/>
      <c r="E72" s="119"/>
      <c r="F72" s="114" t="n">
        <f aca="false">IFERROR(INDEX($B$3:$G$14,MATCH(C72,$A$3:$A$14,0),MATCH($A$65,$B$2:$G$2,0)),0)</f>
        <v>0</v>
      </c>
      <c r="G72" s="54" t="str">
        <f aca="false">IF(F72=E72,"Bien",F72-E72)</f>
        <v>Bien</v>
      </c>
      <c r="H72" s="27"/>
    </row>
    <row r="73" customFormat="false" ht="13.8" hidden="false" customHeight="false" outlineLevel="0" collapsed="false">
      <c r="C73" s="27"/>
      <c r="D73" s="85"/>
      <c r="E73" s="56" t="n">
        <f aca="false">SUM(E67:E72)</f>
        <v>940</v>
      </c>
      <c r="F73" s="56" t="n">
        <f aca="false">SUM(F67:F72)</f>
        <v>940</v>
      </c>
      <c r="G73" s="27"/>
      <c r="H73" s="27"/>
      <c r="I73" s="57" t="str">
        <f aca="false">+IF(F73=C15,"OK","Revisar")</f>
        <v>OK</v>
      </c>
    </row>
    <row r="74" customFormat="false" ht="13.8" hidden="false" customHeight="false" outlineLevel="0" collapsed="false">
      <c r="A74" s="23" t="s">
        <v>1</v>
      </c>
      <c r="B74" s="23"/>
      <c r="C74" s="23"/>
      <c r="D74" s="23"/>
      <c r="E74" s="23"/>
      <c r="F74" s="23"/>
      <c r="G74" s="23"/>
      <c r="H74" s="27"/>
    </row>
    <row r="75" customFormat="false" ht="13.8" hidden="false" customHeight="false" outlineLevel="0" collapsed="false">
      <c r="C75" s="27" t="s">
        <v>26</v>
      </c>
      <c r="D75" s="28" t="s">
        <v>47</v>
      </c>
      <c r="E75" s="27" t="s">
        <v>29</v>
      </c>
      <c r="F75" s="55" t="s">
        <v>21</v>
      </c>
      <c r="G75" s="27"/>
      <c r="H75" s="27"/>
    </row>
    <row r="76" customFormat="false" ht="13.8" hidden="false" customHeight="false" outlineLevel="0" collapsed="false">
      <c r="A76" s="100" t="n">
        <v>109</v>
      </c>
      <c r="B76" s="101" t="s">
        <v>30</v>
      </c>
      <c r="C76" s="102" t="s">
        <v>8</v>
      </c>
      <c r="D76" s="103"/>
      <c r="E76" s="104"/>
      <c r="F76" s="105" t="n">
        <f aca="false">IFERROR(INDEX($B$3:$G$14,MATCH(C76,$A$3:$A$14,0),MATCH($A$74,$B$2:$G$2,0)),0)</f>
        <v>0</v>
      </c>
      <c r="G76" s="106" t="str">
        <f aca="false">IF(F76=E76,"Bien",F76-E76)</f>
        <v>Bien</v>
      </c>
      <c r="H76" s="27"/>
    </row>
    <row r="77" customFormat="false" ht="13.8" hidden="false" customHeight="false" outlineLevel="0" collapsed="false">
      <c r="A77" s="108" t="n">
        <v>309</v>
      </c>
      <c r="B77" s="2" t="s">
        <v>41</v>
      </c>
      <c r="C77" s="27" t="s">
        <v>14</v>
      </c>
      <c r="D77" s="85"/>
      <c r="E77" s="90"/>
      <c r="F77" s="40" t="n">
        <f aca="false">IFERROR(INDEX($B$3:$G$14,MATCH(C77,$A$3:$A$14,0),MATCH($A$74,$B$2:$G$2,0)),0)</f>
        <v>0</v>
      </c>
      <c r="G77" s="47" t="str">
        <f aca="false">IF(F77=E77,"Bien",F77-E77)</f>
        <v>Bien</v>
      </c>
      <c r="H77" s="27"/>
    </row>
    <row r="78" customFormat="false" ht="13.8" hidden="false" customHeight="false" outlineLevel="0" collapsed="false">
      <c r="A78" s="118" t="n">
        <v>296</v>
      </c>
      <c r="B78" s="110" t="s">
        <v>43</v>
      </c>
      <c r="C78" s="110" t="s">
        <v>17</v>
      </c>
      <c r="D78" s="112"/>
      <c r="E78" s="113"/>
      <c r="F78" s="114" t="n">
        <f aca="false">IFERROR(INDEX($B$3:$G$14,MATCH(C78,$A$3:$A$14,0),MATCH($A$74,$B$2:$G$2,0)),0)</f>
        <v>0</v>
      </c>
      <c r="G78" s="54" t="str">
        <f aca="false">IF(F78=E78,"Bien",F78-E78)</f>
        <v>Bien</v>
      </c>
      <c r="H78" s="27"/>
    </row>
    <row r="79" customFormat="false" ht="13.8" hidden="false" customHeight="false" outlineLevel="0" collapsed="false">
      <c r="C79" s="27"/>
      <c r="D79" s="85"/>
      <c r="E79" s="56" t="n">
        <f aca="false">SUM(E76:E78)</f>
        <v>0</v>
      </c>
      <c r="F79" s="56" t="n">
        <f aca="false">SUM(F76:F78)</f>
        <v>0</v>
      </c>
      <c r="G79" s="27"/>
      <c r="H79" s="27"/>
      <c r="I79" s="57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5">
    <cfRule type="cellIs" priority="4" operator="notEqual" aboveAverage="0" equalAverage="0" bottom="0" percent="0" rank="0" text="" dxfId="2">
      <formula>""bien""</formula>
    </cfRule>
  </conditionalFormatting>
  <conditionalFormatting sqref="G50">
    <cfRule type="cellIs" priority="5" operator="notEqual" aboveAverage="0" equalAverage="0" bottom="0" percent="0" rank="0" text="" dxfId="3">
      <formula>""bien""</formula>
    </cfRule>
  </conditionalFormatting>
  <conditionalFormatting sqref="G51:G55">
    <cfRule type="cellIs" priority="6" operator="notEqual" aboveAverage="0" equalAverage="0" bottom="0" percent="0" rank="0" text="" dxfId="4">
      <formula>""bien""</formula>
    </cfRule>
  </conditionalFormatting>
  <conditionalFormatting sqref="G59">
    <cfRule type="cellIs" priority="7" operator="notEqual" aboveAverage="0" equalAverage="0" bottom="0" percent="0" rank="0" text="" dxfId="5">
      <formula>""bien""</formula>
    </cfRule>
  </conditionalFormatting>
  <conditionalFormatting sqref="G60:G63">
    <cfRule type="cellIs" priority="8" operator="notEqual" aboveAverage="0" equalAverage="0" bottom="0" percent="0" rank="0" text="" dxfId="6">
      <formula>""bien""</formula>
    </cfRule>
  </conditionalFormatting>
  <conditionalFormatting sqref="G67">
    <cfRule type="cellIs" priority="9" operator="notEqual" aboveAverage="0" equalAverage="0" bottom="0" percent="0" rank="0" text="" dxfId="7">
      <formula>""bien""</formula>
    </cfRule>
  </conditionalFormatting>
  <conditionalFormatting sqref="G68:G72">
    <cfRule type="cellIs" priority="10" operator="notEqual" aboveAverage="0" equalAverage="0" bottom="0" percent="0" rank="0" text="" dxfId="8">
      <formula>""bien""</formula>
    </cfRule>
  </conditionalFormatting>
  <conditionalFormatting sqref="G76">
    <cfRule type="cellIs" priority="11" operator="notEqual" aboveAverage="0" equalAverage="0" bottom="0" percent="0" rank="0" text="" dxfId="9">
      <formula>""bien""</formula>
    </cfRule>
  </conditionalFormatting>
  <conditionalFormatting sqref="G77:G78">
    <cfRule type="cellIs" priority="12" operator="notEqual" aboveAverage="0" equalAverage="0" bottom="0" percent="0" rank="0" text="" dxfId="10">
      <formula>""bien""</formula>
    </cfRule>
  </conditionalFormatting>
  <conditionalFormatting sqref="B16:G16">
    <cfRule type="cellIs" priority="13" operator="notEqual" aboveAverage="0" equalAverage="0" bottom="0" percent="0" rank="0" text="" dxfId="11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J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09375" defaultRowHeight="18" zeroHeight="false" outlineLevelRow="0" outlineLevelCol="0"/>
  <sheetData>
    <row r="1" customFormat="false" ht="13.8" hidden="false" customHeight="false" outlineLevel="0" collapsed="false">
      <c r="A1" s="120" t="s">
        <v>51</v>
      </c>
      <c r="B1" s="121" t="s">
        <v>52</v>
      </c>
      <c r="C1" s="122" t="s">
        <v>53</v>
      </c>
      <c r="D1" s="123" t="s">
        <v>0</v>
      </c>
      <c r="E1" s="122" t="s">
        <v>54</v>
      </c>
      <c r="F1" s="122" t="s">
        <v>55</v>
      </c>
      <c r="G1" s="122" t="s">
        <v>56</v>
      </c>
      <c r="H1" s="122" t="s">
        <v>57</v>
      </c>
      <c r="I1" s="122" t="s">
        <v>58</v>
      </c>
      <c r="J1" s="120" t="s">
        <v>59</v>
      </c>
    </row>
    <row r="2" customFormat="false" ht="18" hidden="false" customHeight="false" outlineLevel="0" collapsed="false">
      <c r="A2" s="124" t="n">
        <v>45017</v>
      </c>
      <c r="B2" s="125" t="n">
        <v>0.889583333333333</v>
      </c>
      <c r="C2" s="126" t="n">
        <v>20137</v>
      </c>
      <c r="D2" s="126" t="s">
        <v>9</v>
      </c>
      <c r="E2" s="126" t="n">
        <v>3140</v>
      </c>
      <c r="F2" s="126" t="n">
        <v>2720</v>
      </c>
      <c r="G2" s="127" t="n">
        <v>420</v>
      </c>
      <c r="H2" s="126" t="s">
        <v>60</v>
      </c>
      <c r="I2" s="124" t="s">
        <v>3</v>
      </c>
      <c r="J2" s="0" t="s">
        <v>61</v>
      </c>
    </row>
    <row r="3" customFormat="false" ht="18" hidden="false" customHeight="false" outlineLevel="0" collapsed="false">
      <c r="A3" s="124" t="n">
        <v>45017</v>
      </c>
      <c r="B3" s="125" t="n">
        <v>0.252777777777778</v>
      </c>
      <c r="C3" s="126" t="n">
        <v>20126</v>
      </c>
      <c r="D3" s="126" t="s">
        <v>16</v>
      </c>
      <c r="E3" s="126" t="n">
        <v>4300</v>
      </c>
      <c r="F3" s="126" t="n">
        <v>3580</v>
      </c>
      <c r="G3" s="127" t="n">
        <v>720</v>
      </c>
      <c r="H3" s="126" t="s">
        <v>60</v>
      </c>
      <c r="I3" s="126" t="s">
        <v>3</v>
      </c>
      <c r="J3" s="0" t="s">
        <v>61</v>
      </c>
    </row>
    <row r="4" customFormat="false" ht="18" hidden="false" customHeight="false" outlineLevel="0" collapsed="false">
      <c r="A4" s="124" t="n">
        <v>45017</v>
      </c>
      <c r="B4" s="125" t="n">
        <v>0.256944444444444</v>
      </c>
      <c r="C4" s="126" t="n">
        <v>20127</v>
      </c>
      <c r="D4" s="126" t="s">
        <v>9</v>
      </c>
      <c r="E4" s="126" t="n">
        <v>3080</v>
      </c>
      <c r="F4" s="126" t="n">
        <v>2820</v>
      </c>
      <c r="G4" s="127" t="n">
        <v>260</v>
      </c>
      <c r="H4" s="126" t="s">
        <v>60</v>
      </c>
      <c r="I4" s="126" t="s">
        <v>3</v>
      </c>
      <c r="J4" s="0" t="s">
        <v>61</v>
      </c>
    </row>
    <row r="5" customFormat="false" ht="18" hidden="false" customHeight="false" outlineLevel="0" collapsed="false">
      <c r="A5" s="124" t="n">
        <v>45017</v>
      </c>
      <c r="B5" s="125" t="n">
        <v>0.516666666666667</v>
      </c>
      <c r="C5" s="126" t="n">
        <v>20135</v>
      </c>
      <c r="D5" s="126" t="s">
        <v>12</v>
      </c>
      <c r="E5" s="126" t="n">
        <v>2580</v>
      </c>
      <c r="F5" s="126" t="n">
        <v>2400</v>
      </c>
      <c r="G5" s="127" t="n">
        <v>180</v>
      </c>
      <c r="H5" s="126" t="s">
        <v>60</v>
      </c>
      <c r="I5" s="126" t="s">
        <v>3</v>
      </c>
      <c r="J5" s="0" t="s">
        <v>61</v>
      </c>
    </row>
    <row r="6" customFormat="false" ht="18" hidden="false" customHeight="false" outlineLevel="0" collapsed="false">
      <c r="A6" s="124" t="n">
        <v>45017</v>
      </c>
      <c r="B6" s="125" t="n">
        <v>0.208333333333333</v>
      </c>
      <c r="C6" s="126" t="n">
        <v>20119</v>
      </c>
      <c r="D6" s="126" t="s">
        <v>10</v>
      </c>
      <c r="E6" s="126" t="n">
        <v>24260</v>
      </c>
      <c r="F6" s="126" t="n">
        <v>15980</v>
      </c>
      <c r="G6" s="127" t="n">
        <v>8280</v>
      </c>
      <c r="H6" s="126" t="s">
        <v>60</v>
      </c>
      <c r="I6" s="126" t="s">
        <v>3</v>
      </c>
      <c r="J6" s="0" t="s">
        <v>61</v>
      </c>
    </row>
    <row r="7" customFormat="false" ht="18" hidden="false" customHeight="false" outlineLevel="0" collapsed="false">
      <c r="A7" s="124" t="n">
        <v>45017</v>
      </c>
      <c r="B7" s="125" t="n">
        <v>0.489583333333333</v>
      </c>
      <c r="C7" s="126" t="n">
        <v>20133</v>
      </c>
      <c r="D7" s="126" t="s">
        <v>14</v>
      </c>
      <c r="E7" s="126" t="n">
        <v>3180</v>
      </c>
      <c r="F7" s="126" t="n">
        <v>2840</v>
      </c>
      <c r="G7" s="127" t="n">
        <v>340</v>
      </c>
      <c r="H7" s="126" t="s">
        <v>60</v>
      </c>
      <c r="I7" s="126" t="s">
        <v>3</v>
      </c>
      <c r="J7" s="0" t="s">
        <v>61</v>
      </c>
    </row>
    <row r="8" customFormat="false" ht="18" hidden="false" customHeight="false" outlineLevel="0" collapsed="false">
      <c r="A8" s="124" t="n">
        <v>45017</v>
      </c>
      <c r="B8" s="125" t="n">
        <v>0.110416666666667</v>
      </c>
      <c r="C8" s="126" t="n">
        <v>20109</v>
      </c>
      <c r="D8" s="126" t="s">
        <v>15</v>
      </c>
      <c r="E8" s="126" t="n">
        <v>20360</v>
      </c>
      <c r="F8" s="126" t="n">
        <v>13220</v>
      </c>
      <c r="G8" s="127" t="n">
        <v>7140</v>
      </c>
      <c r="H8" s="126" t="s">
        <v>60</v>
      </c>
      <c r="I8" s="126" t="s">
        <v>3</v>
      </c>
      <c r="J8" s="0" t="s">
        <v>61</v>
      </c>
    </row>
    <row r="9" customFormat="false" ht="18" hidden="false" customHeight="false" outlineLevel="0" collapsed="false">
      <c r="A9" s="124" t="n">
        <v>45017</v>
      </c>
      <c r="B9" s="125" t="n">
        <v>0.250694444444444</v>
      </c>
      <c r="C9" s="126" t="n">
        <v>20125</v>
      </c>
      <c r="D9" s="126" t="s">
        <v>15</v>
      </c>
      <c r="E9" s="126" t="n">
        <v>16700</v>
      </c>
      <c r="F9" s="126" t="n">
        <v>13280</v>
      </c>
      <c r="G9" s="127" t="n">
        <v>3420</v>
      </c>
      <c r="H9" s="126" t="s">
        <v>60</v>
      </c>
      <c r="I9" s="126" t="s">
        <v>3</v>
      </c>
      <c r="J9" s="0" t="s">
        <v>61</v>
      </c>
    </row>
    <row r="10" customFormat="false" ht="18" hidden="false" customHeight="false" outlineLevel="0" collapsed="false">
      <c r="A10" s="124" t="n">
        <v>45017</v>
      </c>
      <c r="B10" s="125" t="n">
        <v>0.11875</v>
      </c>
      <c r="C10" s="126" t="n">
        <v>20111</v>
      </c>
      <c r="D10" s="126" t="s">
        <v>11</v>
      </c>
      <c r="E10" s="126" t="n">
        <v>19700</v>
      </c>
      <c r="F10" s="126" t="n">
        <v>15800</v>
      </c>
      <c r="G10" s="127" t="n">
        <v>3900</v>
      </c>
      <c r="H10" s="126" t="s">
        <v>60</v>
      </c>
      <c r="I10" s="126" t="s">
        <v>3</v>
      </c>
      <c r="J10" s="0" t="s">
        <v>61</v>
      </c>
    </row>
    <row r="11" customFormat="false" ht="18" hidden="false" customHeight="false" outlineLevel="0" collapsed="false">
      <c r="A11" s="124" t="n">
        <v>45018</v>
      </c>
      <c r="B11" s="125" t="n">
        <v>0.486111111111111</v>
      </c>
      <c r="C11" s="126" t="n">
        <v>20154</v>
      </c>
      <c r="D11" s="126" t="s">
        <v>14</v>
      </c>
      <c r="E11" s="126" t="n">
        <v>3120</v>
      </c>
      <c r="F11" s="126" t="n">
        <v>2820</v>
      </c>
      <c r="G11" s="127" t="n">
        <v>300</v>
      </c>
      <c r="H11" s="126" t="s">
        <v>60</v>
      </c>
      <c r="I11" s="126" t="s">
        <v>3</v>
      </c>
      <c r="J11" s="0" t="s">
        <v>61</v>
      </c>
    </row>
    <row r="12" customFormat="false" ht="18" hidden="false" customHeight="false" outlineLevel="0" collapsed="false">
      <c r="A12" s="124" t="n">
        <v>45018</v>
      </c>
      <c r="B12" s="125" t="n">
        <v>0.872916666666667</v>
      </c>
      <c r="C12" s="126" t="n">
        <v>20155</v>
      </c>
      <c r="D12" s="126" t="s">
        <v>9</v>
      </c>
      <c r="E12" s="126" t="n">
        <v>3140</v>
      </c>
      <c r="F12" s="126" t="n">
        <v>2680</v>
      </c>
      <c r="G12" s="127" t="n">
        <v>460</v>
      </c>
      <c r="H12" s="126" t="s">
        <v>60</v>
      </c>
      <c r="I12" s="126" t="s">
        <v>3</v>
      </c>
      <c r="J12" s="0" t="s">
        <v>61</v>
      </c>
    </row>
    <row r="13" customFormat="false" ht="18" hidden="false" customHeight="false" outlineLevel="0" collapsed="false">
      <c r="A13" s="124" t="n">
        <v>45018</v>
      </c>
      <c r="B13" s="125" t="n">
        <v>0.254166666666667</v>
      </c>
      <c r="C13" s="126" t="n">
        <v>20151</v>
      </c>
      <c r="D13" s="126" t="s">
        <v>16</v>
      </c>
      <c r="E13" s="126" t="n">
        <v>4840</v>
      </c>
      <c r="F13" s="126" t="n">
        <v>3780</v>
      </c>
      <c r="G13" s="127" t="n">
        <v>1060</v>
      </c>
      <c r="H13" s="126" t="s">
        <v>60</v>
      </c>
      <c r="I13" s="126" t="s">
        <v>3</v>
      </c>
      <c r="J13" s="0" t="s">
        <v>61</v>
      </c>
    </row>
    <row r="14" customFormat="false" ht="18" hidden="false" customHeight="false" outlineLevel="0" collapsed="false">
      <c r="A14" s="124" t="n">
        <v>45018</v>
      </c>
      <c r="B14" s="125" t="n">
        <v>0.11875</v>
      </c>
      <c r="C14" s="126" t="n">
        <v>20141</v>
      </c>
      <c r="D14" s="126" t="s">
        <v>15</v>
      </c>
      <c r="E14" s="126" t="n">
        <v>21120</v>
      </c>
      <c r="F14" s="126" t="n">
        <v>13180</v>
      </c>
      <c r="G14" s="127" t="n">
        <v>7940</v>
      </c>
      <c r="H14" s="126" t="s">
        <v>60</v>
      </c>
      <c r="I14" s="126" t="s">
        <v>3</v>
      </c>
      <c r="J14" s="0" t="s">
        <v>61</v>
      </c>
    </row>
    <row r="15" customFormat="false" ht="18" hidden="false" customHeight="false" outlineLevel="0" collapsed="false">
      <c r="A15" s="124" t="n">
        <v>45018</v>
      </c>
      <c r="B15" s="125" t="n">
        <v>0.252083333333333</v>
      </c>
      <c r="C15" s="126" t="n">
        <v>20150</v>
      </c>
      <c r="D15" s="126" t="s">
        <v>15</v>
      </c>
      <c r="E15" s="126" t="n">
        <v>16960</v>
      </c>
      <c r="F15" s="126" t="n">
        <v>13160</v>
      </c>
      <c r="G15" s="127" t="n">
        <v>3800</v>
      </c>
      <c r="H15" s="126" t="s">
        <v>60</v>
      </c>
      <c r="I15" s="126" t="s">
        <v>3</v>
      </c>
      <c r="J15" s="0" t="s">
        <v>61</v>
      </c>
    </row>
    <row r="16" customFormat="false" ht="18" hidden="false" customHeight="false" outlineLevel="0" collapsed="false">
      <c r="A16" s="124" t="n">
        <v>45018</v>
      </c>
      <c r="B16" s="125" t="n">
        <v>0.243055555555556</v>
      </c>
      <c r="C16" s="126" t="n">
        <v>20148</v>
      </c>
      <c r="D16" s="126" t="s">
        <v>11</v>
      </c>
      <c r="E16" s="126" t="n">
        <v>20020</v>
      </c>
      <c r="F16" s="126" t="n">
        <v>15840</v>
      </c>
      <c r="G16" s="127" t="n">
        <v>4180</v>
      </c>
      <c r="H16" s="126" t="s">
        <v>60</v>
      </c>
      <c r="I16" s="126" t="s">
        <v>3</v>
      </c>
      <c r="J16" s="0" t="s">
        <v>61</v>
      </c>
    </row>
    <row r="17" customFormat="false" ht="18" hidden="false" customHeight="false" outlineLevel="0" collapsed="false">
      <c r="A17" s="124" t="n">
        <v>45018</v>
      </c>
      <c r="B17" s="125" t="n">
        <v>0.233333333333333</v>
      </c>
      <c r="C17" s="126" t="n">
        <v>20147</v>
      </c>
      <c r="D17" s="126" t="s">
        <v>10</v>
      </c>
      <c r="E17" s="126" t="n">
        <v>23660</v>
      </c>
      <c r="F17" s="126" t="n">
        <v>15800</v>
      </c>
      <c r="G17" s="127" t="n">
        <v>7860</v>
      </c>
      <c r="H17" s="126" t="s">
        <v>60</v>
      </c>
      <c r="I17" s="126" t="s">
        <v>3</v>
      </c>
      <c r="J17" s="0" t="s">
        <v>61</v>
      </c>
    </row>
    <row r="18" customFormat="false" ht="18" hidden="false" customHeight="false" outlineLevel="0" collapsed="false">
      <c r="A18" s="124" t="n">
        <v>45019</v>
      </c>
      <c r="B18" s="125" t="n">
        <v>0.238888888888889</v>
      </c>
      <c r="C18" s="126" t="n">
        <v>20169</v>
      </c>
      <c r="D18" s="126" t="s">
        <v>11</v>
      </c>
      <c r="E18" s="126" t="n">
        <v>19360</v>
      </c>
      <c r="F18" s="126" t="n">
        <v>15820</v>
      </c>
      <c r="G18" s="127" t="n">
        <v>3540</v>
      </c>
      <c r="H18" s="126" t="s">
        <v>60</v>
      </c>
      <c r="I18" s="126" t="s">
        <v>3</v>
      </c>
      <c r="J18" s="0" t="s">
        <v>61</v>
      </c>
    </row>
    <row r="19" customFormat="false" ht="18" hidden="false" customHeight="false" outlineLevel="0" collapsed="false">
      <c r="A19" s="124" t="n">
        <v>45019</v>
      </c>
      <c r="B19" s="125" t="n">
        <v>0.252777777777778</v>
      </c>
      <c r="C19" s="126" t="n">
        <v>20170</v>
      </c>
      <c r="D19" s="126" t="s">
        <v>16</v>
      </c>
      <c r="E19" s="126" t="n">
        <v>4460</v>
      </c>
      <c r="F19" s="126" t="n">
        <v>3680</v>
      </c>
      <c r="G19" s="127" t="n">
        <v>780</v>
      </c>
      <c r="H19" s="126" t="s">
        <v>60</v>
      </c>
      <c r="I19" s="126" t="s">
        <v>3</v>
      </c>
      <c r="J19" s="0" t="s">
        <v>61</v>
      </c>
    </row>
    <row r="20" customFormat="false" ht="18" hidden="false" customHeight="false" outlineLevel="0" collapsed="false">
      <c r="A20" s="124" t="n">
        <v>45019</v>
      </c>
      <c r="B20" s="125" t="n">
        <v>0.253472222222222</v>
      </c>
      <c r="C20" s="126" t="n">
        <v>20171</v>
      </c>
      <c r="D20" s="126" t="s">
        <v>15</v>
      </c>
      <c r="E20" s="126" t="n">
        <v>15940</v>
      </c>
      <c r="F20" s="126" t="n">
        <v>13200</v>
      </c>
      <c r="G20" s="127" t="n">
        <v>2740</v>
      </c>
      <c r="H20" s="126" t="s">
        <v>60</v>
      </c>
      <c r="I20" s="126" t="s">
        <v>3</v>
      </c>
      <c r="J20" s="0" t="s">
        <v>61</v>
      </c>
    </row>
    <row r="21" customFormat="false" ht="18" hidden="false" customHeight="false" outlineLevel="0" collapsed="false">
      <c r="A21" s="124" t="n">
        <v>45019</v>
      </c>
      <c r="B21" s="125" t="n">
        <v>0.0756944444444444</v>
      </c>
      <c r="C21" s="126" t="n">
        <v>20158</v>
      </c>
      <c r="D21" s="126" t="s">
        <v>15</v>
      </c>
      <c r="E21" s="126" t="n">
        <v>20320</v>
      </c>
      <c r="F21" s="126" t="n">
        <v>13120</v>
      </c>
      <c r="G21" s="127" t="n">
        <v>7200</v>
      </c>
      <c r="H21" s="126" t="s">
        <v>60</v>
      </c>
      <c r="I21" s="126" t="s">
        <v>3</v>
      </c>
      <c r="J21" s="0" t="s">
        <v>61</v>
      </c>
    </row>
    <row r="22" customFormat="false" ht="18" hidden="false" customHeight="false" outlineLevel="0" collapsed="false">
      <c r="A22" s="124" t="n">
        <v>45019</v>
      </c>
      <c r="B22" s="125" t="n">
        <v>0.218055555555556</v>
      </c>
      <c r="C22" s="126" t="n">
        <v>20166</v>
      </c>
      <c r="D22" s="126" t="s">
        <v>10</v>
      </c>
      <c r="E22" s="126" t="n">
        <v>23640</v>
      </c>
      <c r="F22" s="126" t="n">
        <v>15820</v>
      </c>
      <c r="G22" s="127" t="n">
        <v>7820</v>
      </c>
      <c r="H22" s="126" t="s">
        <v>60</v>
      </c>
      <c r="I22" s="126" t="s">
        <v>3</v>
      </c>
      <c r="J22" s="0" t="s">
        <v>61</v>
      </c>
    </row>
    <row r="23" customFormat="false" ht="18" hidden="true" customHeight="false" outlineLevel="0" collapsed="false">
      <c r="A23" s="124" t="n">
        <v>45019</v>
      </c>
      <c r="B23" s="125" t="n">
        <v>0.511111111111111</v>
      </c>
      <c r="C23" s="126" t="n">
        <v>4114</v>
      </c>
      <c r="D23" s="126" t="s">
        <v>11</v>
      </c>
      <c r="E23" s="126" t="n">
        <v>17460</v>
      </c>
      <c r="F23" s="126" t="n">
        <v>15760</v>
      </c>
      <c r="G23" s="127" t="n">
        <v>1700</v>
      </c>
      <c r="H23" s="126" t="s">
        <v>60</v>
      </c>
      <c r="I23" s="126" t="s">
        <v>4</v>
      </c>
      <c r="J23" s="0" t="s">
        <v>61</v>
      </c>
    </row>
    <row r="24" customFormat="false" ht="18" hidden="false" customHeight="false" outlineLevel="0" collapsed="false">
      <c r="A24" s="124" t="n">
        <v>45019</v>
      </c>
      <c r="B24" s="125" t="n">
        <v>0.697222222222222</v>
      </c>
      <c r="C24" s="126" t="n">
        <v>20203</v>
      </c>
      <c r="D24" s="126" t="s">
        <v>15</v>
      </c>
      <c r="E24" s="126" t="n">
        <v>14460</v>
      </c>
      <c r="F24" s="126" t="n">
        <v>13100</v>
      </c>
      <c r="G24" s="127" t="n">
        <v>1360</v>
      </c>
      <c r="H24" s="126" t="s">
        <v>60</v>
      </c>
      <c r="I24" s="126" t="s">
        <v>3</v>
      </c>
      <c r="J24" s="0" t="s">
        <v>61</v>
      </c>
    </row>
    <row r="25" customFormat="false" ht="18" hidden="false" customHeight="false" outlineLevel="0" collapsed="false">
      <c r="A25" s="124" t="n">
        <v>45019</v>
      </c>
      <c r="B25" s="125" t="n">
        <v>0.873611111111111</v>
      </c>
      <c r="C25" s="126" t="n">
        <v>20204</v>
      </c>
      <c r="D25" s="126" t="s">
        <v>9</v>
      </c>
      <c r="E25" s="126" t="n">
        <v>3020</v>
      </c>
      <c r="F25" s="126" t="n">
        <v>2680</v>
      </c>
      <c r="G25" s="127" t="n">
        <v>340</v>
      </c>
      <c r="H25" s="126" t="s">
        <v>60</v>
      </c>
      <c r="I25" s="126" t="s">
        <v>3</v>
      </c>
      <c r="J25" s="0" t="s">
        <v>61</v>
      </c>
    </row>
    <row r="26" customFormat="false" ht="18" hidden="false" customHeight="false" outlineLevel="0" collapsed="false">
      <c r="A26" s="124" t="n">
        <v>45019</v>
      </c>
      <c r="B26" s="125" t="n">
        <v>0.493055555555556</v>
      </c>
      <c r="C26" s="126" t="n">
        <v>20188</v>
      </c>
      <c r="D26" s="126" t="s">
        <v>17</v>
      </c>
      <c r="E26" s="126" t="n">
        <v>6400</v>
      </c>
      <c r="F26" s="126" t="n">
        <v>5600</v>
      </c>
      <c r="G26" s="127" t="n">
        <v>800</v>
      </c>
      <c r="H26" s="126" t="s">
        <v>60</v>
      </c>
      <c r="I26" s="126" t="s">
        <v>62</v>
      </c>
      <c r="J26" s="0" t="s">
        <v>61</v>
      </c>
    </row>
    <row r="27" customFormat="false" ht="18" hidden="false" customHeight="false" outlineLevel="0" collapsed="false">
      <c r="A27" s="124" t="n">
        <v>45019</v>
      </c>
      <c r="B27" s="125" t="n">
        <v>0.893055555555556</v>
      </c>
      <c r="C27" s="126" t="n">
        <v>20205</v>
      </c>
      <c r="D27" s="126" t="s">
        <v>11</v>
      </c>
      <c r="E27" s="126" t="n">
        <v>20740</v>
      </c>
      <c r="F27" s="126" t="n">
        <v>15800</v>
      </c>
      <c r="G27" s="127" t="n">
        <v>4940</v>
      </c>
      <c r="H27" s="126" t="s">
        <v>60</v>
      </c>
      <c r="I27" s="126" t="s">
        <v>3</v>
      </c>
      <c r="J27" s="0" t="s">
        <v>61</v>
      </c>
    </row>
    <row r="28" customFormat="false" ht="18" hidden="false" customHeight="false" outlineLevel="0" collapsed="false">
      <c r="A28" s="124" t="n">
        <v>45019</v>
      </c>
      <c r="B28" s="125" t="n">
        <v>0.4875</v>
      </c>
      <c r="C28" s="126" t="n">
        <v>20185</v>
      </c>
      <c r="D28" s="126" t="s">
        <v>14</v>
      </c>
      <c r="E28" s="126" t="n">
        <v>3300</v>
      </c>
      <c r="F28" s="126" t="n">
        <v>2820</v>
      </c>
      <c r="G28" s="127" t="n">
        <v>480</v>
      </c>
      <c r="H28" s="126" t="s">
        <v>60</v>
      </c>
      <c r="I28" s="126" t="s">
        <v>3</v>
      </c>
      <c r="J28" s="0" t="s">
        <v>61</v>
      </c>
    </row>
    <row r="29" customFormat="false" ht="18" hidden="false" customHeight="false" outlineLevel="0" collapsed="false">
      <c r="A29" s="124" t="n">
        <v>45020</v>
      </c>
      <c r="B29" s="125" t="n">
        <v>0.152083333333333</v>
      </c>
      <c r="C29" s="126" t="n">
        <v>20218</v>
      </c>
      <c r="D29" s="126" t="s">
        <v>15</v>
      </c>
      <c r="E29" s="126" t="n">
        <v>15960</v>
      </c>
      <c r="F29" s="126" t="n">
        <v>13220</v>
      </c>
      <c r="G29" s="127" t="n">
        <v>2740</v>
      </c>
      <c r="H29" s="126" t="s">
        <v>60</v>
      </c>
      <c r="I29" s="126" t="s">
        <v>3</v>
      </c>
      <c r="J29" s="0" t="s">
        <v>61</v>
      </c>
    </row>
    <row r="30" customFormat="false" ht="18" hidden="false" customHeight="false" outlineLevel="0" collapsed="false">
      <c r="A30" s="124" t="n">
        <v>45020</v>
      </c>
      <c r="B30" s="125" t="n">
        <v>0.0777777777777778</v>
      </c>
      <c r="C30" s="126" t="n">
        <v>20209</v>
      </c>
      <c r="D30" s="126" t="s">
        <v>15</v>
      </c>
      <c r="E30" s="126" t="n">
        <v>20940</v>
      </c>
      <c r="F30" s="126" t="n">
        <v>13240</v>
      </c>
      <c r="G30" s="127" t="n">
        <v>7700</v>
      </c>
      <c r="H30" s="126" t="s">
        <v>60</v>
      </c>
      <c r="I30" s="126" t="s">
        <v>3</v>
      </c>
      <c r="J30" s="0" t="s">
        <v>61</v>
      </c>
    </row>
    <row r="31" customFormat="false" ht="18" hidden="false" customHeight="false" outlineLevel="0" collapsed="false">
      <c r="A31" s="124" t="n">
        <v>45020</v>
      </c>
      <c r="B31" s="125" t="n">
        <v>0.202083333333333</v>
      </c>
      <c r="C31" s="126" t="n">
        <v>20221</v>
      </c>
      <c r="D31" s="126" t="s">
        <v>9</v>
      </c>
      <c r="E31" s="126" t="n">
        <v>3260</v>
      </c>
      <c r="F31" s="126" t="n">
        <v>2700</v>
      </c>
      <c r="G31" s="127" t="n">
        <v>560</v>
      </c>
      <c r="H31" s="126" t="s">
        <v>60</v>
      </c>
      <c r="I31" s="126" t="s">
        <v>3</v>
      </c>
      <c r="J31" s="0" t="s">
        <v>61</v>
      </c>
    </row>
    <row r="32" customFormat="false" ht="18" hidden="false" customHeight="false" outlineLevel="0" collapsed="false">
      <c r="A32" s="124" t="n">
        <v>45020</v>
      </c>
      <c r="B32" s="125" t="n">
        <v>0.697916666666667</v>
      </c>
      <c r="C32" s="126" t="n">
        <v>20265</v>
      </c>
      <c r="D32" s="126" t="s">
        <v>15</v>
      </c>
      <c r="E32" s="126" t="n">
        <v>4180</v>
      </c>
      <c r="F32" s="126" t="n">
        <v>3180</v>
      </c>
      <c r="G32" s="127" t="n">
        <v>1000</v>
      </c>
      <c r="H32" s="126" t="s">
        <v>60</v>
      </c>
      <c r="I32" s="126" t="s">
        <v>3</v>
      </c>
      <c r="J32" s="0" t="s">
        <v>61</v>
      </c>
    </row>
    <row r="33" customFormat="false" ht="18" hidden="false" customHeight="false" outlineLevel="0" collapsed="false">
      <c r="A33" s="124" t="n">
        <v>45020</v>
      </c>
      <c r="B33" s="125" t="n">
        <v>0.853472222222222</v>
      </c>
      <c r="C33" s="126" t="n">
        <v>20267</v>
      </c>
      <c r="D33" s="126" t="s">
        <v>10</v>
      </c>
      <c r="E33" s="126" t="n">
        <v>27180</v>
      </c>
      <c r="F33" s="126" t="n">
        <v>15740</v>
      </c>
      <c r="G33" s="127" t="n">
        <v>11440</v>
      </c>
      <c r="H33" s="126" t="s">
        <v>60</v>
      </c>
      <c r="I33" s="126" t="s">
        <v>3</v>
      </c>
      <c r="J33" s="0" t="s">
        <v>61</v>
      </c>
    </row>
    <row r="34" customFormat="false" ht="18" hidden="false" customHeight="false" outlineLevel="0" collapsed="false">
      <c r="A34" s="124" t="n">
        <v>45020</v>
      </c>
      <c r="B34" s="125" t="n">
        <v>0.873611111111111</v>
      </c>
      <c r="C34" s="126" t="n">
        <v>20268</v>
      </c>
      <c r="D34" s="126" t="s">
        <v>9</v>
      </c>
      <c r="E34" s="126" t="n">
        <v>3020</v>
      </c>
      <c r="F34" s="126" t="n">
        <v>2660</v>
      </c>
      <c r="G34" s="127" t="n">
        <v>360</v>
      </c>
      <c r="H34" s="126" t="s">
        <v>60</v>
      </c>
      <c r="I34" s="126" t="s">
        <v>3</v>
      </c>
      <c r="J34" s="0" t="s">
        <v>61</v>
      </c>
    </row>
    <row r="35" customFormat="false" ht="18" hidden="true" customHeight="false" outlineLevel="0" collapsed="false">
      <c r="A35" s="124" t="n">
        <v>45020</v>
      </c>
      <c r="B35" s="125" t="n">
        <v>0.525694444444444</v>
      </c>
      <c r="C35" s="126" t="n">
        <v>154563</v>
      </c>
      <c r="D35" s="126" t="s">
        <v>11</v>
      </c>
      <c r="E35" s="126" t="n">
        <v>18800</v>
      </c>
      <c r="F35" s="126" t="n">
        <v>15800</v>
      </c>
      <c r="G35" s="127" t="n">
        <v>3000</v>
      </c>
      <c r="H35" s="126" t="s">
        <v>60</v>
      </c>
      <c r="I35" s="126" t="s">
        <v>5</v>
      </c>
      <c r="J35" s="0" t="s">
        <v>61</v>
      </c>
    </row>
    <row r="36" customFormat="false" ht="18" hidden="false" customHeight="false" outlineLevel="0" collapsed="false">
      <c r="A36" s="124" t="n">
        <v>45021</v>
      </c>
      <c r="B36" s="125" t="n">
        <v>0.2</v>
      </c>
      <c r="C36" s="126" t="n">
        <v>20275</v>
      </c>
      <c r="D36" s="126" t="s">
        <v>9</v>
      </c>
      <c r="E36" s="126" t="n">
        <v>3360</v>
      </c>
      <c r="F36" s="126" t="n">
        <v>2720</v>
      </c>
      <c r="G36" s="127" t="n">
        <v>640</v>
      </c>
      <c r="H36" s="126" t="s">
        <v>60</v>
      </c>
      <c r="I36" s="126" t="s">
        <v>3</v>
      </c>
      <c r="J36" s="0" t="s">
        <v>61</v>
      </c>
    </row>
    <row r="37" customFormat="false" ht="18" hidden="false" customHeight="false" outlineLevel="0" collapsed="false">
      <c r="A37" s="124" t="n">
        <v>45021</v>
      </c>
      <c r="B37" s="125" t="n">
        <v>0.0909722222222222</v>
      </c>
      <c r="C37" s="126" t="n">
        <v>20270</v>
      </c>
      <c r="D37" s="126" t="s">
        <v>15</v>
      </c>
      <c r="E37" s="126" t="n">
        <v>22120</v>
      </c>
      <c r="F37" s="126" t="n">
        <v>13220</v>
      </c>
      <c r="G37" s="127" t="n">
        <v>8900</v>
      </c>
      <c r="H37" s="126" t="s">
        <v>60</v>
      </c>
      <c r="I37" s="126" t="s">
        <v>3</v>
      </c>
      <c r="J37" s="0" t="s">
        <v>61</v>
      </c>
    </row>
    <row r="38" customFormat="false" ht="18" hidden="false" customHeight="false" outlineLevel="0" collapsed="false">
      <c r="A38" s="124" t="n">
        <v>45021</v>
      </c>
      <c r="B38" s="125" t="n">
        <v>0.222916666666667</v>
      </c>
      <c r="C38" s="126" t="n">
        <v>20276</v>
      </c>
      <c r="D38" s="126" t="s">
        <v>10</v>
      </c>
      <c r="E38" s="126" t="n">
        <v>25920</v>
      </c>
      <c r="F38" s="126" t="n">
        <v>15880</v>
      </c>
      <c r="G38" s="127" t="n">
        <v>10040</v>
      </c>
      <c r="H38" s="126" t="s">
        <v>60</v>
      </c>
      <c r="I38" s="126" t="s">
        <v>3</v>
      </c>
      <c r="J38" s="0" t="s">
        <v>61</v>
      </c>
    </row>
    <row r="39" customFormat="false" ht="18" hidden="false" customHeight="false" outlineLevel="0" collapsed="false">
      <c r="A39" s="124" t="n">
        <v>45021</v>
      </c>
      <c r="B39" s="125" t="n">
        <v>0.251388888888889</v>
      </c>
      <c r="C39" s="126" t="n">
        <v>20282</v>
      </c>
      <c r="D39" s="126" t="s">
        <v>16</v>
      </c>
      <c r="E39" s="126" t="n">
        <v>4120</v>
      </c>
      <c r="F39" s="126" t="n">
        <v>3780</v>
      </c>
      <c r="G39" s="127" t="n">
        <v>340</v>
      </c>
      <c r="H39" s="126" t="s">
        <v>60</v>
      </c>
      <c r="I39" s="126" t="s">
        <v>3</v>
      </c>
      <c r="J39" s="0" t="s">
        <v>61</v>
      </c>
    </row>
    <row r="40" customFormat="false" ht="18" hidden="false" customHeight="false" outlineLevel="0" collapsed="false">
      <c r="A40" s="124" t="n">
        <v>45020</v>
      </c>
      <c r="B40" s="125" t="n">
        <v>0.483333333333333</v>
      </c>
      <c r="C40" s="126" t="n">
        <v>20244</v>
      </c>
      <c r="D40" s="126" t="s">
        <v>14</v>
      </c>
      <c r="E40" s="126" t="n">
        <v>3340</v>
      </c>
      <c r="F40" s="126" t="n">
        <v>2820</v>
      </c>
      <c r="G40" s="127" t="n">
        <v>520</v>
      </c>
      <c r="H40" s="126" t="s">
        <v>60</v>
      </c>
      <c r="I40" s="126" t="s">
        <v>3</v>
      </c>
      <c r="J40" s="0" t="s">
        <v>61</v>
      </c>
    </row>
    <row r="41" customFormat="false" ht="18" hidden="false" customHeight="false" outlineLevel="0" collapsed="false">
      <c r="A41" s="124" t="n">
        <v>45020</v>
      </c>
      <c r="B41" s="125" t="n">
        <v>0.513888888888889</v>
      </c>
      <c r="C41" s="126" t="n">
        <v>20251</v>
      </c>
      <c r="D41" s="126" t="s">
        <v>17</v>
      </c>
      <c r="E41" s="126" t="n">
        <v>6220</v>
      </c>
      <c r="F41" s="126" t="n">
        <v>5580</v>
      </c>
      <c r="G41" s="127" t="n">
        <v>640</v>
      </c>
      <c r="H41" s="126" t="s">
        <v>60</v>
      </c>
      <c r="I41" s="126" t="s">
        <v>62</v>
      </c>
      <c r="J41" s="0" t="s">
        <v>61</v>
      </c>
    </row>
    <row r="42" customFormat="false" ht="18" hidden="false" customHeight="false" outlineLevel="0" collapsed="false">
      <c r="A42" s="124" t="n">
        <v>45021</v>
      </c>
      <c r="B42" s="125" t="n">
        <v>0.365277777777778</v>
      </c>
      <c r="C42" s="126" t="n">
        <v>20286</v>
      </c>
      <c r="D42" s="126" t="s">
        <v>14</v>
      </c>
      <c r="E42" s="126" t="n">
        <v>3500</v>
      </c>
      <c r="F42" s="126" t="n">
        <v>2860</v>
      </c>
      <c r="G42" s="127" t="n">
        <v>640</v>
      </c>
      <c r="H42" s="126" t="s">
        <v>60</v>
      </c>
      <c r="I42" s="126" t="s">
        <v>62</v>
      </c>
      <c r="J42" s="0" t="s">
        <v>61</v>
      </c>
    </row>
    <row r="43" customFormat="false" ht="18" hidden="false" customHeight="false" outlineLevel="0" collapsed="false">
      <c r="A43" s="124" t="n">
        <v>45021</v>
      </c>
      <c r="B43" s="125" t="n">
        <v>0.479166666666667</v>
      </c>
      <c r="C43" s="126" t="n">
        <v>20296</v>
      </c>
      <c r="D43" s="126" t="s">
        <v>9</v>
      </c>
      <c r="E43" s="126" t="n">
        <v>3000</v>
      </c>
      <c r="F43" s="126" t="n">
        <v>2700</v>
      </c>
      <c r="G43" s="127" t="n">
        <v>300</v>
      </c>
      <c r="H43" s="126" t="s">
        <v>60</v>
      </c>
      <c r="I43" s="126" t="s">
        <v>3</v>
      </c>
      <c r="J43" s="0" t="s">
        <v>61</v>
      </c>
    </row>
    <row r="44" customFormat="false" ht="18" hidden="false" customHeight="false" outlineLevel="0" collapsed="false">
      <c r="A44" s="124" t="n">
        <v>45021</v>
      </c>
      <c r="B44" s="125" t="n">
        <v>0.504166666666667</v>
      </c>
      <c r="C44" s="126" t="n">
        <v>20299</v>
      </c>
      <c r="D44" s="126" t="s">
        <v>17</v>
      </c>
      <c r="E44" s="126" t="n">
        <v>6300</v>
      </c>
      <c r="F44" s="126" t="n">
        <v>5580</v>
      </c>
      <c r="G44" s="127" t="n">
        <v>720</v>
      </c>
      <c r="H44" s="126" t="s">
        <v>60</v>
      </c>
      <c r="I44" s="126" t="s">
        <v>62</v>
      </c>
      <c r="J44" s="0" t="s">
        <v>61</v>
      </c>
    </row>
    <row r="45" customFormat="false" ht="18" hidden="false" customHeight="false" outlineLevel="0" collapsed="false">
      <c r="A45" s="124" t="n">
        <v>45021</v>
      </c>
      <c r="B45" s="125" t="n">
        <v>0.407638888888889</v>
      </c>
      <c r="C45" s="126" t="n">
        <v>20289</v>
      </c>
      <c r="D45" s="126" t="s">
        <v>17</v>
      </c>
      <c r="E45" s="126" t="n">
        <v>6460</v>
      </c>
      <c r="F45" s="126" t="n">
        <v>5580</v>
      </c>
      <c r="G45" s="127" t="n">
        <v>880</v>
      </c>
      <c r="H45" s="126" t="s">
        <v>60</v>
      </c>
      <c r="I45" s="126" t="s">
        <v>62</v>
      </c>
      <c r="J45" s="0" t="s">
        <v>61</v>
      </c>
    </row>
    <row r="46" customFormat="false" ht="18" hidden="false" customHeight="false" outlineLevel="0" collapsed="false">
      <c r="A46" s="124" t="n">
        <v>45021</v>
      </c>
      <c r="B46" s="125" t="n">
        <v>0.872222222222222</v>
      </c>
      <c r="C46" s="126" t="n">
        <v>20312</v>
      </c>
      <c r="D46" s="126" t="s">
        <v>9</v>
      </c>
      <c r="E46" s="126" t="n">
        <v>3100</v>
      </c>
      <c r="F46" s="126" t="n">
        <v>2700</v>
      </c>
      <c r="G46" s="127" t="n">
        <v>400</v>
      </c>
      <c r="H46" s="126" t="s">
        <v>60</v>
      </c>
      <c r="I46" s="126" t="s">
        <v>3</v>
      </c>
      <c r="J46" s="0" t="s">
        <v>61</v>
      </c>
    </row>
    <row r="47" customFormat="false" ht="18" hidden="false" customHeight="false" outlineLevel="0" collapsed="false">
      <c r="A47" s="124" t="n">
        <v>45022</v>
      </c>
      <c r="B47" s="125" t="n">
        <v>0.0631944444444444</v>
      </c>
      <c r="C47" s="126" t="n">
        <v>20316</v>
      </c>
      <c r="D47" s="126" t="s">
        <v>15</v>
      </c>
      <c r="E47" s="126" t="n">
        <v>22020</v>
      </c>
      <c r="F47" s="126" t="n">
        <v>13200</v>
      </c>
      <c r="G47" s="127" t="n">
        <v>8820</v>
      </c>
      <c r="H47" s="126" t="s">
        <v>60</v>
      </c>
      <c r="I47" s="126" t="s">
        <v>3</v>
      </c>
      <c r="J47" s="0" t="s">
        <v>61</v>
      </c>
    </row>
    <row r="48" customFormat="false" ht="18" hidden="false" customHeight="false" outlineLevel="0" collapsed="false">
      <c r="A48" s="124" t="n">
        <v>45022</v>
      </c>
      <c r="B48" s="125" t="n">
        <v>0.240277777777778</v>
      </c>
      <c r="C48" s="126" t="n">
        <v>20329</v>
      </c>
      <c r="D48" s="126" t="s">
        <v>15</v>
      </c>
      <c r="E48" s="126" t="n">
        <v>18520</v>
      </c>
      <c r="F48" s="126" t="n">
        <v>13180</v>
      </c>
      <c r="G48" s="127" t="n">
        <v>5340</v>
      </c>
      <c r="H48" s="126" t="s">
        <v>60</v>
      </c>
      <c r="I48" s="126" t="s">
        <v>3</v>
      </c>
      <c r="J48" s="0" t="s">
        <v>61</v>
      </c>
    </row>
    <row r="49" customFormat="false" ht="18" hidden="false" customHeight="false" outlineLevel="0" collapsed="false">
      <c r="A49" s="124" t="n">
        <v>45022</v>
      </c>
      <c r="B49" s="125" t="n">
        <v>0.1875</v>
      </c>
      <c r="C49" s="126" t="n">
        <v>20325</v>
      </c>
      <c r="D49" s="126" t="s">
        <v>10</v>
      </c>
      <c r="E49" s="126" t="n">
        <v>23780</v>
      </c>
      <c r="F49" s="126" t="n">
        <v>15860</v>
      </c>
      <c r="G49" s="127" t="n">
        <v>7920</v>
      </c>
      <c r="H49" s="126" t="s">
        <v>60</v>
      </c>
      <c r="I49" s="126" t="s">
        <v>3</v>
      </c>
      <c r="J49" s="0" t="s">
        <v>61</v>
      </c>
    </row>
    <row r="50" customFormat="false" ht="18" hidden="false" customHeight="false" outlineLevel="0" collapsed="false">
      <c r="A50" s="124" t="n">
        <v>45022</v>
      </c>
      <c r="B50" s="125" t="n">
        <v>0.244444444444444</v>
      </c>
      <c r="C50" s="126" t="n">
        <v>20330</v>
      </c>
      <c r="D50" s="126" t="s">
        <v>11</v>
      </c>
      <c r="E50" s="126" t="n">
        <v>24140</v>
      </c>
      <c r="F50" s="126" t="n">
        <v>15880</v>
      </c>
      <c r="G50" s="127" t="n">
        <v>8260</v>
      </c>
      <c r="H50" s="126" t="s">
        <v>60</v>
      </c>
      <c r="I50" s="126" t="s">
        <v>3</v>
      </c>
      <c r="J50" s="0" t="s">
        <v>61</v>
      </c>
    </row>
    <row r="51" customFormat="false" ht="18" hidden="false" customHeight="false" outlineLevel="0" collapsed="false">
      <c r="A51" s="124" t="n">
        <v>45022</v>
      </c>
      <c r="B51" s="125" t="n">
        <v>0.254861111111111</v>
      </c>
      <c r="C51" s="126" t="n">
        <v>20334</v>
      </c>
      <c r="D51" s="126" t="s">
        <v>16</v>
      </c>
      <c r="E51" s="126" t="n">
        <v>4540</v>
      </c>
      <c r="F51" s="126" t="n">
        <v>3660</v>
      </c>
      <c r="G51" s="127" t="n">
        <v>880</v>
      </c>
      <c r="H51" s="126" t="s">
        <v>60</v>
      </c>
      <c r="I51" s="126" t="s">
        <v>3</v>
      </c>
      <c r="J51" s="0" t="s">
        <v>61</v>
      </c>
    </row>
    <row r="52" customFormat="false" ht="18" hidden="true" customHeight="false" outlineLevel="0" collapsed="false">
      <c r="A52" s="124" t="n">
        <v>45022</v>
      </c>
      <c r="B52" s="125" t="n">
        <v>0.375</v>
      </c>
      <c r="C52" s="126" t="n">
        <v>4126</v>
      </c>
      <c r="D52" s="126" t="s">
        <v>10</v>
      </c>
      <c r="E52" s="126" t="n">
        <v>16820</v>
      </c>
      <c r="F52" s="126" t="n">
        <v>15760</v>
      </c>
      <c r="G52" s="127" t="n">
        <v>1060</v>
      </c>
      <c r="H52" s="126" t="s">
        <v>60</v>
      </c>
      <c r="I52" s="126" t="s">
        <v>4</v>
      </c>
      <c r="J52" s="0" t="s">
        <v>61</v>
      </c>
    </row>
    <row r="53" customFormat="false" ht="18" hidden="false" customHeight="false" outlineLevel="0" collapsed="false">
      <c r="A53" s="124" t="n">
        <v>45022</v>
      </c>
      <c r="B53" s="125" t="n">
        <v>0.693055555555556</v>
      </c>
      <c r="C53" s="126" t="n">
        <v>20362</v>
      </c>
      <c r="D53" s="126" t="s">
        <v>15</v>
      </c>
      <c r="E53" s="126" t="n">
        <v>14380</v>
      </c>
      <c r="F53" s="126" t="n">
        <v>13120</v>
      </c>
      <c r="G53" s="126" t="n">
        <v>1260</v>
      </c>
      <c r="H53" s="126" t="s">
        <v>60</v>
      </c>
      <c r="I53" s="126" t="s">
        <v>3</v>
      </c>
      <c r="J53" s="0" t="s">
        <v>61</v>
      </c>
    </row>
    <row r="54" customFormat="false" ht="18" hidden="false" customHeight="false" outlineLevel="0" collapsed="false">
      <c r="A54" s="124" t="n">
        <v>45022</v>
      </c>
      <c r="B54" s="125" t="n">
        <v>0.875694444444444</v>
      </c>
      <c r="C54" s="126" t="n">
        <v>20364</v>
      </c>
      <c r="D54" s="126" t="s">
        <v>11</v>
      </c>
      <c r="E54" s="126" t="n">
        <v>22460</v>
      </c>
      <c r="F54" s="126" t="n">
        <v>15800</v>
      </c>
      <c r="G54" s="126" t="n">
        <v>6660</v>
      </c>
      <c r="H54" s="126" t="s">
        <v>60</v>
      </c>
      <c r="I54" s="126" t="s">
        <v>3</v>
      </c>
      <c r="J54" s="0" t="s">
        <v>61</v>
      </c>
    </row>
    <row r="55" customFormat="false" ht="18" hidden="false" customHeight="false" outlineLevel="0" collapsed="false">
      <c r="A55" s="124" t="n">
        <v>45022</v>
      </c>
      <c r="B55" s="125" t="n">
        <v>0.875</v>
      </c>
      <c r="C55" s="126" t="n">
        <v>20363</v>
      </c>
      <c r="D55" s="126" t="s">
        <v>9</v>
      </c>
      <c r="E55" s="126" t="n">
        <v>3200</v>
      </c>
      <c r="F55" s="126" t="n">
        <v>2700</v>
      </c>
      <c r="G55" s="126" t="n">
        <v>500</v>
      </c>
      <c r="H55" s="126" t="s">
        <v>60</v>
      </c>
      <c r="I55" s="126" t="s">
        <v>3</v>
      </c>
      <c r="J55" s="0" t="s">
        <v>61</v>
      </c>
    </row>
    <row r="56" customFormat="false" ht="18" hidden="false" customHeight="false" outlineLevel="0" collapsed="false">
      <c r="A56" s="124" t="n">
        <v>45022</v>
      </c>
      <c r="B56" s="125" t="n">
        <v>0.435416666666667</v>
      </c>
      <c r="C56" s="126" t="n">
        <v>20345</v>
      </c>
      <c r="D56" s="126" t="s">
        <v>14</v>
      </c>
      <c r="E56" s="126" t="n">
        <v>3320</v>
      </c>
      <c r="F56" s="126" t="n">
        <v>2860</v>
      </c>
      <c r="G56" s="126" t="n">
        <v>460</v>
      </c>
      <c r="H56" s="126" t="s">
        <v>60</v>
      </c>
      <c r="I56" s="126" t="s">
        <v>3</v>
      </c>
      <c r="J56" s="0" t="s">
        <v>61</v>
      </c>
    </row>
    <row r="57" customFormat="false" ht="18" hidden="false" customHeight="false" outlineLevel="0" collapsed="false">
      <c r="A57" s="124" t="n">
        <v>45022</v>
      </c>
      <c r="B57" s="125" t="n">
        <v>0.491666666666667</v>
      </c>
      <c r="C57" s="126" t="n">
        <v>20351</v>
      </c>
      <c r="D57" s="126" t="s">
        <v>12</v>
      </c>
      <c r="E57" s="126" t="n">
        <v>2600</v>
      </c>
      <c r="F57" s="126" t="n">
        <v>2400</v>
      </c>
      <c r="G57" s="126" t="n">
        <v>200</v>
      </c>
      <c r="H57" s="126" t="s">
        <v>60</v>
      </c>
      <c r="I57" s="126" t="s">
        <v>3</v>
      </c>
      <c r="J57" s="0" t="s">
        <v>61</v>
      </c>
    </row>
    <row r="58" customFormat="false" ht="18" hidden="false" customHeight="false" outlineLevel="0" collapsed="false">
      <c r="A58" s="124" t="n">
        <v>45023</v>
      </c>
      <c r="B58" s="125" t="n">
        <v>0.0118055555555556</v>
      </c>
      <c r="C58" s="126" t="n">
        <v>20365</v>
      </c>
      <c r="D58" s="126" t="s">
        <v>13</v>
      </c>
      <c r="E58" s="126" t="n">
        <v>14640</v>
      </c>
      <c r="F58" s="126" t="n">
        <v>12460</v>
      </c>
      <c r="G58" s="126" t="n">
        <v>2180</v>
      </c>
      <c r="H58" s="126" t="s">
        <v>60</v>
      </c>
      <c r="I58" s="126" t="s">
        <v>3</v>
      </c>
      <c r="J58" s="0" t="s">
        <v>61</v>
      </c>
    </row>
    <row r="59" customFormat="false" ht="18" hidden="false" customHeight="false" outlineLevel="0" collapsed="false">
      <c r="A59" s="124" t="n">
        <v>45023</v>
      </c>
      <c r="B59" s="125" t="n">
        <v>0.0826388888888889</v>
      </c>
      <c r="C59" s="126" t="n">
        <v>20366</v>
      </c>
      <c r="D59" s="126" t="s">
        <v>15</v>
      </c>
      <c r="E59" s="126" t="n">
        <v>21400</v>
      </c>
      <c r="F59" s="126" t="n">
        <v>13280</v>
      </c>
      <c r="G59" s="126" t="n">
        <v>8120</v>
      </c>
      <c r="H59" s="126" t="s">
        <v>60</v>
      </c>
      <c r="I59" s="126" t="s">
        <v>3</v>
      </c>
      <c r="J59" s="0" t="s">
        <v>61</v>
      </c>
    </row>
    <row r="60" customFormat="false" ht="18" hidden="false" customHeight="false" outlineLevel="0" collapsed="false">
      <c r="A60" s="124" t="n">
        <v>45023</v>
      </c>
      <c r="B60" s="125" t="n">
        <v>0.246527777777778</v>
      </c>
      <c r="C60" s="126" t="n">
        <v>20378</v>
      </c>
      <c r="D60" s="126" t="s">
        <v>15</v>
      </c>
      <c r="E60" s="126" t="n">
        <v>17700</v>
      </c>
      <c r="F60" s="126" t="n">
        <v>13260</v>
      </c>
      <c r="G60" s="126" t="n">
        <v>4440</v>
      </c>
      <c r="H60" s="126" t="s">
        <v>60</v>
      </c>
      <c r="I60" s="126" t="s">
        <v>3</v>
      </c>
      <c r="J60" s="0" t="s">
        <v>61</v>
      </c>
    </row>
    <row r="61" customFormat="false" ht="18" hidden="false" customHeight="false" outlineLevel="0" collapsed="false">
      <c r="A61" s="124" t="n">
        <v>45023</v>
      </c>
      <c r="B61" s="125" t="n">
        <v>0.232638888888889</v>
      </c>
      <c r="C61" s="126" t="n">
        <v>20376</v>
      </c>
      <c r="D61" s="126" t="s">
        <v>11</v>
      </c>
      <c r="E61" s="126" t="n">
        <v>20660</v>
      </c>
      <c r="F61" s="126" t="n">
        <v>15780</v>
      </c>
      <c r="G61" s="127" t="n">
        <v>4880</v>
      </c>
      <c r="H61" s="126" t="s">
        <v>60</v>
      </c>
      <c r="I61" s="126" t="s">
        <v>3</v>
      </c>
      <c r="J61" s="0" t="s">
        <v>61</v>
      </c>
    </row>
    <row r="62" customFormat="false" ht="18" hidden="false" customHeight="false" outlineLevel="0" collapsed="false">
      <c r="A62" s="124" t="n">
        <v>45023</v>
      </c>
      <c r="B62" s="125" t="n">
        <v>0.250694444444444</v>
      </c>
      <c r="C62" s="126" t="n">
        <v>20379</v>
      </c>
      <c r="D62" s="126" t="s">
        <v>10</v>
      </c>
      <c r="E62" s="126" t="n">
        <v>25400</v>
      </c>
      <c r="F62" s="126" t="n">
        <v>15780</v>
      </c>
      <c r="G62" s="127" t="n">
        <v>9620</v>
      </c>
      <c r="H62" s="126" t="s">
        <v>60</v>
      </c>
      <c r="I62" s="126" t="s">
        <v>3</v>
      </c>
      <c r="J62" s="0" t="s">
        <v>61</v>
      </c>
    </row>
    <row r="63" customFormat="false" ht="18" hidden="false" customHeight="false" outlineLevel="0" collapsed="false">
      <c r="A63" s="124" t="n">
        <v>45023</v>
      </c>
      <c r="B63" s="125" t="n">
        <v>0.879166666666667</v>
      </c>
      <c r="C63" s="126" t="n">
        <v>20405</v>
      </c>
      <c r="D63" s="126" t="s">
        <v>11</v>
      </c>
      <c r="E63" s="126" t="n">
        <v>20200</v>
      </c>
      <c r="F63" s="126" t="n">
        <v>15860</v>
      </c>
      <c r="G63" s="127" t="n">
        <v>4340</v>
      </c>
      <c r="H63" s="126" t="s">
        <v>60</v>
      </c>
      <c r="I63" s="126" t="s">
        <v>3</v>
      </c>
      <c r="J63" s="0" t="s">
        <v>61</v>
      </c>
    </row>
    <row r="64" customFormat="false" ht="18" hidden="false" customHeight="false" outlineLevel="0" collapsed="false">
      <c r="A64" s="124" t="n">
        <v>45023</v>
      </c>
      <c r="B64" s="125" t="n">
        <v>0.488194444444444</v>
      </c>
      <c r="C64" s="126" t="n">
        <v>20397</v>
      </c>
      <c r="D64" s="126" t="s">
        <v>9</v>
      </c>
      <c r="E64" s="126" t="n">
        <v>3120</v>
      </c>
      <c r="F64" s="126" t="n">
        <v>2780</v>
      </c>
      <c r="G64" s="127" t="n">
        <v>340</v>
      </c>
      <c r="H64" s="126" t="s">
        <v>60</v>
      </c>
      <c r="I64" s="126" t="s">
        <v>3</v>
      </c>
      <c r="J64" s="0" t="s">
        <v>61</v>
      </c>
    </row>
    <row r="65" customFormat="false" ht="18" hidden="false" customHeight="false" outlineLevel="0" collapsed="false">
      <c r="A65" s="124" t="n">
        <v>45023</v>
      </c>
      <c r="B65" s="125" t="n">
        <v>0.872222222222222</v>
      </c>
      <c r="C65" s="126" t="n">
        <v>20404</v>
      </c>
      <c r="D65" s="126" t="s">
        <v>9</v>
      </c>
      <c r="E65" s="126" t="n">
        <v>3300</v>
      </c>
      <c r="F65" s="126" t="n">
        <v>2680</v>
      </c>
      <c r="G65" s="127" t="n">
        <v>620</v>
      </c>
      <c r="H65" s="126" t="s">
        <v>60</v>
      </c>
      <c r="I65" s="126" t="s">
        <v>3</v>
      </c>
      <c r="J65" s="0" t="s">
        <v>61</v>
      </c>
    </row>
    <row r="66" customFormat="false" ht="18" hidden="false" customHeight="false" outlineLevel="0" collapsed="false">
      <c r="A66" s="124" t="n">
        <v>45023</v>
      </c>
      <c r="B66" s="125" t="n">
        <v>0.254166666666667</v>
      </c>
      <c r="C66" s="126" t="n">
        <v>20381</v>
      </c>
      <c r="D66" s="126" t="s">
        <v>16</v>
      </c>
      <c r="E66" s="126" t="n">
        <v>5160</v>
      </c>
      <c r="F66" s="126" t="n">
        <v>3820</v>
      </c>
      <c r="G66" s="127" t="n">
        <v>1340</v>
      </c>
      <c r="H66" s="126" t="s">
        <v>60</v>
      </c>
      <c r="I66" s="126" t="s">
        <v>3</v>
      </c>
      <c r="J66" s="0" t="s">
        <v>61</v>
      </c>
    </row>
    <row r="67" customFormat="false" ht="18" hidden="false" customHeight="false" outlineLevel="0" collapsed="false">
      <c r="A67" s="124" t="n">
        <v>45023</v>
      </c>
      <c r="B67" s="125" t="n">
        <v>0.697222222222222</v>
      </c>
      <c r="C67" s="126" t="n">
        <v>20403</v>
      </c>
      <c r="D67" s="126" t="s">
        <v>15</v>
      </c>
      <c r="E67" s="126" t="n">
        <v>14420</v>
      </c>
      <c r="F67" s="126" t="n">
        <v>13200</v>
      </c>
      <c r="G67" s="127" t="n">
        <v>1220</v>
      </c>
      <c r="H67" s="126" t="s">
        <v>60</v>
      </c>
      <c r="I67" s="126" t="s">
        <v>3</v>
      </c>
      <c r="J67" s="0" t="s">
        <v>61</v>
      </c>
    </row>
    <row r="68" customFormat="false" ht="18" hidden="false" customHeight="false" outlineLevel="0" collapsed="false">
      <c r="A68" s="124" t="n">
        <v>45023</v>
      </c>
      <c r="B68" s="125" t="n">
        <v>0.347222222222222</v>
      </c>
      <c r="C68" s="126" t="n">
        <v>20389</v>
      </c>
      <c r="D68" s="126" t="s">
        <v>12</v>
      </c>
      <c r="E68" s="126" t="n">
        <v>2540</v>
      </c>
      <c r="F68" s="126" t="n">
        <v>2380</v>
      </c>
      <c r="G68" s="126" t="n">
        <v>160</v>
      </c>
      <c r="H68" s="126" t="s">
        <v>60</v>
      </c>
      <c r="I68" s="126" t="s">
        <v>3</v>
      </c>
      <c r="J68" s="0" t="s">
        <v>61</v>
      </c>
    </row>
    <row r="69" customFormat="false" ht="18" hidden="false" customHeight="false" outlineLevel="0" collapsed="false">
      <c r="A69" s="124" t="n">
        <v>45024</v>
      </c>
      <c r="B69" s="125" t="n">
        <v>0.7</v>
      </c>
      <c r="C69" s="126" t="n">
        <v>20444</v>
      </c>
      <c r="D69" s="126" t="s">
        <v>15</v>
      </c>
      <c r="E69" s="126" t="n">
        <v>14640</v>
      </c>
      <c r="F69" s="126" t="n">
        <v>13240</v>
      </c>
      <c r="G69" s="126" t="n">
        <v>1400</v>
      </c>
      <c r="H69" s="126" t="s">
        <v>60</v>
      </c>
      <c r="I69" s="126" t="s">
        <v>3</v>
      </c>
      <c r="J69" s="0" t="s">
        <v>61</v>
      </c>
    </row>
    <row r="70" customFormat="false" ht="18" hidden="false" customHeight="false" outlineLevel="0" collapsed="false">
      <c r="A70" s="124" t="n">
        <v>45024</v>
      </c>
      <c r="B70" s="125" t="n">
        <v>0.24375</v>
      </c>
      <c r="C70" s="126" t="n">
        <v>20425</v>
      </c>
      <c r="D70" s="126" t="s">
        <v>11</v>
      </c>
      <c r="E70" s="126" t="n">
        <v>22060</v>
      </c>
      <c r="F70" s="126" t="n">
        <v>15840</v>
      </c>
      <c r="G70" s="126" t="n">
        <v>6220</v>
      </c>
      <c r="H70" s="126" t="s">
        <v>60</v>
      </c>
      <c r="I70" s="126" t="s">
        <v>3</v>
      </c>
      <c r="J70" s="0" t="s">
        <v>61</v>
      </c>
    </row>
    <row r="71" customFormat="false" ht="18" hidden="false" customHeight="false" outlineLevel="0" collapsed="false">
      <c r="A71" s="124" t="n">
        <v>45024</v>
      </c>
      <c r="B71" s="125" t="n">
        <v>0.472222222222222</v>
      </c>
      <c r="C71" s="126" t="n">
        <v>20438</v>
      </c>
      <c r="D71" s="126" t="s">
        <v>14</v>
      </c>
      <c r="E71" s="126" t="n">
        <v>3220</v>
      </c>
      <c r="F71" s="126" t="n">
        <v>2820</v>
      </c>
      <c r="G71" s="126" t="n">
        <v>400</v>
      </c>
      <c r="H71" s="126" t="s">
        <v>60</v>
      </c>
      <c r="I71" s="126" t="s">
        <v>3</v>
      </c>
      <c r="J71" s="0" t="s">
        <v>61</v>
      </c>
    </row>
    <row r="72" customFormat="false" ht="18" hidden="false" customHeight="false" outlineLevel="0" collapsed="false">
      <c r="A72" s="124" t="n">
        <v>45024</v>
      </c>
      <c r="B72" s="125" t="n">
        <v>0.874305555555556</v>
      </c>
      <c r="C72" s="126" t="n">
        <v>20445</v>
      </c>
      <c r="D72" s="126" t="s">
        <v>9</v>
      </c>
      <c r="E72" s="126" t="n">
        <v>3420</v>
      </c>
      <c r="F72" s="126" t="n">
        <v>2700</v>
      </c>
      <c r="G72" s="126" t="n">
        <v>720</v>
      </c>
      <c r="H72" s="126" t="s">
        <v>60</v>
      </c>
      <c r="I72" s="126" t="s">
        <v>3</v>
      </c>
      <c r="J72" s="0" t="s">
        <v>61</v>
      </c>
    </row>
    <row r="73" customFormat="false" ht="18" hidden="false" customHeight="false" outlineLevel="0" collapsed="false">
      <c r="A73" s="124" t="n">
        <v>45024</v>
      </c>
      <c r="B73" s="125" t="n">
        <v>0.475</v>
      </c>
      <c r="C73" s="126" t="n">
        <v>20440</v>
      </c>
      <c r="D73" s="126" t="s">
        <v>12</v>
      </c>
      <c r="E73" s="126" t="n">
        <v>2620</v>
      </c>
      <c r="F73" s="126" t="n">
        <v>2360</v>
      </c>
      <c r="G73" s="126" t="n">
        <v>260</v>
      </c>
      <c r="H73" s="126" t="s">
        <v>60</v>
      </c>
      <c r="I73" s="126" t="s">
        <v>3</v>
      </c>
      <c r="J73" s="0" t="s">
        <v>61</v>
      </c>
    </row>
    <row r="74" customFormat="false" ht="18" hidden="false" customHeight="false" outlineLevel="0" collapsed="false">
      <c r="A74" s="124" t="n">
        <v>45024</v>
      </c>
      <c r="B74" s="125" t="n">
        <v>0.257638888888889</v>
      </c>
      <c r="C74" s="126" t="n">
        <v>20427</v>
      </c>
      <c r="D74" s="126" t="s">
        <v>10</v>
      </c>
      <c r="E74" s="126" t="n">
        <v>24180</v>
      </c>
      <c r="F74" s="126" t="n">
        <v>15720</v>
      </c>
      <c r="G74" s="126" t="n">
        <v>8460</v>
      </c>
      <c r="H74" s="126" t="s">
        <v>60</v>
      </c>
      <c r="I74" s="126" t="s">
        <v>3</v>
      </c>
      <c r="J74" s="0" t="s">
        <v>61</v>
      </c>
    </row>
    <row r="75" customFormat="false" ht="18" hidden="false" customHeight="false" outlineLevel="0" collapsed="false">
      <c r="A75" s="124" t="n">
        <v>45024</v>
      </c>
      <c r="B75" s="125" t="n">
        <v>0.875</v>
      </c>
      <c r="C75" s="126" t="n">
        <v>20446</v>
      </c>
      <c r="D75" s="126" t="s">
        <v>10</v>
      </c>
      <c r="E75" s="126" t="n">
        <v>22360</v>
      </c>
      <c r="F75" s="126" t="n">
        <v>15860</v>
      </c>
      <c r="G75" s="126" t="n">
        <v>6500</v>
      </c>
      <c r="H75" s="126" t="s">
        <v>60</v>
      </c>
      <c r="I75" s="126" t="s">
        <v>3</v>
      </c>
      <c r="J75" s="0" t="s">
        <v>61</v>
      </c>
    </row>
    <row r="76" customFormat="false" ht="18" hidden="false" customHeight="false" outlineLevel="0" collapsed="false">
      <c r="A76" s="124" t="n">
        <v>45024</v>
      </c>
      <c r="B76" s="125" t="n">
        <v>0.25625</v>
      </c>
      <c r="C76" s="126" t="n">
        <v>20426</v>
      </c>
      <c r="D76" s="126" t="s">
        <v>16</v>
      </c>
      <c r="E76" s="126" t="n">
        <v>4440</v>
      </c>
      <c r="F76" s="126" t="n">
        <v>3800</v>
      </c>
      <c r="G76" s="126" t="n">
        <v>640</v>
      </c>
      <c r="H76" s="126" t="s">
        <v>60</v>
      </c>
      <c r="I76" s="126" t="s">
        <v>3</v>
      </c>
      <c r="J76" s="0" t="s">
        <v>61</v>
      </c>
    </row>
    <row r="77" customFormat="false" ht="18" hidden="false" customHeight="false" outlineLevel="0" collapsed="false">
      <c r="A77" s="124" t="n">
        <v>45024</v>
      </c>
      <c r="B77" s="125" t="n">
        <v>0.125694444444444</v>
      </c>
      <c r="C77" s="126" t="n">
        <v>20413</v>
      </c>
      <c r="D77" s="126" t="s">
        <v>16</v>
      </c>
      <c r="E77" s="126" t="n">
        <v>4800</v>
      </c>
      <c r="F77" s="126" t="n">
        <v>3600</v>
      </c>
      <c r="G77" s="126" t="n">
        <v>1200</v>
      </c>
      <c r="H77" s="126" t="s">
        <v>60</v>
      </c>
      <c r="I77" s="126" t="s">
        <v>3</v>
      </c>
      <c r="J77" s="0" t="s">
        <v>61</v>
      </c>
    </row>
    <row r="78" customFormat="false" ht="18" hidden="false" customHeight="false" outlineLevel="0" collapsed="false">
      <c r="A78" s="124" t="n">
        <v>45024</v>
      </c>
      <c r="B78" s="125" t="n">
        <v>0.06875</v>
      </c>
      <c r="C78" s="126" t="n">
        <v>20408</v>
      </c>
      <c r="D78" s="126" t="s">
        <v>15</v>
      </c>
      <c r="E78" s="126" t="n">
        <v>22040</v>
      </c>
      <c r="F78" s="126" t="n">
        <v>13220</v>
      </c>
      <c r="G78" s="126" t="n">
        <v>8820</v>
      </c>
      <c r="H78" s="126" t="s">
        <v>60</v>
      </c>
      <c r="I78" s="126" t="s">
        <v>3</v>
      </c>
      <c r="J78" s="0" t="s">
        <v>61</v>
      </c>
    </row>
    <row r="79" customFormat="false" ht="18" hidden="false" customHeight="false" outlineLevel="0" collapsed="false">
      <c r="A79" s="124" t="n">
        <v>45024</v>
      </c>
      <c r="B79" s="125" t="n">
        <v>0.236805555555556</v>
      </c>
      <c r="C79" s="126" t="n">
        <v>20423</v>
      </c>
      <c r="D79" s="126" t="s">
        <v>15</v>
      </c>
      <c r="E79" s="126" t="n">
        <v>19580</v>
      </c>
      <c r="F79" s="126" t="n">
        <v>13200</v>
      </c>
      <c r="G79" s="126" t="n">
        <v>6380</v>
      </c>
      <c r="H79" s="126" t="s">
        <v>60</v>
      </c>
      <c r="I79" s="126" t="s">
        <v>3</v>
      </c>
      <c r="J79" s="0" t="s">
        <v>61</v>
      </c>
    </row>
    <row r="80" customFormat="false" ht="18" hidden="false" customHeight="false" outlineLevel="0" collapsed="false">
      <c r="A80" s="124" t="n">
        <v>45024</v>
      </c>
      <c r="B80" s="125" t="n">
        <v>0.669444444444444</v>
      </c>
      <c r="C80" s="126" t="n">
        <v>20443</v>
      </c>
      <c r="D80" s="126" t="s">
        <v>11</v>
      </c>
      <c r="E80" s="126" t="n">
        <v>18100</v>
      </c>
      <c r="F80" s="126" t="n">
        <v>15760</v>
      </c>
      <c r="G80" s="126" t="n">
        <v>2340</v>
      </c>
      <c r="H80" s="126" t="s">
        <v>60</v>
      </c>
      <c r="I80" s="126" t="s">
        <v>3</v>
      </c>
      <c r="J80" s="0" t="s">
        <v>61</v>
      </c>
    </row>
    <row r="81" customFormat="false" ht="18" hidden="false" customHeight="false" outlineLevel="0" collapsed="false">
      <c r="A81" s="124" t="n">
        <v>45024</v>
      </c>
      <c r="B81" s="125" t="n">
        <v>0.473611111111111</v>
      </c>
      <c r="C81" s="126" t="n">
        <v>20439</v>
      </c>
      <c r="D81" s="126" t="s">
        <v>9</v>
      </c>
      <c r="E81" s="126" t="n">
        <v>3120</v>
      </c>
      <c r="F81" s="126" t="n">
        <v>2720</v>
      </c>
      <c r="G81" s="126" t="n">
        <v>400</v>
      </c>
      <c r="H81" s="126" t="s">
        <v>60</v>
      </c>
      <c r="I81" s="126" t="s">
        <v>3</v>
      </c>
      <c r="J81" s="0" t="s">
        <v>61</v>
      </c>
    </row>
    <row r="82" customFormat="false" ht="18" hidden="false" customHeight="false" outlineLevel="0" collapsed="false">
      <c r="A82" s="124" t="n">
        <v>45025</v>
      </c>
      <c r="B82" s="125" t="n">
        <v>0.975694444444444</v>
      </c>
      <c r="C82" s="126" t="n">
        <v>20474</v>
      </c>
      <c r="D82" s="126" t="s">
        <v>13</v>
      </c>
      <c r="E82" s="126" t="n">
        <v>14140</v>
      </c>
      <c r="F82" s="126" t="n">
        <v>12440</v>
      </c>
      <c r="G82" s="126" t="n">
        <v>1700</v>
      </c>
      <c r="H82" s="126" t="s">
        <v>60</v>
      </c>
      <c r="I82" s="126" t="s">
        <v>3</v>
      </c>
      <c r="J82" s="0" t="s">
        <v>61</v>
      </c>
    </row>
    <row r="83" customFormat="false" ht="18" hidden="false" customHeight="false" outlineLevel="0" collapsed="false">
      <c r="A83" s="124" t="n">
        <v>45025</v>
      </c>
      <c r="B83" s="125" t="n">
        <v>0.692361111111111</v>
      </c>
      <c r="C83" s="126" t="n">
        <v>20470</v>
      </c>
      <c r="D83" s="126" t="s">
        <v>15</v>
      </c>
      <c r="E83" s="126" t="n">
        <v>14640</v>
      </c>
      <c r="F83" s="126" t="n">
        <v>13180</v>
      </c>
      <c r="G83" s="126" t="n">
        <v>1460</v>
      </c>
      <c r="H83" s="126" t="s">
        <v>60</v>
      </c>
      <c r="I83" s="126" t="s">
        <v>3</v>
      </c>
      <c r="J83" s="0" t="s">
        <v>61</v>
      </c>
    </row>
    <row r="84" customFormat="false" ht="18" hidden="false" customHeight="false" outlineLevel="0" collapsed="false">
      <c r="A84" s="124" t="n">
        <v>45025</v>
      </c>
      <c r="B84" s="125" t="n">
        <v>0.489583333333333</v>
      </c>
      <c r="C84" s="126" t="n">
        <v>20467</v>
      </c>
      <c r="D84" s="126" t="s">
        <v>14</v>
      </c>
      <c r="E84" s="126" t="n">
        <v>3400</v>
      </c>
      <c r="F84" s="126" t="n">
        <v>2880</v>
      </c>
      <c r="G84" s="126" t="n">
        <v>520</v>
      </c>
      <c r="H84" s="126" t="s">
        <v>60</v>
      </c>
      <c r="I84" s="126" t="s">
        <v>3</v>
      </c>
      <c r="J84" s="0" t="s">
        <v>61</v>
      </c>
    </row>
    <row r="85" customFormat="false" ht="18" hidden="false" customHeight="false" outlineLevel="0" collapsed="false">
      <c r="A85" s="124" t="n">
        <v>45025</v>
      </c>
      <c r="B85" s="125" t="n">
        <v>0.25</v>
      </c>
      <c r="C85" s="126" t="n">
        <v>20462</v>
      </c>
      <c r="D85" s="126" t="s">
        <v>10</v>
      </c>
      <c r="E85" s="126" t="n">
        <v>25720</v>
      </c>
      <c r="F85" s="126" t="n">
        <v>15820</v>
      </c>
      <c r="G85" s="126" t="n">
        <v>9900</v>
      </c>
      <c r="H85" s="126" t="s">
        <v>60</v>
      </c>
      <c r="I85" s="126" t="s">
        <v>3</v>
      </c>
      <c r="J85" s="0" t="s">
        <v>61</v>
      </c>
    </row>
    <row r="86" customFormat="false" ht="18" hidden="false" customHeight="false" outlineLevel="0" collapsed="false">
      <c r="A86" s="124" t="n">
        <v>45025</v>
      </c>
      <c r="B86" s="125" t="n">
        <v>0.503472222222222</v>
      </c>
      <c r="C86" s="126" t="n">
        <v>20469</v>
      </c>
      <c r="D86" s="126" t="s">
        <v>12</v>
      </c>
      <c r="E86" s="126" t="n">
        <v>2480</v>
      </c>
      <c r="F86" s="126" t="n">
        <v>2380</v>
      </c>
      <c r="G86" s="126" t="n">
        <v>100</v>
      </c>
      <c r="H86" s="126" t="s">
        <v>60</v>
      </c>
      <c r="I86" s="126" t="s">
        <v>3</v>
      </c>
      <c r="J86" s="0" t="s">
        <v>61</v>
      </c>
    </row>
    <row r="87" customFormat="false" ht="18" hidden="false" customHeight="false" outlineLevel="0" collapsed="false">
      <c r="A87" s="124" t="n">
        <v>45025</v>
      </c>
      <c r="B87" s="125" t="n">
        <v>0.502777777777778</v>
      </c>
      <c r="C87" s="125" t="n">
        <v>0.502777777777778</v>
      </c>
      <c r="D87" s="126" t="s">
        <v>9</v>
      </c>
      <c r="E87" s="126" t="n">
        <v>3060</v>
      </c>
      <c r="F87" s="126" t="n">
        <v>2700</v>
      </c>
      <c r="G87" s="126" t="n">
        <v>360</v>
      </c>
      <c r="H87" s="126" t="s">
        <v>60</v>
      </c>
      <c r="I87" s="126" t="s">
        <v>3</v>
      </c>
      <c r="J87" s="0" t="s">
        <v>61</v>
      </c>
    </row>
    <row r="88" customFormat="false" ht="18" hidden="false" customHeight="false" outlineLevel="0" collapsed="false">
      <c r="A88" s="124" t="n">
        <v>45025</v>
      </c>
      <c r="B88" s="125" t="n">
        <v>0.871527777777778</v>
      </c>
      <c r="C88" s="126" t="n">
        <v>20471</v>
      </c>
      <c r="D88" s="126" t="s">
        <v>9</v>
      </c>
      <c r="E88" s="126" t="n">
        <v>3260</v>
      </c>
      <c r="F88" s="126" t="n">
        <v>2680</v>
      </c>
      <c r="G88" s="126" t="n">
        <v>580</v>
      </c>
      <c r="H88" s="126" t="s">
        <v>60</v>
      </c>
      <c r="I88" s="126" t="s">
        <v>3</v>
      </c>
      <c r="J88" s="0" t="s">
        <v>61</v>
      </c>
    </row>
    <row r="89" customFormat="false" ht="18" hidden="false" customHeight="false" outlineLevel="0" collapsed="false">
      <c r="A89" s="124" t="n">
        <v>45025</v>
      </c>
      <c r="B89" s="125" t="n">
        <v>0.872916666666667</v>
      </c>
      <c r="C89" s="126" t="n">
        <v>20472</v>
      </c>
      <c r="D89" s="126" t="s">
        <v>10</v>
      </c>
      <c r="E89" s="126" t="n">
        <v>22320</v>
      </c>
      <c r="F89" s="126" t="n">
        <v>15800</v>
      </c>
      <c r="G89" s="127" t="n">
        <v>6520</v>
      </c>
      <c r="H89" s="126" t="s">
        <v>60</v>
      </c>
      <c r="I89" s="126" t="s">
        <v>3</v>
      </c>
      <c r="J89" s="0" t="s">
        <v>61</v>
      </c>
    </row>
    <row r="90" customFormat="false" ht="18" hidden="false" customHeight="false" outlineLevel="0" collapsed="false">
      <c r="A90" s="124" t="n">
        <v>45025</v>
      </c>
      <c r="B90" s="125" t="n">
        <v>0.244444444444444</v>
      </c>
      <c r="C90" s="126" t="n">
        <v>20461</v>
      </c>
      <c r="D90" s="126" t="s">
        <v>11</v>
      </c>
      <c r="E90" s="126" t="n">
        <v>21220</v>
      </c>
      <c r="F90" s="126" t="n">
        <v>15880</v>
      </c>
      <c r="G90" s="127" t="n">
        <v>5340</v>
      </c>
      <c r="H90" s="126" t="s">
        <v>60</v>
      </c>
      <c r="I90" s="126" t="s">
        <v>3</v>
      </c>
      <c r="J90" s="0" t="s">
        <v>61</v>
      </c>
    </row>
    <row r="91" customFormat="false" ht="18" hidden="false" customHeight="false" outlineLevel="0" collapsed="false">
      <c r="A91" s="124" t="n">
        <v>45025</v>
      </c>
      <c r="B91" s="125" t="n">
        <v>0.252083333333333</v>
      </c>
      <c r="C91" s="126" t="n">
        <v>20464</v>
      </c>
      <c r="D91" s="126" t="s">
        <v>16</v>
      </c>
      <c r="E91" s="126" t="n">
        <v>4560</v>
      </c>
      <c r="F91" s="126" t="n">
        <v>3780</v>
      </c>
      <c r="G91" s="127" t="n">
        <v>780</v>
      </c>
      <c r="H91" s="126" t="s">
        <v>60</v>
      </c>
      <c r="I91" s="126" t="s">
        <v>3</v>
      </c>
      <c r="J91" s="0" t="s">
        <v>61</v>
      </c>
    </row>
    <row r="92" customFormat="false" ht="18" hidden="false" customHeight="false" outlineLevel="0" collapsed="false">
      <c r="A92" s="124" t="n">
        <v>45025</v>
      </c>
      <c r="B92" s="125" t="n">
        <v>0.138888888888889</v>
      </c>
      <c r="C92" s="126" t="n">
        <v>20454</v>
      </c>
      <c r="D92" s="126" t="s">
        <v>16</v>
      </c>
      <c r="E92" s="126" t="n">
        <v>4960</v>
      </c>
      <c r="F92" s="126" t="n">
        <v>3580</v>
      </c>
      <c r="G92" s="127" t="n">
        <v>1380</v>
      </c>
      <c r="H92" s="126" t="s">
        <v>60</v>
      </c>
      <c r="I92" s="126" t="s">
        <v>3</v>
      </c>
      <c r="J92" s="0" t="s">
        <v>61</v>
      </c>
    </row>
    <row r="93" customFormat="false" ht="18" hidden="false" customHeight="false" outlineLevel="0" collapsed="false">
      <c r="A93" s="124" t="n">
        <v>45025</v>
      </c>
      <c r="B93" s="125" t="n">
        <v>0.245833333333333</v>
      </c>
      <c r="C93" s="126" t="n">
        <v>20460</v>
      </c>
      <c r="D93" s="126" t="s">
        <v>15</v>
      </c>
      <c r="E93" s="126" t="n">
        <v>21120</v>
      </c>
      <c r="F93" s="126" t="n">
        <v>13240</v>
      </c>
      <c r="G93" s="127" t="n">
        <v>7880</v>
      </c>
      <c r="H93" s="126" t="s">
        <v>60</v>
      </c>
      <c r="I93" s="126" t="s">
        <v>3</v>
      </c>
      <c r="J93" s="0" t="s">
        <v>61</v>
      </c>
    </row>
    <row r="94" customFormat="false" ht="18" hidden="false" customHeight="false" outlineLevel="0" collapsed="false">
      <c r="A94" s="124" t="n">
        <v>45025</v>
      </c>
      <c r="B94" s="125" t="n">
        <v>0.0631944444444444</v>
      </c>
      <c r="C94" s="126" t="n">
        <v>20449</v>
      </c>
      <c r="D94" s="126" t="s">
        <v>15</v>
      </c>
      <c r="E94" s="126" t="n">
        <v>21980</v>
      </c>
      <c r="F94" s="126" t="n">
        <v>13260</v>
      </c>
      <c r="G94" s="127" t="n">
        <v>8720</v>
      </c>
      <c r="H94" s="126" t="s">
        <v>60</v>
      </c>
      <c r="I94" s="126" t="s">
        <v>3</v>
      </c>
      <c r="J94" s="0" t="s">
        <v>61</v>
      </c>
    </row>
    <row r="95" customFormat="false" ht="18" hidden="false" customHeight="false" outlineLevel="0" collapsed="false">
      <c r="A95" s="124" t="n">
        <v>45026</v>
      </c>
      <c r="B95" s="125" t="n">
        <v>0.234722222222222</v>
      </c>
      <c r="C95" s="126" t="n">
        <v>20489</v>
      </c>
      <c r="D95" s="126" t="s">
        <v>11</v>
      </c>
      <c r="E95" s="126" t="n">
        <v>21300</v>
      </c>
      <c r="F95" s="126" t="n">
        <v>15880</v>
      </c>
      <c r="G95" s="127" t="n">
        <v>5420</v>
      </c>
      <c r="H95" s="126" t="s">
        <v>60</v>
      </c>
      <c r="I95" s="126" t="s">
        <v>3</v>
      </c>
      <c r="J95" s="0" t="s">
        <v>61</v>
      </c>
    </row>
    <row r="96" customFormat="false" ht="18" hidden="false" customHeight="false" outlineLevel="0" collapsed="false">
      <c r="A96" s="124" t="n">
        <v>45026</v>
      </c>
      <c r="B96" s="125" t="n">
        <v>0.490972222222222</v>
      </c>
      <c r="C96" s="126" t="n">
        <v>20500</v>
      </c>
      <c r="D96" s="126" t="s">
        <v>9</v>
      </c>
      <c r="E96" s="126" t="n">
        <v>3020</v>
      </c>
      <c r="F96" s="126" t="n">
        <v>2720</v>
      </c>
      <c r="G96" s="127" t="n">
        <v>300</v>
      </c>
      <c r="H96" s="126" t="s">
        <v>60</v>
      </c>
      <c r="I96" s="126" t="s">
        <v>3</v>
      </c>
      <c r="J96" s="0" t="s">
        <v>61</v>
      </c>
    </row>
    <row r="97" customFormat="false" ht="18" hidden="false" customHeight="false" outlineLevel="0" collapsed="false">
      <c r="A97" s="124" t="n">
        <v>45026</v>
      </c>
      <c r="B97" s="125" t="n">
        <v>0.247916666666667</v>
      </c>
      <c r="C97" s="126" t="n">
        <v>20491</v>
      </c>
      <c r="D97" s="126" t="s">
        <v>15</v>
      </c>
      <c r="E97" s="126" t="n">
        <v>19840</v>
      </c>
      <c r="F97" s="126" t="n">
        <v>13200</v>
      </c>
      <c r="G97" s="127" t="n">
        <v>6640</v>
      </c>
      <c r="H97" s="126" t="s">
        <v>60</v>
      </c>
      <c r="I97" s="126" t="s">
        <v>3</v>
      </c>
      <c r="J97" s="0" t="s">
        <v>61</v>
      </c>
    </row>
    <row r="98" customFormat="false" ht="18" hidden="false" customHeight="false" outlineLevel="0" collapsed="false">
      <c r="A98" s="124" t="n">
        <v>45026</v>
      </c>
      <c r="B98" s="125" t="n">
        <v>0.0763888888888889</v>
      </c>
      <c r="C98" s="126" t="n">
        <v>20476</v>
      </c>
      <c r="D98" s="126" t="s">
        <v>15</v>
      </c>
      <c r="E98" s="126" t="n">
        <v>22060</v>
      </c>
      <c r="F98" s="126" t="n">
        <v>13220</v>
      </c>
      <c r="G98" s="127" t="n">
        <v>8840</v>
      </c>
      <c r="H98" s="126" t="s">
        <v>60</v>
      </c>
      <c r="I98" s="126" t="s">
        <v>3</v>
      </c>
      <c r="J98" s="0" t="s">
        <v>61</v>
      </c>
    </row>
    <row r="99" customFormat="false" ht="18" hidden="false" customHeight="false" outlineLevel="0" collapsed="false">
      <c r="A99" s="124" t="n">
        <v>45026</v>
      </c>
      <c r="B99" s="125" t="n">
        <v>0.472222222222222</v>
      </c>
      <c r="C99" s="126" t="n">
        <v>204980</v>
      </c>
      <c r="D99" s="126" t="s">
        <v>14</v>
      </c>
      <c r="E99" s="126" t="n">
        <v>3160</v>
      </c>
      <c r="F99" s="126" t="n">
        <v>2860</v>
      </c>
      <c r="G99" s="127" t="n">
        <v>300</v>
      </c>
      <c r="H99" s="126" t="s">
        <v>60</v>
      </c>
      <c r="I99" s="126" t="s">
        <v>3</v>
      </c>
      <c r="J99" s="0" t="s">
        <v>61</v>
      </c>
    </row>
    <row r="100" customFormat="false" ht="18" hidden="false" customHeight="false" outlineLevel="0" collapsed="false">
      <c r="A100" s="124" t="n">
        <v>45026</v>
      </c>
      <c r="B100" s="125" t="n">
        <v>0.225694444444444</v>
      </c>
      <c r="C100" s="126" t="n">
        <v>20487</v>
      </c>
      <c r="D100" s="126" t="s">
        <v>10</v>
      </c>
      <c r="E100" s="126" t="n">
        <v>26280</v>
      </c>
      <c r="F100" s="126" t="n">
        <v>15760</v>
      </c>
      <c r="G100" s="127" t="n">
        <v>10520</v>
      </c>
      <c r="H100" s="126" t="s">
        <v>60</v>
      </c>
      <c r="I100" s="126" t="s">
        <v>3</v>
      </c>
      <c r="J100" s="0" t="s">
        <v>61</v>
      </c>
    </row>
    <row r="101" customFormat="false" ht="18" hidden="false" customHeight="false" outlineLevel="0" collapsed="false">
      <c r="A101" s="124" t="n">
        <v>45026</v>
      </c>
      <c r="B101" s="125" t="n">
        <v>0.489583333333333</v>
      </c>
      <c r="C101" s="126" t="n">
        <v>20499</v>
      </c>
      <c r="D101" s="126" t="s">
        <v>12</v>
      </c>
      <c r="E101" s="126" t="n">
        <v>2560</v>
      </c>
      <c r="F101" s="126" t="n">
        <v>2360</v>
      </c>
      <c r="G101" s="127" t="n">
        <v>200</v>
      </c>
      <c r="H101" s="126" t="s">
        <v>60</v>
      </c>
      <c r="I101" s="126" t="s">
        <v>3</v>
      </c>
      <c r="J101" s="0" t="s">
        <v>61</v>
      </c>
    </row>
    <row r="102" customFormat="false" ht="18" hidden="false" customHeight="false" outlineLevel="0" collapsed="false">
      <c r="A102" s="124" t="n">
        <v>45026</v>
      </c>
      <c r="B102" s="125" t="n">
        <v>0.690972222222222</v>
      </c>
      <c r="C102" s="126" t="n">
        <v>20501</v>
      </c>
      <c r="D102" s="126" t="s">
        <v>15</v>
      </c>
      <c r="E102" s="126" t="n">
        <v>14580</v>
      </c>
      <c r="F102" s="126" t="n">
        <v>13260</v>
      </c>
      <c r="G102" s="127" t="n">
        <v>1320</v>
      </c>
      <c r="H102" s="126" t="s">
        <v>60</v>
      </c>
      <c r="I102" s="126" t="s">
        <v>3</v>
      </c>
      <c r="J102" s="0" t="s">
        <v>61</v>
      </c>
    </row>
    <row r="103" customFormat="false" ht="18" hidden="false" customHeight="false" outlineLevel="0" collapsed="false">
      <c r="A103" s="124" t="n">
        <v>45026</v>
      </c>
      <c r="B103" s="125" t="n">
        <v>0.871527777777778</v>
      </c>
      <c r="C103" s="126" t="n">
        <v>20503</v>
      </c>
      <c r="D103" s="126" t="s">
        <v>9</v>
      </c>
      <c r="E103" s="126" t="n">
        <v>3300</v>
      </c>
      <c r="F103" s="126" t="n">
        <v>2700</v>
      </c>
      <c r="G103" s="127" t="n">
        <v>600</v>
      </c>
      <c r="H103" s="126" t="s">
        <v>60</v>
      </c>
      <c r="I103" s="126" t="s">
        <v>3</v>
      </c>
      <c r="J103" s="0" t="s">
        <v>61</v>
      </c>
    </row>
    <row r="104" customFormat="false" ht="18" hidden="false" customHeight="false" outlineLevel="0" collapsed="false">
      <c r="A104" s="124" t="n">
        <v>45026</v>
      </c>
      <c r="B104" s="125" t="n">
        <v>0.253472222222222</v>
      </c>
      <c r="C104" s="126" t="n">
        <v>20492</v>
      </c>
      <c r="D104" s="126" t="s">
        <v>9</v>
      </c>
      <c r="E104" s="126" t="n">
        <v>3700</v>
      </c>
      <c r="F104" s="126" t="n">
        <v>2900</v>
      </c>
      <c r="G104" s="127" t="n">
        <v>800</v>
      </c>
      <c r="H104" s="126" t="s">
        <v>60</v>
      </c>
      <c r="I104" s="126" t="s">
        <v>3</v>
      </c>
      <c r="J104" s="0" t="s">
        <v>61</v>
      </c>
    </row>
    <row r="105" customFormat="false" ht="18" hidden="false" customHeight="false" outlineLevel="0" collapsed="false">
      <c r="A105" s="124" t="n">
        <v>45026</v>
      </c>
      <c r="B105" s="125" t="n">
        <v>0.125</v>
      </c>
      <c r="C105" s="126" t="n">
        <v>20482</v>
      </c>
      <c r="D105" s="126" t="s">
        <v>9</v>
      </c>
      <c r="E105" s="126" t="n">
        <v>3240</v>
      </c>
      <c r="F105" s="126" t="n">
        <v>2700</v>
      </c>
      <c r="G105" s="127" t="n">
        <v>540</v>
      </c>
      <c r="H105" s="126" t="s">
        <v>60</v>
      </c>
      <c r="I105" s="126" t="s">
        <v>3</v>
      </c>
      <c r="J105" s="0" t="s">
        <v>61</v>
      </c>
    </row>
    <row r="106" customFormat="false" ht="18" hidden="false" customHeight="false" outlineLevel="0" collapsed="false">
      <c r="A106" s="124" t="n">
        <v>45026</v>
      </c>
      <c r="B106" s="125" t="n">
        <v>0.86875</v>
      </c>
      <c r="C106" s="126" t="n">
        <v>20502</v>
      </c>
      <c r="D106" s="126" t="s">
        <v>10</v>
      </c>
      <c r="E106" s="126" t="n">
        <v>21780</v>
      </c>
      <c r="F106" s="126" t="n">
        <v>15860</v>
      </c>
      <c r="G106" s="127" t="n">
        <v>5920</v>
      </c>
      <c r="H106" s="126" t="s">
        <v>60</v>
      </c>
      <c r="I106" s="126" t="s">
        <v>3</v>
      </c>
      <c r="J106" s="0" t="s">
        <v>61</v>
      </c>
    </row>
    <row r="107" customFormat="false" ht="18" hidden="false" customHeight="false" outlineLevel="0" collapsed="false">
      <c r="A107" s="124" t="n">
        <v>45027</v>
      </c>
      <c r="B107" s="125" t="n">
        <v>0.0763888888888889</v>
      </c>
      <c r="C107" s="126" t="n">
        <v>20507</v>
      </c>
      <c r="D107" s="126" t="s">
        <v>15</v>
      </c>
      <c r="E107" s="126" t="n">
        <v>20240</v>
      </c>
      <c r="F107" s="126" t="n">
        <v>13280</v>
      </c>
      <c r="G107" s="127" t="n">
        <v>6960</v>
      </c>
      <c r="H107" s="126" t="s">
        <v>60</v>
      </c>
      <c r="I107" s="126" t="s">
        <v>3</v>
      </c>
      <c r="J107" s="0" t="s">
        <v>61</v>
      </c>
    </row>
    <row r="108" customFormat="false" ht="18" hidden="false" customHeight="false" outlineLevel="0" collapsed="false">
      <c r="A108" s="124" t="n">
        <v>45027</v>
      </c>
      <c r="B108" s="125" t="n">
        <v>0.255555555555556</v>
      </c>
      <c r="C108" s="126" t="n">
        <v>20521</v>
      </c>
      <c r="D108" s="126" t="s">
        <v>16</v>
      </c>
      <c r="E108" s="126" t="n">
        <v>4660</v>
      </c>
      <c r="F108" s="126" t="n">
        <v>3780</v>
      </c>
      <c r="G108" s="127" t="n">
        <v>880</v>
      </c>
      <c r="H108" s="126" t="s">
        <v>60</v>
      </c>
      <c r="I108" s="126" t="s">
        <v>3</v>
      </c>
      <c r="J108" s="0" t="s">
        <v>61</v>
      </c>
    </row>
    <row r="109" customFormat="false" ht="18" hidden="false" customHeight="false" outlineLevel="0" collapsed="false">
      <c r="A109" s="124" t="n">
        <v>45027</v>
      </c>
      <c r="B109" s="125" t="n">
        <v>0.250694444444444</v>
      </c>
      <c r="C109" s="126" t="n">
        <v>20519</v>
      </c>
      <c r="D109" s="126" t="s">
        <v>10</v>
      </c>
      <c r="E109" s="126" t="n">
        <v>27620</v>
      </c>
      <c r="F109" s="126" t="n">
        <v>15860</v>
      </c>
      <c r="G109" s="127" t="n">
        <v>11760</v>
      </c>
      <c r="H109" s="126" t="s">
        <v>60</v>
      </c>
      <c r="I109" s="126" t="s">
        <v>3</v>
      </c>
      <c r="J109" s="0" t="s">
        <v>61</v>
      </c>
    </row>
    <row r="110" customFormat="false" ht="18" hidden="false" customHeight="false" outlineLevel="0" collapsed="false">
      <c r="A110" s="124" t="n">
        <v>45027</v>
      </c>
      <c r="B110" s="125" t="n">
        <v>0.865972222222222</v>
      </c>
      <c r="C110" s="126" t="n">
        <v>20567</v>
      </c>
      <c r="D110" s="126" t="s">
        <v>10</v>
      </c>
      <c r="E110" s="126" t="n">
        <v>20100</v>
      </c>
      <c r="F110" s="126" t="n">
        <v>15880</v>
      </c>
      <c r="G110" s="127" t="n">
        <v>4220</v>
      </c>
      <c r="H110" s="126" t="s">
        <v>60</v>
      </c>
      <c r="I110" s="126" t="s">
        <v>3</v>
      </c>
      <c r="J110" s="0" t="s">
        <v>61</v>
      </c>
    </row>
    <row r="111" customFormat="false" ht="18" hidden="false" customHeight="false" outlineLevel="0" collapsed="false">
      <c r="A111" s="124" t="n">
        <v>45027</v>
      </c>
      <c r="B111" s="125" t="n">
        <v>0.874305555555556</v>
      </c>
      <c r="C111" s="126" t="n">
        <v>20568</v>
      </c>
      <c r="D111" s="126" t="s">
        <v>9</v>
      </c>
      <c r="E111" s="126" t="n">
        <v>3080</v>
      </c>
      <c r="F111" s="126" t="n">
        <v>2700</v>
      </c>
      <c r="G111" s="127" t="n">
        <v>380</v>
      </c>
      <c r="H111" s="126" t="s">
        <v>60</v>
      </c>
      <c r="I111" s="126" t="s">
        <v>3</v>
      </c>
      <c r="J111" s="0" t="s">
        <v>61</v>
      </c>
    </row>
    <row r="112" customFormat="false" ht="18" hidden="false" customHeight="false" outlineLevel="0" collapsed="false">
      <c r="A112" s="124" t="n">
        <v>45027</v>
      </c>
      <c r="B112" s="125" t="n">
        <v>0.691666666666667</v>
      </c>
      <c r="C112" s="126" t="n">
        <v>20565</v>
      </c>
      <c r="D112" s="126" t="s">
        <v>15</v>
      </c>
      <c r="E112" s="126" t="n">
        <v>14400</v>
      </c>
      <c r="F112" s="126" t="n">
        <v>13180</v>
      </c>
      <c r="G112" s="127" t="n">
        <v>1220</v>
      </c>
      <c r="H112" s="126" t="s">
        <v>60</v>
      </c>
      <c r="I112" s="126" t="s">
        <v>3</v>
      </c>
      <c r="J112" s="0" t="s">
        <v>61</v>
      </c>
    </row>
    <row r="113" customFormat="false" ht="18" hidden="false" customHeight="false" outlineLevel="0" collapsed="false">
      <c r="A113" s="124" t="n">
        <v>45027</v>
      </c>
      <c r="B113" s="125" t="n">
        <v>0.497222222222222</v>
      </c>
      <c r="C113" s="126" t="n">
        <v>20544</v>
      </c>
      <c r="D113" s="126" t="s">
        <v>12</v>
      </c>
      <c r="E113" s="126" t="n">
        <v>2520</v>
      </c>
      <c r="F113" s="126" t="n">
        <v>2340</v>
      </c>
      <c r="G113" s="127" t="n">
        <v>180</v>
      </c>
      <c r="H113" s="126" t="s">
        <v>60</v>
      </c>
      <c r="I113" s="126" t="s">
        <v>3</v>
      </c>
      <c r="J113" s="0" t="s">
        <v>61</v>
      </c>
    </row>
    <row r="114" customFormat="false" ht="18" hidden="false" customHeight="false" outlineLevel="0" collapsed="false">
      <c r="A114" s="124" t="n">
        <v>45027</v>
      </c>
      <c r="B114" s="125" t="n">
        <v>0.429861111111111</v>
      </c>
      <c r="C114" s="126" t="n">
        <v>20539</v>
      </c>
      <c r="D114" s="126" t="s">
        <v>14</v>
      </c>
      <c r="E114" s="126" t="n">
        <v>3240</v>
      </c>
      <c r="F114" s="126" t="n">
        <v>2860</v>
      </c>
      <c r="G114" s="127" t="n">
        <v>380</v>
      </c>
      <c r="H114" s="126" t="s">
        <v>60</v>
      </c>
      <c r="I114" s="126" t="s">
        <v>3</v>
      </c>
      <c r="J114" s="0" t="s">
        <v>61</v>
      </c>
    </row>
    <row r="115" customFormat="false" ht="18" hidden="false" customHeight="false" outlineLevel="0" collapsed="false">
      <c r="A115" s="124" t="n">
        <v>45027</v>
      </c>
      <c r="B115" s="125" t="n">
        <v>0.520833333333333</v>
      </c>
      <c r="C115" s="126" t="n">
        <v>20548</v>
      </c>
      <c r="D115" s="126" t="s">
        <v>14</v>
      </c>
      <c r="E115" s="126" t="n">
        <v>3420</v>
      </c>
      <c r="F115" s="126" t="n">
        <v>2860</v>
      </c>
      <c r="G115" s="127" t="n">
        <v>560</v>
      </c>
      <c r="H115" s="126" t="s">
        <v>60</v>
      </c>
      <c r="I115" s="126" t="s">
        <v>62</v>
      </c>
      <c r="J115" s="0" t="s">
        <v>61</v>
      </c>
    </row>
    <row r="116" customFormat="false" ht="18" hidden="false" customHeight="false" outlineLevel="0" collapsed="false">
      <c r="A116" s="124" t="n">
        <v>45027</v>
      </c>
      <c r="B116" s="125" t="n">
        <v>0.539583333333333</v>
      </c>
      <c r="C116" s="126" t="n">
        <v>20554</v>
      </c>
      <c r="D116" s="126" t="s">
        <v>9</v>
      </c>
      <c r="E116" s="126" t="n">
        <v>3140</v>
      </c>
      <c r="F116" s="126" t="n">
        <v>2840</v>
      </c>
      <c r="G116" s="127" t="n">
        <v>300</v>
      </c>
      <c r="H116" s="126" t="s">
        <v>60</v>
      </c>
      <c r="I116" s="126" t="s">
        <v>2</v>
      </c>
      <c r="J116" s="0" t="s">
        <v>61</v>
      </c>
    </row>
    <row r="117" customFormat="false" ht="18" hidden="true" customHeight="false" outlineLevel="0" collapsed="false">
      <c r="A117" s="124" t="n">
        <v>45027</v>
      </c>
      <c r="B117" s="125" t="n">
        <v>0.357638888888889</v>
      </c>
      <c r="C117" s="126" t="n">
        <v>154750</v>
      </c>
      <c r="D117" s="126" t="s">
        <v>8</v>
      </c>
      <c r="E117" s="126" t="n">
        <v>17340</v>
      </c>
      <c r="F117" s="126" t="n">
        <v>16040</v>
      </c>
      <c r="G117" s="127" t="n">
        <v>1300</v>
      </c>
      <c r="H117" s="126" t="s">
        <v>60</v>
      </c>
      <c r="I117" s="126" t="s">
        <v>5</v>
      </c>
      <c r="J117" s="0" t="s">
        <v>61</v>
      </c>
    </row>
    <row r="118" customFormat="false" ht="18" hidden="true" customHeight="false" outlineLevel="0" collapsed="false">
      <c r="A118" s="124" t="n">
        <v>45027</v>
      </c>
      <c r="B118" s="125" t="n">
        <v>0.493055555555556</v>
      </c>
      <c r="C118" s="126" t="n">
        <v>154795</v>
      </c>
      <c r="D118" s="126" t="s">
        <v>11</v>
      </c>
      <c r="E118" s="126" t="n">
        <v>17540</v>
      </c>
      <c r="F118" s="126" t="n">
        <v>15840</v>
      </c>
      <c r="G118" s="127" t="n">
        <v>1700</v>
      </c>
      <c r="H118" s="126" t="s">
        <v>60</v>
      </c>
      <c r="I118" s="126" t="s">
        <v>5</v>
      </c>
      <c r="J118" s="0" t="s">
        <v>61</v>
      </c>
    </row>
    <row r="119" customFormat="false" ht="18" hidden="false" customHeight="false" outlineLevel="0" collapsed="false">
      <c r="A119" s="124" t="n">
        <v>45028</v>
      </c>
      <c r="B119" s="125" t="n">
        <v>0.254166666666667</v>
      </c>
      <c r="C119" s="126" t="n">
        <v>20585</v>
      </c>
      <c r="D119" s="126" t="s">
        <v>16</v>
      </c>
      <c r="E119" s="126" t="n">
        <v>4260</v>
      </c>
      <c r="F119" s="126" t="n">
        <v>3660</v>
      </c>
      <c r="G119" s="127" t="n">
        <v>600</v>
      </c>
      <c r="H119" s="126" t="s">
        <v>60</v>
      </c>
      <c r="I119" s="126" t="s">
        <v>3</v>
      </c>
      <c r="J119" s="0" t="s">
        <v>61</v>
      </c>
    </row>
    <row r="120" customFormat="false" ht="18" hidden="false" customHeight="false" outlineLevel="0" collapsed="false">
      <c r="A120" s="124" t="n">
        <v>45028</v>
      </c>
      <c r="B120" s="125" t="n">
        <v>0.203472222222222</v>
      </c>
      <c r="C120" s="126" t="n">
        <v>20579</v>
      </c>
      <c r="D120" s="126" t="s">
        <v>10</v>
      </c>
      <c r="E120" s="126" t="n">
        <v>25580</v>
      </c>
      <c r="F120" s="126" t="n">
        <v>15860</v>
      </c>
      <c r="G120" s="127" t="n">
        <v>9720</v>
      </c>
      <c r="H120" s="126" t="s">
        <v>60</v>
      </c>
      <c r="I120" s="126" t="s">
        <v>3</v>
      </c>
      <c r="J120" s="0" t="s">
        <v>61</v>
      </c>
    </row>
    <row r="121" customFormat="false" ht="18" hidden="false" customHeight="false" outlineLevel="0" collapsed="false">
      <c r="A121" s="124" t="n">
        <v>45028</v>
      </c>
      <c r="B121" s="125" t="n">
        <v>0.240972222222222</v>
      </c>
      <c r="C121" s="126" t="n">
        <v>20584</v>
      </c>
      <c r="D121" s="126" t="s">
        <v>15</v>
      </c>
      <c r="E121" s="126" t="n">
        <v>16280</v>
      </c>
      <c r="F121" s="126" t="n">
        <v>13180</v>
      </c>
      <c r="G121" s="127" t="n">
        <v>3100</v>
      </c>
      <c r="H121" s="126" t="s">
        <v>60</v>
      </c>
      <c r="I121" s="126" t="s">
        <v>3</v>
      </c>
      <c r="J121" s="0" t="s">
        <v>61</v>
      </c>
    </row>
    <row r="122" customFormat="false" ht="18" hidden="false" customHeight="false" outlineLevel="0" collapsed="false">
      <c r="A122" s="124" t="n">
        <v>45028</v>
      </c>
      <c r="B122" s="125" t="n">
        <v>0.0680555555555555</v>
      </c>
      <c r="C122" s="126" t="n">
        <v>20571</v>
      </c>
      <c r="D122" s="126" t="s">
        <v>15</v>
      </c>
      <c r="E122" s="126" t="n">
        <v>20000</v>
      </c>
      <c r="F122" s="126" t="n">
        <v>13200</v>
      </c>
      <c r="G122" s="127" t="n">
        <v>6800</v>
      </c>
      <c r="H122" s="126" t="s">
        <v>60</v>
      </c>
      <c r="I122" s="126" t="s">
        <v>3</v>
      </c>
      <c r="J122" s="0" t="s">
        <v>61</v>
      </c>
    </row>
    <row r="123" customFormat="false" ht="18" hidden="true" customHeight="false" outlineLevel="0" collapsed="false">
      <c r="A123" s="124" t="n">
        <v>45028</v>
      </c>
      <c r="B123" s="125" t="n">
        <v>0.555555555555556</v>
      </c>
      <c r="C123" s="126" t="n">
        <v>4140</v>
      </c>
      <c r="D123" s="126" t="s">
        <v>11</v>
      </c>
      <c r="E123" s="126" t="n">
        <v>18920</v>
      </c>
      <c r="F123" s="126" t="n">
        <v>15760</v>
      </c>
      <c r="G123" s="127" t="n">
        <v>3160</v>
      </c>
      <c r="H123" s="126" t="s">
        <v>60</v>
      </c>
      <c r="I123" s="126" t="s">
        <v>4</v>
      </c>
      <c r="J123" s="0" t="s">
        <v>61</v>
      </c>
    </row>
    <row r="124" customFormat="false" ht="18" hidden="false" customHeight="false" outlineLevel="0" collapsed="false">
      <c r="A124" s="124" t="n">
        <v>45028</v>
      </c>
      <c r="B124" s="125" t="n">
        <v>0.485416666666667</v>
      </c>
      <c r="C124" s="126" t="n">
        <v>20607</v>
      </c>
      <c r="D124" s="126" t="s">
        <v>17</v>
      </c>
      <c r="E124" s="126" t="n">
        <v>6960</v>
      </c>
      <c r="F124" s="126" t="n">
        <v>5600</v>
      </c>
      <c r="G124" s="127" t="n">
        <v>1360</v>
      </c>
      <c r="H124" s="126" t="s">
        <v>60</v>
      </c>
      <c r="I124" s="126" t="s">
        <v>62</v>
      </c>
      <c r="J124" s="0" t="s">
        <v>61</v>
      </c>
    </row>
    <row r="125" customFormat="false" ht="18" hidden="false" customHeight="false" outlineLevel="0" collapsed="false">
      <c r="A125" s="124" t="n">
        <v>45028</v>
      </c>
      <c r="B125" s="125" t="n">
        <v>0.440972222222222</v>
      </c>
      <c r="C125" s="126" t="n">
        <v>20602</v>
      </c>
      <c r="D125" s="126" t="s">
        <v>14</v>
      </c>
      <c r="E125" s="126" t="n">
        <v>3460</v>
      </c>
      <c r="F125" s="126" t="n">
        <v>2860</v>
      </c>
      <c r="G125" s="127" t="n">
        <v>600</v>
      </c>
      <c r="H125" s="126" t="s">
        <v>60</v>
      </c>
      <c r="I125" s="126" t="s">
        <v>62</v>
      </c>
      <c r="J125" s="0" t="s">
        <v>61</v>
      </c>
    </row>
    <row r="126" customFormat="false" ht="18" hidden="false" customHeight="false" outlineLevel="0" collapsed="false">
      <c r="A126" s="124" t="n">
        <v>45028</v>
      </c>
      <c r="B126" s="125" t="n">
        <v>0.5</v>
      </c>
      <c r="C126" s="126" t="n">
        <v>20609</v>
      </c>
      <c r="D126" s="126" t="s">
        <v>9</v>
      </c>
      <c r="E126" s="126" t="n">
        <v>2960</v>
      </c>
      <c r="F126" s="126" t="n">
        <v>2680</v>
      </c>
      <c r="G126" s="127" t="n">
        <v>280</v>
      </c>
      <c r="H126" s="126" t="s">
        <v>60</v>
      </c>
      <c r="I126" s="126" t="s">
        <v>3</v>
      </c>
      <c r="J126" s="0" t="s">
        <v>61</v>
      </c>
    </row>
    <row r="127" customFormat="false" ht="18" hidden="false" customHeight="false" outlineLevel="0" collapsed="false">
      <c r="A127" s="124" t="n">
        <v>45028</v>
      </c>
      <c r="B127" s="125" t="n">
        <v>0.552083333333333</v>
      </c>
      <c r="C127" s="126" t="n">
        <v>2940</v>
      </c>
      <c r="D127" s="126" t="s">
        <v>14</v>
      </c>
      <c r="E127" s="126" t="n">
        <v>3340</v>
      </c>
      <c r="F127" s="126" t="n">
        <v>2940</v>
      </c>
      <c r="G127" s="127" t="n">
        <v>400</v>
      </c>
      <c r="H127" s="126" t="s">
        <v>60</v>
      </c>
      <c r="I127" s="126" t="s">
        <v>62</v>
      </c>
      <c r="J127" s="0" t="s">
        <v>61</v>
      </c>
    </row>
    <row r="128" customFormat="false" ht="18" hidden="false" customHeight="false" outlineLevel="0" collapsed="false">
      <c r="A128" s="124" t="n">
        <v>45029</v>
      </c>
      <c r="B128" s="125" t="n">
        <v>0.254166666666667</v>
      </c>
      <c r="C128" s="126" t="n">
        <v>20639</v>
      </c>
      <c r="D128" s="126" t="s">
        <v>10</v>
      </c>
      <c r="E128" s="126" t="n">
        <v>27220</v>
      </c>
      <c r="F128" s="126" t="n">
        <v>15820</v>
      </c>
      <c r="G128" s="127" t="n">
        <v>11400</v>
      </c>
      <c r="H128" s="126" t="s">
        <v>60</v>
      </c>
      <c r="I128" s="126" t="s">
        <v>3</v>
      </c>
      <c r="J128" s="0" t="s">
        <v>61</v>
      </c>
    </row>
    <row r="129" customFormat="false" ht="18" hidden="false" customHeight="false" outlineLevel="0" collapsed="false">
      <c r="A129" s="124" t="n">
        <v>45029</v>
      </c>
      <c r="B129" s="125" t="n">
        <v>0.206944444444444</v>
      </c>
      <c r="C129" s="126" t="n">
        <v>20633</v>
      </c>
      <c r="D129" s="126" t="s">
        <v>9</v>
      </c>
      <c r="E129" s="126" t="n">
        <v>3460</v>
      </c>
      <c r="F129" s="126" t="n">
        <v>2700</v>
      </c>
      <c r="G129" s="127" t="n">
        <v>760</v>
      </c>
      <c r="H129" s="126" t="s">
        <v>60</v>
      </c>
      <c r="I129" s="126" t="s">
        <v>3</v>
      </c>
      <c r="J129" s="0" t="s">
        <v>61</v>
      </c>
    </row>
    <row r="130" customFormat="false" ht="18" hidden="false" customHeight="false" outlineLevel="0" collapsed="false">
      <c r="A130" s="124" t="n">
        <v>45029</v>
      </c>
      <c r="B130" s="125" t="n">
        <v>0.258333333333333</v>
      </c>
      <c r="C130" s="126" t="n">
        <v>20640</v>
      </c>
      <c r="D130" s="126" t="s">
        <v>15</v>
      </c>
      <c r="E130" s="126" t="n">
        <v>15740</v>
      </c>
      <c r="F130" s="126" t="n">
        <v>13400</v>
      </c>
      <c r="G130" s="127" t="n">
        <v>2340</v>
      </c>
      <c r="H130" s="126" t="s">
        <v>60</v>
      </c>
      <c r="I130" s="126" t="s">
        <v>3</v>
      </c>
      <c r="J130" s="0" t="s">
        <v>61</v>
      </c>
    </row>
    <row r="131" customFormat="false" ht="18" hidden="false" customHeight="false" outlineLevel="0" collapsed="false">
      <c r="A131" s="124" t="n">
        <v>45029</v>
      </c>
      <c r="B131" s="125" t="n">
        <v>0.110416666666667</v>
      </c>
      <c r="C131" s="126" t="n">
        <v>20626</v>
      </c>
      <c r="D131" s="126" t="s">
        <v>15</v>
      </c>
      <c r="E131" s="126" t="n">
        <v>20800</v>
      </c>
      <c r="F131" s="126" t="n">
        <v>13220</v>
      </c>
      <c r="G131" s="127" t="n">
        <v>7580</v>
      </c>
      <c r="H131" s="126" t="s">
        <v>60</v>
      </c>
      <c r="I131" s="126" t="s">
        <v>3</v>
      </c>
      <c r="J131" s="0" t="s">
        <v>61</v>
      </c>
    </row>
    <row r="132" customFormat="false" ht="18" hidden="false" customHeight="false" outlineLevel="0" collapsed="false">
      <c r="A132" s="124" t="n">
        <v>45029</v>
      </c>
      <c r="B132" s="125" t="n">
        <v>0.38125</v>
      </c>
      <c r="C132" s="126" t="n">
        <v>20658</v>
      </c>
      <c r="D132" s="126" t="s">
        <v>17</v>
      </c>
      <c r="E132" s="126" t="n">
        <v>6520</v>
      </c>
      <c r="F132" s="126" t="n">
        <v>5600</v>
      </c>
      <c r="G132" s="127" t="n">
        <v>920</v>
      </c>
      <c r="H132" s="126" t="s">
        <v>60</v>
      </c>
      <c r="I132" s="126" t="s">
        <v>62</v>
      </c>
      <c r="J132" s="0" t="s">
        <v>61</v>
      </c>
    </row>
    <row r="133" customFormat="false" ht="18" hidden="false" customHeight="false" outlineLevel="0" collapsed="false">
      <c r="A133" s="124" t="n">
        <v>45029</v>
      </c>
      <c r="B133" s="125" t="n">
        <v>0.498611111111111</v>
      </c>
      <c r="C133" s="126" t="n">
        <v>20673</v>
      </c>
      <c r="D133" s="126" t="s">
        <v>17</v>
      </c>
      <c r="E133" s="126" t="n">
        <v>6400</v>
      </c>
      <c r="F133" s="126" t="n">
        <v>5580</v>
      </c>
      <c r="G133" s="127" t="n">
        <v>820</v>
      </c>
      <c r="H133" s="126" t="s">
        <v>60</v>
      </c>
      <c r="I133" s="126" t="s">
        <v>62</v>
      </c>
      <c r="J133" s="0" t="s">
        <v>61</v>
      </c>
    </row>
    <row r="134" customFormat="false" ht="18" hidden="false" customHeight="false" outlineLevel="0" collapsed="false">
      <c r="A134" s="124" t="n">
        <v>45029</v>
      </c>
      <c r="B134" s="125" t="n">
        <v>0.486805555555556</v>
      </c>
      <c r="C134" s="126" t="n">
        <v>20670</v>
      </c>
      <c r="D134" s="126" t="s">
        <v>12</v>
      </c>
      <c r="E134" s="126" t="n">
        <v>2580</v>
      </c>
      <c r="F134" s="126" t="n">
        <v>2380</v>
      </c>
      <c r="G134" s="127" t="n">
        <v>200</v>
      </c>
      <c r="H134" s="126" t="s">
        <v>60</v>
      </c>
      <c r="I134" s="126" t="s">
        <v>3</v>
      </c>
      <c r="J134" s="0" t="s">
        <v>61</v>
      </c>
    </row>
    <row r="135" customFormat="false" ht="18" hidden="false" customHeight="false" outlineLevel="0" collapsed="false">
      <c r="A135" s="124" t="n">
        <v>45029</v>
      </c>
      <c r="B135" s="125" t="n">
        <v>0.491666666666667</v>
      </c>
      <c r="C135" s="126" t="n">
        <v>20671</v>
      </c>
      <c r="D135" s="126" t="s">
        <v>14</v>
      </c>
      <c r="E135" s="126" t="n">
        <v>3120</v>
      </c>
      <c r="F135" s="126" t="n">
        <v>2840</v>
      </c>
      <c r="G135" s="127" t="n">
        <v>280</v>
      </c>
      <c r="H135" s="126" t="s">
        <v>60</v>
      </c>
      <c r="I135" s="126" t="s">
        <v>3</v>
      </c>
      <c r="J135" s="0" t="s">
        <v>61</v>
      </c>
    </row>
    <row r="136" customFormat="false" ht="18" hidden="false" customHeight="false" outlineLevel="0" collapsed="false">
      <c r="A136" s="124" t="n">
        <v>45029</v>
      </c>
      <c r="B136" s="125" t="n">
        <v>0.876388888888889</v>
      </c>
      <c r="C136" s="126" t="n">
        <v>20686</v>
      </c>
      <c r="D136" s="126" t="s">
        <v>9</v>
      </c>
      <c r="E136" s="126" t="n">
        <v>3100</v>
      </c>
      <c r="F136" s="126" t="n">
        <v>2720</v>
      </c>
      <c r="G136" s="127" t="n">
        <v>380</v>
      </c>
      <c r="H136" s="126" t="s">
        <v>60</v>
      </c>
      <c r="I136" s="126" t="s">
        <v>3</v>
      </c>
      <c r="J136" s="0" t="s">
        <v>61</v>
      </c>
    </row>
    <row r="137" customFormat="false" ht="18" hidden="false" customHeight="false" outlineLevel="0" collapsed="false">
      <c r="A137" s="124" t="n">
        <v>45030</v>
      </c>
      <c r="B137" s="125" t="n">
        <v>0.254166666666667</v>
      </c>
      <c r="C137" s="126" t="n">
        <v>20701</v>
      </c>
      <c r="D137" s="126" t="s">
        <v>16</v>
      </c>
      <c r="E137" s="126" t="n">
        <v>4820</v>
      </c>
      <c r="F137" s="126" t="n">
        <v>3820</v>
      </c>
      <c r="G137" s="127" t="n">
        <v>1000</v>
      </c>
      <c r="H137" s="126" t="s">
        <v>60</v>
      </c>
      <c r="I137" s="126" t="s">
        <v>3</v>
      </c>
      <c r="J137" s="0" t="s">
        <v>61</v>
      </c>
    </row>
    <row r="138" customFormat="false" ht="18" hidden="false" customHeight="false" outlineLevel="0" collapsed="false">
      <c r="A138" s="124" t="n">
        <v>45030</v>
      </c>
      <c r="B138" s="125" t="n">
        <v>0.29375</v>
      </c>
      <c r="C138" s="126" t="n">
        <v>20707</v>
      </c>
      <c r="D138" s="126" t="s">
        <v>13</v>
      </c>
      <c r="E138" s="126" t="n">
        <v>14820</v>
      </c>
      <c r="F138" s="126" t="n">
        <v>12540</v>
      </c>
      <c r="G138" s="127" t="n">
        <v>2280</v>
      </c>
      <c r="H138" s="126" t="s">
        <v>60</v>
      </c>
      <c r="I138" s="126" t="s">
        <v>3</v>
      </c>
      <c r="J138" s="0" t="s">
        <v>61</v>
      </c>
    </row>
    <row r="139" customFormat="false" ht="18" hidden="false" customHeight="false" outlineLevel="0" collapsed="false">
      <c r="A139" s="124" t="n">
        <v>45030</v>
      </c>
      <c r="B139" s="125" t="n">
        <v>0.211111111111111</v>
      </c>
      <c r="C139" s="126" t="n">
        <v>20696</v>
      </c>
      <c r="D139" s="126" t="s">
        <v>10</v>
      </c>
      <c r="E139" s="126" t="n">
        <v>27000</v>
      </c>
      <c r="F139" s="126" t="n">
        <v>15920</v>
      </c>
      <c r="G139" s="127" t="n">
        <v>11080</v>
      </c>
      <c r="H139" s="126" t="s">
        <v>60</v>
      </c>
      <c r="I139" s="126" t="s">
        <v>3</v>
      </c>
      <c r="J139" s="0" t="s">
        <v>61</v>
      </c>
    </row>
    <row r="140" customFormat="false" ht="18" hidden="false" customHeight="false" outlineLevel="0" collapsed="false">
      <c r="A140" s="124" t="n">
        <v>45030</v>
      </c>
      <c r="B140" s="125" t="n">
        <v>0.2625</v>
      </c>
      <c r="C140" s="126" t="n">
        <v>20703</v>
      </c>
      <c r="D140" s="126" t="s">
        <v>10</v>
      </c>
      <c r="E140" s="126" t="n">
        <v>17280</v>
      </c>
      <c r="F140" s="126" t="n">
        <v>15900</v>
      </c>
      <c r="G140" s="127" t="n">
        <v>1380</v>
      </c>
      <c r="H140" s="126" t="s">
        <v>60</v>
      </c>
      <c r="I140" s="126" t="s">
        <v>3</v>
      </c>
      <c r="J140" s="0" t="s">
        <v>61</v>
      </c>
    </row>
    <row r="141" customFormat="false" ht="18" hidden="false" customHeight="false" outlineLevel="0" collapsed="false">
      <c r="A141" s="124" t="n">
        <v>45030</v>
      </c>
      <c r="B141" s="125" t="n">
        <v>0.245138888888889</v>
      </c>
      <c r="C141" s="126" t="n">
        <v>20700</v>
      </c>
      <c r="D141" s="126" t="s">
        <v>15</v>
      </c>
      <c r="E141" s="126" t="n">
        <v>15180</v>
      </c>
      <c r="F141" s="126" t="n">
        <v>13140</v>
      </c>
      <c r="G141" s="127" t="n">
        <v>2040</v>
      </c>
      <c r="H141" s="126" t="s">
        <v>60</v>
      </c>
      <c r="I141" s="126" t="s">
        <v>3</v>
      </c>
      <c r="J141" s="0" t="s">
        <v>61</v>
      </c>
    </row>
    <row r="142" customFormat="false" ht="18" hidden="false" customHeight="false" outlineLevel="0" collapsed="false">
      <c r="A142" s="124" t="n">
        <v>45030</v>
      </c>
      <c r="B142" s="125" t="n">
        <v>0.127777777777778</v>
      </c>
      <c r="C142" s="126" t="n">
        <v>20691</v>
      </c>
      <c r="D142" s="126" t="s">
        <v>15</v>
      </c>
      <c r="E142" s="126" t="n">
        <v>21420</v>
      </c>
      <c r="F142" s="126" t="n">
        <v>13200</v>
      </c>
      <c r="G142" s="127" t="n">
        <v>8220</v>
      </c>
      <c r="H142" s="126" t="s">
        <v>60</v>
      </c>
      <c r="I142" s="126" t="s">
        <v>3</v>
      </c>
      <c r="J142" s="0" t="s">
        <v>61</v>
      </c>
    </row>
    <row r="143" customFormat="false" ht="18" hidden="false" customHeight="false" outlineLevel="0" collapsed="false">
      <c r="A143" s="124" t="n">
        <v>45030</v>
      </c>
      <c r="B143" s="125" t="n">
        <v>0.429861111111111</v>
      </c>
      <c r="C143" s="126" t="n">
        <v>20718</v>
      </c>
      <c r="D143" s="126" t="s">
        <v>14</v>
      </c>
      <c r="E143" s="126" t="n">
        <v>3260</v>
      </c>
      <c r="F143" s="126" t="n">
        <v>2840</v>
      </c>
      <c r="G143" s="127" t="n">
        <v>420</v>
      </c>
      <c r="H143" s="126" t="s">
        <v>60</v>
      </c>
      <c r="I143" s="126" t="s">
        <v>3</v>
      </c>
      <c r="J143" s="0" t="s">
        <v>61</v>
      </c>
    </row>
    <row r="144" customFormat="false" ht="18" hidden="false" customHeight="false" outlineLevel="0" collapsed="false">
      <c r="A144" s="124" t="n">
        <v>45030</v>
      </c>
      <c r="B144" s="125" t="n">
        <v>0.49375</v>
      </c>
      <c r="C144" s="126" t="n">
        <v>20728</v>
      </c>
      <c r="D144" s="126" t="s">
        <v>14</v>
      </c>
      <c r="E144" s="126" t="n">
        <v>3340</v>
      </c>
      <c r="F144" s="126" t="n">
        <v>2820</v>
      </c>
      <c r="G144" s="127" t="n">
        <v>520</v>
      </c>
      <c r="H144" s="126" t="s">
        <v>60</v>
      </c>
      <c r="I144" s="126" t="s">
        <v>62</v>
      </c>
      <c r="J144" s="0" t="s">
        <v>61</v>
      </c>
    </row>
    <row r="145" customFormat="false" ht="18" hidden="false" customHeight="false" outlineLevel="0" collapsed="false">
      <c r="A145" s="124" t="n">
        <v>45030</v>
      </c>
      <c r="B145" s="125" t="n">
        <v>0.490277777777778</v>
      </c>
      <c r="C145" s="126" t="n">
        <v>20727</v>
      </c>
      <c r="D145" s="126" t="s">
        <v>12</v>
      </c>
      <c r="E145" s="126" t="n">
        <v>2640</v>
      </c>
      <c r="F145" s="126" t="n">
        <v>2400</v>
      </c>
      <c r="G145" s="127" t="n">
        <v>240</v>
      </c>
      <c r="H145" s="126" t="s">
        <v>60</v>
      </c>
      <c r="I145" s="126" t="s">
        <v>3</v>
      </c>
      <c r="J145" s="0" t="s">
        <v>61</v>
      </c>
    </row>
    <row r="146" customFormat="false" ht="18" hidden="false" customHeight="false" outlineLevel="0" collapsed="false">
      <c r="A146" s="124" t="n">
        <v>45030</v>
      </c>
      <c r="B146" s="125" t="n">
        <v>0.874305555555556</v>
      </c>
      <c r="C146" s="126" t="n">
        <v>20739</v>
      </c>
      <c r="D146" s="126" t="s">
        <v>9</v>
      </c>
      <c r="E146" s="126" t="n">
        <v>3220</v>
      </c>
      <c r="F146" s="126" t="n">
        <v>2700</v>
      </c>
      <c r="G146" s="127" t="n">
        <v>520</v>
      </c>
      <c r="H146" s="126" t="s">
        <v>60</v>
      </c>
      <c r="I146" s="126" t="s">
        <v>3</v>
      </c>
      <c r="J146" s="0" t="s">
        <v>61</v>
      </c>
    </row>
    <row r="147" customFormat="false" ht="18" hidden="false" customHeight="false" outlineLevel="0" collapsed="false">
      <c r="A147" s="124" t="n">
        <v>45031</v>
      </c>
      <c r="B147" s="125" t="n">
        <v>0.254861111111111</v>
      </c>
      <c r="C147" s="126" t="n">
        <v>20758</v>
      </c>
      <c r="D147" s="126" t="s">
        <v>16</v>
      </c>
      <c r="E147" s="126" t="n">
        <v>4800</v>
      </c>
      <c r="F147" s="126" t="n">
        <v>3700</v>
      </c>
      <c r="G147" s="127" t="n">
        <v>1100</v>
      </c>
      <c r="H147" s="126" t="s">
        <v>60</v>
      </c>
      <c r="I147" s="126" t="s">
        <v>3</v>
      </c>
      <c r="J147" s="0" t="s">
        <v>61</v>
      </c>
    </row>
    <row r="148" customFormat="false" ht="18" hidden="false" customHeight="false" outlineLevel="0" collapsed="false">
      <c r="A148" s="124" t="n">
        <v>45031</v>
      </c>
      <c r="B148" s="125" t="n">
        <v>0.103472222222222</v>
      </c>
      <c r="C148" s="126" t="n">
        <v>20745</v>
      </c>
      <c r="D148" s="126" t="s">
        <v>15</v>
      </c>
      <c r="E148" s="126" t="n">
        <v>21260</v>
      </c>
      <c r="F148" s="126" t="n">
        <v>13140</v>
      </c>
      <c r="G148" s="127" t="n">
        <v>8120</v>
      </c>
      <c r="H148" s="126" t="s">
        <v>60</v>
      </c>
      <c r="I148" s="126" t="s">
        <v>3</v>
      </c>
      <c r="J148" s="0" t="s">
        <v>61</v>
      </c>
    </row>
    <row r="149" customFormat="false" ht="18" hidden="false" customHeight="false" outlineLevel="0" collapsed="false">
      <c r="A149" s="124" t="n">
        <v>45031</v>
      </c>
      <c r="B149" s="125" t="n">
        <v>0.258333333333333</v>
      </c>
      <c r="C149" s="126" t="n">
        <v>20760</v>
      </c>
      <c r="D149" s="126" t="s">
        <v>15</v>
      </c>
      <c r="E149" s="126" t="n">
        <v>16320</v>
      </c>
      <c r="F149" s="126" t="n">
        <v>13220</v>
      </c>
      <c r="G149" s="127" t="n">
        <v>3100</v>
      </c>
      <c r="H149" s="126" t="s">
        <v>60</v>
      </c>
      <c r="I149" s="126" t="s">
        <v>3</v>
      </c>
      <c r="J149" s="0" t="s">
        <v>61</v>
      </c>
    </row>
    <row r="150" customFormat="false" ht="18" hidden="false" customHeight="false" outlineLevel="0" collapsed="false">
      <c r="A150" s="124" t="n">
        <v>45031</v>
      </c>
      <c r="B150" s="125" t="n">
        <v>0.257638888888889</v>
      </c>
      <c r="C150" s="126" t="n">
        <v>20759</v>
      </c>
      <c r="D150" s="126" t="s">
        <v>10</v>
      </c>
      <c r="E150" s="126" t="n">
        <v>18100</v>
      </c>
      <c r="F150" s="126" t="n">
        <v>15820</v>
      </c>
      <c r="G150" s="127" t="n">
        <v>2280</v>
      </c>
      <c r="H150" s="126" t="s">
        <v>60</v>
      </c>
      <c r="I150" s="126" t="s">
        <v>3</v>
      </c>
      <c r="J150" s="0" t="s">
        <v>61</v>
      </c>
    </row>
    <row r="151" customFormat="false" ht="18" hidden="false" customHeight="false" outlineLevel="0" collapsed="false">
      <c r="A151" s="124" t="n">
        <v>45031</v>
      </c>
      <c r="B151" s="125" t="n">
        <v>0.8875</v>
      </c>
      <c r="C151" s="126" t="n">
        <v>20772</v>
      </c>
      <c r="D151" s="126" t="s">
        <v>9</v>
      </c>
      <c r="E151" s="126" t="n">
        <v>3060</v>
      </c>
      <c r="F151" s="126" t="n">
        <v>2680</v>
      </c>
      <c r="G151" s="127" t="n">
        <v>380</v>
      </c>
      <c r="H151" s="126" t="s">
        <v>60</v>
      </c>
      <c r="I151" s="126" t="s">
        <v>3</v>
      </c>
      <c r="J151" s="0" t="s">
        <v>61</v>
      </c>
    </row>
    <row r="152" customFormat="false" ht="18" hidden="false" customHeight="false" outlineLevel="0" collapsed="false">
      <c r="A152" s="124" t="n">
        <v>45031</v>
      </c>
      <c r="B152" s="125" t="n">
        <v>0.4875</v>
      </c>
      <c r="C152" s="126" t="n">
        <v>20769</v>
      </c>
      <c r="D152" s="126" t="s">
        <v>17</v>
      </c>
      <c r="E152" s="126" t="n">
        <v>6340</v>
      </c>
      <c r="F152" s="126" t="n">
        <v>5560</v>
      </c>
      <c r="G152" s="127" t="n">
        <v>780</v>
      </c>
      <c r="H152" s="126" t="s">
        <v>60</v>
      </c>
      <c r="I152" s="126" t="s">
        <v>62</v>
      </c>
      <c r="J152" s="0" t="s">
        <v>61</v>
      </c>
    </row>
    <row r="153" customFormat="false" ht="18" hidden="false" customHeight="false" outlineLevel="0" collapsed="false">
      <c r="A153" s="124" t="n">
        <v>45031</v>
      </c>
      <c r="B153" s="125" t="n">
        <v>0.463888888888889</v>
      </c>
      <c r="C153" s="126" t="n">
        <v>20768</v>
      </c>
      <c r="D153" s="126" t="s">
        <v>14</v>
      </c>
      <c r="E153" s="126" t="n">
        <v>3020</v>
      </c>
      <c r="F153" s="126" t="n">
        <v>2800</v>
      </c>
      <c r="G153" s="127" t="n">
        <v>220</v>
      </c>
      <c r="H153" s="126" t="s">
        <v>60</v>
      </c>
      <c r="I153" s="126" t="s">
        <v>3</v>
      </c>
      <c r="J153" s="0" t="s">
        <v>61</v>
      </c>
    </row>
    <row r="154" customFormat="false" ht="18" hidden="false" customHeight="false" outlineLevel="0" collapsed="false">
      <c r="A154" s="124" t="n">
        <v>45031</v>
      </c>
      <c r="B154" s="125" t="n">
        <v>0.195138888888889</v>
      </c>
      <c r="C154" s="126" t="n">
        <v>20753</v>
      </c>
      <c r="D154" s="126" t="s">
        <v>10</v>
      </c>
      <c r="E154" s="126" t="n">
        <v>26760</v>
      </c>
      <c r="F154" s="126" t="n">
        <v>16000</v>
      </c>
      <c r="G154" s="127" t="n">
        <v>10760</v>
      </c>
      <c r="H154" s="126" t="s">
        <v>60</v>
      </c>
      <c r="I154" s="126" t="s">
        <v>3</v>
      </c>
      <c r="J154" s="0" t="s">
        <v>61</v>
      </c>
    </row>
    <row r="155" customFormat="false" ht="18" hidden="false" customHeight="false" outlineLevel="0" collapsed="false">
      <c r="A155" s="124" t="n">
        <v>45032</v>
      </c>
      <c r="B155" s="125" t="n">
        <v>0.254861111111111</v>
      </c>
      <c r="C155" s="126" t="n">
        <v>20785</v>
      </c>
      <c r="D155" s="126" t="s">
        <v>10</v>
      </c>
      <c r="E155" s="126" t="n">
        <v>16700</v>
      </c>
      <c r="F155" s="126" t="n">
        <v>15940</v>
      </c>
      <c r="G155" s="127" t="n">
        <v>760</v>
      </c>
      <c r="H155" s="126" t="s">
        <v>60</v>
      </c>
      <c r="I155" s="126" t="s">
        <v>3</v>
      </c>
      <c r="J155" s="0" t="s">
        <v>61</v>
      </c>
    </row>
    <row r="156" customFormat="false" ht="18" hidden="false" customHeight="false" outlineLevel="0" collapsed="false">
      <c r="A156" s="124" t="n">
        <v>45032</v>
      </c>
      <c r="B156" s="125" t="n">
        <v>0.195138888888889</v>
      </c>
      <c r="C156" s="126" t="n">
        <v>20780</v>
      </c>
      <c r="D156" s="126" t="s">
        <v>10</v>
      </c>
      <c r="E156" s="126" t="n">
        <v>26820</v>
      </c>
      <c r="F156" s="126" t="n">
        <v>15960</v>
      </c>
      <c r="G156" s="127" t="n">
        <v>10860</v>
      </c>
      <c r="H156" s="126" t="s">
        <v>60</v>
      </c>
      <c r="I156" s="126" t="s">
        <v>3</v>
      </c>
      <c r="J156" s="0" t="s">
        <v>61</v>
      </c>
    </row>
    <row r="157" customFormat="false" ht="18" hidden="false" customHeight="false" outlineLevel="0" collapsed="false">
      <c r="A157" s="124" t="n">
        <v>45032</v>
      </c>
      <c r="B157" s="125" t="n">
        <v>0.254166666666667</v>
      </c>
      <c r="C157" s="126" t="n">
        <v>20784</v>
      </c>
      <c r="D157" s="126" t="s">
        <v>9</v>
      </c>
      <c r="E157" s="126" t="n">
        <v>3500</v>
      </c>
      <c r="F157" s="126" t="n">
        <v>2800</v>
      </c>
      <c r="G157" s="127" t="n">
        <v>700</v>
      </c>
      <c r="H157" s="126" t="s">
        <v>60</v>
      </c>
      <c r="I157" s="126" t="s">
        <v>3</v>
      </c>
      <c r="J157" s="0" t="s">
        <v>61</v>
      </c>
    </row>
    <row r="158" customFormat="false" ht="18" hidden="false" customHeight="false" outlineLevel="0" collapsed="false">
      <c r="A158" s="124" t="n">
        <v>45032</v>
      </c>
      <c r="B158" s="125" t="n">
        <v>0.25625</v>
      </c>
      <c r="C158" s="126" t="n">
        <v>20786</v>
      </c>
      <c r="D158" s="126" t="s">
        <v>15</v>
      </c>
      <c r="E158" s="126" t="n">
        <v>17200</v>
      </c>
      <c r="F158" s="126" t="n">
        <v>13320</v>
      </c>
      <c r="G158" s="127" t="n">
        <v>3880</v>
      </c>
      <c r="H158" s="126" t="s">
        <v>60</v>
      </c>
      <c r="I158" s="126" t="s">
        <v>3</v>
      </c>
      <c r="J158" s="0" t="s">
        <v>61</v>
      </c>
    </row>
    <row r="159" customFormat="false" ht="18" hidden="false" customHeight="false" outlineLevel="0" collapsed="false">
      <c r="A159" s="124" t="n">
        <v>45032</v>
      </c>
      <c r="B159" s="125" t="n">
        <v>0.11875</v>
      </c>
      <c r="C159" s="126" t="n">
        <v>20776</v>
      </c>
      <c r="D159" s="126" t="s">
        <v>15</v>
      </c>
      <c r="E159" s="126" t="n">
        <v>21580</v>
      </c>
      <c r="F159" s="126" t="n">
        <v>13240</v>
      </c>
      <c r="G159" s="127" t="n">
        <v>8340</v>
      </c>
      <c r="H159" s="126" t="s">
        <v>60</v>
      </c>
      <c r="I159" s="126" t="s">
        <v>3</v>
      </c>
      <c r="J159" s="0" t="s">
        <v>61</v>
      </c>
    </row>
    <row r="160" customFormat="false" ht="18" hidden="false" customHeight="false" outlineLevel="0" collapsed="false">
      <c r="A160" s="124" t="n">
        <v>45032</v>
      </c>
      <c r="B160" s="125" t="n">
        <v>0.482638888888889</v>
      </c>
      <c r="C160" s="126" t="n">
        <v>20789</v>
      </c>
      <c r="D160" s="126" t="s">
        <v>14</v>
      </c>
      <c r="E160" s="126" t="n">
        <v>3140</v>
      </c>
      <c r="F160" s="126" t="n">
        <v>2820</v>
      </c>
      <c r="G160" s="127" t="n">
        <v>320</v>
      </c>
      <c r="H160" s="126" t="s">
        <v>60</v>
      </c>
      <c r="I160" s="126" t="s">
        <v>3</v>
      </c>
      <c r="J160" s="0" t="s">
        <v>61</v>
      </c>
    </row>
    <row r="161" customFormat="false" ht="18" hidden="false" customHeight="false" outlineLevel="0" collapsed="false">
      <c r="A161" s="124" t="n">
        <v>45032</v>
      </c>
      <c r="B161" s="125" t="n">
        <v>0.871527777777778</v>
      </c>
      <c r="C161" s="126" t="n">
        <v>20790</v>
      </c>
      <c r="D161" s="126" t="s">
        <v>9</v>
      </c>
      <c r="E161" s="126" t="n">
        <v>3120</v>
      </c>
      <c r="F161" s="126" t="n">
        <v>2680</v>
      </c>
      <c r="G161" s="127" t="n">
        <v>440</v>
      </c>
      <c r="H161" s="126" t="s">
        <v>60</v>
      </c>
      <c r="I161" s="126" t="s">
        <v>3</v>
      </c>
      <c r="J161" s="0" t="s">
        <v>61</v>
      </c>
    </row>
    <row r="162" customFormat="false" ht="18" hidden="false" customHeight="false" outlineLevel="0" collapsed="false">
      <c r="A162" s="124" t="n">
        <v>45033</v>
      </c>
      <c r="B162" s="125" t="n">
        <v>0.25625</v>
      </c>
      <c r="C162" s="126" t="n">
        <v>20808</v>
      </c>
      <c r="D162" s="126" t="s">
        <v>16</v>
      </c>
      <c r="E162" s="126" t="n">
        <v>4540</v>
      </c>
      <c r="F162" s="126" t="n">
        <v>3820</v>
      </c>
      <c r="G162" s="127" t="n">
        <v>720</v>
      </c>
      <c r="H162" s="126" t="s">
        <v>60</v>
      </c>
      <c r="I162" s="126" t="s">
        <v>3</v>
      </c>
      <c r="J162" s="0" t="s">
        <v>61</v>
      </c>
    </row>
    <row r="163" customFormat="false" ht="18" hidden="false" customHeight="false" outlineLevel="0" collapsed="false">
      <c r="A163" s="124" t="n">
        <v>45033</v>
      </c>
      <c r="B163" s="125" t="n">
        <v>0.468055555555555</v>
      </c>
      <c r="C163" s="126" t="n">
        <v>20832</v>
      </c>
      <c r="D163" s="126" t="s">
        <v>12</v>
      </c>
      <c r="E163" s="126" t="n">
        <v>2620</v>
      </c>
      <c r="F163" s="126" t="n">
        <v>2440</v>
      </c>
      <c r="G163" s="127" t="n">
        <v>180</v>
      </c>
      <c r="H163" s="126" t="s">
        <v>60</v>
      </c>
      <c r="I163" s="126" t="s">
        <v>3</v>
      </c>
      <c r="J163" s="0" t="s">
        <v>61</v>
      </c>
    </row>
    <row r="164" customFormat="false" ht="18" hidden="false" customHeight="false" outlineLevel="0" collapsed="false">
      <c r="A164" s="124" t="n">
        <v>45033</v>
      </c>
      <c r="B164" s="125" t="n">
        <v>0.1625</v>
      </c>
      <c r="C164" s="126" t="n">
        <v>20800</v>
      </c>
      <c r="D164" s="126" t="s">
        <v>10</v>
      </c>
      <c r="E164" s="126" t="n">
        <v>24560</v>
      </c>
      <c r="F164" s="126" t="n">
        <v>15900</v>
      </c>
      <c r="G164" s="127" t="n">
        <v>8660</v>
      </c>
      <c r="H164" s="126" t="s">
        <v>60</v>
      </c>
      <c r="I164" s="126" t="s">
        <v>3</v>
      </c>
      <c r="J164" s="0" t="s">
        <v>61</v>
      </c>
    </row>
    <row r="165" customFormat="false" ht="18" hidden="false" customHeight="false" outlineLevel="0" collapsed="false">
      <c r="A165" s="124" t="n">
        <v>45033</v>
      </c>
      <c r="B165" s="125" t="n">
        <v>0.257638888888889</v>
      </c>
      <c r="C165" s="126" t="n">
        <v>20810</v>
      </c>
      <c r="D165" s="126" t="s">
        <v>10</v>
      </c>
      <c r="E165" s="126" t="n">
        <v>19920</v>
      </c>
      <c r="F165" s="126" t="n">
        <v>15880</v>
      </c>
      <c r="G165" s="127" t="n">
        <v>4040</v>
      </c>
      <c r="H165" s="126" t="s">
        <v>60</v>
      </c>
      <c r="I165" s="126" t="s">
        <v>3</v>
      </c>
      <c r="J165" s="0" t="s">
        <v>61</v>
      </c>
    </row>
    <row r="166" customFormat="false" ht="18" hidden="false" customHeight="false" outlineLevel="0" collapsed="false">
      <c r="A166" s="124" t="n">
        <v>45033</v>
      </c>
      <c r="B166" s="125" t="n">
        <v>0.238888888888889</v>
      </c>
      <c r="C166" s="126" t="n">
        <v>20807</v>
      </c>
      <c r="D166" s="126" t="s">
        <v>15</v>
      </c>
      <c r="E166" s="126" t="n">
        <v>16180</v>
      </c>
      <c r="F166" s="126" t="n">
        <v>13220</v>
      </c>
      <c r="G166" s="127" t="n">
        <v>2960</v>
      </c>
      <c r="H166" s="126" t="s">
        <v>60</v>
      </c>
      <c r="I166" s="126" t="s">
        <v>3</v>
      </c>
      <c r="J166" s="0" t="s">
        <v>61</v>
      </c>
    </row>
    <row r="167" customFormat="false" ht="18" hidden="false" customHeight="false" outlineLevel="0" collapsed="false">
      <c r="A167" s="124" t="n">
        <v>45033</v>
      </c>
      <c r="B167" s="125" t="n">
        <v>0.0819444444444444</v>
      </c>
      <c r="C167" s="126" t="n">
        <v>20795</v>
      </c>
      <c r="D167" s="126" t="s">
        <v>15</v>
      </c>
      <c r="E167" s="126" t="n">
        <v>21520</v>
      </c>
      <c r="F167" s="126" t="n">
        <v>13240</v>
      </c>
      <c r="G167" s="127" t="n">
        <v>8280</v>
      </c>
      <c r="H167" s="126" t="s">
        <v>60</v>
      </c>
      <c r="I167" s="126" t="s">
        <v>3</v>
      </c>
      <c r="J167" s="0" t="s">
        <v>61</v>
      </c>
    </row>
    <row r="168" customFormat="false" ht="18" hidden="false" customHeight="false" outlineLevel="0" collapsed="false">
      <c r="A168" s="124" t="n">
        <v>45034</v>
      </c>
      <c r="B168" s="125" t="n">
        <v>0.254166666666667</v>
      </c>
      <c r="C168" s="126" t="n">
        <v>20870</v>
      </c>
      <c r="D168" s="126" t="s">
        <v>16</v>
      </c>
      <c r="E168" s="126" t="n">
        <v>4820</v>
      </c>
      <c r="F168" s="126" t="n">
        <v>3680</v>
      </c>
      <c r="G168" s="127" t="n">
        <v>1140</v>
      </c>
      <c r="H168" s="126" t="s">
        <v>60</v>
      </c>
      <c r="I168" s="126" t="s">
        <v>3</v>
      </c>
      <c r="J168" s="0" t="s">
        <v>61</v>
      </c>
    </row>
    <row r="169" customFormat="false" ht="18" hidden="false" customHeight="false" outlineLevel="0" collapsed="false">
      <c r="A169" s="124" t="n">
        <v>45034</v>
      </c>
      <c r="B169" s="125" t="n">
        <v>0.160416666666667</v>
      </c>
      <c r="C169" s="126" t="n">
        <v>20862</v>
      </c>
      <c r="D169" s="126" t="s">
        <v>10</v>
      </c>
      <c r="E169" s="126" t="n">
        <v>24160</v>
      </c>
      <c r="F169" s="126" t="n">
        <v>15960</v>
      </c>
      <c r="G169" s="127" t="n">
        <v>8200</v>
      </c>
      <c r="H169" s="126" t="s">
        <v>60</v>
      </c>
      <c r="I169" s="126" t="s">
        <v>3</v>
      </c>
      <c r="J169" s="0" t="s">
        <v>61</v>
      </c>
    </row>
    <row r="170" customFormat="false" ht="18" hidden="false" customHeight="false" outlineLevel="0" collapsed="false">
      <c r="A170" s="124" t="n">
        <v>45034</v>
      </c>
      <c r="B170" s="125" t="n">
        <v>0.133333333333333</v>
      </c>
      <c r="C170" s="126" t="n">
        <v>20858</v>
      </c>
      <c r="D170" s="126" t="s">
        <v>15</v>
      </c>
      <c r="E170" s="126" t="n">
        <v>21240</v>
      </c>
      <c r="F170" s="126" t="n">
        <v>13200</v>
      </c>
      <c r="G170" s="127" t="n">
        <v>8040</v>
      </c>
      <c r="H170" s="126" t="s">
        <v>60</v>
      </c>
      <c r="I170" s="126" t="s">
        <v>3</v>
      </c>
      <c r="J170" s="0" t="s">
        <v>61</v>
      </c>
    </row>
    <row r="171" customFormat="false" ht="18" hidden="false" customHeight="false" outlineLevel="0" collapsed="false">
      <c r="A171" s="124" t="n">
        <v>45034</v>
      </c>
      <c r="B171" s="125" t="n">
        <v>0.218055555555556</v>
      </c>
      <c r="C171" s="126" t="n">
        <v>20864</v>
      </c>
      <c r="D171" s="126" t="s">
        <v>15</v>
      </c>
      <c r="E171" s="126" t="n">
        <v>15560</v>
      </c>
      <c r="F171" s="126" t="n">
        <v>13180</v>
      </c>
      <c r="G171" s="127" t="n">
        <v>2380</v>
      </c>
      <c r="H171" s="126" t="s">
        <v>60</v>
      </c>
      <c r="I171" s="126" t="s">
        <v>3</v>
      </c>
      <c r="J171" s="0" t="s">
        <v>61</v>
      </c>
    </row>
    <row r="172" customFormat="false" ht="18" hidden="false" customHeight="false" outlineLevel="0" collapsed="false">
      <c r="A172" s="124" t="n">
        <v>45034</v>
      </c>
      <c r="B172" s="125" t="n">
        <v>0.25</v>
      </c>
      <c r="C172" s="126" t="n">
        <v>20869</v>
      </c>
      <c r="D172" s="126" t="s">
        <v>10</v>
      </c>
      <c r="E172" s="126" t="n">
        <v>18060</v>
      </c>
      <c r="F172" s="126" t="n">
        <v>15940</v>
      </c>
      <c r="G172" s="127" t="n">
        <v>2120</v>
      </c>
      <c r="H172" s="126" t="s">
        <v>60</v>
      </c>
      <c r="I172" s="126" t="s">
        <v>3</v>
      </c>
      <c r="J172" s="0" t="s">
        <v>61</v>
      </c>
    </row>
    <row r="173" customFormat="false" ht="18" hidden="false" customHeight="false" outlineLevel="0" collapsed="false">
      <c r="A173" s="124" t="n">
        <v>45034</v>
      </c>
      <c r="B173" s="125" t="n">
        <v>0.502777777777778</v>
      </c>
      <c r="C173" s="126" t="n">
        <v>20896</v>
      </c>
      <c r="D173" s="126" t="s">
        <v>14</v>
      </c>
      <c r="E173" s="126" t="n">
        <v>3640</v>
      </c>
      <c r="F173" s="126" t="n">
        <v>2880</v>
      </c>
      <c r="G173" s="127" t="n">
        <v>760</v>
      </c>
      <c r="H173" s="126" t="s">
        <v>60</v>
      </c>
      <c r="I173" s="126" t="s">
        <v>3</v>
      </c>
      <c r="J173" s="0" t="s">
        <v>61</v>
      </c>
    </row>
    <row r="174" customFormat="false" ht="18" hidden="false" customHeight="false" outlineLevel="0" collapsed="false">
      <c r="A174" s="124" t="n">
        <v>45034</v>
      </c>
      <c r="B174" s="125" t="n">
        <v>0.507638888888889</v>
      </c>
      <c r="C174" s="126" t="n">
        <v>20897</v>
      </c>
      <c r="D174" s="126" t="s">
        <v>16</v>
      </c>
      <c r="E174" s="126" t="n">
        <v>4360</v>
      </c>
      <c r="F174" s="126" t="n">
        <v>3560</v>
      </c>
      <c r="G174" s="127" t="n">
        <v>800</v>
      </c>
      <c r="H174" s="126" t="s">
        <v>60</v>
      </c>
      <c r="I174" s="126" t="s">
        <v>3</v>
      </c>
      <c r="J174" s="0" t="s">
        <v>61</v>
      </c>
    </row>
    <row r="175" customFormat="false" ht="18" hidden="true" customHeight="false" outlineLevel="0" collapsed="false">
      <c r="A175" s="124" t="n">
        <v>45034</v>
      </c>
      <c r="B175" s="125" t="n">
        <v>0.502777777777778</v>
      </c>
      <c r="C175" s="126" t="n">
        <v>155151</v>
      </c>
      <c r="D175" s="126" t="s">
        <v>11</v>
      </c>
      <c r="E175" s="126" t="n">
        <v>18500</v>
      </c>
      <c r="F175" s="126" t="n">
        <v>15940</v>
      </c>
      <c r="G175" s="127" t="n">
        <v>2560</v>
      </c>
      <c r="H175" s="126" t="s">
        <v>60</v>
      </c>
      <c r="I175" s="126" t="s">
        <v>5</v>
      </c>
      <c r="J175" s="0" t="s">
        <v>61</v>
      </c>
    </row>
    <row r="176" customFormat="false" ht="18" hidden="false" customHeight="false" outlineLevel="0" collapsed="false">
      <c r="A176" s="124" t="n">
        <v>45035</v>
      </c>
      <c r="B176" s="125" t="n">
        <v>0.227083333333333</v>
      </c>
      <c r="C176" s="126" t="n">
        <v>20918</v>
      </c>
      <c r="D176" s="126" t="s">
        <v>10</v>
      </c>
      <c r="E176" s="126" t="n">
        <v>26420</v>
      </c>
      <c r="F176" s="126" t="n">
        <v>15920</v>
      </c>
      <c r="G176" s="127" t="n">
        <v>10500</v>
      </c>
      <c r="H176" s="126" t="s">
        <v>60</v>
      </c>
      <c r="I176" s="126" t="s">
        <v>3</v>
      </c>
      <c r="J176" s="0" t="s">
        <v>61</v>
      </c>
    </row>
    <row r="177" customFormat="false" ht="18" hidden="false" customHeight="false" outlineLevel="0" collapsed="false">
      <c r="A177" s="124" t="n">
        <v>45035</v>
      </c>
      <c r="B177" s="125" t="n">
        <v>0.145833333333333</v>
      </c>
      <c r="C177" s="126" t="n">
        <v>20913</v>
      </c>
      <c r="D177" s="126" t="s">
        <v>15</v>
      </c>
      <c r="E177" s="126" t="n">
        <v>21940</v>
      </c>
      <c r="F177" s="126" t="n">
        <v>13160</v>
      </c>
      <c r="G177" s="127" t="n">
        <v>8780</v>
      </c>
      <c r="H177" s="126" t="s">
        <v>60</v>
      </c>
      <c r="I177" s="126" t="s">
        <v>3</v>
      </c>
      <c r="J177" s="0" t="s">
        <v>61</v>
      </c>
    </row>
    <row r="178" customFormat="false" ht="18" hidden="false" customHeight="false" outlineLevel="0" collapsed="false">
      <c r="A178" s="124" t="n">
        <v>45035</v>
      </c>
      <c r="B178" s="125" t="n">
        <v>0.250694444444444</v>
      </c>
      <c r="C178" s="126" t="n">
        <v>20920</v>
      </c>
      <c r="D178" s="126" t="s">
        <v>16</v>
      </c>
      <c r="E178" s="126" t="n">
        <v>4400</v>
      </c>
      <c r="F178" s="126" t="n">
        <v>3780</v>
      </c>
      <c r="G178" s="127" t="n">
        <v>620</v>
      </c>
      <c r="H178" s="126" t="s">
        <v>60</v>
      </c>
      <c r="I178" s="126" t="s">
        <v>3</v>
      </c>
      <c r="J178" s="0" t="s">
        <v>61</v>
      </c>
    </row>
    <row r="179" customFormat="false" ht="18" hidden="false" customHeight="false" outlineLevel="0" collapsed="false">
      <c r="A179" s="124" t="n">
        <v>45035</v>
      </c>
      <c r="B179" s="125" t="n">
        <v>0.522916666666667</v>
      </c>
      <c r="C179" s="126" t="n">
        <v>20947</v>
      </c>
      <c r="D179" s="126" t="s">
        <v>17</v>
      </c>
      <c r="E179" s="126" t="n">
        <v>6800</v>
      </c>
      <c r="F179" s="126" t="n">
        <v>5460</v>
      </c>
      <c r="G179" s="127" t="n">
        <v>1340</v>
      </c>
      <c r="H179" s="126" t="s">
        <v>60</v>
      </c>
      <c r="I179" s="126" t="s">
        <v>62</v>
      </c>
      <c r="J179" s="0" t="s">
        <v>61</v>
      </c>
    </row>
    <row r="180" customFormat="false" ht="18" hidden="false" customHeight="false" outlineLevel="0" collapsed="false">
      <c r="A180" s="124" t="n">
        <v>45035</v>
      </c>
      <c r="B180" s="125" t="n">
        <v>0.358333333333333</v>
      </c>
      <c r="C180" s="126" t="n">
        <v>20933</v>
      </c>
      <c r="D180" s="126" t="s">
        <v>17</v>
      </c>
      <c r="E180" s="126" t="n">
        <v>6520</v>
      </c>
      <c r="F180" s="126" t="n">
        <v>5560</v>
      </c>
      <c r="G180" s="127" t="n">
        <v>960</v>
      </c>
      <c r="H180" s="126" t="s">
        <v>60</v>
      </c>
      <c r="I180" s="126" t="s">
        <v>62</v>
      </c>
      <c r="J180" s="0" t="s">
        <v>61</v>
      </c>
    </row>
    <row r="181" customFormat="false" ht="18" hidden="false" customHeight="false" outlineLevel="0" collapsed="false">
      <c r="A181" s="124" t="n">
        <v>45035</v>
      </c>
      <c r="B181" s="125" t="n">
        <v>0.428472222222222</v>
      </c>
      <c r="C181" s="126" t="n">
        <v>20940</v>
      </c>
      <c r="D181" s="126" t="s">
        <v>12</v>
      </c>
      <c r="E181" s="126" t="n">
        <v>2700</v>
      </c>
      <c r="F181" s="126" t="n">
        <v>2400</v>
      </c>
      <c r="G181" s="127" t="n">
        <v>300</v>
      </c>
      <c r="H181" s="126" t="s">
        <v>60</v>
      </c>
      <c r="I181" s="126" t="s">
        <v>3</v>
      </c>
      <c r="J181" s="0" t="s">
        <v>61</v>
      </c>
    </row>
    <row r="182" customFormat="false" ht="18" hidden="true" customHeight="false" outlineLevel="0" collapsed="false">
      <c r="A182" s="124" t="n">
        <v>45035</v>
      </c>
      <c r="B182" s="125" t="n">
        <v>0.504166666666667</v>
      </c>
      <c r="C182" s="126" t="n">
        <v>4158</v>
      </c>
      <c r="D182" s="126" t="s">
        <v>11</v>
      </c>
      <c r="E182" s="126" t="n">
        <v>17800</v>
      </c>
      <c r="F182" s="126" t="n">
        <v>15760</v>
      </c>
      <c r="G182" s="127" t="n">
        <v>2040</v>
      </c>
      <c r="H182" s="126" t="s">
        <v>60</v>
      </c>
      <c r="I182" s="126" t="s">
        <v>4</v>
      </c>
      <c r="J182" s="0" t="s">
        <v>61</v>
      </c>
    </row>
    <row r="183" customFormat="false" ht="18" hidden="false" customHeight="false" outlineLevel="0" collapsed="false">
      <c r="A183" s="124" t="n">
        <v>45036</v>
      </c>
      <c r="B183" s="125" t="n">
        <v>0.188194444444444</v>
      </c>
      <c r="C183" s="126" t="n">
        <v>20967</v>
      </c>
      <c r="D183" s="126" t="s">
        <v>10</v>
      </c>
      <c r="E183" s="126" t="n">
        <v>25820</v>
      </c>
      <c r="F183" s="126" t="n">
        <v>15880</v>
      </c>
      <c r="G183" s="127" t="n">
        <v>9940</v>
      </c>
      <c r="H183" s="126" t="s">
        <v>60</v>
      </c>
      <c r="I183" s="126" t="s">
        <v>3</v>
      </c>
      <c r="J183" s="0" t="s">
        <v>61</v>
      </c>
    </row>
    <row r="184" customFormat="false" ht="18" hidden="false" customHeight="false" outlineLevel="0" collapsed="false">
      <c r="A184" s="124" t="n">
        <v>45036</v>
      </c>
      <c r="B184" s="125" t="n">
        <v>0.305555555555555</v>
      </c>
      <c r="C184" s="126" t="n">
        <v>20982</v>
      </c>
      <c r="D184" s="126" t="s">
        <v>13</v>
      </c>
      <c r="E184" s="126" t="n">
        <v>13700</v>
      </c>
      <c r="F184" s="126" t="n">
        <v>12500</v>
      </c>
      <c r="G184" s="127" t="n">
        <v>1200</v>
      </c>
      <c r="H184" s="126" t="s">
        <v>60</v>
      </c>
      <c r="I184" s="126" t="s">
        <v>3</v>
      </c>
      <c r="J184" s="0" t="s">
        <v>61</v>
      </c>
    </row>
    <row r="185" customFormat="false" ht="18" hidden="false" customHeight="false" outlineLevel="0" collapsed="false">
      <c r="A185" s="124" t="n">
        <v>45036</v>
      </c>
      <c r="B185" s="125" t="n">
        <v>0.258333333333333</v>
      </c>
      <c r="C185" s="126" t="n">
        <v>20977</v>
      </c>
      <c r="D185" s="126" t="s">
        <v>10</v>
      </c>
      <c r="E185" s="126" t="n">
        <v>17700</v>
      </c>
      <c r="F185" s="126" t="n">
        <v>15860</v>
      </c>
      <c r="G185" s="127" t="n">
        <v>1840</v>
      </c>
      <c r="H185" s="126" t="s">
        <v>60</v>
      </c>
      <c r="I185" s="126" t="s">
        <v>3</v>
      </c>
      <c r="J185" s="0" t="s">
        <v>61</v>
      </c>
    </row>
    <row r="186" customFormat="false" ht="18" hidden="false" customHeight="false" outlineLevel="0" collapsed="false">
      <c r="A186" s="124" t="n">
        <v>45036</v>
      </c>
      <c r="B186" s="125" t="n">
        <v>0.254166666666667</v>
      </c>
      <c r="C186" s="126" t="n">
        <v>20975</v>
      </c>
      <c r="D186" s="126" t="s">
        <v>16</v>
      </c>
      <c r="E186" s="126" t="n">
        <v>4360</v>
      </c>
      <c r="F186" s="126" t="n">
        <v>3660</v>
      </c>
      <c r="G186" s="127" t="n">
        <v>700</v>
      </c>
      <c r="H186" s="126" t="s">
        <v>60</v>
      </c>
      <c r="I186" s="126" t="s">
        <v>3</v>
      </c>
      <c r="J186" s="0" t="s">
        <v>61</v>
      </c>
    </row>
    <row r="187" customFormat="false" ht="18" hidden="false" customHeight="false" outlineLevel="0" collapsed="false">
      <c r="A187" s="124" t="n">
        <v>45036</v>
      </c>
      <c r="B187" s="125" t="n">
        <v>0.218055555555556</v>
      </c>
      <c r="C187" s="126" t="n">
        <v>20971</v>
      </c>
      <c r="D187" s="126" t="s">
        <v>15</v>
      </c>
      <c r="E187" s="126" t="n">
        <v>21420</v>
      </c>
      <c r="F187" s="126" t="n">
        <v>13300</v>
      </c>
      <c r="G187" s="127" t="n">
        <v>8120</v>
      </c>
      <c r="H187" s="126" t="s">
        <v>60</v>
      </c>
      <c r="I187" s="126" t="s">
        <v>3</v>
      </c>
      <c r="J187" s="0" t="s">
        <v>61</v>
      </c>
    </row>
    <row r="188" customFormat="false" ht="18" hidden="false" customHeight="false" outlineLevel="0" collapsed="false">
      <c r="A188" s="124" t="n">
        <v>45036</v>
      </c>
      <c r="B188" s="125" t="n">
        <v>0.375694444444444</v>
      </c>
      <c r="C188" s="126" t="n">
        <v>20988</v>
      </c>
      <c r="D188" s="126" t="s">
        <v>17</v>
      </c>
      <c r="E188" s="126" t="n">
        <v>6380</v>
      </c>
      <c r="F188" s="126" t="n">
        <v>5540</v>
      </c>
      <c r="G188" s="127" t="n">
        <v>840</v>
      </c>
      <c r="H188" s="126" t="s">
        <v>60</v>
      </c>
      <c r="I188" s="126" t="s">
        <v>62</v>
      </c>
      <c r="J188" s="0" t="s">
        <v>61</v>
      </c>
    </row>
    <row r="189" customFormat="false" ht="18" hidden="false" customHeight="false" outlineLevel="0" collapsed="false">
      <c r="A189" s="124" t="n">
        <v>45036</v>
      </c>
      <c r="B189" s="125" t="n">
        <v>0.347916666666667</v>
      </c>
      <c r="C189" s="126" t="n">
        <v>20986</v>
      </c>
      <c r="D189" s="126" t="s">
        <v>12</v>
      </c>
      <c r="E189" s="126" t="n">
        <v>2620</v>
      </c>
      <c r="F189" s="126" t="n">
        <v>2400</v>
      </c>
      <c r="G189" s="127" t="n">
        <v>220</v>
      </c>
      <c r="H189" s="126" t="s">
        <v>60</v>
      </c>
      <c r="I189" s="126" t="s">
        <v>3</v>
      </c>
      <c r="J189" s="0" t="s">
        <v>61</v>
      </c>
    </row>
    <row r="190" customFormat="false" ht="18" hidden="false" customHeight="false" outlineLevel="0" collapsed="false">
      <c r="A190" s="124" t="n">
        <v>45036</v>
      </c>
      <c r="B190" s="125" t="n">
        <v>0.407638888888889</v>
      </c>
      <c r="C190" s="126" t="n">
        <v>20990</v>
      </c>
      <c r="D190" s="126" t="s">
        <v>8</v>
      </c>
      <c r="E190" s="126" t="n">
        <v>17400</v>
      </c>
      <c r="F190" s="126" t="n">
        <v>16280</v>
      </c>
      <c r="G190" s="127" t="n">
        <v>1120</v>
      </c>
      <c r="H190" s="126" t="s">
        <v>60</v>
      </c>
      <c r="I190" s="126" t="s">
        <v>62</v>
      </c>
      <c r="J190" s="0" t="s">
        <v>61</v>
      </c>
    </row>
    <row r="191" customFormat="false" ht="18" hidden="false" customHeight="false" outlineLevel="0" collapsed="false">
      <c r="A191" s="124" t="n">
        <v>45036</v>
      </c>
      <c r="B191" s="125" t="n">
        <v>0.493055555555556</v>
      </c>
      <c r="C191" s="126" t="n">
        <v>21005</v>
      </c>
      <c r="D191" s="126" t="s">
        <v>8</v>
      </c>
      <c r="E191" s="126" t="n">
        <v>17760</v>
      </c>
      <c r="F191" s="126" t="n">
        <v>15960</v>
      </c>
      <c r="G191" s="127" t="n">
        <v>1800</v>
      </c>
      <c r="H191" s="126" t="s">
        <v>60</v>
      </c>
      <c r="I191" s="126" t="s">
        <v>62</v>
      </c>
      <c r="J191" s="0" t="s">
        <v>61</v>
      </c>
    </row>
    <row r="192" customFormat="false" ht="18" hidden="false" customHeight="false" outlineLevel="0" collapsed="false">
      <c r="A192" s="124" t="n">
        <v>45036</v>
      </c>
      <c r="B192" s="125" t="n">
        <v>0.505555555555556</v>
      </c>
      <c r="C192" s="126" t="n">
        <v>21003</v>
      </c>
      <c r="D192" s="126" t="s">
        <v>12</v>
      </c>
      <c r="E192" s="126" t="n">
        <v>2600</v>
      </c>
      <c r="F192" s="126" t="n">
        <v>2400</v>
      </c>
      <c r="G192" s="127" t="n">
        <v>200</v>
      </c>
      <c r="H192" s="126" t="s">
        <v>60</v>
      </c>
      <c r="I192" s="126" t="s">
        <v>3</v>
      </c>
      <c r="J192" s="0" t="s">
        <v>61</v>
      </c>
    </row>
    <row r="193" customFormat="false" ht="18" hidden="false" customHeight="false" outlineLevel="0" collapsed="false">
      <c r="A193" s="124" t="n">
        <v>45037</v>
      </c>
      <c r="B193" s="125" t="n">
        <v>0.258333333333333</v>
      </c>
      <c r="C193" s="126" t="n">
        <v>21031</v>
      </c>
      <c r="D193" s="126" t="s">
        <v>15</v>
      </c>
      <c r="E193" s="126" t="n">
        <v>22240</v>
      </c>
      <c r="F193" s="126" t="n">
        <v>13300</v>
      </c>
      <c r="G193" s="127" t="n">
        <v>8940</v>
      </c>
      <c r="H193" s="126" t="s">
        <v>60</v>
      </c>
      <c r="I193" s="126" t="s">
        <v>3</v>
      </c>
      <c r="J193" s="0" t="s">
        <v>61</v>
      </c>
    </row>
    <row r="194" customFormat="false" ht="18" hidden="false" customHeight="false" outlineLevel="0" collapsed="false">
      <c r="A194" s="124" t="n">
        <v>45037</v>
      </c>
      <c r="B194" s="125" t="n">
        <v>0.249305555555556</v>
      </c>
      <c r="C194" s="126" t="n">
        <v>21029</v>
      </c>
      <c r="D194" s="126" t="s">
        <v>10</v>
      </c>
      <c r="E194" s="126" t="n">
        <v>17440</v>
      </c>
      <c r="F194" s="126" t="n">
        <v>15980</v>
      </c>
      <c r="G194" s="127" t="n">
        <v>1460</v>
      </c>
      <c r="H194" s="126" t="s">
        <v>60</v>
      </c>
      <c r="I194" s="126" t="s">
        <v>3</v>
      </c>
      <c r="J194" s="0" t="s">
        <v>61</v>
      </c>
    </row>
    <row r="195" customFormat="false" ht="18" hidden="false" customHeight="false" outlineLevel="0" collapsed="false">
      <c r="A195" s="124" t="n">
        <v>45037</v>
      </c>
      <c r="B195" s="125" t="n">
        <v>0.253472222222222</v>
      </c>
      <c r="C195" s="126" t="n">
        <v>21030</v>
      </c>
      <c r="D195" s="126" t="s">
        <v>16</v>
      </c>
      <c r="E195" s="126" t="n">
        <v>4260</v>
      </c>
      <c r="F195" s="126" t="n">
        <v>3560</v>
      </c>
      <c r="G195" s="127" t="n">
        <v>700</v>
      </c>
      <c r="H195" s="126" t="s">
        <v>60</v>
      </c>
      <c r="I195" s="126" t="s">
        <v>3</v>
      </c>
      <c r="J195" s="0" t="s">
        <v>61</v>
      </c>
    </row>
    <row r="196" customFormat="false" ht="18" hidden="false" customHeight="false" outlineLevel="0" collapsed="false">
      <c r="A196" s="124" t="n">
        <v>45037</v>
      </c>
      <c r="B196" s="125" t="n">
        <v>0.185416666666667</v>
      </c>
      <c r="C196" s="126" t="n">
        <v>21023</v>
      </c>
      <c r="D196" s="126" t="s">
        <v>10</v>
      </c>
      <c r="E196" s="126" t="n">
        <v>26760</v>
      </c>
      <c r="F196" s="126" t="n">
        <v>16000</v>
      </c>
      <c r="G196" s="127" t="n">
        <v>10760</v>
      </c>
      <c r="H196" s="126" t="s">
        <v>60</v>
      </c>
      <c r="I196" s="126" t="s">
        <v>3</v>
      </c>
      <c r="J196" s="0" t="s">
        <v>61</v>
      </c>
    </row>
    <row r="197" customFormat="false" ht="18" hidden="false" customHeight="false" outlineLevel="0" collapsed="false">
      <c r="A197" s="124" t="n">
        <v>45037</v>
      </c>
      <c r="B197" s="125" t="n">
        <v>0.528472222222222</v>
      </c>
      <c r="C197" s="126" t="n">
        <v>21057</v>
      </c>
      <c r="D197" s="126" t="s">
        <v>9</v>
      </c>
      <c r="E197" s="126" t="n">
        <v>3440</v>
      </c>
      <c r="F197" s="126" t="n">
        <v>2800</v>
      </c>
      <c r="G197" s="127" t="n">
        <v>640</v>
      </c>
      <c r="H197" s="126" t="s">
        <v>60</v>
      </c>
      <c r="I197" s="126" t="s">
        <v>2</v>
      </c>
      <c r="J197" s="0" t="s">
        <v>61</v>
      </c>
    </row>
    <row r="198" customFormat="false" ht="18" hidden="false" customHeight="false" outlineLevel="0" collapsed="false">
      <c r="A198" s="124" t="n">
        <v>45037</v>
      </c>
      <c r="B198" s="125" t="n">
        <v>0.447222222222222</v>
      </c>
      <c r="C198" s="126" t="n">
        <v>21049</v>
      </c>
      <c r="D198" s="126" t="s">
        <v>17</v>
      </c>
      <c r="E198" s="126" t="n">
        <v>6300</v>
      </c>
      <c r="F198" s="126" t="n">
        <v>5600</v>
      </c>
      <c r="G198" s="127" t="n">
        <v>700</v>
      </c>
      <c r="H198" s="126" t="s">
        <v>60</v>
      </c>
      <c r="I198" s="126" t="s">
        <v>62</v>
      </c>
      <c r="J198" s="0" t="s">
        <v>61</v>
      </c>
    </row>
    <row r="199" customFormat="false" ht="18" hidden="false" customHeight="false" outlineLevel="0" collapsed="false">
      <c r="A199" s="124" t="n">
        <v>45037</v>
      </c>
      <c r="B199" s="125" t="n">
        <v>0.497222222222222</v>
      </c>
      <c r="C199" s="126" t="n">
        <v>21052</v>
      </c>
      <c r="D199" s="126" t="s">
        <v>12</v>
      </c>
      <c r="E199" s="126" t="n">
        <v>2740</v>
      </c>
      <c r="F199" s="126" t="n">
        <v>2380</v>
      </c>
      <c r="G199" s="127" t="n">
        <v>360</v>
      </c>
      <c r="H199" s="126" t="s">
        <v>60</v>
      </c>
      <c r="I199" s="126" t="s">
        <v>3</v>
      </c>
      <c r="J199" s="0" t="s">
        <v>61</v>
      </c>
    </row>
    <row r="200" customFormat="false" ht="18" hidden="false" customHeight="false" outlineLevel="0" collapsed="false">
      <c r="A200" s="124" t="n">
        <v>45038</v>
      </c>
      <c r="B200" s="125" t="n">
        <v>0.495138888888889</v>
      </c>
      <c r="C200" s="126" t="n">
        <v>21088</v>
      </c>
      <c r="D200" s="126" t="s">
        <v>12</v>
      </c>
      <c r="E200" s="126" t="n">
        <v>2740</v>
      </c>
      <c r="F200" s="126" t="n">
        <v>2400</v>
      </c>
      <c r="G200" s="127" t="n">
        <v>340</v>
      </c>
      <c r="H200" s="126" t="s">
        <v>60</v>
      </c>
      <c r="I200" s="126" t="s">
        <v>3</v>
      </c>
      <c r="J200" s="0" t="s">
        <v>61</v>
      </c>
    </row>
    <row r="201" customFormat="false" ht="18" hidden="false" customHeight="false" outlineLevel="0" collapsed="false">
      <c r="A201" s="124" t="n">
        <v>45038</v>
      </c>
      <c r="B201" s="125" t="n">
        <v>0.25625</v>
      </c>
      <c r="C201" s="126" t="n">
        <v>21079</v>
      </c>
      <c r="D201" s="126" t="s">
        <v>16</v>
      </c>
      <c r="E201" s="126" t="n">
        <v>4560</v>
      </c>
      <c r="F201" s="126" t="n">
        <v>3680</v>
      </c>
      <c r="G201" s="127" t="n">
        <v>880</v>
      </c>
      <c r="H201" s="126" t="s">
        <v>60</v>
      </c>
      <c r="I201" s="126" t="s">
        <v>3</v>
      </c>
      <c r="J201" s="0" t="s">
        <v>61</v>
      </c>
    </row>
    <row r="202" customFormat="false" ht="18" hidden="false" customHeight="false" outlineLevel="0" collapsed="false">
      <c r="A202" s="124" t="n">
        <v>45038</v>
      </c>
      <c r="B202" s="125" t="n">
        <v>0.483333333333333</v>
      </c>
      <c r="C202" s="126" t="n">
        <v>21087</v>
      </c>
      <c r="D202" s="126" t="s">
        <v>17</v>
      </c>
      <c r="E202" s="126" t="n">
        <v>6000</v>
      </c>
      <c r="F202" s="126" t="n">
        <v>5580</v>
      </c>
      <c r="G202" s="127" t="n">
        <v>420</v>
      </c>
      <c r="H202" s="126" t="s">
        <v>60</v>
      </c>
      <c r="I202" s="126" t="s">
        <v>62</v>
      </c>
      <c r="J202" s="0" t="s">
        <v>61</v>
      </c>
    </row>
    <row r="203" customFormat="false" ht="18" hidden="false" customHeight="false" outlineLevel="0" collapsed="false">
      <c r="A203" s="124" t="n">
        <v>45038</v>
      </c>
      <c r="B203" s="125" t="n">
        <v>0.182638888888889</v>
      </c>
      <c r="C203" s="126" t="n">
        <v>21070</v>
      </c>
      <c r="D203" s="126" t="s">
        <v>15</v>
      </c>
      <c r="E203" s="126" t="n">
        <v>23760</v>
      </c>
      <c r="F203" s="126" t="n">
        <v>13200</v>
      </c>
      <c r="G203" s="127" t="n">
        <v>10560</v>
      </c>
      <c r="H203" s="126" t="s">
        <v>60</v>
      </c>
      <c r="I203" s="126" t="s">
        <v>3</v>
      </c>
      <c r="J203" s="0" t="s">
        <v>61</v>
      </c>
    </row>
    <row r="204" customFormat="false" ht="18" hidden="false" customHeight="false" outlineLevel="0" collapsed="false">
      <c r="A204" s="124" t="n">
        <v>45038</v>
      </c>
      <c r="B204" s="125" t="n">
        <v>0.191666666666667</v>
      </c>
      <c r="C204" s="126" t="n">
        <v>21072</v>
      </c>
      <c r="D204" s="126" t="s">
        <v>10</v>
      </c>
      <c r="E204" s="126" t="n">
        <v>26280</v>
      </c>
      <c r="F204" s="126" t="n">
        <v>15980</v>
      </c>
      <c r="G204" s="127" t="n">
        <v>10300</v>
      </c>
      <c r="H204" s="126" t="s">
        <v>60</v>
      </c>
      <c r="I204" s="126" t="s">
        <v>3</v>
      </c>
      <c r="J204" s="0" t="s">
        <v>61</v>
      </c>
    </row>
    <row r="205" customFormat="false" ht="18" hidden="false" customHeight="false" outlineLevel="0" collapsed="false">
      <c r="A205" s="124" t="n">
        <v>45038</v>
      </c>
      <c r="B205" s="125" t="n">
        <v>0.257638888888889</v>
      </c>
      <c r="C205" s="126" t="n">
        <v>21080</v>
      </c>
      <c r="D205" s="126" t="s">
        <v>10</v>
      </c>
      <c r="E205" s="126" t="n">
        <v>17200</v>
      </c>
      <c r="F205" s="126" t="n">
        <v>15960</v>
      </c>
      <c r="G205" s="127" t="n">
        <v>1240</v>
      </c>
      <c r="H205" s="126" t="s">
        <v>60</v>
      </c>
      <c r="I205" s="126" t="s">
        <v>3</v>
      </c>
      <c r="J205" s="0" t="s">
        <v>61</v>
      </c>
    </row>
    <row r="206" customFormat="false" ht="18" hidden="false" customHeight="false" outlineLevel="0" collapsed="false">
      <c r="A206" s="124" t="n">
        <v>45039</v>
      </c>
      <c r="B206" s="125" t="n">
        <v>0.161111111111111</v>
      </c>
      <c r="C206" s="126" t="n">
        <v>21098</v>
      </c>
      <c r="D206" s="126" t="s">
        <v>15</v>
      </c>
      <c r="E206" s="126" t="n">
        <v>23460</v>
      </c>
      <c r="F206" s="126" t="n">
        <v>13260</v>
      </c>
      <c r="G206" s="127" t="n">
        <v>10200</v>
      </c>
      <c r="H206" s="126" t="s">
        <v>60</v>
      </c>
      <c r="I206" s="126" t="s">
        <v>3</v>
      </c>
      <c r="J206" s="0" t="s">
        <v>61</v>
      </c>
    </row>
    <row r="207" customFormat="false" ht="18" hidden="false" customHeight="false" outlineLevel="0" collapsed="false">
      <c r="A207" s="124" t="n">
        <v>45039</v>
      </c>
      <c r="B207" s="125" t="n">
        <v>0.25625</v>
      </c>
      <c r="C207" s="126" t="n">
        <v>21103</v>
      </c>
      <c r="D207" s="126" t="s">
        <v>16</v>
      </c>
      <c r="E207" s="126" t="n">
        <v>4780</v>
      </c>
      <c r="F207" s="126" t="n">
        <v>3600</v>
      </c>
      <c r="G207" s="127" t="n">
        <v>1180</v>
      </c>
      <c r="H207" s="126" t="s">
        <v>60</v>
      </c>
      <c r="I207" s="126" t="s">
        <v>3</v>
      </c>
      <c r="J207" s="0" t="s">
        <v>61</v>
      </c>
    </row>
    <row r="208" customFormat="false" ht="18" hidden="false" customHeight="false" outlineLevel="0" collapsed="false">
      <c r="A208" s="124" t="n">
        <v>45039</v>
      </c>
      <c r="B208" s="125" t="n">
        <v>0.258333333333333</v>
      </c>
      <c r="C208" s="126" t="n">
        <v>21104</v>
      </c>
      <c r="D208" s="126" t="s">
        <v>15</v>
      </c>
      <c r="E208" s="126" t="n">
        <v>14800</v>
      </c>
      <c r="F208" s="126" t="n">
        <v>13340</v>
      </c>
      <c r="G208" s="127" t="n">
        <v>1460</v>
      </c>
      <c r="H208" s="126" t="s">
        <v>60</v>
      </c>
      <c r="I208" s="126" t="s">
        <v>3</v>
      </c>
      <c r="J208" s="0" t="s">
        <v>61</v>
      </c>
    </row>
    <row r="209" customFormat="false" ht="18" hidden="false" customHeight="false" outlineLevel="0" collapsed="false">
      <c r="A209" s="124" t="n">
        <v>45039</v>
      </c>
      <c r="B209" s="125" t="n">
        <v>0.189583333333333</v>
      </c>
      <c r="C209" s="126" t="n">
        <v>21099</v>
      </c>
      <c r="D209" s="126" t="s">
        <v>11</v>
      </c>
      <c r="E209" s="126" t="n">
        <v>26080</v>
      </c>
      <c r="F209" s="126" t="n">
        <v>15840</v>
      </c>
      <c r="G209" s="127" t="n">
        <v>10240</v>
      </c>
      <c r="H209" s="126" t="s">
        <v>60</v>
      </c>
      <c r="I209" s="126" t="s">
        <v>3</v>
      </c>
      <c r="J209" s="0" t="s">
        <v>61</v>
      </c>
    </row>
    <row r="210" customFormat="false" ht="18" hidden="false" customHeight="false" outlineLevel="0" collapsed="false">
      <c r="A210" s="124" t="n">
        <v>45040</v>
      </c>
      <c r="B210" s="125" t="n">
        <v>0.133333333333333</v>
      </c>
      <c r="C210" s="126" t="n">
        <v>21113</v>
      </c>
      <c r="D210" s="126" t="s">
        <v>11</v>
      </c>
      <c r="E210" s="126" t="n">
        <v>26120</v>
      </c>
      <c r="F210" s="126" t="n">
        <v>15780</v>
      </c>
      <c r="G210" s="127" t="n">
        <v>10340</v>
      </c>
      <c r="H210" s="126" t="s">
        <v>60</v>
      </c>
      <c r="I210" s="126" t="s">
        <v>3</v>
      </c>
      <c r="J210" s="0" t="s">
        <v>61</v>
      </c>
    </row>
    <row r="211" customFormat="false" ht="18" hidden="false" customHeight="false" outlineLevel="0" collapsed="false">
      <c r="A211" s="124" t="n">
        <v>45040</v>
      </c>
      <c r="B211" s="125" t="n">
        <v>0.252083333333333</v>
      </c>
      <c r="C211" s="126" t="n">
        <v>21122</v>
      </c>
      <c r="D211" s="126" t="s">
        <v>11</v>
      </c>
      <c r="E211" s="126" t="n">
        <v>20180</v>
      </c>
      <c r="F211" s="126" t="n">
        <v>15780</v>
      </c>
      <c r="G211" s="127" t="n">
        <v>4400</v>
      </c>
      <c r="H211" s="126" t="s">
        <v>60</v>
      </c>
      <c r="I211" s="126" t="s">
        <v>3</v>
      </c>
      <c r="J211" s="0" t="s">
        <v>61</v>
      </c>
    </row>
    <row r="212" customFormat="false" ht="18" hidden="false" customHeight="false" outlineLevel="0" collapsed="false">
      <c r="A212" s="124" t="n">
        <v>45040</v>
      </c>
      <c r="B212" s="125" t="n">
        <v>0.09375</v>
      </c>
      <c r="C212" s="126" t="n">
        <v>21109</v>
      </c>
      <c r="D212" s="126" t="s">
        <v>15</v>
      </c>
      <c r="E212" s="126" t="n">
        <v>22740</v>
      </c>
      <c r="F212" s="126" t="n">
        <v>13240</v>
      </c>
      <c r="G212" s="127" t="n">
        <v>9500</v>
      </c>
      <c r="H212" s="126" t="s">
        <v>60</v>
      </c>
      <c r="I212" s="126" t="s">
        <v>3</v>
      </c>
      <c r="J212" s="0" t="s">
        <v>61</v>
      </c>
    </row>
    <row r="213" customFormat="false" ht="18" hidden="false" customHeight="false" outlineLevel="0" collapsed="false">
      <c r="A213" s="124" t="n">
        <v>45040</v>
      </c>
      <c r="B213" s="125" t="n">
        <v>0.253472222222222</v>
      </c>
      <c r="C213" s="126" t="n">
        <v>21123</v>
      </c>
      <c r="D213" s="126" t="s">
        <v>16</v>
      </c>
      <c r="E213" s="126" t="n">
        <v>4800</v>
      </c>
      <c r="F213" s="126" t="n">
        <v>3680</v>
      </c>
      <c r="G213" s="127" t="n">
        <v>1120</v>
      </c>
      <c r="H213" s="126" t="s">
        <v>60</v>
      </c>
      <c r="I213" s="126" t="s">
        <v>3</v>
      </c>
      <c r="J213" s="0" t="s">
        <v>61</v>
      </c>
    </row>
    <row r="214" customFormat="false" ht="18" hidden="false" customHeight="false" outlineLevel="0" collapsed="false">
      <c r="A214" s="124" t="n">
        <v>45040</v>
      </c>
      <c r="B214" s="125" t="n">
        <v>0.234722222222222</v>
      </c>
      <c r="C214" s="126" t="n">
        <v>21121</v>
      </c>
      <c r="D214" s="126" t="s">
        <v>15</v>
      </c>
      <c r="E214" s="126" t="n">
        <v>16860</v>
      </c>
      <c r="F214" s="126" t="n">
        <v>13220</v>
      </c>
      <c r="G214" s="127" t="n">
        <v>3640</v>
      </c>
      <c r="H214" s="126" t="s">
        <v>60</v>
      </c>
      <c r="I214" s="126" t="s">
        <v>3</v>
      </c>
      <c r="J214" s="0" t="s">
        <v>61</v>
      </c>
    </row>
    <row r="215" customFormat="false" ht="18" hidden="false" customHeight="false" outlineLevel="0" collapsed="false">
      <c r="A215" s="124" t="n">
        <v>45040</v>
      </c>
      <c r="B215" s="125" t="n">
        <v>0.4625</v>
      </c>
      <c r="C215" s="126" t="n">
        <v>21141</v>
      </c>
      <c r="D215" s="126" t="s">
        <v>12</v>
      </c>
      <c r="E215" s="126" t="n">
        <v>2600</v>
      </c>
      <c r="F215" s="126" t="n">
        <v>2400</v>
      </c>
      <c r="G215" s="127" t="n">
        <v>200</v>
      </c>
      <c r="H215" s="126" t="s">
        <v>60</v>
      </c>
      <c r="I215" s="126" t="s">
        <v>3</v>
      </c>
      <c r="J215" s="0" t="s">
        <v>61</v>
      </c>
    </row>
    <row r="216" customFormat="false" ht="18" hidden="false" customHeight="false" outlineLevel="0" collapsed="false">
      <c r="A216" s="124" t="n">
        <v>45040</v>
      </c>
      <c r="B216" s="125" t="n">
        <v>0.420138888888889</v>
      </c>
      <c r="C216" s="126" t="n">
        <v>21135</v>
      </c>
      <c r="D216" s="126" t="s">
        <v>12</v>
      </c>
      <c r="E216" s="126" t="n">
        <v>2680</v>
      </c>
      <c r="F216" s="126" t="n">
        <v>2400</v>
      </c>
      <c r="G216" s="127" t="n">
        <v>280</v>
      </c>
      <c r="H216" s="126" t="s">
        <v>60</v>
      </c>
      <c r="I216" s="126" t="s">
        <v>3</v>
      </c>
      <c r="J216" s="0" t="s">
        <v>61</v>
      </c>
    </row>
    <row r="217" customFormat="false" ht="18" hidden="true" customHeight="false" outlineLevel="0" collapsed="false">
      <c r="A217" s="124" t="n">
        <v>45040</v>
      </c>
      <c r="B217" s="125" t="n">
        <v>0.511111111111111</v>
      </c>
      <c r="C217" s="126" t="n">
        <v>4173</v>
      </c>
      <c r="D217" s="126" t="s">
        <v>11</v>
      </c>
      <c r="E217" s="126" t="n">
        <v>16820</v>
      </c>
      <c r="F217" s="126" t="n">
        <v>15760</v>
      </c>
      <c r="G217" s="127" t="n">
        <v>1060</v>
      </c>
      <c r="H217" s="126" t="s">
        <v>60</v>
      </c>
      <c r="I217" s="126" t="s">
        <v>4</v>
      </c>
      <c r="J217" s="0" t="s">
        <v>61</v>
      </c>
    </row>
    <row r="218" customFormat="false" ht="18" hidden="false" customHeight="false" outlineLevel="0" collapsed="false">
      <c r="A218" s="124" t="n">
        <v>45041</v>
      </c>
      <c r="B218" s="125" t="n">
        <v>0.259722222222222</v>
      </c>
      <c r="C218" s="126" t="n">
        <v>21179</v>
      </c>
      <c r="D218" s="126" t="s">
        <v>16</v>
      </c>
      <c r="E218" s="126" t="n">
        <v>4460</v>
      </c>
      <c r="F218" s="126" t="n">
        <v>3760</v>
      </c>
      <c r="G218" s="127" t="n">
        <v>700</v>
      </c>
      <c r="H218" s="126" t="s">
        <v>60</v>
      </c>
      <c r="I218" s="126" t="s">
        <v>3</v>
      </c>
      <c r="J218" s="0" t="s">
        <v>61</v>
      </c>
    </row>
    <row r="219" customFormat="false" ht="18" hidden="false" customHeight="false" outlineLevel="0" collapsed="false">
      <c r="A219" s="124" t="n">
        <v>45041</v>
      </c>
      <c r="B219" s="125" t="n">
        <v>0.203472222222222</v>
      </c>
      <c r="C219" s="126" t="n">
        <v>21174</v>
      </c>
      <c r="D219" s="126" t="s">
        <v>11</v>
      </c>
      <c r="E219" s="126" t="n">
        <v>26620</v>
      </c>
      <c r="F219" s="126" t="n">
        <v>15900</v>
      </c>
      <c r="G219" s="127" t="n">
        <v>10720</v>
      </c>
      <c r="H219" s="126" t="s">
        <v>60</v>
      </c>
      <c r="I219" s="126" t="s">
        <v>3</v>
      </c>
      <c r="J219" s="0" t="s">
        <v>61</v>
      </c>
    </row>
    <row r="220" customFormat="false" ht="18" hidden="false" customHeight="false" outlineLevel="0" collapsed="false">
      <c r="A220" s="124" t="n">
        <v>45041</v>
      </c>
      <c r="B220" s="125" t="n">
        <v>0.178472222222222</v>
      </c>
      <c r="C220" s="126" t="n">
        <v>21170</v>
      </c>
      <c r="D220" s="126" t="s">
        <v>15</v>
      </c>
      <c r="E220" s="126" t="n">
        <v>16220</v>
      </c>
      <c r="F220" s="126" t="n">
        <v>13200</v>
      </c>
      <c r="G220" s="127" t="n">
        <v>3020</v>
      </c>
      <c r="H220" s="126" t="s">
        <v>60</v>
      </c>
      <c r="I220" s="126" t="s">
        <v>3</v>
      </c>
      <c r="J220" s="0" t="s">
        <v>61</v>
      </c>
    </row>
    <row r="221" customFormat="false" ht="18" hidden="false" customHeight="false" outlineLevel="0" collapsed="false">
      <c r="A221" s="124" t="n">
        <v>45041</v>
      </c>
      <c r="B221" s="125" t="n">
        <v>0.298611111111111</v>
      </c>
      <c r="C221" s="126" t="n">
        <v>21183</v>
      </c>
      <c r="D221" s="126" t="s">
        <v>11</v>
      </c>
      <c r="E221" s="126" t="n">
        <v>17040</v>
      </c>
      <c r="F221" s="126" t="n">
        <v>15860</v>
      </c>
      <c r="G221" s="127" t="n">
        <v>1180</v>
      </c>
      <c r="H221" s="126" t="s">
        <v>60</v>
      </c>
      <c r="I221" s="126" t="s">
        <v>3</v>
      </c>
      <c r="J221" s="0" t="s">
        <v>61</v>
      </c>
    </row>
    <row r="222" customFormat="false" ht="18" hidden="false" customHeight="false" outlineLevel="0" collapsed="false">
      <c r="A222" s="124" t="n">
        <v>45041</v>
      </c>
      <c r="B222" s="125" t="n">
        <v>0.499305555555555</v>
      </c>
      <c r="C222" s="126" t="n">
        <v>21203</v>
      </c>
      <c r="D222" s="126" t="s">
        <v>13</v>
      </c>
      <c r="E222" s="126" t="n">
        <v>14120</v>
      </c>
      <c r="F222" s="126" t="n">
        <v>12480</v>
      </c>
      <c r="G222" s="127" t="n">
        <v>1640</v>
      </c>
      <c r="H222" s="126" t="s">
        <v>60</v>
      </c>
      <c r="I222" s="126" t="s">
        <v>3</v>
      </c>
      <c r="J222" s="0" t="s">
        <v>61</v>
      </c>
    </row>
    <row r="223" customFormat="false" ht="18" hidden="false" customHeight="false" outlineLevel="0" collapsed="false">
      <c r="A223" s="124" t="n">
        <v>45041</v>
      </c>
      <c r="B223" s="125" t="n">
        <v>0.365972222222222</v>
      </c>
      <c r="C223" s="126" t="n">
        <v>21188</v>
      </c>
      <c r="D223" s="128" t="s">
        <v>17</v>
      </c>
      <c r="E223" s="128" t="n">
        <v>6280</v>
      </c>
      <c r="F223" s="128" t="n">
        <v>5560</v>
      </c>
      <c r="G223" s="128" t="n">
        <v>720</v>
      </c>
      <c r="H223" s="128" t="s">
        <v>60</v>
      </c>
      <c r="I223" s="126" t="s">
        <v>62</v>
      </c>
      <c r="J223" s="0" t="s">
        <v>61</v>
      </c>
    </row>
    <row r="224" customFormat="false" ht="18" hidden="false" customHeight="false" outlineLevel="0" collapsed="false">
      <c r="A224" s="124" t="n">
        <v>45041</v>
      </c>
      <c r="B224" s="125" t="n">
        <v>0.517361111111111</v>
      </c>
      <c r="C224" s="126" t="n">
        <v>21206</v>
      </c>
      <c r="D224" s="126" t="s">
        <v>12</v>
      </c>
      <c r="E224" s="126" t="n">
        <v>2580</v>
      </c>
      <c r="F224" s="126" t="n">
        <v>2400</v>
      </c>
      <c r="G224" s="127" t="n">
        <v>180</v>
      </c>
      <c r="H224" s="126" t="s">
        <v>60</v>
      </c>
      <c r="I224" s="126" t="s">
        <v>3</v>
      </c>
      <c r="J224" s="0" t="s">
        <v>61</v>
      </c>
    </row>
    <row r="225" customFormat="false" ht="18" hidden="true" customHeight="false" outlineLevel="0" collapsed="false">
      <c r="A225" s="124" t="n">
        <v>45041</v>
      </c>
      <c r="B225" s="125" t="n">
        <v>0.520138888888889</v>
      </c>
      <c r="C225" s="126" t="n">
        <v>155474</v>
      </c>
      <c r="D225" s="126" t="s">
        <v>11</v>
      </c>
      <c r="E225" s="126" t="n">
        <v>18440</v>
      </c>
      <c r="F225" s="126" t="n">
        <v>15840</v>
      </c>
      <c r="G225" s="127" t="n">
        <v>2600</v>
      </c>
      <c r="H225" s="126" t="s">
        <v>60</v>
      </c>
      <c r="I225" s="126" t="s">
        <v>5</v>
      </c>
      <c r="J225" s="0" t="s">
        <v>61</v>
      </c>
    </row>
    <row r="226" customFormat="false" ht="18" hidden="false" customHeight="false" outlineLevel="0" collapsed="false">
      <c r="A226" s="124" t="n">
        <v>45042</v>
      </c>
      <c r="B226" s="125" t="n">
        <v>0.121527777777778</v>
      </c>
      <c r="C226" s="126" t="n">
        <v>21224</v>
      </c>
      <c r="D226" s="126" t="s">
        <v>15</v>
      </c>
      <c r="E226" s="126" t="n">
        <v>21400</v>
      </c>
      <c r="F226" s="126" t="n">
        <v>13220</v>
      </c>
      <c r="G226" s="127" t="n">
        <v>8180</v>
      </c>
      <c r="H226" s="126" t="s">
        <v>60</v>
      </c>
      <c r="I226" s="126" t="s">
        <v>3</v>
      </c>
      <c r="J226" s="0" t="s">
        <v>61</v>
      </c>
    </row>
    <row r="227" customFormat="false" ht="18" hidden="false" customHeight="false" outlineLevel="0" collapsed="false">
      <c r="A227" s="124" t="n">
        <v>45042</v>
      </c>
      <c r="B227" s="125" t="n">
        <v>0.254861111111111</v>
      </c>
      <c r="C227" s="126" t="n">
        <v>21236</v>
      </c>
      <c r="D227" s="126" t="s">
        <v>16</v>
      </c>
      <c r="E227" s="126" t="n">
        <v>4300</v>
      </c>
      <c r="F227" s="126" t="n">
        <v>3700</v>
      </c>
      <c r="G227" s="127" t="n">
        <v>600</v>
      </c>
      <c r="H227" s="126" t="s">
        <v>60</v>
      </c>
      <c r="I227" s="126" t="s">
        <v>3</v>
      </c>
      <c r="J227" s="0" t="s">
        <v>61</v>
      </c>
    </row>
    <row r="228" customFormat="false" ht="18" hidden="false" customHeight="false" outlineLevel="0" collapsed="false">
      <c r="A228" s="124" t="n">
        <v>45042</v>
      </c>
      <c r="B228" s="125" t="n">
        <v>0.134027777777778</v>
      </c>
      <c r="C228" s="126" t="n">
        <v>21225</v>
      </c>
      <c r="D228" s="126" t="s">
        <v>10</v>
      </c>
      <c r="E228" s="126" t="n">
        <v>22840</v>
      </c>
      <c r="F228" s="126" t="n">
        <v>15960</v>
      </c>
      <c r="G228" s="127" t="n">
        <v>6880</v>
      </c>
      <c r="H228" s="126" t="s">
        <v>60</v>
      </c>
      <c r="I228" s="126" t="s">
        <v>3</v>
      </c>
      <c r="J228" s="0" t="s">
        <v>61</v>
      </c>
    </row>
    <row r="229" customFormat="false" ht="18" hidden="false" customHeight="false" outlineLevel="0" collapsed="false">
      <c r="A229" s="124" t="n">
        <v>45042</v>
      </c>
      <c r="B229" s="125" t="n">
        <v>0.253472222222222</v>
      </c>
      <c r="C229" s="126" t="n">
        <v>21235</v>
      </c>
      <c r="D229" s="126" t="s">
        <v>10</v>
      </c>
      <c r="E229" s="126" t="n">
        <v>20020</v>
      </c>
      <c r="F229" s="126" t="n">
        <v>15940</v>
      </c>
      <c r="G229" s="127" t="n">
        <v>4080</v>
      </c>
      <c r="H229" s="126" t="s">
        <v>60</v>
      </c>
      <c r="I229" s="126" t="s">
        <v>3</v>
      </c>
      <c r="J229" s="0" t="s">
        <v>61</v>
      </c>
    </row>
    <row r="230" customFormat="false" ht="18" hidden="false" customHeight="false" outlineLevel="0" collapsed="false">
      <c r="A230" s="124" t="n">
        <v>45042</v>
      </c>
      <c r="B230" s="125" t="n">
        <v>0.241666666666667</v>
      </c>
      <c r="C230" s="126" t="n">
        <v>21234</v>
      </c>
      <c r="D230" s="126" t="s">
        <v>15</v>
      </c>
      <c r="E230" s="126" t="n">
        <v>15260</v>
      </c>
      <c r="F230" s="126" t="n">
        <v>13200</v>
      </c>
      <c r="G230" s="127" t="n">
        <v>2060</v>
      </c>
      <c r="H230" s="126" t="s">
        <v>60</v>
      </c>
      <c r="I230" s="126" t="s">
        <v>3</v>
      </c>
      <c r="J230" s="0" t="s">
        <v>61</v>
      </c>
    </row>
    <row r="231" customFormat="false" ht="18" hidden="false" customHeight="false" outlineLevel="0" collapsed="false">
      <c r="A231" s="124" t="n">
        <v>45042</v>
      </c>
      <c r="B231" s="125" t="n">
        <v>0.5125</v>
      </c>
      <c r="C231" s="126" t="n">
        <v>21266</v>
      </c>
      <c r="D231" s="126" t="s">
        <v>12</v>
      </c>
      <c r="E231" s="126" t="n">
        <v>2680</v>
      </c>
      <c r="F231" s="126" t="n">
        <v>2380</v>
      </c>
      <c r="G231" s="127" t="n">
        <v>300</v>
      </c>
      <c r="H231" s="126" t="s">
        <v>60</v>
      </c>
      <c r="I231" s="126" t="s">
        <v>3</v>
      </c>
      <c r="J231" s="0" t="s">
        <v>61</v>
      </c>
    </row>
    <row r="232" customFormat="false" ht="18" hidden="false" customHeight="false" outlineLevel="0" collapsed="false">
      <c r="A232" s="124" t="n">
        <v>45042</v>
      </c>
      <c r="B232" s="125" t="n">
        <v>0.429166666666667</v>
      </c>
      <c r="C232" s="126" t="n">
        <v>21254</v>
      </c>
      <c r="D232" s="126" t="s">
        <v>17</v>
      </c>
      <c r="E232" s="126" t="n">
        <v>6460</v>
      </c>
      <c r="F232" s="126" t="n">
        <v>5540</v>
      </c>
      <c r="G232" s="127" t="n">
        <v>920</v>
      </c>
      <c r="H232" s="126" t="s">
        <v>60</v>
      </c>
      <c r="I232" s="126" t="s">
        <v>62</v>
      </c>
      <c r="J232" s="0" t="s">
        <v>61</v>
      </c>
    </row>
    <row r="233" customFormat="false" ht="18" hidden="false" customHeight="false" outlineLevel="0" collapsed="false">
      <c r="A233" s="124" t="n">
        <v>45043</v>
      </c>
      <c r="B233" s="125" t="n">
        <v>0.191666666666667</v>
      </c>
      <c r="C233" s="126" t="n">
        <v>21292</v>
      </c>
      <c r="D233" s="126" t="s">
        <v>10</v>
      </c>
      <c r="E233" s="126" t="n">
        <v>25360</v>
      </c>
      <c r="F233" s="126" t="n">
        <v>16020</v>
      </c>
      <c r="G233" s="127" t="n">
        <v>9340</v>
      </c>
      <c r="H233" s="126" t="s">
        <v>60</v>
      </c>
      <c r="I233" s="126" t="s">
        <v>3</v>
      </c>
      <c r="J233" s="0" t="s">
        <v>61</v>
      </c>
    </row>
    <row r="234" customFormat="false" ht="18" hidden="false" customHeight="false" outlineLevel="0" collapsed="false">
      <c r="A234" s="124" t="n">
        <v>45043</v>
      </c>
      <c r="B234" s="125" t="n">
        <v>0.254861111111111</v>
      </c>
      <c r="C234" s="126" t="n">
        <v>21302</v>
      </c>
      <c r="D234" s="126" t="s">
        <v>10</v>
      </c>
      <c r="E234" s="126" t="n">
        <v>17220</v>
      </c>
      <c r="F234" s="126" t="n">
        <v>16000</v>
      </c>
      <c r="G234" s="127" t="n">
        <v>1220</v>
      </c>
      <c r="H234" s="126" t="s">
        <v>60</v>
      </c>
      <c r="I234" s="126" t="s">
        <v>3</v>
      </c>
      <c r="J234" s="0" t="s">
        <v>61</v>
      </c>
    </row>
    <row r="235" customFormat="false" ht="18" hidden="false" customHeight="false" outlineLevel="0" collapsed="false">
      <c r="A235" s="124" t="n">
        <v>45043</v>
      </c>
      <c r="B235" s="125" t="n">
        <v>0.255555555555556</v>
      </c>
      <c r="C235" s="126" t="n">
        <v>21301</v>
      </c>
      <c r="D235" s="126" t="s">
        <v>16</v>
      </c>
      <c r="E235" s="126" t="n">
        <v>4340</v>
      </c>
      <c r="F235" s="126" t="n">
        <v>3680</v>
      </c>
      <c r="G235" s="127" t="n">
        <v>660</v>
      </c>
      <c r="H235" s="126" t="s">
        <v>60</v>
      </c>
      <c r="I235" s="126" t="s">
        <v>3</v>
      </c>
      <c r="J235" s="0" t="s">
        <v>61</v>
      </c>
    </row>
    <row r="236" customFormat="false" ht="18" hidden="false" customHeight="false" outlineLevel="0" collapsed="false">
      <c r="A236" s="124" t="n">
        <v>45043</v>
      </c>
      <c r="B236" s="125" t="n">
        <v>0.245138888888889</v>
      </c>
      <c r="C236" s="126" t="n">
        <v>21299</v>
      </c>
      <c r="D236" s="126" t="s">
        <v>15</v>
      </c>
      <c r="E236" s="126" t="n">
        <v>14920</v>
      </c>
      <c r="F236" s="126" t="n">
        <v>13120</v>
      </c>
      <c r="G236" s="127" t="n">
        <v>1800</v>
      </c>
      <c r="H236" s="126" t="s">
        <v>60</v>
      </c>
      <c r="I236" s="126" t="s">
        <v>3</v>
      </c>
      <c r="J236" s="0" t="s">
        <v>61</v>
      </c>
    </row>
    <row r="237" customFormat="false" ht="18" hidden="false" customHeight="false" outlineLevel="0" collapsed="false">
      <c r="A237" s="124" t="n">
        <v>45043</v>
      </c>
      <c r="B237" s="125" t="n">
        <v>0.106944444444444</v>
      </c>
      <c r="C237" s="126" t="n">
        <v>21286</v>
      </c>
      <c r="D237" s="126" t="s">
        <v>15</v>
      </c>
      <c r="E237" s="126" t="n">
        <v>21180</v>
      </c>
      <c r="F237" s="126" t="n">
        <v>13160</v>
      </c>
      <c r="G237" s="127" t="n">
        <v>8020</v>
      </c>
      <c r="H237" s="126" t="s">
        <v>60</v>
      </c>
      <c r="I237" s="126" t="s">
        <v>3</v>
      </c>
      <c r="J237" s="0" t="s">
        <v>61</v>
      </c>
    </row>
    <row r="238" customFormat="false" ht="18" hidden="false" customHeight="false" outlineLevel="0" collapsed="false">
      <c r="A238" s="124" t="n">
        <v>45043</v>
      </c>
      <c r="B238" s="125" t="n">
        <v>0.5125</v>
      </c>
      <c r="C238" s="126" t="n">
        <v>21328</v>
      </c>
      <c r="D238" s="126" t="s">
        <v>14</v>
      </c>
      <c r="E238" s="126" t="n">
        <v>3600</v>
      </c>
      <c r="F238" s="126" t="n">
        <v>2840</v>
      </c>
      <c r="G238" s="127" t="n">
        <v>760</v>
      </c>
      <c r="H238" s="126" t="s">
        <v>60</v>
      </c>
      <c r="I238" s="126" t="s">
        <v>3</v>
      </c>
      <c r="J238" s="0" t="s">
        <v>61</v>
      </c>
    </row>
    <row r="239" customFormat="false" ht="18" hidden="false" customHeight="false" outlineLevel="0" collapsed="false">
      <c r="A239" s="124" t="n">
        <v>45043</v>
      </c>
      <c r="B239" s="125" t="n">
        <v>0.477083333333333</v>
      </c>
      <c r="C239" s="126" t="n">
        <v>21322</v>
      </c>
      <c r="D239" s="126" t="s">
        <v>14</v>
      </c>
      <c r="E239" s="126" t="n">
        <v>3360</v>
      </c>
      <c r="F239" s="126" t="n">
        <v>2840</v>
      </c>
      <c r="G239" s="127" t="n">
        <v>520</v>
      </c>
      <c r="H239" s="126" t="s">
        <v>60</v>
      </c>
      <c r="I239" s="126" t="s">
        <v>3</v>
      </c>
      <c r="J239" s="0" t="s">
        <v>61</v>
      </c>
    </row>
    <row r="240" customFormat="false" ht="18" hidden="false" customHeight="false" outlineLevel="0" collapsed="false">
      <c r="A240" s="124" t="n">
        <v>45044</v>
      </c>
      <c r="B240" s="125" t="n">
        <v>0.105555555555556</v>
      </c>
      <c r="C240" s="126" t="n">
        <v>21342</v>
      </c>
      <c r="D240" s="126" t="s">
        <v>15</v>
      </c>
      <c r="E240" s="126" t="n">
        <v>20700</v>
      </c>
      <c r="F240" s="126" t="n">
        <v>13240</v>
      </c>
      <c r="G240" s="127" t="n">
        <v>7460</v>
      </c>
      <c r="H240" s="126" t="s">
        <v>60</v>
      </c>
      <c r="I240" s="126" t="s">
        <v>3</v>
      </c>
      <c r="J240" s="0" t="s">
        <v>61</v>
      </c>
    </row>
    <row r="241" customFormat="false" ht="18" hidden="false" customHeight="false" outlineLevel="0" collapsed="false">
      <c r="A241" s="124" t="n">
        <v>45044</v>
      </c>
      <c r="B241" s="125" t="n">
        <v>0.239583333333333</v>
      </c>
      <c r="C241" s="126" t="n">
        <v>21352</v>
      </c>
      <c r="D241" s="126" t="s">
        <v>15</v>
      </c>
      <c r="E241" s="126" t="n">
        <v>16300</v>
      </c>
      <c r="F241" s="126" t="n">
        <v>13220</v>
      </c>
      <c r="G241" s="127" t="n">
        <v>3080</v>
      </c>
      <c r="H241" s="126" t="s">
        <v>60</v>
      </c>
      <c r="I241" s="126" t="s">
        <v>3</v>
      </c>
      <c r="J241" s="0" t="s">
        <v>61</v>
      </c>
    </row>
    <row r="242" customFormat="false" ht="18" hidden="false" customHeight="false" outlineLevel="0" collapsed="false">
      <c r="A242" s="124" t="n">
        <v>45044</v>
      </c>
      <c r="B242" s="125" t="n">
        <v>0.252083333333333</v>
      </c>
      <c r="C242" s="126" t="n">
        <v>21352</v>
      </c>
      <c r="D242" s="126" t="s">
        <v>9</v>
      </c>
      <c r="E242" s="126" t="n">
        <v>3400</v>
      </c>
      <c r="F242" s="126" t="n">
        <v>2800</v>
      </c>
      <c r="G242" s="127" t="n">
        <v>600</v>
      </c>
      <c r="H242" s="126" t="s">
        <v>60</v>
      </c>
      <c r="I242" s="126" t="s">
        <v>3</v>
      </c>
      <c r="J242" s="0" t="s">
        <v>61</v>
      </c>
    </row>
    <row r="243" customFormat="false" ht="18" hidden="false" customHeight="false" outlineLevel="0" collapsed="false">
      <c r="A243" s="124" t="n">
        <v>45044</v>
      </c>
      <c r="B243" s="125" t="n">
        <v>0.252777777777778</v>
      </c>
      <c r="C243" s="126" t="n">
        <v>21354</v>
      </c>
      <c r="D243" s="126" t="s">
        <v>10</v>
      </c>
      <c r="E243" s="126" t="n">
        <v>26260</v>
      </c>
      <c r="F243" s="126" t="n">
        <v>15960</v>
      </c>
      <c r="G243" s="127" t="n">
        <v>10300</v>
      </c>
      <c r="H243" s="126" t="s">
        <v>60</v>
      </c>
      <c r="I243" s="126" t="s">
        <v>3</v>
      </c>
      <c r="J243" s="0" t="s">
        <v>61</v>
      </c>
    </row>
    <row r="244" customFormat="false" ht="18" hidden="false" customHeight="false" outlineLevel="0" collapsed="false">
      <c r="A244" s="124" t="n">
        <v>45044</v>
      </c>
      <c r="B244" s="125" t="n">
        <v>0.515277777777778</v>
      </c>
      <c r="C244" s="126" t="n">
        <v>21376</v>
      </c>
      <c r="D244" s="126" t="s">
        <v>14</v>
      </c>
      <c r="E244" s="126" t="n">
        <v>3100</v>
      </c>
      <c r="F244" s="126" t="n">
        <v>2840</v>
      </c>
      <c r="G244" s="127" t="n">
        <v>260</v>
      </c>
      <c r="H244" s="126" t="s">
        <v>60</v>
      </c>
      <c r="I244" s="126" t="s">
        <v>3</v>
      </c>
      <c r="J244" s="0" t="s">
        <v>61</v>
      </c>
    </row>
    <row r="245" customFormat="false" ht="18" hidden="false" customHeight="false" outlineLevel="0" collapsed="false">
      <c r="A245" s="124" t="n">
        <v>45044</v>
      </c>
      <c r="B245" s="125" t="n">
        <v>0.436805555555555</v>
      </c>
      <c r="C245" s="126" t="n">
        <v>21369</v>
      </c>
      <c r="D245" s="126" t="s">
        <v>12</v>
      </c>
      <c r="E245" s="126" t="n">
        <v>2700</v>
      </c>
      <c r="F245" s="126" t="n">
        <v>2400</v>
      </c>
      <c r="G245" s="127" t="n">
        <v>300</v>
      </c>
      <c r="H245" s="126" t="s">
        <v>60</v>
      </c>
      <c r="I245" s="126" t="s">
        <v>3</v>
      </c>
      <c r="J245" s="0" t="s">
        <v>61</v>
      </c>
    </row>
    <row r="246" customFormat="false" ht="18" hidden="false" customHeight="false" outlineLevel="0" collapsed="false">
      <c r="A246" s="124" t="n">
        <v>45044</v>
      </c>
      <c r="B246" s="125" t="n">
        <v>0.430555555555556</v>
      </c>
      <c r="C246" s="126" t="n">
        <v>21368</v>
      </c>
      <c r="D246" s="126" t="s">
        <v>15</v>
      </c>
      <c r="E246" s="126" t="n">
        <v>13380</v>
      </c>
      <c r="F246" s="126" t="n">
        <v>13200</v>
      </c>
      <c r="G246" s="127" t="n">
        <v>180</v>
      </c>
      <c r="H246" s="126" t="s">
        <v>60</v>
      </c>
      <c r="I246" s="126" t="s">
        <v>3</v>
      </c>
      <c r="J246" s="0" t="s">
        <v>61</v>
      </c>
    </row>
    <row r="247" customFormat="false" ht="18" hidden="false" customHeight="false" outlineLevel="0" collapsed="false">
      <c r="A247" s="124" t="n">
        <v>45044</v>
      </c>
      <c r="B247" s="125" t="n">
        <v>0.334722222222222</v>
      </c>
      <c r="C247" s="126" t="n">
        <v>21362</v>
      </c>
      <c r="D247" s="126" t="s">
        <v>17</v>
      </c>
      <c r="E247" s="126" t="n">
        <v>6700</v>
      </c>
      <c r="F247" s="126" t="n">
        <v>5540</v>
      </c>
      <c r="G247" s="127" t="n">
        <v>1160</v>
      </c>
      <c r="H247" s="126" t="s">
        <v>60</v>
      </c>
      <c r="I247" s="126" t="s">
        <v>62</v>
      </c>
      <c r="J247" s="0" t="s">
        <v>61</v>
      </c>
    </row>
    <row r="248" customFormat="false" ht="18" hidden="false" customHeight="false" outlineLevel="0" collapsed="false">
      <c r="A248" s="124" t="n">
        <v>45045</v>
      </c>
      <c r="B248" s="125" t="n">
        <v>0.256944444444444</v>
      </c>
      <c r="C248" s="126" t="n">
        <v>21404</v>
      </c>
      <c r="D248" s="126" t="s">
        <v>16</v>
      </c>
      <c r="E248" s="126" t="n">
        <v>5100</v>
      </c>
      <c r="F248" s="126" t="n">
        <v>3680</v>
      </c>
      <c r="G248" s="127" t="n">
        <v>1420</v>
      </c>
      <c r="H248" s="126" t="s">
        <v>60</v>
      </c>
      <c r="I248" s="126" t="s">
        <v>3</v>
      </c>
      <c r="J248" s="0" t="s">
        <v>61</v>
      </c>
    </row>
    <row r="249" customFormat="false" ht="18" hidden="false" customHeight="false" outlineLevel="0" collapsed="false">
      <c r="A249" s="124" t="n">
        <v>45045</v>
      </c>
      <c r="B249" s="125" t="n">
        <v>0.253472222222222</v>
      </c>
      <c r="C249" s="126" t="n">
        <v>21403</v>
      </c>
      <c r="D249" s="126" t="s">
        <v>10</v>
      </c>
      <c r="E249" s="126" t="n">
        <v>18140</v>
      </c>
      <c r="F249" s="126" t="n">
        <v>16040</v>
      </c>
      <c r="G249" s="127" t="n">
        <v>2100</v>
      </c>
      <c r="H249" s="126" t="s">
        <v>60</v>
      </c>
      <c r="I249" s="126" t="s">
        <v>3</v>
      </c>
      <c r="J249" s="0" t="s">
        <v>61</v>
      </c>
    </row>
    <row r="250" customFormat="false" ht="18" hidden="false" customHeight="false" outlineLevel="0" collapsed="false">
      <c r="A250" s="124" t="n">
        <v>45045</v>
      </c>
      <c r="B250" s="125" t="n">
        <v>0.459027777777778</v>
      </c>
      <c r="C250" s="126" t="n">
        <v>21415</v>
      </c>
      <c r="D250" s="126" t="s">
        <v>9</v>
      </c>
      <c r="E250" s="126" t="n">
        <v>3040</v>
      </c>
      <c r="F250" s="126" t="n">
        <v>2680</v>
      </c>
      <c r="G250" s="127" t="n">
        <v>360</v>
      </c>
      <c r="H250" s="126" t="s">
        <v>60</v>
      </c>
      <c r="I250" s="126" t="s">
        <v>3</v>
      </c>
      <c r="J250" s="0" t="s">
        <v>61</v>
      </c>
    </row>
    <row r="251" customFormat="false" ht="18" hidden="false" customHeight="false" outlineLevel="0" collapsed="false">
      <c r="A251" s="124" t="n">
        <v>45045</v>
      </c>
      <c r="B251" s="125" t="n">
        <v>0.192361111111111</v>
      </c>
      <c r="C251" s="126" t="n">
        <v>21397</v>
      </c>
      <c r="D251" s="126" t="s">
        <v>10</v>
      </c>
      <c r="E251" s="126" t="n">
        <v>27280</v>
      </c>
      <c r="F251" s="126" t="n">
        <v>16060</v>
      </c>
      <c r="G251" s="127" t="n">
        <v>11220</v>
      </c>
      <c r="H251" s="126" t="s">
        <v>60</v>
      </c>
      <c r="I251" s="126" t="s">
        <v>3</v>
      </c>
      <c r="J251" s="0" t="s">
        <v>61</v>
      </c>
    </row>
    <row r="252" customFormat="false" ht="18" hidden="false" customHeight="false" outlineLevel="0" collapsed="false">
      <c r="A252" s="124" t="n">
        <v>45045</v>
      </c>
      <c r="B252" s="125" t="n">
        <v>0.144444444444444</v>
      </c>
      <c r="C252" s="126" t="n">
        <v>21391</v>
      </c>
      <c r="D252" s="126" t="s">
        <v>15</v>
      </c>
      <c r="E252" s="126" t="n">
        <v>22100</v>
      </c>
      <c r="F252" s="126" t="n">
        <v>13200</v>
      </c>
      <c r="G252" s="127" t="n">
        <v>8900</v>
      </c>
      <c r="H252" s="126" t="s">
        <v>60</v>
      </c>
      <c r="I252" s="126" t="s">
        <v>3</v>
      </c>
      <c r="J252" s="0" t="s">
        <v>61</v>
      </c>
    </row>
    <row r="253" customFormat="false" ht="18" hidden="false" customHeight="false" outlineLevel="0" collapsed="false">
      <c r="A253" s="124" t="n">
        <v>45045</v>
      </c>
      <c r="B253" s="125" t="n">
        <v>0.225694444444444</v>
      </c>
      <c r="C253" s="126" t="n">
        <v>21399</v>
      </c>
      <c r="D253" s="126" t="s">
        <v>15</v>
      </c>
      <c r="E253" s="126" t="n">
        <v>15860</v>
      </c>
      <c r="F253" s="126" t="n">
        <v>13160</v>
      </c>
      <c r="G253" s="127" t="n">
        <v>2700</v>
      </c>
      <c r="H253" s="126" t="s">
        <v>60</v>
      </c>
      <c r="I253" s="126" t="s">
        <v>3</v>
      </c>
      <c r="J253" s="0" t="s">
        <v>61</v>
      </c>
    </row>
    <row r="254" customFormat="false" ht="18" hidden="false" customHeight="false" outlineLevel="0" collapsed="false">
      <c r="A254" s="124" t="n">
        <v>45046</v>
      </c>
      <c r="B254" s="125" t="n">
        <v>0.511111111111111</v>
      </c>
      <c r="C254" s="126" t="n">
        <v>21433</v>
      </c>
      <c r="D254" s="126" t="s">
        <v>14</v>
      </c>
      <c r="E254" s="126" t="n">
        <v>3300</v>
      </c>
      <c r="F254" s="126" t="n">
        <v>2920</v>
      </c>
      <c r="G254" s="127" t="n">
        <v>380</v>
      </c>
      <c r="H254" s="126" t="s">
        <v>60</v>
      </c>
      <c r="I254" s="126" t="s">
        <v>3</v>
      </c>
      <c r="J254" s="0" t="s">
        <v>61</v>
      </c>
    </row>
    <row r="255" customFormat="false" ht="18" hidden="false" customHeight="false" outlineLevel="0" collapsed="false">
      <c r="A255" s="124" t="n">
        <v>45046</v>
      </c>
      <c r="B255" s="125" t="n">
        <v>0.14375</v>
      </c>
      <c r="C255" s="126" t="n">
        <v>21422</v>
      </c>
      <c r="D255" s="126" t="s">
        <v>10</v>
      </c>
      <c r="E255" s="126" t="n">
        <v>25860</v>
      </c>
      <c r="F255" s="126" t="n">
        <v>16080</v>
      </c>
      <c r="G255" s="127" t="n">
        <v>9780</v>
      </c>
      <c r="H255" s="126" t="s">
        <v>60</v>
      </c>
      <c r="I255" s="126" t="s">
        <v>3</v>
      </c>
      <c r="J255" s="0" t="s">
        <v>61</v>
      </c>
    </row>
    <row r="256" customFormat="false" ht="18" hidden="false" customHeight="false" outlineLevel="0" collapsed="false">
      <c r="A256" s="124" t="n">
        <v>45046</v>
      </c>
      <c r="B256" s="125" t="n">
        <v>0.254861111111111</v>
      </c>
      <c r="C256" s="126" t="n">
        <v>21430</v>
      </c>
      <c r="D256" s="126" t="s">
        <v>16</v>
      </c>
      <c r="E256" s="126" t="n">
        <v>5300</v>
      </c>
      <c r="F256" s="126" t="n">
        <v>3700</v>
      </c>
      <c r="G256" s="127" t="n">
        <v>1600</v>
      </c>
      <c r="H256" s="126" t="s">
        <v>60</v>
      </c>
      <c r="I256" s="126" t="s">
        <v>3</v>
      </c>
      <c r="J256" s="0" t="s">
        <v>61</v>
      </c>
    </row>
    <row r="257" customFormat="false" ht="18" hidden="false" customHeight="false" outlineLevel="0" collapsed="false">
      <c r="A257" s="124" t="n">
        <v>45046</v>
      </c>
      <c r="B257" s="125" t="n">
        <v>0.114583333333333</v>
      </c>
      <c r="C257" s="126" t="n">
        <v>21421</v>
      </c>
      <c r="D257" s="126" t="s">
        <v>15</v>
      </c>
      <c r="E257" s="126" t="n">
        <v>22120</v>
      </c>
      <c r="F257" s="126" t="n">
        <v>13280</v>
      </c>
      <c r="G257" s="127" t="n">
        <v>8840</v>
      </c>
      <c r="H257" s="126" t="s">
        <v>60</v>
      </c>
      <c r="I257" s="126" t="s">
        <v>3</v>
      </c>
      <c r="J257" s="0" t="s">
        <v>61</v>
      </c>
    </row>
    <row r="258" customFormat="false" ht="18" hidden="false" customHeight="false" outlineLevel="0" collapsed="false">
      <c r="A258" s="124" t="n">
        <v>45046</v>
      </c>
      <c r="B258" s="125" t="n">
        <v>0.220833333333333</v>
      </c>
      <c r="C258" s="126" t="n">
        <v>21428</v>
      </c>
      <c r="D258" s="126" t="s">
        <v>15</v>
      </c>
      <c r="E258" s="126" t="n">
        <v>20560</v>
      </c>
      <c r="F258" s="126" t="n">
        <v>13260</v>
      </c>
      <c r="G258" s="127" t="n">
        <v>7300</v>
      </c>
      <c r="H258" s="126" t="s">
        <v>60</v>
      </c>
      <c r="I258" s="126" t="s">
        <v>3</v>
      </c>
      <c r="J258" s="0" t="s">
        <v>61</v>
      </c>
    </row>
    <row r="259" customFormat="false" ht="18" hidden="false" customHeight="false" outlineLevel="0" collapsed="false">
      <c r="A259" s="124" t="n">
        <v>45046</v>
      </c>
      <c r="B259" s="125" t="n">
        <v>0.241666666666667</v>
      </c>
      <c r="C259" s="126" t="n">
        <v>21429</v>
      </c>
      <c r="D259" s="126" t="s">
        <v>10</v>
      </c>
      <c r="E259" s="126" t="n">
        <v>18720</v>
      </c>
      <c r="F259" s="126" t="n">
        <v>16060</v>
      </c>
      <c r="G259" s="127" t="n">
        <v>2660</v>
      </c>
      <c r="H259" s="126" t="s">
        <v>60</v>
      </c>
      <c r="I259" s="126" t="s">
        <v>3</v>
      </c>
      <c r="J259" s="0" t="s">
        <v>61</v>
      </c>
    </row>
    <row r="260" customFormat="false" ht="18" hidden="false" customHeight="false" outlineLevel="0" collapsed="false">
      <c r="A260" s="124" t="n">
        <v>45041</v>
      </c>
      <c r="B260" s="125" t="n">
        <v>0.0993055555555556</v>
      </c>
      <c r="C260" s="126" t="n">
        <v>21164</v>
      </c>
      <c r="D260" s="126" t="s">
        <v>15</v>
      </c>
      <c r="E260" s="126" t="n">
        <v>20920</v>
      </c>
      <c r="F260" s="126" t="n">
        <v>13240</v>
      </c>
      <c r="G260" s="127" t="n">
        <v>7680</v>
      </c>
      <c r="H260" s="126" t="s">
        <v>60</v>
      </c>
      <c r="I260" s="126" t="s">
        <v>3</v>
      </c>
      <c r="J260" s="0" t="s">
        <v>61</v>
      </c>
    </row>
    <row r="261" customFormat="false" ht="18" hidden="false" customHeight="false" outlineLevel="0" collapsed="false">
      <c r="A261" s="124" t="n">
        <v>45027</v>
      </c>
      <c r="B261" s="125" t="n">
        <v>0.247916666666667</v>
      </c>
      <c r="C261" s="126" t="n">
        <v>20518</v>
      </c>
      <c r="D261" s="126" t="s">
        <v>15</v>
      </c>
      <c r="E261" s="126" t="n">
        <v>17980</v>
      </c>
      <c r="F261" s="126" t="n">
        <v>13240</v>
      </c>
      <c r="G261" s="127" t="n">
        <v>4740</v>
      </c>
      <c r="H261" s="126" t="s">
        <v>60</v>
      </c>
      <c r="I261" s="126" t="s">
        <v>3</v>
      </c>
      <c r="J261" s="0" t="s">
        <v>61</v>
      </c>
    </row>
  </sheetData>
  <autoFilter ref="A1:J261">
    <filterColumn colId="8">
      <filters>
        <filter val="PODA"/>
        <filter val="RSU"/>
        <filter val="VOL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4921875" defaultRowHeight="12.8" zeroHeight="false" outlineLevelRow="0" outlineLevelCol="0"/>
  <cols>
    <col collapsed="false" customWidth="true" hidden="false" outlineLevel="0" max="7" min="7" style="0" width="18.87"/>
  </cols>
  <sheetData>
    <row r="1" customFormat="false" ht="12.8" hidden="false" customHeight="false" outlineLevel="0" collapsed="false">
      <c r="A1" s="129" t="s">
        <v>51</v>
      </c>
      <c r="B1" s="130" t="s">
        <v>63</v>
      </c>
    </row>
    <row r="3" customFormat="false" ht="12.8" hidden="false" customHeight="false" outlineLevel="0" collapsed="false">
      <c r="A3" s="131" t="s">
        <v>64</v>
      </c>
      <c r="B3" s="132" t="s">
        <v>58</v>
      </c>
      <c r="C3" s="133"/>
      <c r="D3" s="133"/>
      <c r="E3" s="133"/>
      <c r="F3" s="133"/>
      <c r="G3" s="134"/>
    </row>
    <row r="4" customFormat="false" ht="12.8" hidden="false" customHeight="false" outlineLevel="0" collapsed="false">
      <c r="A4" s="135" t="s">
        <v>0</v>
      </c>
      <c r="B4" s="136" t="s">
        <v>2</v>
      </c>
      <c r="C4" s="137" t="s">
        <v>3</v>
      </c>
      <c r="D4" s="137" t="s">
        <v>4</v>
      </c>
      <c r="E4" s="137" t="s">
        <v>5</v>
      </c>
      <c r="F4" s="137" t="s">
        <v>62</v>
      </c>
      <c r="G4" s="138" t="s">
        <v>7</v>
      </c>
    </row>
    <row r="5" customFormat="false" ht="12.8" hidden="false" customHeight="false" outlineLevel="0" collapsed="false">
      <c r="A5" s="139" t="s">
        <v>8</v>
      </c>
      <c r="B5" s="140"/>
      <c r="C5" s="141"/>
      <c r="D5" s="141"/>
      <c r="E5" s="142" t="n">
        <v>1300</v>
      </c>
      <c r="F5" s="143" t="n">
        <v>2920</v>
      </c>
      <c r="G5" s="144" t="n">
        <v>4220</v>
      </c>
    </row>
    <row r="6" customFormat="false" ht="12.8" hidden="false" customHeight="false" outlineLevel="0" collapsed="false">
      <c r="A6" s="145" t="s">
        <v>9</v>
      </c>
      <c r="B6" s="146" t="n">
        <v>940</v>
      </c>
      <c r="C6" s="147" t="n">
        <v>14300</v>
      </c>
      <c r="D6" s="148"/>
      <c r="E6" s="148"/>
      <c r="F6" s="149"/>
      <c r="G6" s="150" t="n">
        <v>15240</v>
      </c>
    </row>
    <row r="7" customFormat="false" ht="12.8" hidden="false" customHeight="false" outlineLevel="0" collapsed="false">
      <c r="A7" s="145" t="s">
        <v>10</v>
      </c>
      <c r="B7" s="151"/>
      <c r="C7" s="147" t="n">
        <v>311660</v>
      </c>
      <c r="D7" s="147" t="n">
        <v>1060</v>
      </c>
      <c r="E7" s="148"/>
      <c r="F7" s="149"/>
      <c r="G7" s="150" t="n">
        <v>312720</v>
      </c>
    </row>
    <row r="8" customFormat="false" ht="12.8" hidden="false" customHeight="false" outlineLevel="0" collapsed="false">
      <c r="A8" s="145" t="s">
        <v>11</v>
      </c>
      <c r="B8" s="151"/>
      <c r="C8" s="147" t="n">
        <v>96900</v>
      </c>
      <c r="D8" s="147" t="n">
        <v>7960</v>
      </c>
      <c r="E8" s="147" t="n">
        <v>9860</v>
      </c>
      <c r="F8" s="149"/>
      <c r="G8" s="150" t="n">
        <v>114720</v>
      </c>
    </row>
    <row r="9" customFormat="false" ht="12.8" hidden="false" customHeight="false" outlineLevel="0" collapsed="false">
      <c r="A9" s="145" t="s">
        <v>12</v>
      </c>
      <c r="B9" s="151"/>
      <c r="C9" s="147" t="n">
        <v>4580</v>
      </c>
      <c r="D9" s="148"/>
      <c r="E9" s="148"/>
      <c r="F9" s="149"/>
      <c r="G9" s="150" t="n">
        <v>4580</v>
      </c>
    </row>
    <row r="10" customFormat="false" ht="12.8" hidden="false" customHeight="false" outlineLevel="0" collapsed="false">
      <c r="A10" s="145" t="s">
        <v>13</v>
      </c>
      <c r="B10" s="151"/>
      <c r="C10" s="147" t="n">
        <v>9000</v>
      </c>
      <c r="D10" s="148"/>
      <c r="E10" s="148"/>
      <c r="F10" s="149"/>
      <c r="G10" s="150" t="n">
        <v>9000</v>
      </c>
    </row>
    <row r="11" customFormat="false" ht="12.8" hidden="false" customHeight="false" outlineLevel="0" collapsed="false">
      <c r="A11" s="145" t="s">
        <v>14</v>
      </c>
      <c r="B11" s="151"/>
      <c r="C11" s="147" t="n">
        <v>7620</v>
      </c>
      <c r="D11" s="148"/>
      <c r="E11" s="148"/>
      <c r="F11" s="152" t="n">
        <v>2720</v>
      </c>
      <c r="G11" s="150" t="n">
        <v>10340</v>
      </c>
    </row>
    <row r="12" customFormat="false" ht="12.8" hidden="false" customHeight="false" outlineLevel="0" collapsed="false">
      <c r="A12" s="145" t="s">
        <v>15</v>
      </c>
      <c r="B12" s="151"/>
      <c r="C12" s="147" t="n">
        <v>353120</v>
      </c>
      <c r="D12" s="148"/>
      <c r="E12" s="148"/>
      <c r="F12" s="149"/>
      <c r="G12" s="150" t="n">
        <v>353120</v>
      </c>
    </row>
    <row r="13" customFormat="false" ht="12.8" hidden="false" customHeight="false" outlineLevel="0" collapsed="false">
      <c r="A13" s="145" t="s">
        <v>16</v>
      </c>
      <c r="B13" s="151"/>
      <c r="C13" s="147" t="n">
        <v>25540</v>
      </c>
      <c r="D13" s="148"/>
      <c r="E13" s="148"/>
      <c r="F13" s="149"/>
      <c r="G13" s="150" t="n">
        <v>25540</v>
      </c>
    </row>
    <row r="14" customFormat="false" ht="12.8" hidden="false" customHeight="false" outlineLevel="0" collapsed="false">
      <c r="A14" s="145" t="s">
        <v>17</v>
      </c>
      <c r="B14" s="153"/>
      <c r="C14" s="154"/>
      <c r="D14" s="154"/>
      <c r="E14" s="154"/>
      <c r="F14" s="155" t="n">
        <v>13980</v>
      </c>
      <c r="G14" s="156" t="n">
        <v>13980</v>
      </c>
    </row>
    <row r="15" customFormat="false" ht="12.8" hidden="false" customHeight="false" outlineLevel="0" collapsed="false">
      <c r="A15" s="157" t="s">
        <v>7</v>
      </c>
      <c r="B15" s="158" t="n">
        <v>940</v>
      </c>
      <c r="C15" s="159" t="n">
        <v>822720</v>
      </c>
      <c r="D15" s="159" t="n">
        <v>9020</v>
      </c>
      <c r="E15" s="159" t="n">
        <v>11160</v>
      </c>
      <c r="F15" s="160" t="n">
        <v>19620</v>
      </c>
      <c r="G15" s="161" t="n">
        <v>863460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2023-05-03T07:30:51Z</dcterms:created>
  <dc:creator>Administrador</dc:creator>
  <dc:description/>
  <dc:language>es-ES</dc:language>
  <cp:lastModifiedBy/>
  <dcterms:modified xsi:type="dcterms:W3CDTF">2023-05-22T12:44:01Z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