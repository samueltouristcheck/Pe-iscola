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ri\Desktop\Peñiscola\Residuos\PESAJES\2022\"/>
    </mc:Choice>
  </mc:AlternateContent>
  <xr:revisionPtr revIDLastSave="0" documentId="8_{1D0944A5-BD18-4456-839A-A1D871DF79EC}" xr6:coauthVersionLast="36" xr6:coauthVersionMax="36" xr10:uidLastSave="{00000000-0000-0000-0000-000000000000}"/>
  <bookViews>
    <workbookView xWindow="0" yWindow="0" windowWidth="17256" windowHeight="4464" xr2:uid="{00000000-000D-0000-FFFF-FFFF00000000}"/>
  </bookViews>
  <sheets>
    <sheet name="Hoja1" sheetId="1" r:id="rId1"/>
    <sheet name="Tabla dinámica_Hoja1_1" sheetId="2" r:id="rId2"/>
    <sheet name="certificacion_2_2_2" sheetId="3" r:id="rId3"/>
  </sheets>
  <calcPr calcId="191029" iterateDelta="1E-4"/>
  <fileRecoveryPr dataExtractLoad="1"/>
</workbook>
</file>

<file path=xl/calcChain.xml><?xml version="1.0" encoding="utf-8"?>
<calcChain xmlns="http://schemas.openxmlformats.org/spreadsheetml/2006/main">
  <c r="E79" i="3" l="1"/>
  <c r="F78" i="3"/>
  <c r="G78" i="3" s="1"/>
  <c r="F77" i="3"/>
  <c r="G77" i="3" s="1"/>
  <c r="F76" i="3"/>
  <c r="F79" i="3" s="1"/>
  <c r="I79" i="3" s="1"/>
  <c r="E73" i="3"/>
  <c r="F72" i="3"/>
  <c r="G72" i="3" s="1"/>
  <c r="F71" i="3"/>
  <c r="G71" i="3" s="1"/>
  <c r="F70" i="3"/>
  <c r="G70" i="3" s="1"/>
  <c r="G69" i="3"/>
  <c r="F69" i="3"/>
  <c r="F68" i="3"/>
  <c r="G68" i="3" s="1"/>
  <c r="F67" i="3"/>
  <c r="F73" i="3" s="1"/>
  <c r="I73" i="3" s="1"/>
  <c r="E64" i="3"/>
  <c r="F63" i="3"/>
  <c r="G63" i="3" s="1"/>
  <c r="F62" i="3"/>
  <c r="G62" i="3" s="1"/>
  <c r="F61" i="3"/>
  <c r="G61" i="3" s="1"/>
  <c r="F60" i="3"/>
  <c r="F64" i="3" s="1"/>
  <c r="I64" i="3" s="1"/>
  <c r="G59" i="3"/>
  <c r="F59" i="3"/>
  <c r="E56" i="3"/>
  <c r="F55" i="3"/>
  <c r="G55" i="3" s="1"/>
  <c r="G54" i="3"/>
  <c r="F54" i="3"/>
  <c r="F53" i="3"/>
  <c r="G53" i="3" s="1"/>
  <c r="F52" i="3"/>
  <c r="G52" i="3" s="1"/>
  <c r="F51" i="3"/>
  <c r="G51" i="3" s="1"/>
  <c r="F50" i="3"/>
  <c r="F56" i="3" s="1"/>
  <c r="I56" i="3" s="1"/>
  <c r="F46" i="3"/>
  <c r="D19" i="3" s="1"/>
  <c r="A36" i="3"/>
  <c r="G43" i="3" s="1"/>
  <c r="H43" i="3" s="1"/>
  <c r="F35" i="3"/>
  <c r="G34" i="3"/>
  <c r="H34" i="3" s="1"/>
  <c r="G33" i="3"/>
  <c r="H33" i="3" s="1"/>
  <c r="H32" i="3"/>
  <c r="G32" i="3"/>
  <c r="G31" i="3"/>
  <c r="H31" i="3" s="1"/>
  <c r="H30" i="3"/>
  <c r="G30" i="3"/>
  <c r="H29" i="3"/>
  <c r="G29" i="3"/>
  <c r="G28" i="3"/>
  <c r="H28" i="3" s="1"/>
  <c r="G27" i="3"/>
  <c r="H27" i="3" s="1"/>
  <c r="H26" i="3"/>
  <c r="G26" i="3"/>
  <c r="G25" i="3"/>
  <c r="H25" i="3" s="1"/>
  <c r="H24" i="3"/>
  <c r="G24" i="3"/>
  <c r="G35" i="3" s="1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H13" i="3"/>
  <c r="H12" i="3"/>
  <c r="H11" i="3"/>
  <c r="H10" i="3"/>
  <c r="H9" i="3"/>
  <c r="H8" i="3"/>
  <c r="H7" i="3"/>
  <c r="H6" i="3"/>
  <c r="H5" i="3"/>
  <c r="H4" i="3"/>
  <c r="H3" i="3"/>
  <c r="I35" i="3" l="1"/>
  <c r="G67" i="3"/>
  <c r="G38" i="3"/>
  <c r="G44" i="3"/>
  <c r="H44" i="3" s="1"/>
  <c r="G60" i="3"/>
  <c r="G39" i="3"/>
  <c r="H39" i="3" s="1"/>
  <c r="G45" i="3"/>
  <c r="H45" i="3" s="1"/>
  <c r="G76" i="3"/>
  <c r="G41" i="3"/>
  <c r="H41" i="3" s="1"/>
  <c r="G16" i="3"/>
  <c r="H16" i="3" s="1"/>
  <c r="G42" i="3"/>
  <c r="H42" i="3" s="1"/>
  <c r="G50" i="3"/>
  <c r="G40" i="3"/>
  <c r="H40" i="3" s="1"/>
  <c r="G46" i="3" l="1"/>
  <c r="H38" i="3"/>
  <c r="I46" i="3" l="1"/>
  <c r="E19" i="3"/>
  <c r="F19" i="3" s="1"/>
</calcChain>
</file>

<file path=xl/sharedStrings.xml><?xml version="1.0" encoding="utf-8"?>
<sst xmlns="http://schemas.openxmlformats.org/spreadsheetml/2006/main" count="1635" uniqueCount="64">
  <si>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</si>
  <si>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</si>
  <si>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</si>
  <si>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</si>
  <si>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</si>
  <si>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</si>
  <si>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</si>
  <si>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</si>
  <si>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</si>
  <si>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</si>
  <si>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</si>
  <si>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</si>
  <si>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1076KSZ</t>
  </si>
  <si>
    <t>1821KBZ</t>
  </si>
  <si>
    <t>6120JZX</t>
  </si>
  <si>
    <t>7957JZS</t>
  </si>
  <si>
    <t>VOL</t>
  </si>
  <si>
    <t>3686KBG</t>
  </si>
  <si>
    <t>1730KBZ</t>
  </si>
  <si>
    <t>0315BGK</t>
  </si>
  <si>
    <t>SEL.PAP</t>
  </si>
  <si>
    <t>SEL.ENV</t>
  </si>
  <si>
    <t>5313GBZ</t>
  </si>
  <si>
    <t>7809JZX</t>
  </si>
  <si>
    <t>BARREDURIA</t>
  </si>
  <si>
    <t>- todo -</t>
  </si>
  <si>
    <t>Suma - Carga</t>
  </si>
  <si>
    <t>Datos</t>
  </si>
  <si>
    <t>Total Resultado</t>
  </si>
  <si>
    <t>LIMP. PLAYA</t>
  </si>
  <si>
    <t>PODA</t>
  </si>
  <si>
    <t>VOLUMINOSOS</t>
  </si>
  <si>
    <t>sustituye 0315BGK</t>
  </si>
  <si>
    <t>Certificado</t>
  </si>
  <si>
    <t>CERTIFICADO</t>
  </si>
  <si>
    <t>REVISADO</t>
  </si>
  <si>
    <t>DIFERENCIA</t>
  </si>
  <si>
    <t>TOTAL CERTIFICACIÓN</t>
  </si>
  <si>
    <t>N.º vehículo</t>
  </si>
  <si>
    <t>Tipo</t>
  </si>
  <si>
    <t>MATRICULA</t>
  </si>
  <si>
    <t>RUTA</t>
  </si>
  <si>
    <t>HORARIO</t>
  </si>
  <si>
    <t>CARGA</t>
  </si>
  <si>
    <t>MULTILIFT GRÚA</t>
  </si>
  <si>
    <t>Volquete Jardinería</t>
  </si>
  <si>
    <t>Dia/noche</t>
  </si>
  <si>
    <t>Recolector 22 _ 1</t>
  </si>
  <si>
    <t>2-3-4-5</t>
  </si>
  <si>
    <t>Recolector 22 _ 2</t>
  </si>
  <si>
    <t>volquete 4x4 LV</t>
  </si>
  <si>
    <t>Recolector 17</t>
  </si>
  <si>
    <t>Sustituya a 318</t>
  </si>
  <si>
    <t>volquete doble LV</t>
  </si>
  <si>
    <t>Recolector 5</t>
  </si>
  <si>
    <t>Noche</t>
  </si>
  <si>
    <t>volquete</t>
  </si>
  <si>
    <t>8500BYJ</t>
  </si>
  <si>
    <t>Sustituya a 109</t>
  </si>
  <si>
    <t>N.º OPERARIOS</t>
  </si>
  <si>
    <t>FRECUENCIA</t>
  </si>
  <si>
    <t>2828CZW</t>
  </si>
  <si>
    <t>Camión FOBESA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</si>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</sst>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"/>
    <numFmt numFmtId="166" formatCode="#,##0;[Red]\-#,##0"/>
  </numFmts>
  <fonts count="11">
    <font>
      <sz val="11"/>
      <color rgb="FF000000"/>
      <name val="Lato"/>
      <family val="2"/>
      <charset val="1"/>
    </font>
    <font>
      <b/>
      <sz val="11"/>
      <color rgb="FF000000"/>
      <name val="Lato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</font>
    <font>
      <b/>
      <sz val="11"/>
      <name val="Calibri"/>
      <family val="2"/>
    </font>
    <font>
      <sz val="11"/>
      <color rgb="FF000000"/>
      <name val="Frutiger 45 Light"/>
      <family val="2"/>
    </font>
    <font>
      <b/>
      <sz val="11"/>
      <color rgb="FFCE181E"/>
      <name val="Arial"/>
    </font>
    <font>
      <sz val="11"/>
      <color rgb="FF000000"/>
      <name val="Lato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8">
    <xf numFmtId="0" fontId="0" fillId="0" borderId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4" fillId="0" borderId="0" applyBorder="0" applyProtection="0"/>
  </cellStyleXfs>
  <cellXfs count="161">
    <xf numFmtId="0" fontId="0" fillId="0" borderId="0" xfId="0"/>
    <xf numFmtId="165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0" fillId="0" borderId="0" xfId="0" applyFont="1"/>
    <xf numFmtId="0" fontId="0" fillId="0" borderId="0" xfId="1" applyFont="1"/>
    <xf numFmtId="0" fontId="0" fillId="0" borderId="1" xfId="0" applyFont="1" applyBorder="1"/>
    <xf numFmtId="0" fontId="0" fillId="0" borderId="2" xfId="2" applyFont="1" applyBorder="1"/>
    <xf numFmtId="0" fontId="0" fillId="0" borderId="3" xfId="1" applyFont="1" applyBorder="1"/>
    <xf numFmtId="0" fontId="10" fillId="0" borderId="4" xfId="2" applyBorder="1"/>
    <xf numFmtId="0" fontId="10" fillId="0" borderId="5" xfId="2" applyBorder="1"/>
    <xf numFmtId="0" fontId="0" fillId="0" borderId="6" xfId="1" applyFont="1" applyBorder="1"/>
    <xf numFmtId="0" fontId="0" fillId="0" borderId="7" xfId="4" applyFont="1" applyBorder="1">
      <alignment horizontal="left"/>
    </xf>
    <xf numFmtId="0" fontId="0" fillId="0" borderId="8" xfId="4" applyFont="1" applyBorder="1">
      <alignment horizontal="left"/>
    </xf>
    <xf numFmtId="0" fontId="1" fillId="0" borderId="9" xfId="5" applyFont="1" applyBorder="1">
      <alignment horizontal="left"/>
    </xf>
    <xf numFmtId="0" fontId="0" fillId="0" borderId="10" xfId="4" applyFont="1" applyBorder="1">
      <alignment horizontal="left"/>
    </xf>
    <xf numFmtId="3" fontId="10" fillId="0" borderId="11" xfId="3" applyNumberFormat="1" applyBorder="1"/>
    <xf numFmtId="0" fontId="10" fillId="0" borderId="12" xfId="3" applyBorder="1"/>
    <xf numFmtId="3" fontId="10" fillId="0" borderId="12" xfId="3" applyNumberFormat="1" applyBorder="1"/>
    <xf numFmtId="3" fontId="10" fillId="0" borderId="13" xfId="3" applyNumberFormat="1" applyBorder="1"/>
    <xf numFmtId="3" fontId="1" fillId="0" borderId="14" xfId="6" applyNumberFormat="1" applyBorder="1"/>
    <xf numFmtId="0" fontId="0" fillId="0" borderId="15" xfId="4" applyFont="1" applyBorder="1">
      <alignment horizontal="left"/>
    </xf>
    <xf numFmtId="0" fontId="10" fillId="0" borderId="16" xfId="3" applyBorder="1"/>
    <xf numFmtId="3" fontId="10" fillId="0" borderId="0" xfId="3" applyNumberFormat="1"/>
    <xf numFmtId="0" fontId="10" fillId="0" borderId="0" xfId="3"/>
    <xf numFmtId="0" fontId="10" fillId="0" borderId="17" xfId="3" applyBorder="1"/>
    <xf numFmtId="3" fontId="1" fillId="0" borderId="18" xfId="6" applyNumberFormat="1" applyBorder="1"/>
    <xf numFmtId="3" fontId="10" fillId="0" borderId="17" xfId="3" applyNumberFormat="1" applyBorder="1"/>
    <xf numFmtId="0" fontId="10" fillId="0" borderId="7" xfId="3" applyBorder="1"/>
    <xf numFmtId="0" fontId="10" fillId="0" borderId="8" xfId="3" applyBorder="1"/>
    <xf numFmtId="3" fontId="10" fillId="0" borderId="19" xfId="3" applyNumberFormat="1" applyBorder="1"/>
    <xf numFmtId="3" fontId="1" fillId="0" borderId="20" xfId="6" applyNumberFormat="1" applyBorder="1"/>
    <xf numFmtId="0" fontId="1" fillId="0" borderId="21" xfId="5" applyFont="1" applyBorder="1">
      <alignment horizontal="left"/>
    </xf>
    <xf numFmtId="3" fontId="1" fillId="0" borderId="22" xfId="6" applyNumberFormat="1" applyBorder="1"/>
    <xf numFmtId="3" fontId="1" fillId="0" borderId="23" xfId="6" applyNumberFormat="1" applyBorder="1"/>
    <xf numFmtId="3" fontId="1" fillId="0" borderId="24" xfId="6" applyNumberFormat="1" applyBorder="1"/>
    <xf numFmtId="3" fontId="1" fillId="0" borderId="25" xfId="6" applyNumberFormat="1" applyBorder="1"/>
    <xf numFmtId="0" fontId="4" fillId="0" borderId="0" xfId="7" applyAlignment="1">
      <alignment horizontal="center"/>
    </xf>
    <xf numFmtId="0" fontId="4" fillId="0" borderId="0" xfId="7"/>
    <xf numFmtId="0" fontId="5" fillId="0" borderId="1" xfId="7" applyFont="1" applyBorder="1" applyProtection="1"/>
    <xf numFmtId="0" fontId="5" fillId="0" borderId="26" xfId="7" applyFont="1" applyBorder="1" applyAlignment="1" applyProtection="1">
      <alignment horizontal="center"/>
    </xf>
    <xf numFmtId="0" fontId="5" fillId="0" borderId="27" xfId="7" applyFont="1" applyBorder="1" applyProtection="1"/>
    <xf numFmtId="0" fontId="4" fillId="0" borderId="1" xfId="7" applyFont="1" applyBorder="1" applyProtection="1"/>
    <xf numFmtId="0" fontId="5" fillId="0" borderId="10" xfId="0" applyFont="1" applyBorder="1" applyProtection="1"/>
    <xf numFmtId="166" fontId="0" fillId="0" borderId="11" xfId="0" applyNumberFormat="1" applyBorder="1" applyProtection="1"/>
    <xf numFmtId="166" fontId="0" fillId="0" borderId="13" xfId="0" applyNumberFormat="1" applyBorder="1" applyProtection="1"/>
    <xf numFmtId="3" fontId="4" fillId="0" borderId="28" xfId="7" applyNumberFormat="1" applyBorder="1"/>
    <xf numFmtId="0" fontId="5" fillId="0" borderId="15" xfId="0" applyFont="1" applyBorder="1" applyProtection="1"/>
    <xf numFmtId="166" fontId="0" fillId="0" borderId="16" xfId="0" applyNumberFormat="1" applyBorder="1" applyProtection="1"/>
    <xf numFmtId="166" fontId="0" fillId="0" borderId="17" xfId="0" applyNumberFormat="1" applyBorder="1" applyProtection="1"/>
    <xf numFmtId="166" fontId="0" fillId="0" borderId="7" xfId="0" applyNumberFormat="1" applyBorder="1" applyProtection="1"/>
    <xf numFmtId="166" fontId="0" fillId="0" borderId="8" xfId="0" applyNumberFormat="1" applyBorder="1" applyProtection="1"/>
    <xf numFmtId="166" fontId="0" fillId="0" borderId="19" xfId="0" applyNumberFormat="1" applyBorder="1" applyProtection="1"/>
    <xf numFmtId="0" fontId="5" fillId="0" borderId="1" xfId="7" applyFont="1" applyBorder="1"/>
    <xf numFmtId="166" fontId="4" fillId="0" borderId="27" xfId="7" applyNumberFormat="1" applyFont="1" applyBorder="1" applyAlignment="1">
      <alignment horizontal="center"/>
    </xf>
    <xf numFmtId="3" fontId="4" fillId="0" borderId="1" xfId="7" applyNumberFormat="1" applyFont="1" applyBorder="1"/>
    <xf numFmtId="0" fontId="4" fillId="2" borderId="1" xfId="7" applyFont="1" applyFill="1" applyBorder="1" applyProtection="1"/>
    <xf numFmtId="166" fontId="4" fillId="2" borderId="27" xfId="7" applyNumberFormat="1" applyFont="1" applyFill="1" applyBorder="1" applyAlignment="1">
      <alignment horizontal="center"/>
    </xf>
    <xf numFmtId="3" fontId="4" fillId="2" borderId="1" xfId="7" applyNumberFormat="1" applyFont="1" applyFill="1" applyBorder="1"/>
    <xf numFmtId="0" fontId="4" fillId="0" borderId="0" xfId="7" applyFont="1" applyBorder="1" applyAlignment="1">
      <alignment horizontal="center" vertical="center"/>
    </xf>
    <xf numFmtId="0" fontId="6" fillId="0" borderId="0" xfId="7" applyFont="1" applyBorder="1" applyAlignment="1">
      <alignment horizontal="center"/>
    </xf>
    <xf numFmtId="166" fontId="4" fillId="0" borderId="0" xfId="7" applyNumberFormat="1" applyFont="1" applyBorder="1" applyAlignment="1">
      <alignment horizontal="center" vertical="center"/>
    </xf>
    <xf numFmtId="3" fontId="4" fillId="0" borderId="0" xfId="7" applyNumberFormat="1" applyFont="1" applyBorder="1" applyAlignment="1">
      <alignment horizontal="center" vertical="center"/>
    </xf>
    <xf numFmtId="0" fontId="5" fillId="0" borderId="0" xfId="7" applyFont="1"/>
    <xf numFmtId="0" fontId="5" fillId="0" borderId="0" xfId="7" applyFont="1" applyAlignment="1">
      <alignment horizontal="center"/>
    </xf>
    <xf numFmtId="166" fontId="5" fillId="0" borderId="0" xfId="7" applyNumberFormat="1" applyFont="1"/>
    <xf numFmtId="0" fontId="4" fillId="0" borderId="29" xfId="7" applyBorder="1" applyAlignment="1">
      <alignment horizontal="center"/>
    </xf>
    <xf numFmtId="0" fontId="5" fillId="0" borderId="29" xfId="7" applyFont="1" applyBorder="1" applyAlignment="1"/>
    <xf numFmtId="0" fontId="5" fillId="0" borderId="29" xfId="7" applyFont="1" applyBorder="1"/>
    <xf numFmtId="0" fontId="5" fillId="0" borderId="29" xfId="7" applyFont="1" applyBorder="1" applyAlignment="1">
      <alignment horizontal="center"/>
    </xf>
    <xf numFmtId="166" fontId="5" fillId="0" borderId="29" xfId="7" applyNumberFormat="1" applyFont="1" applyBorder="1"/>
    <xf numFmtId="3" fontId="4" fillId="3" borderId="29" xfId="7" applyNumberFormat="1" applyFill="1" applyBorder="1"/>
    <xf numFmtId="0" fontId="7" fillId="3" borderId="28" xfId="7" applyFont="1" applyFill="1" applyBorder="1" applyAlignment="1">
      <alignment horizontal="center"/>
    </xf>
    <xf numFmtId="0" fontId="4" fillId="0" borderId="0" xfId="7" applyBorder="1" applyAlignment="1">
      <alignment horizontal="center"/>
    </xf>
    <xf numFmtId="0" fontId="5" fillId="0" borderId="0" xfId="7" applyFont="1" applyBorder="1"/>
    <xf numFmtId="0" fontId="5" fillId="0" borderId="0" xfId="7" applyFont="1" applyBorder="1" applyProtection="1"/>
    <xf numFmtId="0" fontId="5" fillId="0" borderId="0" xfId="7" applyFont="1" applyBorder="1" applyAlignment="1">
      <alignment horizontal="center"/>
    </xf>
    <xf numFmtId="3" fontId="4" fillId="3" borderId="0" xfId="7" applyNumberFormat="1" applyFill="1" applyBorder="1"/>
    <xf numFmtId="0" fontId="7" fillId="3" borderId="30" xfId="7" applyFont="1" applyFill="1" applyBorder="1" applyAlignment="1">
      <alignment horizontal="center"/>
    </xf>
    <xf numFmtId="0" fontId="8" fillId="0" borderId="0" xfId="7" applyFont="1" applyBorder="1" applyAlignment="1">
      <alignment horizontal="center" wrapText="1"/>
    </xf>
    <xf numFmtId="0" fontId="8" fillId="0" borderId="0" xfId="7" applyFont="1" applyBorder="1" applyAlignment="1">
      <alignment horizontal="justify" wrapText="1"/>
    </xf>
    <xf numFmtId="0" fontId="5" fillId="0" borderId="0" xfId="7" applyFont="1" applyBorder="1" applyAlignment="1"/>
    <xf numFmtId="166" fontId="4" fillId="0" borderId="0" xfId="7" applyNumberFormat="1" applyBorder="1"/>
    <xf numFmtId="0" fontId="7" fillId="3" borderId="30" xfId="7" applyFont="1" applyFill="1" applyBorder="1" applyAlignment="1">
      <alignment horizontal="center"/>
    </xf>
    <xf numFmtId="0" fontId="4" fillId="0" borderId="31" xfId="7" applyBorder="1" applyAlignment="1">
      <alignment horizontal="center"/>
    </xf>
    <xf numFmtId="0" fontId="5" fillId="4" borderId="31" xfId="7" applyFont="1" applyFill="1" applyBorder="1"/>
    <xf numFmtId="0" fontId="5" fillId="0" borderId="31" xfId="7" applyFont="1" applyBorder="1" applyAlignment="1">
      <alignment horizontal="center"/>
    </xf>
    <xf numFmtId="0" fontId="5" fillId="0" borderId="31" xfId="7" applyFont="1" applyBorder="1"/>
    <xf numFmtId="166" fontId="4" fillId="0" borderId="31" xfId="7" applyNumberFormat="1" applyBorder="1"/>
    <xf numFmtId="3" fontId="4" fillId="3" borderId="31" xfId="7" applyNumberFormat="1" applyFill="1" applyBorder="1"/>
    <xf numFmtId="0" fontId="7" fillId="3" borderId="32" xfId="7" applyFont="1" applyFill="1" applyBorder="1" applyAlignment="1">
      <alignment horizontal="center"/>
    </xf>
    <xf numFmtId="166" fontId="4" fillId="0" borderId="0" xfId="7" applyNumberFormat="1" applyFont="1"/>
    <xf numFmtId="3" fontId="4" fillId="0" borderId="0" xfId="7" applyNumberFormat="1" applyFont="1"/>
    <xf numFmtId="0" fontId="9" fillId="0" borderId="0" xfId="7" applyFont="1" applyAlignment="1">
      <alignment horizontal="center"/>
    </xf>
    <xf numFmtId="166" fontId="5" fillId="0" borderId="29" xfId="7" applyNumberFormat="1" applyFont="1" applyBorder="1" applyAlignment="1">
      <alignment horizontal="center"/>
    </xf>
    <xf numFmtId="166" fontId="4" fillId="3" borderId="29" xfId="7" applyNumberFormat="1" applyFill="1" applyBorder="1"/>
    <xf numFmtId="0" fontId="7" fillId="3" borderId="33" xfId="7" applyFont="1" applyFill="1" applyBorder="1" applyAlignment="1">
      <alignment horizontal="center"/>
    </xf>
    <xf numFmtId="166" fontId="5" fillId="0" borderId="0" xfId="7" applyNumberFormat="1" applyFont="1" applyAlignment="1">
      <alignment horizontal="center"/>
    </xf>
    <xf numFmtId="166" fontId="4" fillId="3" borderId="0" xfId="7" applyNumberFormat="1" applyFill="1" applyBorder="1"/>
    <xf numFmtId="0" fontId="7" fillId="3" borderId="34" xfId="7" applyFont="1" applyFill="1" applyBorder="1" applyAlignment="1">
      <alignment horizontal="center"/>
    </xf>
    <xf numFmtId="0" fontId="7" fillId="3" borderId="34" xfId="7" applyFont="1" applyFill="1" applyBorder="1" applyAlignment="1">
      <alignment horizontal="center"/>
    </xf>
    <xf numFmtId="166" fontId="5" fillId="0" borderId="0" xfId="7" applyNumberFormat="1" applyFont="1" applyBorder="1" applyAlignment="1">
      <alignment horizontal="center"/>
    </xf>
    <xf numFmtId="166" fontId="5" fillId="0" borderId="0" xfId="7" applyNumberFormat="1" applyFont="1" applyBorder="1"/>
    <xf numFmtId="0" fontId="5" fillId="4" borderId="0" xfId="7" applyFont="1" applyFill="1" applyBorder="1"/>
    <xf numFmtId="0" fontId="4" fillId="0" borderId="31" xfId="7" applyFont="1" applyBorder="1"/>
    <xf numFmtId="0" fontId="8" fillId="0" borderId="31" xfId="7" applyFont="1" applyBorder="1" applyAlignment="1">
      <alignment horizontal="justify" wrapText="1"/>
    </xf>
    <xf numFmtId="166" fontId="5" fillId="0" borderId="31" xfId="7" applyNumberFormat="1" applyFont="1" applyBorder="1" applyAlignment="1">
      <alignment horizontal="center"/>
    </xf>
    <xf numFmtId="166" fontId="5" fillId="0" borderId="31" xfId="7" applyNumberFormat="1" applyFont="1" applyBorder="1"/>
    <xf numFmtId="166" fontId="4" fillId="3" borderId="31" xfId="7" applyNumberFormat="1" applyFill="1" applyBorder="1"/>
    <xf numFmtId="0" fontId="7" fillId="3" borderId="35" xfId="7" applyFont="1" applyFill="1" applyBorder="1" applyAlignment="1">
      <alignment horizontal="center"/>
    </xf>
    <xf numFmtId="0" fontId="5" fillId="0" borderId="36" xfId="7" applyFont="1" applyBorder="1"/>
    <xf numFmtId="0" fontId="5" fillId="0" borderId="37" xfId="7" applyFont="1" applyBorder="1" applyAlignment="1">
      <alignment horizontal="center"/>
    </xf>
    <xf numFmtId="0" fontId="5" fillId="0" borderId="37" xfId="7" applyFont="1" applyBorder="1"/>
    <xf numFmtId="166" fontId="4" fillId="0" borderId="38" xfId="7" applyNumberFormat="1" applyFont="1" applyBorder="1"/>
    <xf numFmtId="0" fontId="4" fillId="0" borderId="33" xfId="7" applyBorder="1" applyAlignment="1">
      <alignment horizontal="center"/>
    </xf>
    <xf numFmtId="0" fontId="5" fillId="0" borderId="39" xfId="7" applyFont="1" applyBorder="1" applyAlignment="1"/>
    <xf numFmtId="3" fontId="5" fillId="0" borderId="29" xfId="7" applyNumberFormat="1" applyFont="1" applyBorder="1" applyAlignment="1">
      <alignment horizontal="center"/>
    </xf>
    <xf numFmtId="3" fontId="5" fillId="0" borderId="29" xfId="7" applyNumberFormat="1" applyFont="1" applyBorder="1"/>
    <xf numFmtId="3" fontId="4" fillId="3" borderId="40" xfId="7" applyNumberFormat="1" applyFill="1" applyBorder="1"/>
    <xf numFmtId="0" fontId="8" fillId="0" borderId="34" xfId="7" applyFont="1" applyBorder="1" applyAlignment="1">
      <alignment horizontal="center" wrapText="1"/>
    </xf>
    <xf numFmtId="0" fontId="8" fillId="0" borderId="41" xfId="7" applyFont="1" applyBorder="1" applyAlignment="1">
      <alignment horizontal="justify" wrapText="1"/>
    </xf>
    <xf numFmtId="3" fontId="5" fillId="0" borderId="0" xfId="7" applyNumberFormat="1" applyFont="1" applyAlignment="1">
      <alignment horizontal="center"/>
    </xf>
    <xf numFmtId="3" fontId="5" fillId="0" borderId="0" xfId="7" applyNumberFormat="1" applyFont="1"/>
    <xf numFmtId="3" fontId="4" fillId="3" borderId="42" xfId="7" applyNumberFormat="1" applyFill="1" applyBorder="1"/>
    <xf numFmtId="0" fontId="4" fillId="0" borderId="34" xfId="7" applyBorder="1" applyAlignment="1">
      <alignment horizontal="center"/>
    </xf>
    <xf numFmtId="0" fontId="4" fillId="0" borderId="41" xfId="7" applyFont="1" applyBorder="1"/>
    <xf numFmtId="3" fontId="4" fillId="0" borderId="0" xfId="7" applyNumberFormat="1"/>
    <xf numFmtId="0" fontId="5" fillId="0" borderId="41" xfId="7" applyFont="1" applyBorder="1"/>
    <xf numFmtId="0" fontId="8" fillId="4" borderId="0" xfId="7" applyFont="1" applyFill="1" applyBorder="1" applyAlignment="1">
      <alignment horizontal="justify" wrapText="1"/>
    </xf>
    <xf numFmtId="3" fontId="5" fillId="0" borderId="0" xfId="7" applyNumberFormat="1" applyFont="1" applyBorder="1" applyAlignment="1">
      <alignment horizontal="center"/>
    </xf>
    <xf numFmtId="3" fontId="4" fillId="0" borderId="0" xfId="7" applyNumberFormat="1" applyBorder="1"/>
    <xf numFmtId="0" fontId="8" fillId="0" borderId="35" xfId="7" applyFont="1" applyBorder="1" applyAlignment="1">
      <alignment horizontal="center" wrapText="1"/>
    </xf>
    <xf numFmtId="0" fontId="5" fillId="4" borderId="43" xfId="7" applyFont="1" applyFill="1" applyBorder="1"/>
    <xf numFmtId="3" fontId="5" fillId="0" borderId="31" xfId="7" applyNumberFormat="1" applyFont="1" applyBorder="1" applyAlignment="1">
      <alignment horizontal="center"/>
    </xf>
    <xf numFmtId="3" fontId="4" fillId="0" borderId="31" xfId="7" applyNumberFormat="1" applyBorder="1"/>
    <xf numFmtId="3" fontId="4" fillId="3" borderId="44" xfId="7" applyNumberFormat="1" applyFill="1" applyBorder="1"/>
    <xf numFmtId="0" fontId="4" fillId="0" borderId="11" xfId="7" applyBorder="1" applyAlignment="1">
      <alignment horizontal="center"/>
    </xf>
    <xf numFmtId="0" fontId="5" fillId="0" borderId="12" xfId="7" applyFont="1" applyBorder="1" applyAlignment="1"/>
    <xf numFmtId="0" fontId="5" fillId="0" borderId="12" xfId="7" applyFont="1" applyBorder="1"/>
    <xf numFmtId="3" fontId="5" fillId="0" borderId="12" xfId="7" applyNumberFormat="1" applyFont="1" applyBorder="1" applyAlignment="1">
      <alignment horizontal="center"/>
    </xf>
    <xf numFmtId="3" fontId="4" fillId="0" borderId="12" xfId="7" applyNumberFormat="1" applyBorder="1"/>
    <xf numFmtId="3" fontId="4" fillId="3" borderId="12" xfId="7" applyNumberFormat="1" applyFill="1" applyBorder="1"/>
    <xf numFmtId="0" fontId="7" fillId="3" borderId="28" xfId="7" applyFont="1" applyFill="1" applyBorder="1" applyAlignment="1">
      <alignment horizontal="center"/>
    </xf>
    <xf numFmtId="0" fontId="8" fillId="0" borderId="16" xfId="7" applyFont="1" applyBorder="1" applyAlignment="1">
      <alignment horizontal="center" wrapText="1"/>
    </xf>
    <xf numFmtId="0" fontId="4" fillId="0" borderId="16" xfId="7" applyBorder="1" applyAlignment="1">
      <alignment horizontal="center"/>
    </xf>
    <xf numFmtId="0" fontId="8" fillId="0" borderId="7" xfId="7" applyFont="1" applyBorder="1" applyAlignment="1">
      <alignment horizontal="center" wrapText="1"/>
    </xf>
    <xf numFmtId="0" fontId="5" fillId="0" borderId="8" xfId="7" applyFont="1" applyBorder="1"/>
    <xf numFmtId="0" fontId="8" fillId="4" borderId="8" xfId="7" applyFont="1" applyFill="1" applyBorder="1" applyAlignment="1">
      <alignment horizontal="justify" wrapText="1"/>
    </xf>
    <xf numFmtId="3" fontId="5" fillId="0" borderId="8" xfId="7" applyNumberFormat="1" applyFont="1" applyBorder="1" applyAlignment="1">
      <alignment horizontal="center"/>
    </xf>
    <xf numFmtId="3" fontId="4" fillId="0" borderId="8" xfId="7" applyNumberFormat="1" applyBorder="1"/>
    <xf numFmtId="3" fontId="4" fillId="3" borderId="8" xfId="7" applyNumberFormat="1" applyFill="1" applyBorder="1"/>
    <xf numFmtId="3" fontId="4" fillId="0" borderId="12" xfId="7" applyNumberFormat="1" applyBorder="1" applyAlignment="1">
      <alignment horizontal="center"/>
    </xf>
    <xf numFmtId="3" fontId="5" fillId="0" borderId="0" xfId="7" applyNumberFormat="1" applyFont="1" applyBorder="1"/>
    <xf numFmtId="0" fontId="4" fillId="0" borderId="16" xfId="7" applyBorder="1"/>
    <xf numFmtId="0" fontId="4" fillId="0" borderId="7" xfId="7" applyBorder="1" applyAlignment="1">
      <alignment horizontal="center"/>
    </xf>
    <xf numFmtId="3" fontId="5" fillId="0" borderId="8" xfId="7" applyNumberFormat="1" applyFont="1" applyBorder="1"/>
  </cellXfs>
  <cellStyles count="8">
    <cellStyle name="Campo de la tabla dinámica" xfId="1" xr:uid="{00000000-0005-0000-0000-000006000000}"/>
    <cellStyle name="Categoría de la tabla dinámica" xfId="4" xr:uid="{00000000-0005-0000-0000-000009000000}"/>
    <cellStyle name="Esquina de la tabla dinámica" xfId="2" xr:uid="{00000000-0005-0000-0000-000007000000}"/>
    <cellStyle name="Excel Built-in Explanatory Text" xfId="7" xr:uid="{00000000-0005-0000-0000-00000C000000}"/>
    <cellStyle name="Normal" xfId="0" builtinId="0"/>
    <cellStyle name="Resultado de la tabla dinámica" xfId="6" xr:uid="{00000000-0005-0000-0000-00000B000000}"/>
    <cellStyle name="Título de la tabla dinámica" xfId="5" xr:uid="{00000000-0005-0000-0000-00000A000000}"/>
    <cellStyle name="Valor de la tabla dinámica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J486"/>
  <sheetViews>
    <sheetView tabSelected="1" workbookViewId="0">
      <selection activeCell="L7" sqref="L7"/>
    </sheetView>
  </sheetViews>
  <sheetFormatPr baseColWidth="10" defaultRowHeight="14.4"/>
  <sheetData>
    <row r="1" spans="1:10" ht="13.8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ht="13.8">
      <c r="A2" s="5">
        <v>44774</v>
      </c>
      <c r="B2" s="6">
        <v>6.0416666666666702E-2</v>
      </c>
      <c r="C2" s="7">
        <v>9251</v>
      </c>
      <c r="D2" s="7" t="s">
        <v>9</v>
      </c>
      <c r="E2" s="7">
        <v>21340</v>
      </c>
      <c r="F2" s="7">
        <v>12960</v>
      </c>
      <c r="G2" s="8">
        <v>8380</v>
      </c>
      <c r="H2" s="7" t="s">
        <v>10</v>
      </c>
      <c r="I2" s="7" t="s">
        <v>11</v>
      </c>
      <c r="J2" s="9"/>
    </row>
    <row r="3" spans="1:10" ht="13.8">
      <c r="A3" s="5">
        <v>44774</v>
      </c>
      <c r="B3" s="6">
        <v>0.202083333333333</v>
      </c>
      <c r="C3" s="7">
        <v>9261</v>
      </c>
      <c r="D3" s="7" t="s">
        <v>12</v>
      </c>
      <c r="E3" s="7">
        <v>3320</v>
      </c>
      <c r="F3" s="7">
        <v>2880</v>
      </c>
      <c r="G3" s="8">
        <v>440</v>
      </c>
      <c r="H3" s="7" t="s">
        <v>10</v>
      </c>
      <c r="I3" s="7" t="s">
        <v>11</v>
      </c>
      <c r="J3" s="9"/>
    </row>
    <row r="4" spans="1:10" ht="13.8">
      <c r="A4" s="5">
        <v>44774</v>
      </c>
      <c r="B4" s="6">
        <v>0.24027777777777801</v>
      </c>
      <c r="C4" s="7">
        <v>9266</v>
      </c>
      <c r="D4" s="7" t="s">
        <v>13</v>
      </c>
      <c r="E4" s="7">
        <v>26500</v>
      </c>
      <c r="F4" s="8">
        <v>15980</v>
      </c>
      <c r="G4" s="8">
        <v>10520</v>
      </c>
      <c r="H4" s="7" t="s">
        <v>10</v>
      </c>
      <c r="I4" s="7" t="s">
        <v>11</v>
      </c>
      <c r="J4" s="9"/>
    </row>
    <row r="5" spans="1:10" ht="13.8">
      <c r="A5" s="5">
        <v>44774</v>
      </c>
      <c r="B5" s="6">
        <v>0.109027777777778</v>
      </c>
      <c r="C5" s="7">
        <v>9254</v>
      </c>
      <c r="D5" s="7" t="s">
        <v>14</v>
      </c>
      <c r="E5" s="7">
        <v>3560</v>
      </c>
      <c r="F5" s="7">
        <v>2880</v>
      </c>
      <c r="G5" s="8">
        <v>680</v>
      </c>
      <c r="H5" s="7" t="s">
        <v>10</v>
      </c>
      <c r="I5" s="7" t="s">
        <v>11</v>
      </c>
      <c r="J5" s="9"/>
    </row>
    <row r="6" spans="1:10" ht="13.8">
      <c r="A6" s="5">
        <v>44774</v>
      </c>
      <c r="B6" s="6">
        <v>0.25624999999999998</v>
      </c>
      <c r="C6" s="7">
        <v>9270</v>
      </c>
      <c r="D6" s="7" t="s">
        <v>9</v>
      </c>
      <c r="E6" s="7">
        <v>22080</v>
      </c>
      <c r="F6" s="7">
        <v>12740</v>
      </c>
      <c r="G6" s="8">
        <v>9340</v>
      </c>
      <c r="H6" s="7" t="s">
        <v>10</v>
      </c>
      <c r="I6" s="7" t="s">
        <v>11</v>
      </c>
      <c r="J6" s="9"/>
    </row>
    <row r="7" spans="1:10" ht="13.8">
      <c r="A7" s="5">
        <v>44774</v>
      </c>
      <c r="B7" s="6">
        <v>0.26180555555555601</v>
      </c>
      <c r="C7" s="7">
        <v>9272</v>
      </c>
      <c r="D7" s="7" t="s">
        <v>14</v>
      </c>
      <c r="E7" s="7">
        <v>3500</v>
      </c>
      <c r="F7" s="7">
        <v>2860</v>
      </c>
      <c r="G7" s="8">
        <v>640</v>
      </c>
      <c r="H7" s="7" t="s">
        <v>10</v>
      </c>
      <c r="I7" s="7" t="s">
        <v>11</v>
      </c>
      <c r="J7" s="9"/>
    </row>
    <row r="8" spans="1:10" ht="13.8">
      <c r="A8" s="5">
        <v>44774</v>
      </c>
      <c r="B8" s="6">
        <v>0.360416666666667</v>
      </c>
      <c r="C8" s="7">
        <v>9279</v>
      </c>
      <c r="D8" s="7" t="s">
        <v>15</v>
      </c>
      <c r="E8" s="7">
        <v>6760</v>
      </c>
      <c r="F8" s="7">
        <v>5580</v>
      </c>
      <c r="G8" s="8">
        <v>1180</v>
      </c>
      <c r="H8" s="7" t="s">
        <v>10</v>
      </c>
      <c r="I8" s="7" t="s">
        <v>16</v>
      </c>
      <c r="J8" s="9"/>
    </row>
    <row r="9" spans="1:10" ht="13.8">
      <c r="A9" s="5">
        <v>44774</v>
      </c>
      <c r="B9" s="6">
        <v>0.45763888888888898</v>
      </c>
      <c r="C9" s="7">
        <v>9287</v>
      </c>
      <c r="D9" s="7" t="s">
        <v>14</v>
      </c>
      <c r="E9" s="7">
        <v>3340</v>
      </c>
      <c r="F9" s="7">
        <v>2840</v>
      </c>
      <c r="G9" s="8">
        <v>500</v>
      </c>
      <c r="H9" s="7" t="s">
        <v>10</v>
      </c>
      <c r="I9" s="7" t="s">
        <v>11</v>
      </c>
      <c r="J9" s="9"/>
    </row>
    <row r="10" spans="1:10" ht="13.8">
      <c r="A10" s="5">
        <v>44774</v>
      </c>
      <c r="B10" s="6">
        <v>0.46666666666666701</v>
      </c>
      <c r="C10" s="7">
        <v>9291</v>
      </c>
      <c r="D10" s="7" t="s">
        <v>15</v>
      </c>
      <c r="E10" s="7">
        <v>6600</v>
      </c>
      <c r="F10" s="7">
        <v>5660</v>
      </c>
      <c r="G10" s="8">
        <v>940</v>
      </c>
      <c r="H10" s="7" t="s">
        <v>10</v>
      </c>
      <c r="I10" s="7" t="s">
        <v>16</v>
      </c>
      <c r="J10" s="9"/>
    </row>
    <row r="11" spans="1:10" ht="13.8">
      <c r="A11" s="5">
        <v>44774</v>
      </c>
      <c r="B11" s="6">
        <v>0.46250000000000002</v>
      </c>
      <c r="C11" s="7">
        <v>9289</v>
      </c>
      <c r="D11" s="7" t="s">
        <v>17</v>
      </c>
      <c r="E11" s="7">
        <v>2700</v>
      </c>
      <c r="F11" s="7">
        <v>2420</v>
      </c>
      <c r="G11" s="8">
        <v>280</v>
      </c>
      <c r="H11" s="7" t="s">
        <v>10</v>
      </c>
      <c r="I11" s="7" t="s">
        <v>11</v>
      </c>
      <c r="J11" s="9"/>
    </row>
    <row r="12" spans="1:10" ht="13.8">
      <c r="A12" s="5">
        <v>44774</v>
      </c>
      <c r="B12" s="6">
        <v>0.72638888888888897</v>
      </c>
      <c r="C12" s="7">
        <v>9300</v>
      </c>
      <c r="D12" s="7" t="s">
        <v>9</v>
      </c>
      <c r="E12" s="7">
        <v>15680</v>
      </c>
      <c r="F12" s="7">
        <v>12700</v>
      </c>
      <c r="G12" s="8">
        <v>2980</v>
      </c>
      <c r="H12" s="7" t="s">
        <v>10</v>
      </c>
      <c r="I12" s="7" t="s">
        <v>11</v>
      </c>
      <c r="J12" s="9"/>
    </row>
    <row r="13" spans="1:10" ht="13.8">
      <c r="A13" s="5">
        <v>44774</v>
      </c>
      <c r="B13" s="6">
        <v>0.87361111111111101</v>
      </c>
      <c r="C13" s="7">
        <v>9302</v>
      </c>
      <c r="D13" s="7" t="s">
        <v>17</v>
      </c>
      <c r="E13" s="7">
        <v>2640</v>
      </c>
      <c r="F13" s="7">
        <v>2280</v>
      </c>
      <c r="G13" s="8">
        <v>360</v>
      </c>
      <c r="H13" s="7" t="s">
        <v>10</v>
      </c>
      <c r="I13" s="7" t="s">
        <v>11</v>
      </c>
      <c r="J13" s="9"/>
    </row>
    <row r="14" spans="1:10" ht="13.8">
      <c r="A14" s="5">
        <v>44774</v>
      </c>
      <c r="B14" s="6">
        <v>0.89652777777777803</v>
      </c>
      <c r="C14" s="7">
        <v>9303</v>
      </c>
      <c r="D14" s="7" t="s">
        <v>18</v>
      </c>
      <c r="E14" s="7">
        <v>24080</v>
      </c>
      <c r="F14" s="7">
        <v>15900</v>
      </c>
      <c r="G14" s="8">
        <v>8180</v>
      </c>
      <c r="H14" s="7" t="s">
        <v>10</v>
      </c>
      <c r="I14" s="7" t="s">
        <v>11</v>
      </c>
      <c r="J14" s="9"/>
    </row>
    <row r="15" spans="1:10" ht="13.8">
      <c r="A15" s="5">
        <v>44774</v>
      </c>
      <c r="B15" s="6">
        <v>0.452777777777778</v>
      </c>
      <c r="C15" s="7">
        <v>142977</v>
      </c>
      <c r="D15" s="7" t="s">
        <v>19</v>
      </c>
      <c r="E15" s="7">
        <v>17940</v>
      </c>
      <c r="F15" s="7">
        <v>15960</v>
      </c>
      <c r="G15" s="8">
        <v>1980</v>
      </c>
      <c r="H15" s="7" t="s">
        <v>10</v>
      </c>
      <c r="I15" s="7" t="s">
        <v>20</v>
      </c>
      <c r="J15" s="9"/>
    </row>
    <row r="16" spans="1:10" ht="13.8">
      <c r="A16" s="5">
        <v>44774</v>
      </c>
      <c r="B16" s="6">
        <v>0.52291666666666703</v>
      </c>
      <c r="C16" s="7">
        <v>3200</v>
      </c>
      <c r="D16" s="7" t="s">
        <v>13</v>
      </c>
      <c r="E16" s="7">
        <v>18860</v>
      </c>
      <c r="F16" s="7">
        <v>16000</v>
      </c>
      <c r="G16" s="8">
        <v>2860</v>
      </c>
      <c r="H16" s="7" t="s">
        <v>10</v>
      </c>
      <c r="I16" s="7" t="s">
        <v>21</v>
      </c>
      <c r="J16" s="9"/>
    </row>
    <row r="17" spans="1:10" ht="13.8">
      <c r="A17" s="5">
        <v>44775</v>
      </c>
      <c r="B17" s="6">
        <v>0.102777777777778</v>
      </c>
      <c r="C17" s="7">
        <v>9305</v>
      </c>
      <c r="D17" s="7" t="s">
        <v>22</v>
      </c>
      <c r="E17" s="7">
        <v>13600</v>
      </c>
      <c r="F17" s="7">
        <v>12420</v>
      </c>
      <c r="G17" s="8">
        <v>1180</v>
      </c>
      <c r="H17" s="7" t="s">
        <v>10</v>
      </c>
      <c r="I17" s="7" t="s">
        <v>11</v>
      </c>
      <c r="J17" s="9"/>
    </row>
    <row r="18" spans="1:10" ht="13.8">
      <c r="A18" s="5">
        <v>44775</v>
      </c>
      <c r="B18" s="6">
        <v>6.31944444444444E-2</v>
      </c>
      <c r="C18" s="7">
        <v>9306</v>
      </c>
      <c r="D18" s="7" t="s">
        <v>9</v>
      </c>
      <c r="E18" s="7">
        <v>21420</v>
      </c>
      <c r="F18" s="7">
        <v>12900</v>
      </c>
      <c r="G18" s="8">
        <v>8520</v>
      </c>
      <c r="H18" s="7" t="s">
        <v>10</v>
      </c>
      <c r="I18" s="7" t="s">
        <v>11</v>
      </c>
      <c r="J18" s="9"/>
    </row>
    <row r="19" spans="1:10" ht="13.8">
      <c r="A19" s="5">
        <v>44775</v>
      </c>
      <c r="B19" s="6">
        <v>0.21736111111111101</v>
      </c>
      <c r="C19" s="7">
        <v>9316</v>
      </c>
      <c r="D19" s="7" t="s">
        <v>23</v>
      </c>
      <c r="E19" s="7">
        <v>4960</v>
      </c>
      <c r="F19" s="7">
        <v>3680</v>
      </c>
      <c r="G19" s="8">
        <v>1280</v>
      </c>
      <c r="H19" s="7" t="s">
        <v>10</v>
      </c>
      <c r="I19" s="7" t="s">
        <v>11</v>
      </c>
      <c r="J19" s="9"/>
    </row>
    <row r="20" spans="1:10" ht="13.8">
      <c r="A20" s="5">
        <v>44775</v>
      </c>
      <c r="B20" s="6">
        <v>0.22013888888888899</v>
      </c>
      <c r="C20" s="7">
        <v>9317</v>
      </c>
      <c r="D20" s="7" t="s">
        <v>12</v>
      </c>
      <c r="E20" s="7">
        <v>3240</v>
      </c>
      <c r="F20" s="7">
        <v>2820</v>
      </c>
      <c r="G20" s="8">
        <v>420</v>
      </c>
      <c r="H20" s="7" t="s">
        <v>10</v>
      </c>
      <c r="I20" s="7" t="s">
        <v>11</v>
      </c>
      <c r="J20" s="9"/>
    </row>
    <row r="21" spans="1:10" ht="13.8">
      <c r="A21" s="5">
        <v>44775</v>
      </c>
      <c r="B21" s="6">
        <v>0.24444444444444399</v>
      </c>
      <c r="C21" s="7">
        <v>9323</v>
      </c>
      <c r="D21" s="7" t="s">
        <v>13</v>
      </c>
      <c r="E21" s="7">
        <v>26940</v>
      </c>
      <c r="F21" s="7">
        <v>16060</v>
      </c>
      <c r="G21" s="8">
        <v>10880</v>
      </c>
      <c r="H21" s="7" t="s">
        <v>10</v>
      </c>
      <c r="I21" s="7" t="s">
        <v>11</v>
      </c>
      <c r="J21" s="9"/>
    </row>
    <row r="22" spans="1:10" ht="13.8">
      <c r="A22" s="5">
        <v>44775</v>
      </c>
      <c r="B22" s="6">
        <v>0.26180555555555601</v>
      </c>
      <c r="C22" s="7">
        <v>9327</v>
      </c>
      <c r="D22" s="7" t="s">
        <v>9</v>
      </c>
      <c r="E22" s="7">
        <v>20520</v>
      </c>
      <c r="F22" s="7">
        <v>12680</v>
      </c>
      <c r="G22" s="8">
        <v>7840</v>
      </c>
      <c r="H22" s="7" t="s">
        <v>10</v>
      </c>
      <c r="I22" s="7" t="s">
        <v>11</v>
      </c>
      <c r="J22" s="9"/>
    </row>
    <row r="23" spans="1:10" ht="13.8">
      <c r="A23" s="5">
        <v>44775</v>
      </c>
      <c r="B23" s="6">
        <v>0.87638888888888899</v>
      </c>
      <c r="C23" s="7">
        <v>9381</v>
      </c>
      <c r="D23" s="7" t="s">
        <v>13</v>
      </c>
      <c r="E23" s="7">
        <v>22260</v>
      </c>
      <c r="F23" s="7">
        <v>16040</v>
      </c>
      <c r="G23" s="8">
        <v>6220</v>
      </c>
      <c r="H23" s="7" t="s">
        <v>10</v>
      </c>
      <c r="I23" s="7" t="s">
        <v>11</v>
      </c>
      <c r="J23" s="9"/>
    </row>
    <row r="24" spans="1:10" ht="13.8">
      <c r="A24" s="5">
        <v>44775</v>
      </c>
      <c r="B24" s="6">
        <v>0.71111111111111103</v>
      </c>
      <c r="C24" s="7">
        <v>9371</v>
      </c>
      <c r="D24" s="7" t="s">
        <v>9</v>
      </c>
      <c r="E24" s="7">
        <v>15940</v>
      </c>
      <c r="F24" s="7">
        <v>12780</v>
      </c>
      <c r="G24" s="8">
        <v>3160</v>
      </c>
      <c r="H24" s="7" t="s">
        <v>10</v>
      </c>
      <c r="I24" s="7" t="s">
        <v>11</v>
      </c>
      <c r="J24" s="9"/>
    </row>
    <row r="25" spans="1:10" ht="13.8">
      <c r="A25" s="5">
        <v>44775</v>
      </c>
      <c r="B25" s="6">
        <v>0.47152777777777799</v>
      </c>
      <c r="C25" s="7">
        <v>9351</v>
      </c>
      <c r="D25" s="7" t="s">
        <v>17</v>
      </c>
      <c r="E25" s="7">
        <v>2720</v>
      </c>
      <c r="F25" s="7">
        <v>2420</v>
      </c>
      <c r="G25" s="8">
        <v>300</v>
      </c>
      <c r="H25" s="7" t="s">
        <v>10</v>
      </c>
      <c r="I25" s="7" t="s">
        <v>11</v>
      </c>
      <c r="J25" s="9"/>
    </row>
    <row r="26" spans="1:10" ht="13.8">
      <c r="A26" s="5">
        <v>44775</v>
      </c>
      <c r="B26" s="6">
        <v>0.86388888888888904</v>
      </c>
      <c r="C26" s="7">
        <v>9380</v>
      </c>
      <c r="D26" s="7" t="s">
        <v>17</v>
      </c>
      <c r="E26" s="7">
        <v>2720</v>
      </c>
      <c r="F26" s="7">
        <v>2400</v>
      </c>
      <c r="G26" s="8">
        <v>320</v>
      </c>
      <c r="H26" s="7" t="s">
        <v>10</v>
      </c>
      <c r="I26" s="7" t="s">
        <v>11</v>
      </c>
      <c r="J26" s="9"/>
    </row>
    <row r="27" spans="1:10" ht="13.8">
      <c r="A27" s="5">
        <v>44775</v>
      </c>
      <c r="B27" s="6">
        <v>0.227083333333333</v>
      </c>
      <c r="C27" s="7">
        <v>9320</v>
      </c>
      <c r="D27" s="7" t="s">
        <v>18</v>
      </c>
      <c r="E27" s="7">
        <v>24880</v>
      </c>
      <c r="F27" s="7">
        <v>15900</v>
      </c>
      <c r="G27" s="8">
        <v>8980</v>
      </c>
      <c r="H27" s="7" t="s">
        <v>10</v>
      </c>
      <c r="I27" s="7" t="s">
        <v>11</v>
      </c>
      <c r="J27" s="9"/>
    </row>
    <row r="28" spans="1:10" ht="13.8">
      <c r="A28" s="5">
        <v>44775</v>
      </c>
      <c r="B28" s="6">
        <v>0.47916666666666702</v>
      </c>
      <c r="C28" s="7">
        <v>143028</v>
      </c>
      <c r="D28" s="7" t="s">
        <v>13</v>
      </c>
      <c r="E28" s="7">
        <v>18240</v>
      </c>
      <c r="F28" s="7">
        <v>15900</v>
      </c>
      <c r="G28" s="8">
        <v>2340</v>
      </c>
      <c r="H28" s="7" t="s">
        <v>10</v>
      </c>
      <c r="I28" s="7" t="s">
        <v>20</v>
      </c>
      <c r="J28" s="9"/>
    </row>
    <row r="29" spans="1:10" ht="13.8">
      <c r="A29" s="5">
        <v>44776</v>
      </c>
      <c r="B29" s="6">
        <v>0.25833333333333303</v>
      </c>
      <c r="C29" s="7">
        <v>9405</v>
      </c>
      <c r="D29" s="7" t="s">
        <v>18</v>
      </c>
      <c r="E29" s="7">
        <v>25500</v>
      </c>
      <c r="F29" s="7">
        <v>15740</v>
      </c>
      <c r="G29" s="8">
        <v>9760</v>
      </c>
      <c r="H29" s="7" t="s">
        <v>10</v>
      </c>
      <c r="I29" s="7" t="s">
        <v>11</v>
      </c>
      <c r="J29" s="9"/>
    </row>
    <row r="30" spans="1:10" ht="13.8">
      <c r="A30" s="5">
        <v>44776</v>
      </c>
      <c r="B30" s="6">
        <v>0.24583333333333299</v>
      </c>
      <c r="C30" s="7">
        <v>9403</v>
      </c>
      <c r="D30" s="7" t="s">
        <v>9</v>
      </c>
      <c r="E30" s="7">
        <v>16120</v>
      </c>
      <c r="F30" s="7">
        <v>12800</v>
      </c>
      <c r="G30" s="8">
        <v>3320</v>
      </c>
      <c r="H30" s="7" t="s">
        <v>10</v>
      </c>
      <c r="I30" s="7" t="s">
        <v>11</v>
      </c>
      <c r="J30" s="9"/>
    </row>
    <row r="31" spans="1:10" ht="13.8">
      <c r="A31" s="5">
        <v>44776</v>
      </c>
      <c r="B31" s="6">
        <v>2.9861111111111099E-2</v>
      </c>
      <c r="C31" s="7">
        <v>9384</v>
      </c>
      <c r="D31" s="7" t="s">
        <v>9</v>
      </c>
      <c r="E31" s="7">
        <v>20480</v>
      </c>
      <c r="F31" s="7">
        <v>12980</v>
      </c>
      <c r="G31" s="8">
        <v>7500</v>
      </c>
      <c r="H31" s="7" t="s">
        <v>10</v>
      </c>
      <c r="I31" s="7" t="s">
        <v>11</v>
      </c>
      <c r="J31" s="9"/>
    </row>
    <row r="32" spans="1:10" ht="13.8">
      <c r="A32" s="5">
        <v>44776</v>
      </c>
      <c r="B32" s="6">
        <v>0.13750000000000001</v>
      </c>
      <c r="C32" s="7">
        <v>9391</v>
      </c>
      <c r="D32" s="7" t="s">
        <v>9</v>
      </c>
      <c r="E32" s="7">
        <v>21160</v>
      </c>
      <c r="F32" s="7">
        <v>12760</v>
      </c>
      <c r="G32" s="8">
        <v>8400</v>
      </c>
      <c r="H32" s="7" t="s">
        <v>10</v>
      </c>
      <c r="I32" s="7" t="s">
        <v>11</v>
      </c>
      <c r="J32" s="9"/>
    </row>
    <row r="33" spans="1:10" ht="13.8">
      <c r="A33" s="5">
        <v>44776</v>
      </c>
      <c r="B33" s="6">
        <v>0.140277777777778</v>
      </c>
      <c r="C33" s="7">
        <v>9393</v>
      </c>
      <c r="D33" s="7" t="s">
        <v>23</v>
      </c>
      <c r="E33" s="7">
        <v>4900</v>
      </c>
      <c r="F33" s="7">
        <v>3580</v>
      </c>
      <c r="G33" s="8">
        <v>1320</v>
      </c>
      <c r="H33" s="7" t="s">
        <v>10</v>
      </c>
      <c r="I33" s="7" t="s">
        <v>11</v>
      </c>
      <c r="J33" s="9"/>
    </row>
    <row r="34" spans="1:10" ht="13.8">
      <c r="A34" s="5">
        <v>44776</v>
      </c>
      <c r="B34" s="6">
        <v>0.21458333333333299</v>
      </c>
      <c r="C34" s="7">
        <v>9397</v>
      </c>
      <c r="D34" s="7" t="s">
        <v>12</v>
      </c>
      <c r="E34" s="7">
        <v>3260</v>
      </c>
      <c r="F34" s="7">
        <v>2820</v>
      </c>
      <c r="G34" s="8">
        <v>440</v>
      </c>
      <c r="H34" s="7" t="s">
        <v>10</v>
      </c>
      <c r="I34" s="7" t="s">
        <v>11</v>
      </c>
      <c r="J34" s="9"/>
    </row>
    <row r="35" spans="1:10" ht="13.8">
      <c r="A35" s="5">
        <v>44776</v>
      </c>
      <c r="B35" s="6">
        <v>0.21388888888888899</v>
      </c>
      <c r="C35" s="7">
        <v>9396</v>
      </c>
      <c r="D35" s="7" t="s">
        <v>23</v>
      </c>
      <c r="E35" s="7">
        <v>4440</v>
      </c>
      <c r="F35" s="7">
        <v>3680</v>
      </c>
      <c r="G35" s="8">
        <v>760</v>
      </c>
      <c r="H35" s="7" t="s">
        <v>10</v>
      </c>
      <c r="I35" s="7" t="s">
        <v>11</v>
      </c>
      <c r="J35" s="9"/>
    </row>
    <row r="36" spans="1:10" ht="13.8">
      <c r="A36" s="5">
        <v>44776</v>
      </c>
      <c r="B36" s="6">
        <v>0.13888888888888901</v>
      </c>
      <c r="C36" s="7">
        <v>9392</v>
      </c>
      <c r="D36" s="7" t="s">
        <v>18</v>
      </c>
      <c r="E36" s="7">
        <v>26100</v>
      </c>
      <c r="F36" s="7">
        <v>15940</v>
      </c>
      <c r="G36" s="8">
        <v>10160</v>
      </c>
      <c r="H36" s="7" t="s">
        <v>10</v>
      </c>
      <c r="I36" s="7" t="s">
        <v>11</v>
      </c>
      <c r="J36" s="9"/>
    </row>
    <row r="37" spans="1:10" ht="13.8">
      <c r="A37" s="5">
        <v>44776</v>
      </c>
      <c r="B37" s="6">
        <v>0.34861111111111098</v>
      </c>
      <c r="C37" s="7">
        <v>9415</v>
      </c>
      <c r="D37" s="7" t="s">
        <v>15</v>
      </c>
      <c r="E37" s="7">
        <v>6460</v>
      </c>
      <c r="F37" s="7">
        <v>5620</v>
      </c>
      <c r="G37" s="8">
        <v>840</v>
      </c>
      <c r="H37" s="7" t="s">
        <v>10</v>
      </c>
      <c r="I37" s="7" t="s">
        <v>16</v>
      </c>
      <c r="J37" s="9"/>
    </row>
    <row r="38" spans="1:10" ht="13.8">
      <c r="A38" s="5">
        <v>44776</v>
      </c>
      <c r="B38" s="6">
        <v>0.37916666666666698</v>
      </c>
      <c r="C38" s="7">
        <v>9416</v>
      </c>
      <c r="D38" s="7" t="s">
        <v>14</v>
      </c>
      <c r="E38" s="7">
        <v>3320</v>
      </c>
      <c r="F38" s="7">
        <v>2840</v>
      </c>
      <c r="G38" s="8">
        <v>480</v>
      </c>
      <c r="H38" s="7" t="s">
        <v>10</v>
      </c>
      <c r="I38" s="7" t="s">
        <v>11</v>
      </c>
      <c r="J38" s="9"/>
    </row>
    <row r="39" spans="1:10" ht="13.8">
      <c r="A39" s="5">
        <v>44776</v>
      </c>
      <c r="B39" s="6">
        <v>0.47499999999999998</v>
      </c>
      <c r="C39" s="7">
        <v>9428</v>
      </c>
      <c r="D39" s="7" t="s">
        <v>15</v>
      </c>
      <c r="E39" s="7">
        <v>6500</v>
      </c>
      <c r="F39" s="7">
        <v>5600</v>
      </c>
      <c r="G39" s="8">
        <v>900</v>
      </c>
      <c r="H39" s="7" t="s">
        <v>10</v>
      </c>
      <c r="I39" s="7" t="s">
        <v>16</v>
      </c>
      <c r="J39" s="9"/>
    </row>
    <row r="40" spans="1:10" ht="13.8">
      <c r="A40" s="5">
        <v>44776</v>
      </c>
      <c r="B40" s="6">
        <v>0.47638888888888897</v>
      </c>
      <c r="C40" s="7">
        <v>9427</v>
      </c>
      <c r="D40" s="7" t="s">
        <v>17</v>
      </c>
      <c r="E40" s="7">
        <v>2800</v>
      </c>
      <c r="F40" s="7">
        <v>2400</v>
      </c>
      <c r="G40" s="8">
        <v>400</v>
      </c>
      <c r="H40" s="7" t="s">
        <v>10</v>
      </c>
      <c r="I40" s="7" t="s">
        <v>11</v>
      </c>
      <c r="J40" s="9"/>
    </row>
    <row r="41" spans="1:10" ht="13.8">
      <c r="A41" s="5">
        <v>44776</v>
      </c>
      <c r="B41" s="6">
        <v>0.76597222222222205</v>
      </c>
      <c r="C41" s="7">
        <v>9450</v>
      </c>
      <c r="D41" s="7" t="s">
        <v>22</v>
      </c>
      <c r="E41" s="7">
        <v>17500</v>
      </c>
      <c r="F41" s="7">
        <v>12420</v>
      </c>
      <c r="G41" s="8">
        <v>5080</v>
      </c>
      <c r="H41" s="7" t="s">
        <v>10</v>
      </c>
      <c r="I41" s="7" t="s">
        <v>11</v>
      </c>
      <c r="J41" s="9"/>
    </row>
    <row r="42" spans="1:10" ht="13.8">
      <c r="A42" s="5">
        <v>44776</v>
      </c>
      <c r="B42" s="6">
        <v>0.88680555555555596</v>
      </c>
      <c r="C42" s="7">
        <v>9455</v>
      </c>
      <c r="D42" s="7" t="s">
        <v>17</v>
      </c>
      <c r="E42" s="7">
        <v>2680</v>
      </c>
      <c r="F42" s="7">
        <v>2380</v>
      </c>
      <c r="G42" s="8">
        <v>300</v>
      </c>
      <c r="H42" s="7" t="s">
        <v>10</v>
      </c>
      <c r="I42" s="7" t="s">
        <v>11</v>
      </c>
      <c r="J42" s="9"/>
    </row>
    <row r="43" spans="1:10" ht="13.8">
      <c r="A43" s="5">
        <v>44777</v>
      </c>
      <c r="B43" s="6">
        <v>0.25</v>
      </c>
      <c r="C43" s="7"/>
      <c r="D43" s="7" t="s">
        <v>9</v>
      </c>
      <c r="E43" s="7">
        <v>14600</v>
      </c>
      <c r="F43" s="7">
        <v>12660</v>
      </c>
      <c r="G43" s="8">
        <v>1940</v>
      </c>
      <c r="H43" s="7" t="s">
        <v>10</v>
      </c>
      <c r="I43" s="7" t="s">
        <v>11</v>
      </c>
      <c r="J43" s="9"/>
    </row>
    <row r="44" spans="1:10" ht="13.8">
      <c r="A44" s="5">
        <v>44777</v>
      </c>
      <c r="B44" s="6">
        <v>4.5138888888888902E-2</v>
      </c>
      <c r="C44" s="7">
        <v>9459</v>
      </c>
      <c r="D44" s="7" t="s">
        <v>9</v>
      </c>
      <c r="E44" s="7">
        <v>21340</v>
      </c>
      <c r="F44" s="7">
        <v>12700</v>
      </c>
      <c r="G44" s="8">
        <v>8640</v>
      </c>
      <c r="H44" s="7" t="s">
        <v>10</v>
      </c>
      <c r="I44" s="7" t="s">
        <v>11</v>
      </c>
      <c r="J44" s="9"/>
    </row>
    <row r="45" spans="1:10" ht="13.8">
      <c r="A45" s="5">
        <v>44777</v>
      </c>
      <c r="B45" s="6">
        <v>0.15972222222222199</v>
      </c>
      <c r="C45" s="7">
        <v>9468</v>
      </c>
      <c r="D45" s="7" t="s">
        <v>9</v>
      </c>
      <c r="E45" s="7">
        <v>22560</v>
      </c>
      <c r="F45" s="7">
        <v>12700</v>
      </c>
      <c r="G45" s="8">
        <v>9860</v>
      </c>
      <c r="H45" s="7" t="s">
        <v>10</v>
      </c>
      <c r="I45" s="7" t="s">
        <v>11</v>
      </c>
      <c r="J45" s="9"/>
    </row>
    <row r="46" spans="1:10" ht="13.8">
      <c r="A46" s="5">
        <v>44777</v>
      </c>
      <c r="B46" s="6">
        <v>0.25833333333333303</v>
      </c>
      <c r="C46" s="7">
        <v>9480</v>
      </c>
      <c r="D46" s="7" t="s">
        <v>13</v>
      </c>
      <c r="E46" s="7">
        <v>27960</v>
      </c>
      <c r="F46" s="7">
        <v>16140</v>
      </c>
      <c r="G46" s="8">
        <v>11820</v>
      </c>
      <c r="H46" s="7" t="s">
        <v>10</v>
      </c>
      <c r="I46" s="7" t="s">
        <v>11</v>
      </c>
      <c r="J46" s="9"/>
    </row>
    <row r="47" spans="1:10" ht="13.8">
      <c r="A47" s="5">
        <v>44777</v>
      </c>
      <c r="B47" s="6">
        <v>0.140277777777778</v>
      </c>
      <c r="C47" s="7">
        <v>9465</v>
      </c>
      <c r="D47" s="7" t="s">
        <v>13</v>
      </c>
      <c r="E47" s="7">
        <v>26960</v>
      </c>
      <c r="F47" s="7">
        <v>16080</v>
      </c>
      <c r="G47" s="8">
        <v>10880</v>
      </c>
      <c r="H47" s="7" t="s">
        <v>10</v>
      </c>
      <c r="I47" s="7" t="s">
        <v>11</v>
      </c>
      <c r="J47" s="9"/>
    </row>
    <row r="48" spans="1:10" ht="13.8">
      <c r="A48" s="5">
        <v>44777</v>
      </c>
      <c r="B48" s="6">
        <v>0.14374999999999999</v>
      </c>
      <c r="C48" s="7">
        <v>9466</v>
      </c>
      <c r="D48" s="7" t="s">
        <v>23</v>
      </c>
      <c r="E48" s="7">
        <v>4800</v>
      </c>
      <c r="F48" s="7">
        <v>3600</v>
      </c>
      <c r="G48" s="8">
        <v>1200</v>
      </c>
      <c r="H48" s="7" t="s">
        <v>10</v>
      </c>
      <c r="I48" s="7" t="s">
        <v>11</v>
      </c>
      <c r="J48" s="9"/>
    </row>
    <row r="49" spans="1:10" ht="13.8">
      <c r="A49" s="5">
        <v>44777</v>
      </c>
      <c r="B49" s="6">
        <v>0.21319444444444399</v>
      </c>
      <c r="C49" s="7">
        <v>9472</v>
      </c>
      <c r="D49" s="7" t="s">
        <v>23</v>
      </c>
      <c r="E49" s="7">
        <v>4400</v>
      </c>
      <c r="F49" s="7">
        <v>3800</v>
      </c>
      <c r="G49" s="8">
        <v>600</v>
      </c>
      <c r="H49" s="7" t="s">
        <v>10</v>
      </c>
      <c r="I49" s="7" t="s">
        <v>11</v>
      </c>
      <c r="J49" s="9"/>
    </row>
    <row r="50" spans="1:10" ht="13.8">
      <c r="A50" s="5">
        <v>44777</v>
      </c>
      <c r="B50" s="6">
        <v>0.27013888888888898</v>
      </c>
      <c r="C50" s="7">
        <v>9483</v>
      </c>
      <c r="D50" s="7" t="s">
        <v>14</v>
      </c>
      <c r="E50" s="7">
        <v>3160</v>
      </c>
      <c r="F50" s="7">
        <v>2900</v>
      </c>
      <c r="G50" s="8">
        <v>260</v>
      </c>
      <c r="H50" s="7" t="s">
        <v>10</v>
      </c>
      <c r="I50" s="7" t="s">
        <v>11</v>
      </c>
      <c r="J50" s="9"/>
    </row>
    <row r="51" spans="1:10" ht="13.8">
      <c r="A51" s="5">
        <v>44777</v>
      </c>
      <c r="B51" s="6">
        <v>0.70902777777777803</v>
      </c>
      <c r="C51" s="7">
        <v>9528</v>
      </c>
      <c r="D51" s="7" t="s">
        <v>9</v>
      </c>
      <c r="E51" s="7">
        <v>16080</v>
      </c>
      <c r="F51" s="7">
        <v>12760</v>
      </c>
      <c r="G51" s="8">
        <v>3320</v>
      </c>
      <c r="H51" s="7" t="s">
        <v>10</v>
      </c>
      <c r="I51" s="7" t="s">
        <v>11</v>
      </c>
      <c r="J51" s="9"/>
    </row>
    <row r="52" spans="1:10" ht="13.8">
      <c r="A52" s="5">
        <v>44777</v>
      </c>
      <c r="B52" s="6">
        <v>0.88055555555555598</v>
      </c>
      <c r="C52" s="7">
        <v>9537</v>
      </c>
      <c r="D52" s="7" t="s">
        <v>13</v>
      </c>
      <c r="E52" s="7">
        <v>26340</v>
      </c>
      <c r="F52" s="7">
        <v>16180</v>
      </c>
      <c r="G52" s="8">
        <v>10160</v>
      </c>
      <c r="H52" s="7" t="s">
        <v>10</v>
      </c>
      <c r="I52" s="7" t="s">
        <v>11</v>
      </c>
      <c r="J52" s="9"/>
    </row>
    <row r="53" spans="1:10" ht="13.8">
      <c r="A53" s="5">
        <v>44777</v>
      </c>
      <c r="B53" s="6">
        <v>0.86666666666666703</v>
      </c>
      <c r="C53" s="7">
        <v>9535</v>
      </c>
      <c r="D53" s="7" t="s">
        <v>12</v>
      </c>
      <c r="E53" s="7">
        <v>3100</v>
      </c>
      <c r="F53" s="7">
        <v>2680</v>
      </c>
      <c r="G53" s="8">
        <v>420</v>
      </c>
      <c r="H53" s="7" t="s">
        <v>10</v>
      </c>
      <c r="I53" s="7" t="s">
        <v>11</v>
      </c>
      <c r="J53" s="9"/>
    </row>
    <row r="54" spans="1:10" ht="13.8">
      <c r="A54" s="5">
        <v>44777</v>
      </c>
      <c r="B54" s="6">
        <v>0.35069444444444398</v>
      </c>
      <c r="C54" s="7">
        <v>9493</v>
      </c>
      <c r="D54" s="7" t="s">
        <v>14</v>
      </c>
      <c r="E54" s="7">
        <v>3300</v>
      </c>
      <c r="F54" s="7">
        <v>2900</v>
      </c>
      <c r="G54" s="8">
        <v>400</v>
      </c>
      <c r="H54" s="7" t="s">
        <v>10</v>
      </c>
      <c r="I54" s="7" t="s">
        <v>11</v>
      </c>
      <c r="J54" s="9"/>
    </row>
    <row r="55" spans="1:10" ht="13.8">
      <c r="A55" s="5">
        <v>44777</v>
      </c>
      <c r="B55" s="6">
        <v>0.438194444444444</v>
      </c>
      <c r="C55" s="7">
        <v>9505</v>
      </c>
      <c r="D55" s="7" t="s">
        <v>14</v>
      </c>
      <c r="E55" s="7">
        <v>3540</v>
      </c>
      <c r="F55" s="7">
        <v>3000</v>
      </c>
      <c r="G55" s="8">
        <v>540</v>
      </c>
      <c r="H55" s="7" t="s">
        <v>10</v>
      </c>
      <c r="I55" s="7" t="s">
        <v>11</v>
      </c>
      <c r="J55" s="9"/>
    </row>
    <row r="56" spans="1:10" ht="13.8">
      <c r="A56" s="5">
        <v>44777</v>
      </c>
      <c r="B56" s="6">
        <v>0.49861111111111101</v>
      </c>
      <c r="C56" s="7">
        <v>143132</v>
      </c>
      <c r="D56" s="7" t="s">
        <v>13</v>
      </c>
      <c r="E56" s="7">
        <v>17680</v>
      </c>
      <c r="F56" s="7">
        <v>16000</v>
      </c>
      <c r="G56" s="8">
        <v>1680</v>
      </c>
      <c r="H56" s="7" t="s">
        <v>10</v>
      </c>
      <c r="I56" s="7" t="s">
        <v>20</v>
      </c>
      <c r="J56" s="9"/>
    </row>
    <row r="57" spans="1:10" ht="13.8">
      <c r="A57" s="5">
        <v>44778</v>
      </c>
      <c r="B57" s="6">
        <v>0.14374999999999999</v>
      </c>
      <c r="C57" s="7">
        <v>9548</v>
      </c>
      <c r="D57" s="7" t="s">
        <v>14</v>
      </c>
      <c r="E57" s="7">
        <v>3420</v>
      </c>
      <c r="F57" s="7">
        <v>2860</v>
      </c>
      <c r="G57" s="8">
        <v>560</v>
      </c>
      <c r="H57" s="7" t="s">
        <v>10</v>
      </c>
      <c r="I57" s="7" t="s">
        <v>11</v>
      </c>
      <c r="J57" s="9"/>
    </row>
    <row r="58" spans="1:10" ht="13.8">
      <c r="A58" s="5">
        <v>44778</v>
      </c>
      <c r="B58" s="6">
        <v>0.25138888888888899</v>
      </c>
      <c r="C58" s="7">
        <v>9557</v>
      </c>
      <c r="D58" s="7" t="s">
        <v>9</v>
      </c>
      <c r="E58" s="7">
        <v>22420</v>
      </c>
      <c r="F58" s="7">
        <v>12740</v>
      </c>
      <c r="G58" s="8">
        <v>9680</v>
      </c>
      <c r="H58" s="7" t="s">
        <v>10</v>
      </c>
      <c r="I58" s="7" t="s">
        <v>11</v>
      </c>
      <c r="J58" s="9"/>
    </row>
    <row r="59" spans="1:10" ht="13.8">
      <c r="A59" s="5">
        <v>44778</v>
      </c>
      <c r="B59" s="6">
        <v>4.9305555555555602E-2</v>
      </c>
      <c r="C59" s="7">
        <v>9539</v>
      </c>
      <c r="D59" s="7" t="s">
        <v>9</v>
      </c>
      <c r="E59" s="7">
        <v>23200</v>
      </c>
      <c r="F59" s="7">
        <v>12780</v>
      </c>
      <c r="G59" s="8">
        <v>10420</v>
      </c>
      <c r="H59" s="7" t="s">
        <v>10</v>
      </c>
      <c r="I59" s="7" t="s">
        <v>11</v>
      </c>
      <c r="J59" s="9"/>
    </row>
    <row r="60" spans="1:10" ht="13.8">
      <c r="A60" s="5">
        <v>44778</v>
      </c>
      <c r="B60" s="6">
        <v>0.22986111111111099</v>
      </c>
      <c r="C60" s="7">
        <v>9552</v>
      </c>
      <c r="D60" s="7" t="s">
        <v>13</v>
      </c>
      <c r="E60" s="7">
        <v>28560</v>
      </c>
      <c r="F60" s="7">
        <v>16300</v>
      </c>
      <c r="G60" s="8">
        <v>12260</v>
      </c>
      <c r="H60" s="7" t="s">
        <v>10</v>
      </c>
      <c r="I60" s="7" t="s">
        <v>11</v>
      </c>
      <c r="J60" s="9"/>
    </row>
    <row r="61" spans="1:10" ht="13.8">
      <c r="A61" s="5">
        <v>44778</v>
      </c>
      <c r="B61" s="6">
        <v>1.7361111111111101E-2</v>
      </c>
      <c r="C61" s="7">
        <v>9538</v>
      </c>
      <c r="D61" s="7" t="s">
        <v>22</v>
      </c>
      <c r="E61" s="7">
        <v>14940</v>
      </c>
      <c r="F61" s="7">
        <v>12360</v>
      </c>
      <c r="G61" s="8">
        <v>2580</v>
      </c>
      <c r="H61" s="7" t="s">
        <v>10</v>
      </c>
      <c r="I61" s="7" t="s">
        <v>11</v>
      </c>
      <c r="J61" s="9"/>
    </row>
    <row r="62" spans="1:10" ht="13.8">
      <c r="A62" s="5">
        <v>44778</v>
      </c>
      <c r="B62" s="6">
        <v>0.241666666666667</v>
      </c>
      <c r="C62" s="7">
        <v>9556</v>
      </c>
      <c r="D62" s="7" t="s">
        <v>18</v>
      </c>
      <c r="E62" s="7">
        <v>27040</v>
      </c>
      <c r="F62" s="7">
        <v>15880</v>
      </c>
      <c r="G62" s="8">
        <v>11160</v>
      </c>
      <c r="H62" s="7" t="s">
        <v>10</v>
      </c>
      <c r="I62" s="7" t="s">
        <v>11</v>
      </c>
      <c r="J62" s="9"/>
    </row>
    <row r="63" spans="1:10" ht="13.8">
      <c r="A63" s="5">
        <v>44778</v>
      </c>
      <c r="B63" s="6">
        <v>0.21666666666666701</v>
      </c>
      <c r="C63" s="7">
        <v>9550</v>
      </c>
      <c r="D63" s="7" t="s">
        <v>12</v>
      </c>
      <c r="E63" s="7">
        <v>3320</v>
      </c>
      <c r="F63" s="7">
        <v>2880</v>
      </c>
      <c r="G63" s="8">
        <v>440</v>
      </c>
      <c r="H63" s="7" t="s">
        <v>10</v>
      </c>
      <c r="I63" s="7" t="s">
        <v>11</v>
      </c>
      <c r="J63" s="9"/>
    </row>
    <row r="64" spans="1:10" ht="13.8">
      <c r="A64" s="5">
        <v>44778</v>
      </c>
      <c r="B64" s="6">
        <v>0.13611111111111099</v>
      </c>
      <c r="C64" s="7">
        <v>9547</v>
      </c>
      <c r="D64" s="7" t="s">
        <v>12</v>
      </c>
      <c r="E64" s="7">
        <v>3080</v>
      </c>
      <c r="F64" s="7">
        <v>2700</v>
      </c>
      <c r="G64" s="8">
        <v>380</v>
      </c>
      <c r="H64" s="7" t="s">
        <v>10</v>
      </c>
      <c r="I64" s="7" t="s">
        <v>11</v>
      </c>
      <c r="J64" s="9"/>
    </row>
    <row r="65" spans="1:10" ht="13.8">
      <c r="A65" s="5">
        <v>44778</v>
      </c>
      <c r="B65" s="6">
        <v>0.52152777777777803</v>
      </c>
      <c r="C65" s="7">
        <v>3229</v>
      </c>
      <c r="D65" s="7" t="s">
        <v>13</v>
      </c>
      <c r="E65" s="7">
        <v>19220</v>
      </c>
      <c r="F65" s="7">
        <v>16000</v>
      </c>
      <c r="G65" s="8">
        <v>3220</v>
      </c>
      <c r="H65" s="7" t="s">
        <v>10</v>
      </c>
      <c r="I65" s="7" t="s">
        <v>21</v>
      </c>
      <c r="J65" s="9"/>
    </row>
    <row r="66" spans="1:10" ht="13.8">
      <c r="A66" s="5">
        <v>44778</v>
      </c>
      <c r="B66" s="6">
        <v>0.88888888888888895</v>
      </c>
      <c r="C66" s="7">
        <v>9611</v>
      </c>
      <c r="D66" s="7" t="s">
        <v>13</v>
      </c>
      <c r="E66" s="7">
        <v>26640</v>
      </c>
      <c r="F66" s="7">
        <v>15980</v>
      </c>
      <c r="G66" s="8">
        <v>10660</v>
      </c>
      <c r="H66" s="7" t="s">
        <v>10</v>
      </c>
      <c r="I66" s="7" t="s">
        <v>11</v>
      </c>
      <c r="J66" s="9"/>
    </row>
    <row r="67" spans="1:10" ht="13.8">
      <c r="A67" s="5">
        <v>44778</v>
      </c>
      <c r="B67" s="6">
        <v>0.70416666666666705</v>
      </c>
      <c r="C67" s="7">
        <v>9602</v>
      </c>
      <c r="D67" s="7" t="s">
        <v>9</v>
      </c>
      <c r="E67" s="7">
        <v>15780</v>
      </c>
      <c r="F67" s="7">
        <v>12700</v>
      </c>
      <c r="G67" s="8">
        <v>3080</v>
      </c>
      <c r="H67" s="7" t="s">
        <v>10</v>
      </c>
      <c r="I67" s="7" t="s">
        <v>11</v>
      </c>
      <c r="J67" s="9"/>
    </row>
    <row r="68" spans="1:10" ht="13.8">
      <c r="A68" s="5">
        <v>44778</v>
      </c>
      <c r="B68" s="6">
        <v>0.87638888888888899</v>
      </c>
      <c r="C68" s="7">
        <v>9609</v>
      </c>
      <c r="D68" s="7" t="s">
        <v>12</v>
      </c>
      <c r="E68" s="7">
        <v>3160</v>
      </c>
      <c r="F68" s="7">
        <v>2700</v>
      </c>
      <c r="G68" s="8">
        <v>460</v>
      </c>
      <c r="H68" s="7" t="s">
        <v>10</v>
      </c>
      <c r="I68" s="7" t="s">
        <v>11</v>
      </c>
      <c r="J68" s="9"/>
    </row>
    <row r="69" spans="1:10" ht="13.8">
      <c r="A69" s="5">
        <v>44778</v>
      </c>
      <c r="B69" s="6">
        <v>0.375</v>
      </c>
      <c r="C69" s="7">
        <v>9572</v>
      </c>
      <c r="D69" s="7" t="s">
        <v>14</v>
      </c>
      <c r="E69" s="7">
        <v>3360</v>
      </c>
      <c r="F69" s="7">
        <v>2820</v>
      </c>
      <c r="G69" s="8">
        <v>540</v>
      </c>
      <c r="H69" s="7" t="s">
        <v>10</v>
      </c>
      <c r="I69" s="7" t="s">
        <v>11</v>
      </c>
      <c r="J69" s="9"/>
    </row>
    <row r="70" spans="1:10" ht="13.8">
      <c r="A70" s="5">
        <v>44778</v>
      </c>
      <c r="B70" s="6">
        <v>0.46875</v>
      </c>
      <c r="C70" s="7">
        <v>9581</v>
      </c>
      <c r="D70" s="7" t="s">
        <v>14</v>
      </c>
      <c r="E70" s="7">
        <v>3720</v>
      </c>
      <c r="F70" s="7">
        <v>2820</v>
      </c>
      <c r="G70" s="8">
        <v>900</v>
      </c>
      <c r="H70" s="7" t="s">
        <v>10</v>
      </c>
      <c r="I70" s="7" t="s">
        <v>16</v>
      </c>
      <c r="J70" s="9"/>
    </row>
    <row r="71" spans="1:10" ht="13.8">
      <c r="A71" s="5">
        <v>44778</v>
      </c>
      <c r="B71" s="6">
        <v>0.25347222222222199</v>
      </c>
      <c r="C71" s="7">
        <v>9560</v>
      </c>
      <c r="D71" s="7" t="s">
        <v>14</v>
      </c>
      <c r="E71" s="7">
        <v>3440</v>
      </c>
      <c r="F71" s="7">
        <v>2820</v>
      </c>
      <c r="G71" s="8">
        <v>620</v>
      </c>
      <c r="H71" s="7" t="s">
        <v>10</v>
      </c>
      <c r="I71" s="7" t="s">
        <v>11</v>
      </c>
      <c r="J71" s="9"/>
    </row>
    <row r="72" spans="1:10" ht="13.8">
      <c r="A72" s="5">
        <v>44778</v>
      </c>
      <c r="B72" s="6">
        <v>0.374305555555555</v>
      </c>
      <c r="C72" s="7">
        <v>9573</v>
      </c>
      <c r="D72" s="7" t="s">
        <v>12</v>
      </c>
      <c r="E72" s="7">
        <v>3320</v>
      </c>
      <c r="F72" s="7">
        <v>2680</v>
      </c>
      <c r="G72" s="8">
        <v>640</v>
      </c>
      <c r="H72" s="7" t="s">
        <v>10</v>
      </c>
      <c r="I72" s="7" t="s">
        <v>11</v>
      </c>
      <c r="J72" s="9"/>
    </row>
    <row r="73" spans="1:10" ht="13.8">
      <c r="A73" s="5">
        <v>44779</v>
      </c>
      <c r="B73" s="6">
        <v>0.37083333333333302</v>
      </c>
      <c r="C73" s="7">
        <v>9649</v>
      </c>
      <c r="D73" s="7" t="s">
        <v>12</v>
      </c>
      <c r="E73" s="7">
        <v>3340</v>
      </c>
      <c r="F73" s="7">
        <v>2700</v>
      </c>
      <c r="G73" s="8">
        <v>640</v>
      </c>
      <c r="H73" s="7" t="s">
        <v>10</v>
      </c>
      <c r="I73" s="7" t="s">
        <v>11</v>
      </c>
      <c r="J73" s="9"/>
    </row>
    <row r="74" spans="1:10" ht="13.8">
      <c r="A74" s="5">
        <v>44779</v>
      </c>
      <c r="B74" s="6">
        <v>0.87361111111111101</v>
      </c>
      <c r="C74" s="7">
        <v>9663</v>
      </c>
      <c r="D74" s="7" t="s">
        <v>12</v>
      </c>
      <c r="E74" s="7">
        <v>3180</v>
      </c>
      <c r="F74" s="7">
        <v>2680</v>
      </c>
      <c r="G74" s="8">
        <v>500</v>
      </c>
      <c r="H74" s="7" t="s">
        <v>10</v>
      </c>
      <c r="I74" s="7" t="s">
        <v>11</v>
      </c>
      <c r="J74" s="9"/>
    </row>
    <row r="75" spans="1:10" ht="13.8">
      <c r="A75" s="5">
        <v>44779</v>
      </c>
      <c r="B75" s="6">
        <v>0.15208333333333299</v>
      </c>
      <c r="C75" s="7">
        <v>9621</v>
      </c>
      <c r="D75" s="7" t="s">
        <v>9</v>
      </c>
      <c r="E75" s="7">
        <v>21640</v>
      </c>
      <c r="F75" s="7">
        <v>12680</v>
      </c>
      <c r="G75" s="8">
        <v>8960</v>
      </c>
      <c r="H75" s="7" t="s">
        <v>10</v>
      </c>
      <c r="I75" s="7" t="s">
        <v>11</v>
      </c>
      <c r="J75" s="9"/>
    </row>
    <row r="76" spans="1:10" ht="13.8">
      <c r="A76" s="5">
        <v>44779</v>
      </c>
      <c r="B76" s="6">
        <v>0.25347222222222199</v>
      </c>
      <c r="C76" s="7">
        <v>9633</v>
      </c>
      <c r="D76" s="7" t="s">
        <v>9</v>
      </c>
      <c r="E76" s="7">
        <v>15400</v>
      </c>
      <c r="F76" s="7">
        <v>12680</v>
      </c>
      <c r="G76" s="8">
        <v>2720</v>
      </c>
      <c r="H76" s="7" t="s">
        <v>10</v>
      </c>
      <c r="I76" s="7" t="s">
        <v>11</v>
      </c>
      <c r="J76" s="9"/>
    </row>
    <row r="77" spans="1:10" ht="13.8">
      <c r="A77" s="5">
        <v>44779</v>
      </c>
      <c r="B77" s="6">
        <v>0.05</v>
      </c>
      <c r="C77" s="7">
        <v>9614</v>
      </c>
      <c r="D77" s="7" t="s">
        <v>9</v>
      </c>
      <c r="E77" s="7">
        <v>22760</v>
      </c>
      <c r="F77" s="7">
        <v>12700</v>
      </c>
      <c r="G77" s="8">
        <v>10060</v>
      </c>
      <c r="H77" s="7" t="s">
        <v>10</v>
      </c>
      <c r="I77" s="7" t="s">
        <v>11</v>
      </c>
      <c r="J77" s="9"/>
    </row>
    <row r="78" spans="1:10" ht="13.8">
      <c r="A78" s="5">
        <v>44779</v>
      </c>
      <c r="B78" s="6">
        <v>0.21875</v>
      </c>
      <c r="C78" s="7">
        <v>9625</v>
      </c>
      <c r="D78" s="7" t="s">
        <v>23</v>
      </c>
      <c r="E78" s="7">
        <v>4760</v>
      </c>
      <c r="F78" s="7">
        <v>3680</v>
      </c>
      <c r="G78" s="8">
        <v>1080</v>
      </c>
      <c r="H78" s="7" t="s">
        <v>10</v>
      </c>
      <c r="I78" s="7" t="s">
        <v>11</v>
      </c>
      <c r="J78" s="9"/>
    </row>
    <row r="79" spans="1:10" ht="13.8">
      <c r="A79" s="5">
        <v>44779</v>
      </c>
      <c r="B79" s="6">
        <v>0.14305555555555599</v>
      </c>
      <c r="C79" s="7">
        <v>9619</v>
      </c>
      <c r="D79" s="7" t="s">
        <v>23</v>
      </c>
      <c r="E79" s="7">
        <v>4980</v>
      </c>
      <c r="F79" s="7">
        <v>3600</v>
      </c>
      <c r="G79" s="8">
        <v>1380</v>
      </c>
      <c r="H79" s="7" t="s">
        <v>10</v>
      </c>
      <c r="I79" s="7" t="s">
        <v>11</v>
      </c>
      <c r="J79" s="9"/>
    </row>
    <row r="80" spans="1:10" ht="13.8">
      <c r="A80" s="5">
        <v>44779</v>
      </c>
      <c r="B80" s="6">
        <v>0.25902777777777802</v>
      </c>
      <c r="C80" s="7">
        <v>9636</v>
      </c>
      <c r="D80" s="7" t="s">
        <v>13</v>
      </c>
      <c r="E80" s="7">
        <v>27100</v>
      </c>
      <c r="F80" s="7">
        <v>16260</v>
      </c>
      <c r="G80" s="8">
        <v>10840</v>
      </c>
      <c r="H80" s="7" t="s">
        <v>10</v>
      </c>
      <c r="I80" s="7" t="s">
        <v>11</v>
      </c>
      <c r="J80" s="9"/>
    </row>
    <row r="81" spans="1:10" ht="13.8">
      <c r="A81" s="5">
        <v>44779</v>
      </c>
      <c r="B81" s="6">
        <v>0.87986111111111098</v>
      </c>
      <c r="C81" s="7">
        <v>9664</v>
      </c>
      <c r="D81" s="7" t="s">
        <v>13</v>
      </c>
      <c r="E81" s="7">
        <v>26040</v>
      </c>
      <c r="F81" s="7">
        <v>16060</v>
      </c>
      <c r="G81" s="8">
        <v>9980</v>
      </c>
      <c r="H81" s="7" t="s">
        <v>10</v>
      </c>
      <c r="I81" s="7" t="s">
        <v>11</v>
      </c>
      <c r="J81" s="9"/>
    </row>
    <row r="82" spans="1:10" ht="13.8">
      <c r="A82" s="5">
        <v>44779</v>
      </c>
      <c r="B82" s="6">
        <v>0.45972222222222198</v>
      </c>
      <c r="C82" s="7">
        <v>9655</v>
      </c>
      <c r="D82" s="7" t="s">
        <v>14</v>
      </c>
      <c r="E82" s="7">
        <v>3180</v>
      </c>
      <c r="F82" s="7">
        <v>2820</v>
      </c>
      <c r="G82" s="8">
        <v>360</v>
      </c>
      <c r="H82" s="7" t="s">
        <v>10</v>
      </c>
      <c r="I82" s="7" t="s">
        <v>11</v>
      </c>
      <c r="J82" s="9"/>
    </row>
    <row r="83" spans="1:10" ht="13.8">
      <c r="A83" s="5">
        <v>44779</v>
      </c>
      <c r="B83" s="6">
        <v>0.219444444444444</v>
      </c>
      <c r="C83" s="7">
        <v>9626</v>
      </c>
      <c r="D83" s="7" t="s">
        <v>12</v>
      </c>
      <c r="E83" s="7">
        <v>3060</v>
      </c>
      <c r="F83" s="7">
        <v>2820</v>
      </c>
      <c r="G83" s="8">
        <v>240</v>
      </c>
      <c r="H83" s="7" t="s">
        <v>10</v>
      </c>
      <c r="I83" s="7" t="s">
        <v>11</v>
      </c>
      <c r="J83" s="9"/>
    </row>
    <row r="84" spans="1:10" ht="13.8">
      <c r="A84" s="5">
        <v>44779</v>
      </c>
      <c r="B84" s="6">
        <v>0.50624999999999998</v>
      </c>
      <c r="C84" s="7">
        <v>9659</v>
      </c>
      <c r="D84" s="7" t="s">
        <v>13</v>
      </c>
      <c r="E84" s="7">
        <v>18040</v>
      </c>
      <c r="F84" s="7">
        <v>15920</v>
      </c>
      <c r="G84" s="8">
        <v>2120</v>
      </c>
      <c r="H84" s="7" t="s">
        <v>10</v>
      </c>
      <c r="I84" s="7" t="s">
        <v>11</v>
      </c>
      <c r="J84" s="9"/>
    </row>
    <row r="85" spans="1:10" ht="13.8">
      <c r="A85" s="5">
        <v>44779</v>
      </c>
      <c r="B85" s="6">
        <v>0.47916666666666702</v>
      </c>
      <c r="C85" s="7">
        <v>9656</v>
      </c>
      <c r="D85" s="7" t="s">
        <v>12</v>
      </c>
      <c r="E85" s="7">
        <v>3200</v>
      </c>
      <c r="F85" s="7">
        <v>2780</v>
      </c>
      <c r="G85" s="8">
        <v>420</v>
      </c>
      <c r="H85" s="7" t="s">
        <v>10</v>
      </c>
      <c r="I85" s="7" t="s">
        <v>11</v>
      </c>
      <c r="J85" s="9"/>
    </row>
    <row r="86" spans="1:10" ht="13.8">
      <c r="A86" s="5">
        <v>44779</v>
      </c>
      <c r="B86" s="6">
        <v>0.70069444444444395</v>
      </c>
      <c r="C86" s="7">
        <v>9662</v>
      </c>
      <c r="D86" s="7" t="s">
        <v>9</v>
      </c>
      <c r="E86" s="7">
        <v>15680</v>
      </c>
      <c r="F86" s="7">
        <v>12780</v>
      </c>
      <c r="G86" s="8">
        <v>2900</v>
      </c>
      <c r="H86" s="7" t="s">
        <v>10</v>
      </c>
      <c r="I86" s="7" t="s">
        <v>11</v>
      </c>
      <c r="J86" s="9"/>
    </row>
    <row r="87" spans="1:10" ht="13.8">
      <c r="A87" s="5">
        <v>44779</v>
      </c>
      <c r="B87" s="6">
        <v>0.24374999999999999</v>
      </c>
      <c r="C87" s="7">
        <v>9631</v>
      </c>
      <c r="D87" s="7" t="s">
        <v>18</v>
      </c>
      <c r="E87" s="7">
        <v>24160</v>
      </c>
      <c r="F87" s="7">
        <v>15800</v>
      </c>
      <c r="G87" s="8">
        <v>8360</v>
      </c>
      <c r="H87" s="7" t="s">
        <v>10</v>
      </c>
      <c r="I87" s="7" t="s">
        <v>11</v>
      </c>
      <c r="J87" s="9"/>
    </row>
    <row r="88" spans="1:10" ht="13.8">
      <c r="A88" s="5">
        <v>44780</v>
      </c>
      <c r="B88" s="6">
        <v>0.44513888888888897</v>
      </c>
      <c r="C88" s="7">
        <v>9690</v>
      </c>
      <c r="D88" s="7" t="s">
        <v>14</v>
      </c>
      <c r="E88" s="7">
        <v>3200</v>
      </c>
      <c r="F88" s="7">
        <v>2820</v>
      </c>
      <c r="G88" s="8">
        <v>380</v>
      </c>
      <c r="H88" s="7" t="s">
        <v>10</v>
      </c>
      <c r="I88" s="7" t="s">
        <v>11</v>
      </c>
      <c r="J88" s="9"/>
    </row>
    <row r="89" spans="1:10" ht="13.8">
      <c r="A89" s="5">
        <v>44780</v>
      </c>
      <c r="B89" s="6">
        <v>0.24444444444444399</v>
      </c>
      <c r="C89" s="7">
        <v>9683</v>
      </c>
      <c r="D89" s="7" t="s">
        <v>18</v>
      </c>
      <c r="E89" s="7">
        <v>25960</v>
      </c>
      <c r="F89" s="7">
        <v>15780</v>
      </c>
      <c r="G89" s="8">
        <v>10180</v>
      </c>
      <c r="H89" s="7" t="s">
        <v>10</v>
      </c>
      <c r="I89" s="7" t="s">
        <v>11</v>
      </c>
      <c r="J89" s="9"/>
    </row>
    <row r="90" spans="1:10" ht="13.8">
      <c r="A90" s="5">
        <v>44780</v>
      </c>
      <c r="B90" s="6">
        <v>0.13611111111111099</v>
      </c>
      <c r="C90" s="7">
        <v>9673</v>
      </c>
      <c r="D90" s="7" t="s">
        <v>23</v>
      </c>
      <c r="E90" s="7">
        <v>4940</v>
      </c>
      <c r="F90" s="7">
        <v>3580</v>
      </c>
      <c r="G90" s="8">
        <v>1360</v>
      </c>
      <c r="H90" s="7" t="s">
        <v>10</v>
      </c>
      <c r="I90" s="7" t="s">
        <v>11</v>
      </c>
      <c r="J90" s="9"/>
    </row>
    <row r="91" spans="1:10" ht="13.8">
      <c r="A91" s="5">
        <v>44780</v>
      </c>
      <c r="B91" s="6">
        <v>0.87708333333333299</v>
      </c>
      <c r="C91" s="7">
        <v>9694</v>
      </c>
      <c r="D91" s="7" t="s">
        <v>13</v>
      </c>
      <c r="E91" s="7">
        <v>26560</v>
      </c>
      <c r="F91" s="7">
        <v>15960</v>
      </c>
      <c r="G91" s="8">
        <v>10600</v>
      </c>
      <c r="H91" s="7" t="s">
        <v>10</v>
      </c>
      <c r="I91" s="7" t="s">
        <v>11</v>
      </c>
      <c r="J91" s="9"/>
    </row>
    <row r="92" spans="1:10" ht="13.8">
      <c r="A92" s="5">
        <v>44780</v>
      </c>
      <c r="B92" s="6">
        <v>0.86458333333333304</v>
      </c>
      <c r="C92" s="7">
        <v>9693</v>
      </c>
      <c r="D92" s="7" t="s">
        <v>12</v>
      </c>
      <c r="E92" s="7">
        <v>3220</v>
      </c>
      <c r="F92" s="7">
        <v>2700</v>
      </c>
      <c r="G92" s="8">
        <v>520</v>
      </c>
      <c r="H92" s="7" t="s">
        <v>10</v>
      </c>
      <c r="I92" s="7" t="s">
        <v>11</v>
      </c>
      <c r="J92" s="9"/>
    </row>
    <row r="93" spans="1:10" ht="13.8">
      <c r="A93" s="5">
        <v>44780</v>
      </c>
      <c r="B93" s="6">
        <v>0.7</v>
      </c>
      <c r="C93" s="7">
        <v>9692</v>
      </c>
      <c r="D93" s="7" t="s">
        <v>9</v>
      </c>
      <c r="E93" s="7">
        <v>15320</v>
      </c>
      <c r="F93" s="7">
        <v>12680</v>
      </c>
      <c r="G93" s="8">
        <v>2640</v>
      </c>
      <c r="H93" s="7" t="s">
        <v>10</v>
      </c>
      <c r="I93" s="7" t="s">
        <v>11</v>
      </c>
      <c r="J93" s="9"/>
    </row>
    <row r="94" spans="1:10" ht="13.8">
      <c r="A94" s="5">
        <v>44780</v>
      </c>
      <c r="B94" s="6">
        <v>0.47916666666666702</v>
      </c>
      <c r="C94" s="7">
        <v>9691</v>
      </c>
      <c r="D94" s="7" t="s">
        <v>12</v>
      </c>
      <c r="E94" s="7">
        <v>3120</v>
      </c>
      <c r="F94" s="7">
        <v>2660</v>
      </c>
      <c r="G94" s="8">
        <v>460</v>
      </c>
      <c r="H94" s="7" t="s">
        <v>10</v>
      </c>
      <c r="I94" s="7" t="s">
        <v>11</v>
      </c>
      <c r="J94" s="9"/>
    </row>
    <row r="95" spans="1:10" ht="13.8">
      <c r="A95" s="5">
        <v>44780</v>
      </c>
      <c r="B95" s="6">
        <v>0.32986111111111099</v>
      </c>
      <c r="C95" s="7">
        <v>9688</v>
      </c>
      <c r="D95" s="7" t="s">
        <v>12</v>
      </c>
      <c r="E95" s="7">
        <v>3060</v>
      </c>
      <c r="F95" s="7">
        <v>2680</v>
      </c>
      <c r="G95" s="8">
        <v>380</v>
      </c>
      <c r="H95" s="7" t="s">
        <v>10</v>
      </c>
      <c r="I95" s="7" t="s">
        <v>11</v>
      </c>
      <c r="J95" s="9"/>
    </row>
    <row r="96" spans="1:10" ht="13.8">
      <c r="A96" s="5">
        <v>44780</v>
      </c>
      <c r="B96" s="6">
        <v>0.219444444444444</v>
      </c>
      <c r="C96" s="7">
        <v>9679</v>
      </c>
      <c r="D96" s="7" t="s">
        <v>12</v>
      </c>
      <c r="E96" s="7">
        <v>3200</v>
      </c>
      <c r="F96" s="7">
        <v>2700</v>
      </c>
      <c r="G96" s="8">
        <v>500</v>
      </c>
      <c r="H96" s="7" t="s">
        <v>10</v>
      </c>
      <c r="I96" s="7" t="s">
        <v>11</v>
      </c>
      <c r="J96" s="9"/>
    </row>
    <row r="97" spans="1:10" ht="13.8">
      <c r="A97" s="5">
        <v>44780</v>
      </c>
      <c r="B97" s="6">
        <v>0.25208333333333299</v>
      </c>
      <c r="C97" s="7">
        <v>9684</v>
      </c>
      <c r="D97" s="7" t="s">
        <v>13</v>
      </c>
      <c r="E97" s="7">
        <v>27580</v>
      </c>
      <c r="F97" s="7">
        <v>16100</v>
      </c>
      <c r="G97" s="8">
        <v>11480</v>
      </c>
      <c r="H97" s="7" t="s">
        <v>10</v>
      </c>
      <c r="I97" s="7" t="s">
        <v>11</v>
      </c>
      <c r="J97" s="9"/>
    </row>
    <row r="98" spans="1:10" ht="13.8">
      <c r="A98" s="5">
        <v>44780</v>
      </c>
      <c r="B98" s="6">
        <v>0.21875</v>
      </c>
      <c r="C98" s="7">
        <v>9677</v>
      </c>
      <c r="D98" s="7" t="s">
        <v>23</v>
      </c>
      <c r="E98" s="7">
        <v>4500</v>
      </c>
      <c r="F98" s="7">
        <v>3580</v>
      </c>
      <c r="G98" s="8">
        <v>920</v>
      </c>
      <c r="H98" s="7" t="s">
        <v>10</v>
      </c>
      <c r="I98" s="7" t="s">
        <v>11</v>
      </c>
      <c r="J98" s="9"/>
    </row>
    <row r="99" spans="1:10" ht="13.8">
      <c r="A99" s="5">
        <v>44780</v>
      </c>
      <c r="B99" s="6">
        <v>1.38888888888889E-2</v>
      </c>
      <c r="C99" s="7">
        <v>9665</v>
      </c>
      <c r="D99" s="7" t="s">
        <v>22</v>
      </c>
      <c r="E99" s="7">
        <v>15580</v>
      </c>
      <c r="F99" s="7">
        <v>12520</v>
      </c>
      <c r="G99" s="8">
        <v>3060</v>
      </c>
      <c r="H99" s="7" t="s">
        <v>10</v>
      </c>
      <c r="I99" s="7" t="s">
        <v>11</v>
      </c>
      <c r="J99" s="9"/>
    </row>
    <row r="100" spans="1:10" ht="13.8">
      <c r="A100" s="5">
        <v>44780</v>
      </c>
      <c r="B100" s="6">
        <v>5.3472222222222199E-2</v>
      </c>
      <c r="C100" s="7">
        <v>9666</v>
      </c>
      <c r="D100" s="7" t="s">
        <v>9</v>
      </c>
      <c r="E100" s="7">
        <v>21820</v>
      </c>
      <c r="F100" s="7">
        <v>12760</v>
      </c>
      <c r="G100" s="8">
        <v>9060</v>
      </c>
      <c r="H100" s="7" t="s">
        <v>10</v>
      </c>
      <c r="I100" s="7" t="s">
        <v>11</v>
      </c>
      <c r="J100" s="9"/>
    </row>
    <row r="101" spans="1:10" ht="13.8">
      <c r="A101" s="5">
        <v>44780</v>
      </c>
      <c r="B101" s="6">
        <v>0.23819444444444399</v>
      </c>
      <c r="C101" s="7">
        <v>9682</v>
      </c>
      <c r="D101" s="7" t="s">
        <v>9</v>
      </c>
      <c r="E101" s="7">
        <v>13400</v>
      </c>
      <c r="F101" s="7">
        <v>12740</v>
      </c>
      <c r="G101" s="8">
        <v>660</v>
      </c>
      <c r="H101" s="7" t="s">
        <v>10</v>
      </c>
      <c r="I101" s="7" t="s">
        <v>11</v>
      </c>
      <c r="J101" s="9"/>
    </row>
    <row r="102" spans="1:10" ht="13.8">
      <c r="A102" s="5">
        <v>44780</v>
      </c>
      <c r="B102" s="6">
        <v>0.18124999999999999</v>
      </c>
      <c r="C102" s="7">
        <v>9675</v>
      </c>
      <c r="D102" s="7" t="s">
        <v>9</v>
      </c>
      <c r="E102" s="7">
        <v>23140</v>
      </c>
      <c r="F102" s="7">
        <v>12780</v>
      </c>
      <c r="G102" s="8">
        <v>10360</v>
      </c>
      <c r="H102" s="7" t="s">
        <v>10</v>
      </c>
      <c r="I102" s="7" t="s">
        <v>11</v>
      </c>
      <c r="J102" s="9"/>
    </row>
    <row r="103" spans="1:10" ht="13.8">
      <c r="A103" s="5">
        <v>44781</v>
      </c>
      <c r="B103" s="6">
        <v>0.156944444444444</v>
      </c>
      <c r="C103" s="7">
        <v>9704</v>
      </c>
      <c r="D103" s="7" t="s">
        <v>23</v>
      </c>
      <c r="E103" s="7">
        <v>4800</v>
      </c>
      <c r="F103" s="7">
        <v>3560</v>
      </c>
      <c r="G103" s="8">
        <v>1240</v>
      </c>
      <c r="H103" s="7" t="s">
        <v>10</v>
      </c>
      <c r="I103" s="7" t="s">
        <v>11</v>
      </c>
      <c r="J103" s="9"/>
    </row>
    <row r="104" spans="1:10" ht="13.8">
      <c r="A104" s="5">
        <v>44781</v>
      </c>
      <c r="B104" s="6">
        <v>0.219444444444444</v>
      </c>
      <c r="C104" s="7">
        <v>9708</v>
      </c>
      <c r="D104" s="7" t="s">
        <v>23</v>
      </c>
      <c r="E104" s="7">
        <v>4340</v>
      </c>
      <c r="F104" s="7">
        <v>3640</v>
      </c>
      <c r="G104" s="8">
        <v>700</v>
      </c>
      <c r="H104" s="7" t="s">
        <v>10</v>
      </c>
      <c r="I104" s="7" t="s">
        <v>11</v>
      </c>
      <c r="J104" s="9"/>
    </row>
    <row r="105" spans="1:10" ht="13.8">
      <c r="A105" s="5">
        <v>44781</v>
      </c>
      <c r="B105" s="6">
        <v>0.25347222222222199</v>
      </c>
      <c r="C105" s="7">
        <v>9717</v>
      </c>
      <c r="D105" s="7" t="s">
        <v>13</v>
      </c>
      <c r="E105" s="7">
        <v>28100</v>
      </c>
      <c r="F105" s="7">
        <v>16000</v>
      </c>
      <c r="G105" s="8">
        <v>12100</v>
      </c>
      <c r="H105" s="7" t="s">
        <v>10</v>
      </c>
      <c r="I105" s="7" t="s">
        <v>11</v>
      </c>
      <c r="J105" s="9"/>
    </row>
    <row r="106" spans="1:10" ht="13.8">
      <c r="A106" s="5">
        <v>44781</v>
      </c>
      <c r="B106" s="6">
        <v>0.24444444444444399</v>
      </c>
      <c r="C106" s="7">
        <v>9715</v>
      </c>
      <c r="D106" s="7" t="s">
        <v>18</v>
      </c>
      <c r="E106" s="7">
        <v>26420</v>
      </c>
      <c r="F106" s="7">
        <v>15860</v>
      </c>
      <c r="G106" s="8">
        <v>10560</v>
      </c>
      <c r="H106" s="7" t="s">
        <v>10</v>
      </c>
      <c r="I106" s="7" t="s">
        <v>11</v>
      </c>
      <c r="J106" s="9"/>
    </row>
    <row r="107" spans="1:10" ht="13.8">
      <c r="A107" s="5">
        <v>44781</v>
      </c>
      <c r="B107" s="6">
        <v>0.24374999999999999</v>
      </c>
      <c r="C107" s="7">
        <v>9713</v>
      </c>
      <c r="D107" s="7" t="s">
        <v>9</v>
      </c>
      <c r="E107" s="7">
        <v>23380</v>
      </c>
      <c r="F107" s="7">
        <v>12700</v>
      </c>
      <c r="G107" s="8">
        <v>10680</v>
      </c>
      <c r="H107" s="7" t="s">
        <v>10</v>
      </c>
      <c r="I107" s="7" t="s">
        <v>11</v>
      </c>
      <c r="J107" s="9"/>
    </row>
    <row r="108" spans="1:10" ht="13.8">
      <c r="A108" s="5">
        <v>44781</v>
      </c>
      <c r="B108" s="6">
        <v>4.8611111111111098E-2</v>
      </c>
      <c r="C108" s="7">
        <v>9697</v>
      </c>
      <c r="D108" s="7" t="s">
        <v>9</v>
      </c>
      <c r="E108" s="7">
        <v>22440</v>
      </c>
      <c r="F108" s="7">
        <v>12900</v>
      </c>
      <c r="G108" s="8">
        <v>9540</v>
      </c>
      <c r="H108" s="7" t="s">
        <v>10</v>
      </c>
      <c r="I108" s="7" t="s">
        <v>11</v>
      </c>
      <c r="J108" s="9"/>
    </row>
    <row r="109" spans="1:10" ht="13.8">
      <c r="A109" s="5">
        <v>44781</v>
      </c>
      <c r="B109" s="6">
        <v>0.35208333333333303</v>
      </c>
      <c r="C109" s="7">
        <v>9732</v>
      </c>
      <c r="D109" s="7" t="s">
        <v>15</v>
      </c>
      <c r="E109" s="7">
        <v>6180</v>
      </c>
      <c r="F109" s="7">
        <v>5620</v>
      </c>
      <c r="G109" s="8">
        <v>560</v>
      </c>
      <c r="H109" s="7" t="s">
        <v>10</v>
      </c>
      <c r="I109" s="7" t="s">
        <v>16</v>
      </c>
      <c r="J109" s="9"/>
    </row>
    <row r="110" spans="1:10" ht="13.8">
      <c r="A110" s="5">
        <v>44781</v>
      </c>
      <c r="B110" s="6">
        <v>0.469444444444444</v>
      </c>
      <c r="C110" s="7">
        <v>9744</v>
      </c>
      <c r="D110" s="7" t="s">
        <v>15</v>
      </c>
      <c r="E110" s="7">
        <v>6580</v>
      </c>
      <c r="F110" s="7">
        <v>5620</v>
      </c>
      <c r="G110" s="8">
        <v>960</v>
      </c>
      <c r="H110" s="7" t="s">
        <v>10</v>
      </c>
      <c r="I110" s="7" t="s">
        <v>16</v>
      </c>
      <c r="J110" s="9"/>
    </row>
    <row r="111" spans="1:10" ht="13.8">
      <c r="A111" s="5">
        <v>44781</v>
      </c>
      <c r="B111" s="6">
        <v>0.89305555555555605</v>
      </c>
      <c r="C111" s="7">
        <v>9759</v>
      </c>
      <c r="D111" s="7" t="s">
        <v>13</v>
      </c>
      <c r="E111" s="7">
        <v>25800</v>
      </c>
      <c r="F111" s="7">
        <v>16060</v>
      </c>
      <c r="G111" s="8">
        <v>9740</v>
      </c>
      <c r="H111" s="7" t="s">
        <v>10</v>
      </c>
      <c r="I111" s="7" t="s">
        <v>11</v>
      </c>
      <c r="J111" s="9"/>
    </row>
    <row r="112" spans="1:10" ht="13.8">
      <c r="A112" s="5">
        <v>44781</v>
      </c>
      <c r="B112" s="6">
        <v>0.86736111111111103</v>
      </c>
      <c r="C112" s="7">
        <v>9758</v>
      </c>
      <c r="D112" s="7" t="s">
        <v>12</v>
      </c>
      <c r="E112" s="7">
        <v>3120</v>
      </c>
      <c r="F112" s="7">
        <v>2700</v>
      </c>
      <c r="G112" s="8">
        <v>420</v>
      </c>
      <c r="H112" s="7" t="s">
        <v>10</v>
      </c>
      <c r="I112" s="7" t="s">
        <v>11</v>
      </c>
      <c r="J112" s="9"/>
    </row>
    <row r="113" spans="1:10" ht="13.8">
      <c r="A113" s="5">
        <v>44781</v>
      </c>
      <c r="B113" s="6">
        <v>0.42013888888888901</v>
      </c>
      <c r="C113" s="7">
        <v>9736</v>
      </c>
      <c r="D113" s="7" t="s">
        <v>14</v>
      </c>
      <c r="E113" s="7">
        <v>3560</v>
      </c>
      <c r="F113" s="7">
        <v>2840</v>
      </c>
      <c r="G113" s="8">
        <v>720</v>
      </c>
      <c r="H113" s="7" t="s">
        <v>10</v>
      </c>
      <c r="I113" s="7" t="s">
        <v>11</v>
      </c>
      <c r="J113" s="9"/>
    </row>
    <row r="114" spans="1:10" ht="13.8">
      <c r="A114" s="5">
        <v>44781</v>
      </c>
      <c r="B114" s="6">
        <v>0.72291666666666698</v>
      </c>
      <c r="C114" s="7">
        <v>9757</v>
      </c>
      <c r="D114" s="7" t="s">
        <v>9</v>
      </c>
      <c r="E114" s="7">
        <v>16280</v>
      </c>
      <c r="F114" s="7">
        <v>12740</v>
      </c>
      <c r="G114" s="8">
        <v>3540</v>
      </c>
      <c r="H114" s="7" t="s">
        <v>10</v>
      </c>
      <c r="I114" s="7" t="s">
        <v>11</v>
      </c>
      <c r="J114" s="9"/>
    </row>
    <row r="115" spans="1:10" ht="13.8">
      <c r="A115" s="5">
        <v>44781</v>
      </c>
      <c r="B115" s="6">
        <v>0.52986111111111101</v>
      </c>
      <c r="C115" s="7">
        <v>3252</v>
      </c>
      <c r="D115" s="7" t="s">
        <v>13</v>
      </c>
      <c r="E115" s="7">
        <v>19140</v>
      </c>
      <c r="F115" s="7">
        <v>16000</v>
      </c>
      <c r="G115" s="8">
        <v>3140</v>
      </c>
      <c r="H115" s="7" t="s">
        <v>10</v>
      </c>
      <c r="I115" s="7" t="s">
        <v>21</v>
      </c>
      <c r="J115" s="9"/>
    </row>
    <row r="116" spans="1:10" ht="13.8">
      <c r="A116" s="5">
        <v>44782</v>
      </c>
      <c r="B116" s="6">
        <v>0.202083333333333</v>
      </c>
      <c r="C116" s="7">
        <v>9771</v>
      </c>
      <c r="D116" s="7" t="s">
        <v>12</v>
      </c>
      <c r="E116" s="7">
        <v>3520</v>
      </c>
      <c r="F116" s="7">
        <v>2900</v>
      </c>
      <c r="G116" s="8">
        <v>620</v>
      </c>
      <c r="H116" s="7" t="s">
        <v>10</v>
      </c>
      <c r="I116" s="7" t="s">
        <v>11</v>
      </c>
      <c r="J116" s="9"/>
    </row>
    <row r="117" spans="1:10" ht="13.8">
      <c r="A117" s="5">
        <v>44782</v>
      </c>
      <c r="B117" s="6">
        <v>1.2500000000000001E-2</v>
      </c>
      <c r="C117" s="7">
        <v>9760</v>
      </c>
      <c r="D117" s="7" t="s">
        <v>22</v>
      </c>
      <c r="E117" s="7">
        <v>14200</v>
      </c>
      <c r="F117" s="7">
        <v>12460</v>
      </c>
      <c r="G117" s="8">
        <v>1740</v>
      </c>
      <c r="H117" s="7" t="s">
        <v>10</v>
      </c>
      <c r="I117" s="7" t="s">
        <v>11</v>
      </c>
      <c r="J117" s="9"/>
    </row>
    <row r="118" spans="1:10" ht="13.8">
      <c r="A118" s="5">
        <v>44782</v>
      </c>
      <c r="B118" s="6">
        <v>0.13750000000000001</v>
      </c>
      <c r="C118" s="7">
        <v>9768</v>
      </c>
      <c r="D118" s="7" t="s">
        <v>14</v>
      </c>
      <c r="E118" s="7">
        <v>3460</v>
      </c>
      <c r="F118" s="7">
        <v>2860</v>
      </c>
      <c r="G118" s="8">
        <v>600</v>
      </c>
      <c r="H118" s="7" t="s">
        <v>10</v>
      </c>
      <c r="I118" s="7" t="s">
        <v>11</v>
      </c>
      <c r="J118" s="9"/>
    </row>
    <row r="119" spans="1:10" ht="13.8">
      <c r="A119" s="5">
        <v>44782</v>
      </c>
      <c r="B119" s="6">
        <v>0.11527777777777801</v>
      </c>
      <c r="C119" s="7">
        <v>9765</v>
      </c>
      <c r="D119" s="7" t="s">
        <v>9</v>
      </c>
      <c r="E119" s="7">
        <v>21240</v>
      </c>
      <c r="F119" s="7">
        <v>12760</v>
      </c>
      <c r="G119" s="8">
        <v>8480</v>
      </c>
      <c r="H119" s="7" t="s">
        <v>10</v>
      </c>
      <c r="I119" s="7" t="s">
        <v>11</v>
      </c>
      <c r="J119" s="9"/>
    </row>
    <row r="120" spans="1:10" ht="13.8">
      <c r="A120" s="5">
        <v>44782</v>
      </c>
      <c r="B120" s="6">
        <v>2.5694444444444402E-2</v>
      </c>
      <c r="C120" s="7">
        <v>9761</v>
      </c>
      <c r="D120" s="7" t="s">
        <v>9</v>
      </c>
      <c r="E120" s="7">
        <v>21240</v>
      </c>
      <c r="F120" s="7">
        <v>12960</v>
      </c>
      <c r="G120" s="8">
        <v>8280</v>
      </c>
      <c r="H120" s="7" t="s">
        <v>10</v>
      </c>
      <c r="I120" s="7" t="s">
        <v>11</v>
      </c>
      <c r="J120" s="9"/>
    </row>
    <row r="121" spans="1:10" ht="13.8">
      <c r="A121" s="5">
        <v>44782</v>
      </c>
      <c r="B121" s="6">
        <v>0.242361111111111</v>
      </c>
      <c r="C121" s="7">
        <v>9778</v>
      </c>
      <c r="D121" s="7" t="s">
        <v>9</v>
      </c>
      <c r="E121" s="7">
        <v>17100</v>
      </c>
      <c r="F121" s="7">
        <v>12740</v>
      </c>
      <c r="G121" s="8">
        <v>4360</v>
      </c>
      <c r="H121" s="7" t="s">
        <v>10</v>
      </c>
      <c r="I121" s="7" t="s">
        <v>11</v>
      </c>
      <c r="J121" s="9"/>
    </row>
    <row r="122" spans="1:10" ht="13.8">
      <c r="A122" s="5">
        <v>44782</v>
      </c>
      <c r="B122" s="6">
        <v>0.241666666666667</v>
      </c>
      <c r="C122" s="7">
        <v>9777</v>
      </c>
      <c r="D122" s="7" t="s">
        <v>18</v>
      </c>
      <c r="E122" s="7">
        <v>24600</v>
      </c>
      <c r="F122" s="7">
        <v>15940</v>
      </c>
      <c r="G122" s="8">
        <v>8660</v>
      </c>
      <c r="H122" s="7" t="s">
        <v>10</v>
      </c>
      <c r="I122" s="7" t="s">
        <v>11</v>
      </c>
      <c r="J122" s="9"/>
    </row>
    <row r="123" spans="1:10" ht="13.8">
      <c r="A123" s="5">
        <v>44782</v>
      </c>
      <c r="B123" s="6">
        <v>0.24374999999999999</v>
      </c>
      <c r="C123" s="7">
        <v>9779</v>
      </c>
      <c r="D123" s="7" t="s">
        <v>13</v>
      </c>
      <c r="E123" s="7">
        <v>27520</v>
      </c>
      <c r="F123" s="7">
        <v>16080</v>
      </c>
      <c r="G123" s="8">
        <v>11440</v>
      </c>
      <c r="H123" s="7" t="s">
        <v>10</v>
      </c>
      <c r="I123" s="7" t="s">
        <v>11</v>
      </c>
      <c r="J123" s="9"/>
    </row>
    <row r="124" spans="1:10" ht="13.8">
      <c r="A124" s="5">
        <v>44782</v>
      </c>
      <c r="B124" s="6">
        <v>0.45763888888888898</v>
      </c>
      <c r="C124" s="7">
        <v>9804</v>
      </c>
      <c r="D124" s="7" t="s">
        <v>14</v>
      </c>
      <c r="E124" s="7">
        <v>3380</v>
      </c>
      <c r="F124" s="7">
        <v>2820</v>
      </c>
      <c r="G124" s="8">
        <v>560</v>
      </c>
      <c r="H124" s="7" t="s">
        <v>10</v>
      </c>
      <c r="I124" s="7" t="s">
        <v>11</v>
      </c>
      <c r="J124" s="9"/>
    </row>
    <row r="125" spans="1:10" ht="13.8">
      <c r="A125" s="5">
        <v>44782</v>
      </c>
      <c r="B125" s="6">
        <v>0.43125000000000002</v>
      </c>
      <c r="C125" s="7">
        <v>9798</v>
      </c>
      <c r="D125" s="7" t="s">
        <v>17</v>
      </c>
      <c r="E125" s="7">
        <v>2680</v>
      </c>
      <c r="F125" s="7">
        <v>2400</v>
      </c>
      <c r="G125" s="8">
        <v>280</v>
      </c>
      <c r="H125" s="7" t="s">
        <v>10</v>
      </c>
      <c r="I125" s="7" t="s">
        <v>11</v>
      </c>
      <c r="J125" s="9"/>
    </row>
    <row r="126" spans="1:10" ht="13.8">
      <c r="A126" s="5">
        <v>44782</v>
      </c>
      <c r="B126" s="6">
        <v>0.41944444444444401</v>
      </c>
      <c r="C126" s="7">
        <v>9797</v>
      </c>
      <c r="D126" s="7" t="s">
        <v>15</v>
      </c>
      <c r="E126" s="7">
        <v>6360</v>
      </c>
      <c r="F126" s="7">
        <v>5600</v>
      </c>
      <c r="G126" s="8">
        <v>760</v>
      </c>
      <c r="H126" s="7" t="s">
        <v>10</v>
      </c>
      <c r="I126" s="7" t="s">
        <v>16</v>
      </c>
      <c r="J126" s="9"/>
    </row>
    <row r="127" spans="1:10" ht="13.8">
      <c r="A127" s="5">
        <v>44782</v>
      </c>
      <c r="B127" s="6">
        <v>0.235416666666667</v>
      </c>
      <c r="C127" s="7">
        <v>9775</v>
      </c>
      <c r="D127" s="7" t="s">
        <v>14</v>
      </c>
      <c r="E127" s="7">
        <v>3400</v>
      </c>
      <c r="F127" s="7">
        <v>2840</v>
      </c>
      <c r="G127" s="8">
        <v>560</v>
      </c>
      <c r="H127" s="7" t="s">
        <v>10</v>
      </c>
      <c r="I127" s="7" t="s">
        <v>11</v>
      </c>
      <c r="J127" s="9"/>
    </row>
    <row r="128" spans="1:10" ht="13.8">
      <c r="A128" s="5">
        <v>44782</v>
      </c>
      <c r="B128" s="6">
        <v>0.88402777777777797</v>
      </c>
      <c r="C128" s="7">
        <v>9830</v>
      </c>
      <c r="D128" s="7" t="s">
        <v>13</v>
      </c>
      <c r="E128" s="7">
        <v>24800</v>
      </c>
      <c r="F128" s="7">
        <v>16080</v>
      </c>
      <c r="G128" s="8">
        <v>8720</v>
      </c>
      <c r="H128" s="7" t="s">
        <v>10</v>
      </c>
      <c r="I128" s="7" t="s">
        <v>11</v>
      </c>
      <c r="J128" s="9"/>
    </row>
    <row r="129" spans="1:10" ht="13.8">
      <c r="A129" s="5">
        <v>44782</v>
      </c>
      <c r="B129" s="6">
        <v>0.70347222222222205</v>
      </c>
      <c r="C129" s="7">
        <v>9820</v>
      </c>
      <c r="D129" s="7" t="s">
        <v>9</v>
      </c>
      <c r="E129" s="7">
        <v>15740</v>
      </c>
      <c r="F129" s="7">
        <v>12720</v>
      </c>
      <c r="G129" s="8">
        <v>3020</v>
      </c>
      <c r="H129" s="7" t="s">
        <v>10</v>
      </c>
      <c r="I129" s="7" t="s">
        <v>11</v>
      </c>
      <c r="J129" s="9"/>
    </row>
    <row r="130" spans="1:10" ht="13.8">
      <c r="A130" s="5">
        <v>44782</v>
      </c>
      <c r="B130" s="6">
        <v>0.86805555555555503</v>
      </c>
      <c r="C130" s="7">
        <v>9828</v>
      </c>
      <c r="D130" s="7" t="s">
        <v>12</v>
      </c>
      <c r="E130" s="7">
        <v>3220</v>
      </c>
      <c r="F130" s="7">
        <v>2680</v>
      </c>
      <c r="G130" s="8">
        <v>540</v>
      </c>
      <c r="H130" s="7" t="s">
        <v>10</v>
      </c>
      <c r="I130" s="7" t="s">
        <v>11</v>
      </c>
      <c r="J130" s="9"/>
    </row>
    <row r="131" spans="1:10" ht="13.8">
      <c r="A131" s="5">
        <v>44782</v>
      </c>
      <c r="B131" s="6">
        <v>0.51111111111111096</v>
      </c>
      <c r="C131" s="7">
        <v>143292</v>
      </c>
      <c r="D131" s="7" t="s">
        <v>13</v>
      </c>
      <c r="E131" s="7">
        <v>18120</v>
      </c>
      <c r="F131" s="7">
        <v>15760</v>
      </c>
      <c r="G131" s="8">
        <v>2360</v>
      </c>
      <c r="H131" s="7" t="s">
        <v>10</v>
      </c>
      <c r="I131" s="7" t="s">
        <v>20</v>
      </c>
      <c r="J131" s="9"/>
    </row>
    <row r="132" spans="1:10" ht="13.8">
      <c r="A132" s="5">
        <v>44783</v>
      </c>
      <c r="B132" s="6">
        <v>0.243055555555556</v>
      </c>
      <c r="C132" s="7">
        <v>9849</v>
      </c>
      <c r="D132" s="7" t="s">
        <v>9</v>
      </c>
      <c r="E132" s="7">
        <v>17640</v>
      </c>
      <c r="F132" s="7">
        <v>12700</v>
      </c>
      <c r="G132" s="8">
        <v>4940</v>
      </c>
      <c r="H132" s="7" t="s">
        <v>10</v>
      </c>
      <c r="I132" s="7" t="s">
        <v>11</v>
      </c>
      <c r="J132" s="9"/>
    </row>
    <row r="133" spans="1:10" ht="13.8">
      <c r="A133" s="5">
        <v>44783</v>
      </c>
      <c r="B133" s="6">
        <v>0.1125</v>
      </c>
      <c r="C133" s="7">
        <v>9836</v>
      </c>
      <c r="D133" s="7" t="s">
        <v>9</v>
      </c>
      <c r="E133" s="7">
        <v>21020</v>
      </c>
      <c r="F133" s="7">
        <v>12700</v>
      </c>
      <c r="G133" s="8">
        <v>8320</v>
      </c>
      <c r="H133" s="7" t="s">
        <v>10</v>
      </c>
      <c r="I133" s="7" t="s">
        <v>11</v>
      </c>
      <c r="J133" s="9"/>
    </row>
    <row r="134" spans="1:10" ht="13.8">
      <c r="A134" s="5">
        <v>44783</v>
      </c>
      <c r="B134" s="6">
        <v>2.4305555555555601E-2</v>
      </c>
      <c r="C134" s="7">
        <v>9832</v>
      </c>
      <c r="D134" s="7" t="s">
        <v>9</v>
      </c>
      <c r="E134" s="7">
        <v>21180</v>
      </c>
      <c r="F134" s="7">
        <v>12920</v>
      </c>
      <c r="G134" s="8">
        <v>8260</v>
      </c>
      <c r="H134" s="7" t="s">
        <v>10</v>
      </c>
      <c r="I134" s="7" t="s">
        <v>11</v>
      </c>
      <c r="J134" s="9"/>
    </row>
    <row r="135" spans="1:10" ht="13.8">
      <c r="A135" s="5">
        <v>44783</v>
      </c>
      <c r="B135" s="6">
        <v>0.21666666666666701</v>
      </c>
      <c r="C135" s="7">
        <v>9845</v>
      </c>
      <c r="D135" s="7" t="s">
        <v>12</v>
      </c>
      <c r="E135" s="7">
        <v>3040</v>
      </c>
      <c r="F135" s="7">
        <v>2800</v>
      </c>
      <c r="G135" s="8">
        <v>240</v>
      </c>
      <c r="H135" s="7" t="s">
        <v>10</v>
      </c>
      <c r="I135" s="7" t="s">
        <v>11</v>
      </c>
      <c r="J135" s="9"/>
    </row>
    <row r="136" spans="1:10" ht="13.8">
      <c r="A136" s="5">
        <v>44783</v>
      </c>
      <c r="B136" s="6">
        <v>0.25277777777777799</v>
      </c>
      <c r="C136" s="7">
        <v>9851</v>
      </c>
      <c r="D136" s="7" t="s">
        <v>13</v>
      </c>
      <c r="E136" s="7">
        <v>24700</v>
      </c>
      <c r="F136" s="7">
        <v>15960</v>
      </c>
      <c r="G136" s="8">
        <v>8740</v>
      </c>
      <c r="H136" s="7" t="s">
        <v>10</v>
      </c>
      <c r="I136" s="7" t="s">
        <v>11</v>
      </c>
      <c r="J136" s="9"/>
    </row>
    <row r="137" spans="1:10" ht="13.8">
      <c r="A137" s="5">
        <v>44783</v>
      </c>
      <c r="B137" s="6">
        <v>0.14374999999999999</v>
      </c>
      <c r="C137" s="7">
        <v>9840</v>
      </c>
      <c r="D137" s="7" t="s">
        <v>23</v>
      </c>
      <c r="E137" s="7">
        <v>4900</v>
      </c>
      <c r="F137" s="7">
        <v>3600</v>
      </c>
      <c r="G137" s="8">
        <v>1300</v>
      </c>
      <c r="H137" s="7" t="s">
        <v>10</v>
      </c>
      <c r="I137" s="7" t="s">
        <v>11</v>
      </c>
      <c r="J137" s="9"/>
    </row>
    <row r="138" spans="1:10" ht="13.8">
      <c r="A138" s="5">
        <v>44783</v>
      </c>
      <c r="B138" s="6">
        <v>0.12777777777777799</v>
      </c>
      <c r="C138" s="7">
        <v>9838</v>
      </c>
      <c r="D138" s="7" t="s">
        <v>13</v>
      </c>
      <c r="E138" s="7">
        <v>27160</v>
      </c>
      <c r="F138" s="7">
        <v>15980</v>
      </c>
      <c r="G138" s="8">
        <v>11180</v>
      </c>
      <c r="H138" s="7" t="s">
        <v>10</v>
      </c>
      <c r="I138" s="7" t="s">
        <v>11</v>
      </c>
      <c r="J138" s="9"/>
    </row>
    <row r="139" spans="1:10" ht="13.8">
      <c r="A139" s="5">
        <v>44783</v>
      </c>
      <c r="B139" s="6">
        <v>0.21736111111111101</v>
      </c>
      <c r="C139" s="7">
        <v>9844</v>
      </c>
      <c r="D139" s="7" t="s">
        <v>23</v>
      </c>
      <c r="E139" s="7">
        <v>4480</v>
      </c>
      <c r="F139" s="7">
        <v>3700</v>
      </c>
      <c r="G139" s="8">
        <v>780</v>
      </c>
      <c r="H139" s="7" t="s">
        <v>10</v>
      </c>
      <c r="I139" s="7" t="s">
        <v>11</v>
      </c>
      <c r="J139" s="9"/>
    </row>
    <row r="140" spans="1:10" ht="13.8">
      <c r="A140" s="5">
        <v>44783</v>
      </c>
      <c r="B140" s="6">
        <v>0.87291666666666701</v>
      </c>
      <c r="C140" s="7">
        <v>9906</v>
      </c>
      <c r="D140" s="7" t="s">
        <v>12</v>
      </c>
      <c r="E140" s="7">
        <v>3200</v>
      </c>
      <c r="F140" s="7">
        <v>2700</v>
      </c>
      <c r="G140" s="8">
        <v>500</v>
      </c>
      <c r="H140" s="7" t="s">
        <v>10</v>
      </c>
      <c r="I140" s="7" t="s">
        <v>11</v>
      </c>
      <c r="J140" s="9"/>
    </row>
    <row r="141" spans="1:10" ht="13.8">
      <c r="A141" s="5">
        <v>44783</v>
      </c>
      <c r="B141" s="6">
        <v>0.71180555555555503</v>
      </c>
      <c r="C141" s="7">
        <v>9897</v>
      </c>
      <c r="D141" s="7" t="s">
        <v>22</v>
      </c>
      <c r="E141" s="7">
        <v>17540</v>
      </c>
      <c r="F141" s="7">
        <v>12480</v>
      </c>
      <c r="G141" s="8">
        <v>5060</v>
      </c>
      <c r="H141" s="7" t="s">
        <v>10</v>
      </c>
      <c r="I141" s="7" t="s">
        <v>11</v>
      </c>
      <c r="J141" s="9"/>
    </row>
    <row r="142" spans="1:10" ht="13.8">
      <c r="A142" s="5">
        <v>44783</v>
      </c>
      <c r="B142" s="6">
        <v>0.88124999999999998</v>
      </c>
      <c r="C142" s="7">
        <v>9908</v>
      </c>
      <c r="D142" s="7" t="s">
        <v>18</v>
      </c>
      <c r="E142" s="7">
        <v>20240</v>
      </c>
      <c r="F142" s="7">
        <v>15880</v>
      </c>
      <c r="G142" s="8">
        <v>4360</v>
      </c>
      <c r="H142" s="7" t="s">
        <v>10</v>
      </c>
      <c r="I142" s="7" t="s">
        <v>11</v>
      </c>
      <c r="J142" s="9"/>
    </row>
    <row r="143" spans="1:10" ht="13.8">
      <c r="A143" s="5">
        <v>44784</v>
      </c>
      <c r="B143" s="6">
        <v>0.102083333333333</v>
      </c>
      <c r="C143" s="7">
        <v>9914</v>
      </c>
      <c r="D143" s="7" t="s">
        <v>13</v>
      </c>
      <c r="E143" s="7">
        <v>26320</v>
      </c>
      <c r="F143" s="7">
        <v>15960</v>
      </c>
      <c r="G143" s="8">
        <v>10360</v>
      </c>
      <c r="H143" s="7" t="s">
        <v>10</v>
      </c>
      <c r="I143" s="7" t="s">
        <v>11</v>
      </c>
      <c r="J143" s="9"/>
    </row>
    <row r="144" spans="1:10" ht="13.8">
      <c r="A144" s="5">
        <v>44784</v>
      </c>
      <c r="B144" s="6">
        <v>0.243055555555556</v>
      </c>
      <c r="C144" s="7">
        <v>9928</v>
      </c>
      <c r="D144" s="7" t="s">
        <v>13</v>
      </c>
      <c r="E144" s="7">
        <v>27160</v>
      </c>
      <c r="F144" s="7">
        <v>15960</v>
      </c>
      <c r="G144" s="8">
        <v>11200</v>
      </c>
      <c r="H144" s="7" t="s">
        <v>10</v>
      </c>
      <c r="I144" s="7" t="s">
        <v>11</v>
      </c>
      <c r="J144" s="9"/>
    </row>
    <row r="145" spans="1:10" ht="13.8">
      <c r="A145" s="5">
        <v>44784</v>
      </c>
      <c r="B145" s="6">
        <v>0.227777777777778</v>
      </c>
      <c r="C145" s="7">
        <v>9923</v>
      </c>
      <c r="D145" s="7" t="s">
        <v>23</v>
      </c>
      <c r="E145" s="7">
        <v>4500</v>
      </c>
      <c r="F145" s="7">
        <v>3780</v>
      </c>
      <c r="G145" s="8">
        <v>720</v>
      </c>
      <c r="H145" s="7" t="s">
        <v>10</v>
      </c>
      <c r="I145" s="7" t="s">
        <v>11</v>
      </c>
      <c r="J145" s="9"/>
    </row>
    <row r="146" spans="1:10" ht="13.8">
      <c r="A146" s="5">
        <v>44784</v>
      </c>
      <c r="B146" s="6">
        <v>0.163194444444444</v>
      </c>
      <c r="C146" s="7">
        <v>9919</v>
      </c>
      <c r="D146" s="7" t="s">
        <v>23</v>
      </c>
      <c r="E146" s="7">
        <v>4900</v>
      </c>
      <c r="F146" s="7">
        <v>3600</v>
      </c>
      <c r="G146" s="8">
        <v>1300</v>
      </c>
      <c r="H146" s="7" t="s">
        <v>10</v>
      </c>
      <c r="I146" s="7" t="s">
        <v>11</v>
      </c>
      <c r="J146" s="9"/>
    </row>
    <row r="147" spans="1:10" ht="13.8">
      <c r="A147" s="5">
        <v>44784</v>
      </c>
      <c r="B147" s="6">
        <v>0.242361111111111</v>
      </c>
      <c r="C147" s="7">
        <v>9927</v>
      </c>
      <c r="D147" s="7" t="s">
        <v>9</v>
      </c>
      <c r="E147" s="7">
        <v>17080</v>
      </c>
      <c r="F147" s="7">
        <v>12760</v>
      </c>
      <c r="G147" s="8">
        <v>4320</v>
      </c>
      <c r="H147" s="7" t="s">
        <v>10</v>
      </c>
      <c r="I147" s="7" t="s">
        <v>11</v>
      </c>
      <c r="J147" s="9"/>
    </row>
    <row r="148" spans="1:10" ht="13.8">
      <c r="A148" s="5">
        <v>44784</v>
      </c>
      <c r="B148" s="6">
        <v>4.0972222222222202E-2</v>
      </c>
      <c r="C148" s="7">
        <v>9911</v>
      </c>
      <c r="D148" s="7" t="s">
        <v>9</v>
      </c>
      <c r="E148" s="7">
        <v>22100</v>
      </c>
      <c r="F148" s="7">
        <v>12980</v>
      </c>
      <c r="G148" s="8">
        <v>9120</v>
      </c>
      <c r="H148" s="7" t="s">
        <v>10</v>
      </c>
      <c r="I148" s="7" t="s">
        <v>11</v>
      </c>
      <c r="J148" s="9"/>
    </row>
    <row r="149" spans="1:10" ht="13.8">
      <c r="A149" s="5">
        <v>44784</v>
      </c>
      <c r="B149" s="6">
        <v>0.133333333333333</v>
      </c>
      <c r="C149" s="7">
        <v>9917</v>
      </c>
      <c r="D149" s="7" t="s">
        <v>9</v>
      </c>
      <c r="E149" s="7">
        <v>20840</v>
      </c>
      <c r="F149" s="7">
        <v>12780</v>
      </c>
      <c r="G149" s="8">
        <v>8060</v>
      </c>
      <c r="H149" s="7" t="s">
        <v>10</v>
      </c>
      <c r="I149" s="7" t="s">
        <v>11</v>
      </c>
      <c r="J149" s="9"/>
    </row>
    <row r="150" spans="1:10" ht="13.8">
      <c r="A150" s="5">
        <v>44783</v>
      </c>
      <c r="B150" s="6">
        <v>0.43333333333333302</v>
      </c>
      <c r="C150" s="7">
        <v>9879</v>
      </c>
      <c r="D150" s="7" t="s">
        <v>15</v>
      </c>
      <c r="E150" s="7">
        <v>6380</v>
      </c>
      <c r="F150" s="7">
        <v>5580</v>
      </c>
      <c r="G150" s="8">
        <v>800</v>
      </c>
      <c r="H150" s="7" t="s">
        <v>10</v>
      </c>
      <c r="I150" s="7" t="s">
        <v>16</v>
      </c>
      <c r="J150" s="9"/>
    </row>
    <row r="151" spans="1:10" ht="13.8">
      <c r="A151" s="5">
        <v>44783</v>
      </c>
      <c r="B151" s="6">
        <v>0.48958333333333298</v>
      </c>
      <c r="C151" s="7">
        <v>9887</v>
      </c>
      <c r="D151" s="7" t="s">
        <v>17</v>
      </c>
      <c r="E151" s="7">
        <v>2580</v>
      </c>
      <c r="F151" s="7">
        <v>2380</v>
      </c>
      <c r="G151" s="8">
        <v>200</v>
      </c>
      <c r="H151" s="7" t="s">
        <v>10</v>
      </c>
      <c r="I151" s="7" t="s">
        <v>11</v>
      </c>
      <c r="J151" s="9"/>
    </row>
    <row r="152" spans="1:10" ht="13.8">
      <c r="A152" s="5">
        <v>44783</v>
      </c>
      <c r="B152" s="6">
        <v>0.32500000000000001</v>
      </c>
      <c r="C152" s="7">
        <v>9866</v>
      </c>
      <c r="D152" s="7" t="s">
        <v>15</v>
      </c>
      <c r="E152" s="7">
        <v>6920</v>
      </c>
      <c r="F152" s="7">
        <v>5600</v>
      </c>
      <c r="G152" s="8">
        <v>1320</v>
      </c>
      <c r="H152" s="7" t="s">
        <v>10</v>
      </c>
      <c r="I152" s="7" t="s">
        <v>16</v>
      </c>
      <c r="J152" s="9"/>
    </row>
    <row r="153" spans="1:10" ht="13.8">
      <c r="A153" s="5">
        <v>44783</v>
      </c>
      <c r="B153" s="6">
        <v>0.46319444444444402</v>
      </c>
      <c r="C153" s="7">
        <v>9883</v>
      </c>
      <c r="D153" s="7" t="s">
        <v>14</v>
      </c>
      <c r="E153" s="7">
        <v>3040</v>
      </c>
      <c r="F153" s="7">
        <v>2780</v>
      </c>
      <c r="G153" s="8">
        <v>260</v>
      </c>
      <c r="H153" s="7" t="s">
        <v>10</v>
      </c>
      <c r="I153" s="7" t="s">
        <v>11</v>
      </c>
      <c r="J153" s="9"/>
    </row>
    <row r="154" spans="1:10" ht="13.8">
      <c r="A154" s="5">
        <v>44783</v>
      </c>
      <c r="B154" s="6">
        <v>0.36875000000000002</v>
      </c>
      <c r="C154" s="7">
        <v>9869</v>
      </c>
      <c r="D154" s="7" t="s">
        <v>14</v>
      </c>
      <c r="E154" s="7">
        <v>3360</v>
      </c>
      <c r="F154" s="7">
        <v>2840</v>
      </c>
      <c r="G154" s="8">
        <v>520</v>
      </c>
      <c r="H154" s="7" t="s">
        <v>10</v>
      </c>
      <c r="I154" s="7" t="s">
        <v>11</v>
      </c>
      <c r="J154" s="9"/>
    </row>
    <row r="155" spans="1:10" ht="13.8">
      <c r="A155" s="5">
        <v>44783</v>
      </c>
      <c r="B155" s="6">
        <v>0.485416666666667</v>
      </c>
      <c r="C155" s="7">
        <v>3255</v>
      </c>
      <c r="D155" s="7" t="s">
        <v>18</v>
      </c>
      <c r="E155" s="7">
        <v>18040</v>
      </c>
      <c r="F155" s="7">
        <v>15760</v>
      </c>
      <c r="G155" s="8">
        <v>2280</v>
      </c>
      <c r="H155" s="7" t="s">
        <v>10</v>
      </c>
      <c r="I155" s="7" t="s">
        <v>21</v>
      </c>
      <c r="J155" s="9"/>
    </row>
    <row r="156" spans="1:10" ht="13.8">
      <c r="A156" s="5">
        <v>44784</v>
      </c>
      <c r="B156" s="6">
        <v>0.86666666666666703</v>
      </c>
      <c r="C156" s="7">
        <v>9970</v>
      </c>
      <c r="D156" s="7" t="s">
        <v>12</v>
      </c>
      <c r="E156" s="7">
        <v>3160</v>
      </c>
      <c r="F156" s="7">
        <v>2700</v>
      </c>
      <c r="G156" s="8">
        <v>460</v>
      </c>
      <c r="H156" s="7" t="s">
        <v>10</v>
      </c>
      <c r="I156" s="7" t="s">
        <v>11</v>
      </c>
      <c r="J156" s="9"/>
    </row>
    <row r="157" spans="1:10" ht="13.8">
      <c r="A157" s="5">
        <v>44784</v>
      </c>
      <c r="B157" s="6">
        <v>0.69861111111111096</v>
      </c>
      <c r="C157" s="7">
        <v>9964</v>
      </c>
      <c r="D157" s="7" t="s">
        <v>9</v>
      </c>
      <c r="E157" s="7">
        <v>16040</v>
      </c>
      <c r="F157" s="7">
        <v>12740</v>
      </c>
      <c r="G157" s="8">
        <v>3300</v>
      </c>
      <c r="H157" s="7" t="s">
        <v>10</v>
      </c>
      <c r="I157" s="7" t="s">
        <v>11</v>
      </c>
      <c r="J157" s="9"/>
    </row>
    <row r="158" spans="1:10" ht="13.8">
      <c r="A158" s="5">
        <v>44784</v>
      </c>
      <c r="B158" s="6">
        <v>0.88124999999999998</v>
      </c>
      <c r="C158" s="7">
        <v>9972</v>
      </c>
      <c r="D158" s="7" t="s">
        <v>18</v>
      </c>
      <c r="E158" s="7">
        <v>26900</v>
      </c>
      <c r="F158" s="7">
        <v>16020</v>
      </c>
      <c r="G158" s="8">
        <v>10880</v>
      </c>
      <c r="H158" s="7" t="s">
        <v>10</v>
      </c>
      <c r="I158" s="7" t="s">
        <v>11</v>
      </c>
      <c r="J158" s="9"/>
    </row>
    <row r="159" spans="1:10" ht="13.8">
      <c r="A159" s="5">
        <v>44784</v>
      </c>
      <c r="B159" s="6">
        <v>0.48819444444444399</v>
      </c>
      <c r="C159" s="7">
        <v>9952</v>
      </c>
      <c r="D159" s="7" t="s">
        <v>14</v>
      </c>
      <c r="E159" s="7">
        <v>3280</v>
      </c>
      <c r="F159" s="7">
        <v>2920</v>
      </c>
      <c r="G159" s="8">
        <v>360</v>
      </c>
      <c r="H159" s="7" t="s">
        <v>10</v>
      </c>
      <c r="I159" s="7" t="s">
        <v>11</v>
      </c>
      <c r="J159" s="9"/>
    </row>
    <row r="160" spans="1:10" ht="13.8">
      <c r="A160" s="5">
        <v>44784</v>
      </c>
      <c r="B160" s="6">
        <v>0.36736111111111103</v>
      </c>
      <c r="C160" s="7">
        <v>9941</v>
      </c>
      <c r="D160" s="7" t="s">
        <v>14</v>
      </c>
      <c r="E160" s="7">
        <v>3560</v>
      </c>
      <c r="F160" s="7">
        <v>2840</v>
      </c>
      <c r="G160" s="8">
        <v>720</v>
      </c>
      <c r="H160" s="7" t="s">
        <v>10</v>
      </c>
      <c r="I160" s="7" t="s">
        <v>11</v>
      </c>
      <c r="J160" s="9"/>
    </row>
    <row r="161" spans="1:10" ht="13.8">
      <c r="A161" s="5">
        <v>44784</v>
      </c>
      <c r="B161" s="6">
        <v>0.44791666666666702</v>
      </c>
      <c r="C161" s="7">
        <v>143357</v>
      </c>
      <c r="D161" s="7" t="s">
        <v>19</v>
      </c>
      <c r="E161" s="7">
        <v>17800</v>
      </c>
      <c r="F161" s="7">
        <v>15880</v>
      </c>
      <c r="G161" s="8">
        <v>1920</v>
      </c>
      <c r="H161" s="7" t="s">
        <v>10</v>
      </c>
      <c r="I161" s="7" t="s">
        <v>20</v>
      </c>
      <c r="J161" s="9"/>
    </row>
    <row r="162" spans="1:10" ht="13.8">
      <c r="A162" s="5">
        <v>44784</v>
      </c>
      <c r="B162" s="6">
        <v>0.58055555555555605</v>
      </c>
      <c r="C162" s="7">
        <v>143382</v>
      </c>
      <c r="D162" s="7" t="s">
        <v>13</v>
      </c>
      <c r="E162" s="7">
        <v>17660</v>
      </c>
      <c r="F162" s="7">
        <v>15940</v>
      </c>
      <c r="G162" s="8">
        <v>1720</v>
      </c>
      <c r="H162" s="7" t="s">
        <v>10</v>
      </c>
      <c r="I162" s="7" t="s">
        <v>20</v>
      </c>
      <c r="J162" s="9"/>
    </row>
    <row r="163" spans="1:10" ht="13.8">
      <c r="A163" s="5">
        <v>44785</v>
      </c>
      <c r="B163" s="6">
        <v>0.24444444444444399</v>
      </c>
      <c r="C163" s="7">
        <v>9995</v>
      </c>
      <c r="D163" s="7" t="s">
        <v>18</v>
      </c>
      <c r="E163" s="7">
        <v>25600</v>
      </c>
      <c r="F163" s="7">
        <v>16040</v>
      </c>
      <c r="G163" s="8">
        <v>9560</v>
      </c>
      <c r="H163" s="7" t="s">
        <v>10</v>
      </c>
      <c r="I163" s="7" t="s">
        <v>11</v>
      </c>
      <c r="J163" s="9"/>
    </row>
    <row r="164" spans="1:10" ht="13.8">
      <c r="A164" s="5">
        <v>44785</v>
      </c>
      <c r="B164" s="6">
        <v>0.12638888888888899</v>
      </c>
      <c r="C164" s="7">
        <v>9980</v>
      </c>
      <c r="D164" s="7" t="s">
        <v>13</v>
      </c>
      <c r="E164" s="7">
        <v>27200</v>
      </c>
      <c r="F164" s="7">
        <v>15940</v>
      </c>
      <c r="G164" s="8">
        <v>11260</v>
      </c>
      <c r="H164" s="7" t="s">
        <v>10</v>
      </c>
      <c r="I164" s="7" t="s">
        <v>11</v>
      </c>
      <c r="J164" s="9"/>
    </row>
    <row r="165" spans="1:10" ht="13.8">
      <c r="A165" s="5">
        <v>44785</v>
      </c>
      <c r="B165" s="6">
        <v>1.4583333333333301E-2</v>
      </c>
      <c r="C165" s="7">
        <v>9974</v>
      </c>
      <c r="D165" s="7" t="s">
        <v>22</v>
      </c>
      <c r="E165" s="7">
        <v>15560</v>
      </c>
      <c r="F165" s="7">
        <v>12520</v>
      </c>
      <c r="G165" s="8">
        <v>3040</v>
      </c>
      <c r="H165" s="7" t="s">
        <v>10</v>
      </c>
      <c r="I165" s="7" t="s">
        <v>11</v>
      </c>
      <c r="J165" s="9"/>
    </row>
    <row r="166" spans="1:10" ht="13.8">
      <c r="A166" s="5">
        <v>44785</v>
      </c>
      <c r="B166" s="6">
        <v>0.242361111111111</v>
      </c>
      <c r="C166" s="7">
        <v>9994</v>
      </c>
      <c r="D166" s="7" t="s">
        <v>9</v>
      </c>
      <c r="E166" s="7">
        <v>16660</v>
      </c>
      <c r="F166" s="7">
        <v>12720</v>
      </c>
      <c r="G166" s="8">
        <v>3940</v>
      </c>
      <c r="H166" s="7" t="s">
        <v>10</v>
      </c>
      <c r="I166" s="7" t="s">
        <v>11</v>
      </c>
      <c r="J166" s="9"/>
    </row>
    <row r="167" spans="1:10" ht="13.8">
      <c r="A167" s="5">
        <v>44785</v>
      </c>
      <c r="B167" s="6">
        <v>0.14374999999999999</v>
      </c>
      <c r="C167" s="7">
        <v>9983</v>
      </c>
      <c r="D167" s="7" t="s">
        <v>9</v>
      </c>
      <c r="E167" s="7">
        <v>21460</v>
      </c>
      <c r="F167" s="7">
        <v>12640</v>
      </c>
      <c r="G167" s="8">
        <v>8820</v>
      </c>
      <c r="H167" s="7" t="s">
        <v>10</v>
      </c>
      <c r="I167" s="7" t="s">
        <v>11</v>
      </c>
      <c r="J167" s="9"/>
    </row>
    <row r="168" spans="1:10" ht="13.8">
      <c r="A168" s="5">
        <v>44785</v>
      </c>
      <c r="B168" s="6">
        <v>4.5138888888888902E-2</v>
      </c>
      <c r="C168" s="7">
        <v>9975</v>
      </c>
      <c r="D168" s="7" t="s">
        <v>9</v>
      </c>
      <c r="E168" s="7">
        <v>21360</v>
      </c>
      <c r="F168" s="7">
        <v>12940</v>
      </c>
      <c r="G168" s="8">
        <v>8420</v>
      </c>
      <c r="H168" s="7" t="s">
        <v>10</v>
      </c>
      <c r="I168" s="7" t="s">
        <v>11</v>
      </c>
      <c r="J168" s="9"/>
    </row>
    <row r="169" spans="1:10" ht="13.8">
      <c r="A169" s="5">
        <v>44785</v>
      </c>
      <c r="B169" s="6">
        <v>0.21736111111111101</v>
      </c>
      <c r="C169" s="7">
        <v>9988</v>
      </c>
      <c r="D169" s="7" t="s">
        <v>12</v>
      </c>
      <c r="E169" s="7">
        <v>3020</v>
      </c>
      <c r="F169" s="7">
        <v>2800</v>
      </c>
      <c r="G169" s="8">
        <v>220</v>
      </c>
      <c r="H169" s="7" t="s">
        <v>10</v>
      </c>
      <c r="I169" s="7" t="s">
        <v>11</v>
      </c>
      <c r="J169" s="9"/>
    </row>
    <row r="170" spans="1:10" ht="13.8">
      <c r="A170" s="5">
        <v>44785</v>
      </c>
      <c r="B170" s="6">
        <v>0.25138888888888899</v>
      </c>
      <c r="C170" s="7">
        <v>9996</v>
      </c>
      <c r="D170" s="7" t="s">
        <v>13</v>
      </c>
      <c r="E170" s="7">
        <v>18820</v>
      </c>
      <c r="F170" s="7">
        <v>15920</v>
      </c>
      <c r="G170" s="8">
        <v>2900</v>
      </c>
      <c r="H170" s="7" t="s">
        <v>10</v>
      </c>
      <c r="I170" s="7" t="s">
        <v>11</v>
      </c>
      <c r="J170" s="9"/>
    </row>
    <row r="171" spans="1:10" ht="13.8">
      <c r="A171" s="5">
        <v>44785</v>
      </c>
      <c r="B171" s="6">
        <v>0.15138888888888899</v>
      </c>
      <c r="C171" s="7">
        <v>9984</v>
      </c>
      <c r="D171" s="7" t="s">
        <v>23</v>
      </c>
      <c r="E171" s="7">
        <v>4860</v>
      </c>
      <c r="F171" s="7">
        <v>3580</v>
      </c>
      <c r="G171" s="8">
        <v>1280</v>
      </c>
      <c r="H171" s="7" t="s">
        <v>10</v>
      </c>
      <c r="I171" s="7" t="s">
        <v>11</v>
      </c>
      <c r="J171" s="9"/>
    </row>
    <row r="172" spans="1:10" ht="13.8">
      <c r="A172" s="5">
        <v>44785</v>
      </c>
      <c r="B172" s="6">
        <v>0.21666666666666701</v>
      </c>
      <c r="C172" s="7">
        <v>9987</v>
      </c>
      <c r="D172" s="7" t="s">
        <v>23</v>
      </c>
      <c r="E172" s="7">
        <v>4420</v>
      </c>
      <c r="F172" s="7">
        <v>3660</v>
      </c>
      <c r="G172" s="8">
        <v>760</v>
      </c>
      <c r="H172" s="7" t="s">
        <v>10</v>
      </c>
      <c r="I172" s="7" t="s">
        <v>11</v>
      </c>
      <c r="J172" s="9"/>
    </row>
    <row r="173" spans="1:10" ht="13.8">
      <c r="A173" s="5">
        <v>44785</v>
      </c>
      <c r="B173" s="6">
        <v>0.88263888888888897</v>
      </c>
      <c r="C173" s="7">
        <v>10049</v>
      </c>
      <c r="D173" s="7" t="s">
        <v>13</v>
      </c>
      <c r="E173" s="7">
        <v>25440</v>
      </c>
      <c r="F173" s="7">
        <v>16040</v>
      </c>
      <c r="G173" s="8">
        <v>9400</v>
      </c>
      <c r="H173" s="7" t="s">
        <v>10</v>
      </c>
      <c r="I173" s="7" t="s">
        <v>11</v>
      </c>
      <c r="J173" s="9"/>
    </row>
    <row r="174" spans="1:10" ht="13.8">
      <c r="A174" s="5">
        <v>44785</v>
      </c>
      <c r="B174" s="6">
        <v>0.86805555555555503</v>
      </c>
      <c r="C174" s="7">
        <v>10048</v>
      </c>
      <c r="D174" s="7" t="s">
        <v>12</v>
      </c>
      <c r="E174" s="7">
        <v>3220</v>
      </c>
      <c r="F174" s="7">
        <v>2700</v>
      </c>
      <c r="G174" s="8">
        <v>520</v>
      </c>
      <c r="H174" s="7" t="s">
        <v>10</v>
      </c>
      <c r="I174" s="7" t="s">
        <v>11</v>
      </c>
      <c r="J174" s="9"/>
    </row>
    <row r="175" spans="1:10" ht="13.8">
      <c r="A175" s="5">
        <v>44785</v>
      </c>
      <c r="B175" s="6">
        <v>0.70625000000000004</v>
      </c>
      <c r="C175" s="7">
        <v>10039</v>
      </c>
      <c r="D175" s="7" t="s">
        <v>9</v>
      </c>
      <c r="E175" s="7">
        <v>16160</v>
      </c>
      <c r="F175" s="7">
        <v>12760</v>
      </c>
      <c r="G175" s="8">
        <v>3400</v>
      </c>
      <c r="H175" s="7" t="s">
        <v>10</v>
      </c>
      <c r="I175" s="7" t="s">
        <v>11</v>
      </c>
      <c r="J175" s="9"/>
    </row>
    <row r="176" spans="1:10" ht="13.8">
      <c r="A176" s="5">
        <v>44785</v>
      </c>
      <c r="B176" s="6">
        <v>0.50138888888888899</v>
      </c>
      <c r="C176" s="7">
        <v>3267</v>
      </c>
      <c r="D176" s="7" t="s">
        <v>13</v>
      </c>
      <c r="E176" s="7">
        <v>18120</v>
      </c>
      <c r="F176" s="7">
        <v>16000</v>
      </c>
      <c r="G176" s="8">
        <v>2120</v>
      </c>
      <c r="H176" s="7" t="s">
        <v>10</v>
      </c>
      <c r="I176" s="7" t="s">
        <v>21</v>
      </c>
      <c r="J176" s="9"/>
    </row>
    <row r="177" spans="1:10" ht="13.8">
      <c r="A177" s="5">
        <v>44785</v>
      </c>
      <c r="B177" s="6">
        <v>0.42638888888888898</v>
      </c>
      <c r="C177" s="7">
        <v>100017</v>
      </c>
      <c r="D177" s="7" t="s">
        <v>14</v>
      </c>
      <c r="E177" s="7">
        <v>3700</v>
      </c>
      <c r="F177" s="7">
        <v>2840</v>
      </c>
      <c r="G177" s="8">
        <v>860</v>
      </c>
      <c r="H177" s="7" t="s">
        <v>10</v>
      </c>
      <c r="I177" s="7" t="s">
        <v>11</v>
      </c>
      <c r="J177" s="9"/>
    </row>
    <row r="178" spans="1:10" ht="13.8">
      <c r="A178" s="5">
        <v>44785</v>
      </c>
      <c r="B178" s="6">
        <v>0.46458333333333302</v>
      </c>
      <c r="C178" s="7">
        <v>10023</v>
      </c>
      <c r="D178" s="7" t="s">
        <v>17</v>
      </c>
      <c r="E178" s="7">
        <v>2760</v>
      </c>
      <c r="F178" s="7">
        <v>2420</v>
      </c>
      <c r="G178" s="8">
        <v>340</v>
      </c>
      <c r="H178" s="7" t="s">
        <v>10</v>
      </c>
      <c r="I178" s="7" t="s">
        <v>11</v>
      </c>
      <c r="J178" s="9"/>
    </row>
    <row r="179" spans="1:10" ht="13.8">
      <c r="A179" s="5">
        <v>44786</v>
      </c>
      <c r="B179" s="6">
        <v>0.45694444444444399</v>
      </c>
      <c r="C179" s="7">
        <v>10094</v>
      </c>
      <c r="D179" s="7" t="s">
        <v>12</v>
      </c>
      <c r="E179" s="7">
        <v>3220</v>
      </c>
      <c r="F179" s="7">
        <v>2720</v>
      </c>
      <c r="G179" s="8">
        <v>500</v>
      </c>
      <c r="H179" s="7" t="s">
        <v>10</v>
      </c>
      <c r="I179" s="7" t="s">
        <v>11</v>
      </c>
      <c r="J179" s="9"/>
    </row>
    <row r="180" spans="1:10" ht="13.8">
      <c r="A180" s="5">
        <v>44786</v>
      </c>
      <c r="B180" s="6">
        <v>0.38541666666666702</v>
      </c>
      <c r="C180" s="7">
        <v>10087</v>
      </c>
      <c r="D180" s="7" t="s">
        <v>14</v>
      </c>
      <c r="E180" s="7">
        <v>3560</v>
      </c>
      <c r="F180" s="7">
        <v>2840</v>
      </c>
      <c r="G180" s="8">
        <v>720</v>
      </c>
      <c r="H180" s="7" t="s">
        <v>10</v>
      </c>
      <c r="I180" s="7" t="s">
        <v>11</v>
      </c>
      <c r="J180" s="9"/>
    </row>
    <row r="181" spans="1:10" ht="13.8">
      <c r="A181" s="5">
        <v>44786</v>
      </c>
      <c r="B181" s="6">
        <v>0.23888888888888901</v>
      </c>
      <c r="C181" s="7">
        <v>10065</v>
      </c>
      <c r="D181" s="7" t="s">
        <v>13</v>
      </c>
      <c r="E181" s="7">
        <v>27380</v>
      </c>
      <c r="F181" s="7">
        <v>16080</v>
      </c>
      <c r="G181" s="8">
        <v>11300</v>
      </c>
      <c r="H181" s="7" t="s">
        <v>10</v>
      </c>
      <c r="I181" s="7" t="s">
        <v>11</v>
      </c>
      <c r="J181" s="9"/>
    </row>
    <row r="182" spans="1:10" ht="13.8">
      <c r="A182" s="5">
        <v>44786</v>
      </c>
      <c r="B182" s="6">
        <v>0.139583333333333</v>
      </c>
      <c r="C182" s="7">
        <v>10057</v>
      </c>
      <c r="D182" s="7" t="s">
        <v>14</v>
      </c>
      <c r="E182" s="7">
        <v>3420</v>
      </c>
      <c r="F182" s="7">
        <v>2840</v>
      </c>
      <c r="G182" s="8">
        <v>580</v>
      </c>
      <c r="H182" s="7" t="s">
        <v>10</v>
      </c>
      <c r="I182" s="7" t="s">
        <v>11</v>
      </c>
      <c r="J182" s="9"/>
    </row>
    <row r="183" spans="1:10" ht="13.8">
      <c r="A183" s="5">
        <v>44786</v>
      </c>
      <c r="B183" s="6">
        <v>0.13888888888888901</v>
      </c>
      <c r="C183" s="7">
        <v>10056</v>
      </c>
      <c r="D183" s="7" t="s">
        <v>9</v>
      </c>
      <c r="E183" s="7">
        <v>21320</v>
      </c>
      <c r="F183" s="7">
        <v>12780</v>
      </c>
      <c r="G183" s="8">
        <v>8540</v>
      </c>
      <c r="H183" s="7" t="s">
        <v>10</v>
      </c>
      <c r="I183" s="7" t="s">
        <v>11</v>
      </c>
      <c r="J183" s="9"/>
    </row>
    <row r="184" spans="1:10" ht="13.8">
      <c r="A184" s="5">
        <v>44786</v>
      </c>
      <c r="B184" s="6">
        <v>4.72222222222222E-2</v>
      </c>
      <c r="C184" s="7">
        <v>10050</v>
      </c>
      <c r="D184" s="7" t="s">
        <v>9</v>
      </c>
      <c r="E184" s="7">
        <v>22300</v>
      </c>
      <c r="F184" s="7">
        <v>12960</v>
      </c>
      <c r="G184" s="8">
        <v>9340</v>
      </c>
      <c r="H184" s="7" t="s">
        <v>10</v>
      </c>
      <c r="I184" s="7" t="s">
        <v>11</v>
      </c>
      <c r="J184" s="9"/>
    </row>
    <row r="185" spans="1:10" ht="13.8">
      <c r="A185" s="5">
        <v>44786</v>
      </c>
      <c r="B185" s="6">
        <v>0.21527777777777801</v>
      </c>
      <c r="C185" s="7">
        <v>10062</v>
      </c>
      <c r="D185" s="7" t="s">
        <v>12</v>
      </c>
      <c r="E185" s="7">
        <v>3480</v>
      </c>
      <c r="F185" s="7">
        <v>2880</v>
      </c>
      <c r="G185" s="8">
        <v>600</v>
      </c>
      <c r="H185" s="7" t="s">
        <v>10</v>
      </c>
      <c r="I185" s="7" t="s">
        <v>11</v>
      </c>
      <c r="J185" s="9"/>
    </row>
    <row r="186" spans="1:10" ht="13.8">
      <c r="A186" s="5">
        <v>44786</v>
      </c>
      <c r="B186" s="6">
        <v>0.21249999999999999</v>
      </c>
      <c r="C186" s="7">
        <v>10099</v>
      </c>
      <c r="D186" s="7" t="s">
        <v>12</v>
      </c>
      <c r="E186" s="7">
        <v>3340</v>
      </c>
      <c r="F186" s="7">
        <v>2660</v>
      </c>
      <c r="G186" s="8">
        <v>680</v>
      </c>
      <c r="H186" s="7" t="s">
        <v>10</v>
      </c>
      <c r="I186" s="7" t="s">
        <v>11</v>
      </c>
      <c r="J186" s="9"/>
    </row>
    <row r="187" spans="1:10" ht="13.8">
      <c r="A187" s="5">
        <v>44786</v>
      </c>
      <c r="B187" s="6">
        <v>0.45</v>
      </c>
      <c r="C187" s="7">
        <v>10090</v>
      </c>
      <c r="D187" s="7" t="s">
        <v>17</v>
      </c>
      <c r="E187" s="7">
        <v>2680</v>
      </c>
      <c r="F187" s="7">
        <v>2420</v>
      </c>
      <c r="G187" s="8">
        <v>260</v>
      </c>
      <c r="H187" s="7" t="s">
        <v>10</v>
      </c>
      <c r="I187" s="7" t="s">
        <v>11</v>
      </c>
      <c r="J187" s="9"/>
    </row>
    <row r="188" spans="1:10" ht="13.8">
      <c r="A188" s="5">
        <v>44786</v>
      </c>
      <c r="B188" s="6">
        <v>0.25972222222222202</v>
      </c>
      <c r="C188" s="7">
        <v>10069</v>
      </c>
      <c r="D188" s="7" t="s">
        <v>9</v>
      </c>
      <c r="E188" s="7">
        <v>17740</v>
      </c>
      <c r="F188" s="7">
        <v>12760</v>
      </c>
      <c r="G188" s="8">
        <v>4980</v>
      </c>
      <c r="H188" s="7" t="s">
        <v>10</v>
      </c>
      <c r="I188" s="7" t="s">
        <v>11</v>
      </c>
      <c r="J188" s="9"/>
    </row>
    <row r="189" spans="1:10" ht="13.8">
      <c r="A189" s="5">
        <v>44786</v>
      </c>
      <c r="B189" s="6">
        <v>0.24861111111111101</v>
      </c>
      <c r="C189" s="7">
        <v>10066</v>
      </c>
      <c r="D189" s="7" t="s">
        <v>18</v>
      </c>
      <c r="E189" s="7">
        <v>26900</v>
      </c>
      <c r="F189" s="7">
        <v>15720</v>
      </c>
      <c r="G189" s="8">
        <v>11180</v>
      </c>
      <c r="H189" s="7" t="s">
        <v>10</v>
      </c>
      <c r="I189" s="7" t="s">
        <v>11</v>
      </c>
      <c r="J189" s="9"/>
    </row>
    <row r="190" spans="1:10" ht="13.8">
      <c r="A190" s="5">
        <v>44786</v>
      </c>
      <c r="B190" s="6">
        <v>0.70416666666666705</v>
      </c>
      <c r="C190" s="7">
        <v>10098</v>
      </c>
      <c r="D190" s="7" t="s">
        <v>9</v>
      </c>
      <c r="E190" s="7">
        <v>15760</v>
      </c>
      <c r="F190" s="7">
        <v>12700</v>
      </c>
      <c r="G190" s="8">
        <v>3060</v>
      </c>
      <c r="H190" s="7" t="s">
        <v>10</v>
      </c>
      <c r="I190" s="7" t="s">
        <v>11</v>
      </c>
      <c r="J190" s="9"/>
    </row>
    <row r="191" spans="1:10" ht="13.8">
      <c r="A191" s="5">
        <v>44786</v>
      </c>
      <c r="B191" s="6">
        <v>0.25624999999999998</v>
      </c>
      <c r="C191" s="7">
        <v>10067</v>
      </c>
      <c r="D191" s="7" t="s">
        <v>14</v>
      </c>
      <c r="E191" s="7">
        <v>3620</v>
      </c>
      <c r="F191" s="7">
        <v>2760</v>
      </c>
      <c r="G191" s="8">
        <v>860</v>
      </c>
      <c r="H191" s="7" t="s">
        <v>10</v>
      </c>
      <c r="I191" s="7" t="s">
        <v>11</v>
      </c>
      <c r="J191" s="9"/>
    </row>
    <row r="192" spans="1:10" ht="13.8">
      <c r="A192" s="5">
        <v>44786</v>
      </c>
      <c r="B192" s="6">
        <v>0.88055555555555598</v>
      </c>
      <c r="C192" s="7">
        <v>10100</v>
      </c>
      <c r="D192" s="7" t="s">
        <v>13</v>
      </c>
      <c r="E192" s="7">
        <v>24080</v>
      </c>
      <c r="F192" s="7">
        <v>15920</v>
      </c>
      <c r="G192" s="8">
        <v>8160</v>
      </c>
      <c r="H192" s="7" t="s">
        <v>10</v>
      </c>
      <c r="I192" s="7" t="s">
        <v>11</v>
      </c>
      <c r="J192" s="9"/>
    </row>
    <row r="193" spans="1:10" ht="13.8">
      <c r="A193" s="5">
        <v>44786</v>
      </c>
      <c r="B193" s="6">
        <v>0.50416666666666698</v>
      </c>
      <c r="C193" s="7">
        <v>10097</v>
      </c>
      <c r="D193" s="7" t="s">
        <v>13</v>
      </c>
      <c r="E193" s="7">
        <v>17840</v>
      </c>
      <c r="F193" s="7">
        <v>15840</v>
      </c>
      <c r="G193" s="8">
        <v>2000</v>
      </c>
      <c r="H193" s="7" t="s">
        <v>10</v>
      </c>
      <c r="I193" s="7" t="s">
        <v>11</v>
      </c>
      <c r="J193" s="9"/>
    </row>
    <row r="194" spans="1:10" ht="13.8">
      <c r="A194" s="5">
        <v>44787</v>
      </c>
      <c r="B194" s="6">
        <v>0.23194444444444401</v>
      </c>
      <c r="C194" s="7">
        <v>10120</v>
      </c>
      <c r="D194" s="7" t="s">
        <v>13</v>
      </c>
      <c r="E194" s="7">
        <v>18640</v>
      </c>
      <c r="F194" s="7">
        <v>15960</v>
      </c>
      <c r="G194" s="8">
        <v>2680</v>
      </c>
      <c r="H194" s="7" t="s">
        <v>10</v>
      </c>
      <c r="I194" s="7" t="s">
        <v>11</v>
      </c>
      <c r="J194" s="9"/>
    </row>
    <row r="195" spans="1:10" ht="13.8">
      <c r="A195" s="5">
        <v>44787</v>
      </c>
      <c r="B195" s="6">
        <v>0.88402777777777797</v>
      </c>
      <c r="C195" s="7">
        <v>10131</v>
      </c>
      <c r="D195" s="7" t="s">
        <v>13</v>
      </c>
      <c r="E195" s="7">
        <v>27000</v>
      </c>
      <c r="F195" s="7">
        <v>16020</v>
      </c>
      <c r="G195" s="8">
        <v>10980</v>
      </c>
      <c r="H195" s="7" t="s">
        <v>10</v>
      </c>
      <c r="I195" s="7" t="s">
        <v>11</v>
      </c>
      <c r="J195" s="9"/>
    </row>
    <row r="196" spans="1:10" ht="13.8">
      <c r="A196" s="5">
        <v>44787</v>
      </c>
      <c r="B196" s="6">
        <v>0.15763888888888899</v>
      </c>
      <c r="C196" s="7">
        <v>10109</v>
      </c>
      <c r="D196" s="7" t="s">
        <v>13</v>
      </c>
      <c r="E196" s="7">
        <v>28000</v>
      </c>
      <c r="F196" s="7">
        <v>15980</v>
      </c>
      <c r="G196" s="8">
        <v>12020</v>
      </c>
      <c r="H196" s="7" t="s">
        <v>10</v>
      </c>
      <c r="I196" s="7" t="s">
        <v>11</v>
      </c>
      <c r="J196" s="9"/>
    </row>
    <row r="197" spans="1:10" ht="13.8">
      <c r="A197" s="5">
        <v>44787</v>
      </c>
      <c r="B197" s="6">
        <v>0.98055555555555596</v>
      </c>
      <c r="C197" s="7">
        <v>10133</v>
      </c>
      <c r="D197" s="7" t="s">
        <v>22</v>
      </c>
      <c r="E197" s="7">
        <v>16800</v>
      </c>
      <c r="F197" s="7">
        <v>12500</v>
      </c>
      <c r="G197" s="8">
        <v>4300</v>
      </c>
      <c r="H197" s="7" t="s">
        <v>10</v>
      </c>
      <c r="I197" s="7" t="s">
        <v>11</v>
      </c>
      <c r="J197" s="9"/>
    </row>
    <row r="198" spans="1:10" ht="13.8">
      <c r="A198" s="5">
        <v>44787</v>
      </c>
      <c r="B198" s="6">
        <v>0.87638888888888899</v>
      </c>
      <c r="C198" s="7">
        <v>10130</v>
      </c>
      <c r="D198" s="7" t="s">
        <v>12</v>
      </c>
      <c r="E198" s="7">
        <v>3340</v>
      </c>
      <c r="F198" s="7">
        <v>2700</v>
      </c>
      <c r="G198" s="8">
        <v>640</v>
      </c>
      <c r="H198" s="7" t="s">
        <v>10</v>
      </c>
      <c r="I198" s="7" t="s">
        <v>11</v>
      </c>
      <c r="J198" s="9"/>
    </row>
    <row r="199" spans="1:10" ht="13.8">
      <c r="A199" s="5">
        <v>44787</v>
      </c>
      <c r="B199" s="6">
        <v>0.70625000000000004</v>
      </c>
      <c r="C199" s="7">
        <v>10129</v>
      </c>
      <c r="D199" s="7" t="s">
        <v>9</v>
      </c>
      <c r="E199" s="7">
        <v>16100</v>
      </c>
      <c r="F199" s="7">
        <v>12760</v>
      </c>
      <c r="G199" s="8">
        <v>3340</v>
      </c>
      <c r="H199" s="7" t="s">
        <v>10</v>
      </c>
      <c r="I199" s="7" t="s">
        <v>11</v>
      </c>
      <c r="J199" s="9"/>
    </row>
    <row r="200" spans="1:10" ht="13.8">
      <c r="A200" s="5">
        <v>44787</v>
      </c>
      <c r="B200" s="6">
        <v>0.453472222222222</v>
      </c>
      <c r="C200" s="7">
        <v>10128</v>
      </c>
      <c r="D200" s="7" t="s">
        <v>17</v>
      </c>
      <c r="E200" s="7">
        <v>2740</v>
      </c>
      <c r="F200" s="7">
        <v>2400</v>
      </c>
      <c r="G200" s="8">
        <v>340</v>
      </c>
      <c r="H200" s="7" t="s">
        <v>10</v>
      </c>
      <c r="I200" s="7" t="s">
        <v>11</v>
      </c>
      <c r="J200" s="9"/>
    </row>
    <row r="201" spans="1:10" ht="13.8">
      <c r="A201" s="5">
        <v>44787</v>
      </c>
      <c r="B201" s="6">
        <v>5.5555555555555601E-2</v>
      </c>
      <c r="C201" s="7">
        <v>10102</v>
      </c>
      <c r="D201" s="7" t="s">
        <v>9</v>
      </c>
      <c r="E201" s="7">
        <v>22600</v>
      </c>
      <c r="F201" s="7">
        <v>12900</v>
      </c>
      <c r="G201" s="8">
        <v>9700</v>
      </c>
      <c r="H201" s="7" t="s">
        <v>10</v>
      </c>
      <c r="I201" s="7" t="s">
        <v>11</v>
      </c>
      <c r="J201" s="9"/>
    </row>
    <row r="202" spans="1:10" ht="13.8">
      <c r="A202" s="5">
        <v>44787</v>
      </c>
      <c r="B202" s="6">
        <v>0.15902777777777799</v>
      </c>
      <c r="C202" s="7">
        <v>10110</v>
      </c>
      <c r="D202" s="7" t="s">
        <v>9</v>
      </c>
      <c r="E202" s="7">
        <v>21600</v>
      </c>
      <c r="F202" s="7">
        <v>12700</v>
      </c>
      <c r="G202" s="8">
        <v>8900</v>
      </c>
      <c r="H202" s="7" t="s">
        <v>10</v>
      </c>
      <c r="I202" s="7" t="s">
        <v>11</v>
      </c>
      <c r="J202" s="9"/>
    </row>
    <row r="203" spans="1:10" ht="13.8">
      <c r="A203" s="5">
        <v>44787</v>
      </c>
      <c r="B203" s="6">
        <v>0.22847222222222199</v>
      </c>
      <c r="C203" s="7">
        <v>10119</v>
      </c>
      <c r="D203" s="7" t="s">
        <v>9</v>
      </c>
      <c r="E203" s="7">
        <v>17880</v>
      </c>
      <c r="F203" s="7">
        <v>12700</v>
      </c>
      <c r="G203" s="8">
        <v>5180</v>
      </c>
      <c r="H203" s="7" t="s">
        <v>10</v>
      </c>
      <c r="I203" s="7" t="s">
        <v>11</v>
      </c>
      <c r="J203" s="9"/>
    </row>
    <row r="204" spans="1:10" ht="13.8">
      <c r="A204" s="5">
        <v>44787</v>
      </c>
      <c r="B204" s="6">
        <v>0.23611111111111099</v>
      </c>
      <c r="C204" s="7">
        <v>10121</v>
      </c>
      <c r="D204" s="7" t="s">
        <v>18</v>
      </c>
      <c r="E204" s="7">
        <v>26540</v>
      </c>
      <c r="F204" s="7">
        <v>15760</v>
      </c>
      <c r="G204" s="8">
        <v>10780</v>
      </c>
      <c r="H204" s="7" t="s">
        <v>10</v>
      </c>
      <c r="I204" s="7" t="s">
        <v>11</v>
      </c>
      <c r="J204" s="9"/>
    </row>
    <row r="205" spans="1:10" ht="13.8">
      <c r="A205" s="5">
        <v>44787</v>
      </c>
      <c r="B205" s="6">
        <v>0.22916666666666699</v>
      </c>
      <c r="C205" s="7">
        <v>10116</v>
      </c>
      <c r="D205" s="7" t="s">
        <v>23</v>
      </c>
      <c r="E205" s="7">
        <v>4560</v>
      </c>
      <c r="F205" s="7">
        <v>3680</v>
      </c>
      <c r="G205" s="8">
        <v>880</v>
      </c>
      <c r="H205" s="7" t="s">
        <v>10</v>
      </c>
      <c r="I205" s="7" t="s">
        <v>11</v>
      </c>
      <c r="J205" s="9"/>
    </row>
    <row r="206" spans="1:10" ht="13.8">
      <c r="A206" s="5">
        <v>44787</v>
      </c>
      <c r="B206" s="6">
        <v>0.15347222222222201</v>
      </c>
      <c r="C206" s="7">
        <v>10108</v>
      </c>
      <c r="D206" s="7" t="s">
        <v>23</v>
      </c>
      <c r="E206" s="7">
        <v>4840</v>
      </c>
      <c r="F206" s="7">
        <v>3600</v>
      </c>
      <c r="G206" s="8">
        <v>1240</v>
      </c>
      <c r="H206" s="7" t="s">
        <v>10</v>
      </c>
      <c r="I206" s="7" t="s">
        <v>11</v>
      </c>
      <c r="J206" s="9"/>
    </row>
    <row r="207" spans="1:10" ht="13.8">
      <c r="A207" s="5">
        <v>44787</v>
      </c>
      <c r="B207" s="6">
        <v>0.40833333333333299</v>
      </c>
      <c r="C207" s="7">
        <v>10127</v>
      </c>
      <c r="D207" s="7" t="s">
        <v>14</v>
      </c>
      <c r="E207" s="7">
        <v>3420</v>
      </c>
      <c r="F207" s="7">
        <v>2820</v>
      </c>
      <c r="G207" s="8">
        <v>600</v>
      </c>
      <c r="H207" s="7" t="s">
        <v>10</v>
      </c>
      <c r="I207" s="7" t="s">
        <v>11</v>
      </c>
      <c r="J207" s="9"/>
    </row>
    <row r="208" spans="1:10" ht="13.8">
      <c r="A208" s="5">
        <v>44787</v>
      </c>
      <c r="B208" s="6">
        <v>0.22916666666666699</v>
      </c>
      <c r="C208" s="7">
        <v>10118</v>
      </c>
      <c r="D208" s="7" t="s">
        <v>12</v>
      </c>
      <c r="E208" s="7">
        <v>3320</v>
      </c>
      <c r="F208" s="7">
        <v>2820</v>
      </c>
      <c r="G208" s="8">
        <v>500</v>
      </c>
      <c r="H208" s="7" t="s">
        <v>10</v>
      </c>
      <c r="I208" s="7" t="s">
        <v>11</v>
      </c>
      <c r="J208" s="9"/>
    </row>
    <row r="209" spans="1:9" ht="13.8">
      <c r="A209" s="5">
        <v>44788</v>
      </c>
      <c r="B209" s="6">
        <v>0.90138888888888902</v>
      </c>
      <c r="C209" s="7">
        <v>10184</v>
      </c>
      <c r="D209" s="7" t="s">
        <v>13</v>
      </c>
      <c r="E209" s="7">
        <v>27780</v>
      </c>
      <c r="F209" s="7">
        <v>15980</v>
      </c>
      <c r="G209" s="8">
        <v>11800</v>
      </c>
      <c r="H209" s="7" t="s">
        <v>10</v>
      </c>
      <c r="I209" s="7" t="s">
        <v>11</v>
      </c>
    </row>
    <row r="210" spans="1:9" ht="13.8">
      <c r="A210" s="5">
        <v>44788</v>
      </c>
      <c r="B210" s="6">
        <v>0.88263888888888897</v>
      </c>
      <c r="C210" s="7">
        <v>10183</v>
      </c>
      <c r="D210" s="7" t="s">
        <v>12</v>
      </c>
      <c r="E210" s="7">
        <v>3220</v>
      </c>
      <c r="F210" s="7">
        <v>2700</v>
      </c>
      <c r="G210" s="8">
        <v>520</v>
      </c>
      <c r="H210" s="7" t="s">
        <v>10</v>
      </c>
      <c r="I210" s="7" t="s">
        <v>11</v>
      </c>
    </row>
    <row r="211" spans="1:9" ht="13.8">
      <c r="A211" s="5">
        <v>44788</v>
      </c>
      <c r="B211" s="6">
        <v>0.70277777777777795</v>
      </c>
      <c r="C211" s="7">
        <v>10181</v>
      </c>
      <c r="D211" s="7" t="s">
        <v>9</v>
      </c>
      <c r="E211" s="7">
        <v>16000</v>
      </c>
      <c r="F211" s="7">
        <v>12700</v>
      </c>
      <c r="G211" s="8">
        <v>3300</v>
      </c>
      <c r="H211" s="7" t="s">
        <v>10</v>
      </c>
      <c r="I211" s="7" t="s">
        <v>11</v>
      </c>
    </row>
    <row r="212" spans="1:9" ht="13.8">
      <c r="A212" s="5">
        <v>44788</v>
      </c>
      <c r="B212" s="6">
        <v>0.22152777777777799</v>
      </c>
      <c r="C212" s="7">
        <v>10147</v>
      </c>
      <c r="D212" s="7" t="s">
        <v>23</v>
      </c>
      <c r="E212" s="7">
        <v>4520</v>
      </c>
      <c r="F212" s="7">
        <v>3680</v>
      </c>
      <c r="G212" s="8">
        <v>840</v>
      </c>
      <c r="H212" s="7" t="s">
        <v>10</v>
      </c>
      <c r="I212" s="7" t="s">
        <v>11</v>
      </c>
    </row>
    <row r="213" spans="1:9" ht="13.8">
      <c r="A213" s="5">
        <v>44788</v>
      </c>
      <c r="B213" s="6">
        <v>0.24722222222222201</v>
      </c>
      <c r="C213" s="7">
        <v>10151</v>
      </c>
      <c r="D213" s="7" t="s">
        <v>13</v>
      </c>
      <c r="E213" s="7">
        <v>28060</v>
      </c>
      <c r="F213" s="7">
        <v>16120</v>
      </c>
      <c r="G213" s="8">
        <v>11940</v>
      </c>
      <c r="H213" s="7" t="s">
        <v>10</v>
      </c>
      <c r="I213" s="7" t="s">
        <v>11</v>
      </c>
    </row>
    <row r="214" spans="1:9" ht="13.8">
      <c r="A214" s="5">
        <v>44788</v>
      </c>
      <c r="B214" s="6">
        <v>0.22291666666666701</v>
      </c>
      <c r="C214" s="7">
        <v>10148</v>
      </c>
      <c r="D214" s="7" t="s">
        <v>12</v>
      </c>
      <c r="E214" s="7">
        <v>3220</v>
      </c>
      <c r="F214" s="7">
        <v>2820</v>
      </c>
      <c r="G214" s="8">
        <v>400</v>
      </c>
      <c r="H214" s="7" t="s">
        <v>10</v>
      </c>
      <c r="I214" s="7" t="s">
        <v>11</v>
      </c>
    </row>
    <row r="215" spans="1:9" ht="13.8">
      <c r="A215" s="5">
        <v>44788</v>
      </c>
      <c r="B215" s="6">
        <v>0.24652777777777801</v>
      </c>
      <c r="C215" s="7">
        <v>10152</v>
      </c>
      <c r="D215" s="7" t="s">
        <v>18</v>
      </c>
      <c r="E215" s="7">
        <v>26900</v>
      </c>
      <c r="F215" s="7">
        <v>15820</v>
      </c>
      <c r="G215" s="8">
        <v>11080</v>
      </c>
      <c r="H215" s="7" t="s">
        <v>10</v>
      </c>
      <c r="I215" s="7" t="s">
        <v>11</v>
      </c>
    </row>
    <row r="216" spans="1:9" ht="13.8">
      <c r="A216" s="5">
        <v>44788</v>
      </c>
      <c r="B216" s="6">
        <v>0.24583333333333299</v>
      </c>
      <c r="C216" s="7">
        <v>10150</v>
      </c>
      <c r="D216" s="7" t="s">
        <v>9</v>
      </c>
      <c r="E216" s="7">
        <v>16500</v>
      </c>
      <c r="F216" s="7">
        <v>12760</v>
      </c>
      <c r="G216" s="8">
        <v>3740</v>
      </c>
      <c r="H216" s="7" t="s">
        <v>10</v>
      </c>
      <c r="I216" s="7" t="s">
        <v>11</v>
      </c>
    </row>
    <row r="217" spans="1:9" ht="13.8">
      <c r="A217" s="5">
        <v>44788</v>
      </c>
      <c r="B217" s="6">
        <v>3.54166666666667E-2</v>
      </c>
      <c r="C217" s="7">
        <v>10134</v>
      </c>
      <c r="D217" s="7" t="s">
        <v>9</v>
      </c>
      <c r="E217" s="7">
        <v>20880</v>
      </c>
      <c r="F217" s="7">
        <v>12960</v>
      </c>
      <c r="G217" s="8">
        <v>7920</v>
      </c>
      <c r="H217" s="7" t="s">
        <v>10</v>
      </c>
      <c r="I217" s="7" t="s">
        <v>11</v>
      </c>
    </row>
    <row r="218" spans="1:9" ht="13.8">
      <c r="A218" s="5">
        <v>44788</v>
      </c>
      <c r="B218" s="6">
        <v>0.15625</v>
      </c>
      <c r="C218" s="7">
        <v>10142</v>
      </c>
      <c r="D218" s="7" t="s">
        <v>9</v>
      </c>
      <c r="E218" s="7">
        <v>21780</v>
      </c>
      <c r="F218" s="7">
        <v>12660</v>
      </c>
      <c r="G218" s="8">
        <v>9120</v>
      </c>
      <c r="H218" s="7" t="s">
        <v>10</v>
      </c>
      <c r="I218" s="7" t="s">
        <v>11</v>
      </c>
    </row>
    <row r="219" spans="1:9" ht="13.8">
      <c r="A219" s="5">
        <v>44788</v>
      </c>
      <c r="B219" s="6">
        <v>0.15138888888888899</v>
      </c>
      <c r="C219" s="7">
        <v>10141</v>
      </c>
      <c r="D219" s="7" t="s">
        <v>23</v>
      </c>
      <c r="E219" s="7">
        <v>4880</v>
      </c>
      <c r="F219" s="7">
        <v>3600</v>
      </c>
      <c r="G219" s="8">
        <v>1280</v>
      </c>
      <c r="H219" s="7" t="s">
        <v>10</v>
      </c>
      <c r="I219" s="7" t="s">
        <v>11</v>
      </c>
    </row>
    <row r="220" spans="1:9" ht="13.8">
      <c r="A220" s="5">
        <v>44789</v>
      </c>
      <c r="B220" s="6">
        <v>0.22916666666666699</v>
      </c>
      <c r="C220" s="7">
        <v>10201</v>
      </c>
      <c r="D220" s="7" t="s">
        <v>13</v>
      </c>
      <c r="E220" s="7">
        <v>28480</v>
      </c>
      <c r="F220" s="7">
        <v>16100</v>
      </c>
      <c r="G220" s="8">
        <v>12380</v>
      </c>
      <c r="H220" s="7" t="s">
        <v>10</v>
      </c>
      <c r="I220" s="7" t="s">
        <v>11</v>
      </c>
    </row>
    <row r="221" spans="1:9" ht="13.8">
      <c r="A221" s="5">
        <v>44789</v>
      </c>
      <c r="B221" s="6">
        <v>0.47152777777777799</v>
      </c>
      <c r="C221" s="7">
        <v>10239</v>
      </c>
      <c r="D221" s="7" t="s">
        <v>15</v>
      </c>
      <c r="E221" s="7">
        <v>6000</v>
      </c>
      <c r="F221" s="7">
        <v>5560</v>
      </c>
      <c r="G221" s="8">
        <v>440</v>
      </c>
      <c r="H221" s="7" t="s">
        <v>10</v>
      </c>
      <c r="I221" s="7" t="s">
        <v>16</v>
      </c>
    </row>
    <row r="222" spans="1:9" ht="13.8">
      <c r="A222" s="5">
        <v>44789</v>
      </c>
      <c r="B222" s="6">
        <v>0.240972222222222</v>
      </c>
      <c r="C222" s="7">
        <v>10202</v>
      </c>
      <c r="D222" s="7" t="s">
        <v>18</v>
      </c>
      <c r="E222" s="7">
        <v>24960</v>
      </c>
      <c r="F222" s="7">
        <v>15800</v>
      </c>
      <c r="G222" s="8">
        <v>9160</v>
      </c>
      <c r="H222" s="7" t="s">
        <v>10</v>
      </c>
      <c r="I222" s="7" t="s">
        <v>11</v>
      </c>
    </row>
    <row r="223" spans="1:9" ht="13.8">
      <c r="A223" s="5">
        <v>44789</v>
      </c>
      <c r="B223" s="6">
        <v>0.14305555555555599</v>
      </c>
      <c r="C223" s="7">
        <v>10195</v>
      </c>
      <c r="D223" s="7" t="s">
        <v>23</v>
      </c>
      <c r="E223" s="7">
        <v>4940</v>
      </c>
      <c r="F223" s="7">
        <v>3600</v>
      </c>
      <c r="G223" s="8">
        <v>1340</v>
      </c>
      <c r="H223" s="7" t="s">
        <v>10</v>
      </c>
      <c r="I223" s="7" t="s">
        <v>11</v>
      </c>
    </row>
    <row r="224" spans="1:9" ht="13.8">
      <c r="A224" s="5">
        <v>44789</v>
      </c>
      <c r="B224" s="6">
        <v>1.59722222222222E-2</v>
      </c>
      <c r="C224" s="7">
        <v>10186</v>
      </c>
      <c r="D224" s="7" t="s">
        <v>22</v>
      </c>
      <c r="E224" s="7">
        <v>14600</v>
      </c>
      <c r="F224" s="7">
        <v>12480</v>
      </c>
      <c r="G224" s="8">
        <v>2120</v>
      </c>
      <c r="H224" s="7" t="s">
        <v>10</v>
      </c>
      <c r="I224" s="7" t="s">
        <v>11</v>
      </c>
    </row>
    <row r="225" spans="1:10" ht="13.8">
      <c r="A225" s="5">
        <v>44789</v>
      </c>
      <c r="B225" s="6">
        <v>0.211111111111111</v>
      </c>
      <c r="C225" s="7">
        <v>10199</v>
      </c>
      <c r="D225" s="7" t="s">
        <v>23</v>
      </c>
      <c r="E225" s="7">
        <v>4360</v>
      </c>
      <c r="F225" s="7">
        <v>3660</v>
      </c>
      <c r="G225" s="8">
        <v>700</v>
      </c>
      <c r="H225" s="7" t="s">
        <v>10</v>
      </c>
      <c r="I225" s="7" t="s">
        <v>11</v>
      </c>
    </row>
    <row r="226" spans="1:10" ht="13.8">
      <c r="A226" s="5">
        <v>44789</v>
      </c>
      <c r="B226" s="6">
        <v>0.390277777777778</v>
      </c>
      <c r="C226" s="7">
        <v>10226</v>
      </c>
      <c r="D226" s="7" t="s">
        <v>15</v>
      </c>
      <c r="E226" s="7">
        <v>6760</v>
      </c>
      <c r="F226" s="7">
        <v>5560</v>
      </c>
      <c r="G226" s="8">
        <v>1200</v>
      </c>
      <c r="H226" s="7" t="s">
        <v>10</v>
      </c>
      <c r="I226" s="7" t="s">
        <v>16</v>
      </c>
    </row>
    <row r="227" spans="1:10" ht="13.8">
      <c r="A227" s="5">
        <v>44789</v>
      </c>
      <c r="B227" s="6">
        <v>0.211111111111111</v>
      </c>
      <c r="C227" s="7">
        <v>10200</v>
      </c>
      <c r="D227" s="7" t="s">
        <v>12</v>
      </c>
      <c r="E227" s="7">
        <v>3100</v>
      </c>
      <c r="F227" s="7">
        <v>2800</v>
      </c>
      <c r="G227" s="8">
        <v>300</v>
      </c>
      <c r="H227" s="7" t="s">
        <v>10</v>
      </c>
      <c r="I227" s="7" t="s">
        <v>11</v>
      </c>
    </row>
    <row r="228" spans="1:10" ht="13.8">
      <c r="A228" s="5">
        <v>44789</v>
      </c>
      <c r="B228" s="6">
        <v>0.484027777777778</v>
      </c>
      <c r="C228" s="7">
        <v>10240</v>
      </c>
      <c r="D228" s="7" t="s">
        <v>14</v>
      </c>
      <c r="E228" s="7">
        <v>3340</v>
      </c>
      <c r="F228" s="7">
        <v>2820</v>
      </c>
      <c r="G228" s="8">
        <v>520</v>
      </c>
      <c r="H228" s="7" t="s">
        <v>10</v>
      </c>
      <c r="I228" s="7" t="s">
        <v>11</v>
      </c>
    </row>
    <row r="229" spans="1:10" ht="13.8">
      <c r="A229" s="5">
        <v>44788</v>
      </c>
      <c r="B229" s="6">
        <v>0.45486111111111099</v>
      </c>
      <c r="C229" s="7">
        <v>10172</v>
      </c>
      <c r="D229" s="7" t="s">
        <v>17</v>
      </c>
      <c r="E229" s="7">
        <v>2640</v>
      </c>
      <c r="F229" s="7">
        <v>2400</v>
      </c>
      <c r="G229" s="8">
        <v>240</v>
      </c>
      <c r="H229" s="7" t="s">
        <v>10</v>
      </c>
      <c r="I229" s="7" t="s">
        <v>11</v>
      </c>
    </row>
    <row r="230" spans="1:10" ht="13.8">
      <c r="A230" s="5">
        <v>44788</v>
      </c>
      <c r="B230" s="6">
        <v>0.47222222222222199</v>
      </c>
      <c r="C230" s="7">
        <v>10174</v>
      </c>
      <c r="D230" s="7" t="s">
        <v>18</v>
      </c>
      <c r="E230" s="7">
        <v>18540</v>
      </c>
      <c r="F230" s="7">
        <v>15820</v>
      </c>
      <c r="G230" s="8">
        <v>2720</v>
      </c>
      <c r="H230" s="7" t="s">
        <v>10</v>
      </c>
      <c r="I230" s="7" t="s">
        <v>11</v>
      </c>
    </row>
    <row r="231" spans="1:10" ht="13.8">
      <c r="A231" s="5">
        <v>44789</v>
      </c>
      <c r="B231" s="6">
        <v>0.88541666666666696</v>
      </c>
      <c r="C231" s="7">
        <v>10264</v>
      </c>
      <c r="D231" s="7" t="s">
        <v>13</v>
      </c>
      <c r="E231" s="7">
        <v>27200</v>
      </c>
      <c r="F231" s="7">
        <v>15940</v>
      </c>
      <c r="G231" s="8">
        <v>11260</v>
      </c>
      <c r="H231" s="7" t="s">
        <v>10</v>
      </c>
      <c r="I231" s="7" t="s">
        <v>11</v>
      </c>
    </row>
    <row r="232" spans="1:10" ht="13.8">
      <c r="A232" s="5">
        <v>44789</v>
      </c>
      <c r="B232" s="6">
        <v>0.69513888888888897</v>
      </c>
      <c r="C232" s="7">
        <v>10256</v>
      </c>
      <c r="D232" s="7" t="s">
        <v>9</v>
      </c>
      <c r="E232" s="7">
        <v>15780</v>
      </c>
      <c r="F232" s="7">
        <v>12760</v>
      </c>
      <c r="G232" s="8">
        <v>3020</v>
      </c>
      <c r="H232" s="7" t="s">
        <v>10</v>
      </c>
      <c r="I232" s="7" t="s">
        <v>11</v>
      </c>
    </row>
    <row r="233" spans="1:10" ht="13.8">
      <c r="A233" s="5">
        <v>44789</v>
      </c>
      <c r="B233" s="6">
        <v>0.87638888888888899</v>
      </c>
      <c r="C233" s="7">
        <v>10263</v>
      </c>
      <c r="D233" s="7" t="s">
        <v>12</v>
      </c>
      <c r="E233" s="7">
        <v>3240</v>
      </c>
      <c r="F233" s="7">
        <v>2680</v>
      </c>
      <c r="G233" s="8">
        <v>560</v>
      </c>
      <c r="H233" s="7" t="s">
        <v>10</v>
      </c>
      <c r="I233" s="7" t="s">
        <v>11</v>
      </c>
    </row>
    <row r="234" spans="1:10" ht="13.8">
      <c r="A234" s="5">
        <v>44789</v>
      </c>
      <c r="B234" s="6">
        <v>0.25208333333333299</v>
      </c>
      <c r="C234" s="7">
        <v>10207</v>
      </c>
      <c r="D234" s="7" t="s">
        <v>9</v>
      </c>
      <c r="E234" s="7">
        <v>15600</v>
      </c>
      <c r="F234" s="7">
        <v>12640</v>
      </c>
      <c r="G234" s="8">
        <v>2960</v>
      </c>
      <c r="H234" s="7" t="s">
        <v>10</v>
      </c>
      <c r="I234" s="7" t="s">
        <v>11</v>
      </c>
    </row>
    <row r="235" spans="1:10" ht="13.8">
      <c r="A235" s="5">
        <v>44789</v>
      </c>
      <c r="B235" s="6">
        <v>0.148611111111111</v>
      </c>
      <c r="C235" s="7">
        <v>10196</v>
      </c>
      <c r="D235" s="7" t="s">
        <v>9</v>
      </c>
      <c r="E235" s="7">
        <v>22040</v>
      </c>
      <c r="F235" s="7">
        <v>12660</v>
      </c>
      <c r="G235" s="8">
        <v>9380</v>
      </c>
      <c r="H235" s="7" t="s">
        <v>10</v>
      </c>
      <c r="I235" s="7" t="s">
        <v>11</v>
      </c>
    </row>
    <row r="236" spans="1:10" ht="13.8">
      <c r="A236" s="5">
        <v>44789</v>
      </c>
      <c r="B236" s="6">
        <v>4.3749999999999997E-2</v>
      </c>
      <c r="C236" s="7">
        <v>10188</v>
      </c>
      <c r="D236" s="7" t="s">
        <v>9</v>
      </c>
      <c r="E236" s="7">
        <v>21820</v>
      </c>
      <c r="F236" s="7">
        <v>12700</v>
      </c>
      <c r="G236" s="8">
        <v>9120</v>
      </c>
      <c r="H236" s="7" t="s">
        <v>10</v>
      </c>
      <c r="I236" s="7" t="s">
        <v>11</v>
      </c>
    </row>
    <row r="237" spans="1:10" ht="13.8">
      <c r="A237" s="5">
        <v>44789</v>
      </c>
      <c r="B237" s="6">
        <v>0.54861111111111105</v>
      </c>
      <c r="C237" s="7">
        <v>143469</v>
      </c>
      <c r="D237" s="7" t="s">
        <v>13</v>
      </c>
      <c r="E237" s="7">
        <v>18200</v>
      </c>
      <c r="F237" s="7">
        <v>15740</v>
      </c>
      <c r="G237" s="8">
        <v>2460</v>
      </c>
      <c r="H237" s="7" t="s">
        <v>10</v>
      </c>
      <c r="I237" s="7" t="s">
        <v>20</v>
      </c>
      <c r="J237" s="9"/>
    </row>
    <row r="238" spans="1:10" ht="13.8">
      <c r="A238" s="5">
        <v>44790</v>
      </c>
      <c r="B238" s="6">
        <v>0.12777777777777799</v>
      </c>
      <c r="C238" s="7">
        <v>10273</v>
      </c>
      <c r="D238" s="7" t="s">
        <v>14</v>
      </c>
      <c r="E238" s="7">
        <v>3400</v>
      </c>
      <c r="F238" s="7">
        <v>2840</v>
      </c>
      <c r="G238" s="8">
        <v>560</v>
      </c>
      <c r="H238" s="7" t="s">
        <v>10</v>
      </c>
      <c r="I238" s="7" t="s">
        <v>11</v>
      </c>
    </row>
    <row r="239" spans="1:10" ht="13.8">
      <c r="A239" s="5">
        <v>44790</v>
      </c>
      <c r="B239" s="6">
        <v>4.1666666666666699E-2</v>
      </c>
      <c r="C239" s="7">
        <v>10267</v>
      </c>
      <c r="D239" s="7" t="s">
        <v>9</v>
      </c>
      <c r="E239" s="7">
        <v>22000</v>
      </c>
      <c r="F239" s="7">
        <v>12740</v>
      </c>
      <c r="G239" s="8">
        <v>9260</v>
      </c>
      <c r="H239" s="7" t="s">
        <v>10</v>
      </c>
      <c r="I239" s="7" t="s">
        <v>11</v>
      </c>
    </row>
    <row r="240" spans="1:10" ht="13.8">
      <c r="A240" s="5">
        <v>44790</v>
      </c>
      <c r="B240" s="6">
        <v>0.102083333333333</v>
      </c>
      <c r="C240" s="7">
        <v>10269</v>
      </c>
      <c r="D240" s="7" t="s">
        <v>12</v>
      </c>
      <c r="E240" s="7">
        <v>2800</v>
      </c>
      <c r="F240" s="7">
        <v>2700</v>
      </c>
      <c r="G240" s="8">
        <v>100</v>
      </c>
      <c r="H240" s="7" t="s">
        <v>10</v>
      </c>
      <c r="I240" s="7" t="s">
        <v>11</v>
      </c>
    </row>
    <row r="241" spans="1:10" ht="13.8">
      <c r="A241" s="5">
        <v>44790</v>
      </c>
      <c r="B241" s="6">
        <v>0.25</v>
      </c>
      <c r="C241" s="7">
        <v>10284</v>
      </c>
      <c r="D241" s="7" t="s">
        <v>13</v>
      </c>
      <c r="E241" s="7">
        <v>24260</v>
      </c>
      <c r="F241" s="7">
        <v>15980</v>
      </c>
      <c r="G241" s="8">
        <v>8280</v>
      </c>
      <c r="H241" s="7" t="s">
        <v>10</v>
      </c>
      <c r="I241" s="7" t="s">
        <v>11</v>
      </c>
    </row>
    <row r="242" spans="1:10" ht="13.8">
      <c r="A242" s="5">
        <v>44790</v>
      </c>
      <c r="B242" s="6">
        <v>0.13541666666666699</v>
      </c>
      <c r="C242" s="7">
        <v>10275</v>
      </c>
      <c r="D242" s="7" t="s">
        <v>13</v>
      </c>
      <c r="E242" s="7">
        <v>26700</v>
      </c>
      <c r="F242" s="7">
        <v>16020</v>
      </c>
      <c r="G242" s="8">
        <v>10680</v>
      </c>
      <c r="H242" s="7" t="s">
        <v>10</v>
      </c>
      <c r="I242" s="7" t="s">
        <v>11</v>
      </c>
    </row>
    <row r="243" spans="1:10" ht="13.8">
      <c r="A243" s="5">
        <v>44790</v>
      </c>
      <c r="B243" s="6">
        <v>0.14444444444444399</v>
      </c>
      <c r="C243" s="7">
        <v>10276</v>
      </c>
      <c r="D243" s="7" t="s">
        <v>9</v>
      </c>
      <c r="E243" s="7">
        <v>21920</v>
      </c>
      <c r="F243" s="7">
        <v>12740</v>
      </c>
      <c r="G243" s="8">
        <v>9180</v>
      </c>
      <c r="H243" s="7" t="s">
        <v>10</v>
      </c>
      <c r="I243" s="7" t="s">
        <v>11</v>
      </c>
    </row>
    <row r="244" spans="1:10" ht="13.8">
      <c r="A244" s="5">
        <v>44790</v>
      </c>
      <c r="B244" s="6">
        <v>0.25694444444444398</v>
      </c>
      <c r="C244" s="7">
        <v>10287</v>
      </c>
      <c r="D244" s="7" t="s">
        <v>9</v>
      </c>
      <c r="E244" s="7">
        <v>15280</v>
      </c>
      <c r="F244" s="7">
        <v>12720</v>
      </c>
      <c r="G244" s="8">
        <v>2560</v>
      </c>
      <c r="H244" s="7" t="s">
        <v>10</v>
      </c>
      <c r="I244" s="7" t="s">
        <v>11</v>
      </c>
    </row>
    <row r="245" spans="1:10" ht="13.8">
      <c r="A245" s="5">
        <v>44790</v>
      </c>
      <c r="B245" s="6">
        <v>0.210416666666667</v>
      </c>
      <c r="C245" s="7">
        <v>10280</v>
      </c>
      <c r="D245" s="7" t="s">
        <v>12</v>
      </c>
      <c r="E245" s="7">
        <v>3340</v>
      </c>
      <c r="F245" s="7">
        <v>2880</v>
      </c>
      <c r="G245" s="8">
        <v>460</v>
      </c>
      <c r="H245" s="7" t="s">
        <v>10</v>
      </c>
      <c r="I245" s="7" t="s">
        <v>11</v>
      </c>
    </row>
    <row r="246" spans="1:10" ht="13.8">
      <c r="A246" s="5">
        <v>44790</v>
      </c>
      <c r="B246" s="6">
        <v>0.234027777777778</v>
      </c>
      <c r="C246" s="7">
        <v>10283</v>
      </c>
      <c r="D246" s="7" t="s">
        <v>14</v>
      </c>
      <c r="E246" s="7">
        <v>3620</v>
      </c>
      <c r="F246" s="7">
        <v>2840</v>
      </c>
      <c r="G246" s="8">
        <v>780</v>
      </c>
      <c r="H246" s="7" t="s">
        <v>10</v>
      </c>
      <c r="I246" s="7" t="s">
        <v>11</v>
      </c>
    </row>
    <row r="247" spans="1:10" ht="13.8">
      <c r="A247" s="5">
        <v>44790</v>
      </c>
      <c r="B247" s="6">
        <v>0.38819444444444401</v>
      </c>
      <c r="C247" s="7">
        <v>10302</v>
      </c>
      <c r="D247" s="7" t="s">
        <v>14</v>
      </c>
      <c r="E247" s="7">
        <v>3340</v>
      </c>
      <c r="F247" s="7">
        <v>2820</v>
      </c>
      <c r="G247" s="8">
        <v>520</v>
      </c>
      <c r="H247" s="7" t="s">
        <v>10</v>
      </c>
      <c r="I247" s="7" t="s">
        <v>11</v>
      </c>
    </row>
    <row r="248" spans="1:10" ht="13.8">
      <c r="A248" s="5">
        <v>44790</v>
      </c>
      <c r="B248" s="6">
        <v>0.45833333333333298</v>
      </c>
      <c r="C248" s="7">
        <v>10311</v>
      </c>
      <c r="D248" s="7" t="s">
        <v>17</v>
      </c>
      <c r="E248" s="7">
        <v>2660</v>
      </c>
      <c r="F248" s="7">
        <v>2340</v>
      </c>
      <c r="G248" s="8">
        <v>320</v>
      </c>
      <c r="H248" s="7" t="s">
        <v>10</v>
      </c>
      <c r="I248" s="7" t="s">
        <v>11</v>
      </c>
    </row>
    <row r="249" spans="1:10" ht="13.8">
      <c r="A249" s="5">
        <v>44790</v>
      </c>
      <c r="B249" s="6">
        <v>0.38124999999999998</v>
      </c>
      <c r="C249" s="7">
        <v>10303</v>
      </c>
      <c r="D249" s="7" t="s">
        <v>15</v>
      </c>
      <c r="E249" s="7">
        <v>6480</v>
      </c>
      <c r="F249" s="7">
        <v>5640</v>
      </c>
      <c r="G249" s="8">
        <v>840</v>
      </c>
      <c r="H249" s="7" t="s">
        <v>10</v>
      </c>
      <c r="I249" s="7" t="s">
        <v>16</v>
      </c>
    </row>
    <row r="250" spans="1:10" ht="13.8">
      <c r="A250" s="5">
        <v>44790</v>
      </c>
      <c r="B250" s="6">
        <v>0.38819444444444401</v>
      </c>
      <c r="C250" s="7">
        <v>10301</v>
      </c>
      <c r="D250" s="7" t="s">
        <v>12</v>
      </c>
      <c r="E250" s="7">
        <v>3160</v>
      </c>
      <c r="F250" s="7">
        <v>2700</v>
      </c>
      <c r="G250" s="8">
        <v>460</v>
      </c>
      <c r="H250" s="7" t="s">
        <v>10</v>
      </c>
      <c r="I250" s="7" t="s">
        <v>11</v>
      </c>
    </row>
    <row r="251" spans="1:10" ht="13.8">
      <c r="A251" s="5">
        <v>44790</v>
      </c>
      <c r="B251" s="6">
        <v>0.52083333333333304</v>
      </c>
      <c r="C251" s="7">
        <v>3293</v>
      </c>
      <c r="D251" s="7" t="s">
        <v>18</v>
      </c>
      <c r="E251" s="7">
        <v>18440</v>
      </c>
      <c r="F251" s="7">
        <v>15760</v>
      </c>
      <c r="G251" s="8">
        <v>2680</v>
      </c>
      <c r="H251" s="7" t="s">
        <v>10</v>
      </c>
      <c r="I251" s="7" t="s">
        <v>21</v>
      </c>
      <c r="J251" s="9"/>
    </row>
    <row r="252" spans="1:10" ht="13.8">
      <c r="A252" s="5">
        <v>44790</v>
      </c>
      <c r="B252" s="6">
        <v>0.77638888888888902</v>
      </c>
      <c r="C252" s="7">
        <v>10330</v>
      </c>
      <c r="D252" s="7" t="s">
        <v>13</v>
      </c>
      <c r="E252" s="7">
        <v>22680</v>
      </c>
      <c r="F252" s="7">
        <v>16020</v>
      </c>
      <c r="G252" s="8">
        <v>6660</v>
      </c>
      <c r="H252" s="7" t="s">
        <v>10</v>
      </c>
      <c r="I252" s="7" t="s">
        <v>11</v>
      </c>
    </row>
    <row r="253" spans="1:10" ht="13.8">
      <c r="A253" s="5">
        <v>44790</v>
      </c>
      <c r="B253" s="6">
        <v>0.70138888888888895</v>
      </c>
      <c r="C253" s="7">
        <v>10325</v>
      </c>
      <c r="D253" s="7" t="s">
        <v>22</v>
      </c>
      <c r="E253" s="7">
        <v>17480</v>
      </c>
      <c r="F253" s="7">
        <v>12480</v>
      </c>
      <c r="G253" s="8">
        <v>5000</v>
      </c>
      <c r="H253" s="7" t="s">
        <v>10</v>
      </c>
      <c r="I253" s="7" t="s">
        <v>11</v>
      </c>
    </row>
    <row r="254" spans="1:10" ht="13.8">
      <c r="A254" s="5">
        <v>44790</v>
      </c>
      <c r="B254" s="6">
        <v>0.86736111111111103</v>
      </c>
      <c r="C254" s="7">
        <v>10333</v>
      </c>
      <c r="D254" s="7" t="s">
        <v>12</v>
      </c>
      <c r="E254" s="7">
        <v>3160</v>
      </c>
      <c r="F254" s="7">
        <v>2700</v>
      </c>
      <c r="G254" s="8">
        <v>460</v>
      </c>
      <c r="H254" s="7" t="s">
        <v>10</v>
      </c>
      <c r="I254" s="7" t="s">
        <v>11</v>
      </c>
    </row>
    <row r="255" spans="1:10" ht="13.8">
      <c r="A255" s="5">
        <v>44791</v>
      </c>
      <c r="B255" s="6">
        <v>0.12777777777777799</v>
      </c>
      <c r="C255" s="7">
        <v>10344</v>
      </c>
      <c r="D255" s="7" t="s">
        <v>13</v>
      </c>
      <c r="E255" s="7">
        <v>26700</v>
      </c>
      <c r="F255" s="7">
        <v>16040</v>
      </c>
      <c r="G255" s="8">
        <v>10660</v>
      </c>
      <c r="H255" s="7" t="s">
        <v>10</v>
      </c>
      <c r="I255" s="7" t="s">
        <v>11</v>
      </c>
    </row>
    <row r="256" spans="1:10" ht="13.8">
      <c r="A256" s="5">
        <v>44791</v>
      </c>
      <c r="B256" s="6">
        <v>0.225694444444444</v>
      </c>
      <c r="C256" s="7">
        <v>10349</v>
      </c>
      <c r="D256" s="7" t="s">
        <v>23</v>
      </c>
      <c r="E256" s="7">
        <v>4440</v>
      </c>
      <c r="F256" s="7">
        <v>3800</v>
      </c>
      <c r="G256" s="8">
        <v>640</v>
      </c>
      <c r="H256" s="7" t="s">
        <v>10</v>
      </c>
      <c r="I256" s="7" t="s">
        <v>11</v>
      </c>
    </row>
    <row r="257" spans="1:10" ht="13.8">
      <c r="A257" s="5">
        <v>44791</v>
      </c>
      <c r="B257" s="6">
        <v>0.24652777777777801</v>
      </c>
      <c r="C257" s="7">
        <v>10355</v>
      </c>
      <c r="D257" s="7" t="s">
        <v>13</v>
      </c>
      <c r="E257" s="7">
        <v>23840</v>
      </c>
      <c r="F257" s="7">
        <v>16000</v>
      </c>
      <c r="G257" s="8">
        <v>7840</v>
      </c>
      <c r="H257" s="7" t="s">
        <v>10</v>
      </c>
      <c r="I257" s="7" t="s">
        <v>11</v>
      </c>
    </row>
    <row r="258" spans="1:10" ht="13.8">
      <c r="A258" s="5">
        <v>44791</v>
      </c>
      <c r="B258" s="6">
        <v>0.15416666666666701</v>
      </c>
      <c r="C258" s="7">
        <v>10346</v>
      </c>
      <c r="D258" s="7" t="s">
        <v>23</v>
      </c>
      <c r="E258" s="7">
        <v>4740</v>
      </c>
      <c r="F258" s="7">
        <v>3600</v>
      </c>
      <c r="G258" s="8">
        <v>1140</v>
      </c>
      <c r="H258" s="7" t="s">
        <v>10</v>
      </c>
      <c r="I258" s="7" t="s">
        <v>11</v>
      </c>
    </row>
    <row r="259" spans="1:10" ht="13.8">
      <c r="A259" s="5">
        <v>44791</v>
      </c>
      <c r="B259" s="6">
        <v>0.47222222222222199</v>
      </c>
      <c r="C259" s="7">
        <v>10384</v>
      </c>
      <c r="D259" s="7" t="s">
        <v>14</v>
      </c>
      <c r="E259" s="7">
        <v>3320</v>
      </c>
      <c r="F259" s="7">
        <v>2840</v>
      </c>
      <c r="G259" s="8">
        <v>480</v>
      </c>
      <c r="H259" s="7" t="s">
        <v>10</v>
      </c>
      <c r="I259" s="7" t="s">
        <v>11</v>
      </c>
    </row>
    <row r="260" spans="1:10" ht="13.8">
      <c r="A260" s="5">
        <v>44791</v>
      </c>
      <c r="B260" s="6">
        <v>0.29236111111111102</v>
      </c>
      <c r="C260" s="7">
        <v>10365</v>
      </c>
      <c r="D260" s="7" t="s">
        <v>14</v>
      </c>
      <c r="E260" s="7">
        <v>3120</v>
      </c>
      <c r="F260" s="7">
        <v>2840</v>
      </c>
      <c r="G260" s="8">
        <v>280</v>
      </c>
      <c r="H260" s="7" t="s">
        <v>10</v>
      </c>
      <c r="I260" s="7" t="s">
        <v>11</v>
      </c>
    </row>
    <row r="261" spans="1:10" ht="13.8">
      <c r="A261" s="5">
        <v>44791</v>
      </c>
      <c r="B261" s="6">
        <v>0.50833333333333297</v>
      </c>
      <c r="C261" s="7">
        <v>143537</v>
      </c>
      <c r="D261" s="7" t="s">
        <v>13</v>
      </c>
      <c r="E261" s="7">
        <v>17620</v>
      </c>
      <c r="F261" s="7">
        <v>15880</v>
      </c>
      <c r="G261" s="8">
        <v>1740</v>
      </c>
      <c r="H261" s="7" t="s">
        <v>10</v>
      </c>
      <c r="I261" s="7" t="s">
        <v>20</v>
      </c>
      <c r="J261" s="9"/>
    </row>
    <row r="262" spans="1:10" ht="13.8">
      <c r="A262" s="5">
        <v>44791</v>
      </c>
      <c r="B262" s="6">
        <v>0.40625</v>
      </c>
      <c r="C262" s="7">
        <v>10376</v>
      </c>
      <c r="D262" s="7" t="s">
        <v>12</v>
      </c>
      <c r="E262" s="7">
        <v>3000</v>
      </c>
      <c r="F262" s="7">
        <v>2700</v>
      </c>
      <c r="G262" s="8">
        <v>300</v>
      </c>
      <c r="H262" s="7" t="s">
        <v>10</v>
      </c>
      <c r="I262" s="7" t="s">
        <v>11</v>
      </c>
    </row>
    <row r="263" spans="1:10" ht="13.8">
      <c r="A263" s="5">
        <v>44791</v>
      </c>
      <c r="B263" s="6">
        <v>0.87777777777777799</v>
      </c>
      <c r="C263" s="7">
        <v>10406</v>
      </c>
      <c r="D263" s="7" t="s">
        <v>12</v>
      </c>
      <c r="E263" s="7">
        <v>3180</v>
      </c>
      <c r="F263" s="7">
        <v>2700</v>
      </c>
      <c r="G263" s="8">
        <v>480</v>
      </c>
      <c r="H263" s="7" t="s">
        <v>10</v>
      </c>
      <c r="I263" s="7" t="s">
        <v>11</v>
      </c>
    </row>
    <row r="264" spans="1:10" ht="13.8">
      <c r="A264" s="5">
        <v>44791</v>
      </c>
      <c r="B264" s="6">
        <v>0.69305555555555598</v>
      </c>
      <c r="C264" s="7">
        <v>10395</v>
      </c>
      <c r="D264" s="7" t="s">
        <v>9</v>
      </c>
      <c r="E264" s="7">
        <v>15140</v>
      </c>
      <c r="F264" s="7">
        <v>12760</v>
      </c>
      <c r="G264" s="8">
        <v>2380</v>
      </c>
      <c r="H264" s="7" t="s">
        <v>10</v>
      </c>
      <c r="I264" s="7" t="s">
        <v>11</v>
      </c>
    </row>
    <row r="265" spans="1:10" ht="13.8">
      <c r="A265" s="5">
        <v>44791</v>
      </c>
      <c r="B265" s="6">
        <v>0.86875000000000002</v>
      </c>
      <c r="C265" s="7">
        <v>10404</v>
      </c>
      <c r="D265" s="7" t="s">
        <v>13</v>
      </c>
      <c r="E265" s="7">
        <v>24500</v>
      </c>
      <c r="F265" s="7">
        <v>16080</v>
      </c>
      <c r="G265" s="8">
        <v>8420</v>
      </c>
      <c r="H265" s="7" t="s">
        <v>10</v>
      </c>
      <c r="I265" s="7" t="s">
        <v>11</v>
      </c>
    </row>
    <row r="266" spans="1:10" ht="13.8">
      <c r="A266" s="5">
        <v>44792</v>
      </c>
      <c r="B266" s="6">
        <v>0.178472222222222</v>
      </c>
      <c r="C266" s="7">
        <v>10418</v>
      </c>
      <c r="D266" s="7" t="s">
        <v>22</v>
      </c>
      <c r="E266" s="7">
        <v>20200</v>
      </c>
      <c r="F266" s="7">
        <v>12500</v>
      </c>
      <c r="G266" s="8">
        <v>7700</v>
      </c>
      <c r="H266" s="7" t="s">
        <v>10</v>
      </c>
      <c r="I266" s="7" t="s">
        <v>11</v>
      </c>
    </row>
    <row r="267" spans="1:10" ht="13.8">
      <c r="A267" s="5">
        <v>44792</v>
      </c>
      <c r="B267" s="6">
        <v>0.242361111111111</v>
      </c>
      <c r="C267" s="7">
        <v>10427</v>
      </c>
      <c r="D267" s="7" t="s">
        <v>22</v>
      </c>
      <c r="E267" s="7">
        <v>14800</v>
      </c>
      <c r="F267" s="7">
        <v>12480</v>
      </c>
      <c r="G267" s="8">
        <v>2320</v>
      </c>
      <c r="H267" s="7" t="s">
        <v>10</v>
      </c>
      <c r="I267" s="7" t="s">
        <v>11</v>
      </c>
    </row>
    <row r="268" spans="1:10" ht="13.8">
      <c r="A268" s="5">
        <v>44792</v>
      </c>
      <c r="B268" s="6">
        <v>0.241666666666667</v>
      </c>
      <c r="C268" s="7">
        <v>10426</v>
      </c>
      <c r="D268" s="7" t="s">
        <v>13</v>
      </c>
      <c r="E268" s="7">
        <v>22680</v>
      </c>
      <c r="F268" s="7">
        <v>16080</v>
      </c>
      <c r="G268" s="8">
        <v>6600</v>
      </c>
      <c r="H268" s="7" t="s">
        <v>10</v>
      </c>
      <c r="I268" s="7" t="s">
        <v>11</v>
      </c>
    </row>
    <row r="269" spans="1:10" ht="13.8">
      <c r="A269" s="5">
        <v>44792</v>
      </c>
      <c r="B269" s="6">
        <v>0.125694444444444</v>
      </c>
      <c r="C269" s="7">
        <v>10414</v>
      </c>
      <c r="D269" s="7" t="s">
        <v>13</v>
      </c>
      <c r="E269" s="7">
        <v>27080</v>
      </c>
      <c r="F269" s="7">
        <v>16080</v>
      </c>
      <c r="G269" s="8">
        <v>11000</v>
      </c>
      <c r="H269" s="7" t="s">
        <v>10</v>
      </c>
      <c r="I269" s="7" t="s">
        <v>11</v>
      </c>
    </row>
    <row r="270" spans="1:10" ht="13.8">
      <c r="A270" s="5">
        <v>44792</v>
      </c>
      <c r="B270" s="6">
        <v>0.24652777777777801</v>
      </c>
      <c r="C270" s="7">
        <v>10430</v>
      </c>
      <c r="D270" s="7" t="s">
        <v>18</v>
      </c>
      <c r="E270" s="7">
        <v>25460</v>
      </c>
      <c r="F270" s="7">
        <v>15700</v>
      </c>
      <c r="G270" s="8">
        <v>9760</v>
      </c>
      <c r="H270" s="7" t="s">
        <v>10</v>
      </c>
      <c r="I270" s="7" t="s">
        <v>11</v>
      </c>
    </row>
    <row r="271" spans="1:10" ht="13.8">
      <c r="A271" s="5">
        <v>44792</v>
      </c>
      <c r="B271" s="6">
        <v>0.233333333333333</v>
      </c>
      <c r="C271" s="7">
        <v>10423</v>
      </c>
      <c r="D271" s="7" t="s">
        <v>23</v>
      </c>
      <c r="E271" s="7">
        <v>4800</v>
      </c>
      <c r="F271" s="7">
        <v>3800</v>
      </c>
      <c r="G271" s="8">
        <v>1000</v>
      </c>
      <c r="H271" s="7" t="s">
        <v>10</v>
      </c>
      <c r="I271" s="7" t="s">
        <v>11</v>
      </c>
    </row>
    <row r="272" spans="1:10" ht="13.8">
      <c r="A272" s="5">
        <v>44792</v>
      </c>
      <c r="B272" s="6">
        <v>0.15138888888888899</v>
      </c>
      <c r="C272" s="7">
        <v>10417</v>
      </c>
      <c r="D272" s="7" t="s">
        <v>23</v>
      </c>
      <c r="E272" s="7">
        <v>4840</v>
      </c>
      <c r="F272" s="7">
        <v>3600</v>
      </c>
      <c r="G272" s="8">
        <v>1240</v>
      </c>
      <c r="H272" s="7" t="s">
        <v>10</v>
      </c>
      <c r="I272" s="7" t="s">
        <v>11</v>
      </c>
    </row>
    <row r="273" spans="1:10" ht="13.8">
      <c r="A273" s="5">
        <v>44792</v>
      </c>
      <c r="B273" s="6">
        <v>2.0138888888888901E-2</v>
      </c>
      <c r="C273" s="7">
        <v>10407</v>
      </c>
      <c r="D273" s="7" t="s">
        <v>22</v>
      </c>
      <c r="E273" s="7">
        <v>15020</v>
      </c>
      <c r="F273" s="7">
        <v>12380</v>
      </c>
      <c r="G273" s="8">
        <v>2640</v>
      </c>
      <c r="H273" s="7" t="s">
        <v>10</v>
      </c>
      <c r="I273" s="7" t="s">
        <v>11</v>
      </c>
    </row>
    <row r="274" spans="1:10" ht="13.8">
      <c r="A274" s="5">
        <v>44792</v>
      </c>
      <c r="B274" s="6">
        <v>0.21319444444444399</v>
      </c>
      <c r="C274" s="7">
        <v>10421</v>
      </c>
      <c r="D274" s="7" t="s">
        <v>12</v>
      </c>
      <c r="E274" s="7">
        <v>3220</v>
      </c>
      <c r="F274" s="7">
        <v>2700</v>
      </c>
      <c r="G274" s="8">
        <v>520</v>
      </c>
      <c r="H274" s="7" t="s">
        <v>10</v>
      </c>
      <c r="I274" s="7" t="s">
        <v>11</v>
      </c>
    </row>
    <row r="275" spans="1:10" ht="13.8">
      <c r="A275" s="5">
        <v>44792</v>
      </c>
      <c r="B275" s="6">
        <v>5.3472222222222199E-2</v>
      </c>
      <c r="C275" s="7">
        <v>10408</v>
      </c>
      <c r="D275" s="7" t="s">
        <v>9</v>
      </c>
      <c r="E275" s="7">
        <v>22040</v>
      </c>
      <c r="F275" s="7">
        <v>12800</v>
      </c>
      <c r="G275" s="8">
        <v>9240</v>
      </c>
      <c r="H275" s="7" t="s">
        <v>10</v>
      </c>
      <c r="I275" s="7" t="s">
        <v>11</v>
      </c>
    </row>
    <row r="276" spans="1:10" ht="13.8">
      <c r="A276" s="5">
        <v>44792</v>
      </c>
      <c r="B276" s="6">
        <v>0.84583333333333299</v>
      </c>
      <c r="C276" s="7">
        <v>10478</v>
      </c>
      <c r="D276" s="7" t="s">
        <v>12</v>
      </c>
      <c r="E276" s="7">
        <v>3160</v>
      </c>
      <c r="F276" s="7">
        <v>2680</v>
      </c>
      <c r="G276" s="8">
        <v>480</v>
      </c>
      <c r="H276" s="7" t="s">
        <v>10</v>
      </c>
      <c r="I276" s="7" t="s">
        <v>11</v>
      </c>
    </row>
    <row r="277" spans="1:10" ht="13.8">
      <c r="A277" s="5">
        <v>44792</v>
      </c>
      <c r="B277" s="6">
        <v>0.69930555555555596</v>
      </c>
      <c r="C277" s="7">
        <v>10469</v>
      </c>
      <c r="D277" s="7" t="s">
        <v>9</v>
      </c>
      <c r="E277" s="7">
        <v>15900</v>
      </c>
      <c r="F277" s="7">
        <v>12700</v>
      </c>
      <c r="G277" s="8">
        <v>3200</v>
      </c>
      <c r="H277" s="7" t="s">
        <v>10</v>
      </c>
      <c r="I277" s="7" t="s">
        <v>11</v>
      </c>
    </row>
    <row r="278" spans="1:10" ht="13.8">
      <c r="A278" s="5">
        <v>44792</v>
      </c>
      <c r="B278" s="6">
        <v>0.38402777777777802</v>
      </c>
      <c r="C278" s="7">
        <v>10446</v>
      </c>
      <c r="D278" s="7" t="s">
        <v>14</v>
      </c>
      <c r="E278" s="7">
        <v>3580</v>
      </c>
      <c r="F278" s="7">
        <v>2840</v>
      </c>
      <c r="G278" s="8">
        <v>740</v>
      </c>
      <c r="H278" s="7" t="s">
        <v>10</v>
      </c>
      <c r="I278" s="7" t="s">
        <v>11</v>
      </c>
    </row>
    <row r="279" spans="1:10" ht="13.8">
      <c r="A279" s="5">
        <v>44792</v>
      </c>
      <c r="B279" s="6">
        <v>0.88263888888888897</v>
      </c>
      <c r="C279" s="7">
        <v>10479</v>
      </c>
      <c r="D279" s="7" t="s">
        <v>14</v>
      </c>
      <c r="E279" s="7">
        <v>3120</v>
      </c>
      <c r="F279" s="7">
        <v>2820</v>
      </c>
      <c r="G279" s="8">
        <v>300</v>
      </c>
      <c r="H279" s="7" t="s">
        <v>10</v>
      </c>
      <c r="I279" s="7" t="s">
        <v>11</v>
      </c>
    </row>
    <row r="280" spans="1:10" ht="13.8">
      <c r="A280" s="5">
        <v>44792</v>
      </c>
      <c r="B280" s="6">
        <v>0.89236111111111105</v>
      </c>
      <c r="C280" s="7">
        <v>10480</v>
      </c>
      <c r="D280" s="7" t="s">
        <v>13</v>
      </c>
      <c r="E280" s="7">
        <v>26960</v>
      </c>
      <c r="F280" s="7">
        <v>15940</v>
      </c>
      <c r="G280" s="8">
        <v>11020</v>
      </c>
      <c r="H280" s="7" t="s">
        <v>10</v>
      </c>
      <c r="I280" s="7" t="s">
        <v>11</v>
      </c>
    </row>
    <row r="281" spans="1:10" ht="13.8">
      <c r="A281" s="5">
        <v>44792</v>
      </c>
      <c r="B281" s="6">
        <v>0.42708333333333298</v>
      </c>
      <c r="C281" s="7">
        <v>10452</v>
      </c>
      <c r="D281" s="7" t="s">
        <v>19</v>
      </c>
      <c r="E281" s="7">
        <v>17600</v>
      </c>
      <c r="F281" s="7">
        <v>16040</v>
      </c>
      <c r="G281" s="8">
        <v>1560</v>
      </c>
      <c r="H281" s="7" t="s">
        <v>10</v>
      </c>
      <c r="I281" s="7" t="s">
        <v>16</v>
      </c>
    </row>
    <row r="282" spans="1:10" ht="13.8">
      <c r="A282" s="5">
        <v>44792</v>
      </c>
      <c r="B282" s="6">
        <v>0.28333333333333299</v>
      </c>
      <c r="C282" s="7">
        <v>10437</v>
      </c>
      <c r="D282" s="7" t="s">
        <v>17</v>
      </c>
      <c r="E282" s="7">
        <v>2640</v>
      </c>
      <c r="F282" s="7">
        <v>2400</v>
      </c>
      <c r="G282" s="8">
        <v>240</v>
      </c>
      <c r="H282" s="7" t="s">
        <v>10</v>
      </c>
      <c r="I282" s="7" t="s">
        <v>11</v>
      </c>
    </row>
    <row r="283" spans="1:10" ht="13.8">
      <c r="A283" s="5">
        <v>44792</v>
      </c>
      <c r="B283" s="6">
        <v>0.47638888888888897</v>
      </c>
      <c r="C283" s="7">
        <v>10456</v>
      </c>
      <c r="D283" s="7" t="s">
        <v>17</v>
      </c>
      <c r="E283" s="7">
        <v>2740</v>
      </c>
      <c r="F283" s="7">
        <v>2400</v>
      </c>
      <c r="G283" s="8">
        <v>340</v>
      </c>
      <c r="H283" s="7" t="s">
        <v>10</v>
      </c>
      <c r="I283" s="7" t="s">
        <v>11</v>
      </c>
    </row>
    <row r="284" spans="1:10" ht="13.8">
      <c r="A284" s="5">
        <v>44792</v>
      </c>
      <c r="B284" s="6">
        <v>0.51180555555555496</v>
      </c>
      <c r="C284" s="7">
        <v>3300</v>
      </c>
      <c r="D284" s="7" t="s">
        <v>13</v>
      </c>
      <c r="E284" s="7">
        <v>18060</v>
      </c>
      <c r="F284" s="7">
        <v>16000</v>
      </c>
      <c r="G284" s="8">
        <v>2060</v>
      </c>
      <c r="H284" s="7" t="s">
        <v>10</v>
      </c>
      <c r="I284" s="7" t="s">
        <v>21</v>
      </c>
      <c r="J284" s="9"/>
    </row>
    <row r="285" spans="1:10" ht="13.8">
      <c r="A285" s="5">
        <v>44793</v>
      </c>
      <c r="B285" s="6">
        <v>0.50763888888888897</v>
      </c>
      <c r="C285" s="7">
        <v>10519</v>
      </c>
      <c r="D285" s="7" t="s">
        <v>13</v>
      </c>
      <c r="E285" s="7">
        <v>17980</v>
      </c>
      <c r="F285" s="7">
        <v>15860</v>
      </c>
      <c r="G285" s="8">
        <v>2120</v>
      </c>
      <c r="H285" s="7" t="s">
        <v>10</v>
      </c>
      <c r="I285" s="7" t="s">
        <v>11</v>
      </c>
    </row>
    <row r="286" spans="1:10" ht="13.8">
      <c r="A286" s="5">
        <v>44793</v>
      </c>
      <c r="B286" s="6">
        <v>0.15</v>
      </c>
      <c r="C286" s="7">
        <v>10489</v>
      </c>
      <c r="D286" s="7" t="s">
        <v>23</v>
      </c>
      <c r="E286" s="7">
        <v>4800</v>
      </c>
      <c r="F286" s="7">
        <v>3600</v>
      </c>
      <c r="G286" s="8">
        <v>1200</v>
      </c>
      <c r="H286" s="7" t="s">
        <v>10</v>
      </c>
      <c r="I286" s="7" t="s">
        <v>11</v>
      </c>
    </row>
    <row r="287" spans="1:10" ht="13.8">
      <c r="A287" s="5">
        <v>44793</v>
      </c>
      <c r="B287" s="6">
        <v>0.37638888888888899</v>
      </c>
      <c r="C287" s="7">
        <v>10511</v>
      </c>
      <c r="D287" s="7" t="s">
        <v>14</v>
      </c>
      <c r="E287" s="7">
        <v>3260</v>
      </c>
      <c r="F287" s="7">
        <v>2820</v>
      </c>
      <c r="G287" s="8">
        <v>440</v>
      </c>
      <c r="H287" s="7" t="s">
        <v>10</v>
      </c>
      <c r="I287" s="7" t="s">
        <v>11</v>
      </c>
    </row>
    <row r="288" spans="1:10" ht="13.8">
      <c r="A288" s="5">
        <v>44793</v>
      </c>
      <c r="B288" s="6">
        <v>0.24722222222222201</v>
      </c>
      <c r="C288" s="7">
        <v>10500</v>
      </c>
      <c r="D288" s="7" t="s">
        <v>18</v>
      </c>
      <c r="E288" s="7">
        <v>24140</v>
      </c>
      <c r="F288" s="7">
        <v>15660</v>
      </c>
      <c r="G288" s="8">
        <v>8480</v>
      </c>
      <c r="H288" s="7" t="s">
        <v>10</v>
      </c>
      <c r="I288" s="7" t="s">
        <v>11</v>
      </c>
    </row>
    <row r="289" spans="1:9" ht="13.8">
      <c r="A289" s="5">
        <v>44793</v>
      </c>
      <c r="B289" s="6">
        <v>0.46180555555555602</v>
      </c>
      <c r="C289" s="7">
        <v>10518</v>
      </c>
      <c r="D289" s="7" t="s">
        <v>17</v>
      </c>
      <c r="E289" s="7">
        <v>2560</v>
      </c>
      <c r="F289" s="7">
        <v>2380</v>
      </c>
      <c r="G289" s="8">
        <v>180</v>
      </c>
      <c r="H289" s="7" t="s">
        <v>10</v>
      </c>
      <c r="I289" s="7" t="s">
        <v>11</v>
      </c>
    </row>
    <row r="290" spans="1:9" ht="13.8">
      <c r="A290" s="5">
        <v>44793</v>
      </c>
      <c r="B290" s="6">
        <v>0.84097222222222201</v>
      </c>
      <c r="C290" s="7">
        <v>10522</v>
      </c>
      <c r="D290" s="7" t="s">
        <v>14</v>
      </c>
      <c r="E290" s="7">
        <v>3040</v>
      </c>
      <c r="F290" s="7">
        <v>2800</v>
      </c>
      <c r="G290" s="8">
        <v>240</v>
      </c>
      <c r="H290" s="7" t="s">
        <v>10</v>
      </c>
      <c r="I290" s="7" t="s">
        <v>11</v>
      </c>
    </row>
    <row r="291" spans="1:9" ht="13.8">
      <c r="A291" s="5">
        <v>44793</v>
      </c>
      <c r="B291" s="6">
        <v>0.42708333333333298</v>
      </c>
      <c r="C291" s="7">
        <v>10515</v>
      </c>
      <c r="D291" s="7" t="s">
        <v>15</v>
      </c>
      <c r="E291" s="7">
        <v>6520</v>
      </c>
      <c r="F291" s="7">
        <v>5660</v>
      </c>
      <c r="G291" s="8">
        <v>860</v>
      </c>
      <c r="H291" s="7" t="s">
        <v>10</v>
      </c>
      <c r="I291" s="7" t="s">
        <v>16</v>
      </c>
    </row>
    <row r="292" spans="1:9" ht="13.8">
      <c r="A292" s="5">
        <v>44793</v>
      </c>
      <c r="B292" s="6">
        <v>0.874305555555556</v>
      </c>
      <c r="C292" s="7">
        <v>10524</v>
      </c>
      <c r="D292" s="7" t="s">
        <v>13</v>
      </c>
      <c r="E292" s="7">
        <v>24040</v>
      </c>
      <c r="F292" s="7">
        <v>16040</v>
      </c>
      <c r="G292" s="8">
        <v>8000</v>
      </c>
      <c r="H292" s="7" t="s">
        <v>10</v>
      </c>
      <c r="I292" s="7" t="s">
        <v>11</v>
      </c>
    </row>
    <row r="293" spans="1:9" ht="13.8">
      <c r="A293" s="5">
        <v>44793</v>
      </c>
      <c r="B293" s="6">
        <v>0.87291666666666701</v>
      </c>
      <c r="C293" s="7">
        <v>10523</v>
      </c>
      <c r="D293" s="7" t="s">
        <v>12</v>
      </c>
      <c r="E293" s="7">
        <v>3240</v>
      </c>
      <c r="F293" s="7">
        <v>2700</v>
      </c>
      <c r="G293" s="8">
        <v>540</v>
      </c>
      <c r="H293" s="7" t="s">
        <v>10</v>
      </c>
      <c r="I293" s="7" t="s">
        <v>11</v>
      </c>
    </row>
    <row r="294" spans="1:9" ht="13.8">
      <c r="A294" s="5">
        <v>44793</v>
      </c>
      <c r="B294" s="6">
        <v>0.37708333333333299</v>
      </c>
      <c r="C294" s="7">
        <v>10512</v>
      </c>
      <c r="D294" s="7" t="s">
        <v>12</v>
      </c>
      <c r="E294" s="7">
        <v>3180</v>
      </c>
      <c r="F294" s="7">
        <v>2680</v>
      </c>
      <c r="G294" s="8">
        <v>500</v>
      </c>
      <c r="H294" s="7" t="s">
        <v>10</v>
      </c>
      <c r="I294" s="7" t="s">
        <v>11</v>
      </c>
    </row>
    <row r="295" spans="1:9" ht="13.8">
      <c r="A295" s="5">
        <v>44793</v>
      </c>
      <c r="B295" s="6">
        <v>0.113194444444444</v>
      </c>
      <c r="C295" s="7">
        <v>10485</v>
      </c>
      <c r="D295" s="7" t="s">
        <v>13</v>
      </c>
      <c r="E295" s="7">
        <v>26920</v>
      </c>
      <c r="F295" s="7">
        <v>15960</v>
      </c>
      <c r="G295" s="8">
        <v>10960</v>
      </c>
      <c r="H295" s="7" t="s">
        <v>10</v>
      </c>
      <c r="I295" s="7" t="s">
        <v>11</v>
      </c>
    </row>
    <row r="296" spans="1:9" ht="13.8">
      <c r="A296" s="5">
        <v>44793</v>
      </c>
      <c r="B296" s="6">
        <v>3.6805555555555598E-2</v>
      </c>
      <c r="C296" s="7">
        <v>10482</v>
      </c>
      <c r="D296" s="7" t="s">
        <v>9</v>
      </c>
      <c r="E296" s="7">
        <v>21220</v>
      </c>
      <c r="F296" s="7">
        <v>12920</v>
      </c>
      <c r="G296" s="8">
        <v>8300</v>
      </c>
      <c r="H296" s="7" t="s">
        <v>10</v>
      </c>
      <c r="I296" s="7" t="s">
        <v>11</v>
      </c>
    </row>
    <row r="297" spans="1:9" ht="13.8">
      <c r="A297" s="5">
        <v>44793</v>
      </c>
      <c r="B297" s="6">
        <v>0.132638888888889</v>
      </c>
      <c r="C297" s="7">
        <v>10488</v>
      </c>
      <c r="D297" s="7" t="s">
        <v>9</v>
      </c>
      <c r="E297" s="7">
        <v>21880</v>
      </c>
      <c r="F297" s="7">
        <v>12720</v>
      </c>
      <c r="G297" s="8">
        <v>9160</v>
      </c>
      <c r="H297" s="7" t="s">
        <v>10</v>
      </c>
      <c r="I297" s="7" t="s">
        <v>11</v>
      </c>
    </row>
    <row r="298" spans="1:9" ht="13.8">
      <c r="A298" s="5">
        <v>44793</v>
      </c>
      <c r="B298" s="6">
        <v>0.24513888888888899</v>
      </c>
      <c r="C298" s="7">
        <v>10497</v>
      </c>
      <c r="D298" s="7" t="s">
        <v>9</v>
      </c>
      <c r="E298" s="7">
        <v>17400</v>
      </c>
      <c r="F298" s="7">
        <v>12720</v>
      </c>
      <c r="G298" s="8">
        <v>4680</v>
      </c>
      <c r="H298" s="7" t="s">
        <v>10</v>
      </c>
      <c r="I298" s="7" t="s">
        <v>11</v>
      </c>
    </row>
    <row r="299" spans="1:9" ht="13.8">
      <c r="A299" s="5">
        <v>44793</v>
      </c>
      <c r="B299" s="6">
        <v>0.22222222222222199</v>
      </c>
      <c r="C299" s="7">
        <v>10494</v>
      </c>
      <c r="D299" s="7" t="s">
        <v>12</v>
      </c>
      <c r="E299" s="7">
        <v>3040</v>
      </c>
      <c r="F299" s="7">
        <v>2800</v>
      </c>
      <c r="G299" s="8">
        <v>240</v>
      </c>
      <c r="H299" s="7" t="s">
        <v>10</v>
      </c>
      <c r="I299" s="7" t="s">
        <v>11</v>
      </c>
    </row>
    <row r="300" spans="1:9" ht="13.8">
      <c r="A300" s="5">
        <v>44793</v>
      </c>
      <c r="B300" s="6">
        <v>0.718055555555556</v>
      </c>
      <c r="C300" s="7">
        <v>10521</v>
      </c>
      <c r="D300" s="7" t="s">
        <v>9</v>
      </c>
      <c r="E300" s="7">
        <v>15720</v>
      </c>
      <c r="F300" s="7">
        <v>12760</v>
      </c>
      <c r="G300" s="8">
        <v>2960</v>
      </c>
      <c r="H300" s="7" t="s">
        <v>10</v>
      </c>
      <c r="I300" s="7" t="s">
        <v>11</v>
      </c>
    </row>
    <row r="301" spans="1:9" ht="13.8">
      <c r="A301" s="5">
        <v>44793</v>
      </c>
      <c r="B301" s="6">
        <v>0.22083333333333299</v>
      </c>
      <c r="C301" s="7">
        <v>10493</v>
      </c>
      <c r="D301" s="7" t="s">
        <v>23</v>
      </c>
      <c r="E301" s="7">
        <v>4620</v>
      </c>
      <c r="F301" s="7">
        <v>3660</v>
      </c>
      <c r="G301" s="8">
        <v>960</v>
      </c>
      <c r="H301" s="7" t="s">
        <v>10</v>
      </c>
      <c r="I301" s="7" t="s">
        <v>11</v>
      </c>
    </row>
    <row r="302" spans="1:9" ht="13.8">
      <c r="A302" s="5">
        <v>44794</v>
      </c>
      <c r="B302" s="6">
        <v>0.68611111111111101</v>
      </c>
      <c r="C302" s="7">
        <v>10554</v>
      </c>
      <c r="D302" s="7" t="s">
        <v>9</v>
      </c>
      <c r="E302" s="7">
        <v>15020</v>
      </c>
      <c r="F302" s="7">
        <v>12720</v>
      </c>
      <c r="G302" s="8">
        <v>2300</v>
      </c>
      <c r="H302" s="7" t="s">
        <v>10</v>
      </c>
      <c r="I302" s="7" t="s">
        <v>11</v>
      </c>
    </row>
    <row r="303" spans="1:9" ht="13.8">
      <c r="A303" s="5">
        <v>44794</v>
      </c>
      <c r="B303" s="6">
        <v>0.113194444444444</v>
      </c>
      <c r="C303" s="7">
        <v>10530</v>
      </c>
      <c r="D303" s="7" t="s">
        <v>12</v>
      </c>
      <c r="E303" s="7">
        <v>2800</v>
      </c>
      <c r="F303" s="7">
        <v>2720</v>
      </c>
      <c r="G303" s="8">
        <v>80</v>
      </c>
      <c r="H303" s="7" t="s">
        <v>10</v>
      </c>
      <c r="I303" s="7" t="s">
        <v>11</v>
      </c>
    </row>
    <row r="304" spans="1:9" ht="13.8">
      <c r="A304" s="5">
        <v>44794</v>
      </c>
      <c r="B304" s="6">
        <v>0.24861111111111101</v>
      </c>
      <c r="C304" s="7">
        <v>10544</v>
      </c>
      <c r="D304" s="7" t="s">
        <v>14</v>
      </c>
      <c r="E304" s="7">
        <v>3640</v>
      </c>
      <c r="F304" s="7">
        <v>2860</v>
      </c>
      <c r="G304" s="8">
        <v>780</v>
      </c>
      <c r="H304" s="7" t="s">
        <v>10</v>
      </c>
      <c r="I304" s="7" t="s">
        <v>11</v>
      </c>
    </row>
    <row r="305" spans="1:9" ht="13.8">
      <c r="A305" s="5">
        <v>44794</v>
      </c>
      <c r="B305" s="6">
        <v>0.452777777777778</v>
      </c>
      <c r="C305" s="7">
        <v>10552</v>
      </c>
      <c r="D305" s="7" t="s">
        <v>17</v>
      </c>
      <c r="E305" s="7">
        <v>2800</v>
      </c>
      <c r="F305" s="7">
        <v>2460</v>
      </c>
      <c r="G305" s="8">
        <v>340</v>
      </c>
      <c r="H305" s="7" t="s">
        <v>10</v>
      </c>
      <c r="I305" s="7" t="s">
        <v>11</v>
      </c>
    </row>
    <row r="306" spans="1:9" ht="13.8">
      <c r="A306" s="5">
        <v>44794</v>
      </c>
      <c r="B306" s="6">
        <v>0.125</v>
      </c>
      <c r="C306" s="7">
        <v>10533</v>
      </c>
      <c r="D306" s="7" t="s">
        <v>9</v>
      </c>
      <c r="E306" s="7">
        <v>21680</v>
      </c>
      <c r="F306" s="7">
        <v>12800</v>
      </c>
      <c r="G306" s="8">
        <v>8880</v>
      </c>
      <c r="H306" s="7" t="s">
        <v>10</v>
      </c>
      <c r="I306" s="7" t="s">
        <v>11</v>
      </c>
    </row>
    <row r="307" spans="1:9" ht="13.8">
      <c r="A307" s="5">
        <v>44794</v>
      </c>
      <c r="B307" s="6">
        <v>2.9166666666666698E-2</v>
      </c>
      <c r="C307" s="7">
        <v>10526</v>
      </c>
      <c r="D307" s="7" t="s">
        <v>9</v>
      </c>
      <c r="E307" s="7">
        <v>21400</v>
      </c>
      <c r="F307" s="7">
        <v>13000</v>
      </c>
      <c r="G307" s="8">
        <v>8400</v>
      </c>
      <c r="H307" s="7" t="s">
        <v>10</v>
      </c>
      <c r="I307" s="7" t="s">
        <v>11</v>
      </c>
    </row>
    <row r="308" spans="1:9" ht="13.8">
      <c r="A308" s="5">
        <v>44794</v>
      </c>
      <c r="B308" s="6">
        <v>0.242361111111111</v>
      </c>
      <c r="C308" s="7">
        <v>10541</v>
      </c>
      <c r="D308" s="7" t="s">
        <v>9</v>
      </c>
      <c r="E308" s="7">
        <v>17520</v>
      </c>
      <c r="F308" s="7">
        <v>12780</v>
      </c>
      <c r="G308" s="8">
        <v>4740</v>
      </c>
      <c r="H308" s="7" t="s">
        <v>10</v>
      </c>
      <c r="I308" s="7" t="s">
        <v>11</v>
      </c>
    </row>
    <row r="309" spans="1:9" ht="13.8">
      <c r="A309" s="5">
        <v>44794</v>
      </c>
      <c r="B309" s="6">
        <v>0.24027777777777801</v>
      </c>
      <c r="C309" s="7">
        <v>10540</v>
      </c>
      <c r="D309" s="7" t="s">
        <v>18</v>
      </c>
      <c r="E309" s="7">
        <v>27780</v>
      </c>
      <c r="F309" s="7">
        <v>15700</v>
      </c>
      <c r="G309" s="8">
        <v>12080</v>
      </c>
      <c r="H309" s="7" t="s">
        <v>10</v>
      </c>
      <c r="I309" s="7" t="s">
        <v>11</v>
      </c>
    </row>
    <row r="310" spans="1:9" ht="13.8">
      <c r="A310" s="5">
        <v>44794</v>
      </c>
      <c r="B310" s="6">
        <v>0.46319444444444402</v>
      </c>
      <c r="C310" s="7">
        <v>10553</v>
      </c>
      <c r="D310" s="7" t="s">
        <v>14</v>
      </c>
      <c r="E310" s="7">
        <v>3400</v>
      </c>
      <c r="F310" s="7">
        <v>2840</v>
      </c>
      <c r="G310" s="8">
        <v>560</v>
      </c>
      <c r="H310" s="7" t="s">
        <v>10</v>
      </c>
      <c r="I310" s="7" t="s">
        <v>11</v>
      </c>
    </row>
    <row r="311" spans="1:9" ht="13.8">
      <c r="A311" s="5">
        <v>44794</v>
      </c>
      <c r="B311" s="6">
        <v>0.13888888888888901</v>
      </c>
      <c r="C311" s="7">
        <v>10535</v>
      </c>
      <c r="D311" s="7" t="s">
        <v>13</v>
      </c>
      <c r="E311" s="7">
        <v>27100</v>
      </c>
      <c r="F311" s="7">
        <v>16040</v>
      </c>
      <c r="G311" s="8">
        <v>11060</v>
      </c>
      <c r="H311" s="7" t="s">
        <v>10</v>
      </c>
      <c r="I311" s="7" t="s">
        <v>11</v>
      </c>
    </row>
    <row r="312" spans="1:9" ht="13.8">
      <c r="A312" s="5">
        <v>44794</v>
      </c>
      <c r="B312" s="6">
        <v>0.86180555555555605</v>
      </c>
      <c r="C312" s="7">
        <v>10555</v>
      </c>
      <c r="D312" s="7" t="s">
        <v>14</v>
      </c>
      <c r="E312" s="7">
        <v>3180</v>
      </c>
      <c r="F312" s="7">
        <v>2820</v>
      </c>
      <c r="G312" s="8">
        <v>360</v>
      </c>
      <c r="H312" s="7" t="s">
        <v>10</v>
      </c>
      <c r="I312" s="7" t="s">
        <v>11</v>
      </c>
    </row>
    <row r="313" spans="1:9" ht="13.8">
      <c r="A313" s="5">
        <v>44794</v>
      </c>
      <c r="B313" s="6">
        <v>0.98194444444444395</v>
      </c>
      <c r="C313" s="7">
        <v>10557</v>
      </c>
      <c r="D313" s="7" t="s">
        <v>22</v>
      </c>
      <c r="E313" s="7">
        <v>16760</v>
      </c>
      <c r="F313" s="7">
        <v>12480</v>
      </c>
      <c r="G313" s="8">
        <v>4280</v>
      </c>
      <c r="H313" s="7" t="s">
        <v>10</v>
      </c>
      <c r="I313" s="7" t="s">
        <v>11</v>
      </c>
    </row>
    <row r="314" spans="1:9" ht="13.8">
      <c r="A314" s="5">
        <v>44794</v>
      </c>
      <c r="B314" s="6">
        <v>0.14583333333333301</v>
      </c>
      <c r="C314" s="7">
        <v>10536</v>
      </c>
      <c r="D314" s="7" t="s">
        <v>14</v>
      </c>
      <c r="E314" s="7">
        <v>3360</v>
      </c>
      <c r="F314" s="7">
        <v>2820</v>
      </c>
      <c r="G314" s="8">
        <v>540</v>
      </c>
      <c r="H314" s="7" t="s">
        <v>10</v>
      </c>
      <c r="I314" s="7" t="s">
        <v>11</v>
      </c>
    </row>
    <row r="315" spans="1:9" ht="13.8">
      <c r="A315" s="5">
        <v>44794</v>
      </c>
      <c r="B315" s="6">
        <v>0.22152777777777799</v>
      </c>
      <c r="C315" s="7">
        <v>10539</v>
      </c>
      <c r="D315" s="7" t="s">
        <v>12</v>
      </c>
      <c r="E315" s="7">
        <v>3460</v>
      </c>
      <c r="F315" s="7">
        <v>2900</v>
      </c>
      <c r="G315" s="8">
        <v>560</v>
      </c>
      <c r="H315" s="7" t="s">
        <v>10</v>
      </c>
      <c r="I315" s="7" t="s">
        <v>11</v>
      </c>
    </row>
    <row r="316" spans="1:9" ht="13.8">
      <c r="A316" s="5">
        <v>44794</v>
      </c>
      <c r="B316" s="6">
        <v>0.87291666666666701</v>
      </c>
      <c r="C316" s="7">
        <v>10556</v>
      </c>
      <c r="D316" s="7" t="s">
        <v>12</v>
      </c>
      <c r="E316" s="7">
        <v>3260</v>
      </c>
      <c r="F316" s="7">
        <v>2700</v>
      </c>
      <c r="G316" s="8">
        <v>560</v>
      </c>
      <c r="H316" s="7" t="s">
        <v>10</v>
      </c>
      <c r="I316" s="7" t="s">
        <v>11</v>
      </c>
    </row>
    <row r="317" spans="1:9" ht="13.8">
      <c r="A317" s="5">
        <v>44795</v>
      </c>
      <c r="B317" s="6">
        <v>0.25347222222222199</v>
      </c>
      <c r="C317" s="7">
        <v>10583</v>
      </c>
      <c r="D317" s="7" t="s">
        <v>13</v>
      </c>
      <c r="E317" s="7">
        <v>18000</v>
      </c>
      <c r="F317" s="7">
        <v>15920</v>
      </c>
      <c r="G317" s="8">
        <v>2080</v>
      </c>
      <c r="H317" s="7" t="s">
        <v>10</v>
      </c>
      <c r="I317" s="7" t="s">
        <v>11</v>
      </c>
    </row>
    <row r="318" spans="1:9" ht="13.8">
      <c r="A318" s="5">
        <v>44795</v>
      </c>
      <c r="B318" s="6">
        <v>0.15138888888888899</v>
      </c>
      <c r="C318" s="7">
        <v>10571</v>
      </c>
      <c r="D318" s="7" t="s">
        <v>13</v>
      </c>
      <c r="E318" s="7">
        <v>27560</v>
      </c>
      <c r="F318" s="7">
        <v>15940</v>
      </c>
      <c r="G318" s="8">
        <v>11620</v>
      </c>
      <c r="H318" s="7" t="s">
        <v>10</v>
      </c>
      <c r="I318" s="7" t="s">
        <v>11</v>
      </c>
    </row>
    <row r="319" spans="1:9" ht="13.8">
      <c r="A319" s="5">
        <v>44795</v>
      </c>
      <c r="B319" s="6">
        <v>0.20902777777777801</v>
      </c>
      <c r="C319" s="7">
        <v>10575</v>
      </c>
      <c r="D319" s="7" t="s">
        <v>12</v>
      </c>
      <c r="E319" s="7">
        <v>2980</v>
      </c>
      <c r="F319" s="7">
        <v>2800</v>
      </c>
      <c r="G319" s="8">
        <v>180</v>
      </c>
      <c r="H319" s="7" t="s">
        <v>10</v>
      </c>
      <c r="I319" s="7" t="s">
        <v>11</v>
      </c>
    </row>
    <row r="320" spans="1:9" ht="13.8">
      <c r="A320" s="5">
        <v>44795</v>
      </c>
      <c r="B320" s="6">
        <v>0.13750000000000001</v>
      </c>
      <c r="C320" s="7">
        <v>10570</v>
      </c>
      <c r="D320" s="7" t="s">
        <v>18</v>
      </c>
      <c r="E320" s="7">
        <v>26580</v>
      </c>
      <c r="F320" s="7">
        <v>15840</v>
      </c>
      <c r="G320" s="8">
        <v>10740</v>
      </c>
      <c r="H320" s="7" t="s">
        <v>10</v>
      </c>
      <c r="I320" s="7" t="s">
        <v>11</v>
      </c>
    </row>
    <row r="321" spans="1:10" ht="13.8">
      <c r="A321" s="5">
        <v>44795</v>
      </c>
      <c r="B321" s="6">
        <v>0.24861111111111101</v>
      </c>
      <c r="C321" s="7">
        <v>10582</v>
      </c>
      <c r="D321" s="7" t="s">
        <v>18</v>
      </c>
      <c r="E321" s="7">
        <v>18820</v>
      </c>
      <c r="F321" s="7">
        <v>15800</v>
      </c>
      <c r="G321" s="8">
        <v>3020</v>
      </c>
      <c r="H321" s="7" t="s">
        <v>10</v>
      </c>
      <c r="I321" s="7" t="s">
        <v>11</v>
      </c>
    </row>
    <row r="322" spans="1:10" ht="13.8">
      <c r="A322" s="5">
        <v>44795</v>
      </c>
      <c r="B322" s="6">
        <v>0.124305555555556</v>
      </c>
      <c r="C322" s="7">
        <v>10566</v>
      </c>
      <c r="D322" s="7" t="s">
        <v>23</v>
      </c>
      <c r="E322" s="7">
        <v>4800</v>
      </c>
      <c r="F322" s="7">
        <v>3600</v>
      </c>
      <c r="G322" s="8">
        <v>1200</v>
      </c>
      <c r="H322" s="7" t="s">
        <v>10</v>
      </c>
      <c r="I322" s="7" t="s">
        <v>11</v>
      </c>
    </row>
    <row r="323" spans="1:10" ht="13.8">
      <c r="A323" s="5">
        <v>44795</v>
      </c>
      <c r="B323" s="6">
        <v>0.211805555555556</v>
      </c>
      <c r="C323" s="7">
        <v>10576</v>
      </c>
      <c r="D323" s="7" t="s">
        <v>23</v>
      </c>
      <c r="E323" s="7">
        <v>4320</v>
      </c>
      <c r="F323" s="7">
        <v>3680</v>
      </c>
      <c r="G323" s="8">
        <v>640</v>
      </c>
      <c r="H323" s="7" t="s">
        <v>10</v>
      </c>
      <c r="I323" s="7" t="s">
        <v>11</v>
      </c>
    </row>
    <row r="324" spans="1:10" ht="13.8">
      <c r="A324" s="5">
        <v>44795</v>
      </c>
      <c r="B324" s="6">
        <v>0.120833333333333</v>
      </c>
      <c r="C324" s="7">
        <v>10565</v>
      </c>
      <c r="D324" s="7" t="s">
        <v>9</v>
      </c>
      <c r="E324" s="7">
        <v>20740</v>
      </c>
      <c r="F324" s="7">
        <v>12740</v>
      </c>
      <c r="G324" s="8">
        <v>8000</v>
      </c>
      <c r="H324" s="7" t="s">
        <v>10</v>
      </c>
      <c r="I324" s="7" t="s">
        <v>11</v>
      </c>
    </row>
    <row r="325" spans="1:10" ht="13.8">
      <c r="A325" s="5">
        <v>44795</v>
      </c>
      <c r="B325" s="6">
        <v>3.05555555555556E-2</v>
      </c>
      <c r="C325" s="7">
        <v>10559</v>
      </c>
      <c r="D325" s="7" t="s">
        <v>9</v>
      </c>
      <c r="E325" s="7">
        <v>20920</v>
      </c>
      <c r="F325" s="7">
        <v>12940</v>
      </c>
      <c r="G325" s="8">
        <v>7980</v>
      </c>
      <c r="H325" s="7" t="s">
        <v>10</v>
      </c>
      <c r="I325" s="7" t="s">
        <v>11</v>
      </c>
    </row>
    <row r="326" spans="1:10" ht="13.8">
      <c r="A326" s="5">
        <v>44795</v>
      </c>
      <c r="B326" s="6">
        <v>0.243055555555556</v>
      </c>
      <c r="C326" s="7">
        <v>10579</v>
      </c>
      <c r="D326" s="7" t="s">
        <v>9</v>
      </c>
      <c r="E326" s="7">
        <v>17800</v>
      </c>
      <c r="F326" s="7">
        <v>12740</v>
      </c>
      <c r="G326" s="8">
        <v>5060</v>
      </c>
      <c r="H326" s="7" t="s">
        <v>10</v>
      </c>
      <c r="I326" s="7" t="s">
        <v>11</v>
      </c>
    </row>
    <row r="327" spans="1:10" ht="13.8">
      <c r="A327" s="5">
        <v>44795</v>
      </c>
      <c r="B327" s="6">
        <v>0.47361111111111098</v>
      </c>
      <c r="C327" s="7">
        <v>10613</v>
      </c>
      <c r="D327" s="7" t="s">
        <v>15</v>
      </c>
      <c r="E327" s="7">
        <v>6040</v>
      </c>
      <c r="F327" s="7">
        <v>5600</v>
      </c>
      <c r="G327" s="8">
        <v>440</v>
      </c>
      <c r="H327" s="7" t="s">
        <v>10</v>
      </c>
      <c r="I327" s="7" t="s">
        <v>16</v>
      </c>
    </row>
    <row r="328" spans="1:10" ht="13.8">
      <c r="A328" s="5">
        <v>44795</v>
      </c>
      <c r="B328" s="6">
        <v>0.41805555555555601</v>
      </c>
      <c r="C328" s="7">
        <v>10605</v>
      </c>
      <c r="D328" s="7" t="s">
        <v>15</v>
      </c>
      <c r="E328" s="7">
        <v>6520</v>
      </c>
      <c r="F328" s="7">
        <v>5620</v>
      </c>
      <c r="G328" s="8">
        <v>900</v>
      </c>
      <c r="H328" s="7" t="s">
        <v>10</v>
      </c>
      <c r="I328" s="7" t="s">
        <v>16</v>
      </c>
    </row>
    <row r="329" spans="1:10" ht="13.8">
      <c r="A329" s="5">
        <v>44795</v>
      </c>
      <c r="B329" s="6">
        <v>0.30486111111111103</v>
      </c>
      <c r="C329" s="7">
        <v>10594</v>
      </c>
      <c r="D329" s="7" t="s">
        <v>15</v>
      </c>
      <c r="E329" s="7">
        <v>6420</v>
      </c>
      <c r="F329" s="7">
        <v>5620</v>
      </c>
      <c r="G329" s="8">
        <v>800</v>
      </c>
      <c r="H329" s="7" t="s">
        <v>10</v>
      </c>
      <c r="I329" s="7" t="s">
        <v>16</v>
      </c>
    </row>
    <row r="330" spans="1:10" ht="13.8">
      <c r="A330" s="5">
        <v>44795</v>
      </c>
      <c r="B330" s="6">
        <v>0.87222222222222201</v>
      </c>
      <c r="C330" s="7">
        <v>10629</v>
      </c>
      <c r="D330" s="7" t="s">
        <v>12</v>
      </c>
      <c r="E330" s="7">
        <v>3180</v>
      </c>
      <c r="F330" s="7">
        <v>2680</v>
      </c>
      <c r="G330" s="8">
        <v>500</v>
      </c>
      <c r="H330" s="7" t="s">
        <v>10</v>
      </c>
      <c r="I330" s="7" t="s">
        <v>11</v>
      </c>
    </row>
    <row r="331" spans="1:10" ht="13.8">
      <c r="A331" s="5">
        <v>44795</v>
      </c>
      <c r="B331" s="6">
        <v>0.87152777777777801</v>
      </c>
      <c r="C331" s="7">
        <v>10630</v>
      </c>
      <c r="D331" s="7" t="s">
        <v>13</v>
      </c>
      <c r="E331" s="7">
        <v>24280</v>
      </c>
      <c r="F331" s="7">
        <v>16020</v>
      </c>
      <c r="G331" s="8">
        <v>8260</v>
      </c>
      <c r="H331" s="7" t="s">
        <v>10</v>
      </c>
      <c r="I331" s="7" t="s">
        <v>11</v>
      </c>
    </row>
    <row r="332" spans="1:10" ht="13.8">
      <c r="A332" s="5">
        <v>44795</v>
      </c>
      <c r="B332" s="6">
        <v>0.375</v>
      </c>
      <c r="C332" s="7">
        <v>10600</v>
      </c>
      <c r="D332" s="7" t="s">
        <v>14</v>
      </c>
      <c r="E332" s="7">
        <v>3440</v>
      </c>
      <c r="F332" s="7">
        <v>2840</v>
      </c>
      <c r="G332" s="8">
        <v>600</v>
      </c>
      <c r="H332" s="7" t="s">
        <v>10</v>
      </c>
      <c r="I332" s="7" t="s">
        <v>11</v>
      </c>
    </row>
    <row r="333" spans="1:10" ht="13.8">
      <c r="A333" s="5">
        <v>44795</v>
      </c>
      <c r="B333" s="6">
        <v>0.46388888888888902</v>
      </c>
      <c r="C333" s="7">
        <v>10612</v>
      </c>
      <c r="D333" s="7" t="s">
        <v>14</v>
      </c>
      <c r="E333" s="7">
        <v>3420</v>
      </c>
      <c r="F333" s="7">
        <v>2840</v>
      </c>
      <c r="G333" s="8">
        <v>580</v>
      </c>
      <c r="H333" s="7" t="s">
        <v>10</v>
      </c>
      <c r="I333" s="7" t="s">
        <v>16</v>
      </c>
    </row>
    <row r="334" spans="1:10" ht="13.8">
      <c r="A334" s="5">
        <v>44795</v>
      </c>
      <c r="B334" s="6">
        <v>0.37777777777777799</v>
      </c>
      <c r="C334" s="7">
        <v>10601</v>
      </c>
      <c r="D334" s="7" t="s">
        <v>12</v>
      </c>
      <c r="E334" s="7">
        <v>3120</v>
      </c>
      <c r="F334" s="7">
        <v>2700</v>
      </c>
      <c r="G334" s="8">
        <v>420</v>
      </c>
      <c r="H334" s="7" t="s">
        <v>10</v>
      </c>
      <c r="I334" s="7" t="s">
        <v>11</v>
      </c>
    </row>
    <row r="335" spans="1:10" ht="13.8">
      <c r="A335" s="5">
        <v>44795</v>
      </c>
      <c r="B335" s="6">
        <v>0.71041666666666703</v>
      </c>
      <c r="C335" s="7">
        <v>10628</v>
      </c>
      <c r="D335" s="7" t="s">
        <v>9</v>
      </c>
      <c r="E335" s="7">
        <v>16120</v>
      </c>
      <c r="F335" s="7">
        <v>12780</v>
      </c>
      <c r="G335" s="8">
        <v>3340</v>
      </c>
      <c r="H335" s="7" t="s">
        <v>10</v>
      </c>
      <c r="I335" s="7" t="s">
        <v>11</v>
      </c>
    </row>
    <row r="336" spans="1:10" ht="13.8">
      <c r="A336" s="5">
        <v>44795</v>
      </c>
      <c r="B336" s="6">
        <v>0.4375</v>
      </c>
      <c r="C336" s="7">
        <v>3314</v>
      </c>
      <c r="D336" s="7" t="s">
        <v>13</v>
      </c>
      <c r="E336" s="7">
        <v>19200</v>
      </c>
      <c r="F336" s="7">
        <v>16000</v>
      </c>
      <c r="G336" s="8">
        <v>3200</v>
      </c>
      <c r="H336" s="7" t="s">
        <v>10</v>
      </c>
      <c r="I336" s="7" t="s">
        <v>21</v>
      </c>
      <c r="J336" s="9"/>
    </row>
    <row r="337" spans="1:10" ht="13.8">
      <c r="A337" s="5">
        <v>44796</v>
      </c>
      <c r="B337" s="6">
        <v>0.24444444444444399</v>
      </c>
      <c r="C337" s="7">
        <v>10651</v>
      </c>
      <c r="D337" s="7" t="s">
        <v>9</v>
      </c>
      <c r="E337" s="7">
        <v>16980</v>
      </c>
      <c r="F337" s="7">
        <v>12780</v>
      </c>
      <c r="G337" s="8">
        <v>4200</v>
      </c>
      <c r="H337" s="7" t="s">
        <v>10</v>
      </c>
      <c r="I337" s="7" t="s">
        <v>11</v>
      </c>
    </row>
    <row r="338" spans="1:10" ht="13.8">
      <c r="A338" s="5">
        <v>44796</v>
      </c>
      <c r="B338" s="6">
        <v>0.13472222222222199</v>
      </c>
      <c r="C338" s="7">
        <v>10639</v>
      </c>
      <c r="D338" s="7" t="s">
        <v>9</v>
      </c>
      <c r="E338" s="7">
        <v>20220</v>
      </c>
      <c r="F338" s="7">
        <v>12800</v>
      </c>
      <c r="G338" s="8">
        <v>7420</v>
      </c>
      <c r="H338" s="7" t="s">
        <v>10</v>
      </c>
      <c r="I338" s="7" t="s">
        <v>11</v>
      </c>
    </row>
    <row r="339" spans="1:10" ht="13.8">
      <c r="A339" s="5">
        <v>44796</v>
      </c>
      <c r="B339" s="6">
        <v>4.3749999999999997E-2</v>
      </c>
      <c r="C339" s="7">
        <v>10633</v>
      </c>
      <c r="D339" s="7" t="s">
        <v>9</v>
      </c>
      <c r="E339" s="7">
        <v>20960</v>
      </c>
      <c r="F339" s="7">
        <v>13020</v>
      </c>
      <c r="G339" s="8">
        <v>7940</v>
      </c>
      <c r="H339" s="7" t="s">
        <v>10</v>
      </c>
      <c r="I339" s="7" t="s">
        <v>11</v>
      </c>
    </row>
    <row r="340" spans="1:10" ht="13.8">
      <c r="A340" s="5">
        <v>44796</v>
      </c>
      <c r="B340" s="6">
        <v>0.22013888888888899</v>
      </c>
      <c r="C340" s="7">
        <v>10648</v>
      </c>
      <c r="D340" s="7" t="s">
        <v>18</v>
      </c>
      <c r="E340" s="7">
        <v>24440</v>
      </c>
      <c r="F340" s="7">
        <v>15780</v>
      </c>
      <c r="G340" s="8">
        <v>8660</v>
      </c>
      <c r="H340" s="7" t="s">
        <v>10</v>
      </c>
      <c r="I340" s="7" t="s">
        <v>11</v>
      </c>
    </row>
    <row r="341" spans="1:10" ht="13.8">
      <c r="A341" s="5">
        <v>44796</v>
      </c>
      <c r="B341" s="6">
        <v>0.210416666666667</v>
      </c>
      <c r="C341" s="7">
        <v>10646</v>
      </c>
      <c r="D341" s="7" t="s">
        <v>12</v>
      </c>
      <c r="E341" s="7">
        <v>3180</v>
      </c>
      <c r="F341" s="7">
        <v>2800</v>
      </c>
      <c r="G341" s="8">
        <v>380</v>
      </c>
      <c r="H341" s="7" t="s">
        <v>10</v>
      </c>
      <c r="I341" s="7" t="s">
        <v>11</v>
      </c>
    </row>
    <row r="342" spans="1:10" ht="13.8">
      <c r="A342" s="5">
        <v>44796</v>
      </c>
      <c r="B342" s="6">
        <v>1.38888888888889E-2</v>
      </c>
      <c r="C342" s="7">
        <v>10632</v>
      </c>
      <c r="D342" s="7" t="s">
        <v>22</v>
      </c>
      <c r="E342" s="7">
        <v>13820</v>
      </c>
      <c r="F342" s="7">
        <v>12440</v>
      </c>
      <c r="G342" s="8">
        <v>1380</v>
      </c>
      <c r="H342" s="7" t="s">
        <v>10</v>
      </c>
      <c r="I342" s="7" t="s">
        <v>11</v>
      </c>
    </row>
    <row r="343" spans="1:10" ht="13.8">
      <c r="A343" s="5">
        <v>44796</v>
      </c>
      <c r="B343" s="6">
        <v>0.20902777777777801</v>
      </c>
      <c r="C343" s="7">
        <v>10645</v>
      </c>
      <c r="D343" s="7" t="s">
        <v>23</v>
      </c>
      <c r="E343" s="7">
        <v>5000</v>
      </c>
      <c r="F343" s="7">
        <v>3680</v>
      </c>
      <c r="G343" s="8">
        <v>1320</v>
      </c>
      <c r="H343" s="7" t="s">
        <v>10</v>
      </c>
      <c r="I343" s="7" t="s">
        <v>11</v>
      </c>
    </row>
    <row r="344" spans="1:10" ht="13.8">
      <c r="A344" s="5">
        <v>44796</v>
      </c>
      <c r="B344" s="6">
        <v>0.125694444444444</v>
      </c>
      <c r="C344" s="7">
        <v>10637</v>
      </c>
      <c r="D344" s="7" t="s">
        <v>13</v>
      </c>
      <c r="E344" s="7">
        <v>27160</v>
      </c>
      <c r="F344" s="7">
        <v>16000</v>
      </c>
      <c r="G344" s="8">
        <v>11160</v>
      </c>
      <c r="H344" s="7" t="s">
        <v>10</v>
      </c>
      <c r="I344" s="7" t="s">
        <v>11</v>
      </c>
    </row>
    <row r="345" spans="1:10" ht="13.8">
      <c r="A345" s="5">
        <v>44796</v>
      </c>
      <c r="B345" s="6">
        <v>0.25694444444444398</v>
      </c>
      <c r="C345" s="7">
        <v>10656</v>
      </c>
      <c r="D345" s="7" t="s">
        <v>13</v>
      </c>
      <c r="E345" s="7">
        <v>16660</v>
      </c>
      <c r="F345" s="7">
        <v>15980</v>
      </c>
      <c r="G345" s="8">
        <v>680</v>
      </c>
      <c r="H345" s="7" t="s">
        <v>10</v>
      </c>
      <c r="I345" s="7" t="s">
        <v>11</v>
      </c>
    </row>
    <row r="346" spans="1:10" ht="13.8">
      <c r="A346" s="5">
        <v>44796</v>
      </c>
      <c r="B346" s="6">
        <v>0.37152777777777801</v>
      </c>
      <c r="C346" s="7">
        <v>10671</v>
      </c>
      <c r="D346" s="7" t="s">
        <v>17</v>
      </c>
      <c r="E346" s="7">
        <v>2620</v>
      </c>
      <c r="F346" s="7">
        <v>2420</v>
      </c>
      <c r="G346" s="8">
        <v>200</v>
      </c>
      <c r="H346" s="7" t="s">
        <v>10</v>
      </c>
      <c r="I346" s="7" t="s">
        <v>11</v>
      </c>
    </row>
    <row r="347" spans="1:10" ht="13.8">
      <c r="A347" s="5">
        <v>44796</v>
      </c>
      <c r="B347" s="6">
        <v>0.4375</v>
      </c>
      <c r="C347" s="7">
        <v>143675</v>
      </c>
      <c r="D347" s="7" t="s">
        <v>18</v>
      </c>
      <c r="E347" s="7">
        <v>17680</v>
      </c>
      <c r="F347" s="7">
        <v>15680</v>
      </c>
      <c r="G347" s="8">
        <v>2000</v>
      </c>
      <c r="H347" s="7" t="s">
        <v>10</v>
      </c>
      <c r="I347" s="7" t="s">
        <v>20</v>
      </c>
      <c r="J347" s="9"/>
    </row>
    <row r="348" spans="1:10" ht="13.8">
      <c r="A348" s="5">
        <v>44796</v>
      </c>
      <c r="B348" s="6">
        <v>0.70208333333333295</v>
      </c>
      <c r="C348" s="7">
        <v>10695</v>
      </c>
      <c r="D348" s="7" t="s">
        <v>9</v>
      </c>
      <c r="E348" s="7">
        <v>15560</v>
      </c>
      <c r="F348" s="7">
        <v>12740</v>
      </c>
      <c r="G348" s="8">
        <v>2820</v>
      </c>
      <c r="H348" s="7" t="s">
        <v>10</v>
      </c>
      <c r="I348" s="7" t="s">
        <v>11</v>
      </c>
    </row>
    <row r="349" spans="1:10" ht="13.8">
      <c r="A349" s="5">
        <v>44796</v>
      </c>
      <c r="B349" s="6">
        <v>0.87777777777777799</v>
      </c>
      <c r="C349" s="7">
        <v>10701</v>
      </c>
      <c r="D349" s="7" t="s">
        <v>13</v>
      </c>
      <c r="E349" s="7">
        <v>24880</v>
      </c>
      <c r="F349" s="7">
        <v>16060</v>
      </c>
      <c r="G349" s="8">
        <v>8820</v>
      </c>
      <c r="H349" s="7" t="s">
        <v>10</v>
      </c>
      <c r="I349" s="7" t="s">
        <v>11</v>
      </c>
    </row>
    <row r="350" spans="1:10" ht="13.8">
      <c r="A350" s="5">
        <v>44796</v>
      </c>
      <c r="B350" s="6">
        <v>0.84930555555555598</v>
      </c>
      <c r="C350" s="7">
        <v>10700</v>
      </c>
      <c r="D350" s="7" t="s">
        <v>12</v>
      </c>
      <c r="E350" s="7">
        <v>3260</v>
      </c>
      <c r="F350" s="7">
        <v>2700</v>
      </c>
      <c r="G350" s="8">
        <v>560</v>
      </c>
      <c r="H350" s="7" t="s">
        <v>10</v>
      </c>
      <c r="I350" s="7" t="s">
        <v>11</v>
      </c>
    </row>
    <row r="351" spans="1:10" ht="13.8">
      <c r="A351" s="5">
        <v>44797</v>
      </c>
      <c r="B351" s="6">
        <v>0.22152777777777799</v>
      </c>
      <c r="C351" s="7">
        <v>10716</v>
      </c>
      <c r="D351" s="7" t="s">
        <v>23</v>
      </c>
      <c r="E351" s="7">
        <v>4520</v>
      </c>
      <c r="F351" s="7">
        <v>3760</v>
      </c>
      <c r="G351" s="8">
        <v>760</v>
      </c>
      <c r="H351" s="7" t="s">
        <v>10</v>
      </c>
      <c r="I351" s="7" t="s">
        <v>11</v>
      </c>
    </row>
    <row r="352" spans="1:10" ht="13.8">
      <c r="A352" s="5">
        <v>44797</v>
      </c>
      <c r="B352" s="6">
        <v>0.15763888888888899</v>
      </c>
      <c r="C352" s="7">
        <v>10713</v>
      </c>
      <c r="D352" s="7" t="s">
        <v>23</v>
      </c>
      <c r="E352" s="7">
        <v>4820</v>
      </c>
      <c r="F352" s="7">
        <v>3580</v>
      </c>
      <c r="G352" s="8">
        <v>1240</v>
      </c>
      <c r="H352" s="7" t="s">
        <v>10</v>
      </c>
      <c r="I352" s="7" t="s">
        <v>11</v>
      </c>
    </row>
    <row r="353" spans="1:10" ht="13.8">
      <c r="A353" s="5">
        <v>44797</v>
      </c>
      <c r="B353" s="6">
        <v>0.242361111111111</v>
      </c>
      <c r="C353" s="7">
        <v>10721</v>
      </c>
      <c r="D353" s="7" t="s">
        <v>9</v>
      </c>
      <c r="E353" s="7">
        <v>16600</v>
      </c>
      <c r="F353" s="7">
        <v>12760</v>
      </c>
      <c r="G353" s="8">
        <v>3840</v>
      </c>
      <c r="H353" s="7" t="s">
        <v>10</v>
      </c>
      <c r="I353" s="7" t="s">
        <v>11</v>
      </c>
    </row>
    <row r="354" spans="1:10" ht="13.8">
      <c r="A354" s="5">
        <v>44797</v>
      </c>
      <c r="B354" s="6">
        <v>3.4722222222222203E-2</v>
      </c>
      <c r="C354" s="7">
        <v>10702</v>
      </c>
      <c r="D354" s="7" t="s">
        <v>9</v>
      </c>
      <c r="E354" s="7">
        <v>20040</v>
      </c>
      <c r="F354" s="7">
        <v>12940</v>
      </c>
      <c r="G354" s="8">
        <v>7100</v>
      </c>
      <c r="H354" s="7" t="s">
        <v>10</v>
      </c>
      <c r="I354" s="7" t="s">
        <v>11</v>
      </c>
    </row>
    <row r="355" spans="1:10" ht="13.8">
      <c r="A355" s="5">
        <v>44797</v>
      </c>
      <c r="B355" s="6">
        <v>0.13125000000000001</v>
      </c>
      <c r="C355" s="7">
        <v>10709</v>
      </c>
      <c r="D355" s="7" t="s">
        <v>9</v>
      </c>
      <c r="E355" s="7">
        <v>21580</v>
      </c>
      <c r="F355" s="7">
        <v>12740</v>
      </c>
      <c r="G355" s="8">
        <v>8840</v>
      </c>
      <c r="H355" s="7" t="s">
        <v>10</v>
      </c>
      <c r="I355" s="7" t="s">
        <v>11</v>
      </c>
    </row>
    <row r="356" spans="1:10" ht="13.8">
      <c r="A356" s="5">
        <v>44797</v>
      </c>
      <c r="B356" s="6">
        <v>0.121527777777778</v>
      </c>
      <c r="C356" s="7">
        <v>10708</v>
      </c>
      <c r="D356" s="7" t="s">
        <v>13</v>
      </c>
      <c r="E356" s="7">
        <v>26180</v>
      </c>
      <c r="F356" s="7">
        <v>16040</v>
      </c>
      <c r="G356" s="8">
        <v>10140</v>
      </c>
      <c r="H356" s="7" t="s">
        <v>10</v>
      </c>
      <c r="I356" s="7" t="s">
        <v>11</v>
      </c>
    </row>
    <row r="357" spans="1:10" ht="13.8">
      <c r="A357" s="5">
        <v>44797</v>
      </c>
      <c r="B357" s="6">
        <v>0.25763888888888897</v>
      </c>
      <c r="C357" s="7">
        <v>10725</v>
      </c>
      <c r="D357" s="7" t="s">
        <v>13</v>
      </c>
      <c r="E357" s="7">
        <v>20780</v>
      </c>
      <c r="F357" s="7">
        <v>16020</v>
      </c>
      <c r="G357" s="8">
        <v>4760</v>
      </c>
      <c r="H357" s="7" t="s">
        <v>10</v>
      </c>
      <c r="I357" s="7" t="s">
        <v>11</v>
      </c>
    </row>
    <row r="358" spans="1:10" ht="13.8">
      <c r="A358" s="5">
        <v>44797</v>
      </c>
      <c r="B358" s="6">
        <v>0.30069444444444399</v>
      </c>
      <c r="C358" s="7">
        <v>10729</v>
      </c>
      <c r="D358" s="7" t="s">
        <v>15</v>
      </c>
      <c r="E358" s="7">
        <v>6700</v>
      </c>
      <c r="F358" s="7">
        <v>5620</v>
      </c>
      <c r="G358" s="8">
        <v>1080</v>
      </c>
      <c r="H358" s="7" t="s">
        <v>10</v>
      </c>
      <c r="I358" s="7" t="s">
        <v>16</v>
      </c>
    </row>
    <row r="359" spans="1:10" ht="13.8">
      <c r="A359" s="5">
        <v>44797</v>
      </c>
      <c r="B359" s="6">
        <v>0.45486111111111099</v>
      </c>
      <c r="C359" s="7">
        <v>10743</v>
      </c>
      <c r="D359" s="7" t="s">
        <v>17</v>
      </c>
      <c r="E359" s="7">
        <v>2640</v>
      </c>
      <c r="F359" s="7">
        <v>2420</v>
      </c>
      <c r="G359" s="8">
        <v>220</v>
      </c>
      <c r="H359" s="7" t="s">
        <v>10</v>
      </c>
      <c r="I359" s="7" t="s">
        <v>11</v>
      </c>
    </row>
    <row r="360" spans="1:10" ht="13.8">
      <c r="A360" s="5">
        <v>44797</v>
      </c>
      <c r="B360" s="6">
        <v>0.33819444444444402</v>
      </c>
      <c r="C360" s="7">
        <v>10732</v>
      </c>
      <c r="D360" s="7" t="s">
        <v>17</v>
      </c>
      <c r="E360" s="7">
        <v>2600</v>
      </c>
      <c r="F360" s="7">
        <v>2400</v>
      </c>
      <c r="G360" s="8">
        <v>200</v>
      </c>
      <c r="H360" s="7" t="s">
        <v>10</v>
      </c>
      <c r="I360" s="7" t="s">
        <v>11</v>
      </c>
    </row>
    <row r="361" spans="1:10" ht="13.8">
      <c r="A361" s="5">
        <v>44797</v>
      </c>
      <c r="B361" s="6">
        <v>0.41388888888888897</v>
      </c>
      <c r="C361" s="7">
        <v>10739</v>
      </c>
      <c r="D361" s="7" t="s">
        <v>15</v>
      </c>
      <c r="E361" s="7">
        <v>6300</v>
      </c>
      <c r="F361" s="7">
        <v>5600</v>
      </c>
      <c r="G361" s="8">
        <v>700</v>
      </c>
      <c r="H361" s="7" t="s">
        <v>10</v>
      </c>
      <c r="I361" s="7" t="s">
        <v>16</v>
      </c>
    </row>
    <row r="362" spans="1:10" ht="13.8">
      <c r="A362" s="5">
        <v>44797</v>
      </c>
      <c r="B362" s="6">
        <v>0.47152777777777799</v>
      </c>
      <c r="C362" s="7">
        <v>10748</v>
      </c>
      <c r="D362" s="7" t="s">
        <v>15</v>
      </c>
      <c r="E362" s="7">
        <v>5920</v>
      </c>
      <c r="F362" s="7">
        <v>5600</v>
      </c>
      <c r="G362" s="8">
        <v>320</v>
      </c>
      <c r="H362" s="7" t="s">
        <v>10</v>
      </c>
      <c r="I362" s="7" t="s">
        <v>16</v>
      </c>
    </row>
    <row r="363" spans="1:10" ht="13.8">
      <c r="A363" s="5">
        <v>44797</v>
      </c>
      <c r="B363" s="6">
        <v>0.40763888888888899</v>
      </c>
      <c r="C363" s="7">
        <v>3320</v>
      </c>
      <c r="D363" s="7" t="s">
        <v>13</v>
      </c>
      <c r="E363" s="7">
        <v>17900</v>
      </c>
      <c r="F363" s="7">
        <v>16000</v>
      </c>
      <c r="G363" s="8">
        <v>1900</v>
      </c>
      <c r="H363" s="7" t="s">
        <v>10</v>
      </c>
      <c r="I363" s="7" t="s">
        <v>21</v>
      </c>
      <c r="J363" s="9"/>
    </row>
    <row r="364" spans="1:10" ht="13.8">
      <c r="A364" s="5">
        <v>44797</v>
      </c>
      <c r="B364" s="6">
        <v>0.43055555555555602</v>
      </c>
      <c r="C364" s="7">
        <v>143706</v>
      </c>
      <c r="D364" s="7" t="s">
        <v>19</v>
      </c>
      <c r="E364" s="7">
        <v>17620</v>
      </c>
      <c r="F364" s="7">
        <v>15920</v>
      </c>
      <c r="G364" s="8">
        <v>1700</v>
      </c>
      <c r="H364" s="7" t="s">
        <v>10</v>
      </c>
      <c r="I364" s="7" t="s">
        <v>20</v>
      </c>
      <c r="J364" s="9"/>
    </row>
    <row r="365" spans="1:10" ht="13.8">
      <c r="A365" s="5">
        <v>44797</v>
      </c>
      <c r="B365" s="6">
        <v>0.36736111111111103</v>
      </c>
      <c r="C365" s="7">
        <v>10734</v>
      </c>
      <c r="D365" s="7" t="s">
        <v>12</v>
      </c>
      <c r="E365" s="7">
        <v>3240</v>
      </c>
      <c r="F365" s="7">
        <v>2720</v>
      </c>
      <c r="G365" s="8">
        <v>520</v>
      </c>
      <c r="H365" s="7" t="s">
        <v>10</v>
      </c>
      <c r="I365" s="7" t="s">
        <v>11</v>
      </c>
    </row>
    <row r="366" spans="1:10" ht="13.8">
      <c r="A366" s="5">
        <v>44797</v>
      </c>
      <c r="B366" s="6">
        <v>0.80486111111111103</v>
      </c>
      <c r="C366" s="7">
        <v>10775</v>
      </c>
      <c r="D366" s="7" t="s">
        <v>18</v>
      </c>
      <c r="E366" s="7">
        <v>23600</v>
      </c>
      <c r="F366" s="7">
        <v>15740</v>
      </c>
      <c r="G366" s="8">
        <v>7860</v>
      </c>
      <c r="H366" s="7" t="s">
        <v>10</v>
      </c>
      <c r="I366" s="7" t="s">
        <v>11</v>
      </c>
    </row>
    <row r="367" spans="1:10" ht="13.8">
      <c r="A367" s="5">
        <v>44797</v>
      </c>
      <c r="B367" s="6">
        <v>0.86597222222222203</v>
      </c>
      <c r="C367" s="7">
        <v>10778</v>
      </c>
      <c r="D367" s="7" t="s">
        <v>12</v>
      </c>
      <c r="E367" s="7">
        <v>3180</v>
      </c>
      <c r="F367" s="7">
        <v>2700</v>
      </c>
      <c r="G367" s="8">
        <v>480</v>
      </c>
      <c r="H367" s="7" t="s">
        <v>10</v>
      </c>
      <c r="I367" s="7" t="s">
        <v>11</v>
      </c>
    </row>
    <row r="368" spans="1:10" ht="13.8">
      <c r="A368" s="5">
        <v>44797</v>
      </c>
      <c r="B368" s="6">
        <v>0.69513888888888897</v>
      </c>
      <c r="C368" s="7">
        <v>10770</v>
      </c>
      <c r="D368" s="7" t="s">
        <v>22</v>
      </c>
      <c r="E368" s="7">
        <v>16840</v>
      </c>
      <c r="F368" s="7">
        <v>12480</v>
      </c>
      <c r="G368" s="8">
        <v>4360</v>
      </c>
      <c r="H368" s="7" t="s">
        <v>10</v>
      </c>
      <c r="I368" s="7" t="s">
        <v>11</v>
      </c>
    </row>
    <row r="369" spans="1:10" ht="13.8">
      <c r="A369" s="5">
        <v>44798</v>
      </c>
      <c r="B369" s="6">
        <v>0.20902777777777801</v>
      </c>
      <c r="C369" s="7">
        <v>10794</v>
      </c>
      <c r="D369" s="7" t="s">
        <v>12</v>
      </c>
      <c r="E369" s="7">
        <v>3480</v>
      </c>
      <c r="F369" s="7">
        <v>2880</v>
      </c>
      <c r="G369" s="8">
        <v>600</v>
      </c>
      <c r="H369" s="7" t="s">
        <v>10</v>
      </c>
      <c r="I369" s="7" t="s">
        <v>11</v>
      </c>
    </row>
    <row r="370" spans="1:10" ht="13.8">
      <c r="A370" s="5">
        <v>44798</v>
      </c>
      <c r="B370" s="6">
        <v>0.14444444444444399</v>
      </c>
      <c r="C370" s="7">
        <v>10788</v>
      </c>
      <c r="D370" s="7" t="s">
        <v>9</v>
      </c>
      <c r="E370" s="7">
        <v>20940</v>
      </c>
      <c r="F370" s="7">
        <v>12820</v>
      </c>
      <c r="G370" s="8">
        <v>8120</v>
      </c>
      <c r="H370" s="7" t="s">
        <v>10</v>
      </c>
      <c r="I370" s="7" t="s">
        <v>11</v>
      </c>
    </row>
    <row r="371" spans="1:10" ht="13.8">
      <c r="A371" s="5">
        <v>44798</v>
      </c>
      <c r="B371" s="6">
        <v>4.7916666666666698E-2</v>
      </c>
      <c r="C371" s="7">
        <v>10780</v>
      </c>
      <c r="D371" s="7" t="s">
        <v>9</v>
      </c>
      <c r="E371" s="7">
        <v>20860</v>
      </c>
      <c r="F371" s="7">
        <v>13020</v>
      </c>
      <c r="G371" s="8">
        <v>7840</v>
      </c>
      <c r="H371" s="7" t="s">
        <v>10</v>
      </c>
      <c r="I371" s="7" t="s">
        <v>11</v>
      </c>
    </row>
    <row r="372" spans="1:10" ht="13.8">
      <c r="A372" s="5">
        <v>44798</v>
      </c>
      <c r="B372" s="6">
        <v>0.13750000000000001</v>
      </c>
      <c r="C372" s="7">
        <v>10786</v>
      </c>
      <c r="D372" s="7" t="s">
        <v>12</v>
      </c>
      <c r="E372" s="7">
        <v>3440</v>
      </c>
      <c r="F372" s="7">
        <v>2700</v>
      </c>
      <c r="G372" s="8">
        <v>740</v>
      </c>
      <c r="H372" s="7" t="s">
        <v>10</v>
      </c>
      <c r="I372" s="7" t="s">
        <v>11</v>
      </c>
    </row>
    <row r="373" spans="1:10" ht="13.8">
      <c r="A373" s="5">
        <v>44798</v>
      </c>
      <c r="B373" s="6">
        <v>0.25486111111111098</v>
      </c>
      <c r="C373" s="7">
        <v>10804</v>
      </c>
      <c r="D373" s="7" t="s">
        <v>9</v>
      </c>
      <c r="E373" s="7">
        <v>16500</v>
      </c>
      <c r="F373" s="7">
        <v>12800</v>
      </c>
      <c r="G373" s="8">
        <v>3700</v>
      </c>
      <c r="H373" s="7" t="s">
        <v>10</v>
      </c>
      <c r="I373" s="7" t="s">
        <v>11</v>
      </c>
    </row>
    <row r="374" spans="1:10" ht="13.8">
      <c r="A374" s="5">
        <v>44798</v>
      </c>
      <c r="B374" s="6">
        <v>0.233333333333333</v>
      </c>
      <c r="C374" s="7">
        <v>10800</v>
      </c>
      <c r="D374" s="7" t="s">
        <v>13</v>
      </c>
      <c r="E374" s="7">
        <v>20920</v>
      </c>
      <c r="F374" s="7">
        <v>16100</v>
      </c>
      <c r="G374" s="8">
        <v>4820</v>
      </c>
      <c r="H374" s="7" t="s">
        <v>10</v>
      </c>
      <c r="I374" s="7" t="s">
        <v>11</v>
      </c>
    </row>
    <row r="375" spans="1:10" ht="13.8">
      <c r="A375" s="5">
        <v>44798</v>
      </c>
      <c r="B375" s="6">
        <v>0.14513888888888901</v>
      </c>
      <c r="C375" s="7">
        <v>10787</v>
      </c>
      <c r="D375" s="7" t="s">
        <v>13</v>
      </c>
      <c r="E375" s="7">
        <v>27640</v>
      </c>
      <c r="F375" s="7">
        <v>16140</v>
      </c>
      <c r="G375" s="8">
        <v>11500</v>
      </c>
      <c r="H375" s="7" t="s">
        <v>10</v>
      </c>
      <c r="I375" s="7" t="s">
        <v>11</v>
      </c>
    </row>
    <row r="376" spans="1:10" ht="13.8">
      <c r="A376" s="5">
        <v>44798</v>
      </c>
      <c r="B376" s="6">
        <v>0.68402777777777801</v>
      </c>
      <c r="C376" s="7">
        <v>10845</v>
      </c>
      <c r="D376" s="7" t="s">
        <v>9</v>
      </c>
      <c r="E376" s="7">
        <v>14960</v>
      </c>
      <c r="F376" s="7">
        <v>12760</v>
      </c>
      <c r="G376" s="8">
        <v>2200</v>
      </c>
      <c r="H376" s="7" t="s">
        <v>10</v>
      </c>
      <c r="I376" s="7" t="s">
        <v>11</v>
      </c>
    </row>
    <row r="377" spans="1:10" ht="13.8">
      <c r="A377" s="5">
        <v>44798</v>
      </c>
      <c r="B377" s="6">
        <v>0.21458333333333299</v>
      </c>
      <c r="C377" s="7">
        <v>10796</v>
      </c>
      <c r="D377" s="7" t="s">
        <v>17</v>
      </c>
      <c r="E377" s="7">
        <v>2780</v>
      </c>
      <c r="F377" s="7">
        <v>2400</v>
      </c>
      <c r="G377" s="8">
        <v>380</v>
      </c>
      <c r="H377" s="7" t="s">
        <v>10</v>
      </c>
      <c r="I377" s="7" t="s">
        <v>11</v>
      </c>
    </row>
    <row r="378" spans="1:10" ht="13.8">
      <c r="A378" s="5">
        <v>44798</v>
      </c>
      <c r="B378" s="6">
        <v>0.86597222222222203</v>
      </c>
      <c r="C378" s="7">
        <v>10852</v>
      </c>
      <c r="D378" s="7" t="s">
        <v>13</v>
      </c>
      <c r="E378" s="7">
        <v>25460</v>
      </c>
      <c r="F378" s="7">
        <v>15880</v>
      </c>
      <c r="G378" s="8">
        <v>9580</v>
      </c>
      <c r="H378" s="7" t="s">
        <v>10</v>
      </c>
      <c r="I378" s="7" t="s">
        <v>11</v>
      </c>
    </row>
    <row r="379" spans="1:10" ht="13.8">
      <c r="A379" s="5">
        <v>44798</v>
      </c>
      <c r="B379" s="6">
        <v>0.86805555555555503</v>
      </c>
      <c r="C379" s="7">
        <v>10853</v>
      </c>
      <c r="D379" s="7" t="s">
        <v>12</v>
      </c>
      <c r="E379" s="7">
        <v>3380</v>
      </c>
      <c r="F379" s="7">
        <v>2700</v>
      </c>
      <c r="G379" s="8">
        <v>680</v>
      </c>
      <c r="H379" s="7" t="s">
        <v>10</v>
      </c>
      <c r="I379" s="7" t="s">
        <v>11</v>
      </c>
    </row>
    <row r="380" spans="1:10" ht="13.8">
      <c r="A380" s="5">
        <v>44798</v>
      </c>
      <c r="B380" s="6">
        <v>0.469444444444444</v>
      </c>
      <c r="C380" s="7">
        <v>143736</v>
      </c>
      <c r="D380" s="7" t="s">
        <v>13</v>
      </c>
      <c r="E380" s="7">
        <v>17460</v>
      </c>
      <c r="F380" s="7">
        <v>15760</v>
      </c>
      <c r="G380" s="8">
        <v>1700</v>
      </c>
      <c r="H380" s="7" t="s">
        <v>10</v>
      </c>
      <c r="I380" s="7" t="s">
        <v>20</v>
      </c>
      <c r="J380" s="9"/>
    </row>
    <row r="381" spans="1:10" ht="13.8">
      <c r="A381" s="5">
        <v>44799</v>
      </c>
      <c r="B381" s="6">
        <v>0.22083333333333299</v>
      </c>
      <c r="C381" s="7">
        <v>10871</v>
      </c>
      <c r="D381" s="7" t="s">
        <v>12</v>
      </c>
      <c r="E381" s="7">
        <v>3280</v>
      </c>
      <c r="F381" s="7">
        <v>2820</v>
      </c>
      <c r="G381" s="8">
        <v>460</v>
      </c>
      <c r="H381" s="7" t="s">
        <v>10</v>
      </c>
      <c r="I381" s="7" t="s">
        <v>11</v>
      </c>
    </row>
    <row r="382" spans="1:10" ht="13.8">
      <c r="A382" s="5">
        <v>44799</v>
      </c>
      <c r="B382" s="6">
        <v>0.240972222222222</v>
      </c>
      <c r="C382" s="7">
        <v>10877</v>
      </c>
      <c r="D382" s="7" t="s">
        <v>13</v>
      </c>
      <c r="E382" s="7">
        <v>27020</v>
      </c>
      <c r="F382" s="7">
        <v>15920</v>
      </c>
      <c r="G382" s="8">
        <v>11100</v>
      </c>
      <c r="H382" s="7" t="s">
        <v>10</v>
      </c>
      <c r="I382" s="7" t="s">
        <v>11</v>
      </c>
    </row>
    <row r="383" spans="1:10" ht="13.8">
      <c r="A383" s="5">
        <v>44799</v>
      </c>
      <c r="B383" s="6">
        <v>0.24027777777777801</v>
      </c>
      <c r="C383" s="7">
        <v>10876</v>
      </c>
      <c r="D383" s="7" t="s">
        <v>18</v>
      </c>
      <c r="E383" s="7">
        <v>23260</v>
      </c>
      <c r="F383" s="7">
        <v>15680</v>
      </c>
      <c r="G383" s="8">
        <v>7580</v>
      </c>
      <c r="H383" s="7" t="s">
        <v>10</v>
      </c>
      <c r="I383" s="7" t="s">
        <v>11</v>
      </c>
    </row>
    <row r="384" spans="1:10" ht="13.8">
      <c r="A384" s="5">
        <v>44798</v>
      </c>
      <c r="B384" s="6">
        <v>0.375</v>
      </c>
      <c r="C384" s="7">
        <v>10819</v>
      </c>
      <c r="D384" s="7" t="s">
        <v>12</v>
      </c>
      <c r="E384" s="7">
        <v>3360</v>
      </c>
      <c r="F384" s="7">
        <v>2680</v>
      </c>
      <c r="G384" s="8">
        <v>680</v>
      </c>
      <c r="H384" s="7" t="s">
        <v>10</v>
      </c>
      <c r="I384" s="7" t="s">
        <v>11</v>
      </c>
    </row>
    <row r="385" spans="1:10" ht="13.8">
      <c r="A385" s="5">
        <v>44799</v>
      </c>
      <c r="B385" s="6">
        <v>2.8472222222222201E-2</v>
      </c>
      <c r="C385" s="7">
        <v>10857</v>
      </c>
      <c r="D385" s="7" t="s">
        <v>22</v>
      </c>
      <c r="E385" s="7">
        <v>14760</v>
      </c>
      <c r="F385" s="7">
        <v>12520</v>
      </c>
      <c r="G385" s="8">
        <v>2240</v>
      </c>
      <c r="H385" s="7" t="s">
        <v>10</v>
      </c>
      <c r="I385" s="7" t="s">
        <v>11</v>
      </c>
    </row>
    <row r="386" spans="1:10" ht="13.8">
      <c r="A386" s="5">
        <v>44798</v>
      </c>
      <c r="B386" s="6">
        <v>0.35347222222222202</v>
      </c>
      <c r="C386" s="7">
        <v>10817</v>
      </c>
      <c r="D386" s="7" t="s">
        <v>17</v>
      </c>
      <c r="E386" s="7">
        <v>2600</v>
      </c>
      <c r="F386" s="7">
        <v>2380</v>
      </c>
      <c r="G386" s="8">
        <v>220</v>
      </c>
      <c r="H386" s="7" t="s">
        <v>10</v>
      </c>
      <c r="I386" s="7" t="s">
        <v>11</v>
      </c>
    </row>
    <row r="387" spans="1:10" ht="13.8">
      <c r="A387" s="5">
        <v>44799</v>
      </c>
      <c r="B387" s="6">
        <v>0.21875</v>
      </c>
      <c r="C387" s="7">
        <v>10869</v>
      </c>
      <c r="D387" s="7" t="s">
        <v>23</v>
      </c>
      <c r="E387" s="7">
        <v>5140</v>
      </c>
      <c r="F387" s="7">
        <v>3700</v>
      </c>
      <c r="G387" s="8">
        <v>1440</v>
      </c>
      <c r="H387" s="7" t="s">
        <v>10</v>
      </c>
      <c r="I387" s="7" t="s">
        <v>11</v>
      </c>
    </row>
    <row r="388" spans="1:10" ht="13.8">
      <c r="A388" s="5">
        <v>44799</v>
      </c>
      <c r="B388" s="6">
        <v>0.15347222222222201</v>
      </c>
      <c r="C388" s="7">
        <v>10864</v>
      </c>
      <c r="D388" s="7" t="s">
        <v>9</v>
      </c>
      <c r="E388" s="7">
        <v>21040</v>
      </c>
      <c r="F388" s="7">
        <v>12760</v>
      </c>
      <c r="G388" s="8">
        <v>8280</v>
      </c>
      <c r="H388" s="7" t="s">
        <v>10</v>
      </c>
      <c r="I388" s="7" t="s">
        <v>11</v>
      </c>
    </row>
    <row r="389" spans="1:10" ht="13.8">
      <c r="A389" s="5">
        <v>44799</v>
      </c>
      <c r="B389" s="6">
        <v>0.25208333333333299</v>
      </c>
      <c r="C389" s="7">
        <v>10878</v>
      </c>
      <c r="D389" s="7" t="s">
        <v>9</v>
      </c>
      <c r="E389" s="7">
        <v>16800</v>
      </c>
      <c r="F389" s="7">
        <v>12740</v>
      </c>
      <c r="G389" s="8">
        <v>4060</v>
      </c>
      <c r="H389" s="7" t="s">
        <v>10</v>
      </c>
      <c r="I389" s="7" t="s">
        <v>11</v>
      </c>
    </row>
    <row r="390" spans="1:10" ht="13.8">
      <c r="A390" s="5">
        <v>44799</v>
      </c>
      <c r="B390" s="6">
        <v>0.468055555555555</v>
      </c>
      <c r="C390" s="7">
        <v>10909</v>
      </c>
      <c r="D390" s="7" t="s">
        <v>17</v>
      </c>
      <c r="E390" s="7">
        <v>3200</v>
      </c>
      <c r="F390" s="7">
        <v>2720</v>
      </c>
      <c r="G390" s="8">
        <v>480</v>
      </c>
      <c r="H390" s="7" t="s">
        <v>10</v>
      </c>
      <c r="I390" s="7" t="s">
        <v>11</v>
      </c>
    </row>
    <row r="391" spans="1:10" ht="13.8">
      <c r="A391" s="5">
        <v>44796</v>
      </c>
      <c r="B391" s="6">
        <v>0.36875000000000002</v>
      </c>
      <c r="C391" s="7">
        <v>10669</v>
      </c>
      <c r="D391" s="7" t="s">
        <v>14</v>
      </c>
      <c r="E391" s="7">
        <v>3620</v>
      </c>
      <c r="F391" s="7">
        <v>2840</v>
      </c>
      <c r="G391" s="8">
        <v>780</v>
      </c>
      <c r="H391" s="7" t="s">
        <v>10</v>
      </c>
      <c r="I391" s="7" t="s">
        <v>11</v>
      </c>
    </row>
    <row r="392" spans="1:10" ht="13.8">
      <c r="A392" s="5">
        <v>44799</v>
      </c>
      <c r="B392" s="6">
        <v>0.483333333333333</v>
      </c>
      <c r="C392" s="7">
        <v>10912</v>
      </c>
      <c r="D392" s="7" t="s">
        <v>19</v>
      </c>
      <c r="E392" s="7">
        <v>31420</v>
      </c>
      <c r="F392" s="7">
        <v>15300</v>
      </c>
      <c r="G392" s="8">
        <v>16120</v>
      </c>
      <c r="H392" s="7" t="s">
        <v>10</v>
      </c>
      <c r="I392" s="7" t="s">
        <v>24</v>
      </c>
    </row>
    <row r="393" spans="1:10" ht="13.8">
      <c r="A393" s="5">
        <v>44799</v>
      </c>
      <c r="B393" s="6">
        <v>0.44444444444444398</v>
      </c>
      <c r="C393" s="7">
        <v>10901</v>
      </c>
      <c r="D393" s="7" t="s">
        <v>19</v>
      </c>
      <c r="E393" s="7">
        <v>28740</v>
      </c>
      <c r="F393" s="7">
        <v>15300</v>
      </c>
      <c r="G393" s="8">
        <v>13440</v>
      </c>
      <c r="H393" s="7" t="s">
        <v>10</v>
      </c>
      <c r="I393" s="7" t="s">
        <v>24</v>
      </c>
    </row>
    <row r="394" spans="1:10" ht="13.8">
      <c r="A394" s="5">
        <v>44799</v>
      </c>
      <c r="B394" s="6">
        <v>0.42569444444444399</v>
      </c>
      <c r="C394" s="7">
        <v>10900</v>
      </c>
      <c r="D394" s="7" t="s">
        <v>19</v>
      </c>
      <c r="E394" s="7">
        <v>27220</v>
      </c>
      <c r="F394" s="7">
        <v>15300</v>
      </c>
      <c r="G394" s="8">
        <v>11920</v>
      </c>
      <c r="H394" s="7" t="s">
        <v>10</v>
      </c>
      <c r="I394" s="7" t="s">
        <v>24</v>
      </c>
    </row>
    <row r="395" spans="1:10" ht="13.8">
      <c r="A395" s="5">
        <v>44799</v>
      </c>
      <c r="B395" s="6">
        <v>0.35694444444444401</v>
      </c>
      <c r="C395" s="7">
        <v>10890</v>
      </c>
      <c r="D395" s="7" t="s">
        <v>19</v>
      </c>
      <c r="E395" s="7">
        <v>27920</v>
      </c>
      <c r="F395" s="7">
        <v>15300</v>
      </c>
      <c r="G395" s="8">
        <v>12620</v>
      </c>
      <c r="H395" s="7" t="s">
        <v>10</v>
      </c>
      <c r="I395" s="7" t="s">
        <v>24</v>
      </c>
    </row>
    <row r="396" spans="1:10" ht="13.8">
      <c r="A396" s="5">
        <v>44799</v>
      </c>
      <c r="B396" s="6">
        <v>0.33472222222222198</v>
      </c>
      <c r="C396" s="7">
        <v>10887</v>
      </c>
      <c r="D396" s="7" t="s">
        <v>19</v>
      </c>
      <c r="E396" s="7">
        <v>27000</v>
      </c>
      <c r="F396" s="7">
        <v>15300</v>
      </c>
      <c r="G396" s="8">
        <v>11700</v>
      </c>
      <c r="H396" s="7" t="s">
        <v>10</v>
      </c>
      <c r="I396" s="7" t="s">
        <v>24</v>
      </c>
    </row>
    <row r="397" spans="1:10" ht="13.8">
      <c r="A397" s="5">
        <v>44799</v>
      </c>
      <c r="B397" s="6">
        <v>0.36805555555555602</v>
      </c>
      <c r="C397" s="7">
        <v>10893</v>
      </c>
      <c r="D397" s="7" t="s">
        <v>14</v>
      </c>
      <c r="E397" s="7">
        <v>3660</v>
      </c>
      <c r="F397" s="7">
        <v>2860</v>
      </c>
      <c r="G397" s="8">
        <v>800</v>
      </c>
      <c r="H397" s="7" t="s">
        <v>10</v>
      </c>
      <c r="I397" s="7" t="s">
        <v>11</v>
      </c>
    </row>
    <row r="398" spans="1:10" ht="13.8">
      <c r="A398" s="5">
        <v>44799</v>
      </c>
      <c r="B398" s="6">
        <v>0.30763888888888902</v>
      </c>
      <c r="C398" s="7">
        <v>3328</v>
      </c>
      <c r="D398" s="7" t="s">
        <v>13</v>
      </c>
      <c r="E398" s="7">
        <v>17500</v>
      </c>
      <c r="F398" s="7">
        <v>16000</v>
      </c>
      <c r="G398" s="8">
        <v>1500</v>
      </c>
      <c r="H398" s="7" t="s">
        <v>10</v>
      </c>
      <c r="I398" s="7" t="s">
        <v>21</v>
      </c>
      <c r="J398" s="9"/>
    </row>
    <row r="399" spans="1:10" ht="13.8">
      <c r="A399" s="5">
        <v>44799</v>
      </c>
      <c r="B399" s="6">
        <v>0.68472222222222201</v>
      </c>
      <c r="C399" s="7">
        <v>10929</v>
      </c>
      <c r="D399" s="7" t="s">
        <v>9</v>
      </c>
      <c r="E399" s="7">
        <v>15040</v>
      </c>
      <c r="F399" s="7">
        <v>12800</v>
      </c>
      <c r="G399" s="8">
        <v>2240</v>
      </c>
      <c r="H399" s="7" t="s">
        <v>10</v>
      </c>
      <c r="I399" s="7" t="s">
        <v>11</v>
      </c>
    </row>
    <row r="400" spans="1:10" ht="13.8">
      <c r="A400" s="5">
        <v>44799</v>
      </c>
      <c r="B400" s="6">
        <v>0.86527777777777803</v>
      </c>
      <c r="C400" s="7">
        <v>10938</v>
      </c>
      <c r="D400" s="7" t="s">
        <v>13</v>
      </c>
      <c r="E400" s="7">
        <v>24860</v>
      </c>
      <c r="F400" s="7">
        <v>15940</v>
      </c>
      <c r="G400" s="8">
        <v>8920</v>
      </c>
      <c r="H400" s="7" t="s">
        <v>10</v>
      </c>
      <c r="I400" s="7" t="s">
        <v>11</v>
      </c>
    </row>
    <row r="401" spans="1:9" ht="13.8">
      <c r="A401" s="5">
        <v>44799</v>
      </c>
      <c r="B401" s="6">
        <v>0.86944444444444402</v>
      </c>
      <c r="C401" s="7">
        <v>10939</v>
      </c>
      <c r="D401" s="7" t="s">
        <v>12</v>
      </c>
      <c r="E401" s="7">
        <v>3240</v>
      </c>
      <c r="F401" s="7">
        <v>2700</v>
      </c>
      <c r="G401" s="8">
        <v>540</v>
      </c>
      <c r="H401" s="7" t="s">
        <v>10</v>
      </c>
      <c r="I401" s="7" t="s">
        <v>11</v>
      </c>
    </row>
    <row r="402" spans="1:9" ht="13.8">
      <c r="A402" s="5">
        <v>44800</v>
      </c>
      <c r="B402" s="6">
        <v>0.21319444444444399</v>
      </c>
      <c r="C402" s="7">
        <v>10953</v>
      </c>
      <c r="D402" s="7" t="s">
        <v>23</v>
      </c>
      <c r="E402" s="7">
        <v>4380</v>
      </c>
      <c r="F402" s="7">
        <v>3680</v>
      </c>
      <c r="G402" s="8">
        <v>700</v>
      </c>
      <c r="H402" s="7" t="s">
        <v>10</v>
      </c>
      <c r="I402" s="7" t="s">
        <v>11</v>
      </c>
    </row>
    <row r="403" spans="1:9" ht="13.8">
      <c r="A403" s="5">
        <v>44800</v>
      </c>
      <c r="B403" s="6">
        <v>0.13750000000000001</v>
      </c>
      <c r="C403" s="7">
        <v>10949</v>
      </c>
      <c r="D403" s="7" t="s">
        <v>23</v>
      </c>
      <c r="E403" s="7">
        <v>4880</v>
      </c>
      <c r="F403" s="7">
        <v>3600</v>
      </c>
      <c r="G403" s="8">
        <v>1280</v>
      </c>
      <c r="H403" s="7" t="s">
        <v>10</v>
      </c>
      <c r="I403" s="7" t="s">
        <v>11</v>
      </c>
    </row>
    <row r="404" spans="1:9" ht="13.8">
      <c r="A404" s="5">
        <v>44800</v>
      </c>
      <c r="B404" s="6">
        <v>0.19236111111111101</v>
      </c>
      <c r="C404" s="7">
        <v>10952</v>
      </c>
      <c r="D404" s="7" t="s">
        <v>9</v>
      </c>
      <c r="E404" s="7">
        <v>22700</v>
      </c>
      <c r="F404" s="7">
        <v>12780</v>
      </c>
      <c r="G404" s="8">
        <v>9920</v>
      </c>
      <c r="H404" s="7" t="s">
        <v>10</v>
      </c>
      <c r="I404" s="7" t="s">
        <v>11</v>
      </c>
    </row>
    <row r="405" spans="1:9" ht="13.8">
      <c r="A405" s="5">
        <v>44800</v>
      </c>
      <c r="B405" s="6">
        <v>0.499305555555555</v>
      </c>
      <c r="C405" s="7">
        <v>10987</v>
      </c>
      <c r="D405" s="7" t="s">
        <v>13</v>
      </c>
      <c r="E405" s="7">
        <v>18320</v>
      </c>
      <c r="F405" s="7">
        <v>15920</v>
      </c>
      <c r="G405" s="8">
        <v>2400</v>
      </c>
      <c r="H405" s="7" t="s">
        <v>10</v>
      </c>
      <c r="I405" s="7" t="s">
        <v>11</v>
      </c>
    </row>
    <row r="406" spans="1:9" ht="13.8">
      <c r="A406" s="5">
        <v>44800</v>
      </c>
      <c r="B406" s="6">
        <v>0.25</v>
      </c>
      <c r="C406" s="7">
        <v>10961</v>
      </c>
      <c r="D406" s="7" t="s">
        <v>13</v>
      </c>
      <c r="E406" s="7">
        <v>27320</v>
      </c>
      <c r="F406" s="7">
        <v>15980</v>
      </c>
      <c r="G406" s="8">
        <v>11340</v>
      </c>
      <c r="H406" s="7" t="s">
        <v>10</v>
      </c>
      <c r="I406" s="7" t="s">
        <v>11</v>
      </c>
    </row>
    <row r="407" spans="1:9" ht="13.8">
      <c r="A407" s="5">
        <v>44800</v>
      </c>
      <c r="B407" s="6">
        <v>4.8611111111111098E-2</v>
      </c>
      <c r="C407" s="7">
        <v>10942</v>
      </c>
      <c r="D407" s="7" t="s">
        <v>9</v>
      </c>
      <c r="E407" s="7">
        <v>20980</v>
      </c>
      <c r="F407" s="7">
        <v>13000</v>
      </c>
      <c r="G407" s="8">
        <v>7980</v>
      </c>
      <c r="H407" s="7" t="s">
        <v>10</v>
      </c>
      <c r="I407" s="7" t="s">
        <v>11</v>
      </c>
    </row>
    <row r="408" spans="1:9" ht="13.8">
      <c r="A408" s="5">
        <v>44800</v>
      </c>
      <c r="B408" s="6">
        <v>0.47638888888888897</v>
      </c>
      <c r="C408" s="7">
        <v>10985</v>
      </c>
      <c r="D408" s="7" t="s">
        <v>12</v>
      </c>
      <c r="E408" s="7">
        <v>3600</v>
      </c>
      <c r="F408" s="7">
        <v>2820</v>
      </c>
      <c r="G408" s="8">
        <v>780</v>
      </c>
      <c r="H408" s="7" t="s">
        <v>10</v>
      </c>
      <c r="I408" s="7" t="s">
        <v>11</v>
      </c>
    </row>
    <row r="409" spans="1:9" ht="13.8">
      <c r="A409" s="5">
        <v>44800</v>
      </c>
      <c r="B409" s="6">
        <v>0.6875</v>
      </c>
      <c r="C409" s="7">
        <v>10993</v>
      </c>
      <c r="D409" s="7" t="s">
        <v>9</v>
      </c>
      <c r="E409" s="7">
        <v>15180</v>
      </c>
      <c r="F409" s="7">
        <v>12740</v>
      </c>
      <c r="G409" s="8">
        <v>2440</v>
      </c>
      <c r="H409" s="7" t="s">
        <v>10</v>
      </c>
      <c r="I409" s="7" t="s">
        <v>11</v>
      </c>
    </row>
    <row r="410" spans="1:9" ht="13.8">
      <c r="A410" s="5">
        <v>44800</v>
      </c>
      <c r="B410" s="6">
        <v>0.86597222222222203</v>
      </c>
      <c r="C410" s="7">
        <v>10995</v>
      </c>
      <c r="D410" s="7" t="s">
        <v>13</v>
      </c>
      <c r="E410" s="7">
        <v>25580</v>
      </c>
      <c r="F410" s="7">
        <v>16060</v>
      </c>
      <c r="G410" s="8">
        <v>9520</v>
      </c>
      <c r="H410" s="7" t="s">
        <v>10</v>
      </c>
      <c r="I410" s="7" t="s">
        <v>11</v>
      </c>
    </row>
    <row r="411" spans="1:9" ht="13.8">
      <c r="A411" s="5">
        <v>44800</v>
      </c>
      <c r="B411" s="6">
        <v>0.37152777777777801</v>
      </c>
      <c r="C411" s="7">
        <v>10977</v>
      </c>
      <c r="D411" s="7" t="s">
        <v>14</v>
      </c>
      <c r="E411" s="7">
        <v>3560</v>
      </c>
      <c r="F411" s="7">
        <v>2820</v>
      </c>
      <c r="G411" s="8">
        <v>740</v>
      </c>
      <c r="H411" s="7" t="s">
        <v>10</v>
      </c>
      <c r="I411" s="7" t="s">
        <v>11</v>
      </c>
    </row>
    <row r="412" spans="1:9" ht="13.8">
      <c r="A412" s="5">
        <v>44800</v>
      </c>
      <c r="B412" s="6">
        <v>0.24444444444444399</v>
      </c>
      <c r="C412" s="7">
        <v>10960</v>
      </c>
      <c r="D412" s="7" t="s">
        <v>18</v>
      </c>
      <c r="E412" s="7">
        <v>24880</v>
      </c>
      <c r="F412" s="7">
        <v>15800</v>
      </c>
      <c r="G412" s="8">
        <v>9080</v>
      </c>
      <c r="H412" s="7" t="s">
        <v>10</v>
      </c>
      <c r="I412" s="7" t="s">
        <v>11</v>
      </c>
    </row>
    <row r="413" spans="1:9" ht="13.8">
      <c r="A413" s="5">
        <v>44800</v>
      </c>
      <c r="B413" s="6">
        <v>0.21388888888888899</v>
      </c>
      <c r="C413" s="7">
        <v>10954</v>
      </c>
      <c r="D413" s="7" t="s">
        <v>12</v>
      </c>
      <c r="E413" s="7">
        <v>3000</v>
      </c>
      <c r="F413" s="7">
        <v>2800</v>
      </c>
      <c r="G413" s="8">
        <v>200</v>
      </c>
      <c r="H413" s="7" t="s">
        <v>10</v>
      </c>
      <c r="I413" s="7" t="s">
        <v>11</v>
      </c>
    </row>
    <row r="414" spans="1:9" ht="13.8">
      <c r="A414" s="5">
        <v>44800</v>
      </c>
      <c r="B414" s="6">
        <v>0.85555555555555596</v>
      </c>
      <c r="C414" s="7">
        <v>10994</v>
      </c>
      <c r="D414" s="7" t="s">
        <v>12</v>
      </c>
      <c r="E414" s="7">
        <v>3220</v>
      </c>
      <c r="F414" s="7">
        <v>2680</v>
      </c>
      <c r="G414" s="8">
        <v>540</v>
      </c>
      <c r="H414" s="7" t="s">
        <v>10</v>
      </c>
      <c r="I414" s="7" t="s">
        <v>11</v>
      </c>
    </row>
    <row r="415" spans="1:9" ht="13.8">
      <c r="A415" s="5">
        <v>44801</v>
      </c>
      <c r="B415" s="6">
        <v>0.69027777777777799</v>
      </c>
      <c r="C415" s="7">
        <v>11021</v>
      </c>
      <c r="D415" s="7" t="s">
        <v>9</v>
      </c>
      <c r="E415" s="7">
        <v>15460</v>
      </c>
      <c r="F415" s="7">
        <v>12780</v>
      </c>
      <c r="G415" s="8">
        <v>2680</v>
      </c>
      <c r="H415" s="7" t="s">
        <v>10</v>
      </c>
      <c r="I415" s="7" t="s">
        <v>11</v>
      </c>
    </row>
    <row r="416" spans="1:9" ht="13.8">
      <c r="A416" s="5">
        <v>44801</v>
      </c>
      <c r="B416" s="6">
        <v>0.21597222222222201</v>
      </c>
      <c r="C416" s="7">
        <v>11008</v>
      </c>
      <c r="D416" s="7" t="s">
        <v>23</v>
      </c>
      <c r="E416" s="7">
        <v>4460</v>
      </c>
      <c r="F416" s="7">
        <v>3660</v>
      </c>
      <c r="G416" s="8">
        <v>800</v>
      </c>
      <c r="H416" s="7" t="s">
        <v>10</v>
      </c>
      <c r="I416" s="7" t="s">
        <v>11</v>
      </c>
    </row>
    <row r="417" spans="1:9" ht="13.8">
      <c r="A417" s="5">
        <v>44801</v>
      </c>
      <c r="B417" s="6">
        <v>0.44097222222222199</v>
      </c>
      <c r="C417" s="7">
        <v>11020</v>
      </c>
      <c r="D417" s="7" t="s">
        <v>17</v>
      </c>
      <c r="E417" s="7">
        <v>2780</v>
      </c>
      <c r="F417" s="7">
        <v>2500</v>
      </c>
      <c r="G417" s="8">
        <v>280</v>
      </c>
      <c r="H417" s="7" t="s">
        <v>10</v>
      </c>
      <c r="I417" s="7" t="s">
        <v>11</v>
      </c>
    </row>
    <row r="418" spans="1:9" ht="13.8">
      <c r="A418" s="5">
        <v>44801</v>
      </c>
      <c r="B418" s="6">
        <v>0.12361111111111101</v>
      </c>
      <c r="C418" s="7">
        <v>11001</v>
      </c>
      <c r="D418" s="7" t="s">
        <v>23</v>
      </c>
      <c r="E418" s="7">
        <v>4660</v>
      </c>
      <c r="F418" s="7">
        <v>3580</v>
      </c>
      <c r="G418" s="8">
        <v>1080</v>
      </c>
      <c r="H418" s="7" t="s">
        <v>10</v>
      </c>
      <c r="I418" s="7" t="s">
        <v>11</v>
      </c>
    </row>
    <row r="419" spans="1:9" ht="13.8">
      <c r="A419" s="5">
        <v>44801</v>
      </c>
      <c r="B419" s="6">
        <v>0.21666666666666701</v>
      </c>
      <c r="C419" s="7">
        <v>11010</v>
      </c>
      <c r="D419" s="7" t="s">
        <v>12</v>
      </c>
      <c r="E419" s="7">
        <v>2960</v>
      </c>
      <c r="F419" s="7">
        <v>2800</v>
      </c>
      <c r="G419" s="8">
        <v>160</v>
      </c>
      <c r="H419" s="7" t="s">
        <v>10</v>
      </c>
      <c r="I419" s="7" t="s">
        <v>11</v>
      </c>
    </row>
    <row r="420" spans="1:9" ht="13.8">
      <c r="A420" s="5">
        <v>44801</v>
      </c>
      <c r="B420" s="6">
        <v>0.35277777777777802</v>
      </c>
      <c r="C420" s="7">
        <v>11019</v>
      </c>
      <c r="D420" s="7" t="s">
        <v>14</v>
      </c>
      <c r="E420" s="7">
        <v>3520</v>
      </c>
      <c r="F420" s="7">
        <v>2820</v>
      </c>
      <c r="G420" s="8">
        <v>700</v>
      </c>
      <c r="H420" s="7" t="s">
        <v>10</v>
      </c>
      <c r="I420" s="7" t="s">
        <v>11</v>
      </c>
    </row>
    <row r="421" spans="1:9" ht="13.8">
      <c r="A421" s="5">
        <v>44801</v>
      </c>
      <c r="B421" s="6">
        <v>3.6805555555555598E-2</v>
      </c>
      <c r="C421" s="7">
        <v>10997</v>
      </c>
      <c r="D421" s="7" t="s">
        <v>9</v>
      </c>
      <c r="E421" s="7">
        <v>22120</v>
      </c>
      <c r="F421" s="7">
        <v>12900</v>
      </c>
      <c r="G421" s="8">
        <v>9220</v>
      </c>
      <c r="H421" s="7" t="s">
        <v>10</v>
      </c>
      <c r="I421" s="7" t="s">
        <v>11</v>
      </c>
    </row>
    <row r="422" spans="1:9" ht="13.8">
      <c r="A422" s="5">
        <v>44801</v>
      </c>
      <c r="B422" s="6">
        <v>0.12708333333333299</v>
      </c>
      <c r="C422" s="7">
        <v>11002</v>
      </c>
      <c r="D422" s="7" t="s">
        <v>9</v>
      </c>
      <c r="E422" s="7">
        <v>20880</v>
      </c>
      <c r="F422" s="7">
        <v>12700</v>
      </c>
      <c r="G422" s="8">
        <v>8180</v>
      </c>
      <c r="H422" s="7" t="s">
        <v>10</v>
      </c>
      <c r="I422" s="7" t="s">
        <v>11</v>
      </c>
    </row>
    <row r="423" spans="1:9" ht="13.8">
      <c r="A423" s="5">
        <v>44801</v>
      </c>
      <c r="B423" s="6">
        <v>0.233333333333333</v>
      </c>
      <c r="C423" s="7">
        <v>11011</v>
      </c>
      <c r="D423" s="7" t="s">
        <v>9</v>
      </c>
      <c r="E423" s="7">
        <v>16640</v>
      </c>
      <c r="F423" s="7">
        <v>12720</v>
      </c>
      <c r="G423" s="8">
        <v>3920</v>
      </c>
      <c r="H423" s="7" t="s">
        <v>10</v>
      </c>
      <c r="I423" s="7" t="s">
        <v>11</v>
      </c>
    </row>
    <row r="424" spans="1:9" ht="13.8">
      <c r="A424" s="5">
        <v>44801</v>
      </c>
      <c r="B424" s="6">
        <v>0.24722222222222201</v>
      </c>
      <c r="C424" s="7">
        <v>11015</v>
      </c>
      <c r="D424" s="7" t="s">
        <v>13</v>
      </c>
      <c r="E424" s="7">
        <v>27040</v>
      </c>
      <c r="F424" s="7">
        <v>16120</v>
      </c>
      <c r="G424" s="8">
        <v>10920</v>
      </c>
      <c r="H424" s="7" t="s">
        <v>10</v>
      </c>
      <c r="I424" s="7" t="s">
        <v>11</v>
      </c>
    </row>
    <row r="425" spans="1:9" ht="13.8">
      <c r="A425" s="5">
        <v>44801</v>
      </c>
      <c r="B425" s="6">
        <v>0.24652777777777801</v>
      </c>
      <c r="C425" s="7">
        <v>11014</v>
      </c>
      <c r="D425" s="7" t="s">
        <v>18</v>
      </c>
      <c r="E425" s="7">
        <v>22460</v>
      </c>
      <c r="F425" s="7">
        <v>15760</v>
      </c>
      <c r="G425" s="8">
        <v>6700</v>
      </c>
      <c r="H425" s="7" t="s">
        <v>10</v>
      </c>
      <c r="I425" s="7" t="s">
        <v>11</v>
      </c>
    </row>
    <row r="426" spans="1:9" ht="13.8">
      <c r="A426" s="5">
        <v>44801</v>
      </c>
      <c r="B426" s="6">
        <v>0.874305555555556</v>
      </c>
      <c r="C426" s="7">
        <v>11023</v>
      </c>
      <c r="D426" s="7" t="s">
        <v>13</v>
      </c>
      <c r="E426" s="7">
        <v>25080</v>
      </c>
      <c r="F426" s="7">
        <v>16160</v>
      </c>
      <c r="G426" s="8">
        <v>8920</v>
      </c>
      <c r="H426" s="7" t="s">
        <v>10</v>
      </c>
      <c r="I426" s="7" t="s">
        <v>11</v>
      </c>
    </row>
    <row r="427" spans="1:9" ht="13.8">
      <c r="A427" s="5">
        <v>44801</v>
      </c>
      <c r="B427" s="6">
        <v>0.97013888888888899</v>
      </c>
      <c r="C427" s="7">
        <v>11025</v>
      </c>
      <c r="D427" s="7" t="s">
        <v>22</v>
      </c>
      <c r="E427" s="7">
        <v>15200</v>
      </c>
      <c r="F427" s="7">
        <v>12500</v>
      </c>
      <c r="G427" s="8">
        <v>2700</v>
      </c>
      <c r="H427" s="7" t="s">
        <v>10</v>
      </c>
      <c r="I427" s="7" t="s">
        <v>11</v>
      </c>
    </row>
    <row r="428" spans="1:9" ht="13.8">
      <c r="A428" s="5">
        <v>44801</v>
      </c>
      <c r="B428" s="6">
        <v>0.86944444444444402</v>
      </c>
      <c r="C428" s="7">
        <v>11022</v>
      </c>
      <c r="D428" s="7" t="s">
        <v>12</v>
      </c>
      <c r="E428" s="7">
        <v>3120</v>
      </c>
      <c r="F428" s="7">
        <v>2680</v>
      </c>
      <c r="G428" s="8">
        <v>440</v>
      </c>
      <c r="H428" s="7" t="s">
        <v>10</v>
      </c>
      <c r="I428" s="7" t="s">
        <v>11</v>
      </c>
    </row>
    <row r="429" spans="1:9" ht="13.8">
      <c r="A429" s="5">
        <v>44802</v>
      </c>
      <c r="B429" s="6">
        <v>0.202777777777778</v>
      </c>
      <c r="C429" s="7">
        <v>11036</v>
      </c>
      <c r="D429" s="7" t="s">
        <v>12</v>
      </c>
      <c r="E429" s="7">
        <v>3500</v>
      </c>
      <c r="F429" s="7">
        <v>2920</v>
      </c>
      <c r="G429" s="8">
        <v>580</v>
      </c>
      <c r="H429" s="7" t="s">
        <v>10</v>
      </c>
      <c r="I429" s="7" t="s">
        <v>11</v>
      </c>
    </row>
    <row r="430" spans="1:9" ht="13.8">
      <c r="A430" s="5">
        <v>44802</v>
      </c>
      <c r="B430" s="6">
        <v>0.117361111111111</v>
      </c>
      <c r="C430" s="7">
        <v>11032</v>
      </c>
      <c r="D430" s="7" t="s">
        <v>14</v>
      </c>
      <c r="E430" s="7">
        <v>3360</v>
      </c>
      <c r="F430" s="7">
        <v>2840</v>
      </c>
      <c r="G430" s="8">
        <v>520</v>
      </c>
      <c r="H430" s="7" t="s">
        <v>10</v>
      </c>
      <c r="I430" s="7" t="s">
        <v>11</v>
      </c>
    </row>
    <row r="431" spans="1:9" ht="13.8">
      <c r="A431" s="5">
        <v>44802</v>
      </c>
      <c r="B431" s="6">
        <v>0.19166666666666701</v>
      </c>
      <c r="C431" s="7">
        <v>11035</v>
      </c>
      <c r="D431" s="7" t="s">
        <v>14</v>
      </c>
      <c r="E431" s="7">
        <v>3120</v>
      </c>
      <c r="F431" s="7">
        <v>2820</v>
      </c>
      <c r="G431" s="8">
        <v>300</v>
      </c>
      <c r="H431" s="7" t="s">
        <v>10</v>
      </c>
      <c r="I431" s="7" t="s">
        <v>11</v>
      </c>
    </row>
    <row r="432" spans="1:9" ht="13.8">
      <c r="A432" s="5">
        <v>44802</v>
      </c>
      <c r="B432" s="6">
        <v>0.21875</v>
      </c>
      <c r="C432" s="7">
        <v>11041</v>
      </c>
      <c r="D432" s="7" t="s">
        <v>13</v>
      </c>
      <c r="E432" s="7">
        <v>25460</v>
      </c>
      <c r="F432" s="7">
        <v>16160</v>
      </c>
      <c r="G432" s="8">
        <v>9300</v>
      </c>
      <c r="H432" s="7" t="s">
        <v>10</v>
      </c>
      <c r="I432" s="7" t="s">
        <v>11</v>
      </c>
    </row>
    <row r="433" spans="1:9" ht="13.8">
      <c r="A433" s="5">
        <v>44802</v>
      </c>
      <c r="B433" s="6">
        <v>0.24652777777777801</v>
      </c>
      <c r="C433" s="7">
        <v>11046</v>
      </c>
      <c r="D433" s="7" t="s">
        <v>18</v>
      </c>
      <c r="E433" s="7">
        <v>22660</v>
      </c>
      <c r="F433" s="7">
        <v>15720</v>
      </c>
      <c r="G433" s="8">
        <v>6940</v>
      </c>
      <c r="H433" s="7" t="s">
        <v>10</v>
      </c>
      <c r="I433" s="7" t="s">
        <v>11</v>
      </c>
    </row>
    <row r="434" spans="1:9" ht="13.8">
      <c r="A434" s="5">
        <v>44802</v>
      </c>
      <c r="B434" s="6">
        <v>0.24722222222222201</v>
      </c>
      <c r="C434" s="7">
        <v>11047</v>
      </c>
      <c r="D434" s="7" t="s">
        <v>9</v>
      </c>
      <c r="E434" s="7">
        <v>16360</v>
      </c>
      <c r="F434" s="7">
        <v>12780</v>
      </c>
      <c r="G434" s="8">
        <v>3580</v>
      </c>
      <c r="H434" s="7" t="s">
        <v>10</v>
      </c>
      <c r="I434" s="7" t="s">
        <v>11</v>
      </c>
    </row>
    <row r="435" spans="1:9" ht="13.8">
      <c r="A435" s="5">
        <v>44802</v>
      </c>
      <c r="B435" s="6">
        <v>0.113888888888889</v>
      </c>
      <c r="C435" s="7">
        <v>11030</v>
      </c>
      <c r="D435" s="7" t="s">
        <v>9</v>
      </c>
      <c r="E435" s="7">
        <v>20360</v>
      </c>
      <c r="F435" s="7">
        <v>12780</v>
      </c>
      <c r="G435" s="8">
        <v>7580</v>
      </c>
      <c r="H435" s="7" t="s">
        <v>10</v>
      </c>
      <c r="I435" s="7" t="s">
        <v>11</v>
      </c>
    </row>
    <row r="436" spans="1:9" ht="13.8">
      <c r="A436" s="5">
        <v>44802</v>
      </c>
      <c r="B436" s="6">
        <v>2.70833333333333E-2</v>
      </c>
      <c r="C436" s="7">
        <v>11026</v>
      </c>
      <c r="D436" s="7" t="s">
        <v>9</v>
      </c>
      <c r="E436" s="7">
        <v>20360</v>
      </c>
      <c r="F436" s="7">
        <v>12960</v>
      </c>
      <c r="G436" s="8">
        <v>7400</v>
      </c>
      <c r="H436" s="7" t="s">
        <v>10</v>
      </c>
      <c r="I436" s="7" t="s">
        <v>11</v>
      </c>
    </row>
    <row r="437" spans="1:9" ht="13.8">
      <c r="A437" s="5">
        <v>44802</v>
      </c>
      <c r="B437" s="6">
        <v>0.29930555555555599</v>
      </c>
      <c r="C437" s="7">
        <v>11052</v>
      </c>
      <c r="D437" s="7" t="s">
        <v>15</v>
      </c>
      <c r="E437" s="7">
        <v>6640</v>
      </c>
      <c r="F437" s="7">
        <v>5660</v>
      </c>
      <c r="G437" s="8">
        <v>980</v>
      </c>
      <c r="H437" s="7" t="s">
        <v>10</v>
      </c>
      <c r="I437" s="7" t="s">
        <v>16</v>
      </c>
    </row>
    <row r="438" spans="1:9" ht="13.8">
      <c r="A438" s="5">
        <v>44802</v>
      </c>
      <c r="B438" s="6">
        <v>0.51597222222222205</v>
      </c>
      <c r="C438" s="7">
        <v>11074</v>
      </c>
      <c r="D438" s="7" t="s">
        <v>19</v>
      </c>
      <c r="E438" s="7">
        <v>30420</v>
      </c>
      <c r="F438" s="7">
        <v>15300</v>
      </c>
      <c r="G438" s="8">
        <v>15120</v>
      </c>
      <c r="H438" s="7" t="s">
        <v>10</v>
      </c>
      <c r="I438" s="7" t="s">
        <v>24</v>
      </c>
    </row>
    <row r="439" spans="1:9" ht="13.8">
      <c r="A439" s="5">
        <v>44802</v>
      </c>
      <c r="B439" s="6">
        <v>0.36249999999999999</v>
      </c>
      <c r="C439" s="7">
        <v>11056</v>
      </c>
      <c r="D439" s="7" t="s">
        <v>14</v>
      </c>
      <c r="E439" s="7">
        <v>3460</v>
      </c>
      <c r="F439" s="7">
        <v>2800</v>
      </c>
      <c r="G439" s="8">
        <v>660</v>
      </c>
      <c r="H439" s="7" t="s">
        <v>10</v>
      </c>
      <c r="I439" s="5" t="s">
        <v>11</v>
      </c>
    </row>
    <row r="440" spans="1:9" ht="13.8">
      <c r="A440" s="5">
        <v>44802</v>
      </c>
      <c r="B440" s="6">
        <v>0.45763888888888898</v>
      </c>
      <c r="C440" s="7">
        <v>11067</v>
      </c>
      <c r="D440" s="7" t="s">
        <v>17</v>
      </c>
      <c r="E440" s="7">
        <v>2620</v>
      </c>
      <c r="F440" s="7">
        <v>2400</v>
      </c>
      <c r="G440" s="8">
        <v>220</v>
      </c>
      <c r="H440" s="7" t="s">
        <v>10</v>
      </c>
      <c r="I440" s="7" t="s">
        <v>11</v>
      </c>
    </row>
    <row r="441" spans="1:9" ht="13.8">
      <c r="A441" s="5">
        <v>44802</v>
      </c>
      <c r="B441" s="6">
        <v>0.485416666666667</v>
      </c>
      <c r="C441" s="7">
        <v>11070</v>
      </c>
      <c r="D441" s="7" t="s">
        <v>19</v>
      </c>
      <c r="E441" s="7">
        <v>28280</v>
      </c>
      <c r="F441" s="7">
        <v>15300</v>
      </c>
      <c r="G441" s="8">
        <v>12980</v>
      </c>
      <c r="H441" s="7" t="s">
        <v>10</v>
      </c>
      <c r="I441" s="7" t="s">
        <v>24</v>
      </c>
    </row>
    <row r="442" spans="1:9" ht="13.8">
      <c r="A442" s="5">
        <v>44802</v>
      </c>
      <c r="B442" s="6">
        <v>0.50555555555555598</v>
      </c>
      <c r="C442" s="7">
        <v>11073</v>
      </c>
      <c r="D442" s="7" t="s">
        <v>19</v>
      </c>
      <c r="E442" s="7">
        <v>30180</v>
      </c>
      <c r="F442" s="7">
        <v>15300</v>
      </c>
      <c r="G442" s="8">
        <v>14880</v>
      </c>
      <c r="H442" s="7" t="s">
        <v>10</v>
      </c>
      <c r="I442" s="7" t="s">
        <v>24</v>
      </c>
    </row>
    <row r="443" spans="1:9" ht="13.8">
      <c r="A443" s="5">
        <v>44802</v>
      </c>
      <c r="B443" s="6">
        <v>0.44305555555555598</v>
      </c>
      <c r="C443" s="7">
        <v>11063</v>
      </c>
      <c r="D443" s="7" t="s">
        <v>19</v>
      </c>
      <c r="E443" s="7">
        <v>26700</v>
      </c>
      <c r="F443" s="7">
        <v>15300</v>
      </c>
      <c r="G443" s="8">
        <v>11400</v>
      </c>
      <c r="H443" s="7" t="s">
        <v>10</v>
      </c>
      <c r="I443" s="7" t="s">
        <v>24</v>
      </c>
    </row>
    <row r="444" spans="1:9" ht="13.8">
      <c r="A444" s="5">
        <v>44802</v>
      </c>
      <c r="B444" s="6">
        <v>0.46458333333333302</v>
      </c>
      <c r="C444" s="7">
        <v>11069</v>
      </c>
      <c r="D444" s="7" t="s">
        <v>19</v>
      </c>
      <c r="E444" s="7">
        <v>27420</v>
      </c>
      <c r="F444" s="7">
        <v>15300</v>
      </c>
      <c r="G444" s="8">
        <v>12120</v>
      </c>
      <c r="H444" s="7" t="s">
        <v>10</v>
      </c>
      <c r="I444" s="7" t="s">
        <v>24</v>
      </c>
    </row>
    <row r="445" spans="1:9" ht="13.8">
      <c r="A445" s="5">
        <v>44802</v>
      </c>
      <c r="B445" s="6">
        <v>0.875694444444444</v>
      </c>
      <c r="C445" s="7">
        <v>11090</v>
      </c>
      <c r="D445" s="7" t="s">
        <v>13</v>
      </c>
      <c r="E445" s="7">
        <v>22280</v>
      </c>
      <c r="F445" s="7">
        <v>15880</v>
      </c>
      <c r="G445" s="8">
        <v>6400</v>
      </c>
      <c r="H445" s="7" t="s">
        <v>10</v>
      </c>
      <c r="I445" s="7" t="s">
        <v>11</v>
      </c>
    </row>
    <row r="446" spans="1:9" ht="13.8">
      <c r="A446" s="5">
        <v>44802</v>
      </c>
      <c r="B446" s="6">
        <v>0.73611111111111105</v>
      </c>
      <c r="C446" s="7">
        <v>11088</v>
      </c>
      <c r="D446" s="7" t="s">
        <v>22</v>
      </c>
      <c r="E446" s="7">
        <v>15780</v>
      </c>
      <c r="F446" s="7">
        <v>12480</v>
      </c>
      <c r="G446" s="7">
        <v>3300</v>
      </c>
      <c r="H446" s="7" t="s">
        <v>10</v>
      </c>
      <c r="I446" s="7" t="s">
        <v>11</v>
      </c>
    </row>
    <row r="447" spans="1:9" ht="13.8">
      <c r="A447" s="5">
        <v>44802</v>
      </c>
      <c r="B447" s="6">
        <v>0.86180555555555605</v>
      </c>
      <c r="C447" s="7">
        <v>11089</v>
      </c>
      <c r="D447" s="7" t="s">
        <v>12</v>
      </c>
      <c r="E447" s="7">
        <v>3020</v>
      </c>
      <c r="F447" s="7">
        <v>2680</v>
      </c>
      <c r="G447" s="7">
        <v>340</v>
      </c>
      <c r="H447" s="7" t="s">
        <v>10</v>
      </c>
      <c r="I447" s="7" t="s">
        <v>11</v>
      </c>
    </row>
    <row r="448" spans="1:9" ht="13.8">
      <c r="A448" s="5">
        <v>44803</v>
      </c>
      <c r="B448" s="6">
        <v>3.4722222222222203E-2</v>
      </c>
      <c r="C448" s="7">
        <v>11091</v>
      </c>
      <c r="D448" s="7" t="s">
        <v>9</v>
      </c>
      <c r="E448" s="7">
        <v>20260</v>
      </c>
      <c r="F448" s="7">
        <v>12920</v>
      </c>
      <c r="G448" s="7">
        <v>7340</v>
      </c>
      <c r="H448" s="7" t="s">
        <v>10</v>
      </c>
      <c r="I448" s="7" t="s">
        <v>11</v>
      </c>
    </row>
    <row r="449" spans="1:10" ht="13.8">
      <c r="A449" s="5">
        <v>44803</v>
      </c>
      <c r="B449" s="6">
        <v>0.249305555555556</v>
      </c>
      <c r="C449" s="7">
        <v>11112</v>
      </c>
      <c r="D449" s="7" t="s">
        <v>13</v>
      </c>
      <c r="E449" s="7">
        <v>23040</v>
      </c>
      <c r="F449" s="7">
        <v>15840</v>
      </c>
      <c r="G449" s="7">
        <v>7200</v>
      </c>
      <c r="H449" s="7" t="s">
        <v>10</v>
      </c>
      <c r="I449" s="7" t="s">
        <v>11</v>
      </c>
    </row>
    <row r="450" spans="1:10" ht="13.8">
      <c r="A450" s="5">
        <v>44803</v>
      </c>
      <c r="B450" s="6">
        <v>0.233333333333333</v>
      </c>
      <c r="C450" s="7">
        <v>11108</v>
      </c>
      <c r="D450" s="7" t="s">
        <v>9</v>
      </c>
      <c r="E450" s="7">
        <v>16460</v>
      </c>
      <c r="F450" s="7">
        <v>12800</v>
      </c>
      <c r="G450" s="7">
        <v>3660</v>
      </c>
      <c r="H450" s="7" t="s">
        <v>10</v>
      </c>
      <c r="I450" s="7" t="s">
        <v>11</v>
      </c>
    </row>
    <row r="451" spans="1:10" ht="13.8">
      <c r="A451" s="5">
        <v>44803</v>
      </c>
      <c r="B451" s="6">
        <v>0.180555555555556</v>
      </c>
      <c r="C451" s="7">
        <v>11100</v>
      </c>
      <c r="D451" s="7" t="s">
        <v>18</v>
      </c>
      <c r="E451" s="7">
        <v>23680</v>
      </c>
      <c r="F451" s="7">
        <v>15780</v>
      </c>
      <c r="G451" s="7">
        <v>7900</v>
      </c>
      <c r="H451" s="7" t="s">
        <v>10</v>
      </c>
      <c r="I451" s="7" t="s">
        <v>11</v>
      </c>
    </row>
    <row r="452" spans="1:10" ht="13.8">
      <c r="A452" s="5">
        <v>44803</v>
      </c>
      <c r="B452" s="6">
        <v>0.21527777777777801</v>
      </c>
      <c r="C452" s="7">
        <v>11105</v>
      </c>
      <c r="D452" s="7" t="s">
        <v>23</v>
      </c>
      <c r="E452" s="7">
        <v>4840</v>
      </c>
      <c r="F452" s="7">
        <v>3700</v>
      </c>
      <c r="G452" s="7">
        <v>1140</v>
      </c>
      <c r="H452" s="7" t="s">
        <v>10</v>
      </c>
      <c r="I452" s="7" t="s">
        <v>11</v>
      </c>
    </row>
    <row r="453" spans="1:10" ht="13.8">
      <c r="A453" s="5">
        <v>44803</v>
      </c>
      <c r="B453" s="6">
        <v>0.13472222222222199</v>
      </c>
      <c r="C453" s="7">
        <v>11097</v>
      </c>
      <c r="D453" s="7" t="s">
        <v>9</v>
      </c>
      <c r="E453" s="7">
        <v>20360</v>
      </c>
      <c r="F453" s="7">
        <v>12720</v>
      </c>
      <c r="G453" s="7">
        <v>7640</v>
      </c>
      <c r="H453" s="7" t="s">
        <v>10</v>
      </c>
      <c r="I453" s="7" t="s">
        <v>11</v>
      </c>
    </row>
    <row r="454" spans="1:10" ht="13.8">
      <c r="A454" s="5">
        <v>44802</v>
      </c>
      <c r="B454" s="6">
        <v>0.32500000000000001</v>
      </c>
      <c r="C454" s="7">
        <v>3341</v>
      </c>
      <c r="D454" s="7" t="s">
        <v>13</v>
      </c>
      <c r="E454" s="7">
        <v>18420</v>
      </c>
      <c r="F454" s="7">
        <v>15720</v>
      </c>
      <c r="G454" s="7">
        <v>2700</v>
      </c>
      <c r="H454" s="7" t="s">
        <v>10</v>
      </c>
      <c r="I454" s="7" t="s">
        <v>21</v>
      </c>
      <c r="J454" s="9"/>
    </row>
    <row r="455" spans="1:10" ht="13.8">
      <c r="A455" s="5">
        <v>44803</v>
      </c>
      <c r="B455" s="6">
        <v>0.34861111111111098</v>
      </c>
      <c r="C455" s="7">
        <v>11120</v>
      </c>
      <c r="D455" s="7" t="s">
        <v>19</v>
      </c>
      <c r="E455" s="7">
        <v>28800</v>
      </c>
      <c r="F455" s="7">
        <v>15300</v>
      </c>
      <c r="G455" s="7">
        <v>13500</v>
      </c>
      <c r="H455" s="7" t="s">
        <v>10</v>
      </c>
      <c r="I455" s="7" t="s">
        <v>24</v>
      </c>
    </row>
    <row r="456" spans="1:10" ht="13.8">
      <c r="A456" s="5">
        <v>44803</v>
      </c>
      <c r="B456" s="6">
        <v>0.42708333333333298</v>
      </c>
      <c r="C456" s="7">
        <v>11128</v>
      </c>
      <c r="D456" s="7" t="s">
        <v>15</v>
      </c>
      <c r="E456" s="7">
        <v>6320</v>
      </c>
      <c r="F456" s="7">
        <v>5640</v>
      </c>
      <c r="G456" s="7">
        <v>680</v>
      </c>
      <c r="H456" s="7" t="s">
        <v>10</v>
      </c>
      <c r="I456" s="7" t="s">
        <v>16</v>
      </c>
    </row>
    <row r="457" spans="1:10" ht="13.8">
      <c r="A457" s="5">
        <v>44803</v>
      </c>
      <c r="B457" s="6">
        <v>0.37847222222222199</v>
      </c>
      <c r="C457" s="7">
        <v>11124</v>
      </c>
      <c r="D457" s="7" t="s">
        <v>14</v>
      </c>
      <c r="E457" s="7">
        <v>3480</v>
      </c>
      <c r="F457" s="7">
        <v>2780</v>
      </c>
      <c r="G457" s="7">
        <v>700</v>
      </c>
      <c r="H457" s="7" t="s">
        <v>10</v>
      </c>
      <c r="I457" s="7" t="s">
        <v>11</v>
      </c>
    </row>
    <row r="458" spans="1:10" ht="13.8">
      <c r="A458" s="5">
        <v>44803</v>
      </c>
      <c r="B458" s="6">
        <v>0.47361111111111098</v>
      </c>
      <c r="C458" s="7">
        <v>11138</v>
      </c>
      <c r="D458" s="7" t="s">
        <v>15</v>
      </c>
      <c r="E458" s="7">
        <v>6080</v>
      </c>
      <c r="F458" s="7">
        <v>5640</v>
      </c>
      <c r="G458" s="7">
        <v>440</v>
      </c>
      <c r="H458" s="7" t="s">
        <v>10</v>
      </c>
      <c r="I458" s="7" t="s">
        <v>16</v>
      </c>
    </row>
    <row r="459" spans="1:10" ht="13.8">
      <c r="A459" s="5">
        <v>44803</v>
      </c>
      <c r="B459" s="6">
        <v>0.44791666666666702</v>
      </c>
      <c r="C459" s="7">
        <v>11134</v>
      </c>
      <c r="D459" s="7" t="s">
        <v>17</v>
      </c>
      <c r="E459" s="7">
        <v>2600</v>
      </c>
      <c r="F459" s="7">
        <v>2400</v>
      </c>
      <c r="G459" s="7">
        <v>200</v>
      </c>
      <c r="H459" s="7" t="s">
        <v>10</v>
      </c>
      <c r="I459" s="7" t="s">
        <v>11</v>
      </c>
    </row>
    <row r="460" spans="1:10" ht="13.8">
      <c r="A460" s="5">
        <v>44803</v>
      </c>
      <c r="B460" s="6">
        <v>0.469444444444444</v>
      </c>
      <c r="C460" s="7">
        <v>11136</v>
      </c>
      <c r="D460" s="7" t="s">
        <v>19</v>
      </c>
      <c r="E460" s="7">
        <v>31000</v>
      </c>
      <c r="F460" s="7">
        <v>15300</v>
      </c>
      <c r="G460" s="7">
        <v>15700</v>
      </c>
      <c r="H460" s="7" t="s">
        <v>10</v>
      </c>
      <c r="I460" s="7" t="s">
        <v>24</v>
      </c>
    </row>
    <row r="461" spans="1:10" ht="13.8">
      <c r="A461" s="5">
        <v>44803</v>
      </c>
      <c r="B461" s="6">
        <v>0.32500000000000001</v>
      </c>
      <c r="C461" s="7">
        <v>11119</v>
      </c>
      <c r="D461" s="7" t="s">
        <v>19</v>
      </c>
      <c r="E461" s="7">
        <v>28020</v>
      </c>
      <c r="F461" s="7">
        <v>15300</v>
      </c>
      <c r="G461" s="7">
        <v>12720</v>
      </c>
      <c r="H461" s="7" t="s">
        <v>10</v>
      </c>
      <c r="I461" s="7" t="s">
        <v>24</v>
      </c>
    </row>
    <row r="462" spans="1:10" ht="13.8">
      <c r="A462" s="5">
        <v>44803</v>
      </c>
      <c r="B462" s="6">
        <v>0.37361111111111101</v>
      </c>
      <c r="C462" s="7">
        <v>11123</v>
      </c>
      <c r="D462" s="7" t="s">
        <v>19</v>
      </c>
      <c r="E462" s="7">
        <v>29540</v>
      </c>
      <c r="F462" s="7">
        <v>15300</v>
      </c>
      <c r="G462" s="7">
        <v>14240</v>
      </c>
      <c r="H462" s="7" t="s">
        <v>10</v>
      </c>
      <c r="I462" s="7" t="s">
        <v>24</v>
      </c>
    </row>
    <row r="463" spans="1:10" ht="13.8">
      <c r="A463" s="5">
        <v>44803</v>
      </c>
      <c r="B463" s="6">
        <v>0.44861111111111102</v>
      </c>
      <c r="C463" s="7">
        <v>11132</v>
      </c>
      <c r="D463" s="7" t="s">
        <v>19</v>
      </c>
      <c r="E463" s="7">
        <v>30180</v>
      </c>
      <c r="F463" s="7">
        <v>15300</v>
      </c>
      <c r="G463" s="7">
        <v>14880</v>
      </c>
      <c r="H463" s="7" t="s">
        <v>10</v>
      </c>
      <c r="I463" s="7" t="s">
        <v>24</v>
      </c>
    </row>
    <row r="464" spans="1:10" ht="13.8">
      <c r="A464" s="5">
        <v>44803</v>
      </c>
      <c r="B464" s="6">
        <v>0.46041666666666697</v>
      </c>
      <c r="C464" s="7">
        <v>143838</v>
      </c>
      <c r="D464" s="7" t="s">
        <v>18</v>
      </c>
      <c r="E464" s="7">
        <v>17600</v>
      </c>
      <c r="F464" s="7">
        <v>15600</v>
      </c>
      <c r="G464" s="7">
        <v>2000</v>
      </c>
      <c r="H464" s="7" t="s">
        <v>10</v>
      </c>
      <c r="I464" s="7" t="s">
        <v>20</v>
      </c>
      <c r="J464" s="9"/>
    </row>
    <row r="465" spans="1:9" ht="13.8">
      <c r="A465" s="5">
        <v>44803</v>
      </c>
      <c r="B465" s="6">
        <v>0.69513888888888897</v>
      </c>
      <c r="C465" s="7">
        <v>11157</v>
      </c>
      <c r="D465" s="7" t="s">
        <v>9</v>
      </c>
      <c r="E465" s="7">
        <v>15840</v>
      </c>
      <c r="F465" s="7">
        <v>12780</v>
      </c>
      <c r="G465" s="7">
        <v>3060</v>
      </c>
      <c r="H465" s="7" t="s">
        <v>10</v>
      </c>
      <c r="I465" s="7" t="s">
        <v>11</v>
      </c>
    </row>
    <row r="466" spans="1:9" ht="13.8">
      <c r="A466" s="5">
        <v>44803</v>
      </c>
      <c r="B466" s="6">
        <v>0.85069444444444398</v>
      </c>
      <c r="C466" s="7">
        <v>11163</v>
      </c>
      <c r="D466" s="7" t="s">
        <v>12</v>
      </c>
      <c r="E466" s="7">
        <v>3000</v>
      </c>
      <c r="F466" s="7">
        <v>2660</v>
      </c>
      <c r="G466" s="7">
        <v>340</v>
      </c>
      <c r="H466" s="7" t="s">
        <v>10</v>
      </c>
      <c r="I466" s="7" t="s">
        <v>11</v>
      </c>
    </row>
    <row r="467" spans="1:9" ht="13.8">
      <c r="A467" s="5">
        <v>44803</v>
      </c>
      <c r="B467" s="6">
        <v>0.87291666666666701</v>
      </c>
      <c r="C467" s="7">
        <v>11165</v>
      </c>
      <c r="D467" s="7" t="s">
        <v>13</v>
      </c>
      <c r="E467" s="7">
        <v>23820</v>
      </c>
      <c r="F467" s="7">
        <v>15900</v>
      </c>
      <c r="G467" s="7">
        <v>7920</v>
      </c>
      <c r="H467" s="7" t="s">
        <v>10</v>
      </c>
      <c r="I467" s="7" t="s">
        <v>11</v>
      </c>
    </row>
    <row r="468" spans="1:9" ht="13.8">
      <c r="A468" s="5">
        <v>44804</v>
      </c>
      <c r="B468" s="6">
        <v>0.25416666666666698</v>
      </c>
      <c r="C468" s="7">
        <v>11184</v>
      </c>
      <c r="D468" s="7" t="s">
        <v>9</v>
      </c>
      <c r="E468" s="7">
        <v>14720</v>
      </c>
      <c r="F468" s="7">
        <v>12740</v>
      </c>
      <c r="G468" s="7">
        <v>1980</v>
      </c>
      <c r="H468" s="7" t="s">
        <v>10</v>
      </c>
      <c r="I468" s="7" t="s">
        <v>11</v>
      </c>
    </row>
    <row r="469" spans="1:9" ht="13.8">
      <c r="A469" s="5">
        <v>44804</v>
      </c>
      <c r="B469" s="6">
        <v>0.13750000000000001</v>
      </c>
      <c r="C469" s="7">
        <v>11174</v>
      </c>
      <c r="D469" s="7" t="s">
        <v>9</v>
      </c>
      <c r="E469" s="7">
        <v>20220</v>
      </c>
      <c r="F469" s="7">
        <v>12740</v>
      </c>
      <c r="G469" s="7">
        <v>7480</v>
      </c>
      <c r="H469" s="7" t="s">
        <v>10</v>
      </c>
      <c r="I469" s="7" t="s">
        <v>11</v>
      </c>
    </row>
    <row r="470" spans="1:9" ht="13.8">
      <c r="A470" s="5">
        <v>44804</v>
      </c>
      <c r="B470" s="6">
        <v>3.4722222222222203E-2</v>
      </c>
      <c r="C470" s="7">
        <v>11167</v>
      </c>
      <c r="D470" s="7" t="s">
        <v>9</v>
      </c>
      <c r="E470" s="7">
        <v>20460</v>
      </c>
      <c r="F470" s="7">
        <v>12960</v>
      </c>
      <c r="G470" s="7">
        <v>7500</v>
      </c>
      <c r="H470" s="7" t="s">
        <v>10</v>
      </c>
      <c r="I470" s="7" t="s">
        <v>11</v>
      </c>
    </row>
    <row r="471" spans="1:9" ht="13.8">
      <c r="A471" s="5">
        <v>44804</v>
      </c>
      <c r="B471" s="6">
        <v>0.243055555555556</v>
      </c>
      <c r="C471" s="7">
        <v>11183</v>
      </c>
      <c r="D471" s="7" t="s">
        <v>13</v>
      </c>
      <c r="E471" s="7">
        <v>19060</v>
      </c>
      <c r="F471" s="7">
        <v>15900</v>
      </c>
      <c r="G471" s="7">
        <v>3160</v>
      </c>
      <c r="H471" s="7" t="s">
        <v>10</v>
      </c>
      <c r="I471" s="7" t="s">
        <v>11</v>
      </c>
    </row>
    <row r="472" spans="1:9" ht="13.8">
      <c r="A472" s="5">
        <v>44804</v>
      </c>
      <c r="B472" s="6">
        <v>0.15486111111111101</v>
      </c>
      <c r="C472" s="7">
        <v>11176</v>
      </c>
      <c r="D472" s="7" t="s">
        <v>13</v>
      </c>
      <c r="E472" s="7">
        <v>25840</v>
      </c>
      <c r="F472" s="7">
        <v>15920</v>
      </c>
      <c r="G472" s="7">
        <v>9920</v>
      </c>
      <c r="H472" s="7" t="s">
        <v>10</v>
      </c>
      <c r="I472" s="7" t="s">
        <v>11</v>
      </c>
    </row>
    <row r="473" spans="1:9" ht="13.8">
      <c r="A473" s="5">
        <v>44804</v>
      </c>
      <c r="B473" s="6">
        <v>0.21388888888888899</v>
      </c>
      <c r="C473" s="7">
        <v>11179</v>
      </c>
      <c r="D473" s="7" t="s">
        <v>23</v>
      </c>
      <c r="E473" s="7">
        <v>5100</v>
      </c>
      <c r="F473" s="7">
        <v>3700</v>
      </c>
      <c r="G473" s="7">
        <v>1400</v>
      </c>
      <c r="H473" s="7" t="s">
        <v>10</v>
      </c>
      <c r="I473" s="7" t="s">
        <v>11</v>
      </c>
    </row>
    <row r="474" spans="1:9" ht="13.8">
      <c r="A474" s="5">
        <v>44804</v>
      </c>
      <c r="B474" s="6">
        <v>0.85138888888888897</v>
      </c>
      <c r="C474" s="7">
        <v>11235</v>
      </c>
      <c r="D474" s="7" t="s">
        <v>13</v>
      </c>
      <c r="E474" s="7">
        <v>24620</v>
      </c>
      <c r="F474" s="7">
        <v>15880</v>
      </c>
      <c r="G474" s="7">
        <v>8740</v>
      </c>
      <c r="H474" s="7" t="s">
        <v>10</v>
      </c>
      <c r="I474" s="7" t="s">
        <v>11</v>
      </c>
    </row>
    <row r="475" spans="1:9" ht="13.8">
      <c r="A475" s="5">
        <v>44804</v>
      </c>
      <c r="B475" s="6">
        <v>0.52986111111111101</v>
      </c>
      <c r="C475" s="7">
        <v>11217</v>
      </c>
      <c r="D475" s="7" t="s">
        <v>19</v>
      </c>
      <c r="E475" s="7">
        <v>17940</v>
      </c>
      <c r="F475" s="7">
        <v>16040</v>
      </c>
      <c r="G475" s="7">
        <v>1900</v>
      </c>
      <c r="H475" s="7" t="s">
        <v>10</v>
      </c>
      <c r="I475" s="7" t="s">
        <v>16</v>
      </c>
    </row>
    <row r="476" spans="1:9" ht="13.8">
      <c r="A476" s="5">
        <v>44804</v>
      </c>
      <c r="B476" s="6">
        <v>0.85277777777777797</v>
      </c>
      <c r="C476" s="7">
        <v>11236</v>
      </c>
      <c r="D476" s="7" t="s">
        <v>12</v>
      </c>
      <c r="E476" s="7">
        <v>3080</v>
      </c>
      <c r="F476" s="7">
        <v>2680</v>
      </c>
      <c r="G476" s="7">
        <v>400</v>
      </c>
      <c r="H476" s="7" t="s">
        <v>10</v>
      </c>
      <c r="I476" s="7" t="s">
        <v>11</v>
      </c>
    </row>
    <row r="477" spans="1:9" ht="13.8">
      <c r="A477" s="5">
        <v>44804</v>
      </c>
      <c r="B477" s="6">
        <v>0.67638888888888904</v>
      </c>
      <c r="C477" s="7">
        <v>11227</v>
      </c>
      <c r="D477" s="7" t="s">
        <v>22</v>
      </c>
      <c r="E477" s="7">
        <v>15400</v>
      </c>
      <c r="F477" s="7">
        <v>12580</v>
      </c>
      <c r="G477" s="7">
        <v>2820</v>
      </c>
      <c r="H477" s="7" t="s">
        <v>10</v>
      </c>
      <c r="I477" s="7" t="s">
        <v>11</v>
      </c>
    </row>
    <row r="478" spans="1:9" ht="13.8">
      <c r="A478" s="5">
        <v>44804</v>
      </c>
      <c r="B478" s="6">
        <v>0.45555555555555599</v>
      </c>
      <c r="C478" s="7">
        <v>11206</v>
      </c>
      <c r="D478" s="7" t="s">
        <v>17</v>
      </c>
      <c r="E478" s="7">
        <v>2700</v>
      </c>
      <c r="F478" s="7">
        <v>2400</v>
      </c>
      <c r="G478" s="7">
        <v>300</v>
      </c>
      <c r="H478" s="7" t="s">
        <v>10</v>
      </c>
      <c r="I478" s="7" t="s">
        <v>11</v>
      </c>
    </row>
    <row r="479" spans="1:9" ht="13.8">
      <c r="A479" s="5">
        <v>44804</v>
      </c>
      <c r="B479" s="6">
        <v>0.45694444444444399</v>
      </c>
      <c r="C479" s="7">
        <v>11207</v>
      </c>
      <c r="D479" s="7" t="s">
        <v>14</v>
      </c>
      <c r="E479" s="7">
        <v>3300</v>
      </c>
      <c r="F479" s="7">
        <v>2840</v>
      </c>
      <c r="G479" s="7">
        <v>460</v>
      </c>
      <c r="H479" s="7" t="s">
        <v>10</v>
      </c>
      <c r="I479" s="7" t="s">
        <v>11</v>
      </c>
    </row>
    <row r="480" spans="1:9" ht="13.8">
      <c r="A480" s="5">
        <v>44804</v>
      </c>
      <c r="B480" s="6">
        <v>0.47916666666666702</v>
      </c>
      <c r="C480" s="7">
        <v>11211</v>
      </c>
      <c r="D480" s="7" t="s">
        <v>15</v>
      </c>
      <c r="E480" s="7">
        <v>6640</v>
      </c>
      <c r="F480" s="7">
        <v>5680</v>
      </c>
      <c r="G480" s="7">
        <v>960</v>
      </c>
      <c r="H480" s="7" t="s">
        <v>10</v>
      </c>
      <c r="I480" s="7" t="s">
        <v>16</v>
      </c>
    </row>
    <row r="481" spans="1:10" ht="13.8">
      <c r="A481" s="5">
        <v>44775</v>
      </c>
      <c r="B481" s="6">
        <v>0.37291666666666701</v>
      </c>
      <c r="C481" s="7">
        <v>9341</v>
      </c>
      <c r="D481" s="7" t="s">
        <v>14</v>
      </c>
      <c r="E481" s="7">
        <v>3180</v>
      </c>
      <c r="F481" s="7">
        <v>2840</v>
      </c>
      <c r="G481" s="7">
        <v>340</v>
      </c>
      <c r="H481" s="7" t="s">
        <v>10</v>
      </c>
      <c r="I481" s="7" t="s">
        <v>11</v>
      </c>
      <c r="J481" s="9"/>
    </row>
    <row r="482" spans="1:10" ht="13.8">
      <c r="A482" s="5">
        <v>44788</v>
      </c>
      <c r="B482" s="6">
        <v>0.44930555555555601</v>
      </c>
      <c r="C482" s="7">
        <v>10171</v>
      </c>
      <c r="D482" s="7" t="s">
        <v>14</v>
      </c>
      <c r="E482" s="7">
        <v>3440</v>
      </c>
      <c r="F482" s="7">
        <v>2840</v>
      </c>
      <c r="G482" s="7">
        <v>600</v>
      </c>
      <c r="H482" s="7" t="s">
        <v>10</v>
      </c>
      <c r="I482" s="7" t="s">
        <v>11</v>
      </c>
    </row>
    <row r="483" spans="1:10" ht="13.8">
      <c r="A483" s="5">
        <v>44791</v>
      </c>
      <c r="B483" s="6">
        <v>4.7916666666666698E-2</v>
      </c>
      <c r="C483" s="7">
        <v>10337</v>
      </c>
      <c r="D483" s="7" t="s">
        <v>9</v>
      </c>
      <c r="E483" s="7">
        <v>21340</v>
      </c>
      <c r="F483" s="7">
        <v>12680</v>
      </c>
      <c r="G483" s="7">
        <v>8660</v>
      </c>
      <c r="H483" s="7" t="s">
        <v>10</v>
      </c>
      <c r="I483" s="7" t="s">
        <v>11</v>
      </c>
    </row>
    <row r="484" spans="1:10" ht="13.8">
      <c r="A484" s="5">
        <v>44791</v>
      </c>
      <c r="B484" s="6">
        <v>0.25763888888888897</v>
      </c>
      <c r="C484" s="7">
        <v>10357</v>
      </c>
      <c r="D484" s="7" t="s">
        <v>9</v>
      </c>
      <c r="E484" s="7">
        <v>15120</v>
      </c>
      <c r="F484" s="7">
        <v>12660</v>
      </c>
      <c r="G484" s="7">
        <v>2460</v>
      </c>
      <c r="H484" s="7" t="s">
        <v>10</v>
      </c>
      <c r="I484" s="7" t="s">
        <v>11</v>
      </c>
    </row>
    <row r="485" spans="1:10" ht="13.8">
      <c r="A485" s="5">
        <v>44791</v>
      </c>
      <c r="B485" s="6">
        <v>0.16666666666666699</v>
      </c>
      <c r="C485" s="7">
        <v>10347</v>
      </c>
      <c r="D485" s="7" t="s">
        <v>9</v>
      </c>
      <c r="E485" s="7">
        <v>22300</v>
      </c>
      <c r="F485" s="7">
        <v>12680</v>
      </c>
      <c r="G485" s="7">
        <v>9620</v>
      </c>
      <c r="H485" s="7" t="s">
        <v>10</v>
      </c>
      <c r="I485" s="7" t="s">
        <v>11</v>
      </c>
    </row>
    <row r="486" spans="1:10" ht="13.8">
      <c r="A486" s="5">
        <v>44774</v>
      </c>
      <c r="B486" s="6">
        <v>0.24652777777777801</v>
      </c>
      <c r="C486" s="7">
        <v>9267</v>
      </c>
      <c r="D486" s="7" t="s">
        <v>9</v>
      </c>
      <c r="E486" s="7">
        <v>25520</v>
      </c>
      <c r="F486" s="7">
        <v>15840</v>
      </c>
      <c r="G486" s="7">
        <v>9680</v>
      </c>
      <c r="H486" s="7" t="s">
        <v>10</v>
      </c>
      <c r="I486" s="7" t="s">
        <v>11</v>
      </c>
      <c r="J48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5"/>
  <sheetViews>
    <sheetView workbookViewId="0"/>
  </sheetViews>
  <sheetFormatPr baseColWidth="10" defaultRowHeight="14.4"/>
  <sheetData>
    <row r="1" spans="1:7" ht="13.8">
      <c r="A1" s="10" t="s">
        <v>0</v>
      </c>
      <c r="B1" s="11" t="s">
        <v>25</v>
      </c>
    </row>
    <row r="3" spans="1:7" ht="13.8">
      <c r="A3" s="12" t="s">
        <v>26</v>
      </c>
      <c r="B3" s="13" t="s">
        <v>27</v>
      </c>
      <c r="C3" s="14"/>
      <c r="D3" s="14"/>
      <c r="E3" s="14"/>
      <c r="F3" s="14"/>
      <c r="G3" s="15"/>
    </row>
    <row r="4" spans="1:7" ht="13.8">
      <c r="A4" s="16" t="s">
        <v>3</v>
      </c>
      <c r="B4" s="17" t="s">
        <v>24</v>
      </c>
      <c r="C4" s="18" t="s">
        <v>11</v>
      </c>
      <c r="D4" s="18" t="s">
        <v>21</v>
      </c>
      <c r="E4" s="18" t="s">
        <v>20</v>
      </c>
      <c r="F4" s="18" t="s">
        <v>16</v>
      </c>
      <c r="G4" s="19" t="s">
        <v>28</v>
      </c>
    </row>
    <row r="5" spans="1:7" ht="13.8">
      <c r="A5" s="20" t="s">
        <v>19</v>
      </c>
      <c r="B5" s="21">
        <v>203340</v>
      </c>
      <c r="C5" s="22"/>
      <c r="D5" s="22"/>
      <c r="E5" s="23">
        <v>5600</v>
      </c>
      <c r="F5" s="24">
        <v>3460</v>
      </c>
      <c r="G5" s="25">
        <v>212400</v>
      </c>
    </row>
    <row r="6" spans="1:7" ht="13.8">
      <c r="A6" s="26" t="s">
        <v>12</v>
      </c>
      <c r="B6" s="27"/>
      <c r="C6" s="28">
        <v>31780</v>
      </c>
      <c r="D6" s="29"/>
      <c r="E6" s="29"/>
      <c r="F6" s="30"/>
      <c r="G6" s="31">
        <v>31780</v>
      </c>
    </row>
    <row r="7" spans="1:7" ht="13.8">
      <c r="A7" s="26" t="s">
        <v>18</v>
      </c>
      <c r="B7" s="27"/>
      <c r="C7" s="28">
        <v>254520</v>
      </c>
      <c r="D7" s="28">
        <v>4960</v>
      </c>
      <c r="E7" s="28">
        <v>4000</v>
      </c>
      <c r="F7" s="30"/>
      <c r="G7" s="31">
        <v>263480</v>
      </c>
    </row>
    <row r="8" spans="1:7" ht="13.8">
      <c r="A8" s="26" t="s">
        <v>13</v>
      </c>
      <c r="B8" s="27"/>
      <c r="C8" s="28">
        <v>642460</v>
      </c>
      <c r="D8" s="28">
        <v>22700</v>
      </c>
      <c r="E8" s="28">
        <v>14000</v>
      </c>
      <c r="F8" s="30"/>
      <c r="G8" s="31">
        <v>679160</v>
      </c>
    </row>
    <row r="9" spans="1:7" ht="13.8">
      <c r="A9" s="26" t="s">
        <v>17</v>
      </c>
      <c r="B9" s="27"/>
      <c r="C9" s="28">
        <v>7740</v>
      </c>
      <c r="D9" s="29"/>
      <c r="E9" s="29"/>
      <c r="F9" s="30"/>
      <c r="G9" s="31">
        <v>7740</v>
      </c>
    </row>
    <row r="10" spans="1:7" ht="13.8">
      <c r="A10" s="26" t="s">
        <v>22</v>
      </c>
      <c r="B10" s="27"/>
      <c r="C10" s="28">
        <v>66900</v>
      </c>
      <c r="D10" s="29"/>
      <c r="E10" s="29"/>
      <c r="F10" s="30"/>
      <c r="G10" s="31">
        <v>66900</v>
      </c>
    </row>
    <row r="11" spans="1:7" ht="13.8">
      <c r="A11" s="26" t="s">
        <v>14</v>
      </c>
      <c r="B11" s="27"/>
      <c r="C11" s="28">
        <v>28180</v>
      </c>
      <c r="D11" s="29"/>
      <c r="E11" s="29"/>
      <c r="F11" s="32">
        <v>1480</v>
      </c>
      <c r="G11" s="31">
        <v>29660</v>
      </c>
    </row>
    <row r="12" spans="1:7" ht="13.8">
      <c r="A12" s="26" t="s">
        <v>9</v>
      </c>
      <c r="B12" s="27"/>
      <c r="C12" s="28">
        <v>694340</v>
      </c>
      <c r="D12" s="29"/>
      <c r="E12" s="29"/>
      <c r="F12" s="30"/>
      <c r="G12" s="31">
        <v>694340</v>
      </c>
    </row>
    <row r="13" spans="1:7" ht="13.8">
      <c r="A13" s="26" t="s">
        <v>23</v>
      </c>
      <c r="B13" s="27"/>
      <c r="C13" s="28">
        <v>43440</v>
      </c>
      <c r="D13" s="29"/>
      <c r="E13" s="29"/>
      <c r="F13" s="30"/>
      <c r="G13" s="31">
        <v>43440</v>
      </c>
    </row>
    <row r="14" spans="1:7" ht="13.8">
      <c r="A14" s="26" t="s">
        <v>15</v>
      </c>
      <c r="B14" s="33"/>
      <c r="C14" s="34"/>
      <c r="D14" s="34"/>
      <c r="E14" s="34"/>
      <c r="F14" s="35">
        <v>18900</v>
      </c>
      <c r="G14" s="36">
        <v>18900</v>
      </c>
    </row>
    <row r="15" spans="1:7" ht="13.8">
      <c r="A15" s="37" t="s">
        <v>28</v>
      </c>
      <c r="B15" s="38">
        <v>203340</v>
      </c>
      <c r="C15" s="39">
        <v>1769360</v>
      </c>
      <c r="D15" s="39">
        <v>27660</v>
      </c>
      <c r="E15" s="39">
        <v>23600</v>
      </c>
      <c r="F15" s="40">
        <v>23840</v>
      </c>
      <c r="G15" s="41">
        <v>2047800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N79"/>
  <sheetViews>
    <sheetView workbookViewId="0"/>
  </sheetViews>
  <sheetFormatPr baseColWidth="10" defaultRowHeight="14.4"/>
  <sheetData>
    <row r="1" spans="1:9">
      <c r="A1" s="42">
        <v>1</v>
      </c>
      <c r="B1" s="42">
        <v>2</v>
      </c>
      <c r="C1" s="42">
        <v>3</v>
      </c>
      <c r="D1" s="42">
        <v>4</v>
      </c>
      <c r="E1" s="42">
        <v>5</v>
      </c>
      <c r="F1" s="42">
        <v>6</v>
      </c>
      <c r="G1" s="42">
        <v>7</v>
      </c>
    </row>
    <row r="2" spans="1:9">
      <c r="A2" s="44" t="s">
        <v>3</v>
      </c>
      <c r="B2" s="45" t="s">
        <v>29</v>
      </c>
      <c r="C2" s="46" t="s">
        <v>30</v>
      </c>
      <c r="D2" s="46" t="s">
        <v>11</v>
      </c>
      <c r="E2" s="46" t="s">
        <v>21</v>
      </c>
      <c r="F2" s="46" t="s">
        <v>20</v>
      </c>
      <c r="G2" s="46" t="s">
        <v>31</v>
      </c>
      <c r="H2" s="47" t="s">
        <v>28</v>
      </c>
    </row>
    <row r="3" spans="1:9">
      <c r="A3" s="48" t="s">
        <v>19</v>
      </c>
      <c r="B3" s="49">
        <v>203340</v>
      </c>
      <c r="F3">
        <v>5600</v>
      </c>
      <c r="G3" s="50">
        <v>3460</v>
      </c>
      <c r="H3" s="51">
        <f t="shared" ref="H3:H16" si="0">SUM(B3:G3)</f>
        <v>212400</v>
      </c>
    </row>
    <row r="4" spans="1:9">
      <c r="A4" s="52" t="s">
        <v>12</v>
      </c>
      <c r="B4" s="53"/>
      <c r="D4">
        <v>31780</v>
      </c>
      <c r="G4" s="54"/>
      <c r="H4" s="51">
        <f t="shared" si="0"/>
        <v>31780</v>
      </c>
    </row>
    <row r="5" spans="1:9">
      <c r="A5" s="52" t="s">
        <v>18</v>
      </c>
      <c r="B5" s="53"/>
      <c r="D5">
        <v>254520</v>
      </c>
      <c r="E5">
        <v>4960</v>
      </c>
      <c r="F5">
        <v>4000</v>
      </c>
      <c r="G5" s="54"/>
      <c r="H5" s="51">
        <f t="shared" si="0"/>
        <v>263480</v>
      </c>
    </row>
    <row r="6" spans="1:9">
      <c r="A6" s="52" t="s">
        <v>13</v>
      </c>
      <c r="B6" s="53"/>
      <c r="D6">
        <v>642460</v>
      </c>
      <c r="E6">
        <v>22700</v>
      </c>
      <c r="F6">
        <v>14000</v>
      </c>
      <c r="G6" s="54"/>
      <c r="H6" s="51">
        <f t="shared" si="0"/>
        <v>679160</v>
      </c>
    </row>
    <row r="7" spans="1:9">
      <c r="A7" s="52" t="s">
        <v>17</v>
      </c>
      <c r="B7" s="53"/>
      <c r="D7">
        <v>7740</v>
      </c>
      <c r="G7" s="54"/>
      <c r="H7" s="51">
        <f t="shared" si="0"/>
        <v>7740</v>
      </c>
    </row>
    <row r="8" spans="1:9">
      <c r="A8" s="52" t="s">
        <v>22</v>
      </c>
      <c r="B8" s="53"/>
      <c r="D8">
        <v>66900</v>
      </c>
      <c r="G8" s="54"/>
      <c r="H8" s="51">
        <f t="shared" si="0"/>
        <v>66900</v>
      </c>
    </row>
    <row r="9" spans="1:9">
      <c r="A9" s="52" t="s">
        <v>14</v>
      </c>
      <c r="B9" s="53"/>
      <c r="D9">
        <v>28180</v>
      </c>
      <c r="G9" s="54">
        <v>1480</v>
      </c>
      <c r="H9" s="51">
        <f t="shared" si="0"/>
        <v>29660</v>
      </c>
    </row>
    <row r="10" spans="1:9">
      <c r="A10" s="52" t="s">
        <v>9</v>
      </c>
      <c r="B10" s="53"/>
      <c r="D10">
        <v>694340</v>
      </c>
      <c r="G10" s="54"/>
      <c r="H10" s="51">
        <f t="shared" si="0"/>
        <v>694340</v>
      </c>
    </row>
    <row r="11" spans="1:9">
      <c r="A11" s="52" t="s">
        <v>23</v>
      </c>
      <c r="B11" s="53"/>
      <c r="D11">
        <v>43440</v>
      </c>
      <c r="G11" s="54"/>
      <c r="H11" s="51">
        <f t="shared" si="0"/>
        <v>43440</v>
      </c>
    </row>
    <row r="12" spans="1:9">
      <c r="A12" s="52" t="s">
        <v>15</v>
      </c>
      <c r="B12" s="53"/>
      <c r="G12" s="54">
        <v>18900</v>
      </c>
      <c r="H12" s="51">
        <f t="shared" si="0"/>
        <v>18900</v>
      </c>
    </row>
    <row r="13" spans="1:9">
      <c r="A13" s="52"/>
      <c r="B13" s="55"/>
      <c r="C13" s="56"/>
      <c r="D13" s="56"/>
      <c r="E13" s="56"/>
      <c r="F13" s="56"/>
      <c r="G13" s="57"/>
      <c r="H13" s="51">
        <f t="shared" si="0"/>
        <v>0</v>
      </c>
      <c r="I13" s="43" t="s">
        <v>32</v>
      </c>
    </row>
    <row r="14" spans="1:9">
      <c r="B14" s="58"/>
      <c r="C14" s="58"/>
      <c r="D14" s="58"/>
      <c r="E14" s="58"/>
      <c r="F14" s="58"/>
      <c r="G14" s="58"/>
      <c r="H14" s="51">
        <f t="shared" si="0"/>
        <v>0</v>
      </c>
    </row>
    <row r="15" spans="1:9">
      <c r="A15" s="47" t="s">
        <v>28</v>
      </c>
      <c r="B15" s="59">
        <f t="shared" ref="B15:G15" si="1">SUM(B3:B14)</f>
        <v>203340</v>
      </c>
      <c r="C15" s="59">
        <f t="shared" si="1"/>
        <v>0</v>
      </c>
      <c r="D15" s="59">
        <f t="shared" si="1"/>
        <v>1769360</v>
      </c>
      <c r="E15" s="59">
        <f t="shared" si="1"/>
        <v>27660</v>
      </c>
      <c r="F15" s="59">
        <f t="shared" si="1"/>
        <v>23600</v>
      </c>
      <c r="G15" s="59">
        <f t="shared" si="1"/>
        <v>23840</v>
      </c>
      <c r="H15" s="60">
        <f t="shared" si="0"/>
        <v>2047800</v>
      </c>
    </row>
    <row r="16" spans="1:9">
      <c r="A16" s="61" t="s">
        <v>33</v>
      </c>
      <c r="B16" s="62">
        <f>+E79</f>
        <v>203340</v>
      </c>
      <c r="C16" s="62">
        <f>+E73</f>
        <v>0</v>
      </c>
      <c r="D16" s="62">
        <f>+F35</f>
        <v>1769360</v>
      </c>
      <c r="E16" s="62">
        <f>+E64</f>
        <v>27660</v>
      </c>
      <c r="F16" s="62">
        <f>+E56</f>
        <v>23600</v>
      </c>
      <c r="G16" s="62">
        <f>+F46</f>
        <v>23840</v>
      </c>
      <c r="H16" s="63">
        <f t="shared" si="0"/>
        <v>2047800</v>
      </c>
    </row>
    <row r="17" spans="1:14">
      <c r="C17" s="64"/>
      <c r="D17" s="64"/>
      <c r="E17" s="64"/>
      <c r="F17" s="64"/>
      <c r="G17" s="64"/>
      <c r="H17" s="64"/>
    </row>
    <row r="18" spans="1:14">
      <c r="C18" s="64"/>
      <c r="D18" s="64" t="s">
        <v>34</v>
      </c>
      <c r="E18" s="64" t="s">
        <v>35</v>
      </c>
      <c r="F18" s="64" t="s">
        <v>36</v>
      </c>
      <c r="G18" s="64"/>
      <c r="H18" s="64"/>
    </row>
    <row r="19" spans="1:14">
      <c r="A19" s="65" t="s">
        <v>37</v>
      </c>
      <c r="B19" s="65"/>
      <c r="C19" s="65"/>
      <c r="D19" s="66">
        <f>+F35+F46+E56+E64+E73+E79</f>
        <v>2047800</v>
      </c>
      <c r="E19" s="67">
        <f>+G35+G46+F56+F64+F73+F79</f>
        <v>2047800</v>
      </c>
      <c r="F19" s="66">
        <f>+E19-D19</f>
        <v>0</v>
      </c>
      <c r="G19" s="64"/>
      <c r="H19" s="64"/>
    </row>
    <row r="20" spans="1:14">
      <c r="C20" s="64"/>
      <c r="D20" s="64"/>
      <c r="E20" s="64"/>
      <c r="F20" s="64"/>
      <c r="G20" s="64"/>
      <c r="H20" s="64"/>
    </row>
    <row r="21" spans="1:14" ht="13.8"/>
    <row r="22" spans="1:14">
      <c r="A22" s="64" t="s">
        <v>11</v>
      </c>
      <c r="B22" s="64"/>
      <c r="C22" s="64"/>
      <c r="D22" s="64"/>
      <c r="E22" s="64"/>
      <c r="F22" s="64"/>
      <c r="G22" s="64"/>
      <c r="H22" s="64"/>
    </row>
    <row r="23" spans="1:14">
      <c r="A23" s="42" t="s">
        <v>38</v>
      </c>
      <c r="B23" s="43" t="s">
        <v>39</v>
      </c>
      <c r="C23" s="68" t="s">
        <v>40</v>
      </c>
      <c r="D23" s="69" t="s">
        <v>41</v>
      </c>
      <c r="E23" s="68" t="s">
        <v>42</v>
      </c>
      <c r="F23" s="70" t="s">
        <v>43</v>
      </c>
      <c r="G23" s="68" t="s">
        <v>35</v>
      </c>
      <c r="H23" s="68"/>
    </row>
    <row r="24" spans="1:14">
      <c r="A24" s="71">
        <v>109</v>
      </c>
      <c r="B24" s="72" t="s">
        <v>44</v>
      </c>
      <c r="C24" s="73" t="s">
        <v>19</v>
      </c>
      <c r="D24" s="74"/>
      <c r="E24" s="73"/>
      <c r="F24" s="75"/>
      <c r="G24" s="76">
        <f t="shared" ref="G24:G34" si="2">IFERROR(INDEX($B$3:$G$14,MATCH(C24,$A$3:$A$14,0),MATCH($A$22,$B$2:$G$2,0)),0)</f>
        <v>0</v>
      </c>
      <c r="H24" s="77" t="str">
        <f t="shared" ref="H24:H34" si="3">IF(G24=F24,"Bien",G24-F24)</f>
        <v>Bien</v>
      </c>
    </row>
    <row r="25" spans="1:14">
      <c r="A25" s="78">
        <v>333</v>
      </c>
      <c r="B25" s="79" t="s">
        <v>45</v>
      </c>
      <c r="C25" s="80" t="s">
        <v>12</v>
      </c>
      <c r="D25" s="81">
        <v>1</v>
      </c>
      <c r="E25" s="68" t="s">
        <v>46</v>
      </c>
      <c r="F25" s="70">
        <v>31780</v>
      </c>
      <c r="G25" s="82">
        <f t="shared" si="2"/>
        <v>31780</v>
      </c>
      <c r="H25" s="83" t="str">
        <f t="shared" si="3"/>
        <v>Bien</v>
      </c>
    </row>
    <row r="26" spans="1:14" ht="28.2">
      <c r="A26" s="84">
        <v>320</v>
      </c>
      <c r="B26" s="85" t="s">
        <v>47</v>
      </c>
      <c r="C26" s="68" t="s">
        <v>18</v>
      </c>
      <c r="D26" s="81" t="s">
        <v>48</v>
      </c>
      <c r="E26" s="68" t="s">
        <v>46</v>
      </c>
      <c r="F26" s="70">
        <v>254520</v>
      </c>
      <c r="G26" s="82">
        <f t="shared" si="2"/>
        <v>254520</v>
      </c>
      <c r="H26" s="83" t="str">
        <f t="shared" si="3"/>
        <v>Bien</v>
      </c>
    </row>
    <row r="27" spans="1:14" ht="28.2">
      <c r="A27" s="84">
        <v>321</v>
      </c>
      <c r="B27" s="85" t="s">
        <v>49</v>
      </c>
      <c r="C27" s="68" t="s">
        <v>13</v>
      </c>
      <c r="D27" s="81" t="s">
        <v>48</v>
      </c>
      <c r="E27" s="68" t="s">
        <v>46</v>
      </c>
      <c r="F27" s="70">
        <v>642460</v>
      </c>
      <c r="G27" s="82">
        <f t="shared" si="2"/>
        <v>642460</v>
      </c>
      <c r="H27" s="83" t="str">
        <f t="shared" si="3"/>
        <v>Bien</v>
      </c>
    </row>
    <row r="28" spans="1:14">
      <c r="A28" s="78">
        <v>316</v>
      </c>
      <c r="B28" s="43" t="s">
        <v>50</v>
      </c>
      <c r="C28" s="68" t="s">
        <v>17</v>
      </c>
      <c r="D28" s="81" t="s">
        <v>48</v>
      </c>
      <c r="E28" s="68" t="s">
        <v>46</v>
      </c>
      <c r="F28">
        <v>7740</v>
      </c>
      <c r="G28" s="82">
        <f t="shared" si="2"/>
        <v>7740</v>
      </c>
      <c r="H28" s="83" t="str">
        <f t="shared" si="3"/>
        <v>Bien</v>
      </c>
    </row>
    <row r="29" spans="1:14" ht="28.2">
      <c r="A29" s="84">
        <v>196</v>
      </c>
      <c r="B29" s="85" t="s">
        <v>51</v>
      </c>
      <c r="C29" s="68" t="s">
        <v>22</v>
      </c>
      <c r="D29" s="81" t="s">
        <v>48</v>
      </c>
      <c r="E29" s="68" t="s">
        <v>46</v>
      </c>
      <c r="F29">
        <v>66900</v>
      </c>
      <c r="G29" s="82">
        <f t="shared" si="2"/>
        <v>66900</v>
      </c>
      <c r="H29" s="83" t="str">
        <f t="shared" si="3"/>
        <v>Bien</v>
      </c>
      <c r="I29" s="43" t="s">
        <v>52</v>
      </c>
    </row>
    <row r="30" spans="1:14">
      <c r="A30" s="78">
        <v>309</v>
      </c>
      <c r="B30" s="43" t="s">
        <v>53</v>
      </c>
      <c r="C30" s="68" t="s">
        <v>14</v>
      </c>
      <c r="D30" s="81" t="s">
        <v>48</v>
      </c>
      <c r="E30" s="68" t="s">
        <v>46</v>
      </c>
      <c r="F30">
        <v>28180</v>
      </c>
      <c r="G30" s="82">
        <f t="shared" si="2"/>
        <v>28180</v>
      </c>
      <c r="H30" s="83" t="str">
        <f t="shared" si="3"/>
        <v>Bien</v>
      </c>
      <c r="L30" s="78"/>
      <c r="M30" s="86"/>
      <c r="N30" s="79"/>
    </row>
    <row r="31" spans="1:14" ht="28.2">
      <c r="A31" s="78">
        <v>318</v>
      </c>
      <c r="B31" s="85" t="s">
        <v>51</v>
      </c>
      <c r="C31" s="68" t="s">
        <v>9</v>
      </c>
      <c r="D31" s="81" t="s">
        <v>48</v>
      </c>
      <c r="E31" s="68" t="s">
        <v>46</v>
      </c>
      <c r="F31">
        <v>694340</v>
      </c>
      <c r="G31" s="82">
        <f t="shared" si="2"/>
        <v>694340</v>
      </c>
      <c r="H31" s="83" t="str">
        <f t="shared" si="3"/>
        <v>Bien</v>
      </c>
      <c r="L31" s="78"/>
      <c r="M31" s="79"/>
      <c r="N31" s="79"/>
    </row>
    <row r="32" spans="1:14">
      <c r="A32" s="78">
        <v>310</v>
      </c>
      <c r="B32" s="85" t="s">
        <v>54</v>
      </c>
      <c r="C32" s="79" t="s">
        <v>23</v>
      </c>
      <c r="D32" s="81">
        <v>1</v>
      </c>
      <c r="E32" s="68" t="s">
        <v>55</v>
      </c>
      <c r="F32">
        <v>43440</v>
      </c>
      <c r="G32" s="82">
        <f t="shared" si="2"/>
        <v>43440</v>
      </c>
      <c r="H32" s="83" t="str">
        <f t="shared" si="3"/>
        <v>Bien</v>
      </c>
      <c r="N32" s="85"/>
    </row>
    <row r="33" spans="1:14">
      <c r="A33" s="78">
        <v>296</v>
      </c>
      <c r="B33" s="79" t="s">
        <v>56</v>
      </c>
      <c r="C33" s="79" t="s">
        <v>15</v>
      </c>
      <c r="D33" s="81"/>
      <c r="E33" s="68"/>
      <c r="F33" s="87"/>
      <c r="G33" s="82">
        <f t="shared" si="2"/>
        <v>0</v>
      </c>
      <c r="H33" s="88" t="str">
        <f t="shared" si="3"/>
        <v>Bien</v>
      </c>
      <c r="N33" s="85"/>
    </row>
    <row r="34" spans="1:14">
      <c r="A34" s="89"/>
      <c r="B34" s="90" t="s">
        <v>44</v>
      </c>
      <c r="C34" s="90" t="s">
        <v>57</v>
      </c>
      <c r="D34" s="91"/>
      <c r="E34" s="92"/>
      <c r="F34" s="93"/>
      <c r="G34" s="94">
        <f t="shared" si="2"/>
        <v>0</v>
      </c>
      <c r="H34" s="95" t="str">
        <f t="shared" si="3"/>
        <v>Bien</v>
      </c>
      <c r="I34" s="43" t="s">
        <v>58</v>
      </c>
      <c r="N34" s="85"/>
    </row>
    <row r="35" spans="1:14">
      <c r="C35" s="68"/>
      <c r="D35" s="69"/>
      <c r="E35" s="68"/>
      <c r="F35" s="96">
        <f>SUM(F24:F34)</f>
        <v>1769360</v>
      </c>
      <c r="G35" s="97">
        <f>SUM(G24:G34)</f>
        <v>1769360</v>
      </c>
      <c r="H35" s="68"/>
      <c r="I35" s="98" t="str">
        <f>IF(G35=D15,"OK","Revisar")</f>
        <v>OK</v>
      </c>
      <c r="L35" s="78"/>
      <c r="N35" s="68"/>
    </row>
    <row r="36" spans="1:14">
      <c r="A36" s="64" t="str">
        <f>+G2</f>
        <v>VOLUMINOSOS</v>
      </c>
      <c r="B36" s="64"/>
      <c r="C36" s="64"/>
      <c r="D36" s="64"/>
      <c r="E36" s="64"/>
      <c r="F36" s="64"/>
      <c r="G36" s="64"/>
      <c r="H36" s="64"/>
      <c r="L36" s="78"/>
      <c r="N36" s="68"/>
    </row>
    <row r="37" spans="1:14">
      <c r="C37" s="68" t="s">
        <v>40</v>
      </c>
      <c r="D37" s="69" t="s">
        <v>59</v>
      </c>
      <c r="E37" s="68" t="s">
        <v>60</v>
      </c>
      <c r="F37" s="96" t="s">
        <v>43</v>
      </c>
      <c r="G37" s="68" t="s">
        <v>35</v>
      </c>
      <c r="H37" s="68"/>
    </row>
    <row r="38" spans="1:14">
      <c r="A38" s="71">
        <v>109</v>
      </c>
      <c r="B38" s="72" t="s">
        <v>44</v>
      </c>
      <c r="C38" s="73" t="s">
        <v>19</v>
      </c>
      <c r="D38" s="99">
        <v>2</v>
      </c>
      <c r="E38" s="75">
        <v>2</v>
      </c>
      <c r="F38" s="75">
        <v>3460</v>
      </c>
      <c r="G38" s="100">
        <f t="shared" ref="G38:G45" si="4">IFERROR(INDEX($B$3:$G$14,MATCH(C38,$A$3:$A$14,0),MATCH($A$36,$B$2:$G$2,0)),0)</f>
        <v>3460</v>
      </c>
      <c r="H38" s="101" t="str">
        <f t="shared" ref="H38:H45" si="5">IF(G38=F38,"Bien",G38-F38)</f>
        <v>Bien</v>
      </c>
    </row>
    <row r="39" spans="1:14">
      <c r="A39" s="78">
        <v>333</v>
      </c>
      <c r="B39" s="43" t="s">
        <v>45</v>
      </c>
      <c r="C39" s="68" t="s">
        <v>12</v>
      </c>
      <c r="D39" s="102"/>
      <c r="E39" s="70"/>
      <c r="F39" s="70"/>
      <c r="G39" s="103">
        <f t="shared" si="4"/>
        <v>0</v>
      </c>
      <c r="H39" s="104" t="str">
        <f t="shared" si="5"/>
        <v>Bien</v>
      </c>
    </row>
    <row r="40" spans="1:14">
      <c r="A40" s="78">
        <v>316</v>
      </c>
      <c r="B40" s="79" t="s">
        <v>50</v>
      </c>
      <c r="C40" s="79" t="s">
        <v>17</v>
      </c>
      <c r="D40" s="102"/>
      <c r="E40" s="70"/>
      <c r="F40" s="70"/>
      <c r="G40" s="103">
        <f t="shared" si="4"/>
        <v>0</v>
      </c>
      <c r="H40" s="104" t="str">
        <f t="shared" si="5"/>
        <v>Bien</v>
      </c>
    </row>
    <row r="41" spans="1:14">
      <c r="A41" s="78">
        <v>309</v>
      </c>
      <c r="B41" s="43" t="s">
        <v>53</v>
      </c>
      <c r="C41" s="68" t="s">
        <v>14</v>
      </c>
      <c r="D41" s="102">
        <v>2</v>
      </c>
      <c r="E41" s="70">
        <v>2</v>
      </c>
      <c r="F41" s="70">
        <v>1480</v>
      </c>
      <c r="G41" s="103">
        <f t="shared" si="4"/>
        <v>1480</v>
      </c>
      <c r="H41" s="105" t="str">
        <f t="shared" si="5"/>
        <v>Bien</v>
      </c>
    </row>
    <row r="42" spans="1:14">
      <c r="A42" s="78">
        <v>296</v>
      </c>
      <c r="B42" s="79" t="s">
        <v>56</v>
      </c>
      <c r="C42" s="79" t="s">
        <v>15</v>
      </c>
      <c r="D42" s="106">
        <v>2</v>
      </c>
      <c r="E42" s="107">
        <v>23</v>
      </c>
      <c r="F42" s="107">
        <v>18900</v>
      </c>
      <c r="G42" s="103">
        <f t="shared" si="4"/>
        <v>18900</v>
      </c>
      <c r="H42" s="105" t="str">
        <f t="shared" si="5"/>
        <v>Bien</v>
      </c>
    </row>
    <row r="43" spans="1:14">
      <c r="A43" s="78"/>
      <c r="B43" s="108" t="s">
        <v>44</v>
      </c>
      <c r="C43" s="108" t="s">
        <v>57</v>
      </c>
      <c r="D43" s="106"/>
      <c r="E43" s="107"/>
      <c r="F43" s="107"/>
      <c r="G43" s="103">
        <f t="shared" si="4"/>
        <v>0</v>
      </c>
      <c r="H43" s="104" t="str">
        <f t="shared" si="5"/>
        <v>Bien</v>
      </c>
    </row>
    <row r="44" spans="1:14">
      <c r="A44" s="78"/>
      <c r="B44" s="79"/>
      <c r="C44" s="108" t="s">
        <v>61</v>
      </c>
      <c r="D44" s="106"/>
      <c r="E44" s="107"/>
      <c r="F44" s="107"/>
      <c r="G44" s="103">
        <f t="shared" si="4"/>
        <v>0</v>
      </c>
      <c r="H44" s="104" t="str">
        <f t="shared" si="5"/>
        <v>Bien</v>
      </c>
    </row>
    <row r="45" spans="1:14">
      <c r="A45" s="89"/>
      <c r="B45" s="109" t="s">
        <v>62</v>
      </c>
      <c r="C45" s="110" t="s">
        <v>63</v>
      </c>
      <c r="D45" s="111"/>
      <c r="E45" s="112"/>
      <c r="F45" s="112"/>
      <c r="G45" s="113">
        <f t="shared" si="4"/>
        <v>0</v>
      </c>
      <c r="H45" s="114" t="str">
        <f t="shared" si="5"/>
        <v>Bien</v>
      </c>
    </row>
    <row r="46" spans="1:14">
      <c r="D46" s="69"/>
      <c r="E46" s="68"/>
      <c r="F46" s="96">
        <f>SUM(F38:F45)</f>
        <v>23840</v>
      </c>
      <c r="G46" s="97">
        <f>SUM(G38:G45)</f>
        <v>23840</v>
      </c>
      <c r="H46" s="68"/>
      <c r="I46" s="98" t="str">
        <f>+IF(G46=G15,"OK","Revisar")</f>
        <v>OK</v>
      </c>
    </row>
    <row r="47" spans="1:14">
      <c r="C47" s="68"/>
      <c r="D47" s="69"/>
      <c r="E47" s="68"/>
      <c r="F47" s="96"/>
      <c r="G47" s="97"/>
      <c r="H47" s="68"/>
    </row>
    <row r="48" spans="1:14">
      <c r="A48" s="64" t="s">
        <v>20</v>
      </c>
      <c r="B48" s="64"/>
      <c r="C48" s="64"/>
      <c r="D48" s="64"/>
      <c r="E48" s="64"/>
      <c r="F48" s="64"/>
      <c r="G48" s="64"/>
      <c r="H48" s="64"/>
    </row>
    <row r="49" spans="1:9">
      <c r="C49" s="115" t="s">
        <v>40</v>
      </c>
      <c r="D49" s="116" t="s">
        <v>60</v>
      </c>
      <c r="E49" s="117" t="s">
        <v>43</v>
      </c>
      <c r="F49" s="118" t="s">
        <v>35</v>
      </c>
      <c r="G49" s="68"/>
      <c r="H49" s="68"/>
    </row>
    <row r="50" spans="1:9">
      <c r="A50" s="119">
        <v>109</v>
      </c>
      <c r="B50" s="120" t="s">
        <v>44</v>
      </c>
      <c r="C50" s="73" t="s">
        <v>19</v>
      </c>
      <c r="D50" s="121">
        <v>3</v>
      </c>
      <c r="E50" s="122">
        <v>5600</v>
      </c>
      <c r="F50" s="123">
        <f t="shared" ref="F50:F55" si="6">IFERROR(INDEX($B$3:$G$14,MATCH(C50,$A$3:$A$14,0),MATCH($A$48,$B$2:$G$2,0)),0)</f>
        <v>5600</v>
      </c>
      <c r="G50" s="101" t="str">
        <f t="shared" ref="G50:G55" si="7">IF(F50=E50,"Bien",F50-E50)</f>
        <v>Bien</v>
      </c>
      <c r="H50" s="68"/>
    </row>
    <row r="51" spans="1:9" ht="28.2">
      <c r="A51" s="124">
        <v>320</v>
      </c>
      <c r="B51" s="125" t="s">
        <v>47</v>
      </c>
      <c r="C51" s="68" t="s">
        <v>18</v>
      </c>
      <c r="D51" s="126">
        <v>2</v>
      </c>
      <c r="E51" s="127">
        <v>4000</v>
      </c>
      <c r="F51" s="128">
        <f t="shared" si="6"/>
        <v>4000</v>
      </c>
      <c r="G51" s="104" t="str">
        <f t="shared" si="7"/>
        <v>Bien</v>
      </c>
      <c r="H51" s="68"/>
    </row>
    <row r="52" spans="1:9" ht="28.2">
      <c r="A52" s="124">
        <v>321</v>
      </c>
      <c r="B52" s="125" t="s">
        <v>49</v>
      </c>
      <c r="C52" s="68" t="s">
        <v>13</v>
      </c>
      <c r="D52" s="126">
        <v>23</v>
      </c>
      <c r="E52" s="127">
        <v>14000</v>
      </c>
      <c r="F52" s="128">
        <f t="shared" si="6"/>
        <v>14000</v>
      </c>
      <c r="G52" s="104" t="str">
        <f t="shared" si="7"/>
        <v>Bien</v>
      </c>
      <c r="H52" s="68"/>
    </row>
    <row r="53" spans="1:9">
      <c r="A53" s="129">
        <v>296</v>
      </c>
      <c r="B53" s="130" t="s">
        <v>56</v>
      </c>
      <c r="C53" s="68" t="s">
        <v>15</v>
      </c>
      <c r="D53" s="126"/>
      <c r="E53" s="131"/>
      <c r="F53" s="128">
        <f t="shared" si="6"/>
        <v>0</v>
      </c>
      <c r="G53" s="104" t="str">
        <f t="shared" si="7"/>
        <v>Bien</v>
      </c>
      <c r="H53" s="68"/>
    </row>
    <row r="54" spans="1:9">
      <c r="A54" s="124"/>
      <c r="B54" s="132"/>
      <c r="C54" s="133" t="s">
        <v>61</v>
      </c>
      <c r="D54" s="134"/>
      <c r="E54" s="135"/>
      <c r="F54" s="128">
        <f t="shared" si="6"/>
        <v>0</v>
      </c>
      <c r="G54" s="104" t="str">
        <f t="shared" si="7"/>
        <v>Bien</v>
      </c>
      <c r="H54" s="68"/>
    </row>
    <row r="55" spans="1:9">
      <c r="A55" s="136"/>
      <c r="B55" s="137" t="s">
        <v>44</v>
      </c>
      <c r="C55" s="90" t="s">
        <v>57</v>
      </c>
      <c r="D55" s="138"/>
      <c r="E55" s="139"/>
      <c r="F55" s="140">
        <f t="shared" si="6"/>
        <v>0</v>
      </c>
      <c r="G55" s="114" t="str">
        <f t="shared" si="7"/>
        <v>Bien</v>
      </c>
      <c r="H55" s="68"/>
    </row>
    <row r="56" spans="1:9">
      <c r="C56" s="68"/>
      <c r="D56" s="126"/>
      <c r="E56" s="97">
        <f>SUM(E50:E55)</f>
        <v>23600</v>
      </c>
      <c r="F56" s="97">
        <f>SUM(F50:F55)</f>
        <v>23600</v>
      </c>
      <c r="G56" s="68"/>
      <c r="H56" s="68"/>
      <c r="I56" s="98" t="str">
        <f>+IF(F56=F15,"OK","Revisar")</f>
        <v>OK</v>
      </c>
    </row>
    <row r="57" spans="1:9">
      <c r="A57" s="64" t="s">
        <v>21</v>
      </c>
      <c r="B57" s="64"/>
      <c r="C57" s="64"/>
      <c r="D57" s="64"/>
      <c r="E57" s="64"/>
      <c r="F57" s="64"/>
      <c r="G57" s="64"/>
      <c r="H57" s="68"/>
    </row>
    <row r="58" spans="1:9">
      <c r="C58" s="68" t="s">
        <v>40</v>
      </c>
      <c r="D58" s="69" t="s">
        <v>60</v>
      </c>
      <c r="E58" s="68" t="s">
        <v>43</v>
      </c>
      <c r="F58" s="96" t="s">
        <v>35</v>
      </c>
      <c r="G58" s="68"/>
      <c r="H58" s="68"/>
    </row>
    <row r="59" spans="1:9">
      <c r="A59" s="141">
        <v>109</v>
      </c>
      <c r="B59" s="142" t="s">
        <v>44</v>
      </c>
      <c r="C59" s="143" t="s">
        <v>19</v>
      </c>
      <c r="D59" s="144"/>
      <c r="E59" s="145"/>
      <c r="F59" s="146">
        <f>IFERROR(INDEX($B$3:$G$14,MATCH(C59,$A$3:$A$14,0),MATCH($A$57,$B$2:$G$2,0)),0)</f>
        <v>0</v>
      </c>
      <c r="G59" s="147" t="str">
        <f>IF(F59=E59,"Bien",F59-E59)</f>
        <v>Bien</v>
      </c>
      <c r="H59" s="68"/>
    </row>
    <row r="60" spans="1:9" ht="28.2">
      <c r="A60" s="148">
        <v>320</v>
      </c>
      <c r="B60" s="85" t="s">
        <v>47</v>
      </c>
      <c r="C60" s="68" t="s">
        <v>18</v>
      </c>
      <c r="D60" s="134">
        <v>2</v>
      </c>
      <c r="E60" s="135">
        <v>4960</v>
      </c>
      <c r="F60" s="82">
        <f>IFERROR(INDEX($B$3:$G$14,MATCH(C60,$A$3:$A$14,0),MATCH($A$57,$B$2:$G$2,0)),0)</f>
        <v>4960</v>
      </c>
      <c r="G60" s="88" t="str">
        <f>IF(F60=E60,"Bien",F60-E60)</f>
        <v>Bien</v>
      </c>
      <c r="H60" s="68"/>
    </row>
    <row r="61" spans="1:9" ht="28.2">
      <c r="A61" s="148">
        <v>321</v>
      </c>
      <c r="B61" s="85" t="s">
        <v>49</v>
      </c>
      <c r="C61" s="68" t="s">
        <v>13</v>
      </c>
      <c r="D61" s="134">
        <v>9</v>
      </c>
      <c r="E61" s="135">
        <v>22700</v>
      </c>
      <c r="F61" s="82">
        <f>IFERROR(INDEX($B$3:$G$14,MATCH(C61,$A$3:$A$14,0),MATCH($A$57,$B$2:$G$2,0)),0)</f>
        <v>22700</v>
      </c>
      <c r="G61" s="88" t="str">
        <f>IF(F61=E61,"Bien",F61-E61)</f>
        <v>Bien</v>
      </c>
      <c r="H61" s="68"/>
    </row>
    <row r="62" spans="1:9">
      <c r="A62" s="149">
        <v>296</v>
      </c>
      <c r="B62" s="43" t="s">
        <v>56</v>
      </c>
      <c r="C62" s="68" t="s">
        <v>15</v>
      </c>
      <c r="D62" s="134"/>
      <c r="E62" s="135"/>
      <c r="F62" s="82">
        <f>IFERROR(INDEX($B$3:$G$14,MATCH(C62,$A$3:$A$14,0),MATCH($A$57,$B$2:$G$2,0)),0)</f>
        <v>0</v>
      </c>
      <c r="G62" s="88" t="str">
        <f>IF(F62=E62,"Bien",F62-E62)</f>
        <v>Bien</v>
      </c>
      <c r="H62" s="68"/>
    </row>
    <row r="63" spans="1:9">
      <c r="A63" s="150"/>
      <c r="B63" s="151"/>
      <c r="C63" s="152" t="s">
        <v>61</v>
      </c>
      <c r="D63" s="153"/>
      <c r="E63" s="154"/>
      <c r="F63" s="155">
        <f>IFERROR(INDEX($B$3:$G$14,MATCH(C63,$A$3:$A$14,0),MATCH($A$57,$B$2:$G$2,0)),0)</f>
        <v>0</v>
      </c>
      <c r="G63" s="95" t="str">
        <f>IF(F63=E63,"Bien",F63-E63)</f>
        <v>Bien</v>
      </c>
      <c r="H63" s="68"/>
    </row>
    <row r="64" spans="1:9">
      <c r="C64" s="68"/>
      <c r="D64" s="126"/>
      <c r="E64" s="97">
        <f>SUM(E59:E63)</f>
        <v>27660</v>
      </c>
      <c r="F64" s="97">
        <f>SUM(F59:F63)</f>
        <v>27660</v>
      </c>
      <c r="G64" s="68"/>
      <c r="H64" s="68"/>
      <c r="I64" s="98" t="str">
        <f>+IF(F64=E15,"OK","Revisar")</f>
        <v>OK</v>
      </c>
    </row>
    <row r="65" spans="1:9">
      <c r="A65" s="64" t="s">
        <v>30</v>
      </c>
      <c r="B65" s="64"/>
      <c r="C65" s="64"/>
      <c r="D65" s="64"/>
      <c r="E65" s="64"/>
      <c r="F65" s="64"/>
      <c r="G65" s="64"/>
      <c r="H65" s="68"/>
    </row>
    <row r="66" spans="1:9">
      <c r="C66" s="68" t="s">
        <v>40</v>
      </c>
      <c r="D66" s="69" t="s">
        <v>60</v>
      </c>
      <c r="E66" s="68" t="s">
        <v>43</v>
      </c>
      <c r="F66" s="96" t="s">
        <v>35</v>
      </c>
      <c r="G66" s="68"/>
      <c r="H66" s="68"/>
    </row>
    <row r="67" spans="1:9">
      <c r="A67" s="141">
        <v>109</v>
      </c>
      <c r="B67" s="142" t="s">
        <v>44</v>
      </c>
      <c r="C67" s="143" t="s">
        <v>19</v>
      </c>
      <c r="D67" s="156"/>
      <c r="E67" s="145"/>
      <c r="F67" s="146">
        <f t="shared" ref="F67:F72" si="8">IFERROR(INDEX($B$3:$G$14,MATCH(C67,$A$3:$A$14,0),MATCH($A$65,$B$2:$G$2,0)),0)</f>
        <v>0</v>
      </c>
      <c r="G67" s="147" t="str">
        <f t="shared" ref="G67:G72" si="9">IF(F67=E67,"Bien",F67-E67)</f>
        <v>Bien</v>
      </c>
      <c r="H67" s="68"/>
    </row>
    <row r="68" spans="1:9">
      <c r="A68" s="149">
        <v>333</v>
      </c>
      <c r="B68" s="79" t="s">
        <v>45</v>
      </c>
      <c r="C68" s="79" t="s">
        <v>12</v>
      </c>
      <c r="D68" s="134"/>
      <c r="E68" s="157"/>
      <c r="F68" s="82">
        <f t="shared" si="8"/>
        <v>0</v>
      </c>
      <c r="G68" s="88" t="str">
        <f t="shared" si="9"/>
        <v>Bien</v>
      </c>
      <c r="H68" s="68"/>
    </row>
    <row r="69" spans="1:9">
      <c r="A69" s="158"/>
      <c r="B69" s="43" t="s">
        <v>62</v>
      </c>
      <c r="C69" s="85" t="s">
        <v>63</v>
      </c>
      <c r="D69" s="131"/>
      <c r="E69" s="131"/>
      <c r="F69" s="82">
        <f t="shared" si="8"/>
        <v>0</v>
      </c>
      <c r="G69" s="88" t="str">
        <f t="shared" si="9"/>
        <v>Bien</v>
      </c>
      <c r="H69" s="68"/>
    </row>
    <row r="70" spans="1:9">
      <c r="A70" s="149">
        <v>316</v>
      </c>
      <c r="B70" s="43" t="s">
        <v>50</v>
      </c>
      <c r="C70" s="68" t="s">
        <v>17</v>
      </c>
      <c r="D70" s="131"/>
      <c r="E70" s="131"/>
      <c r="F70" s="82">
        <f t="shared" si="8"/>
        <v>0</v>
      </c>
      <c r="G70" s="88" t="str">
        <f t="shared" si="9"/>
        <v>Bien</v>
      </c>
      <c r="H70" s="68"/>
    </row>
    <row r="71" spans="1:9">
      <c r="A71" s="149">
        <v>309</v>
      </c>
      <c r="B71" s="43" t="s">
        <v>53</v>
      </c>
      <c r="C71" s="68" t="s">
        <v>14</v>
      </c>
      <c r="D71" s="126"/>
      <c r="E71" s="127"/>
      <c r="F71" s="82">
        <f t="shared" si="8"/>
        <v>0</v>
      </c>
      <c r="G71" s="88" t="str">
        <f t="shared" si="9"/>
        <v>Bien</v>
      </c>
      <c r="H71" s="68"/>
    </row>
    <row r="72" spans="1:9">
      <c r="A72" s="159">
        <v>296</v>
      </c>
      <c r="B72" s="151" t="s">
        <v>56</v>
      </c>
      <c r="C72" s="151" t="s">
        <v>15</v>
      </c>
      <c r="D72" s="153"/>
      <c r="E72" s="160"/>
      <c r="F72" s="155">
        <f t="shared" si="8"/>
        <v>0</v>
      </c>
      <c r="G72" s="95" t="str">
        <f t="shared" si="9"/>
        <v>Bien</v>
      </c>
      <c r="H72" s="68"/>
    </row>
    <row r="73" spans="1:9">
      <c r="C73" s="68"/>
      <c r="D73" s="126"/>
      <c r="E73" s="97">
        <f>SUM(E67:E72)</f>
        <v>0</v>
      </c>
      <c r="F73" s="97">
        <f>SUM(F67:F72)</f>
        <v>0</v>
      </c>
      <c r="G73" s="68"/>
      <c r="H73" s="68"/>
      <c r="I73" s="98" t="str">
        <f>+IF(F73=C15,"OK","Revisar")</f>
        <v>OK</v>
      </c>
    </row>
    <row r="74" spans="1:9">
      <c r="A74" s="64" t="s">
        <v>29</v>
      </c>
      <c r="B74" s="64"/>
      <c r="C74" s="64"/>
      <c r="D74" s="64"/>
      <c r="E74" s="64"/>
      <c r="F74" s="64"/>
      <c r="G74" s="64"/>
      <c r="H74" s="68"/>
    </row>
    <row r="75" spans="1:9">
      <c r="C75" s="68" t="s">
        <v>40</v>
      </c>
      <c r="D75" s="69" t="s">
        <v>60</v>
      </c>
      <c r="E75" s="68" t="s">
        <v>43</v>
      </c>
      <c r="F75" s="96" t="s">
        <v>35</v>
      </c>
      <c r="G75" s="68"/>
      <c r="H75" s="68"/>
    </row>
    <row r="76" spans="1:9">
      <c r="A76" s="141">
        <v>109</v>
      </c>
      <c r="B76" s="142" t="s">
        <v>44</v>
      </c>
      <c r="C76" s="143" t="s">
        <v>19</v>
      </c>
      <c r="D76" s="144">
        <v>15</v>
      </c>
      <c r="E76" s="145">
        <v>203340</v>
      </c>
      <c r="F76" s="146">
        <f>IFERROR(INDEX($B$3:$G$14,MATCH(C76,$A$3:$A$14,0),MATCH($A$74,$B$2:$G$2,0)),0)</f>
        <v>203340</v>
      </c>
      <c r="G76" s="147" t="str">
        <f>IF(F76=E76,"Bien",F76-E76)</f>
        <v>Bien</v>
      </c>
      <c r="H76" s="68"/>
    </row>
    <row r="77" spans="1:9">
      <c r="A77" s="149">
        <v>309</v>
      </c>
      <c r="B77" s="43" t="s">
        <v>53</v>
      </c>
      <c r="C77" s="68" t="s">
        <v>14</v>
      </c>
      <c r="D77" s="126"/>
      <c r="E77" s="131"/>
      <c r="F77" s="82">
        <f>IFERROR(INDEX($B$3:$G$14,MATCH(C77,$A$3:$A$14,0),MATCH($A$74,$B$2:$G$2,0)),0)</f>
        <v>0</v>
      </c>
      <c r="G77" s="88" t="str">
        <f>IF(F77=E77,"Bien",F77-E77)</f>
        <v>Bien</v>
      </c>
      <c r="H77" s="68"/>
    </row>
    <row r="78" spans="1:9">
      <c r="A78" s="159">
        <v>296</v>
      </c>
      <c r="B78" s="151" t="s">
        <v>56</v>
      </c>
      <c r="C78" s="151" t="s">
        <v>15</v>
      </c>
      <c r="D78" s="153"/>
      <c r="E78" s="154"/>
      <c r="F78" s="155">
        <f>IFERROR(INDEX($B$3:$G$14,MATCH(C78,$A$3:$A$14,0),MATCH($A$74,$B$2:$G$2,0)),0)</f>
        <v>0</v>
      </c>
      <c r="G78" s="95" t="str">
        <f>IF(F78=E78,"Bien",F78-E78)</f>
        <v>Bien</v>
      </c>
      <c r="H78" s="68"/>
    </row>
    <row r="79" spans="1:9">
      <c r="C79" s="68"/>
      <c r="D79" s="126"/>
      <c r="E79" s="97">
        <f>SUM(E76:E78)</f>
        <v>203340</v>
      </c>
      <c r="F79" s="97">
        <f>SUM(F76:F78)</f>
        <v>203340</v>
      </c>
      <c r="G79" s="68"/>
      <c r="H79" s="68"/>
      <c r="I79" s="98" t="str">
        <f>+IF(F79=B15,"OK","Revisar")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Tabla dinámica_Hoja1_1</vt:lpstr>
      <vt:lpstr>certificacion_2_2_2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dc:description/>
  <cp:lastModifiedBy>Fernando Matrichuk</cp:lastModifiedBy>
  <cp:revision>3</cp:revision>
  <dcterms:created xsi:type="dcterms:W3CDTF">2022-09-02T07:31:02Z</dcterms:created>
  <dcterms:modified xsi:type="dcterms:W3CDTF">2025-05-19T08:12:45Z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