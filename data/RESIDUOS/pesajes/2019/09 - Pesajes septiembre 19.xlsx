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Hoja4" sheetId="4" state="visible" r:id="rId5"/>
  </sheets>
  <definedNames>
    <definedName function="false" hidden="true" localSheetId="0" name="_xlnm._FilterDatabase" vbProcedure="false">Hoja1!$A$1:$J$345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<sst xmlns="http://schemas.openxmlformats.org/spreadsheetml/2006/main" count="1521" uniqueCount="49">
  <si>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</si>
  <si>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</si>
  <si>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</si>
  <si>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</si>
  <si>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</si>
  <si>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</si>
  <si>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</si>
  <si>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</si>
  <si>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</si>
  <si>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</si>
  <si>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6120JZX</t>
  </si>
  <si>
    <t xml:space="preserve">Peñiscola </t>
  </si>
  <si>
    <t xml:space="preserve">RSU</t>
  </si>
  <si>
    <t xml:space="preserve">x</t>
  </si>
  <si>
    <t xml:space="preserve">7542KBV</t>
  </si>
  <si>
    <t xml:space="preserve">1730KBZ</t>
  </si>
  <si>
    <t xml:space="preserve">7809JZX</t>
  </si>
  <si>
    <t xml:space="preserve">3686KBG</t>
  </si>
  <si>
    <t xml:space="preserve">03.14</t>
  </si>
  <si>
    <t xml:space="preserve">1821KBZ</t>
  </si>
  <si>
    <t xml:space="preserve">0315BGK</t>
  </si>
  <si>
    <t xml:space="preserve">SEL.PAP</t>
  </si>
  <si>
    <t xml:space="preserve">TETMA</t>
  </si>
  <si>
    <t xml:space="preserve">SEL.ENV</t>
  </si>
  <si>
    <t xml:space="preserve">VOL</t>
  </si>
  <si>
    <t xml:space="preserve">1076KSZ</t>
  </si>
  <si>
    <t xml:space="preserve">7957JZS</t>
  </si>
  <si>
    <t xml:space="preserve">PODA</t>
  </si>
  <si>
    <t xml:space="preserve">LIMP.PLAYA</t>
  </si>
  <si>
    <t xml:space="preserve">- todo -</t>
  </si>
  <si>
    <t xml:space="preserve">Suma - Carga</t>
  </si>
  <si>
    <t xml:space="preserve">(vacío)</t>
  </si>
  <si>
    <t xml:space="preserve">Total Resultado</t>
  </si>
  <si>
    <t xml:space="preserve">MATRICULA</t>
  </si>
  <si>
    <t xml:space="preserve">RUTA</t>
  </si>
  <si>
    <t xml:space="preserve">HORARIO</t>
  </si>
  <si>
    <t xml:space="preserve">CARGA</t>
  </si>
  <si>
    <t xml:space="preserve">REVISADO</t>
  </si>
  <si>
    <t xml:space="preserve">Noche</t>
  </si>
  <si>
    <t xml:space="preserve">Dia/Noche</t>
  </si>
  <si>
    <t xml:space="preserve">2-3-4-5</t>
  </si>
  <si>
    <t xml:space="preserve">Dia</t>
  </si>
  <si>
    <t xml:space="preserve">Día</t>
  </si>
  <si>
    <t xml:space="preserve">VOLUMINOSOS</t>
  </si>
  <si>
    <t xml:space="preserve">N.º OPERARIOS</t>
  </si>
  <si>
    <t xml:space="preserve">FRECUENCIA</t>
  </si>
  <si>
    <t xml:space="preserve">PAPEL</t>
  </si>
  <si>
    <t xml:space="preserve">ENVASES</t>
  </si>
  <si>
    <t xml:space="preserve">PLAYAS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</si>
</sst>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0"/>
    <numFmt numFmtId="170" formatCode="#,##0;[RED]\-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E181E"/>
      <name val="Calibri"/>
      <family val="2"/>
      <charset val="1"/>
    </font>
    <font>
      <sz val="11"/>
      <color rgb="FFCE181E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9AE"/>
        <bgColor rgb="FFFFFF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43">
  <cacheSource type="worksheet">
    <worksheetSource ref="A1:J345" sheet="Hoja1"/>
  </cacheSource>
  <cacheFields count="10">
    <cacheField name="Fecha" numFmtId="0">
      <sharedItems count="31" containsMixedTypes="1" containsSemiMixedTypes="1" containsString="0" containsNumber="1">
        <n v="43709"/>
        <n v="43710"/>
        <n v="43711"/>
        <n v="43712"/>
        <n v="43713"/>
        <n v="43714"/>
        <n v="43715"/>
        <n v="43716"/>
        <n v="43717"/>
        <n v="43718"/>
        <n v="43719"/>
        <n v="43720"/>
        <n v="43721"/>
        <n v="43722"/>
        <n v="43723"/>
        <n v="43724"/>
        <n v="43725"/>
        <n v="43726"/>
        <n v="43727"/>
        <n v="43728"/>
        <n v="43729"/>
        <n v="43730"/>
        <n v="43731"/>
        <n v="43732"/>
        <n v="43733"/>
        <n v="43734"/>
        <n v="43735"/>
        <n v="43736"/>
        <n v="43737"/>
        <n v="43738"/>
        <m/>
      </sharedItems>
    </cacheField>
    <cacheField name="Fecha / hora" numFmtId="0">
      <sharedItems count="272" containsMixedTypes="1" containsSemiMixedTypes="1" containsString="1" containsNumber="1">
        <n v="0"/>
        <n v="0.0236111111111111"/>
        <n v="0.0375"/>
        <n v="0.0381944444444444"/>
        <n v="0.0520833333333333"/>
        <n v="0.0534722222222222"/>
        <n v="0.05625"/>
        <n v="0.0597222222222222"/>
        <n v="0.0625"/>
        <n v="0.0638888888888889"/>
        <n v="0.0645833333333333"/>
        <n v="0.0652777777777778"/>
        <n v="0.0673611111111111"/>
        <n v="0.0694444444444444"/>
        <n v="0.0708333333333333"/>
        <n v="0.0715277777777778"/>
        <n v="0.0722222222222222"/>
        <n v="0.0736111111111111"/>
        <n v="0.0770833333333333"/>
        <n v="0.0777777777777778"/>
        <n v="0.0791666666666667"/>
        <n v="0.0798611111111111"/>
        <n v="0.0805555555555556"/>
        <n v="0.0826388888888889"/>
        <n v="0.0847222222222222"/>
        <n v="0.0895833333333333"/>
        <n v="0.108333333333333"/>
        <n v="0.113194444444444"/>
        <n v="0.115972222222222"/>
        <n v="0.121527777777778"/>
        <n v="0.122916666666667"/>
        <n v="0.123611111111111"/>
        <n v="0.125694444444444"/>
        <n v="0.126388888888889"/>
        <n v="0.129861111111111"/>
        <n v="0.130555555555556"/>
        <n v="0.134027777777778"/>
        <n v="0.1375"/>
        <n v="0.139583333333333"/>
        <n v="0.140277777777778"/>
        <n v="0.141666666666667"/>
        <n v="0.143055555555556"/>
        <n v="0.14375"/>
        <n v="0.144444444444444"/>
        <n v="0.146527777777778"/>
        <n v="0.15"/>
        <n v="0.153472222222222"/>
        <n v="0.154166666666667"/>
        <n v="0.159722222222222"/>
        <n v="0.1625"/>
        <n v="0.164583333333333"/>
        <n v="0.16875"/>
        <n v="0.169444444444444"/>
        <n v="0.173611111111111"/>
        <n v="0.177777777777778"/>
        <n v="0.179166666666667"/>
        <n v="0.181944444444444"/>
        <n v="0.182638888888889"/>
        <n v="0.183333333333333"/>
        <n v="0.184027777777778"/>
        <n v="0.186111111111111"/>
        <n v="0.1875"/>
        <n v="0.189583333333333"/>
        <n v="0.191666666666667"/>
        <n v="0.192361111111111"/>
        <n v="0.19375"/>
        <n v="0.197222222222222"/>
        <n v="0.199305555555556"/>
        <n v="0.2"/>
        <n v="0.200694444444444"/>
        <n v="0.203472222222222"/>
        <n v="0.204861111111111"/>
        <n v="0.205555555555556"/>
        <n v="0.20625"/>
        <n v="0.207638888888889"/>
        <n v="0.211111111111111"/>
        <n v="0.211805555555556"/>
        <n v="0.213194444444444"/>
        <n v="0.213888888888889"/>
        <n v="0.214583333333333"/>
        <n v="0.216666666666667"/>
        <n v="0.218055555555556"/>
        <n v="0.21875"/>
        <n v="0.219444444444444"/>
        <n v="0.220138888888889"/>
        <n v="0.220833333333333"/>
        <n v="0.222222222222222"/>
        <n v="0.222916666666667"/>
        <n v="0.224305555555556"/>
        <n v="0.225694444444444"/>
        <n v="0.227083333333333"/>
        <n v="0.227777777777778"/>
        <n v="0.228472222222222"/>
        <n v="0.229166666666667"/>
        <n v="0.229861111111111"/>
        <n v="0.230555555555556"/>
        <n v="0.23125"/>
        <n v="0.231944444444444"/>
        <n v="0.233333333333333"/>
        <n v="0.234027777777778"/>
        <n v="0.234722222222222"/>
        <n v="0.235416666666667"/>
        <n v="0.236111111111111"/>
        <n v="0.236805555555556"/>
        <n v="0.2375"/>
        <n v="0.238194444444444"/>
        <n v="0.238888888888889"/>
        <n v="0.241666666666667"/>
        <n v="0.242361111111111"/>
        <n v="0.24375"/>
        <n v="0.245138888888889"/>
        <n v="0.245833333333333"/>
        <n v="0.247222222222222"/>
        <n v="0.248611111111111"/>
        <n v="0.252777777777778"/>
        <n v="0.253472222222222"/>
        <n v="0.254166666666667"/>
        <n v="0.256944444444444"/>
        <n v="0.261111111111111"/>
        <n v="0.265972222222222"/>
        <n v="0.26875"/>
        <n v="0.270138888888889"/>
        <n v="0.275"/>
        <n v="0.28125"/>
        <n v="0.286111111111111"/>
        <n v="0.286805555555556"/>
        <n v="0.302083333333333"/>
        <n v="0.307638888888889"/>
        <n v="0.31875"/>
        <n v="0.328472222222222"/>
        <n v="0.339583333333333"/>
        <n v="0.35"/>
        <n v="0.352083333333333"/>
        <n v="0.352777777777778"/>
        <n v="0.359722222222222"/>
        <n v="0.360416666666667"/>
        <n v="0.36875"/>
        <n v="0.370833333333333"/>
        <n v="0.376388888888889"/>
        <n v="0.379166666666667"/>
        <n v="0.386805555555556"/>
        <n v="0.39375"/>
        <n v="0.396527777777778"/>
        <n v="0.397222222222222"/>
        <n v="0.419444444444444"/>
        <n v="0.436805555555555"/>
        <n v="0.438888888888889"/>
        <n v="0.440277777777778"/>
        <n v="0.443055555555556"/>
        <n v="0.444444444444444"/>
        <n v="0.447222222222222"/>
        <n v="0.447916666666667"/>
        <n v="0.448611111111111"/>
        <n v="0.449305555555556"/>
        <n v="0.45"/>
        <n v="0.450694444444444"/>
        <n v="0.451388888888889"/>
        <n v="0.452083333333333"/>
        <n v="0.452777777777778"/>
        <n v="0.454861111111111"/>
        <n v="0.457638888888889"/>
        <n v="0.459027777777778"/>
        <n v="0.459722222222222"/>
        <n v="0.460416666666667"/>
        <n v="0.461111111111111"/>
        <n v="0.463194444444444"/>
        <n v="0.463888888888889"/>
        <n v="0.464583333333333"/>
        <n v="0.465277777777778"/>
        <n v="0.466666666666667"/>
        <n v="0.467361111111111"/>
        <n v="0.468055555555555"/>
        <n v="0.46875"/>
        <n v="0.471527777777778"/>
        <n v="0.472222222222222"/>
        <n v="0.475"/>
        <n v="0.475694444444444"/>
        <n v="0.478472222222222"/>
        <n v="0.48125"/>
        <n v="0.483333333333333"/>
        <n v="0.484722222222222"/>
        <n v="0.486111111111111"/>
        <n v="0.4875"/>
        <n v="0.488194444444444"/>
        <n v="0.491666666666667"/>
        <n v="0.494444444444444"/>
        <n v="0.497916666666667"/>
        <n v="0.498611111111111"/>
        <n v="0.499305555555555"/>
        <n v="0.5"/>
        <n v="0.500694444444445"/>
        <n v="0.502083333333333"/>
        <n v="0.504166666666667"/>
        <n v="0.505555555555556"/>
        <n v="0.50625"/>
        <n v="0.506944444444444"/>
        <n v="0.507638888888889"/>
        <n v="0.508333333333333"/>
        <n v="0.509027777777778"/>
        <n v="0.511111111111111"/>
        <n v="0.511805555555555"/>
        <n v="0.5125"/>
        <n v="0.514583333333333"/>
        <n v="0.515277777777778"/>
        <n v="0.51875"/>
        <n v="0.522916666666667"/>
        <n v="0.525"/>
        <n v="0.533333333333333"/>
        <n v="0.534027777777778"/>
        <n v="0.536805555555556"/>
        <n v="0.538194444444444"/>
        <n v="0.548611111111111"/>
        <n v="0.554861111111111"/>
        <n v="0.555555555555556"/>
        <n v="0.563888888888889"/>
        <n v="0.607638888888889"/>
        <n v="0.672916666666667"/>
        <n v="0.677083333333333"/>
        <n v="0.678472222222222"/>
        <n v="0.680555555555555"/>
        <n v="0.681944444444445"/>
        <n v="0.684722222222222"/>
        <n v="0.686111111111111"/>
        <n v="0.686805555555556"/>
        <n v="0.6875"/>
        <n v="0.688888888888889"/>
        <n v="0.689583333333333"/>
        <n v="0.690277777777778"/>
        <n v="0.690972222222222"/>
        <n v="0.692361111111111"/>
        <n v="0.695138888888889"/>
        <n v="0.709722222222222"/>
        <n v="0.715277777777778"/>
        <n v="0.724305555555556"/>
        <n v="0.725"/>
        <n v="0.726388888888889"/>
        <n v="0.736805555555556"/>
        <n v="0.7375"/>
        <n v="0.739583333333333"/>
        <n v="0.740277777777778"/>
        <n v="0.747916666666667"/>
        <n v="0.754166666666667"/>
        <n v="0.755555555555556"/>
        <n v="0.75625"/>
        <n v="0.756944444444444"/>
        <n v="0.761805555555556"/>
        <n v="0.817361111111111"/>
        <n v="0.827083333333333"/>
        <n v="0.831944444444444"/>
        <n v="0.844444444444444"/>
        <n v="0.852083333333333"/>
        <n v="0.852777777777778"/>
        <n v="0.859027777777778"/>
        <n v="0.860416666666667"/>
        <n v="0.861111111111111"/>
        <n v="0.8625"/>
        <n v="0.863194444444444"/>
        <n v="0.863888888888889"/>
        <n v="0.865277777777778"/>
        <n v="0.865972222222222"/>
        <n v="0.868055555555555"/>
        <n v="0.870833333333333"/>
        <n v="0.871527777777778"/>
        <n v="0.874305555555556"/>
        <n v="0.875"/>
        <n v="0.875694444444444"/>
        <n v="0.877083333333333"/>
        <n v="0.911805555555556"/>
        <n v="0.913888888888889"/>
        <n v="0.920138888888889"/>
        <s v="03.14"/>
        <m/>
      </sharedItems>
    </cacheField>
    <cacheField name="Ticket" numFmtId="0">
      <sharedItems count="337" containsMixedTypes="1" containsSemiMixedTypes="1" containsString="1" containsNumber="1">
        <n v="14002"/>
        <n v="91735"/>
        <n v="91773"/>
        <n v="91838"/>
        <n v="91920"/>
        <n v="91991"/>
        <n v="92074"/>
        <n v="92176"/>
        <n v="92219"/>
        <n v="92491"/>
        <n v="113592"/>
        <n v="113598"/>
        <n v="113600"/>
        <n v="113601"/>
        <n v="113603"/>
        <n v="113604"/>
        <n v="113605"/>
        <n v="113615"/>
        <n v="113616"/>
        <n v="113618"/>
        <n v="113619"/>
        <n v="113620"/>
        <n v="113621"/>
        <n v="113627"/>
        <n v="113628"/>
        <n v="113630"/>
        <n v="113632"/>
        <n v="113634"/>
        <n v="113649"/>
        <n v="113661"/>
        <n v="113664"/>
        <n v="113675"/>
        <n v="113677"/>
        <n v="113679"/>
        <n v="113680"/>
        <n v="113681"/>
        <n v="113687"/>
        <n v="113692"/>
        <n v="113694"/>
        <n v="113696"/>
        <n v="113707"/>
        <n v="113715"/>
        <n v="113716"/>
        <n v="113721"/>
        <n v="113722"/>
        <n v="113726"/>
        <n v="113742"/>
        <n v="113746"/>
        <n v="113749"/>
        <n v="113751"/>
        <n v="113752"/>
        <n v="113756"/>
        <n v="113761"/>
        <n v="113764"/>
        <n v="113765"/>
        <n v="113782"/>
        <n v="113793"/>
        <n v="113814"/>
        <n v="113816"/>
        <n v="113820"/>
        <n v="113823"/>
        <n v="113825"/>
        <n v="113831"/>
        <n v="113836"/>
        <n v="113837"/>
        <n v="113838"/>
        <n v="113859"/>
        <n v="113861"/>
        <n v="113880"/>
        <n v="113883"/>
        <n v="113887"/>
        <n v="113888"/>
        <n v="113891"/>
        <n v="113897"/>
        <n v="113899"/>
        <n v="113905"/>
        <n v="113906"/>
        <n v="113908"/>
        <n v="113923"/>
        <n v="113937"/>
        <n v="113941"/>
        <n v="113944"/>
        <n v="113958"/>
        <n v="113961"/>
        <n v="113965"/>
        <n v="113966"/>
        <n v="113969"/>
        <n v="113975"/>
        <n v="113978"/>
        <n v="113979"/>
        <n v="113985"/>
        <n v="113986"/>
        <n v="113987"/>
        <n v="114000"/>
        <n v="114003"/>
        <n v="114005"/>
        <n v="114008"/>
        <n v="114009"/>
        <n v="114010"/>
        <n v="114011"/>
        <n v="114013"/>
        <n v="114019"/>
        <n v="114021"/>
        <n v="114025"/>
        <n v="114026"/>
        <n v="114028"/>
        <n v="114032"/>
        <n v="114033"/>
        <n v="114034"/>
        <n v="114035"/>
        <n v="114036"/>
        <n v="114037"/>
        <n v="114041"/>
        <n v="114043"/>
        <n v="114048"/>
        <n v="114050"/>
        <n v="114051"/>
        <n v="114079"/>
        <n v="114082"/>
        <n v="114089"/>
        <n v="114101"/>
        <n v="114102"/>
        <n v="114103"/>
        <n v="114106"/>
        <n v="114111"/>
        <n v="114118"/>
        <n v="114120"/>
        <n v="114122"/>
        <n v="114144"/>
        <n v="114151"/>
        <n v="114156"/>
        <n v="114169"/>
        <n v="114171"/>
        <n v="114176"/>
        <n v="114179"/>
        <n v="114183"/>
        <n v="114185"/>
        <n v="114187"/>
        <n v="114192"/>
        <n v="114210"/>
        <n v="114211"/>
        <n v="114219"/>
        <n v="114221"/>
        <n v="114225"/>
        <n v="114228"/>
        <n v="114237"/>
        <n v="114239"/>
        <n v="114240"/>
        <n v="114264"/>
        <n v="114266"/>
        <n v="114275"/>
        <n v="114286"/>
        <n v="114291"/>
        <n v="114296"/>
        <n v="114298"/>
        <n v="114299"/>
        <n v="114300"/>
        <n v="114305"/>
        <n v="114309"/>
        <n v="114312"/>
        <n v="114313"/>
        <n v="114337"/>
        <n v="114340"/>
        <n v="114343"/>
        <n v="114347"/>
        <n v="114349"/>
        <n v="114354"/>
        <n v="114358"/>
        <n v="114365"/>
        <n v="114366"/>
        <n v="114367"/>
        <n v="114370"/>
        <n v="114380"/>
        <n v="114386"/>
        <n v="114388"/>
        <n v="114391"/>
        <n v="114392"/>
        <n v="114393"/>
        <n v="114395"/>
        <n v="114401"/>
        <n v="114402"/>
        <n v="114403"/>
        <n v="114408"/>
        <n v="114409"/>
        <n v="114410"/>
        <n v="114411"/>
        <n v="114412"/>
        <n v="114414"/>
        <n v="114417"/>
        <n v="114423"/>
        <n v="114424"/>
        <n v="114427"/>
        <n v="114454"/>
        <n v="114465"/>
        <n v="114467"/>
        <n v="114476"/>
        <n v="114488"/>
        <n v="114491"/>
        <n v="114495"/>
        <n v="114497"/>
        <n v="114502"/>
        <n v="114505"/>
        <n v="114510"/>
        <n v="114512"/>
        <n v="114513"/>
        <n v="114538"/>
        <n v="114547"/>
        <n v="114563"/>
        <n v="114565"/>
        <n v="114570"/>
        <n v="114574"/>
        <n v="114581"/>
        <n v="114584"/>
        <n v="114586"/>
        <n v="114602"/>
        <n v="114609"/>
        <n v="114612"/>
        <n v="114621"/>
        <n v="114630"/>
        <n v="114635"/>
        <n v="114639"/>
        <n v="114647"/>
        <n v="114650"/>
        <n v="114652"/>
        <n v="114674"/>
        <n v="114700"/>
        <n v="114702"/>
        <n v="114706"/>
        <n v="114712"/>
        <n v="114715"/>
        <n v="114716"/>
        <n v="114727"/>
        <n v="114743"/>
        <n v="114744"/>
        <n v="114753"/>
        <n v="114755"/>
        <n v="114763"/>
        <n v="114764"/>
        <n v="114767"/>
        <n v="114768"/>
        <n v="114777"/>
        <n v="114778"/>
        <n v="114780"/>
        <n v="114781"/>
        <n v="114782"/>
        <n v="114790"/>
        <n v="114791"/>
        <n v="114792"/>
        <n v="114797"/>
        <n v="114798"/>
        <n v="114799"/>
        <n v="114800"/>
        <n v="114803"/>
        <n v="114808"/>
        <n v="114813"/>
        <n v="114814"/>
        <n v="114817"/>
        <n v="114829"/>
        <n v="114830"/>
        <n v="114836"/>
        <n v="114843"/>
        <n v="114865"/>
        <n v="114870"/>
        <n v="114874"/>
        <n v="114877"/>
        <n v="114879"/>
        <n v="114885"/>
        <n v="114892"/>
        <n v="114903"/>
        <n v="114907"/>
        <n v="114912"/>
        <n v="114934"/>
        <n v="114940"/>
        <n v="114943"/>
        <n v="114944"/>
        <n v="114945"/>
        <n v="114954"/>
        <n v="114960"/>
        <n v="114964"/>
        <n v="114972"/>
        <n v="114978"/>
        <n v="114982"/>
        <n v="114987"/>
        <n v="114996"/>
        <n v="115003"/>
        <n v="115004"/>
        <n v="115007"/>
        <n v="115008"/>
        <n v="115014"/>
        <n v="115018"/>
        <n v="115024"/>
        <n v="115027"/>
        <n v="115037"/>
        <n v="115038"/>
        <n v="115040"/>
        <n v="115047"/>
        <n v="115048"/>
        <n v="115068"/>
        <n v="115074"/>
        <n v="115076"/>
        <n v="115077"/>
        <n v="115081"/>
        <n v="115083"/>
        <n v="115088"/>
        <n v="115093"/>
        <n v="115098"/>
        <n v="115104"/>
        <n v="115106"/>
        <n v="115112"/>
        <n v="115113"/>
        <n v="115116"/>
        <n v="115120"/>
        <n v="115137"/>
        <n v="115144"/>
        <n v="115147"/>
        <n v="115149"/>
        <n v="115150"/>
        <n v="115155"/>
        <n v="115160"/>
        <n v="115161"/>
        <n v="115169"/>
        <n v="115170"/>
        <n v="115171"/>
        <n v="115174"/>
        <n v="115177"/>
        <n v="115178"/>
        <n v="115179"/>
        <n v="115183"/>
        <n v="115190"/>
        <n v="115197"/>
        <n v="115198"/>
        <n v="115208"/>
        <n v="115216"/>
        <n v="115227"/>
        <n v="1114113"/>
        <s v="TETMA"/>
        <m/>
      </sharedItems>
    </cacheField>
    <cacheField name="Matrícula" numFmtId="0">
      <sharedItems count="10" containsMixedTypes="1" containsSemiMixedTypes="1" containsString="1" containsNumber="0">
        <s v="0315BGK"/>
        <s v="1076KSZ"/>
        <s v="1730KBZ"/>
        <s v="1821KBZ"/>
        <s v="3686KBG"/>
        <s v="6120JZX"/>
        <s v="7542KBV"/>
        <s v="7809JZX"/>
        <s v="7957JZS"/>
        <m/>
      </sharedItems>
    </cacheField>
    <cacheField name="Peso total" numFmtId="0">
      <sharedItems count="235" containsMixedTypes="1" containsSemiMixedTypes="1" containsString="0" containsNumber="1">
        <n v="2440"/>
        <n v="2460"/>
        <n v="2500"/>
        <n v="2540"/>
        <n v="2560"/>
        <n v="2580"/>
        <n v="2600"/>
        <n v="2620"/>
        <n v="2640"/>
        <n v="2660"/>
        <n v="2680"/>
        <n v="2700"/>
        <n v="2720"/>
        <n v="2740"/>
        <n v="2760"/>
        <n v="2780"/>
        <n v="2840"/>
        <n v="2880"/>
        <n v="2900"/>
        <n v="2920"/>
        <n v="2980"/>
        <n v="3000"/>
        <n v="3060"/>
        <n v="3080"/>
        <n v="3100"/>
        <n v="3120"/>
        <n v="3140"/>
        <n v="3160"/>
        <n v="3180"/>
        <n v="3200"/>
        <n v="3220"/>
        <n v="3240"/>
        <n v="3260"/>
        <n v="3280"/>
        <n v="3300"/>
        <n v="3320"/>
        <n v="3340"/>
        <n v="3380"/>
        <n v="3400"/>
        <n v="3420"/>
        <n v="3460"/>
        <n v="3480"/>
        <n v="3500"/>
        <n v="3520"/>
        <n v="3540"/>
        <n v="3580"/>
        <n v="3620"/>
        <n v="3760"/>
        <n v="3780"/>
        <n v="3880"/>
        <n v="3940"/>
        <n v="4140"/>
        <n v="4200"/>
        <n v="4300"/>
        <n v="4420"/>
        <n v="4440"/>
        <n v="4460"/>
        <n v="4480"/>
        <n v="4520"/>
        <n v="4540"/>
        <n v="4580"/>
        <n v="4660"/>
        <n v="4680"/>
        <n v="4700"/>
        <n v="4740"/>
        <n v="4760"/>
        <n v="4800"/>
        <n v="4820"/>
        <n v="4840"/>
        <n v="4880"/>
        <n v="4900"/>
        <n v="4920"/>
        <n v="4960"/>
        <n v="5040"/>
        <n v="5060"/>
        <n v="5120"/>
        <n v="5180"/>
        <n v="5320"/>
        <n v="5980"/>
        <n v="6200"/>
        <n v="6940"/>
        <n v="9000"/>
        <n v="9520"/>
        <n v="10180"/>
        <n v="13820"/>
        <n v="14220"/>
        <n v="14600"/>
        <n v="14660"/>
        <n v="14760"/>
        <n v="14940"/>
        <n v="14980"/>
        <n v="15060"/>
        <n v="15080"/>
        <n v="15200"/>
        <n v="15220"/>
        <n v="15360"/>
        <n v="15400"/>
        <n v="15460"/>
        <n v="15480"/>
        <n v="15520"/>
        <n v="15940"/>
        <n v="15980"/>
        <n v="16640"/>
        <n v="16660"/>
        <n v="16740"/>
        <n v="17140"/>
        <n v="17380"/>
        <n v="17460"/>
        <n v="17660"/>
        <n v="17780"/>
        <n v="17800"/>
        <n v="17840"/>
        <n v="17960"/>
        <n v="18000"/>
        <n v="18020"/>
        <n v="18060"/>
        <n v="18100"/>
        <n v="18120"/>
        <n v="18240"/>
        <n v="18300"/>
        <n v="18360"/>
        <n v="18420"/>
        <n v="18480"/>
        <n v="18640"/>
        <n v="18880"/>
        <n v="18940"/>
        <n v="19100"/>
        <n v="19280"/>
        <n v="19480"/>
        <n v="19580"/>
        <n v="19620"/>
        <n v="19700"/>
        <n v="19720"/>
        <n v="19860"/>
        <n v="19940"/>
        <n v="20060"/>
        <n v="20080"/>
        <n v="20120"/>
        <n v="20160"/>
        <n v="20360"/>
        <n v="20400"/>
        <n v="20420"/>
        <n v="20440"/>
        <n v="20560"/>
        <n v="20680"/>
        <n v="20700"/>
        <n v="20720"/>
        <n v="20780"/>
        <n v="20820"/>
        <n v="20840"/>
        <n v="20880"/>
        <n v="20940"/>
        <n v="20960"/>
        <n v="21000"/>
        <n v="21040"/>
        <n v="21140"/>
        <n v="21180"/>
        <n v="21220"/>
        <n v="21300"/>
        <n v="21320"/>
        <n v="21340"/>
        <n v="21440"/>
        <n v="21540"/>
        <n v="21660"/>
        <n v="21680"/>
        <n v="21720"/>
        <n v="21740"/>
        <n v="21780"/>
        <n v="21800"/>
        <n v="21880"/>
        <n v="21920"/>
        <n v="21940"/>
        <n v="21960"/>
        <n v="21980"/>
        <n v="22000"/>
        <n v="22020"/>
        <n v="22040"/>
        <n v="22080"/>
        <n v="22100"/>
        <n v="22140"/>
        <n v="22160"/>
        <n v="22180"/>
        <n v="22200"/>
        <n v="22220"/>
        <n v="22240"/>
        <n v="22260"/>
        <n v="22320"/>
        <n v="22340"/>
        <n v="22360"/>
        <n v="22380"/>
        <n v="22440"/>
        <n v="22480"/>
        <n v="22500"/>
        <n v="22520"/>
        <n v="22560"/>
        <n v="22580"/>
        <n v="22620"/>
        <n v="22680"/>
        <n v="22700"/>
        <n v="22740"/>
        <n v="22760"/>
        <n v="22780"/>
        <n v="22860"/>
        <n v="22880"/>
        <n v="22920"/>
        <n v="22960"/>
        <n v="23040"/>
        <n v="23060"/>
        <n v="23160"/>
        <n v="23200"/>
        <n v="23280"/>
        <n v="23300"/>
        <n v="23360"/>
        <n v="23380"/>
        <n v="23440"/>
        <n v="23520"/>
        <n v="23540"/>
        <n v="23560"/>
        <n v="23600"/>
        <n v="23920"/>
        <n v="23940"/>
        <n v="24640"/>
        <n v="24700"/>
        <n v="24740"/>
        <n v="24940"/>
        <n v="25100"/>
        <n v="25180"/>
        <n v="25300"/>
        <n v="26200"/>
        <n v="26440"/>
        <n v="26700"/>
        <n v="26720"/>
        <n v="26920"/>
        <n v="27680"/>
        <m/>
      </sharedItems>
    </cacheField>
    <cacheField name="Tara" numFmtId="0">
      <sharedItems count="89" containsMixedTypes="1" containsSemiMixedTypes="1" containsString="0" containsNumber="1">
        <n v="1420"/>
        <n v="2240"/>
        <n v="2360"/>
        <n v="2380"/>
        <n v="2400"/>
        <n v="2420"/>
        <n v="2440"/>
        <n v="2460"/>
        <n v="2480"/>
        <n v="2560"/>
        <n v="2600"/>
        <n v="2660"/>
        <n v="2680"/>
        <n v="2700"/>
        <n v="2720"/>
        <n v="2740"/>
        <n v="2760"/>
        <n v="2780"/>
        <n v="2800"/>
        <n v="2820"/>
        <n v="2840"/>
        <n v="2860"/>
        <n v="2880"/>
        <n v="2900"/>
        <n v="2920"/>
        <n v="2940"/>
        <n v="2960"/>
        <n v="2980"/>
        <n v="3000"/>
        <n v="3040"/>
        <n v="3500"/>
        <n v="3560"/>
        <n v="3580"/>
        <n v="3600"/>
        <n v="3620"/>
        <n v="3640"/>
        <n v="3680"/>
        <n v="3700"/>
        <n v="3720"/>
        <n v="3740"/>
        <n v="3760"/>
        <n v="3780"/>
        <n v="5540"/>
        <n v="5560"/>
        <n v="5580"/>
        <n v="5620"/>
        <n v="12460"/>
        <n v="12760"/>
        <n v="12780"/>
        <n v="12800"/>
        <n v="12820"/>
        <n v="12840"/>
        <n v="12860"/>
        <n v="12880"/>
        <n v="12900"/>
        <n v="12920"/>
        <n v="12940"/>
        <n v="12960"/>
        <n v="12980"/>
        <n v="13000"/>
        <n v="13020"/>
        <n v="13040"/>
        <n v="13060"/>
        <n v="13080"/>
        <n v="13120"/>
        <n v="15000"/>
        <n v="1520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20"/>
        <n v="16040"/>
        <n v="16060"/>
        <n v="16080"/>
        <n v="16100"/>
        <n v="16120"/>
        <m/>
      </sharedItems>
    </cacheField>
    <cacheField name="Carga" numFmtId="0">
      <sharedItems count="206" containsMixedTypes="1" containsSemiMixedTypes="1" containsString="0" containsNumber="1">
        <n v="6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20"/>
        <n v="540"/>
        <n v="560"/>
        <n v="580"/>
        <n v="620"/>
        <n v="680"/>
        <n v="700"/>
        <n v="740"/>
        <n v="760"/>
        <n v="780"/>
        <n v="800"/>
        <n v="820"/>
        <n v="840"/>
        <n v="860"/>
        <n v="880"/>
        <n v="900"/>
        <n v="920"/>
        <n v="940"/>
        <n v="960"/>
        <n v="1020"/>
        <n v="1060"/>
        <n v="1080"/>
        <n v="1120"/>
        <n v="1200"/>
        <n v="1240"/>
        <n v="1280"/>
        <n v="1300"/>
        <n v="1320"/>
        <n v="1340"/>
        <n v="1360"/>
        <n v="1380"/>
        <n v="1400"/>
        <n v="1440"/>
        <n v="1500"/>
        <n v="1580"/>
        <n v="1600"/>
        <n v="1620"/>
        <n v="1700"/>
        <n v="1740"/>
        <n v="1800"/>
        <n v="1860"/>
        <n v="1940"/>
        <n v="2020"/>
        <n v="2100"/>
        <n v="2120"/>
        <n v="2140"/>
        <n v="2160"/>
        <n v="2200"/>
        <n v="2240"/>
        <n v="2260"/>
        <n v="2300"/>
        <n v="2320"/>
        <n v="2340"/>
        <n v="2360"/>
        <n v="2400"/>
        <n v="2460"/>
        <n v="2520"/>
        <n v="2540"/>
        <n v="2560"/>
        <n v="2580"/>
        <n v="2600"/>
        <n v="2640"/>
        <n v="2660"/>
        <n v="2760"/>
        <n v="3040"/>
        <n v="3140"/>
        <n v="3160"/>
        <n v="3300"/>
        <n v="3440"/>
        <n v="3480"/>
        <n v="3680"/>
        <n v="3920"/>
        <n v="3940"/>
        <n v="3960"/>
        <n v="4120"/>
        <n v="4260"/>
        <n v="4320"/>
        <n v="4440"/>
        <n v="4480"/>
        <n v="4620"/>
        <n v="4720"/>
        <n v="4760"/>
        <n v="4820"/>
        <n v="4880"/>
        <n v="5020"/>
        <n v="5060"/>
        <n v="5080"/>
        <n v="5140"/>
        <n v="5160"/>
        <n v="5180"/>
        <n v="5200"/>
        <n v="5220"/>
        <n v="5260"/>
        <n v="5440"/>
        <n v="5480"/>
        <n v="5500"/>
        <n v="5580"/>
        <n v="5780"/>
        <n v="5880"/>
        <n v="5960"/>
        <n v="6000"/>
        <n v="6020"/>
        <n v="6040"/>
        <n v="6060"/>
        <n v="6120"/>
        <n v="6160"/>
        <n v="6280"/>
        <n v="6340"/>
        <n v="6440"/>
        <n v="6480"/>
        <n v="6600"/>
        <n v="6620"/>
        <n v="6640"/>
        <n v="6680"/>
        <n v="6720"/>
        <n v="6840"/>
        <n v="6860"/>
        <n v="6900"/>
        <n v="6920"/>
        <n v="6960"/>
        <n v="7080"/>
        <n v="7100"/>
        <n v="7120"/>
        <n v="7160"/>
        <n v="7200"/>
        <n v="7240"/>
        <n v="7260"/>
        <n v="7300"/>
        <n v="7440"/>
        <n v="7500"/>
        <n v="7560"/>
        <n v="7580"/>
        <n v="7700"/>
        <n v="7740"/>
        <n v="7800"/>
        <n v="7820"/>
        <n v="7860"/>
        <n v="7880"/>
        <n v="8000"/>
        <n v="8080"/>
        <n v="8260"/>
        <n v="8320"/>
        <n v="8340"/>
        <n v="8520"/>
        <n v="8780"/>
        <n v="8800"/>
        <n v="8880"/>
        <n v="9020"/>
        <n v="9120"/>
        <n v="9140"/>
        <n v="9160"/>
        <n v="9180"/>
        <n v="9220"/>
        <n v="9240"/>
        <n v="9280"/>
        <n v="9300"/>
        <n v="9320"/>
        <n v="9340"/>
        <n v="9360"/>
        <n v="9420"/>
        <n v="9480"/>
        <n v="9540"/>
        <n v="9560"/>
        <n v="9580"/>
        <n v="9600"/>
        <n v="9620"/>
        <n v="9660"/>
        <n v="9700"/>
        <n v="9740"/>
        <n v="10000"/>
        <n v="10020"/>
        <n v="10040"/>
        <n v="10080"/>
        <n v="10200"/>
        <n v="10400"/>
        <n v="10440"/>
        <n v="10480"/>
        <n v="10680"/>
        <n v="10740"/>
        <n v="10860"/>
        <n v="10920"/>
        <n v="11040"/>
        <n v="11560"/>
        <n v="11740"/>
        <n v="11780"/>
        <m/>
      </sharedItems>
    </cacheField>
    <cacheField name="Población" numFmtId="0">
      <sharedItems count="2" containsMixedTypes="1" containsSemiMixedTypes="1" containsString="1" containsNumber="0">
        <s v="Peñiscola "/>
        <m/>
      </sharedItems>
    </cacheField>
    <cacheField name="Residuo" numFmtId="0">
      <sharedItems count="7" containsMixedTypes="1" containsSemiMixedTypes="1" containsString="1" containsNumber="0">
        <s v="LIMP.PLAYA"/>
        <s v="PODA"/>
        <s v="RSU"/>
        <s v="SEL.ENV"/>
        <s v="SEL.PAP"/>
        <s v="VOL"/>
        <m/>
      </sharedItems>
    </cacheField>
    <cacheField name="Revisado" numFmtId="0">
      <sharedItems count="2" containsMixedTypes="1" containsSemiMixedTypes="1" containsString="1" containsNumber="0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3">
  <r>
    <x v="0"/>
    <x v="268"/>
    <x v="21"/>
    <x v="5"/>
    <x v="31"/>
    <x v="27"/>
    <x v="8"/>
    <x v="0"/>
    <x v="2"/>
    <x v="0"/>
  </r>
  <r>
    <x v="0"/>
    <x v="3"/>
    <x v="10"/>
    <x v="6"/>
    <x v="165"/>
    <x v="56"/>
    <x v="164"/>
    <x v="0"/>
    <x v="2"/>
    <x v="0"/>
  </r>
  <r>
    <x v="0"/>
    <x v="43"/>
    <x v="12"/>
    <x v="6"/>
    <x v="184"/>
    <x v="47"/>
    <x v="180"/>
    <x v="0"/>
    <x v="2"/>
    <x v="0"/>
  </r>
  <r>
    <x v="0"/>
    <x v="91"/>
    <x v="14"/>
    <x v="6"/>
    <x v="111"/>
    <x v="57"/>
    <x v="103"/>
    <x v="0"/>
    <x v="2"/>
    <x v="0"/>
  </r>
  <r>
    <x v="0"/>
    <x v="115"/>
    <x v="16"/>
    <x v="2"/>
    <x v="204"/>
    <x v="69"/>
    <x v="143"/>
    <x v="0"/>
    <x v="2"/>
    <x v="0"/>
  </r>
  <r>
    <x v="0"/>
    <x v="38"/>
    <x v="11"/>
    <x v="2"/>
    <x v="226"/>
    <x v="73"/>
    <x v="177"/>
    <x v="0"/>
    <x v="2"/>
    <x v="0"/>
  </r>
  <r>
    <x v="0"/>
    <x v="112"/>
    <x v="15"/>
    <x v="7"/>
    <x v="60"/>
    <x v="30"/>
    <x v="41"/>
    <x v="0"/>
    <x v="2"/>
    <x v="0"/>
  </r>
  <r>
    <x v="0"/>
    <x v="52"/>
    <x v="13"/>
    <x v="7"/>
    <x v="70"/>
    <x v="30"/>
    <x v="51"/>
    <x v="0"/>
    <x v="2"/>
    <x v="0"/>
  </r>
  <r>
    <x v="0"/>
    <x v="149"/>
    <x v="17"/>
    <x v="5"/>
    <x v="43"/>
    <x v="20"/>
    <x v="25"/>
    <x v="0"/>
    <x v="2"/>
    <x v="0"/>
  </r>
  <r>
    <x v="0"/>
    <x v="164"/>
    <x v="18"/>
    <x v="4"/>
    <x v="3"/>
    <x v="2"/>
    <x v="4"/>
    <x v="0"/>
    <x v="2"/>
    <x v="0"/>
  </r>
  <r>
    <x v="0"/>
    <x v="57"/>
    <x v="336"/>
    <x v="6"/>
    <x v="88"/>
    <x v="54"/>
    <x v="60"/>
    <x v="0"/>
    <x v="2"/>
    <x v="0"/>
  </r>
  <r>
    <x v="0"/>
    <x v="259"/>
    <x v="20"/>
    <x v="2"/>
    <x v="227"/>
    <x v="75"/>
    <x v="179"/>
    <x v="0"/>
    <x v="2"/>
    <x v="0"/>
  </r>
  <r>
    <x v="0"/>
    <x v="242"/>
    <x v="19"/>
    <x v="4"/>
    <x v="14"/>
    <x v="3"/>
    <x v="14"/>
    <x v="0"/>
    <x v="2"/>
    <x v="0"/>
  </r>
  <r>
    <x v="1"/>
    <x v="51"/>
    <x v="25"/>
    <x v="7"/>
    <x v="72"/>
    <x v="32"/>
    <x v="50"/>
    <x v="0"/>
    <x v="2"/>
    <x v="0"/>
  </r>
  <r>
    <x v="1"/>
    <x v="270"/>
    <x v="24"/>
    <x v="3"/>
    <x v="218"/>
    <x v="71"/>
    <x v="154"/>
    <x v="0"/>
    <x v="2"/>
    <x v="0"/>
  </r>
  <r>
    <x v="1"/>
    <x v="75"/>
    <x v="27"/>
    <x v="2"/>
    <x v="215"/>
    <x v="79"/>
    <x v="150"/>
    <x v="0"/>
    <x v="2"/>
    <x v="0"/>
  </r>
  <r>
    <x v="1"/>
    <x v="2"/>
    <x v="22"/>
    <x v="6"/>
    <x v="162"/>
    <x v="60"/>
    <x v="163"/>
    <x v="0"/>
    <x v="2"/>
    <x v="0"/>
  </r>
  <r>
    <x v="1"/>
    <x v="35"/>
    <x v="23"/>
    <x v="6"/>
    <x v="156"/>
    <x v="52"/>
    <x v="161"/>
    <x v="0"/>
    <x v="2"/>
    <x v="0"/>
  </r>
  <r>
    <x v="1"/>
    <x v="71"/>
    <x v="26"/>
    <x v="6"/>
    <x v="105"/>
    <x v="60"/>
    <x v="94"/>
    <x v="0"/>
    <x v="2"/>
    <x v="0"/>
  </r>
  <r>
    <x v="1"/>
    <x v="160"/>
    <x v="1"/>
    <x v="0"/>
    <x v="119"/>
    <x v="79"/>
    <x v="72"/>
    <x v="0"/>
    <x v="4"/>
    <x v="0"/>
  </r>
  <r>
    <x v="1"/>
    <x v="172"/>
    <x v="335"/>
    <x v="3"/>
    <x v="119"/>
    <x v="69"/>
    <x v="77"/>
    <x v="0"/>
    <x v="3"/>
    <x v="0"/>
  </r>
  <r>
    <x v="1"/>
    <x v="174"/>
    <x v="29"/>
    <x v="4"/>
    <x v="15"/>
    <x v="3"/>
    <x v="15"/>
    <x v="0"/>
    <x v="2"/>
    <x v="0"/>
  </r>
  <r>
    <x v="1"/>
    <x v="243"/>
    <x v="32"/>
    <x v="4"/>
    <x v="8"/>
    <x v="4"/>
    <x v="7"/>
    <x v="0"/>
    <x v="2"/>
    <x v="0"/>
  </r>
  <r>
    <x v="1"/>
    <x v="182"/>
    <x v="30"/>
    <x v="5"/>
    <x v="44"/>
    <x v="20"/>
    <x v="26"/>
    <x v="0"/>
    <x v="5"/>
    <x v="0"/>
  </r>
  <r>
    <x v="1"/>
    <x v="229"/>
    <x v="31"/>
    <x v="6"/>
    <x v="100"/>
    <x v="48"/>
    <x v="86"/>
    <x v="0"/>
    <x v="2"/>
    <x v="0"/>
  </r>
  <r>
    <x v="1"/>
    <x v="263"/>
    <x v="34"/>
    <x v="5"/>
    <x v="26"/>
    <x v="26"/>
    <x v="4"/>
    <x v="0"/>
    <x v="2"/>
    <x v="0"/>
  </r>
  <r>
    <x v="1"/>
    <x v="258"/>
    <x v="33"/>
    <x v="2"/>
    <x v="189"/>
    <x v="69"/>
    <x v="131"/>
    <x v="0"/>
    <x v="2"/>
    <x v="0"/>
  </r>
  <r>
    <x v="1"/>
    <x v="143"/>
    <x v="28"/>
    <x v="6"/>
    <x v="108"/>
    <x v="46"/>
    <x v="110"/>
    <x v="0"/>
    <x v="2"/>
    <x v="0"/>
  </r>
  <r>
    <x v="2"/>
    <x v="34"/>
    <x v="36"/>
    <x v="3"/>
    <x v="171"/>
    <x v="76"/>
    <x v="122"/>
    <x v="0"/>
    <x v="2"/>
    <x v="0"/>
  </r>
  <r>
    <x v="2"/>
    <x v="82"/>
    <x v="39"/>
    <x v="2"/>
    <x v="212"/>
    <x v="77"/>
    <x v="148"/>
    <x v="0"/>
    <x v="2"/>
    <x v="0"/>
  </r>
  <r>
    <x v="2"/>
    <x v="151"/>
    <x v="41"/>
    <x v="5"/>
    <x v="26"/>
    <x v="15"/>
    <x v="15"/>
    <x v="0"/>
    <x v="2"/>
    <x v="0"/>
  </r>
  <r>
    <x v="2"/>
    <x v="144"/>
    <x v="2"/>
    <x v="3"/>
    <x v="107"/>
    <x v="74"/>
    <x v="55"/>
    <x v="0"/>
    <x v="4"/>
    <x v="0"/>
  </r>
  <r>
    <x v="2"/>
    <x v="179"/>
    <x v="43"/>
    <x v="1"/>
    <x v="44"/>
    <x v="10"/>
    <x v="37"/>
    <x v="0"/>
    <x v="2"/>
    <x v="0"/>
  </r>
  <r>
    <x v="2"/>
    <x v="200"/>
    <x v="45"/>
    <x v="0"/>
    <x v="127"/>
    <x v="71"/>
    <x v="89"/>
    <x v="0"/>
    <x v="2"/>
    <x v="0"/>
  </r>
  <r>
    <x v="2"/>
    <x v="244"/>
    <x v="47"/>
    <x v="4"/>
    <x v="8"/>
    <x v="4"/>
    <x v="7"/>
    <x v="0"/>
    <x v="2"/>
    <x v="0"/>
  </r>
  <r>
    <x v="2"/>
    <x v="223"/>
    <x v="46"/>
    <x v="6"/>
    <x v="97"/>
    <x v="54"/>
    <x v="78"/>
    <x v="0"/>
    <x v="2"/>
    <x v="0"/>
  </r>
  <r>
    <x v="2"/>
    <x v="68"/>
    <x v="38"/>
    <x v="6"/>
    <x v="202"/>
    <x v="52"/>
    <x v="189"/>
    <x v="0"/>
    <x v="2"/>
    <x v="0"/>
  </r>
  <r>
    <x v="2"/>
    <x v="12"/>
    <x v="35"/>
    <x v="6"/>
    <x v="193"/>
    <x v="58"/>
    <x v="181"/>
    <x v="0"/>
    <x v="2"/>
    <x v="0"/>
  </r>
  <r>
    <x v="2"/>
    <x v="62"/>
    <x v="37"/>
    <x v="7"/>
    <x v="75"/>
    <x v="34"/>
    <x v="53"/>
    <x v="0"/>
    <x v="2"/>
    <x v="0"/>
  </r>
  <r>
    <x v="2"/>
    <x v="153"/>
    <x v="42"/>
    <x v="4"/>
    <x v="11"/>
    <x v="3"/>
    <x v="11"/>
    <x v="0"/>
    <x v="2"/>
    <x v="0"/>
  </r>
  <r>
    <x v="2"/>
    <x v="267"/>
    <x v="49"/>
    <x v="5"/>
    <x v="25"/>
    <x v="20"/>
    <x v="9"/>
    <x v="0"/>
    <x v="2"/>
    <x v="0"/>
  </r>
  <r>
    <x v="2"/>
    <x v="262"/>
    <x v="48"/>
    <x v="2"/>
    <x v="189"/>
    <x v="76"/>
    <x v="129"/>
    <x v="0"/>
    <x v="2"/>
    <x v="0"/>
  </r>
  <r>
    <x v="2"/>
    <x v="132"/>
    <x v="40"/>
    <x v="5"/>
    <x v="32"/>
    <x v="19"/>
    <x v="17"/>
    <x v="0"/>
    <x v="5"/>
    <x v="0"/>
  </r>
  <r>
    <x v="2"/>
    <x v="181"/>
    <x v="44"/>
    <x v="5"/>
    <x v="19"/>
    <x v="15"/>
    <x v="4"/>
    <x v="0"/>
    <x v="5"/>
    <x v="0"/>
  </r>
  <r>
    <x v="3"/>
    <x v="93"/>
    <x v="54"/>
    <x v="2"/>
    <x v="207"/>
    <x v="76"/>
    <x v="143"/>
    <x v="0"/>
    <x v="2"/>
    <x v="0"/>
  </r>
  <r>
    <x v="3"/>
    <x v="80"/>
    <x v="52"/>
    <x v="6"/>
    <x v="200"/>
    <x v="60"/>
    <x v="188"/>
    <x v="0"/>
    <x v="2"/>
    <x v="0"/>
  </r>
  <r>
    <x v="3"/>
    <x v="12"/>
    <x v="50"/>
    <x v="6"/>
    <x v="195"/>
    <x v="59"/>
    <x v="183"/>
    <x v="0"/>
    <x v="2"/>
    <x v="0"/>
  </r>
  <r>
    <x v="3"/>
    <x v="30"/>
    <x v="51"/>
    <x v="3"/>
    <x v="168"/>
    <x v="73"/>
    <x v="119"/>
    <x v="0"/>
    <x v="2"/>
    <x v="0"/>
  </r>
  <r>
    <x v="3"/>
    <x v="89"/>
    <x v="53"/>
    <x v="7"/>
    <x v="77"/>
    <x v="37"/>
    <x v="56"/>
    <x v="0"/>
    <x v="2"/>
    <x v="0"/>
  </r>
  <r>
    <x v="3"/>
    <x v="184"/>
    <x v="56"/>
    <x v="5"/>
    <x v="48"/>
    <x v="20"/>
    <x v="37"/>
    <x v="0"/>
    <x v="5"/>
    <x v="0"/>
  </r>
  <r>
    <x v="3"/>
    <x v="228"/>
    <x v="57"/>
    <x v="6"/>
    <x v="101"/>
    <x v="51"/>
    <x v="85"/>
    <x v="0"/>
    <x v="2"/>
    <x v="0"/>
  </r>
  <r>
    <x v="3"/>
    <x v="250"/>
    <x v="59"/>
    <x v="2"/>
    <x v="202"/>
    <x v="70"/>
    <x v="140"/>
    <x v="0"/>
    <x v="2"/>
    <x v="0"/>
  </r>
  <r>
    <x v="3"/>
    <x v="239"/>
    <x v="58"/>
    <x v="4"/>
    <x v="9"/>
    <x v="3"/>
    <x v="9"/>
    <x v="0"/>
    <x v="2"/>
    <x v="0"/>
  </r>
  <r>
    <x v="3"/>
    <x v="139"/>
    <x v="55"/>
    <x v="5"/>
    <x v="28"/>
    <x v="21"/>
    <x v="11"/>
    <x v="0"/>
    <x v="2"/>
    <x v="0"/>
  </r>
  <r>
    <x v="3"/>
    <x v="269"/>
    <x v="60"/>
    <x v="5"/>
    <x v="28"/>
    <x v="28"/>
    <x v="4"/>
    <x v="0"/>
    <x v="2"/>
    <x v="0"/>
  </r>
  <r>
    <x v="4"/>
    <x v="47"/>
    <x v="62"/>
    <x v="1"/>
    <x v="45"/>
    <x v="12"/>
    <x v="35"/>
    <x v="0"/>
    <x v="2"/>
    <x v="0"/>
  </r>
  <r>
    <x v="4"/>
    <x v="95"/>
    <x v="64"/>
    <x v="1"/>
    <x v="42"/>
    <x v="22"/>
    <x v="24"/>
    <x v="0"/>
    <x v="2"/>
    <x v="0"/>
  </r>
  <r>
    <x v="4"/>
    <x v="74"/>
    <x v="63"/>
    <x v="6"/>
    <x v="182"/>
    <x v="57"/>
    <x v="173"/>
    <x v="0"/>
    <x v="2"/>
    <x v="0"/>
  </r>
  <r>
    <x v="4"/>
    <x v="8"/>
    <x v="61"/>
    <x v="6"/>
    <x v="219"/>
    <x v="62"/>
    <x v="199"/>
    <x v="0"/>
    <x v="2"/>
    <x v="0"/>
  </r>
  <r>
    <x v="4"/>
    <x v="107"/>
    <x v="65"/>
    <x v="2"/>
    <x v="231"/>
    <x v="80"/>
    <x v="198"/>
    <x v="0"/>
    <x v="2"/>
    <x v="0"/>
  </r>
  <r>
    <x v="4"/>
    <x v="169"/>
    <x v="67"/>
    <x v="4"/>
    <x v="4"/>
    <x v="3"/>
    <x v="4"/>
    <x v="0"/>
    <x v="2"/>
    <x v="0"/>
  </r>
  <r>
    <x v="4"/>
    <x v="245"/>
    <x v="69"/>
    <x v="4"/>
    <x v="9"/>
    <x v="7"/>
    <x v="5"/>
    <x v="0"/>
    <x v="2"/>
    <x v="0"/>
  </r>
  <r>
    <x v="4"/>
    <x v="266"/>
    <x v="71"/>
    <x v="5"/>
    <x v="29"/>
    <x v="28"/>
    <x v="5"/>
    <x v="0"/>
    <x v="2"/>
    <x v="0"/>
  </r>
  <r>
    <x v="4"/>
    <x v="164"/>
    <x v="66"/>
    <x v="5"/>
    <x v="37"/>
    <x v="20"/>
    <x v="21"/>
    <x v="0"/>
    <x v="2"/>
    <x v="0"/>
  </r>
  <r>
    <x v="4"/>
    <x v="220"/>
    <x v="68"/>
    <x v="6"/>
    <x v="94"/>
    <x v="54"/>
    <x v="71"/>
    <x v="0"/>
    <x v="2"/>
    <x v="0"/>
  </r>
  <r>
    <x v="4"/>
    <x v="169"/>
    <x v="3"/>
    <x v="3"/>
    <x v="102"/>
    <x v="69"/>
    <x v="34"/>
    <x v="0"/>
    <x v="4"/>
    <x v="0"/>
  </r>
  <r>
    <x v="5"/>
    <x v="14"/>
    <x v="72"/>
    <x v="6"/>
    <x v="215"/>
    <x v="63"/>
    <x v="195"/>
    <x v="0"/>
    <x v="2"/>
    <x v="0"/>
  </r>
  <r>
    <x v="5"/>
    <x v="111"/>
    <x v="77"/>
    <x v="2"/>
    <x v="217"/>
    <x v="72"/>
    <x v="153"/>
    <x v="0"/>
    <x v="2"/>
    <x v="0"/>
  </r>
  <r>
    <x v="5"/>
    <x v="32"/>
    <x v="73"/>
    <x v="3"/>
    <x v="178"/>
    <x v="69"/>
    <x v="127"/>
    <x v="0"/>
    <x v="2"/>
    <x v="0"/>
  </r>
  <r>
    <x v="4"/>
    <x v="264"/>
    <x v="70"/>
    <x v="2"/>
    <x v="194"/>
    <x v="73"/>
    <x v="134"/>
    <x v="0"/>
    <x v="2"/>
    <x v="0"/>
  </r>
  <r>
    <x v="5"/>
    <x v="90"/>
    <x v="76"/>
    <x v="6"/>
    <x v="179"/>
    <x v="55"/>
    <x v="172"/>
    <x v="0"/>
    <x v="2"/>
    <x v="0"/>
  </r>
  <r>
    <x v="5"/>
    <x v="41"/>
    <x v="74"/>
    <x v="7"/>
    <x v="58"/>
    <x v="32"/>
    <x v="37"/>
    <x v="0"/>
    <x v="2"/>
    <x v="0"/>
  </r>
  <r>
    <x v="5"/>
    <x v="131"/>
    <x v="78"/>
    <x v="5"/>
    <x v="25"/>
    <x v="18"/>
    <x v="11"/>
    <x v="0"/>
    <x v="2"/>
    <x v="0"/>
  </r>
  <r>
    <x v="5"/>
    <x v="187"/>
    <x v="80"/>
    <x v="5"/>
    <x v="29"/>
    <x v="20"/>
    <x v="13"/>
    <x v="0"/>
    <x v="5"/>
    <x v="0"/>
  </r>
  <r>
    <x v="5"/>
    <x v="237"/>
    <x v="83"/>
    <x v="4"/>
    <x v="10"/>
    <x v="8"/>
    <x v="5"/>
    <x v="0"/>
    <x v="2"/>
    <x v="0"/>
  </r>
  <r>
    <x v="5"/>
    <x v="263"/>
    <x v="84"/>
    <x v="4"/>
    <x v="10"/>
    <x v="9"/>
    <x v="1"/>
    <x v="0"/>
    <x v="2"/>
    <x v="0"/>
  </r>
  <r>
    <x v="5"/>
    <x v="227"/>
    <x v="82"/>
    <x v="6"/>
    <x v="95"/>
    <x v="51"/>
    <x v="76"/>
    <x v="0"/>
    <x v="2"/>
    <x v="0"/>
  </r>
  <r>
    <x v="5"/>
    <x v="206"/>
    <x v="81"/>
    <x v="0"/>
    <x v="114"/>
    <x v="75"/>
    <x v="65"/>
    <x v="0"/>
    <x v="5"/>
    <x v="0"/>
  </r>
  <r>
    <x v="5"/>
    <x v="177"/>
    <x v="79"/>
    <x v="4"/>
    <x v="4"/>
    <x v="4"/>
    <x v="3"/>
    <x v="0"/>
    <x v="2"/>
    <x v="0"/>
  </r>
  <r>
    <x v="5"/>
    <x v="89"/>
    <x v="75"/>
    <x v="7"/>
    <x v="54"/>
    <x v="39"/>
    <x v="25"/>
    <x v="0"/>
    <x v="2"/>
    <x v="0"/>
  </r>
  <r>
    <x v="5"/>
    <x v="265"/>
    <x v="85"/>
    <x v="2"/>
    <x v="205"/>
    <x v="74"/>
    <x v="141"/>
    <x v="0"/>
    <x v="2"/>
    <x v="0"/>
  </r>
  <r>
    <x v="6"/>
    <x v="251"/>
    <x v="98"/>
    <x v="4"/>
    <x v="7"/>
    <x v="9"/>
    <x v="0"/>
    <x v="0"/>
    <x v="2"/>
    <x v="0"/>
  </r>
  <r>
    <x v="6"/>
    <x v="261"/>
    <x v="99"/>
    <x v="2"/>
    <x v="201"/>
    <x v="72"/>
    <x v="139"/>
    <x v="0"/>
    <x v="2"/>
    <x v="0"/>
  </r>
  <r>
    <x v="6"/>
    <x v="5"/>
    <x v="86"/>
    <x v="6"/>
    <x v="220"/>
    <x v="60"/>
    <x v="200"/>
    <x v="0"/>
    <x v="2"/>
    <x v="0"/>
  </r>
  <r>
    <x v="6"/>
    <x v="50"/>
    <x v="89"/>
    <x v="7"/>
    <x v="66"/>
    <x v="33"/>
    <x v="43"/>
    <x v="0"/>
    <x v="2"/>
    <x v="0"/>
  </r>
  <r>
    <x v="6"/>
    <x v="76"/>
    <x v="90"/>
    <x v="7"/>
    <x v="53"/>
    <x v="41"/>
    <x v="20"/>
    <x v="0"/>
    <x v="2"/>
    <x v="0"/>
  </r>
  <r>
    <x v="6"/>
    <x v="96"/>
    <x v="92"/>
    <x v="6"/>
    <x v="163"/>
    <x v="48"/>
    <x v="166"/>
    <x v="0"/>
    <x v="2"/>
    <x v="0"/>
  </r>
  <r>
    <x v="6"/>
    <x v="185"/>
    <x v="94"/>
    <x v="5"/>
    <x v="24"/>
    <x v="22"/>
    <x v="6"/>
    <x v="0"/>
    <x v="5"/>
    <x v="0"/>
  </r>
  <r>
    <x v="6"/>
    <x v="236"/>
    <x v="97"/>
    <x v="4"/>
    <x v="10"/>
    <x v="7"/>
    <x v="6"/>
    <x v="0"/>
    <x v="2"/>
    <x v="0"/>
  </r>
  <r>
    <x v="6"/>
    <x v="203"/>
    <x v="95"/>
    <x v="0"/>
    <x v="134"/>
    <x v="82"/>
    <x v="91"/>
    <x v="0"/>
    <x v="5"/>
    <x v="0"/>
  </r>
  <r>
    <x v="6"/>
    <x v="177"/>
    <x v="0"/>
    <x v="4"/>
    <x v="4"/>
    <x v="3"/>
    <x v="4"/>
    <x v="0"/>
    <x v="2"/>
    <x v="0"/>
  </r>
  <r>
    <x v="6"/>
    <x v="223"/>
    <x v="96"/>
    <x v="6"/>
    <x v="95"/>
    <x v="54"/>
    <x v="75"/>
    <x v="0"/>
    <x v="2"/>
    <x v="0"/>
  </r>
  <r>
    <x v="6"/>
    <x v="84"/>
    <x v="91"/>
    <x v="2"/>
    <x v="214"/>
    <x v="74"/>
    <x v="151"/>
    <x v="0"/>
    <x v="2"/>
    <x v="0"/>
  </r>
  <r>
    <x v="6"/>
    <x v="40"/>
    <x v="88"/>
    <x v="3"/>
    <x v="198"/>
    <x v="73"/>
    <x v="136"/>
    <x v="0"/>
    <x v="2"/>
    <x v="0"/>
  </r>
  <r>
    <x v="6"/>
    <x v="27"/>
    <x v="87"/>
    <x v="5"/>
    <x v="20"/>
    <x v="21"/>
    <x v="1"/>
    <x v="0"/>
    <x v="2"/>
    <x v="0"/>
  </r>
  <r>
    <x v="6"/>
    <x v="147"/>
    <x v="93"/>
    <x v="5"/>
    <x v="32"/>
    <x v="20"/>
    <x v="16"/>
    <x v="0"/>
    <x v="2"/>
    <x v="0"/>
  </r>
  <r>
    <x v="7"/>
    <x v="253"/>
    <x v="110"/>
    <x v="2"/>
    <x v="199"/>
    <x v="72"/>
    <x v="138"/>
    <x v="0"/>
    <x v="2"/>
    <x v="0"/>
  </r>
  <r>
    <x v="7"/>
    <x v="94"/>
    <x v="104"/>
    <x v="2"/>
    <x v="146"/>
    <x v="76"/>
    <x v="102"/>
    <x v="0"/>
    <x v="2"/>
    <x v="0"/>
  </r>
  <r>
    <x v="7"/>
    <x v="234"/>
    <x v="109"/>
    <x v="4"/>
    <x v="0"/>
    <x v="0"/>
    <x v="39"/>
    <x v="0"/>
    <x v="2"/>
    <x v="0"/>
  </r>
  <r>
    <x v="7"/>
    <x v="220"/>
    <x v="108"/>
    <x v="6"/>
    <x v="89"/>
    <x v="51"/>
    <x v="63"/>
    <x v="0"/>
    <x v="2"/>
    <x v="0"/>
  </r>
  <r>
    <x v="7"/>
    <x v="165"/>
    <x v="107"/>
    <x v="4"/>
    <x v="3"/>
    <x v="2"/>
    <x v="4"/>
    <x v="0"/>
    <x v="2"/>
    <x v="0"/>
  </r>
  <r>
    <x v="7"/>
    <x v="154"/>
    <x v="106"/>
    <x v="5"/>
    <x v="35"/>
    <x v="22"/>
    <x v="17"/>
    <x v="0"/>
    <x v="2"/>
    <x v="0"/>
  </r>
  <r>
    <x v="7"/>
    <x v="38"/>
    <x v="101"/>
    <x v="2"/>
    <x v="222"/>
    <x v="76"/>
    <x v="165"/>
    <x v="0"/>
    <x v="2"/>
    <x v="0"/>
  </r>
  <r>
    <x v="7"/>
    <x v="92"/>
    <x v="103"/>
    <x v="6"/>
    <x v="221"/>
    <x v="52"/>
    <x v="204"/>
    <x v="0"/>
    <x v="2"/>
    <x v="0"/>
  </r>
  <r>
    <x v="7"/>
    <x v="6"/>
    <x v="100"/>
    <x v="6"/>
    <x v="210"/>
    <x v="63"/>
    <x v="193"/>
    <x v="0"/>
    <x v="2"/>
    <x v="0"/>
  </r>
  <r>
    <x v="7"/>
    <x v="102"/>
    <x v="105"/>
    <x v="7"/>
    <x v="62"/>
    <x v="41"/>
    <x v="35"/>
    <x v="0"/>
    <x v="2"/>
    <x v="0"/>
  </r>
  <r>
    <x v="7"/>
    <x v="48"/>
    <x v="102"/>
    <x v="7"/>
    <x v="68"/>
    <x v="33"/>
    <x v="44"/>
    <x v="0"/>
    <x v="2"/>
    <x v="0"/>
  </r>
  <r>
    <x v="8"/>
    <x v="97"/>
    <x v="116"/>
    <x v="2"/>
    <x v="203"/>
    <x v="69"/>
    <x v="142"/>
    <x v="0"/>
    <x v="2"/>
    <x v="0"/>
  </r>
  <r>
    <x v="8"/>
    <x v="240"/>
    <x v="121"/>
    <x v="4"/>
    <x v="7"/>
    <x v="8"/>
    <x v="2"/>
    <x v="0"/>
    <x v="2"/>
    <x v="0"/>
  </r>
  <r>
    <x v="8"/>
    <x v="257"/>
    <x v="122"/>
    <x v="2"/>
    <x v="191"/>
    <x v="75"/>
    <x v="130"/>
    <x v="0"/>
    <x v="2"/>
    <x v="0"/>
  </r>
  <r>
    <x v="8"/>
    <x v="230"/>
    <x v="120"/>
    <x v="6"/>
    <x v="100"/>
    <x v="54"/>
    <x v="84"/>
    <x v="0"/>
    <x v="2"/>
    <x v="0"/>
  </r>
  <r>
    <x v="8"/>
    <x v="196"/>
    <x v="119"/>
    <x v="5"/>
    <x v="50"/>
    <x v="24"/>
    <x v="39"/>
    <x v="0"/>
    <x v="5"/>
    <x v="0"/>
  </r>
  <r>
    <x v="8"/>
    <x v="163"/>
    <x v="118"/>
    <x v="4"/>
    <x v="7"/>
    <x v="3"/>
    <x v="7"/>
    <x v="0"/>
    <x v="2"/>
    <x v="0"/>
  </r>
  <r>
    <x v="8"/>
    <x v="150"/>
    <x v="117"/>
    <x v="5"/>
    <x v="34"/>
    <x v="24"/>
    <x v="14"/>
    <x v="0"/>
    <x v="2"/>
    <x v="0"/>
  </r>
  <r>
    <x v="8"/>
    <x v="36"/>
    <x v="113"/>
    <x v="3"/>
    <x v="181"/>
    <x v="73"/>
    <x v="127"/>
    <x v="0"/>
    <x v="2"/>
    <x v="0"/>
  </r>
  <r>
    <x v="8"/>
    <x v="30"/>
    <x v="112"/>
    <x v="1"/>
    <x v="40"/>
    <x v="11"/>
    <x v="30"/>
    <x v="0"/>
    <x v="2"/>
    <x v="0"/>
  </r>
  <r>
    <x v="8"/>
    <x v="95"/>
    <x v="115"/>
    <x v="6"/>
    <x v="173"/>
    <x v="51"/>
    <x v="169"/>
    <x v="0"/>
    <x v="2"/>
    <x v="0"/>
  </r>
  <r>
    <x v="8"/>
    <x v="8"/>
    <x v="111"/>
    <x v="6"/>
    <x v="206"/>
    <x v="60"/>
    <x v="190"/>
    <x v="0"/>
    <x v="2"/>
    <x v="0"/>
  </r>
  <r>
    <x v="8"/>
    <x v="81"/>
    <x v="114"/>
    <x v="1"/>
    <x v="49"/>
    <x v="21"/>
    <x v="39"/>
    <x v="0"/>
    <x v="2"/>
    <x v="0"/>
  </r>
  <r>
    <x v="9"/>
    <x v="73"/>
    <x v="125"/>
    <x v="7"/>
    <x v="52"/>
    <x v="39"/>
    <x v="18"/>
    <x v="0"/>
    <x v="2"/>
    <x v="0"/>
  </r>
  <r>
    <x v="9"/>
    <x v="13"/>
    <x v="123"/>
    <x v="6"/>
    <x v="196"/>
    <x v="62"/>
    <x v="182"/>
    <x v="0"/>
    <x v="2"/>
    <x v="0"/>
  </r>
  <r>
    <x v="9"/>
    <x v="109"/>
    <x v="127"/>
    <x v="6"/>
    <x v="147"/>
    <x v="54"/>
    <x v="157"/>
    <x v="0"/>
    <x v="2"/>
    <x v="0"/>
  </r>
  <r>
    <x v="9"/>
    <x v="45"/>
    <x v="334"/>
    <x v="7"/>
    <x v="70"/>
    <x v="32"/>
    <x v="47"/>
    <x v="0"/>
    <x v="2"/>
    <x v="0"/>
  </r>
  <r>
    <x v="9"/>
    <x v="26"/>
    <x v="124"/>
    <x v="3"/>
    <x v="133"/>
    <x v="77"/>
    <x v="92"/>
    <x v="0"/>
    <x v="2"/>
    <x v="0"/>
  </r>
  <r>
    <x v="9"/>
    <x v="101"/>
    <x v="126"/>
    <x v="2"/>
    <x v="192"/>
    <x v="74"/>
    <x v="132"/>
    <x v="0"/>
    <x v="2"/>
    <x v="0"/>
  </r>
  <r>
    <x v="5"/>
    <x v="156"/>
    <x v="335"/>
    <x v="3"/>
    <x v="109"/>
    <x v="69"/>
    <x v="62"/>
    <x v="0"/>
    <x v="3"/>
    <x v="0"/>
  </r>
  <r>
    <x v="6"/>
    <x v="162"/>
    <x v="4"/>
    <x v="8"/>
    <x v="78"/>
    <x v="42"/>
    <x v="17"/>
    <x v="0"/>
    <x v="4"/>
    <x v="0"/>
  </r>
  <r>
    <x v="8"/>
    <x v="159"/>
    <x v="335"/>
    <x v="3"/>
    <x v="106"/>
    <x v="69"/>
    <x v="56"/>
    <x v="0"/>
    <x v="3"/>
    <x v="0"/>
  </r>
  <r>
    <x v="9"/>
    <x v="160"/>
    <x v="5"/>
    <x v="3"/>
    <x v="117"/>
    <x v="75"/>
    <x v="68"/>
    <x v="0"/>
    <x v="4"/>
    <x v="0"/>
  </r>
  <r>
    <x v="9"/>
    <x v="233"/>
    <x v="132"/>
    <x v="4"/>
    <x v="1"/>
    <x v="1"/>
    <x v="6"/>
    <x v="0"/>
    <x v="2"/>
    <x v="0"/>
  </r>
  <r>
    <x v="9"/>
    <x v="255"/>
    <x v="133"/>
    <x v="2"/>
    <x v="169"/>
    <x v="72"/>
    <x v="123"/>
    <x v="0"/>
    <x v="2"/>
    <x v="0"/>
  </r>
  <r>
    <x v="9"/>
    <x v="224"/>
    <x v="131"/>
    <x v="6"/>
    <x v="99"/>
    <x v="52"/>
    <x v="82"/>
    <x v="0"/>
    <x v="2"/>
    <x v="0"/>
  </r>
  <r>
    <x v="9"/>
    <x v="178"/>
    <x v="129"/>
    <x v="4"/>
    <x v="5"/>
    <x v="3"/>
    <x v="5"/>
    <x v="0"/>
    <x v="2"/>
    <x v="0"/>
  </r>
  <r>
    <x v="9"/>
    <x v="202"/>
    <x v="130"/>
    <x v="5"/>
    <x v="30"/>
    <x v="23"/>
    <x v="11"/>
    <x v="0"/>
    <x v="5"/>
    <x v="0"/>
  </r>
  <r>
    <x v="9"/>
    <x v="146"/>
    <x v="128"/>
    <x v="5"/>
    <x v="26"/>
    <x v="20"/>
    <x v="10"/>
    <x v="0"/>
    <x v="2"/>
    <x v="0"/>
  </r>
  <r>
    <x v="10"/>
    <x v="42"/>
    <x v="135"/>
    <x v="3"/>
    <x v="155"/>
    <x v="75"/>
    <x v="112"/>
    <x v="0"/>
    <x v="2"/>
    <x v="0"/>
  </r>
  <r>
    <x v="10"/>
    <x v="58"/>
    <x v="136"/>
    <x v="7"/>
    <x v="72"/>
    <x v="34"/>
    <x v="48"/>
    <x v="0"/>
    <x v="2"/>
    <x v="0"/>
  </r>
  <r>
    <x v="10"/>
    <x v="63"/>
    <x v="137"/>
    <x v="6"/>
    <x v="183"/>
    <x v="62"/>
    <x v="170"/>
    <x v="0"/>
    <x v="2"/>
    <x v="0"/>
  </r>
  <r>
    <x v="10"/>
    <x v="15"/>
    <x v="134"/>
    <x v="6"/>
    <x v="188"/>
    <x v="63"/>
    <x v="174"/>
    <x v="0"/>
    <x v="2"/>
    <x v="0"/>
  </r>
  <r>
    <x v="10"/>
    <x v="107"/>
    <x v="138"/>
    <x v="2"/>
    <x v="161"/>
    <x v="78"/>
    <x v="115"/>
    <x v="0"/>
    <x v="2"/>
    <x v="0"/>
  </r>
  <r>
    <x v="10"/>
    <x v="189"/>
    <x v="140"/>
    <x v="5"/>
    <x v="35"/>
    <x v="23"/>
    <x v="16"/>
    <x v="0"/>
    <x v="5"/>
    <x v="0"/>
  </r>
  <r>
    <x v="10"/>
    <x v="231"/>
    <x v="142"/>
    <x v="4"/>
    <x v="4"/>
    <x v="6"/>
    <x v="1"/>
    <x v="0"/>
    <x v="2"/>
    <x v="0"/>
  </r>
  <r>
    <x v="10"/>
    <x v="186"/>
    <x v="139"/>
    <x v="4"/>
    <x v="13"/>
    <x v="2"/>
    <x v="14"/>
    <x v="0"/>
    <x v="2"/>
    <x v="0"/>
  </r>
  <r>
    <x v="10"/>
    <x v="218"/>
    <x v="141"/>
    <x v="6"/>
    <x v="91"/>
    <x v="50"/>
    <x v="68"/>
    <x v="0"/>
    <x v="2"/>
    <x v="0"/>
  </r>
  <r>
    <x v="10"/>
    <x v="248"/>
    <x v="143"/>
    <x v="2"/>
    <x v="153"/>
    <x v="80"/>
    <x v="104"/>
    <x v="0"/>
    <x v="2"/>
    <x v="0"/>
  </r>
  <r>
    <x v="11"/>
    <x v="92"/>
    <x v="147"/>
    <x v="2"/>
    <x v="219"/>
    <x v="84"/>
    <x v="156"/>
    <x v="0"/>
    <x v="2"/>
    <x v="0"/>
  </r>
  <r>
    <x v="11"/>
    <x v="11"/>
    <x v="144"/>
    <x v="6"/>
    <x v="180"/>
    <x v="61"/>
    <x v="168"/>
    <x v="0"/>
    <x v="2"/>
    <x v="0"/>
  </r>
  <r>
    <x v="11"/>
    <x v="61"/>
    <x v="146"/>
    <x v="6"/>
    <x v="158"/>
    <x v="61"/>
    <x v="160"/>
    <x v="0"/>
    <x v="2"/>
    <x v="0"/>
  </r>
  <r>
    <x v="11"/>
    <x v="54"/>
    <x v="145"/>
    <x v="7"/>
    <x v="66"/>
    <x v="33"/>
    <x v="43"/>
    <x v="0"/>
    <x v="2"/>
    <x v="0"/>
  </r>
  <r>
    <x v="11"/>
    <x v="154"/>
    <x v="6"/>
    <x v="3"/>
    <x v="104"/>
    <x v="75"/>
    <x v="33"/>
    <x v="0"/>
    <x v="4"/>
    <x v="0"/>
  </r>
  <r>
    <x v="11"/>
    <x v="171"/>
    <x v="148"/>
    <x v="5"/>
    <x v="26"/>
    <x v="16"/>
    <x v="14"/>
    <x v="0"/>
    <x v="2"/>
    <x v="0"/>
  </r>
  <r>
    <x v="11"/>
    <x v="176"/>
    <x v="149"/>
    <x v="4"/>
    <x v="7"/>
    <x v="2"/>
    <x v="8"/>
    <x v="0"/>
    <x v="2"/>
    <x v="0"/>
  </r>
  <r>
    <x v="11"/>
    <x v="208"/>
    <x v="150"/>
    <x v="5"/>
    <x v="39"/>
    <x v="29"/>
    <x v="14"/>
    <x v="0"/>
    <x v="5"/>
    <x v="0"/>
  </r>
  <r>
    <x v="11"/>
    <x v="217"/>
    <x v="151"/>
    <x v="6"/>
    <x v="87"/>
    <x v="52"/>
    <x v="59"/>
    <x v="0"/>
    <x v="2"/>
    <x v="0"/>
  </r>
  <r>
    <x v="11"/>
    <x v="235"/>
    <x v="152"/>
    <x v="4"/>
    <x v="0"/>
    <x v="1"/>
    <x v="5"/>
    <x v="0"/>
    <x v="2"/>
    <x v="0"/>
  </r>
  <r>
    <x v="11"/>
    <x v="257"/>
    <x v="153"/>
    <x v="2"/>
    <x v="167"/>
    <x v="76"/>
    <x v="118"/>
    <x v="0"/>
    <x v="2"/>
    <x v="0"/>
  </r>
  <r>
    <x v="12"/>
    <x v="64"/>
    <x v="158"/>
    <x v="6"/>
    <x v="213"/>
    <x v="58"/>
    <x v="194"/>
    <x v="0"/>
    <x v="2"/>
    <x v="0"/>
  </r>
  <r>
    <x v="12"/>
    <x v="8"/>
    <x v="155"/>
    <x v="6"/>
    <x v="208"/>
    <x v="64"/>
    <x v="191"/>
    <x v="0"/>
    <x v="2"/>
    <x v="0"/>
  </r>
  <r>
    <x v="12"/>
    <x v="88"/>
    <x v="159"/>
    <x v="1"/>
    <x v="38"/>
    <x v="17"/>
    <x v="24"/>
    <x v="0"/>
    <x v="2"/>
    <x v="0"/>
  </r>
  <r>
    <x v="12"/>
    <x v="1"/>
    <x v="154"/>
    <x v="1"/>
    <x v="18"/>
    <x v="11"/>
    <x v="7"/>
    <x v="0"/>
    <x v="2"/>
    <x v="0"/>
  </r>
  <r>
    <x v="12"/>
    <x v="33"/>
    <x v="157"/>
    <x v="1"/>
    <x v="38"/>
    <x v="11"/>
    <x v="27"/>
    <x v="0"/>
    <x v="2"/>
    <x v="0"/>
  </r>
  <r>
    <x v="12"/>
    <x v="10"/>
    <x v="156"/>
    <x v="3"/>
    <x v="113"/>
    <x v="75"/>
    <x v="64"/>
    <x v="0"/>
    <x v="2"/>
    <x v="0"/>
  </r>
  <r>
    <x v="12"/>
    <x v="178"/>
    <x v="162"/>
    <x v="5"/>
    <x v="25"/>
    <x v="22"/>
    <x v="7"/>
    <x v="0"/>
    <x v="2"/>
    <x v="0"/>
  </r>
  <r>
    <x v="12"/>
    <x v="256"/>
    <x v="166"/>
    <x v="2"/>
    <x v="149"/>
    <x v="85"/>
    <x v="101"/>
    <x v="0"/>
    <x v="2"/>
    <x v="0"/>
  </r>
  <r>
    <x v="12"/>
    <x v="211"/>
    <x v="163"/>
    <x v="4"/>
    <x v="11"/>
    <x v="3"/>
    <x v="11"/>
    <x v="0"/>
    <x v="2"/>
    <x v="0"/>
  </r>
  <r>
    <x v="12"/>
    <x v="225"/>
    <x v="164"/>
    <x v="6"/>
    <x v="90"/>
    <x v="50"/>
    <x v="66"/>
    <x v="0"/>
    <x v="2"/>
    <x v="0"/>
  </r>
  <r>
    <x v="12"/>
    <x v="238"/>
    <x v="165"/>
    <x v="4"/>
    <x v="7"/>
    <x v="8"/>
    <x v="2"/>
    <x v="0"/>
    <x v="2"/>
    <x v="0"/>
  </r>
  <r>
    <x v="12"/>
    <x v="159"/>
    <x v="161"/>
    <x v="4"/>
    <x v="10"/>
    <x v="4"/>
    <x v="9"/>
    <x v="0"/>
    <x v="2"/>
    <x v="0"/>
  </r>
  <r>
    <x v="12"/>
    <x v="91"/>
    <x v="160"/>
    <x v="2"/>
    <x v="224"/>
    <x v="77"/>
    <x v="167"/>
    <x v="0"/>
    <x v="2"/>
    <x v="0"/>
  </r>
  <r>
    <x v="12"/>
    <x v="181"/>
    <x v="335"/>
    <x v="2"/>
    <x v="107"/>
    <x v="69"/>
    <x v="57"/>
    <x v="0"/>
    <x v="3"/>
    <x v="0"/>
  </r>
  <r>
    <x v="13"/>
    <x v="226"/>
    <x v="176"/>
    <x v="4"/>
    <x v="7"/>
    <x v="7"/>
    <x v="3"/>
    <x v="0"/>
    <x v="2"/>
    <x v="0"/>
  </r>
  <r>
    <x v="13"/>
    <x v="134"/>
    <x v="172"/>
    <x v="4"/>
    <x v="12"/>
    <x v="3"/>
    <x v="12"/>
    <x v="0"/>
    <x v="2"/>
    <x v="0"/>
  </r>
  <r>
    <x v="13"/>
    <x v="266"/>
    <x v="177"/>
    <x v="2"/>
    <x v="185"/>
    <x v="80"/>
    <x v="126"/>
    <x v="0"/>
    <x v="2"/>
    <x v="0"/>
  </r>
  <r>
    <x v="13"/>
    <x v="183"/>
    <x v="173"/>
    <x v="5"/>
    <x v="40"/>
    <x v="23"/>
    <x v="22"/>
    <x v="0"/>
    <x v="2"/>
    <x v="0"/>
  </r>
  <r>
    <x v="13"/>
    <x v="222"/>
    <x v="175"/>
    <x v="6"/>
    <x v="96"/>
    <x v="53"/>
    <x v="76"/>
    <x v="0"/>
    <x v="2"/>
    <x v="0"/>
  </r>
  <r>
    <x v="13"/>
    <x v="78"/>
    <x v="171"/>
    <x v="2"/>
    <x v="164"/>
    <x v="86"/>
    <x v="116"/>
    <x v="0"/>
    <x v="2"/>
    <x v="0"/>
  </r>
  <r>
    <x v="13"/>
    <x v="42"/>
    <x v="168"/>
    <x v="3"/>
    <x v="142"/>
    <x v="87"/>
    <x v="96"/>
    <x v="0"/>
    <x v="2"/>
    <x v="0"/>
  </r>
  <r>
    <x v="13"/>
    <x v="59"/>
    <x v="169"/>
    <x v="7"/>
    <x v="61"/>
    <x v="32"/>
    <x v="41"/>
    <x v="0"/>
    <x v="2"/>
    <x v="0"/>
  </r>
  <r>
    <x v="13"/>
    <x v="202"/>
    <x v="174"/>
    <x v="4"/>
    <x v="14"/>
    <x v="2"/>
    <x v="15"/>
    <x v="0"/>
    <x v="2"/>
    <x v="0"/>
  </r>
  <r>
    <x v="13"/>
    <x v="13"/>
    <x v="167"/>
    <x v="6"/>
    <x v="187"/>
    <x v="61"/>
    <x v="175"/>
    <x v="0"/>
    <x v="2"/>
    <x v="0"/>
  </r>
  <r>
    <x v="13"/>
    <x v="65"/>
    <x v="170"/>
    <x v="6"/>
    <x v="154"/>
    <x v="61"/>
    <x v="158"/>
    <x v="0"/>
    <x v="2"/>
    <x v="0"/>
  </r>
  <r>
    <x v="14"/>
    <x v="254"/>
    <x v="186"/>
    <x v="2"/>
    <x v="166"/>
    <x v="79"/>
    <x v="117"/>
    <x v="0"/>
    <x v="2"/>
    <x v="0"/>
  </r>
  <r>
    <x v="14"/>
    <x v="197"/>
    <x v="183"/>
    <x v="4"/>
    <x v="12"/>
    <x v="2"/>
    <x v="13"/>
    <x v="0"/>
    <x v="2"/>
    <x v="0"/>
  </r>
  <r>
    <x v="14"/>
    <x v="223"/>
    <x v="184"/>
    <x v="6"/>
    <x v="98"/>
    <x v="51"/>
    <x v="81"/>
    <x v="0"/>
    <x v="2"/>
    <x v="0"/>
  </r>
  <r>
    <x v="14"/>
    <x v="232"/>
    <x v="185"/>
    <x v="4"/>
    <x v="9"/>
    <x v="7"/>
    <x v="5"/>
    <x v="0"/>
    <x v="2"/>
    <x v="0"/>
  </r>
  <r>
    <x v="14"/>
    <x v="77"/>
    <x v="181"/>
    <x v="3"/>
    <x v="233"/>
    <x v="87"/>
    <x v="202"/>
    <x v="0"/>
    <x v="2"/>
    <x v="0"/>
  </r>
  <r>
    <x v="14"/>
    <x v="76"/>
    <x v="180"/>
    <x v="6"/>
    <x v="177"/>
    <x v="54"/>
    <x v="171"/>
    <x v="0"/>
    <x v="2"/>
    <x v="0"/>
  </r>
  <r>
    <x v="14"/>
    <x v="192"/>
    <x v="182"/>
    <x v="5"/>
    <x v="36"/>
    <x v="23"/>
    <x v="17"/>
    <x v="0"/>
    <x v="2"/>
    <x v="0"/>
  </r>
  <r>
    <x v="14"/>
    <x v="72"/>
    <x v="179"/>
    <x v="7"/>
    <x v="76"/>
    <x v="33"/>
    <x v="54"/>
    <x v="0"/>
    <x v="2"/>
    <x v="0"/>
  </r>
  <r>
    <x v="14"/>
    <x v="7"/>
    <x v="178"/>
    <x v="6"/>
    <x v="199"/>
    <x v="63"/>
    <x v="186"/>
    <x v="0"/>
    <x v="2"/>
    <x v="0"/>
  </r>
  <r>
    <x v="15"/>
    <x v="29"/>
    <x v="188"/>
    <x v="3"/>
    <x v="157"/>
    <x v="83"/>
    <x v="109"/>
    <x v="0"/>
    <x v="2"/>
    <x v="0"/>
  </r>
  <r>
    <x v="15"/>
    <x v="18"/>
    <x v="187"/>
    <x v="6"/>
    <x v="197"/>
    <x v="62"/>
    <x v="185"/>
    <x v="0"/>
    <x v="2"/>
    <x v="0"/>
  </r>
  <r>
    <x v="15"/>
    <x v="108"/>
    <x v="191"/>
    <x v="2"/>
    <x v="172"/>
    <x v="78"/>
    <x v="121"/>
    <x v="0"/>
    <x v="2"/>
    <x v="0"/>
  </r>
  <r>
    <x v="15"/>
    <x v="66"/>
    <x v="190"/>
    <x v="6"/>
    <x v="137"/>
    <x v="52"/>
    <x v="146"/>
    <x v="0"/>
    <x v="2"/>
    <x v="0"/>
  </r>
  <r>
    <x v="15"/>
    <x v="53"/>
    <x v="189"/>
    <x v="7"/>
    <x v="69"/>
    <x v="33"/>
    <x v="45"/>
    <x v="0"/>
    <x v="2"/>
    <x v="0"/>
  </r>
  <r>
    <x v="15"/>
    <x v="213"/>
    <x v="195"/>
    <x v="1"/>
    <x v="51"/>
    <x v="13"/>
    <x v="52"/>
    <x v="0"/>
    <x v="2"/>
    <x v="0"/>
  </r>
  <r>
    <x v="15"/>
    <x v="194"/>
    <x v="194"/>
    <x v="4"/>
    <x v="11"/>
    <x v="4"/>
    <x v="10"/>
    <x v="0"/>
    <x v="2"/>
    <x v="0"/>
  </r>
  <r>
    <x v="15"/>
    <x v="226"/>
    <x v="196"/>
    <x v="6"/>
    <x v="92"/>
    <x v="48"/>
    <x v="70"/>
    <x v="0"/>
    <x v="2"/>
    <x v="0"/>
  </r>
  <r>
    <x v="15"/>
    <x v="145"/>
    <x v="192"/>
    <x v="5"/>
    <x v="29"/>
    <x v="22"/>
    <x v="11"/>
    <x v="0"/>
    <x v="2"/>
    <x v="0"/>
  </r>
  <r>
    <x v="15"/>
    <x v="187"/>
    <x v="193"/>
    <x v="5"/>
    <x v="46"/>
    <x v="22"/>
    <x v="27"/>
    <x v="0"/>
    <x v="5"/>
    <x v="0"/>
  </r>
  <r>
    <x v="15"/>
    <x v="241"/>
    <x v="197"/>
    <x v="4"/>
    <x v="6"/>
    <x v="8"/>
    <x v="1"/>
    <x v="0"/>
    <x v="2"/>
    <x v="0"/>
  </r>
  <r>
    <x v="15"/>
    <x v="252"/>
    <x v="198"/>
    <x v="2"/>
    <x v="139"/>
    <x v="75"/>
    <x v="98"/>
    <x v="0"/>
    <x v="2"/>
    <x v="0"/>
  </r>
  <r>
    <x v="15"/>
    <x v="175"/>
    <x v="7"/>
    <x v="0"/>
    <x v="122"/>
    <x v="76"/>
    <x v="79"/>
    <x v="0"/>
    <x v="4"/>
    <x v="0"/>
  </r>
  <r>
    <x v="15"/>
    <x v="168"/>
    <x v="335"/>
    <x v="2"/>
    <x v="103"/>
    <x v="69"/>
    <x v="35"/>
    <x v="0"/>
    <x v="3"/>
    <x v="0"/>
  </r>
  <r>
    <x v="16"/>
    <x v="29"/>
    <x v="200"/>
    <x v="3"/>
    <x v="126"/>
    <x v="71"/>
    <x v="87"/>
    <x v="0"/>
    <x v="2"/>
    <x v="0"/>
  </r>
  <r>
    <x v="16"/>
    <x v="107"/>
    <x v="203"/>
    <x v="2"/>
    <x v="169"/>
    <x v="75"/>
    <x v="120"/>
    <x v="0"/>
    <x v="2"/>
    <x v="0"/>
  </r>
  <r>
    <x v="16"/>
    <x v="70"/>
    <x v="202"/>
    <x v="1"/>
    <x v="26"/>
    <x v="22"/>
    <x v="8"/>
    <x v="0"/>
    <x v="2"/>
    <x v="0"/>
  </r>
  <r>
    <x v="16"/>
    <x v="110"/>
    <x v="204"/>
    <x v="6"/>
    <x v="132"/>
    <x v="49"/>
    <x v="138"/>
    <x v="0"/>
    <x v="2"/>
    <x v="0"/>
  </r>
  <r>
    <x v="16"/>
    <x v="40"/>
    <x v="201"/>
    <x v="1"/>
    <x v="40"/>
    <x v="12"/>
    <x v="29"/>
    <x v="0"/>
    <x v="2"/>
    <x v="0"/>
  </r>
  <r>
    <x v="16"/>
    <x v="12"/>
    <x v="199"/>
    <x v="6"/>
    <x v="186"/>
    <x v="59"/>
    <x v="176"/>
    <x v="0"/>
    <x v="2"/>
    <x v="0"/>
  </r>
  <r>
    <x v="16"/>
    <x v="152"/>
    <x v="8"/>
    <x v="3"/>
    <x v="116"/>
    <x v="68"/>
    <x v="73"/>
    <x v="0"/>
    <x v="4"/>
    <x v="0"/>
  </r>
  <r>
    <x v="16"/>
    <x v="260"/>
    <x v="209"/>
    <x v="2"/>
    <x v="151"/>
    <x v="71"/>
    <x v="107"/>
    <x v="0"/>
    <x v="2"/>
    <x v="0"/>
  </r>
  <r>
    <x v="16"/>
    <x v="188"/>
    <x v="206"/>
    <x v="5"/>
    <x v="31"/>
    <x v="22"/>
    <x v="13"/>
    <x v="0"/>
    <x v="5"/>
    <x v="0"/>
  </r>
  <r>
    <x v="16"/>
    <x v="233"/>
    <x v="208"/>
    <x v="4"/>
    <x v="12"/>
    <x v="8"/>
    <x v="7"/>
    <x v="0"/>
    <x v="2"/>
    <x v="0"/>
  </r>
  <r>
    <x v="16"/>
    <x v="223"/>
    <x v="207"/>
    <x v="6"/>
    <x v="86"/>
    <x v="52"/>
    <x v="58"/>
    <x v="0"/>
    <x v="2"/>
    <x v="0"/>
  </r>
  <r>
    <x v="16"/>
    <x v="155"/>
    <x v="205"/>
    <x v="4"/>
    <x v="10"/>
    <x v="3"/>
    <x v="10"/>
    <x v="0"/>
    <x v="2"/>
    <x v="0"/>
  </r>
  <r>
    <x v="17"/>
    <x v="103"/>
    <x v="213"/>
    <x v="6"/>
    <x v="120"/>
    <x v="53"/>
    <x v="114"/>
    <x v="0"/>
    <x v="2"/>
    <x v="0"/>
  </r>
  <r>
    <x v="17"/>
    <x v="97"/>
    <x v="212"/>
    <x v="2"/>
    <x v="225"/>
    <x v="72"/>
    <x v="174"/>
    <x v="0"/>
    <x v="2"/>
    <x v="0"/>
  </r>
  <r>
    <x v="17"/>
    <x v="19"/>
    <x v="210"/>
    <x v="6"/>
    <x v="180"/>
    <x v="61"/>
    <x v="168"/>
    <x v="0"/>
    <x v="2"/>
    <x v="0"/>
  </r>
  <r>
    <x v="17"/>
    <x v="50"/>
    <x v="211"/>
    <x v="7"/>
    <x v="57"/>
    <x v="32"/>
    <x v="35"/>
    <x v="0"/>
    <x v="2"/>
    <x v="0"/>
  </r>
  <r>
    <x v="17"/>
    <x v="158"/>
    <x v="215"/>
    <x v="4"/>
    <x v="14"/>
    <x v="2"/>
    <x v="15"/>
    <x v="0"/>
    <x v="2"/>
    <x v="0"/>
  </r>
  <r>
    <x v="17"/>
    <x v="138"/>
    <x v="214"/>
    <x v="5"/>
    <x v="50"/>
    <x v="19"/>
    <x v="42"/>
    <x v="0"/>
    <x v="5"/>
    <x v="0"/>
  </r>
  <r>
    <x v="17"/>
    <x v="219"/>
    <x v="218"/>
    <x v="6"/>
    <x v="93"/>
    <x v="49"/>
    <x v="74"/>
    <x v="0"/>
    <x v="2"/>
    <x v="0"/>
  </r>
  <r>
    <x v="17"/>
    <x v="246"/>
    <x v="219"/>
    <x v="3"/>
    <x v="153"/>
    <x v="73"/>
    <x v="108"/>
    <x v="0"/>
    <x v="2"/>
    <x v="0"/>
  </r>
  <r>
    <x v="17"/>
    <x v="210"/>
    <x v="217"/>
    <x v="5"/>
    <x v="26"/>
    <x v="23"/>
    <x v="7"/>
    <x v="0"/>
    <x v="5"/>
    <x v="0"/>
  </r>
  <r>
    <x v="17"/>
    <x v="167"/>
    <x v="216"/>
    <x v="5"/>
    <x v="41"/>
    <x v="23"/>
    <x v="23"/>
    <x v="0"/>
    <x v="5"/>
    <x v="0"/>
  </r>
  <r>
    <x v="18"/>
    <x v="16"/>
    <x v="220"/>
    <x v="6"/>
    <x v="179"/>
    <x v="58"/>
    <x v="170"/>
    <x v="0"/>
    <x v="2"/>
    <x v="0"/>
  </r>
  <r>
    <x v="18"/>
    <x v="112"/>
    <x v="223"/>
    <x v="2"/>
    <x v="229"/>
    <x v="69"/>
    <x v="197"/>
    <x v="0"/>
    <x v="2"/>
    <x v="0"/>
  </r>
  <r>
    <x v="18"/>
    <x v="52"/>
    <x v="221"/>
    <x v="6"/>
    <x v="125"/>
    <x v="50"/>
    <x v="124"/>
    <x v="0"/>
    <x v="2"/>
    <x v="0"/>
  </r>
  <r>
    <x v="18"/>
    <x v="153"/>
    <x v="224"/>
    <x v="4"/>
    <x v="9"/>
    <x v="2"/>
    <x v="10"/>
    <x v="0"/>
    <x v="2"/>
    <x v="0"/>
  </r>
  <r>
    <x v="18"/>
    <x v="249"/>
    <x v="225"/>
    <x v="2"/>
    <x v="159"/>
    <x v="75"/>
    <x v="113"/>
    <x v="0"/>
    <x v="2"/>
    <x v="0"/>
  </r>
  <r>
    <x v="18"/>
    <x v="91"/>
    <x v="222"/>
    <x v="7"/>
    <x v="62"/>
    <x v="38"/>
    <x v="38"/>
    <x v="0"/>
    <x v="2"/>
    <x v="0"/>
  </r>
  <r>
    <x v="19"/>
    <x v="31"/>
    <x v="227"/>
    <x v="3"/>
    <x v="136"/>
    <x v="72"/>
    <x v="95"/>
    <x v="0"/>
    <x v="2"/>
    <x v="0"/>
  </r>
  <r>
    <x v="19"/>
    <x v="49"/>
    <x v="228"/>
    <x v="2"/>
    <x v="175"/>
    <x v="74"/>
    <x v="125"/>
    <x v="0"/>
    <x v="2"/>
    <x v="0"/>
  </r>
  <r>
    <x v="19"/>
    <x v="100"/>
    <x v="229"/>
    <x v="7"/>
    <x v="61"/>
    <x v="39"/>
    <x v="36"/>
    <x v="0"/>
    <x v="2"/>
    <x v="0"/>
  </r>
  <r>
    <x v="19"/>
    <x v="15"/>
    <x v="226"/>
    <x v="6"/>
    <x v="207"/>
    <x v="58"/>
    <x v="192"/>
    <x v="0"/>
    <x v="2"/>
    <x v="0"/>
  </r>
  <r>
    <x v="19"/>
    <x v="105"/>
    <x v="230"/>
    <x v="6"/>
    <x v="150"/>
    <x v="49"/>
    <x v="159"/>
    <x v="0"/>
    <x v="2"/>
    <x v="0"/>
  </r>
  <r>
    <x v="19"/>
    <x v="263"/>
    <x v="234"/>
    <x v="2"/>
    <x v="128"/>
    <x v="71"/>
    <x v="90"/>
    <x v="0"/>
    <x v="2"/>
    <x v="0"/>
  </r>
  <r>
    <x v="19"/>
    <x v="207"/>
    <x v="233"/>
    <x v="5"/>
    <x v="34"/>
    <x v="14"/>
    <x v="23"/>
    <x v="0"/>
    <x v="2"/>
    <x v="0"/>
  </r>
  <r>
    <x v="19"/>
    <x v="204"/>
    <x v="232"/>
    <x v="4"/>
    <x v="10"/>
    <x v="6"/>
    <x v="7"/>
    <x v="0"/>
    <x v="2"/>
    <x v="0"/>
  </r>
  <r>
    <x v="19"/>
    <x v="129"/>
    <x v="231"/>
    <x v="1"/>
    <x v="28"/>
    <x v="16"/>
    <x v="16"/>
    <x v="0"/>
    <x v="5"/>
    <x v="0"/>
  </r>
  <r>
    <x v="20"/>
    <x v="255"/>
    <x v="243"/>
    <x v="2"/>
    <x v="144"/>
    <x v="79"/>
    <x v="100"/>
    <x v="0"/>
    <x v="2"/>
    <x v="0"/>
  </r>
  <r>
    <x v="20"/>
    <x v="173"/>
    <x v="240"/>
    <x v="5"/>
    <x v="22"/>
    <x v="20"/>
    <x v="6"/>
    <x v="0"/>
    <x v="2"/>
    <x v="0"/>
  </r>
  <r>
    <x v="20"/>
    <x v="221"/>
    <x v="242"/>
    <x v="6"/>
    <x v="85"/>
    <x v="50"/>
    <x v="51"/>
    <x v="0"/>
    <x v="2"/>
    <x v="0"/>
  </r>
  <r>
    <x v="20"/>
    <x v="201"/>
    <x v="241"/>
    <x v="4"/>
    <x v="14"/>
    <x v="7"/>
    <x v="10"/>
    <x v="0"/>
    <x v="2"/>
    <x v="0"/>
  </r>
  <r>
    <x v="20"/>
    <x v="60"/>
    <x v="237"/>
    <x v="2"/>
    <x v="153"/>
    <x v="73"/>
    <x v="108"/>
    <x v="0"/>
    <x v="2"/>
    <x v="0"/>
  </r>
  <r>
    <x v="20"/>
    <x v="99"/>
    <x v="238"/>
    <x v="7"/>
    <x v="63"/>
    <x v="36"/>
    <x v="39"/>
    <x v="0"/>
    <x v="2"/>
    <x v="0"/>
  </r>
  <r>
    <x v="20"/>
    <x v="113"/>
    <x v="239"/>
    <x v="6"/>
    <x v="143"/>
    <x v="52"/>
    <x v="152"/>
    <x v="0"/>
    <x v="2"/>
    <x v="0"/>
  </r>
  <r>
    <x v="20"/>
    <x v="17"/>
    <x v="235"/>
    <x v="6"/>
    <x v="199"/>
    <x v="61"/>
    <x v="187"/>
    <x v="0"/>
    <x v="2"/>
    <x v="0"/>
  </r>
  <r>
    <x v="20"/>
    <x v="44"/>
    <x v="236"/>
    <x v="3"/>
    <x v="154"/>
    <x v="72"/>
    <x v="111"/>
    <x v="0"/>
    <x v="2"/>
    <x v="0"/>
  </r>
  <r>
    <x v="21"/>
    <x v="247"/>
    <x v="251"/>
    <x v="2"/>
    <x v="141"/>
    <x v="80"/>
    <x v="97"/>
    <x v="0"/>
    <x v="2"/>
    <x v="0"/>
  </r>
  <r>
    <x v="21"/>
    <x v="191"/>
    <x v="248"/>
    <x v="4"/>
    <x v="19"/>
    <x v="8"/>
    <x v="17"/>
    <x v="0"/>
    <x v="2"/>
    <x v="0"/>
  </r>
  <r>
    <x v="21"/>
    <x v="201"/>
    <x v="249"/>
    <x v="5"/>
    <x v="33"/>
    <x v="19"/>
    <x v="18"/>
    <x v="0"/>
    <x v="2"/>
    <x v="0"/>
  </r>
  <r>
    <x v="21"/>
    <x v="216"/>
    <x v="250"/>
    <x v="6"/>
    <x v="84"/>
    <x v="53"/>
    <x v="37"/>
    <x v="0"/>
    <x v="2"/>
    <x v="0"/>
  </r>
  <r>
    <x v="21"/>
    <x v="83"/>
    <x v="245"/>
    <x v="2"/>
    <x v="211"/>
    <x v="81"/>
    <x v="147"/>
    <x v="0"/>
    <x v="2"/>
    <x v="0"/>
  </r>
  <r>
    <x v="21"/>
    <x v="85"/>
    <x v="246"/>
    <x v="7"/>
    <x v="71"/>
    <x v="31"/>
    <x v="49"/>
    <x v="0"/>
    <x v="2"/>
    <x v="0"/>
  </r>
  <r>
    <x v="21"/>
    <x v="86"/>
    <x v="247"/>
    <x v="6"/>
    <x v="129"/>
    <x v="56"/>
    <x v="132"/>
    <x v="0"/>
    <x v="2"/>
    <x v="0"/>
  </r>
  <r>
    <x v="21"/>
    <x v="21"/>
    <x v="244"/>
    <x v="6"/>
    <x v="174"/>
    <x v="51"/>
    <x v="170"/>
    <x v="0"/>
    <x v="2"/>
    <x v="0"/>
  </r>
  <r>
    <x v="22"/>
    <x v="98"/>
    <x v="255"/>
    <x v="2"/>
    <x v="154"/>
    <x v="79"/>
    <x v="106"/>
    <x v="0"/>
    <x v="2"/>
    <x v="0"/>
  </r>
  <r>
    <x v="22"/>
    <x v="24"/>
    <x v="252"/>
    <x v="6"/>
    <x v="185"/>
    <x v="55"/>
    <x v="177"/>
    <x v="0"/>
    <x v="2"/>
    <x v="0"/>
  </r>
  <r>
    <x v="22"/>
    <x v="86"/>
    <x v="254"/>
    <x v="6"/>
    <x v="138"/>
    <x v="55"/>
    <x v="145"/>
    <x v="0"/>
    <x v="2"/>
    <x v="0"/>
  </r>
  <r>
    <x v="22"/>
    <x v="114"/>
    <x v="256"/>
    <x v="7"/>
    <x v="65"/>
    <x v="35"/>
    <x v="42"/>
    <x v="0"/>
    <x v="2"/>
    <x v="0"/>
  </r>
  <r>
    <x v="22"/>
    <x v="37"/>
    <x v="253"/>
    <x v="3"/>
    <x v="160"/>
    <x v="73"/>
    <x v="115"/>
    <x v="0"/>
    <x v="2"/>
    <x v="0"/>
  </r>
  <r>
    <x v="22"/>
    <x v="141"/>
    <x v="257"/>
    <x v="5"/>
    <x v="21"/>
    <x v="15"/>
    <x v="8"/>
    <x v="0"/>
    <x v="2"/>
    <x v="0"/>
  </r>
  <r>
    <x v="22"/>
    <x v="205"/>
    <x v="260"/>
    <x v="5"/>
    <x v="35"/>
    <x v="15"/>
    <x v="23"/>
    <x v="0"/>
    <x v="5"/>
    <x v="0"/>
  </r>
  <r>
    <x v="22"/>
    <x v="166"/>
    <x v="259"/>
    <x v="4"/>
    <x v="17"/>
    <x v="4"/>
    <x v="19"/>
    <x v="0"/>
    <x v="2"/>
    <x v="0"/>
  </r>
  <r>
    <x v="22"/>
    <x v="142"/>
    <x v="258"/>
    <x v="8"/>
    <x v="80"/>
    <x v="44"/>
    <x v="49"/>
    <x v="0"/>
    <x v="5"/>
    <x v="0"/>
  </r>
  <r>
    <x v="23"/>
    <x v="4"/>
    <x v="261"/>
    <x v="6"/>
    <x v="170"/>
    <x v="61"/>
    <x v="166"/>
    <x v="0"/>
    <x v="2"/>
    <x v="0"/>
  </r>
  <r>
    <x v="23"/>
    <x v="88"/>
    <x v="264"/>
    <x v="7"/>
    <x v="62"/>
    <x v="40"/>
    <x v="36"/>
    <x v="0"/>
    <x v="2"/>
    <x v="0"/>
  </r>
  <r>
    <x v="23"/>
    <x v="105"/>
    <x v="265"/>
    <x v="2"/>
    <x v="209"/>
    <x v="76"/>
    <x v="147"/>
    <x v="0"/>
    <x v="2"/>
    <x v="0"/>
  </r>
  <r>
    <x v="23"/>
    <x v="46"/>
    <x v="263"/>
    <x v="6"/>
    <x v="135"/>
    <x v="52"/>
    <x v="144"/>
    <x v="0"/>
    <x v="2"/>
    <x v="0"/>
  </r>
  <r>
    <x v="23"/>
    <x v="28"/>
    <x v="262"/>
    <x v="3"/>
    <x v="153"/>
    <x v="78"/>
    <x v="105"/>
    <x v="0"/>
    <x v="2"/>
    <x v="0"/>
  </r>
  <r>
    <x v="22"/>
    <x v="151"/>
    <x v="335"/>
    <x v="3"/>
    <x v="114"/>
    <x v="69"/>
    <x v="69"/>
    <x v="0"/>
    <x v="3"/>
    <x v="0"/>
  </r>
  <r>
    <x v="23"/>
    <x v="170"/>
    <x v="9"/>
    <x v="3"/>
    <x v="123"/>
    <x v="75"/>
    <x v="83"/>
    <x v="0"/>
    <x v="4"/>
    <x v="0"/>
  </r>
  <r>
    <x v="23"/>
    <x v="151"/>
    <x v="268"/>
    <x v="5"/>
    <x v="29"/>
    <x v="25"/>
    <x v="8"/>
    <x v="0"/>
    <x v="2"/>
    <x v="0"/>
  </r>
  <r>
    <x v="23"/>
    <x v="173"/>
    <x v="269"/>
    <x v="4"/>
    <x v="6"/>
    <x v="3"/>
    <x v="6"/>
    <x v="0"/>
    <x v="2"/>
    <x v="0"/>
  </r>
  <r>
    <x v="23"/>
    <x v="123"/>
    <x v="266"/>
    <x v="5"/>
    <x v="27"/>
    <x v="25"/>
    <x v="6"/>
    <x v="0"/>
    <x v="2"/>
    <x v="0"/>
  </r>
  <r>
    <x v="23"/>
    <x v="134"/>
    <x v="267"/>
    <x v="5"/>
    <x v="31"/>
    <x v="25"/>
    <x v="10"/>
    <x v="0"/>
    <x v="5"/>
    <x v="0"/>
  </r>
  <r>
    <x v="23"/>
    <x v="198"/>
    <x v="270"/>
    <x v="5"/>
    <x v="36"/>
    <x v="24"/>
    <x v="16"/>
    <x v="0"/>
    <x v="5"/>
    <x v="0"/>
  </r>
  <r>
    <x v="24"/>
    <x v="9"/>
    <x v="271"/>
    <x v="6"/>
    <x v="193"/>
    <x v="55"/>
    <x v="184"/>
    <x v="0"/>
    <x v="2"/>
    <x v="0"/>
  </r>
  <r>
    <x v="24"/>
    <x v="104"/>
    <x v="275"/>
    <x v="6"/>
    <x v="148"/>
    <x v="59"/>
    <x v="155"/>
    <x v="0"/>
    <x v="2"/>
    <x v="0"/>
  </r>
  <r>
    <x v="24"/>
    <x v="99"/>
    <x v="274"/>
    <x v="7"/>
    <x v="55"/>
    <x v="33"/>
    <x v="32"/>
    <x v="0"/>
    <x v="2"/>
    <x v="0"/>
  </r>
  <r>
    <x v="24"/>
    <x v="87"/>
    <x v="273"/>
    <x v="2"/>
    <x v="223"/>
    <x v="74"/>
    <x v="166"/>
    <x v="0"/>
    <x v="2"/>
    <x v="0"/>
  </r>
  <r>
    <x v="24"/>
    <x v="39"/>
    <x v="272"/>
    <x v="3"/>
    <x v="193"/>
    <x v="73"/>
    <x v="133"/>
    <x v="0"/>
    <x v="2"/>
    <x v="0"/>
  </r>
  <r>
    <x v="24"/>
    <x v="199"/>
    <x v="281"/>
    <x v="4"/>
    <x v="4"/>
    <x v="3"/>
    <x v="4"/>
    <x v="0"/>
    <x v="5"/>
    <x v="0"/>
  </r>
  <r>
    <x v="24"/>
    <x v="133"/>
    <x v="277"/>
    <x v="4"/>
    <x v="12"/>
    <x v="3"/>
    <x v="12"/>
    <x v="0"/>
    <x v="5"/>
    <x v="0"/>
  </r>
  <r>
    <x v="24"/>
    <x v="151"/>
    <x v="279"/>
    <x v="4"/>
    <x v="3"/>
    <x v="3"/>
    <x v="3"/>
    <x v="0"/>
    <x v="2"/>
    <x v="0"/>
  </r>
  <r>
    <x v="24"/>
    <x v="184"/>
    <x v="280"/>
    <x v="5"/>
    <x v="47"/>
    <x v="25"/>
    <x v="31"/>
    <x v="0"/>
    <x v="5"/>
    <x v="0"/>
  </r>
  <r>
    <x v="24"/>
    <x v="214"/>
    <x v="282"/>
    <x v="1"/>
    <x v="30"/>
    <x v="18"/>
    <x v="16"/>
    <x v="0"/>
    <x v="1"/>
    <x v="0"/>
  </r>
  <r>
    <x v="24"/>
    <x v="140"/>
    <x v="278"/>
    <x v="5"/>
    <x v="34"/>
    <x v="24"/>
    <x v="14"/>
    <x v="0"/>
    <x v="5"/>
    <x v="0"/>
  </r>
  <r>
    <x v="24"/>
    <x v="126"/>
    <x v="276"/>
    <x v="5"/>
    <x v="47"/>
    <x v="23"/>
    <x v="33"/>
    <x v="0"/>
    <x v="5"/>
    <x v="0"/>
  </r>
  <r>
    <x v="25"/>
    <x v="110"/>
    <x v="287"/>
    <x v="2"/>
    <x v="110"/>
    <x v="70"/>
    <x v="62"/>
    <x v="0"/>
    <x v="2"/>
    <x v="0"/>
  </r>
  <r>
    <x v="25"/>
    <x v="56"/>
    <x v="284"/>
    <x v="2"/>
    <x v="230"/>
    <x v="70"/>
    <x v="200"/>
    <x v="0"/>
    <x v="2"/>
    <x v="0"/>
  </r>
  <r>
    <x v="25"/>
    <x v="86"/>
    <x v="286"/>
    <x v="6"/>
    <x v="131"/>
    <x v="49"/>
    <x v="137"/>
    <x v="0"/>
    <x v="2"/>
    <x v="0"/>
  </r>
  <r>
    <x v="25"/>
    <x v="23"/>
    <x v="283"/>
    <x v="6"/>
    <x v="190"/>
    <x v="54"/>
    <x v="181"/>
    <x v="0"/>
    <x v="2"/>
    <x v="0"/>
  </r>
  <r>
    <x v="25"/>
    <x v="81"/>
    <x v="285"/>
    <x v="7"/>
    <x v="56"/>
    <x v="36"/>
    <x v="29"/>
    <x v="0"/>
    <x v="2"/>
    <x v="0"/>
  </r>
  <r>
    <x v="25"/>
    <x v="128"/>
    <x v="289"/>
    <x v="8"/>
    <x v="81"/>
    <x v="43"/>
    <x v="88"/>
    <x v="0"/>
    <x v="0"/>
    <x v="0"/>
  </r>
  <r>
    <x v="25"/>
    <x v="135"/>
    <x v="290"/>
    <x v="8"/>
    <x v="82"/>
    <x v="43"/>
    <x v="93"/>
    <x v="0"/>
    <x v="0"/>
    <x v="0"/>
  </r>
  <r>
    <x v="25"/>
    <x v="157"/>
    <x v="293"/>
    <x v="8"/>
    <x v="83"/>
    <x v="43"/>
    <x v="99"/>
    <x v="0"/>
    <x v="0"/>
    <x v="0"/>
  </r>
  <r>
    <x v="25"/>
    <x v="193"/>
    <x v="295"/>
    <x v="8"/>
    <x v="83"/>
    <x v="43"/>
    <x v="99"/>
    <x v="0"/>
    <x v="0"/>
    <x v="0"/>
  </r>
  <r>
    <x v="25"/>
    <x v="150"/>
    <x v="292"/>
    <x v="4"/>
    <x v="11"/>
    <x v="3"/>
    <x v="11"/>
    <x v="0"/>
    <x v="2"/>
    <x v="1"/>
  </r>
  <r>
    <x v="25"/>
    <x v="137"/>
    <x v="291"/>
    <x v="5"/>
    <x v="32"/>
    <x v="20"/>
    <x v="16"/>
    <x v="0"/>
    <x v="5"/>
    <x v="0"/>
  </r>
  <r>
    <x v="25"/>
    <x v="125"/>
    <x v="288"/>
    <x v="5"/>
    <x v="25"/>
    <x v="20"/>
    <x v="9"/>
    <x v="0"/>
    <x v="5"/>
    <x v="1"/>
  </r>
  <r>
    <x v="25"/>
    <x v="162"/>
    <x v="294"/>
    <x v="5"/>
    <x v="64"/>
    <x v="22"/>
    <x v="60"/>
    <x v="0"/>
    <x v="0"/>
    <x v="1"/>
  </r>
  <r>
    <x v="25"/>
    <x v="202"/>
    <x v="296"/>
    <x v="5"/>
    <x v="67"/>
    <x v="22"/>
    <x v="61"/>
    <x v="0"/>
    <x v="0"/>
    <x v="1"/>
  </r>
  <r>
    <x v="26"/>
    <x v="127"/>
    <x v="303"/>
    <x v="0"/>
    <x v="145"/>
    <x v="64"/>
    <x v="151"/>
    <x v="0"/>
    <x v="0"/>
    <x v="0"/>
  </r>
  <r>
    <x v="26"/>
    <x v="162"/>
    <x v="307"/>
    <x v="4"/>
    <x v="6"/>
    <x v="5"/>
    <x v="4"/>
    <x v="0"/>
    <x v="2"/>
    <x v="0"/>
  </r>
  <r>
    <x v="26"/>
    <x v="195"/>
    <x v="309"/>
    <x v="5"/>
    <x v="22"/>
    <x v="19"/>
    <x v="7"/>
    <x v="0"/>
    <x v="5"/>
    <x v="0"/>
  </r>
  <r>
    <x v="26"/>
    <x v="180"/>
    <x v="308"/>
    <x v="8"/>
    <x v="79"/>
    <x v="45"/>
    <x v="23"/>
    <x v="0"/>
    <x v="5"/>
    <x v="0"/>
  </r>
  <r>
    <x v="26"/>
    <x v="130"/>
    <x v="304"/>
    <x v="5"/>
    <x v="43"/>
    <x v="23"/>
    <x v="24"/>
    <x v="0"/>
    <x v="5"/>
    <x v="0"/>
  </r>
  <r>
    <x v="26"/>
    <x v="209"/>
    <x v="310"/>
    <x v="1"/>
    <x v="19"/>
    <x v="17"/>
    <x v="2"/>
    <x v="0"/>
    <x v="5"/>
    <x v="0"/>
  </r>
  <r>
    <x v="26"/>
    <x v="79"/>
    <x v="300"/>
    <x v="5"/>
    <x v="21"/>
    <x v="15"/>
    <x v="8"/>
    <x v="0"/>
    <x v="2"/>
    <x v="0"/>
  </r>
  <r>
    <x v="26"/>
    <x v="121"/>
    <x v="302"/>
    <x v="7"/>
    <x v="59"/>
    <x v="41"/>
    <x v="28"/>
    <x v="0"/>
    <x v="2"/>
    <x v="0"/>
  </r>
  <r>
    <x v="26"/>
    <x v="20"/>
    <x v="297"/>
    <x v="6"/>
    <x v="197"/>
    <x v="60"/>
    <x v="186"/>
    <x v="0"/>
    <x v="2"/>
    <x v="0"/>
  </r>
  <r>
    <x v="26"/>
    <x v="69"/>
    <x v="299"/>
    <x v="6"/>
    <x v="130"/>
    <x v="48"/>
    <x v="135"/>
    <x v="0"/>
    <x v="2"/>
    <x v="0"/>
  </r>
  <r>
    <x v="26"/>
    <x v="137"/>
    <x v="305"/>
    <x v="0"/>
    <x v="216"/>
    <x v="66"/>
    <x v="162"/>
    <x v="0"/>
    <x v="0"/>
    <x v="0"/>
  </r>
  <r>
    <x v="26"/>
    <x v="159"/>
    <x v="306"/>
    <x v="5"/>
    <x v="21"/>
    <x v="15"/>
    <x v="8"/>
    <x v="0"/>
    <x v="2"/>
    <x v="0"/>
  </r>
  <r>
    <x v="26"/>
    <x v="55"/>
    <x v="298"/>
    <x v="3"/>
    <x v="228"/>
    <x v="67"/>
    <x v="196"/>
    <x v="0"/>
    <x v="2"/>
    <x v="0"/>
  </r>
  <r>
    <x v="26"/>
    <x v="116"/>
    <x v="301"/>
    <x v="3"/>
    <x v="112"/>
    <x v="69"/>
    <x v="67"/>
    <x v="0"/>
    <x v="2"/>
    <x v="0"/>
  </r>
  <r>
    <x v="26"/>
    <x v="212"/>
    <x v="311"/>
    <x v="0"/>
    <x v="152"/>
    <x v="65"/>
    <x v="119"/>
    <x v="0"/>
    <x v="0"/>
    <x v="0"/>
  </r>
  <r>
    <x v="27"/>
    <x v="164"/>
    <x v="318"/>
    <x v="4"/>
    <x v="16"/>
    <x v="8"/>
    <x v="13"/>
    <x v="0"/>
    <x v="2"/>
    <x v="0"/>
  </r>
  <r>
    <x v="27"/>
    <x v="69"/>
    <x v="313"/>
    <x v="3"/>
    <x v="232"/>
    <x v="75"/>
    <x v="201"/>
    <x v="0"/>
    <x v="2"/>
    <x v="0"/>
  </r>
  <r>
    <x v="27"/>
    <x v="119"/>
    <x v="316"/>
    <x v="3"/>
    <x v="121"/>
    <x v="75"/>
    <x v="77"/>
    <x v="0"/>
    <x v="2"/>
    <x v="0"/>
  </r>
  <r>
    <x v="27"/>
    <x v="25"/>
    <x v="312"/>
    <x v="6"/>
    <x v="181"/>
    <x v="54"/>
    <x v="174"/>
    <x v="0"/>
    <x v="2"/>
    <x v="0"/>
  </r>
  <r>
    <x v="27"/>
    <x v="106"/>
    <x v="314"/>
    <x v="6"/>
    <x v="140"/>
    <x v="54"/>
    <x v="149"/>
    <x v="0"/>
    <x v="2"/>
    <x v="0"/>
  </r>
  <r>
    <x v="27"/>
    <x v="118"/>
    <x v="315"/>
    <x v="7"/>
    <x v="65"/>
    <x v="37"/>
    <x v="40"/>
    <x v="0"/>
    <x v="2"/>
    <x v="0"/>
  </r>
  <r>
    <x v="28"/>
    <x v="117"/>
    <x v="322"/>
    <x v="7"/>
    <x v="73"/>
    <x v="36"/>
    <x v="49"/>
    <x v="0"/>
    <x v="2"/>
    <x v="0"/>
  </r>
  <r>
    <x v="28"/>
    <x v="24"/>
    <x v="319"/>
    <x v="6"/>
    <x v="191"/>
    <x v="54"/>
    <x v="183"/>
    <x v="0"/>
    <x v="2"/>
    <x v="0"/>
  </r>
  <r>
    <x v="28"/>
    <x v="169"/>
    <x v="325"/>
    <x v="4"/>
    <x v="2"/>
    <x v="3"/>
    <x v="1"/>
    <x v="0"/>
    <x v="2"/>
    <x v="0"/>
  </r>
  <r>
    <x v="28"/>
    <x v="120"/>
    <x v="323"/>
    <x v="3"/>
    <x v="124"/>
    <x v="73"/>
    <x v="84"/>
    <x v="0"/>
    <x v="2"/>
    <x v="0"/>
  </r>
  <r>
    <x v="28"/>
    <x v="67"/>
    <x v="320"/>
    <x v="3"/>
    <x v="233"/>
    <x v="78"/>
    <x v="203"/>
    <x v="0"/>
    <x v="2"/>
    <x v="0"/>
  </r>
  <r>
    <x v="28"/>
    <x v="113"/>
    <x v="321"/>
    <x v="6"/>
    <x v="176"/>
    <x v="53"/>
    <x v="170"/>
    <x v="0"/>
    <x v="2"/>
    <x v="0"/>
  </r>
  <r>
    <x v="28"/>
    <x v="161"/>
    <x v="324"/>
    <x v="5"/>
    <x v="32"/>
    <x v="17"/>
    <x v="19"/>
    <x v="0"/>
    <x v="2"/>
    <x v="0"/>
  </r>
  <r>
    <x v="28"/>
    <x v="190"/>
    <x v="326"/>
    <x v="5"/>
    <x v="21"/>
    <x v="16"/>
    <x v="7"/>
    <x v="0"/>
    <x v="1"/>
    <x v="0"/>
  </r>
  <r>
    <x v="29"/>
    <x v="124"/>
    <x v="330"/>
    <x v="2"/>
    <x v="185"/>
    <x v="72"/>
    <x v="128"/>
    <x v="0"/>
    <x v="2"/>
    <x v="0"/>
  </r>
  <r>
    <x v="29"/>
    <x v="215"/>
    <x v="328"/>
    <x v="6"/>
    <x v="118"/>
    <x v="49"/>
    <x v="113"/>
    <x v="0"/>
    <x v="2"/>
    <x v="0"/>
  </r>
  <r>
    <x v="29"/>
    <x v="22"/>
    <x v="327"/>
    <x v="6"/>
    <x v="188"/>
    <x v="59"/>
    <x v="178"/>
    <x v="0"/>
    <x v="2"/>
    <x v="0"/>
  </r>
  <r>
    <x v="29"/>
    <x v="122"/>
    <x v="329"/>
    <x v="7"/>
    <x v="74"/>
    <x v="40"/>
    <x v="46"/>
    <x v="0"/>
    <x v="2"/>
    <x v="0"/>
  </r>
  <r>
    <x v="29"/>
    <x v="148"/>
    <x v="332"/>
    <x v="4"/>
    <x v="4"/>
    <x v="3"/>
    <x v="4"/>
    <x v="0"/>
    <x v="2"/>
    <x v="0"/>
  </r>
  <r>
    <x v="29"/>
    <x v="136"/>
    <x v="331"/>
    <x v="5"/>
    <x v="23"/>
    <x v="16"/>
    <x v="11"/>
    <x v="0"/>
    <x v="2"/>
    <x v="0"/>
  </r>
  <r>
    <x v="29"/>
    <x v="204"/>
    <x v="333"/>
    <x v="5"/>
    <x v="30"/>
    <x v="16"/>
    <x v="18"/>
    <x v="0"/>
    <x v="5"/>
    <x v="0"/>
  </r>
  <r>
    <x v="29"/>
    <x v="183"/>
    <x v="335"/>
    <x v="2"/>
    <x v="115"/>
    <x v="69"/>
    <x v="70"/>
    <x v="0"/>
    <x v="3"/>
    <x v="0"/>
  </r>
  <r>
    <x v="27"/>
    <x v="0"/>
    <x v="317"/>
    <x v="0"/>
    <x v="120"/>
    <x v="69"/>
    <x v="80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345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I355" activeCellId="0" sqref="I355"/>
    </sheetView>
  </sheetViews>
  <sheetFormatPr defaultRowHeight="13.8" zeroHeight="false" outlineLevelRow="0" outlineLevelCol="0"/>
  <cols>
    <col collapsed="false" customWidth="true" hidden="false" outlineLevel="0" max="9" min="1" style="0" width="10.61"/>
    <col collapsed="false" customWidth="true" hidden="false" outlineLevel="0" max="10" min="10" style="1" width="10.61"/>
    <col collapsed="false" customWidth="true" hidden="false" outlineLevel="0" max="1025" min="11" style="0" width="10.6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</row>
    <row r="2" customFormat="false" ht="13.8" hidden="false" customHeight="false" outlineLevel="0" collapsed="false">
      <c r="A2" s="7" t="n">
        <v>43709</v>
      </c>
      <c r="B2" s="8" t="n">
        <v>0.913888888888889</v>
      </c>
      <c r="C2" s="9" t="n">
        <v>113620</v>
      </c>
      <c r="D2" s="9" t="s">
        <v>10</v>
      </c>
      <c r="E2" s="9" t="n">
        <v>3240</v>
      </c>
      <c r="F2" s="9" t="n">
        <v>2980</v>
      </c>
      <c r="G2" s="10" t="n">
        <v>260</v>
      </c>
      <c r="H2" s="9" t="s">
        <v>11</v>
      </c>
      <c r="I2" s="9" t="s">
        <v>12</v>
      </c>
      <c r="J2" s="1" t="s">
        <v>13</v>
      </c>
    </row>
    <row r="3" customFormat="false" ht="13.8" hidden="false" customHeight="false" outlineLevel="0" collapsed="false">
      <c r="A3" s="7" t="n">
        <v>43709</v>
      </c>
      <c r="B3" s="8" t="n">
        <v>0.0381944444444444</v>
      </c>
      <c r="C3" s="9" t="n">
        <v>113592</v>
      </c>
      <c r="D3" s="9" t="s">
        <v>14</v>
      </c>
      <c r="E3" s="9" t="n">
        <v>21720</v>
      </c>
      <c r="F3" s="9" t="n">
        <v>12940</v>
      </c>
      <c r="G3" s="10" t="n">
        <v>8780</v>
      </c>
      <c r="H3" s="9" t="s">
        <v>11</v>
      </c>
      <c r="I3" s="9" t="s">
        <v>12</v>
      </c>
      <c r="J3" s="1" t="s">
        <v>13</v>
      </c>
    </row>
    <row r="4" customFormat="false" ht="13.8" hidden="false" customHeight="false" outlineLevel="0" collapsed="false">
      <c r="A4" s="7" t="n">
        <v>43709</v>
      </c>
      <c r="B4" s="8" t="n">
        <v>0.144444444444444</v>
      </c>
      <c r="C4" s="9" t="n">
        <v>113600</v>
      </c>
      <c r="D4" s="9" t="s">
        <v>14</v>
      </c>
      <c r="E4" s="9" t="n">
        <v>22240</v>
      </c>
      <c r="F4" s="9" t="n">
        <v>12760</v>
      </c>
      <c r="G4" s="10" t="n">
        <v>9480</v>
      </c>
      <c r="H4" s="9" t="s">
        <v>11</v>
      </c>
      <c r="I4" s="9" t="s">
        <v>12</v>
      </c>
      <c r="J4" s="1" t="s">
        <v>13</v>
      </c>
    </row>
    <row r="5" customFormat="false" ht="13.8" hidden="false" customHeight="false" outlineLevel="0" collapsed="false">
      <c r="A5" s="7" t="n">
        <v>43709</v>
      </c>
      <c r="B5" s="8" t="n">
        <v>0.227777777777778</v>
      </c>
      <c r="C5" s="9" t="n">
        <v>113603</v>
      </c>
      <c r="D5" s="9" t="s">
        <v>14</v>
      </c>
      <c r="E5" s="9" t="n">
        <v>17840</v>
      </c>
      <c r="F5" s="9" t="n">
        <v>12960</v>
      </c>
      <c r="G5" s="10" t="n">
        <v>4880</v>
      </c>
      <c r="H5" s="9" t="s">
        <v>11</v>
      </c>
      <c r="I5" s="9" t="s">
        <v>12</v>
      </c>
      <c r="J5" s="1" t="s">
        <v>13</v>
      </c>
    </row>
    <row r="6" customFormat="false" ht="13.8" hidden="false" customHeight="false" outlineLevel="0" collapsed="false">
      <c r="A6" s="7" t="n">
        <v>43709</v>
      </c>
      <c r="B6" s="8" t="n">
        <v>0.253472222222222</v>
      </c>
      <c r="C6" s="9" t="n">
        <v>113605</v>
      </c>
      <c r="D6" s="9" t="s">
        <v>15</v>
      </c>
      <c r="E6" s="9" t="n">
        <v>22920</v>
      </c>
      <c r="F6" s="9" t="n">
        <v>15760</v>
      </c>
      <c r="G6" s="10" t="n">
        <v>7160</v>
      </c>
      <c r="H6" s="9" t="s">
        <v>11</v>
      </c>
      <c r="I6" s="9" t="s">
        <v>12</v>
      </c>
      <c r="J6" s="1" t="s">
        <v>13</v>
      </c>
    </row>
    <row r="7" customFormat="false" ht="13.8" hidden="false" customHeight="false" outlineLevel="0" collapsed="false">
      <c r="A7" s="7" t="n">
        <v>43709</v>
      </c>
      <c r="B7" s="8" t="n">
        <v>0.139583333333333</v>
      </c>
      <c r="C7" s="9" t="n">
        <v>113598</v>
      </c>
      <c r="D7" s="9" t="s">
        <v>15</v>
      </c>
      <c r="E7" s="9" t="n">
        <v>25180</v>
      </c>
      <c r="F7" s="9" t="n">
        <v>15840</v>
      </c>
      <c r="G7" s="10" t="n">
        <v>9340</v>
      </c>
      <c r="H7" s="9" t="s">
        <v>11</v>
      </c>
      <c r="I7" s="9" t="s">
        <v>12</v>
      </c>
      <c r="J7" s="1" t="s">
        <v>13</v>
      </c>
    </row>
    <row r="8" customFormat="false" ht="13.8" hidden="false" customHeight="false" outlineLevel="0" collapsed="false">
      <c r="A8" s="7" t="n">
        <v>43709</v>
      </c>
      <c r="B8" s="8" t="n">
        <v>0.247222222222222</v>
      </c>
      <c r="C8" s="9" t="n">
        <v>113604</v>
      </c>
      <c r="D8" s="9" t="s">
        <v>16</v>
      </c>
      <c r="E8" s="9" t="n">
        <v>4580</v>
      </c>
      <c r="F8" s="9" t="n">
        <v>3500</v>
      </c>
      <c r="G8" s="10" t="n">
        <v>1080</v>
      </c>
      <c r="H8" s="9" t="s">
        <v>11</v>
      </c>
      <c r="I8" s="9" t="s">
        <v>12</v>
      </c>
      <c r="J8" s="1" t="s">
        <v>13</v>
      </c>
    </row>
    <row r="9" customFormat="false" ht="13.8" hidden="false" customHeight="false" outlineLevel="0" collapsed="false">
      <c r="A9" s="7" t="n">
        <v>43709</v>
      </c>
      <c r="B9" s="8" t="n">
        <v>0.169444444444444</v>
      </c>
      <c r="C9" s="9" t="n">
        <v>113601</v>
      </c>
      <c r="D9" s="9" t="s">
        <v>16</v>
      </c>
      <c r="E9" s="9" t="n">
        <v>4900</v>
      </c>
      <c r="F9" s="9" t="n">
        <v>3500</v>
      </c>
      <c r="G9" s="10" t="n">
        <v>1400</v>
      </c>
      <c r="H9" s="9" t="s">
        <v>11</v>
      </c>
      <c r="I9" s="9" t="s">
        <v>12</v>
      </c>
      <c r="J9" s="1" t="s">
        <v>13</v>
      </c>
    </row>
    <row r="10" customFormat="false" ht="13.8" hidden="false" customHeight="false" outlineLevel="0" collapsed="false">
      <c r="A10" s="7" t="n">
        <v>43709</v>
      </c>
      <c r="B10" s="8" t="n">
        <v>0.444444444444444</v>
      </c>
      <c r="C10" s="9" t="n">
        <v>113615</v>
      </c>
      <c r="D10" s="9" t="s">
        <v>10</v>
      </c>
      <c r="E10" s="9" t="n">
        <v>3520</v>
      </c>
      <c r="F10" s="9" t="n">
        <v>2840</v>
      </c>
      <c r="G10" s="10" t="n">
        <v>680</v>
      </c>
      <c r="H10" s="9" t="s">
        <v>11</v>
      </c>
      <c r="I10" s="9" t="s">
        <v>12</v>
      </c>
      <c r="J10" s="1" t="s">
        <v>13</v>
      </c>
    </row>
    <row r="11" customFormat="false" ht="13.8" hidden="false" customHeight="false" outlineLevel="0" collapsed="false">
      <c r="A11" s="7" t="n">
        <v>43709</v>
      </c>
      <c r="B11" s="8" t="n">
        <v>0.461111111111111</v>
      </c>
      <c r="C11" s="9" t="n">
        <v>113616</v>
      </c>
      <c r="D11" s="9" t="s">
        <v>17</v>
      </c>
      <c r="E11" s="9" t="n">
        <v>2540</v>
      </c>
      <c r="F11" s="9" t="n">
        <v>2360</v>
      </c>
      <c r="G11" s="10" t="n">
        <v>180</v>
      </c>
      <c r="H11" s="9" t="s">
        <v>11</v>
      </c>
      <c r="I11" s="9" t="s">
        <v>12</v>
      </c>
      <c r="J11" s="1" t="s">
        <v>13</v>
      </c>
    </row>
    <row r="12" customFormat="false" ht="13.8" hidden="false" customHeight="false" outlineLevel="0" collapsed="false">
      <c r="A12" s="7" t="n">
        <v>43709</v>
      </c>
      <c r="B12" s="8" t="n">
        <v>0.182638888888889</v>
      </c>
      <c r="C12" s="7"/>
      <c r="D12" s="9" t="s">
        <v>14</v>
      </c>
      <c r="E12" s="9" t="n">
        <v>14760</v>
      </c>
      <c r="F12" s="9" t="n">
        <v>12900</v>
      </c>
      <c r="G12" s="10" t="n">
        <v>1860</v>
      </c>
      <c r="H12" s="9" t="s">
        <v>11</v>
      </c>
      <c r="I12" s="9" t="s">
        <v>12</v>
      </c>
      <c r="J12" s="1" t="s">
        <v>13</v>
      </c>
    </row>
    <row r="13" customFormat="false" ht="13.8" hidden="false" customHeight="false" outlineLevel="0" collapsed="false">
      <c r="A13" s="7" t="n">
        <v>43709</v>
      </c>
      <c r="B13" s="8" t="n">
        <v>0.865972222222222</v>
      </c>
      <c r="C13" s="9" t="n">
        <v>113619</v>
      </c>
      <c r="D13" s="9" t="s">
        <v>15</v>
      </c>
      <c r="E13" s="9" t="n">
        <v>25300</v>
      </c>
      <c r="F13" s="9" t="n">
        <v>15880</v>
      </c>
      <c r="G13" s="10" t="n">
        <v>9420</v>
      </c>
      <c r="H13" s="9" t="s">
        <v>11</v>
      </c>
      <c r="I13" s="9" t="s">
        <v>12</v>
      </c>
      <c r="J13" s="1" t="s">
        <v>13</v>
      </c>
    </row>
    <row r="14" customFormat="false" ht="13.8" hidden="false" customHeight="false" outlineLevel="0" collapsed="false">
      <c r="A14" s="7" t="n">
        <v>43709</v>
      </c>
      <c r="B14" s="8" t="n">
        <v>0.755555555555556</v>
      </c>
      <c r="C14" s="9" t="n">
        <v>113618</v>
      </c>
      <c r="D14" s="9" t="s">
        <v>17</v>
      </c>
      <c r="E14" s="9" t="n">
        <v>2760</v>
      </c>
      <c r="F14" s="9" t="n">
        <v>2380</v>
      </c>
      <c r="G14" s="10" t="n">
        <v>380</v>
      </c>
      <c r="H14" s="9" t="s">
        <v>11</v>
      </c>
      <c r="I14" s="9" t="s">
        <v>12</v>
      </c>
      <c r="J14" s="1" t="s">
        <v>13</v>
      </c>
    </row>
    <row r="15" customFormat="false" ht="13.8" hidden="false" customHeight="false" outlineLevel="0" collapsed="false">
      <c r="A15" s="7" t="n">
        <v>43710</v>
      </c>
      <c r="B15" s="8" t="n">
        <v>0.16875</v>
      </c>
      <c r="C15" s="9" t="n">
        <v>113630</v>
      </c>
      <c r="D15" s="9" t="s">
        <v>16</v>
      </c>
      <c r="E15" s="9" t="n">
        <v>4960</v>
      </c>
      <c r="F15" s="9" t="n">
        <v>3580</v>
      </c>
      <c r="G15" s="10" t="n">
        <v>1380</v>
      </c>
      <c r="H15" s="9" t="s">
        <v>11</v>
      </c>
      <c r="I15" s="9" t="s">
        <v>12</v>
      </c>
      <c r="J15" s="1" t="s">
        <v>13</v>
      </c>
    </row>
    <row r="16" customFormat="false" ht="13.8" hidden="false" customHeight="false" outlineLevel="0" collapsed="false">
      <c r="A16" s="7" t="n">
        <v>43710</v>
      </c>
      <c r="B16" s="11" t="s">
        <v>18</v>
      </c>
      <c r="C16" s="9" t="n">
        <v>113628</v>
      </c>
      <c r="D16" s="9" t="s">
        <v>19</v>
      </c>
      <c r="E16" s="9" t="n">
        <v>23600</v>
      </c>
      <c r="F16" s="9" t="n">
        <v>15800</v>
      </c>
      <c r="G16" s="10" t="n">
        <v>7800</v>
      </c>
      <c r="H16" s="9" t="s">
        <v>11</v>
      </c>
      <c r="I16" s="9" t="s">
        <v>12</v>
      </c>
      <c r="J16" s="1" t="s">
        <v>13</v>
      </c>
    </row>
    <row r="17" customFormat="false" ht="13.8" hidden="false" customHeight="false" outlineLevel="0" collapsed="false">
      <c r="A17" s="7" t="n">
        <v>43710</v>
      </c>
      <c r="B17" s="8" t="n">
        <v>0.211111111111111</v>
      </c>
      <c r="C17" s="9" t="n">
        <v>113634</v>
      </c>
      <c r="D17" s="9" t="s">
        <v>15</v>
      </c>
      <c r="E17" s="9" t="n">
        <v>23520</v>
      </c>
      <c r="F17" s="9" t="n">
        <v>15960</v>
      </c>
      <c r="G17" s="10" t="n">
        <v>7560</v>
      </c>
      <c r="H17" s="9" t="s">
        <v>11</v>
      </c>
      <c r="I17" s="9" t="s">
        <v>12</v>
      </c>
      <c r="J17" s="1" t="s">
        <v>13</v>
      </c>
    </row>
    <row r="18" customFormat="false" ht="13.8" hidden="false" customHeight="false" outlineLevel="0" collapsed="false">
      <c r="A18" s="7" t="n">
        <v>43710</v>
      </c>
      <c r="B18" s="8" t="n">
        <v>0.0375</v>
      </c>
      <c r="C18" s="9" t="n">
        <v>113621</v>
      </c>
      <c r="D18" s="9" t="s">
        <v>14</v>
      </c>
      <c r="E18" s="9" t="n">
        <v>21540</v>
      </c>
      <c r="F18" s="9" t="n">
        <v>13020</v>
      </c>
      <c r="G18" s="10" t="n">
        <v>8520</v>
      </c>
      <c r="H18" s="9" t="s">
        <v>11</v>
      </c>
      <c r="I18" s="9" t="s">
        <v>12</v>
      </c>
      <c r="J18" s="1" t="s">
        <v>13</v>
      </c>
    </row>
    <row r="19" customFormat="false" ht="13.8" hidden="false" customHeight="false" outlineLevel="0" collapsed="false">
      <c r="A19" s="7" t="n">
        <v>43710</v>
      </c>
      <c r="B19" s="8" t="n">
        <v>0.130555555555556</v>
      </c>
      <c r="C19" s="9" t="n">
        <v>113627</v>
      </c>
      <c r="D19" s="9" t="s">
        <v>14</v>
      </c>
      <c r="E19" s="9" t="n">
        <v>21180</v>
      </c>
      <c r="F19" s="9" t="n">
        <v>12860</v>
      </c>
      <c r="G19" s="10" t="n">
        <v>8320</v>
      </c>
      <c r="H19" s="9" t="s">
        <v>11</v>
      </c>
      <c r="I19" s="9" t="s">
        <v>12</v>
      </c>
      <c r="J19" s="1" t="s">
        <v>13</v>
      </c>
    </row>
    <row r="20" customFormat="false" ht="13.8" hidden="false" customHeight="false" outlineLevel="0" collapsed="false">
      <c r="A20" s="7" t="n">
        <v>43710</v>
      </c>
      <c r="B20" s="8" t="n">
        <v>0.204861111111111</v>
      </c>
      <c r="C20" s="9" t="n">
        <v>113632</v>
      </c>
      <c r="D20" s="9" t="s">
        <v>14</v>
      </c>
      <c r="E20" s="9" t="n">
        <v>17140</v>
      </c>
      <c r="F20" s="9" t="n">
        <v>13020</v>
      </c>
      <c r="G20" s="10" t="n">
        <v>4120</v>
      </c>
      <c r="H20" s="9" t="s">
        <v>11</v>
      </c>
      <c r="I20" s="9" t="s">
        <v>12</v>
      </c>
      <c r="J20" s="1" t="s">
        <v>13</v>
      </c>
    </row>
    <row r="21" customFormat="false" ht="13.8" hidden="false" customHeight="false" outlineLevel="0" collapsed="false">
      <c r="A21" s="7" t="n">
        <v>43710</v>
      </c>
      <c r="B21" s="8" t="n">
        <v>0.457638888888889</v>
      </c>
      <c r="C21" s="9" t="n">
        <v>91735</v>
      </c>
      <c r="D21" s="9" t="s">
        <v>20</v>
      </c>
      <c r="E21" s="9" t="n">
        <v>18300</v>
      </c>
      <c r="F21" s="9" t="n">
        <v>15960</v>
      </c>
      <c r="G21" s="10" t="n">
        <v>2340</v>
      </c>
      <c r="H21" s="9" t="s">
        <v>11</v>
      </c>
      <c r="I21" s="9" t="s">
        <v>21</v>
      </c>
      <c r="J21" s="1" t="s">
        <v>13</v>
      </c>
    </row>
    <row r="22" customFormat="false" ht="13.8" hidden="false" customHeight="false" outlineLevel="0" collapsed="false">
      <c r="A22" s="7" t="n">
        <v>43710</v>
      </c>
      <c r="B22" s="8" t="n">
        <v>0.46875</v>
      </c>
      <c r="C22" s="12" t="s">
        <v>22</v>
      </c>
      <c r="D22" s="9" t="s">
        <v>19</v>
      </c>
      <c r="E22" s="9" t="n">
        <v>18300</v>
      </c>
      <c r="F22" s="9" t="n">
        <v>15760</v>
      </c>
      <c r="G22" s="10" t="n">
        <v>2540</v>
      </c>
      <c r="H22" s="9" t="s">
        <v>11</v>
      </c>
      <c r="I22" s="9" t="s">
        <v>23</v>
      </c>
      <c r="J22" s="1" t="s">
        <v>13</v>
      </c>
    </row>
    <row r="23" customFormat="false" ht="13.8" hidden="false" customHeight="false" outlineLevel="0" collapsed="false">
      <c r="A23" s="7" t="n">
        <v>43710</v>
      </c>
      <c r="B23" s="8" t="n">
        <v>0.472222222222222</v>
      </c>
      <c r="C23" s="9" t="n">
        <v>113661</v>
      </c>
      <c r="D23" s="9" t="s">
        <v>17</v>
      </c>
      <c r="E23" s="9" t="n">
        <v>2780</v>
      </c>
      <c r="F23" s="9" t="n">
        <v>2380</v>
      </c>
      <c r="G23" s="10" t="n">
        <v>400</v>
      </c>
      <c r="H23" s="9" t="s">
        <v>11</v>
      </c>
      <c r="I23" s="9" t="s">
        <v>12</v>
      </c>
      <c r="J23" s="1" t="s">
        <v>13</v>
      </c>
    </row>
    <row r="24" customFormat="false" ht="13.8" hidden="false" customHeight="false" outlineLevel="0" collapsed="false">
      <c r="A24" s="7" t="n">
        <v>43710</v>
      </c>
      <c r="B24" s="8" t="n">
        <v>0.75625</v>
      </c>
      <c r="C24" s="9" t="n">
        <v>113677</v>
      </c>
      <c r="D24" s="9" t="s">
        <v>17</v>
      </c>
      <c r="E24" s="9" t="n">
        <v>2640</v>
      </c>
      <c r="F24" s="9" t="n">
        <v>2400</v>
      </c>
      <c r="G24" s="10" t="n">
        <v>240</v>
      </c>
      <c r="H24" s="9" t="s">
        <v>11</v>
      </c>
      <c r="I24" s="9" t="s">
        <v>12</v>
      </c>
      <c r="J24" s="1" t="s">
        <v>13</v>
      </c>
    </row>
    <row r="25" customFormat="false" ht="13.8" hidden="false" customHeight="false" outlineLevel="0" collapsed="false">
      <c r="A25" s="7" t="n">
        <v>43710</v>
      </c>
      <c r="B25" s="8" t="n">
        <v>0.4875</v>
      </c>
      <c r="C25" s="9" t="n">
        <v>113664</v>
      </c>
      <c r="D25" s="9" t="s">
        <v>10</v>
      </c>
      <c r="E25" s="9" t="n">
        <v>3540</v>
      </c>
      <c r="F25" s="9" t="n">
        <v>2840</v>
      </c>
      <c r="G25" s="10" t="n">
        <v>700</v>
      </c>
      <c r="H25" s="9" t="s">
        <v>11</v>
      </c>
      <c r="I25" s="9" t="s">
        <v>24</v>
      </c>
      <c r="J25" s="1" t="s">
        <v>13</v>
      </c>
    </row>
    <row r="26" customFormat="false" ht="13.8" hidden="false" customHeight="false" outlineLevel="0" collapsed="false">
      <c r="A26" s="7" t="n">
        <v>43710</v>
      </c>
      <c r="B26" s="8" t="n">
        <v>0.692361111111111</v>
      </c>
      <c r="C26" s="9" t="n">
        <v>113675</v>
      </c>
      <c r="D26" s="9" t="s">
        <v>14</v>
      </c>
      <c r="E26" s="9" t="n">
        <v>15940</v>
      </c>
      <c r="F26" s="9" t="n">
        <v>12780</v>
      </c>
      <c r="G26" s="10" t="n">
        <v>3160</v>
      </c>
      <c r="H26" s="9" t="s">
        <v>11</v>
      </c>
      <c r="I26" s="9" t="s">
        <v>12</v>
      </c>
      <c r="J26" s="1" t="s">
        <v>13</v>
      </c>
    </row>
    <row r="27" customFormat="false" ht="13.8" hidden="false" customHeight="false" outlineLevel="0" collapsed="false">
      <c r="A27" s="7" t="n">
        <v>43710</v>
      </c>
      <c r="B27" s="8" t="n">
        <v>0.874305555555556</v>
      </c>
      <c r="C27" s="9" t="n">
        <v>113680</v>
      </c>
      <c r="D27" s="9" t="s">
        <v>10</v>
      </c>
      <c r="E27" s="9" t="n">
        <v>3140</v>
      </c>
      <c r="F27" s="9" t="n">
        <v>2960</v>
      </c>
      <c r="G27" s="10" t="n">
        <v>180</v>
      </c>
      <c r="H27" s="9" t="s">
        <v>11</v>
      </c>
      <c r="I27" s="9" t="s">
        <v>12</v>
      </c>
      <c r="J27" s="1" t="s">
        <v>13</v>
      </c>
    </row>
    <row r="28" customFormat="false" ht="13.8" hidden="false" customHeight="false" outlineLevel="0" collapsed="false">
      <c r="A28" s="7" t="n">
        <v>43710</v>
      </c>
      <c r="B28" s="8" t="n">
        <v>0.865277777777778</v>
      </c>
      <c r="C28" s="9" t="n">
        <v>113679</v>
      </c>
      <c r="D28" s="9" t="s">
        <v>15</v>
      </c>
      <c r="E28" s="9" t="n">
        <v>22380</v>
      </c>
      <c r="F28" s="9" t="n">
        <v>15760</v>
      </c>
      <c r="G28" s="10" t="n">
        <v>6620</v>
      </c>
      <c r="H28" s="9" t="s">
        <v>11</v>
      </c>
      <c r="I28" s="9" t="s">
        <v>12</v>
      </c>
      <c r="J28" s="1" t="s">
        <v>13</v>
      </c>
    </row>
    <row r="29" customFormat="false" ht="13.8" hidden="false" customHeight="false" outlineLevel="0" collapsed="false">
      <c r="A29" s="7" t="n">
        <v>43710</v>
      </c>
      <c r="B29" s="8" t="n">
        <v>0.397222222222222</v>
      </c>
      <c r="C29" s="9" t="n">
        <v>113649</v>
      </c>
      <c r="D29" s="9" t="s">
        <v>14</v>
      </c>
      <c r="E29" s="9" t="n">
        <v>17660</v>
      </c>
      <c r="F29" s="9" t="n">
        <v>12460</v>
      </c>
      <c r="G29" s="10" t="n">
        <v>5200</v>
      </c>
      <c r="H29" s="9" t="s">
        <v>11</v>
      </c>
      <c r="I29" s="9" t="s">
        <v>12</v>
      </c>
      <c r="J29" s="1" t="s">
        <v>13</v>
      </c>
    </row>
    <row r="30" customFormat="false" ht="13.8" hidden="false" customHeight="false" outlineLevel="0" collapsed="false">
      <c r="A30" s="7" t="n">
        <v>43711</v>
      </c>
      <c r="B30" s="8" t="n">
        <v>0.129861111111111</v>
      </c>
      <c r="C30" s="9" t="n">
        <v>113687</v>
      </c>
      <c r="D30" s="9" t="s">
        <v>19</v>
      </c>
      <c r="E30" s="9" t="n">
        <v>21940</v>
      </c>
      <c r="F30" s="9" t="n">
        <v>15900</v>
      </c>
      <c r="G30" s="10" t="n">
        <v>6040</v>
      </c>
      <c r="H30" s="9" t="s">
        <v>11</v>
      </c>
      <c r="I30" s="9" t="s">
        <v>12</v>
      </c>
      <c r="J30" s="1" t="s">
        <v>13</v>
      </c>
    </row>
    <row r="31" customFormat="false" ht="13.8" hidden="false" customHeight="false" outlineLevel="0" collapsed="false">
      <c r="A31" s="7" t="n">
        <v>43711</v>
      </c>
      <c r="B31" s="8" t="n">
        <v>0.21875</v>
      </c>
      <c r="C31" s="9" t="n">
        <v>113696</v>
      </c>
      <c r="D31" s="9" t="s">
        <v>15</v>
      </c>
      <c r="E31" s="9" t="n">
        <v>23360</v>
      </c>
      <c r="F31" s="9" t="n">
        <v>15920</v>
      </c>
      <c r="G31" s="10" t="n">
        <v>7440</v>
      </c>
      <c r="H31" s="9" t="s">
        <v>11</v>
      </c>
      <c r="I31" s="9" t="s">
        <v>12</v>
      </c>
      <c r="J31" s="1" t="s">
        <v>13</v>
      </c>
    </row>
    <row r="32" customFormat="false" ht="13.8" hidden="false" customHeight="false" outlineLevel="0" collapsed="false">
      <c r="A32" s="7" t="n">
        <v>43711</v>
      </c>
      <c r="B32" s="8" t="n">
        <v>0.447916666666667</v>
      </c>
      <c r="C32" s="9" t="n">
        <v>113715</v>
      </c>
      <c r="D32" s="9" t="s">
        <v>10</v>
      </c>
      <c r="E32" s="9" t="n">
        <v>3140</v>
      </c>
      <c r="F32" s="9" t="n">
        <v>2740</v>
      </c>
      <c r="G32" s="10" t="n">
        <v>400</v>
      </c>
      <c r="H32" s="9" t="s">
        <v>11</v>
      </c>
      <c r="I32" s="9" t="s">
        <v>12</v>
      </c>
      <c r="J32" s="1" t="s">
        <v>13</v>
      </c>
    </row>
    <row r="33" customFormat="false" ht="13.8" hidden="false" customHeight="false" outlineLevel="0" collapsed="false">
      <c r="A33" s="7" t="n">
        <v>43711</v>
      </c>
      <c r="B33" s="8" t="n">
        <v>0.419444444444444</v>
      </c>
      <c r="C33" s="9" t="n">
        <v>91773</v>
      </c>
      <c r="D33" s="9" t="s">
        <v>19</v>
      </c>
      <c r="E33" s="9" t="n">
        <v>17460</v>
      </c>
      <c r="F33" s="9" t="n">
        <v>15860</v>
      </c>
      <c r="G33" s="10" t="n">
        <v>1600</v>
      </c>
      <c r="H33" s="9" t="s">
        <v>11</v>
      </c>
      <c r="I33" s="9" t="s">
        <v>21</v>
      </c>
      <c r="J33" s="1" t="s">
        <v>13</v>
      </c>
    </row>
    <row r="34" customFormat="false" ht="13.8" hidden="false" customHeight="false" outlineLevel="0" collapsed="false">
      <c r="A34" s="7" t="n">
        <v>43711</v>
      </c>
      <c r="B34" s="8" t="n">
        <v>0.483333333333333</v>
      </c>
      <c r="C34" s="9" t="n">
        <v>113721</v>
      </c>
      <c r="D34" s="9" t="s">
        <v>25</v>
      </c>
      <c r="E34" s="9" t="n">
        <v>3540</v>
      </c>
      <c r="F34" s="9" t="n">
        <v>2600</v>
      </c>
      <c r="G34" s="10" t="n">
        <v>940</v>
      </c>
      <c r="H34" s="9" t="s">
        <v>11</v>
      </c>
      <c r="I34" s="9" t="s">
        <v>12</v>
      </c>
      <c r="J34" s="1" t="s">
        <v>13</v>
      </c>
    </row>
    <row r="35" customFormat="false" ht="13.8" hidden="false" customHeight="false" outlineLevel="0" collapsed="false">
      <c r="A35" s="7" t="n">
        <v>43711</v>
      </c>
      <c r="B35" s="8" t="n">
        <v>0.511805555555555</v>
      </c>
      <c r="C35" s="9" t="n">
        <v>113726</v>
      </c>
      <c r="D35" s="9" t="s">
        <v>20</v>
      </c>
      <c r="E35" s="9" t="n">
        <v>19280</v>
      </c>
      <c r="F35" s="9" t="n">
        <v>15800</v>
      </c>
      <c r="G35" s="10" t="n">
        <v>3480</v>
      </c>
      <c r="H35" s="9" t="s">
        <v>11</v>
      </c>
      <c r="I35" s="9" t="s">
        <v>12</v>
      </c>
      <c r="J35" s="1" t="s">
        <v>13</v>
      </c>
    </row>
    <row r="36" customFormat="false" ht="13.8" hidden="false" customHeight="false" outlineLevel="0" collapsed="false">
      <c r="A36" s="7" t="n">
        <v>43711</v>
      </c>
      <c r="B36" s="8" t="n">
        <v>0.756944444444444</v>
      </c>
      <c r="C36" s="9" t="n">
        <v>113746</v>
      </c>
      <c r="D36" s="9" t="s">
        <v>17</v>
      </c>
      <c r="E36" s="9" t="n">
        <v>2640</v>
      </c>
      <c r="F36" s="9" t="n">
        <v>2400</v>
      </c>
      <c r="G36" s="10" t="n">
        <v>240</v>
      </c>
      <c r="H36" s="9" t="s">
        <v>11</v>
      </c>
      <c r="I36" s="9" t="s">
        <v>12</v>
      </c>
      <c r="J36" s="1" t="s">
        <v>13</v>
      </c>
    </row>
    <row r="37" customFormat="false" ht="13.8" hidden="false" customHeight="false" outlineLevel="0" collapsed="false">
      <c r="A37" s="7" t="n">
        <v>43711</v>
      </c>
      <c r="B37" s="8" t="n">
        <v>0.686805555555556</v>
      </c>
      <c r="C37" s="9" t="n">
        <v>113742</v>
      </c>
      <c r="D37" s="9" t="s">
        <v>14</v>
      </c>
      <c r="E37" s="9" t="n">
        <v>15460</v>
      </c>
      <c r="F37" s="9" t="n">
        <v>12900</v>
      </c>
      <c r="G37" s="10" t="n">
        <v>2560</v>
      </c>
      <c r="H37" s="9" t="s">
        <v>11</v>
      </c>
      <c r="I37" s="9" t="s">
        <v>12</v>
      </c>
      <c r="J37" s="1" t="s">
        <v>13</v>
      </c>
    </row>
    <row r="38" customFormat="false" ht="13.8" hidden="false" customHeight="false" outlineLevel="0" collapsed="false">
      <c r="A38" s="7" t="n">
        <v>43711</v>
      </c>
      <c r="B38" s="8" t="n">
        <v>0.2</v>
      </c>
      <c r="C38" s="9" t="n">
        <v>113694</v>
      </c>
      <c r="D38" s="9" t="s">
        <v>14</v>
      </c>
      <c r="E38" s="9" t="n">
        <v>22860</v>
      </c>
      <c r="F38" s="9" t="n">
        <v>12860</v>
      </c>
      <c r="G38" s="10" t="n">
        <v>10000</v>
      </c>
      <c r="H38" s="9" t="s">
        <v>11</v>
      </c>
      <c r="I38" s="9" t="s">
        <v>12</v>
      </c>
      <c r="J38" s="1" t="s">
        <v>13</v>
      </c>
    </row>
    <row r="39" customFormat="false" ht="13.8" hidden="false" customHeight="false" outlineLevel="0" collapsed="false">
      <c r="A39" s="7" t="n">
        <v>43711</v>
      </c>
      <c r="B39" s="8" t="n">
        <v>0.0673611111111111</v>
      </c>
      <c r="C39" s="9" t="n">
        <v>113681</v>
      </c>
      <c r="D39" s="9" t="s">
        <v>14</v>
      </c>
      <c r="E39" s="9" t="n">
        <v>22520</v>
      </c>
      <c r="F39" s="9" t="n">
        <v>12980</v>
      </c>
      <c r="G39" s="10" t="n">
        <v>9540</v>
      </c>
      <c r="H39" s="9" t="s">
        <v>11</v>
      </c>
      <c r="I39" s="9" t="s">
        <v>12</v>
      </c>
      <c r="J39" s="1" t="s">
        <v>13</v>
      </c>
    </row>
    <row r="40" customFormat="false" ht="13.8" hidden="false" customHeight="false" outlineLevel="0" collapsed="false">
      <c r="A40" s="7" t="n">
        <v>43711</v>
      </c>
      <c r="B40" s="8" t="n">
        <v>0.189583333333333</v>
      </c>
      <c r="C40" s="9" t="n">
        <v>113692</v>
      </c>
      <c r="D40" s="9" t="s">
        <v>16</v>
      </c>
      <c r="E40" s="9" t="n">
        <v>5120</v>
      </c>
      <c r="F40" s="9" t="n">
        <v>3620</v>
      </c>
      <c r="G40" s="10" t="n">
        <v>1500</v>
      </c>
      <c r="H40" s="9" t="s">
        <v>11</v>
      </c>
      <c r="I40" s="9" t="s">
        <v>12</v>
      </c>
      <c r="J40" s="1" t="s">
        <v>13</v>
      </c>
    </row>
    <row r="41" customFormat="false" ht="13.8" hidden="false" customHeight="false" outlineLevel="0" collapsed="false">
      <c r="A41" s="7" t="n">
        <v>43711</v>
      </c>
      <c r="B41" s="8" t="n">
        <v>0.449305555555556</v>
      </c>
      <c r="C41" s="9" t="n">
        <v>113716</v>
      </c>
      <c r="D41" s="9" t="s">
        <v>17</v>
      </c>
      <c r="E41" s="9" t="n">
        <v>2700</v>
      </c>
      <c r="F41" s="9" t="n">
        <v>2380</v>
      </c>
      <c r="G41" s="10" t="n">
        <v>320</v>
      </c>
      <c r="H41" s="9" t="s">
        <v>11</v>
      </c>
      <c r="I41" s="9" t="s">
        <v>12</v>
      </c>
      <c r="J41" s="1" t="s">
        <v>13</v>
      </c>
    </row>
    <row r="42" customFormat="false" ht="13.8" hidden="false" customHeight="false" outlineLevel="0" collapsed="false">
      <c r="A42" s="7" t="n">
        <v>43711</v>
      </c>
      <c r="B42" s="8" t="n">
        <v>0.911805555555556</v>
      </c>
      <c r="C42" s="9" t="n">
        <v>113751</v>
      </c>
      <c r="D42" s="9" t="s">
        <v>10</v>
      </c>
      <c r="E42" s="9" t="n">
        <v>3120</v>
      </c>
      <c r="F42" s="9" t="n">
        <v>2840</v>
      </c>
      <c r="G42" s="10" t="n">
        <v>280</v>
      </c>
      <c r="H42" s="9" t="s">
        <v>11</v>
      </c>
      <c r="I42" s="9" t="s">
        <v>12</v>
      </c>
      <c r="J42" s="1" t="s">
        <v>13</v>
      </c>
    </row>
    <row r="43" customFormat="false" ht="13.8" hidden="false" customHeight="false" outlineLevel="0" collapsed="false">
      <c r="A43" s="7" t="n">
        <v>43711</v>
      </c>
      <c r="B43" s="8" t="n">
        <v>0.871527777777778</v>
      </c>
      <c r="C43" s="9" t="n">
        <v>113749</v>
      </c>
      <c r="D43" s="9" t="s">
        <v>15</v>
      </c>
      <c r="E43" s="9" t="n">
        <v>22380</v>
      </c>
      <c r="F43" s="9" t="n">
        <v>15900</v>
      </c>
      <c r="G43" s="10" t="n">
        <v>6480</v>
      </c>
      <c r="H43" s="9" t="s">
        <v>11</v>
      </c>
      <c r="I43" s="9" t="s">
        <v>12</v>
      </c>
      <c r="J43" s="1" t="s">
        <v>13</v>
      </c>
    </row>
    <row r="44" customFormat="false" ht="13.8" hidden="false" customHeight="false" outlineLevel="0" collapsed="false">
      <c r="A44" s="7" t="n">
        <v>43711</v>
      </c>
      <c r="B44" s="8" t="n">
        <v>0.352083333333333</v>
      </c>
      <c r="C44" s="9" t="n">
        <v>113707</v>
      </c>
      <c r="D44" s="9" t="s">
        <v>10</v>
      </c>
      <c r="E44" s="9" t="n">
        <v>3260</v>
      </c>
      <c r="F44" s="9" t="n">
        <v>2820</v>
      </c>
      <c r="G44" s="10" t="n">
        <v>440</v>
      </c>
      <c r="H44" s="9" t="s">
        <v>11</v>
      </c>
      <c r="I44" s="9" t="s">
        <v>24</v>
      </c>
      <c r="J44" s="1" t="s">
        <v>13</v>
      </c>
    </row>
    <row r="45" customFormat="false" ht="13.8" hidden="false" customHeight="false" outlineLevel="0" collapsed="false">
      <c r="A45" s="7" t="n">
        <v>43711</v>
      </c>
      <c r="B45" s="8" t="n">
        <v>0.486111111111111</v>
      </c>
      <c r="C45" s="9" t="n">
        <v>113722</v>
      </c>
      <c r="D45" s="9" t="s">
        <v>10</v>
      </c>
      <c r="E45" s="9" t="n">
        <v>2920</v>
      </c>
      <c r="F45" s="9" t="n">
        <v>2740</v>
      </c>
      <c r="G45" s="10" t="n">
        <v>180</v>
      </c>
      <c r="H45" s="9" t="s">
        <v>11</v>
      </c>
      <c r="I45" s="9" t="s">
        <v>24</v>
      </c>
      <c r="J45" s="1" t="s">
        <v>13</v>
      </c>
    </row>
    <row r="46" customFormat="false" ht="13.8" hidden="false" customHeight="false" outlineLevel="0" collapsed="false">
      <c r="A46" s="7" t="n">
        <v>43712</v>
      </c>
      <c r="B46" s="8" t="n">
        <v>0.229166666666667</v>
      </c>
      <c r="C46" s="9" t="n">
        <v>113765</v>
      </c>
      <c r="D46" s="9" t="s">
        <v>15</v>
      </c>
      <c r="E46" s="9" t="n">
        <v>23060</v>
      </c>
      <c r="F46" s="9" t="n">
        <v>15900</v>
      </c>
      <c r="G46" s="10" t="n">
        <v>7160</v>
      </c>
      <c r="H46" s="9" t="s">
        <v>11</v>
      </c>
      <c r="I46" s="9" t="s">
        <v>12</v>
      </c>
      <c r="J46" s="1" t="s">
        <v>13</v>
      </c>
    </row>
    <row r="47" customFormat="false" ht="13.8" hidden="false" customHeight="false" outlineLevel="0" collapsed="false">
      <c r="A47" s="7" t="n">
        <v>43712</v>
      </c>
      <c r="B47" s="8" t="n">
        <v>0.216666666666667</v>
      </c>
      <c r="C47" s="9" t="n">
        <v>113761</v>
      </c>
      <c r="D47" s="9" t="s">
        <v>14</v>
      </c>
      <c r="E47" s="9" t="n">
        <v>22760</v>
      </c>
      <c r="F47" s="9" t="n">
        <v>13020</v>
      </c>
      <c r="G47" s="10" t="n">
        <v>9740</v>
      </c>
      <c r="H47" s="9" t="s">
        <v>11</v>
      </c>
      <c r="I47" s="9" t="s">
        <v>12</v>
      </c>
      <c r="J47" s="1" t="s">
        <v>13</v>
      </c>
    </row>
    <row r="48" customFormat="false" ht="13.8" hidden="false" customHeight="false" outlineLevel="0" collapsed="false">
      <c r="A48" s="7" t="n">
        <v>43712</v>
      </c>
      <c r="B48" s="8" t="n">
        <v>0.0673611111111111</v>
      </c>
      <c r="C48" s="9" t="n">
        <v>113752</v>
      </c>
      <c r="D48" s="9" t="s">
        <v>14</v>
      </c>
      <c r="E48" s="9" t="n">
        <v>22580</v>
      </c>
      <c r="F48" s="9" t="n">
        <v>13000</v>
      </c>
      <c r="G48" s="10" t="n">
        <v>9580</v>
      </c>
      <c r="H48" s="9" t="s">
        <v>11</v>
      </c>
      <c r="I48" s="9" t="s">
        <v>12</v>
      </c>
      <c r="J48" s="1" t="s">
        <v>13</v>
      </c>
    </row>
    <row r="49" customFormat="false" ht="13.8" hidden="false" customHeight="false" outlineLevel="0" collapsed="false">
      <c r="A49" s="7" t="n">
        <v>43712</v>
      </c>
      <c r="B49" s="8" t="n">
        <v>0.122916666666667</v>
      </c>
      <c r="C49" s="9" t="n">
        <v>113756</v>
      </c>
      <c r="D49" s="9" t="s">
        <v>19</v>
      </c>
      <c r="E49" s="9" t="n">
        <v>21800</v>
      </c>
      <c r="F49" s="9" t="n">
        <v>15840</v>
      </c>
      <c r="G49" s="10" t="n">
        <v>5960</v>
      </c>
      <c r="H49" s="9" t="s">
        <v>11</v>
      </c>
      <c r="I49" s="9" t="s">
        <v>12</v>
      </c>
      <c r="J49" s="1" t="s">
        <v>13</v>
      </c>
    </row>
    <row r="50" customFormat="false" ht="13.8" hidden="false" customHeight="false" outlineLevel="0" collapsed="false">
      <c r="A50" s="7" t="n">
        <v>43712</v>
      </c>
      <c r="B50" s="8" t="n">
        <v>0.225694444444444</v>
      </c>
      <c r="C50" s="9" t="n">
        <v>113764</v>
      </c>
      <c r="D50" s="9" t="s">
        <v>16</v>
      </c>
      <c r="E50" s="9" t="n">
        <v>5320</v>
      </c>
      <c r="F50" s="9" t="n">
        <v>3700</v>
      </c>
      <c r="G50" s="10" t="n">
        <v>1620</v>
      </c>
      <c r="H50" s="9" t="s">
        <v>11</v>
      </c>
      <c r="I50" s="9" t="s">
        <v>12</v>
      </c>
      <c r="J50" s="1" t="s">
        <v>13</v>
      </c>
    </row>
    <row r="51" customFormat="false" ht="13.8" hidden="false" customHeight="false" outlineLevel="0" collapsed="false">
      <c r="A51" s="7" t="n">
        <v>43712</v>
      </c>
      <c r="B51" s="8" t="n">
        <v>0.491666666666667</v>
      </c>
      <c r="C51" s="9" t="n">
        <v>113793</v>
      </c>
      <c r="D51" s="9" t="s">
        <v>10</v>
      </c>
      <c r="E51" s="9" t="n">
        <v>3780</v>
      </c>
      <c r="F51" s="9" t="n">
        <v>2840</v>
      </c>
      <c r="G51" s="10" t="n">
        <v>940</v>
      </c>
      <c r="H51" s="9" t="s">
        <v>11</v>
      </c>
      <c r="I51" s="9" t="s">
        <v>24</v>
      </c>
      <c r="J51" s="1" t="s">
        <v>13</v>
      </c>
    </row>
    <row r="52" customFormat="false" ht="13.8" hidden="false" customHeight="false" outlineLevel="0" collapsed="false">
      <c r="A52" s="7" t="n">
        <v>43712</v>
      </c>
      <c r="B52" s="8" t="n">
        <v>0.690972222222222</v>
      </c>
      <c r="C52" s="9" t="n">
        <v>113814</v>
      </c>
      <c r="D52" s="9" t="s">
        <v>14</v>
      </c>
      <c r="E52" s="9" t="n">
        <v>15980</v>
      </c>
      <c r="F52" s="9" t="n">
        <v>12840</v>
      </c>
      <c r="G52" s="10" t="n">
        <v>3140</v>
      </c>
      <c r="H52" s="9" t="s">
        <v>11</v>
      </c>
      <c r="I52" s="9" t="s">
        <v>12</v>
      </c>
      <c r="J52" s="1" t="s">
        <v>13</v>
      </c>
    </row>
    <row r="53" customFormat="false" ht="13.8" hidden="false" customHeight="false" outlineLevel="0" collapsed="false">
      <c r="A53" s="7" t="n">
        <v>43712</v>
      </c>
      <c r="B53" s="8" t="n">
        <v>0.852083333333333</v>
      </c>
      <c r="C53" s="9" t="n">
        <v>113820</v>
      </c>
      <c r="D53" s="9" t="s">
        <v>15</v>
      </c>
      <c r="E53" s="9" t="n">
        <v>22860</v>
      </c>
      <c r="F53" s="9" t="n">
        <v>15780</v>
      </c>
      <c r="G53" s="10" t="n">
        <v>7080</v>
      </c>
      <c r="H53" s="9" t="s">
        <v>11</v>
      </c>
      <c r="I53" s="9" t="s">
        <v>12</v>
      </c>
      <c r="J53" s="1" t="s">
        <v>13</v>
      </c>
    </row>
    <row r="54" customFormat="false" ht="13.8" hidden="false" customHeight="false" outlineLevel="0" collapsed="false">
      <c r="A54" s="7" t="n">
        <v>43712</v>
      </c>
      <c r="B54" s="8" t="n">
        <v>0.740277777777778</v>
      </c>
      <c r="C54" s="9" t="n">
        <v>113816</v>
      </c>
      <c r="D54" s="9" t="s">
        <v>17</v>
      </c>
      <c r="E54" s="9" t="n">
        <v>2660</v>
      </c>
      <c r="F54" s="9" t="n">
        <v>2380</v>
      </c>
      <c r="G54" s="10" t="n">
        <v>280</v>
      </c>
      <c r="H54" s="9" t="s">
        <v>11</v>
      </c>
      <c r="I54" s="9" t="s">
        <v>12</v>
      </c>
      <c r="J54" s="1" t="s">
        <v>13</v>
      </c>
    </row>
    <row r="55" customFormat="false" ht="13.8" hidden="false" customHeight="false" outlineLevel="0" collapsed="false">
      <c r="A55" s="7" t="n">
        <v>43712</v>
      </c>
      <c r="B55" s="8" t="n">
        <v>0.379166666666667</v>
      </c>
      <c r="C55" s="9" t="n">
        <v>113782</v>
      </c>
      <c r="D55" s="9" t="s">
        <v>10</v>
      </c>
      <c r="E55" s="9" t="n">
        <v>3180</v>
      </c>
      <c r="F55" s="9" t="n">
        <v>2860</v>
      </c>
      <c r="G55" s="10" t="n">
        <v>320</v>
      </c>
      <c r="H55" s="9" t="s">
        <v>11</v>
      </c>
      <c r="I55" s="9" t="s">
        <v>12</v>
      </c>
      <c r="J55" s="1" t="s">
        <v>13</v>
      </c>
    </row>
    <row r="56" customFormat="false" ht="13.8" hidden="false" customHeight="false" outlineLevel="0" collapsed="false">
      <c r="A56" s="7" t="n">
        <v>43712</v>
      </c>
      <c r="B56" s="8" t="n">
        <v>0.920138888888889</v>
      </c>
      <c r="C56" s="9" t="n">
        <v>113823</v>
      </c>
      <c r="D56" s="9" t="s">
        <v>10</v>
      </c>
      <c r="E56" s="9" t="n">
        <v>3180</v>
      </c>
      <c r="F56" s="9" t="n">
        <v>3000</v>
      </c>
      <c r="G56" s="10" t="n">
        <v>180</v>
      </c>
      <c r="H56" s="9" t="s">
        <v>11</v>
      </c>
      <c r="I56" s="9" t="s">
        <v>12</v>
      </c>
      <c r="J56" s="1" t="s">
        <v>13</v>
      </c>
    </row>
    <row r="57" customFormat="false" ht="13.8" hidden="false" customHeight="false" outlineLevel="0" collapsed="false">
      <c r="A57" s="7" t="n">
        <v>43713</v>
      </c>
      <c r="B57" s="8" t="n">
        <v>0.154166666666667</v>
      </c>
      <c r="C57" s="9" t="n">
        <v>113831</v>
      </c>
      <c r="D57" s="9" t="s">
        <v>25</v>
      </c>
      <c r="E57" s="9" t="n">
        <v>3580</v>
      </c>
      <c r="F57" s="9" t="n">
        <v>2680</v>
      </c>
      <c r="G57" s="10" t="n">
        <v>900</v>
      </c>
      <c r="H57" s="9" t="s">
        <v>11</v>
      </c>
      <c r="I57" s="9" t="s">
        <v>12</v>
      </c>
      <c r="J57" s="1" t="s">
        <v>13</v>
      </c>
    </row>
    <row r="58" customFormat="false" ht="13.8" hidden="false" customHeight="false" outlineLevel="0" collapsed="false">
      <c r="A58" s="7" t="n">
        <v>43713</v>
      </c>
      <c r="B58" s="8" t="n">
        <v>0.230555555555556</v>
      </c>
      <c r="C58" s="9" t="n">
        <v>113837</v>
      </c>
      <c r="D58" s="9" t="s">
        <v>25</v>
      </c>
      <c r="E58" s="9" t="n">
        <v>3500</v>
      </c>
      <c r="F58" s="9" t="n">
        <v>2880</v>
      </c>
      <c r="G58" s="10" t="n">
        <v>620</v>
      </c>
      <c r="H58" s="9" t="s">
        <v>11</v>
      </c>
      <c r="I58" s="9" t="s">
        <v>12</v>
      </c>
      <c r="J58" s="1" t="s">
        <v>13</v>
      </c>
    </row>
    <row r="59" customFormat="false" ht="13.8" hidden="false" customHeight="false" outlineLevel="0" collapsed="false">
      <c r="A59" s="13" t="n">
        <v>43713</v>
      </c>
      <c r="B59" s="8" t="n">
        <v>0.207638888888889</v>
      </c>
      <c r="C59" s="9" t="n">
        <v>113836</v>
      </c>
      <c r="D59" s="9" t="s">
        <v>14</v>
      </c>
      <c r="E59" s="9" t="n">
        <v>22200</v>
      </c>
      <c r="F59" s="9" t="n">
        <v>12960</v>
      </c>
      <c r="G59" s="10" t="n">
        <v>9240</v>
      </c>
      <c r="H59" s="9" t="s">
        <v>11</v>
      </c>
      <c r="I59" s="9" t="s">
        <v>12</v>
      </c>
      <c r="J59" s="1" t="s">
        <v>13</v>
      </c>
    </row>
    <row r="60" customFormat="false" ht="13.8" hidden="false" customHeight="false" outlineLevel="0" collapsed="false">
      <c r="A60" s="7" t="n">
        <v>43713</v>
      </c>
      <c r="B60" s="8" t="n">
        <v>0.0625</v>
      </c>
      <c r="C60" s="9" t="n">
        <v>113825</v>
      </c>
      <c r="D60" s="9" t="s">
        <v>14</v>
      </c>
      <c r="E60" s="9" t="n">
        <v>23920</v>
      </c>
      <c r="F60" s="9" t="n">
        <v>13060</v>
      </c>
      <c r="G60" s="10" t="n">
        <v>10860</v>
      </c>
      <c r="H60" s="9" t="s">
        <v>11</v>
      </c>
      <c r="I60" s="9" t="s">
        <v>12</v>
      </c>
      <c r="J60" s="1" t="s">
        <v>13</v>
      </c>
    </row>
    <row r="61" customFormat="false" ht="13.8" hidden="false" customHeight="false" outlineLevel="0" collapsed="false">
      <c r="A61" s="7" t="n">
        <v>43713</v>
      </c>
      <c r="B61" s="8" t="n">
        <v>0.241666666666667</v>
      </c>
      <c r="C61" s="9" t="n">
        <v>113838</v>
      </c>
      <c r="D61" s="9" t="s">
        <v>15</v>
      </c>
      <c r="E61" s="9" t="n">
        <v>26720</v>
      </c>
      <c r="F61" s="9" t="n">
        <v>15980</v>
      </c>
      <c r="G61" s="10" t="n">
        <v>10740</v>
      </c>
      <c r="H61" s="9" t="s">
        <v>11</v>
      </c>
      <c r="I61" s="9" t="s">
        <v>12</v>
      </c>
      <c r="J61" s="1" t="s">
        <v>13</v>
      </c>
    </row>
    <row r="62" customFormat="false" ht="13.8" hidden="false" customHeight="false" outlineLevel="0" collapsed="false">
      <c r="A62" s="7" t="n">
        <v>43713</v>
      </c>
      <c r="B62" s="8" t="n">
        <v>0.466666666666667</v>
      </c>
      <c r="C62" s="9" t="n">
        <v>113861</v>
      </c>
      <c r="D62" s="9" t="s">
        <v>17</v>
      </c>
      <c r="E62" s="9" t="n">
        <v>2560</v>
      </c>
      <c r="F62" s="9" t="n">
        <v>2380</v>
      </c>
      <c r="G62" s="10" t="n">
        <v>180</v>
      </c>
      <c r="H62" s="9" t="s">
        <v>11</v>
      </c>
      <c r="I62" s="9" t="s">
        <v>12</v>
      </c>
      <c r="J62" s="1" t="s">
        <v>13</v>
      </c>
    </row>
    <row r="63" customFormat="false" ht="13.8" hidden="false" customHeight="false" outlineLevel="0" collapsed="false">
      <c r="A63" s="7" t="n">
        <v>43713</v>
      </c>
      <c r="B63" s="8" t="n">
        <v>0.761805555555556</v>
      </c>
      <c r="C63" s="9" t="n">
        <v>113883</v>
      </c>
      <c r="D63" s="9" t="s">
        <v>17</v>
      </c>
      <c r="E63" s="9" t="n">
        <v>2660</v>
      </c>
      <c r="F63" s="9" t="n">
        <v>2460</v>
      </c>
      <c r="G63" s="10" t="n">
        <v>200</v>
      </c>
      <c r="H63" s="9" t="s">
        <v>11</v>
      </c>
      <c r="I63" s="9" t="s">
        <v>12</v>
      </c>
      <c r="J63" s="1" t="s">
        <v>13</v>
      </c>
    </row>
    <row r="64" customFormat="false" ht="13.8" hidden="false" customHeight="false" outlineLevel="0" collapsed="false">
      <c r="A64" s="7" t="n">
        <v>43713</v>
      </c>
      <c r="B64" s="8" t="n">
        <v>0.877083333333333</v>
      </c>
      <c r="C64" s="9" t="n">
        <v>113888</v>
      </c>
      <c r="D64" s="9" t="s">
        <v>10</v>
      </c>
      <c r="E64" s="9" t="n">
        <v>3200</v>
      </c>
      <c r="F64" s="9" t="n">
        <v>3000</v>
      </c>
      <c r="G64" s="10" t="n">
        <v>200</v>
      </c>
      <c r="H64" s="9" t="s">
        <v>11</v>
      </c>
      <c r="I64" s="9" t="s">
        <v>12</v>
      </c>
      <c r="J64" s="1" t="s">
        <v>13</v>
      </c>
    </row>
    <row r="65" customFormat="false" ht="13.8" hidden="false" customHeight="false" outlineLevel="0" collapsed="false">
      <c r="A65" s="7" t="n">
        <v>43713</v>
      </c>
      <c r="B65" s="8" t="n">
        <v>0.461111111111111</v>
      </c>
      <c r="C65" s="9" t="n">
        <v>113859</v>
      </c>
      <c r="D65" s="9" t="s">
        <v>10</v>
      </c>
      <c r="E65" s="9" t="n">
        <v>3380</v>
      </c>
      <c r="F65" s="9" t="n">
        <v>2840</v>
      </c>
      <c r="G65" s="10" t="n">
        <v>540</v>
      </c>
      <c r="H65" s="9" t="s">
        <v>11</v>
      </c>
      <c r="I65" s="9" t="s">
        <v>12</v>
      </c>
      <c r="J65" s="1" t="s">
        <v>13</v>
      </c>
    </row>
    <row r="66" customFormat="false" ht="13.8" hidden="false" customHeight="false" outlineLevel="0" collapsed="false">
      <c r="A66" s="7" t="n">
        <v>43713</v>
      </c>
      <c r="B66" s="8" t="n">
        <v>0.681944444444445</v>
      </c>
      <c r="C66" s="9" t="n">
        <v>113880</v>
      </c>
      <c r="D66" s="9" t="s">
        <v>14</v>
      </c>
      <c r="E66" s="9" t="n">
        <v>15220</v>
      </c>
      <c r="F66" s="9" t="n">
        <v>12900</v>
      </c>
      <c r="G66" s="10" t="n">
        <v>2320</v>
      </c>
      <c r="H66" s="9" t="s">
        <v>11</v>
      </c>
      <c r="I66" s="9" t="s">
        <v>12</v>
      </c>
      <c r="J66" s="1" t="s">
        <v>13</v>
      </c>
    </row>
    <row r="67" customFormat="false" ht="13.8" hidden="false" customHeight="false" outlineLevel="0" collapsed="false">
      <c r="A67" s="7" t="n">
        <v>43713</v>
      </c>
      <c r="B67" s="8" t="n">
        <v>0.466666666666667</v>
      </c>
      <c r="C67" s="9" t="n">
        <v>91838</v>
      </c>
      <c r="D67" s="9" t="s">
        <v>19</v>
      </c>
      <c r="E67" s="9" t="n">
        <v>16640</v>
      </c>
      <c r="F67" s="9" t="n">
        <v>15760</v>
      </c>
      <c r="G67" s="10" t="n">
        <v>880</v>
      </c>
      <c r="H67" s="9" t="s">
        <v>11</v>
      </c>
      <c r="I67" s="9" t="s">
        <v>21</v>
      </c>
      <c r="J67" s="1" t="s">
        <v>13</v>
      </c>
    </row>
    <row r="68" customFormat="false" ht="13.8" hidden="false" customHeight="false" outlineLevel="0" collapsed="false">
      <c r="A68" s="7" t="n">
        <v>43714</v>
      </c>
      <c r="B68" s="8" t="n">
        <v>0.0708333333333333</v>
      </c>
      <c r="C68" s="9" t="n">
        <v>113891</v>
      </c>
      <c r="D68" s="9" t="s">
        <v>14</v>
      </c>
      <c r="E68" s="9" t="n">
        <v>23520</v>
      </c>
      <c r="F68" s="9" t="n">
        <v>13080</v>
      </c>
      <c r="G68" s="10" t="n">
        <v>10440</v>
      </c>
      <c r="H68" s="9" t="s">
        <v>11</v>
      </c>
      <c r="I68" s="9" t="s">
        <v>12</v>
      </c>
      <c r="J68" s="1" t="s">
        <v>13</v>
      </c>
    </row>
    <row r="69" customFormat="false" ht="13.8" hidden="false" customHeight="false" outlineLevel="0" collapsed="false">
      <c r="A69" s="7" t="n">
        <v>43714</v>
      </c>
      <c r="B69" s="8" t="n">
        <v>0.245833333333333</v>
      </c>
      <c r="C69" s="9" t="n">
        <v>113908</v>
      </c>
      <c r="D69" s="9" t="s">
        <v>15</v>
      </c>
      <c r="E69" s="9" t="n">
        <v>23560</v>
      </c>
      <c r="F69" s="9" t="n">
        <v>15820</v>
      </c>
      <c r="G69" s="10" t="n">
        <v>7740</v>
      </c>
      <c r="H69" s="9" t="s">
        <v>11</v>
      </c>
      <c r="I69" s="9" t="s">
        <v>12</v>
      </c>
      <c r="J69" s="1" t="s">
        <v>13</v>
      </c>
    </row>
    <row r="70" customFormat="false" ht="13.8" hidden="false" customHeight="false" outlineLevel="0" collapsed="false">
      <c r="A70" s="7" t="n">
        <v>43714</v>
      </c>
      <c r="B70" s="8" t="n">
        <v>0.125694444444444</v>
      </c>
      <c r="C70" s="9" t="n">
        <v>113897</v>
      </c>
      <c r="D70" s="9" t="s">
        <v>19</v>
      </c>
      <c r="E70" s="9" t="n">
        <v>22100</v>
      </c>
      <c r="F70" s="9" t="n">
        <v>15760</v>
      </c>
      <c r="G70" s="10" t="n">
        <v>6340</v>
      </c>
      <c r="H70" s="9" t="s">
        <v>11</v>
      </c>
      <c r="I70" s="9" t="s">
        <v>12</v>
      </c>
      <c r="J70" s="1" t="s">
        <v>13</v>
      </c>
    </row>
    <row r="71" customFormat="false" ht="13.8" hidden="false" customHeight="false" outlineLevel="0" collapsed="false">
      <c r="A71" s="7" t="n">
        <v>43713</v>
      </c>
      <c r="B71" s="8" t="n">
        <v>0.875</v>
      </c>
      <c r="C71" s="9" t="n">
        <v>113887</v>
      </c>
      <c r="D71" s="9" t="s">
        <v>15</v>
      </c>
      <c r="E71" s="9" t="n">
        <v>22560</v>
      </c>
      <c r="F71" s="9" t="n">
        <v>15840</v>
      </c>
      <c r="G71" s="10" t="n">
        <v>6720</v>
      </c>
      <c r="H71" s="9" t="s">
        <v>11</v>
      </c>
      <c r="I71" s="9" t="s">
        <v>12</v>
      </c>
      <c r="J71" s="1" t="s">
        <v>13</v>
      </c>
    </row>
    <row r="72" customFormat="false" ht="13.8" hidden="false" customHeight="false" outlineLevel="0" collapsed="false">
      <c r="A72" s="7" t="n">
        <v>43714</v>
      </c>
      <c r="B72" s="8" t="n">
        <v>0.227083333333333</v>
      </c>
      <c r="C72" s="9" t="n">
        <v>113906</v>
      </c>
      <c r="D72" s="9" t="s">
        <v>14</v>
      </c>
      <c r="E72" s="9" t="n">
        <v>22140</v>
      </c>
      <c r="F72" s="9" t="n">
        <v>12920</v>
      </c>
      <c r="G72" s="10" t="n">
        <v>9220</v>
      </c>
      <c r="H72" s="9" t="s">
        <v>11</v>
      </c>
      <c r="I72" s="9" t="s">
        <v>12</v>
      </c>
      <c r="J72" s="1" t="s">
        <v>13</v>
      </c>
    </row>
    <row r="73" customFormat="false" ht="13.8" hidden="false" customHeight="false" outlineLevel="0" collapsed="false">
      <c r="A73" s="7" t="n">
        <v>43714</v>
      </c>
      <c r="B73" s="8" t="n">
        <v>0.143055555555556</v>
      </c>
      <c r="C73" s="9" t="n">
        <v>113899</v>
      </c>
      <c r="D73" s="9" t="s">
        <v>16</v>
      </c>
      <c r="E73" s="9" t="n">
        <v>4520</v>
      </c>
      <c r="F73" s="9" t="n">
        <v>3580</v>
      </c>
      <c r="G73" s="10" t="n">
        <v>940</v>
      </c>
      <c r="H73" s="9" t="s">
        <v>11</v>
      </c>
      <c r="I73" s="9" t="s">
        <v>12</v>
      </c>
      <c r="J73" s="1" t="s">
        <v>13</v>
      </c>
    </row>
    <row r="74" customFormat="false" ht="13.8" hidden="false" customHeight="false" outlineLevel="0" collapsed="false">
      <c r="A74" s="7" t="n">
        <v>43714</v>
      </c>
      <c r="B74" s="8" t="n">
        <v>0.35</v>
      </c>
      <c r="C74" s="9" t="n">
        <v>113923</v>
      </c>
      <c r="D74" s="9" t="s">
        <v>10</v>
      </c>
      <c r="E74" s="9" t="n">
        <v>3120</v>
      </c>
      <c r="F74" s="9" t="n">
        <v>2800</v>
      </c>
      <c r="G74" s="10" t="n">
        <v>320</v>
      </c>
      <c r="H74" s="9" t="s">
        <v>11</v>
      </c>
      <c r="I74" s="9" t="s">
        <v>12</v>
      </c>
      <c r="J74" s="1" t="s">
        <v>13</v>
      </c>
    </row>
    <row r="75" customFormat="false" ht="13.8" hidden="false" customHeight="false" outlineLevel="0" collapsed="false">
      <c r="A75" s="7" t="n">
        <v>43714</v>
      </c>
      <c r="B75" s="8" t="n">
        <v>0.498611111111111</v>
      </c>
      <c r="C75" s="9" t="n">
        <v>113941</v>
      </c>
      <c r="D75" s="9" t="s">
        <v>10</v>
      </c>
      <c r="E75" s="9" t="n">
        <v>3200</v>
      </c>
      <c r="F75" s="9" t="n">
        <v>2840</v>
      </c>
      <c r="G75" s="10" t="n">
        <v>360</v>
      </c>
      <c r="H75" s="9" t="s">
        <v>11</v>
      </c>
      <c r="I75" s="9" t="s">
        <v>24</v>
      </c>
      <c r="J75" s="1" t="s">
        <v>13</v>
      </c>
    </row>
    <row r="76" customFormat="false" ht="13.8" hidden="false" customHeight="false" outlineLevel="0" collapsed="false">
      <c r="A76" s="7" t="n">
        <v>43714</v>
      </c>
      <c r="B76" s="8" t="n">
        <v>0.7375</v>
      </c>
      <c r="C76" s="9" t="n">
        <v>113961</v>
      </c>
      <c r="D76" s="9" t="s">
        <v>17</v>
      </c>
      <c r="E76" s="9" t="n">
        <v>2680</v>
      </c>
      <c r="F76" s="9" t="n">
        <v>2480</v>
      </c>
      <c r="G76" s="10" t="n">
        <v>200</v>
      </c>
      <c r="H76" s="9" t="s">
        <v>11</v>
      </c>
      <c r="I76" s="9" t="s">
        <v>12</v>
      </c>
      <c r="J76" s="1" t="s">
        <v>13</v>
      </c>
    </row>
    <row r="77" customFormat="false" ht="13.8" hidden="false" customHeight="false" outlineLevel="0" collapsed="false">
      <c r="A77" s="7" t="n">
        <v>43714</v>
      </c>
      <c r="B77" s="8" t="n">
        <v>0.874305555555556</v>
      </c>
      <c r="C77" s="9" t="n">
        <v>113965</v>
      </c>
      <c r="D77" s="9" t="s">
        <v>17</v>
      </c>
      <c r="E77" s="9" t="n">
        <v>2680</v>
      </c>
      <c r="F77" s="9" t="n">
        <v>2560</v>
      </c>
      <c r="G77" s="10" t="n">
        <v>120</v>
      </c>
      <c r="H77" s="9" t="s">
        <v>11</v>
      </c>
      <c r="I77" s="9" t="s">
        <v>12</v>
      </c>
      <c r="J77" s="1" t="s">
        <v>13</v>
      </c>
    </row>
    <row r="78" customFormat="false" ht="13.8" hidden="false" customHeight="false" outlineLevel="0" collapsed="false">
      <c r="A78" s="7" t="n">
        <v>43714</v>
      </c>
      <c r="B78" s="8" t="n">
        <v>0.690277777777778</v>
      </c>
      <c r="C78" s="9" t="n">
        <v>113958</v>
      </c>
      <c r="D78" s="9" t="s">
        <v>14</v>
      </c>
      <c r="E78" s="9" t="n">
        <v>15360</v>
      </c>
      <c r="F78" s="9" t="n">
        <v>12840</v>
      </c>
      <c r="G78" s="10" t="n">
        <v>2520</v>
      </c>
      <c r="H78" s="9" t="s">
        <v>11</v>
      </c>
      <c r="I78" s="9" t="s">
        <v>12</v>
      </c>
      <c r="J78" s="1" t="s">
        <v>13</v>
      </c>
    </row>
    <row r="79" customFormat="false" ht="13.8" hidden="false" customHeight="false" outlineLevel="0" collapsed="false">
      <c r="A79" s="7" t="n">
        <v>43714</v>
      </c>
      <c r="B79" s="8" t="n">
        <v>0.525</v>
      </c>
      <c r="C79" s="9" t="n">
        <v>113944</v>
      </c>
      <c r="D79" s="9" t="s">
        <v>20</v>
      </c>
      <c r="E79" s="9" t="n">
        <v>18020</v>
      </c>
      <c r="F79" s="9" t="n">
        <v>15880</v>
      </c>
      <c r="G79" s="10" t="n">
        <v>2140</v>
      </c>
      <c r="H79" s="9" t="s">
        <v>11</v>
      </c>
      <c r="I79" s="9" t="s">
        <v>24</v>
      </c>
      <c r="J79" s="1" t="s">
        <v>13</v>
      </c>
    </row>
    <row r="80" customFormat="false" ht="13.8" hidden="false" customHeight="false" outlineLevel="0" collapsed="false">
      <c r="A80" s="7" t="n">
        <v>43714</v>
      </c>
      <c r="B80" s="8" t="n">
        <v>0.478472222222222</v>
      </c>
      <c r="C80" s="9" t="n">
        <v>113937</v>
      </c>
      <c r="D80" s="9" t="s">
        <v>17</v>
      </c>
      <c r="E80" s="9" t="n">
        <v>2560</v>
      </c>
      <c r="F80" s="9" t="n">
        <v>2400</v>
      </c>
      <c r="G80" s="10" t="n">
        <v>160</v>
      </c>
      <c r="H80" s="9" t="s">
        <v>11</v>
      </c>
      <c r="I80" s="9" t="s">
        <v>12</v>
      </c>
      <c r="J80" s="1" t="s">
        <v>13</v>
      </c>
    </row>
    <row r="81" customFormat="false" ht="13.8" hidden="false" customHeight="false" outlineLevel="0" collapsed="false">
      <c r="A81" s="7" t="n">
        <v>43714</v>
      </c>
      <c r="B81" s="8" t="n">
        <v>0.225694444444444</v>
      </c>
      <c r="C81" s="9" t="n">
        <v>113905</v>
      </c>
      <c r="D81" s="9" t="s">
        <v>16</v>
      </c>
      <c r="E81" s="9" t="n">
        <v>4420</v>
      </c>
      <c r="F81" s="9" t="n">
        <v>3740</v>
      </c>
      <c r="G81" s="10" t="n">
        <v>680</v>
      </c>
      <c r="H81" s="9" t="s">
        <v>11</v>
      </c>
      <c r="I81" s="9" t="s">
        <v>12</v>
      </c>
      <c r="J81" s="1" t="s">
        <v>13</v>
      </c>
    </row>
    <row r="82" customFormat="false" ht="13.8" hidden="false" customHeight="false" outlineLevel="0" collapsed="false">
      <c r="A82" s="7" t="n">
        <v>43714</v>
      </c>
      <c r="B82" s="8" t="n">
        <v>0.875694444444444</v>
      </c>
      <c r="C82" s="9" t="n">
        <v>113966</v>
      </c>
      <c r="D82" s="9" t="s">
        <v>15</v>
      </c>
      <c r="E82" s="9" t="n">
        <v>22960</v>
      </c>
      <c r="F82" s="9" t="n">
        <v>15860</v>
      </c>
      <c r="G82" s="10" t="n">
        <v>7100</v>
      </c>
      <c r="H82" s="9" t="s">
        <v>11</v>
      </c>
      <c r="I82" s="9" t="s">
        <v>12</v>
      </c>
      <c r="J82" s="1" t="s">
        <v>13</v>
      </c>
    </row>
    <row r="83" customFormat="false" ht="13.8" hidden="false" customHeight="false" outlineLevel="0" collapsed="false">
      <c r="A83" s="7" t="n">
        <v>43715</v>
      </c>
      <c r="B83" s="8" t="n">
        <v>0.852777777777778</v>
      </c>
      <c r="C83" s="9" t="n">
        <v>114010</v>
      </c>
      <c r="D83" s="9" t="s">
        <v>17</v>
      </c>
      <c r="E83" s="9" t="n">
        <v>2620</v>
      </c>
      <c r="F83" s="9" t="n">
        <v>2560</v>
      </c>
      <c r="G83" s="10" t="n">
        <v>60</v>
      </c>
      <c r="H83" s="9" t="s">
        <v>11</v>
      </c>
      <c r="I83" s="9" t="s">
        <v>12</v>
      </c>
      <c r="J83" s="1" t="s">
        <v>13</v>
      </c>
    </row>
    <row r="84" customFormat="false" ht="13.8" hidden="false" customHeight="false" outlineLevel="0" collapsed="false">
      <c r="A84" s="7" t="n">
        <v>43715</v>
      </c>
      <c r="B84" s="8" t="n">
        <v>0.870833333333333</v>
      </c>
      <c r="C84" s="9" t="n">
        <v>114011</v>
      </c>
      <c r="D84" s="9" t="s">
        <v>15</v>
      </c>
      <c r="E84" s="9" t="n">
        <v>22780</v>
      </c>
      <c r="F84" s="9" t="n">
        <v>15820</v>
      </c>
      <c r="G84" s="10" t="n">
        <v>6960</v>
      </c>
      <c r="H84" s="9" t="s">
        <v>11</v>
      </c>
      <c r="I84" s="9" t="s">
        <v>12</v>
      </c>
      <c r="J84" s="1" t="s">
        <v>13</v>
      </c>
    </row>
    <row r="85" customFormat="false" ht="13.8" hidden="false" customHeight="false" outlineLevel="0" collapsed="false">
      <c r="A85" s="7" t="n">
        <v>43715</v>
      </c>
      <c r="B85" s="8" t="n">
        <v>0.0534722222222222</v>
      </c>
      <c r="C85" s="9" t="n">
        <v>113969</v>
      </c>
      <c r="D85" s="9" t="s">
        <v>14</v>
      </c>
      <c r="E85" s="9" t="n">
        <v>23940</v>
      </c>
      <c r="F85" s="9" t="n">
        <v>13020</v>
      </c>
      <c r="G85" s="10" t="n">
        <v>10920</v>
      </c>
      <c r="H85" s="9" t="s">
        <v>11</v>
      </c>
      <c r="I85" s="9" t="s">
        <v>12</v>
      </c>
      <c r="J85" s="1" t="s">
        <v>13</v>
      </c>
    </row>
    <row r="86" customFormat="false" ht="13.8" hidden="false" customHeight="false" outlineLevel="0" collapsed="false">
      <c r="A86" s="7" t="n">
        <v>43715</v>
      </c>
      <c r="B86" s="8" t="n">
        <v>0.164583333333333</v>
      </c>
      <c r="C86" s="9" t="n">
        <v>113979</v>
      </c>
      <c r="D86" s="9" t="s">
        <v>16</v>
      </c>
      <c r="E86" s="9" t="n">
        <v>4800</v>
      </c>
      <c r="F86" s="9" t="n">
        <v>3600</v>
      </c>
      <c r="G86" s="10" t="n">
        <v>1200</v>
      </c>
      <c r="H86" s="9" t="s">
        <v>11</v>
      </c>
      <c r="I86" s="9" t="s">
        <v>12</v>
      </c>
      <c r="J86" s="1" t="s">
        <v>13</v>
      </c>
    </row>
    <row r="87" customFormat="false" ht="13.8" hidden="false" customHeight="false" outlineLevel="0" collapsed="false">
      <c r="A87" s="7" t="n">
        <v>43715</v>
      </c>
      <c r="B87" s="8" t="n">
        <v>0.211805555555556</v>
      </c>
      <c r="C87" s="9" t="n">
        <v>113985</v>
      </c>
      <c r="D87" s="9" t="s">
        <v>16</v>
      </c>
      <c r="E87" s="9" t="n">
        <v>4300</v>
      </c>
      <c r="F87" s="9" t="n">
        <v>3780</v>
      </c>
      <c r="G87" s="10" t="n">
        <v>520</v>
      </c>
      <c r="H87" s="9" t="s">
        <v>11</v>
      </c>
      <c r="I87" s="9" t="s">
        <v>12</v>
      </c>
      <c r="J87" s="1" t="s">
        <v>13</v>
      </c>
    </row>
    <row r="88" customFormat="false" ht="13.8" hidden="false" customHeight="false" outlineLevel="0" collapsed="false">
      <c r="A88" s="7" t="n">
        <v>43715</v>
      </c>
      <c r="B88" s="8" t="n">
        <v>0.23125</v>
      </c>
      <c r="C88" s="9" t="n">
        <v>113987</v>
      </c>
      <c r="D88" s="9" t="s">
        <v>14</v>
      </c>
      <c r="E88" s="9" t="n">
        <v>21660</v>
      </c>
      <c r="F88" s="9" t="n">
        <v>12780</v>
      </c>
      <c r="G88" s="10" t="n">
        <v>8880</v>
      </c>
      <c r="H88" s="9" t="s">
        <v>11</v>
      </c>
      <c r="I88" s="9" t="s">
        <v>12</v>
      </c>
      <c r="J88" s="1" t="s">
        <v>13</v>
      </c>
    </row>
    <row r="89" customFormat="false" ht="13.8" hidden="false" customHeight="false" outlineLevel="0" collapsed="false">
      <c r="A89" s="7" t="n">
        <v>43715</v>
      </c>
      <c r="B89" s="8" t="n">
        <v>0.494444444444444</v>
      </c>
      <c r="C89" s="9" t="n">
        <v>114003</v>
      </c>
      <c r="D89" s="9" t="s">
        <v>10</v>
      </c>
      <c r="E89" s="9" t="n">
        <v>3100</v>
      </c>
      <c r="F89" s="9" t="n">
        <v>2880</v>
      </c>
      <c r="G89" s="10" t="n">
        <v>220</v>
      </c>
      <c r="H89" s="9" t="s">
        <v>11</v>
      </c>
      <c r="I89" s="9" t="s">
        <v>24</v>
      </c>
      <c r="J89" s="1" t="s">
        <v>13</v>
      </c>
    </row>
    <row r="90" customFormat="false" ht="13.8" hidden="false" customHeight="false" outlineLevel="0" collapsed="false">
      <c r="A90" s="7" t="n">
        <v>43715</v>
      </c>
      <c r="B90" s="8" t="n">
        <v>0.736805555555556</v>
      </c>
      <c r="C90" s="9" t="n">
        <v>114009</v>
      </c>
      <c r="D90" s="9" t="s">
        <v>17</v>
      </c>
      <c r="E90" s="9" t="n">
        <v>2680</v>
      </c>
      <c r="F90" s="9" t="n">
        <v>2460</v>
      </c>
      <c r="G90" s="10" t="n">
        <v>220</v>
      </c>
      <c r="H90" s="9" t="s">
        <v>11</v>
      </c>
      <c r="I90" s="9" t="s">
        <v>12</v>
      </c>
      <c r="J90" s="1" t="s">
        <v>13</v>
      </c>
    </row>
    <row r="91" customFormat="false" ht="13.8" hidden="false" customHeight="false" outlineLevel="0" collapsed="false">
      <c r="A91" s="7" t="n">
        <v>43715</v>
      </c>
      <c r="B91" s="8" t="n">
        <v>0.515277777777778</v>
      </c>
      <c r="C91" s="9" t="n">
        <v>114005</v>
      </c>
      <c r="D91" s="9" t="s">
        <v>20</v>
      </c>
      <c r="E91" s="9" t="n">
        <v>19940</v>
      </c>
      <c r="F91" s="9" t="n">
        <v>16020</v>
      </c>
      <c r="G91" s="10" t="n">
        <v>3920</v>
      </c>
      <c r="H91" s="9" t="s">
        <v>11</v>
      </c>
      <c r="I91" s="9" t="s">
        <v>24</v>
      </c>
      <c r="J91" s="1" t="s">
        <v>13</v>
      </c>
    </row>
    <row r="92" customFormat="false" ht="13.8" hidden="false" customHeight="false" outlineLevel="0" collapsed="false">
      <c r="A92" s="7" t="n">
        <v>43715</v>
      </c>
      <c r="B92" s="8" t="n">
        <v>0.478472222222222</v>
      </c>
      <c r="C92" s="9" t="n">
        <v>14002</v>
      </c>
      <c r="D92" s="9" t="s">
        <v>17</v>
      </c>
      <c r="E92" s="9" t="n">
        <v>2560</v>
      </c>
      <c r="F92" s="9" t="n">
        <v>2380</v>
      </c>
      <c r="G92" s="10" t="n">
        <v>180</v>
      </c>
      <c r="H92" s="9" t="s">
        <v>11</v>
      </c>
      <c r="I92" s="9" t="s">
        <v>12</v>
      </c>
      <c r="J92" s="1" t="s">
        <v>13</v>
      </c>
    </row>
    <row r="93" customFormat="false" ht="13.8" hidden="false" customHeight="false" outlineLevel="0" collapsed="false">
      <c r="A93" s="7" t="n">
        <v>43715</v>
      </c>
      <c r="B93" s="8" t="n">
        <v>0.686805555555556</v>
      </c>
      <c r="C93" s="9" t="n">
        <v>114008</v>
      </c>
      <c r="D93" s="9" t="s">
        <v>14</v>
      </c>
      <c r="E93" s="9" t="n">
        <v>15360</v>
      </c>
      <c r="F93" s="9" t="n">
        <v>12900</v>
      </c>
      <c r="G93" s="10" t="n">
        <v>2460</v>
      </c>
      <c r="H93" s="9" t="s">
        <v>11</v>
      </c>
      <c r="I93" s="9" t="s">
        <v>12</v>
      </c>
      <c r="J93" s="1" t="s">
        <v>13</v>
      </c>
    </row>
    <row r="94" customFormat="false" ht="13.8" hidden="false" customHeight="false" outlineLevel="0" collapsed="false">
      <c r="A94" s="7" t="n">
        <v>43715</v>
      </c>
      <c r="B94" s="8" t="n">
        <v>0.220138888888889</v>
      </c>
      <c r="C94" s="9" t="n">
        <v>113986</v>
      </c>
      <c r="D94" s="9" t="s">
        <v>15</v>
      </c>
      <c r="E94" s="9" t="n">
        <v>23440</v>
      </c>
      <c r="F94" s="9" t="n">
        <v>15860</v>
      </c>
      <c r="G94" s="10" t="n">
        <v>7580</v>
      </c>
      <c r="H94" s="9" t="s">
        <v>11</v>
      </c>
      <c r="I94" s="9" t="s">
        <v>12</v>
      </c>
      <c r="J94" s="1" t="s">
        <v>13</v>
      </c>
    </row>
    <row r="95" customFormat="false" ht="13.8" hidden="false" customHeight="false" outlineLevel="0" collapsed="false">
      <c r="A95" s="7" t="n">
        <v>43715</v>
      </c>
      <c r="B95" s="8" t="n">
        <v>0.141666666666667</v>
      </c>
      <c r="C95" s="9" t="n">
        <v>113978</v>
      </c>
      <c r="D95" s="9" t="s">
        <v>19</v>
      </c>
      <c r="E95" s="9" t="n">
        <v>22700</v>
      </c>
      <c r="F95" s="9" t="n">
        <v>15840</v>
      </c>
      <c r="G95" s="10" t="n">
        <v>6860</v>
      </c>
      <c r="H95" s="9" t="s">
        <v>11</v>
      </c>
      <c r="I95" s="9" t="s">
        <v>12</v>
      </c>
      <c r="J95" s="1" t="s">
        <v>13</v>
      </c>
    </row>
    <row r="96" customFormat="false" ht="13.8" hidden="false" customHeight="false" outlineLevel="0" collapsed="false">
      <c r="A96" s="7" t="n">
        <v>43715</v>
      </c>
      <c r="B96" s="8" t="n">
        <v>0.113194444444444</v>
      </c>
      <c r="C96" s="9" t="n">
        <v>113975</v>
      </c>
      <c r="D96" s="9" t="s">
        <v>10</v>
      </c>
      <c r="E96" s="9" t="n">
        <v>2980</v>
      </c>
      <c r="F96" s="9" t="n">
        <v>2860</v>
      </c>
      <c r="G96" s="10" t="n">
        <v>120</v>
      </c>
      <c r="H96" s="9" t="s">
        <v>11</v>
      </c>
      <c r="I96" s="9" t="s">
        <v>12</v>
      </c>
      <c r="J96" s="1" t="s">
        <v>13</v>
      </c>
    </row>
    <row r="97" customFormat="false" ht="13.8" hidden="false" customHeight="false" outlineLevel="0" collapsed="false">
      <c r="A97" s="7" t="n">
        <v>43715</v>
      </c>
      <c r="B97" s="8" t="n">
        <v>0.440277777777778</v>
      </c>
      <c r="C97" s="9" t="n">
        <v>114000</v>
      </c>
      <c r="D97" s="9" t="s">
        <v>10</v>
      </c>
      <c r="E97" s="9" t="n">
        <v>3260</v>
      </c>
      <c r="F97" s="9" t="n">
        <v>2840</v>
      </c>
      <c r="G97" s="10" t="n">
        <v>420</v>
      </c>
      <c r="H97" s="9" t="s">
        <v>11</v>
      </c>
      <c r="I97" s="9" t="s">
        <v>12</v>
      </c>
      <c r="J97" s="1" t="s">
        <v>13</v>
      </c>
    </row>
    <row r="98" customFormat="false" ht="13.8" hidden="false" customHeight="false" outlineLevel="0" collapsed="false">
      <c r="A98" s="7" t="n">
        <v>43716</v>
      </c>
      <c r="B98" s="8" t="n">
        <v>0.860416666666667</v>
      </c>
      <c r="C98" s="9" t="n">
        <v>114036</v>
      </c>
      <c r="D98" s="9" t="s">
        <v>15</v>
      </c>
      <c r="E98" s="9" t="n">
        <v>22740</v>
      </c>
      <c r="F98" s="9" t="n">
        <v>15820</v>
      </c>
      <c r="G98" s="10" t="n">
        <v>6920</v>
      </c>
      <c r="H98" s="9" t="s">
        <v>11</v>
      </c>
      <c r="I98" s="9" t="s">
        <v>12</v>
      </c>
      <c r="J98" s="1" t="s">
        <v>13</v>
      </c>
    </row>
    <row r="99" customFormat="false" ht="13.8" hidden="false" customHeight="false" outlineLevel="0" collapsed="false">
      <c r="A99" s="7" t="n">
        <v>43716</v>
      </c>
      <c r="B99" s="8" t="n">
        <v>0.229861111111111</v>
      </c>
      <c r="C99" s="9" t="n">
        <v>114026</v>
      </c>
      <c r="D99" s="9" t="s">
        <v>15</v>
      </c>
      <c r="E99" s="9" t="n">
        <v>20720</v>
      </c>
      <c r="F99" s="9" t="n">
        <v>15900</v>
      </c>
      <c r="G99" s="10" t="n">
        <v>4820</v>
      </c>
      <c r="H99" s="9" t="s">
        <v>11</v>
      </c>
      <c r="I99" s="9" t="s">
        <v>12</v>
      </c>
      <c r="J99" s="1" t="s">
        <v>13</v>
      </c>
    </row>
    <row r="100" customFormat="false" ht="13.8" hidden="false" customHeight="false" outlineLevel="0" collapsed="false">
      <c r="A100" s="7" t="n">
        <v>43716</v>
      </c>
      <c r="B100" s="8" t="n">
        <v>0.725</v>
      </c>
      <c r="C100" s="9" t="n">
        <v>114035</v>
      </c>
      <c r="D100" s="9" t="s">
        <v>17</v>
      </c>
      <c r="E100" s="9" t="n">
        <v>2440</v>
      </c>
      <c r="F100" s="9" t="n">
        <v>1420</v>
      </c>
      <c r="G100" s="10" t="n">
        <v>1020</v>
      </c>
      <c r="H100" s="9" t="s">
        <v>11</v>
      </c>
      <c r="I100" s="9" t="s">
        <v>12</v>
      </c>
      <c r="J100" s="1" t="s">
        <v>13</v>
      </c>
    </row>
    <row r="101" customFormat="false" ht="13.8" hidden="false" customHeight="false" outlineLevel="0" collapsed="false">
      <c r="A101" s="7" t="n">
        <v>43716</v>
      </c>
      <c r="B101" s="8" t="n">
        <v>0.681944444444445</v>
      </c>
      <c r="C101" s="9" t="n">
        <v>114034</v>
      </c>
      <c r="D101" s="9" t="s">
        <v>14</v>
      </c>
      <c r="E101" s="9" t="n">
        <v>14940</v>
      </c>
      <c r="F101" s="9" t="n">
        <v>12840</v>
      </c>
      <c r="G101" s="10" t="n">
        <v>2100</v>
      </c>
      <c r="H101" s="9" t="s">
        <v>11</v>
      </c>
      <c r="I101" s="9" t="s">
        <v>12</v>
      </c>
      <c r="J101" s="1" t="s">
        <v>13</v>
      </c>
    </row>
    <row r="102" customFormat="false" ht="13.8" hidden="false" customHeight="false" outlineLevel="0" collapsed="false">
      <c r="A102" s="7" t="n">
        <v>43716</v>
      </c>
      <c r="B102" s="8" t="n">
        <v>0.463194444444444</v>
      </c>
      <c r="C102" s="9" t="n">
        <v>114033</v>
      </c>
      <c r="D102" s="9" t="s">
        <v>17</v>
      </c>
      <c r="E102" s="9" t="n">
        <v>2540</v>
      </c>
      <c r="F102" s="9" t="n">
        <v>2360</v>
      </c>
      <c r="G102" s="10" t="n">
        <v>180</v>
      </c>
      <c r="H102" s="9" t="s">
        <v>11</v>
      </c>
      <c r="I102" s="9" t="s">
        <v>12</v>
      </c>
      <c r="J102" s="1" t="s">
        <v>13</v>
      </c>
    </row>
    <row r="103" customFormat="false" ht="13.8" hidden="false" customHeight="false" outlineLevel="0" collapsed="false">
      <c r="A103" s="7" t="n">
        <v>43716</v>
      </c>
      <c r="B103" s="8" t="n">
        <v>0.45</v>
      </c>
      <c r="C103" s="9" t="n">
        <v>114032</v>
      </c>
      <c r="D103" s="9" t="s">
        <v>10</v>
      </c>
      <c r="E103" s="9" t="n">
        <v>3320</v>
      </c>
      <c r="F103" s="9" t="n">
        <v>2880</v>
      </c>
      <c r="G103" s="10" t="n">
        <v>440</v>
      </c>
      <c r="H103" s="9" t="s">
        <v>11</v>
      </c>
      <c r="I103" s="9" t="s">
        <v>12</v>
      </c>
      <c r="J103" s="1" t="s">
        <v>13</v>
      </c>
    </row>
    <row r="104" customFormat="false" ht="13.8" hidden="false" customHeight="false" outlineLevel="0" collapsed="false">
      <c r="A104" s="7" t="n">
        <v>43716</v>
      </c>
      <c r="B104" s="8" t="n">
        <v>0.139583333333333</v>
      </c>
      <c r="C104" s="9" t="n">
        <v>114019</v>
      </c>
      <c r="D104" s="9" t="s">
        <v>15</v>
      </c>
      <c r="E104" s="9" t="n">
        <v>24700</v>
      </c>
      <c r="F104" s="9" t="n">
        <v>15900</v>
      </c>
      <c r="G104" s="10" t="n">
        <v>8800</v>
      </c>
      <c r="H104" s="9" t="s">
        <v>11</v>
      </c>
      <c r="I104" s="9" t="s">
        <v>12</v>
      </c>
      <c r="J104" s="1" t="s">
        <v>13</v>
      </c>
    </row>
    <row r="105" customFormat="false" ht="13.8" hidden="false" customHeight="false" outlineLevel="0" collapsed="false">
      <c r="A105" s="7" t="n">
        <v>43716</v>
      </c>
      <c r="B105" s="8" t="n">
        <v>0.228472222222222</v>
      </c>
      <c r="C105" s="9" t="n">
        <v>114025</v>
      </c>
      <c r="D105" s="9" t="s">
        <v>14</v>
      </c>
      <c r="E105" s="9" t="n">
        <v>24640</v>
      </c>
      <c r="F105" s="9" t="n">
        <v>12860</v>
      </c>
      <c r="G105" s="10" t="n">
        <v>11780</v>
      </c>
      <c r="H105" s="9" t="s">
        <v>11</v>
      </c>
      <c r="I105" s="9" t="s">
        <v>12</v>
      </c>
      <c r="J105" s="1" t="s">
        <v>13</v>
      </c>
    </row>
    <row r="106" customFormat="false" ht="13.8" hidden="false" customHeight="false" outlineLevel="0" collapsed="false">
      <c r="A106" s="13" t="n">
        <v>43716</v>
      </c>
      <c r="B106" s="8" t="n">
        <v>0.05625</v>
      </c>
      <c r="C106" s="9" t="n">
        <v>114013</v>
      </c>
      <c r="D106" s="9" t="s">
        <v>14</v>
      </c>
      <c r="E106" s="9" t="n">
        <v>23280</v>
      </c>
      <c r="F106" s="9" t="n">
        <v>13080</v>
      </c>
      <c r="G106" s="10" t="n">
        <v>10200</v>
      </c>
      <c r="H106" s="9" t="s">
        <v>11</v>
      </c>
      <c r="I106" s="9" t="s">
        <v>12</v>
      </c>
      <c r="J106" s="1" t="s">
        <v>13</v>
      </c>
    </row>
    <row r="107" customFormat="false" ht="13.8" hidden="false" customHeight="false" outlineLevel="0" collapsed="false">
      <c r="A107" s="7" t="n">
        <v>43716</v>
      </c>
      <c r="B107" s="8" t="n">
        <v>0.236111111111111</v>
      </c>
      <c r="C107" s="9" t="n">
        <v>114028</v>
      </c>
      <c r="D107" s="9" t="s">
        <v>16</v>
      </c>
      <c r="E107" s="9" t="n">
        <v>4680</v>
      </c>
      <c r="F107" s="9" t="n">
        <v>3780</v>
      </c>
      <c r="G107" s="10" t="n">
        <v>900</v>
      </c>
      <c r="H107" s="9" t="s">
        <v>11</v>
      </c>
      <c r="I107" s="9" t="s">
        <v>12</v>
      </c>
      <c r="J107" s="1" t="s">
        <v>13</v>
      </c>
    </row>
    <row r="108" customFormat="false" ht="13.8" hidden="false" customHeight="false" outlineLevel="0" collapsed="false">
      <c r="A108" s="7" t="n">
        <v>43716</v>
      </c>
      <c r="B108" s="8" t="n">
        <v>0.159722222222222</v>
      </c>
      <c r="C108" s="9" t="n">
        <v>114021</v>
      </c>
      <c r="D108" s="9" t="s">
        <v>16</v>
      </c>
      <c r="E108" s="9" t="n">
        <v>4840</v>
      </c>
      <c r="F108" s="9" t="n">
        <v>3600</v>
      </c>
      <c r="G108" s="10" t="n">
        <v>1240</v>
      </c>
      <c r="H108" s="9" t="s">
        <v>11</v>
      </c>
      <c r="I108" s="9" t="s">
        <v>12</v>
      </c>
      <c r="J108" s="1" t="s">
        <v>13</v>
      </c>
    </row>
    <row r="109" customFormat="false" ht="13.8" hidden="false" customHeight="false" outlineLevel="0" collapsed="false">
      <c r="A109" s="7" t="n">
        <v>43717</v>
      </c>
      <c r="B109" s="8" t="n">
        <v>0.231944444444444</v>
      </c>
      <c r="C109" s="9" t="n">
        <v>114051</v>
      </c>
      <c r="D109" s="9" t="s">
        <v>15</v>
      </c>
      <c r="E109" s="9" t="n">
        <v>22880</v>
      </c>
      <c r="F109" s="9" t="n">
        <v>15760</v>
      </c>
      <c r="G109" s="10" t="n">
        <v>7120</v>
      </c>
      <c r="H109" s="9" t="s">
        <v>11</v>
      </c>
      <c r="I109" s="9" t="s">
        <v>12</v>
      </c>
      <c r="J109" s="1" t="s">
        <v>13</v>
      </c>
    </row>
    <row r="110" customFormat="false" ht="13.8" hidden="false" customHeight="false" outlineLevel="0" collapsed="false">
      <c r="A110" s="7" t="n">
        <v>43717</v>
      </c>
      <c r="B110" s="8" t="n">
        <v>0.747916666666667</v>
      </c>
      <c r="C110" s="9" t="n">
        <v>114102</v>
      </c>
      <c r="D110" s="9" t="s">
        <v>17</v>
      </c>
      <c r="E110" s="9" t="n">
        <v>2620</v>
      </c>
      <c r="F110" s="9" t="n">
        <v>2480</v>
      </c>
      <c r="G110" s="10" t="n">
        <v>140</v>
      </c>
      <c r="H110" s="9" t="s">
        <v>11</v>
      </c>
      <c r="I110" s="9" t="s">
        <v>12</v>
      </c>
      <c r="J110" s="1" t="s">
        <v>13</v>
      </c>
    </row>
    <row r="111" customFormat="false" ht="13.8" hidden="false" customHeight="false" outlineLevel="0" collapsed="false">
      <c r="A111" s="7" t="n">
        <v>43717</v>
      </c>
      <c r="B111" s="8" t="n">
        <v>0.863888888888889</v>
      </c>
      <c r="C111" s="9" t="n">
        <v>114103</v>
      </c>
      <c r="D111" s="9" t="s">
        <v>15</v>
      </c>
      <c r="E111" s="9" t="n">
        <v>22480</v>
      </c>
      <c r="F111" s="9" t="n">
        <v>15880</v>
      </c>
      <c r="G111" s="10" t="n">
        <v>6600</v>
      </c>
      <c r="H111" s="9" t="s">
        <v>11</v>
      </c>
      <c r="I111" s="9" t="s">
        <v>12</v>
      </c>
      <c r="J111" s="1" t="s">
        <v>13</v>
      </c>
    </row>
    <row r="112" customFormat="false" ht="13.8" hidden="false" customHeight="false" outlineLevel="0" collapsed="false">
      <c r="A112" s="7" t="n">
        <v>43717</v>
      </c>
      <c r="B112" s="8" t="n">
        <v>0.695138888888889</v>
      </c>
      <c r="C112" s="9" t="n">
        <v>114101</v>
      </c>
      <c r="D112" s="9" t="s">
        <v>14</v>
      </c>
      <c r="E112" s="9" t="n">
        <v>15940</v>
      </c>
      <c r="F112" s="9" t="n">
        <v>12900</v>
      </c>
      <c r="G112" s="10" t="n">
        <v>3040</v>
      </c>
      <c r="H112" s="9" t="s">
        <v>11</v>
      </c>
      <c r="I112" s="9" t="s">
        <v>12</v>
      </c>
      <c r="J112" s="1" t="s">
        <v>13</v>
      </c>
    </row>
    <row r="113" customFormat="false" ht="13.8" hidden="false" customHeight="false" outlineLevel="0" collapsed="false">
      <c r="A113" s="7" t="n">
        <v>43717</v>
      </c>
      <c r="B113" s="8" t="n">
        <v>0.507638888888889</v>
      </c>
      <c r="C113" s="9" t="n">
        <v>114089</v>
      </c>
      <c r="D113" s="9" t="s">
        <v>10</v>
      </c>
      <c r="E113" s="9" t="n">
        <v>3940</v>
      </c>
      <c r="F113" s="9" t="n">
        <v>2920</v>
      </c>
      <c r="G113" s="10" t="n">
        <v>1020</v>
      </c>
      <c r="H113" s="9" t="s">
        <v>11</v>
      </c>
      <c r="I113" s="9" t="s">
        <v>24</v>
      </c>
      <c r="J113" s="1" t="s">
        <v>13</v>
      </c>
    </row>
    <row r="114" customFormat="false" ht="13.8" hidden="false" customHeight="false" outlineLevel="0" collapsed="false">
      <c r="A114" s="7" t="n">
        <v>43717</v>
      </c>
      <c r="B114" s="8" t="n">
        <v>0.460416666666667</v>
      </c>
      <c r="C114" s="9" t="n">
        <v>114082</v>
      </c>
      <c r="D114" s="9" t="s">
        <v>17</v>
      </c>
      <c r="E114" s="9" t="n">
        <v>2620</v>
      </c>
      <c r="F114" s="9" t="n">
        <v>2380</v>
      </c>
      <c r="G114" s="10" t="n">
        <v>240</v>
      </c>
      <c r="H114" s="9" t="s">
        <v>11</v>
      </c>
      <c r="I114" s="9" t="s">
        <v>12</v>
      </c>
      <c r="J114" s="1" t="s">
        <v>13</v>
      </c>
    </row>
    <row r="115" customFormat="false" ht="13.8" hidden="false" customHeight="false" outlineLevel="0" collapsed="false">
      <c r="A115" s="7" t="n">
        <v>43717</v>
      </c>
      <c r="B115" s="8" t="n">
        <v>0.447222222222222</v>
      </c>
      <c r="C115" s="9" t="n">
        <v>114079</v>
      </c>
      <c r="D115" s="9" t="s">
        <v>10</v>
      </c>
      <c r="E115" s="9" t="n">
        <v>3300</v>
      </c>
      <c r="F115" s="9" t="n">
        <v>2920</v>
      </c>
      <c r="G115" s="10" t="n">
        <v>380</v>
      </c>
      <c r="H115" s="9" t="s">
        <v>11</v>
      </c>
      <c r="I115" s="9" t="s">
        <v>12</v>
      </c>
      <c r="J115" s="1" t="s">
        <v>13</v>
      </c>
    </row>
    <row r="116" customFormat="false" ht="13.8" hidden="false" customHeight="false" outlineLevel="0" collapsed="false">
      <c r="A116" s="7" t="n">
        <v>43717</v>
      </c>
      <c r="B116" s="8" t="n">
        <v>0.134027777777778</v>
      </c>
      <c r="C116" s="9" t="n">
        <v>114043</v>
      </c>
      <c r="D116" s="9" t="s">
        <v>19</v>
      </c>
      <c r="E116" s="9" t="n">
        <v>22180</v>
      </c>
      <c r="F116" s="9" t="n">
        <v>15840</v>
      </c>
      <c r="G116" s="10" t="n">
        <v>6340</v>
      </c>
      <c r="H116" s="9" t="s">
        <v>11</v>
      </c>
      <c r="I116" s="9" t="s">
        <v>12</v>
      </c>
      <c r="J116" s="1" t="s">
        <v>13</v>
      </c>
    </row>
    <row r="117" customFormat="false" ht="13.8" hidden="false" customHeight="false" outlineLevel="0" collapsed="false">
      <c r="A117" s="7" t="n">
        <v>43717</v>
      </c>
      <c r="B117" s="8" t="n">
        <v>0.122916666666667</v>
      </c>
      <c r="C117" s="9" t="n">
        <v>114041</v>
      </c>
      <c r="D117" s="9" t="s">
        <v>25</v>
      </c>
      <c r="E117" s="9" t="n">
        <v>3460</v>
      </c>
      <c r="F117" s="9" t="n">
        <v>2660</v>
      </c>
      <c r="G117" s="10" t="n">
        <v>800</v>
      </c>
      <c r="H117" s="9" t="s">
        <v>11</v>
      </c>
      <c r="I117" s="9" t="s">
        <v>12</v>
      </c>
      <c r="J117" s="1" t="s">
        <v>13</v>
      </c>
    </row>
    <row r="118" customFormat="false" ht="13.8" hidden="false" customHeight="false" outlineLevel="0" collapsed="false">
      <c r="A118" s="13" t="n">
        <v>43717</v>
      </c>
      <c r="B118" s="8" t="n">
        <v>0.230555555555556</v>
      </c>
      <c r="C118" s="9" t="n">
        <v>114050</v>
      </c>
      <c r="D118" s="9" t="s">
        <v>14</v>
      </c>
      <c r="E118" s="9" t="n">
        <v>21980</v>
      </c>
      <c r="F118" s="9" t="n">
        <v>12840</v>
      </c>
      <c r="G118" s="10" t="n">
        <v>9140</v>
      </c>
      <c r="H118" s="9" t="s">
        <v>11</v>
      </c>
      <c r="I118" s="9" t="s">
        <v>12</v>
      </c>
      <c r="J118" s="1" t="s">
        <v>13</v>
      </c>
    </row>
    <row r="119" customFormat="false" ht="13.8" hidden="false" customHeight="false" outlineLevel="0" collapsed="false">
      <c r="A119" s="7" t="n">
        <v>43717</v>
      </c>
      <c r="B119" s="8" t="n">
        <v>0.0625</v>
      </c>
      <c r="C119" s="9" t="n">
        <v>114037</v>
      </c>
      <c r="D119" s="9" t="s">
        <v>14</v>
      </c>
      <c r="E119" s="9" t="n">
        <v>23040</v>
      </c>
      <c r="F119" s="9" t="n">
        <v>13020</v>
      </c>
      <c r="G119" s="10" t="n">
        <v>10020</v>
      </c>
      <c r="H119" s="9" t="s">
        <v>11</v>
      </c>
      <c r="I119" s="9" t="s">
        <v>12</v>
      </c>
      <c r="J119" s="1" t="s">
        <v>13</v>
      </c>
    </row>
    <row r="120" customFormat="false" ht="13.8" hidden="false" customHeight="false" outlineLevel="0" collapsed="false">
      <c r="A120" s="7" t="n">
        <v>43717</v>
      </c>
      <c r="B120" s="8" t="n">
        <v>0.218055555555556</v>
      </c>
      <c r="C120" s="9" t="n">
        <v>114048</v>
      </c>
      <c r="D120" s="9" t="s">
        <v>25</v>
      </c>
      <c r="E120" s="9" t="n">
        <v>3880</v>
      </c>
      <c r="F120" s="9" t="n">
        <v>2860</v>
      </c>
      <c r="G120" s="10" t="n">
        <v>1020</v>
      </c>
      <c r="H120" s="9" t="s">
        <v>11</v>
      </c>
      <c r="I120" s="9" t="s">
        <v>12</v>
      </c>
      <c r="J120" s="1" t="s">
        <v>13</v>
      </c>
    </row>
    <row r="121" customFormat="false" ht="13.8" hidden="false" customHeight="false" outlineLevel="0" collapsed="false">
      <c r="A121" s="7" t="n">
        <v>43718</v>
      </c>
      <c r="B121" s="8" t="n">
        <v>0.20625</v>
      </c>
      <c r="C121" s="9" t="n">
        <v>114118</v>
      </c>
      <c r="D121" s="9" t="s">
        <v>16</v>
      </c>
      <c r="E121" s="9" t="n">
        <v>4200</v>
      </c>
      <c r="F121" s="9" t="n">
        <v>3740</v>
      </c>
      <c r="G121" s="10" t="n">
        <v>460</v>
      </c>
      <c r="H121" s="9" t="s">
        <v>11</v>
      </c>
      <c r="I121" s="9" t="s">
        <v>12</v>
      </c>
      <c r="J121" s="1" t="s">
        <v>13</v>
      </c>
    </row>
    <row r="122" customFormat="false" ht="13.8" hidden="false" customHeight="false" outlineLevel="0" collapsed="false">
      <c r="A122" s="7" t="n">
        <v>43718</v>
      </c>
      <c r="B122" s="8" t="n">
        <v>0.0694444444444444</v>
      </c>
      <c r="C122" s="9" t="n">
        <v>114106</v>
      </c>
      <c r="D122" s="9" t="s">
        <v>14</v>
      </c>
      <c r="E122" s="9" t="n">
        <v>22620</v>
      </c>
      <c r="F122" s="9" t="n">
        <v>13060</v>
      </c>
      <c r="G122" s="10" t="n">
        <v>9560</v>
      </c>
      <c r="H122" s="9" t="s">
        <v>11</v>
      </c>
      <c r="I122" s="9" t="s">
        <v>12</v>
      </c>
      <c r="J122" s="1" t="s">
        <v>13</v>
      </c>
    </row>
    <row r="123" customFormat="false" ht="13.8" hidden="false" customHeight="false" outlineLevel="0" collapsed="false">
      <c r="A123" s="7" t="n">
        <v>43718</v>
      </c>
      <c r="B123" s="8" t="n">
        <v>0.24375</v>
      </c>
      <c r="C123" s="9" t="n">
        <v>114122</v>
      </c>
      <c r="D123" s="9" t="s">
        <v>14</v>
      </c>
      <c r="E123" s="9" t="n">
        <v>20780</v>
      </c>
      <c r="F123" s="9" t="n">
        <v>12900</v>
      </c>
      <c r="G123" s="10" t="n">
        <v>7880</v>
      </c>
      <c r="H123" s="9" t="s">
        <v>11</v>
      </c>
      <c r="I123" s="9" t="s">
        <v>12</v>
      </c>
      <c r="J123" s="1" t="s">
        <v>13</v>
      </c>
    </row>
    <row r="124" customFormat="false" ht="13.8" hidden="false" customHeight="false" outlineLevel="0" collapsed="false">
      <c r="A124" s="7" t="n">
        <v>43718</v>
      </c>
      <c r="B124" s="8" t="n">
        <v>0.15</v>
      </c>
      <c r="C124" s="9" t="n">
        <v>1114113</v>
      </c>
      <c r="D124" s="9" t="s">
        <v>16</v>
      </c>
      <c r="E124" s="9" t="n">
        <v>4900</v>
      </c>
      <c r="F124" s="9" t="n">
        <v>3580</v>
      </c>
      <c r="G124" s="10" t="n">
        <v>1320</v>
      </c>
      <c r="H124" s="9" t="s">
        <v>11</v>
      </c>
      <c r="I124" s="9" t="s">
        <v>12</v>
      </c>
      <c r="J124" s="1" t="s">
        <v>13</v>
      </c>
    </row>
    <row r="125" customFormat="false" ht="13.8" hidden="false" customHeight="false" outlineLevel="0" collapsed="false">
      <c r="A125" s="7" t="n">
        <v>43718</v>
      </c>
      <c r="B125" s="11" t="n">
        <v>0.108333333333333</v>
      </c>
      <c r="C125" s="9" t="n">
        <v>114111</v>
      </c>
      <c r="D125" s="9" t="s">
        <v>19</v>
      </c>
      <c r="E125" s="9" t="n">
        <v>19860</v>
      </c>
      <c r="F125" s="9" t="n">
        <v>15920</v>
      </c>
      <c r="G125" s="10" t="n">
        <v>3940</v>
      </c>
      <c r="H125" s="9" t="s">
        <v>11</v>
      </c>
      <c r="I125" s="9" t="s">
        <v>12</v>
      </c>
      <c r="J125" s="1" t="s">
        <v>13</v>
      </c>
    </row>
    <row r="126" customFormat="false" ht="13.8" hidden="false" customHeight="false" outlineLevel="0" collapsed="false">
      <c r="A126" s="7" t="n">
        <v>43718</v>
      </c>
      <c r="B126" s="8" t="n">
        <v>0.235416666666667</v>
      </c>
      <c r="C126" s="9" t="n">
        <v>114120</v>
      </c>
      <c r="D126" s="9" t="s">
        <v>15</v>
      </c>
      <c r="E126" s="9" t="n">
        <v>22500</v>
      </c>
      <c r="F126" s="9" t="n">
        <v>15860</v>
      </c>
      <c r="G126" s="10" t="n">
        <v>6640</v>
      </c>
      <c r="H126" s="9" t="s">
        <v>11</v>
      </c>
      <c r="I126" s="9" t="s">
        <v>12</v>
      </c>
      <c r="J126" s="1" t="s">
        <v>13</v>
      </c>
    </row>
    <row r="127" customFormat="false" ht="13.8" hidden="false" customHeight="false" outlineLevel="0" collapsed="false">
      <c r="A127" s="7" t="n">
        <v>43714</v>
      </c>
      <c r="B127" s="8" t="n">
        <v>0.451388888888889</v>
      </c>
      <c r="C127" s="12" t="s">
        <v>22</v>
      </c>
      <c r="D127" s="9" t="s">
        <v>19</v>
      </c>
      <c r="E127" s="9" t="n">
        <v>17780</v>
      </c>
      <c r="F127" s="9" t="n">
        <v>15760</v>
      </c>
      <c r="G127" s="10" t="n">
        <v>2020</v>
      </c>
      <c r="H127" s="9" t="s">
        <v>11</v>
      </c>
      <c r="I127" s="9" t="s">
        <v>23</v>
      </c>
      <c r="J127" s="1" t="s">
        <v>13</v>
      </c>
    </row>
    <row r="128" customFormat="false" ht="13.8" hidden="false" customHeight="false" outlineLevel="0" collapsed="false">
      <c r="A128" s="7" t="n">
        <v>43715</v>
      </c>
      <c r="B128" s="8" t="n">
        <v>0.459722222222222</v>
      </c>
      <c r="C128" s="9" t="n">
        <v>91920</v>
      </c>
      <c r="D128" s="9" t="s">
        <v>26</v>
      </c>
      <c r="E128" s="9" t="n">
        <v>5980</v>
      </c>
      <c r="F128" s="9" t="n">
        <v>5540</v>
      </c>
      <c r="G128" s="10" t="n">
        <v>440</v>
      </c>
      <c r="H128" s="9" t="s">
        <v>11</v>
      </c>
      <c r="I128" s="9" t="s">
        <v>21</v>
      </c>
      <c r="J128" s="1" t="s">
        <v>13</v>
      </c>
    </row>
    <row r="129" customFormat="false" ht="13.8" hidden="false" customHeight="false" outlineLevel="0" collapsed="false">
      <c r="A129" s="7" t="n">
        <v>43717</v>
      </c>
      <c r="B129" s="8" t="n">
        <v>0.454861111111111</v>
      </c>
      <c r="C129" s="12" t="s">
        <v>22</v>
      </c>
      <c r="D129" s="9" t="s">
        <v>19</v>
      </c>
      <c r="E129" s="9" t="n">
        <v>17380</v>
      </c>
      <c r="F129" s="9" t="n">
        <v>15760</v>
      </c>
      <c r="G129" s="10" t="n">
        <v>1620</v>
      </c>
      <c r="H129" s="9" t="s">
        <v>11</v>
      </c>
      <c r="I129" s="9" t="s">
        <v>23</v>
      </c>
      <c r="J129" s="1" t="s">
        <v>13</v>
      </c>
    </row>
    <row r="130" customFormat="false" ht="13.8" hidden="false" customHeight="false" outlineLevel="0" collapsed="false">
      <c r="A130" s="7" t="n">
        <v>43718</v>
      </c>
      <c r="B130" s="11" t="n">
        <v>0.457638888888889</v>
      </c>
      <c r="C130" s="9" t="n">
        <v>91991</v>
      </c>
      <c r="D130" s="9" t="s">
        <v>19</v>
      </c>
      <c r="E130" s="9" t="n">
        <v>18120</v>
      </c>
      <c r="F130" s="9" t="n">
        <v>15880</v>
      </c>
      <c r="G130" s="10" t="n">
        <v>2240</v>
      </c>
      <c r="H130" s="9" t="s">
        <v>11</v>
      </c>
      <c r="I130" s="9" t="s">
        <v>21</v>
      </c>
      <c r="J130" s="1" t="s">
        <v>13</v>
      </c>
    </row>
    <row r="131" customFormat="false" ht="13.8" hidden="false" customHeight="false" outlineLevel="0" collapsed="false">
      <c r="A131" s="7" t="n">
        <v>43718</v>
      </c>
      <c r="B131" s="8" t="n">
        <v>0.724305555555556</v>
      </c>
      <c r="C131" s="9" t="n">
        <v>114171</v>
      </c>
      <c r="D131" s="9" t="s">
        <v>17</v>
      </c>
      <c r="E131" s="9" t="n">
        <v>2460</v>
      </c>
      <c r="F131" s="9" t="n">
        <v>2240</v>
      </c>
      <c r="G131" s="10" t="n">
        <v>220</v>
      </c>
      <c r="H131" s="9" t="s">
        <v>11</v>
      </c>
      <c r="I131" s="9" t="s">
        <v>12</v>
      </c>
      <c r="J131" s="1" t="s">
        <v>13</v>
      </c>
    </row>
    <row r="132" customFormat="false" ht="13.8" hidden="false" customHeight="false" outlineLevel="0" collapsed="false">
      <c r="A132" s="7" t="n">
        <v>43718</v>
      </c>
      <c r="B132" s="8" t="n">
        <v>0.8625</v>
      </c>
      <c r="C132" s="9" t="n">
        <v>114176</v>
      </c>
      <c r="D132" s="9" t="s">
        <v>15</v>
      </c>
      <c r="E132" s="9" t="n">
        <v>21880</v>
      </c>
      <c r="F132" s="9" t="n">
        <v>15820</v>
      </c>
      <c r="G132" s="10" t="n">
        <v>6060</v>
      </c>
      <c r="H132" s="9" t="s">
        <v>11</v>
      </c>
      <c r="I132" s="9" t="s">
        <v>12</v>
      </c>
      <c r="J132" s="1" t="s">
        <v>13</v>
      </c>
    </row>
    <row r="133" customFormat="false" ht="13.8" hidden="false" customHeight="false" outlineLevel="0" collapsed="false">
      <c r="A133" s="7" t="n">
        <v>43718</v>
      </c>
      <c r="B133" s="8" t="n">
        <v>0.6875</v>
      </c>
      <c r="C133" s="9" t="n">
        <v>114169</v>
      </c>
      <c r="D133" s="9" t="s">
        <v>14</v>
      </c>
      <c r="E133" s="9" t="n">
        <v>15520</v>
      </c>
      <c r="F133" s="9" t="n">
        <v>12860</v>
      </c>
      <c r="G133" s="10" t="n">
        <v>2660</v>
      </c>
      <c r="H133" s="9" t="s">
        <v>11</v>
      </c>
      <c r="I133" s="9" t="s">
        <v>12</v>
      </c>
      <c r="J133" s="1" t="s">
        <v>13</v>
      </c>
    </row>
    <row r="134" customFormat="false" ht="13.8" hidden="false" customHeight="false" outlineLevel="0" collapsed="false">
      <c r="A134" s="7" t="n">
        <v>43718</v>
      </c>
      <c r="B134" s="8" t="n">
        <v>0.48125</v>
      </c>
      <c r="C134" s="9" t="n">
        <v>114151</v>
      </c>
      <c r="D134" s="9" t="s">
        <v>17</v>
      </c>
      <c r="E134" s="9" t="n">
        <v>2580</v>
      </c>
      <c r="F134" s="9" t="n">
        <v>2380</v>
      </c>
      <c r="G134" s="10" t="n">
        <v>200</v>
      </c>
      <c r="H134" s="9" t="s">
        <v>11</v>
      </c>
      <c r="I134" s="9" t="s">
        <v>12</v>
      </c>
      <c r="J134" s="1" t="s">
        <v>13</v>
      </c>
    </row>
    <row r="135" customFormat="false" ht="13.8" hidden="false" customHeight="false" outlineLevel="0" collapsed="false">
      <c r="A135" s="7" t="n">
        <v>43718</v>
      </c>
      <c r="B135" s="8" t="n">
        <v>0.514583333333333</v>
      </c>
      <c r="C135" s="9" t="n">
        <v>114156</v>
      </c>
      <c r="D135" s="9" t="s">
        <v>10</v>
      </c>
      <c r="E135" s="9" t="n">
        <v>3220</v>
      </c>
      <c r="F135" s="9" t="n">
        <v>2900</v>
      </c>
      <c r="G135" s="10" t="n">
        <v>320</v>
      </c>
      <c r="H135" s="9" t="s">
        <v>11</v>
      </c>
      <c r="I135" s="9" t="s">
        <v>24</v>
      </c>
      <c r="J135" s="1" t="s">
        <v>13</v>
      </c>
    </row>
    <row r="136" customFormat="false" ht="13.8" hidden="false" customHeight="false" outlineLevel="0" collapsed="false">
      <c r="A136" s="7" t="n">
        <v>43718</v>
      </c>
      <c r="B136" s="8" t="n">
        <v>0.438888888888889</v>
      </c>
      <c r="C136" s="9" t="n">
        <v>114144</v>
      </c>
      <c r="D136" s="9" t="s">
        <v>10</v>
      </c>
      <c r="E136" s="9" t="n">
        <v>3140</v>
      </c>
      <c r="F136" s="9" t="n">
        <v>2840</v>
      </c>
      <c r="G136" s="10" t="n">
        <v>300</v>
      </c>
      <c r="H136" s="9" t="s">
        <v>11</v>
      </c>
      <c r="I136" s="9" t="s">
        <v>12</v>
      </c>
      <c r="J136" s="1" t="s">
        <v>13</v>
      </c>
    </row>
    <row r="137" customFormat="false" ht="13.8" hidden="false" customHeight="false" outlineLevel="0" collapsed="false">
      <c r="A137" s="7" t="n">
        <v>43719</v>
      </c>
      <c r="B137" s="8" t="n">
        <v>0.14375</v>
      </c>
      <c r="C137" s="9" t="n">
        <v>114183</v>
      </c>
      <c r="D137" s="9" t="s">
        <v>19</v>
      </c>
      <c r="E137" s="9" t="n">
        <v>21140</v>
      </c>
      <c r="F137" s="9" t="n">
        <v>15880</v>
      </c>
      <c r="G137" s="10" t="n">
        <v>5260</v>
      </c>
      <c r="H137" s="9" t="s">
        <v>11</v>
      </c>
      <c r="I137" s="9" t="s">
        <v>12</v>
      </c>
      <c r="J137" s="1" t="s">
        <v>13</v>
      </c>
    </row>
    <row r="138" customFormat="false" ht="13.8" hidden="false" customHeight="false" outlineLevel="0" collapsed="false">
      <c r="A138" s="7" t="n">
        <v>43719</v>
      </c>
      <c r="B138" s="8" t="n">
        <v>0.183333333333333</v>
      </c>
      <c r="C138" s="9" t="n">
        <v>114185</v>
      </c>
      <c r="D138" s="9" t="s">
        <v>16</v>
      </c>
      <c r="E138" s="9" t="n">
        <v>4960</v>
      </c>
      <c r="F138" s="9" t="n">
        <v>3620</v>
      </c>
      <c r="G138" s="10" t="n">
        <v>1340</v>
      </c>
      <c r="H138" s="9" t="s">
        <v>11</v>
      </c>
      <c r="I138" s="9" t="s">
        <v>12</v>
      </c>
      <c r="J138" s="1" t="s">
        <v>13</v>
      </c>
    </row>
    <row r="139" customFormat="false" ht="13.8" hidden="false" customHeight="false" outlineLevel="0" collapsed="false">
      <c r="A139" s="7" t="n">
        <v>43719</v>
      </c>
      <c r="B139" s="8" t="n">
        <v>0.191666666666667</v>
      </c>
      <c r="C139" s="9" t="n">
        <v>114187</v>
      </c>
      <c r="D139" s="9" t="s">
        <v>14</v>
      </c>
      <c r="E139" s="9" t="n">
        <v>22220</v>
      </c>
      <c r="F139" s="9" t="n">
        <v>13060</v>
      </c>
      <c r="G139" s="10" t="n">
        <v>9160</v>
      </c>
      <c r="H139" s="9" t="s">
        <v>11</v>
      </c>
      <c r="I139" s="9" t="s">
        <v>12</v>
      </c>
      <c r="J139" s="1" t="s">
        <v>13</v>
      </c>
    </row>
    <row r="140" customFormat="false" ht="13.8" hidden="false" customHeight="false" outlineLevel="0" collapsed="false">
      <c r="A140" s="7" t="n">
        <v>43719</v>
      </c>
      <c r="B140" s="8" t="n">
        <v>0.0715277777777778</v>
      </c>
      <c r="C140" s="9" t="n">
        <v>114179</v>
      </c>
      <c r="D140" s="9" t="s">
        <v>14</v>
      </c>
      <c r="E140" s="9" t="n">
        <v>22360</v>
      </c>
      <c r="F140" s="9" t="n">
        <v>13080</v>
      </c>
      <c r="G140" s="10" t="n">
        <v>9280</v>
      </c>
      <c r="H140" s="9" t="s">
        <v>11</v>
      </c>
      <c r="I140" s="9" t="s">
        <v>12</v>
      </c>
      <c r="J140" s="1" t="s">
        <v>13</v>
      </c>
    </row>
    <row r="141" customFormat="false" ht="13.8" hidden="false" customHeight="false" outlineLevel="0" collapsed="false">
      <c r="A141" s="7" t="n">
        <v>43719</v>
      </c>
      <c r="B141" s="8" t="n">
        <v>0.241666666666667</v>
      </c>
      <c r="C141" s="9" t="n">
        <v>114192</v>
      </c>
      <c r="D141" s="9" t="s">
        <v>15</v>
      </c>
      <c r="E141" s="9" t="n">
        <v>21440</v>
      </c>
      <c r="F141" s="9" t="n">
        <v>15940</v>
      </c>
      <c r="G141" s="10" t="n">
        <v>5500</v>
      </c>
      <c r="H141" s="9" t="s">
        <v>11</v>
      </c>
      <c r="I141" s="9" t="s">
        <v>12</v>
      </c>
      <c r="J141" s="1" t="s">
        <v>13</v>
      </c>
    </row>
    <row r="142" customFormat="false" ht="13.8" hidden="false" customHeight="false" outlineLevel="0" collapsed="false">
      <c r="A142" s="7" t="n">
        <v>43719</v>
      </c>
      <c r="B142" s="8" t="n">
        <v>0.5</v>
      </c>
      <c r="C142" s="9" t="n">
        <v>114211</v>
      </c>
      <c r="D142" s="9" t="s">
        <v>10</v>
      </c>
      <c r="E142" s="9" t="n">
        <v>3320</v>
      </c>
      <c r="F142" s="9" t="n">
        <v>2900</v>
      </c>
      <c r="G142" s="10" t="n">
        <v>420</v>
      </c>
      <c r="H142" s="9" t="s">
        <v>11</v>
      </c>
      <c r="I142" s="9" t="s">
        <v>24</v>
      </c>
      <c r="J142" s="1" t="s">
        <v>13</v>
      </c>
    </row>
    <row r="143" customFormat="false" ht="13.8" hidden="false" customHeight="false" outlineLevel="0" collapsed="false">
      <c r="A143" s="7" t="n">
        <v>43719</v>
      </c>
      <c r="B143" s="8" t="n">
        <v>0.709722222222222</v>
      </c>
      <c r="C143" s="9" t="n">
        <v>114221</v>
      </c>
      <c r="D143" s="9" t="s">
        <v>17</v>
      </c>
      <c r="E143" s="9" t="n">
        <v>2560</v>
      </c>
      <c r="F143" s="9" t="n">
        <v>2440</v>
      </c>
      <c r="G143" s="10" t="n">
        <v>120</v>
      </c>
      <c r="H143" s="9" t="s">
        <v>11</v>
      </c>
      <c r="I143" s="9" t="s">
        <v>12</v>
      </c>
      <c r="J143" s="1" t="s">
        <v>13</v>
      </c>
    </row>
    <row r="144" customFormat="false" ht="13.8" hidden="false" customHeight="false" outlineLevel="0" collapsed="false">
      <c r="A144" s="7" t="n">
        <v>43719</v>
      </c>
      <c r="B144" s="8" t="n">
        <v>0.497916666666667</v>
      </c>
      <c r="C144" s="9" t="n">
        <v>114210</v>
      </c>
      <c r="D144" s="9" t="s">
        <v>17</v>
      </c>
      <c r="E144" s="9" t="n">
        <v>2740</v>
      </c>
      <c r="F144" s="9" t="n">
        <v>2360</v>
      </c>
      <c r="G144" s="10" t="n">
        <v>380</v>
      </c>
      <c r="H144" s="9" t="s">
        <v>11</v>
      </c>
      <c r="I144" s="9" t="s">
        <v>12</v>
      </c>
      <c r="J144" s="1" t="s">
        <v>13</v>
      </c>
    </row>
    <row r="145" customFormat="false" ht="13.8" hidden="false" customHeight="false" outlineLevel="0" collapsed="false">
      <c r="A145" s="7" t="n">
        <v>43719</v>
      </c>
      <c r="B145" s="8" t="n">
        <v>0.678472222222222</v>
      </c>
      <c r="C145" s="9" t="n">
        <v>114219</v>
      </c>
      <c r="D145" s="9" t="s">
        <v>14</v>
      </c>
      <c r="E145" s="9" t="n">
        <v>15060</v>
      </c>
      <c r="F145" s="9" t="n">
        <v>12820</v>
      </c>
      <c r="G145" s="10" t="n">
        <v>2240</v>
      </c>
      <c r="H145" s="9" t="s">
        <v>11</v>
      </c>
      <c r="I145" s="9" t="s">
        <v>12</v>
      </c>
      <c r="J145" s="1" t="s">
        <v>13</v>
      </c>
    </row>
    <row r="146" customFormat="false" ht="13.8" hidden="false" customHeight="false" outlineLevel="0" collapsed="false">
      <c r="A146" s="13" t="n">
        <v>43719</v>
      </c>
      <c r="B146" s="8" t="n">
        <v>0.831944444444444</v>
      </c>
      <c r="C146" s="9" t="n">
        <v>114225</v>
      </c>
      <c r="D146" s="9" t="s">
        <v>15</v>
      </c>
      <c r="E146" s="9" t="n">
        <v>21000</v>
      </c>
      <c r="F146" s="9" t="n">
        <v>15980</v>
      </c>
      <c r="G146" s="10" t="n">
        <v>5020</v>
      </c>
      <c r="H146" s="9" t="s">
        <v>11</v>
      </c>
      <c r="I146" s="9" t="s">
        <v>12</v>
      </c>
      <c r="J146" s="1" t="s">
        <v>13</v>
      </c>
    </row>
    <row r="147" customFormat="false" ht="13.8" hidden="false" customHeight="false" outlineLevel="0" collapsed="false">
      <c r="A147" s="7" t="n">
        <v>43720</v>
      </c>
      <c r="B147" s="8" t="n">
        <v>0.228472222222222</v>
      </c>
      <c r="C147" s="9" t="n">
        <v>114240</v>
      </c>
      <c r="D147" s="9" t="s">
        <v>15</v>
      </c>
      <c r="E147" s="9" t="n">
        <v>23920</v>
      </c>
      <c r="F147" s="9" t="n">
        <v>16060</v>
      </c>
      <c r="G147" s="10" t="n">
        <v>7860</v>
      </c>
      <c r="H147" s="9" t="s">
        <v>11</v>
      </c>
      <c r="I147" s="9" t="s">
        <v>12</v>
      </c>
      <c r="J147" s="1" t="s">
        <v>13</v>
      </c>
    </row>
    <row r="148" customFormat="false" ht="13.8" hidden="false" customHeight="false" outlineLevel="0" collapsed="false">
      <c r="A148" s="7" t="n">
        <v>43720</v>
      </c>
      <c r="B148" s="8" t="n">
        <v>0.0652777777777778</v>
      </c>
      <c r="C148" s="9" t="n">
        <v>114228</v>
      </c>
      <c r="D148" s="9" t="s">
        <v>14</v>
      </c>
      <c r="E148" s="9" t="n">
        <v>22160</v>
      </c>
      <c r="F148" s="9" t="n">
        <v>13040</v>
      </c>
      <c r="G148" s="10" t="n">
        <v>9120</v>
      </c>
      <c r="H148" s="9" t="s">
        <v>11</v>
      </c>
      <c r="I148" s="9" t="s">
        <v>12</v>
      </c>
      <c r="J148" s="1" t="s">
        <v>13</v>
      </c>
    </row>
    <row r="149" customFormat="false" ht="13.8" hidden="false" customHeight="false" outlineLevel="0" collapsed="false">
      <c r="A149" s="7" t="n">
        <v>43720</v>
      </c>
      <c r="B149" s="8" t="n">
        <v>0.1875</v>
      </c>
      <c r="C149" s="9" t="n">
        <v>114239</v>
      </c>
      <c r="D149" s="9" t="s">
        <v>14</v>
      </c>
      <c r="E149" s="9" t="n">
        <v>21300</v>
      </c>
      <c r="F149" s="9" t="n">
        <v>13040</v>
      </c>
      <c r="G149" s="10" t="n">
        <v>8260</v>
      </c>
      <c r="H149" s="9" t="s">
        <v>11</v>
      </c>
      <c r="I149" s="9" t="s">
        <v>12</v>
      </c>
      <c r="J149" s="1" t="s">
        <v>13</v>
      </c>
    </row>
    <row r="150" customFormat="false" ht="13.8" hidden="false" customHeight="false" outlineLevel="0" collapsed="false">
      <c r="A150" s="7" t="n">
        <v>43720</v>
      </c>
      <c r="B150" s="8" t="n">
        <v>0.177777777777778</v>
      </c>
      <c r="C150" s="9" t="n">
        <v>114237</v>
      </c>
      <c r="D150" s="9" t="s">
        <v>16</v>
      </c>
      <c r="E150" s="9" t="n">
        <v>4800</v>
      </c>
      <c r="F150" s="9" t="n">
        <v>3600</v>
      </c>
      <c r="G150" s="10" t="n">
        <v>1200</v>
      </c>
      <c r="H150" s="9" t="s">
        <v>11</v>
      </c>
      <c r="I150" s="9" t="s">
        <v>12</v>
      </c>
      <c r="J150" s="1" t="s">
        <v>13</v>
      </c>
    </row>
    <row r="151" customFormat="false" ht="13.8" hidden="false" customHeight="false" outlineLevel="0" collapsed="false">
      <c r="A151" s="7" t="n">
        <v>43720</v>
      </c>
      <c r="B151" s="8" t="n">
        <v>0.45</v>
      </c>
      <c r="C151" s="9" t="n">
        <v>92074</v>
      </c>
      <c r="D151" s="9" t="s">
        <v>19</v>
      </c>
      <c r="E151" s="9" t="n">
        <v>16740</v>
      </c>
      <c r="F151" s="9" t="n">
        <v>15880</v>
      </c>
      <c r="G151" s="10" t="n">
        <v>860</v>
      </c>
      <c r="H151" s="9" t="s">
        <v>11</v>
      </c>
      <c r="I151" s="9" t="s">
        <v>21</v>
      </c>
      <c r="J151" s="1" t="s">
        <v>13</v>
      </c>
    </row>
    <row r="152" customFormat="false" ht="13.8" hidden="false" customHeight="false" outlineLevel="0" collapsed="false">
      <c r="A152" s="7" t="n">
        <v>43720</v>
      </c>
      <c r="B152" s="11" t="n">
        <v>0.468055555555555</v>
      </c>
      <c r="C152" s="9" t="n">
        <v>114264</v>
      </c>
      <c r="D152" s="9" t="s">
        <v>10</v>
      </c>
      <c r="E152" s="9" t="n">
        <v>3140</v>
      </c>
      <c r="F152" s="9" t="n">
        <v>2760</v>
      </c>
      <c r="G152" s="10" t="n">
        <v>380</v>
      </c>
      <c r="H152" s="9" t="s">
        <v>11</v>
      </c>
      <c r="I152" s="9" t="s">
        <v>12</v>
      </c>
      <c r="J152" s="1" t="s">
        <v>13</v>
      </c>
    </row>
    <row r="153" customFormat="false" ht="13.8" hidden="false" customHeight="false" outlineLevel="0" collapsed="false">
      <c r="A153" s="7" t="n">
        <v>43720</v>
      </c>
      <c r="B153" s="8" t="n">
        <v>0.475694444444444</v>
      </c>
      <c r="C153" s="9" t="n">
        <v>114266</v>
      </c>
      <c r="D153" s="9" t="s">
        <v>17</v>
      </c>
      <c r="E153" s="9" t="n">
        <v>2620</v>
      </c>
      <c r="F153" s="9" t="n">
        <v>2360</v>
      </c>
      <c r="G153" s="10" t="n">
        <v>260</v>
      </c>
      <c r="H153" s="9" t="s">
        <v>11</v>
      </c>
      <c r="I153" s="9" t="s">
        <v>12</v>
      </c>
      <c r="J153" s="1" t="s">
        <v>13</v>
      </c>
    </row>
    <row r="154" customFormat="false" ht="13.8" hidden="false" customHeight="false" outlineLevel="0" collapsed="false">
      <c r="A154" s="7" t="n">
        <v>43720</v>
      </c>
      <c r="B154" s="8" t="n">
        <v>0.534027777777778</v>
      </c>
      <c r="C154" s="9" t="n">
        <v>114275</v>
      </c>
      <c r="D154" s="9" t="s">
        <v>10</v>
      </c>
      <c r="E154" s="9" t="n">
        <v>3420</v>
      </c>
      <c r="F154" s="9" t="n">
        <v>3040</v>
      </c>
      <c r="G154" s="10" t="n">
        <v>380</v>
      </c>
      <c r="H154" s="9" t="s">
        <v>11</v>
      </c>
      <c r="I154" s="9" t="s">
        <v>24</v>
      </c>
      <c r="J154" s="1" t="s">
        <v>13</v>
      </c>
    </row>
    <row r="155" customFormat="false" ht="13.8" hidden="false" customHeight="false" outlineLevel="0" collapsed="false">
      <c r="A155" s="7" t="n">
        <v>43720</v>
      </c>
      <c r="B155" s="8" t="n">
        <v>0.677083333333333</v>
      </c>
      <c r="C155" s="9" t="n">
        <v>114286</v>
      </c>
      <c r="D155" s="9" t="s">
        <v>14</v>
      </c>
      <c r="E155" s="9" t="n">
        <v>14660</v>
      </c>
      <c r="F155" s="9" t="n">
        <v>12860</v>
      </c>
      <c r="G155" s="10" t="n">
        <v>1800</v>
      </c>
      <c r="H155" s="9" t="s">
        <v>11</v>
      </c>
      <c r="I155" s="9" t="s">
        <v>12</v>
      </c>
      <c r="J155" s="1" t="s">
        <v>13</v>
      </c>
    </row>
    <row r="156" customFormat="false" ht="13.8" hidden="false" customHeight="false" outlineLevel="0" collapsed="false">
      <c r="A156" s="7" t="n">
        <v>43720</v>
      </c>
      <c r="B156" s="8" t="n">
        <v>0.726388888888889</v>
      </c>
      <c r="C156" s="9" t="n">
        <v>114291</v>
      </c>
      <c r="D156" s="9" t="s">
        <v>17</v>
      </c>
      <c r="E156" s="9" t="n">
        <v>2440</v>
      </c>
      <c r="F156" s="9" t="n">
        <v>2240</v>
      </c>
      <c r="G156" s="10" t="n">
        <v>200</v>
      </c>
      <c r="H156" s="9" t="s">
        <v>11</v>
      </c>
      <c r="I156" s="9" t="s">
        <v>12</v>
      </c>
      <c r="J156" s="1" t="s">
        <v>13</v>
      </c>
    </row>
    <row r="157" customFormat="false" ht="13.8" hidden="false" customHeight="false" outlineLevel="0" collapsed="false">
      <c r="A157" s="7" t="n">
        <v>43720</v>
      </c>
      <c r="B157" s="8" t="n">
        <v>0.863888888888889</v>
      </c>
      <c r="C157" s="9" t="n">
        <v>114296</v>
      </c>
      <c r="D157" s="9" t="s">
        <v>15</v>
      </c>
      <c r="E157" s="9" t="n">
        <v>21780</v>
      </c>
      <c r="F157" s="9" t="n">
        <v>15900</v>
      </c>
      <c r="G157" s="10" t="n">
        <v>5880</v>
      </c>
      <c r="H157" s="9" t="s">
        <v>11</v>
      </c>
      <c r="I157" s="9" t="s">
        <v>12</v>
      </c>
      <c r="J157" s="1" t="s">
        <v>13</v>
      </c>
    </row>
    <row r="158" customFormat="false" ht="13.8" hidden="false" customHeight="false" outlineLevel="0" collapsed="false">
      <c r="A158" s="7" t="n">
        <v>43721</v>
      </c>
      <c r="B158" s="8" t="n">
        <v>0.192361111111111</v>
      </c>
      <c r="C158" s="9" t="n">
        <v>114309</v>
      </c>
      <c r="D158" s="9" t="s">
        <v>14</v>
      </c>
      <c r="E158" s="9" t="n">
        <v>23380</v>
      </c>
      <c r="F158" s="9" t="n">
        <v>12980</v>
      </c>
      <c r="G158" s="10" t="n">
        <v>10400</v>
      </c>
      <c r="H158" s="9" t="s">
        <v>11</v>
      </c>
      <c r="I158" s="9" t="s">
        <v>12</v>
      </c>
      <c r="J158" s="1" t="s">
        <v>13</v>
      </c>
    </row>
    <row r="159" customFormat="false" ht="13.8" hidden="false" customHeight="false" outlineLevel="0" collapsed="false">
      <c r="A159" s="7" t="n">
        <v>43721</v>
      </c>
      <c r="B159" s="8" t="n">
        <v>0.0625</v>
      </c>
      <c r="C159" s="9" t="n">
        <v>114299</v>
      </c>
      <c r="D159" s="9" t="s">
        <v>14</v>
      </c>
      <c r="E159" s="9" t="n">
        <v>23160</v>
      </c>
      <c r="F159" s="9" t="n">
        <v>13120</v>
      </c>
      <c r="G159" s="10" t="n">
        <v>10040</v>
      </c>
      <c r="H159" s="9" t="s">
        <v>11</v>
      </c>
      <c r="I159" s="9" t="s">
        <v>12</v>
      </c>
      <c r="J159" s="1" t="s">
        <v>13</v>
      </c>
    </row>
    <row r="160" customFormat="false" ht="13.8" hidden="false" customHeight="false" outlineLevel="0" collapsed="false">
      <c r="A160" s="7" t="n">
        <v>43721</v>
      </c>
      <c r="B160" s="8" t="n">
        <v>0.224305555555556</v>
      </c>
      <c r="C160" s="9" t="n">
        <v>114312</v>
      </c>
      <c r="D160" s="9" t="s">
        <v>25</v>
      </c>
      <c r="E160" s="9" t="n">
        <v>3400</v>
      </c>
      <c r="F160" s="9" t="n">
        <v>2780</v>
      </c>
      <c r="G160" s="10" t="n">
        <v>620</v>
      </c>
      <c r="H160" s="9" t="s">
        <v>11</v>
      </c>
      <c r="I160" s="9" t="s">
        <v>12</v>
      </c>
      <c r="J160" s="1" t="s">
        <v>13</v>
      </c>
    </row>
    <row r="161" customFormat="false" ht="13.8" hidden="false" customHeight="false" outlineLevel="0" collapsed="false">
      <c r="A161" s="7" t="n">
        <v>43721</v>
      </c>
      <c r="B161" s="8" t="n">
        <v>0.0236111111111111</v>
      </c>
      <c r="C161" s="9" t="n">
        <v>114298</v>
      </c>
      <c r="D161" s="9" t="s">
        <v>25</v>
      </c>
      <c r="E161" s="9" t="n">
        <v>2900</v>
      </c>
      <c r="F161" s="9" t="n">
        <v>2660</v>
      </c>
      <c r="G161" s="10" t="n">
        <v>240</v>
      </c>
      <c r="H161" s="9" t="s">
        <v>11</v>
      </c>
      <c r="I161" s="9" t="s">
        <v>12</v>
      </c>
      <c r="J161" s="1" t="s">
        <v>13</v>
      </c>
    </row>
    <row r="162" customFormat="false" ht="13.8" hidden="false" customHeight="false" outlineLevel="0" collapsed="false">
      <c r="A162" s="7" t="n">
        <v>43721</v>
      </c>
      <c r="B162" s="8" t="n">
        <v>0.126388888888889</v>
      </c>
      <c r="C162" s="9" t="n">
        <v>114305</v>
      </c>
      <c r="D162" s="9" t="s">
        <v>25</v>
      </c>
      <c r="E162" s="9" t="n">
        <v>3400</v>
      </c>
      <c r="F162" s="9" t="n">
        <v>2660</v>
      </c>
      <c r="G162" s="10" t="n">
        <v>740</v>
      </c>
      <c r="H162" s="9" t="s">
        <v>11</v>
      </c>
      <c r="I162" s="9" t="s">
        <v>12</v>
      </c>
      <c r="J162" s="1" t="s">
        <v>13</v>
      </c>
    </row>
    <row r="163" customFormat="false" ht="13.8" hidden="false" customHeight="false" outlineLevel="0" collapsed="false">
      <c r="A163" s="7" t="n">
        <v>43721</v>
      </c>
      <c r="B163" s="8" t="n">
        <v>0.0645833333333333</v>
      </c>
      <c r="C163" s="9" t="n">
        <v>114300</v>
      </c>
      <c r="D163" s="9" t="s">
        <v>19</v>
      </c>
      <c r="E163" s="9" t="n">
        <v>18000</v>
      </c>
      <c r="F163" s="9" t="n">
        <v>15880</v>
      </c>
      <c r="G163" s="10" t="n">
        <v>2120</v>
      </c>
      <c r="H163" s="9" t="s">
        <v>11</v>
      </c>
      <c r="I163" s="9" t="s">
        <v>12</v>
      </c>
      <c r="J163" s="1" t="s">
        <v>13</v>
      </c>
    </row>
    <row r="164" customFormat="false" ht="13.8" hidden="false" customHeight="false" outlineLevel="0" collapsed="false">
      <c r="A164" s="7" t="n">
        <v>43721</v>
      </c>
      <c r="B164" s="8" t="n">
        <v>0.48125</v>
      </c>
      <c r="C164" s="9" t="n">
        <v>114340</v>
      </c>
      <c r="D164" s="9" t="s">
        <v>10</v>
      </c>
      <c r="E164" s="9" t="n">
        <v>3120</v>
      </c>
      <c r="F164" s="9" t="n">
        <v>2880</v>
      </c>
      <c r="G164" s="10" t="n">
        <v>240</v>
      </c>
      <c r="H164" s="9" t="s">
        <v>11</v>
      </c>
      <c r="I164" s="9" t="s">
        <v>12</v>
      </c>
      <c r="J164" s="1" t="s">
        <v>13</v>
      </c>
    </row>
    <row r="165" customFormat="false" ht="13.8" hidden="false" customHeight="false" outlineLevel="0" collapsed="false">
      <c r="A165" s="7" t="n">
        <v>43721</v>
      </c>
      <c r="B165" s="8" t="n">
        <v>0.863194444444444</v>
      </c>
      <c r="C165" s="9" t="n">
        <v>114354</v>
      </c>
      <c r="D165" s="9" t="s">
        <v>15</v>
      </c>
      <c r="E165" s="9" t="n">
        <v>20840</v>
      </c>
      <c r="F165" s="9" t="n">
        <v>16080</v>
      </c>
      <c r="G165" s="10" t="n">
        <v>4760</v>
      </c>
      <c r="H165" s="9" t="s">
        <v>11</v>
      </c>
      <c r="I165" s="9" t="s">
        <v>12</v>
      </c>
      <c r="J165" s="1" t="s">
        <v>13</v>
      </c>
    </row>
    <row r="166" customFormat="false" ht="13.8" hidden="false" customHeight="false" outlineLevel="0" collapsed="false">
      <c r="A166" s="7" t="n">
        <v>43721</v>
      </c>
      <c r="B166" s="8" t="n">
        <v>0.548611111111111</v>
      </c>
      <c r="C166" s="9" t="n">
        <v>114343</v>
      </c>
      <c r="D166" s="9" t="s">
        <v>17</v>
      </c>
      <c r="E166" s="9" t="n">
        <v>2700</v>
      </c>
      <c r="F166" s="9" t="n">
        <v>2380</v>
      </c>
      <c r="G166" s="10" t="n">
        <v>320</v>
      </c>
      <c r="H166" s="9" t="s">
        <v>11</v>
      </c>
      <c r="I166" s="9" t="s">
        <v>12</v>
      </c>
      <c r="J166" s="1" t="s">
        <v>13</v>
      </c>
    </row>
    <row r="167" customFormat="false" ht="13.8" hidden="false" customHeight="false" outlineLevel="0" collapsed="false">
      <c r="A167" s="7" t="n">
        <v>43721</v>
      </c>
      <c r="B167" s="8" t="n">
        <v>0.688888888888889</v>
      </c>
      <c r="C167" s="9" t="n">
        <v>114347</v>
      </c>
      <c r="D167" s="9" t="s">
        <v>14</v>
      </c>
      <c r="E167" s="9" t="n">
        <v>14980</v>
      </c>
      <c r="F167" s="9" t="n">
        <v>12820</v>
      </c>
      <c r="G167" s="10" t="n">
        <v>2160</v>
      </c>
      <c r="H167" s="9" t="s">
        <v>11</v>
      </c>
      <c r="I167" s="9" t="s">
        <v>12</v>
      </c>
      <c r="J167" s="1" t="s">
        <v>13</v>
      </c>
    </row>
    <row r="168" customFormat="false" ht="13.8" hidden="false" customHeight="false" outlineLevel="0" collapsed="false">
      <c r="A168" s="7" t="n">
        <v>43721</v>
      </c>
      <c r="B168" s="8" t="n">
        <v>0.739583333333333</v>
      </c>
      <c r="C168" s="9" t="n">
        <v>114349</v>
      </c>
      <c r="D168" s="9" t="s">
        <v>17</v>
      </c>
      <c r="E168" s="9" t="n">
        <v>2620</v>
      </c>
      <c r="F168" s="9" t="n">
        <v>2480</v>
      </c>
      <c r="G168" s="10" t="n">
        <v>140</v>
      </c>
      <c r="H168" s="9" t="s">
        <v>11</v>
      </c>
      <c r="I168" s="9" t="s">
        <v>12</v>
      </c>
      <c r="J168" s="1" t="s">
        <v>13</v>
      </c>
    </row>
    <row r="169" customFormat="false" ht="13.8" hidden="false" customHeight="false" outlineLevel="0" collapsed="false">
      <c r="A169" s="7" t="n">
        <v>43721</v>
      </c>
      <c r="B169" s="8" t="n">
        <v>0.454861111111111</v>
      </c>
      <c r="C169" s="9" t="n">
        <v>114337</v>
      </c>
      <c r="D169" s="9" t="s">
        <v>17</v>
      </c>
      <c r="E169" s="9" t="n">
        <v>2680</v>
      </c>
      <c r="F169" s="9" t="n">
        <v>2400</v>
      </c>
      <c r="G169" s="10" t="n">
        <v>280</v>
      </c>
      <c r="H169" s="9" t="s">
        <v>11</v>
      </c>
      <c r="I169" s="9" t="s">
        <v>12</v>
      </c>
      <c r="J169" s="1" t="s">
        <v>13</v>
      </c>
    </row>
    <row r="170" customFormat="false" ht="13.8" hidden="false" customHeight="false" outlineLevel="0" collapsed="false">
      <c r="A170" s="7" t="n">
        <v>43721</v>
      </c>
      <c r="B170" s="8" t="n">
        <v>0.227777777777778</v>
      </c>
      <c r="C170" s="9" t="n">
        <v>114313</v>
      </c>
      <c r="D170" s="9" t="s">
        <v>15</v>
      </c>
      <c r="E170" s="9" t="n">
        <v>24940</v>
      </c>
      <c r="F170" s="9" t="n">
        <v>15920</v>
      </c>
      <c r="G170" s="10" t="n">
        <v>9020</v>
      </c>
      <c r="H170" s="9" t="s">
        <v>11</v>
      </c>
      <c r="I170" s="9" t="s">
        <v>12</v>
      </c>
      <c r="J170" s="1" t="s">
        <v>13</v>
      </c>
    </row>
    <row r="171" customFormat="false" ht="13.8" hidden="false" customHeight="false" outlineLevel="0" collapsed="false">
      <c r="A171" s="7" t="n">
        <v>43721</v>
      </c>
      <c r="B171" s="8" t="n">
        <v>0.486111111111111</v>
      </c>
      <c r="C171" s="12" t="s">
        <v>22</v>
      </c>
      <c r="D171" s="9" t="s">
        <v>15</v>
      </c>
      <c r="E171" s="9" t="n">
        <v>17460</v>
      </c>
      <c r="F171" s="9" t="n">
        <v>15760</v>
      </c>
      <c r="G171" s="10" t="n">
        <v>1700</v>
      </c>
      <c r="H171" s="9" t="s">
        <v>11</v>
      </c>
      <c r="I171" s="9" t="s">
        <v>23</v>
      </c>
      <c r="J171" s="1" t="s">
        <v>13</v>
      </c>
    </row>
    <row r="172" customFormat="false" ht="13.8" hidden="false" customHeight="false" outlineLevel="0" collapsed="false">
      <c r="A172" s="7" t="n">
        <v>43722</v>
      </c>
      <c r="B172" s="8" t="n">
        <v>0.689583333333333</v>
      </c>
      <c r="C172" s="9" t="n">
        <v>114392</v>
      </c>
      <c r="D172" s="9" t="s">
        <v>17</v>
      </c>
      <c r="E172" s="9" t="n">
        <v>2620</v>
      </c>
      <c r="F172" s="9" t="n">
        <v>2460</v>
      </c>
      <c r="G172" s="10" t="n">
        <v>160</v>
      </c>
      <c r="H172" s="9" t="s">
        <v>11</v>
      </c>
      <c r="I172" s="9" t="s">
        <v>12</v>
      </c>
      <c r="J172" s="1" t="s">
        <v>13</v>
      </c>
    </row>
    <row r="173" customFormat="false" ht="13.8" hidden="false" customHeight="false" outlineLevel="0" collapsed="false">
      <c r="A173" s="7" t="n">
        <v>43722</v>
      </c>
      <c r="B173" s="8" t="n">
        <v>0.359722222222222</v>
      </c>
      <c r="C173" s="9" t="n">
        <v>114380</v>
      </c>
      <c r="D173" s="9" t="s">
        <v>17</v>
      </c>
      <c r="E173" s="9" t="n">
        <v>2720</v>
      </c>
      <c r="F173" s="9" t="n">
        <v>2380</v>
      </c>
      <c r="G173" s="10" t="n">
        <v>340</v>
      </c>
      <c r="H173" s="9" t="s">
        <v>11</v>
      </c>
      <c r="I173" s="9" t="s">
        <v>12</v>
      </c>
      <c r="J173" s="1" t="s">
        <v>13</v>
      </c>
    </row>
    <row r="174" customFormat="false" ht="13.8" hidden="false" customHeight="false" outlineLevel="0" collapsed="false">
      <c r="A174" s="7" t="n">
        <v>43722</v>
      </c>
      <c r="B174" s="8" t="n">
        <v>0.877083333333333</v>
      </c>
      <c r="C174" s="9" t="n">
        <v>114393</v>
      </c>
      <c r="D174" s="9" t="s">
        <v>15</v>
      </c>
      <c r="E174" s="9" t="n">
        <v>22260</v>
      </c>
      <c r="F174" s="9" t="n">
        <v>15980</v>
      </c>
      <c r="G174" s="10" t="n">
        <v>6280</v>
      </c>
      <c r="H174" s="9" t="s">
        <v>11</v>
      </c>
      <c r="I174" s="9" t="s">
        <v>12</v>
      </c>
      <c r="J174" s="1" t="s">
        <v>13</v>
      </c>
    </row>
    <row r="175" customFormat="false" ht="13.8" hidden="false" customHeight="false" outlineLevel="0" collapsed="false">
      <c r="A175" s="7" t="n">
        <v>43722</v>
      </c>
      <c r="B175" s="8" t="n">
        <v>0.488194444444444</v>
      </c>
      <c r="C175" s="9" t="n">
        <v>114386</v>
      </c>
      <c r="D175" s="9" t="s">
        <v>10</v>
      </c>
      <c r="E175" s="9" t="n">
        <v>3460</v>
      </c>
      <c r="F175" s="9" t="n">
        <v>2900</v>
      </c>
      <c r="G175" s="10" t="n">
        <v>560</v>
      </c>
      <c r="H175" s="9" t="s">
        <v>11</v>
      </c>
      <c r="I175" s="9" t="s">
        <v>12</v>
      </c>
      <c r="J175" s="1" t="s">
        <v>13</v>
      </c>
    </row>
    <row r="176" customFormat="false" ht="13.8" hidden="false" customHeight="false" outlineLevel="0" collapsed="false">
      <c r="A176" s="7" t="n">
        <v>43722</v>
      </c>
      <c r="B176" s="8" t="n">
        <v>0.686111111111111</v>
      </c>
      <c r="C176" s="9" t="n">
        <v>114391</v>
      </c>
      <c r="D176" s="9" t="s">
        <v>14</v>
      </c>
      <c r="E176" s="9" t="n">
        <v>15400</v>
      </c>
      <c r="F176" s="9" t="n">
        <v>12880</v>
      </c>
      <c r="G176" s="10" t="n">
        <v>2520</v>
      </c>
      <c r="H176" s="9" t="s">
        <v>11</v>
      </c>
      <c r="I176" s="9" t="s">
        <v>12</v>
      </c>
      <c r="J176" s="1" t="s">
        <v>13</v>
      </c>
    </row>
    <row r="177" customFormat="false" ht="13.8" hidden="false" customHeight="false" outlineLevel="0" collapsed="false">
      <c r="A177" s="7" t="n">
        <v>43722</v>
      </c>
      <c r="B177" s="8" t="n">
        <v>0.213888888888889</v>
      </c>
      <c r="C177" s="9" t="n">
        <v>114370</v>
      </c>
      <c r="D177" s="9" t="s">
        <v>15</v>
      </c>
      <c r="E177" s="9" t="n">
        <v>21680</v>
      </c>
      <c r="F177" s="9" t="n">
        <v>16100</v>
      </c>
      <c r="G177" s="10" t="n">
        <v>5580</v>
      </c>
      <c r="H177" s="9" t="s">
        <v>11</v>
      </c>
      <c r="I177" s="9" t="s">
        <v>12</v>
      </c>
      <c r="J177" s="1" t="s">
        <v>13</v>
      </c>
    </row>
    <row r="178" customFormat="false" ht="13.8" hidden="false" customHeight="false" outlineLevel="0" collapsed="false">
      <c r="A178" s="7" t="n">
        <v>43722</v>
      </c>
      <c r="B178" s="8" t="n">
        <v>0.14375</v>
      </c>
      <c r="C178" s="9" t="n">
        <v>114365</v>
      </c>
      <c r="D178" s="9" t="s">
        <v>19</v>
      </c>
      <c r="E178" s="9" t="n">
        <v>20440</v>
      </c>
      <c r="F178" s="9" t="n">
        <v>16120</v>
      </c>
      <c r="G178" s="10" t="n">
        <v>4320</v>
      </c>
      <c r="H178" s="9" t="s">
        <v>11</v>
      </c>
      <c r="I178" s="9" t="s">
        <v>12</v>
      </c>
      <c r="J178" s="1" t="s">
        <v>13</v>
      </c>
    </row>
    <row r="179" customFormat="false" ht="13.8" hidden="false" customHeight="false" outlineLevel="0" collapsed="false">
      <c r="A179" s="7" t="n">
        <v>43722</v>
      </c>
      <c r="B179" s="8" t="n">
        <v>0.184027777777778</v>
      </c>
      <c r="C179" s="9" t="n">
        <v>114366</v>
      </c>
      <c r="D179" s="9" t="s">
        <v>16</v>
      </c>
      <c r="E179" s="9" t="n">
        <v>4660</v>
      </c>
      <c r="F179" s="9" t="n">
        <v>3580</v>
      </c>
      <c r="G179" s="10" t="n">
        <v>1080</v>
      </c>
      <c r="H179" s="9" t="s">
        <v>11</v>
      </c>
      <c r="I179" s="9" t="s">
        <v>12</v>
      </c>
      <c r="J179" s="1" t="s">
        <v>13</v>
      </c>
    </row>
    <row r="180" customFormat="false" ht="13.8" hidden="false" customHeight="false" outlineLevel="0" collapsed="false">
      <c r="A180" s="7" t="n">
        <v>43722</v>
      </c>
      <c r="B180" s="8" t="n">
        <v>0.514583333333333</v>
      </c>
      <c r="C180" s="9" t="n">
        <v>114388</v>
      </c>
      <c r="D180" s="9" t="s">
        <v>17</v>
      </c>
      <c r="E180" s="9" t="n">
        <v>2760</v>
      </c>
      <c r="F180" s="9" t="n">
        <v>2360</v>
      </c>
      <c r="G180" s="10" t="n">
        <v>400</v>
      </c>
      <c r="H180" s="9" t="s">
        <v>11</v>
      </c>
      <c r="I180" s="9" t="s">
        <v>12</v>
      </c>
      <c r="J180" s="1" t="s">
        <v>13</v>
      </c>
    </row>
    <row r="181" customFormat="false" ht="13.8" hidden="false" customHeight="false" outlineLevel="0" collapsed="false">
      <c r="A181" s="7" t="n">
        <v>43722</v>
      </c>
      <c r="B181" s="8" t="n">
        <v>0.0694444444444444</v>
      </c>
      <c r="C181" s="9" t="n">
        <v>114358</v>
      </c>
      <c r="D181" s="9" t="s">
        <v>14</v>
      </c>
      <c r="E181" s="9" t="n">
        <v>22340</v>
      </c>
      <c r="F181" s="9" t="n">
        <v>13040</v>
      </c>
      <c r="G181" s="10" t="n">
        <v>9300</v>
      </c>
      <c r="H181" s="9" t="s">
        <v>11</v>
      </c>
      <c r="I181" s="9" t="s">
        <v>12</v>
      </c>
      <c r="J181" s="1" t="s">
        <v>13</v>
      </c>
    </row>
    <row r="182" customFormat="false" ht="13.8" hidden="false" customHeight="false" outlineLevel="0" collapsed="false">
      <c r="A182" s="7" t="n">
        <v>43722</v>
      </c>
      <c r="B182" s="8" t="n">
        <v>0.19375</v>
      </c>
      <c r="C182" s="9" t="n">
        <v>114367</v>
      </c>
      <c r="D182" s="9" t="s">
        <v>14</v>
      </c>
      <c r="E182" s="9" t="n">
        <v>21040</v>
      </c>
      <c r="F182" s="9" t="n">
        <v>13040</v>
      </c>
      <c r="G182" s="10" t="n">
        <v>8000</v>
      </c>
      <c r="H182" s="9" t="s">
        <v>11</v>
      </c>
      <c r="I182" s="9" t="s">
        <v>12</v>
      </c>
      <c r="J182" s="1" t="s">
        <v>13</v>
      </c>
    </row>
    <row r="183" customFormat="false" ht="13.8" hidden="false" customHeight="false" outlineLevel="0" collapsed="false">
      <c r="A183" s="7" t="n">
        <v>43723</v>
      </c>
      <c r="B183" s="8" t="n">
        <v>0.861111111111111</v>
      </c>
      <c r="C183" s="9" t="n">
        <v>114412</v>
      </c>
      <c r="D183" s="9" t="s">
        <v>15</v>
      </c>
      <c r="E183" s="9" t="n">
        <v>21740</v>
      </c>
      <c r="F183" s="9" t="n">
        <v>15960</v>
      </c>
      <c r="G183" s="10" t="n">
        <v>5780</v>
      </c>
      <c r="H183" s="9" t="s">
        <v>11</v>
      </c>
      <c r="I183" s="9" t="s">
        <v>12</v>
      </c>
      <c r="J183" s="1" t="s">
        <v>13</v>
      </c>
    </row>
    <row r="184" customFormat="false" ht="13.8" hidden="false" customHeight="false" outlineLevel="0" collapsed="false">
      <c r="A184" s="7" t="n">
        <v>43723</v>
      </c>
      <c r="B184" s="8" t="n">
        <v>0.508333333333333</v>
      </c>
      <c r="C184" s="9" t="n">
        <v>114409</v>
      </c>
      <c r="D184" s="9" t="s">
        <v>17</v>
      </c>
      <c r="E184" s="9" t="n">
        <v>2720</v>
      </c>
      <c r="F184" s="9" t="n">
        <v>2360</v>
      </c>
      <c r="G184" s="10" t="n">
        <v>360</v>
      </c>
      <c r="H184" s="9" t="s">
        <v>11</v>
      </c>
      <c r="I184" s="9" t="s">
        <v>12</v>
      </c>
      <c r="J184" s="1" t="s">
        <v>13</v>
      </c>
    </row>
    <row r="185" customFormat="false" ht="13.8" hidden="false" customHeight="false" outlineLevel="0" collapsed="false">
      <c r="A185" s="7" t="n">
        <v>43723</v>
      </c>
      <c r="B185" s="8" t="n">
        <v>0.686805555555556</v>
      </c>
      <c r="C185" s="9" t="n">
        <v>114410</v>
      </c>
      <c r="D185" s="9" t="s">
        <v>14</v>
      </c>
      <c r="E185" s="9" t="n">
        <v>15480</v>
      </c>
      <c r="F185" s="9" t="n">
        <v>12840</v>
      </c>
      <c r="G185" s="10" t="n">
        <v>2640</v>
      </c>
      <c r="H185" s="9" t="s">
        <v>11</v>
      </c>
      <c r="I185" s="9" t="s">
        <v>12</v>
      </c>
      <c r="J185" s="1" t="s">
        <v>13</v>
      </c>
    </row>
    <row r="186" customFormat="false" ht="13.8" hidden="false" customHeight="false" outlineLevel="0" collapsed="false">
      <c r="A186" s="7" t="n">
        <v>43723</v>
      </c>
      <c r="B186" s="8" t="n">
        <v>0.715277777777778</v>
      </c>
      <c r="C186" s="9" t="n">
        <v>114411</v>
      </c>
      <c r="D186" s="9" t="s">
        <v>17</v>
      </c>
      <c r="E186" s="9" t="n">
        <v>2660</v>
      </c>
      <c r="F186" s="9" t="n">
        <v>2460</v>
      </c>
      <c r="G186" s="10" t="n">
        <v>200</v>
      </c>
      <c r="H186" s="9" t="s">
        <v>11</v>
      </c>
      <c r="I186" s="9" t="s">
        <v>12</v>
      </c>
      <c r="J186" s="1" t="s">
        <v>13</v>
      </c>
    </row>
    <row r="187" customFormat="false" ht="13.8" hidden="false" customHeight="false" outlineLevel="0" collapsed="false">
      <c r="A187" s="7" t="n">
        <v>43723</v>
      </c>
      <c r="B187" s="8" t="n">
        <v>0.213194444444444</v>
      </c>
      <c r="C187" s="9" t="n">
        <v>114403</v>
      </c>
      <c r="D187" s="9" t="s">
        <v>19</v>
      </c>
      <c r="E187" s="9" t="n">
        <v>27680</v>
      </c>
      <c r="F187" s="9" t="n">
        <v>16120</v>
      </c>
      <c r="G187" s="10" t="n">
        <v>11560</v>
      </c>
      <c r="H187" s="9" t="s">
        <v>11</v>
      </c>
      <c r="I187" s="9" t="s">
        <v>12</v>
      </c>
      <c r="J187" s="1" t="s">
        <v>13</v>
      </c>
    </row>
    <row r="188" customFormat="false" ht="13.8" hidden="false" customHeight="false" outlineLevel="0" collapsed="false">
      <c r="A188" s="7" t="n">
        <v>43723</v>
      </c>
      <c r="B188" s="8" t="n">
        <v>0.211805555555556</v>
      </c>
      <c r="C188" s="9" t="n">
        <v>114402</v>
      </c>
      <c r="D188" s="9" t="s">
        <v>14</v>
      </c>
      <c r="E188" s="9" t="n">
        <v>22080</v>
      </c>
      <c r="F188" s="9" t="n">
        <v>12900</v>
      </c>
      <c r="G188" s="10" t="n">
        <v>9180</v>
      </c>
      <c r="H188" s="9" t="s">
        <v>11</v>
      </c>
      <c r="I188" s="9" t="s">
        <v>12</v>
      </c>
      <c r="J188" s="1" t="s">
        <v>13</v>
      </c>
    </row>
    <row r="189" customFormat="false" ht="13.8" hidden="false" customHeight="false" outlineLevel="0" collapsed="false">
      <c r="A189" s="7" t="n">
        <v>43723</v>
      </c>
      <c r="B189" s="8" t="n">
        <v>0.504166666666667</v>
      </c>
      <c r="C189" s="9" t="n">
        <v>114408</v>
      </c>
      <c r="D189" s="9" t="s">
        <v>10</v>
      </c>
      <c r="E189" s="9" t="n">
        <v>3340</v>
      </c>
      <c r="F189" s="9" t="n">
        <v>2900</v>
      </c>
      <c r="G189" s="10" t="n">
        <v>440</v>
      </c>
      <c r="H189" s="9" t="s">
        <v>11</v>
      </c>
      <c r="I189" s="9" t="s">
        <v>12</v>
      </c>
      <c r="J189" s="1" t="s">
        <v>13</v>
      </c>
    </row>
    <row r="190" customFormat="false" ht="13.8" hidden="false" customHeight="false" outlineLevel="0" collapsed="false">
      <c r="A190" s="7" t="n">
        <v>43723</v>
      </c>
      <c r="B190" s="8" t="n">
        <v>0.205555555555556</v>
      </c>
      <c r="C190" s="9" t="n">
        <v>114401</v>
      </c>
      <c r="D190" s="9" t="s">
        <v>16</v>
      </c>
      <c r="E190" s="9" t="n">
        <v>5180</v>
      </c>
      <c r="F190" s="9" t="n">
        <v>3600</v>
      </c>
      <c r="G190" s="10" t="n">
        <v>1580</v>
      </c>
      <c r="H190" s="9" t="s">
        <v>11</v>
      </c>
      <c r="I190" s="9" t="s">
        <v>12</v>
      </c>
      <c r="J190" s="1" t="s">
        <v>13</v>
      </c>
    </row>
    <row r="191" customFormat="false" ht="13.8" hidden="false" customHeight="false" outlineLevel="0" collapsed="false">
      <c r="A191" s="7" t="n">
        <v>43723</v>
      </c>
      <c r="B191" s="8" t="n">
        <v>0.0597222222222222</v>
      </c>
      <c r="C191" s="9" t="n">
        <v>114395</v>
      </c>
      <c r="D191" s="9" t="s">
        <v>14</v>
      </c>
      <c r="E191" s="9" t="n">
        <v>22740</v>
      </c>
      <c r="F191" s="9" t="n">
        <v>13080</v>
      </c>
      <c r="G191" s="10" t="n">
        <v>9660</v>
      </c>
      <c r="H191" s="9" t="s">
        <v>11</v>
      </c>
      <c r="I191" s="9" t="s">
        <v>12</v>
      </c>
      <c r="J191" s="1" t="s">
        <v>13</v>
      </c>
    </row>
    <row r="192" customFormat="false" ht="13.8" hidden="false" customHeight="false" outlineLevel="0" collapsed="false">
      <c r="A192" s="7" t="n">
        <v>43724</v>
      </c>
      <c r="B192" s="8" t="n">
        <v>0.121527777777778</v>
      </c>
      <c r="C192" s="9" t="n">
        <v>114417</v>
      </c>
      <c r="D192" s="9" t="s">
        <v>19</v>
      </c>
      <c r="E192" s="9" t="n">
        <v>21220</v>
      </c>
      <c r="F192" s="9" t="n">
        <v>16040</v>
      </c>
      <c r="G192" s="10" t="n">
        <v>5180</v>
      </c>
      <c r="H192" s="9" t="s">
        <v>11</v>
      </c>
      <c r="I192" s="9" t="s">
        <v>12</v>
      </c>
      <c r="J192" s="1" t="s">
        <v>13</v>
      </c>
    </row>
    <row r="193" customFormat="false" ht="13.8" hidden="false" customHeight="false" outlineLevel="0" collapsed="false">
      <c r="A193" s="7" t="n">
        <v>43724</v>
      </c>
      <c r="B193" s="8" t="n">
        <v>0.0770833333333333</v>
      </c>
      <c r="C193" s="9" t="n">
        <v>114414</v>
      </c>
      <c r="D193" s="9" t="s">
        <v>14</v>
      </c>
      <c r="E193" s="9" t="n">
        <v>22680</v>
      </c>
      <c r="F193" s="9" t="n">
        <v>13060</v>
      </c>
      <c r="G193" s="10" t="n">
        <v>9620</v>
      </c>
      <c r="H193" s="9" t="s">
        <v>11</v>
      </c>
      <c r="I193" s="9" t="s">
        <v>12</v>
      </c>
      <c r="J193" s="1" t="s">
        <v>13</v>
      </c>
    </row>
    <row r="194" customFormat="false" ht="13.8" hidden="false" customHeight="false" outlineLevel="0" collapsed="false">
      <c r="A194" s="7" t="n">
        <v>43724</v>
      </c>
      <c r="B194" s="8" t="n">
        <v>0.242361111111111</v>
      </c>
      <c r="C194" s="9" t="n">
        <v>114427</v>
      </c>
      <c r="D194" s="9" t="s">
        <v>15</v>
      </c>
      <c r="E194" s="9" t="n">
        <v>21960</v>
      </c>
      <c r="F194" s="9" t="n">
        <v>15940</v>
      </c>
      <c r="G194" s="10" t="n">
        <v>6020</v>
      </c>
      <c r="H194" s="9" t="s">
        <v>11</v>
      </c>
      <c r="I194" s="9" t="s">
        <v>12</v>
      </c>
      <c r="J194" s="1" t="s">
        <v>13</v>
      </c>
    </row>
    <row r="195" customFormat="false" ht="13.8" hidden="false" customHeight="false" outlineLevel="0" collapsed="false">
      <c r="A195" s="7" t="n">
        <v>43724</v>
      </c>
      <c r="B195" s="8" t="n">
        <v>0.197222222222222</v>
      </c>
      <c r="C195" s="9" t="n">
        <v>114424</v>
      </c>
      <c r="D195" s="9" t="s">
        <v>14</v>
      </c>
      <c r="E195" s="9" t="n">
        <v>20120</v>
      </c>
      <c r="F195" s="9" t="n">
        <v>12860</v>
      </c>
      <c r="G195" s="10" t="n">
        <v>7260</v>
      </c>
      <c r="H195" s="9" t="s">
        <v>11</v>
      </c>
      <c r="I195" s="9" t="s">
        <v>12</v>
      </c>
      <c r="J195" s="1" t="s">
        <v>13</v>
      </c>
    </row>
    <row r="196" customFormat="false" ht="13.8" hidden="false" customHeight="false" outlineLevel="0" collapsed="false">
      <c r="A196" s="7" t="n">
        <v>43724</v>
      </c>
      <c r="B196" s="8" t="n">
        <v>0.173611111111111</v>
      </c>
      <c r="C196" s="9" t="n">
        <v>114423</v>
      </c>
      <c r="D196" s="9" t="s">
        <v>16</v>
      </c>
      <c r="E196" s="9" t="n">
        <v>4880</v>
      </c>
      <c r="F196" s="9" t="n">
        <v>3600</v>
      </c>
      <c r="G196" s="10" t="n">
        <v>1280</v>
      </c>
      <c r="H196" s="9" t="s">
        <v>11</v>
      </c>
      <c r="I196" s="9" t="s">
        <v>12</v>
      </c>
      <c r="J196" s="1" t="s">
        <v>13</v>
      </c>
    </row>
    <row r="197" customFormat="false" ht="13.8" hidden="false" customHeight="false" outlineLevel="0" collapsed="false">
      <c r="A197" s="7" t="n">
        <v>43724</v>
      </c>
      <c r="B197" s="8" t="n">
        <v>0.555555555555556</v>
      </c>
      <c r="C197" s="9" t="n">
        <v>114476</v>
      </c>
      <c r="D197" s="9" t="s">
        <v>25</v>
      </c>
      <c r="E197" s="9" t="n">
        <v>4140</v>
      </c>
      <c r="F197" s="9" t="n">
        <v>2700</v>
      </c>
      <c r="G197" s="10" t="n">
        <v>1440</v>
      </c>
      <c r="H197" s="9" t="s">
        <v>11</v>
      </c>
      <c r="I197" s="9" t="s">
        <v>12</v>
      </c>
      <c r="J197" s="1" t="s">
        <v>13</v>
      </c>
    </row>
    <row r="198" customFormat="false" ht="13.8" hidden="false" customHeight="false" outlineLevel="0" collapsed="false">
      <c r="A198" s="7" t="n">
        <v>43724</v>
      </c>
      <c r="B198" s="8" t="n">
        <v>0.50625</v>
      </c>
      <c r="C198" s="9" t="n">
        <v>114467</v>
      </c>
      <c r="D198" s="9" t="s">
        <v>17</v>
      </c>
      <c r="E198" s="9" t="n">
        <v>2700</v>
      </c>
      <c r="F198" s="9" t="n">
        <v>2400</v>
      </c>
      <c r="G198" s="10" t="n">
        <v>300</v>
      </c>
      <c r="H198" s="9" t="s">
        <v>11</v>
      </c>
      <c r="I198" s="9" t="s">
        <v>12</v>
      </c>
      <c r="J198" s="1" t="s">
        <v>13</v>
      </c>
    </row>
    <row r="199" customFormat="false" ht="13.8" hidden="false" customHeight="false" outlineLevel="0" collapsed="false">
      <c r="A199" s="7" t="n">
        <v>43724</v>
      </c>
      <c r="B199" s="8" t="n">
        <v>0.689583333333333</v>
      </c>
      <c r="C199" s="9" t="n">
        <v>114488</v>
      </c>
      <c r="D199" s="9" t="s">
        <v>14</v>
      </c>
      <c r="E199" s="9" t="n">
        <v>15080</v>
      </c>
      <c r="F199" s="9" t="n">
        <v>12780</v>
      </c>
      <c r="G199" s="10" t="n">
        <v>2300</v>
      </c>
      <c r="H199" s="9" t="s">
        <v>11</v>
      </c>
      <c r="I199" s="9" t="s">
        <v>12</v>
      </c>
      <c r="J199" s="1" t="s">
        <v>13</v>
      </c>
    </row>
    <row r="200" customFormat="false" ht="13.8" hidden="false" customHeight="false" outlineLevel="0" collapsed="false">
      <c r="A200" s="7" t="n">
        <v>43724</v>
      </c>
      <c r="B200" s="8" t="n">
        <v>0.436805555555555</v>
      </c>
      <c r="C200" s="9" t="n">
        <v>114454</v>
      </c>
      <c r="D200" s="9" t="s">
        <v>10</v>
      </c>
      <c r="E200" s="9" t="n">
        <v>3200</v>
      </c>
      <c r="F200" s="9" t="n">
        <v>2880</v>
      </c>
      <c r="G200" s="10" t="n">
        <v>320</v>
      </c>
      <c r="H200" s="9" t="s">
        <v>11</v>
      </c>
      <c r="I200" s="9" t="s">
        <v>12</v>
      </c>
      <c r="J200" s="1" t="s">
        <v>13</v>
      </c>
    </row>
    <row r="201" customFormat="false" ht="13.8" hidden="false" customHeight="false" outlineLevel="0" collapsed="false">
      <c r="A201" s="7" t="n">
        <v>43724</v>
      </c>
      <c r="B201" s="8" t="n">
        <v>0.498611111111111</v>
      </c>
      <c r="C201" s="9" t="n">
        <v>114465</v>
      </c>
      <c r="D201" s="9" t="s">
        <v>10</v>
      </c>
      <c r="E201" s="9" t="n">
        <v>3620</v>
      </c>
      <c r="F201" s="9" t="n">
        <v>2880</v>
      </c>
      <c r="G201" s="10" t="n">
        <v>740</v>
      </c>
      <c r="H201" s="9" t="s">
        <v>11</v>
      </c>
      <c r="I201" s="9" t="s">
        <v>24</v>
      </c>
      <c r="J201" s="1" t="s">
        <v>13</v>
      </c>
    </row>
    <row r="202" customFormat="false" ht="13.8" hidden="false" customHeight="false" outlineLevel="0" collapsed="false">
      <c r="A202" s="7" t="n">
        <v>43724</v>
      </c>
      <c r="B202" s="8" t="n">
        <v>0.754166666666667</v>
      </c>
      <c r="C202" s="9" t="n">
        <v>114491</v>
      </c>
      <c r="D202" s="9" t="s">
        <v>17</v>
      </c>
      <c r="E202" s="9" t="n">
        <v>2600</v>
      </c>
      <c r="F202" s="9" t="n">
        <v>2480</v>
      </c>
      <c r="G202" s="10" t="n">
        <v>120</v>
      </c>
      <c r="H202" s="9" t="s">
        <v>11</v>
      </c>
      <c r="I202" s="9" t="s">
        <v>12</v>
      </c>
      <c r="J202" s="1" t="s">
        <v>13</v>
      </c>
    </row>
    <row r="203" customFormat="false" ht="13.8" hidden="false" customHeight="false" outlineLevel="0" collapsed="false">
      <c r="A203" s="7" t="n">
        <v>43724</v>
      </c>
      <c r="B203" s="8" t="n">
        <v>0.859027777777778</v>
      </c>
      <c r="C203" s="9" t="n">
        <v>114495</v>
      </c>
      <c r="D203" s="9" t="s">
        <v>15</v>
      </c>
      <c r="E203" s="9" t="n">
        <v>20360</v>
      </c>
      <c r="F203" s="9" t="n">
        <v>15880</v>
      </c>
      <c r="G203" s="10" t="n">
        <v>4480</v>
      </c>
      <c r="H203" s="9" t="s">
        <v>11</v>
      </c>
      <c r="I203" s="9" t="s">
        <v>12</v>
      </c>
      <c r="J203" s="1" t="s">
        <v>13</v>
      </c>
    </row>
    <row r="204" customFormat="false" ht="13.8" hidden="false" customHeight="false" outlineLevel="0" collapsed="false">
      <c r="A204" s="7" t="n">
        <v>43724</v>
      </c>
      <c r="B204" s="8" t="n">
        <v>0.475</v>
      </c>
      <c r="C204" s="9" t="n">
        <v>92176</v>
      </c>
      <c r="D204" s="9" t="s">
        <v>20</v>
      </c>
      <c r="E204" s="9" t="n">
        <v>18480</v>
      </c>
      <c r="F204" s="9" t="n">
        <v>15900</v>
      </c>
      <c r="G204" s="10" t="n">
        <v>2580</v>
      </c>
      <c r="H204" s="9" t="s">
        <v>11</v>
      </c>
      <c r="I204" s="9" t="s">
        <v>21</v>
      </c>
      <c r="J204" s="1" t="s">
        <v>13</v>
      </c>
    </row>
    <row r="205" customFormat="false" ht="13.8" hidden="false" customHeight="false" outlineLevel="0" collapsed="false">
      <c r="A205" s="7" t="n">
        <v>43724</v>
      </c>
      <c r="B205" s="8" t="n">
        <v>0.465277777777778</v>
      </c>
      <c r="C205" s="12" t="s">
        <v>22</v>
      </c>
      <c r="D205" s="9" t="s">
        <v>15</v>
      </c>
      <c r="E205" s="9" t="n">
        <v>16660</v>
      </c>
      <c r="F205" s="9" t="n">
        <v>15760</v>
      </c>
      <c r="G205" s="10" t="n">
        <v>900</v>
      </c>
      <c r="H205" s="9" t="s">
        <v>11</v>
      </c>
      <c r="I205" s="9" t="s">
        <v>23</v>
      </c>
      <c r="J205" s="1" t="s">
        <v>13</v>
      </c>
    </row>
    <row r="206" customFormat="false" ht="13.8" hidden="false" customHeight="false" outlineLevel="0" collapsed="false">
      <c r="A206" s="7" t="n">
        <v>43725</v>
      </c>
      <c r="B206" s="8" t="n">
        <v>0.121527777777778</v>
      </c>
      <c r="C206" s="9" t="n">
        <v>114502</v>
      </c>
      <c r="D206" s="9" t="s">
        <v>19</v>
      </c>
      <c r="E206" s="9" t="n">
        <v>19100</v>
      </c>
      <c r="F206" s="9" t="n">
        <v>15800</v>
      </c>
      <c r="G206" s="10" t="n">
        <v>3300</v>
      </c>
      <c r="H206" s="9" t="s">
        <v>11</v>
      </c>
      <c r="I206" s="9" t="s">
        <v>12</v>
      </c>
      <c r="J206" s="1" t="s">
        <v>13</v>
      </c>
    </row>
    <row r="207" customFormat="false" ht="13.8" hidden="false" customHeight="false" outlineLevel="0" collapsed="false">
      <c r="A207" s="7" t="n">
        <v>43725</v>
      </c>
      <c r="B207" s="8" t="n">
        <v>0.241666666666667</v>
      </c>
      <c r="C207" s="9" t="n">
        <v>114512</v>
      </c>
      <c r="D207" s="9" t="s">
        <v>15</v>
      </c>
      <c r="E207" s="9" t="n">
        <v>21880</v>
      </c>
      <c r="F207" s="9" t="n">
        <v>15880</v>
      </c>
      <c r="G207" s="10" t="n">
        <v>6000</v>
      </c>
      <c r="H207" s="9" t="s">
        <v>11</v>
      </c>
      <c r="I207" s="9" t="s">
        <v>12</v>
      </c>
      <c r="J207" s="1" t="s">
        <v>13</v>
      </c>
    </row>
    <row r="208" customFormat="false" ht="13.8" hidden="false" customHeight="false" outlineLevel="0" collapsed="false">
      <c r="A208" s="7" t="n">
        <v>43725</v>
      </c>
      <c r="B208" s="8" t="n">
        <v>0.203472222222222</v>
      </c>
      <c r="C208" s="9" t="n">
        <v>114510</v>
      </c>
      <c r="D208" s="9" t="s">
        <v>25</v>
      </c>
      <c r="E208" s="9" t="n">
        <v>3140</v>
      </c>
      <c r="F208" s="9" t="n">
        <v>2880</v>
      </c>
      <c r="G208" s="10" t="n">
        <v>260</v>
      </c>
      <c r="H208" s="9" t="s">
        <v>11</v>
      </c>
      <c r="I208" s="9" t="s">
        <v>12</v>
      </c>
      <c r="J208" s="1" t="s">
        <v>13</v>
      </c>
    </row>
    <row r="209" customFormat="false" ht="13.8" hidden="false" customHeight="false" outlineLevel="0" collapsed="false">
      <c r="A209" s="7" t="n">
        <v>43725</v>
      </c>
      <c r="B209" s="8" t="n">
        <v>0.245138888888889</v>
      </c>
      <c r="C209" s="9" t="n">
        <v>114513</v>
      </c>
      <c r="D209" s="9" t="s">
        <v>14</v>
      </c>
      <c r="E209" s="9" t="n">
        <v>19720</v>
      </c>
      <c r="F209" s="9" t="n">
        <v>12800</v>
      </c>
      <c r="G209" s="10" t="n">
        <v>6920</v>
      </c>
      <c r="H209" s="9" t="s">
        <v>11</v>
      </c>
      <c r="I209" s="9" t="s">
        <v>12</v>
      </c>
      <c r="J209" s="1" t="s">
        <v>13</v>
      </c>
    </row>
    <row r="210" customFormat="false" ht="13.8" hidden="false" customHeight="false" outlineLevel="0" collapsed="false">
      <c r="A210" s="7" t="n">
        <v>43725</v>
      </c>
      <c r="B210" s="8" t="n">
        <v>0.141666666666667</v>
      </c>
      <c r="C210" s="9" t="n">
        <v>114505</v>
      </c>
      <c r="D210" s="9" t="s">
        <v>25</v>
      </c>
      <c r="E210" s="9" t="n">
        <v>3460</v>
      </c>
      <c r="F210" s="9" t="n">
        <v>2680</v>
      </c>
      <c r="G210" s="10" t="n">
        <v>780</v>
      </c>
      <c r="H210" s="9" t="s">
        <v>11</v>
      </c>
      <c r="I210" s="9" t="s">
        <v>12</v>
      </c>
      <c r="J210" s="1" t="s">
        <v>13</v>
      </c>
    </row>
    <row r="211" customFormat="false" ht="13.8" hidden="false" customHeight="false" outlineLevel="0" collapsed="false">
      <c r="A211" s="7" t="n">
        <v>43725</v>
      </c>
      <c r="B211" s="8" t="n">
        <v>0.0673611111111111</v>
      </c>
      <c r="C211" s="9" t="n">
        <v>114497</v>
      </c>
      <c r="D211" s="9" t="s">
        <v>14</v>
      </c>
      <c r="E211" s="9" t="n">
        <v>22320</v>
      </c>
      <c r="F211" s="9" t="n">
        <v>13000</v>
      </c>
      <c r="G211" s="10" t="n">
        <v>9320</v>
      </c>
      <c r="H211" s="9" t="s">
        <v>11</v>
      </c>
      <c r="I211" s="9" t="s">
        <v>12</v>
      </c>
      <c r="J211" s="1" t="s">
        <v>13</v>
      </c>
    </row>
    <row r="212" customFormat="false" ht="13.8" hidden="false" customHeight="false" outlineLevel="0" collapsed="false">
      <c r="A212" s="7" t="n">
        <v>43725</v>
      </c>
      <c r="B212" s="8" t="n">
        <v>0.448611111111111</v>
      </c>
      <c r="C212" s="9" t="n">
        <v>92219</v>
      </c>
      <c r="D212" s="9" t="s">
        <v>19</v>
      </c>
      <c r="E212" s="9" t="n">
        <v>18100</v>
      </c>
      <c r="F212" s="9" t="n">
        <v>15740</v>
      </c>
      <c r="G212" s="10" t="n">
        <v>2360</v>
      </c>
      <c r="H212" s="9" t="s">
        <v>11</v>
      </c>
      <c r="I212" s="9" t="s">
        <v>21</v>
      </c>
      <c r="J212" s="1" t="s">
        <v>13</v>
      </c>
    </row>
    <row r="213" customFormat="false" ht="13.8" hidden="false" customHeight="false" outlineLevel="0" collapsed="false">
      <c r="A213" s="7" t="n">
        <v>43725</v>
      </c>
      <c r="B213" s="8" t="n">
        <v>0.868055555555555</v>
      </c>
      <c r="C213" s="9" t="n">
        <v>114570</v>
      </c>
      <c r="D213" s="9" t="s">
        <v>15</v>
      </c>
      <c r="E213" s="9" t="n">
        <v>20940</v>
      </c>
      <c r="F213" s="9" t="n">
        <v>15800</v>
      </c>
      <c r="G213" s="10" t="n">
        <v>5140</v>
      </c>
      <c r="H213" s="9" t="s">
        <v>11</v>
      </c>
      <c r="I213" s="9" t="s">
        <v>12</v>
      </c>
      <c r="J213" s="1" t="s">
        <v>13</v>
      </c>
    </row>
    <row r="214" customFormat="false" ht="13.8" hidden="false" customHeight="false" outlineLevel="0" collapsed="false">
      <c r="A214" s="7" t="n">
        <v>43725</v>
      </c>
      <c r="B214" s="8" t="n">
        <v>0.499305555555555</v>
      </c>
      <c r="C214" s="9" t="n">
        <v>114547</v>
      </c>
      <c r="D214" s="9" t="s">
        <v>10</v>
      </c>
      <c r="E214" s="9" t="n">
        <v>3240</v>
      </c>
      <c r="F214" s="9" t="n">
        <v>2880</v>
      </c>
      <c r="G214" s="10" t="n">
        <v>360</v>
      </c>
      <c r="H214" s="9" t="s">
        <v>11</v>
      </c>
      <c r="I214" s="9" t="s">
        <v>24</v>
      </c>
      <c r="J214" s="1" t="s">
        <v>13</v>
      </c>
    </row>
    <row r="215" customFormat="false" ht="13.8" hidden="false" customHeight="false" outlineLevel="0" collapsed="false">
      <c r="A215" s="7" t="n">
        <v>43725</v>
      </c>
      <c r="B215" s="8" t="n">
        <v>0.724305555555556</v>
      </c>
      <c r="C215" s="9" t="n">
        <v>114565</v>
      </c>
      <c r="D215" s="9" t="s">
        <v>17</v>
      </c>
      <c r="E215" s="9" t="n">
        <v>2720</v>
      </c>
      <c r="F215" s="9" t="n">
        <v>2480</v>
      </c>
      <c r="G215" s="10" t="n">
        <v>240</v>
      </c>
      <c r="H215" s="9" t="s">
        <v>11</v>
      </c>
      <c r="I215" s="9" t="s">
        <v>12</v>
      </c>
      <c r="J215" s="1" t="s">
        <v>13</v>
      </c>
    </row>
    <row r="216" customFormat="false" ht="13.8" hidden="false" customHeight="false" outlineLevel="0" collapsed="false">
      <c r="A216" s="7" t="n">
        <v>43725</v>
      </c>
      <c r="B216" s="8" t="n">
        <v>0.686805555555556</v>
      </c>
      <c r="C216" s="9" t="n">
        <v>114563</v>
      </c>
      <c r="D216" s="9" t="s">
        <v>14</v>
      </c>
      <c r="E216" s="9" t="n">
        <v>14600</v>
      </c>
      <c r="F216" s="9" t="n">
        <v>12860</v>
      </c>
      <c r="G216" s="10" t="n">
        <v>1740</v>
      </c>
      <c r="H216" s="9" t="s">
        <v>11</v>
      </c>
      <c r="I216" s="9" t="s">
        <v>12</v>
      </c>
      <c r="J216" s="1" t="s">
        <v>13</v>
      </c>
    </row>
    <row r="217" customFormat="false" ht="13.8" hidden="false" customHeight="false" outlineLevel="0" collapsed="false">
      <c r="A217" s="7" t="n">
        <v>43725</v>
      </c>
      <c r="B217" s="8" t="n">
        <v>0.450694444444444</v>
      </c>
      <c r="C217" s="9" t="n">
        <v>114538</v>
      </c>
      <c r="D217" s="9" t="s">
        <v>17</v>
      </c>
      <c r="E217" s="9" t="n">
        <v>2680</v>
      </c>
      <c r="F217" s="9" t="n">
        <v>2380</v>
      </c>
      <c r="G217" s="10" t="n">
        <v>300</v>
      </c>
      <c r="H217" s="9" t="s">
        <v>11</v>
      </c>
      <c r="I217" s="9" t="s">
        <v>12</v>
      </c>
      <c r="J217" s="1" t="s">
        <v>13</v>
      </c>
    </row>
    <row r="218" customFormat="false" ht="13.8" hidden="false" customHeight="false" outlineLevel="0" collapsed="false">
      <c r="A218" s="7" t="n">
        <v>43726</v>
      </c>
      <c r="B218" s="8" t="n">
        <v>0.236805555555556</v>
      </c>
      <c r="C218" s="9" t="n">
        <v>114586</v>
      </c>
      <c r="D218" s="9" t="s">
        <v>14</v>
      </c>
      <c r="E218" s="9" t="n">
        <v>18360</v>
      </c>
      <c r="F218" s="9" t="n">
        <v>12880</v>
      </c>
      <c r="G218" s="10" t="n">
        <v>5480</v>
      </c>
      <c r="H218" s="9" t="s">
        <v>11</v>
      </c>
      <c r="I218" s="9" t="s">
        <v>12</v>
      </c>
      <c r="J218" s="1" t="s">
        <v>13</v>
      </c>
    </row>
    <row r="219" customFormat="false" ht="13.8" hidden="false" customHeight="false" outlineLevel="0" collapsed="false">
      <c r="A219" s="7" t="n">
        <v>43726</v>
      </c>
      <c r="B219" s="8" t="n">
        <v>0.231944444444444</v>
      </c>
      <c r="C219" s="9" t="n">
        <v>114584</v>
      </c>
      <c r="D219" s="9" t="s">
        <v>15</v>
      </c>
      <c r="E219" s="9" t="n">
        <v>25100</v>
      </c>
      <c r="F219" s="9" t="n">
        <v>15820</v>
      </c>
      <c r="G219" s="10" t="n">
        <v>9280</v>
      </c>
      <c r="H219" s="9" t="s">
        <v>11</v>
      </c>
      <c r="I219" s="9" t="s">
        <v>12</v>
      </c>
      <c r="J219" s="1" t="s">
        <v>13</v>
      </c>
    </row>
    <row r="220" customFormat="false" ht="13.8" hidden="false" customHeight="false" outlineLevel="0" collapsed="false">
      <c r="A220" s="7" t="n">
        <v>43726</v>
      </c>
      <c r="B220" s="8" t="n">
        <v>0.0777777777777778</v>
      </c>
      <c r="C220" s="9" t="n">
        <v>114574</v>
      </c>
      <c r="D220" s="9" t="s">
        <v>14</v>
      </c>
      <c r="E220" s="9" t="n">
        <v>22160</v>
      </c>
      <c r="F220" s="9" t="n">
        <v>13040</v>
      </c>
      <c r="G220" s="10" t="n">
        <v>9120</v>
      </c>
      <c r="H220" s="9" t="s">
        <v>11</v>
      </c>
      <c r="I220" s="9" t="s">
        <v>12</v>
      </c>
      <c r="J220" s="1" t="s">
        <v>13</v>
      </c>
    </row>
    <row r="221" customFormat="false" ht="13.8" hidden="false" customHeight="false" outlineLevel="0" collapsed="false">
      <c r="A221" s="7" t="n">
        <v>43726</v>
      </c>
      <c r="B221" s="8" t="n">
        <v>0.164583333333333</v>
      </c>
      <c r="C221" s="9" t="n">
        <v>114581</v>
      </c>
      <c r="D221" s="9" t="s">
        <v>16</v>
      </c>
      <c r="E221" s="9" t="n">
        <v>4480</v>
      </c>
      <c r="F221" s="9" t="n">
        <v>3580</v>
      </c>
      <c r="G221" s="10" t="n">
        <v>900</v>
      </c>
      <c r="H221" s="9" t="s">
        <v>11</v>
      </c>
      <c r="I221" s="9" t="s">
        <v>12</v>
      </c>
      <c r="J221" s="1" t="s">
        <v>13</v>
      </c>
    </row>
    <row r="222" customFormat="false" ht="13.8" hidden="false" customHeight="false" outlineLevel="0" collapsed="false">
      <c r="A222" s="7" t="n">
        <v>43726</v>
      </c>
      <c r="B222" s="8" t="n">
        <v>0.452777777777778</v>
      </c>
      <c r="C222" s="9" t="n">
        <v>114609</v>
      </c>
      <c r="D222" s="9" t="s">
        <v>17</v>
      </c>
      <c r="E222" s="9" t="n">
        <v>2760</v>
      </c>
      <c r="F222" s="9" t="n">
        <v>2360</v>
      </c>
      <c r="G222" s="10" t="n">
        <v>400</v>
      </c>
      <c r="H222" s="9" t="s">
        <v>11</v>
      </c>
      <c r="I222" s="9" t="s">
        <v>12</v>
      </c>
      <c r="J222" s="1" t="s">
        <v>13</v>
      </c>
    </row>
    <row r="223" customFormat="false" ht="13.8" hidden="false" customHeight="false" outlineLevel="0" collapsed="false">
      <c r="A223" s="7" t="n">
        <v>43726</v>
      </c>
      <c r="B223" s="8" t="n">
        <v>0.376388888888889</v>
      </c>
      <c r="C223" s="9" t="n">
        <v>114602</v>
      </c>
      <c r="D223" s="9" t="s">
        <v>10</v>
      </c>
      <c r="E223" s="9" t="n">
        <v>3940</v>
      </c>
      <c r="F223" s="9" t="n">
        <v>2820</v>
      </c>
      <c r="G223" s="10" t="n">
        <v>1120</v>
      </c>
      <c r="H223" s="9" t="s">
        <v>11</v>
      </c>
      <c r="I223" s="9" t="s">
        <v>24</v>
      </c>
      <c r="J223" s="1" t="s">
        <v>13</v>
      </c>
    </row>
    <row r="224" customFormat="false" ht="13.8" hidden="false" customHeight="false" outlineLevel="0" collapsed="false">
      <c r="A224" s="7" t="n">
        <v>43726</v>
      </c>
      <c r="B224" s="8" t="n">
        <v>0.680555555555555</v>
      </c>
      <c r="C224" s="9" t="n">
        <v>114630</v>
      </c>
      <c r="D224" s="9" t="s">
        <v>14</v>
      </c>
      <c r="E224" s="9" t="n">
        <v>15200</v>
      </c>
      <c r="F224" s="9" t="n">
        <v>12800</v>
      </c>
      <c r="G224" s="10" t="n">
        <v>2400</v>
      </c>
      <c r="H224" s="9" t="s">
        <v>11</v>
      </c>
      <c r="I224" s="9" t="s">
        <v>12</v>
      </c>
      <c r="J224" s="1" t="s">
        <v>13</v>
      </c>
    </row>
    <row r="225" customFormat="false" ht="13.8" hidden="false" customHeight="false" outlineLevel="0" collapsed="false">
      <c r="A225" s="7" t="n">
        <v>43726</v>
      </c>
      <c r="B225" s="8" t="n">
        <v>0.817361111111111</v>
      </c>
      <c r="C225" s="9" t="n">
        <v>114635</v>
      </c>
      <c r="D225" s="9" t="s">
        <v>19</v>
      </c>
      <c r="E225" s="9" t="n">
        <v>21000</v>
      </c>
      <c r="F225" s="9" t="n">
        <v>15840</v>
      </c>
      <c r="G225" s="10" t="n">
        <v>5160</v>
      </c>
      <c r="H225" s="9" t="s">
        <v>11</v>
      </c>
      <c r="I225" s="9" t="s">
        <v>12</v>
      </c>
      <c r="J225" s="1" t="s">
        <v>13</v>
      </c>
    </row>
    <row r="226" customFormat="false" ht="13.8" hidden="false" customHeight="false" outlineLevel="0" collapsed="false">
      <c r="A226" s="7" t="n">
        <v>43726</v>
      </c>
      <c r="B226" s="8" t="n">
        <v>0.538194444444444</v>
      </c>
      <c r="C226" s="9" t="n">
        <v>114621</v>
      </c>
      <c r="D226" s="9" t="s">
        <v>10</v>
      </c>
      <c r="E226" s="9" t="n">
        <v>3140</v>
      </c>
      <c r="F226" s="9" t="n">
        <v>2900</v>
      </c>
      <c r="G226" s="10" t="n">
        <v>240</v>
      </c>
      <c r="H226" s="9" t="s">
        <v>11</v>
      </c>
      <c r="I226" s="9" t="s">
        <v>24</v>
      </c>
      <c r="J226" s="1" t="s">
        <v>13</v>
      </c>
    </row>
    <row r="227" customFormat="false" ht="13.8" hidden="false" customHeight="false" outlineLevel="0" collapsed="false">
      <c r="A227" s="7" t="n">
        <v>43726</v>
      </c>
      <c r="B227" s="8" t="n">
        <v>0.464583333333333</v>
      </c>
      <c r="C227" s="9" t="n">
        <v>114612</v>
      </c>
      <c r="D227" s="9" t="s">
        <v>10</v>
      </c>
      <c r="E227" s="9" t="n">
        <v>3480</v>
      </c>
      <c r="F227" s="9" t="n">
        <v>2900</v>
      </c>
      <c r="G227" s="10" t="n">
        <v>580</v>
      </c>
      <c r="H227" s="9" t="s">
        <v>11</v>
      </c>
      <c r="I227" s="9" t="s">
        <v>24</v>
      </c>
      <c r="J227" s="1" t="s">
        <v>13</v>
      </c>
    </row>
    <row r="228" customFormat="false" ht="13.8" hidden="false" customHeight="false" outlineLevel="0" collapsed="false">
      <c r="A228" s="7" t="n">
        <v>43727</v>
      </c>
      <c r="B228" s="8" t="n">
        <v>0.0722222222222222</v>
      </c>
      <c r="C228" s="9" t="n">
        <v>114639</v>
      </c>
      <c r="D228" s="9" t="s">
        <v>14</v>
      </c>
      <c r="E228" s="9" t="n">
        <v>22140</v>
      </c>
      <c r="F228" s="9" t="n">
        <v>12980</v>
      </c>
      <c r="G228" s="10" t="n">
        <v>9160</v>
      </c>
      <c r="H228" s="9" t="s">
        <v>11</v>
      </c>
      <c r="I228" s="9" t="s">
        <v>12</v>
      </c>
      <c r="J228" s="1" t="s">
        <v>13</v>
      </c>
    </row>
    <row r="229" customFormat="false" ht="13.8" hidden="false" customHeight="false" outlineLevel="0" collapsed="false">
      <c r="A229" s="7" t="n">
        <v>43727</v>
      </c>
      <c r="B229" s="8" t="n">
        <v>0.247222222222222</v>
      </c>
      <c r="C229" s="9" t="n">
        <v>114652</v>
      </c>
      <c r="D229" s="9" t="s">
        <v>15</v>
      </c>
      <c r="E229" s="9" t="n">
        <v>26440</v>
      </c>
      <c r="F229" s="9" t="n">
        <v>15760</v>
      </c>
      <c r="G229" s="10" t="n">
        <v>10680</v>
      </c>
      <c r="H229" s="9" t="s">
        <v>11</v>
      </c>
      <c r="I229" s="9" t="s">
        <v>12</v>
      </c>
      <c r="J229" s="1" t="s">
        <v>13</v>
      </c>
    </row>
    <row r="230" customFormat="false" ht="13.8" hidden="false" customHeight="false" outlineLevel="0" collapsed="false">
      <c r="A230" s="7" t="n">
        <v>43727</v>
      </c>
      <c r="B230" s="8" t="n">
        <v>0.169444444444444</v>
      </c>
      <c r="C230" s="9" t="n">
        <v>114647</v>
      </c>
      <c r="D230" s="9" t="s">
        <v>14</v>
      </c>
      <c r="E230" s="9" t="n">
        <v>18940</v>
      </c>
      <c r="F230" s="9" t="n">
        <v>12820</v>
      </c>
      <c r="G230" s="10" t="n">
        <v>6120</v>
      </c>
      <c r="H230" s="9" t="s">
        <v>11</v>
      </c>
      <c r="I230" s="9" t="s">
        <v>12</v>
      </c>
      <c r="J230" s="1" t="s">
        <v>13</v>
      </c>
    </row>
    <row r="231" customFormat="false" ht="13.8" hidden="false" customHeight="false" outlineLevel="0" collapsed="false">
      <c r="A231" s="7" t="n">
        <v>43727</v>
      </c>
      <c r="B231" s="8" t="n">
        <v>0.449305555555556</v>
      </c>
      <c r="C231" s="9" t="n">
        <v>114674</v>
      </c>
      <c r="D231" s="9" t="s">
        <v>17</v>
      </c>
      <c r="E231" s="9" t="n">
        <v>2660</v>
      </c>
      <c r="F231" s="9" t="n">
        <v>2360</v>
      </c>
      <c r="G231" s="10" t="n">
        <v>300</v>
      </c>
      <c r="H231" s="9" t="s">
        <v>11</v>
      </c>
      <c r="I231" s="9" t="s">
        <v>12</v>
      </c>
      <c r="J231" s="1" t="s">
        <v>13</v>
      </c>
    </row>
    <row r="232" customFormat="false" ht="13.8" hidden="false" customHeight="false" outlineLevel="0" collapsed="false">
      <c r="A232" s="7" t="n">
        <v>43727</v>
      </c>
      <c r="B232" s="8" t="n">
        <v>0.844444444444444</v>
      </c>
      <c r="C232" s="9" t="n">
        <v>114700</v>
      </c>
      <c r="D232" s="9" t="s">
        <v>15</v>
      </c>
      <c r="E232" s="9" t="n">
        <v>21320</v>
      </c>
      <c r="F232" s="9" t="n">
        <v>15880</v>
      </c>
      <c r="G232" s="10" t="n">
        <v>5440</v>
      </c>
      <c r="H232" s="9" t="s">
        <v>11</v>
      </c>
      <c r="I232" s="9" t="s">
        <v>12</v>
      </c>
      <c r="J232" s="1" t="s">
        <v>13</v>
      </c>
    </row>
    <row r="233" customFormat="false" ht="13.8" hidden="false" customHeight="false" outlineLevel="0" collapsed="false">
      <c r="A233" s="7" t="n">
        <v>43727</v>
      </c>
      <c r="B233" s="8" t="n">
        <v>0.227777777777778</v>
      </c>
      <c r="C233" s="9" t="n">
        <v>114650</v>
      </c>
      <c r="D233" s="9" t="s">
        <v>16</v>
      </c>
      <c r="E233" s="9" t="n">
        <v>4680</v>
      </c>
      <c r="F233" s="9" t="n">
        <v>3720</v>
      </c>
      <c r="G233" s="10" t="n">
        <v>960</v>
      </c>
      <c r="H233" s="9" t="s">
        <v>11</v>
      </c>
      <c r="I233" s="9" t="s">
        <v>12</v>
      </c>
      <c r="J233" s="1" t="s">
        <v>13</v>
      </c>
    </row>
    <row r="234" customFormat="false" ht="13.8" hidden="false" customHeight="false" outlineLevel="0" collapsed="false">
      <c r="A234" s="7" t="n">
        <v>43728</v>
      </c>
      <c r="B234" s="8" t="n">
        <v>0.123611111111111</v>
      </c>
      <c r="C234" s="9" t="n">
        <v>114706</v>
      </c>
      <c r="D234" s="9" t="s">
        <v>19</v>
      </c>
      <c r="E234" s="9" t="n">
        <v>20080</v>
      </c>
      <c r="F234" s="9" t="n">
        <v>15820</v>
      </c>
      <c r="G234" s="10" t="n">
        <v>4260</v>
      </c>
      <c r="H234" s="9" t="s">
        <v>11</v>
      </c>
      <c r="I234" s="9" t="s">
        <v>12</v>
      </c>
      <c r="J234" s="1" t="s">
        <v>13</v>
      </c>
    </row>
    <row r="235" customFormat="false" ht="13.8" hidden="false" customHeight="false" outlineLevel="0" collapsed="false">
      <c r="A235" s="7" t="n">
        <v>43728</v>
      </c>
      <c r="B235" s="8" t="n">
        <v>0.1625</v>
      </c>
      <c r="C235" s="9" t="n">
        <v>114712</v>
      </c>
      <c r="D235" s="9" t="s">
        <v>15</v>
      </c>
      <c r="E235" s="9" t="n">
        <v>22020</v>
      </c>
      <c r="F235" s="9" t="n">
        <v>15860</v>
      </c>
      <c r="G235" s="10" t="n">
        <v>6160</v>
      </c>
      <c r="H235" s="9" t="s">
        <v>11</v>
      </c>
      <c r="I235" s="9" t="s">
        <v>12</v>
      </c>
      <c r="J235" s="1" t="s">
        <v>13</v>
      </c>
    </row>
    <row r="236" customFormat="false" ht="13.8" hidden="false" customHeight="false" outlineLevel="0" collapsed="false">
      <c r="A236" s="7" t="n">
        <v>43728</v>
      </c>
      <c r="B236" s="8" t="n">
        <v>0.234722222222222</v>
      </c>
      <c r="C236" s="9" t="n">
        <v>114715</v>
      </c>
      <c r="D236" s="9" t="s">
        <v>16</v>
      </c>
      <c r="E236" s="9" t="n">
        <v>4660</v>
      </c>
      <c r="F236" s="9" t="n">
        <v>3740</v>
      </c>
      <c r="G236" s="10" t="n">
        <v>920</v>
      </c>
      <c r="H236" s="9" t="s">
        <v>11</v>
      </c>
      <c r="I236" s="9" t="s">
        <v>12</v>
      </c>
      <c r="J236" s="1" t="s">
        <v>13</v>
      </c>
    </row>
    <row r="237" customFormat="false" ht="13.8" hidden="false" customHeight="false" outlineLevel="0" collapsed="false">
      <c r="A237" s="7" t="n">
        <v>43728</v>
      </c>
      <c r="B237" s="8" t="n">
        <v>0.0715277777777778</v>
      </c>
      <c r="C237" s="9" t="n">
        <v>114702</v>
      </c>
      <c r="D237" s="9" t="s">
        <v>14</v>
      </c>
      <c r="E237" s="9" t="n">
        <v>23060</v>
      </c>
      <c r="F237" s="9" t="n">
        <v>12980</v>
      </c>
      <c r="G237" s="10" t="n">
        <v>10080</v>
      </c>
      <c r="H237" s="9" t="s">
        <v>11</v>
      </c>
      <c r="I237" s="9" t="s">
        <v>12</v>
      </c>
      <c r="J237" s="1" t="s">
        <v>13</v>
      </c>
    </row>
    <row r="238" customFormat="false" ht="13.8" hidden="false" customHeight="false" outlineLevel="0" collapsed="false">
      <c r="A238" s="7" t="n">
        <v>43728</v>
      </c>
      <c r="B238" s="8" t="n">
        <v>0.238194444444444</v>
      </c>
      <c r="C238" s="9" t="n">
        <v>114716</v>
      </c>
      <c r="D238" s="9" t="s">
        <v>14</v>
      </c>
      <c r="E238" s="9" t="n">
        <v>20880</v>
      </c>
      <c r="F238" s="9" t="n">
        <v>12800</v>
      </c>
      <c r="G238" s="10" t="n">
        <v>8080</v>
      </c>
      <c r="H238" s="9" t="s">
        <v>11</v>
      </c>
      <c r="I238" s="9" t="s">
        <v>12</v>
      </c>
      <c r="J238" s="1" t="s">
        <v>13</v>
      </c>
    </row>
    <row r="239" customFormat="false" ht="13.8" hidden="false" customHeight="false" outlineLevel="0" collapsed="false">
      <c r="A239" s="7" t="n">
        <v>43728</v>
      </c>
      <c r="B239" s="8" t="n">
        <v>0.874305555555556</v>
      </c>
      <c r="C239" s="9" t="n">
        <v>114753</v>
      </c>
      <c r="D239" s="9" t="s">
        <v>15</v>
      </c>
      <c r="E239" s="9" t="n">
        <v>19480</v>
      </c>
      <c r="F239" s="9" t="n">
        <v>15800</v>
      </c>
      <c r="G239" s="10" t="n">
        <v>3680</v>
      </c>
      <c r="H239" s="9" t="s">
        <v>11</v>
      </c>
      <c r="I239" s="9" t="s">
        <v>12</v>
      </c>
      <c r="J239" s="1" t="s">
        <v>13</v>
      </c>
    </row>
    <row r="240" customFormat="false" ht="13.8" hidden="false" customHeight="false" outlineLevel="0" collapsed="false">
      <c r="A240" s="7" t="n">
        <v>43728</v>
      </c>
      <c r="B240" s="8" t="n">
        <v>0.533333333333333</v>
      </c>
      <c r="C240" s="9" t="n">
        <v>114744</v>
      </c>
      <c r="D240" s="9" t="s">
        <v>10</v>
      </c>
      <c r="E240" s="9" t="n">
        <v>3300</v>
      </c>
      <c r="F240" s="9" t="n">
        <v>2720</v>
      </c>
      <c r="G240" s="10" t="n">
        <v>580</v>
      </c>
      <c r="H240" s="9" t="s">
        <v>11</v>
      </c>
      <c r="I240" s="9" t="s">
        <v>12</v>
      </c>
      <c r="J240" s="1" t="s">
        <v>13</v>
      </c>
    </row>
    <row r="241" customFormat="false" ht="13.8" hidden="false" customHeight="false" outlineLevel="0" collapsed="false">
      <c r="A241" s="7" t="n">
        <v>43728</v>
      </c>
      <c r="B241" s="8" t="n">
        <v>0.51875</v>
      </c>
      <c r="C241" s="9" t="n">
        <v>114743</v>
      </c>
      <c r="D241" s="9" t="s">
        <v>17</v>
      </c>
      <c r="E241" s="9" t="n">
        <v>2680</v>
      </c>
      <c r="F241" s="9" t="n">
        <v>2440</v>
      </c>
      <c r="G241" s="10" t="n">
        <v>240</v>
      </c>
      <c r="H241" s="9" t="s">
        <v>11</v>
      </c>
      <c r="I241" s="9" t="s">
        <v>12</v>
      </c>
      <c r="J241" s="1" t="s">
        <v>13</v>
      </c>
    </row>
    <row r="242" customFormat="false" ht="13.8" hidden="false" customHeight="false" outlineLevel="0" collapsed="false">
      <c r="A242" s="7" t="n">
        <v>43728</v>
      </c>
      <c r="B242" s="8" t="n">
        <v>0.328472222222222</v>
      </c>
      <c r="C242" s="9" t="n">
        <v>114727</v>
      </c>
      <c r="D242" s="9" t="s">
        <v>25</v>
      </c>
      <c r="E242" s="9" t="n">
        <v>3180</v>
      </c>
      <c r="F242" s="9" t="n">
        <v>2760</v>
      </c>
      <c r="G242" s="10" t="n">
        <v>420</v>
      </c>
      <c r="H242" s="9" t="s">
        <v>11</v>
      </c>
      <c r="I242" s="9" t="s">
        <v>24</v>
      </c>
      <c r="J242" s="1" t="s">
        <v>13</v>
      </c>
    </row>
    <row r="243" customFormat="false" ht="13.8" hidden="false" customHeight="false" outlineLevel="0" collapsed="false">
      <c r="A243" s="7" t="n">
        <v>43729</v>
      </c>
      <c r="B243" s="8" t="n">
        <v>0.8625</v>
      </c>
      <c r="C243" s="9" t="n">
        <v>114781</v>
      </c>
      <c r="D243" s="9" t="s">
        <v>15</v>
      </c>
      <c r="E243" s="9" t="n">
        <v>20680</v>
      </c>
      <c r="F243" s="9" t="n">
        <v>15960</v>
      </c>
      <c r="G243" s="10" t="n">
        <v>4720</v>
      </c>
      <c r="H243" s="9" t="s">
        <v>11</v>
      </c>
      <c r="I243" s="9" t="s">
        <v>12</v>
      </c>
      <c r="J243" s="1" t="s">
        <v>13</v>
      </c>
    </row>
    <row r="244" customFormat="false" ht="13.8" hidden="false" customHeight="false" outlineLevel="0" collapsed="false">
      <c r="A244" s="7" t="n">
        <v>43729</v>
      </c>
      <c r="B244" s="8" t="n">
        <v>0.471527777777778</v>
      </c>
      <c r="C244" s="9" t="n">
        <v>114777</v>
      </c>
      <c r="D244" s="9" t="s">
        <v>10</v>
      </c>
      <c r="E244" s="9" t="n">
        <v>3060</v>
      </c>
      <c r="F244" s="9" t="n">
        <v>2840</v>
      </c>
      <c r="G244" s="10" t="n">
        <v>220</v>
      </c>
      <c r="H244" s="9" t="s">
        <v>11</v>
      </c>
      <c r="I244" s="9" t="s">
        <v>12</v>
      </c>
      <c r="J244" s="1" t="s">
        <v>13</v>
      </c>
    </row>
    <row r="245" customFormat="false" ht="13.8" hidden="false" customHeight="false" outlineLevel="0" collapsed="false">
      <c r="A245" s="7" t="n">
        <v>43729</v>
      </c>
      <c r="B245" s="8" t="n">
        <v>0.684722222222222</v>
      </c>
      <c r="C245" s="9" t="n">
        <v>114780</v>
      </c>
      <c r="D245" s="9" t="s">
        <v>14</v>
      </c>
      <c r="E245" s="9" t="n">
        <v>14220</v>
      </c>
      <c r="F245" s="9" t="n">
        <v>12820</v>
      </c>
      <c r="G245" s="10" t="n">
        <v>1400</v>
      </c>
      <c r="H245" s="9" t="s">
        <v>11</v>
      </c>
      <c r="I245" s="9" t="s">
        <v>12</v>
      </c>
      <c r="J245" s="1" t="s">
        <v>13</v>
      </c>
    </row>
    <row r="246" customFormat="false" ht="13.8" hidden="false" customHeight="false" outlineLevel="0" collapsed="false">
      <c r="A246" s="7" t="n">
        <v>43729</v>
      </c>
      <c r="B246" s="8" t="n">
        <v>0.5125</v>
      </c>
      <c r="C246" s="9" t="n">
        <v>114778</v>
      </c>
      <c r="D246" s="9" t="s">
        <v>17</v>
      </c>
      <c r="E246" s="9" t="n">
        <v>2760</v>
      </c>
      <c r="F246" s="9" t="n">
        <v>2460</v>
      </c>
      <c r="G246" s="10" t="n">
        <v>300</v>
      </c>
      <c r="H246" s="9" t="s">
        <v>11</v>
      </c>
      <c r="I246" s="9" t="s">
        <v>12</v>
      </c>
      <c r="J246" s="1" t="s">
        <v>13</v>
      </c>
    </row>
    <row r="247" customFormat="false" ht="13.8" hidden="false" customHeight="false" outlineLevel="0" collapsed="false">
      <c r="A247" s="7" t="n">
        <v>43729</v>
      </c>
      <c r="B247" s="8" t="n">
        <v>0.186111111111111</v>
      </c>
      <c r="C247" s="9" t="n">
        <v>114764</v>
      </c>
      <c r="D247" s="9" t="s">
        <v>15</v>
      </c>
      <c r="E247" s="9" t="n">
        <v>21000</v>
      </c>
      <c r="F247" s="9" t="n">
        <v>15840</v>
      </c>
      <c r="G247" s="10" t="n">
        <v>5160</v>
      </c>
      <c r="H247" s="9" t="s">
        <v>11</v>
      </c>
      <c r="I247" s="9" t="s">
        <v>12</v>
      </c>
      <c r="J247" s="1" t="s">
        <v>13</v>
      </c>
    </row>
    <row r="248" customFormat="false" ht="13.8" hidden="false" customHeight="false" outlineLevel="0" collapsed="false">
      <c r="A248" s="7" t="n">
        <v>43729</v>
      </c>
      <c r="B248" s="8" t="n">
        <v>0.234027777777778</v>
      </c>
      <c r="C248" s="9" t="n">
        <v>114767</v>
      </c>
      <c r="D248" s="9" t="s">
        <v>16</v>
      </c>
      <c r="E248" s="9" t="n">
        <v>4700</v>
      </c>
      <c r="F248" s="9" t="n">
        <v>3680</v>
      </c>
      <c r="G248" s="10" t="n">
        <v>1020</v>
      </c>
      <c r="H248" s="9" t="s">
        <v>11</v>
      </c>
      <c r="I248" s="9" t="s">
        <v>12</v>
      </c>
      <c r="J248" s="1" t="s">
        <v>13</v>
      </c>
    </row>
    <row r="249" customFormat="false" ht="13.8" hidden="false" customHeight="false" outlineLevel="0" collapsed="false">
      <c r="A249" s="7" t="n">
        <v>43729</v>
      </c>
      <c r="B249" s="8" t="n">
        <v>0.248611111111111</v>
      </c>
      <c r="C249" s="9" t="n">
        <v>114768</v>
      </c>
      <c r="D249" s="9" t="s">
        <v>14</v>
      </c>
      <c r="E249" s="9" t="n">
        <v>20560</v>
      </c>
      <c r="F249" s="9" t="n">
        <v>12860</v>
      </c>
      <c r="G249" s="10" t="n">
        <v>7700</v>
      </c>
      <c r="H249" s="9" t="s">
        <v>11</v>
      </c>
      <c r="I249" s="9" t="s">
        <v>12</v>
      </c>
      <c r="J249" s="1" t="s">
        <v>13</v>
      </c>
    </row>
    <row r="250" customFormat="false" ht="13.8" hidden="false" customHeight="false" outlineLevel="0" collapsed="false">
      <c r="A250" s="7" t="n">
        <v>43729</v>
      </c>
      <c r="B250" s="8" t="n">
        <v>0.0736111111111111</v>
      </c>
      <c r="C250" s="9" t="n">
        <v>114755</v>
      </c>
      <c r="D250" s="9" t="s">
        <v>14</v>
      </c>
      <c r="E250" s="9" t="n">
        <v>22740</v>
      </c>
      <c r="F250" s="9" t="n">
        <v>13040</v>
      </c>
      <c r="G250" s="10" t="n">
        <v>9700</v>
      </c>
      <c r="H250" s="9" t="s">
        <v>11</v>
      </c>
      <c r="I250" s="9" t="s">
        <v>12</v>
      </c>
      <c r="J250" s="1" t="s">
        <v>13</v>
      </c>
    </row>
    <row r="251" customFormat="false" ht="13.8" hidden="false" customHeight="false" outlineLevel="0" collapsed="false">
      <c r="A251" s="7" t="n">
        <v>43729</v>
      </c>
      <c r="B251" s="8" t="n">
        <v>0.146527777777778</v>
      </c>
      <c r="C251" s="9" t="n">
        <v>114763</v>
      </c>
      <c r="D251" s="9" t="s">
        <v>19</v>
      </c>
      <c r="E251" s="9" t="n">
        <v>21040</v>
      </c>
      <c r="F251" s="9" t="n">
        <v>15820</v>
      </c>
      <c r="G251" s="10" t="n">
        <v>5220</v>
      </c>
      <c r="H251" s="9" t="s">
        <v>11</v>
      </c>
      <c r="I251" s="9" t="s">
        <v>12</v>
      </c>
      <c r="J251" s="1" t="s">
        <v>13</v>
      </c>
    </row>
    <row r="252" customFormat="false" ht="13.8" hidden="false" customHeight="false" outlineLevel="0" collapsed="false">
      <c r="A252" s="7" t="n">
        <v>43730</v>
      </c>
      <c r="B252" s="8" t="n">
        <v>0.827083333333333</v>
      </c>
      <c r="C252" s="9" t="n">
        <v>114800</v>
      </c>
      <c r="D252" s="9" t="s">
        <v>15</v>
      </c>
      <c r="E252" s="9" t="n">
        <v>20420</v>
      </c>
      <c r="F252" s="9" t="n">
        <v>15980</v>
      </c>
      <c r="G252" s="10" t="n">
        <v>4440</v>
      </c>
      <c r="H252" s="9" t="s">
        <v>11</v>
      </c>
      <c r="I252" s="9" t="s">
        <v>12</v>
      </c>
      <c r="J252" s="1" t="s">
        <v>13</v>
      </c>
    </row>
    <row r="253" customFormat="false" ht="13.8" hidden="false" customHeight="false" outlineLevel="0" collapsed="false">
      <c r="A253" s="7" t="n">
        <v>43730</v>
      </c>
      <c r="B253" s="8" t="n">
        <v>0.502083333333333</v>
      </c>
      <c r="C253" s="9" t="n">
        <v>114797</v>
      </c>
      <c r="D253" s="9" t="s">
        <v>17</v>
      </c>
      <c r="E253" s="9" t="n">
        <v>2920</v>
      </c>
      <c r="F253" s="9" t="n">
        <v>2480</v>
      </c>
      <c r="G253" s="10" t="n">
        <v>440</v>
      </c>
      <c r="H253" s="9" t="s">
        <v>11</v>
      </c>
      <c r="I253" s="9" t="s">
        <v>12</v>
      </c>
      <c r="J253" s="1" t="s">
        <v>13</v>
      </c>
    </row>
    <row r="254" customFormat="false" ht="13.8" hidden="false" customHeight="false" outlineLevel="0" collapsed="false">
      <c r="A254" s="7" t="n">
        <v>43730</v>
      </c>
      <c r="B254" s="8" t="n">
        <v>0.5125</v>
      </c>
      <c r="C254" s="9" t="n">
        <v>114798</v>
      </c>
      <c r="D254" s="9" t="s">
        <v>10</v>
      </c>
      <c r="E254" s="9" t="n">
        <v>3280</v>
      </c>
      <c r="F254" s="9" t="n">
        <v>2820</v>
      </c>
      <c r="G254" s="10" t="n">
        <v>460</v>
      </c>
      <c r="H254" s="9" t="s">
        <v>11</v>
      </c>
      <c r="I254" s="9" t="s">
        <v>12</v>
      </c>
      <c r="J254" s="1" t="s">
        <v>13</v>
      </c>
    </row>
    <row r="255" customFormat="false" ht="13.8" hidden="false" customHeight="false" outlineLevel="0" collapsed="false">
      <c r="A255" s="7" t="n">
        <v>43730</v>
      </c>
      <c r="B255" s="8" t="n">
        <v>0.672916666666667</v>
      </c>
      <c r="C255" s="9" t="n">
        <v>114799</v>
      </c>
      <c r="D255" s="9" t="s">
        <v>14</v>
      </c>
      <c r="E255" s="9" t="n">
        <v>13820</v>
      </c>
      <c r="F255" s="9" t="n">
        <v>12880</v>
      </c>
      <c r="G255" s="10" t="n">
        <v>940</v>
      </c>
      <c r="H255" s="9" t="s">
        <v>11</v>
      </c>
      <c r="I255" s="9" t="s">
        <v>12</v>
      </c>
      <c r="J255" s="1" t="s">
        <v>13</v>
      </c>
    </row>
    <row r="256" customFormat="false" ht="13.8" hidden="false" customHeight="false" outlineLevel="0" collapsed="false">
      <c r="A256" s="7" t="n">
        <v>43730</v>
      </c>
      <c r="B256" s="8" t="n">
        <v>0.219444444444444</v>
      </c>
      <c r="C256" s="9" t="n">
        <v>114790</v>
      </c>
      <c r="D256" s="9" t="s">
        <v>15</v>
      </c>
      <c r="E256" s="9" t="n">
        <v>23300</v>
      </c>
      <c r="F256" s="9" t="n">
        <v>16000</v>
      </c>
      <c r="G256" s="10" t="n">
        <v>7300</v>
      </c>
      <c r="H256" s="9" t="s">
        <v>11</v>
      </c>
      <c r="I256" s="9" t="s">
        <v>12</v>
      </c>
      <c r="J256" s="1" t="s">
        <v>13</v>
      </c>
    </row>
    <row r="257" customFormat="false" ht="13.8" hidden="false" customHeight="false" outlineLevel="0" collapsed="false">
      <c r="A257" s="7" t="n">
        <v>43730</v>
      </c>
      <c r="B257" s="8" t="n">
        <v>0.220833333333333</v>
      </c>
      <c r="C257" s="9" t="n">
        <v>114791</v>
      </c>
      <c r="D257" s="9" t="s">
        <v>16</v>
      </c>
      <c r="E257" s="9" t="n">
        <v>4920</v>
      </c>
      <c r="F257" s="9" t="n">
        <v>3560</v>
      </c>
      <c r="G257" s="10" t="n">
        <v>1360</v>
      </c>
      <c r="H257" s="9" t="s">
        <v>11</v>
      </c>
      <c r="I257" s="9" t="s">
        <v>12</v>
      </c>
      <c r="J257" s="1" t="s">
        <v>13</v>
      </c>
    </row>
    <row r="258" customFormat="false" ht="13.8" hidden="false" customHeight="false" outlineLevel="0" collapsed="false">
      <c r="A258" s="7" t="n">
        <v>43730</v>
      </c>
      <c r="B258" s="8" t="n">
        <v>0.222222222222222</v>
      </c>
      <c r="C258" s="9" t="n">
        <v>114792</v>
      </c>
      <c r="D258" s="9" t="s">
        <v>14</v>
      </c>
      <c r="E258" s="9" t="n">
        <v>19580</v>
      </c>
      <c r="F258" s="9" t="n">
        <v>12940</v>
      </c>
      <c r="G258" s="10" t="n">
        <v>6640</v>
      </c>
      <c r="H258" s="9" t="s">
        <v>11</v>
      </c>
      <c r="I258" s="9" t="s">
        <v>12</v>
      </c>
      <c r="J258" s="1" t="s">
        <v>13</v>
      </c>
    </row>
    <row r="259" customFormat="false" ht="13.8" hidden="false" customHeight="false" outlineLevel="0" collapsed="false">
      <c r="A259" s="7" t="n">
        <v>43730</v>
      </c>
      <c r="B259" s="8" t="n">
        <v>0.0798611111111111</v>
      </c>
      <c r="C259" s="9" t="n">
        <v>114782</v>
      </c>
      <c r="D259" s="9" t="s">
        <v>14</v>
      </c>
      <c r="E259" s="9" t="n">
        <v>22000</v>
      </c>
      <c r="F259" s="9" t="n">
        <v>12840</v>
      </c>
      <c r="G259" s="10" t="n">
        <v>9160</v>
      </c>
      <c r="H259" s="9" t="s">
        <v>11</v>
      </c>
      <c r="I259" s="9" t="s">
        <v>12</v>
      </c>
      <c r="J259" s="1" t="s">
        <v>13</v>
      </c>
    </row>
    <row r="260" customFormat="false" ht="13.8" hidden="false" customHeight="false" outlineLevel="0" collapsed="false">
      <c r="A260" s="7" t="n">
        <v>43731</v>
      </c>
      <c r="B260" s="8" t="n">
        <v>0.233333333333333</v>
      </c>
      <c r="C260" s="9" t="n">
        <v>114814</v>
      </c>
      <c r="D260" s="9" t="s">
        <v>15</v>
      </c>
      <c r="E260" s="9" t="n">
        <v>21040</v>
      </c>
      <c r="F260" s="9" t="n">
        <v>15960</v>
      </c>
      <c r="G260" s="10" t="n">
        <v>5080</v>
      </c>
      <c r="H260" s="9" t="s">
        <v>11</v>
      </c>
      <c r="I260" s="9" t="s">
        <v>12</v>
      </c>
      <c r="J260" s="1" t="s">
        <v>13</v>
      </c>
    </row>
    <row r="261" customFormat="false" ht="13.8" hidden="false" customHeight="false" outlineLevel="0" collapsed="false">
      <c r="A261" s="7" t="n">
        <v>43731</v>
      </c>
      <c r="B261" s="8" t="n">
        <v>0.0847222222222222</v>
      </c>
      <c r="C261" s="9" t="n">
        <v>114803</v>
      </c>
      <c r="D261" s="9" t="s">
        <v>14</v>
      </c>
      <c r="E261" s="9" t="n">
        <v>22260</v>
      </c>
      <c r="F261" s="9" t="n">
        <v>12920</v>
      </c>
      <c r="G261" s="10" t="n">
        <v>9340</v>
      </c>
      <c r="H261" s="9" t="s">
        <v>11</v>
      </c>
      <c r="I261" s="9" t="s">
        <v>12</v>
      </c>
      <c r="J261" s="1" t="s">
        <v>13</v>
      </c>
    </row>
    <row r="262" customFormat="false" ht="13.8" hidden="false" customHeight="false" outlineLevel="0" collapsed="false">
      <c r="A262" s="7" t="n">
        <v>43731</v>
      </c>
      <c r="B262" s="8" t="n">
        <v>0.222222222222222</v>
      </c>
      <c r="C262" s="9" t="n">
        <v>114813</v>
      </c>
      <c r="D262" s="9" t="s">
        <v>14</v>
      </c>
      <c r="E262" s="9" t="n">
        <v>20160</v>
      </c>
      <c r="F262" s="9" t="n">
        <v>12920</v>
      </c>
      <c r="G262" s="10" t="n">
        <v>7240</v>
      </c>
      <c r="H262" s="9" t="s">
        <v>11</v>
      </c>
      <c r="I262" s="9" t="s">
        <v>12</v>
      </c>
      <c r="J262" s="1" t="s">
        <v>13</v>
      </c>
    </row>
    <row r="263" customFormat="false" ht="13.8" hidden="false" customHeight="false" outlineLevel="0" collapsed="false">
      <c r="A263" s="7" t="n">
        <v>43731</v>
      </c>
      <c r="B263" s="8" t="n">
        <v>0.252777777777778</v>
      </c>
      <c r="C263" s="9" t="n">
        <v>114817</v>
      </c>
      <c r="D263" s="9" t="s">
        <v>16</v>
      </c>
      <c r="E263" s="9" t="n">
        <v>4760</v>
      </c>
      <c r="F263" s="9" t="n">
        <v>3640</v>
      </c>
      <c r="G263" s="10" t="n">
        <v>1120</v>
      </c>
      <c r="H263" s="9" t="s">
        <v>11</v>
      </c>
      <c r="I263" s="9" t="s">
        <v>12</v>
      </c>
      <c r="J263" s="1" t="s">
        <v>13</v>
      </c>
    </row>
    <row r="264" customFormat="false" ht="13.8" hidden="false" customHeight="false" outlineLevel="0" collapsed="false">
      <c r="A264" s="7" t="n">
        <v>43731</v>
      </c>
      <c r="B264" s="8" t="n">
        <v>0.1375</v>
      </c>
      <c r="C264" s="9" t="n">
        <v>114808</v>
      </c>
      <c r="D264" s="9" t="s">
        <v>19</v>
      </c>
      <c r="E264" s="9" t="n">
        <v>21340</v>
      </c>
      <c r="F264" s="9" t="n">
        <v>15840</v>
      </c>
      <c r="G264" s="10" t="n">
        <v>5500</v>
      </c>
      <c r="H264" s="9" t="s">
        <v>11</v>
      </c>
      <c r="I264" s="9" t="s">
        <v>12</v>
      </c>
      <c r="J264" s="1" t="s">
        <v>13</v>
      </c>
    </row>
    <row r="265" customFormat="false" ht="13.8" hidden="false" customHeight="false" outlineLevel="0" collapsed="false">
      <c r="A265" s="7" t="n">
        <v>43731</v>
      </c>
      <c r="B265" s="8" t="n">
        <v>0.39375</v>
      </c>
      <c r="C265" s="9" t="n">
        <v>114829</v>
      </c>
      <c r="D265" s="9" t="s">
        <v>10</v>
      </c>
      <c r="E265" s="9" t="n">
        <v>3000</v>
      </c>
      <c r="F265" s="9" t="n">
        <v>2740</v>
      </c>
      <c r="G265" s="10" t="n">
        <v>260</v>
      </c>
      <c r="H265" s="9" t="s">
        <v>11</v>
      </c>
      <c r="I265" s="9" t="s">
        <v>12</v>
      </c>
      <c r="J265" s="1" t="s">
        <v>13</v>
      </c>
    </row>
    <row r="266" customFormat="false" ht="13.8" hidden="false" customHeight="false" outlineLevel="0" collapsed="false">
      <c r="A266" s="7" t="n">
        <v>43731</v>
      </c>
      <c r="B266" s="8" t="n">
        <v>0.522916666666667</v>
      </c>
      <c r="C266" s="9" t="n">
        <v>114843</v>
      </c>
      <c r="D266" s="9" t="s">
        <v>10</v>
      </c>
      <c r="E266" s="9" t="n">
        <v>3320</v>
      </c>
      <c r="F266" s="9" t="n">
        <v>2740</v>
      </c>
      <c r="G266" s="10" t="n">
        <v>580</v>
      </c>
      <c r="H266" s="9" t="s">
        <v>11</v>
      </c>
      <c r="I266" s="9" t="s">
        <v>24</v>
      </c>
      <c r="J266" s="1" t="s">
        <v>13</v>
      </c>
    </row>
    <row r="267" customFormat="false" ht="13.8" hidden="false" customHeight="false" outlineLevel="0" collapsed="false">
      <c r="A267" s="7" t="n">
        <v>43731</v>
      </c>
      <c r="B267" s="8" t="n">
        <v>0.463888888888889</v>
      </c>
      <c r="C267" s="9" t="n">
        <v>114836</v>
      </c>
      <c r="D267" s="9" t="s">
        <v>17</v>
      </c>
      <c r="E267" s="9" t="n">
        <v>2880</v>
      </c>
      <c r="F267" s="9" t="n">
        <v>2400</v>
      </c>
      <c r="G267" s="10" t="n">
        <v>480</v>
      </c>
      <c r="H267" s="9" t="s">
        <v>11</v>
      </c>
      <c r="I267" s="9" t="s">
        <v>12</v>
      </c>
      <c r="J267" s="1" t="s">
        <v>13</v>
      </c>
    </row>
    <row r="268" customFormat="false" ht="13.8" hidden="false" customHeight="false" outlineLevel="0" collapsed="false">
      <c r="A268" s="7" t="n">
        <v>43731</v>
      </c>
      <c r="B268" s="8" t="n">
        <v>0.396527777777778</v>
      </c>
      <c r="C268" s="9" t="n">
        <v>114830</v>
      </c>
      <c r="D268" s="9" t="s">
        <v>26</v>
      </c>
      <c r="E268" s="9" t="n">
        <v>6940</v>
      </c>
      <c r="F268" s="9" t="n">
        <v>5580</v>
      </c>
      <c r="G268" s="10" t="n">
        <v>1360</v>
      </c>
      <c r="H268" s="9" t="s">
        <v>11</v>
      </c>
      <c r="I268" s="9" t="s">
        <v>24</v>
      </c>
      <c r="J268" s="1" t="s">
        <v>13</v>
      </c>
    </row>
    <row r="269" customFormat="false" ht="13.8" hidden="false" customHeight="false" outlineLevel="0" collapsed="false">
      <c r="A269" s="7" t="n">
        <v>43732</v>
      </c>
      <c r="B269" s="8" t="n">
        <v>0.0520833333333333</v>
      </c>
      <c r="C269" s="9" t="n">
        <v>114865</v>
      </c>
      <c r="D269" s="9" t="s">
        <v>14</v>
      </c>
      <c r="E269" s="9" t="n">
        <v>21920</v>
      </c>
      <c r="F269" s="9" t="n">
        <v>13040</v>
      </c>
      <c r="G269" s="10" t="n">
        <v>8880</v>
      </c>
      <c r="H269" s="9" t="s">
        <v>11</v>
      </c>
      <c r="I269" s="9" t="s">
        <v>12</v>
      </c>
      <c r="J269" s="1" t="s">
        <v>13</v>
      </c>
    </row>
    <row r="270" customFormat="false" ht="13.8" hidden="false" customHeight="false" outlineLevel="0" collapsed="false">
      <c r="A270" s="7" t="n">
        <v>43732</v>
      </c>
      <c r="B270" s="8" t="n">
        <v>0.224305555555556</v>
      </c>
      <c r="C270" s="9" t="n">
        <v>114877</v>
      </c>
      <c r="D270" s="9" t="s">
        <v>16</v>
      </c>
      <c r="E270" s="9" t="n">
        <v>4680</v>
      </c>
      <c r="F270" s="9" t="n">
        <v>3760</v>
      </c>
      <c r="G270" s="10" t="n">
        <v>920</v>
      </c>
      <c r="H270" s="9" t="s">
        <v>11</v>
      </c>
      <c r="I270" s="9" t="s">
        <v>12</v>
      </c>
      <c r="J270" s="1" t="s">
        <v>13</v>
      </c>
    </row>
    <row r="271" customFormat="false" ht="13.8" hidden="false" customHeight="false" outlineLevel="0" collapsed="false">
      <c r="A271" s="7" t="n">
        <v>43732</v>
      </c>
      <c r="B271" s="8" t="n">
        <v>0.238194444444444</v>
      </c>
      <c r="C271" s="9" t="n">
        <v>114879</v>
      </c>
      <c r="D271" s="9" t="s">
        <v>15</v>
      </c>
      <c r="E271" s="9" t="n">
        <v>23200</v>
      </c>
      <c r="F271" s="9" t="n">
        <v>15900</v>
      </c>
      <c r="G271" s="10" t="n">
        <v>7300</v>
      </c>
      <c r="H271" s="9" t="s">
        <v>11</v>
      </c>
      <c r="I271" s="9" t="s">
        <v>12</v>
      </c>
      <c r="J271" s="1" t="s">
        <v>13</v>
      </c>
    </row>
    <row r="272" customFormat="false" ht="13.8" hidden="false" customHeight="false" outlineLevel="0" collapsed="false">
      <c r="A272" s="7" t="n">
        <v>43732</v>
      </c>
      <c r="B272" s="8" t="n">
        <v>0.153472222222222</v>
      </c>
      <c r="C272" s="9" t="n">
        <v>114874</v>
      </c>
      <c r="D272" s="9" t="s">
        <v>14</v>
      </c>
      <c r="E272" s="9" t="n">
        <v>20060</v>
      </c>
      <c r="F272" s="9" t="n">
        <v>12860</v>
      </c>
      <c r="G272" s="10" t="n">
        <v>7200</v>
      </c>
      <c r="H272" s="9" t="s">
        <v>11</v>
      </c>
      <c r="I272" s="9" t="s">
        <v>12</v>
      </c>
      <c r="J272" s="1" t="s">
        <v>13</v>
      </c>
    </row>
    <row r="273" customFormat="false" ht="13.8" hidden="false" customHeight="false" outlineLevel="0" collapsed="false">
      <c r="A273" s="7" t="n">
        <v>43732</v>
      </c>
      <c r="B273" s="8" t="n">
        <v>0.115972222222222</v>
      </c>
      <c r="C273" s="9" t="n">
        <v>114870</v>
      </c>
      <c r="D273" s="9" t="s">
        <v>19</v>
      </c>
      <c r="E273" s="9" t="n">
        <v>21000</v>
      </c>
      <c r="F273" s="9" t="n">
        <v>15940</v>
      </c>
      <c r="G273" s="10" t="n">
        <v>5060</v>
      </c>
      <c r="H273" s="9" t="s">
        <v>11</v>
      </c>
      <c r="I273" s="9" t="s">
        <v>12</v>
      </c>
      <c r="J273" s="1" t="s">
        <v>13</v>
      </c>
    </row>
    <row r="274" customFormat="false" ht="13.8" hidden="false" customHeight="false" outlineLevel="0" collapsed="false">
      <c r="A274" s="7" t="n">
        <v>43731</v>
      </c>
      <c r="B274" s="8" t="n">
        <v>0.447916666666667</v>
      </c>
      <c r="C274" s="12" t="s">
        <v>22</v>
      </c>
      <c r="D274" s="9" t="s">
        <v>19</v>
      </c>
      <c r="E274" s="9" t="n">
        <v>18020</v>
      </c>
      <c r="F274" s="9" t="n">
        <v>15760</v>
      </c>
      <c r="G274" s="10" t="n">
        <v>2260</v>
      </c>
      <c r="H274" s="9" t="s">
        <v>11</v>
      </c>
      <c r="I274" s="9" t="s">
        <v>23</v>
      </c>
      <c r="J274" s="1" t="s">
        <v>13</v>
      </c>
    </row>
    <row r="275" customFormat="false" ht="13.8" hidden="false" customHeight="false" outlineLevel="0" collapsed="false">
      <c r="A275" s="7" t="n">
        <v>43732</v>
      </c>
      <c r="B275" s="8" t="n">
        <v>0.467361111111111</v>
      </c>
      <c r="C275" s="9" t="n">
        <v>92491</v>
      </c>
      <c r="D275" s="9" t="s">
        <v>19</v>
      </c>
      <c r="E275" s="9" t="n">
        <v>18640</v>
      </c>
      <c r="F275" s="9" t="n">
        <v>15880</v>
      </c>
      <c r="G275" s="10" t="n">
        <v>2760</v>
      </c>
      <c r="H275" s="9" t="s">
        <v>11</v>
      </c>
      <c r="I275" s="9" t="s">
        <v>21</v>
      </c>
      <c r="J275" s="1" t="s">
        <v>13</v>
      </c>
    </row>
    <row r="276" customFormat="false" ht="13.8" hidden="false" customHeight="false" outlineLevel="0" collapsed="false">
      <c r="A276" s="7" t="n">
        <v>43732</v>
      </c>
      <c r="B276" s="8" t="n">
        <v>0.447916666666667</v>
      </c>
      <c r="C276" s="9" t="n">
        <v>114903</v>
      </c>
      <c r="D276" s="9" t="s">
        <v>10</v>
      </c>
      <c r="E276" s="9" t="n">
        <v>3200</v>
      </c>
      <c r="F276" s="9" t="n">
        <v>2940</v>
      </c>
      <c r="G276" s="10" t="n">
        <v>260</v>
      </c>
      <c r="H276" s="9" t="s">
        <v>11</v>
      </c>
      <c r="I276" s="9" t="s">
        <v>12</v>
      </c>
      <c r="J276" s="1" t="s">
        <v>13</v>
      </c>
    </row>
    <row r="277" customFormat="false" ht="13.8" hidden="false" customHeight="false" outlineLevel="0" collapsed="false">
      <c r="A277" s="7" t="n">
        <v>43732</v>
      </c>
      <c r="B277" s="8" t="n">
        <v>0.471527777777778</v>
      </c>
      <c r="C277" s="9" t="n">
        <v>114907</v>
      </c>
      <c r="D277" s="9" t="s">
        <v>17</v>
      </c>
      <c r="E277" s="9" t="n">
        <v>2600</v>
      </c>
      <c r="F277" s="9" t="n">
        <v>2380</v>
      </c>
      <c r="G277" s="10" t="n">
        <v>220</v>
      </c>
      <c r="H277" s="9" t="s">
        <v>11</v>
      </c>
      <c r="I277" s="9" t="s">
        <v>12</v>
      </c>
      <c r="J277" s="1" t="s">
        <v>13</v>
      </c>
    </row>
    <row r="278" customFormat="false" ht="13.8" hidden="false" customHeight="false" outlineLevel="0" collapsed="false">
      <c r="A278" s="7" t="n">
        <v>43732</v>
      </c>
      <c r="B278" s="8" t="n">
        <v>0.28125</v>
      </c>
      <c r="C278" s="9" t="n">
        <v>114885</v>
      </c>
      <c r="D278" s="9" t="s">
        <v>10</v>
      </c>
      <c r="E278" s="9" t="n">
        <v>3160</v>
      </c>
      <c r="F278" s="9" t="n">
        <v>2940</v>
      </c>
      <c r="G278" s="10" t="n">
        <v>220</v>
      </c>
      <c r="H278" s="9" t="s">
        <v>11</v>
      </c>
      <c r="I278" s="9" t="s">
        <v>12</v>
      </c>
      <c r="J278" s="1" t="s">
        <v>13</v>
      </c>
    </row>
    <row r="279" customFormat="false" ht="13.8" hidden="false" customHeight="false" outlineLevel="0" collapsed="false">
      <c r="A279" s="7" t="n">
        <v>43732</v>
      </c>
      <c r="B279" s="8" t="n">
        <v>0.359722222222222</v>
      </c>
      <c r="C279" s="9" t="n">
        <v>114892</v>
      </c>
      <c r="D279" s="9" t="s">
        <v>10</v>
      </c>
      <c r="E279" s="9" t="n">
        <v>3240</v>
      </c>
      <c r="F279" s="9" t="n">
        <v>2940</v>
      </c>
      <c r="G279" s="10" t="n">
        <v>300</v>
      </c>
      <c r="H279" s="9" t="s">
        <v>11</v>
      </c>
      <c r="I279" s="9" t="s">
        <v>24</v>
      </c>
      <c r="J279" s="1" t="s">
        <v>13</v>
      </c>
    </row>
    <row r="280" customFormat="false" ht="13.8" hidden="false" customHeight="false" outlineLevel="0" collapsed="false">
      <c r="A280" s="7" t="n">
        <v>43732</v>
      </c>
      <c r="B280" s="8" t="n">
        <v>0.509027777777778</v>
      </c>
      <c r="C280" s="9" t="n">
        <v>114912</v>
      </c>
      <c r="D280" s="9" t="s">
        <v>10</v>
      </c>
      <c r="E280" s="9" t="n">
        <v>3340</v>
      </c>
      <c r="F280" s="9" t="n">
        <v>2920</v>
      </c>
      <c r="G280" s="10" t="n">
        <v>420</v>
      </c>
      <c r="H280" s="9" t="s">
        <v>11</v>
      </c>
      <c r="I280" s="9" t="s">
        <v>24</v>
      </c>
      <c r="J280" s="1" t="s">
        <v>13</v>
      </c>
    </row>
    <row r="281" customFormat="false" ht="13.8" hidden="false" customHeight="false" outlineLevel="0" collapsed="false">
      <c r="A281" s="7" t="n">
        <v>43733</v>
      </c>
      <c r="B281" s="8" t="n">
        <v>0.0638888888888889</v>
      </c>
      <c r="C281" s="9" t="n">
        <v>114934</v>
      </c>
      <c r="D281" s="9" t="s">
        <v>14</v>
      </c>
      <c r="E281" s="9" t="n">
        <v>22520</v>
      </c>
      <c r="F281" s="9" t="n">
        <v>12920</v>
      </c>
      <c r="G281" s="10" t="n">
        <v>9600</v>
      </c>
      <c r="H281" s="9" t="s">
        <v>11</v>
      </c>
      <c r="I281" s="9" t="s">
        <v>12</v>
      </c>
      <c r="J281" s="1" t="s">
        <v>13</v>
      </c>
    </row>
    <row r="282" customFormat="false" ht="13.8" hidden="false" customHeight="false" outlineLevel="0" collapsed="false">
      <c r="A282" s="7" t="n">
        <v>43733</v>
      </c>
      <c r="B282" s="8" t="n">
        <v>0.2375</v>
      </c>
      <c r="C282" s="9" t="n">
        <v>114945</v>
      </c>
      <c r="D282" s="9" t="s">
        <v>14</v>
      </c>
      <c r="E282" s="9" t="n">
        <v>20820</v>
      </c>
      <c r="F282" s="9" t="n">
        <v>13000</v>
      </c>
      <c r="G282" s="10" t="n">
        <v>7820</v>
      </c>
      <c r="H282" s="9" t="s">
        <v>11</v>
      </c>
      <c r="I282" s="9" t="s">
        <v>12</v>
      </c>
      <c r="J282" s="1" t="s">
        <v>13</v>
      </c>
    </row>
    <row r="283" customFormat="false" ht="13.8" hidden="false" customHeight="false" outlineLevel="0" collapsed="false">
      <c r="A283" s="7" t="n">
        <v>43733</v>
      </c>
      <c r="B283" s="8" t="n">
        <v>0.234027777777778</v>
      </c>
      <c r="C283" s="9" t="n">
        <v>114944</v>
      </c>
      <c r="D283" s="9" t="s">
        <v>16</v>
      </c>
      <c r="E283" s="9" t="n">
        <v>4440</v>
      </c>
      <c r="F283" s="9" t="n">
        <v>3600</v>
      </c>
      <c r="G283" s="10" t="n">
        <v>840</v>
      </c>
      <c r="H283" s="9" t="s">
        <v>11</v>
      </c>
      <c r="I283" s="9" t="s">
        <v>12</v>
      </c>
      <c r="J283" s="1" t="s">
        <v>13</v>
      </c>
    </row>
    <row r="284" customFormat="false" ht="13.8" hidden="false" customHeight="false" outlineLevel="0" collapsed="false">
      <c r="A284" s="7" t="n">
        <v>43733</v>
      </c>
      <c r="B284" s="8" t="n">
        <v>0.222916666666667</v>
      </c>
      <c r="C284" s="9" t="n">
        <v>114943</v>
      </c>
      <c r="D284" s="9" t="s">
        <v>15</v>
      </c>
      <c r="E284" s="9" t="n">
        <v>24740</v>
      </c>
      <c r="F284" s="9" t="n">
        <v>15860</v>
      </c>
      <c r="G284" s="10" t="n">
        <v>8880</v>
      </c>
      <c r="H284" s="9" t="s">
        <v>11</v>
      </c>
      <c r="I284" s="9" t="s">
        <v>12</v>
      </c>
      <c r="J284" s="1" t="s">
        <v>13</v>
      </c>
    </row>
    <row r="285" customFormat="false" ht="13.8" hidden="false" customHeight="false" outlineLevel="0" collapsed="false">
      <c r="A285" s="7" t="n">
        <v>43733</v>
      </c>
      <c r="B285" s="8" t="n">
        <v>0.140277777777778</v>
      </c>
      <c r="C285" s="9" t="n">
        <v>114940</v>
      </c>
      <c r="D285" s="9" t="s">
        <v>19</v>
      </c>
      <c r="E285" s="9" t="n">
        <v>22520</v>
      </c>
      <c r="F285" s="9" t="n">
        <v>15840</v>
      </c>
      <c r="G285" s="10" t="n">
        <v>6680</v>
      </c>
      <c r="H285" s="9" t="s">
        <v>11</v>
      </c>
      <c r="I285" s="9" t="s">
        <v>12</v>
      </c>
      <c r="J285" s="1" t="s">
        <v>13</v>
      </c>
    </row>
    <row r="286" customFormat="false" ht="13.8" hidden="false" customHeight="false" outlineLevel="0" collapsed="false">
      <c r="A286" s="7" t="n">
        <v>43733</v>
      </c>
      <c r="B286" s="8" t="n">
        <v>0.511111111111111</v>
      </c>
      <c r="C286" s="9" t="n">
        <v>114982</v>
      </c>
      <c r="D286" s="9" t="s">
        <v>17</v>
      </c>
      <c r="E286" s="9" t="n">
        <v>2560</v>
      </c>
      <c r="F286" s="9" t="n">
        <v>2380</v>
      </c>
      <c r="G286" s="10" t="n">
        <v>180</v>
      </c>
      <c r="H286" s="9" t="s">
        <v>11</v>
      </c>
      <c r="I286" s="9" t="s">
        <v>24</v>
      </c>
      <c r="J286" s="1" t="s">
        <v>13</v>
      </c>
    </row>
    <row r="287" customFormat="false" ht="13.8" hidden="false" customHeight="false" outlineLevel="0" collapsed="false">
      <c r="A287" s="7" t="n">
        <v>43733</v>
      </c>
      <c r="B287" s="8" t="n">
        <v>0.352777777777778</v>
      </c>
      <c r="C287" s="9" t="n">
        <v>114960</v>
      </c>
      <c r="D287" s="9" t="s">
        <v>17</v>
      </c>
      <c r="E287" s="9" t="n">
        <v>2720</v>
      </c>
      <c r="F287" s="9" t="n">
        <v>2380</v>
      </c>
      <c r="G287" s="10" t="n">
        <v>340</v>
      </c>
      <c r="H287" s="9" t="s">
        <v>11</v>
      </c>
      <c r="I287" s="9" t="s">
        <v>24</v>
      </c>
      <c r="J287" s="1" t="s">
        <v>13</v>
      </c>
    </row>
    <row r="288" customFormat="false" ht="13.8" hidden="false" customHeight="false" outlineLevel="0" collapsed="false">
      <c r="A288" s="7" t="n">
        <v>43733</v>
      </c>
      <c r="B288" s="8" t="n">
        <v>0.447916666666667</v>
      </c>
      <c r="C288" s="9" t="n">
        <v>114972</v>
      </c>
      <c r="D288" s="9" t="s">
        <v>17</v>
      </c>
      <c r="E288" s="9" t="n">
        <v>2540</v>
      </c>
      <c r="F288" s="9" t="n">
        <v>2380</v>
      </c>
      <c r="G288" s="10" t="n">
        <v>160</v>
      </c>
      <c r="H288" s="9" t="s">
        <v>11</v>
      </c>
      <c r="I288" s="9" t="s">
        <v>12</v>
      </c>
      <c r="J288" s="1" t="s">
        <v>13</v>
      </c>
    </row>
    <row r="289" customFormat="false" ht="13.8" hidden="false" customHeight="false" outlineLevel="0" collapsed="false">
      <c r="A289" s="7" t="n">
        <v>43733</v>
      </c>
      <c r="B289" s="8" t="n">
        <v>0.491666666666667</v>
      </c>
      <c r="C289" s="9" t="n">
        <v>114978</v>
      </c>
      <c r="D289" s="9" t="s">
        <v>10</v>
      </c>
      <c r="E289" s="9" t="n">
        <v>3760</v>
      </c>
      <c r="F289" s="9" t="n">
        <v>2940</v>
      </c>
      <c r="G289" s="10" t="n">
        <v>820</v>
      </c>
      <c r="H289" s="9" t="s">
        <v>11</v>
      </c>
      <c r="I289" s="9" t="s">
        <v>24</v>
      </c>
      <c r="J289" s="1" t="s">
        <v>13</v>
      </c>
    </row>
    <row r="290" customFormat="false" ht="13.8" hidden="false" customHeight="false" outlineLevel="0" collapsed="false">
      <c r="A290" s="7" t="n">
        <v>43733</v>
      </c>
      <c r="B290" s="8" t="n">
        <v>0.563888888888889</v>
      </c>
      <c r="C290" s="9" t="n">
        <v>114987</v>
      </c>
      <c r="D290" s="9" t="s">
        <v>25</v>
      </c>
      <c r="E290" s="9" t="n">
        <v>3220</v>
      </c>
      <c r="F290" s="9" t="n">
        <v>2800</v>
      </c>
      <c r="G290" s="10" t="n">
        <v>420</v>
      </c>
      <c r="H290" s="9" t="s">
        <v>11</v>
      </c>
      <c r="I290" s="9" t="s">
        <v>27</v>
      </c>
      <c r="J290" s="1" t="s">
        <v>13</v>
      </c>
    </row>
    <row r="291" customFormat="false" ht="13.8" hidden="false" customHeight="false" outlineLevel="0" collapsed="false">
      <c r="A291" s="7" t="n">
        <v>43733</v>
      </c>
      <c r="B291" s="8" t="n">
        <v>0.386805555555556</v>
      </c>
      <c r="C291" s="9" t="n">
        <v>114964</v>
      </c>
      <c r="D291" s="9" t="s">
        <v>10</v>
      </c>
      <c r="E291" s="9" t="n">
        <v>3300</v>
      </c>
      <c r="F291" s="9" t="n">
        <v>2920</v>
      </c>
      <c r="G291" s="10" t="n">
        <v>380</v>
      </c>
      <c r="H291" s="9" t="s">
        <v>11</v>
      </c>
      <c r="I291" s="9" t="s">
        <v>24</v>
      </c>
      <c r="J291" s="1" t="s">
        <v>13</v>
      </c>
    </row>
    <row r="292" customFormat="false" ht="13.8" hidden="false" customHeight="false" outlineLevel="0" collapsed="false">
      <c r="A292" s="7" t="n">
        <v>43733</v>
      </c>
      <c r="B292" s="8" t="n">
        <v>0.302083333333333</v>
      </c>
      <c r="C292" s="9" t="n">
        <v>114954</v>
      </c>
      <c r="D292" s="9" t="s">
        <v>10</v>
      </c>
      <c r="E292" s="9" t="n">
        <v>3760</v>
      </c>
      <c r="F292" s="9" t="n">
        <v>2900</v>
      </c>
      <c r="G292" s="10" t="n">
        <v>860</v>
      </c>
      <c r="H292" s="9" t="s">
        <v>11</v>
      </c>
      <c r="I292" s="9" t="s">
        <v>24</v>
      </c>
      <c r="J292" s="1" t="s">
        <v>13</v>
      </c>
    </row>
    <row r="293" customFormat="false" ht="13.8" hidden="false" customHeight="false" outlineLevel="0" collapsed="false">
      <c r="A293" s="7" t="n">
        <v>43734</v>
      </c>
      <c r="B293" s="8" t="n">
        <v>0.245138888888889</v>
      </c>
      <c r="C293" s="9" t="n">
        <v>115008</v>
      </c>
      <c r="D293" s="9" t="s">
        <v>15</v>
      </c>
      <c r="E293" s="9" t="n">
        <v>17800</v>
      </c>
      <c r="F293" s="9" t="n">
        <v>15780</v>
      </c>
      <c r="G293" s="10" t="n">
        <v>2020</v>
      </c>
      <c r="H293" s="9" t="s">
        <v>11</v>
      </c>
      <c r="I293" s="9" t="s">
        <v>12</v>
      </c>
      <c r="J293" s="1" t="s">
        <v>13</v>
      </c>
    </row>
    <row r="294" customFormat="false" ht="13.8" hidden="false" customHeight="false" outlineLevel="0" collapsed="false">
      <c r="A294" s="7" t="n">
        <v>43734</v>
      </c>
      <c r="B294" s="8" t="n">
        <v>0.181944444444444</v>
      </c>
      <c r="C294" s="9" t="n">
        <v>115003</v>
      </c>
      <c r="D294" s="9" t="s">
        <v>15</v>
      </c>
      <c r="E294" s="9" t="n">
        <v>26700</v>
      </c>
      <c r="F294" s="9" t="n">
        <v>15780</v>
      </c>
      <c r="G294" s="10" t="n">
        <v>10920</v>
      </c>
      <c r="H294" s="9" t="s">
        <v>11</v>
      </c>
      <c r="I294" s="9" t="s">
        <v>12</v>
      </c>
      <c r="J294" s="1" t="s">
        <v>13</v>
      </c>
    </row>
    <row r="295" customFormat="false" ht="13.8" hidden="false" customHeight="false" outlineLevel="0" collapsed="false">
      <c r="A295" s="7" t="n">
        <v>43734</v>
      </c>
      <c r="B295" s="8" t="n">
        <v>0.222222222222222</v>
      </c>
      <c r="C295" s="9" t="n">
        <v>115007</v>
      </c>
      <c r="D295" s="9" t="s">
        <v>14</v>
      </c>
      <c r="E295" s="9" t="n">
        <v>19700</v>
      </c>
      <c r="F295" s="9" t="n">
        <v>12800</v>
      </c>
      <c r="G295" s="10" t="n">
        <v>6900</v>
      </c>
      <c r="H295" s="9" t="s">
        <v>11</v>
      </c>
      <c r="I295" s="9" t="s">
        <v>12</v>
      </c>
      <c r="J295" s="1" t="s">
        <v>13</v>
      </c>
    </row>
    <row r="296" customFormat="false" ht="13.8" hidden="false" customHeight="false" outlineLevel="0" collapsed="false">
      <c r="A296" s="7" t="n">
        <v>43734</v>
      </c>
      <c r="B296" s="8" t="n">
        <v>0.0826388888888889</v>
      </c>
      <c r="C296" s="9" t="n">
        <v>114996</v>
      </c>
      <c r="D296" s="9" t="s">
        <v>14</v>
      </c>
      <c r="E296" s="9" t="n">
        <v>22440</v>
      </c>
      <c r="F296" s="9" t="n">
        <v>12900</v>
      </c>
      <c r="G296" s="10" t="n">
        <v>9540</v>
      </c>
      <c r="H296" s="9" t="s">
        <v>11</v>
      </c>
      <c r="I296" s="9" t="s">
        <v>12</v>
      </c>
      <c r="J296" s="1" t="s">
        <v>13</v>
      </c>
    </row>
    <row r="297" customFormat="false" ht="13.8" hidden="false" customHeight="false" outlineLevel="0" collapsed="false">
      <c r="A297" s="7" t="n">
        <v>43734</v>
      </c>
      <c r="B297" s="8" t="n">
        <v>0.218055555555556</v>
      </c>
      <c r="C297" s="9" t="n">
        <v>115004</v>
      </c>
      <c r="D297" s="9" t="s">
        <v>16</v>
      </c>
      <c r="E297" s="9" t="n">
        <v>4460</v>
      </c>
      <c r="F297" s="9" t="n">
        <v>3680</v>
      </c>
      <c r="G297" s="10" t="n">
        <v>780</v>
      </c>
      <c r="H297" s="9" t="s">
        <v>11</v>
      </c>
      <c r="I297" s="9" t="s">
        <v>12</v>
      </c>
      <c r="J297" s="1" t="s">
        <v>13</v>
      </c>
    </row>
    <row r="298" customFormat="false" ht="13.8" hidden="false" customHeight="false" outlineLevel="0" collapsed="false">
      <c r="A298" s="7" t="n">
        <v>43734</v>
      </c>
      <c r="B298" s="8" t="n">
        <v>0.31875</v>
      </c>
      <c r="C298" s="9" t="n">
        <v>115018</v>
      </c>
      <c r="D298" s="9" t="s">
        <v>26</v>
      </c>
      <c r="E298" s="9" t="n">
        <v>9000</v>
      </c>
      <c r="F298" s="9" t="n">
        <v>5560</v>
      </c>
      <c r="G298" s="10" t="n">
        <v>3440</v>
      </c>
      <c r="H298" s="9" t="s">
        <v>11</v>
      </c>
      <c r="I298" s="9" t="s">
        <v>28</v>
      </c>
      <c r="J298" s="1" t="s">
        <v>13</v>
      </c>
    </row>
    <row r="299" customFormat="false" ht="13.8" hidden="false" customHeight="false" outlineLevel="0" collapsed="false">
      <c r="A299" s="7" t="n">
        <v>43734</v>
      </c>
      <c r="B299" s="8" t="n">
        <v>0.360416666666667</v>
      </c>
      <c r="C299" s="9" t="n">
        <v>115024</v>
      </c>
      <c r="D299" s="9" t="s">
        <v>26</v>
      </c>
      <c r="E299" s="9" t="n">
        <v>9520</v>
      </c>
      <c r="F299" s="9" t="n">
        <v>5560</v>
      </c>
      <c r="G299" s="10" t="n">
        <v>3960</v>
      </c>
      <c r="H299" s="9" t="s">
        <v>11</v>
      </c>
      <c r="I299" s="9" t="s">
        <v>28</v>
      </c>
      <c r="J299" s="1" t="s">
        <v>13</v>
      </c>
    </row>
    <row r="300" customFormat="false" ht="13.8" hidden="false" customHeight="false" outlineLevel="0" collapsed="false">
      <c r="A300" s="7" t="n">
        <v>43734</v>
      </c>
      <c r="B300" s="8" t="n">
        <v>0.452083333333333</v>
      </c>
      <c r="C300" s="9" t="n">
        <v>115038</v>
      </c>
      <c r="D300" s="9" t="s">
        <v>26</v>
      </c>
      <c r="E300" s="9" t="n">
        <v>10180</v>
      </c>
      <c r="F300" s="9" t="n">
        <v>5560</v>
      </c>
      <c r="G300" s="10" t="n">
        <v>4620</v>
      </c>
      <c r="H300" s="9" t="s">
        <v>11</v>
      </c>
      <c r="I300" s="9" t="s">
        <v>28</v>
      </c>
      <c r="J300" s="1" t="s">
        <v>13</v>
      </c>
    </row>
    <row r="301" customFormat="false" ht="13.8" hidden="false" customHeight="false" outlineLevel="0" collapsed="false">
      <c r="A301" s="7" t="n">
        <v>43734</v>
      </c>
      <c r="B301" s="8" t="n">
        <v>0.505555555555556</v>
      </c>
      <c r="C301" s="9" t="n">
        <v>115047</v>
      </c>
      <c r="D301" s="9" t="s">
        <v>26</v>
      </c>
      <c r="E301" s="9" t="n">
        <v>10180</v>
      </c>
      <c r="F301" s="9" t="n">
        <v>5560</v>
      </c>
      <c r="G301" s="10" t="n">
        <v>4620</v>
      </c>
      <c r="H301" s="9" t="s">
        <v>11</v>
      </c>
      <c r="I301" s="9" t="s">
        <v>28</v>
      </c>
      <c r="J301" s="1" t="s">
        <v>13</v>
      </c>
    </row>
    <row r="302" customFormat="false" ht="13.8" hidden="false" customHeight="false" outlineLevel="0" collapsed="false">
      <c r="A302" s="7" t="n">
        <v>43734</v>
      </c>
      <c r="B302" s="8" t="n">
        <v>0.447222222222222</v>
      </c>
      <c r="C302" s="9" t="n">
        <v>115037</v>
      </c>
      <c r="D302" s="9" t="s">
        <v>17</v>
      </c>
      <c r="E302" s="9" t="n">
        <v>2700</v>
      </c>
      <c r="F302" s="9" t="n">
        <v>2380</v>
      </c>
      <c r="G302" s="10" t="n">
        <v>320</v>
      </c>
      <c r="H302" s="9" t="s">
        <v>11</v>
      </c>
      <c r="I302" s="9" t="s">
        <v>12</v>
      </c>
      <c r="J302" s="1" t="s">
        <v>13</v>
      </c>
    </row>
    <row r="303" customFormat="false" ht="13.8" hidden="false" customHeight="false" outlineLevel="0" collapsed="false">
      <c r="A303" s="7" t="n">
        <v>43734</v>
      </c>
      <c r="B303" s="8" t="n">
        <v>0.370833333333333</v>
      </c>
      <c r="C303" s="9" t="n">
        <v>115027</v>
      </c>
      <c r="D303" s="9" t="s">
        <v>10</v>
      </c>
      <c r="E303" s="9" t="n">
        <v>3260</v>
      </c>
      <c r="F303" s="9" t="n">
        <v>2840</v>
      </c>
      <c r="G303" s="10" t="n">
        <v>420</v>
      </c>
      <c r="H303" s="9" t="s">
        <v>11</v>
      </c>
      <c r="I303" s="9" t="s">
        <v>24</v>
      </c>
      <c r="J303" s="1" t="s">
        <v>13</v>
      </c>
    </row>
    <row r="304" customFormat="false" ht="13.8" hidden="false" customHeight="false" outlineLevel="0" collapsed="false">
      <c r="A304" s="7" t="n">
        <v>43734</v>
      </c>
      <c r="B304" s="8" t="n">
        <v>0.286805555555556</v>
      </c>
      <c r="C304" s="9" t="n">
        <v>115014</v>
      </c>
      <c r="D304" s="9" t="s">
        <v>10</v>
      </c>
      <c r="E304" s="9" t="n">
        <v>3120</v>
      </c>
      <c r="F304" s="9" t="n">
        <v>2840</v>
      </c>
      <c r="G304" s="10" t="n">
        <v>280</v>
      </c>
      <c r="H304" s="9" t="s">
        <v>11</v>
      </c>
      <c r="I304" s="9" t="s">
        <v>24</v>
      </c>
      <c r="J304" s="1" t="s">
        <v>13</v>
      </c>
    </row>
    <row r="305" customFormat="false" ht="13.8" hidden="false" customHeight="false" outlineLevel="0" collapsed="false">
      <c r="A305" s="7" t="n">
        <v>43734</v>
      </c>
      <c r="B305" s="8" t="n">
        <v>0.459722222222222</v>
      </c>
      <c r="C305" s="9" t="n">
        <v>115040</v>
      </c>
      <c r="D305" s="9" t="s">
        <v>10</v>
      </c>
      <c r="E305" s="9" t="n">
        <v>4740</v>
      </c>
      <c r="F305" s="9" t="n">
        <v>2880</v>
      </c>
      <c r="G305" s="10" t="n">
        <v>1860</v>
      </c>
      <c r="H305" s="9" t="s">
        <v>11</v>
      </c>
      <c r="I305" s="9" t="s">
        <v>28</v>
      </c>
      <c r="J305" s="1" t="s">
        <v>13</v>
      </c>
    </row>
    <row r="306" customFormat="false" ht="13.8" hidden="false" customHeight="false" outlineLevel="0" collapsed="false">
      <c r="A306" s="7" t="n">
        <v>43734</v>
      </c>
      <c r="B306" s="8" t="n">
        <v>0.514583333333333</v>
      </c>
      <c r="C306" s="9" t="n">
        <v>115048</v>
      </c>
      <c r="D306" s="9" t="s">
        <v>10</v>
      </c>
      <c r="E306" s="9" t="n">
        <v>4820</v>
      </c>
      <c r="F306" s="9" t="n">
        <v>2880</v>
      </c>
      <c r="G306" s="10" t="n">
        <v>1940</v>
      </c>
      <c r="H306" s="9" t="s">
        <v>11</v>
      </c>
      <c r="I306" s="9" t="s">
        <v>28</v>
      </c>
      <c r="J306" s="1" t="s">
        <v>13</v>
      </c>
    </row>
    <row r="307" customFormat="false" ht="13.8" hidden="false" customHeight="false" outlineLevel="0" collapsed="false">
      <c r="A307" s="7" t="n">
        <v>43735</v>
      </c>
      <c r="B307" s="8" t="n">
        <v>0.307638888888889</v>
      </c>
      <c r="C307" s="9" t="n">
        <v>115088</v>
      </c>
      <c r="D307" s="9" t="s">
        <v>20</v>
      </c>
      <c r="E307" s="9" t="n">
        <v>20700</v>
      </c>
      <c r="F307" s="9" t="n">
        <v>13120</v>
      </c>
      <c r="G307" s="10" t="n">
        <v>7580</v>
      </c>
      <c r="H307" s="9" t="s">
        <v>11</v>
      </c>
      <c r="I307" s="9" t="s">
        <v>28</v>
      </c>
      <c r="J307" s="1" t="s">
        <v>13</v>
      </c>
    </row>
    <row r="308" customFormat="false" ht="13.8" hidden="false" customHeight="false" outlineLevel="0" collapsed="false">
      <c r="A308" s="7" t="n">
        <v>43735</v>
      </c>
      <c r="B308" s="8" t="n">
        <v>0.459722222222222</v>
      </c>
      <c r="C308" s="9" t="n">
        <v>115106</v>
      </c>
      <c r="D308" s="9" t="s">
        <v>17</v>
      </c>
      <c r="E308" s="9" t="n">
        <v>2600</v>
      </c>
      <c r="F308" s="9" t="n">
        <v>2420</v>
      </c>
      <c r="G308" s="10" t="n">
        <v>180</v>
      </c>
      <c r="H308" s="9" t="s">
        <v>11</v>
      </c>
      <c r="I308" s="9" t="s">
        <v>12</v>
      </c>
      <c r="J308" s="1" t="s">
        <v>13</v>
      </c>
    </row>
    <row r="309" customFormat="false" ht="13.8" hidden="false" customHeight="false" outlineLevel="0" collapsed="false">
      <c r="A309" s="7" t="n">
        <v>43735</v>
      </c>
      <c r="B309" s="8" t="n">
        <v>0.506944444444444</v>
      </c>
      <c r="C309" s="9" t="n">
        <v>115113</v>
      </c>
      <c r="D309" s="9" t="s">
        <v>10</v>
      </c>
      <c r="E309" s="9" t="n">
        <v>3060</v>
      </c>
      <c r="F309" s="9" t="n">
        <v>2820</v>
      </c>
      <c r="G309" s="10" t="n">
        <v>240</v>
      </c>
      <c r="H309" s="9" t="s">
        <v>11</v>
      </c>
      <c r="I309" s="9" t="s">
        <v>24</v>
      </c>
      <c r="J309" s="1" t="s">
        <v>13</v>
      </c>
    </row>
    <row r="310" customFormat="false" ht="13.8" hidden="false" customHeight="false" outlineLevel="0" collapsed="false">
      <c r="A310" s="7" t="n">
        <v>43735</v>
      </c>
      <c r="B310" s="8" t="n">
        <v>0.484722222222222</v>
      </c>
      <c r="C310" s="9" t="n">
        <v>115112</v>
      </c>
      <c r="D310" s="9" t="s">
        <v>26</v>
      </c>
      <c r="E310" s="9" t="n">
        <v>6200</v>
      </c>
      <c r="F310" s="9" t="n">
        <v>5620</v>
      </c>
      <c r="G310" s="10" t="n">
        <v>580</v>
      </c>
      <c r="H310" s="9" t="s">
        <v>11</v>
      </c>
      <c r="I310" s="9" t="s">
        <v>24</v>
      </c>
      <c r="J310" s="1" t="s">
        <v>13</v>
      </c>
    </row>
    <row r="311" customFormat="false" ht="13.8" hidden="false" customHeight="false" outlineLevel="0" collapsed="false">
      <c r="A311" s="7" t="n">
        <v>43735</v>
      </c>
      <c r="B311" s="8" t="n">
        <v>0.339583333333333</v>
      </c>
      <c r="C311" s="9" t="n">
        <v>115093</v>
      </c>
      <c r="D311" s="9" t="s">
        <v>10</v>
      </c>
      <c r="E311" s="9" t="n">
        <v>3520</v>
      </c>
      <c r="F311" s="9" t="n">
        <v>2900</v>
      </c>
      <c r="G311" s="10" t="n">
        <v>620</v>
      </c>
      <c r="H311" s="9" t="s">
        <v>11</v>
      </c>
      <c r="I311" s="9" t="s">
        <v>24</v>
      </c>
      <c r="J311" s="1" t="s">
        <v>13</v>
      </c>
    </row>
    <row r="312" customFormat="false" ht="13.8" hidden="false" customHeight="false" outlineLevel="0" collapsed="false">
      <c r="A312" s="7" t="n">
        <v>43735</v>
      </c>
      <c r="B312" s="8" t="n">
        <v>0.536805555555556</v>
      </c>
      <c r="C312" s="9" t="n">
        <v>115116</v>
      </c>
      <c r="D312" s="9" t="s">
        <v>25</v>
      </c>
      <c r="E312" s="9" t="n">
        <v>2920</v>
      </c>
      <c r="F312" s="9" t="n">
        <v>2780</v>
      </c>
      <c r="G312" s="10" t="n">
        <v>140</v>
      </c>
      <c r="H312" s="9" t="s">
        <v>11</v>
      </c>
      <c r="I312" s="9" t="s">
        <v>24</v>
      </c>
      <c r="J312" s="1" t="s">
        <v>13</v>
      </c>
    </row>
    <row r="313" customFormat="false" ht="13.8" hidden="false" customHeight="false" outlineLevel="0" collapsed="false">
      <c r="A313" s="7" t="n">
        <v>43735</v>
      </c>
      <c r="B313" s="8" t="n">
        <v>0.214583333333333</v>
      </c>
      <c r="C313" s="9" t="n">
        <v>115077</v>
      </c>
      <c r="D313" s="9" t="s">
        <v>10</v>
      </c>
      <c r="E313" s="9" t="n">
        <v>3000</v>
      </c>
      <c r="F313" s="9" t="n">
        <v>2740</v>
      </c>
      <c r="G313" s="10" t="n">
        <v>260</v>
      </c>
      <c r="H313" s="9" t="s">
        <v>11</v>
      </c>
      <c r="I313" s="9" t="s">
        <v>12</v>
      </c>
      <c r="J313" s="1" t="s">
        <v>13</v>
      </c>
    </row>
    <row r="314" customFormat="false" ht="13.8" hidden="false" customHeight="false" outlineLevel="0" collapsed="false">
      <c r="A314" s="7" t="n">
        <v>43735</v>
      </c>
      <c r="B314" s="8" t="n">
        <v>0.270138888888889</v>
      </c>
      <c r="C314" s="9" t="n">
        <v>115083</v>
      </c>
      <c r="D314" s="9" t="s">
        <v>16</v>
      </c>
      <c r="E314" s="9" t="n">
        <v>4540</v>
      </c>
      <c r="F314" s="9" t="n">
        <v>3780</v>
      </c>
      <c r="G314" s="10" t="n">
        <v>760</v>
      </c>
      <c r="H314" s="9" t="s">
        <v>11</v>
      </c>
      <c r="I314" s="9" t="s">
        <v>12</v>
      </c>
      <c r="J314" s="1" t="s">
        <v>13</v>
      </c>
    </row>
    <row r="315" customFormat="false" ht="13.8" hidden="false" customHeight="false" outlineLevel="0" collapsed="false">
      <c r="A315" s="7" t="n">
        <v>43735</v>
      </c>
      <c r="B315" s="8" t="n">
        <v>0.0791666666666667</v>
      </c>
      <c r="C315" s="9" t="n">
        <v>115068</v>
      </c>
      <c r="D315" s="9" t="s">
        <v>14</v>
      </c>
      <c r="E315" s="9" t="n">
        <v>22680</v>
      </c>
      <c r="F315" s="9" t="n">
        <v>13020</v>
      </c>
      <c r="G315" s="10" t="n">
        <v>9660</v>
      </c>
      <c r="H315" s="9" t="s">
        <v>11</v>
      </c>
      <c r="I315" s="9" t="s">
        <v>12</v>
      </c>
      <c r="J315" s="1" t="s">
        <v>13</v>
      </c>
    </row>
    <row r="316" customFormat="false" ht="13.8" hidden="false" customHeight="false" outlineLevel="0" collapsed="false">
      <c r="A316" s="7" t="n">
        <v>43735</v>
      </c>
      <c r="B316" s="8" t="n">
        <v>0.200694444444444</v>
      </c>
      <c r="C316" s="9" t="n">
        <v>115076</v>
      </c>
      <c r="D316" s="9" t="s">
        <v>14</v>
      </c>
      <c r="E316" s="9" t="n">
        <v>19620</v>
      </c>
      <c r="F316" s="9" t="n">
        <v>12780</v>
      </c>
      <c r="G316" s="10" t="n">
        <v>6840</v>
      </c>
      <c r="H316" s="9" t="s">
        <v>11</v>
      </c>
      <c r="I316" s="9" t="s">
        <v>12</v>
      </c>
      <c r="J316" s="1" t="s">
        <v>13</v>
      </c>
    </row>
    <row r="317" customFormat="false" ht="13.8" hidden="false" customHeight="false" outlineLevel="0" collapsed="false">
      <c r="A317" s="7" t="n">
        <v>43735</v>
      </c>
      <c r="B317" s="8" t="n">
        <v>0.370833333333333</v>
      </c>
      <c r="C317" s="9" t="n">
        <v>115098</v>
      </c>
      <c r="D317" s="9" t="s">
        <v>20</v>
      </c>
      <c r="E317" s="9" t="n">
        <v>23540</v>
      </c>
      <c r="F317" s="9" t="n">
        <v>15200</v>
      </c>
      <c r="G317" s="10" t="n">
        <v>8340</v>
      </c>
      <c r="H317" s="9" t="s">
        <v>11</v>
      </c>
      <c r="I317" s="9" t="s">
        <v>28</v>
      </c>
      <c r="J317" s="1" t="s">
        <v>13</v>
      </c>
    </row>
    <row r="318" customFormat="false" ht="13.8" hidden="false" customHeight="false" outlineLevel="0" collapsed="false">
      <c r="A318" s="7" t="n">
        <v>43735</v>
      </c>
      <c r="B318" s="8" t="n">
        <v>0.454861111111111</v>
      </c>
      <c r="C318" s="9" t="n">
        <v>115104</v>
      </c>
      <c r="D318" s="9" t="s">
        <v>10</v>
      </c>
      <c r="E318" s="9" t="n">
        <v>3000</v>
      </c>
      <c r="F318" s="9" t="n">
        <v>2740</v>
      </c>
      <c r="G318" s="10" t="n">
        <v>260</v>
      </c>
      <c r="H318" s="9" t="s">
        <v>11</v>
      </c>
      <c r="I318" s="9" t="s">
        <v>12</v>
      </c>
      <c r="J318" s="1" t="s">
        <v>13</v>
      </c>
    </row>
    <row r="319" customFormat="false" ht="13.8" hidden="false" customHeight="false" outlineLevel="0" collapsed="false">
      <c r="A319" s="7" t="n">
        <v>43735</v>
      </c>
      <c r="B319" s="8" t="n">
        <v>0.179166666666667</v>
      </c>
      <c r="C319" s="9" t="n">
        <v>115074</v>
      </c>
      <c r="D319" s="9" t="s">
        <v>19</v>
      </c>
      <c r="E319" s="9" t="n">
        <v>26200</v>
      </c>
      <c r="F319" s="9" t="n">
        <v>15720</v>
      </c>
      <c r="G319" s="10" t="n">
        <v>10480</v>
      </c>
      <c r="H319" s="9" t="s">
        <v>11</v>
      </c>
      <c r="I319" s="9" t="s">
        <v>12</v>
      </c>
      <c r="J319" s="1" t="s">
        <v>13</v>
      </c>
    </row>
    <row r="320" customFormat="false" ht="13.8" hidden="false" customHeight="false" outlineLevel="0" collapsed="false">
      <c r="A320" s="7" t="n">
        <v>43735</v>
      </c>
      <c r="B320" s="8" t="n">
        <v>0.254166666666667</v>
      </c>
      <c r="C320" s="9" t="n">
        <v>115081</v>
      </c>
      <c r="D320" s="9" t="s">
        <v>19</v>
      </c>
      <c r="E320" s="9" t="n">
        <v>17960</v>
      </c>
      <c r="F320" s="9" t="n">
        <v>15760</v>
      </c>
      <c r="G320" s="10" t="n">
        <v>2200</v>
      </c>
      <c r="H320" s="9" t="s">
        <v>11</v>
      </c>
      <c r="I320" s="9" t="s">
        <v>12</v>
      </c>
      <c r="J320" s="1" t="s">
        <v>13</v>
      </c>
    </row>
    <row r="321" customFormat="false" ht="13.8" hidden="false" customHeight="false" outlineLevel="0" collapsed="false">
      <c r="A321" s="7" t="n">
        <v>43735</v>
      </c>
      <c r="B321" s="8" t="n">
        <v>0.554861111111111</v>
      </c>
      <c r="C321" s="9" t="n">
        <v>115120</v>
      </c>
      <c r="D321" s="9" t="s">
        <v>20</v>
      </c>
      <c r="E321" s="9" t="n">
        <v>20960</v>
      </c>
      <c r="F321" s="9" t="n">
        <v>15000</v>
      </c>
      <c r="G321" s="10" t="n">
        <v>5960</v>
      </c>
      <c r="H321" s="9" t="s">
        <v>11</v>
      </c>
      <c r="I321" s="9" t="s">
        <v>28</v>
      </c>
      <c r="J321" s="1" t="s">
        <v>13</v>
      </c>
    </row>
    <row r="322" customFormat="false" ht="13.8" hidden="false" customHeight="false" outlineLevel="0" collapsed="false">
      <c r="A322" s="7" t="n">
        <v>43736</v>
      </c>
      <c r="B322" s="8" t="n">
        <v>0.461111111111111</v>
      </c>
      <c r="C322" s="9" t="n">
        <v>115160</v>
      </c>
      <c r="D322" s="9" t="s">
        <v>17</v>
      </c>
      <c r="E322" s="9" t="n">
        <v>2840</v>
      </c>
      <c r="F322" s="9" t="n">
        <v>2480</v>
      </c>
      <c r="G322" s="10" t="n">
        <v>360</v>
      </c>
      <c r="H322" s="9" t="s">
        <v>11</v>
      </c>
      <c r="I322" s="9" t="s">
        <v>12</v>
      </c>
      <c r="J322" s="1" t="s">
        <v>13</v>
      </c>
    </row>
    <row r="323" customFormat="false" ht="13.8" hidden="false" customHeight="false" outlineLevel="0" collapsed="false">
      <c r="A323" s="7" t="n">
        <v>43736</v>
      </c>
      <c r="B323" s="8" t="n">
        <v>0.200694444444444</v>
      </c>
      <c r="C323" s="9" t="n">
        <v>115144</v>
      </c>
      <c r="D323" s="9" t="s">
        <v>19</v>
      </c>
      <c r="E323" s="9" t="n">
        <v>26920</v>
      </c>
      <c r="F323" s="9" t="n">
        <v>15880</v>
      </c>
      <c r="G323" s="10" t="n">
        <v>11040</v>
      </c>
      <c r="H323" s="9" t="s">
        <v>11</v>
      </c>
      <c r="I323" s="9" t="s">
        <v>12</v>
      </c>
      <c r="J323" s="1" t="s">
        <v>13</v>
      </c>
    </row>
    <row r="324" customFormat="false" ht="13.8" hidden="false" customHeight="false" outlineLevel="0" collapsed="false">
      <c r="A324" s="7" t="n">
        <v>43736</v>
      </c>
      <c r="B324" s="8" t="n">
        <v>0.265972222222222</v>
      </c>
      <c r="C324" s="9" t="n">
        <v>115150</v>
      </c>
      <c r="D324" s="9" t="s">
        <v>19</v>
      </c>
      <c r="E324" s="9" t="n">
        <v>18420</v>
      </c>
      <c r="F324" s="9" t="n">
        <v>15880</v>
      </c>
      <c r="G324" s="10" t="n">
        <v>2540</v>
      </c>
      <c r="H324" s="9" t="s">
        <v>11</v>
      </c>
      <c r="I324" s="9" t="s">
        <v>12</v>
      </c>
      <c r="J324" s="1" t="s">
        <v>13</v>
      </c>
    </row>
    <row r="325" customFormat="false" ht="13.8" hidden="false" customHeight="false" outlineLevel="0" collapsed="false">
      <c r="A325" s="7" t="n">
        <v>43736</v>
      </c>
      <c r="B325" s="8" t="n">
        <v>0.0895833333333333</v>
      </c>
      <c r="C325" s="9" t="n">
        <v>115137</v>
      </c>
      <c r="D325" s="9" t="s">
        <v>14</v>
      </c>
      <c r="E325" s="9" t="n">
        <v>22180</v>
      </c>
      <c r="F325" s="9" t="n">
        <v>12900</v>
      </c>
      <c r="G325" s="10" t="n">
        <v>9280</v>
      </c>
      <c r="H325" s="9" t="s">
        <v>11</v>
      </c>
      <c r="I325" s="9" t="s">
        <v>12</v>
      </c>
      <c r="J325" s="1" t="s">
        <v>13</v>
      </c>
    </row>
    <row r="326" customFormat="false" ht="13.8" hidden="false" customHeight="false" outlineLevel="0" collapsed="false">
      <c r="A326" s="7" t="n">
        <v>43736</v>
      </c>
      <c r="B326" s="8" t="n">
        <v>0.238888888888889</v>
      </c>
      <c r="C326" s="9" t="n">
        <v>115147</v>
      </c>
      <c r="D326" s="9" t="s">
        <v>14</v>
      </c>
      <c r="E326" s="9" t="n">
        <v>20400</v>
      </c>
      <c r="F326" s="9" t="n">
        <v>12900</v>
      </c>
      <c r="G326" s="10" t="n">
        <v>7500</v>
      </c>
      <c r="H326" s="9" t="s">
        <v>11</v>
      </c>
      <c r="I326" s="9" t="s">
        <v>12</v>
      </c>
      <c r="J326" s="1" t="s">
        <v>13</v>
      </c>
    </row>
    <row r="327" customFormat="false" ht="13.8" hidden="false" customHeight="false" outlineLevel="0" collapsed="false">
      <c r="A327" s="7" t="n">
        <v>43736</v>
      </c>
      <c r="B327" s="8" t="n">
        <v>0.261111111111111</v>
      </c>
      <c r="C327" s="9" t="n">
        <v>115149</v>
      </c>
      <c r="D327" s="9" t="s">
        <v>16</v>
      </c>
      <c r="E327" s="9" t="n">
        <v>4760</v>
      </c>
      <c r="F327" s="9" t="n">
        <v>3700</v>
      </c>
      <c r="G327" s="10" t="n">
        <v>1060</v>
      </c>
      <c r="H327" s="9" t="s">
        <v>11</v>
      </c>
      <c r="I327" s="9" t="s">
        <v>12</v>
      </c>
      <c r="J327" s="1" t="s">
        <v>13</v>
      </c>
    </row>
    <row r="328" customFormat="false" ht="13.8" hidden="false" customHeight="false" outlineLevel="0" collapsed="false">
      <c r="A328" s="7" t="n">
        <v>43737</v>
      </c>
      <c r="B328" s="8" t="n">
        <v>0.256944444444444</v>
      </c>
      <c r="C328" s="9" t="n">
        <v>115171</v>
      </c>
      <c r="D328" s="9" t="s">
        <v>16</v>
      </c>
      <c r="E328" s="9" t="n">
        <v>5040</v>
      </c>
      <c r="F328" s="9" t="n">
        <v>3680</v>
      </c>
      <c r="G328" s="10" t="n">
        <v>1360</v>
      </c>
      <c r="H328" s="9" t="s">
        <v>11</v>
      </c>
      <c r="I328" s="9" t="s">
        <v>12</v>
      </c>
      <c r="J328" s="1" t="s">
        <v>13</v>
      </c>
    </row>
    <row r="329" customFormat="false" ht="13.8" hidden="false" customHeight="false" outlineLevel="0" collapsed="false">
      <c r="A329" s="7" t="n">
        <v>43737</v>
      </c>
      <c r="B329" s="8" t="n">
        <v>0.0847222222222222</v>
      </c>
      <c r="C329" s="9" t="n">
        <v>115161</v>
      </c>
      <c r="D329" s="9" t="s">
        <v>14</v>
      </c>
      <c r="E329" s="9" t="n">
        <v>22480</v>
      </c>
      <c r="F329" s="9" t="n">
        <v>12900</v>
      </c>
      <c r="G329" s="10" t="n">
        <v>9580</v>
      </c>
      <c r="H329" s="9" t="s">
        <v>11</v>
      </c>
      <c r="I329" s="9" t="s">
        <v>12</v>
      </c>
      <c r="J329" s="1" t="s">
        <v>13</v>
      </c>
    </row>
    <row r="330" customFormat="false" ht="13.8" hidden="false" customHeight="false" outlineLevel="0" collapsed="false">
      <c r="A330" s="7" t="n">
        <v>43737</v>
      </c>
      <c r="B330" s="8" t="n">
        <v>0.466666666666667</v>
      </c>
      <c r="C330" s="9" t="n">
        <v>115178</v>
      </c>
      <c r="D330" s="9" t="s">
        <v>17</v>
      </c>
      <c r="E330" s="9" t="n">
        <v>2500</v>
      </c>
      <c r="F330" s="9" t="n">
        <v>2380</v>
      </c>
      <c r="G330" s="10" t="n">
        <v>120</v>
      </c>
      <c r="H330" s="9" t="s">
        <v>11</v>
      </c>
      <c r="I330" s="9" t="s">
        <v>12</v>
      </c>
      <c r="J330" s="1" t="s">
        <v>13</v>
      </c>
    </row>
    <row r="331" customFormat="false" ht="13.8" hidden="false" customHeight="false" outlineLevel="0" collapsed="false">
      <c r="A331" s="7" t="n">
        <v>43737</v>
      </c>
      <c r="B331" s="8" t="n">
        <v>0.26875</v>
      </c>
      <c r="C331" s="9" t="n">
        <v>115174</v>
      </c>
      <c r="D331" s="9" t="s">
        <v>19</v>
      </c>
      <c r="E331" s="9" t="n">
        <v>18880</v>
      </c>
      <c r="F331" s="9" t="n">
        <v>15840</v>
      </c>
      <c r="G331" s="10" t="n">
        <v>3040</v>
      </c>
      <c r="H331" s="9" t="s">
        <v>11</v>
      </c>
      <c r="I331" s="9" t="s">
        <v>12</v>
      </c>
      <c r="J331" s="1" t="s">
        <v>13</v>
      </c>
    </row>
    <row r="332" customFormat="false" ht="13.8" hidden="false" customHeight="false" outlineLevel="0" collapsed="false">
      <c r="A332" s="7" t="n">
        <v>43737</v>
      </c>
      <c r="B332" s="8" t="n">
        <v>0.199305555555556</v>
      </c>
      <c r="C332" s="9" t="n">
        <v>115169</v>
      </c>
      <c r="D332" s="9" t="s">
        <v>19</v>
      </c>
      <c r="E332" s="9" t="n">
        <v>27680</v>
      </c>
      <c r="F332" s="9" t="n">
        <v>15940</v>
      </c>
      <c r="G332" s="10" t="n">
        <v>11740</v>
      </c>
      <c r="H332" s="9" t="s">
        <v>11</v>
      </c>
      <c r="I332" s="9" t="s">
        <v>12</v>
      </c>
      <c r="J332" s="1" t="s">
        <v>13</v>
      </c>
    </row>
    <row r="333" customFormat="false" ht="13.8" hidden="false" customHeight="false" outlineLevel="0" collapsed="false">
      <c r="A333" s="7" t="n">
        <v>43737</v>
      </c>
      <c r="B333" s="8" t="n">
        <v>0.248611111111111</v>
      </c>
      <c r="C333" s="9" t="n">
        <v>115170</v>
      </c>
      <c r="D333" s="9" t="s">
        <v>14</v>
      </c>
      <c r="E333" s="9" t="n">
        <v>22040</v>
      </c>
      <c r="F333" s="9" t="n">
        <v>12880</v>
      </c>
      <c r="G333" s="10" t="n">
        <v>9160</v>
      </c>
      <c r="H333" s="9" t="s">
        <v>11</v>
      </c>
      <c r="I333" s="9" t="s">
        <v>12</v>
      </c>
      <c r="J333" s="1" t="s">
        <v>13</v>
      </c>
    </row>
    <row r="334" customFormat="false" ht="13.8" hidden="false" customHeight="false" outlineLevel="0" collapsed="false">
      <c r="A334" s="7" t="n">
        <v>43737</v>
      </c>
      <c r="B334" s="8" t="n">
        <v>0.459027777777778</v>
      </c>
      <c r="C334" s="9" t="n">
        <v>115177</v>
      </c>
      <c r="D334" s="9" t="s">
        <v>10</v>
      </c>
      <c r="E334" s="9" t="n">
        <v>3260</v>
      </c>
      <c r="F334" s="9" t="n">
        <v>2780</v>
      </c>
      <c r="G334" s="10" t="n">
        <v>480</v>
      </c>
      <c r="H334" s="9" t="s">
        <v>11</v>
      </c>
      <c r="I334" s="9" t="s">
        <v>12</v>
      </c>
      <c r="J334" s="1" t="s">
        <v>13</v>
      </c>
    </row>
    <row r="335" customFormat="false" ht="13.8" hidden="false" customHeight="false" outlineLevel="0" collapsed="false">
      <c r="A335" s="7" t="n">
        <v>43737</v>
      </c>
      <c r="B335" s="8" t="n">
        <v>0.500694444444445</v>
      </c>
      <c r="C335" s="9" t="n">
        <v>115179</v>
      </c>
      <c r="D335" s="9" t="s">
        <v>10</v>
      </c>
      <c r="E335" s="9" t="n">
        <v>3000</v>
      </c>
      <c r="F335" s="9" t="n">
        <v>2760</v>
      </c>
      <c r="G335" s="10" t="n">
        <v>240</v>
      </c>
      <c r="H335" s="9" t="s">
        <v>11</v>
      </c>
      <c r="I335" s="9" t="s">
        <v>27</v>
      </c>
      <c r="J335" s="1" t="s">
        <v>13</v>
      </c>
    </row>
    <row r="336" customFormat="false" ht="13.8" hidden="false" customHeight="false" outlineLevel="0" collapsed="false">
      <c r="A336" s="7" t="n">
        <v>43738</v>
      </c>
      <c r="B336" s="8" t="n">
        <v>0.286111111111111</v>
      </c>
      <c r="C336" s="9" t="n">
        <v>115198</v>
      </c>
      <c r="D336" s="9" t="s">
        <v>15</v>
      </c>
      <c r="E336" s="9" t="n">
        <v>22260</v>
      </c>
      <c r="F336" s="9" t="n">
        <v>15820</v>
      </c>
      <c r="G336" s="10" t="n">
        <v>6440</v>
      </c>
      <c r="H336" s="9" t="s">
        <v>11</v>
      </c>
      <c r="I336" s="9" t="s">
        <v>12</v>
      </c>
      <c r="J336" s="1" t="s">
        <v>13</v>
      </c>
    </row>
    <row r="337" customFormat="false" ht="13.8" hidden="false" customHeight="false" outlineLevel="0" collapsed="false">
      <c r="A337" s="7" t="n">
        <v>43738</v>
      </c>
      <c r="B337" s="8" t="n">
        <v>0.607638888888889</v>
      </c>
      <c r="C337" s="9" t="n">
        <v>115190</v>
      </c>
      <c r="D337" s="9" t="s">
        <v>14</v>
      </c>
      <c r="E337" s="9" t="n">
        <v>18240</v>
      </c>
      <c r="F337" s="9" t="n">
        <v>12800</v>
      </c>
      <c r="G337" s="10" t="n">
        <v>5440</v>
      </c>
      <c r="H337" s="9" t="s">
        <v>11</v>
      </c>
      <c r="I337" s="9" t="s">
        <v>12</v>
      </c>
      <c r="J337" s="1" t="s">
        <v>13</v>
      </c>
    </row>
    <row r="338" customFormat="false" ht="13.8" hidden="false" customHeight="false" outlineLevel="0" collapsed="false">
      <c r="A338" s="7" t="n">
        <v>43738</v>
      </c>
      <c r="B338" s="8" t="n">
        <v>0.0805555555555556</v>
      </c>
      <c r="C338" s="9" t="n">
        <v>115183</v>
      </c>
      <c r="D338" s="9" t="s">
        <v>14</v>
      </c>
      <c r="E338" s="9" t="n">
        <v>22360</v>
      </c>
      <c r="F338" s="9" t="n">
        <v>13000</v>
      </c>
      <c r="G338" s="10" t="n">
        <v>9360</v>
      </c>
      <c r="H338" s="9" t="s">
        <v>11</v>
      </c>
      <c r="I338" s="9" t="s">
        <v>12</v>
      </c>
      <c r="J338" s="1" t="s">
        <v>13</v>
      </c>
    </row>
    <row r="339" customFormat="false" ht="13.8" hidden="false" customHeight="false" outlineLevel="0" collapsed="false">
      <c r="A339" s="7" t="n">
        <v>43738</v>
      </c>
      <c r="B339" s="8" t="n">
        <v>0.275</v>
      </c>
      <c r="C339" s="9" t="n">
        <v>115197</v>
      </c>
      <c r="D339" s="9" t="s">
        <v>16</v>
      </c>
      <c r="E339" s="9" t="n">
        <v>5060</v>
      </c>
      <c r="F339" s="9" t="n">
        <v>3760</v>
      </c>
      <c r="G339" s="10" t="n">
        <v>1300</v>
      </c>
      <c r="H339" s="9" t="s">
        <v>11</v>
      </c>
      <c r="I339" s="9" t="s">
        <v>12</v>
      </c>
      <c r="J339" s="1" t="s">
        <v>13</v>
      </c>
    </row>
    <row r="340" customFormat="false" ht="13.8" hidden="false" customHeight="false" outlineLevel="0" collapsed="false">
      <c r="A340" s="7" t="n">
        <v>43738</v>
      </c>
      <c r="B340" s="8" t="n">
        <v>0.443055555555556</v>
      </c>
      <c r="C340" s="9" t="n">
        <v>115216</v>
      </c>
      <c r="D340" s="9" t="s">
        <v>17</v>
      </c>
      <c r="E340" s="9" t="n">
        <v>2560</v>
      </c>
      <c r="F340" s="9" t="n">
        <v>2380</v>
      </c>
      <c r="G340" s="10" t="n">
        <v>180</v>
      </c>
      <c r="H340" s="9" t="s">
        <v>11</v>
      </c>
      <c r="I340" s="9" t="s">
        <v>12</v>
      </c>
      <c r="J340" s="1" t="s">
        <v>13</v>
      </c>
    </row>
    <row r="341" customFormat="false" ht="13.8" hidden="false" customHeight="false" outlineLevel="0" collapsed="false">
      <c r="A341" s="7" t="n">
        <v>43738</v>
      </c>
      <c r="B341" s="8" t="n">
        <v>0.36875</v>
      </c>
      <c r="C341" s="14" t="n">
        <v>115208</v>
      </c>
      <c r="D341" s="9" t="s">
        <v>10</v>
      </c>
      <c r="E341" s="9" t="n">
        <v>3080</v>
      </c>
      <c r="F341" s="9" t="n">
        <v>2760</v>
      </c>
      <c r="G341" s="10" t="n">
        <v>320</v>
      </c>
      <c r="H341" s="9" t="s">
        <v>11</v>
      </c>
      <c r="I341" s="9" t="s">
        <v>12</v>
      </c>
      <c r="J341" s="1" t="s">
        <v>13</v>
      </c>
    </row>
    <row r="342" customFormat="false" ht="13.8" hidden="false" customHeight="false" outlineLevel="0" collapsed="false">
      <c r="A342" s="7" t="n">
        <v>43738</v>
      </c>
      <c r="B342" s="8" t="n">
        <v>0.51875</v>
      </c>
      <c r="C342" s="9" t="n">
        <v>115227</v>
      </c>
      <c r="D342" s="9" t="s">
        <v>10</v>
      </c>
      <c r="E342" s="9" t="n">
        <v>3220</v>
      </c>
      <c r="F342" s="9" t="n">
        <v>2760</v>
      </c>
      <c r="G342" s="10" t="n">
        <v>460</v>
      </c>
      <c r="H342" s="9" t="s">
        <v>11</v>
      </c>
      <c r="I342" s="9" t="s">
        <v>24</v>
      </c>
      <c r="J342" s="1" t="s">
        <v>13</v>
      </c>
    </row>
    <row r="343" customFormat="false" ht="13.8" hidden="false" customHeight="false" outlineLevel="0" collapsed="false">
      <c r="A343" s="7" t="n">
        <v>43738</v>
      </c>
      <c r="B343" s="8" t="n">
        <v>0.488194444444444</v>
      </c>
      <c r="C343" s="12" t="s">
        <v>22</v>
      </c>
      <c r="D343" s="9" t="s">
        <v>15</v>
      </c>
      <c r="E343" s="9" t="n">
        <v>18060</v>
      </c>
      <c r="F343" s="9" t="n">
        <v>15760</v>
      </c>
      <c r="G343" s="10" t="n">
        <v>2300</v>
      </c>
      <c r="H343" s="9" t="s">
        <v>11</v>
      </c>
      <c r="I343" s="9" t="s">
        <v>23</v>
      </c>
      <c r="J343" s="1" t="s">
        <v>13</v>
      </c>
    </row>
    <row r="344" customFormat="false" ht="13.8" hidden="false" customHeight="false" outlineLevel="0" collapsed="false">
      <c r="A344" s="15" t="n">
        <v>43736</v>
      </c>
      <c r="B344" s="16" t="n">
        <v>0</v>
      </c>
      <c r="C344" s="17" t="n">
        <v>115155</v>
      </c>
      <c r="D344" s="17" t="s">
        <v>20</v>
      </c>
      <c r="E344" s="17" t="n">
        <v>18360</v>
      </c>
      <c r="F344" s="17" t="n">
        <v>15760</v>
      </c>
      <c r="G344" s="17" t="n">
        <v>2600</v>
      </c>
      <c r="H344" s="17" t="s">
        <v>11</v>
      </c>
      <c r="I344" s="17" t="s">
        <v>12</v>
      </c>
      <c r="J344" s="1" t="s">
        <v>13</v>
      </c>
    </row>
    <row r="345" customFormat="false" ht="13.8" hidden="true" customHeight="false" outlineLevel="0" collapsed="false"/>
  </sheetData>
  <autoFilter ref="A1:J345">
    <filterColumn colId="9">
      <customFilters and="true">
        <customFilter operator="equal" val="x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8" t="s">
        <v>0</v>
      </c>
      <c r="B1" s="19" t="s">
        <v>29</v>
      </c>
    </row>
    <row r="3" customFormat="false" ht="12.8" hidden="false" customHeight="false" outlineLevel="0" collapsed="false">
      <c r="A3" s="20" t="s">
        <v>30</v>
      </c>
      <c r="B3" s="21" t="s">
        <v>8</v>
      </c>
      <c r="C3" s="22"/>
      <c r="D3" s="22"/>
      <c r="E3" s="22"/>
      <c r="F3" s="22"/>
      <c r="G3" s="22"/>
      <c r="H3" s="22"/>
      <c r="I3" s="23"/>
    </row>
    <row r="4" customFormat="false" ht="12.8" hidden="false" customHeight="false" outlineLevel="0" collapsed="false">
      <c r="A4" s="24" t="s">
        <v>3</v>
      </c>
      <c r="B4" s="25" t="s">
        <v>28</v>
      </c>
      <c r="C4" s="26" t="s">
        <v>27</v>
      </c>
      <c r="D4" s="26" t="s">
        <v>12</v>
      </c>
      <c r="E4" s="26" t="s">
        <v>23</v>
      </c>
      <c r="F4" s="26" t="s">
        <v>21</v>
      </c>
      <c r="G4" s="26" t="s">
        <v>24</v>
      </c>
      <c r="H4" s="26" t="s">
        <v>31</v>
      </c>
      <c r="I4" s="27" t="s">
        <v>32</v>
      </c>
    </row>
    <row r="5" customFormat="false" ht="12.8" hidden="false" customHeight="false" outlineLevel="0" collapsed="false">
      <c r="A5" s="28" t="s">
        <v>20</v>
      </c>
      <c r="B5" s="29" t="n">
        <v>21880</v>
      </c>
      <c r="C5" s="30"/>
      <c r="D5" s="30" t="n">
        <v>6080</v>
      </c>
      <c r="E5" s="30"/>
      <c r="F5" s="30" t="n">
        <v>4920</v>
      </c>
      <c r="G5" s="30" t="n">
        <v>6060</v>
      </c>
      <c r="H5" s="31"/>
      <c r="I5" s="32" t="n">
        <v>38940</v>
      </c>
    </row>
    <row r="6" customFormat="false" ht="12.8" hidden="false" customHeight="false" outlineLevel="0" collapsed="false">
      <c r="A6" s="33" t="s">
        <v>25</v>
      </c>
      <c r="B6" s="34"/>
      <c r="C6" s="35" t="n">
        <v>420</v>
      </c>
      <c r="D6" s="35" t="n">
        <v>8360</v>
      </c>
      <c r="E6" s="35"/>
      <c r="F6" s="35"/>
      <c r="G6" s="35" t="n">
        <v>560</v>
      </c>
      <c r="H6" s="36"/>
      <c r="I6" s="37" t="n">
        <v>9340</v>
      </c>
    </row>
    <row r="7" customFormat="false" ht="12.8" hidden="false" customHeight="false" outlineLevel="0" collapsed="false">
      <c r="A7" s="33" t="s">
        <v>15</v>
      </c>
      <c r="B7" s="34"/>
      <c r="C7" s="35"/>
      <c r="D7" s="35" t="n">
        <v>336880</v>
      </c>
      <c r="E7" s="35" t="n">
        <v>4900</v>
      </c>
      <c r="F7" s="35"/>
      <c r="G7" s="35"/>
      <c r="H7" s="36"/>
      <c r="I7" s="37" t="n">
        <v>341780</v>
      </c>
    </row>
    <row r="8" customFormat="false" ht="12.8" hidden="false" customHeight="false" outlineLevel="0" collapsed="false">
      <c r="A8" s="33" t="s">
        <v>19</v>
      </c>
      <c r="B8" s="34"/>
      <c r="C8" s="35"/>
      <c r="D8" s="35" t="n">
        <v>147940</v>
      </c>
      <c r="E8" s="35" t="n">
        <v>8440</v>
      </c>
      <c r="F8" s="35" t="n">
        <v>10700</v>
      </c>
      <c r="G8" s="35"/>
      <c r="H8" s="36"/>
      <c r="I8" s="37" t="n">
        <v>167080</v>
      </c>
    </row>
    <row r="9" customFormat="false" ht="12.8" hidden="false" customHeight="false" outlineLevel="0" collapsed="false">
      <c r="A9" s="33" t="s">
        <v>17</v>
      </c>
      <c r="B9" s="34"/>
      <c r="C9" s="35"/>
      <c r="D9" s="35" t="n">
        <v>13180</v>
      </c>
      <c r="E9" s="35"/>
      <c r="F9" s="35"/>
      <c r="G9" s="35" t="n">
        <v>520</v>
      </c>
      <c r="H9" s="36"/>
      <c r="I9" s="37" t="n">
        <v>13700</v>
      </c>
    </row>
    <row r="10" customFormat="false" ht="12.8" hidden="false" customHeight="false" outlineLevel="0" collapsed="false">
      <c r="A10" s="33" t="s">
        <v>10</v>
      </c>
      <c r="B10" s="34" t="n">
        <v>3800</v>
      </c>
      <c r="C10" s="35" t="n">
        <v>240</v>
      </c>
      <c r="D10" s="35" t="n">
        <v>10280</v>
      </c>
      <c r="E10" s="35"/>
      <c r="F10" s="35"/>
      <c r="G10" s="35" t="n">
        <v>13400</v>
      </c>
      <c r="H10" s="36"/>
      <c r="I10" s="37" t="n">
        <v>27720</v>
      </c>
    </row>
    <row r="11" customFormat="false" ht="12.8" hidden="false" customHeight="false" outlineLevel="0" collapsed="false">
      <c r="A11" s="33" t="s">
        <v>14</v>
      </c>
      <c r="B11" s="34"/>
      <c r="C11" s="35"/>
      <c r="D11" s="35" t="n">
        <v>592360</v>
      </c>
      <c r="E11" s="35"/>
      <c r="F11" s="35"/>
      <c r="G11" s="35"/>
      <c r="H11" s="36"/>
      <c r="I11" s="37" t="n">
        <v>592360</v>
      </c>
    </row>
    <row r="12" customFormat="false" ht="12.8" hidden="false" customHeight="false" outlineLevel="0" collapsed="false">
      <c r="A12" s="33" t="s">
        <v>16</v>
      </c>
      <c r="B12" s="34"/>
      <c r="C12" s="35"/>
      <c r="D12" s="35" t="n">
        <v>34020</v>
      </c>
      <c r="E12" s="35"/>
      <c r="F12" s="35"/>
      <c r="G12" s="35"/>
      <c r="H12" s="36"/>
      <c r="I12" s="37" t="n">
        <v>34020</v>
      </c>
    </row>
    <row r="13" customFormat="false" ht="12.8" hidden="false" customHeight="false" outlineLevel="0" collapsed="false">
      <c r="A13" s="33" t="s">
        <v>26</v>
      </c>
      <c r="B13" s="34" t="n">
        <v>16640</v>
      </c>
      <c r="C13" s="35"/>
      <c r="D13" s="35"/>
      <c r="E13" s="35"/>
      <c r="F13" s="35" t="n">
        <v>440</v>
      </c>
      <c r="G13" s="35" t="n">
        <v>1940</v>
      </c>
      <c r="H13" s="36"/>
      <c r="I13" s="37" t="n">
        <v>19020</v>
      </c>
    </row>
    <row r="14" customFormat="false" ht="12.8" hidden="false" customHeight="false" outlineLevel="0" collapsed="false">
      <c r="A14" s="33" t="s">
        <v>31</v>
      </c>
      <c r="B14" s="38"/>
      <c r="C14" s="39"/>
      <c r="D14" s="39"/>
      <c r="E14" s="39"/>
      <c r="F14" s="39"/>
      <c r="G14" s="39"/>
      <c r="H14" s="40"/>
      <c r="I14" s="41"/>
    </row>
    <row r="15" customFormat="false" ht="12.8" hidden="false" customHeight="false" outlineLevel="0" collapsed="false">
      <c r="A15" s="42" t="s">
        <v>32</v>
      </c>
      <c r="B15" s="43" t="n">
        <v>42320</v>
      </c>
      <c r="C15" s="44" t="n">
        <v>660</v>
      </c>
      <c r="D15" s="44" t="n">
        <v>1149100</v>
      </c>
      <c r="E15" s="44" t="n">
        <v>13340</v>
      </c>
      <c r="F15" s="44" t="n">
        <v>16060</v>
      </c>
      <c r="G15" s="44" t="n">
        <v>22480</v>
      </c>
      <c r="H15" s="45"/>
      <c r="I15" s="46" t="n">
        <v>1243960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8" t="s">
        <v>8</v>
      </c>
      <c r="B1" s="19" t="s">
        <v>29</v>
      </c>
    </row>
    <row r="3" customFormat="false" ht="12.8" hidden="false" customHeight="false" outlineLevel="0" collapsed="false">
      <c r="A3" s="20" t="s">
        <v>30</v>
      </c>
      <c r="B3" s="21" t="s">
        <v>3</v>
      </c>
      <c r="C3" s="22"/>
      <c r="D3" s="22"/>
      <c r="E3" s="22"/>
      <c r="F3" s="22"/>
      <c r="G3" s="22"/>
      <c r="H3" s="22"/>
      <c r="I3" s="22"/>
      <c r="J3" s="22"/>
      <c r="K3" s="22"/>
      <c r="L3" s="23"/>
    </row>
    <row r="4" customFormat="false" ht="12.8" hidden="false" customHeight="false" outlineLevel="0" collapsed="false">
      <c r="A4" s="24" t="s">
        <v>0</v>
      </c>
      <c r="B4" s="25" t="s">
        <v>20</v>
      </c>
      <c r="C4" s="26" t="s">
        <v>25</v>
      </c>
      <c r="D4" s="26" t="s">
        <v>15</v>
      </c>
      <c r="E4" s="26" t="s">
        <v>19</v>
      </c>
      <c r="F4" s="26" t="s">
        <v>17</v>
      </c>
      <c r="G4" s="26" t="s">
        <v>10</v>
      </c>
      <c r="H4" s="26" t="s">
        <v>14</v>
      </c>
      <c r="I4" s="26" t="s">
        <v>16</v>
      </c>
      <c r="J4" s="26" t="s">
        <v>26</v>
      </c>
      <c r="K4" s="26" t="s">
        <v>31</v>
      </c>
      <c r="L4" s="27" t="s">
        <v>32</v>
      </c>
    </row>
    <row r="5" customFormat="false" ht="12.8" hidden="false" customHeight="false" outlineLevel="0" collapsed="false">
      <c r="A5" s="47" t="n">
        <v>43709</v>
      </c>
      <c r="B5" s="29"/>
      <c r="C5" s="30"/>
      <c r="D5" s="30" t="n">
        <v>25920</v>
      </c>
      <c r="E5" s="30"/>
      <c r="F5" s="30" t="n">
        <v>560</v>
      </c>
      <c r="G5" s="30" t="n">
        <v>940</v>
      </c>
      <c r="H5" s="30" t="n">
        <v>25000</v>
      </c>
      <c r="I5" s="30" t="n">
        <v>2480</v>
      </c>
      <c r="J5" s="30"/>
      <c r="K5" s="31"/>
      <c r="L5" s="32" t="n">
        <v>54900</v>
      </c>
    </row>
    <row r="6" customFormat="false" ht="12.8" hidden="false" customHeight="false" outlineLevel="0" collapsed="false">
      <c r="A6" s="48" t="n">
        <v>43710</v>
      </c>
      <c r="B6" s="34" t="n">
        <v>2340</v>
      </c>
      <c r="C6" s="35"/>
      <c r="D6" s="35" t="n">
        <v>14180</v>
      </c>
      <c r="E6" s="35" t="n">
        <v>10340</v>
      </c>
      <c r="F6" s="35" t="n">
        <v>640</v>
      </c>
      <c r="G6" s="35" t="n">
        <v>880</v>
      </c>
      <c r="H6" s="35" t="n">
        <v>29320</v>
      </c>
      <c r="I6" s="35" t="n">
        <v>1380</v>
      </c>
      <c r="J6" s="35"/>
      <c r="K6" s="36"/>
      <c r="L6" s="37" t="n">
        <v>59080</v>
      </c>
    </row>
    <row r="7" customFormat="false" ht="12.8" hidden="false" customHeight="false" outlineLevel="0" collapsed="false">
      <c r="A7" s="48" t="n">
        <v>43711</v>
      </c>
      <c r="B7" s="34" t="n">
        <v>3480</v>
      </c>
      <c r="C7" s="35" t="n">
        <v>940</v>
      </c>
      <c r="D7" s="35" t="n">
        <v>13920</v>
      </c>
      <c r="E7" s="35" t="n">
        <v>7640</v>
      </c>
      <c r="F7" s="35" t="n">
        <v>560</v>
      </c>
      <c r="G7" s="35" t="n">
        <v>1300</v>
      </c>
      <c r="H7" s="35" t="n">
        <v>22100</v>
      </c>
      <c r="I7" s="35" t="n">
        <v>1500</v>
      </c>
      <c r="J7" s="35"/>
      <c r="K7" s="36"/>
      <c r="L7" s="37" t="n">
        <v>51440</v>
      </c>
    </row>
    <row r="8" customFormat="false" ht="12.8" hidden="false" customHeight="false" outlineLevel="0" collapsed="false">
      <c r="A8" s="48" t="n">
        <v>43712</v>
      </c>
      <c r="B8" s="34"/>
      <c r="C8" s="35"/>
      <c r="D8" s="35" t="n">
        <v>14240</v>
      </c>
      <c r="E8" s="35" t="n">
        <v>5960</v>
      </c>
      <c r="F8" s="35" t="n">
        <v>280</v>
      </c>
      <c r="G8" s="35" t="n">
        <v>1440</v>
      </c>
      <c r="H8" s="35" t="n">
        <v>22460</v>
      </c>
      <c r="I8" s="35" t="n">
        <v>1620</v>
      </c>
      <c r="J8" s="35"/>
      <c r="K8" s="36"/>
      <c r="L8" s="37" t="n">
        <v>46000</v>
      </c>
    </row>
    <row r="9" customFormat="false" ht="12.8" hidden="false" customHeight="false" outlineLevel="0" collapsed="false">
      <c r="A9" s="48" t="n">
        <v>43713</v>
      </c>
      <c r="B9" s="34"/>
      <c r="C9" s="35" t="n">
        <v>1520</v>
      </c>
      <c r="D9" s="35" t="n">
        <v>17460</v>
      </c>
      <c r="E9" s="35" t="n">
        <v>880</v>
      </c>
      <c r="F9" s="35" t="n">
        <v>380</v>
      </c>
      <c r="G9" s="35" t="n">
        <v>740</v>
      </c>
      <c r="H9" s="35" t="n">
        <v>22420</v>
      </c>
      <c r="I9" s="35"/>
      <c r="J9" s="35"/>
      <c r="K9" s="36"/>
      <c r="L9" s="37" t="n">
        <v>43400</v>
      </c>
    </row>
    <row r="10" customFormat="false" ht="12.8" hidden="false" customHeight="false" outlineLevel="0" collapsed="false">
      <c r="A10" s="48" t="n">
        <v>43714</v>
      </c>
      <c r="B10" s="34" t="n">
        <v>2140</v>
      </c>
      <c r="C10" s="35"/>
      <c r="D10" s="35" t="n">
        <v>14840</v>
      </c>
      <c r="E10" s="35" t="n">
        <v>8360</v>
      </c>
      <c r="F10" s="35" t="n">
        <v>480</v>
      </c>
      <c r="G10" s="35" t="n">
        <v>680</v>
      </c>
      <c r="H10" s="35" t="n">
        <v>22180</v>
      </c>
      <c r="I10" s="35" t="n">
        <v>1620</v>
      </c>
      <c r="J10" s="35"/>
      <c r="K10" s="36"/>
      <c r="L10" s="37" t="n">
        <v>50300</v>
      </c>
    </row>
    <row r="11" customFormat="false" ht="12.8" hidden="false" customHeight="false" outlineLevel="0" collapsed="false">
      <c r="A11" s="48" t="n">
        <v>43715</v>
      </c>
      <c r="B11" s="34" t="n">
        <v>3920</v>
      </c>
      <c r="C11" s="35"/>
      <c r="D11" s="35" t="n">
        <v>14540</v>
      </c>
      <c r="E11" s="35" t="n">
        <v>6860</v>
      </c>
      <c r="F11" s="35" t="n">
        <v>460</v>
      </c>
      <c r="G11" s="35" t="n">
        <v>760</v>
      </c>
      <c r="H11" s="35" t="n">
        <v>22260</v>
      </c>
      <c r="I11" s="35" t="n">
        <v>1720</v>
      </c>
      <c r="J11" s="35" t="n">
        <v>440</v>
      </c>
      <c r="K11" s="36"/>
      <c r="L11" s="37" t="n">
        <v>50960</v>
      </c>
    </row>
    <row r="12" customFormat="false" ht="12.8" hidden="false" customHeight="false" outlineLevel="0" collapsed="false">
      <c r="A12" s="48" t="n">
        <v>43716</v>
      </c>
      <c r="B12" s="34"/>
      <c r="C12" s="35"/>
      <c r="D12" s="35" t="n">
        <v>20540</v>
      </c>
      <c r="E12" s="35"/>
      <c r="F12" s="35" t="n">
        <v>1200</v>
      </c>
      <c r="G12" s="35" t="n">
        <v>440</v>
      </c>
      <c r="H12" s="35" t="n">
        <v>24080</v>
      </c>
      <c r="I12" s="35" t="n">
        <v>2140</v>
      </c>
      <c r="J12" s="35"/>
      <c r="K12" s="36"/>
      <c r="L12" s="37" t="n">
        <v>48400</v>
      </c>
    </row>
    <row r="13" customFormat="false" ht="12.8" hidden="false" customHeight="false" outlineLevel="0" collapsed="false">
      <c r="A13" s="48" t="n">
        <v>43717</v>
      </c>
      <c r="B13" s="34"/>
      <c r="C13" s="35" t="n">
        <v>1820</v>
      </c>
      <c r="D13" s="35" t="n">
        <v>13720</v>
      </c>
      <c r="E13" s="35" t="n">
        <v>7960</v>
      </c>
      <c r="F13" s="35" t="n">
        <v>380</v>
      </c>
      <c r="G13" s="35" t="n">
        <v>1400</v>
      </c>
      <c r="H13" s="35" t="n">
        <v>22200</v>
      </c>
      <c r="I13" s="35"/>
      <c r="J13" s="35"/>
      <c r="K13" s="36"/>
      <c r="L13" s="37" t="n">
        <v>47480</v>
      </c>
    </row>
    <row r="14" customFormat="false" ht="12.8" hidden="false" customHeight="false" outlineLevel="0" collapsed="false">
      <c r="A14" s="48" t="n">
        <v>43718</v>
      </c>
      <c r="B14" s="34"/>
      <c r="C14" s="35"/>
      <c r="D14" s="35" t="n">
        <v>12700</v>
      </c>
      <c r="E14" s="35" t="n">
        <v>6180</v>
      </c>
      <c r="F14" s="35" t="n">
        <v>420</v>
      </c>
      <c r="G14" s="35" t="n">
        <v>620</v>
      </c>
      <c r="H14" s="35" t="n">
        <v>20100</v>
      </c>
      <c r="I14" s="35" t="n">
        <v>1780</v>
      </c>
      <c r="J14" s="35"/>
      <c r="K14" s="36"/>
      <c r="L14" s="37" t="n">
        <v>41800</v>
      </c>
    </row>
    <row r="15" customFormat="false" ht="12.8" hidden="false" customHeight="false" outlineLevel="0" collapsed="false">
      <c r="A15" s="48" t="n">
        <v>43719</v>
      </c>
      <c r="B15" s="34"/>
      <c r="C15" s="35"/>
      <c r="D15" s="35" t="n">
        <v>10520</v>
      </c>
      <c r="E15" s="35" t="n">
        <v>5260</v>
      </c>
      <c r="F15" s="35" t="n">
        <v>500</v>
      </c>
      <c r="G15" s="35" t="n">
        <v>420</v>
      </c>
      <c r="H15" s="35" t="n">
        <v>20680</v>
      </c>
      <c r="I15" s="35" t="n">
        <v>1340</v>
      </c>
      <c r="J15" s="35"/>
      <c r="K15" s="36"/>
      <c r="L15" s="37" t="n">
        <v>38720</v>
      </c>
    </row>
    <row r="16" customFormat="false" ht="12.8" hidden="false" customHeight="false" outlineLevel="0" collapsed="false">
      <c r="A16" s="48" t="n">
        <v>43720</v>
      </c>
      <c r="B16" s="34"/>
      <c r="C16" s="35"/>
      <c r="D16" s="35" t="n">
        <v>13740</v>
      </c>
      <c r="E16" s="35" t="n">
        <v>860</v>
      </c>
      <c r="F16" s="35" t="n">
        <v>460</v>
      </c>
      <c r="G16" s="35" t="n">
        <v>760</v>
      </c>
      <c r="H16" s="35" t="n">
        <v>19180</v>
      </c>
      <c r="I16" s="35" t="n">
        <v>1200</v>
      </c>
      <c r="J16" s="35"/>
      <c r="K16" s="36"/>
      <c r="L16" s="37" t="n">
        <v>36200</v>
      </c>
    </row>
    <row r="17" customFormat="false" ht="12.8" hidden="false" customHeight="false" outlineLevel="0" collapsed="false">
      <c r="A17" s="48" t="n">
        <v>43721</v>
      </c>
      <c r="B17" s="34"/>
      <c r="C17" s="35" t="n">
        <v>1600</v>
      </c>
      <c r="D17" s="35" t="n">
        <v>15480</v>
      </c>
      <c r="E17" s="35" t="n">
        <v>2120</v>
      </c>
      <c r="F17" s="35" t="n">
        <v>740</v>
      </c>
      <c r="G17" s="35" t="n">
        <v>240</v>
      </c>
      <c r="H17" s="35" t="n">
        <v>22600</v>
      </c>
      <c r="I17" s="35"/>
      <c r="J17" s="35"/>
      <c r="K17" s="36"/>
      <c r="L17" s="37" t="n">
        <v>42780</v>
      </c>
    </row>
    <row r="18" customFormat="false" ht="12.8" hidden="false" customHeight="false" outlineLevel="0" collapsed="false">
      <c r="A18" s="48" t="n">
        <v>43722</v>
      </c>
      <c r="B18" s="34"/>
      <c r="C18" s="35"/>
      <c r="D18" s="35" t="n">
        <v>11860</v>
      </c>
      <c r="E18" s="35" t="n">
        <v>4320</v>
      </c>
      <c r="F18" s="35" t="n">
        <v>900</v>
      </c>
      <c r="G18" s="35" t="n">
        <v>560</v>
      </c>
      <c r="H18" s="35" t="n">
        <v>19820</v>
      </c>
      <c r="I18" s="35" t="n">
        <v>1080</v>
      </c>
      <c r="J18" s="35"/>
      <c r="K18" s="36"/>
      <c r="L18" s="37" t="n">
        <v>38540</v>
      </c>
    </row>
    <row r="19" customFormat="false" ht="12.8" hidden="false" customHeight="false" outlineLevel="0" collapsed="false">
      <c r="A19" s="48" t="n">
        <v>43723</v>
      </c>
      <c r="B19" s="34"/>
      <c r="C19" s="35"/>
      <c r="D19" s="35" t="n">
        <v>5780</v>
      </c>
      <c r="E19" s="35" t="n">
        <v>11560</v>
      </c>
      <c r="F19" s="35" t="n">
        <v>560</v>
      </c>
      <c r="G19" s="35" t="n">
        <v>440</v>
      </c>
      <c r="H19" s="35" t="n">
        <v>21480</v>
      </c>
      <c r="I19" s="35" t="n">
        <v>1580</v>
      </c>
      <c r="J19" s="35"/>
      <c r="K19" s="36"/>
      <c r="L19" s="37" t="n">
        <v>41400</v>
      </c>
    </row>
    <row r="20" customFormat="false" ht="12.8" hidden="false" customHeight="false" outlineLevel="0" collapsed="false">
      <c r="A20" s="48" t="n">
        <v>43724</v>
      </c>
      <c r="B20" s="34" t="n">
        <v>2580</v>
      </c>
      <c r="C20" s="35" t="n">
        <v>1440</v>
      </c>
      <c r="D20" s="35" t="n">
        <v>11400</v>
      </c>
      <c r="E20" s="35" t="n">
        <v>5180</v>
      </c>
      <c r="F20" s="35" t="n">
        <v>420</v>
      </c>
      <c r="G20" s="35" t="n">
        <v>1060</v>
      </c>
      <c r="H20" s="35" t="n">
        <v>19180</v>
      </c>
      <c r="I20" s="35" t="n">
        <v>1280</v>
      </c>
      <c r="J20" s="35"/>
      <c r="K20" s="36"/>
      <c r="L20" s="37" t="n">
        <v>42540</v>
      </c>
    </row>
    <row r="21" customFormat="false" ht="12.8" hidden="false" customHeight="false" outlineLevel="0" collapsed="false">
      <c r="A21" s="48" t="n">
        <v>43725</v>
      </c>
      <c r="B21" s="34"/>
      <c r="C21" s="35" t="n">
        <v>1040</v>
      </c>
      <c r="D21" s="35" t="n">
        <v>11140</v>
      </c>
      <c r="E21" s="35" t="n">
        <v>5660</v>
      </c>
      <c r="F21" s="35" t="n">
        <v>540</v>
      </c>
      <c r="G21" s="35" t="n">
        <v>360</v>
      </c>
      <c r="H21" s="35" t="n">
        <v>17980</v>
      </c>
      <c r="I21" s="35"/>
      <c r="J21" s="35"/>
      <c r="K21" s="36"/>
      <c r="L21" s="37" t="n">
        <v>36720</v>
      </c>
    </row>
    <row r="22" customFormat="false" ht="12.8" hidden="false" customHeight="false" outlineLevel="0" collapsed="false">
      <c r="A22" s="48" t="n">
        <v>43726</v>
      </c>
      <c r="B22" s="34"/>
      <c r="C22" s="35"/>
      <c r="D22" s="35" t="n">
        <v>9280</v>
      </c>
      <c r="E22" s="35" t="n">
        <v>5160</v>
      </c>
      <c r="F22" s="35" t="n">
        <v>400</v>
      </c>
      <c r="G22" s="35" t="n">
        <v>1940</v>
      </c>
      <c r="H22" s="35" t="n">
        <v>17000</v>
      </c>
      <c r="I22" s="35" t="n">
        <v>900</v>
      </c>
      <c r="J22" s="35"/>
      <c r="K22" s="36"/>
      <c r="L22" s="37" t="n">
        <v>34680</v>
      </c>
    </row>
    <row r="23" customFormat="false" ht="12.8" hidden="false" customHeight="false" outlineLevel="0" collapsed="false">
      <c r="A23" s="48" t="n">
        <v>43727</v>
      </c>
      <c r="B23" s="34"/>
      <c r="C23" s="35"/>
      <c r="D23" s="35" t="n">
        <v>16120</v>
      </c>
      <c r="E23" s="35"/>
      <c r="F23" s="35" t="n">
        <v>300</v>
      </c>
      <c r="G23" s="35"/>
      <c r="H23" s="35" t="n">
        <v>15280</v>
      </c>
      <c r="I23" s="35" t="n">
        <v>960</v>
      </c>
      <c r="J23" s="35"/>
      <c r="K23" s="36"/>
      <c r="L23" s="37" t="n">
        <v>32660</v>
      </c>
    </row>
    <row r="24" customFormat="false" ht="12.8" hidden="false" customHeight="false" outlineLevel="0" collapsed="false">
      <c r="A24" s="48" t="n">
        <v>43728</v>
      </c>
      <c r="B24" s="34"/>
      <c r="C24" s="35" t="n">
        <v>420</v>
      </c>
      <c r="D24" s="35" t="n">
        <v>9840</v>
      </c>
      <c r="E24" s="35" t="n">
        <v>4260</v>
      </c>
      <c r="F24" s="35" t="n">
        <v>240</v>
      </c>
      <c r="G24" s="35" t="n">
        <v>580</v>
      </c>
      <c r="H24" s="35" t="n">
        <v>18160</v>
      </c>
      <c r="I24" s="35" t="n">
        <v>920</v>
      </c>
      <c r="J24" s="35"/>
      <c r="K24" s="36"/>
      <c r="L24" s="37" t="n">
        <v>34420</v>
      </c>
    </row>
    <row r="25" customFormat="false" ht="12.8" hidden="false" customHeight="false" outlineLevel="0" collapsed="false">
      <c r="A25" s="48" t="n">
        <v>43729</v>
      </c>
      <c r="B25" s="34"/>
      <c r="C25" s="35"/>
      <c r="D25" s="35" t="n">
        <v>9880</v>
      </c>
      <c r="E25" s="35" t="n">
        <v>5220</v>
      </c>
      <c r="F25" s="35" t="n">
        <v>300</v>
      </c>
      <c r="G25" s="35" t="n">
        <v>220</v>
      </c>
      <c r="H25" s="35" t="n">
        <v>18800</v>
      </c>
      <c r="I25" s="35" t="n">
        <v>1020</v>
      </c>
      <c r="J25" s="35"/>
      <c r="K25" s="36"/>
      <c r="L25" s="37" t="n">
        <v>35440</v>
      </c>
    </row>
    <row r="26" customFormat="false" ht="12.8" hidden="false" customHeight="false" outlineLevel="0" collapsed="false">
      <c r="A26" s="48" t="n">
        <v>43730</v>
      </c>
      <c r="B26" s="34"/>
      <c r="C26" s="35"/>
      <c r="D26" s="35" t="n">
        <v>11740</v>
      </c>
      <c r="E26" s="35"/>
      <c r="F26" s="35" t="n">
        <v>440</v>
      </c>
      <c r="G26" s="35" t="n">
        <v>460</v>
      </c>
      <c r="H26" s="35" t="n">
        <v>16740</v>
      </c>
      <c r="I26" s="35" t="n">
        <v>1360</v>
      </c>
      <c r="J26" s="35"/>
      <c r="K26" s="36"/>
      <c r="L26" s="37" t="n">
        <v>30740</v>
      </c>
    </row>
    <row r="27" customFormat="false" ht="12.8" hidden="false" customHeight="false" outlineLevel="0" collapsed="false">
      <c r="A27" s="48" t="n">
        <v>43731</v>
      </c>
      <c r="B27" s="34"/>
      <c r="C27" s="35"/>
      <c r="D27" s="35" t="n">
        <v>5080</v>
      </c>
      <c r="E27" s="35" t="n">
        <v>7760</v>
      </c>
      <c r="F27" s="35" t="n">
        <v>480</v>
      </c>
      <c r="G27" s="35" t="n">
        <v>840</v>
      </c>
      <c r="H27" s="35" t="n">
        <v>16580</v>
      </c>
      <c r="I27" s="35" t="n">
        <v>1120</v>
      </c>
      <c r="J27" s="35" t="n">
        <v>1360</v>
      </c>
      <c r="K27" s="36"/>
      <c r="L27" s="37" t="n">
        <v>33220</v>
      </c>
    </row>
    <row r="28" customFormat="false" ht="12.8" hidden="false" customHeight="false" outlineLevel="0" collapsed="false">
      <c r="A28" s="48" t="n">
        <v>43732</v>
      </c>
      <c r="B28" s="34"/>
      <c r="C28" s="35"/>
      <c r="D28" s="35" t="n">
        <v>7300</v>
      </c>
      <c r="E28" s="35" t="n">
        <v>7820</v>
      </c>
      <c r="F28" s="35" t="n">
        <v>220</v>
      </c>
      <c r="G28" s="35" t="n">
        <v>1200</v>
      </c>
      <c r="H28" s="35" t="n">
        <v>16080</v>
      </c>
      <c r="I28" s="35" t="n">
        <v>920</v>
      </c>
      <c r="J28" s="35"/>
      <c r="K28" s="36"/>
      <c r="L28" s="37" t="n">
        <v>33540</v>
      </c>
    </row>
    <row r="29" customFormat="false" ht="12.8" hidden="false" customHeight="false" outlineLevel="0" collapsed="false">
      <c r="A29" s="48" t="n">
        <v>43733</v>
      </c>
      <c r="B29" s="34"/>
      <c r="C29" s="35" t="n">
        <v>420</v>
      </c>
      <c r="D29" s="35" t="n">
        <v>8880</v>
      </c>
      <c r="E29" s="35" t="n">
        <v>6680</v>
      </c>
      <c r="F29" s="35" t="n">
        <v>680</v>
      </c>
      <c r="G29" s="35" t="n">
        <v>2060</v>
      </c>
      <c r="H29" s="35" t="n">
        <v>17420</v>
      </c>
      <c r="I29" s="35" t="n">
        <v>840</v>
      </c>
      <c r="J29" s="35"/>
      <c r="K29" s="36"/>
      <c r="L29" s="37" t="n">
        <v>36980</v>
      </c>
    </row>
    <row r="30" customFormat="false" ht="12.8" hidden="false" customHeight="false" outlineLevel="0" collapsed="false">
      <c r="A30" s="48" t="n">
        <v>43734</v>
      </c>
      <c r="B30" s="34"/>
      <c r="C30" s="35"/>
      <c r="D30" s="35" t="n">
        <v>12940</v>
      </c>
      <c r="E30" s="35"/>
      <c r="F30" s="35" t="n">
        <v>320</v>
      </c>
      <c r="G30" s="35" t="n">
        <v>4500</v>
      </c>
      <c r="H30" s="35" t="n">
        <v>16440</v>
      </c>
      <c r="I30" s="35" t="n">
        <v>780</v>
      </c>
      <c r="J30" s="35" t="n">
        <v>16640</v>
      </c>
      <c r="K30" s="36"/>
      <c r="L30" s="37" t="n">
        <v>51620</v>
      </c>
    </row>
    <row r="31" customFormat="false" ht="12.8" hidden="false" customHeight="false" outlineLevel="0" collapsed="false">
      <c r="A31" s="48" t="n">
        <v>43735</v>
      </c>
      <c r="B31" s="34" t="n">
        <v>21880</v>
      </c>
      <c r="C31" s="35" t="n">
        <v>140</v>
      </c>
      <c r="D31" s="35"/>
      <c r="E31" s="35" t="n">
        <v>12680</v>
      </c>
      <c r="F31" s="35" t="n">
        <v>180</v>
      </c>
      <c r="G31" s="35" t="n">
        <v>1380</v>
      </c>
      <c r="H31" s="35" t="n">
        <v>16500</v>
      </c>
      <c r="I31" s="35" t="n">
        <v>760</v>
      </c>
      <c r="J31" s="35" t="n">
        <v>580</v>
      </c>
      <c r="K31" s="36"/>
      <c r="L31" s="37" t="n">
        <v>54100</v>
      </c>
    </row>
    <row r="32" customFormat="false" ht="12.8" hidden="false" customHeight="false" outlineLevel="0" collapsed="false">
      <c r="A32" s="48" t="n">
        <v>43736</v>
      </c>
      <c r="B32" s="34" t="n">
        <v>2600</v>
      </c>
      <c r="C32" s="35"/>
      <c r="D32" s="35"/>
      <c r="E32" s="35" t="n">
        <v>13580</v>
      </c>
      <c r="F32" s="35" t="n">
        <v>360</v>
      </c>
      <c r="G32" s="35"/>
      <c r="H32" s="35" t="n">
        <v>16780</v>
      </c>
      <c r="I32" s="35" t="n">
        <v>1060</v>
      </c>
      <c r="J32" s="35"/>
      <c r="K32" s="36"/>
      <c r="L32" s="37" t="n">
        <v>34380</v>
      </c>
    </row>
    <row r="33" customFormat="false" ht="12.8" hidden="false" customHeight="false" outlineLevel="0" collapsed="false">
      <c r="A33" s="48" t="n">
        <v>43737</v>
      </c>
      <c r="B33" s="34"/>
      <c r="C33" s="35"/>
      <c r="D33" s="35"/>
      <c r="E33" s="35" t="n">
        <v>14780</v>
      </c>
      <c r="F33" s="35" t="n">
        <v>120</v>
      </c>
      <c r="G33" s="35" t="n">
        <v>720</v>
      </c>
      <c r="H33" s="35" t="n">
        <v>18740</v>
      </c>
      <c r="I33" s="35" t="n">
        <v>1360</v>
      </c>
      <c r="J33" s="35"/>
      <c r="K33" s="36"/>
      <c r="L33" s="37" t="n">
        <v>35720</v>
      </c>
    </row>
    <row r="34" customFormat="false" ht="12.8" hidden="false" customHeight="false" outlineLevel="0" collapsed="false">
      <c r="A34" s="48" t="n">
        <v>43738</v>
      </c>
      <c r="B34" s="34"/>
      <c r="C34" s="35"/>
      <c r="D34" s="35" t="n">
        <v>8740</v>
      </c>
      <c r="E34" s="35"/>
      <c r="F34" s="35" t="n">
        <v>180</v>
      </c>
      <c r="G34" s="35" t="n">
        <v>780</v>
      </c>
      <c r="H34" s="35" t="n">
        <v>14800</v>
      </c>
      <c r="I34" s="35" t="n">
        <v>1300</v>
      </c>
      <c r="J34" s="35"/>
      <c r="K34" s="36"/>
      <c r="L34" s="37" t="n">
        <v>25800</v>
      </c>
    </row>
    <row r="35" customFormat="false" ht="12.8" hidden="false" customHeight="false" outlineLevel="0" collapsed="false">
      <c r="A35" s="48" t="s">
        <v>31</v>
      </c>
      <c r="B35" s="38"/>
      <c r="C35" s="39"/>
      <c r="D35" s="39"/>
      <c r="E35" s="39"/>
      <c r="F35" s="39"/>
      <c r="G35" s="39"/>
      <c r="H35" s="39"/>
      <c r="I35" s="39"/>
      <c r="J35" s="39"/>
      <c r="K35" s="40"/>
      <c r="L35" s="41"/>
    </row>
    <row r="36" customFormat="false" ht="12.8" hidden="false" customHeight="false" outlineLevel="0" collapsed="false">
      <c r="A36" s="49" t="s">
        <v>32</v>
      </c>
      <c r="B36" s="43" t="n">
        <v>38940</v>
      </c>
      <c r="C36" s="44" t="n">
        <v>9340</v>
      </c>
      <c r="D36" s="44" t="n">
        <v>341780</v>
      </c>
      <c r="E36" s="44" t="n">
        <v>167080</v>
      </c>
      <c r="F36" s="44" t="n">
        <v>13700</v>
      </c>
      <c r="G36" s="44" t="n">
        <v>27720</v>
      </c>
      <c r="H36" s="44" t="n">
        <v>592360</v>
      </c>
      <c r="I36" s="44" t="n">
        <v>34020</v>
      </c>
      <c r="J36" s="44" t="n">
        <v>19020</v>
      </c>
      <c r="K36" s="45"/>
      <c r="L36" s="46" t="n">
        <v>1243960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6" activeCellId="0" sqref="D46"/>
    </sheetView>
  </sheetViews>
  <sheetFormatPr defaultRowHeight="13.8" zeroHeight="false" outlineLevelRow="0" outlineLevelCol="0"/>
  <cols>
    <col collapsed="false" customWidth="true" hidden="false" outlineLevel="0" max="5" min="1" style="0" width="10.5"/>
    <col collapsed="false" customWidth="true" hidden="false" outlineLevel="0" max="6" min="6" style="0" width="7.76"/>
    <col collapsed="false" customWidth="true" hidden="false" outlineLevel="0" max="17" min="7" style="0" width="10.5"/>
    <col collapsed="false" customWidth="true" hidden="false" outlineLevel="0" max="18" min="18" style="0" width="13.84"/>
    <col collapsed="false" customWidth="true" hidden="false" outlineLevel="0" max="1025" min="19" style="0" width="10.5"/>
  </cols>
  <sheetData>
    <row r="1" customFormat="false" ht="13.8" hidden="false" customHeight="false" outlineLevel="0" collapsed="false">
      <c r="A1" s="50" t="s">
        <v>12</v>
      </c>
      <c r="B1" s="50"/>
      <c r="C1" s="50"/>
      <c r="D1" s="50"/>
      <c r="E1" s="50"/>
      <c r="F1" s="50"/>
    </row>
    <row r="2" customFormat="false" ht="13.8" hidden="false" customHeight="false" outlineLevel="0" collapsed="false">
      <c r="A2" s="51" t="s">
        <v>33</v>
      </c>
      <c r="B2" s="51" t="s">
        <v>34</v>
      </c>
      <c r="C2" s="51" t="s">
        <v>35</v>
      </c>
      <c r="D2" s="52" t="s">
        <v>36</v>
      </c>
      <c r="E2" s="51" t="s">
        <v>37</v>
      </c>
      <c r="F2" s="51"/>
      <c r="K2" s="0" t="n">
        <v>1</v>
      </c>
      <c r="L2" s="0" t="n">
        <v>2</v>
      </c>
      <c r="M2" s="0" t="n">
        <v>3</v>
      </c>
      <c r="N2" s="0" t="n">
        <v>4</v>
      </c>
      <c r="O2" s="0" t="n">
        <v>5</v>
      </c>
      <c r="P2" s="0" t="n">
        <v>6</v>
      </c>
      <c r="Q2" s="0" t="n">
        <v>7</v>
      </c>
    </row>
    <row r="3" customFormat="false" ht="13.8" hidden="false" customHeight="false" outlineLevel="0" collapsed="false">
      <c r="A3" s="51" t="s">
        <v>16</v>
      </c>
      <c r="B3" s="51" t="n">
        <v>1</v>
      </c>
      <c r="C3" s="51" t="s">
        <v>38</v>
      </c>
      <c r="D3" s="52" t="n">
        <v>34020</v>
      </c>
      <c r="E3" s="53" t="n">
        <f aca="false">VLOOKUP(A3,$K$3:$R$14,4,FALSE())</f>
        <v>34020</v>
      </c>
      <c r="F3" s="54" t="str">
        <f aca="false">IF(E3-D3&gt;0,"Revisar","Bien")</f>
        <v>Bien</v>
      </c>
      <c r="K3" s="24" t="s">
        <v>3</v>
      </c>
      <c r="L3" s="25" t="s">
        <v>28</v>
      </c>
      <c r="M3" s="26" t="s">
        <v>27</v>
      </c>
      <c r="N3" s="26" t="s">
        <v>12</v>
      </c>
      <c r="O3" s="26" t="s">
        <v>23</v>
      </c>
      <c r="P3" s="26" t="s">
        <v>21</v>
      </c>
      <c r="Q3" s="26" t="s">
        <v>24</v>
      </c>
      <c r="R3" s="26" t="s">
        <v>31</v>
      </c>
      <c r="S3" s="27" t="s">
        <v>32</v>
      </c>
    </row>
    <row r="4" customFormat="false" ht="13.8" hidden="false" customHeight="false" outlineLevel="0" collapsed="false">
      <c r="A4" s="51" t="s">
        <v>10</v>
      </c>
      <c r="B4" s="51" t="n">
        <v>1</v>
      </c>
      <c r="C4" s="51" t="s">
        <v>39</v>
      </c>
      <c r="D4" s="52" t="n">
        <v>10280</v>
      </c>
      <c r="E4" s="53" t="n">
        <f aca="false">VLOOKUP(A4,$K$3:$R$14,4,FALSE())</f>
        <v>10280</v>
      </c>
      <c r="F4" s="55" t="str">
        <f aca="false">IF(E4-D4&gt;0,"Revisar","Bien")</f>
        <v>Bien</v>
      </c>
      <c r="K4" s="28" t="s">
        <v>20</v>
      </c>
      <c r="L4" s="29" t="n">
        <v>21880</v>
      </c>
      <c r="M4" s="30"/>
      <c r="N4" s="30" t="n">
        <v>6080</v>
      </c>
      <c r="O4" s="30"/>
      <c r="P4" s="30" t="n">
        <v>4920</v>
      </c>
      <c r="Q4" s="30" t="n">
        <v>6060</v>
      </c>
      <c r="R4" s="31"/>
      <c r="S4" s="32" t="n">
        <v>38940</v>
      </c>
    </row>
    <row r="5" customFormat="false" ht="13.8" hidden="false" customHeight="false" outlineLevel="0" collapsed="false">
      <c r="A5" s="51" t="s">
        <v>14</v>
      </c>
      <c r="B5" s="51" t="s">
        <v>40</v>
      </c>
      <c r="C5" s="51" t="s">
        <v>39</v>
      </c>
      <c r="D5" s="52" t="n">
        <v>592360</v>
      </c>
      <c r="E5" s="53" t="n">
        <f aca="false">VLOOKUP(A5,$K$3:$R$14,4,FALSE())</f>
        <v>592360</v>
      </c>
      <c r="F5" s="55" t="str">
        <f aca="false">IF(E5-D5&gt;0,"Revisar","Bien")</f>
        <v>Bien</v>
      </c>
      <c r="K5" s="33" t="s">
        <v>25</v>
      </c>
      <c r="L5" s="34"/>
      <c r="M5" s="35" t="n">
        <v>420</v>
      </c>
      <c r="N5" s="35" t="n">
        <v>8360</v>
      </c>
      <c r="O5" s="35"/>
      <c r="P5" s="35"/>
      <c r="Q5" s="35" t="n">
        <v>560</v>
      </c>
      <c r="R5" s="36"/>
      <c r="S5" s="37" t="n">
        <v>9340</v>
      </c>
    </row>
    <row r="6" customFormat="false" ht="13.8" hidden="false" customHeight="false" outlineLevel="0" collapsed="false">
      <c r="A6" s="51" t="s">
        <v>15</v>
      </c>
      <c r="B6" s="51" t="s">
        <v>40</v>
      </c>
      <c r="C6" s="51" t="s">
        <v>39</v>
      </c>
      <c r="D6" s="52" t="n">
        <v>336880</v>
      </c>
      <c r="E6" s="53" t="n">
        <f aca="false">VLOOKUP(A6,$K$3:$R$14,4,FALSE())</f>
        <v>336880</v>
      </c>
      <c r="F6" s="55" t="str">
        <f aca="false">IF(E6-D6&gt;0,"Revisar","Bien")</f>
        <v>Bien</v>
      </c>
      <c r="K6" s="33" t="s">
        <v>15</v>
      </c>
      <c r="L6" s="34"/>
      <c r="M6" s="35"/>
      <c r="N6" s="35" t="n">
        <v>336880</v>
      </c>
      <c r="O6" s="35" t="n">
        <v>4900</v>
      </c>
      <c r="P6" s="35"/>
      <c r="Q6" s="35"/>
      <c r="R6" s="36"/>
      <c r="S6" s="37" t="n">
        <v>341780</v>
      </c>
    </row>
    <row r="7" customFormat="false" ht="13.8" hidden="false" customHeight="false" outlineLevel="0" collapsed="false">
      <c r="A7" s="51" t="s">
        <v>19</v>
      </c>
      <c r="B7" s="51" t="s">
        <v>40</v>
      </c>
      <c r="C7" s="51" t="s">
        <v>39</v>
      </c>
      <c r="D7" s="52" t="n">
        <v>147940</v>
      </c>
      <c r="E7" s="53" t="n">
        <f aca="false">VLOOKUP(A7,$K$3:$R$14,4,FALSE())</f>
        <v>147940</v>
      </c>
      <c r="F7" s="55" t="str">
        <f aca="false">IF(E7-D7&gt;0,"Revisar","Bien")</f>
        <v>Bien</v>
      </c>
      <c r="K7" s="33" t="s">
        <v>19</v>
      </c>
      <c r="L7" s="34"/>
      <c r="M7" s="35"/>
      <c r="N7" s="35" t="n">
        <v>147940</v>
      </c>
      <c r="O7" s="35" t="n">
        <v>8440</v>
      </c>
      <c r="P7" s="35" t="n">
        <v>10700</v>
      </c>
      <c r="Q7" s="35"/>
      <c r="R7" s="36"/>
      <c r="S7" s="37" t="n">
        <v>167080</v>
      </c>
    </row>
    <row r="8" customFormat="false" ht="13.8" hidden="false" customHeight="false" outlineLevel="0" collapsed="false">
      <c r="A8" s="51" t="s">
        <v>17</v>
      </c>
      <c r="B8" s="51" t="s">
        <v>40</v>
      </c>
      <c r="C8" s="51" t="s">
        <v>41</v>
      </c>
      <c r="D8" s="56" t="n">
        <v>13180</v>
      </c>
      <c r="E8" s="53" t="n">
        <f aca="false">VLOOKUP(A8,$K$3:$R$14,4,FALSE())</f>
        <v>13180</v>
      </c>
      <c r="F8" s="55" t="str">
        <f aca="false">IF(E8-D8&gt;0,"Revisar","Bien")</f>
        <v>Bien</v>
      </c>
      <c r="K8" s="33" t="s">
        <v>17</v>
      </c>
      <c r="L8" s="34"/>
      <c r="M8" s="35"/>
      <c r="N8" s="35" t="n">
        <v>13180</v>
      </c>
      <c r="O8" s="35"/>
      <c r="P8" s="35"/>
      <c r="Q8" s="35" t="n">
        <v>520</v>
      </c>
      <c r="R8" s="36"/>
      <c r="S8" s="37" t="n">
        <v>13700</v>
      </c>
    </row>
    <row r="9" customFormat="false" ht="13.8" hidden="false" customHeight="false" outlineLevel="0" collapsed="false">
      <c r="A9" s="51" t="s">
        <v>20</v>
      </c>
      <c r="B9" s="51" t="s">
        <v>40</v>
      </c>
      <c r="C9" s="51" t="s">
        <v>42</v>
      </c>
      <c r="D9" s="56" t="n">
        <v>6080</v>
      </c>
      <c r="E9" s="53" t="n">
        <f aca="false">VLOOKUP(A9,$K$3:$R$14,4,FALSE())</f>
        <v>6080</v>
      </c>
      <c r="F9" s="55" t="str">
        <f aca="false">IF(E9-D9&gt;0,"Revisar","Bien")</f>
        <v>Bien</v>
      </c>
      <c r="K9" s="33" t="s">
        <v>10</v>
      </c>
      <c r="L9" s="34" t="n">
        <v>3800</v>
      </c>
      <c r="M9" s="35" t="n">
        <v>240</v>
      </c>
      <c r="N9" s="35" t="n">
        <v>10280</v>
      </c>
      <c r="O9" s="35"/>
      <c r="P9" s="35"/>
      <c r="Q9" s="35" t="n">
        <v>13400</v>
      </c>
      <c r="R9" s="36"/>
      <c r="S9" s="37" t="n">
        <v>27720</v>
      </c>
    </row>
    <row r="10" customFormat="false" ht="13.8" hidden="false" customHeight="false" outlineLevel="0" collapsed="false">
      <c r="A10" s="51" t="s">
        <v>25</v>
      </c>
      <c r="B10" s="51" t="n">
        <v>1</v>
      </c>
      <c r="C10" s="51" t="s">
        <v>38</v>
      </c>
      <c r="D10" s="56" t="n">
        <v>8360</v>
      </c>
      <c r="E10" s="53" t="n">
        <f aca="false">VLOOKUP(A10,$K$3:$R$14,4,FALSE())</f>
        <v>8360</v>
      </c>
      <c r="F10" s="55" t="str">
        <f aca="false">IF(E10-D10&gt;0,"Revisar","Bien")</f>
        <v>Bien</v>
      </c>
      <c r="K10" s="33" t="s">
        <v>14</v>
      </c>
      <c r="L10" s="34"/>
      <c r="M10" s="35"/>
      <c r="N10" s="35" t="n">
        <v>592360</v>
      </c>
      <c r="O10" s="35"/>
      <c r="P10" s="35"/>
      <c r="Q10" s="35"/>
      <c r="R10" s="36"/>
      <c r="S10" s="37" t="n">
        <v>592360</v>
      </c>
    </row>
    <row r="11" customFormat="false" ht="13.8" hidden="false" customHeight="false" outlineLevel="0" collapsed="false">
      <c r="A11" s="51"/>
      <c r="B11" s="51"/>
      <c r="C11" s="51"/>
      <c r="D11" s="56"/>
      <c r="E11" s="57" t="n">
        <f aca="false">SUM(E3:E10)</f>
        <v>1149100</v>
      </c>
      <c r="F11" s="51"/>
      <c r="K11" s="33" t="s">
        <v>16</v>
      </c>
      <c r="L11" s="34"/>
      <c r="M11" s="35"/>
      <c r="N11" s="35" t="n">
        <v>34020</v>
      </c>
      <c r="O11" s="35"/>
      <c r="P11" s="35"/>
      <c r="Q11" s="35"/>
      <c r="R11" s="36"/>
      <c r="S11" s="37" t="n">
        <v>34020</v>
      </c>
    </row>
    <row r="12" customFormat="false" ht="13.8" hidden="false" customHeight="false" outlineLevel="0" collapsed="false">
      <c r="A12" s="50" t="s">
        <v>43</v>
      </c>
      <c r="B12" s="50"/>
      <c r="C12" s="50"/>
      <c r="D12" s="50"/>
      <c r="E12" s="50"/>
      <c r="F12" s="50"/>
      <c r="K12" s="33" t="s">
        <v>26</v>
      </c>
      <c r="L12" s="34" t="n">
        <v>16640</v>
      </c>
      <c r="M12" s="35"/>
      <c r="N12" s="35"/>
      <c r="O12" s="35"/>
      <c r="P12" s="35" t="n">
        <v>440</v>
      </c>
      <c r="Q12" s="35" t="n">
        <v>1940</v>
      </c>
      <c r="R12" s="36"/>
      <c r="S12" s="37" t="n">
        <v>19020</v>
      </c>
    </row>
    <row r="13" customFormat="false" ht="13.8" hidden="false" customHeight="false" outlineLevel="0" collapsed="false">
      <c r="A13" s="51" t="s">
        <v>33</v>
      </c>
      <c r="B13" s="51" t="s">
        <v>44</v>
      </c>
      <c r="C13" s="51" t="s">
        <v>45</v>
      </c>
      <c r="D13" s="56" t="s">
        <v>36</v>
      </c>
      <c r="E13" s="51" t="s">
        <v>37</v>
      </c>
      <c r="F13" s="51"/>
      <c r="K13" s="33" t="s">
        <v>31</v>
      </c>
      <c r="L13" s="38"/>
      <c r="M13" s="39"/>
      <c r="N13" s="39"/>
      <c r="O13" s="39"/>
      <c r="P13" s="39"/>
      <c r="Q13" s="39"/>
      <c r="R13" s="40"/>
      <c r="S13" s="41"/>
    </row>
    <row r="14" customFormat="false" ht="13.8" hidden="false" customHeight="false" outlineLevel="0" collapsed="false">
      <c r="A14" s="51" t="s">
        <v>20</v>
      </c>
      <c r="B14" s="51" t="n">
        <v>2</v>
      </c>
      <c r="C14" s="51" t="n">
        <v>2</v>
      </c>
      <c r="D14" s="51" t="n">
        <v>6060</v>
      </c>
      <c r="E14" s="53" t="n">
        <f aca="false">VLOOKUP(A14,$K$3:$R$14,7,FALSE())</f>
        <v>6060</v>
      </c>
      <c r="F14" s="55" t="str">
        <f aca="false">IF(E14-D14&gt;0,"Revisar","Bien")</f>
        <v>Bien</v>
      </c>
      <c r="K14" s="42" t="s">
        <v>32</v>
      </c>
      <c r="L14" s="43" t="n">
        <v>42320</v>
      </c>
      <c r="M14" s="44" t="n">
        <v>660</v>
      </c>
      <c r="N14" s="44" t="n">
        <v>1149100</v>
      </c>
      <c r="O14" s="44" t="n">
        <v>13340</v>
      </c>
      <c r="P14" s="44" t="n">
        <v>16060</v>
      </c>
      <c r="Q14" s="44" t="n">
        <v>22480</v>
      </c>
      <c r="R14" s="45"/>
      <c r="S14" s="46" t="n">
        <v>1243960</v>
      </c>
    </row>
    <row r="15" customFormat="false" ht="13.8" hidden="false" customHeight="false" outlineLevel="0" collapsed="false">
      <c r="A15" s="51" t="s">
        <v>25</v>
      </c>
      <c r="B15" s="51" t="n">
        <v>2</v>
      </c>
      <c r="C15" s="51" t="n">
        <v>22</v>
      </c>
      <c r="D15" s="51" t="n">
        <v>560</v>
      </c>
      <c r="E15" s="53" t="n">
        <f aca="false">VLOOKUP(A15,$K$3:$R$14,7,FALSE())</f>
        <v>560</v>
      </c>
      <c r="F15" s="55" t="str">
        <f aca="false">IF(E15-D15&gt;0,"Revisar","Bien")</f>
        <v>Bien</v>
      </c>
    </row>
    <row r="16" customFormat="false" ht="13.8" hidden="false" customHeight="false" outlineLevel="0" collapsed="false">
      <c r="A16" s="51" t="s">
        <v>10</v>
      </c>
      <c r="B16" s="51" t="n">
        <v>2</v>
      </c>
      <c r="C16" s="51" t="n">
        <v>3</v>
      </c>
      <c r="D16" s="51" t="n">
        <v>13400</v>
      </c>
      <c r="E16" s="53" t="n">
        <f aca="false">VLOOKUP(A16,$K$3:$R$14,7,FALSE())</f>
        <v>13400</v>
      </c>
      <c r="F16" s="55" t="str">
        <f aca="false">IF(E16-D16&gt;0,"Revisar","Bien")</f>
        <v>Bien</v>
      </c>
    </row>
    <row r="17" customFormat="false" ht="13.8" hidden="false" customHeight="false" outlineLevel="0" collapsed="false">
      <c r="A17" s="51" t="s">
        <v>26</v>
      </c>
      <c r="B17" s="51" t="n">
        <v>2</v>
      </c>
      <c r="C17" s="51" t="n">
        <v>4</v>
      </c>
      <c r="D17" s="51" t="n">
        <v>1940</v>
      </c>
      <c r="E17" s="53" t="n">
        <f aca="false">VLOOKUP(A17,$K$3:$R$14,7,FALSE())</f>
        <v>1940</v>
      </c>
      <c r="F17" s="55" t="str">
        <f aca="false">IF(E17-D17&gt;0,"Revisar","Bien")</f>
        <v>Bien</v>
      </c>
    </row>
    <row r="18" customFormat="false" ht="13.8" hidden="false" customHeight="false" outlineLevel="0" collapsed="false">
      <c r="A18" s="51" t="s">
        <v>17</v>
      </c>
      <c r="B18" s="51" t="n">
        <v>2</v>
      </c>
      <c r="C18" s="51" t="n">
        <v>5</v>
      </c>
      <c r="D18" s="51" t="n">
        <v>520</v>
      </c>
      <c r="E18" s="53" t="n">
        <f aca="false">VLOOKUP(A18,$K$3:$R$14,7,FALSE())</f>
        <v>520</v>
      </c>
      <c r="F18" s="55" t="str">
        <f aca="false">IF(E18-D18&gt;0,"Revisar","Bien")</f>
        <v>Bien</v>
      </c>
    </row>
    <row r="19" customFormat="false" ht="13.8" hidden="false" customHeight="false" outlineLevel="0" collapsed="false">
      <c r="A19" s="51"/>
      <c r="B19" s="51"/>
      <c r="C19" s="51"/>
      <c r="D19" s="56"/>
      <c r="E19" s="57" t="n">
        <f aca="false">SUM(E14:E18)</f>
        <v>22480</v>
      </c>
      <c r="F19" s="51"/>
    </row>
    <row r="20" customFormat="false" ht="13.8" hidden="false" customHeight="false" outlineLevel="0" collapsed="false">
      <c r="A20" s="51"/>
      <c r="B20" s="51"/>
      <c r="C20" s="51"/>
      <c r="D20" s="56"/>
      <c r="E20" s="57"/>
      <c r="F20" s="51"/>
    </row>
    <row r="21" customFormat="false" ht="13.8" hidden="false" customHeight="false" outlineLevel="0" collapsed="false">
      <c r="A21" s="50" t="s">
        <v>46</v>
      </c>
      <c r="B21" s="50"/>
      <c r="C21" s="50"/>
      <c r="D21" s="50"/>
      <c r="E21" s="50"/>
      <c r="F21" s="50"/>
    </row>
    <row r="22" customFormat="false" ht="13.8" hidden="false" customHeight="false" outlineLevel="0" collapsed="false">
      <c r="A22" s="51" t="s">
        <v>33</v>
      </c>
      <c r="B22" s="51" t="s">
        <v>45</v>
      </c>
      <c r="C22" s="51" t="s">
        <v>36</v>
      </c>
      <c r="D22" s="56" t="s">
        <v>37</v>
      </c>
      <c r="E22" s="51"/>
      <c r="F22" s="51"/>
    </row>
    <row r="23" customFormat="false" ht="13.8" hidden="false" customHeight="false" outlineLevel="0" collapsed="false">
      <c r="A23" s="51" t="s">
        <v>20</v>
      </c>
      <c r="B23" s="51" t="n">
        <v>2</v>
      </c>
      <c r="C23" s="51" t="n">
        <v>4920</v>
      </c>
      <c r="D23" s="58" t="n">
        <f aca="false">VLOOKUP(A23,$K$3:$R$14,6,FALSE())</f>
        <v>4920</v>
      </c>
      <c r="E23" s="54" t="str">
        <f aca="false">IF(D23-C23&gt;0,"Revisar","Bien")</f>
        <v>Bien</v>
      </c>
      <c r="F23" s="51"/>
    </row>
    <row r="24" customFormat="false" ht="13.8" hidden="false" customHeight="false" outlineLevel="0" collapsed="false">
      <c r="A24" s="51" t="s">
        <v>19</v>
      </c>
      <c r="B24" s="51" t="n">
        <v>6</v>
      </c>
      <c r="C24" s="51" t="n">
        <v>10700</v>
      </c>
      <c r="D24" s="58" t="n">
        <f aca="false">VLOOKUP(A24,$K$3:$R$14,6,FALSE())</f>
        <v>10700</v>
      </c>
      <c r="E24" s="55" t="str">
        <f aca="false">IF(D24-C24&gt;0,"Revisar","Bien")</f>
        <v>Bien</v>
      </c>
      <c r="F24" s="51"/>
    </row>
    <row r="25" customFormat="false" ht="13.8" hidden="false" customHeight="false" outlineLevel="0" collapsed="false">
      <c r="A25" s="51" t="s">
        <v>26</v>
      </c>
      <c r="B25" s="51" t="n">
        <v>1</v>
      </c>
      <c r="C25" s="51" t="n">
        <v>440</v>
      </c>
      <c r="D25" s="58" t="n">
        <f aca="false">VLOOKUP(A25,$K$3:$R$14,6,FALSE())</f>
        <v>440</v>
      </c>
      <c r="E25" s="55" t="str">
        <f aca="false">IF(D25-C25&gt;0,"Revisar","Bien")</f>
        <v>Bien</v>
      </c>
      <c r="F25" s="51"/>
    </row>
    <row r="26" customFormat="false" ht="13.8" hidden="false" customHeight="false" outlineLevel="0" collapsed="false">
      <c r="A26" s="51" t="s">
        <v>15</v>
      </c>
      <c r="B26" s="51" t="n">
        <v>0</v>
      </c>
      <c r="C26" s="56"/>
      <c r="D26" s="58" t="n">
        <f aca="false">VLOOKUP(A26,$K$3:$R$14,6,FALSE())</f>
        <v>0</v>
      </c>
      <c r="E26" s="55" t="str">
        <f aca="false">IF(D26-C26&gt;0,"Revisar","Bien")</f>
        <v>Bien</v>
      </c>
      <c r="F26" s="51"/>
    </row>
    <row r="27" customFormat="false" ht="13.8" hidden="false" customHeight="false" outlineLevel="0" collapsed="false">
      <c r="A27" s="51"/>
      <c r="B27" s="51"/>
      <c r="C27" s="51"/>
      <c r="D27" s="57" t="n">
        <f aca="false">SUM(D23:D26)</f>
        <v>16060</v>
      </c>
      <c r="E27" s="51"/>
      <c r="F27" s="51"/>
    </row>
    <row r="28" customFormat="false" ht="13.8" hidden="false" customHeight="false" outlineLevel="0" collapsed="false">
      <c r="A28" s="50" t="s">
        <v>47</v>
      </c>
      <c r="B28" s="50"/>
      <c r="C28" s="50"/>
      <c r="D28" s="50"/>
      <c r="E28" s="50"/>
      <c r="F28" s="51"/>
    </row>
    <row r="29" customFormat="false" ht="13.8" hidden="false" customHeight="false" outlineLevel="0" collapsed="false">
      <c r="A29" s="51" t="s">
        <v>33</v>
      </c>
      <c r="B29" s="51" t="s">
        <v>45</v>
      </c>
      <c r="C29" s="51" t="s">
        <v>36</v>
      </c>
      <c r="D29" s="56" t="s">
        <v>37</v>
      </c>
      <c r="E29" s="51"/>
      <c r="F29" s="51"/>
    </row>
    <row r="30" customFormat="false" ht="13.8" hidden="false" customHeight="false" outlineLevel="0" collapsed="false">
      <c r="A30" s="51" t="s">
        <v>15</v>
      </c>
      <c r="B30" s="51" t="n">
        <v>3</v>
      </c>
      <c r="C30" s="56" t="n">
        <v>4900</v>
      </c>
      <c r="D30" s="53" t="n">
        <f aca="false">VLOOKUP(A30,$K$3:$R$14,5,FALSE())</f>
        <v>4900</v>
      </c>
      <c r="E30" s="54" t="str">
        <f aca="false">IF(D30-C30&gt;0,"Revisar","Bien")</f>
        <v>Bien</v>
      </c>
      <c r="F30" s="51"/>
    </row>
    <row r="31" customFormat="false" ht="13.8" hidden="false" customHeight="false" outlineLevel="0" collapsed="false">
      <c r="A31" s="51" t="s">
        <v>19</v>
      </c>
      <c r="B31" s="51" t="n">
        <v>4</v>
      </c>
      <c r="C31" s="56" t="n">
        <v>8440</v>
      </c>
      <c r="D31" s="53" t="n">
        <f aca="false">VLOOKUP(A31,$K$3:$R$14,5,FALSE())</f>
        <v>8440</v>
      </c>
      <c r="E31" s="55" t="str">
        <f aca="false">IF(D31-C31&gt;0,"Revisar","Bien")</f>
        <v>Bien</v>
      </c>
      <c r="F31" s="51"/>
    </row>
    <row r="32" customFormat="false" ht="13.8" hidden="false" customHeight="false" outlineLevel="0" collapsed="false">
      <c r="A32" s="51"/>
      <c r="B32" s="51"/>
      <c r="C32" s="51"/>
      <c r="D32" s="57" t="n">
        <f aca="false">SUM(D30:D31)</f>
        <v>13340</v>
      </c>
      <c r="E32" s="51"/>
      <c r="F32" s="51"/>
    </row>
    <row r="33" customFormat="false" ht="13.8" hidden="false" customHeight="false" outlineLevel="0" collapsed="false">
      <c r="A33" s="50" t="s">
        <v>27</v>
      </c>
      <c r="B33" s="50"/>
      <c r="C33" s="50"/>
      <c r="D33" s="50"/>
      <c r="E33" s="50"/>
      <c r="F33" s="51"/>
    </row>
    <row r="34" customFormat="false" ht="13.8" hidden="false" customHeight="false" outlineLevel="0" collapsed="false">
      <c r="A34" s="51" t="s">
        <v>33</v>
      </c>
      <c r="B34" s="51" t="s">
        <v>45</v>
      </c>
      <c r="C34" s="51" t="s">
        <v>36</v>
      </c>
      <c r="D34" s="56" t="s">
        <v>37</v>
      </c>
      <c r="E34" s="51"/>
      <c r="F34" s="51"/>
    </row>
    <row r="35" customFormat="false" ht="13.8" hidden="false" customHeight="false" outlineLevel="0" collapsed="false">
      <c r="A35" s="51" t="s">
        <v>25</v>
      </c>
      <c r="B35" s="51" t="n">
        <v>1</v>
      </c>
      <c r="C35" s="51" t="n">
        <v>420</v>
      </c>
      <c r="D35" s="53" t="n">
        <f aca="false">VLOOKUP(A35,$K$3:$R$14,3,FALSE())</f>
        <v>420</v>
      </c>
      <c r="E35" s="54" t="str">
        <f aca="false">IF(D35-C35&gt;0,"Revisar","Bien")</f>
        <v>Bien</v>
      </c>
      <c r="F35" s="51"/>
    </row>
    <row r="36" customFormat="false" ht="13.8" hidden="false" customHeight="false" outlineLevel="0" collapsed="false">
      <c r="A36" s="51" t="s">
        <v>10</v>
      </c>
      <c r="B36" s="51" t="n">
        <v>3</v>
      </c>
      <c r="C36" s="51" t="n">
        <v>240</v>
      </c>
      <c r="D36" s="53" t="n">
        <f aca="false">VLOOKUP(A36,$K$3:$R$14,3,FALSE())</f>
        <v>240</v>
      </c>
      <c r="E36" s="54" t="str">
        <f aca="false">IF(D36-C36&gt;0,"Revisar","Bien")</f>
        <v>Bien</v>
      </c>
      <c r="F36" s="51"/>
    </row>
    <row r="37" customFormat="false" ht="13.8" hidden="false" customHeight="false" outlineLevel="0" collapsed="false">
      <c r="A37" s="51"/>
      <c r="B37" s="51"/>
      <c r="C37" s="51"/>
      <c r="D37" s="57" t="n">
        <f aca="false">SUM(D35:D36)</f>
        <v>660</v>
      </c>
      <c r="E37" s="51"/>
      <c r="F37" s="51"/>
    </row>
    <row r="38" customFormat="false" ht="13.8" hidden="false" customHeight="false" outlineLevel="0" collapsed="false">
      <c r="A38" s="50" t="s">
        <v>48</v>
      </c>
      <c r="B38" s="50"/>
      <c r="C38" s="50"/>
      <c r="D38" s="50"/>
      <c r="E38" s="50"/>
      <c r="F38" s="51"/>
    </row>
    <row r="39" customFormat="false" ht="13.8" hidden="false" customHeight="false" outlineLevel="0" collapsed="false">
      <c r="A39" s="51" t="s">
        <v>33</v>
      </c>
      <c r="B39" s="51" t="s">
        <v>45</v>
      </c>
      <c r="C39" s="51" t="s">
        <v>36</v>
      </c>
      <c r="D39" s="56" t="s">
        <v>37</v>
      </c>
      <c r="E39" s="51"/>
      <c r="F39" s="51"/>
    </row>
    <row r="40" customFormat="false" ht="13.8" hidden="false" customHeight="false" outlineLevel="0" collapsed="false">
      <c r="A40" s="51" t="s">
        <v>20</v>
      </c>
      <c r="B40" s="51" t="n">
        <v>3</v>
      </c>
      <c r="C40" s="56" t="n">
        <v>21880</v>
      </c>
      <c r="D40" s="53" t="n">
        <f aca="false">VLOOKUP(A40,$K$3:$R$14,2,FALSE())</f>
        <v>21880</v>
      </c>
      <c r="E40" s="54" t="str">
        <f aca="false">IF(D40-C40&gt;0,"Revisar","Bien")</f>
        <v>Bien</v>
      </c>
      <c r="F40" s="51"/>
    </row>
    <row r="41" customFormat="false" ht="13.8" hidden="false" customHeight="false" outlineLevel="0" collapsed="false">
      <c r="A41" s="51" t="s">
        <v>10</v>
      </c>
      <c r="B41" s="51" t="n">
        <v>2</v>
      </c>
      <c r="C41" s="56" t="n">
        <v>3800</v>
      </c>
      <c r="D41" s="53" t="n">
        <f aca="false">VLOOKUP(A41,$K$3:$R$14,2,FALSE())</f>
        <v>3800</v>
      </c>
      <c r="E41" s="54" t="str">
        <f aca="false">IF(D41-C41&gt;0,"Revisar","Bien")</f>
        <v>Bien</v>
      </c>
      <c r="F41" s="51"/>
    </row>
    <row r="42" customFormat="false" ht="13.8" hidden="false" customHeight="false" outlineLevel="0" collapsed="false">
      <c r="A42" s="51" t="s">
        <v>26</v>
      </c>
      <c r="B42" s="51" t="n">
        <v>4</v>
      </c>
      <c r="C42" s="56" t="n">
        <v>16640</v>
      </c>
      <c r="D42" s="53" t="n">
        <f aca="false">VLOOKUP(A42,$K$3:$R$14,2,FALSE())</f>
        <v>16640</v>
      </c>
      <c r="E42" s="54" t="str">
        <f aca="false">IF(D42-C42&gt;0,"Revisar","Bien")</f>
        <v>Bien</v>
      </c>
      <c r="F42" s="51"/>
    </row>
    <row r="43" customFormat="false" ht="13.8" hidden="false" customHeight="false" outlineLevel="0" collapsed="false">
      <c r="A43" s="51"/>
      <c r="B43" s="51"/>
      <c r="C43" s="51"/>
      <c r="D43" s="57" t="n">
        <f aca="false">SUM(D40:D40)</f>
        <v>21880</v>
      </c>
      <c r="E43" s="51"/>
      <c r="F43" s="51"/>
    </row>
  </sheetData>
  <mergeCells count="6">
    <mergeCell ref="A1:F1"/>
    <mergeCell ref="A12:F12"/>
    <mergeCell ref="A21:F21"/>
    <mergeCell ref="A28:E28"/>
    <mergeCell ref="A33:E33"/>
    <mergeCell ref="A38:E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2019-10-03T07:54:19Z</dcterms:created>
  <dc:creator>usuario</dc:creator>
  <dc:description/>
  <dc:language>es-ES</dc:language>
  <cp:lastModifiedBy>JORGE AZUARA ROCA</cp:lastModifiedBy>
  <dcterms:modified xsi:type="dcterms:W3CDTF">2019-10-04T14:18:12Z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