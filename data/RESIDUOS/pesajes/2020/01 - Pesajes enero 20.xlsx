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2"/>
    <sheet name="certificacio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<sst xmlns="http://schemas.openxmlformats.org/spreadsheetml/2006/main" count="685" uniqueCount="59">
  <si>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</si>
  <si>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</si>
  <si>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</si>
  <si>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</si>
  <si>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</si>
  <si>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</si>
  <si>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</si>
  <si>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</si>
  <si>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</si>
  <si>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6120JZX</t>
  </si>
  <si>
    <t xml:space="preserve">Peñiscola</t>
  </si>
  <si>
    <t xml:space="preserve">VOL</t>
  </si>
  <si>
    <t xml:space="preserve">7542KBV</t>
  </si>
  <si>
    <t xml:space="preserve">RSU</t>
  </si>
  <si>
    <t xml:space="preserve">3686KBG</t>
  </si>
  <si>
    <t xml:space="preserve">1076KSZ</t>
  </si>
  <si>
    <t xml:space="preserve">PODA</t>
  </si>
  <si>
    <t xml:space="preserve">7809JZX</t>
  </si>
  <si>
    <t xml:space="preserve">1730KBZ</t>
  </si>
  <si>
    <t xml:space="preserve">SEL.PAP</t>
  </si>
  <si>
    <t xml:space="preserve">TETMA</t>
  </si>
  <si>
    <t xml:space="preserve">SEL.ENV</t>
  </si>
  <si>
    <t xml:space="preserve">7957JZS</t>
  </si>
  <si>
    <t xml:space="preserve">5313GBZ</t>
  </si>
  <si>
    <t xml:space="preserve">SEL. ENV</t>
  </si>
  <si>
    <t xml:space="preserve">0315BGK</t>
  </si>
  <si>
    <t xml:space="preserve">LIMP.PLAYA</t>
  </si>
  <si>
    <t xml:space="preserve">Total Resultado</t>
  </si>
  <si>
    <t xml:space="preserve">1821KBZ</t>
  </si>
  <si>
    <t xml:space="preserve">5936GJY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</si>
  <si>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</si>
  <si>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</si>
  <si>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</si>
  <si>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</si>
  <si>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</si>
  <si>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</si>
  <si>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REVISADO</t>
  </si>
  <si>
    <t xml:space="preserve">Recolector 5</t>
  </si>
  <si>
    <t xml:space="preserve">Noche</t>
  </si>
  <si>
    <t xml:space="preserve">volquete doble LV</t>
  </si>
  <si>
    <t xml:space="preserve">Dia/Noche</t>
  </si>
  <si>
    <t xml:space="preserve">Recolector 17</t>
  </si>
  <si>
    <t xml:space="preserve">2-3-4-5</t>
  </si>
  <si>
    <t xml:space="preserve">Recolector 22 _ 1</t>
  </si>
  <si>
    <t xml:space="preserve">Recolector 22 _ 2</t>
  </si>
  <si>
    <t xml:space="preserve">volquete 4x4 LV</t>
  </si>
  <si>
    <t xml:space="preserve">Dia</t>
  </si>
  <si>
    <t xml:space="preserve">MULTILIFT GRUA</t>
  </si>
  <si>
    <t xml:space="preserve">Volquete Jardineria</t>
  </si>
  <si>
    <t xml:space="preserve">VOLUMINOSOS</t>
  </si>
  <si>
    <t xml:space="preserve">N.º OPERARIOS</t>
  </si>
  <si>
    <t xml:space="preserve">FRECUENCIA</t>
  </si>
  <si>
    <t xml:space="preserve">En ticket se cambia Poda</t>
  </si>
  <si>
    <t xml:space="preserve">volquete</t>
  </si>
  <si>
    <t xml:space="preserve">PAPEL</t>
  </si>
  <si>
    <t xml:space="preserve">TOTAL</t>
  </si>
  <si>
    <t xml:space="preserve">CERTIFICADO</t>
  </si>
  <si>
    <t xml:space="preserve">ENVASES</t>
  </si>
  <si>
    <t xml:space="preserve">PLAYAS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</si>
</sst>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#,##0;[RED]\-#,##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CE181E"/>
      <name val="Calibri"/>
      <family val="2"/>
      <charset val="1"/>
    </font>
    <font>
      <sz val="11"/>
      <name val="Frutiger 45 Light"/>
      <family val="2"/>
      <charset val="1"/>
    </font>
    <font>
      <b val="true"/>
      <sz val="11"/>
      <color rgb="FFCE181E"/>
      <name val="Calibri"/>
      <family val="2"/>
      <charset val="1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FE5CA"/>
      </patternFill>
    </fill>
    <fill>
      <patternFill patternType="solid">
        <fgColor rgb="FFFFE5CA"/>
        <bgColor rgb="FFFFF9AE"/>
      </patternFill>
    </fill>
    <fill>
      <patternFill patternType="solid">
        <fgColor rgb="FFFFF9AE"/>
        <bgColor rgb="FFFFE5CA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thin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7" fontId="10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5C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5" hidden="false" customHeight="false" outlineLevel="0" collapsed="false">
      <c r="A2" s="5" t="n">
        <v>43834</v>
      </c>
      <c r="B2" s="6" t="n">
        <v>0.513194444444444</v>
      </c>
      <c r="C2" s="7" t="n">
        <v>118885</v>
      </c>
      <c r="D2" s="7" t="s">
        <v>9</v>
      </c>
      <c r="E2" s="7" t="n">
        <v>3260</v>
      </c>
      <c r="F2" s="7" t="n">
        <v>2780</v>
      </c>
      <c r="G2" s="8" t="n">
        <v>480</v>
      </c>
      <c r="H2" s="7" t="s">
        <v>10</v>
      </c>
      <c r="I2" s="7" t="s">
        <v>11</v>
      </c>
    </row>
    <row r="3" customFormat="false" ht="15" hidden="false" customHeight="false" outlineLevel="0" collapsed="false">
      <c r="A3" s="5" t="n">
        <v>43841</v>
      </c>
      <c r="B3" s="6" t="n">
        <v>0.0951388888888889</v>
      </c>
      <c r="C3" s="7" t="n">
        <v>119120</v>
      </c>
      <c r="D3" s="7" t="s">
        <v>12</v>
      </c>
      <c r="E3" s="7" t="n">
        <v>15900</v>
      </c>
      <c r="F3" s="7" t="n">
        <v>13020</v>
      </c>
      <c r="G3" s="8" t="n">
        <v>2880</v>
      </c>
      <c r="H3" s="7" t="s">
        <v>10</v>
      </c>
      <c r="I3" s="7" t="s">
        <v>13</v>
      </c>
    </row>
    <row r="4" customFormat="false" ht="15" hidden="false" customHeight="false" outlineLevel="0" collapsed="false">
      <c r="A4" s="5" t="n">
        <v>43831</v>
      </c>
      <c r="B4" s="6" t="n">
        <v>0.4125</v>
      </c>
      <c r="C4" s="7" t="n">
        <v>118757</v>
      </c>
      <c r="D4" s="7" t="s">
        <v>14</v>
      </c>
      <c r="E4" s="7" t="n">
        <v>2680</v>
      </c>
      <c r="F4" s="7" t="n">
        <v>2440</v>
      </c>
      <c r="G4" s="8" t="n">
        <v>240</v>
      </c>
      <c r="H4" s="7" t="s">
        <v>10</v>
      </c>
      <c r="I4" s="7" t="s">
        <v>13</v>
      </c>
    </row>
    <row r="5" customFormat="false" ht="15" hidden="false" customHeight="false" outlineLevel="0" collapsed="false">
      <c r="A5" s="5" t="n">
        <v>43832</v>
      </c>
      <c r="B5" s="6" t="n">
        <v>0.561111111111111</v>
      </c>
      <c r="C5" s="7" t="n">
        <v>118808</v>
      </c>
      <c r="D5" s="7" t="s">
        <v>15</v>
      </c>
      <c r="E5" s="7" t="n">
        <v>3320</v>
      </c>
      <c r="F5" s="7" t="n">
        <v>2680</v>
      </c>
      <c r="G5" s="8" t="n">
        <v>640</v>
      </c>
      <c r="H5" s="7" t="s">
        <v>10</v>
      </c>
      <c r="I5" s="7" t="s">
        <v>16</v>
      </c>
    </row>
    <row r="6" customFormat="false" ht="15" hidden="false" customHeight="false" outlineLevel="0" collapsed="false">
      <c r="A6" s="5" t="n">
        <v>43832</v>
      </c>
      <c r="B6" s="6" t="n">
        <v>0.557638888888889</v>
      </c>
      <c r="C6" s="7" t="n">
        <v>118806</v>
      </c>
      <c r="D6" s="7" t="s">
        <v>9</v>
      </c>
      <c r="E6" s="7" t="n">
        <v>3400</v>
      </c>
      <c r="F6" s="7" t="n">
        <v>2820</v>
      </c>
      <c r="G6" s="8" t="n">
        <v>580</v>
      </c>
      <c r="H6" s="7" t="s">
        <v>10</v>
      </c>
      <c r="I6" s="7" t="s">
        <v>16</v>
      </c>
    </row>
    <row r="7" customFormat="false" ht="15" hidden="false" customHeight="false" outlineLevel="0" collapsed="false">
      <c r="A7" s="5" t="n">
        <v>43832</v>
      </c>
      <c r="B7" s="6" t="n">
        <v>0.254861111111111</v>
      </c>
      <c r="C7" s="7" t="n">
        <v>118772</v>
      </c>
      <c r="D7" s="7" t="s">
        <v>17</v>
      </c>
      <c r="E7" s="7" t="n">
        <v>4460</v>
      </c>
      <c r="F7" s="7" t="n">
        <v>3560</v>
      </c>
      <c r="G7" s="8" t="n">
        <v>900</v>
      </c>
      <c r="H7" s="7" t="s">
        <v>10</v>
      </c>
      <c r="I7" s="7" t="s">
        <v>13</v>
      </c>
    </row>
    <row r="8" customFormat="false" ht="15" hidden="false" customHeight="false" outlineLevel="0" collapsed="false">
      <c r="A8" s="5" t="n">
        <v>43832</v>
      </c>
      <c r="B8" s="6" t="n">
        <v>0.188888888888889</v>
      </c>
      <c r="C8" s="7" t="n">
        <v>118766</v>
      </c>
      <c r="D8" s="7" t="s">
        <v>12</v>
      </c>
      <c r="E8" s="7" t="n">
        <v>15880</v>
      </c>
      <c r="F8" s="7" t="n">
        <v>12740</v>
      </c>
      <c r="G8" s="8" t="n">
        <v>3140</v>
      </c>
      <c r="H8" s="7" t="s">
        <v>10</v>
      </c>
      <c r="I8" s="7" t="s">
        <v>13</v>
      </c>
    </row>
    <row r="9" customFormat="false" ht="15" hidden="false" customHeight="false" outlineLevel="0" collapsed="false">
      <c r="A9" s="5" t="n">
        <v>43832</v>
      </c>
      <c r="B9" s="6" t="n">
        <v>0.0368055555555556</v>
      </c>
      <c r="C9" s="7" t="n">
        <v>118758</v>
      </c>
      <c r="D9" s="7" t="s">
        <v>12</v>
      </c>
      <c r="E9" s="7" t="n">
        <v>23680</v>
      </c>
      <c r="F9" s="7" t="n">
        <v>13040</v>
      </c>
      <c r="G9" s="8" t="n">
        <v>10640</v>
      </c>
      <c r="H9" s="7" t="s">
        <v>10</v>
      </c>
      <c r="I9" s="7" t="s">
        <v>13</v>
      </c>
    </row>
    <row r="10" customFormat="false" ht="15" hidden="false" customHeight="false" outlineLevel="0" collapsed="false">
      <c r="A10" s="5" t="n">
        <v>43832</v>
      </c>
      <c r="B10" s="6" t="n">
        <v>0.165972222222222</v>
      </c>
      <c r="C10" s="7" t="n">
        <v>118765</v>
      </c>
      <c r="D10" s="7" t="s">
        <v>18</v>
      </c>
      <c r="E10" s="7" t="n">
        <v>26760</v>
      </c>
      <c r="F10" s="7" t="n">
        <v>15900</v>
      </c>
      <c r="G10" s="8" t="n">
        <v>10860</v>
      </c>
      <c r="H10" s="7" t="s">
        <v>10</v>
      </c>
      <c r="I10" s="7" t="s">
        <v>13</v>
      </c>
    </row>
    <row r="11" customFormat="false" ht="15" hidden="false" customHeight="false" outlineLevel="0" collapsed="false">
      <c r="A11" s="5" t="n">
        <v>43832</v>
      </c>
      <c r="B11" s="6" t="n">
        <v>0.269444444444444</v>
      </c>
      <c r="C11" s="7" t="n">
        <v>118773</v>
      </c>
      <c r="D11" s="7" t="s">
        <v>18</v>
      </c>
      <c r="E11" s="7" t="n">
        <v>19440</v>
      </c>
      <c r="F11" s="7" t="n">
        <v>15860</v>
      </c>
      <c r="G11" s="8" t="n">
        <v>3580</v>
      </c>
      <c r="H11" s="7" t="s">
        <v>10</v>
      </c>
      <c r="I11" s="7" t="s">
        <v>13</v>
      </c>
    </row>
    <row r="12" customFormat="false" ht="15" hidden="false" customHeight="false" outlineLevel="0" collapsed="false">
      <c r="A12" s="5" t="n">
        <v>43832</v>
      </c>
      <c r="B12" s="6" t="n">
        <v>0.514583333333333</v>
      </c>
      <c r="C12" s="7" t="n">
        <v>96693</v>
      </c>
      <c r="D12" s="7" t="s">
        <v>18</v>
      </c>
      <c r="E12" s="7" t="n">
        <v>16920</v>
      </c>
      <c r="F12" s="7" t="n">
        <v>15800</v>
      </c>
      <c r="G12" s="8" t="n">
        <v>1120</v>
      </c>
      <c r="H12" s="7" t="s">
        <v>10</v>
      </c>
      <c r="I12" s="7" t="s">
        <v>19</v>
      </c>
    </row>
    <row r="13" customFormat="false" ht="15" hidden="false" customHeight="false" outlineLevel="0" collapsed="false">
      <c r="A13" s="5" t="n">
        <v>43833</v>
      </c>
      <c r="B13" s="6" t="n">
        <v>0.51875</v>
      </c>
      <c r="C13" s="9" t="s">
        <v>20</v>
      </c>
      <c r="D13" s="7" t="s">
        <v>18</v>
      </c>
      <c r="E13" s="7" t="n">
        <v>18040</v>
      </c>
      <c r="F13" s="7" t="n">
        <v>15760</v>
      </c>
      <c r="G13" s="8" t="n">
        <v>2280</v>
      </c>
      <c r="H13" s="7" t="s">
        <v>10</v>
      </c>
      <c r="I13" s="7" t="s">
        <v>21</v>
      </c>
    </row>
    <row r="14" customFormat="false" ht="15" hidden="false" customHeight="false" outlineLevel="0" collapsed="false">
      <c r="A14" s="5" t="n">
        <v>43833</v>
      </c>
      <c r="B14" s="6" t="n">
        <v>0.557638888888889</v>
      </c>
      <c r="C14" s="7" t="n">
        <v>118857</v>
      </c>
      <c r="D14" s="7" t="s">
        <v>15</v>
      </c>
      <c r="E14" s="7" t="n">
        <v>3380</v>
      </c>
      <c r="F14" s="7" t="n">
        <v>2680</v>
      </c>
      <c r="G14" s="8" t="n">
        <v>700</v>
      </c>
      <c r="H14" s="7" t="s">
        <v>10</v>
      </c>
      <c r="I14" s="7" t="s">
        <v>16</v>
      </c>
    </row>
    <row r="15" customFormat="false" ht="15" hidden="false" customHeight="false" outlineLevel="0" collapsed="false">
      <c r="A15" s="5" t="n">
        <v>43833</v>
      </c>
      <c r="B15" s="6" t="n">
        <v>0.552083333333333</v>
      </c>
      <c r="C15" s="7" t="n">
        <v>118856</v>
      </c>
      <c r="D15" s="7" t="s">
        <v>9</v>
      </c>
      <c r="E15" s="7" t="n">
        <v>3360</v>
      </c>
      <c r="F15" s="7" t="n">
        <v>2800</v>
      </c>
      <c r="G15" s="8" t="n">
        <v>560</v>
      </c>
      <c r="H15" s="7" t="s">
        <v>10</v>
      </c>
      <c r="I15" s="7" t="s">
        <v>16</v>
      </c>
    </row>
    <row r="16" customFormat="false" ht="15" hidden="false" customHeight="false" outlineLevel="0" collapsed="false">
      <c r="A16" s="5" t="n">
        <v>43833</v>
      </c>
      <c r="B16" s="6" t="n">
        <v>0.371527777777778</v>
      </c>
      <c r="C16" s="7" t="n">
        <v>118838</v>
      </c>
      <c r="D16" s="7" t="s">
        <v>9</v>
      </c>
      <c r="E16" s="7" t="n">
        <v>3540</v>
      </c>
      <c r="F16" s="7" t="n">
        <v>2800</v>
      </c>
      <c r="G16" s="8" t="n">
        <v>740</v>
      </c>
      <c r="H16" s="7" t="s">
        <v>10</v>
      </c>
      <c r="I16" s="7" t="s">
        <v>16</v>
      </c>
    </row>
    <row r="17" customFormat="false" ht="15" hidden="false" customHeight="false" outlineLevel="0" collapsed="false">
      <c r="A17" s="5" t="n">
        <v>43833</v>
      </c>
      <c r="B17" s="6" t="n">
        <v>0.476388888888889</v>
      </c>
      <c r="C17" s="7" t="n">
        <v>118850</v>
      </c>
      <c r="D17" s="7" t="s">
        <v>14</v>
      </c>
      <c r="E17" s="7" t="n">
        <v>2640</v>
      </c>
      <c r="F17" s="7" t="n">
        <v>2380</v>
      </c>
      <c r="G17" s="8" t="n">
        <v>260</v>
      </c>
      <c r="H17" s="7" t="s">
        <v>10</v>
      </c>
      <c r="I17" s="7" t="s">
        <v>13</v>
      </c>
    </row>
    <row r="18" customFormat="false" ht="15" hidden="false" customHeight="false" outlineLevel="0" collapsed="false">
      <c r="A18" s="5" t="n">
        <v>43833</v>
      </c>
      <c r="B18" s="6" t="n">
        <v>0.232638888888889</v>
      </c>
      <c r="C18" s="7" t="n">
        <v>118823</v>
      </c>
      <c r="D18" s="7" t="s">
        <v>18</v>
      </c>
      <c r="E18" s="7" t="n">
        <v>27220</v>
      </c>
      <c r="F18" s="7" t="n">
        <v>15820</v>
      </c>
      <c r="G18" s="8" t="n">
        <v>11400</v>
      </c>
      <c r="H18" s="7" t="s">
        <v>10</v>
      </c>
      <c r="I18" s="7" t="s">
        <v>13</v>
      </c>
    </row>
    <row r="19" customFormat="false" ht="15" hidden="false" customHeight="false" outlineLevel="0" collapsed="false">
      <c r="A19" s="5" t="n">
        <v>43833</v>
      </c>
      <c r="B19" s="6" t="n">
        <v>0.195138888888889</v>
      </c>
      <c r="C19" s="7" t="n">
        <v>118821</v>
      </c>
      <c r="D19" s="7" t="s">
        <v>12</v>
      </c>
      <c r="E19" s="7" t="n">
        <v>18240</v>
      </c>
      <c r="F19" s="7" t="n">
        <v>12880</v>
      </c>
      <c r="G19" s="8" t="n">
        <v>5360</v>
      </c>
      <c r="H19" s="7" t="s">
        <v>10</v>
      </c>
      <c r="I19" s="7" t="s">
        <v>13</v>
      </c>
    </row>
    <row r="20" customFormat="false" ht="15" hidden="false" customHeight="false" outlineLevel="0" collapsed="false">
      <c r="A20" s="5" t="n">
        <v>43833</v>
      </c>
      <c r="B20" s="6" t="n">
        <v>0.254861111111111</v>
      </c>
      <c r="C20" s="7" t="n">
        <v>118825</v>
      </c>
      <c r="D20" s="7" t="s">
        <v>17</v>
      </c>
      <c r="E20" s="7" t="n">
        <v>4180</v>
      </c>
      <c r="F20" s="7" t="n">
        <v>3740</v>
      </c>
      <c r="G20" s="8" t="n">
        <v>440</v>
      </c>
      <c r="H20" s="7" t="s">
        <v>10</v>
      </c>
      <c r="I20" s="7" t="s">
        <v>13</v>
      </c>
    </row>
    <row r="21" customFormat="false" ht="15" hidden="false" customHeight="false" outlineLevel="0" collapsed="false">
      <c r="A21" s="5" t="n">
        <v>43834</v>
      </c>
      <c r="B21" s="6" t="n">
        <v>0.328472222222222</v>
      </c>
      <c r="C21" s="7" t="n">
        <v>118880</v>
      </c>
      <c r="D21" s="7" t="s">
        <v>9</v>
      </c>
      <c r="E21" s="7" t="n">
        <v>3200</v>
      </c>
      <c r="F21" s="7" t="n">
        <v>2780</v>
      </c>
      <c r="G21" s="8" t="n">
        <v>420</v>
      </c>
      <c r="H21" s="7" t="s">
        <v>10</v>
      </c>
      <c r="I21" s="7" t="s">
        <v>11</v>
      </c>
    </row>
    <row r="22" customFormat="false" ht="15" hidden="false" customHeight="false" outlineLevel="0" collapsed="false">
      <c r="A22" s="5" t="n">
        <v>43834</v>
      </c>
      <c r="B22" s="6" t="n">
        <v>0.249305555555556</v>
      </c>
      <c r="C22" s="7" t="n">
        <v>118873</v>
      </c>
      <c r="D22" s="7" t="s">
        <v>18</v>
      </c>
      <c r="E22" s="7" t="n">
        <v>25400</v>
      </c>
      <c r="F22" s="7" t="n">
        <v>15860</v>
      </c>
      <c r="G22" s="8" t="n">
        <v>9540</v>
      </c>
      <c r="H22" s="7" t="s">
        <v>10</v>
      </c>
      <c r="I22" s="7" t="s">
        <v>13</v>
      </c>
    </row>
    <row r="23" customFormat="false" ht="15" hidden="false" customHeight="false" outlineLevel="0" collapsed="false">
      <c r="A23" s="5" t="n">
        <v>43834</v>
      </c>
      <c r="B23" s="6" t="n">
        <v>0.199305555555556</v>
      </c>
      <c r="C23" s="7" t="n">
        <v>118872</v>
      </c>
      <c r="D23" s="7" t="s">
        <v>12</v>
      </c>
      <c r="E23" s="7" t="n">
        <v>18640</v>
      </c>
      <c r="F23" s="7" t="n">
        <v>13000</v>
      </c>
      <c r="G23" s="8" t="n">
        <v>5640</v>
      </c>
      <c r="H23" s="7" t="s">
        <v>10</v>
      </c>
      <c r="I23" s="7" t="s">
        <v>13</v>
      </c>
    </row>
    <row r="24" customFormat="false" ht="15" hidden="false" customHeight="false" outlineLevel="0" collapsed="false">
      <c r="A24" s="5" t="n">
        <v>43834</v>
      </c>
      <c r="B24" s="6" t="n">
        <v>0.254861111111111</v>
      </c>
      <c r="C24" s="7" t="n">
        <v>118874</v>
      </c>
      <c r="D24" s="7" t="s">
        <v>17</v>
      </c>
      <c r="E24" s="7" t="n">
        <v>4240</v>
      </c>
      <c r="F24" s="7" t="n">
        <v>3800</v>
      </c>
      <c r="G24" s="8" t="n">
        <v>440</v>
      </c>
      <c r="H24" s="7" t="s">
        <v>10</v>
      </c>
      <c r="I24" s="7" t="s">
        <v>13</v>
      </c>
    </row>
    <row r="25" customFormat="false" ht="15" hidden="false" customHeight="false" outlineLevel="0" collapsed="false">
      <c r="A25" s="5" t="n">
        <v>43834</v>
      </c>
      <c r="B25" s="6" t="n">
        <v>0.469444444444444</v>
      </c>
      <c r="C25" s="7" t="n">
        <v>118884</v>
      </c>
      <c r="D25" s="7" t="s">
        <v>14</v>
      </c>
      <c r="E25" s="7" t="n">
        <v>2560</v>
      </c>
      <c r="F25" s="7" t="n">
        <v>2360</v>
      </c>
      <c r="G25" s="8" t="n">
        <v>200</v>
      </c>
      <c r="H25" s="7" t="s">
        <v>10</v>
      </c>
      <c r="I25" s="7" t="s">
        <v>13</v>
      </c>
    </row>
    <row r="26" customFormat="false" ht="15" hidden="false" customHeight="false" outlineLevel="0" collapsed="false">
      <c r="A26" s="5" t="n">
        <v>43835</v>
      </c>
      <c r="B26" s="6" t="n">
        <v>0.466666666666667</v>
      </c>
      <c r="C26" s="7" t="n">
        <v>118901</v>
      </c>
      <c r="D26" s="7" t="s">
        <v>14</v>
      </c>
      <c r="E26" s="7" t="n">
        <v>2580</v>
      </c>
      <c r="F26" s="7" t="n">
        <v>2400</v>
      </c>
      <c r="G26" s="8" t="n">
        <v>180</v>
      </c>
      <c r="H26" s="7" t="s">
        <v>10</v>
      </c>
      <c r="I26" s="7" t="s">
        <v>13</v>
      </c>
    </row>
    <row r="27" customFormat="false" ht="15" hidden="false" customHeight="false" outlineLevel="0" collapsed="false">
      <c r="A27" s="5" t="n">
        <v>43835</v>
      </c>
      <c r="B27" s="6" t="n">
        <v>0.201388888888889</v>
      </c>
      <c r="C27" s="7" t="n">
        <v>118895</v>
      </c>
      <c r="D27" s="7" t="s">
        <v>18</v>
      </c>
      <c r="E27" s="7" t="n">
        <v>23500</v>
      </c>
      <c r="F27" s="7" t="n">
        <v>15800</v>
      </c>
      <c r="G27" s="8" t="n">
        <v>7700</v>
      </c>
      <c r="H27" s="7" t="s">
        <v>10</v>
      </c>
      <c r="I27" s="7" t="s">
        <v>13</v>
      </c>
    </row>
    <row r="28" customFormat="false" ht="15" hidden="false" customHeight="false" outlineLevel="0" collapsed="false">
      <c r="A28" s="5" t="n">
        <v>43835</v>
      </c>
      <c r="B28" s="6" t="n">
        <v>0.208333333333333</v>
      </c>
      <c r="C28" s="7" t="n">
        <v>118896</v>
      </c>
      <c r="D28" s="7" t="s">
        <v>17</v>
      </c>
      <c r="E28" s="7" t="n">
        <v>4240</v>
      </c>
      <c r="F28" s="7" t="n">
        <v>3800</v>
      </c>
      <c r="G28" s="8" t="n">
        <v>440</v>
      </c>
      <c r="H28" s="7" t="s">
        <v>10</v>
      </c>
      <c r="I28" s="7" t="s">
        <v>13</v>
      </c>
    </row>
    <row r="29" customFormat="false" ht="15" hidden="false" customHeight="false" outlineLevel="0" collapsed="false">
      <c r="A29" s="5" t="n">
        <v>43835</v>
      </c>
      <c r="B29" s="6" t="n">
        <v>0.134027777777778</v>
      </c>
      <c r="C29" s="7" t="n">
        <v>118893</v>
      </c>
      <c r="D29" s="7" t="s">
        <v>12</v>
      </c>
      <c r="E29" s="7" t="n">
        <v>16980</v>
      </c>
      <c r="F29" s="7" t="n">
        <v>13040</v>
      </c>
      <c r="G29" s="8" t="n">
        <v>3940</v>
      </c>
      <c r="H29" s="7" t="s">
        <v>10</v>
      </c>
      <c r="I29" s="7" t="s">
        <v>13</v>
      </c>
    </row>
    <row r="30" customFormat="false" ht="15" hidden="false" customHeight="false" outlineLevel="0" collapsed="false">
      <c r="A30" s="5" t="n">
        <v>43836</v>
      </c>
      <c r="B30" s="6" t="n">
        <v>0.453472222222222</v>
      </c>
      <c r="C30" s="7" t="n">
        <v>118921</v>
      </c>
      <c r="D30" s="7" t="s">
        <v>14</v>
      </c>
      <c r="E30" s="7" t="n">
        <v>2560</v>
      </c>
      <c r="F30" s="7" t="n">
        <v>2380</v>
      </c>
      <c r="G30" s="8" t="n">
        <v>180</v>
      </c>
      <c r="H30" s="7" t="s">
        <v>10</v>
      </c>
      <c r="I30" s="7" t="s">
        <v>13</v>
      </c>
    </row>
    <row r="31" customFormat="false" ht="15" hidden="false" customHeight="false" outlineLevel="0" collapsed="false">
      <c r="A31" s="5" t="n">
        <v>43836</v>
      </c>
      <c r="B31" s="6" t="n">
        <v>0.2</v>
      </c>
      <c r="C31" s="7" t="n">
        <v>118913</v>
      </c>
      <c r="D31" s="7" t="s">
        <v>17</v>
      </c>
      <c r="E31" s="7" t="n">
        <v>4160</v>
      </c>
      <c r="F31" s="7" t="n">
        <v>3760</v>
      </c>
      <c r="G31" s="8" t="n">
        <v>400</v>
      </c>
      <c r="H31" s="7" t="s">
        <v>10</v>
      </c>
      <c r="I31" s="7" t="s">
        <v>13</v>
      </c>
    </row>
    <row r="32" customFormat="false" ht="15" hidden="false" customHeight="false" outlineLevel="0" collapsed="false">
      <c r="A32" s="5" t="n">
        <v>43836</v>
      </c>
      <c r="B32" s="6" t="n">
        <v>0.221527777777778</v>
      </c>
      <c r="C32" s="7" t="n">
        <v>118915</v>
      </c>
      <c r="D32" s="7" t="s">
        <v>18</v>
      </c>
      <c r="E32" s="7" t="n">
        <v>23940</v>
      </c>
      <c r="F32" s="7" t="n">
        <v>15860</v>
      </c>
      <c r="G32" s="8" t="n">
        <v>8080</v>
      </c>
      <c r="H32" s="7" t="s">
        <v>10</v>
      </c>
      <c r="I32" s="7" t="s">
        <v>13</v>
      </c>
    </row>
    <row r="33" customFormat="false" ht="15" hidden="false" customHeight="false" outlineLevel="0" collapsed="false">
      <c r="A33" s="5" t="n">
        <v>43836</v>
      </c>
      <c r="B33" s="6" t="n">
        <v>0.101388888888889</v>
      </c>
      <c r="C33" s="7" t="n">
        <v>118905</v>
      </c>
      <c r="D33" s="7" t="s">
        <v>12</v>
      </c>
      <c r="E33" s="7" t="n">
        <v>16600</v>
      </c>
      <c r="F33" s="7" t="n">
        <v>12980</v>
      </c>
      <c r="G33" s="8" t="n">
        <v>3620</v>
      </c>
      <c r="H33" s="7" t="s">
        <v>10</v>
      </c>
      <c r="I33" s="7" t="s">
        <v>13</v>
      </c>
    </row>
    <row r="34" customFormat="false" ht="15" hidden="false" customHeight="false" outlineLevel="0" collapsed="false">
      <c r="A34" s="5" t="n">
        <v>43837</v>
      </c>
      <c r="B34" s="6" t="n">
        <v>0.469444444444444</v>
      </c>
      <c r="C34" s="7" t="n">
        <v>118953</v>
      </c>
      <c r="D34" s="7" t="s">
        <v>14</v>
      </c>
      <c r="E34" s="7" t="n">
        <v>2640</v>
      </c>
      <c r="F34" s="7" t="n">
        <v>2380</v>
      </c>
      <c r="G34" s="8" t="n">
        <v>260</v>
      </c>
      <c r="H34" s="7" t="s">
        <v>10</v>
      </c>
      <c r="I34" s="7" t="s">
        <v>13</v>
      </c>
    </row>
    <row r="35" customFormat="false" ht="15" hidden="false" customHeight="false" outlineLevel="0" collapsed="false">
      <c r="A35" s="5" t="n">
        <v>43837</v>
      </c>
      <c r="B35" s="6" t="n">
        <v>0.554861111111111</v>
      </c>
      <c r="C35" s="7" t="n">
        <v>118962</v>
      </c>
      <c r="D35" s="7" t="s">
        <v>9</v>
      </c>
      <c r="E35" s="7" t="n">
        <v>3660</v>
      </c>
      <c r="F35" s="7" t="n">
        <v>2860</v>
      </c>
      <c r="G35" s="8" t="n">
        <v>800</v>
      </c>
      <c r="H35" s="7" t="s">
        <v>10</v>
      </c>
      <c r="I35" s="7" t="s">
        <v>16</v>
      </c>
    </row>
    <row r="36" customFormat="false" ht="15" hidden="false" customHeight="false" outlineLevel="0" collapsed="false">
      <c r="A36" s="5" t="n">
        <v>43837</v>
      </c>
      <c r="B36" s="6" t="n">
        <v>0.452777777777778</v>
      </c>
      <c r="C36" s="7" t="n">
        <v>118949</v>
      </c>
      <c r="D36" s="7" t="s">
        <v>15</v>
      </c>
      <c r="E36" s="7" t="n">
        <v>3300</v>
      </c>
      <c r="F36" s="7" t="n">
        <v>2660</v>
      </c>
      <c r="G36" s="8" t="n">
        <v>640</v>
      </c>
      <c r="H36" s="7" t="s">
        <v>10</v>
      </c>
      <c r="I36" s="7" t="s">
        <v>16</v>
      </c>
    </row>
    <row r="37" customFormat="false" ht="15" hidden="false" customHeight="false" outlineLevel="0" collapsed="false">
      <c r="A37" s="5" t="n">
        <v>43837</v>
      </c>
      <c r="B37" s="6" t="n">
        <v>0.553472222222222</v>
      </c>
      <c r="C37" s="7" t="n">
        <v>118961</v>
      </c>
      <c r="D37" s="7" t="s">
        <v>15</v>
      </c>
      <c r="E37" s="7" t="n">
        <v>3160</v>
      </c>
      <c r="F37" s="7" t="n">
        <v>2760</v>
      </c>
      <c r="G37" s="8" t="n">
        <v>400</v>
      </c>
      <c r="H37" s="7" t="s">
        <v>10</v>
      </c>
      <c r="I37" s="7" t="s">
        <v>16</v>
      </c>
    </row>
    <row r="38" customFormat="false" ht="15" hidden="false" customHeight="false" outlineLevel="0" collapsed="false">
      <c r="A38" s="5" t="n">
        <v>43837</v>
      </c>
      <c r="B38" s="6" t="n">
        <v>0.0930555555555556</v>
      </c>
      <c r="C38" s="7" t="n">
        <v>118924</v>
      </c>
      <c r="D38" s="7" t="s">
        <v>12</v>
      </c>
      <c r="E38" s="7" t="n">
        <v>17140</v>
      </c>
      <c r="F38" s="7" t="n">
        <v>12980</v>
      </c>
      <c r="G38" s="8" t="n">
        <v>4160</v>
      </c>
      <c r="H38" s="7" t="s">
        <v>10</v>
      </c>
      <c r="I38" s="7" t="s">
        <v>13</v>
      </c>
    </row>
    <row r="39" customFormat="false" ht="15" hidden="false" customHeight="false" outlineLevel="0" collapsed="false">
      <c r="A39" s="5" t="n">
        <v>43837</v>
      </c>
      <c r="B39" s="6" t="n">
        <v>0.236805555555556</v>
      </c>
      <c r="C39" s="7" t="n">
        <v>118935</v>
      </c>
      <c r="D39" s="7" t="s">
        <v>17</v>
      </c>
      <c r="E39" s="7" t="n">
        <v>4140</v>
      </c>
      <c r="F39" s="7" t="n">
        <v>3780</v>
      </c>
      <c r="G39" s="8" t="n">
        <v>360</v>
      </c>
      <c r="H39" s="7" t="s">
        <v>10</v>
      </c>
      <c r="I39" s="7" t="s">
        <v>13</v>
      </c>
    </row>
    <row r="40" customFormat="false" ht="15" hidden="false" customHeight="false" outlineLevel="0" collapsed="false">
      <c r="A40" s="5" t="n">
        <v>43837</v>
      </c>
      <c r="B40" s="6" t="n">
        <v>0.231944444444444</v>
      </c>
      <c r="C40" s="7" t="n">
        <v>118933</v>
      </c>
      <c r="D40" s="7" t="s">
        <v>18</v>
      </c>
      <c r="E40" s="7" t="n">
        <v>22480</v>
      </c>
      <c r="F40" s="7" t="n">
        <v>15800</v>
      </c>
      <c r="G40" s="8" t="n">
        <v>6680</v>
      </c>
      <c r="H40" s="7" t="s">
        <v>10</v>
      </c>
      <c r="I40" s="7" t="s">
        <v>13</v>
      </c>
    </row>
    <row r="41" customFormat="false" ht="15" hidden="false" customHeight="false" outlineLevel="0" collapsed="false">
      <c r="A41" s="5" t="n">
        <v>43838</v>
      </c>
      <c r="B41" s="6" t="n">
        <v>0.254166666666667</v>
      </c>
      <c r="C41" s="7" t="n">
        <v>118980</v>
      </c>
      <c r="D41" s="7" t="s">
        <v>17</v>
      </c>
      <c r="E41" s="7" t="n">
        <v>4040</v>
      </c>
      <c r="F41" s="7" t="n">
        <v>3780</v>
      </c>
      <c r="G41" s="8" t="n">
        <v>260</v>
      </c>
      <c r="H41" s="7" t="s">
        <v>10</v>
      </c>
      <c r="I41" s="7" t="s">
        <v>13</v>
      </c>
    </row>
    <row r="42" customFormat="false" ht="15" hidden="false" customHeight="false" outlineLevel="0" collapsed="false">
      <c r="A42" s="5" t="n">
        <v>43838</v>
      </c>
      <c r="B42" s="6" t="n">
        <v>0.150694444444444</v>
      </c>
      <c r="C42" s="7" t="n">
        <v>118974</v>
      </c>
      <c r="D42" s="7" t="s">
        <v>12</v>
      </c>
      <c r="E42" s="7" t="n">
        <v>17020</v>
      </c>
      <c r="F42" s="7" t="n">
        <v>13100</v>
      </c>
      <c r="G42" s="8" t="n">
        <v>3920</v>
      </c>
      <c r="H42" s="7" t="s">
        <v>10</v>
      </c>
      <c r="I42" s="7" t="s">
        <v>13</v>
      </c>
    </row>
    <row r="43" customFormat="false" ht="15" hidden="false" customHeight="false" outlineLevel="0" collapsed="false">
      <c r="A43" s="5" t="n">
        <v>43838</v>
      </c>
      <c r="B43" s="6" t="n">
        <v>0.263888888888889</v>
      </c>
      <c r="C43" s="7" t="n">
        <v>118982</v>
      </c>
      <c r="D43" s="7" t="s">
        <v>18</v>
      </c>
      <c r="E43" s="7" t="n">
        <v>24500</v>
      </c>
      <c r="F43" s="7" t="n">
        <v>15860</v>
      </c>
      <c r="G43" s="8" t="n">
        <v>8640</v>
      </c>
      <c r="H43" s="7" t="s">
        <v>10</v>
      </c>
      <c r="I43" s="7" t="s">
        <v>13</v>
      </c>
    </row>
    <row r="44" customFormat="false" ht="15" hidden="false" customHeight="false" outlineLevel="0" collapsed="false">
      <c r="A44" s="5" t="n">
        <v>43838</v>
      </c>
      <c r="B44" s="6" t="n">
        <v>0.554166666666667</v>
      </c>
      <c r="C44" s="7" t="n">
        <v>119016</v>
      </c>
      <c r="D44" s="7" t="s">
        <v>15</v>
      </c>
      <c r="E44" s="7" t="n">
        <v>3240</v>
      </c>
      <c r="F44" s="7" t="n">
        <v>2800</v>
      </c>
      <c r="G44" s="8" t="n">
        <v>440</v>
      </c>
      <c r="H44" s="7" t="s">
        <v>10</v>
      </c>
      <c r="I44" s="7" t="s">
        <v>16</v>
      </c>
    </row>
    <row r="45" customFormat="false" ht="15" hidden="false" customHeight="false" outlineLevel="0" collapsed="false">
      <c r="A45" s="5" t="n">
        <v>43838</v>
      </c>
      <c r="B45" s="6" t="n">
        <v>0.433333333333333</v>
      </c>
      <c r="C45" s="7" t="n">
        <v>118998</v>
      </c>
      <c r="D45" s="7" t="s">
        <v>22</v>
      </c>
      <c r="E45" s="7" t="n">
        <v>6400</v>
      </c>
      <c r="F45" s="7" t="n">
        <v>5560</v>
      </c>
      <c r="G45" s="8" t="n">
        <v>840</v>
      </c>
      <c r="H45" s="7" t="s">
        <v>10</v>
      </c>
      <c r="I45" s="7" t="s">
        <v>11</v>
      </c>
    </row>
    <row r="46" customFormat="false" ht="15" hidden="false" customHeight="false" outlineLevel="0" collapsed="false">
      <c r="A46" s="5" t="n">
        <v>43838</v>
      </c>
      <c r="B46" s="6" t="n">
        <v>0.556944444444445</v>
      </c>
      <c r="C46" s="7" t="n">
        <v>119018</v>
      </c>
      <c r="D46" s="7" t="s">
        <v>9</v>
      </c>
      <c r="E46" s="7" t="n">
        <v>2960</v>
      </c>
      <c r="F46" s="7" t="n">
        <v>2840</v>
      </c>
      <c r="G46" s="8" t="n">
        <v>120</v>
      </c>
      <c r="H46" s="7" t="s">
        <v>10</v>
      </c>
      <c r="I46" s="7" t="s">
        <v>16</v>
      </c>
    </row>
    <row r="47" customFormat="false" ht="15" hidden="false" customHeight="false" outlineLevel="0" collapsed="false">
      <c r="A47" s="5" t="n">
        <v>43838</v>
      </c>
      <c r="B47" s="6" t="n">
        <v>0.494444444444444</v>
      </c>
      <c r="C47" s="7" t="n">
        <v>119009</v>
      </c>
      <c r="D47" s="7" t="s">
        <v>9</v>
      </c>
      <c r="E47" s="7" t="n">
        <v>3540</v>
      </c>
      <c r="F47" s="7" t="n">
        <v>2840</v>
      </c>
      <c r="G47" s="8" t="n">
        <v>700</v>
      </c>
      <c r="H47" s="7" t="s">
        <v>10</v>
      </c>
      <c r="I47" s="7" t="s">
        <v>16</v>
      </c>
    </row>
    <row r="48" customFormat="false" ht="15" hidden="false" customHeight="false" outlineLevel="0" collapsed="false">
      <c r="A48" s="5" t="n">
        <v>43838</v>
      </c>
      <c r="B48" s="6" t="n">
        <v>0.441666666666667</v>
      </c>
      <c r="C48" s="7" t="n">
        <v>119000</v>
      </c>
      <c r="D48" s="7" t="s">
        <v>15</v>
      </c>
      <c r="E48" s="7" t="n">
        <v>3240</v>
      </c>
      <c r="F48" s="7" t="n">
        <v>2700</v>
      </c>
      <c r="G48" s="8" t="n">
        <v>540</v>
      </c>
      <c r="H48" s="7" t="s">
        <v>10</v>
      </c>
      <c r="I48" s="7" t="s">
        <v>16</v>
      </c>
    </row>
    <row r="49" customFormat="false" ht="15" hidden="false" customHeight="false" outlineLevel="0" collapsed="false">
      <c r="A49" s="5" t="n">
        <v>43838</v>
      </c>
      <c r="B49" s="6" t="n">
        <v>0.488888888888889</v>
      </c>
      <c r="C49" s="7" t="n">
        <v>119007</v>
      </c>
      <c r="D49" s="7" t="s">
        <v>14</v>
      </c>
      <c r="E49" s="7" t="n">
        <v>2580</v>
      </c>
      <c r="F49" s="7" t="n">
        <v>2360</v>
      </c>
      <c r="G49" s="8" t="n">
        <v>220</v>
      </c>
      <c r="H49" s="7" t="s">
        <v>10</v>
      </c>
      <c r="I49" s="7" t="s">
        <v>13</v>
      </c>
    </row>
    <row r="50" customFormat="false" ht="15" hidden="false" customHeight="false" outlineLevel="0" collapsed="false">
      <c r="A50" s="5" t="n">
        <v>43839</v>
      </c>
      <c r="B50" s="6" t="n">
        <v>0.251388888888889</v>
      </c>
      <c r="C50" s="7" t="n">
        <v>119040</v>
      </c>
      <c r="D50" s="7" t="s">
        <v>17</v>
      </c>
      <c r="E50" s="7" t="n">
        <v>4020</v>
      </c>
      <c r="F50" s="7" t="n">
        <v>3780</v>
      </c>
      <c r="G50" s="8" t="n">
        <v>240</v>
      </c>
      <c r="H50" s="7" t="s">
        <v>10</v>
      </c>
      <c r="I50" s="7" t="s">
        <v>13</v>
      </c>
    </row>
    <row r="51" customFormat="false" ht="15" hidden="false" customHeight="false" outlineLevel="0" collapsed="false">
      <c r="A51" s="5" t="n">
        <v>43839</v>
      </c>
      <c r="B51" s="6" t="n">
        <v>0.126388888888889</v>
      </c>
      <c r="C51" s="7" t="n">
        <v>119032</v>
      </c>
      <c r="D51" s="7" t="s">
        <v>12</v>
      </c>
      <c r="E51" s="7" t="n">
        <v>16100</v>
      </c>
      <c r="F51" s="7" t="n">
        <v>13040</v>
      </c>
      <c r="G51" s="8" t="n">
        <v>3060</v>
      </c>
      <c r="H51" s="7" t="s">
        <v>10</v>
      </c>
      <c r="I51" s="7" t="s">
        <v>13</v>
      </c>
    </row>
    <row r="52" customFormat="false" ht="15" hidden="false" customHeight="false" outlineLevel="0" collapsed="false">
      <c r="A52" s="5" t="n">
        <v>43839</v>
      </c>
      <c r="B52" s="6" t="n">
        <v>0.247916666666667</v>
      </c>
      <c r="C52" s="7" t="n">
        <v>119038</v>
      </c>
      <c r="D52" s="7" t="s">
        <v>18</v>
      </c>
      <c r="E52" s="7" t="n">
        <v>22620</v>
      </c>
      <c r="F52" s="7" t="n">
        <v>15860</v>
      </c>
      <c r="G52" s="8" t="n">
        <v>6760</v>
      </c>
      <c r="H52" s="7" t="s">
        <v>10</v>
      </c>
      <c r="I52" s="7" t="s">
        <v>13</v>
      </c>
    </row>
    <row r="53" customFormat="false" ht="15" hidden="false" customHeight="false" outlineLevel="0" collapsed="false">
      <c r="A53" s="5" t="n">
        <v>43839</v>
      </c>
      <c r="B53" s="6" t="n">
        <v>0.480555555555556</v>
      </c>
      <c r="C53" s="7" t="n">
        <v>119058</v>
      </c>
      <c r="D53" s="7" t="s">
        <v>15</v>
      </c>
      <c r="E53" s="7" t="n">
        <v>3480</v>
      </c>
      <c r="F53" s="7" t="n">
        <v>2700</v>
      </c>
      <c r="G53" s="8" t="n">
        <v>780</v>
      </c>
      <c r="H53" s="7" t="s">
        <v>10</v>
      </c>
      <c r="I53" s="7" t="s">
        <v>16</v>
      </c>
    </row>
    <row r="54" customFormat="false" ht="15" hidden="false" customHeight="false" outlineLevel="0" collapsed="false">
      <c r="A54" s="5" t="n">
        <v>43839</v>
      </c>
      <c r="B54" s="6" t="n">
        <v>0.452777777777778</v>
      </c>
      <c r="C54" s="7" t="n">
        <v>119053</v>
      </c>
      <c r="D54" s="7" t="s">
        <v>9</v>
      </c>
      <c r="E54" s="7" t="n">
        <v>3440</v>
      </c>
      <c r="F54" s="7" t="n">
        <v>2840</v>
      </c>
      <c r="G54" s="8" t="n">
        <v>600</v>
      </c>
      <c r="H54" s="7" t="s">
        <v>10</v>
      </c>
      <c r="I54" s="7" t="s">
        <v>16</v>
      </c>
    </row>
    <row r="55" customFormat="false" ht="15" hidden="false" customHeight="false" outlineLevel="0" collapsed="false">
      <c r="A55" s="5" t="n">
        <v>43839</v>
      </c>
      <c r="B55" s="6" t="n">
        <v>0.543055555555555</v>
      </c>
      <c r="C55" s="7" t="n">
        <v>119062</v>
      </c>
      <c r="D55" s="7" t="s">
        <v>9</v>
      </c>
      <c r="E55" s="7" t="n">
        <v>3340</v>
      </c>
      <c r="F55" s="7" t="n">
        <v>2840</v>
      </c>
      <c r="G55" s="8" t="n">
        <v>500</v>
      </c>
      <c r="H55" s="7" t="s">
        <v>10</v>
      </c>
      <c r="I55" s="7" t="s">
        <v>16</v>
      </c>
    </row>
    <row r="56" customFormat="false" ht="15" hidden="false" customHeight="false" outlineLevel="0" collapsed="false">
      <c r="A56" s="5" t="n">
        <v>43840</v>
      </c>
      <c r="B56" s="6" t="n">
        <v>0.25625</v>
      </c>
      <c r="C56" s="7" t="n">
        <v>119085</v>
      </c>
      <c r="D56" s="7" t="s">
        <v>17</v>
      </c>
      <c r="E56" s="7" t="n">
        <v>4040</v>
      </c>
      <c r="F56" s="7" t="n">
        <v>3780</v>
      </c>
      <c r="G56" s="8" t="n">
        <v>260</v>
      </c>
      <c r="H56" s="7" t="s">
        <v>10</v>
      </c>
      <c r="I56" s="7" t="s">
        <v>13</v>
      </c>
    </row>
    <row r="57" customFormat="false" ht="15" hidden="false" customHeight="false" outlineLevel="0" collapsed="false">
      <c r="A57" s="5" t="n">
        <v>43840</v>
      </c>
      <c r="B57" s="6" t="n">
        <v>0.253472222222222</v>
      </c>
      <c r="C57" s="7" t="n">
        <v>119084</v>
      </c>
      <c r="D57" s="7" t="s">
        <v>18</v>
      </c>
      <c r="E57" s="7" t="n">
        <v>23100</v>
      </c>
      <c r="F57" s="7" t="n">
        <v>15840</v>
      </c>
      <c r="G57" s="8" t="n">
        <v>7260</v>
      </c>
      <c r="H57" s="7" t="s">
        <v>10</v>
      </c>
      <c r="I57" s="7" t="s">
        <v>13</v>
      </c>
    </row>
    <row r="58" customFormat="false" ht="15" hidden="false" customHeight="false" outlineLevel="0" collapsed="false">
      <c r="A58" s="5" t="n">
        <v>43840</v>
      </c>
      <c r="B58" s="6" t="n">
        <v>0.0951388888888889</v>
      </c>
      <c r="C58" s="7" t="n">
        <v>119075</v>
      </c>
      <c r="D58" s="7" t="s">
        <v>12</v>
      </c>
      <c r="E58" s="7" t="n">
        <v>16500</v>
      </c>
      <c r="F58" s="7" t="n">
        <v>13040</v>
      </c>
      <c r="G58" s="8" t="n">
        <v>3460</v>
      </c>
      <c r="H58" s="7" t="s">
        <v>10</v>
      </c>
      <c r="I58" s="7" t="s">
        <v>13</v>
      </c>
    </row>
    <row r="59" customFormat="false" ht="15" hidden="false" customHeight="false" outlineLevel="0" collapsed="false">
      <c r="A59" s="5" t="n">
        <v>43840</v>
      </c>
      <c r="B59" s="6" t="n">
        <v>0.333333333333333</v>
      </c>
      <c r="C59" s="7" t="n">
        <v>119091</v>
      </c>
      <c r="D59" s="7" t="s">
        <v>15</v>
      </c>
      <c r="E59" s="7" t="n">
        <v>3140</v>
      </c>
      <c r="F59" s="7" t="n">
        <v>2700</v>
      </c>
      <c r="G59" s="8" t="n">
        <v>440</v>
      </c>
      <c r="H59" s="7" t="s">
        <v>10</v>
      </c>
      <c r="I59" s="7" t="s">
        <v>16</v>
      </c>
    </row>
    <row r="60" customFormat="false" ht="15" hidden="false" customHeight="false" outlineLevel="0" collapsed="false">
      <c r="A60" s="5" t="n">
        <v>43840</v>
      </c>
      <c r="B60" s="6" t="n">
        <v>0.434027777777778</v>
      </c>
      <c r="C60" s="7" t="n">
        <v>119100</v>
      </c>
      <c r="D60" s="7" t="s">
        <v>15</v>
      </c>
      <c r="E60" s="7" t="n">
        <v>3360</v>
      </c>
      <c r="F60" s="7" t="n">
        <v>2700</v>
      </c>
      <c r="G60" s="8" t="n">
        <v>660</v>
      </c>
      <c r="H60" s="7" t="s">
        <v>10</v>
      </c>
      <c r="I60" s="7" t="s">
        <v>16</v>
      </c>
    </row>
    <row r="61" customFormat="false" ht="15" hidden="false" customHeight="false" outlineLevel="0" collapsed="false">
      <c r="A61" s="5" t="n">
        <v>43840</v>
      </c>
      <c r="B61" s="6" t="n">
        <v>0.474305555555556</v>
      </c>
      <c r="C61" s="7" t="n">
        <v>119105</v>
      </c>
      <c r="D61" s="7" t="s">
        <v>9</v>
      </c>
      <c r="E61" s="7" t="n">
        <v>3440</v>
      </c>
      <c r="F61" s="7" t="n">
        <v>2820</v>
      </c>
      <c r="G61" s="8" t="n">
        <v>620</v>
      </c>
      <c r="H61" s="7" t="s">
        <v>10</v>
      </c>
      <c r="I61" s="7" t="s">
        <v>16</v>
      </c>
    </row>
    <row r="62" customFormat="false" ht="15" hidden="false" customHeight="false" outlineLevel="0" collapsed="false">
      <c r="A62" s="5" t="n">
        <v>43840</v>
      </c>
      <c r="B62" s="6" t="n">
        <v>0.494444444444444</v>
      </c>
      <c r="C62" s="9" t="s">
        <v>20</v>
      </c>
      <c r="D62" s="7" t="s">
        <v>18</v>
      </c>
      <c r="E62" s="7" t="n">
        <v>17000</v>
      </c>
      <c r="F62" s="7" t="n">
        <v>15760</v>
      </c>
      <c r="G62" s="8" t="n">
        <v>1240</v>
      </c>
      <c r="H62" s="7" t="s">
        <v>10</v>
      </c>
      <c r="I62" s="7" t="s">
        <v>21</v>
      </c>
    </row>
    <row r="63" customFormat="false" ht="15" hidden="false" customHeight="false" outlineLevel="0" collapsed="false">
      <c r="A63" s="5" t="n">
        <v>43841</v>
      </c>
      <c r="B63" s="6" t="n">
        <v>0.254861111111111</v>
      </c>
      <c r="C63" s="7" t="n">
        <v>119128</v>
      </c>
      <c r="D63" s="7" t="s">
        <v>18</v>
      </c>
      <c r="E63" s="7" t="n">
        <v>24580</v>
      </c>
      <c r="F63" s="7" t="n">
        <v>15960</v>
      </c>
      <c r="G63" s="8" t="n">
        <v>8620</v>
      </c>
      <c r="H63" s="7" t="s">
        <v>10</v>
      </c>
      <c r="I63" s="7" t="s">
        <v>13</v>
      </c>
    </row>
    <row r="64" customFormat="false" ht="15" hidden="false" customHeight="false" outlineLevel="0" collapsed="false">
      <c r="A64" s="5" t="n">
        <v>43841</v>
      </c>
      <c r="B64" s="6" t="n">
        <v>0.258333333333333</v>
      </c>
      <c r="C64" s="7" t="n">
        <v>119129</v>
      </c>
      <c r="D64" s="7" t="s">
        <v>17</v>
      </c>
      <c r="E64" s="7" t="n">
        <v>4120</v>
      </c>
      <c r="F64" s="7" t="n">
        <v>3780</v>
      </c>
      <c r="G64" s="8" t="n">
        <v>340</v>
      </c>
      <c r="H64" s="7" t="s">
        <v>10</v>
      </c>
      <c r="I64" s="7" t="s">
        <v>13</v>
      </c>
    </row>
    <row r="65" customFormat="false" ht="15" hidden="false" customHeight="false" outlineLevel="0" collapsed="false">
      <c r="A65" s="5" t="n">
        <v>43841</v>
      </c>
      <c r="B65" s="6" t="n">
        <v>0.455555555555556</v>
      </c>
      <c r="C65" s="7" t="n">
        <v>119139</v>
      </c>
      <c r="D65" s="7" t="s">
        <v>14</v>
      </c>
      <c r="E65" s="7" t="n">
        <v>2560</v>
      </c>
      <c r="F65" s="7" t="n">
        <v>2360</v>
      </c>
      <c r="G65" s="8" t="n">
        <v>200</v>
      </c>
      <c r="H65" s="7" t="s">
        <v>10</v>
      </c>
      <c r="I65" s="7" t="s">
        <v>13</v>
      </c>
    </row>
    <row r="66" customFormat="false" ht="15" hidden="false" customHeight="false" outlineLevel="0" collapsed="false">
      <c r="A66" s="5" t="n">
        <v>43841</v>
      </c>
      <c r="B66" s="6" t="n">
        <v>0.35625</v>
      </c>
      <c r="C66" s="7" t="n">
        <v>119135</v>
      </c>
      <c r="D66" s="7" t="s">
        <v>22</v>
      </c>
      <c r="E66" s="7" t="n">
        <v>6340</v>
      </c>
      <c r="F66" s="7" t="n">
        <v>5500</v>
      </c>
      <c r="G66" s="8" t="n">
        <v>840</v>
      </c>
      <c r="H66" s="7" t="s">
        <v>10</v>
      </c>
      <c r="I66" s="7" t="s">
        <v>11</v>
      </c>
    </row>
    <row r="67" customFormat="false" ht="15" hidden="false" customHeight="false" outlineLevel="0" collapsed="false">
      <c r="A67" s="5" t="n">
        <v>43841</v>
      </c>
      <c r="B67" s="6" t="n">
        <v>0.513888888888889</v>
      </c>
      <c r="C67" s="7" t="n">
        <v>96977</v>
      </c>
      <c r="D67" s="7" t="s">
        <v>18</v>
      </c>
      <c r="E67" s="7" t="n">
        <v>16940</v>
      </c>
      <c r="F67" s="7" t="n">
        <v>15820</v>
      </c>
      <c r="G67" s="8" t="n">
        <v>1120</v>
      </c>
      <c r="H67" s="7" t="s">
        <v>10</v>
      </c>
      <c r="I67" s="7" t="s">
        <v>19</v>
      </c>
    </row>
    <row r="68" customFormat="false" ht="15" hidden="false" customHeight="false" outlineLevel="0" collapsed="false">
      <c r="A68" s="5" t="n">
        <v>43842</v>
      </c>
      <c r="B68" s="6" t="n">
        <v>0.195833333333333</v>
      </c>
      <c r="C68" s="7" t="n">
        <v>119147</v>
      </c>
      <c r="D68" s="7" t="s">
        <v>18</v>
      </c>
      <c r="E68" s="7" t="n">
        <v>23280</v>
      </c>
      <c r="F68" s="7" t="n">
        <v>15880</v>
      </c>
      <c r="G68" s="8" t="n">
        <v>7400</v>
      </c>
      <c r="H68" s="7" t="s">
        <v>10</v>
      </c>
      <c r="I68" s="7" t="s">
        <v>13</v>
      </c>
    </row>
    <row r="69" customFormat="false" ht="15" hidden="false" customHeight="false" outlineLevel="0" collapsed="false">
      <c r="A69" s="5" t="n">
        <v>43842</v>
      </c>
      <c r="B69" s="6" t="n">
        <v>0.45625</v>
      </c>
      <c r="C69" s="7" t="n">
        <v>119151</v>
      </c>
      <c r="D69" s="7" t="s">
        <v>14</v>
      </c>
      <c r="E69" s="7" t="n">
        <v>2540</v>
      </c>
      <c r="F69" s="7" t="n">
        <v>2360</v>
      </c>
      <c r="G69" s="8" t="n">
        <v>180</v>
      </c>
      <c r="H69" s="7" t="s">
        <v>10</v>
      </c>
      <c r="I69" s="7" t="s">
        <v>13</v>
      </c>
    </row>
    <row r="70" customFormat="false" ht="15" hidden="false" customHeight="false" outlineLevel="0" collapsed="false">
      <c r="A70" s="5" t="n">
        <v>43842</v>
      </c>
      <c r="B70" s="6" t="n">
        <v>0.19375</v>
      </c>
      <c r="C70" s="7" t="n">
        <v>119146</v>
      </c>
      <c r="D70" s="7" t="s">
        <v>17</v>
      </c>
      <c r="E70" s="7" t="n">
        <v>4060</v>
      </c>
      <c r="F70" s="7" t="n">
        <v>3800</v>
      </c>
      <c r="G70" s="8" t="n">
        <v>260</v>
      </c>
      <c r="H70" s="7" t="s">
        <v>10</v>
      </c>
      <c r="I70" s="7" t="s">
        <v>13</v>
      </c>
    </row>
    <row r="71" customFormat="false" ht="15" hidden="false" customHeight="false" outlineLevel="0" collapsed="false">
      <c r="A71" s="5" t="n">
        <v>43842</v>
      </c>
      <c r="B71" s="6" t="n">
        <v>0.123611111111111</v>
      </c>
      <c r="C71" s="7" t="n">
        <v>119145</v>
      </c>
      <c r="D71" s="7" t="s">
        <v>12</v>
      </c>
      <c r="E71" s="7" t="n">
        <v>16720</v>
      </c>
      <c r="F71" s="7" t="n">
        <v>12980</v>
      </c>
      <c r="G71" s="8" t="n">
        <v>3740</v>
      </c>
      <c r="H71" s="7" t="s">
        <v>10</v>
      </c>
      <c r="I71" s="7" t="s">
        <v>13</v>
      </c>
    </row>
    <row r="72" customFormat="false" ht="15" hidden="false" customHeight="false" outlineLevel="0" collapsed="false">
      <c r="A72" s="5" t="n">
        <v>43843</v>
      </c>
      <c r="B72" s="6" t="n">
        <v>0.253472222222222</v>
      </c>
      <c r="C72" s="7" t="n">
        <v>119165</v>
      </c>
      <c r="D72" s="7" t="s">
        <v>17</v>
      </c>
      <c r="E72" s="7" t="n">
        <v>4100</v>
      </c>
      <c r="F72" s="7" t="n">
        <v>3800</v>
      </c>
      <c r="G72" s="8" t="n">
        <v>300</v>
      </c>
      <c r="H72" s="7" t="s">
        <v>10</v>
      </c>
      <c r="I72" s="7" t="s">
        <v>13</v>
      </c>
    </row>
    <row r="73" customFormat="false" ht="15" hidden="false" customHeight="false" outlineLevel="0" collapsed="false">
      <c r="A73" s="5" t="n">
        <v>43843</v>
      </c>
      <c r="B73" s="6" t="n">
        <v>0.245138888888889</v>
      </c>
      <c r="C73" s="7" t="n">
        <v>119164</v>
      </c>
      <c r="D73" s="7" t="s">
        <v>18</v>
      </c>
      <c r="E73" s="7" t="n">
        <v>24480</v>
      </c>
      <c r="F73" s="7" t="n">
        <v>15820</v>
      </c>
      <c r="G73" s="8" t="n">
        <v>8660</v>
      </c>
      <c r="H73" s="7" t="s">
        <v>10</v>
      </c>
      <c r="I73" s="7" t="s">
        <v>13</v>
      </c>
    </row>
    <row r="74" customFormat="false" ht="15" hidden="false" customHeight="false" outlineLevel="0" collapsed="false">
      <c r="A74" s="5" t="n">
        <v>43843</v>
      </c>
      <c r="B74" s="6" t="n">
        <v>0.197222222222222</v>
      </c>
      <c r="C74" s="7" t="n">
        <v>119159</v>
      </c>
      <c r="D74" s="7" t="s">
        <v>12</v>
      </c>
      <c r="E74" s="7" t="n">
        <v>14740</v>
      </c>
      <c r="F74" s="7" t="n">
        <v>12820</v>
      </c>
      <c r="G74" s="8" t="n">
        <v>1920</v>
      </c>
      <c r="H74" s="7" t="s">
        <v>10</v>
      </c>
      <c r="I74" s="7" t="s">
        <v>13</v>
      </c>
    </row>
    <row r="75" customFormat="false" ht="15" hidden="false" customHeight="false" outlineLevel="0" collapsed="false">
      <c r="A75" s="5" t="n">
        <v>43843</v>
      </c>
      <c r="B75" s="6" t="n">
        <v>0.567361111111111</v>
      </c>
      <c r="C75" s="7" t="n">
        <v>119191</v>
      </c>
      <c r="D75" s="7" t="s">
        <v>9</v>
      </c>
      <c r="E75" s="7" t="n">
        <v>3440</v>
      </c>
      <c r="F75" s="7" t="n">
        <v>2820</v>
      </c>
      <c r="G75" s="8" t="n">
        <v>620</v>
      </c>
      <c r="H75" s="7" t="s">
        <v>10</v>
      </c>
      <c r="I75" s="7" t="s">
        <v>11</v>
      </c>
    </row>
    <row r="76" customFormat="false" ht="15" hidden="false" customHeight="false" outlineLevel="0" collapsed="false">
      <c r="A76" s="5" t="n">
        <v>43843</v>
      </c>
      <c r="B76" s="6" t="n">
        <v>0.458333333333333</v>
      </c>
      <c r="C76" s="7" t="n">
        <v>119184</v>
      </c>
      <c r="D76" s="7" t="s">
        <v>14</v>
      </c>
      <c r="E76" s="7" t="n">
        <v>2580</v>
      </c>
      <c r="F76" s="7" t="n">
        <v>2380</v>
      </c>
      <c r="G76" s="8" t="n">
        <v>200</v>
      </c>
      <c r="H76" s="7" t="s">
        <v>10</v>
      </c>
      <c r="I76" s="7" t="s">
        <v>13</v>
      </c>
    </row>
    <row r="77" customFormat="false" ht="15" hidden="false" customHeight="false" outlineLevel="0" collapsed="false">
      <c r="A77" s="5" t="n">
        <v>43843</v>
      </c>
      <c r="B77" s="6" t="n">
        <v>0.559722222222222</v>
      </c>
      <c r="C77" s="7" t="n">
        <v>119195</v>
      </c>
      <c r="D77" s="7" t="s">
        <v>15</v>
      </c>
      <c r="E77" s="7" t="n">
        <v>3320</v>
      </c>
      <c r="F77" s="7" t="n">
        <v>2780</v>
      </c>
      <c r="G77" s="8" t="n">
        <v>540</v>
      </c>
      <c r="H77" s="7" t="s">
        <v>10</v>
      </c>
      <c r="I77" s="7" t="s">
        <v>16</v>
      </c>
    </row>
    <row r="78" customFormat="false" ht="15" hidden="false" customHeight="false" outlineLevel="0" collapsed="false">
      <c r="A78" s="5" t="n">
        <v>43843</v>
      </c>
      <c r="B78" s="6" t="n">
        <v>0.330555555555556</v>
      </c>
      <c r="C78" s="7" t="n">
        <v>119171</v>
      </c>
      <c r="D78" s="7" t="s">
        <v>15</v>
      </c>
      <c r="E78" s="7" t="n">
        <v>3140</v>
      </c>
      <c r="F78" s="7" t="n">
        <v>2780</v>
      </c>
      <c r="G78" s="8" t="n">
        <v>360</v>
      </c>
      <c r="H78" s="7" t="s">
        <v>10</v>
      </c>
      <c r="I78" s="7" t="s">
        <v>16</v>
      </c>
    </row>
    <row r="79" customFormat="false" ht="15" hidden="false" customHeight="false" outlineLevel="0" collapsed="false">
      <c r="A79" s="5" t="n">
        <v>43844</v>
      </c>
      <c r="B79" s="6" t="n">
        <v>0.196527777777778</v>
      </c>
      <c r="C79" s="7" t="n">
        <v>119210</v>
      </c>
      <c r="D79" s="7" t="s">
        <v>23</v>
      </c>
      <c r="E79" s="7" t="n">
        <v>16220</v>
      </c>
      <c r="F79" s="7" t="n">
        <v>12500</v>
      </c>
      <c r="G79" s="8" t="n">
        <v>3720</v>
      </c>
      <c r="H79" s="7" t="s">
        <v>10</v>
      </c>
      <c r="I79" s="7" t="s">
        <v>13</v>
      </c>
    </row>
    <row r="80" customFormat="false" ht="15" hidden="false" customHeight="false" outlineLevel="0" collapsed="false">
      <c r="A80" s="5" t="n">
        <v>43844</v>
      </c>
      <c r="B80" s="6" t="n">
        <v>0.253472222222222</v>
      </c>
      <c r="C80" s="7" t="n">
        <v>119215</v>
      </c>
      <c r="D80" s="7" t="s">
        <v>17</v>
      </c>
      <c r="E80" s="7" t="n">
        <v>4080</v>
      </c>
      <c r="F80" s="7" t="n">
        <v>3800</v>
      </c>
      <c r="G80" s="8" t="n">
        <v>280</v>
      </c>
      <c r="H80" s="7" t="s">
        <v>10</v>
      </c>
      <c r="I80" s="7" t="s">
        <v>13</v>
      </c>
    </row>
    <row r="81" customFormat="false" ht="15" hidden="false" customHeight="false" outlineLevel="0" collapsed="false">
      <c r="A81" s="5" t="n">
        <v>43844</v>
      </c>
      <c r="B81" s="6" t="n">
        <v>0.245833333333333</v>
      </c>
      <c r="C81" s="7" t="n">
        <v>119213</v>
      </c>
      <c r="D81" s="7" t="s">
        <v>18</v>
      </c>
      <c r="E81" s="7" t="n">
        <v>23840</v>
      </c>
      <c r="F81" s="7" t="n">
        <v>15840</v>
      </c>
      <c r="G81" s="8" t="n">
        <v>8000</v>
      </c>
      <c r="H81" s="7" t="s">
        <v>10</v>
      </c>
      <c r="I81" s="7" t="s">
        <v>13</v>
      </c>
    </row>
    <row r="82" customFormat="false" ht="15" hidden="false" customHeight="false" outlineLevel="0" collapsed="false">
      <c r="A82" s="5" t="n">
        <v>43844</v>
      </c>
      <c r="B82" s="6" t="n">
        <v>0.469444444444444</v>
      </c>
      <c r="C82" s="7" t="n">
        <v>119232</v>
      </c>
      <c r="D82" s="7" t="s">
        <v>14</v>
      </c>
      <c r="E82" s="7" t="n">
        <v>2540</v>
      </c>
      <c r="F82" s="7" t="n">
        <v>2380</v>
      </c>
      <c r="G82" s="8" t="n">
        <v>160</v>
      </c>
      <c r="H82" s="7" t="s">
        <v>10</v>
      </c>
      <c r="I82" s="7" t="s">
        <v>13</v>
      </c>
    </row>
    <row r="83" customFormat="false" ht="15" hidden="false" customHeight="false" outlineLevel="0" collapsed="false">
      <c r="A83" s="5" t="n">
        <v>43844</v>
      </c>
      <c r="B83" s="6" t="n">
        <v>0.471527777777778</v>
      </c>
      <c r="C83" s="7" t="n">
        <v>119233</v>
      </c>
      <c r="D83" s="7" t="s">
        <v>9</v>
      </c>
      <c r="E83" s="7" t="n">
        <v>3800</v>
      </c>
      <c r="F83" s="7" t="n">
        <v>2820</v>
      </c>
      <c r="G83" s="8" t="n">
        <v>980</v>
      </c>
      <c r="H83" s="7" t="s">
        <v>10</v>
      </c>
      <c r="I83" s="7" t="s">
        <v>16</v>
      </c>
    </row>
    <row r="84" customFormat="false" ht="15" hidden="false" customHeight="false" outlineLevel="0" collapsed="false">
      <c r="A84" s="5" t="n">
        <v>43844</v>
      </c>
      <c r="B84" s="6" t="n">
        <v>0.563888888888889</v>
      </c>
      <c r="C84" s="7" t="n">
        <v>119244</v>
      </c>
      <c r="D84" s="7" t="s">
        <v>15</v>
      </c>
      <c r="E84" s="7" t="n">
        <v>3120</v>
      </c>
      <c r="F84" s="7" t="n">
        <v>2680</v>
      </c>
      <c r="G84" s="8" t="n">
        <v>440</v>
      </c>
      <c r="H84" s="7" t="s">
        <v>10</v>
      </c>
      <c r="I84" s="7" t="s">
        <v>16</v>
      </c>
    </row>
    <row r="85" customFormat="false" ht="15" hidden="false" customHeight="false" outlineLevel="0" collapsed="false">
      <c r="A85" s="5" t="n">
        <v>43845</v>
      </c>
      <c r="B85" s="6" t="n">
        <v>0.197222222222222</v>
      </c>
      <c r="C85" s="7" t="n">
        <v>119260</v>
      </c>
      <c r="D85" s="7" t="s">
        <v>12</v>
      </c>
      <c r="E85" s="7" t="n">
        <v>16480</v>
      </c>
      <c r="F85" s="7" t="n">
        <v>12900</v>
      </c>
      <c r="G85" s="8" t="n">
        <v>3580</v>
      </c>
      <c r="H85" s="7" t="s">
        <v>10</v>
      </c>
      <c r="I85" s="7" t="s">
        <v>13</v>
      </c>
    </row>
    <row r="86" customFormat="false" ht="15" hidden="false" customHeight="false" outlineLevel="0" collapsed="false">
      <c r="A86" s="5" t="n">
        <v>43845</v>
      </c>
      <c r="B86" s="6" t="n">
        <v>0.243055555555556</v>
      </c>
      <c r="C86" s="7" t="n">
        <v>119261</v>
      </c>
      <c r="D86" s="7" t="s">
        <v>18</v>
      </c>
      <c r="E86" s="7" t="n">
        <v>22940</v>
      </c>
      <c r="F86" s="7" t="n">
        <v>15920</v>
      </c>
      <c r="G86" s="8" t="n">
        <v>7020</v>
      </c>
      <c r="H86" s="7" t="s">
        <v>10</v>
      </c>
      <c r="I86" s="7" t="s">
        <v>13</v>
      </c>
    </row>
    <row r="87" customFormat="false" ht="15" hidden="false" customHeight="false" outlineLevel="0" collapsed="false">
      <c r="A87" s="5" t="n">
        <v>43845</v>
      </c>
      <c r="B87" s="6" t="n">
        <v>0.253472222222222</v>
      </c>
      <c r="C87" s="7" t="n">
        <v>119262</v>
      </c>
      <c r="D87" s="7" t="s">
        <v>17</v>
      </c>
      <c r="E87" s="7" t="n">
        <v>4160</v>
      </c>
      <c r="F87" s="7" t="n">
        <v>3780</v>
      </c>
      <c r="G87" s="8" t="n">
        <v>380</v>
      </c>
      <c r="H87" s="7" t="s">
        <v>10</v>
      </c>
      <c r="I87" s="7" t="s">
        <v>13</v>
      </c>
    </row>
    <row r="88" customFormat="false" ht="15" hidden="false" customHeight="false" outlineLevel="0" collapsed="false">
      <c r="A88" s="5" t="n">
        <v>43845</v>
      </c>
      <c r="B88" s="6" t="n">
        <v>0.444444444444444</v>
      </c>
      <c r="C88" s="7" t="n">
        <v>119283</v>
      </c>
      <c r="D88" s="7" t="s">
        <v>15</v>
      </c>
      <c r="E88" s="7" t="n">
        <v>3680</v>
      </c>
      <c r="F88" s="7" t="n">
        <v>2680</v>
      </c>
      <c r="G88" s="8" t="n">
        <v>1000</v>
      </c>
      <c r="H88" s="7" t="s">
        <v>10</v>
      </c>
      <c r="I88" s="7" t="s">
        <v>16</v>
      </c>
    </row>
    <row r="89" customFormat="false" ht="15" hidden="false" customHeight="false" outlineLevel="0" collapsed="false">
      <c r="A89" s="5" t="n">
        <v>43845</v>
      </c>
      <c r="B89" s="6" t="n">
        <v>0.485416666666667</v>
      </c>
      <c r="C89" s="7" t="n">
        <v>119288</v>
      </c>
      <c r="D89" s="7" t="s">
        <v>9</v>
      </c>
      <c r="E89" s="7" t="n">
        <v>3300</v>
      </c>
      <c r="F89" s="7" t="n">
        <v>2800</v>
      </c>
      <c r="G89" s="8" t="n">
        <v>500</v>
      </c>
      <c r="H89" s="7" t="s">
        <v>10</v>
      </c>
      <c r="I89" s="7" t="s">
        <v>11</v>
      </c>
    </row>
    <row r="90" customFormat="false" ht="15" hidden="false" customHeight="false" outlineLevel="0" collapsed="false">
      <c r="A90" s="5" t="n">
        <v>43845</v>
      </c>
      <c r="B90" s="6" t="n">
        <v>0.486805555555556</v>
      </c>
      <c r="C90" s="7" t="n">
        <v>119289</v>
      </c>
      <c r="D90" s="7" t="s">
        <v>14</v>
      </c>
      <c r="E90" s="7" t="n">
        <v>2520</v>
      </c>
      <c r="F90" s="7" t="n">
        <v>2380</v>
      </c>
      <c r="G90" s="8" t="n">
        <v>140</v>
      </c>
      <c r="H90" s="7" t="s">
        <v>10</v>
      </c>
      <c r="I90" s="7" t="s">
        <v>11</v>
      </c>
    </row>
    <row r="91" customFormat="false" ht="15" hidden="false" customHeight="false" outlineLevel="0" collapsed="false">
      <c r="A91" s="5" t="n">
        <v>43845</v>
      </c>
      <c r="B91" s="6" t="n">
        <v>0.532638888888889</v>
      </c>
      <c r="C91" s="7" t="n">
        <v>119294</v>
      </c>
      <c r="D91" s="7" t="s">
        <v>9</v>
      </c>
      <c r="E91" s="7" t="n">
        <v>3480</v>
      </c>
      <c r="F91" s="7" t="n">
        <v>2800</v>
      </c>
      <c r="G91" s="8" t="n">
        <v>680</v>
      </c>
      <c r="H91" s="7" t="s">
        <v>10</v>
      </c>
      <c r="I91" s="7" t="s">
        <v>11</v>
      </c>
    </row>
    <row r="92" customFormat="false" ht="15" hidden="false" customHeight="false" outlineLevel="0" collapsed="false">
      <c r="A92" s="5" t="n">
        <v>43845</v>
      </c>
      <c r="B92" s="6" t="n">
        <v>0.560416666666667</v>
      </c>
      <c r="C92" s="7" t="n">
        <v>119300</v>
      </c>
      <c r="D92" s="7" t="s">
        <v>15</v>
      </c>
      <c r="E92" s="7" t="n">
        <v>3540</v>
      </c>
      <c r="F92" s="7" t="n">
        <v>2760</v>
      </c>
      <c r="G92" s="8" t="n">
        <v>780</v>
      </c>
      <c r="H92" s="7" t="s">
        <v>10</v>
      </c>
      <c r="I92" s="7" t="s">
        <v>16</v>
      </c>
    </row>
    <row r="93" customFormat="false" ht="15" hidden="false" customHeight="false" outlineLevel="0" collapsed="false">
      <c r="A93" s="5" t="n">
        <v>43846</v>
      </c>
      <c r="B93" s="6" t="n">
        <v>0.196527777777778</v>
      </c>
      <c r="C93" s="7" t="n">
        <v>119317</v>
      </c>
      <c r="D93" s="7" t="s">
        <v>12</v>
      </c>
      <c r="E93" s="7" t="n">
        <v>15400</v>
      </c>
      <c r="F93" s="7" t="n">
        <v>12860</v>
      </c>
      <c r="G93" s="8" t="n">
        <v>2540</v>
      </c>
      <c r="H93" s="7" t="s">
        <v>10</v>
      </c>
      <c r="I93" s="7" t="s">
        <v>13</v>
      </c>
    </row>
    <row r="94" customFormat="false" ht="15" hidden="false" customHeight="false" outlineLevel="0" collapsed="false">
      <c r="A94" s="5" t="n">
        <v>43846</v>
      </c>
      <c r="B94" s="6" t="n">
        <v>0.245138888888889</v>
      </c>
      <c r="C94" s="7" t="n">
        <v>119319</v>
      </c>
      <c r="D94" s="7" t="s">
        <v>18</v>
      </c>
      <c r="E94" s="7" t="n">
        <v>24340</v>
      </c>
      <c r="F94" s="7" t="n">
        <v>15820</v>
      </c>
      <c r="G94" s="8" t="n">
        <v>8520</v>
      </c>
      <c r="H94" s="7" t="s">
        <v>10</v>
      </c>
      <c r="I94" s="7" t="s">
        <v>13</v>
      </c>
    </row>
    <row r="95" customFormat="false" ht="15" hidden="false" customHeight="false" outlineLevel="0" collapsed="false">
      <c r="A95" s="5" t="n">
        <v>43846</v>
      </c>
      <c r="B95" s="6" t="n">
        <v>0.256944444444444</v>
      </c>
      <c r="C95" s="7" t="n">
        <v>119320</v>
      </c>
      <c r="D95" s="7" t="s">
        <v>17</v>
      </c>
      <c r="E95" s="7" t="n">
        <v>4000</v>
      </c>
      <c r="F95" s="7" t="n">
        <v>3780</v>
      </c>
      <c r="G95" s="8" t="n">
        <v>220</v>
      </c>
      <c r="H95" s="7" t="s">
        <v>10</v>
      </c>
      <c r="I95" s="7" t="s">
        <v>13</v>
      </c>
    </row>
    <row r="96" customFormat="false" ht="15" hidden="false" customHeight="false" outlineLevel="0" collapsed="false">
      <c r="A96" s="5" t="n">
        <v>43846</v>
      </c>
      <c r="B96" s="6" t="n">
        <v>0.553472222222222</v>
      </c>
      <c r="C96" s="7" t="n">
        <v>119349</v>
      </c>
      <c r="D96" s="7" t="s">
        <v>15</v>
      </c>
      <c r="E96" s="7" t="n">
        <v>3060</v>
      </c>
      <c r="F96" s="7" t="n">
        <v>2800</v>
      </c>
      <c r="G96" s="8" t="n">
        <v>260</v>
      </c>
      <c r="H96" s="7" t="s">
        <v>10</v>
      </c>
      <c r="I96" s="7" t="s">
        <v>16</v>
      </c>
    </row>
    <row r="97" customFormat="false" ht="15" hidden="false" customHeight="false" outlineLevel="0" collapsed="false">
      <c r="A97" s="5" t="n">
        <v>43846</v>
      </c>
      <c r="B97" s="6" t="n">
        <v>0.471527777777778</v>
      </c>
      <c r="C97" s="7" t="n">
        <v>119339</v>
      </c>
      <c r="D97" s="7" t="s">
        <v>14</v>
      </c>
      <c r="E97" s="7" t="n">
        <v>2640</v>
      </c>
      <c r="F97" s="7" t="n">
        <v>2360</v>
      </c>
      <c r="G97" s="8" t="n">
        <v>280</v>
      </c>
      <c r="H97" s="7" t="s">
        <v>10</v>
      </c>
      <c r="I97" s="7" t="s">
        <v>13</v>
      </c>
    </row>
    <row r="98" customFormat="false" ht="15" hidden="false" customHeight="false" outlineLevel="0" collapsed="false">
      <c r="A98" s="5" t="n">
        <v>43846</v>
      </c>
      <c r="B98" s="6" t="n">
        <v>0.465277777777778</v>
      </c>
      <c r="C98" s="7" t="n">
        <v>97155</v>
      </c>
      <c r="D98" s="7" t="s">
        <v>18</v>
      </c>
      <c r="E98" s="7" t="n">
        <v>16760</v>
      </c>
      <c r="F98" s="7" t="n">
        <v>15740</v>
      </c>
      <c r="G98" s="8" t="n">
        <v>1020</v>
      </c>
      <c r="H98" s="7" t="s">
        <v>10</v>
      </c>
      <c r="I98" s="7" t="s">
        <v>19</v>
      </c>
    </row>
    <row r="99" customFormat="false" ht="15" hidden="false" customHeight="false" outlineLevel="0" collapsed="false">
      <c r="A99" s="5" t="n">
        <v>43847</v>
      </c>
      <c r="B99" s="6" t="n">
        <v>0.240277777777778</v>
      </c>
      <c r="C99" s="7" t="n">
        <v>119365</v>
      </c>
      <c r="D99" s="7" t="s">
        <v>18</v>
      </c>
      <c r="E99" s="7" t="n">
        <v>23940</v>
      </c>
      <c r="F99" s="7" t="n">
        <v>15840</v>
      </c>
      <c r="G99" s="8" t="n">
        <v>8100</v>
      </c>
      <c r="H99" s="7" t="s">
        <v>10</v>
      </c>
      <c r="I99" s="7" t="s">
        <v>13</v>
      </c>
    </row>
    <row r="100" customFormat="false" ht="15" hidden="false" customHeight="false" outlineLevel="0" collapsed="false">
      <c r="A100" s="5" t="n">
        <v>43847</v>
      </c>
      <c r="B100" s="6" t="n">
        <v>0.260416666666667</v>
      </c>
      <c r="C100" s="7" t="n">
        <v>119368</v>
      </c>
      <c r="D100" s="7" t="s">
        <v>17</v>
      </c>
      <c r="E100" s="7" t="n">
        <v>3980</v>
      </c>
      <c r="F100" s="7" t="n">
        <v>3760</v>
      </c>
      <c r="G100" s="8" t="n">
        <v>220</v>
      </c>
      <c r="H100" s="7" t="s">
        <v>10</v>
      </c>
      <c r="I100" s="7" t="s">
        <v>13</v>
      </c>
    </row>
    <row r="101" customFormat="false" ht="15" hidden="false" customHeight="false" outlineLevel="0" collapsed="false">
      <c r="A101" s="5" t="n">
        <v>43847</v>
      </c>
      <c r="B101" s="6" t="n">
        <v>0.0527777777777778</v>
      </c>
      <c r="C101" s="7" t="n">
        <v>119356</v>
      </c>
      <c r="D101" s="7" t="s">
        <v>12</v>
      </c>
      <c r="E101" s="7" t="n">
        <v>15640</v>
      </c>
      <c r="F101" s="7" t="n">
        <v>12940</v>
      </c>
      <c r="G101" s="8" t="n">
        <v>2700</v>
      </c>
      <c r="H101" s="7" t="s">
        <v>10</v>
      </c>
      <c r="I101" s="7" t="s">
        <v>13</v>
      </c>
    </row>
    <row r="102" customFormat="false" ht="15" hidden="false" customHeight="false" outlineLevel="0" collapsed="false">
      <c r="A102" s="5" t="n">
        <v>43847</v>
      </c>
      <c r="B102" s="6" t="n">
        <v>0.540277777777778</v>
      </c>
      <c r="C102" s="7" t="n">
        <v>119389</v>
      </c>
      <c r="D102" s="7" t="s">
        <v>15</v>
      </c>
      <c r="E102" s="7" t="n">
        <v>3040</v>
      </c>
      <c r="F102" s="7" t="n">
        <v>2800</v>
      </c>
      <c r="G102" s="8" t="n">
        <v>240</v>
      </c>
      <c r="H102" s="7" t="s">
        <v>10</v>
      </c>
      <c r="I102" s="7" t="s">
        <v>16</v>
      </c>
    </row>
    <row r="103" customFormat="false" ht="15" hidden="false" customHeight="false" outlineLevel="0" collapsed="false">
      <c r="A103" s="5" t="n">
        <v>43847</v>
      </c>
      <c r="B103" s="6" t="n">
        <v>0.513888888888889</v>
      </c>
      <c r="C103" s="9" t="s">
        <v>20</v>
      </c>
      <c r="D103" s="7" t="s">
        <v>18</v>
      </c>
      <c r="E103" s="7" t="n">
        <v>16780</v>
      </c>
      <c r="F103" s="7" t="n">
        <v>15760</v>
      </c>
      <c r="G103" s="8" t="n">
        <v>1020</v>
      </c>
      <c r="H103" s="7" t="s">
        <v>10</v>
      </c>
      <c r="I103" s="7" t="s">
        <v>21</v>
      </c>
    </row>
    <row r="104" customFormat="false" ht="15" hidden="false" customHeight="false" outlineLevel="0" collapsed="false">
      <c r="A104" s="5" t="n">
        <v>43848</v>
      </c>
      <c r="B104" s="6" t="n">
        <v>0.452777777777778</v>
      </c>
      <c r="C104" s="7" t="n">
        <v>119415</v>
      </c>
      <c r="D104" s="7" t="s">
        <v>14</v>
      </c>
      <c r="E104" s="7" t="n">
        <v>2500</v>
      </c>
      <c r="F104" s="7" t="n">
        <v>2360</v>
      </c>
      <c r="G104" s="8" t="n">
        <v>140</v>
      </c>
      <c r="H104" s="7" t="s">
        <v>10</v>
      </c>
      <c r="I104" s="7" t="s">
        <v>13</v>
      </c>
    </row>
    <row r="105" customFormat="false" ht="15" hidden="false" customHeight="false" outlineLevel="0" collapsed="false">
      <c r="A105" s="5" t="n">
        <v>43848</v>
      </c>
      <c r="B105" s="6" t="n">
        <v>0.247222222222222</v>
      </c>
      <c r="C105" s="7" t="n">
        <v>119403</v>
      </c>
      <c r="D105" s="7" t="s">
        <v>18</v>
      </c>
      <c r="E105" s="7" t="n">
        <v>23820</v>
      </c>
      <c r="F105" s="7" t="n">
        <v>15840</v>
      </c>
      <c r="G105" s="8" t="n">
        <v>7980</v>
      </c>
      <c r="H105" s="7" t="s">
        <v>10</v>
      </c>
      <c r="I105" s="7" t="s">
        <v>13</v>
      </c>
    </row>
    <row r="106" customFormat="false" ht="15" hidden="false" customHeight="false" outlineLevel="0" collapsed="false">
      <c r="A106" s="5" t="n">
        <v>43848</v>
      </c>
      <c r="B106" s="6" t="n">
        <v>0.261805555555556</v>
      </c>
      <c r="C106" s="7" t="n">
        <v>119404</v>
      </c>
      <c r="D106" s="7" t="s">
        <v>17</v>
      </c>
      <c r="E106" s="7" t="n">
        <v>4280</v>
      </c>
      <c r="F106" s="7" t="n">
        <v>3780</v>
      </c>
      <c r="G106" s="8" t="n">
        <v>500</v>
      </c>
      <c r="H106" s="7" t="s">
        <v>10</v>
      </c>
      <c r="I106" s="7" t="s">
        <v>13</v>
      </c>
    </row>
    <row r="107" customFormat="false" ht="15" hidden="false" customHeight="false" outlineLevel="0" collapsed="false">
      <c r="A107" s="5" t="n">
        <v>43848</v>
      </c>
      <c r="B107" s="6" t="n">
        <v>0.0777777777777778</v>
      </c>
      <c r="C107" s="7" t="n">
        <v>119394</v>
      </c>
      <c r="D107" s="7" t="s">
        <v>12</v>
      </c>
      <c r="E107" s="7" t="n">
        <v>16920</v>
      </c>
      <c r="F107" s="7" t="n">
        <v>12880</v>
      </c>
      <c r="G107" s="8" t="n">
        <v>4040</v>
      </c>
      <c r="H107" s="7" t="s">
        <v>10</v>
      </c>
      <c r="I107" s="7" t="s">
        <v>13</v>
      </c>
    </row>
    <row r="108" customFormat="false" ht="15" hidden="false" customHeight="false" outlineLevel="0" collapsed="false">
      <c r="A108" s="5" t="n">
        <v>43849</v>
      </c>
      <c r="B108" s="6" t="n">
        <v>0.483333333333333</v>
      </c>
      <c r="C108" s="7" t="n">
        <v>119431</v>
      </c>
      <c r="D108" s="7" t="s">
        <v>14</v>
      </c>
      <c r="E108" s="7" t="n">
        <v>2540</v>
      </c>
      <c r="F108" s="7" t="n">
        <v>2400</v>
      </c>
      <c r="G108" s="8" t="n">
        <v>140</v>
      </c>
      <c r="H108" s="7" t="s">
        <v>10</v>
      </c>
      <c r="I108" s="7" t="s">
        <v>13</v>
      </c>
    </row>
    <row r="109" customFormat="false" ht="15" hidden="false" customHeight="false" outlineLevel="0" collapsed="false">
      <c r="A109" s="5" t="n">
        <v>43849</v>
      </c>
      <c r="B109" s="6" t="n">
        <v>0.185416666666667</v>
      </c>
      <c r="C109" s="7" t="n">
        <v>119423</v>
      </c>
      <c r="D109" s="7" t="s">
        <v>18</v>
      </c>
      <c r="E109" s="7" t="n">
        <v>22940</v>
      </c>
      <c r="F109" s="7" t="n">
        <v>15780</v>
      </c>
      <c r="G109" s="8" t="n">
        <v>7160</v>
      </c>
      <c r="H109" s="7" t="s">
        <v>10</v>
      </c>
      <c r="I109" s="7" t="s">
        <v>13</v>
      </c>
    </row>
    <row r="110" customFormat="false" ht="15" hidden="false" customHeight="false" outlineLevel="0" collapsed="false">
      <c r="A110" s="5" t="n">
        <v>43849</v>
      </c>
      <c r="B110" s="6" t="n">
        <v>0.186805555555556</v>
      </c>
      <c r="C110" s="7" t="n">
        <v>119424</v>
      </c>
      <c r="D110" s="7" t="s">
        <v>17</v>
      </c>
      <c r="E110" s="7" t="n">
        <v>4200</v>
      </c>
      <c r="F110" s="7" t="n">
        <v>3780</v>
      </c>
      <c r="G110" s="8" t="n">
        <v>420</v>
      </c>
      <c r="H110" s="7" t="s">
        <v>10</v>
      </c>
      <c r="I110" s="7" t="s">
        <v>13</v>
      </c>
    </row>
    <row r="111" customFormat="false" ht="15" hidden="false" customHeight="false" outlineLevel="0" collapsed="false">
      <c r="A111" s="5" t="n">
        <v>43849</v>
      </c>
      <c r="B111" s="6" t="n">
        <v>0.279166666666667</v>
      </c>
      <c r="C111" s="7" t="n">
        <v>119427</v>
      </c>
      <c r="D111" s="7" t="s">
        <v>9</v>
      </c>
      <c r="E111" s="7" t="n">
        <v>3380</v>
      </c>
      <c r="F111" s="7" t="n">
        <v>2940</v>
      </c>
      <c r="G111" s="8" t="n">
        <v>440</v>
      </c>
      <c r="H111" s="7" t="s">
        <v>10</v>
      </c>
      <c r="I111" s="7" t="s">
        <v>11</v>
      </c>
    </row>
    <row r="112" customFormat="false" ht="15" hidden="false" customHeight="false" outlineLevel="0" collapsed="false">
      <c r="A112" s="5" t="n">
        <v>43849</v>
      </c>
      <c r="B112" s="6" t="n">
        <v>0.524305555555556</v>
      </c>
      <c r="C112" s="7" t="n">
        <v>119432</v>
      </c>
      <c r="D112" s="7" t="s">
        <v>9</v>
      </c>
      <c r="E112" s="7" t="n">
        <v>3200</v>
      </c>
      <c r="F112" s="7" t="n">
        <v>3000</v>
      </c>
      <c r="G112" s="8" t="n">
        <v>200</v>
      </c>
      <c r="H112" s="7" t="s">
        <v>10</v>
      </c>
      <c r="I112" s="7" t="s">
        <v>13</v>
      </c>
    </row>
    <row r="113" customFormat="false" ht="15" hidden="false" customHeight="false" outlineLevel="0" collapsed="false">
      <c r="A113" s="5" t="n">
        <v>43849</v>
      </c>
      <c r="B113" s="6" t="n">
        <v>0.124305555555556</v>
      </c>
      <c r="C113" s="7" t="n">
        <v>119420</v>
      </c>
      <c r="D113" s="7" t="s">
        <v>12</v>
      </c>
      <c r="E113" s="7" t="n">
        <v>16020</v>
      </c>
      <c r="F113" s="7" t="n">
        <v>12900</v>
      </c>
      <c r="G113" s="8" t="n">
        <v>3120</v>
      </c>
      <c r="H113" s="7" t="s">
        <v>10</v>
      </c>
      <c r="I113" s="7" t="s">
        <v>13</v>
      </c>
    </row>
    <row r="114" customFormat="false" ht="15" hidden="false" customHeight="false" outlineLevel="0" collapsed="false">
      <c r="A114" s="5" t="n">
        <v>43850</v>
      </c>
      <c r="B114" s="6" t="n">
        <v>0.0625</v>
      </c>
      <c r="C114" s="7" t="n">
        <v>119434</v>
      </c>
      <c r="D114" s="7" t="s">
        <v>12</v>
      </c>
      <c r="E114" s="7" t="n">
        <v>14900</v>
      </c>
      <c r="F114" s="7" t="n">
        <v>13000</v>
      </c>
      <c r="G114" s="8" t="n">
        <v>1900</v>
      </c>
      <c r="H114" s="7" t="s">
        <v>10</v>
      </c>
      <c r="I114" s="7" t="s">
        <v>13</v>
      </c>
    </row>
    <row r="115" customFormat="false" ht="15" hidden="false" customHeight="false" outlineLevel="0" collapsed="false">
      <c r="A115" s="5" t="n">
        <v>43850</v>
      </c>
      <c r="B115" s="6" t="n">
        <v>0.261111111111111</v>
      </c>
      <c r="C115" s="7" t="n">
        <v>119447</v>
      </c>
      <c r="D115" s="7" t="s">
        <v>17</v>
      </c>
      <c r="E115" s="7" t="n">
        <v>4160</v>
      </c>
      <c r="F115" s="7" t="n">
        <v>3800</v>
      </c>
      <c r="G115" s="8" t="n">
        <v>360</v>
      </c>
      <c r="H115" s="7" t="s">
        <v>10</v>
      </c>
      <c r="I115" s="7" t="s">
        <v>13</v>
      </c>
    </row>
    <row r="116" customFormat="false" ht="15" hidden="false" customHeight="false" outlineLevel="0" collapsed="false">
      <c r="A116" s="5" t="n">
        <v>43850</v>
      </c>
      <c r="B116" s="6" t="n">
        <v>0.249305555555556</v>
      </c>
      <c r="C116" s="7" t="n">
        <v>119446</v>
      </c>
      <c r="D116" s="7" t="s">
        <v>18</v>
      </c>
      <c r="E116" s="7" t="n">
        <v>21300</v>
      </c>
      <c r="F116" s="7" t="n">
        <v>16100</v>
      </c>
      <c r="G116" s="8" t="n">
        <v>5200</v>
      </c>
      <c r="H116" s="7" t="s">
        <v>10</v>
      </c>
      <c r="I116" s="7" t="s">
        <v>13</v>
      </c>
    </row>
    <row r="117" customFormat="false" ht="15" hidden="false" customHeight="false" outlineLevel="0" collapsed="false">
      <c r="A117" s="5" t="n">
        <v>43851</v>
      </c>
      <c r="B117" s="6" t="n">
        <v>0.528472222222222</v>
      </c>
      <c r="C117" s="7" t="n">
        <v>119496</v>
      </c>
      <c r="D117" s="7" t="s">
        <v>15</v>
      </c>
      <c r="E117" s="7" t="n">
        <v>3320</v>
      </c>
      <c r="F117" s="7" t="n">
        <v>2800</v>
      </c>
      <c r="G117" s="8" t="n">
        <v>520</v>
      </c>
      <c r="H117" s="7" t="s">
        <v>10</v>
      </c>
      <c r="I117" s="7" t="s">
        <v>16</v>
      </c>
    </row>
    <row r="118" customFormat="false" ht="15" hidden="false" customHeight="false" outlineLevel="0" collapsed="false">
      <c r="A118" s="5" t="n">
        <v>43851</v>
      </c>
      <c r="B118" s="6" t="n">
        <v>0.0715277777777778</v>
      </c>
      <c r="C118" s="7" t="n">
        <v>119476</v>
      </c>
      <c r="D118" s="7" t="s">
        <v>17</v>
      </c>
      <c r="E118" s="7" t="n">
        <v>3960</v>
      </c>
      <c r="F118" s="7" t="n">
        <v>3800</v>
      </c>
      <c r="G118" s="8" t="n">
        <v>160</v>
      </c>
      <c r="H118" s="7" t="s">
        <v>10</v>
      </c>
      <c r="I118" s="7" t="s">
        <v>13</v>
      </c>
    </row>
    <row r="119" customFormat="false" ht="15" hidden="false" customHeight="false" outlineLevel="0" collapsed="false">
      <c r="A119" s="5" t="n">
        <v>43851</v>
      </c>
      <c r="B119" s="6" t="n">
        <v>0.238888888888889</v>
      </c>
      <c r="C119" s="7" t="n">
        <v>119487</v>
      </c>
      <c r="D119" s="7" t="s">
        <v>18</v>
      </c>
      <c r="E119" s="7" t="n">
        <v>21020</v>
      </c>
      <c r="F119" s="7" t="n">
        <v>16920</v>
      </c>
      <c r="G119" s="8" t="n">
        <v>4100</v>
      </c>
      <c r="H119" s="7" t="s">
        <v>10</v>
      </c>
      <c r="I119" s="7" t="s">
        <v>13</v>
      </c>
    </row>
    <row r="120" customFormat="false" ht="15" hidden="false" customHeight="false" outlineLevel="0" collapsed="false">
      <c r="A120" s="5" t="n">
        <v>43852</v>
      </c>
      <c r="B120" s="6" t="n">
        <v>0.236805555555556</v>
      </c>
      <c r="C120" s="7" t="n">
        <v>119506</v>
      </c>
      <c r="D120" s="7" t="s">
        <v>17</v>
      </c>
      <c r="E120" s="7" t="n">
        <v>4400</v>
      </c>
      <c r="F120" s="7" t="n">
        <v>3800</v>
      </c>
      <c r="G120" s="8" t="n">
        <v>600</v>
      </c>
      <c r="H120" s="7" t="s">
        <v>10</v>
      </c>
      <c r="I120" s="7" t="s">
        <v>13</v>
      </c>
    </row>
    <row r="121" customFormat="false" ht="15" hidden="false" customHeight="false" outlineLevel="0" collapsed="false">
      <c r="A121" s="5" t="n">
        <v>43852</v>
      </c>
      <c r="B121" s="6" t="n">
        <v>0.140277777777778</v>
      </c>
      <c r="C121" s="7" t="n">
        <v>119502</v>
      </c>
      <c r="D121" s="7" t="s">
        <v>12</v>
      </c>
      <c r="E121" s="7" t="n">
        <v>17720</v>
      </c>
      <c r="F121" s="7" t="n">
        <v>13100</v>
      </c>
      <c r="G121" s="8" t="n">
        <v>4620</v>
      </c>
      <c r="H121" s="7" t="s">
        <v>10</v>
      </c>
      <c r="I121" s="7" t="s">
        <v>13</v>
      </c>
    </row>
    <row r="122" customFormat="false" ht="15" hidden="false" customHeight="false" outlineLevel="0" collapsed="false">
      <c r="A122" s="5" t="n">
        <v>43852</v>
      </c>
      <c r="B122" s="6" t="n">
        <v>0.172222222222222</v>
      </c>
      <c r="C122" s="7" t="n">
        <v>119504</v>
      </c>
      <c r="D122" s="7" t="s">
        <v>18</v>
      </c>
      <c r="E122" s="7" t="n">
        <v>23060</v>
      </c>
      <c r="F122" s="7" t="n">
        <v>16800</v>
      </c>
      <c r="G122" s="8" t="n">
        <v>6260</v>
      </c>
      <c r="H122" s="7" t="s">
        <v>10</v>
      </c>
      <c r="I122" s="7" t="s">
        <v>13</v>
      </c>
    </row>
    <row r="123" customFormat="false" ht="15" hidden="false" customHeight="false" outlineLevel="0" collapsed="false">
      <c r="A123" s="5" t="n">
        <v>43853</v>
      </c>
      <c r="B123" s="6" t="n">
        <v>0.263888888888889</v>
      </c>
      <c r="C123" s="7" t="n">
        <v>119540</v>
      </c>
      <c r="D123" s="7" t="s">
        <v>18</v>
      </c>
      <c r="E123" s="7" t="n">
        <v>26320</v>
      </c>
      <c r="F123" s="7" t="n">
        <v>16640</v>
      </c>
      <c r="G123" s="8" t="n">
        <v>9680</v>
      </c>
      <c r="H123" s="7" t="s">
        <v>10</v>
      </c>
      <c r="I123" s="7" t="s">
        <v>13</v>
      </c>
    </row>
    <row r="124" customFormat="false" ht="15" hidden="false" customHeight="false" outlineLevel="0" collapsed="false">
      <c r="A124" s="5" t="n">
        <v>43853</v>
      </c>
      <c r="B124" s="6" t="n">
        <v>0.121527777777778</v>
      </c>
      <c r="C124" s="7" t="n">
        <v>119533</v>
      </c>
      <c r="D124" s="7" t="s">
        <v>12</v>
      </c>
      <c r="E124" s="7" t="n">
        <v>17520</v>
      </c>
      <c r="F124" s="7" t="n">
        <v>13060</v>
      </c>
      <c r="G124" s="8" t="n">
        <v>4460</v>
      </c>
      <c r="H124" s="7" t="s">
        <v>10</v>
      </c>
      <c r="I124" s="7" t="s">
        <v>13</v>
      </c>
    </row>
    <row r="125" customFormat="false" ht="15" hidden="false" customHeight="false" outlineLevel="0" collapsed="false">
      <c r="A125" s="5" t="n">
        <v>43853</v>
      </c>
      <c r="B125" s="6" t="n">
        <v>0.264583333333333</v>
      </c>
      <c r="C125" s="7" t="n">
        <v>119541</v>
      </c>
      <c r="D125" s="7" t="s">
        <v>17</v>
      </c>
      <c r="E125" s="7" t="n">
        <v>4080</v>
      </c>
      <c r="F125" s="7" t="n">
        <v>3800</v>
      </c>
      <c r="G125" s="8" t="n">
        <v>280</v>
      </c>
      <c r="H125" s="7" t="s">
        <v>10</v>
      </c>
      <c r="I125" s="7" t="s">
        <v>13</v>
      </c>
    </row>
    <row r="126" customFormat="false" ht="15" hidden="false" customHeight="false" outlineLevel="0" collapsed="false">
      <c r="A126" s="5" t="n">
        <v>43853</v>
      </c>
      <c r="B126" s="6" t="n">
        <v>0.454166666666667</v>
      </c>
      <c r="C126" s="7" t="n">
        <v>119552</v>
      </c>
      <c r="D126" s="7" t="s">
        <v>14</v>
      </c>
      <c r="E126" s="7" t="n">
        <v>2640</v>
      </c>
      <c r="F126" s="7" t="n">
        <v>2400</v>
      </c>
      <c r="G126" s="8" t="n">
        <v>240</v>
      </c>
      <c r="H126" s="7" t="s">
        <v>10</v>
      </c>
      <c r="I126" s="7" t="s">
        <v>13</v>
      </c>
    </row>
    <row r="127" customFormat="false" ht="15" hidden="false" customHeight="false" outlineLevel="0" collapsed="false">
      <c r="A127" s="5" t="n">
        <v>43853</v>
      </c>
      <c r="B127" s="6" t="n">
        <v>0.508333333333333</v>
      </c>
      <c r="C127" s="7" t="n">
        <v>119555</v>
      </c>
      <c r="D127" s="7" t="s">
        <v>14</v>
      </c>
      <c r="E127" s="7" t="n">
        <v>2460</v>
      </c>
      <c r="F127" s="7" t="n">
        <v>2400</v>
      </c>
      <c r="G127" s="8" t="n">
        <v>60</v>
      </c>
      <c r="H127" s="7" t="s">
        <v>10</v>
      </c>
      <c r="I127" s="7" t="s">
        <v>11</v>
      </c>
    </row>
    <row r="128" customFormat="false" ht="15" hidden="false" customHeight="false" outlineLevel="0" collapsed="false">
      <c r="A128" s="5" t="n">
        <v>43853</v>
      </c>
      <c r="B128" s="6" t="n">
        <v>0.366666666666667</v>
      </c>
      <c r="C128" s="7" t="n">
        <v>119549</v>
      </c>
      <c r="D128" s="7" t="s">
        <v>15</v>
      </c>
      <c r="E128" s="7" t="n">
        <v>3180</v>
      </c>
      <c r="F128" s="7" t="n">
        <v>2680</v>
      </c>
      <c r="G128" s="8" t="n">
        <v>500</v>
      </c>
      <c r="H128" s="7" t="s">
        <v>10</v>
      </c>
      <c r="I128" s="7" t="s">
        <v>16</v>
      </c>
    </row>
    <row r="129" customFormat="false" ht="15" hidden="false" customHeight="false" outlineLevel="0" collapsed="false">
      <c r="A129" s="5" t="n">
        <v>43854</v>
      </c>
      <c r="B129" s="6" t="n">
        <v>0.111111111111111</v>
      </c>
      <c r="C129" s="7" t="n">
        <v>119569</v>
      </c>
      <c r="D129" s="7" t="s">
        <v>12</v>
      </c>
      <c r="E129" s="7" t="n">
        <v>20500</v>
      </c>
      <c r="F129" s="7" t="n">
        <v>13140</v>
      </c>
      <c r="G129" s="8" t="n">
        <v>7360</v>
      </c>
      <c r="H129" s="7" t="s">
        <v>10</v>
      </c>
      <c r="I129" s="7" t="s">
        <v>13</v>
      </c>
    </row>
    <row r="130" customFormat="false" ht="15" hidden="false" customHeight="false" outlineLevel="0" collapsed="false">
      <c r="A130" s="5" t="n">
        <v>43854</v>
      </c>
      <c r="B130" s="6" t="n">
        <v>0.25</v>
      </c>
      <c r="C130" s="7" t="n">
        <v>119577</v>
      </c>
      <c r="D130" s="7" t="s">
        <v>18</v>
      </c>
      <c r="E130" s="7" t="n">
        <v>23860</v>
      </c>
      <c r="F130" s="7" t="n">
        <v>16020</v>
      </c>
      <c r="G130" s="8" t="n">
        <v>7840</v>
      </c>
      <c r="H130" s="7" t="s">
        <v>10</v>
      </c>
      <c r="I130" s="7" t="s">
        <v>13</v>
      </c>
    </row>
    <row r="131" customFormat="false" ht="15" hidden="false" customHeight="false" outlineLevel="0" collapsed="false">
      <c r="A131" s="5" t="n">
        <v>43854</v>
      </c>
      <c r="B131" s="6" t="n">
        <v>0.25625</v>
      </c>
      <c r="C131" s="7" t="n">
        <v>119578</v>
      </c>
      <c r="D131" s="7" t="s">
        <v>17</v>
      </c>
      <c r="E131" s="7" t="n">
        <v>4060</v>
      </c>
      <c r="F131" s="7" t="n">
        <v>3780</v>
      </c>
      <c r="G131" s="8" t="n">
        <v>280</v>
      </c>
      <c r="H131" s="7" t="s">
        <v>10</v>
      </c>
      <c r="I131" s="7" t="s">
        <v>13</v>
      </c>
    </row>
    <row r="132" customFormat="false" ht="15" hidden="false" customHeight="false" outlineLevel="0" collapsed="false">
      <c r="A132" s="5" t="n">
        <v>43854</v>
      </c>
      <c r="B132" s="6" t="n">
        <v>0.473611111111111</v>
      </c>
      <c r="C132" s="7" t="n">
        <v>119594</v>
      </c>
      <c r="D132" s="7" t="s">
        <v>14</v>
      </c>
      <c r="E132" s="7" t="n">
        <v>2740</v>
      </c>
      <c r="F132" s="7" t="n">
        <v>2380</v>
      </c>
      <c r="G132" s="8" t="n">
        <v>360</v>
      </c>
      <c r="H132" s="7" t="s">
        <v>10</v>
      </c>
      <c r="I132" s="7" t="s">
        <v>13</v>
      </c>
    </row>
    <row r="133" customFormat="false" ht="15" hidden="false" customHeight="false" outlineLevel="0" collapsed="false">
      <c r="A133" s="5" t="n">
        <v>43854</v>
      </c>
      <c r="B133" s="6" t="n">
        <v>0.646527777777778</v>
      </c>
      <c r="C133" s="7" t="n">
        <v>119605</v>
      </c>
      <c r="D133" s="7" t="s">
        <v>15</v>
      </c>
      <c r="E133" s="7" t="n">
        <v>3700</v>
      </c>
      <c r="F133" s="7" t="n">
        <v>2780</v>
      </c>
      <c r="G133" s="8" t="n">
        <v>920</v>
      </c>
      <c r="H133" s="7" t="s">
        <v>10</v>
      </c>
      <c r="I133" s="7" t="s">
        <v>16</v>
      </c>
    </row>
    <row r="134" customFormat="false" ht="15" hidden="false" customHeight="false" outlineLevel="0" collapsed="false">
      <c r="A134" s="5" t="n">
        <v>43855</v>
      </c>
      <c r="B134" s="6" t="n">
        <v>0.204166666666667</v>
      </c>
      <c r="C134" s="7" t="n">
        <v>119616</v>
      </c>
      <c r="D134" s="7" t="s">
        <v>12</v>
      </c>
      <c r="E134" s="7" t="n">
        <v>16100</v>
      </c>
      <c r="F134" s="7" t="n">
        <v>12940</v>
      </c>
      <c r="G134" s="8" t="n">
        <v>3160</v>
      </c>
      <c r="H134" s="7" t="s">
        <v>10</v>
      </c>
      <c r="I134" s="7" t="s">
        <v>13</v>
      </c>
    </row>
    <row r="135" customFormat="false" ht="15" hidden="false" customHeight="false" outlineLevel="0" collapsed="false">
      <c r="A135" s="5" t="n">
        <v>43855</v>
      </c>
      <c r="B135" s="6" t="n">
        <v>0.2625</v>
      </c>
      <c r="C135" s="7" t="n">
        <v>119620</v>
      </c>
      <c r="D135" s="7" t="s">
        <v>17</v>
      </c>
      <c r="E135" s="7" t="n">
        <v>4240</v>
      </c>
      <c r="F135" s="7" t="n">
        <v>3800</v>
      </c>
      <c r="G135" s="8" t="n">
        <v>440</v>
      </c>
      <c r="H135" s="7" t="s">
        <v>10</v>
      </c>
      <c r="I135" s="7" t="s">
        <v>13</v>
      </c>
    </row>
    <row r="136" customFormat="false" ht="15" hidden="false" customHeight="false" outlineLevel="0" collapsed="false">
      <c r="A136" s="5" t="n">
        <v>43855</v>
      </c>
      <c r="B136" s="6" t="n">
        <v>0.270138888888889</v>
      </c>
      <c r="C136" s="7" t="n">
        <v>119621</v>
      </c>
      <c r="D136" s="7" t="s">
        <v>18</v>
      </c>
      <c r="E136" s="7" t="n">
        <v>25260</v>
      </c>
      <c r="F136" s="7" t="n">
        <v>16260</v>
      </c>
      <c r="G136" s="8" t="n">
        <v>9000</v>
      </c>
      <c r="H136" s="7" t="s">
        <v>10</v>
      </c>
      <c r="I136" s="7" t="s">
        <v>13</v>
      </c>
    </row>
    <row r="137" customFormat="false" ht="15" hidden="false" customHeight="false" outlineLevel="0" collapsed="false">
      <c r="A137" s="5" t="n">
        <v>43855</v>
      </c>
      <c r="B137" s="6" t="n">
        <v>0.45</v>
      </c>
      <c r="C137" s="7" t="n">
        <v>119628</v>
      </c>
      <c r="D137" s="7" t="s">
        <v>14</v>
      </c>
      <c r="E137" s="7" t="n">
        <v>2640</v>
      </c>
      <c r="F137" s="7" t="n">
        <v>2380</v>
      </c>
      <c r="G137" s="8" t="n">
        <v>260</v>
      </c>
      <c r="H137" s="7" t="s">
        <v>10</v>
      </c>
      <c r="I137" s="7" t="s">
        <v>13</v>
      </c>
    </row>
    <row r="138" customFormat="false" ht="15" hidden="false" customHeight="false" outlineLevel="0" collapsed="false">
      <c r="A138" s="5" t="n">
        <v>43856</v>
      </c>
      <c r="B138" s="6" t="n">
        <v>0.159027777777778</v>
      </c>
      <c r="C138" s="7" t="n">
        <v>119637</v>
      </c>
      <c r="D138" s="7" t="s">
        <v>12</v>
      </c>
      <c r="E138" s="7" t="n">
        <v>21220</v>
      </c>
      <c r="F138" s="7" t="n">
        <v>13120</v>
      </c>
      <c r="G138" s="8" t="n">
        <v>8100</v>
      </c>
      <c r="H138" s="7" t="s">
        <v>10</v>
      </c>
      <c r="I138" s="7" t="s">
        <v>13</v>
      </c>
    </row>
    <row r="139" customFormat="false" ht="15" hidden="false" customHeight="false" outlineLevel="0" collapsed="false">
      <c r="A139" s="5" t="n">
        <v>43856</v>
      </c>
      <c r="B139" s="6" t="n">
        <v>0.177777777777778</v>
      </c>
      <c r="C139" s="7" t="n">
        <v>119638</v>
      </c>
      <c r="D139" s="7" t="s">
        <v>18</v>
      </c>
      <c r="E139" s="7" t="n">
        <v>23500</v>
      </c>
      <c r="F139" s="7" t="n">
        <v>16060</v>
      </c>
      <c r="G139" s="8" t="n">
        <v>7440</v>
      </c>
      <c r="H139" s="7" t="s">
        <v>10</v>
      </c>
      <c r="I139" s="7" t="s">
        <v>13</v>
      </c>
    </row>
    <row r="140" customFormat="false" ht="15" hidden="false" customHeight="false" outlineLevel="0" collapsed="false">
      <c r="A140" s="5" t="n">
        <v>43856</v>
      </c>
      <c r="B140" s="6" t="n">
        <v>0.2125</v>
      </c>
      <c r="C140" s="7" t="n">
        <v>119639</v>
      </c>
      <c r="D140" s="7" t="s">
        <v>17</v>
      </c>
      <c r="E140" s="7" t="n">
        <v>4280</v>
      </c>
      <c r="F140" s="7" t="n">
        <v>3820</v>
      </c>
      <c r="G140" s="8" t="n">
        <v>460</v>
      </c>
      <c r="H140" s="7" t="s">
        <v>10</v>
      </c>
      <c r="I140" s="7" t="s">
        <v>13</v>
      </c>
    </row>
    <row r="141" customFormat="false" ht="15" hidden="false" customHeight="false" outlineLevel="0" collapsed="false">
      <c r="A141" s="5" t="n">
        <v>43856</v>
      </c>
      <c r="B141" s="6" t="n">
        <v>0.475694444444444</v>
      </c>
      <c r="C141" s="7" t="n">
        <v>119644</v>
      </c>
      <c r="D141" s="7" t="s">
        <v>14</v>
      </c>
      <c r="E141" s="7" t="n">
        <v>2660</v>
      </c>
      <c r="F141" s="7" t="n">
        <v>2380</v>
      </c>
      <c r="G141" s="8" t="n">
        <v>280</v>
      </c>
      <c r="H141" s="7" t="s">
        <v>10</v>
      </c>
      <c r="I141" s="7" t="s">
        <v>13</v>
      </c>
    </row>
    <row r="142" customFormat="false" ht="15" hidden="false" customHeight="false" outlineLevel="0" collapsed="false">
      <c r="A142" s="5" t="n">
        <v>43857</v>
      </c>
      <c r="B142" s="6" t="n">
        <v>0.199305555555556</v>
      </c>
      <c r="C142" s="7" t="n">
        <v>119653</v>
      </c>
      <c r="D142" s="7" t="s">
        <v>12</v>
      </c>
      <c r="E142" s="7" t="n">
        <v>20680</v>
      </c>
      <c r="F142" s="7" t="n">
        <v>13000</v>
      </c>
      <c r="G142" s="8" t="n">
        <v>7680</v>
      </c>
      <c r="H142" s="7" t="s">
        <v>10</v>
      </c>
      <c r="I142" s="7" t="s">
        <v>13</v>
      </c>
    </row>
    <row r="143" customFormat="false" ht="15" hidden="false" customHeight="false" outlineLevel="0" collapsed="false">
      <c r="A143" s="5" t="n">
        <v>43857</v>
      </c>
      <c r="B143" s="6" t="n">
        <v>0.236111111111111</v>
      </c>
      <c r="C143" s="7" t="n">
        <v>119655</v>
      </c>
      <c r="D143" s="7" t="s">
        <v>18</v>
      </c>
      <c r="E143" s="7" t="n">
        <v>26340</v>
      </c>
      <c r="F143" s="7" t="n">
        <v>16180</v>
      </c>
      <c r="G143" s="8" t="n">
        <v>10160</v>
      </c>
      <c r="H143" s="7" t="s">
        <v>10</v>
      </c>
      <c r="I143" s="7" t="s">
        <v>13</v>
      </c>
    </row>
    <row r="144" customFormat="false" ht="15" hidden="false" customHeight="false" outlineLevel="0" collapsed="false">
      <c r="A144" s="5" t="n">
        <v>43857</v>
      </c>
      <c r="B144" s="6" t="n">
        <v>0.261111111111111</v>
      </c>
      <c r="C144" s="7" t="n">
        <v>119658</v>
      </c>
      <c r="D144" s="7" t="s">
        <v>17</v>
      </c>
      <c r="E144" s="7" t="n">
        <v>4180</v>
      </c>
      <c r="F144" s="7" t="n">
        <v>3780</v>
      </c>
      <c r="G144" s="8" t="n">
        <v>400</v>
      </c>
      <c r="H144" s="7" t="s">
        <v>10</v>
      </c>
      <c r="I144" s="7" t="s">
        <v>13</v>
      </c>
    </row>
    <row r="145" customFormat="false" ht="15" hidden="false" customHeight="false" outlineLevel="0" collapsed="false">
      <c r="A145" s="5" t="n">
        <v>43857</v>
      </c>
      <c r="B145" s="6" t="n">
        <v>0.323611111111111</v>
      </c>
      <c r="C145" s="7" t="n">
        <v>119663</v>
      </c>
      <c r="D145" s="7" t="s">
        <v>9</v>
      </c>
      <c r="E145" s="7" t="n">
        <v>4000</v>
      </c>
      <c r="F145" s="7" t="n">
        <v>2940</v>
      </c>
      <c r="G145" s="8" t="n">
        <v>1060</v>
      </c>
      <c r="H145" s="7" t="s">
        <v>10</v>
      </c>
      <c r="I145" s="7" t="s">
        <v>11</v>
      </c>
    </row>
    <row r="146" customFormat="false" ht="15" hidden="false" customHeight="false" outlineLevel="0" collapsed="false">
      <c r="A146" s="5" t="n">
        <v>43857</v>
      </c>
      <c r="B146" s="6" t="n">
        <v>0.438888888888889</v>
      </c>
      <c r="C146" s="7" t="n">
        <v>119674</v>
      </c>
      <c r="D146" s="7" t="s">
        <v>14</v>
      </c>
      <c r="E146" s="7" t="n">
        <v>2760</v>
      </c>
      <c r="F146" s="7" t="n">
        <v>2400</v>
      </c>
      <c r="G146" s="8" t="n">
        <v>360</v>
      </c>
      <c r="H146" s="7" t="s">
        <v>10</v>
      </c>
      <c r="I146" s="7" t="s">
        <v>13</v>
      </c>
    </row>
    <row r="147" customFormat="false" ht="15" hidden="false" customHeight="false" outlineLevel="0" collapsed="false">
      <c r="A147" s="5" t="n">
        <v>43857</v>
      </c>
      <c r="B147" s="6" t="n">
        <v>0.461805555555556</v>
      </c>
      <c r="C147" s="7" t="n">
        <v>119677</v>
      </c>
      <c r="D147" s="7" t="s">
        <v>9</v>
      </c>
      <c r="E147" s="7" t="n">
        <v>3800</v>
      </c>
      <c r="F147" s="7" t="n">
        <v>2920</v>
      </c>
      <c r="G147" s="8" t="n">
        <v>880</v>
      </c>
      <c r="H147" s="7" t="s">
        <v>10</v>
      </c>
      <c r="I147" s="7" t="s">
        <v>11</v>
      </c>
    </row>
    <row r="148" customFormat="false" ht="15" hidden="false" customHeight="false" outlineLevel="0" collapsed="false">
      <c r="A148" s="5" t="n">
        <v>43857</v>
      </c>
      <c r="B148" s="6" t="n">
        <v>0.517361111111111</v>
      </c>
      <c r="C148" s="7" t="n">
        <v>119683</v>
      </c>
      <c r="D148" s="7" t="s">
        <v>9</v>
      </c>
      <c r="E148" s="7" t="n">
        <v>3940</v>
      </c>
      <c r="F148" s="7" t="n">
        <v>2920</v>
      </c>
      <c r="G148" s="8" t="n">
        <v>1020</v>
      </c>
      <c r="H148" s="7" t="s">
        <v>10</v>
      </c>
      <c r="I148" s="7" t="s">
        <v>11</v>
      </c>
    </row>
    <row r="149" customFormat="false" ht="15" hidden="false" customHeight="false" outlineLevel="0" collapsed="false">
      <c r="A149" s="5" t="n">
        <v>43858</v>
      </c>
      <c r="B149" s="6" t="n">
        <v>0.249305555555556</v>
      </c>
      <c r="C149" s="7" t="n">
        <v>119708</v>
      </c>
      <c r="D149" s="7" t="s">
        <v>18</v>
      </c>
      <c r="E149" s="7" t="n">
        <v>24340</v>
      </c>
      <c r="F149" s="7" t="n">
        <v>15920</v>
      </c>
      <c r="G149" s="8" t="n">
        <v>8420</v>
      </c>
      <c r="H149" s="7" t="s">
        <v>10</v>
      </c>
      <c r="I149" s="7" t="s">
        <v>13</v>
      </c>
    </row>
    <row r="150" customFormat="false" ht="15" hidden="false" customHeight="false" outlineLevel="0" collapsed="false">
      <c r="A150" s="5" t="n">
        <v>43858</v>
      </c>
      <c r="B150" s="6" t="n">
        <v>0.190277777777778</v>
      </c>
      <c r="C150" s="7" t="n">
        <v>119706</v>
      </c>
      <c r="D150" s="7" t="s">
        <v>12</v>
      </c>
      <c r="E150" s="7" t="n">
        <v>22540</v>
      </c>
      <c r="F150" s="7" t="n">
        <v>12980</v>
      </c>
      <c r="G150" s="8" t="n">
        <v>9560</v>
      </c>
      <c r="H150" s="7" t="s">
        <v>10</v>
      </c>
      <c r="I150" s="7" t="s">
        <v>13</v>
      </c>
    </row>
    <row r="151" customFormat="false" ht="15" hidden="false" customHeight="false" outlineLevel="0" collapsed="false">
      <c r="A151" s="5" t="n">
        <v>43858</v>
      </c>
      <c r="B151" s="6" t="n">
        <v>0.261111111111111</v>
      </c>
      <c r="C151" s="7" t="n">
        <v>119710</v>
      </c>
      <c r="D151" s="7" t="s">
        <v>17</v>
      </c>
      <c r="E151" s="7" t="n">
        <v>4220</v>
      </c>
      <c r="F151" s="7" t="n">
        <v>3780</v>
      </c>
      <c r="G151" s="8" t="n">
        <v>440</v>
      </c>
      <c r="H151" s="7" t="s">
        <v>10</v>
      </c>
      <c r="I151" s="7" t="s">
        <v>13</v>
      </c>
    </row>
    <row r="152" customFormat="false" ht="15" hidden="false" customHeight="false" outlineLevel="0" collapsed="false">
      <c r="A152" s="5" t="n">
        <v>43858</v>
      </c>
      <c r="B152" s="6" t="n">
        <v>0.309027777777778</v>
      </c>
      <c r="C152" s="7" t="n">
        <v>119717</v>
      </c>
      <c r="D152" s="7" t="s">
        <v>9</v>
      </c>
      <c r="E152" s="7" t="n">
        <v>3280</v>
      </c>
      <c r="F152" s="7" t="n">
        <v>2920</v>
      </c>
      <c r="G152" s="8" t="n">
        <v>360</v>
      </c>
      <c r="H152" s="7" t="s">
        <v>10</v>
      </c>
      <c r="I152" s="7" t="s">
        <v>16</v>
      </c>
    </row>
    <row r="153" customFormat="false" ht="15" hidden="false" customHeight="false" outlineLevel="0" collapsed="false">
      <c r="A153" s="5" t="n">
        <v>43858</v>
      </c>
      <c r="B153" s="6" t="n">
        <v>0.435416666666667</v>
      </c>
      <c r="C153" s="7" t="n">
        <v>119728</v>
      </c>
      <c r="D153" s="7" t="s">
        <v>9</v>
      </c>
      <c r="E153" s="7" t="n">
        <v>3340</v>
      </c>
      <c r="F153" s="7" t="n">
        <v>2840</v>
      </c>
      <c r="G153" s="8" t="n">
        <v>500</v>
      </c>
      <c r="H153" s="7" t="s">
        <v>10</v>
      </c>
      <c r="I153" s="7" t="s">
        <v>13</v>
      </c>
    </row>
    <row r="154" customFormat="false" ht="15" hidden="false" customHeight="false" outlineLevel="0" collapsed="false">
      <c r="A154" s="5" t="n">
        <v>43858</v>
      </c>
      <c r="B154" s="6" t="n">
        <v>0.441666666666667</v>
      </c>
      <c r="C154" s="7" t="n">
        <v>119731</v>
      </c>
      <c r="D154" s="7" t="s">
        <v>14</v>
      </c>
      <c r="E154" s="7" t="n">
        <v>2760</v>
      </c>
      <c r="F154" s="7" t="n">
        <v>2420</v>
      </c>
      <c r="G154" s="8" t="n">
        <v>340</v>
      </c>
      <c r="H154" s="7" t="s">
        <v>10</v>
      </c>
      <c r="I154" s="7" t="s">
        <v>13</v>
      </c>
    </row>
    <row r="155" customFormat="false" ht="15" hidden="false" customHeight="false" outlineLevel="0" collapsed="false">
      <c r="A155" s="5" t="n">
        <v>43858</v>
      </c>
      <c r="B155" s="6" t="n">
        <v>0.511805555555555</v>
      </c>
      <c r="C155" s="7" t="n">
        <v>119737</v>
      </c>
      <c r="D155" s="7" t="s">
        <v>9</v>
      </c>
      <c r="E155" s="7" t="n">
        <v>3160</v>
      </c>
      <c r="F155" s="7" t="n">
        <v>2820</v>
      </c>
      <c r="G155" s="8" t="n">
        <v>340</v>
      </c>
      <c r="H155" s="7" t="s">
        <v>10</v>
      </c>
      <c r="I155" s="7" t="s">
        <v>13</v>
      </c>
    </row>
    <row r="156" customFormat="false" ht="15" hidden="false" customHeight="false" outlineLevel="0" collapsed="false">
      <c r="A156" s="5" t="n">
        <v>43858</v>
      </c>
      <c r="B156" s="6" t="n">
        <v>0.563194444444445</v>
      </c>
      <c r="C156" s="7" t="n">
        <v>119740</v>
      </c>
      <c r="D156" s="7" t="s">
        <v>15</v>
      </c>
      <c r="E156" s="7" t="n">
        <v>3000</v>
      </c>
      <c r="F156" s="7" t="n">
        <v>2800</v>
      </c>
      <c r="G156" s="8" t="n">
        <v>200</v>
      </c>
      <c r="H156" s="7" t="s">
        <v>10</v>
      </c>
      <c r="I156" s="7" t="s">
        <v>16</v>
      </c>
    </row>
    <row r="157" customFormat="false" ht="15" hidden="false" customHeight="false" outlineLevel="0" collapsed="false">
      <c r="A157" s="5" t="n">
        <v>43859</v>
      </c>
      <c r="B157" s="6" t="n">
        <v>0.0708333333333333</v>
      </c>
      <c r="C157" s="7" t="n">
        <v>119748</v>
      </c>
      <c r="D157" s="7" t="s">
        <v>12</v>
      </c>
      <c r="E157" s="7" t="n">
        <v>20540</v>
      </c>
      <c r="F157" s="7" t="n">
        <v>13100</v>
      </c>
      <c r="G157" s="8" t="n">
        <v>7440</v>
      </c>
      <c r="H157" s="7" t="s">
        <v>10</v>
      </c>
      <c r="I157" s="7" t="s">
        <v>13</v>
      </c>
    </row>
    <row r="158" customFormat="false" ht="15" hidden="false" customHeight="false" outlineLevel="0" collapsed="false">
      <c r="A158" s="5" t="n">
        <v>43859</v>
      </c>
      <c r="B158" s="6" t="n">
        <v>0.25</v>
      </c>
      <c r="C158" s="7" t="n">
        <v>119756</v>
      </c>
      <c r="D158" s="7" t="s">
        <v>18</v>
      </c>
      <c r="E158" s="7" t="n">
        <v>25880</v>
      </c>
      <c r="F158" s="7" t="n">
        <v>15860</v>
      </c>
      <c r="G158" s="8" t="n">
        <v>10020</v>
      </c>
      <c r="H158" s="7" t="s">
        <v>10</v>
      </c>
      <c r="I158" s="7" t="s">
        <v>13</v>
      </c>
    </row>
    <row r="159" customFormat="false" ht="15" hidden="false" customHeight="false" outlineLevel="0" collapsed="false">
      <c r="A159" s="5" t="n">
        <v>43859</v>
      </c>
      <c r="B159" s="6" t="n">
        <v>0.2625</v>
      </c>
      <c r="C159" s="7" t="n">
        <v>119758</v>
      </c>
      <c r="D159" s="7" t="s">
        <v>17</v>
      </c>
      <c r="E159" s="7" t="n">
        <v>4140</v>
      </c>
      <c r="F159" s="7" t="n">
        <v>3760</v>
      </c>
      <c r="G159" s="8" t="n">
        <v>380</v>
      </c>
      <c r="H159" s="7" t="s">
        <v>10</v>
      </c>
      <c r="I159" s="7" t="s">
        <v>13</v>
      </c>
    </row>
    <row r="160" customFormat="false" ht="15" hidden="false" customHeight="false" outlineLevel="0" collapsed="false">
      <c r="A160" s="5" t="n">
        <v>43859</v>
      </c>
      <c r="B160" s="6" t="n">
        <v>0.302083333333333</v>
      </c>
      <c r="C160" s="7" t="n">
        <v>119766</v>
      </c>
      <c r="D160" s="7" t="s">
        <v>15</v>
      </c>
      <c r="E160" s="7" t="n">
        <v>3020</v>
      </c>
      <c r="F160" s="7" t="n">
        <v>2800</v>
      </c>
      <c r="G160" s="8" t="n">
        <v>220</v>
      </c>
      <c r="H160" s="7" t="s">
        <v>10</v>
      </c>
      <c r="I160" s="7" t="s">
        <v>16</v>
      </c>
    </row>
    <row r="161" customFormat="false" ht="15" hidden="false" customHeight="false" outlineLevel="0" collapsed="false">
      <c r="A161" s="5" t="n">
        <v>43859</v>
      </c>
      <c r="B161" s="6" t="n">
        <v>0.448611111111111</v>
      </c>
      <c r="C161" s="7" t="n">
        <v>119780</v>
      </c>
      <c r="D161" s="7" t="s">
        <v>22</v>
      </c>
      <c r="E161" s="7" t="n">
        <v>6900</v>
      </c>
      <c r="F161" s="7" t="n">
        <v>5700</v>
      </c>
      <c r="G161" s="8" t="n">
        <v>1200</v>
      </c>
      <c r="H161" s="7" t="s">
        <v>10</v>
      </c>
      <c r="I161" s="7" t="s">
        <v>11</v>
      </c>
    </row>
    <row r="162" customFormat="false" ht="15" hidden="false" customHeight="false" outlineLevel="0" collapsed="false">
      <c r="A162" s="5" t="n">
        <v>43859</v>
      </c>
      <c r="B162" s="6" t="n">
        <v>0.460416666666667</v>
      </c>
      <c r="C162" s="7" t="n">
        <v>119782</v>
      </c>
      <c r="D162" s="7" t="s">
        <v>14</v>
      </c>
      <c r="E162" s="7" t="n">
        <v>2660</v>
      </c>
      <c r="F162" s="7" t="n">
        <v>2400</v>
      </c>
      <c r="G162" s="8" t="n">
        <v>260</v>
      </c>
      <c r="H162" s="7" t="s">
        <v>10</v>
      </c>
      <c r="I162" s="7" t="s">
        <v>13</v>
      </c>
    </row>
    <row r="163" customFormat="false" ht="15" hidden="false" customHeight="false" outlineLevel="0" collapsed="false">
      <c r="A163" s="5" t="n">
        <v>43859</v>
      </c>
      <c r="B163" s="6" t="n">
        <v>0.467361111111111</v>
      </c>
      <c r="C163" s="7" t="n">
        <v>119783</v>
      </c>
      <c r="D163" s="7" t="s">
        <v>9</v>
      </c>
      <c r="E163" s="7" t="n">
        <v>3340</v>
      </c>
      <c r="F163" s="7" t="n">
        <v>2920</v>
      </c>
      <c r="G163" s="8" t="n">
        <v>420</v>
      </c>
      <c r="H163" s="7" t="s">
        <v>10</v>
      </c>
      <c r="I163" s="7" t="s">
        <v>13</v>
      </c>
    </row>
    <row r="164" customFormat="false" ht="15" hidden="false" customHeight="false" outlineLevel="0" collapsed="false">
      <c r="A164" s="5" t="n">
        <v>43859</v>
      </c>
      <c r="B164" s="6" t="n">
        <v>0.49375</v>
      </c>
      <c r="C164" s="7" t="n">
        <v>119787</v>
      </c>
      <c r="D164" s="7" t="s">
        <v>15</v>
      </c>
      <c r="E164" s="7" t="n">
        <v>3200</v>
      </c>
      <c r="F164" s="7" t="n">
        <v>2800</v>
      </c>
      <c r="G164" s="8" t="n">
        <v>400</v>
      </c>
      <c r="H164" s="7" t="s">
        <v>10</v>
      </c>
      <c r="I164" s="7" t="s">
        <v>16</v>
      </c>
    </row>
    <row r="165" customFormat="false" ht="15" hidden="false" customHeight="false" outlineLevel="0" collapsed="false">
      <c r="A165" s="5" t="n">
        <v>43859</v>
      </c>
      <c r="B165" s="6" t="n">
        <v>0.524305555555556</v>
      </c>
      <c r="C165" s="7" t="n">
        <v>119791</v>
      </c>
      <c r="D165" s="7" t="s">
        <v>22</v>
      </c>
      <c r="E165" s="7" t="n">
        <v>6140</v>
      </c>
      <c r="F165" s="7" t="n">
        <v>5680</v>
      </c>
      <c r="G165" s="8" t="n">
        <v>460</v>
      </c>
      <c r="H165" s="7" t="s">
        <v>10</v>
      </c>
      <c r="I165" s="7" t="s">
        <v>11</v>
      </c>
    </row>
    <row r="166" customFormat="false" ht="15" hidden="false" customHeight="false" outlineLevel="0" collapsed="false">
      <c r="A166" s="5" t="n">
        <v>43859</v>
      </c>
      <c r="B166" s="6" t="n">
        <v>0.5625</v>
      </c>
      <c r="C166" s="7" t="n">
        <v>119795</v>
      </c>
      <c r="D166" s="7" t="s">
        <v>15</v>
      </c>
      <c r="E166" s="7" t="n">
        <v>3120</v>
      </c>
      <c r="F166" s="7" t="n">
        <v>2800</v>
      </c>
      <c r="G166" s="8" t="n">
        <v>320</v>
      </c>
      <c r="H166" s="7" t="s">
        <v>10</v>
      </c>
      <c r="I166" s="7" t="s">
        <v>16</v>
      </c>
    </row>
    <row r="167" customFormat="false" ht="15" hidden="false" customHeight="false" outlineLevel="0" collapsed="false">
      <c r="A167" s="5" t="n">
        <v>43860</v>
      </c>
      <c r="B167" s="6" t="n">
        <v>0.150694444444444</v>
      </c>
      <c r="C167" s="7" t="n">
        <v>119812</v>
      </c>
      <c r="D167" s="7" t="s">
        <v>12</v>
      </c>
      <c r="E167" s="7" t="n">
        <v>17180</v>
      </c>
      <c r="F167" s="7" t="n">
        <v>13020</v>
      </c>
      <c r="G167" s="8" t="n">
        <v>4160</v>
      </c>
      <c r="H167" s="7" t="s">
        <v>10</v>
      </c>
      <c r="I167" s="7" t="s">
        <v>13</v>
      </c>
    </row>
    <row r="168" customFormat="false" ht="15" hidden="false" customHeight="false" outlineLevel="0" collapsed="false">
      <c r="A168" s="5" t="n">
        <v>43860</v>
      </c>
      <c r="B168" s="6" t="n">
        <v>0.245833333333333</v>
      </c>
      <c r="C168" s="7" t="n">
        <v>119816</v>
      </c>
      <c r="D168" s="7" t="s">
        <v>18</v>
      </c>
      <c r="E168" s="7" t="n">
        <v>24160</v>
      </c>
      <c r="F168" s="7" t="n">
        <v>15720</v>
      </c>
      <c r="G168" s="8" t="n">
        <v>8440</v>
      </c>
      <c r="H168" s="7" t="s">
        <v>10</v>
      </c>
      <c r="I168" s="7" t="s">
        <v>13</v>
      </c>
    </row>
    <row r="169" customFormat="false" ht="15" hidden="false" customHeight="false" outlineLevel="0" collapsed="false">
      <c r="A169" s="5" t="n">
        <v>43860</v>
      </c>
      <c r="B169" s="6" t="n">
        <v>0.258333333333333</v>
      </c>
      <c r="C169" s="7" t="n">
        <v>119818</v>
      </c>
      <c r="D169" s="7" t="s">
        <v>17</v>
      </c>
      <c r="E169" s="7" t="n">
        <v>4020</v>
      </c>
      <c r="F169" s="7" t="n">
        <v>3740</v>
      </c>
      <c r="G169" s="8" t="n">
        <v>280</v>
      </c>
      <c r="H169" s="7" t="s">
        <v>10</v>
      </c>
      <c r="I169" s="7" t="s">
        <v>13</v>
      </c>
    </row>
    <row r="170" customFormat="false" ht="15" hidden="false" customHeight="false" outlineLevel="0" collapsed="false">
      <c r="A170" s="5" t="n">
        <v>43860</v>
      </c>
      <c r="B170" s="6" t="n">
        <v>0.352777777777778</v>
      </c>
      <c r="C170" s="7" t="n">
        <v>119829</v>
      </c>
      <c r="D170" s="7" t="s">
        <v>9</v>
      </c>
      <c r="E170" s="7" t="n">
        <v>3660</v>
      </c>
      <c r="F170" s="7" t="n">
        <v>2900</v>
      </c>
      <c r="G170" s="8" t="n">
        <v>760</v>
      </c>
      <c r="H170" s="7" t="s">
        <v>10</v>
      </c>
      <c r="I170" s="7" t="s">
        <v>11</v>
      </c>
    </row>
    <row r="171" customFormat="false" ht="15" hidden="false" customHeight="false" outlineLevel="0" collapsed="false">
      <c r="A171" s="5" t="n">
        <v>43860</v>
      </c>
      <c r="B171" s="6" t="n">
        <v>0.443055555555556</v>
      </c>
      <c r="C171" s="7" t="n">
        <v>119839</v>
      </c>
      <c r="D171" s="7" t="s">
        <v>15</v>
      </c>
      <c r="E171" s="7" t="n">
        <v>3280</v>
      </c>
      <c r="F171" s="7" t="n">
        <v>2700</v>
      </c>
      <c r="G171" s="8" t="n">
        <v>580</v>
      </c>
      <c r="H171" s="7" t="s">
        <v>10</v>
      </c>
      <c r="I171" s="7" t="s">
        <v>16</v>
      </c>
    </row>
    <row r="172" customFormat="false" ht="15" hidden="false" customHeight="false" outlineLevel="0" collapsed="false">
      <c r="A172" s="5" t="n">
        <v>43860</v>
      </c>
      <c r="B172" s="6" t="n">
        <v>0.490277777777778</v>
      </c>
      <c r="C172" s="7" t="n">
        <v>119847</v>
      </c>
      <c r="D172" s="7" t="s">
        <v>14</v>
      </c>
      <c r="E172" s="7" t="n">
        <v>2740</v>
      </c>
      <c r="F172" s="7" t="n">
        <v>2400</v>
      </c>
      <c r="G172" s="8" t="n">
        <v>340</v>
      </c>
      <c r="H172" s="7" t="s">
        <v>10</v>
      </c>
      <c r="I172" s="7" t="s">
        <v>13</v>
      </c>
    </row>
    <row r="173" customFormat="false" ht="15" hidden="false" customHeight="false" outlineLevel="0" collapsed="false">
      <c r="A173" s="5" t="n">
        <v>43860</v>
      </c>
      <c r="B173" s="6" t="n">
        <v>0.508333333333333</v>
      </c>
      <c r="C173" s="7" t="n">
        <v>119850</v>
      </c>
      <c r="D173" s="7" t="s">
        <v>9</v>
      </c>
      <c r="E173" s="7" t="n">
        <v>3220</v>
      </c>
      <c r="F173" s="7" t="n">
        <v>2900</v>
      </c>
      <c r="G173" s="8" t="n">
        <v>320</v>
      </c>
      <c r="H173" s="7" t="s">
        <v>10</v>
      </c>
      <c r="I173" s="7" t="s">
        <v>11</v>
      </c>
    </row>
    <row r="174" customFormat="false" ht="15" hidden="false" customHeight="false" outlineLevel="0" collapsed="false">
      <c r="A174" s="5" t="n">
        <v>43860</v>
      </c>
      <c r="B174" s="6" t="n">
        <v>0.556944444444445</v>
      </c>
      <c r="C174" s="7" t="n">
        <v>119858</v>
      </c>
      <c r="D174" s="7" t="s">
        <v>15</v>
      </c>
      <c r="E174" s="7" t="n">
        <v>3400</v>
      </c>
      <c r="F174" s="7" t="n">
        <v>2780</v>
      </c>
      <c r="G174" s="8" t="n">
        <v>620</v>
      </c>
      <c r="H174" s="7" t="s">
        <v>10</v>
      </c>
      <c r="I174" s="7" t="s">
        <v>16</v>
      </c>
    </row>
    <row r="175" customFormat="false" ht="15" hidden="false" customHeight="false" outlineLevel="0" collapsed="false">
      <c r="A175" s="5" t="n">
        <v>43861</v>
      </c>
      <c r="B175" s="6" t="n">
        <v>0.144444444444444</v>
      </c>
      <c r="C175" s="7" t="n">
        <v>119877</v>
      </c>
      <c r="D175" s="7" t="s">
        <v>12</v>
      </c>
      <c r="E175" s="7" t="n">
        <v>18320</v>
      </c>
      <c r="F175" s="7" t="n">
        <v>13040</v>
      </c>
      <c r="G175" s="8" t="n">
        <v>5280</v>
      </c>
      <c r="H175" s="7" t="s">
        <v>10</v>
      </c>
      <c r="I175" s="7" t="s">
        <v>13</v>
      </c>
    </row>
    <row r="176" customFormat="false" ht="15" hidden="false" customHeight="false" outlineLevel="0" collapsed="false">
      <c r="A176" s="5" t="n">
        <v>43861</v>
      </c>
      <c r="B176" s="6" t="n">
        <v>0.226388888888889</v>
      </c>
      <c r="C176" s="7" t="n">
        <v>119880</v>
      </c>
      <c r="D176" s="7" t="s">
        <v>18</v>
      </c>
      <c r="E176" s="7" t="n">
        <v>23100</v>
      </c>
      <c r="F176" s="7" t="n">
        <v>15760</v>
      </c>
      <c r="G176" s="8" t="n">
        <v>7340</v>
      </c>
      <c r="H176" s="7" t="s">
        <v>10</v>
      </c>
      <c r="I176" s="7" t="s">
        <v>13</v>
      </c>
    </row>
    <row r="177" customFormat="false" ht="15" hidden="false" customHeight="false" outlineLevel="0" collapsed="false">
      <c r="A177" s="5" t="n">
        <v>43861</v>
      </c>
      <c r="B177" s="6" t="n">
        <v>0.260416666666667</v>
      </c>
      <c r="C177" s="7" t="n">
        <v>119883</v>
      </c>
      <c r="D177" s="7" t="s">
        <v>17</v>
      </c>
      <c r="E177" s="7" t="n">
        <v>4100</v>
      </c>
      <c r="F177" s="7" t="n">
        <v>3740</v>
      </c>
      <c r="G177" s="8" t="n">
        <v>360</v>
      </c>
      <c r="H177" s="7" t="s">
        <v>10</v>
      </c>
      <c r="I177" s="7" t="s">
        <v>13</v>
      </c>
    </row>
    <row r="178" customFormat="false" ht="15" hidden="false" customHeight="false" outlineLevel="0" collapsed="false">
      <c r="A178" s="5" t="n">
        <v>43860</v>
      </c>
      <c r="B178" s="6" t="n">
        <v>0.454166666666667</v>
      </c>
      <c r="C178" s="7" t="n">
        <v>97754</v>
      </c>
      <c r="D178" s="7" t="s">
        <v>18</v>
      </c>
      <c r="E178" s="7" t="n">
        <v>20600</v>
      </c>
      <c r="F178" s="7" t="n">
        <v>16280</v>
      </c>
      <c r="G178" s="8" t="n">
        <v>4320</v>
      </c>
      <c r="H178" s="7" t="s">
        <v>10</v>
      </c>
      <c r="I178" s="7" t="s">
        <v>19</v>
      </c>
    </row>
    <row r="179" customFormat="false" ht="15" hidden="false" customHeight="false" outlineLevel="0" collapsed="false">
      <c r="A179" s="5" t="n">
        <v>43861</v>
      </c>
      <c r="B179" s="6" t="n">
        <v>0.5</v>
      </c>
      <c r="C179" s="9" t="s">
        <v>20</v>
      </c>
      <c r="D179" s="7" t="s">
        <v>18</v>
      </c>
      <c r="E179" s="7" t="n">
        <v>18200</v>
      </c>
      <c r="F179" s="7" t="n">
        <v>15760</v>
      </c>
      <c r="G179" s="8" t="n">
        <v>2440</v>
      </c>
      <c r="H179" s="7" t="s">
        <v>10</v>
      </c>
      <c r="I179" s="7" t="s">
        <v>24</v>
      </c>
    </row>
    <row r="180" customFormat="false" ht="15" hidden="false" customHeight="false" outlineLevel="0" collapsed="false">
      <c r="A180" s="5" t="n">
        <v>43861</v>
      </c>
      <c r="B180" s="6" t="n">
        <v>0.372222222222222</v>
      </c>
      <c r="C180" s="7" t="n">
        <v>119894</v>
      </c>
      <c r="D180" s="7" t="s">
        <v>9</v>
      </c>
      <c r="E180" s="7" t="n">
        <v>3320</v>
      </c>
      <c r="F180" s="7" t="n">
        <v>2820</v>
      </c>
      <c r="G180" s="8" t="n">
        <v>500</v>
      </c>
      <c r="H180" s="7" t="s">
        <v>10</v>
      </c>
      <c r="I180" s="7" t="s">
        <v>11</v>
      </c>
    </row>
    <row r="181" customFormat="false" ht="15" hidden="false" customHeight="false" outlineLevel="0" collapsed="false">
      <c r="A181" s="5" t="n">
        <v>43861</v>
      </c>
      <c r="B181" s="6" t="n">
        <v>0.451388888888889</v>
      </c>
      <c r="C181" s="7" t="n">
        <v>119900</v>
      </c>
      <c r="D181" s="7" t="s">
        <v>14</v>
      </c>
      <c r="E181" s="7" t="n">
        <v>3040</v>
      </c>
      <c r="F181" s="7" t="n">
        <v>2500</v>
      </c>
      <c r="G181" s="8" t="n">
        <v>540</v>
      </c>
      <c r="H181" s="7" t="s">
        <v>10</v>
      </c>
      <c r="I181" s="7" t="s">
        <v>13</v>
      </c>
    </row>
    <row r="182" customFormat="false" ht="15" hidden="false" customHeight="false" outlineLevel="0" collapsed="false">
      <c r="A182" s="5" t="n">
        <v>43861</v>
      </c>
      <c r="B182" s="6" t="n">
        <v>0.473611111111111</v>
      </c>
      <c r="C182" s="7" t="n">
        <v>119904</v>
      </c>
      <c r="D182" s="7" t="s">
        <v>15</v>
      </c>
      <c r="E182" s="7" t="n">
        <v>3200</v>
      </c>
      <c r="F182" s="7" t="n">
        <v>2700</v>
      </c>
      <c r="G182" s="8" t="n">
        <v>500</v>
      </c>
      <c r="H182" s="7" t="s">
        <v>10</v>
      </c>
      <c r="I182" s="7" t="s">
        <v>16</v>
      </c>
    </row>
    <row r="183" customFormat="false" ht="15" hidden="false" customHeight="false" outlineLevel="0" collapsed="false">
      <c r="A183" s="5" t="n">
        <v>43861</v>
      </c>
      <c r="B183" s="6" t="n">
        <v>0.540972222222222</v>
      </c>
      <c r="C183" s="7" t="n">
        <v>119912</v>
      </c>
      <c r="D183" s="7" t="s">
        <v>15</v>
      </c>
      <c r="E183" s="7" t="n">
        <v>3100</v>
      </c>
      <c r="F183" s="7" t="n">
        <v>2780</v>
      </c>
      <c r="G183" s="8" t="n">
        <v>320</v>
      </c>
      <c r="H183" s="7" t="s">
        <v>10</v>
      </c>
      <c r="I183" s="7" t="s">
        <v>16</v>
      </c>
    </row>
    <row r="184" customFormat="false" ht="15" hidden="false" customHeight="false" outlineLevel="0" collapsed="false">
      <c r="A184" s="5" t="n">
        <v>43861</v>
      </c>
      <c r="B184" s="6" t="n">
        <v>0.545138888888889</v>
      </c>
      <c r="C184" s="7" t="n">
        <v>119913</v>
      </c>
      <c r="D184" s="7" t="s">
        <v>25</v>
      </c>
      <c r="E184" s="7" t="n">
        <v>20200</v>
      </c>
      <c r="F184" s="7" t="n">
        <v>16020</v>
      </c>
      <c r="G184" s="8" t="n">
        <v>4180</v>
      </c>
      <c r="H184" s="7" t="s">
        <v>10</v>
      </c>
      <c r="I184" s="7" t="s">
        <v>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8" colorId="64" zoomScale="100" zoomScaleNormal="100" zoomScalePageLayoutView="100" workbookViewId="0">
      <selection pane="topLeft" activeCell="E65" activeCellId="0" sqref="E65"/>
    </sheetView>
  </sheetViews>
  <sheetFormatPr defaultRowHeight="13.8" zeroHeight="false" outlineLevelRow="0" outlineLevelCol="0"/>
  <cols>
    <col collapsed="false" customWidth="true" hidden="false" outlineLevel="0" max="1" min="1" style="10" width="15.11"/>
    <col collapsed="false" customWidth="true" hidden="false" outlineLevel="0" max="2" min="2" style="0" width="15.87"/>
    <col collapsed="false" customWidth="true" hidden="false" outlineLevel="0" max="3" min="3" style="0" width="15.11"/>
    <col collapsed="false" customWidth="true" hidden="false" outlineLevel="0" max="4" min="4" style="10" width="13.84"/>
    <col collapsed="false" customWidth="true" hidden="false" outlineLevel="0" max="7" min="5" style="0" width="10.5"/>
    <col collapsed="false" customWidth="true" hidden="false" outlineLevel="0" max="8" min="8" style="0" width="15.11"/>
    <col collapsed="false" customWidth="true" hidden="false" outlineLevel="0" max="9" min="9" style="0" width="20.62"/>
    <col collapsed="false" customWidth="true" hidden="false" outlineLevel="0" max="10" min="10" style="0" width="15.11"/>
    <col collapsed="false" customWidth="true" hidden="false" outlineLevel="0" max="1025" min="11" style="0" width="10.5"/>
  </cols>
  <sheetData>
    <row r="1" customFormat="false" ht="13.8" hidden="false" customHeight="false" outlineLevel="0" collapsed="false">
      <c r="A1" s="0" t="n">
        <v>1</v>
      </c>
      <c r="B1" s="10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</row>
    <row r="2" customFormat="false" ht="13.8" hidden="false" customHeight="false" outlineLevel="0" collapsed="false">
      <c r="A2" s="11" t="s">
        <v>3</v>
      </c>
      <c r="B2" s="12" t="s">
        <v>26</v>
      </c>
      <c r="C2" s="13" t="s">
        <v>16</v>
      </c>
      <c r="D2" s="13" t="s">
        <v>13</v>
      </c>
      <c r="E2" s="13" t="s">
        <v>21</v>
      </c>
      <c r="F2" s="13" t="s">
        <v>19</v>
      </c>
      <c r="G2" s="13" t="s">
        <v>11</v>
      </c>
      <c r="H2" s="14" t="s">
        <v>27</v>
      </c>
    </row>
    <row r="3" customFormat="false" ht="13.8" hidden="false" customHeight="false" outlineLevel="0" collapsed="false">
      <c r="A3" s="15" t="s">
        <v>25</v>
      </c>
      <c r="B3" s="0" t="n">
        <v>9680</v>
      </c>
      <c r="D3" s="16"/>
      <c r="F3" s="0" t="n">
        <v>1560</v>
      </c>
      <c r="G3" s="0" t="n">
        <v>7840</v>
      </c>
      <c r="H3" s="17" t="n">
        <f aca="false">SUM(B3:G3)</f>
        <v>19080</v>
      </c>
    </row>
    <row r="4" customFormat="false" ht="13.8" hidden="false" customHeight="false" outlineLevel="0" collapsed="false">
      <c r="A4" s="18" t="s">
        <v>15</v>
      </c>
      <c r="C4" s="0" t="n">
        <v>12480</v>
      </c>
      <c r="D4" s="16"/>
      <c r="H4" s="19" t="n">
        <f aca="false">SUM(B4:G4)</f>
        <v>12480</v>
      </c>
    </row>
    <row r="5" customFormat="false" ht="13.8" hidden="false" customHeight="false" outlineLevel="0" collapsed="false">
      <c r="A5" s="18" t="s">
        <v>18</v>
      </c>
      <c r="D5" s="16" t="n">
        <v>243760</v>
      </c>
      <c r="E5" s="0" t="n">
        <v>4440</v>
      </c>
      <c r="F5" s="0" t="n">
        <v>6060</v>
      </c>
      <c r="H5" s="19" t="n">
        <f aca="false">SUM(B5:G5)</f>
        <v>254260</v>
      </c>
    </row>
    <row r="6" customFormat="false" ht="13.8" hidden="false" customHeight="false" outlineLevel="0" collapsed="false">
      <c r="A6" s="18" t="s">
        <v>28</v>
      </c>
      <c r="D6" s="16"/>
      <c r="H6" s="19" t="n">
        <f aca="false">SUM(B6:G6)</f>
        <v>0</v>
      </c>
    </row>
    <row r="7" customFormat="false" ht="13.8" hidden="false" customHeight="false" outlineLevel="0" collapsed="false">
      <c r="A7" s="18" t="s">
        <v>14</v>
      </c>
      <c r="B7" s="10"/>
      <c r="C7" s="20"/>
      <c r="D7" s="16" t="n">
        <v>5520</v>
      </c>
      <c r="G7" s="0" t="n">
        <v>780</v>
      </c>
      <c r="H7" s="19" t="n">
        <f aca="false">SUM(B7:G7)</f>
        <v>6300</v>
      </c>
    </row>
    <row r="8" customFormat="false" ht="13.8" hidden="false" customHeight="false" outlineLevel="0" collapsed="false">
      <c r="A8" s="18" t="s">
        <v>29</v>
      </c>
      <c r="B8" s="10"/>
      <c r="C8" s="20"/>
      <c r="D8" s="21"/>
      <c r="E8" s="22"/>
      <c r="F8" s="22"/>
      <c r="G8" s="23"/>
      <c r="H8" s="19" t="n">
        <f aca="false">SUM(B8:G8)</f>
        <v>0</v>
      </c>
    </row>
    <row r="9" customFormat="false" ht="13.8" hidden="false" customHeight="false" outlineLevel="0" collapsed="false">
      <c r="A9" s="18" t="s">
        <v>9</v>
      </c>
      <c r="C9" s="0" t="n">
        <v>5780</v>
      </c>
      <c r="D9" s="16" t="n">
        <v>2800</v>
      </c>
      <c r="G9" s="0" t="n">
        <v>1180</v>
      </c>
      <c r="H9" s="19" t="n">
        <f aca="false">SUM(B9:G9)</f>
        <v>9760</v>
      </c>
    </row>
    <row r="10" customFormat="false" ht="13.8" hidden="false" customHeight="false" outlineLevel="0" collapsed="false">
      <c r="A10" s="18" t="s">
        <v>12</v>
      </c>
      <c r="D10" s="16" t="n">
        <v>136540</v>
      </c>
      <c r="H10" s="19" t="n">
        <f aca="false">SUM(B10:G10)</f>
        <v>136540</v>
      </c>
    </row>
    <row r="11" customFormat="false" ht="13.8" hidden="false" customHeight="false" outlineLevel="0" collapsed="false">
      <c r="A11" s="18" t="s">
        <v>17</v>
      </c>
      <c r="D11" s="16" t="n">
        <v>12740</v>
      </c>
      <c r="H11" s="19" t="n">
        <f aca="false">SUM(B11:G11)</f>
        <v>12740</v>
      </c>
    </row>
    <row r="12" customFormat="false" ht="13.8" hidden="false" customHeight="false" outlineLevel="0" collapsed="false">
      <c r="A12" s="18" t="s">
        <v>22</v>
      </c>
      <c r="D12" s="16"/>
      <c r="G12" s="0" t="n">
        <v>11100</v>
      </c>
      <c r="H12" s="19" t="n">
        <f aca="false">SUM(B12:G12)</f>
        <v>11100</v>
      </c>
    </row>
    <row r="13" customFormat="false" ht="13.8" hidden="false" customHeight="false" outlineLevel="0" collapsed="false">
      <c r="A13" s="18" t="s">
        <v>23</v>
      </c>
      <c r="D13" s="16" t="n">
        <v>8040</v>
      </c>
      <c r="H13" s="19" t="n">
        <f aca="false">SUM(B13:G13)</f>
        <v>8040</v>
      </c>
    </row>
    <row r="14" customFormat="false" ht="13.8" hidden="false" customHeight="false" outlineLevel="0" collapsed="false">
      <c r="A14" s="24" t="s">
        <v>27</v>
      </c>
      <c r="B14" s="25"/>
      <c r="C14" s="26" t="n">
        <f aca="false">SUM(C3:C13)</f>
        <v>18260</v>
      </c>
      <c r="D14" s="26" t="n">
        <f aca="false">SUM(D3:D13)</f>
        <v>409400</v>
      </c>
      <c r="E14" s="26" t="n">
        <f aca="false">SUM(E3:E13)</f>
        <v>4440</v>
      </c>
      <c r="F14" s="26" t="n">
        <f aca="false">SUM(F3:F13)</f>
        <v>7620</v>
      </c>
      <c r="G14" s="26" t="n">
        <f aca="false">SUM(G3:G13)</f>
        <v>20900</v>
      </c>
      <c r="H14" s="27" t="n">
        <f aca="false">SUM(H3:H13)</f>
        <v>470300</v>
      </c>
    </row>
    <row r="15" customFormat="false" ht="13.8" hidden="false" customHeight="false" outlineLevel="0" collapsed="false">
      <c r="A15" s="28"/>
      <c r="B15" s="29"/>
      <c r="C15" s="30"/>
      <c r="D15" s="30"/>
      <c r="E15" s="30"/>
      <c r="F15" s="30"/>
      <c r="G15" s="30"/>
      <c r="H15" s="30"/>
    </row>
    <row r="16" customFormat="false" ht="13.8" hidden="false" customHeight="false" outlineLevel="0" collapsed="false">
      <c r="C16" s="31"/>
      <c r="D16" s="31"/>
      <c r="E16" s="31"/>
      <c r="F16" s="31"/>
      <c r="G16" s="31"/>
      <c r="H16" s="31"/>
    </row>
    <row r="17" customFormat="false" ht="13.8" hidden="false" customHeight="false" outlineLevel="0" collapsed="false">
      <c r="C17" s="31"/>
      <c r="D17" s="31"/>
      <c r="E17" s="31"/>
      <c r="F17" s="31"/>
      <c r="G17" s="31"/>
      <c r="H17" s="31"/>
    </row>
    <row r="18" customFormat="false" ht="13.8" hidden="false" customHeight="false" outlineLevel="0" collapsed="false">
      <c r="C18" s="31"/>
      <c r="D18" s="31"/>
      <c r="E18" s="31"/>
      <c r="F18" s="31"/>
      <c r="G18" s="31"/>
      <c r="H18" s="31"/>
    </row>
    <row r="19" customFormat="false" ht="13.8" hidden="false" customHeight="false" outlineLevel="0" collapsed="false">
      <c r="C19" s="31"/>
      <c r="D19" s="31"/>
      <c r="E19" s="31"/>
      <c r="F19" s="31"/>
      <c r="G19" s="31"/>
      <c r="H19" s="31"/>
    </row>
    <row r="20" customFormat="false" ht="13.8" hidden="false" customHeight="false" outlineLevel="0" collapsed="false">
      <c r="A20" s="0"/>
      <c r="D20" s="0"/>
    </row>
    <row r="21" customFormat="false" ht="13.8" hidden="false" customHeight="false" outlineLevel="0" collapsed="false">
      <c r="A21" s="31" t="s">
        <v>13</v>
      </c>
      <c r="B21" s="31"/>
      <c r="C21" s="31"/>
      <c r="D21" s="31"/>
      <c r="E21" s="31"/>
      <c r="F21" s="31"/>
      <c r="G21" s="31"/>
      <c r="H21" s="31"/>
    </row>
    <row r="22" customFormat="false" ht="13.8" hidden="false" customHeight="false" outlineLevel="0" collapsed="false">
      <c r="A22" s="10" t="s">
        <v>30</v>
      </c>
      <c r="B22" s="0" t="s">
        <v>31</v>
      </c>
      <c r="C22" s="32" t="s">
        <v>32</v>
      </c>
      <c r="D22" s="33" t="s">
        <v>33</v>
      </c>
      <c r="E22" s="32" t="s">
        <v>34</v>
      </c>
      <c r="F22" s="34" t="s">
        <v>35</v>
      </c>
      <c r="G22" s="32" t="s">
        <v>36</v>
      </c>
      <c r="H22" s="32"/>
    </row>
    <row r="23" customFormat="false" ht="14.3" hidden="false" customHeight="false" outlineLevel="0" collapsed="false">
      <c r="A23" s="35" t="n">
        <v>310</v>
      </c>
      <c r="B23" s="36" t="s">
        <v>37</v>
      </c>
      <c r="C23" s="37" t="s">
        <v>17</v>
      </c>
      <c r="D23" s="38" t="n">
        <v>1</v>
      </c>
      <c r="E23" s="37" t="s">
        <v>38</v>
      </c>
      <c r="F23" s="39" t="n">
        <v>11100</v>
      </c>
      <c r="G23" s="40" t="n">
        <f aca="false">VLOOKUP(C23,$A$2:$G$14,4,FALSE())</f>
        <v>12740</v>
      </c>
      <c r="H23" s="41" t="str">
        <f aca="false">IF(G23-F23&gt;0,"Revisar","Bien")</f>
        <v>Revisar</v>
      </c>
    </row>
    <row r="24" customFormat="false" ht="13.8" hidden="false" customHeight="false" outlineLevel="0" collapsed="false">
      <c r="A24" s="42" t="n">
        <v>309</v>
      </c>
      <c r="B24" s="0" t="s">
        <v>39</v>
      </c>
      <c r="C24" s="32" t="s">
        <v>9</v>
      </c>
      <c r="D24" s="33" t="n">
        <v>1</v>
      </c>
      <c r="E24" s="32" t="s">
        <v>40</v>
      </c>
      <c r="F24" s="34" t="n">
        <v>1460</v>
      </c>
      <c r="G24" s="43" t="n">
        <f aca="false">VLOOKUP(C24,$A$2:$G$14,4,FALSE())</f>
        <v>2800</v>
      </c>
      <c r="H24" s="44" t="str">
        <f aca="false">IF(G24-F24&gt;0,"Revisar","Bien")</f>
        <v>Revisar</v>
      </c>
    </row>
    <row r="25" customFormat="false" ht="14.3" hidden="false" customHeight="false" outlineLevel="0" collapsed="false">
      <c r="A25" s="42" t="n">
        <v>318</v>
      </c>
      <c r="B25" s="45" t="s">
        <v>41</v>
      </c>
      <c r="C25" s="32" t="s">
        <v>12</v>
      </c>
      <c r="D25" s="33" t="s">
        <v>42</v>
      </c>
      <c r="E25" s="32" t="s">
        <v>38</v>
      </c>
      <c r="F25" s="34" t="n">
        <v>135180</v>
      </c>
      <c r="G25" s="43" t="n">
        <f aca="false">VLOOKUP(C25,$A$2:$G$14,4,FALSE())</f>
        <v>136540</v>
      </c>
      <c r="H25" s="44" t="str">
        <f aca="false">IF(G25-F25&gt;0,"Revisar","Bien")</f>
        <v>Revisar</v>
      </c>
    </row>
    <row r="26" customFormat="false" ht="14.3" hidden="false" customHeight="false" outlineLevel="0" collapsed="false">
      <c r="A26" s="46" t="n">
        <v>320</v>
      </c>
      <c r="B26" s="45" t="s">
        <v>43</v>
      </c>
      <c r="C26" s="32" t="s">
        <v>18</v>
      </c>
      <c r="D26" s="33" t="s">
        <v>42</v>
      </c>
      <c r="E26" s="32" t="s">
        <v>38</v>
      </c>
      <c r="F26" s="34" t="n">
        <v>245860</v>
      </c>
      <c r="G26" s="43" t="n">
        <f aca="false">VLOOKUP(C26,$A$2:$G$14,4,FALSE())</f>
        <v>243760</v>
      </c>
      <c r="H26" s="44" t="str">
        <f aca="false">IF(G26-F26&gt;0,"Revisar","Bien")</f>
        <v>Bien</v>
      </c>
    </row>
    <row r="27" customFormat="false" ht="14.3" hidden="false" customHeight="false" outlineLevel="0" collapsed="false">
      <c r="A27" s="46" t="n">
        <v>321</v>
      </c>
      <c r="B27" s="45" t="s">
        <v>44</v>
      </c>
      <c r="C27" s="32" t="s">
        <v>28</v>
      </c>
      <c r="D27" s="33"/>
      <c r="E27" s="32"/>
      <c r="F27" s="34"/>
      <c r="G27" s="43" t="n">
        <f aca="false">VLOOKUP(C27,$A$2:$G$14,4,FALSE())</f>
        <v>0</v>
      </c>
      <c r="H27" s="44" t="str">
        <f aca="false">IF(G27-F27&gt;0,"Revisar","Bien")</f>
        <v>Bien</v>
      </c>
    </row>
    <row r="28" customFormat="false" ht="14.3" hidden="false" customHeight="false" outlineLevel="0" collapsed="false">
      <c r="A28" s="46" t="n">
        <v>196</v>
      </c>
      <c r="B28" s="45" t="s">
        <v>41</v>
      </c>
      <c r="C28" s="32" t="s">
        <v>23</v>
      </c>
      <c r="D28" s="33" t="s">
        <v>42</v>
      </c>
      <c r="E28" s="32" t="s">
        <v>38</v>
      </c>
      <c r="F28" s="34" t="n">
        <v>3720</v>
      </c>
      <c r="G28" s="43" t="n">
        <f aca="false">VLOOKUP(C28,$A$2:$G$14,4,FALSE())</f>
        <v>8040</v>
      </c>
      <c r="H28" s="44" t="str">
        <f aca="false">IF(G28-F28&gt;0,"Revisar","Bien")</f>
        <v>Revisar</v>
      </c>
    </row>
    <row r="29" customFormat="false" ht="13.8" hidden="false" customHeight="false" outlineLevel="0" collapsed="false">
      <c r="A29" s="42" t="n">
        <v>316</v>
      </c>
      <c r="B29" s="0" t="s">
        <v>45</v>
      </c>
      <c r="C29" s="32" t="s">
        <v>14</v>
      </c>
      <c r="D29" s="33" t="s">
        <v>42</v>
      </c>
      <c r="E29" s="32" t="s">
        <v>46</v>
      </c>
      <c r="F29" s="47" t="n">
        <v>5820</v>
      </c>
      <c r="G29" s="43" t="n">
        <f aca="false">VLOOKUP(C29,$A$2:$G$14,4,FALSE())</f>
        <v>5520</v>
      </c>
      <c r="H29" s="44" t="str">
        <f aca="false">IF(G29-F29&gt;0,"Revisar","Bien")</f>
        <v>Bien</v>
      </c>
    </row>
    <row r="30" customFormat="false" ht="13.8" hidden="false" customHeight="false" outlineLevel="0" collapsed="false">
      <c r="A30" s="42" t="n">
        <v>109</v>
      </c>
      <c r="B30" s="48" t="s">
        <v>47</v>
      </c>
      <c r="C30" s="32" t="s">
        <v>25</v>
      </c>
      <c r="D30" s="33"/>
      <c r="E30" s="32"/>
      <c r="F30" s="47"/>
      <c r="G30" s="43" t="n">
        <f aca="false">VLOOKUP(C30,$A$2:$G$14,4,FALSE())</f>
        <v>0</v>
      </c>
      <c r="H30" s="44" t="str">
        <f aca="false">IF(G30-F30&gt;0,"Revisar","Bien")</f>
        <v>Bien</v>
      </c>
    </row>
    <row r="31" customFormat="false" ht="13.8" hidden="false" customHeight="false" outlineLevel="0" collapsed="false">
      <c r="A31" s="49" t="n">
        <v>333</v>
      </c>
      <c r="B31" s="50" t="s">
        <v>48</v>
      </c>
      <c r="C31" s="51" t="s">
        <v>15</v>
      </c>
      <c r="D31" s="52"/>
      <c r="E31" s="50"/>
      <c r="F31" s="53"/>
      <c r="G31" s="54" t="n">
        <f aca="false">VLOOKUP(C31,$A$2:$G$14,4,FALSE())</f>
        <v>0</v>
      </c>
      <c r="H31" s="55" t="str">
        <f aca="false">IF(G31-F31&gt;0,"Revisar","Bien")</f>
        <v>Bien</v>
      </c>
    </row>
    <row r="32" customFormat="false" ht="13.8" hidden="false" customHeight="false" outlineLevel="0" collapsed="false">
      <c r="C32" s="32"/>
      <c r="D32" s="33"/>
      <c r="E32" s="32"/>
      <c r="F32" s="56" t="n">
        <f aca="false">SUM(F23:F31)</f>
        <v>403140</v>
      </c>
      <c r="G32" s="57" t="n">
        <f aca="false">SUM(G23:G31)</f>
        <v>409400</v>
      </c>
      <c r="H32" s="32"/>
    </row>
    <row r="33" customFormat="false" ht="13.8" hidden="false" customHeight="false" outlineLevel="0" collapsed="false">
      <c r="A33" s="31" t="s">
        <v>49</v>
      </c>
      <c r="B33" s="31"/>
      <c r="C33" s="31"/>
      <c r="D33" s="31"/>
      <c r="E33" s="31"/>
      <c r="F33" s="31"/>
      <c r="G33" s="31"/>
      <c r="H33" s="31"/>
    </row>
    <row r="34" customFormat="false" ht="13.8" hidden="false" customHeight="false" outlineLevel="0" collapsed="false">
      <c r="C34" s="32" t="s">
        <v>32</v>
      </c>
      <c r="D34" s="33" t="s">
        <v>50</v>
      </c>
      <c r="E34" s="32" t="s">
        <v>51</v>
      </c>
      <c r="F34" s="47" t="s">
        <v>35</v>
      </c>
      <c r="G34" s="32" t="s">
        <v>36</v>
      </c>
      <c r="H34" s="32"/>
    </row>
    <row r="35" customFormat="false" ht="13.8" hidden="false" customHeight="false" outlineLevel="0" collapsed="false">
      <c r="A35" s="35" t="n">
        <v>109</v>
      </c>
      <c r="B35" s="58" t="s">
        <v>47</v>
      </c>
      <c r="C35" s="37" t="s">
        <v>25</v>
      </c>
      <c r="D35" s="38" t="n">
        <v>2</v>
      </c>
      <c r="E35" s="37" t="n">
        <v>1</v>
      </c>
      <c r="F35" s="37" t="n">
        <v>4180</v>
      </c>
      <c r="G35" s="40" t="n">
        <f aca="false">VLOOKUP(C35,$A$2:$G$14,7,FALSE())</f>
        <v>7840</v>
      </c>
      <c r="H35" s="41" t="str">
        <f aca="false">IF(G35-F35&gt;0,"Revisar","Bien")</f>
        <v>Revisar</v>
      </c>
    </row>
    <row r="36" customFormat="false" ht="13.8" hidden="false" customHeight="false" outlineLevel="0" collapsed="false">
      <c r="A36" s="42" t="n">
        <v>333</v>
      </c>
      <c r="B36" s="0" t="s">
        <v>48</v>
      </c>
      <c r="C36" s="32" t="s">
        <v>15</v>
      </c>
      <c r="D36" s="33"/>
      <c r="E36" s="32"/>
      <c r="F36" s="32"/>
      <c r="G36" s="43" t="n">
        <f aca="false">VLOOKUP(C36,$A$2:$G$14,7,FALSE())</f>
        <v>0</v>
      </c>
      <c r="H36" s="44" t="str">
        <f aca="false">IF(G36-F36&gt;0,"Revisar","Bien")</f>
        <v>Bien</v>
      </c>
      <c r="I36" s="0" t="s">
        <v>52</v>
      </c>
    </row>
    <row r="37" customFormat="false" ht="13.8" hidden="false" customHeight="false" outlineLevel="0" collapsed="false">
      <c r="A37" s="42" t="n">
        <v>309</v>
      </c>
      <c r="B37" s="0" t="s">
        <v>39</v>
      </c>
      <c r="C37" s="32" t="s">
        <v>9</v>
      </c>
      <c r="D37" s="33" t="n">
        <v>2</v>
      </c>
      <c r="E37" s="32" t="n">
        <v>12</v>
      </c>
      <c r="F37" s="32" t="n">
        <v>7680</v>
      </c>
      <c r="G37" s="43" t="n">
        <f aca="false">VLOOKUP(C37,$A$2:$G$14,7,FALSE())</f>
        <v>1180</v>
      </c>
      <c r="H37" s="44" t="str">
        <f aca="false">IF(G37-F37&gt;0,"Revisar","Bien")</f>
        <v>Bien</v>
      </c>
    </row>
    <row r="38" customFormat="false" ht="13.8" hidden="false" customHeight="false" outlineLevel="0" collapsed="false">
      <c r="A38" s="42" t="n">
        <v>296</v>
      </c>
      <c r="B38" s="0" t="s">
        <v>53</v>
      </c>
      <c r="C38" s="32" t="s">
        <v>22</v>
      </c>
      <c r="D38" s="33" t="n">
        <v>2</v>
      </c>
      <c r="E38" s="32" t="n">
        <v>4</v>
      </c>
      <c r="F38" s="32" t="n">
        <v>3340</v>
      </c>
      <c r="G38" s="43" t="n">
        <f aca="false">VLOOKUP(C38,$A$2:$G$14,7,FALSE())</f>
        <v>11100</v>
      </c>
      <c r="H38" s="44" t="str">
        <f aca="false">IF(G38-F38&gt;0,"Revisar","Bien")</f>
        <v>Revisar</v>
      </c>
    </row>
    <row r="39" customFormat="false" ht="13.8" hidden="false" customHeight="false" outlineLevel="0" collapsed="false">
      <c r="A39" s="49" t="n">
        <v>316</v>
      </c>
      <c r="B39" s="50" t="s">
        <v>45</v>
      </c>
      <c r="C39" s="50" t="s">
        <v>14</v>
      </c>
      <c r="D39" s="52" t="n">
        <v>2</v>
      </c>
      <c r="E39" s="50" t="n">
        <v>2</v>
      </c>
      <c r="F39" s="50" t="n">
        <v>200</v>
      </c>
      <c r="G39" s="54" t="n">
        <f aca="false">VLOOKUP(C39,$A$2:$G$14,7,FALSE())</f>
        <v>780</v>
      </c>
      <c r="H39" s="55" t="str">
        <f aca="false">IF(G39-F39&gt;0,"Revisar","Bien")</f>
        <v>Revisar</v>
      </c>
    </row>
    <row r="40" customFormat="false" ht="13.8" hidden="false" customHeight="false" outlineLevel="0" collapsed="false">
      <c r="C40" s="32"/>
      <c r="D40" s="33"/>
      <c r="E40" s="32"/>
      <c r="F40" s="56" t="n">
        <f aca="false">SUM(F35:F39)</f>
        <v>15400</v>
      </c>
      <c r="G40" s="57" t="n">
        <f aca="false">SUM(G35:G39)</f>
        <v>20900</v>
      </c>
      <c r="H40" s="32"/>
    </row>
    <row r="41" customFormat="false" ht="13.8" hidden="false" customHeight="false" outlineLevel="0" collapsed="false">
      <c r="C41" s="32"/>
      <c r="D41" s="33"/>
      <c r="E41" s="32"/>
      <c r="F41" s="47"/>
      <c r="G41" s="57"/>
      <c r="H41" s="32"/>
    </row>
    <row r="42" customFormat="false" ht="13.8" hidden="false" customHeight="false" outlineLevel="0" collapsed="false">
      <c r="A42" s="31" t="s">
        <v>54</v>
      </c>
      <c r="B42" s="31"/>
      <c r="C42" s="31"/>
      <c r="D42" s="31"/>
      <c r="E42" s="31"/>
      <c r="F42" s="31"/>
      <c r="G42" s="31"/>
      <c r="H42" s="31"/>
    </row>
    <row r="43" customFormat="false" ht="13.8" hidden="false" customHeight="false" outlineLevel="0" collapsed="false">
      <c r="C43" s="32" t="s">
        <v>32</v>
      </c>
      <c r="D43" s="33" t="s">
        <v>51</v>
      </c>
      <c r="E43" s="32" t="s">
        <v>35</v>
      </c>
      <c r="F43" s="47" t="s">
        <v>36</v>
      </c>
      <c r="G43" s="32"/>
      <c r="H43" s="32"/>
    </row>
    <row r="44" customFormat="false" ht="13.8" hidden="false" customHeight="false" outlineLevel="0" collapsed="false">
      <c r="A44" s="35" t="n">
        <v>109</v>
      </c>
      <c r="B44" s="58" t="s">
        <v>47</v>
      </c>
      <c r="C44" s="37" t="s">
        <v>25</v>
      </c>
      <c r="D44" s="38"/>
      <c r="E44" s="37"/>
      <c r="F44" s="59" t="n">
        <f aca="false">VLOOKUP(C44,$A$2:$G$14,6,FALSE())</f>
        <v>1560</v>
      </c>
      <c r="G44" s="41" t="str">
        <f aca="false">IF(F44-E44&gt;0,"Revisar","Bien")</f>
        <v>Revisar</v>
      </c>
      <c r="H44" s="32"/>
    </row>
    <row r="45" customFormat="false" ht="14.3" hidden="false" customHeight="false" outlineLevel="0" collapsed="false">
      <c r="A45" s="46" t="n">
        <v>321</v>
      </c>
      <c r="B45" s="45" t="s">
        <v>44</v>
      </c>
      <c r="C45" s="32" t="s">
        <v>28</v>
      </c>
      <c r="D45" s="33"/>
      <c r="E45" s="32"/>
      <c r="F45" s="60" t="n">
        <f aca="false">VLOOKUP(C45,$A$2:$G$14,6,FALSE())</f>
        <v>0</v>
      </c>
      <c r="G45" s="44" t="str">
        <f aca="false">IF(F45-E45&gt;0,"Revisar","Bien")</f>
        <v>Bien</v>
      </c>
      <c r="H45" s="32"/>
    </row>
    <row r="46" customFormat="false" ht="13.8" hidden="false" customHeight="false" outlineLevel="0" collapsed="false">
      <c r="A46" s="42" t="n">
        <v>296</v>
      </c>
      <c r="B46" s="0" t="s">
        <v>53</v>
      </c>
      <c r="C46" s="32" t="s">
        <v>22</v>
      </c>
      <c r="D46" s="33"/>
      <c r="E46" s="32"/>
      <c r="F46" s="60" t="n">
        <f aca="false">VLOOKUP(C46,$A$2:$G$14,6,FALSE())</f>
        <v>0</v>
      </c>
      <c r="G46" s="44" t="str">
        <f aca="false">IF(F46-E46&gt;0,"Revisar","Bien")</f>
        <v>Bien</v>
      </c>
      <c r="H46" s="32"/>
      <c r="I46" s="0" t="s">
        <v>55</v>
      </c>
    </row>
    <row r="47" customFormat="false" ht="14.9" hidden="false" customHeight="false" outlineLevel="0" collapsed="false">
      <c r="A47" s="46" t="n">
        <v>320</v>
      </c>
      <c r="B47" s="45" t="s">
        <v>43</v>
      </c>
      <c r="C47" s="32" t="s">
        <v>18</v>
      </c>
      <c r="D47" s="33" t="n">
        <v>4</v>
      </c>
      <c r="E47" s="47" t="n">
        <v>7580</v>
      </c>
      <c r="F47" s="60" t="n">
        <f aca="false">VLOOKUP(C47,$A$2:$G$14,6,FALSE())</f>
        <v>6060</v>
      </c>
      <c r="G47" s="44" t="str">
        <f aca="false">IF(F47-E47&gt;0,"Revisar","Bien")</f>
        <v>Bien</v>
      </c>
      <c r="H47" s="32"/>
      <c r="I47" s="0" t="s">
        <v>56</v>
      </c>
      <c r="J47" s="0" t="s">
        <v>36</v>
      </c>
    </row>
    <row r="48" customFormat="false" ht="14.9" hidden="false" customHeight="false" outlineLevel="0" collapsed="false">
      <c r="A48" s="61"/>
      <c r="B48" s="50"/>
      <c r="C48" s="62" t="s">
        <v>29</v>
      </c>
      <c r="D48" s="52"/>
      <c r="E48" s="53"/>
      <c r="F48" s="63" t="n">
        <f aca="false">VLOOKUP(C48,$A$2:$G$14,6,FALSE())</f>
        <v>0</v>
      </c>
      <c r="G48" s="55" t="str">
        <f aca="false">IF(F48-E48&gt;0,"Revisar","Bien")</f>
        <v>Bien</v>
      </c>
      <c r="H48" s="32"/>
      <c r="I48" s="0" t="n">
        <f aca="false">+F32+F40+E49+E54+E61+E67</f>
        <v>451180</v>
      </c>
      <c r="J48" s="0" t="n">
        <f aca="false">+G32+G40+F49+F54+F61+F67</f>
        <v>470300</v>
      </c>
    </row>
    <row r="49" customFormat="false" ht="13.8" hidden="false" customHeight="false" outlineLevel="0" collapsed="false">
      <c r="C49" s="32"/>
      <c r="D49" s="33"/>
      <c r="E49" s="64" t="n">
        <f aca="false">SUM(E44:E48)</f>
        <v>7580</v>
      </c>
      <c r="F49" s="57" t="n">
        <f aca="false">SUM(F44:F47)</f>
        <v>7620</v>
      </c>
      <c r="G49" s="32"/>
      <c r="H49" s="32"/>
    </row>
    <row r="50" customFormat="false" ht="13.8" hidden="false" customHeight="false" outlineLevel="0" collapsed="false">
      <c r="A50" s="31" t="s">
        <v>57</v>
      </c>
      <c r="B50" s="31"/>
      <c r="C50" s="31"/>
      <c r="D50" s="31"/>
      <c r="E50" s="31"/>
      <c r="F50" s="31"/>
      <c r="G50" s="31"/>
      <c r="H50" s="32"/>
    </row>
    <row r="51" customFormat="false" ht="13.8" hidden="false" customHeight="false" outlineLevel="0" collapsed="false">
      <c r="C51" s="32" t="s">
        <v>32</v>
      </c>
      <c r="D51" s="33" t="s">
        <v>51</v>
      </c>
      <c r="E51" s="32" t="s">
        <v>35</v>
      </c>
      <c r="F51" s="47" t="s">
        <v>36</v>
      </c>
      <c r="G51" s="32"/>
      <c r="H51" s="32"/>
    </row>
    <row r="52" customFormat="false" ht="14.9" hidden="false" customHeight="false" outlineLevel="0" collapsed="false">
      <c r="A52" s="65" t="n">
        <v>320</v>
      </c>
      <c r="B52" s="36" t="s">
        <v>43</v>
      </c>
      <c r="C52" s="37" t="s">
        <v>18</v>
      </c>
      <c r="D52" s="38" t="n">
        <v>3</v>
      </c>
      <c r="E52" s="66" t="n">
        <v>4540</v>
      </c>
      <c r="F52" s="40" t="n">
        <f aca="false">VLOOKUP(C52,$A$2:$G$14,5,FALSE())</f>
        <v>4440</v>
      </c>
      <c r="G52" s="41" t="str">
        <f aca="false">IF(F52-E52&gt;0,"Revisar","Bien")</f>
        <v>Bien</v>
      </c>
      <c r="H52" s="32"/>
    </row>
    <row r="53" customFormat="false" ht="14.3" hidden="false" customHeight="false" outlineLevel="0" collapsed="false">
      <c r="A53" s="61" t="n">
        <v>321</v>
      </c>
      <c r="B53" s="62" t="s">
        <v>44</v>
      </c>
      <c r="C53" s="50" t="s">
        <v>28</v>
      </c>
      <c r="D53" s="52"/>
      <c r="E53" s="53"/>
      <c r="F53" s="54" t="n">
        <f aca="false">VLOOKUP(C53,$A$2:$G$14,5,FALSE())</f>
        <v>0</v>
      </c>
      <c r="G53" s="55" t="str">
        <f aca="false">IF(F53-E53&gt;0,"Revisar","Bien")</f>
        <v>Bien</v>
      </c>
      <c r="H53" s="32"/>
    </row>
    <row r="54" customFormat="false" ht="13.8" hidden="false" customHeight="false" outlineLevel="0" collapsed="false">
      <c r="C54" s="32"/>
      <c r="D54" s="33"/>
      <c r="E54" s="64" t="n">
        <f aca="false">SUM(E52:E53)</f>
        <v>4540</v>
      </c>
      <c r="F54" s="57" t="n">
        <f aca="false">SUM(F52:F53)</f>
        <v>4440</v>
      </c>
      <c r="G54" s="32"/>
      <c r="H54" s="32"/>
    </row>
    <row r="55" customFormat="false" ht="13.8" hidden="false" customHeight="false" outlineLevel="0" collapsed="false">
      <c r="A55" s="31" t="s">
        <v>16</v>
      </c>
      <c r="B55" s="31"/>
      <c r="C55" s="31"/>
      <c r="D55" s="31"/>
      <c r="E55" s="31"/>
      <c r="F55" s="31"/>
      <c r="G55" s="31"/>
      <c r="H55" s="32"/>
    </row>
    <row r="56" customFormat="false" ht="13.8" hidden="false" customHeight="false" outlineLevel="0" collapsed="false">
      <c r="C56" s="32" t="s">
        <v>32</v>
      </c>
      <c r="D56" s="33" t="s">
        <v>51</v>
      </c>
      <c r="E56" s="32" t="s">
        <v>35</v>
      </c>
      <c r="F56" s="47" t="s">
        <v>36</v>
      </c>
      <c r="G56" s="32"/>
      <c r="H56" s="32"/>
    </row>
    <row r="57" customFormat="false" ht="13.8" hidden="false" customHeight="false" outlineLevel="0" collapsed="false">
      <c r="A57" s="35" t="n">
        <v>333</v>
      </c>
      <c r="B57" s="37" t="s">
        <v>48</v>
      </c>
      <c r="C57" s="37" t="s">
        <v>15</v>
      </c>
      <c r="D57" s="38" t="n">
        <v>27</v>
      </c>
      <c r="E57" s="37" t="n">
        <v>13960</v>
      </c>
      <c r="F57" s="40" t="n">
        <f aca="false">VLOOKUP(C57,$A$2:$G$14,3,FALSE())</f>
        <v>12480</v>
      </c>
      <c r="G57" s="41" t="str">
        <f aca="false">IF(F57-E57&gt;0,"Revisar","Bien")</f>
        <v>Bien</v>
      </c>
      <c r="H57" s="32"/>
    </row>
    <row r="58" customFormat="false" ht="13.8" hidden="false" customHeight="false" outlineLevel="0" collapsed="false">
      <c r="A58" s="42" t="n">
        <v>309</v>
      </c>
      <c r="B58" s="0" t="s">
        <v>39</v>
      </c>
      <c r="C58" s="32" t="s">
        <v>9</v>
      </c>
      <c r="D58" s="33" t="n">
        <v>11</v>
      </c>
      <c r="E58" s="32" t="n">
        <v>6560</v>
      </c>
      <c r="F58" s="43" t="n">
        <f aca="false">VLOOKUP(C58,$A$2:$G$14,3,FALSE())</f>
        <v>5780</v>
      </c>
      <c r="G58" s="44" t="str">
        <f aca="false">IF(F58-E58&gt;0,"Revisar","Bien")</f>
        <v>Bien</v>
      </c>
      <c r="H58" s="32"/>
    </row>
    <row r="59" customFormat="false" ht="13.8" hidden="false" customHeight="false" outlineLevel="0" collapsed="false">
      <c r="A59" s="42" t="n">
        <v>296</v>
      </c>
      <c r="B59" s="0" t="s">
        <v>53</v>
      </c>
      <c r="C59" s="32" t="s">
        <v>22</v>
      </c>
      <c r="D59" s="33"/>
      <c r="E59" s="32"/>
      <c r="F59" s="43" t="n">
        <f aca="false">VLOOKUP(C59,$A$2:$G$14,3,FALSE())</f>
        <v>0</v>
      </c>
      <c r="G59" s="44" t="str">
        <f aca="false">IF(F59-E59&gt;0,"Revisar","Bien")</f>
        <v>Bien</v>
      </c>
      <c r="H59" s="32"/>
    </row>
    <row r="60" customFormat="false" ht="13.8" hidden="false" customHeight="false" outlineLevel="0" collapsed="false">
      <c r="A60" s="49" t="n">
        <v>109</v>
      </c>
      <c r="B60" s="67" t="s">
        <v>47</v>
      </c>
      <c r="C60" s="50" t="s">
        <v>25</v>
      </c>
      <c r="D60" s="52"/>
      <c r="E60" s="50"/>
      <c r="F60" s="54" t="n">
        <f aca="false">VLOOKUP(C60,$A$2:$G$14,3,FALSE())</f>
        <v>0</v>
      </c>
      <c r="G60" s="55" t="str">
        <f aca="false">IF(F60-E60&gt;0,"Revisar","Bien")</f>
        <v>Bien</v>
      </c>
      <c r="H60" s="32"/>
    </row>
    <row r="61" customFormat="false" ht="13.8" hidden="false" customHeight="false" outlineLevel="0" collapsed="false">
      <c r="C61" s="32"/>
      <c r="D61" s="33"/>
      <c r="E61" s="64" t="n">
        <f aca="false">SUM(E57:E60)</f>
        <v>20520</v>
      </c>
      <c r="F61" s="57" t="n">
        <f aca="false">SUM(F57:F58)</f>
        <v>18260</v>
      </c>
      <c r="G61" s="32"/>
      <c r="H61" s="32"/>
    </row>
    <row r="62" customFormat="false" ht="13.8" hidden="false" customHeight="false" outlineLevel="0" collapsed="false">
      <c r="A62" s="31" t="s">
        <v>58</v>
      </c>
      <c r="B62" s="31"/>
      <c r="C62" s="31"/>
      <c r="D62" s="31"/>
      <c r="E62" s="31"/>
      <c r="F62" s="31"/>
      <c r="G62" s="31"/>
      <c r="H62" s="32"/>
    </row>
    <row r="63" customFormat="false" ht="13.8" hidden="false" customHeight="false" outlineLevel="0" collapsed="false">
      <c r="C63" s="32" t="s">
        <v>32</v>
      </c>
      <c r="D63" s="33" t="s">
        <v>51</v>
      </c>
      <c r="E63" s="32" t="s">
        <v>35</v>
      </c>
      <c r="F63" s="47" t="s">
        <v>36</v>
      </c>
      <c r="G63" s="32"/>
      <c r="H63" s="32"/>
    </row>
    <row r="64" customFormat="false" ht="13.8" hidden="false" customHeight="false" outlineLevel="0" collapsed="false">
      <c r="A64" s="35" t="n">
        <v>109</v>
      </c>
      <c r="B64" s="58" t="s">
        <v>47</v>
      </c>
      <c r="C64" s="37" t="s">
        <v>25</v>
      </c>
      <c r="D64" s="38"/>
      <c r="E64" s="66"/>
      <c r="F64" s="40" t="n">
        <f aca="false">VLOOKUP(C64,$A$2:$G$14,2,FALSE())</f>
        <v>9680</v>
      </c>
      <c r="G64" s="41" t="str">
        <f aca="false">IF(F64-E64&gt;0,"Revisar","Bien")</f>
        <v>Revisar</v>
      </c>
      <c r="H64" s="32"/>
    </row>
    <row r="65" customFormat="false" ht="13.8" hidden="false" customHeight="false" outlineLevel="0" collapsed="false">
      <c r="A65" s="42" t="n">
        <v>309</v>
      </c>
      <c r="B65" s="0" t="s">
        <v>39</v>
      </c>
      <c r="C65" s="32" t="s">
        <v>9</v>
      </c>
      <c r="D65" s="33"/>
      <c r="E65" s="47"/>
      <c r="F65" s="43" t="n">
        <f aca="false">VLOOKUP(C65,$A$2:$G$14,2,FALSE())</f>
        <v>0</v>
      </c>
      <c r="G65" s="44" t="str">
        <f aca="false">IF(F65-E65&gt;0,"Revisar","Bien")</f>
        <v>Bien</v>
      </c>
      <c r="H65" s="32"/>
    </row>
    <row r="66" customFormat="false" ht="13.8" hidden="false" customHeight="false" outlineLevel="0" collapsed="false">
      <c r="A66" s="49" t="n">
        <v>296</v>
      </c>
      <c r="B66" s="50" t="s">
        <v>53</v>
      </c>
      <c r="C66" s="50" t="s">
        <v>22</v>
      </c>
      <c r="D66" s="52"/>
      <c r="E66" s="53"/>
      <c r="F66" s="54" t="n">
        <f aca="false">VLOOKUP(C66,$A$2:$G$14,2,FALSE())</f>
        <v>0</v>
      </c>
      <c r="G66" s="55" t="str">
        <f aca="false">IF(F66-E66&gt;0,"Revisar","Bien")</f>
        <v>Bien</v>
      </c>
      <c r="H66" s="32"/>
    </row>
    <row r="67" customFormat="false" ht="13.8" hidden="false" customHeight="false" outlineLevel="0" collapsed="false">
      <c r="C67" s="32"/>
      <c r="D67" s="33"/>
      <c r="E67" s="64" t="n">
        <f aca="false">SUM(E64:E66)</f>
        <v>0</v>
      </c>
      <c r="F67" s="57" t="n">
        <f aca="false">SUM(F64:F64)</f>
        <v>9680</v>
      </c>
      <c r="G67" s="32"/>
      <c r="H67" s="32"/>
    </row>
  </sheetData>
  <mergeCells count="6">
    <mergeCell ref="A21:H21"/>
    <mergeCell ref="A33:H33"/>
    <mergeCell ref="A42:H42"/>
    <mergeCell ref="A50:G50"/>
    <mergeCell ref="A55:G55"/>
    <mergeCell ref="A62:G6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2020-02-07T07:38:22Z</dcterms:created>
  <dc:creator>usuario</dc:creator>
  <dc:description/>
  <dc:language>es-ES</dc:language>
  <cp:lastModifiedBy>JORGE AZUARA ROCA</cp:lastModifiedBy>
  <dcterms:modified xsi:type="dcterms:W3CDTF">2020-02-24T14:32:27Z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