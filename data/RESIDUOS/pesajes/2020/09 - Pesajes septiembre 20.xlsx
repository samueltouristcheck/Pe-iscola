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Hoja1!$A$1:$J$286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<sst xmlns="http://schemas.openxmlformats.org/spreadsheetml/2006/main" count="1339" uniqueCount="65">
  <si>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</si>
  <si>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</si>
  <si>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</si>
  <si>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</si>
  <si>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</si>
  <si>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</si>
  <si>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</si>
  <si>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</si>
  <si>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</si>
  <si>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</si>
  <si>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</si>
  <si>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PEÑISCOLA</t>
  </si>
  <si>
    <t xml:space="preserve">RSU</t>
  </si>
  <si>
    <t xml:space="preserve">X</t>
  </si>
  <si>
    <t xml:space="preserve">7809JZX</t>
  </si>
  <si>
    <t xml:space="preserve">1730KBZ</t>
  </si>
  <si>
    <t xml:space="preserve">1821KBZ</t>
  </si>
  <si>
    <t xml:space="preserve">SEL.PAP</t>
  </si>
  <si>
    <t xml:space="preserve">3686KBG</t>
  </si>
  <si>
    <t xml:space="preserve">6120JZX</t>
  </si>
  <si>
    <t xml:space="preserve">VOL</t>
  </si>
  <si>
    <t xml:space="preserve">1076KSZ</t>
  </si>
  <si>
    <t xml:space="preserve">PODA</t>
  </si>
  <si>
    <t xml:space="preserve">5313GBZ</t>
  </si>
  <si>
    <t xml:space="preserve">TETMA</t>
  </si>
  <si>
    <t xml:space="preserve">SEL.ENV</t>
  </si>
  <si>
    <t xml:space="preserve">7957JZS</t>
  </si>
  <si>
    <t xml:space="preserve">0315BGK</t>
  </si>
  <si>
    <t xml:space="preserve">x</t>
  </si>
  <si>
    <t xml:space="preserve">LIMP.PLAYA</t>
  </si>
  <si>
    <t xml:space="preserve">8500BYJ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</si>
  <si>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</si>
  <si>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</si>
  <si>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</si>
  <si>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</si>
  <si>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2828CZW</t>
  </si>
  <si>
    <t xml:space="preserve">9594FRV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</si>
  <si>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</si>
  <si>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</si>
  <si>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</si>
  <si>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</si>
  <si>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</si>
  <si>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</si>
  <si>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GRUA</t>
  </si>
  <si>
    <t xml:space="preserve">Volquete Jardineria</t>
  </si>
  <si>
    <t xml:space="preserve">Dia/Noche</t>
  </si>
  <si>
    <t xml:space="preserve">Recolector 22 _ 1</t>
  </si>
  <si>
    <t xml:space="preserve">2-3-4-5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</si>
  <si>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</si>
  <si>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</si>
  <si>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</si>
  <si>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</si>
  <si>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</si>
  <si>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</si>
  <si>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</si>
  <si>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Sustituya a 109</t>
  </si>
  <si>
    <t xml:space="preserve">VOLUMINOSOS</t>
  </si>
  <si>
    <t xml:space="preserve">N.º OPERARIOS</t>
  </si>
  <si>
    <t xml:space="preserve">FRECUENCIA</t>
  </si>
  <si>
    <t xml:space="preserve">volquete</t>
  </si>
  <si>
    <t xml:space="preserve">PAPEL</t>
  </si>
  <si>
    <t xml:space="preserve">ENVASES</t>
  </si>
  <si>
    <t xml:space="preserve">Camión FOBESA </t>
  </si>
  <si>
    <t xml:space="preserve">5936GJY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</si>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</sst>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CD3C1"/>
      </patternFill>
    </fill>
    <fill>
      <patternFill patternType="solid">
        <fgColor rgb="FFFFF9AE"/>
        <bgColor rgb="FFFFFFCC"/>
      </patternFill>
    </fill>
    <fill>
      <patternFill patternType="solid">
        <fgColor rgb="FFFCD3C1"/>
        <bgColor rgb="FFD9D9D9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4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9" fillId="3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5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85">
  <cacheSource type="worksheet">
    <worksheetSource ref="A1:J286" sheet="Hoja1"/>
  </cacheSource>
  <cacheFields count="10">
    <cacheField name="Fecha" numFmtId="0">
      <sharedItems count="30" containsMixedTypes="0" containsSemiMixedTypes="0" containsString="0" containsNumber="1">
        <n v="44075"/>
        <n v="44076"/>
        <n v="44077"/>
        <n v="44078"/>
        <n v="44079"/>
        <n v="44080"/>
        <n v="44081"/>
        <n v="44082"/>
        <n v="44083"/>
        <n v="44084"/>
        <n v="44085"/>
        <n v="44086"/>
        <n v="44087"/>
        <n v="44088"/>
        <n v="44089"/>
        <n v="44090"/>
        <n v="44091"/>
        <n v="44092"/>
        <n v="44093"/>
        <n v="44094"/>
        <n v="44095"/>
        <n v="44096"/>
        <n v="44097"/>
        <n v="44098"/>
        <n v="44099"/>
        <n v="44100"/>
        <n v="44101"/>
        <n v="44102"/>
        <n v="44103"/>
        <n v="44104"/>
      </sharedItems>
    </cacheField>
    <cacheField name="Fecha / hora" numFmtId="0">
      <sharedItems count="234" containsMixedTypes="0" containsSemiMixedTypes="0" containsString="0" containsNumber="1">
        <n v="0.000694444444444444"/>
        <n v="0.0402777777777778"/>
        <n v="0.0722222222222222"/>
        <n v="0.0798611111111111"/>
        <n v="0.0826388888888889"/>
        <n v="0.0868055555555556"/>
        <n v="0.0875"/>
        <n v="0.0881944444444444"/>
        <n v="0.0888888888888889"/>
        <n v="0.0902777777777778"/>
        <n v="0.0916666666666667"/>
        <n v="0.0930555555555556"/>
        <n v="0.0965277777777778"/>
        <n v="0.1"/>
        <n v="0.110416666666667"/>
        <n v="0.113194444444444"/>
        <n v="0.123611111111111"/>
        <n v="0.127777777777778"/>
        <n v="0.128472222222222"/>
        <n v="0.129861111111111"/>
        <n v="0.131944444444444"/>
        <n v="0.132638888888889"/>
        <n v="0.134027777777778"/>
        <n v="0.134722222222222"/>
        <n v="0.1375"/>
        <n v="0.144444444444444"/>
        <n v="0.153472222222222"/>
        <n v="0.155555555555556"/>
        <n v="0.15625"/>
        <n v="0.158333333333333"/>
        <n v="0.160416666666667"/>
        <n v="0.168055555555556"/>
        <n v="0.16875"/>
        <n v="0.171527777777778"/>
        <n v="0.174305555555556"/>
        <n v="0.175"/>
        <n v="0.175694444444444"/>
        <n v="0.179861111111111"/>
        <n v="0.182638888888889"/>
        <n v="0.184027777777778"/>
        <n v="0.190277777777778"/>
        <n v="0.198611111111111"/>
        <n v="0.204861111111111"/>
        <n v="0.205555555555556"/>
        <n v="0.209722222222222"/>
        <n v="0.211111111111111"/>
        <n v="0.215972222222222"/>
        <n v="0.218055555555556"/>
        <n v="0.225"/>
        <n v="0.227083333333333"/>
        <n v="0.23125"/>
        <n v="0.234722222222222"/>
        <n v="0.236111111111111"/>
        <n v="0.238888888888889"/>
        <n v="0.241666666666667"/>
        <n v="0.24375"/>
        <n v="0.246527777777778"/>
        <n v="0.247916666666667"/>
        <n v="0.249305555555556"/>
        <n v="0.250694444444444"/>
        <n v="0.252083333333333"/>
        <n v="0.252777777777778"/>
        <n v="0.253472222222222"/>
        <n v="0.254861111111111"/>
        <n v="0.255555555555556"/>
        <n v="0.25625"/>
        <n v="0.256944444444444"/>
        <n v="0.257638888888889"/>
        <n v="0.258333333333333"/>
        <n v="0.259027777777778"/>
        <n v="0.259722222222222"/>
        <n v="0.260416666666667"/>
        <n v="0.261805555555556"/>
        <n v="0.263194444444444"/>
        <n v="0.263888888888889"/>
        <n v="0.264583333333333"/>
        <n v="0.265277777777778"/>
        <n v="0.266666666666667"/>
        <n v="0.267361111111111"/>
        <n v="0.268055555555556"/>
        <n v="0.26875"/>
        <n v="0.269444444444444"/>
        <n v="0.270833333333333"/>
        <n v="0.271527777777778"/>
        <n v="0.273611111111111"/>
        <n v="0.275694444444444"/>
        <n v="0.277777777777778"/>
        <n v="0.282638888888889"/>
        <n v="0.284027777777778"/>
        <n v="0.288194444444444"/>
        <n v="0.288888888888889"/>
        <n v="0.311111111111111"/>
        <n v="0.33125"/>
        <n v="0.333333333333333"/>
        <n v="0.334027777777778"/>
        <n v="0.334722222222222"/>
        <n v="0.336111111111111"/>
        <n v="0.3375"/>
        <n v="0.338888888888889"/>
        <n v="0.343055555555555"/>
        <n v="0.34375"/>
        <n v="0.344444444444444"/>
        <n v="0.346527777777778"/>
        <n v="0.352083333333333"/>
        <n v="0.356944444444444"/>
        <n v="0.358333333333333"/>
        <n v="0.364583333333333"/>
        <n v="0.365277777777778"/>
        <n v="0.366666666666667"/>
        <n v="0.368055555555556"/>
        <n v="0.36875"/>
        <n v="0.371527777777778"/>
        <n v="0.373611111111111"/>
        <n v="0.375694444444444"/>
        <n v="0.383333333333333"/>
        <n v="0.384722222222222"/>
        <n v="0.390277777777778"/>
        <n v="0.390972222222222"/>
        <n v="0.393055555555556"/>
        <n v="0.39375"/>
        <n v="0.394444444444444"/>
        <n v="0.395138888888889"/>
        <n v="0.396527777777778"/>
        <n v="0.397916666666667"/>
        <n v="0.399305555555556"/>
        <n v="0.4"/>
        <n v="0.415972222222222"/>
        <n v="0.434027777777778"/>
        <n v="0.434722222222222"/>
        <n v="0.4375"/>
        <n v="0.438194444444444"/>
        <n v="0.438888888888889"/>
        <n v="0.439583333333333"/>
        <n v="0.442361111111111"/>
        <n v="0.443055555555556"/>
        <n v="0.444444444444444"/>
        <n v="0.445138888888889"/>
        <n v="0.445833333333333"/>
        <n v="0.447222222222222"/>
        <n v="0.45"/>
        <n v="0.452083333333333"/>
        <n v="0.452777777777778"/>
        <n v="0.454166666666667"/>
        <n v="0.455555555555556"/>
        <n v="0.45625"/>
        <n v="0.457638888888889"/>
        <n v="0.458333333333333"/>
        <n v="0.459027777777778"/>
        <n v="0.461111111111111"/>
        <n v="0.466666666666667"/>
        <n v="0.467361111111111"/>
        <n v="0.468055555555555"/>
        <n v="0.46875"/>
        <n v="0.469444444444444"/>
        <n v="0.470833333333333"/>
        <n v="0.471527777777778"/>
        <n v="0.472222222222222"/>
        <n v="0.473611111111111"/>
        <n v="0.474305555555556"/>
        <n v="0.476388888888889"/>
        <n v="0.477777777777778"/>
        <n v="0.478472222222222"/>
        <n v="0.479861111111111"/>
        <n v="0.480555555555556"/>
        <n v="0.481944444444444"/>
        <n v="0.484027777777778"/>
        <n v="0.490277777777778"/>
        <n v="0.490972222222222"/>
        <n v="0.495138888888889"/>
        <n v="0.496527777777778"/>
        <n v="0.5"/>
        <n v="0.500694444444445"/>
        <n v="0.501388888888889"/>
        <n v="0.502083333333333"/>
        <n v="0.50625"/>
        <n v="0.506944444444444"/>
        <n v="0.507638888888889"/>
        <n v="0.510416666666667"/>
        <n v="0.511111111111111"/>
        <n v="0.5125"/>
        <n v="0.513194444444444"/>
        <n v="0.513888888888889"/>
        <n v="0.514583333333333"/>
        <n v="0.515277777777778"/>
        <n v="0.51875"/>
        <n v="0.519444444444444"/>
        <n v="0.520833333333333"/>
        <n v="0.521527777777778"/>
        <n v="0.534027777777778"/>
        <n v="0.535416666666667"/>
        <n v="0.536805555555556"/>
        <n v="0.540972222222222"/>
        <n v="0.541666666666667"/>
        <n v="0.54375"/>
        <n v="0.544444444444444"/>
        <n v="0.545138888888889"/>
        <n v="0.545833333333333"/>
        <n v="0.547916666666667"/>
        <n v="0.549305555555556"/>
        <n v="0.55625"/>
        <n v="0.638194444444444"/>
        <n v="0.665277777777778"/>
        <n v="0.668055555555556"/>
        <n v="0.670833333333333"/>
        <n v="0.672916666666667"/>
        <n v="0.673611111111111"/>
        <n v="0.674305555555556"/>
        <n v="0.675"/>
        <n v="0.675694444444444"/>
        <n v="0.677083333333333"/>
        <n v="0.677777777777778"/>
        <n v="0.681944444444445"/>
        <n v="0.684722222222222"/>
        <n v="0.736111111111111"/>
        <n v="0.799305555555556"/>
        <n v="0.8375"/>
        <n v="0.845833333333333"/>
        <n v="0.847916666666667"/>
        <n v="0.852083333333333"/>
        <n v="0.854166666666667"/>
        <n v="0.854861111111111"/>
        <n v="0.855555555555556"/>
        <n v="0.859722222222222"/>
        <n v="0.860416666666667"/>
        <n v="0.8625"/>
        <n v="0.863194444444444"/>
        <n v="0.867361111111111"/>
        <n v="0.869444444444444"/>
        <n v="0.870833333333333"/>
        <n v="0.872916666666667"/>
        <n v="0.878472222222222"/>
        <n v="0.879166666666667"/>
        <n v="0.884027777777778"/>
        <n v="0.884722222222222"/>
      </sharedItems>
    </cacheField>
    <cacheField name="Ticket" numFmtId="0">
      <sharedItems count="285" containsMixedTypes="1" containsSemiMixedTypes="1" containsString="1" containsNumber="1">
        <n v="745"/>
        <n v="753"/>
        <n v="759"/>
        <n v="781"/>
        <n v="797"/>
        <n v="10658"/>
        <n v="24400"/>
        <n v="106198"/>
        <n v="106299"/>
        <n v="106410"/>
        <n v="106440"/>
        <n v="106678"/>
        <n v="106717"/>
        <n v="106777"/>
        <n v="106974"/>
        <n v="106981"/>
        <n v="106982"/>
        <n v="106987"/>
        <n v="106988"/>
        <n v="106993"/>
        <n v="107024"/>
        <n v="107025"/>
        <n v="107028"/>
        <n v="107034"/>
        <n v="107037"/>
        <n v="107038"/>
        <n v="107067"/>
        <n v="107068"/>
        <n v="107069"/>
        <n v="107080"/>
        <n v="107098"/>
        <n v="107099"/>
        <n v="107210"/>
        <n v="107273"/>
        <n v="107274"/>
        <n v="107283"/>
        <n v="107284"/>
        <n v="107305"/>
        <n v="107306"/>
        <n v="107367"/>
        <n v="107368"/>
        <n v="107417"/>
        <n v="107419"/>
        <n v="107420"/>
        <n v="107423"/>
        <n v="107424"/>
        <n v="107453"/>
        <n v="107471"/>
        <n v="107472"/>
        <n v="107502"/>
        <n v="107515"/>
        <n v="107516"/>
        <n v="107528"/>
        <n v="107529"/>
        <n v="107541"/>
        <n v="107561"/>
        <n v="107586"/>
        <n v="107587"/>
        <n v="107603"/>
        <n v="107634"/>
        <n v="107635"/>
        <n v="129483"/>
        <n v="129485"/>
        <n v="129486"/>
        <n v="129495"/>
        <n v="129497"/>
        <n v="129498"/>
        <n v="129517"/>
        <n v="129518"/>
        <n v="129534"/>
        <n v="129544"/>
        <n v="129545"/>
        <n v="129548"/>
        <n v="129556"/>
        <n v="129559"/>
        <n v="129562"/>
        <n v="129564"/>
        <n v="129573"/>
        <n v="129576"/>
        <n v="129581"/>
        <n v="129592"/>
        <n v="129602"/>
        <n v="129610"/>
        <n v="129612"/>
        <n v="129615"/>
        <n v="129623"/>
        <n v="129626"/>
        <n v="129630"/>
        <n v="129638"/>
        <n v="129647"/>
        <n v="129652"/>
        <n v="129664"/>
        <n v="129672"/>
        <n v="129675"/>
        <n v="129687"/>
        <n v="129688"/>
        <n v="129690"/>
        <n v="129699"/>
        <n v="129716"/>
        <n v="129719"/>
        <n v="129726"/>
        <n v="129732"/>
        <n v="129740"/>
        <n v="129741"/>
        <n v="129747"/>
        <n v="129758"/>
        <n v="129759"/>
        <n v="129762"/>
        <n v="129770"/>
        <n v="129771"/>
        <n v="129775"/>
        <n v="129776"/>
        <n v="129778"/>
        <n v="129779"/>
        <n v="129780"/>
        <n v="129782"/>
        <n v="129787"/>
        <n v="129789"/>
        <n v="129794"/>
        <n v="129799"/>
        <n v="129800"/>
        <n v="129801"/>
        <n v="129802"/>
        <n v="129803"/>
        <n v="129804"/>
        <n v="129806"/>
        <n v="129816"/>
        <n v="129821"/>
        <n v="129822"/>
        <n v="129825"/>
        <n v="129828"/>
        <n v="129829"/>
        <n v="129834"/>
        <n v="129841"/>
        <n v="129844"/>
        <n v="129856"/>
        <n v="129862"/>
        <n v="129863"/>
        <n v="129868"/>
        <n v="129869"/>
        <n v="129880"/>
        <n v="129881"/>
        <n v="129885"/>
        <n v="129901"/>
        <n v="129902"/>
        <n v="129906"/>
        <n v="129924"/>
        <n v="129931"/>
        <n v="129932"/>
        <n v="129944"/>
        <n v="129947"/>
        <n v="129951"/>
        <n v="129958"/>
        <n v="129966"/>
        <n v="129973"/>
        <n v="129976"/>
        <n v="130008"/>
        <n v="130011"/>
        <n v="130014"/>
        <n v="130016"/>
        <n v="130019"/>
        <n v="130020"/>
        <n v="130038"/>
        <n v="130043"/>
        <n v="130046"/>
        <n v="130061"/>
        <n v="130069"/>
        <n v="130071"/>
        <n v="130078"/>
        <n v="130082"/>
        <n v="130088"/>
        <n v="130100"/>
        <n v="130102"/>
        <n v="130127"/>
        <n v="130131"/>
        <n v="130132"/>
        <n v="130136"/>
        <n v="130148"/>
        <n v="130151"/>
        <n v="130152"/>
        <n v="130159"/>
        <n v="130161"/>
        <n v="130176"/>
        <n v="130177"/>
        <n v="130178"/>
        <n v="130179"/>
        <n v="130180"/>
        <n v="130181"/>
        <n v="130182"/>
        <n v="130184"/>
        <n v="130190"/>
        <n v="130191"/>
        <n v="130198"/>
        <n v="130201"/>
        <n v="130210"/>
        <n v="130212"/>
        <n v="130222"/>
        <n v="130232"/>
        <n v="130233"/>
        <n v="130234"/>
        <n v="130240"/>
        <n v="130249"/>
        <n v="130253"/>
        <n v="130262"/>
        <n v="130274"/>
        <n v="130284"/>
        <n v="130287"/>
        <n v="130293"/>
        <n v="130301"/>
        <n v="130305"/>
        <n v="130312"/>
        <n v="130316"/>
        <n v="130320"/>
        <n v="130328"/>
        <n v="130352"/>
        <n v="130353"/>
        <n v="130356"/>
        <n v="130364"/>
        <n v="130375"/>
        <n v="130387"/>
        <n v="130392"/>
        <n v="130396"/>
        <n v="130399"/>
        <n v="130409"/>
        <n v="130411"/>
        <n v="130423"/>
        <n v="130425"/>
        <n v="130436"/>
        <n v="130437"/>
        <n v="130444"/>
        <n v="130449"/>
        <n v="130450"/>
        <n v="130453"/>
        <n v="130457"/>
        <n v="130463"/>
        <n v="130464"/>
        <n v="130472"/>
        <n v="130488"/>
        <n v="130514"/>
        <n v="130521"/>
        <n v="130526"/>
        <n v="130529"/>
        <n v="130544"/>
        <n v="130553"/>
        <n v="130564"/>
        <n v="130566"/>
        <n v="130570"/>
        <n v="130573"/>
        <n v="130574"/>
        <n v="130575"/>
        <n v="130578"/>
        <n v="130580"/>
        <n v="130585"/>
        <n v="130613"/>
        <n v="130619"/>
        <n v="130620"/>
        <n v="130635"/>
        <n v="130655"/>
        <n v="130657"/>
        <n v="130664"/>
        <n v="130665"/>
        <n v="130676"/>
        <n v="130679"/>
        <n v="130691"/>
        <n v="130696"/>
        <n v="130703"/>
        <n v="130705"/>
        <n v="130709"/>
        <n v="130716"/>
        <n v="130717"/>
        <n v="130720"/>
        <n v="130727"/>
        <n v="130731"/>
        <n v="130738"/>
        <n v="130741"/>
        <n v="130765"/>
        <n v="130770"/>
        <n v="130776"/>
        <n v="130780"/>
        <n v="130793"/>
        <n v="130811"/>
        <n v="130816"/>
        <n v="130817"/>
        <n v="130821"/>
        <s v="TETMA"/>
      </sharedItems>
    </cacheField>
    <cacheField name="Matrícula" numFmtId="0">
      <sharedItems count="11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  <s v="8500BYJ"/>
      </sharedItems>
    </cacheField>
    <cacheField name="Peso total" numFmtId="0">
      <sharedItems count="217" containsMixedTypes="0" containsSemiMixedTypes="0" containsString="0" containsNumber="1">
        <n v="2440"/>
        <n v="2480"/>
        <n v="2500"/>
        <n v="2520"/>
        <n v="2540"/>
        <n v="2560"/>
        <n v="2580"/>
        <n v="2600"/>
        <n v="2620"/>
        <n v="2640"/>
        <n v="2660"/>
        <n v="2680"/>
        <n v="2700"/>
        <n v="2720"/>
        <n v="2740"/>
        <n v="2820"/>
        <n v="2840"/>
        <n v="2860"/>
        <n v="2880"/>
        <n v="2940"/>
        <n v="2960"/>
        <n v="2980"/>
        <n v="3040"/>
        <n v="3060"/>
        <n v="3080"/>
        <n v="3100"/>
        <n v="3140"/>
        <n v="3160"/>
        <n v="3180"/>
        <n v="3220"/>
        <n v="3240"/>
        <n v="3280"/>
        <n v="3320"/>
        <n v="3340"/>
        <n v="3360"/>
        <n v="3380"/>
        <n v="3400"/>
        <n v="3420"/>
        <n v="3460"/>
        <n v="3480"/>
        <n v="3500"/>
        <n v="3540"/>
        <n v="3560"/>
        <n v="3580"/>
        <n v="3620"/>
        <n v="3640"/>
        <n v="3700"/>
        <n v="3820"/>
        <n v="3920"/>
        <n v="4240"/>
        <n v="4340"/>
        <n v="4360"/>
        <n v="4380"/>
        <n v="4400"/>
        <n v="4420"/>
        <n v="4440"/>
        <n v="4460"/>
        <n v="4480"/>
        <n v="4500"/>
        <n v="4540"/>
        <n v="4560"/>
        <n v="4640"/>
        <n v="4720"/>
        <n v="4740"/>
        <n v="4920"/>
        <n v="4940"/>
        <n v="5260"/>
        <n v="5700"/>
        <n v="5760"/>
        <n v="5860"/>
        <n v="6240"/>
        <n v="6280"/>
        <n v="6900"/>
        <n v="13460"/>
        <n v="13520"/>
        <n v="13600"/>
        <n v="13740"/>
        <n v="13860"/>
        <n v="13880"/>
        <n v="13900"/>
        <n v="13920"/>
        <n v="13940"/>
        <n v="13980"/>
        <n v="14020"/>
        <n v="14100"/>
        <n v="14180"/>
        <n v="14320"/>
        <n v="14440"/>
        <n v="14580"/>
        <n v="14660"/>
        <n v="15000"/>
        <n v="15040"/>
        <n v="15080"/>
        <n v="15300"/>
        <n v="15500"/>
        <n v="15540"/>
        <n v="15600"/>
        <n v="15820"/>
        <n v="15900"/>
        <n v="16020"/>
        <n v="16080"/>
        <n v="16100"/>
        <n v="16180"/>
        <n v="16440"/>
        <n v="16480"/>
        <n v="16600"/>
        <n v="16640"/>
        <n v="16720"/>
        <n v="16820"/>
        <n v="16980"/>
        <n v="17000"/>
        <n v="17040"/>
        <n v="17060"/>
        <n v="17120"/>
        <n v="17140"/>
        <n v="17200"/>
        <n v="17220"/>
        <n v="17320"/>
        <n v="17360"/>
        <n v="17380"/>
        <n v="17500"/>
        <n v="17520"/>
        <n v="17660"/>
        <n v="17760"/>
        <n v="17800"/>
        <n v="17840"/>
        <n v="17940"/>
        <n v="18000"/>
        <n v="18100"/>
        <n v="18140"/>
        <n v="18300"/>
        <n v="18620"/>
        <n v="18800"/>
        <n v="18820"/>
        <n v="18860"/>
        <n v="18920"/>
        <n v="19220"/>
        <n v="19340"/>
        <n v="19420"/>
        <n v="19440"/>
        <n v="19600"/>
        <n v="19620"/>
        <n v="19680"/>
        <n v="19700"/>
        <n v="20040"/>
        <n v="20260"/>
        <n v="20300"/>
        <n v="20480"/>
        <n v="20800"/>
        <n v="20840"/>
        <n v="20880"/>
        <n v="21000"/>
        <n v="21100"/>
        <n v="21120"/>
        <n v="21320"/>
        <n v="21360"/>
        <n v="21400"/>
        <n v="21440"/>
        <n v="21460"/>
        <n v="21480"/>
        <n v="21520"/>
        <n v="21580"/>
        <n v="21620"/>
        <n v="21660"/>
        <n v="21780"/>
        <n v="21840"/>
        <n v="21900"/>
        <n v="22000"/>
        <n v="22040"/>
        <n v="22080"/>
        <n v="22100"/>
        <n v="22160"/>
        <n v="22420"/>
        <n v="22600"/>
        <n v="22800"/>
        <n v="22900"/>
        <n v="22920"/>
        <n v="22960"/>
        <n v="23020"/>
        <n v="23080"/>
        <n v="23160"/>
        <n v="23260"/>
        <n v="23300"/>
        <n v="23340"/>
        <n v="23460"/>
        <n v="23600"/>
        <n v="23740"/>
        <n v="23780"/>
        <n v="23800"/>
        <n v="23980"/>
        <n v="24080"/>
        <n v="24100"/>
        <n v="24240"/>
        <n v="24400"/>
        <n v="24500"/>
        <n v="24540"/>
        <n v="24780"/>
        <n v="24980"/>
        <n v="25420"/>
        <n v="25460"/>
        <n v="25740"/>
        <n v="25760"/>
        <n v="26000"/>
        <n v="26060"/>
        <n v="26320"/>
        <n v="26460"/>
        <n v="27000"/>
        <n v="27060"/>
        <n v="27300"/>
        <n v="27540"/>
        <n v="27640"/>
        <n v="27900"/>
        <n v="27920"/>
        <n v="28560"/>
        <n v="28840"/>
        <n v="29260"/>
        <n v="29580"/>
      </sharedItems>
    </cacheField>
    <cacheField name="Tara" numFmtId="0">
      <sharedItems count="93" containsMixedTypes="0" containsSemiMixedTypes="0" containsString="0" containsNumber="1">
        <n v="2260"/>
        <n v="2320"/>
        <n v="2340"/>
        <n v="2360"/>
        <n v="2380"/>
        <n v="2400"/>
        <n v="2420"/>
        <n v="2500"/>
        <n v="2680"/>
        <n v="2700"/>
        <n v="2740"/>
        <n v="2760"/>
        <n v="2780"/>
        <n v="2800"/>
        <n v="2820"/>
        <n v="2840"/>
        <n v="2860"/>
        <n v="2880"/>
        <n v="2900"/>
        <n v="2920"/>
        <n v="2940"/>
        <n v="3220"/>
        <n v="3560"/>
        <n v="3580"/>
        <n v="3620"/>
        <n v="3640"/>
        <n v="3660"/>
        <n v="3680"/>
        <n v="3700"/>
        <n v="3720"/>
        <n v="3740"/>
        <n v="3760"/>
        <n v="3780"/>
        <n v="3800"/>
        <n v="5540"/>
        <n v="5580"/>
        <n v="5620"/>
        <n v="5660"/>
        <n v="5700"/>
        <n v="12360"/>
        <n v="12460"/>
        <n v="12480"/>
        <n v="12520"/>
        <n v="12540"/>
        <n v="12580"/>
        <n v="1274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40"/>
        <n v="13060"/>
        <n v="15100"/>
        <n v="1530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20"/>
        <n v="16040"/>
        <n v="16060"/>
        <n v="16080"/>
        <n v="16100"/>
        <n v="16120"/>
        <n v="16140"/>
        <n v="16160"/>
        <n v="16200"/>
        <n v="16220"/>
        <n v="16240"/>
        <n v="16260"/>
        <n v="16320"/>
        <n v="16340"/>
        <n v="16360"/>
      </sharedItems>
    </cacheField>
    <cacheField name="Carga" numFmtId="0">
      <sharedItems count="170" containsMixedTypes="0" containsSemiMixedTypes="0" containsString="0" containsNumber="1">
        <n v="20"/>
        <n v="40"/>
        <n v="60"/>
        <n v="80"/>
        <n v="120"/>
        <n v="140"/>
        <n v="160"/>
        <n v="180"/>
        <n v="200"/>
        <n v="220"/>
        <n v="240"/>
        <n v="260"/>
        <n v="280"/>
        <n v="300"/>
        <n v="320"/>
        <n v="340"/>
        <n v="40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60"/>
        <n v="780"/>
        <n v="800"/>
        <n v="840"/>
        <n v="880"/>
        <n v="900"/>
        <n v="920"/>
        <n v="940"/>
        <n v="960"/>
        <n v="1000"/>
        <n v="1020"/>
        <n v="1040"/>
        <n v="1080"/>
        <n v="1140"/>
        <n v="1160"/>
        <n v="1180"/>
        <n v="1200"/>
        <n v="1240"/>
        <n v="1260"/>
        <n v="1280"/>
        <n v="1300"/>
        <n v="1360"/>
        <n v="1400"/>
        <n v="1440"/>
        <n v="1480"/>
        <n v="1520"/>
        <n v="1700"/>
        <n v="1780"/>
        <n v="1800"/>
        <n v="1860"/>
        <n v="1900"/>
        <n v="1980"/>
        <n v="2040"/>
        <n v="2060"/>
        <n v="2140"/>
        <n v="2160"/>
        <n v="2200"/>
        <n v="2500"/>
        <n v="2540"/>
        <n v="2600"/>
        <n v="2740"/>
        <n v="2760"/>
        <n v="2860"/>
        <n v="2960"/>
        <n v="2980"/>
        <n v="3080"/>
        <n v="3220"/>
        <n v="3280"/>
        <n v="3320"/>
        <n v="3340"/>
        <n v="3360"/>
        <n v="3480"/>
        <n v="3540"/>
        <n v="3600"/>
        <n v="3660"/>
        <n v="3780"/>
        <n v="3940"/>
        <n v="4000"/>
        <n v="4080"/>
        <n v="4180"/>
        <n v="4220"/>
        <n v="4340"/>
        <n v="4380"/>
        <n v="4780"/>
        <n v="4800"/>
        <n v="4860"/>
        <n v="5000"/>
        <n v="5440"/>
        <n v="5700"/>
        <n v="5840"/>
        <n v="5880"/>
        <n v="5980"/>
        <n v="6240"/>
        <n v="6500"/>
        <n v="6740"/>
        <n v="6760"/>
        <n v="6820"/>
        <n v="6860"/>
        <n v="7080"/>
        <n v="7140"/>
        <n v="7240"/>
        <n v="7280"/>
        <n v="7300"/>
        <n v="7580"/>
        <n v="7640"/>
        <n v="7740"/>
        <n v="7820"/>
        <n v="7860"/>
        <n v="7960"/>
        <n v="8040"/>
        <n v="8060"/>
        <n v="8160"/>
        <n v="8320"/>
        <n v="8340"/>
        <n v="8440"/>
        <n v="8540"/>
        <n v="8560"/>
        <n v="8580"/>
        <n v="8660"/>
        <n v="8720"/>
        <n v="8760"/>
        <n v="8800"/>
        <n v="8820"/>
        <n v="8840"/>
        <n v="8860"/>
        <n v="9020"/>
        <n v="9060"/>
        <n v="9180"/>
        <n v="9280"/>
        <n v="9300"/>
        <n v="9420"/>
        <n v="9520"/>
        <n v="9560"/>
        <n v="9640"/>
        <n v="9800"/>
        <n v="9840"/>
        <n v="9960"/>
        <n v="10000"/>
        <n v="10040"/>
        <n v="10300"/>
        <n v="10440"/>
        <n v="10660"/>
        <n v="10780"/>
        <n v="10840"/>
        <n v="10940"/>
        <n v="10960"/>
        <n v="11040"/>
        <n v="11060"/>
        <n v="11580"/>
        <n v="11600"/>
        <n v="11740"/>
        <n v="11880"/>
        <n v="12420"/>
        <n v="12620"/>
        <n v="13180"/>
        <n v="13540"/>
        <n v="1428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5">
  <r>
    <x v="0"/>
    <x v="56"/>
    <x v="64"/>
    <x v="7"/>
    <x v="103"/>
    <x v="47"/>
    <x v="87"/>
    <x v="0"/>
    <x v="2"/>
    <x v="0"/>
  </r>
  <r>
    <x v="0"/>
    <x v="69"/>
    <x v="65"/>
    <x v="8"/>
    <x v="50"/>
    <x v="25"/>
    <x v="30"/>
    <x v="0"/>
    <x v="2"/>
    <x v="0"/>
  </r>
  <r>
    <x v="0"/>
    <x v="7"/>
    <x v="63"/>
    <x v="7"/>
    <x v="152"/>
    <x v="47"/>
    <x v="125"/>
    <x v="0"/>
    <x v="2"/>
    <x v="0"/>
  </r>
  <r>
    <x v="0"/>
    <x v="75"/>
    <x v="66"/>
    <x v="2"/>
    <x v="189"/>
    <x v="75"/>
    <x v="122"/>
    <x v="0"/>
    <x v="2"/>
    <x v="0"/>
  </r>
  <r>
    <x v="0"/>
    <x v="0"/>
    <x v="61"/>
    <x v="2"/>
    <x v="208"/>
    <x v="91"/>
    <x v="158"/>
    <x v="0"/>
    <x v="2"/>
    <x v="0"/>
  </r>
  <r>
    <x v="0"/>
    <x v="3"/>
    <x v="62"/>
    <x v="3"/>
    <x v="144"/>
    <x v="89"/>
    <x v="88"/>
    <x v="0"/>
    <x v="2"/>
    <x v="0"/>
  </r>
  <r>
    <x v="0"/>
    <x v="163"/>
    <x v="7"/>
    <x v="3"/>
    <x v="127"/>
    <x v="87"/>
    <x v="60"/>
    <x v="0"/>
    <x v="4"/>
    <x v="0"/>
  </r>
  <r>
    <x v="0"/>
    <x v="139"/>
    <x v="67"/>
    <x v="4"/>
    <x v="10"/>
    <x v="6"/>
    <x v="10"/>
    <x v="0"/>
    <x v="2"/>
    <x v="0"/>
  </r>
  <r>
    <x v="0"/>
    <x v="227"/>
    <x v="71"/>
    <x v="4"/>
    <x v="7"/>
    <x v="6"/>
    <x v="7"/>
    <x v="0"/>
    <x v="2"/>
    <x v="0"/>
  </r>
  <r>
    <x v="0"/>
    <x v="218"/>
    <x v="70"/>
    <x v="3"/>
    <x v="161"/>
    <x v="84"/>
    <x v="100"/>
    <x v="0"/>
    <x v="2"/>
    <x v="0"/>
  </r>
  <r>
    <x v="0"/>
    <x v="206"/>
    <x v="69"/>
    <x v="7"/>
    <x v="89"/>
    <x v="51"/>
    <x v="61"/>
    <x v="0"/>
    <x v="2"/>
    <x v="0"/>
  </r>
  <r>
    <x v="0"/>
    <x v="140"/>
    <x v="68"/>
    <x v="6"/>
    <x v="41"/>
    <x v="10"/>
    <x v="35"/>
    <x v="0"/>
    <x v="5"/>
    <x v="0"/>
  </r>
  <r>
    <x v="1"/>
    <x v="40"/>
    <x v="73"/>
    <x v="3"/>
    <x v="196"/>
    <x v="83"/>
    <x v="131"/>
    <x v="0"/>
    <x v="2"/>
    <x v="0"/>
  </r>
  <r>
    <x v="1"/>
    <x v="80"/>
    <x v="76"/>
    <x v="3"/>
    <x v="130"/>
    <x v="82"/>
    <x v="69"/>
    <x v="0"/>
    <x v="2"/>
    <x v="0"/>
  </r>
  <r>
    <x v="1"/>
    <x v="58"/>
    <x v="74"/>
    <x v="7"/>
    <x v="102"/>
    <x v="50"/>
    <x v="82"/>
    <x v="0"/>
    <x v="2"/>
    <x v="0"/>
  </r>
  <r>
    <x v="1"/>
    <x v="2"/>
    <x v="72"/>
    <x v="7"/>
    <x v="143"/>
    <x v="50"/>
    <x v="110"/>
    <x v="0"/>
    <x v="2"/>
    <x v="0"/>
  </r>
  <r>
    <x v="1"/>
    <x v="72"/>
    <x v="75"/>
    <x v="8"/>
    <x v="49"/>
    <x v="24"/>
    <x v="26"/>
    <x v="0"/>
    <x v="2"/>
    <x v="0"/>
  </r>
  <r>
    <x v="1"/>
    <x v="230"/>
    <x v="83"/>
    <x v="4"/>
    <x v="7"/>
    <x v="5"/>
    <x v="8"/>
    <x v="0"/>
    <x v="2"/>
    <x v="0"/>
  </r>
  <r>
    <x v="1"/>
    <x v="200"/>
    <x v="80"/>
    <x v="1"/>
    <x v="16"/>
    <x v="9"/>
    <x v="5"/>
    <x v="0"/>
    <x v="1"/>
    <x v="0"/>
  </r>
  <r>
    <x v="1"/>
    <x v="102"/>
    <x v="77"/>
    <x v="4"/>
    <x v="5"/>
    <x v="4"/>
    <x v="7"/>
    <x v="0"/>
    <x v="2"/>
    <x v="0"/>
  </r>
  <r>
    <x v="1"/>
    <x v="132"/>
    <x v="79"/>
    <x v="6"/>
    <x v="39"/>
    <x v="11"/>
    <x v="31"/>
    <x v="0"/>
    <x v="5"/>
    <x v="0"/>
  </r>
  <r>
    <x v="1"/>
    <x v="117"/>
    <x v="78"/>
    <x v="5"/>
    <x v="94"/>
    <x v="43"/>
    <x v="76"/>
    <x v="0"/>
    <x v="2"/>
    <x v="0"/>
  </r>
  <r>
    <x v="1"/>
    <x v="228"/>
    <x v="82"/>
    <x v="3"/>
    <x v="166"/>
    <x v="78"/>
    <x v="103"/>
    <x v="0"/>
    <x v="2"/>
    <x v="0"/>
  </r>
  <r>
    <x v="1"/>
    <x v="211"/>
    <x v="81"/>
    <x v="7"/>
    <x v="86"/>
    <x v="48"/>
    <x v="58"/>
    <x v="0"/>
    <x v="2"/>
    <x v="0"/>
  </r>
  <r>
    <x v="2"/>
    <x v="77"/>
    <x v="87"/>
    <x v="3"/>
    <x v="202"/>
    <x v="85"/>
    <x v="148"/>
    <x v="0"/>
    <x v="2"/>
    <x v="0"/>
  </r>
  <r>
    <x v="2"/>
    <x v="29"/>
    <x v="85"/>
    <x v="7"/>
    <x v="93"/>
    <x v="46"/>
    <x v="71"/>
    <x v="0"/>
    <x v="2"/>
    <x v="0"/>
  </r>
  <r>
    <x v="2"/>
    <x v="5"/>
    <x v="84"/>
    <x v="7"/>
    <x v="153"/>
    <x v="56"/>
    <x v="124"/>
    <x v="0"/>
    <x v="2"/>
    <x v="0"/>
  </r>
  <r>
    <x v="2"/>
    <x v="53"/>
    <x v="86"/>
    <x v="8"/>
    <x v="62"/>
    <x v="29"/>
    <x v="42"/>
    <x v="0"/>
    <x v="2"/>
    <x v="0"/>
  </r>
  <r>
    <x v="2"/>
    <x v="125"/>
    <x v="8"/>
    <x v="3"/>
    <x v="113"/>
    <x v="82"/>
    <x v="43"/>
    <x v="0"/>
    <x v="4"/>
    <x v="0"/>
  </r>
  <r>
    <x v="2"/>
    <x v="212"/>
    <x v="91"/>
    <x v="7"/>
    <x v="90"/>
    <x v="51"/>
    <x v="67"/>
    <x v="0"/>
    <x v="2"/>
    <x v="0"/>
  </r>
  <r>
    <x v="2"/>
    <x v="176"/>
    <x v="90"/>
    <x v="6"/>
    <x v="33"/>
    <x v="14"/>
    <x v="21"/>
    <x v="0"/>
    <x v="5"/>
    <x v="0"/>
  </r>
  <r>
    <x v="2"/>
    <x v="149"/>
    <x v="89"/>
    <x v="6"/>
    <x v="48"/>
    <x v="10"/>
    <x v="48"/>
    <x v="0"/>
    <x v="5"/>
    <x v="0"/>
  </r>
  <r>
    <x v="2"/>
    <x v="93"/>
    <x v="88"/>
    <x v="6"/>
    <x v="32"/>
    <x v="17"/>
    <x v="17"/>
    <x v="0"/>
    <x v="5"/>
    <x v="0"/>
  </r>
  <r>
    <x v="3"/>
    <x v="64"/>
    <x v="95"/>
    <x v="8"/>
    <x v="52"/>
    <x v="23"/>
    <x v="35"/>
    <x v="0"/>
    <x v="2"/>
    <x v="0"/>
  </r>
  <r>
    <x v="3"/>
    <x v="62"/>
    <x v="94"/>
    <x v="7"/>
    <x v="100"/>
    <x v="48"/>
    <x v="80"/>
    <x v="0"/>
    <x v="2"/>
    <x v="0"/>
  </r>
  <r>
    <x v="3"/>
    <x v="5"/>
    <x v="93"/>
    <x v="7"/>
    <x v="159"/>
    <x v="49"/>
    <x v="131"/>
    <x v="0"/>
    <x v="2"/>
    <x v="0"/>
  </r>
  <r>
    <x v="3"/>
    <x v="78"/>
    <x v="96"/>
    <x v="3"/>
    <x v="207"/>
    <x v="78"/>
    <x v="159"/>
    <x v="0"/>
    <x v="2"/>
    <x v="0"/>
  </r>
  <r>
    <x v="2"/>
    <x v="232"/>
    <x v="92"/>
    <x v="3"/>
    <x v="133"/>
    <x v="80"/>
    <x v="74"/>
    <x v="0"/>
    <x v="2"/>
    <x v="0"/>
  </r>
  <r>
    <x v="3"/>
    <x v="168"/>
    <x v="98"/>
    <x v="6"/>
    <x v="31"/>
    <x v="13"/>
    <x v="19"/>
    <x v="0"/>
    <x v="2"/>
    <x v="0"/>
  </r>
  <r>
    <x v="3"/>
    <x v="101"/>
    <x v="97"/>
    <x v="6"/>
    <x v="40"/>
    <x v="14"/>
    <x v="29"/>
    <x v="0"/>
    <x v="5"/>
    <x v="0"/>
  </r>
  <r>
    <x v="3"/>
    <x v="196"/>
    <x v="100"/>
    <x v="1"/>
    <x v="19"/>
    <x v="9"/>
    <x v="10"/>
    <x v="0"/>
    <x v="1"/>
    <x v="0"/>
  </r>
  <r>
    <x v="3"/>
    <x v="204"/>
    <x v="101"/>
    <x v="7"/>
    <x v="83"/>
    <x v="46"/>
    <x v="51"/>
    <x v="0"/>
    <x v="2"/>
    <x v="0"/>
  </r>
  <r>
    <x v="3"/>
    <x v="175"/>
    <x v="99"/>
    <x v="4"/>
    <x v="7"/>
    <x v="1"/>
    <x v="12"/>
    <x v="0"/>
    <x v="2"/>
    <x v="0"/>
  </r>
  <r>
    <x v="3"/>
    <x v="229"/>
    <x v="103"/>
    <x v="4"/>
    <x v="8"/>
    <x v="6"/>
    <x v="8"/>
    <x v="0"/>
    <x v="2"/>
    <x v="0"/>
  </r>
  <r>
    <x v="3"/>
    <x v="223"/>
    <x v="102"/>
    <x v="3"/>
    <x v="187"/>
    <x v="84"/>
    <x v="117"/>
    <x v="0"/>
    <x v="2"/>
    <x v="0"/>
  </r>
  <r>
    <x v="3"/>
    <x v="129"/>
    <x v="284"/>
    <x v="3"/>
    <x v="124"/>
    <x v="66"/>
    <x v="65"/>
    <x v="0"/>
    <x v="3"/>
    <x v="0"/>
  </r>
  <r>
    <x v="4"/>
    <x v="162"/>
    <x v="110"/>
    <x v="9"/>
    <x v="68"/>
    <x v="35"/>
    <x v="7"/>
    <x v="0"/>
    <x v="5"/>
    <x v="0"/>
  </r>
  <r>
    <x v="4"/>
    <x v="64"/>
    <x v="106"/>
    <x v="7"/>
    <x v="108"/>
    <x v="49"/>
    <x v="90"/>
    <x v="0"/>
    <x v="2"/>
    <x v="0"/>
  </r>
  <r>
    <x v="4"/>
    <x v="128"/>
    <x v="109"/>
    <x v="6"/>
    <x v="32"/>
    <x v="12"/>
    <x v="22"/>
    <x v="0"/>
    <x v="2"/>
    <x v="0"/>
  </r>
  <r>
    <x v="4"/>
    <x v="60"/>
    <x v="105"/>
    <x v="8"/>
    <x v="58"/>
    <x v="26"/>
    <x v="36"/>
    <x v="0"/>
    <x v="2"/>
    <x v="0"/>
  </r>
  <r>
    <x v="4"/>
    <x v="174"/>
    <x v="111"/>
    <x v="6"/>
    <x v="28"/>
    <x v="12"/>
    <x v="16"/>
    <x v="0"/>
    <x v="5"/>
    <x v="0"/>
  </r>
  <r>
    <x v="4"/>
    <x v="202"/>
    <x v="112"/>
    <x v="7"/>
    <x v="80"/>
    <x v="50"/>
    <x v="45"/>
    <x v="0"/>
    <x v="2"/>
    <x v="0"/>
  </r>
  <r>
    <x v="4"/>
    <x v="218"/>
    <x v="114"/>
    <x v="3"/>
    <x v="177"/>
    <x v="86"/>
    <x v="108"/>
    <x v="0"/>
    <x v="2"/>
    <x v="0"/>
  </r>
  <r>
    <x v="4"/>
    <x v="9"/>
    <x v="104"/>
    <x v="7"/>
    <x v="163"/>
    <x v="48"/>
    <x v="137"/>
    <x v="0"/>
    <x v="2"/>
    <x v="0"/>
  </r>
  <r>
    <x v="4"/>
    <x v="107"/>
    <x v="108"/>
    <x v="4"/>
    <x v="6"/>
    <x v="5"/>
    <x v="7"/>
    <x v="0"/>
    <x v="2"/>
    <x v="0"/>
  </r>
  <r>
    <x v="4"/>
    <x v="216"/>
    <x v="113"/>
    <x v="4"/>
    <x v="8"/>
    <x v="6"/>
    <x v="8"/>
    <x v="0"/>
    <x v="2"/>
    <x v="0"/>
  </r>
  <r>
    <x v="4"/>
    <x v="80"/>
    <x v="107"/>
    <x v="3"/>
    <x v="206"/>
    <x v="85"/>
    <x v="156"/>
    <x v="0"/>
    <x v="2"/>
    <x v="0"/>
  </r>
  <r>
    <x v="4"/>
    <x v="144"/>
    <x v="9"/>
    <x v="2"/>
    <x v="106"/>
    <x v="65"/>
    <x v="38"/>
    <x v="0"/>
    <x v="4"/>
    <x v="0"/>
  </r>
  <r>
    <x v="5"/>
    <x v="104"/>
    <x v="119"/>
    <x v="4"/>
    <x v="8"/>
    <x v="4"/>
    <x v="10"/>
    <x v="0"/>
    <x v="2"/>
    <x v="0"/>
  </r>
  <r>
    <x v="5"/>
    <x v="54"/>
    <x v="118"/>
    <x v="8"/>
    <x v="66"/>
    <x v="30"/>
    <x v="58"/>
    <x v="0"/>
    <x v="2"/>
    <x v="0"/>
  </r>
  <r>
    <x v="5"/>
    <x v="36"/>
    <x v="117"/>
    <x v="2"/>
    <x v="210"/>
    <x v="66"/>
    <x v="164"/>
    <x v="0"/>
    <x v="2"/>
    <x v="0"/>
  </r>
  <r>
    <x v="5"/>
    <x v="221"/>
    <x v="124"/>
    <x v="4"/>
    <x v="10"/>
    <x v="6"/>
    <x v="10"/>
    <x v="0"/>
    <x v="2"/>
    <x v="0"/>
  </r>
  <r>
    <x v="5"/>
    <x v="209"/>
    <x v="122"/>
    <x v="7"/>
    <x v="85"/>
    <x v="49"/>
    <x v="54"/>
    <x v="0"/>
    <x v="2"/>
    <x v="0"/>
  </r>
  <r>
    <x v="5"/>
    <x v="219"/>
    <x v="123"/>
    <x v="3"/>
    <x v="184"/>
    <x v="85"/>
    <x v="115"/>
    <x v="0"/>
    <x v="2"/>
    <x v="0"/>
  </r>
  <r>
    <x v="5"/>
    <x v="130"/>
    <x v="120"/>
    <x v="6"/>
    <x v="32"/>
    <x v="11"/>
    <x v="23"/>
    <x v="0"/>
    <x v="2"/>
    <x v="0"/>
  </r>
  <r>
    <x v="5"/>
    <x v="184"/>
    <x v="121"/>
    <x v="6"/>
    <x v="25"/>
    <x v="15"/>
    <x v="11"/>
    <x v="0"/>
    <x v="5"/>
    <x v="0"/>
  </r>
  <r>
    <x v="5"/>
    <x v="17"/>
    <x v="116"/>
    <x v="7"/>
    <x v="123"/>
    <x v="53"/>
    <x v="98"/>
    <x v="0"/>
    <x v="2"/>
    <x v="0"/>
  </r>
  <r>
    <x v="5"/>
    <x v="1"/>
    <x v="115"/>
    <x v="7"/>
    <x v="151"/>
    <x v="59"/>
    <x v="121"/>
    <x v="0"/>
    <x v="2"/>
    <x v="0"/>
  </r>
  <r>
    <x v="6"/>
    <x v="152"/>
    <x v="10"/>
    <x v="3"/>
    <x v="112"/>
    <x v="83"/>
    <x v="40"/>
    <x v="0"/>
    <x v="4"/>
    <x v="0"/>
  </r>
  <r>
    <x v="6"/>
    <x v="220"/>
    <x v="136"/>
    <x v="3"/>
    <x v="166"/>
    <x v="86"/>
    <x v="101"/>
    <x v="0"/>
    <x v="2"/>
    <x v="0"/>
  </r>
  <r>
    <x v="6"/>
    <x v="226"/>
    <x v="137"/>
    <x v="4"/>
    <x v="2"/>
    <x v="4"/>
    <x v="4"/>
    <x v="0"/>
    <x v="2"/>
    <x v="0"/>
  </r>
  <r>
    <x v="6"/>
    <x v="208"/>
    <x v="135"/>
    <x v="7"/>
    <x v="79"/>
    <x v="51"/>
    <x v="44"/>
    <x v="0"/>
    <x v="2"/>
    <x v="0"/>
  </r>
  <r>
    <x v="6"/>
    <x v="99"/>
    <x v="131"/>
    <x v="6"/>
    <x v="38"/>
    <x v="11"/>
    <x v="30"/>
    <x v="0"/>
    <x v="5"/>
    <x v="0"/>
  </r>
  <r>
    <x v="6"/>
    <x v="177"/>
    <x v="134"/>
    <x v="6"/>
    <x v="39"/>
    <x v="10"/>
    <x v="32"/>
    <x v="0"/>
    <x v="5"/>
    <x v="0"/>
  </r>
  <r>
    <x v="6"/>
    <x v="97"/>
    <x v="130"/>
    <x v="4"/>
    <x v="10"/>
    <x v="5"/>
    <x v="11"/>
    <x v="0"/>
    <x v="2"/>
    <x v="0"/>
  </r>
  <r>
    <x v="6"/>
    <x v="90"/>
    <x v="129"/>
    <x v="2"/>
    <x v="135"/>
    <x v="75"/>
    <x v="77"/>
    <x v="0"/>
    <x v="2"/>
    <x v="0"/>
  </r>
  <r>
    <x v="6"/>
    <x v="47"/>
    <x v="126"/>
    <x v="2"/>
    <x v="209"/>
    <x v="76"/>
    <x v="161"/>
    <x v="0"/>
    <x v="2"/>
    <x v="0"/>
  </r>
  <r>
    <x v="6"/>
    <x v="151"/>
    <x v="133"/>
    <x v="4"/>
    <x v="7"/>
    <x v="5"/>
    <x v="8"/>
    <x v="0"/>
    <x v="2"/>
    <x v="0"/>
  </r>
  <r>
    <x v="6"/>
    <x v="125"/>
    <x v="132"/>
    <x v="5"/>
    <x v="117"/>
    <x v="43"/>
    <x v="96"/>
    <x v="0"/>
    <x v="2"/>
    <x v="0"/>
  </r>
  <r>
    <x v="6"/>
    <x v="65"/>
    <x v="128"/>
    <x v="8"/>
    <x v="59"/>
    <x v="26"/>
    <x v="37"/>
    <x v="0"/>
    <x v="2"/>
    <x v="0"/>
  </r>
  <r>
    <x v="6"/>
    <x v="2"/>
    <x v="125"/>
    <x v="7"/>
    <x v="168"/>
    <x v="51"/>
    <x v="140"/>
    <x v="0"/>
    <x v="2"/>
    <x v="0"/>
  </r>
  <r>
    <x v="6"/>
    <x v="59"/>
    <x v="127"/>
    <x v="7"/>
    <x v="115"/>
    <x v="51"/>
    <x v="94"/>
    <x v="0"/>
    <x v="2"/>
    <x v="0"/>
  </r>
  <r>
    <x v="7"/>
    <x v="187"/>
    <x v="0"/>
    <x v="3"/>
    <x v="129"/>
    <x v="81"/>
    <x v="66"/>
    <x v="0"/>
    <x v="3"/>
    <x v="0"/>
  </r>
  <r>
    <x v="7"/>
    <x v="8"/>
    <x v="139"/>
    <x v="3"/>
    <x v="140"/>
    <x v="88"/>
    <x v="83"/>
    <x v="0"/>
    <x v="2"/>
    <x v="0"/>
  </r>
  <r>
    <x v="7"/>
    <x v="50"/>
    <x v="140"/>
    <x v="7"/>
    <x v="101"/>
    <x v="52"/>
    <x v="79"/>
    <x v="0"/>
    <x v="2"/>
    <x v="0"/>
  </r>
  <r>
    <x v="7"/>
    <x v="5"/>
    <x v="138"/>
    <x v="7"/>
    <x v="157"/>
    <x v="53"/>
    <x v="128"/>
    <x v="0"/>
    <x v="2"/>
    <x v="0"/>
  </r>
  <r>
    <x v="7"/>
    <x v="61"/>
    <x v="141"/>
    <x v="8"/>
    <x v="60"/>
    <x v="25"/>
    <x v="39"/>
    <x v="0"/>
    <x v="2"/>
    <x v="0"/>
  </r>
  <r>
    <x v="7"/>
    <x v="148"/>
    <x v="145"/>
    <x v="9"/>
    <x v="69"/>
    <x v="34"/>
    <x v="14"/>
    <x v="0"/>
    <x v="5"/>
    <x v="0"/>
  </r>
  <r>
    <x v="7"/>
    <x v="81"/>
    <x v="142"/>
    <x v="2"/>
    <x v="188"/>
    <x v="75"/>
    <x v="120"/>
    <x v="0"/>
    <x v="2"/>
    <x v="0"/>
  </r>
  <r>
    <x v="7"/>
    <x v="143"/>
    <x v="144"/>
    <x v="6"/>
    <x v="35"/>
    <x v="10"/>
    <x v="27"/>
    <x v="0"/>
    <x v="5"/>
    <x v="0"/>
  </r>
  <r>
    <x v="7"/>
    <x v="142"/>
    <x v="143"/>
    <x v="4"/>
    <x v="11"/>
    <x v="2"/>
    <x v="15"/>
    <x v="0"/>
    <x v="2"/>
    <x v="0"/>
  </r>
  <r>
    <x v="7"/>
    <x v="210"/>
    <x v="146"/>
    <x v="7"/>
    <x v="75"/>
    <x v="48"/>
    <x v="35"/>
    <x v="0"/>
    <x v="2"/>
    <x v="0"/>
  </r>
  <r>
    <x v="7"/>
    <x v="219"/>
    <x v="147"/>
    <x v="3"/>
    <x v="155"/>
    <x v="92"/>
    <x v="99"/>
    <x v="0"/>
    <x v="2"/>
    <x v="0"/>
  </r>
  <r>
    <x v="7"/>
    <x v="222"/>
    <x v="148"/>
    <x v="4"/>
    <x v="3"/>
    <x v="3"/>
    <x v="6"/>
    <x v="0"/>
    <x v="2"/>
    <x v="0"/>
  </r>
  <r>
    <x v="8"/>
    <x v="172"/>
    <x v="155"/>
    <x v="6"/>
    <x v="35"/>
    <x v="11"/>
    <x v="26"/>
    <x v="0"/>
    <x v="5"/>
    <x v="0"/>
  </r>
  <r>
    <x v="8"/>
    <x v="156"/>
    <x v="154"/>
    <x v="4"/>
    <x v="8"/>
    <x v="4"/>
    <x v="10"/>
    <x v="0"/>
    <x v="2"/>
    <x v="0"/>
  </r>
  <r>
    <x v="8"/>
    <x v="121"/>
    <x v="153"/>
    <x v="5"/>
    <x v="104"/>
    <x v="43"/>
    <x v="89"/>
    <x v="0"/>
    <x v="2"/>
    <x v="0"/>
  </r>
  <r>
    <x v="8"/>
    <x v="28"/>
    <x v="149"/>
    <x v="7"/>
    <x v="185"/>
    <x v="49"/>
    <x v="155"/>
    <x v="0"/>
    <x v="2"/>
    <x v="0"/>
  </r>
  <r>
    <x v="8"/>
    <x v="46"/>
    <x v="150"/>
    <x v="8"/>
    <x v="57"/>
    <x v="29"/>
    <x v="33"/>
    <x v="0"/>
    <x v="2"/>
    <x v="0"/>
  </r>
  <r>
    <x v="8"/>
    <x v="83"/>
    <x v="151"/>
    <x v="3"/>
    <x v="190"/>
    <x v="89"/>
    <x v="119"/>
    <x v="0"/>
    <x v="2"/>
    <x v="0"/>
  </r>
  <r>
    <x v="8"/>
    <x v="92"/>
    <x v="152"/>
    <x v="6"/>
    <x v="37"/>
    <x v="14"/>
    <x v="25"/>
    <x v="0"/>
    <x v="5"/>
    <x v="0"/>
  </r>
  <r>
    <x v="9"/>
    <x v="39"/>
    <x v="157"/>
    <x v="3"/>
    <x v="204"/>
    <x v="90"/>
    <x v="150"/>
    <x v="0"/>
    <x v="2"/>
    <x v="0"/>
  </r>
  <r>
    <x v="9"/>
    <x v="66"/>
    <x v="160"/>
    <x v="8"/>
    <x v="57"/>
    <x v="22"/>
    <x v="39"/>
    <x v="0"/>
    <x v="2"/>
    <x v="0"/>
  </r>
  <r>
    <x v="9"/>
    <x v="23"/>
    <x v="156"/>
    <x v="7"/>
    <x v="169"/>
    <x v="48"/>
    <x v="141"/>
    <x v="0"/>
    <x v="2"/>
    <x v="0"/>
  </r>
  <r>
    <x v="9"/>
    <x v="52"/>
    <x v="159"/>
    <x v="7"/>
    <x v="96"/>
    <x v="50"/>
    <x v="74"/>
    <x v="0"/>
    <x v="2"/>
    <x v="0"/>
  </r>
  <r>
    <x v="9"/>
    <x v="48"/>
    <x v="158"/>
    <x v="2"/>
    <x v="110"/>
    <x v="71"/>
    <x v="46"/>
    <x v="0"/>
    <x v="2"/>
    <x v="0"/>
  </r>
  <r>
    <x v="9"/>
    <x v="68"/>
    <x v="161"/>
    <x v="3"/>
    <x v="142"/>
    <x v="84"/>
    <x v="85"/>
    <x v="0"/>
    <x v="2"/>
    <x v="0"/>
  </r>
  <r>
    <x v="9"/>
    <x v="157"/>
    <x v="163"/>
    <x v="4"/>
    <x v="9"/>
    <x v="3"/>
    <x v="12"/>
    <x v="0"/>
    <x v="2"/>
    <x v="0"/>
  </r>
  <r>
    <x v="9"/>
    <x v="161"/>
    <x v="5"/>
    <x v="3"/>
    <x v="120"/>
    <x v="78"/>
    <x v="57"/>
    <x v="0"/>
    <x v="4"/>
    <x v="0"/>
  </r>
  <r>
    <x v="9"/>
    <x v="137"/>
    <x v="162"/>
    <x v="6"/>
    <x v="26"/>
    <x v="18"/>
    <x v="10"/>
    <x v="0"/>
    <x v="2"/>
    <x v="0"/>
  </r>
  <r>
    <x v="9"/>
    <x v="217"/>
    <x v="166"/>
    <x v="3"/>
    <x v="183"/>
    <x v="86"/>
    <x v="112"/>
    <x v="0"/>
    <x v="2"/>
    <x v="0"/>
  </r>
  <r>
    <x v="9"/>
    <x v="207"/>
    <x v="165"/>
    <x v="7"/>
    <x v="74"/>
    <x v="50"/>
    <x v="29"/>
    <x v="0"/>
    <x v="2"/>
    <x v="0"/>
  </r>
  <r>
    <x v="9"/>
    <x v="178"/>
    <x v="164"/>
    <x v="6"/>
    <x v="27"/>
    <x v="14"/>
    <x v="15"/>
    <x v="0"/>
    <x v="5"/>
    <x v="0"/>
  </r>
  <r>
    <x v="9"/>
    <x v="233"/>
    <x v="167"/>
    <x v="4"/>
    <x v="7"/>
    <x v="0"/>
    <x v="15"/>
    <x v="0"/>
    <x v="2"/>
    <x v="0"/>
  </r>
  <r>
    <x v="10"/>
    <x v="213"/>
    <x v="173"/>
    <x v="7"/>
    <x v="88"/>
    <x v="48"/>
    <x v="60"/>
    <x v="0"/>
    <x v="2"/>
    <x v="0"/>
  </r>
  <r>
    <x v="10"/>
    <x v="224"/>
    <x v="174"/>
    <x v="2"/>
    <x v="141"/>
    <x v="78"/>
    <x v="86"/>
    <x v="0"/>
    <x v="2"/>
    <x v="0"/>
  </r>
  <r>
    <x v="10"/>
    <x v="231"/>
    <x v="175"/>
    <x v="4"/>
    <x v="1"/>
    <x v="3"/>
    <x v="4"/>
    <x v="0"/>
    <x v="2"/>
    <x v="0"/>
  </r>
  <r>
    <x v="10"/>
    <x v="18"/>
    <x v="168"/>
    <x v="7"/>
    <x v="180"/>
    <x v="51"/>
    <x v="152"/>
    <x v="0"/>
    <x v="2"/>
    <x v="0"/>
  </r>
  <r>
    <x v="10"/>
    <x v="40"/>
    <x v="169"/>
    <x v="1"/>
    <x v="37"/>
    <x v="12"/>
    <x v="27"/>
    <x v="0"/>
    <x v="1"/>
    <x v="0"/>
  </r>
  <r>
    <x v="10"/>
    <x v="113"/>
    <x v="171"/>
    <x v="6"/>
    <x v="23"/>
    <x v="14"/>
    <x v="10"/>
    <x v="0"/>
    <x v="2"/>
    <x v="0"/>
  </r>
  <r>
    <x v="10"/>
    <x v="122"/>
    <x v="172"/>
    <x v="5"/>
    <x v="92"/>
    <x v="41"/>
    <x v="72"/>
    <x v="0"/>
    <x v="2"/>
    <x v="0"/>
  </r>
  <r>
    <x v="10"/>
    <x v="85"/>
    <x v="170"/>
    <x v="3"/>
    <x v="203"/>
    <x v="87"/>
    <x v="148"/>
    <x v="0"/>
    <x v="2"/>
    <x v="0"/>
  </r>
  <r>
    <x v="10"/>
    <x v="112"/>
    <x v="1"/>
    <x v="3"/>
    <x v="116"/>
    <x v="79"/>
    <x v="48"/>
    <x v="0"/>
    <x v="3"/>
    <x v="0"/>
  </r>
  <r>
    <x v="11"/>
    <x v="133"/>
    <x v="180"/>
    <x v="6"/>
    <x v="33"/>
    <x v="11"/>
    <x v="24"/>
    <x v="0"/>
    <x v="2"/>
    <x v="0"/>
  </r>
  <r>
    <x v="11"/>
    <x v="205"/>
    <x v="181"/>
    <x v="7"/>
    <x v="81"/>
    <x v="51"/>
    <x v="45"/>
    <x v="0"/>
    <x v="2"/>
    <x v="0"/>
  </r>
  <r>
    <x v="11"/>
    <x v="81"/>
    <x v="179"/>
    <x v="1"/>
    <x v="44"/>
    <x v="10"/>
    <x v="37"/>
    <x v="0"/>
    <x v="2"/>
    <x v="0"/>
  </r>
  <r>
    <x v="11"/>
    <x v="70"/>
    <x v="178"/>
    <x v="7"/>
    <x v="109"/>
    <x v="48"/>
    <x v="92"/>
    <x v="0"/>
    <x v="2"/>
    <x v="0"/>
  </r>
  <r>
    <x v="11"/>
    <x v="13"/>
    <x v="176"/>
    <x v="7"/>
    <x v="158"/>
    <x v="48"/>
    <x v="131"/>
    <x v="0"/>
    <x v="2"/>
    <x v="0"/>
  </r>
  <r>
    <x v="11"/>
    <x v="59"/>
    <x v="177"/>
    <x v="2"/>
    <x v="210"/>
    <x v="79"/>
    <x v="162"/>
    <x v="0"/>
    <x v="2"/>
    <x v="0"/>
  </r>
  <r>
    <x v="11"/>
    <x v="158"/>
    <x v="11"/>
    <x v="2"/>
    <x v="110"/>
    <x v="77"/>
    <x v="43"/>
    <x v="0"/>
    <x v="4"/>
    <x v="0"/>
  </r>
  <r>
    <x v="12"/>
    <x v="203"/>
    <x v="186"/>
    <x v="7"/>
    <x v="73"/>
    <x v="49"/>
    <x v="27"/>
    <x v="0"/>
    <x v="2"/>
    <x v="0"/>
  </r>
  <r>
    <x v="12"/>
    <x v="160"/>
    <x v="185"/>
    <x v="5"/>
    <x v="134"/>
    <x v="39"/>
    <x v="106"/>
    <x v="0"/>
    <x v="2"/>
    <x v="0"/>
  </r>
  <r>
    <x v="12"/>
    <x v="136"/>
    <x v="182"/>
    <x v="7"/>
    <x v="171"/>
    <x v="52"/>
    <x v="141"/>
    <x v="0"/>
    <x v="2"/>
    <x v="0"/>
  </r>
  <r>
    <x v="12"/>
    <x v="147"/>
    <x v="184"/>
    <x v="1"/>
    <x v="46"/>
    <x v="8"/>
    <x v="43"/>
    <x v="0"/>
    <x v="2"/>
    <x v="0"/>
  </r>
  <r>
    <x v="12"/>
    <x v="138"/>
    <x v="183"/>
    <x v="2"/>
    <x v="213"/>
    <x v="84"/>
    <x v="165"/>
    <x v="0"/>
    <x v="2"/>
    <x v="0"/>
  </r>
  <r>
    <x v="12"/>
    <x v="219"/>
    <x v="187"/>
    <x v="2"/>
    <x v="191"/>
    <x v="84"/>
    <x v="121"/>
    <x v="0"/>
    <x v="2"/>
    <x v="0"/>
  </r>
  <r>
    <x v="12"/>
    <x v="221"/>
    <x v="188"/>
    <x v="4"/>
    <x v="7"/>
    <x v="5"/>
    <x v="8"/>
    <x v="0"/>
    <x v="2"/>
    <x v="0"/>
  </r>
  <r>
    <x v="13"/>
    <x v="11"/>
    <x v="189"/>
    <x v="7"/>
    <x v="156"/>
    <x v="49"/>
    <x v="130"/>
    <x v="0"/>
    <x v="2"/>
    <x v="0"/>
  </r>
  <r>
    <x v="13"/>
    <x v="88"/>
    <x v="193"/>
    <x v="2"/>
    <x v="154"/>
    <x v="72"/>
    <x v="100"/>
    <x v="0"/>
    <x v="2"/>
    <x v="0"/>
  </r>
  <r>
    <x v="13"/>
    <x v="38"/>
    <x v="190"/>
    <x v="2"/>
    <x v="192"/>
    <x v="73"/>
    <x v="126"/>
    <x v="0"/>
    <x v="2"/>
    <x v="0"/>
  </r>
  <r>
    <x v="13"/>
    <x v="79"/>
    <x v="192"/>
    <x v="7"/>
    <x v="97"/>
    <x v="56"/>
    <x v="75"/>
    <x v="0"/>
    <x v="2"/>
    <x v="0"/>
  </r>
  <r>
    <x v="13"/>
    <x v="43"/>
    <x v="191"/>
    <x v="1"/>
    <x v="40"/>
    <x v="9"/>
    <x v="35"/>
    <x v="0"/>
    <x v="2"/>
    <x v="0"/>
  </r>
  <r>
    <x v="13"/>
    <x v="214"/>
    <x v="198"/>
    <x v="2"/>
    <x v="138"/>
    <x v="75"/>
    <x v="84"/>
    <x v="0"/>
    <x v="2"/>
    <x v="0"/>
  </r>
  <r>
    <x v="13"/>
    <x v="225"/>
    <x v="199"/>
    <x v="4"/>
    <x v="0"/>
    <x v="4"/>
    <x v="2"/>
    <x v="0"/>
    <x v="2"/>
    <x v="0"/>
  </r>
  <r>
    <x v="13"/>
    <x v="119"/>
    <x v="195"/>
    <x v="5"/>
    <x v="82"/>
    <x v="44"/>
    <x v="55"/>
    <x v="0"/>
    <x v="2"/>
    <x v="0"/>
  </r>
  <r>
    <x v="13"/>
    <x v="108"/>
    <x v="194"/>
    <x v="4"/>
    <x v="7"/>
    <x v="3"/>
    <x v="10"/>
    <x v="0"/>
    <x v="2"/>
    <x v="0"/>
  </r>
  <r>
    <x v="13"/>
    <x v="181"/>
    <x v="196"/>
    <x v="4"/>
    <x v="5"/>
    <x v="2"/>
    <x v="9"/>
    <x v="0"/>
    <x v="2"/>
    <x v="0"/>
  </r>
  <r>
    <x v="13"/>
    <x v="204"/>
    <x v="197"/>
    <x v="7"/>
    <x v="84"/>
    <x v="45"/>
    <x v="54"/>
    <x v="0"/>
    <x v="2"/>
    <x v="0"/>
  </r>
  <r>
    <x v="13"/>
    <x v="156"/>
    <x v="2"/>
    <x v="2"/>
    <x v="114"/>
    <x v="63"/>
    <x v="56"/>
    <x v="0"/>
    <x v="3"/>
    <x v="0"/>
  </r>
  <r>
    <x v="13"/>
    <x v="186"/>
    <x v="12"/>
    <x v="0"/>
    <x v="122"/>
    <x v="71"/>
    <x v="61"/>
    <x v="0"/>
    <x v="4"/>
    <x v="0"/>
  </r>
  <r>
    <x v="14"/>
    <x v="88"/>
    <x v="202"/>
    <x v="3"/>
    <x v="198"/>
    <x v="83"/>
    <x v="142"/>
    <x v="0"/>
    <x v="2"/>
    <x v="0"/>
  </r>
  <r>
    <x v="14"/>
    <x v="69"/>
    <x v="201"/>
    <x v="8"/>
    <x v="51"/>
    <x v="29"/>
    <x v="27"/>
    <x v="0"/>
    <x v="2"/>
    <x v="0"/>
  </r>
  <r>
    <x v="14"/>
    <x v="21"/>
    <x v="200"/>
    <x v="7"/>
    <x v="172"/>
    <x v="53"/>
    <x v="144"/>
    <x v="0"/>
    <x v="2"/>
    <x v="0"/>
  </r>
  <r>
    <x v="14"/>
    <x v="173"/>
    <x v="13"/>
    <x v="3"/>
    <x v="118"/>
    <x v="80"/>
    <x v="53"/>
    <x v="0"/>
    <x v="4"/>
    <x v="0"/>
  </r>
  <r>
    <x v="14"/>
    <x v="106"/>
    <x v="203"/>
    <x v="4"/>
    <x v="8"/>
    <x v="4"/>
    <x v="10"/>
    <x v="0"/>
    <x v="2"/>
    <x v="0"/>
  </r>
  <r>
    <x v="14"/>
    <x v="215"/>
    <x v="206"/>
    <x v="3"/>
    <x v="150"/>
    <x v="81"/>
    <x v="97"/>
    <x v="0"/>
    <x v="2"/>
    <x v="0"/>
  </r>
  <r>
    <x v="14"/>
    <x v="185"/>
    <x v="204"/>
    <x v="4"/>
    <x v="10"/>
    <x v="4"/>
    <x v="12"/>
    <x v="0"/>
    <x v="2"/>
    <x v="0"/>
  </r>
  <r>
    <x v="14"/>
    <x v="201"/>
    <x v="205"/>
    <x v="7"/>
    <x v="77"/>
    <x v="50"/>
    <x v="43"/>
    <x v="0"/>
    <x v="2"/>
    <x v="0"/>
  </r>
  <r>
    <x v="15"/>
    <x v="86"/>
    <x v="209"/>
    <x v="3"/>
    <x v="194"/>
    <x v="80"/>
    <x v="127"/>
    <x v="0"/>
    <x v="2"/>
    <x v="0"/>
  </r>
  <r>
    <x v="15"/>
    <x v="72"/>
    <x v="208"/>
    <x v="8"/>
    <x v="54"/>
    <x v="31"/>
    <x v="28"/>
    <x v="0"/>
    <x v="2"/>
    <x v="0"/>
  </r>
  <r>
    <x v="15"/>
    <x v="22"/>
    <x v="207"/>
    <x v="7"/>
    <x v="179"/>
    <x v="59"/>
    <x v="151"/>
    <x v="0"/>
    <x v="2"/>
    <x v="0"/>
  </r>
  <r>
    <x v="15"/>
    <x v="120"/>
    <x v="211"/>
    <x v="5"/>
    <x v="78"/>
    <x v="42"/>
    <x v="54"/>
    <x v="0"/>
    <x v="2"/>
    <x v="0"/>
  </r>
  <r>
    <x v="15"/>
    <x v="190"/>
    <x v="213"/>
    <x v="4"/>
    <x v="6"/>
    <x v="3"/>
    <x v="9"/>
    <x v="0"/>
    <x v="2"/>
    <x v="0"/>
  </r>
  <r>
    <x v="16"/>
    <x v="71"/>
    <x v="215"/>
    <x v="7"/>
    <x v="162"/>
    <x v="51"/>
    <x v="133"/>
    <x v="0"/>
    <x v="2"/>
    <x v="0"/>
  </r>
  <r>
    <x v="16"/>
    <x v="69"/>
    <x v="214"/>
    <x v="8"/>
    <x v="52"/>
    <x v="26"/>
    <x v="31"/>
    <x v="0"/>
    <x v="2"/>
    <x v="0"/>
  </r>
  <r>
    <x v="16"/>
    <x v="87"/>
    <x v="216"/>
    <x v="2"/>
    <x v="199"/>
    <x v="69"/>
    <x v="146"/>
    <x v="0"/>
    <x v="2"/>
    <x v="0"/>
  </r>
  <r>
    <x v="15"/>
    <x v="107"/>
    <x v="210"/>
    <x v="4"/>
    <x v="4"/>
    <x v="3"/>
    <x v="7"/>
    <x v="0"/>
    <x v="2"/>
    <x v="0"/>
  </r>
  <r>
    <x v="16"/>
    <x v="111"/>
    <x v="217"/>
    <x v="4"/>
    <x v="4"/>
    <x v="3"/>
    <x v="7"/>
    <x v="0"/>
    <x v="2"/>
    <x v="0"/>
  </r>
  <r>
    <x v="16"/>
    <x v="179"/>
    <x v="218"/>
    <x v="4"/>
    <x v="4"/>
    <x v="2"/>
    <x v="8"/>
    <x v="0"/>
    <x v="2"/>
    <x v="0"/>
  </r>
  <r>
    <x v="17"/>
    <x v="57"/>
    <x v="221"/>
    <x v="2"/>
    <x v="194"/>
    <x v="67"/>
    <x v="132"/>
    <x v="0"/>
    <x v="2"/>
    <x v="0"/>
  </r>
  <r>
    <x v="17"/>
    <x v="123"/>
    <x v="223"/>
    <x v="5"/>
    <x v="95"/>
    <x v="40"/>
    <x v="78"/>
    <x v="0"/>
    <x v="2"/>
    <x v="0"/>
  </r>
  <r>
    <x v="17"/>
    <x v="31"/>
    <x v="220"/>
    <x v="3"/>
    <x v="181"/>
    <x v="78"/>
    <x v="113"/>
    <x v="0"/>
    <x v="2"/>
    <x v="0"/>
  </r>
  <r>
    <x v="17"/>
    <x v="67"/>
    <x v="222"/>
    <x v="8"/>
    <x v="55"/>
    <x v="30"/>
    <x v="30"/>
    <x v="0"/>
    <x v="2"/>
    <x v="0"/>
  </r>
  <r>
    <x v="17"/>
    <x v="15"/>
    <x v="219"/>
    <x v="7"/>
    <x v="165"/>
    <x v="49"/>
    <x v="138"/>
    <x v="0"/>
    <x v="2"/>
    <x v="0"/>
  </r>
  <r>
    <x v="17"/>
    <x v="182"/>
    <x v="19"/>
    <x v="9"/>
    <x v="71"/>
    <x v="38"/>
    <x v="24"/>
    <x v="0"/>
    <x v="5"/>
    <x v="0"/>
  </r>
  <r>
    <x v="17"/>
    <x v="155"/>
    <x v="15"/>
    <x v="0"/>
    <x v="105"/>
    <x v="79"/>
    <x v="23"/>
    <x v="0"/>
    <x v="5"/>
    <x v="0"/>
  </r>
  <r>
    <x v="17"/>
    <x v="159"/>
    <x v="16"/>
    <x v="0"/>
    <x v="106"/>
    <x v="79"/>
    <x v="25"/>
    <x v="0"/>
    <x v="5"/>
    <x v="0"/>
  </r>
  <r>
    <x v="17"/>
    <x v="142"/>
    <x v="224"/>
    <x v="4"/>
    <x v="14"/>
    <x v="7"/>
    <x v="10"/>
    <x v="0"/>
    <x v="2"/>
    <x v="0"/>
  </r>
  <r>
    <x v="17"/>
    <x v="130"/>
    <x v="14"/>
    <x v="1"/>
    <x v="22"/>
    <x v="14"/>
    <x v="9"/>
    <x v="0"/>
    <x v="1"/>
    <x v="1"/>
  </r>
  <r>
    <x v="17"/>
    <x v="169"/>
    <x v="17"/>
    <x v="6"/>
    <x v="36"/>
    <x v="18"/>
    <x v="20"/>
    <x v="0"/>
    <x v="5"/>
    <x v="0"/>
  </r>
  <r>
    <x v="17"/>
    <x v="171"/>
    <x v="18"/>
    <x v="6"/>
    <x v="20"/>
    <x v="18"/>
    <x v="2"/>
    <x v="0"/>
    <x v="5"/>
    <x v="0"/>
  </r>
  <r>
    <x v="18"/>
    <x v="103"/>
    <x v="20"/>
    <x v="6"/>
    <x v="36"/>
    <x v="13"/>
    <x v="25"/>
    <x v="0"/>
    <x v="5"/>
    <x v="0"/>
  </r>
  <r>
    <x v="18"/>
    <x v="105"/>
    <x v="21"/>
    <x v="6"/>
    <x v="15"/>
    <x v="13"/>
    <x v="0"/>
    <x v="0"/>
    <x v="5"/>
    <x v="0"/>
  </r>
  <r>
    <x v="18"/>
    <x v="74"/>
    <x v="228"/>
    <x v="2"/>
    <x v="199"/>
    <x v="79"/>
    <x v="143"/>
    <x v="0"/>
    <x v="2"/>
    <x v="0"/>
  </r>
  <r>
    <x v="18"/>
    <x v="10"/>
    <x v="225"/>
    <x v="3"/>
    <x v="139"/>
    <x v="82"/>
    <x v="82"/>
    <x v="0"/>
    <x v="2"/>
    <x v="0"/>
  </r>
  <r>
    <x v="18"/>
    <x v="69"/>
    <x v="227"/>
    <x v="8"/>
    <x v="61"/>
    <x v="31"/>
    <x v="37"/>
    <x v="0"/>
    <x v="2"/>
    <x v="0"/>
  </r>
  <r>
    <x v="18"/>
    <x v="14"/>
    <x v="226"/>
    <x v="7"/>
    <x v="182"/>
    <x v="58"/>
    <x v="152"/>
    <x v="0"/>
    <x v="2"/>
    <x v="0"/>
  </r>
  <r>
    <x v="18"/>
    <x v="180"/>
    <x v="23"/>
    <x v="9"/>
    <x v="69"/>
    <x v="37"/>
    <x v="8"/>
    <x v="0"/>
    <x v="4"/>
    <x v="0"/>
  </r>
  <r>
    <x v="19"/>
    <x v="45"/>
    <x v="231"/>
    <x v="7"/>
    <x v="107"/>
    <x v="47"/>
    <x v="89"/>
    <x v="0"/>
    <x v="2"/>
    <x v="0"/>
  </r>
  <r>
    <x v="19"/>
    <x v="44"/>
    <x v="230"/>
    <x v="8"/>
    <x v="64"/>
    <x v="27"/>
    <x v="50"/>
    <x v="0"/>
    <x v="2"/>
    <x v="0"/>
  </r>
  <r>
    <x v="19"/>
    <x v="137"/>
    <x v="233"/>
    <x v="6"/>
    <x v="33"/>
    <x v="14"/>
    <x v="21"/>
    <x v="0"/>
    <x v="2"/>
    <x v="0"/>
  </r>
  <r>
    <x v="19"/>
    <x v="55"/>
    <x v="232"/>
    <x v="2"/>
    <x v="215"/>
    <x v="81"/>
    <x v="167"/>
    <x v="0"/>
    <x v="2"/>
    <x v="0"/>
  </r>
  <r>
    <x v="19"/>
    <x v="12"/>
    <x v="229"/>
    <x v="7"/>
    <x v="149"/>
    <x v="47"/>
    <x v="123"/>
    <x v="0"/>
    <x v="2"/>
    <x v="0"/>
  </r>
  <r>
    <x v="20"/>
    <x v="27"/>
    <x v="235"/>
    <x v="3"/>
    <x v="174"/>
    <x v="80"/>
    <x v="107"/>
    <x v="0"/>
    <x v="2"/>
    <x v="0"/>
  </r>
  <r>
    <x v="20"/>
    <x v="73"/>
    <x v="236"/>
    <x v="8"/>
    <x v="63"/>
    <x v="32"/>
    <x v="41"/>
    <x v="0"/>
    <x v="2"/>
    <x v="0"/>
  </r>
  <r>
    <x v="20"/>
    <x v="84"/>
    <x v="6"/>
    <x v="2"/>
    <x v="193"/>
    <x v="76"/>
    <x v="127"/>
    <x v="0"/>
    <x v="2"/>
    <x v="0"/>
  </r>
  <r>
    <x v="20"/>
    <x v="26"/>
    <x v="234"/>
    <x v="7"/>
    <x v="186"/>
    <x v="48"/>
    <x v="157"/>
    <x v="0"/>
    <x v="2"/>
    <x v="0"/>
  </r>
  <r>
    <x v="18"/>
    <x v="132"/>
    <x v="22"/>
    <x v="3"/>
    <x v="119"/>
    <x v="81"/>
    <x v="53"/>
    <x v="0"/>
    <x v="4"/>
    <x v="0"/>
  </r>
  <r>
    <x v="20"/>
    <x v="116"/>
    <x v="237"/>
    <x v="5"/>
    <x v="91"/>
    <x v="43"/>
    <x v="70"/>
    <x v="0"/>
    <x v="2"/>
    <x v="0"/>
  </r>
  <r>
    <x v="20"/>
    <x v="195"/>
    <x v="29"/>
    <x v="1"/>
    <x v="25"/>
    <x v="14"/>
    <x v="12"/>
    <x v="0"/>
    <x v="1"/>
    <x v="0"/>
  </r>
  <r>
    <x v="20"/>
    <x v="166"/>
    <x v="27"/>
    <x v="6"/>
    <x v="40"/>
    <x v="20"/>
    <x v="23"/>
    <x v="0"/>
    <x v="5"/>
    <x v="0"/>
  </r>
  <r>
    <x v="20"/>
    <x v="167"/>
    <x v="28"/>
    <x v="6"/>
    <x v="21"/>
    <x v="20"/>
    <x v="1"/>
    <x v="0"/>
    <x v="5"/>
    <x v="0"/>
  </r>
  <r>
    <x v="20"/>
    <x v="98"/>
    <x v="24"/>
    <x v="6"/>
    <x v="44"/>
    <x v="14"/>
    <x v="35"/>
    <x v="0"/>
    <x v="5"/>
    <x v="0"/>
  </r>
  <r>
    <x v="20"/>
    <x v="98"/>
    <x v="25"/>
    <x v="6"/>
    <x v="18"/>
    <x v="14"/>
    <x v="2"/>
    <x v="0"/>
    <x v="5"/>
    <x v="0"/>
  </r>
  <r>
    <x v="20"/>
    <x v="165"/>
    <x v="26"/>
    <x v="3"/>
    <x v="111"/>
    <x v="78"/>
    <x v="43"/>
    <x v="0"/>
    <x v="4"/>
    <x v="0"/>
  </r>
  <r>
    <x v="21"/>
    <x v="31"/>
    <x v="239"/>
    <x v="7"/>
    <x v="178"/>
    <x v="60"/>
    <x v="149"/>
    <x v="0"/>
    <x v="2"/>
    <x v="0"/>
  </r>
  <r>
    <x v="21"/>
    <x v="64"/>
    <x v="240"/>
    <x v="2"/>
    <x v="201"/>
    <x v="76"/>
    <x v="147"/>
    <x v="0"/>
    <x v="2"/>
    <x v="0"/>
  </r>
  <r>
    <x v="21"/>
    <x v="6"/>
    <x v="238"/>
    <x v="3"/>
    <x v="132"/>
    <x v="80"/>
    <x v="73"/>
    <x v="0"/>
    <x v="2"/>
    <x v="0"/>
  </r>
  <r>
    <x v="21"/>
    <x v="70"/>
    <x v="241"/>
    <x v="8"/>
    <x v="52"/>
    <x v="30"/>
    <x v="27"/>
    <x v="0"/>
    <x v="2"/>
    <x v="0"/>
  </r>
  <r>
    <x v="21"/>
    <x v="149"/>
    <x v="3"/>
    <x v="3"/>
    <x v="131"/>
    <x v="71"/>
    <x v="74"/>
    <x v="0"/>
    <x v="3"/>
    <x v="0"/>
  </r>
  <r>
    <x v="21"/>
    <x v="146"/>
    <x v="242"/>
    <x v="6"/>
    <x v="43"/>
    <x v="10"/>
    <x v="36"/>
    <x v="0"/>
    <x v="2"/>
    <x v="0"/>
  </r>
  <r>
    <x v="21"/>
    <x v="193"/>
    <x v="243"/>
    <x v="6"/>
    <x v="47"/>
    <x v="10"/>
    <x v="45"/>
    <x v="0"/>
    <x v="2"/>
    <x v="0"/>
  </r>
  <r>
    <x v="21"/>
    <x v="93"/>
    <x v="30"/>
    <x v="6"/>
    <x v="39"/>
    <x v="19"/>
    <x v="23"/>
    <x v="0"/>
    <x v="5"/>
    <x v="0"/>
  </r>
  <r>
    <x v="21"/>
    <x v="95"/>
    <x v="31"/>
    <x v="6"/>
    <x v="21"/>
    <x v="19"/>
    <x v="2"/>
    <x v="0"/>
    <x v="5"/>
    <x v="0"/>
  </r>
  <r>
    <x v="22"/>
    <x v="178"/>
    <x v="32"/>
    <x v="9"/>
    <x v="70"/>
    <x v="35"/>
    <x v="28"/>
    <x v="0"/>
    <x v="5"/>
    <x v="0"/>
  </r>
  <r>
    <x v="22"/>
    <x v="51"/>
    <x v="246"/>
    <x v="0"/>
    <x v="200"/>
    <x v="62"/>
    <x v="153"/>
    <x v="0"/>
    <x v="0"/>
    <x v="0"/>
  </r>
  <r>
    <x v="22"/>
    <x v="118"/>
    <x v="252"/>
    <x v="5"/>
    <x v="76"/>
    <x v="41"/>
    <x v="51"/>
    <x v="0"/>
    <x v="2"/>
    <x v="0"/>
  </r>
  <r>
    <x v="22"/>
    <x v="78"/>
    <x v="249"/>
    <x v="0"/>
    <x v="212"/>
    <x v="62"/>
    <x v="166"/>
    <x v="0"/>
    <x v="0"/>
    <x v="0"/>
  </r>
  <r>
    <x v="22"/>
    <x v="89"/>
    <x v="250"/>
    <x v="0"/>
    <x v="214"/>
    <x v="62"/>
    <x v="168"/>
    <x v="0"/>
    <x v="0"/>
    <x v="0"/>
  </r>
  <r>
    <x v="22"/>
    <x v="91"/>
    <x v="251"/>
    <x v="0"/>
    <x v="216"/>
    <x v="62"/>
    <x v="169"/>
    <x v="0"/>
    <x v="0"/>
    <x v="0"/>
  </r>
  <r>
    <x v="22"/>
    <x v="67"/>
    <x v="247"/>
    <x v="8"/>
    <x v="50"/>
    <x v="31"/>
    <x v="24"/>
    <x v="0"/>
    <x v="2"/>
    <x v="0"/>
  </r>
  <r>
    <x v="22"/>
    <x v="33"/>
    <x v="245"/>
    <x v="3"/>
    <x v="146"/>
    <x v="81"/>
    <x v="93"/>
    <x v="0"/>
    <x v="2"/>
    <x v="0"/>
  </r>
  <r>
    <x v="22"/>
    <x v="76"/>
    <x v="248"/>
    <x v="2"/>
    <x v="175"/>
    <x v="81"/>
    <x v="109"/>
    <x v="0"/>
    <x v="2"/>
    <x v="0"/>
  </r>
  <r>
    <x v="22"/>
    <x v="25"/>
    <x v="244"/>
    <x v="7"/>
    <x v="148"/>
    <x v="60"/>
    <x v="118"/>
    <x v="0"/>
    <x v="2"/>
    <x v="0"/>
  </r>
  <r>
    <x v="23"/>
    <x v="73"/>
    <x v="255"/>
    <x v="8"/>
    <x v="56"/>
    <x v="32"/>
    <x v="29"/>
    <x v="0"/>
    <x v="2"/>
    <x v="0"/>
  </r>
  <r>
    <x v="23"/>
    <x v="41"/>
    <x v="253"/>
    <x v="7"/>
    <x v="173"/>
    <x v="59"/>
    <x v="145"/>
    <x v="0"/>
    <x v="2"/>
    <x v="0"/>
  </r>
  <r>
    <x v="23"/>
    <x v="63"/>
    <x v="254"/>
    <x v="3"/>
    <x v="211"/>
    <x v="85"/>
    <x v="163"/>
    <x v="0"/>
    <x v="2"/>
    <x v="0"/>
  </r>
  <r>
    <x v="15"/>
    <x v="150"/>
    <x v="212"/>
    <x v="10"/>
    <x v="98"/>
    <x v="61"/>
    <x v="35"/>
    <x v="0"/>
    <x v="2"/>
    <x v="0"/>
  </r>
  <r>
    <x v="7"/>
    <x v="126"/>
    <x v="33"/>
    <x v="6"/>
    <x v="37"/>
    <x v="20"/>
    <x v="19"/>
    <x v="0"/>
    <x v="5"/>
    <x v="0"/>
  </r>
  <r>
    <x v="23"/>
    <x v="127"/>
    <x v="34"/>
    <x v="6"/>
    <x v="20"/>
    <x v="20"/>
    <x v="0"/>
    <x v="0"/>
    <x v="5"/>
    <x v="1"/>
  </r>
  <r>
    <x v="23"/>
    <x v="152"/>
    <x v="35"/>
    <x v="6"/>
    <x v="34"/>
    <x v="19"/>
    <x v="17"/>
    <x v="0"/>
    <x v="5"/>
    <x v="0"/>
  </r>
  <r>
    <x v="23"/>
    <x v="153"/>
    <x v="36"/>
    <x v="6"/>
    <x v="23"/>
    <x v="19"/>
    <x v="5"/>
    <x v="0"/>
    <x v="5"/>
    <x v="0"/>
  </r>
  <r>
    <x v="23"/>
    <x v="194"/>
    <x v="37"/>
    <x v="6"/>
    <x v="35"/>
    <x v="19"/>
    <x v="18"/>
    <x v="0"/>
    <x v="5"/>
    <x v="0"/>
  </r>
  <r>
    <x v="23"/>
    <x v="196"/>
    <x v="38"/>
    <x v="6"/>
    <x v="21"/>
    <x v="19"/>
    <x v="2"/>
    <x v="0"/>
    <x v="5"/>
    <x v="0"/>
  </r>
  <r>
    <x v="23"/>
    <x v="135"/>
    <x v="256"/>
    <x v="4"/>
    <x v="13"/>
    <x v="5"/>
    <x v="14"/>
    <x v="0"/>
    <x v="2"/>
    <x v="0"/>
  </r>
  <r>
    <x v="24"/>
    <x v="24"/>
    <x v="257"/>
    <x v="7"/>
    <x v="164"/>
    <x v="55"/>
    <x v="136"/>
    <x v="0"/>
    <x v="2"/>
    <x v="0"/>
  </r>
  <r>
    <x v="24"/>
    <x v="31"/>
    <x v="258"/>
    <x v="3"/>
    <x v="167"/>
    <x v="78"/>
    <x v="104"/>
    <x v="0"/>
    <x v="2"/>
    <x v="0"/>
  </r>
  <r>
    <x v="24"/>
    <x v="69"/>
    <x v="259"/>
    <x v="8"/>
    <x v="55"/>
    <x v="28"/>
    <x v="32"/>
    <x v="0"/>
    <x v="2"/>
    <x v="0"/>
  </r>
  <r>
    <x v="24"/>
    <x v="82"/>
    <x v="260"/>
    <x v="2"/>
    <x v="197"/>
    <x v="74"/>
    <x v="139"/>
    <x v="0"/>
    <x v="2"/>
    <x v="0"/>
  </r>
  <r>
    <x v="24"/>
    <x v="145"/>
    <x v="262"/>
    <x v="4"/>
    <x v="10"/>
    <x v="6"/>
    <x v="10"/>
    <x v="0"/>
    <x v="2"/>
    <x v="0"/>
  </r>
  <r>
    <x v="24"/>
    <x v="124"/>
    <x v="261"/>
    <x v="5"/>
    <x v="87"/>
    <x v="43"/>
    <x v="63"/>
    <x v="0"/>
    <x v="2"/>
    <x v="0"/>
  </r>
  <r>
    <x v="24"/>
    <x v="170"/>
    <x v="39"/>
    <x v="6"/>
    <x v="25"/>
    <x v="20"/>
    <x v="6"/>
    <x v="0"/>
    <x v="5"/>
    <x v="0"/>
  </r>
  <r>
    <x v="24"/>
    <x v="172"/>
    <x v="40"/>
    <x v="6"/>
    <x v="25"/>
    <x v="20"/>
    <x v="6"/>
    <x v="0"/>
    <x v="5"/>
    <x v="0"/>
  </r>
  <r>
    <x v="25"/>
    <x v="134"/>
    <x v="267"/>
    <x v="6"/>
    <x v="22"/>
    <x v="16"/>
    <x v="7"/>
    <x v="0"/>
    <x v="2"/>
    <x v="0"/>
  </r>
  <r>
    <x v="25"/>
    <x v="66"/>
    <x v="265"/>
    <x v="3"/>
    <x v="144"/>
    <x v="76"/>
    <x v="91"/>
    <x v="0"/>
    <x v="2"/>
    <x v="0"/>
  </r>
  <r>
    <x v="25"/>
    <x v="30"/>
    <x v="264"/>
    <x v="3"/>
    <x v="196"/>
    <x v="77"/>
    <x v="134"/>
    <x v="0"/>
    <x v="2"/>
    <x v="0"/>
  </r>
  <r>
    <x v="25"/>
    <x v="77"/>
    <x v="266"/>
    <x v="8"/>
    <x v="58"/>
    <x v="29"/>
    <x v="34"/>
    <x v="0"/>
    <x v="2"/>
    <x v="0"/>
  </r>
  <r>
    <x v="25"/>
    <x v="21"/>
    <x v="263"/>
    <x v="7"/>
    <x v="170"/>
    <x v="54"/>
    <x v="140"/>
    <x v="0"/>
    <x v="2"/>
    <x v="0"/>
  </r>
  <r>
    <x v="25"/>
    <x v="198"/>
    <x v="43"/>
    <x v="6"/>
    <x v="30"/>
    <x v="21"/>
    <x v="0"/>
    <x v="0"/>
    <x v="5"/>
    <x v="0"/>
  </r>
  <r>
    <x v="25"/>
    <x v="197"/>
    <x v="42"/>
    <x v="6"/>
    <x v="29"/>
    <x v="12"/>
    <x v="17"/>
    <x v="0"/>
    <x v="5"/>
    <x v="0"/>
  </r>
  <r>
    <x v="25"/>
    <x v="183"/>
    <x v="41"/>
    <x v="2"/>
    <x v="121"/>
    <x v="69"/>
    <x v="59"/>
    <x v="0"/>
    <x v="4"/>
    <x v="0"/>
  </r>
  <r>
    <x v="26"/>
    <x v="65"/>
    <x v="270"/>
    <x v="8"/>
    <x v="65"/>
    <x v="30"/>
    <x v="49"/>
    <x v="0"/>
    <x v="2"/>
    <x v="0"/>
  </r>
  <r>
    <x v="26"/>
    <x v="34"/>
    <x v="268"/>
    <x v="7"/>
    <x v="189"/>
    <x v="54"/>
    <x v="160"/>
    <x v="0"/>
    <x v="2"/>
    <x v="0"/>
  </r>
  <r>
    <x v="26"/>
    <x v="37"/>
    <x v="269"/>
    <x v="2"/>
    <x v="205"/>
    <x v="68"/>
    <x v="154"/>
    <x v="0"/>
    <x v="2"/>
    <x v="0"/>
  </r>
  <r>
    <x v="27"/>
    <x v="60"/>
    <x v="273"/>
    <x v="8"/>
    <x v="63"/>
    <x v="30"/>
    <x v="42"/>
    <x v="0"/>
    <x v="2"/>
    <x v="0"/>
  </r>
  <r>
    <x v="27"/>
    <x v="19"/>
    <x v="271"/>
    <x v="7"/>
    <x v="160"/>
    <x v="56"/>
    <x v="129"/>
    <x v="0"/>
    <x v="2"/>
    <x v="0"/>
  </r>
  <r>
    <x v="27"/>
    <x v="76"/>
    <x v="274"/>
    <x v="2"/>
    <x v="183"/>
    <x v="66"/>
    <x v="116"/>
    <x v="0"/>
    <x v="2"/>
    <x v="0"/>
  </r>
  <r>
    <x v="27"/>
    <x v="32"/>
    <x v="272"/>
    <x v="3"/>
    <x v="166"/>
    <x v="80"/>
    <x v="102"/>
    <x v="0"/>
    <x v="2"/>
    <x v="0"/>
  </r>
  <r>
    <x v="27"/>
    <x v="94"/>
    <x v="44"/>
    <x v="6"/>
    <x v="42"/>
    <x v="20"/>
    <x v="26"/>
    <x v="0"/>
    <x v="5"/>
    <x v="0"/>
  </r>
  <r>
    <x v="27"/>
    <x v="96"/>
    <x v="45"/>
    <x v="6"/>
    <x v="21"/>
    <x v="20"/>
    <x v="1"/>
    <x v="0"/>
    <x v="5"/>
    <x v="0"/>
  </r>
  <r>
    <x v="27"/>
    <x v="191"/>
    <x v="47"/>
    <x v="6"/>
    <x v="27"/>
    <x v="17"/>
    <x v="12"/>
    <x v="0"/>
    <x v="5"/>
    <x v="0"/>
  </r>
  <r>
    <x v="27"/>
    <x v="192"/>
    <x v="48"/>
    <x v="6"/>
    <x v="19"/>
    <x v="17"/>
    <x v="2"/>
    <x v="0"/>
    <x v="5"/>
    <x v="0"/>
  </r>
  <r>
    <x v="27"/>
    <x v="154"/>
    <x v="46"/>
    <x v="6"/>
    <x v="45"/>
    <x v="17"/>
    <x v="33"/>
    <x v="0"/>
    <x v="5"/>
    <x v="0"/>
  </r>
  <r>
    <x v="27"/>
    <x v="145"/>
    <x v="4"/>
    <x v="3"/>
    <x v="125"/>
    <x v="77"/>
    <x v="62"/>
    <x v="0"/>
    <x v="3"/>
    <x v="0"/>
  </r>
  <r>
    <x v="28"/>
    <x v="49"/>
    <x v="277"/>
    <x v="2"/>
    <x v="195"/>
    <x v="64"/>
    <x v="135"/>
    <x v="0"/>
    <x v="2"/>
    <x v="0"/>
  </r>
  <r>
    <x v="28"/>
    <x v="72"/>
    <x v="278"/>
    <x v="8"/>
    <x v="50"/>
    <x v="32"/>
    <x v="23"/>
    <x v="0"/>
    <x v="2"/>
    <x v="0"/>
  </r>
  <r>
    <x v="28"/>
    <x v="4"/>
    <x v="275"/>
    <x v="3"/>
    <x v="137"/>
    <x v="78"/>
    <x v="81"/>
    <x v="0"/>
    <x v="2"/>
    <x v="0"/>
  </r>
  <r>
    <x v="28"/>
    <x v="20"/>
    <x v="276"/>
    <x v="7"/>
    <x v="136"/>
    <x v="57"/>
    <x v="105"/>
    <x v="0"/>
    <x v="2"/>
    <x v="0"/>
  </r>
  <r>
    <x v="28"/>
    <x v="100"/>
    <x v="49"/>
    <x v="0"/>
    <x v="128"/>
    <x v="75"/>
    <x v="68"/>
    <x v="0"/>
    <x v="5"/>
    <x v="0"/>
  </r>
  <r>
    <x v="28"/>
    <x v="164"/>
    <x v="54"/>
    <x v="3"/>
    <x v="113"/>
    <x v="76"/>
    <x v="47"/>
    <x v="0"/>
    <x v="4"/>
    <x v="0"/>
  </r>
  <r>
    <x v="28"/>
    <x v="141"/>
    <x v="279"/>
    <x v="4"/>
    <x v="12"/>
    <x v="6"/>
    <x v="12"/>
    <x v="0"/>
    <x v="2"/>
    <x v="0"/>
  </r>
  <r>
    <x v="28"/>
    <x v="199"/>
    <x v="55"/>
    <x v="6"/>
    <x v="24"/>
    <x v="12"/>
    <x v="13"/>
    <x v="0"/>
    <x v="5"/>
    <x v="0"/>
  </r>
  <r>
    <x v="28"/>
    <x v="114"/>
    <x v="50"/>
    <x v="0"/>
    <x v="126"/>
    <x v="76"/>
    <x v="64"/>
    <x v="0"/>
    <x v="5"/>
    <x v="0"/>
  </r>
  <r>
    <x v="28"/>
    <x v="115"/>
    <x v="51"/>
    <x v="0"/>
    <x v="99"/>
    <x v="76"/>
    <x v="2"/>
    <x v="0"/>
    <x v="5"/>
    <x v="0"/>
  </r>
  <r>
    <x v="28"/>
    <x v="131"/>
    <x v="52"/>
    <x v="6"/>
    <x v="30"/>
    <x v="13"/>
    <x v="17"/>
    <x v="0"/>
    <x v="5"/>
    <x v="0"/>
  </r>
  <r>
    <x v="28"/>
    <x v="132"/>
    <x v="53"/>
    <x v="6"/>
    <x v="16"/>
    <x v="13"/>
    <x v="1"/>
    <x v="0"/>
    <x v="5"/>
    <x v="0"/>
  </r>
  <r>
    <x v="29"/>
    <x v="109"/>
    <x v="56"/>
    <x v="9"/>
    <x v="72"/>
    <x v="36"/>
    <x v="52"/>
    <x v="0"/>
    <x v="5"/>
    <x v="0"/>
  </r>
  <r>
    <x v="29"/>
    <x v="110"/>
    <x v="57"/>
    <x v="9"/>
    <x v="67"/>
    <x v="36"/>
    <x v="3"/>
    <x v="0"/>
    <x v="5"/>
    <x v="0"/>
  </r>
  <r>
    <x v="29"/>
    <x v="42"/>
    <x v="282"/>
    <x v="2"/>
    <x v="176"/>
    <x v="70"/>
    <x v="111"/>
    <x v="0"/>
    <x v="2"/>
    <x v="0"/>
  </r>
  <r>
    <x v="29"/>
    <x v="35"/>
    <x v="281"/>
    <x v="3"/>
    <x v="147"/>
    <x v="82"/>
    <x v="95"/>
    <x v="0"/>
    <x v="2"/>
    <x v="0"/>
  </r>
  <r>
    <x v="29"/>
    <x v="75"/>
    <x v="283"/>
    <x v="8"/>
    <x v="53"/>
    <x v="33"/>
    <x v="25"/>
    <x v="0"/>
    <x v="2"/>
    <x v="0"/>
  </r>
  <r>
    <x v="29"/>
    <x v="16"/>
    <x v="280"/>
    <x v="7"/>
    <x v="145"/>
    <x v="57"/>
    <x v="114"/>
    <x v="0"/>
    <x v="2"/>
    <x v="0"/>
  </r>
  <r>
    <x v="29"/>
    <x v="188"/>
    <x v="59"/>
    <x v="6"/>
    <x v="30"/>
    <x v="15"/>
    <x v="16"/>
    <x v="0"/>
    <x v="5"/>
    <x v="0"/>
  </r>
  <r>
    <x v="29"/>
    <x v="189"/>
    <x v="60"/>
    <x v="6"/>
    <x v="17"/>
    <x v="15"/>
    <x v="0"/>
    <x v="0"/>
    <x v="5"/>
    <x v="0"/>
  </r>
  <r>
    <x v="29"/>
    <x v="134"/>
    <x v="58"/>
    <x v="1"/>
    <x v="24"/>
    <x v="13"/>
    <x v="12"/>
    <x v="0"/>
    <x v="5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6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M35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  <row r="2" customFormat="false" ht="15" hidden="true" customHeight="false" outlineLevel="0" collapsed="false">
      <c r="A2" s="5" t="n">
        <v>44075</v>
      </c>
      <c r="B2" s="6" t="n">
        <v>0.246527777777778</v>
      </c>
      <c r="C2" s="7" t="n">
        <v>129495</v>
      </c>
      <c r="D2" s="7" t="s">
        <v>10</v>
      </c>
      <c r="E2" s="7" t="n">
        <v>16440</v>
      </c>
      <c r="F2" s="7" t="n">
        <v>12780</v>
      </c>
      <c r="G2" s="8" t="n">
        <v>3660</v>
      </c>
      <c r="H2" s="7" t="s">
        <v>11</v>
      </c>
      <c r="I2" s="7" t="s">
        <v>12</v>
      </c>
      <c r="J2" s="0" t="s">
        <v>13</v>
      </c>
    </row>
    <row r="3" customFormat="false" ht="15" hidden="true" customHeight="false" outlineLevel="0" collapsed="false">
      <c r="A3" s="5" t="n">
        <v>44075</v>
      </c>
      <c r="B3" s="6" t="n">
        <v>0.259027777777778</v>
      </c>
      <c r="C3" s="7" t="n">
        <v>129497</v>
      </c>
      <c r="D3" s="7" t="s">
        <v>14</v>
      </c>
      <c r="E3" s="7" t="n">
        <v>4340</v>
      </c>
      <c r="F3" s="7" t="n">
        <v>3640</v>
      </c>
      <c r="G3" s="8" t="n">
        <v>700</v>
      </c>
      <c r="H3" s="7" t="s">
        <v>11</v>
      </c>
      <c r="I3" s="7" t="s">
        <v>12</v>
      </c>
      <c r="J3" s="0" t="s">
        <v>13</v>
      </c>
    </row>
    <row r="4" customFormat="false" ht="15" hidden="true" customHeight="false" outlineLevel="0" collapsed="false">
      <c r="A4" s="5" t="n">
        <v>44075</v>
      </c>
      <c r="B4" s="6" t="n">
        <v>0.0881944444444444</v>
      </c>
      <c r="C4" s="7" t="n">
        <v>129486</v>
      </c>
      <c r="D4" s="7" t="s">
        <v>10</v>
      </c>
      <c r="E4" s="7" t="n">
        <v>21100</v>
      </c>
      <c r="F4" s="7" t="n">
        <v>12780</v>
      </c>
      <c r="G4" s="8" t="n">
        <v>8320</v>
      </c>
      <c r="H4" s="7" t="s">
        <v>11</v>
      </c>
      <c r="I4" s="7" t="s">
        <v>12</v>
      </c>
      <c r="J4" s="0" t="s">
        <v>13</v>
      </c>
    </row>
    <row r="5" customFormat="false" ht="15" hidden="true" customHeight="false" outlineLevel="0" collapsed="false">
      <c r="A5" s="5" t="n">
        <v>44075</v>
      </c>
      <c r="B5" s="6" t="n">
        <v>0.264583333333333</v>
      </c>
      <c r="C5" s="7" t="n">
        <v>129498</v>
      </c>
      <c r="D5" s="7" t="s">
        <v>15</v>
      </c>
      <c r="E5" s="7" t="n">
        <v>23980</v>
      </c>
      <c r="F5" s="7" t="n">
        <v>15940</v>
      </c>
      <c r="G5" s="8" t="n">
        <v>8040</v>
      </c>
      <c r="H5" s="7" t="s">
        <v>11</v>
      </c>
      <c r="I5" s="7" t="s">
        <v>12</v>
      </c>
      <c r="J5" s="0" t="s">
        <v>13</v>
      </c>
    </row>
    <row r="6" customFormat="false" ht="15" hidden="true" customHeight="false" outlineLevel="0" collapsed="false">
      <c r="A6" s="5" t="n">
        <v>44075</v>
      </c>
      <c r="B6" s="6" t="n">
        <v>0.000694444444444444</v>
      </c>
      <c r="C6" s="7" t="n">
        <v>129483</v>
      </c>
      <c r="D6" s="7" t="s">
        <v>15</v>
      </c>
      <c r="E6" s="7" t="n">
        <v>27300</v>
      </c>
      <c r="F6" s="7" t="n">
        <v>16340</v>
      </c>
      <c r="G6" s="8" t="n">
        <v>10960</v>
      </c>
      <c r="H6" s="7" t="s">
        <v>11</v>
      </c>
      <c r="I6" s="7" t="s">
        <v>12</v>
      </c>
      <c r="J6" s="0" t="s">
        <v>13</v>
      </c>
    </row>
    <row r="7" customFormat="false" ht="15" hidden="true" customHeight="false" outlineLevel="0" collapsed="false">
      <c r="A7" s="5" t="n">
        <v>44075</v>
      </c>
      <c r="B7" s="6" t="n">
        <v>0.0798611111111111</v>
      </c>
      <c r="C7" s="7" t="n">
        <v>129485</v>
      </c>
      <c r="D7" s="7" t="s">
        <v>16</v>
      </c>
      <c r="E7" s="7" t="n">
        <v>20040</v>
      </c>
      <c r="F7" s="7" t="n">
        <v>16260</v>
      </c>
      <c r="G7" s="8" t="n">
        <v>3780</v>
      </c>
      <c r="H7" s="7" t="s">
        <v>11</v>
      </c>
      <c r="I7" s="7" t="s">
        <v>12</v>
      </c>
      <c r="J7" s="0" t="s">
        <v>13</v>
      </c>
    </row>
    <row r="8" customFormat="false" ht="15" hidden="true" customHeight="false" outlineLevel="0" collapsed="false">
      <c r="A8" s="5" t="n">
        <v>44075</v>
      </c>
      <c r="B8" s="6" t="n">
        <v>0.480555555555556</v>
      </c>
      <c r="C8" s="7" t="n">
        <v>106198</v>
      </c>
      <c r="D8" s="7" t="s">
        <v>16</v>
      </c>
      <c r="E8" s="7" t="n">
        <v>18000</v>
      </c>
      <c r="F8" s="7" t="n">
        <v>16220</v>
      </c>
      <c r="G8" s="8" t="n">
        <v>1780</v>
      </c>
      <c r="H8" s="7" t="s">
        <v>11</v>
      </c>
      <c r="I8" s="7" t="s">
        <v>17</v>
      </c>
      <c r="J8" s="0" t="s">
        <v>13</v>
      </c>
    </row>
    <row r="9" customFormat="false" ht="15" hidden="true" customHeight="false" outlineLevel="0" collapsed="false">
      <c r="A9" s="5" t="n">
        <v>44075</v>
      </c>
      <c r="B9" s="6" t="n">
        <v>0.45</v>
      </c>
      <c r="C9" s="7" t="n">
        <v>129517</v>
      </c>
      <c r="D9" s="7" t="s">
        <v>18</v>
      </c>
      <c r="E9" s="7" t="n">
        <v>2660</v>
      </c>
      <c r="F9" s="7" t="n">
        <v>2420</v>
      </c>
      <c r="G9" s="8" t="n">
        <v>240</v>
      </c>
      <c r="H9" s="7" t="s">
        <v>11</v>
      </c>
      <c r="I9" s="7" t="s">
        <v>12</v>
      </c>
      <c r="J9" s="0" t="s">
        <v>13</v>
      </c>
    </row>
    <row r="10" customFormat="false" ht="15" hidden="true" customHeight="false" outlineLevel="0" collapsed="false">
      <c r="A10" s="5" t="n">
        <v>44075</v>
      </c>
      <c r="B10" s="6" t="n">
        <v>0.869444444444444</v>
      </c>
      <c r="C10" s="7" t="n">
        <v>129545</v>
      </c>
      <c r="D10" s="7" t="s">
        <v>18</v>
      </c>
      <c r="E10" s="7" t="n">
        <v>2600</v>
      </c>
      <c r="F10" s="7" t="n">
        <v>2420</v>
      </c>
      <c r="G10" s="8" t="n">
        <v>180</v>
      </c>
      <c r="H10" s="7" t="s">
        <v>11</v>
      </c>
      <c r="I10" s="7" t="s">
        <v>12</v>
      </c>
      <c r="J10" s="0" t="s">
        <v>13</v>
      </c>
    </row>
    <row r="11" customFormat="false" ht="15" hidden="true" customHeight="false" outlineLevel="0" collapsed="false">
      <c r="A11" s="5" t="n">
        <v>44075</v>
      </c>
      <c r="B11" s="6" t="n">
        <v>0.852083333333333</v>
      </c>
      <c r="C11" s="7" t="n">
        <v>129544</v>
      </c>
      <c r="D11" s="7" t="s">
        <v>16</v>
      </c>
      <c r="E11" s="7" t="n">
        <v>21580</v>
      </c>
      <c r="F11" s="7" t="n">
        <v>16140</v>
      </c>
      <c r="G11" s="8" t="n">
        <v>5440</v>
      </c>
      <c r="H11" s="7" t="s">
        <v>11</v>
      </c>
      <c r="I11" s="7" t="s">
        <v>12</v>
      </c>
      <c r="J11" s="0" t="s">
        <v>13</v>
      </c>
    </row>
    <row r="12" customFormat="false" ht="15" hidden="true" customHeight="false" outlineLevel="0" collapsed="false">
      <c r="A12" s="5" t="n">
        <v>44075</v>
      </c>
      <c r="B12" s="6" t="n">
        <v>0.674305555555556</v>
      </c>
      <c r="C12" s="7" t="n">
        <v>129534</v>
      </c>
      <c r="D12" s="7" t="s">
        <v>10</v>
      </c>
      <c r="E12" s="7" t="n">
        <v>14660</v>
      </c>
      <c r="F12" s="7" t="n">
        <v>12860</v>
      </c>
      <c r="G12" s="8" t="n">
        <v>1800</v>
      </c>
      <c r="H12" s="7" t="s">
        <v>11</v>
      </c>
      <c r="I12" s="7" t="s">
        <v>12</v>
      </c>
      <c r="J12" s="0" t="s">
        <v>13</v>
      </c>
    </row>
    <row r="13" customFormat="false" ht="15" hidden="true" customHeight="false" outlineLevel="0" collapsed="false">
      <c r="A13" s="5" t="n">
        <v>44075</v>
      </c>
      <c r="B13" s="6" t="n">
        <v>0.452083333333333</v>
      </c>
      <c r="C13" s="9" t="n">
        <v>129518</v>
      </c>
      <c r="D13" s="7" t="s">
        <v>19</v>
      </c>
      <c r="E13" s="7" t="n">
        <v>3540</v>
      </c>
      <c r="F13" s="7" t="n">
        <v>2740</v>
      </c>
      <c r="G13" s="8" t="n">
        <v>800</v>
      </c>
      <c r="H13" s="7" t="s">
        <v>11</v>
      </c>
      <c r="I13" s="7" t="s">
        <v>20</v>
      </c>
      <c r="J13" s="0" t="s">
        <v>13</v>
      </c>
    </row>
    <row r="14" customFormat="false" ht="15" hidden="true" customHeight="false" outlineLevel="0" collapsed="false">
      <c r="A14" s="5" t="n">
        <v>44076</v>
      </c>
      <c r="B14" s="6" t="n">
        <v>0.190277777777778</v>
      </c>
      <c r="C14" s="7" t="n">
        <v>129556</v>
      </c>
      <c r="D14" s="7" t="s">
        <v>16</v>
      </c>
      <c r="E14" s="7" t="n">
        <v>24780</v>
      </c>
      <c r="F14" s="7" t="n">
        <v>16120</v>
      </c>
      <c r="G14" s="8" t="n">
        <v>8660</v>
      </c>
      <c r="H14" s="7" t="s">
        <v>11</v>
      </c>
      <c r="I14" s="7" t="s">
        <v>12</v>
      </c>
      <c r="J14" s="0" t="s">
        <v>13</v>
      </c>
    </row>
    <row r="15" customFormat="false" ht="15" hidden="true" customHeight="false" outlineLevel="0" collapsed="false">
      <c r="A15" s="5" t="n">
        <v>44076</v>
      </c>
      <c r="B15" s="6" t="n">
        <v>0.26875</v>
      </c>
      <c r="C15" s="7" t="n">
        <v>129564</v>
      </c>
      <c r="D15" s="7" t="s">
        <v>16</v>
      </c>
      <c r="E15" s="7" t="n">
        <v>18300</v>
      </c>
      <c r="F15" s="7" t="n">
        <v>16100</v>
      </c>
      <c r="G15" s="8" t="n">
        <v>2200</v>
      </c>
      <c r="H15" s="7" t="s">
        <v>11</v>
      </c>
      <c r="I15" s="7" t="s">
        <v>12</v>
      </c>
      <c r="J15" s="0" t="s">
        <v>13</v>
      </c>
    </row>
    <row r="16" customFormat="false" ht="15" hidden="true" customHeight="false" outlineLevel="0" collapsed="false">
      <c r="A16" s="5" t="n">
        <v>44076</v>
      </c>
      <c r="B16" s="6" t="n">
        <v>0.249305555555556</v>
      </c>
      <c r="C16" s="7" t="n">
        <v>129559</v>
      </c>
      <c r="D16" s="7" t="s">
        <v>10</v>
      </c>
      <c r="E16" s="7" t="n">
        <v>16180</v>
      </c>
      <c r="F16" s="7" t="n">
        <v>12840</v>
      </c>
      <c r="G16" s="8" t="n">
        <v>3340</v>
      </c>
      <c r="H16" s="7" t="s">
        <v>11</v>
      </c>
      <c r="I16" s="7" t="s">
        <v>12</v>
      </c>
      <c r="J16" s="0" t="s">
        <v>13</v>
      </c>
    </row>
    <row r="17" customFormat="false" ht="15" hidden="true" customHeight="false" outlineLevel="0" collapsed="false">
      <c r="A17" s="5" t="n">
        <v>44076</v>
      </c>
      <c r="B17" s="6" t="n">
        <v>0.0722222222222222</v>
      </c>
      <c r="C17" s="7" t="n">
        <v>129548</v>
      </c>
      <c r="D17" s="7" t="s">
        <v>10</v>
      </c>
      <c r="E17" s="7" t="n">
        <v>19700</v>
      </c>
      <c r="F17" s="7" t="n">
        <v>12840</v>
      </c>
      <c r="G17" s="8" t="n">
        <v>6860</v>
      </c>
      <c r="H17" s="7" t="s">
        <v>11</v>
      </c>
      <c r="I17" s="7" t="s">
        <v>12</v>
      </c>
      <c r="J17" s="0" t="s">
        <v>13</v>
      </c>
    </row>
    <row r="18" customFormat="false" ht="15" hidden="true" customHeight="false" outlineLevel="0" collapsed="false">
      <c r="A18" s="5" t="n">
        <v>44076</v>
      </c>
      <c r="B18" s="6" t="n">
        <v>0.261805555555556</v>
      </c>
      <c r="C18" s="7" t="n">
        <v>129562</v>
      </c>
      <c r="D18" s="7" t="s">
        <v>14</v>
      </c>
      <c r="E18" s="7" t="n">
        <v>4240</v>
      </c>
      <c r="F18" s="7" t="n">
        <v>3620</v>
      </c>
      <c r="G18" s="8" t="n">
        <v>620</v>
      </c>
      <c r="H18" s="7" t="s">
        <v>11</v>
      </c>
      <c r="I18" s="7" t="s">
        <v>12</v>
      </c>
      <c r="J18" s="0" t="s">
        <v>13</v>
      </c>
    </row>
    <row r="19" customFormat="false" ht="15" hidden="true" customHeight="false" outlineLevel="0" collapsed="false">
      <c r="A19" s="5" t="n">
        <v>44076</v>
      </c>
      <c r="B19" s="6" t="n">
        <v>0.878472222222222</v>
      </c>
      <c r="C19" s="7" t="n">
        <v>129612</v>
      </c>
      <c r="D19" s="7" t="s">
        <v>18</v>
      </c>
      <c r="E19" s="7" t="n">
        <v>2600</v>
      </c>
      <c r="F19" s="7" t="n">
        <v>2400</v>
      </c>
      <c r="G19" s="8" t="n">
        <v>200</v>
      </c>
      <c r="H19" s="7" t="s">
        <v>11</v>
      </c>
      <c r="I19" s="7" t="s">
        <v>12</v>
      </c>
      <c r="J19" s="0" t="s">
        <v>13</v>
      </c>
    </row>
    <row r="20" customFormat="false" ht="15" hidden="true" customHeight="false" outlineLevel="0" collapsed="false">
      <c r="A20" s="5" t="n">
        <v>44076</v>
      </c>
      <c r="B20" s="6" t="n">
        <v>0.638194444444444</v>
      </c>
      <c r="C20" s="7" t="n">
        <v>129592</v>
      </c>
      <c r="D20" s="7" t="s">
        <v>21</v>
      </c>
      <c r="E20" s="7" t="n">
        <v>2840</v>
      </c>
      <c r="F20" s="7" t="n">
        <v>2700</v>
      </c>
      <c r="G20" s="8" t="n">
        <v>140</v>
      </c>
      <c r="H20" s="7" t="s">
        <v>11</v>
      </c>
      <c r="I20" s="7" t="s">
        <v>22</v>
      </c>
      <c r="J20" s="0" t="s">
        <v>13</v>
      </c>
    </row>
    <row r="21" customFormat="false" ht="15" hidden="true" customHeight="false" outlineLevel="0" collapsed="false">
      <c r="A21" s="5" t="n">
        <v>44076</v>
      </c>
      <c r="B21" s="6" t="n">
        <v>0.346527777777778</v>
      </c>
      <c r="C21" s="7" t="n">
        <v>129573</v>
      </c>
      <c r="D21" s="7" t="s">
        <v>18</v>
      </c>
      <c r="E21" s="7" t="n">
        <v>2560</v>
      </c>
      <c r="F21" s="7" t="n">
        <v>2380</v>
      </c>
      <c r="G21" s="8" t="n">
        <v>180</v>
      </c>
      <c r="H21" s="7" t="s">
        <v>11</v>
      </c>
      <c r="I21" s="7" t="s">
        <v>12</v>
      </c>
      <c r="J21" s="0" t="s">
        <v>13</v>
      </c>
    </row>
    <row r="22" customFormat="false" ht="15" hidden="true" customHeight="false" outlineLevel="0" collapsed="false">
      <c r="A22" s="5" t="n">
        <v>44076</v>
      </c>
      <c r="B22" s="6" t="n">
        <v>0.439583333333333</v>
      </c>
      <c r="C22" s="7" t="n">
        <v>129581</v>
      </c>
      <c r="D22" s="7" t="s">
        <v>19</v>
      </c>
      <c r="E22" s="7" t="n">
        <v>3480</v>
      </c>
      <c r="F22" s="7" t="n">
        <v>2760</v>
      </c>
      <c r="G22" s="8" t="n">
        <v>720</v>
      </c>
      <c r="H22" s="7" t="s">
        <v>11</v>
      </c>
      <c r="I22" s="7" t="s">
        <v>20</v>
      </c>
      <c r="J22" s="0" t="s">
        <v>13</v>
      </c>
    </row>
    <row r="23" customFormat="false" ht="15" hidden="true" customHeight="false" outlineLevel="0" collapsed="false">
      <c r="A23" s="5" t="n">
        <v>44076</v>
      </c>
      <c r="B23" s="6" t="n">
        <v>0.390972222222222</v>
      </c>
      <c r="C23" s="7" t="n">
        <v>129576</v>
      </c>
      <c r="D23" s="7" t="s">
        <v>23</v>
      </c>
      <c r="E23" s="7" t="n">
        <v>15500</v>
      </c>
      <c r="F23" s="7" t="n">
        <v>12540</v>
      </c>
      <c r="G23" s="8" t="n">
        <v>2960</v>
      </c>
      <c r="H23" s="7" t="s">
        <v>11</v>
      </c>
      <c r="I23" s="7" t="s">
        <v>12</v>
      </c>
      <c r="J23" s="0" t="s">
        <v>13</v>
      </c>
    </row>
    <row r="24" customFormat="false" ht="15" hidden="true" customHeight="false" outlineLevel="0" collapsed="false">
      <c r="A24" s="5" t="n">
        <v>44076</v>
      </c>
      <c r="B24" s="6" t="n">
        <v>0.870833333333333</v>
      </c>
      <c r="C24" s="7" t="n">
        <v>129610</v>
      </c>
      <c r="D24" s="7" t="s">
        <v>16</v>
      </c>
      <c r="E24" s="7" t="n">
        <v>21900</v>
      </c>
      <c r="F24" s="7" t="n">
        <v>16020</v>
      </c>
      <c r="G24" s="8" t="n">
        <v>5880</v>
      </c>
      <c r="H24" s="7" t="s">
        <v>11</v>
      </c>
      <c r="I24" s="7" t="s">
        <v>12</v>
      </c>
      <c r="J24" s="0" t="s">
        <v>13</v>
      </c>
    </row>
    <row r="25" customFormat="false" ht="15" hidden="true" customHeight="false" outlineLevel="0" collapsed="false">
      <c r="A25" s="5" t="n">
        <v>44076</v>
      </c>
      <c r="B25" s="6" t="n">
        <v>0.681944444444445</v>
      </c>
      <c r="C25" s="7" t="n">
        <v>129602</v>
      </c>
      <c r="D25" s="7" t="s">
        <v>10</v>
      </c>
      <c r="E25" s="7" t="n">
        <v>14320</v>
      </c>
      <c r="F25" s="7" t="n">
        <v>12800</v>
      </c>
      <c r="G25" s="8" t="n">
        <v>1520</v>
      </c>
      <c r="H25" s="7" t="s">
        <v>11</v>
      </c>
      <c r="I25" s="7" t="s">
        <v>12</v>
      </c>
      <c r="J25" s="0" t="s">
        <v>13</v>
      </c>
    </row>
    <row r="26" customFormat="false" ht="15" hidden="true" customHeight="false" outlineLevel="0" collapsed="false">
      <c r="A26" s="5" t="n">
        <v>44077</v>
      </c>
      <c r="B26" s="6" t="n">
        <v>0.266666666666667</v>
      </c>
      <c r="C26" s="7" t="n">
        <v>129630</v>
      </c>
      <c r="D26" s="7" t="s">
        <v>16</v>
      </c>
      <c r="E26" s="7" t="n">
        <v>26000</v>
      </c>
      <c r="F26" s="7" t="n">
        <v>16160</v>
      </c>
      <c r="G26" s="8" t="n">
        <v>9840</v>
      </c>
      <c r="H26" s="7" t="s">
        <v>11</v>
      </c>
      <c r="I26" s="7" t="s">
        <v>12</v>
      </c>
      <c r="J26" s="0" t="s">
        <v>13</v>
      </c>
    </row>
    <row r="27" customFormat="false" ht="15" hidden="true" customHeight="false" outlineLevel="0" collapsed="false">
      <c r="A27" s="5" t="n">
        <v>44077</v>
      </c>
      <c r="B27" s="6" t="n">
        <v>0.158333333333333</v>
      </c>
      <c r="C27" s="7" t="n">
        <v>129623</v>
      </c>
      <c r="D27" s="7" t="s">
        <v>10</v>
      </c>
      <c r="E27" s="7" t="n">
        <v>15300</v>
      </c>
      <c r="F27" s="7" t="n">
        <v>12760</v>
      </c>
      <c r="G27" s="8" t="n">
        <v>2540</v>
      </c>
      <c r="H27" s="7" t="s">
        <v>11</v>
      </c>
      <c r="I27" s="7" t="s">
        <v>12</v>
      </c>
      <c r="J27" s="0" t="s">
        <v>13</v>
      </c>
    </row>
    <row r="28" customFormat="false" ht="15" hidden="true" customHeight="false" outlineLevel="0" collapsed="false">
      <c r="A28" s="5" t="n">
        <v>44077</v>
      </c>
      <c r="B28" s="6" t="n">
        <v>0.0868055555555556</v>
      </c>
      <c r="C28" s="7" t="n">
        <v>129615</v>
      </c>
      <c r="D28" s="7" t="s">
        <v>10</v>
      </c>
      <c r="E28" s="7" t="n">
        <v>21120</v>
      </c>
      <c r="F28" s="7" t="n">
        <v>12960</v>
      </c>
      <c r="G28" s="8" t="n">
        <v>8160</v>
      </c>
      <c r="H28" s="7" t="s">
        <v>11</v>
      </c>
      <c r="I28" s="7" t="s">
        <v>12</v>
      </c>
      <c r="J28" s="0" t="s">
        <v>13</v>
      </c>
    </row>
    <row r="29" customFormat="false" ht="15" hidden="true" customHeight="false" outlineLevel="0" collapsed="false">
      <c r="A29" s="5" t="n">
        <v>44077</v>
      </c>
      <c r="B29" s="6" t="n">
        <v>0.238888888888889</v>
      </c>
      <c r="C29" s="7" t="n">
        <v>129626</v>
      </c>
      <c r="D29" s="7" t="s">
        <v>14</v>
      </c>
      <c r="E29" s="7" t="n">
        <v>4720</v>
      </c>
      <c r="F29" s="7" t="n">
        <v>3720</v>
      </c>
      <c r="G29" s="8" t="n">
        <v>1000</v>
      </c>
      <c r="H29" s="7" t="s">
        <v>11</v>
      </c>
      <c r="I29" s="7" t="s">
        <v>12</v>
      </c>
      <c r="J29" s="0" t="s">
        <v>13</v>
      </c>
    </row>
    <row r="30" customFormat="false" ht="15" hidden="true" customHeight="false" outlineLevel="0" collapsed="false">
      <c r="A30" s="5" t="n">
        <v>44077</v>
      </c>
      <c r="B30" s="6" t="n">
        <v>0.4</v>
      </c>
      <c r="C30" s="7" t="n">
        <v>106299</v>
      </c>
      <c r="D30" s="7" t="s">
        <v>16</v>
      </c>
      <c r="E30" s="7" t="n">
        <v>17120</v>
      </c>
      <c r="F30" s="7" t="n">
        <v>16100</v>
      </c>
      <c r="G30" s="8" t="n">
        <v>1020</v>
      </c>
      <c r="H30" s="7" t="s">
        <v>11</v>
      </c>
      <c r="I30" s="7" t="s">
        <v>17</v>
      </c>
      <c r="J30" s="0" t="s">
        <v>13</v>
      </c>
    </row>
    <row r="31" customFormat="false" ht="15" hidden="true" customHeight="false" outlineLevel="0" collapsed="false">
      <c r="A31" s="5" t="n">
        <v>44077</v>
      </c>
      <c r="B31" s="6" t="n">
        <v>0.684722222222222</v>
      </c>
      <c r="C31" s="7" t="n">
        <v>129664</v>
      </c>
      <c r="D31" s="7" t="s">
        <v>10</v>
      </c>
      <c r="E31" s="7" t="n">
        <v>15000</v>
      </c>
      <c r="F31" s="7" t="n">
        <v>12860</v>
      </c>
      <c r="G31" s="8" t="n">
        <v>2140</v>
      </c>
      <c r="H31" s="7" t="s">
        <v>11</v>
      </c>
      <c r="I31" s="7" t="s">
        <v>12</v>
      </c>
      <c r="J31" s="0" t="s">
        <v>13</v>
      </c>
    </row>
    <row r="32" customFormat="false" ht="15" hidden="true" customHeight="false" outlineLevel="0" collapsed="false">
      <c r="A32" s="5" t="n">
        <v>44077</v>
      </c>
      <c r="B32" s="6" t="n">
        <v>0.507638888888889</v>
      </c>
      <c r="C32" s="7" t="n">
        <v>129652</v>
      </c>
      <c r="D32" s="7" t="s">
        <v>19</v>
      </c>
      <c r="E32" s="7" t="n">
        <v>3340</v>
      </c>
      <c r="F32" s="7" t="n">
        <v>2820</v>
      </c>
      <c r="G32" s="8" t="n">
        <v>520</v>
      </c>
      <c r="H32" s="7" t="s">
        <v>11</v>
      </c>
      <c r="I32" s="7" t="s">
        <v>20</v>
      </c>
      <c r="J32" s="0" t="s">
        <v>13</v>
      </c>
    </row>
    <row r="33" customFormat="false" ht="15" hidden="true" customHeight="false" outlineLevel="0" collapsed="false">
      <c r="A33" s="5" t="n">
        <v>44077</v>
      </c>
      <c r="B33" s="6" t="n">
        <v>0.466666666666667</v>
      </c>
      <c r="C33" s="7" t="n">
        <v>129647</v>
      </c>
      <c r="D33" s="7" t="s">
        <v>19</v>
      </c>
      <c r="E33" s="7" t="n">
        <v>3920</v>
      </c>
      <c r="F33" s="7" t="n">
        <v>2740</v>
      </c>
      <c r="G33" s="8" t="n">
        <v>1180</v>
      </c>
      <c r="H33" s="7" t="s">
        <v>11</v>
      </c>
      <c r="I33" s="7" t="s">
        <v>20</v>
      </c>
      <c r="J33" s="0" t="s">
        <v>13</v>
      </c>
    </row>
    <row r="34" customFormat="false" ht="15" hidden="true" customHeight="false" outlineLevel="0" collapsed="false">
      <c r="A34" s="5" t="n">
        <v>44077</v>
      </c>
      <c r="B34" s="6" t="n">
        <v>0.333333333333333</v>
      </c>
      <c r="C34" s="7" t="n">
        <v>129638</v>
      </c>
      <c r="D34" s="7" t="s">
        <v>19</v>
      </c>
      <c r="E34" s="7" t="n">
        <v>3320</v>
      </c>
      <c r="F34" s="7" t="n">
        <v>2880</v>
      </c>
      <c r="G34" s="8" t="n">
        <v>440</v>
      </c>
      <c r="H34" s="7" t="s">
        <v>11</v>
      </c>
      <c r="I34" s="7" t="s">
        <v>20</v>
      </c>
      <c r="J34" s="0" t="s">
        <v>13</v>
      </c>
    </row>
    <row r="35" customFormat="false" ht="15" hidden="true" customHeight="false" outlineLevel="0" collapsed="false">
      <c r="A35" s="5" t="n">
        <v>44078</v>
      </c>
      <c r="B35" s="6" t="n">
        <v>0.255555555555556</v>
      </c>
      <c r="C35" s="7" t="n">
        <v>129688</v>
      </c>
      <c r="D35" s="7" t="s">
        <v>14</v>
      </c>
      <c r="E35" s="7" t="n">
        <v>4380</v>
      </c>
      <c r="F35" s="7" t="n">
        <v>3580</v>
      </c>
      <c r="G35" s="8" t="n">
        <v>800</v>
      </c>
      <c r="H35" s="7" t="s">
        <v>11</v>
      </c>
      <c r="I35" s="7" t="s">
        <v>12</v>
      </c>
      <c r="J35" s="0" t="s">
        <v>13</v>
      </c>
    </row>
    <row r="36" customFormat="false" ht="15" hidden="true" customHeight="false" outlineLevel="0" collapsed="false">
      <c r="A36" s="5" t="n">
        <v>44078</v>
      </c>
      <c r="B36" s="6" t="n">
        <v>0.253472222222222</v>
      </c>
      <c r="C36" s="7" t="n">
        <v>129687</v>
      </c>
      <c r="D36" s="7" t="s">
        <v>10</v>
      </c>
      <c r="E36" s="7" t="n">
        <v>16080</v>
      </c>
      <c r="F36" s="7" t="n">
        <v>12800</v>
      </c>
      <c r="G36" s="8" t="n">
        <v>3280</v>
      </c>
      <c r="H36" s="7" t="s">
        <v>11</v>
      </c>
      <c r="I36" s="7" t="s">
        <v>12</v>
      </c>
      <c r="J36" s="0" t="s">
        <v>13</v>
      </c>
    </row>
    <row r="37" customFormat="false" ht="15" hidden="true" customHeight="false" outlineLevel="0" collapsed="false">
      <c r="A37" s="5" t="n">
        <v>44078</v>
      </c>
      <c r="B37" s="6" t="n">
        <v>0.0868055555555556</v>
      </c>
      <c r="C37" s="7" t="n">
        <v>129675</v>
      </c>
      <c r="D37" s="7" t="s">
        <v>10</v>
      </c>
      <c r="E37" s="7" t="n">
        <v>21480</v>
      </c>
      <c r="F37" s="7" t="n">
        <v>12820</v>
      </c>
      <c r="G37" s="8" t="n">
        <v>8660</v>
      </c>
      <c r="H37" s="7" t="s">
        <v>11</v>
      </c>
      <c r="I37" s="7" t="s">
        <v>12</v>
      </c>
      <c r="J37" s="0" t="s">
        <v>13</v>
      </c>
    </row>
    <row r="38" customFormat="false" ht="15" hidden="true" customHeight="false" outlineLevel="0" collapsed="false">
      <c r="A38" s="5" t="n">
        <v>44078</v>
      </c>
      <c r="B38" s="6" t="n">
        <v>0.267361111111111</v>
      </c>
      <c r="C38" s="7" t="n">
        <v>129690</v>
      </c>
      <c r="D38" s="7" t="s">
        <v>16</v>
      </c>
      <c r="E38" s="7" t="n">
        <v>27060</v>
      </c>
      <c r="F38" s="7" t="n">
        <v>16020</v>
      </c>
      <c r="G38" s="8" t="n">
        <v>11040</v>
      </c>
      <c r="H38" s="7" t="s">
        <v>11</v>
      </c>
      <c r="I38" s="7" t="s">
        <v>12</v>
      </c>
      <c r="J38" s="0" t="s">
        <v>13</v>
      </c>
    </row>
    <row r="39" customFormat="false" ht="15" hidden="true" customHeight="false" outlineLevel="0" collapsed="false">
      <c r="A39" s="5" t="n">
        <v>44077</v>
      </c>
      <c r="B39" s="6" t="n">
        <v>0.884027777777778</v>
      </c>
      <c r="C39" s="7" t="n">
        <v>129672</v>
      </c>
      <c r="D39" s="7" t="s">
        <v>16</v>
      </c>
      <c r="E39" s="7" t="n">
        <v>18820</v>
      </c>
      <c r="F39" s="7" t="n">
        <v>16060</v>
      </c>
      <c r="G39" s="8" t="n">
        <v>2760</v>
      </c>
      <c r="H39" s="7" t="s">
        <v>11</v>
      </c>
      <c r="I39" s="7" t="s">
        <v>12</v>
      </c>
      <c r="J39" s="0" t="s">
        <v>13</v>
      </c>
    </row>
    <row r="40" customFormat="false" ht="15" hidden="true" customHeight="false" outlineLevel="0" collapsed="false">
      <c r="A40" s="5" t="n">
        <v>44078</v>
      </c>
      <c r="B40" s="6" t="n">
        <v>0.495138888888889</v>
      </c>
      <c r="C40" s="7" t="n">
        <v>129716</v>
      </c>
      <c r="D40" s="7" t="s">
        <v>19</v>
      </c>
      <c r="E40" s="7" t="n">
        <v>3280</v>
      </c>
      <c r="F40" s="7" t="n">
        <v>2800</v>
      </c>
      <c r="G40" s="8" t="n">
        <v>480</v>
      </c>
      <c r="H40" s="7" t="s">
        <v>11</v>
      </c>
      <c r="I40" s="7" t="s">
        <v>12</v>
      </c>
      <c r="J40" s="0" t="s">
        <v>13</v>
      </c>
    </row>
    <row r="41" customFormat="false" ht="15" hidden="true" customHeight="false" outlineLevel="0" collapsed="false">
      <c r="A41" s="5" t="n">
        <v>44078</v>
      </c>
      <c r="B41" s="6" t="n">
        <v>0.344444444444444</v>
      </c>
      <c r="C41" s="7" t="n">
        <v>129699</v>
      </c>
      <c r="D41" s="7" t="s">
        <v>19</v>
      </c>
      <c r="E41" s="7" t="n">
        <v>3500</v>
      </c>
      <c r="F41" s="7" t="n">
        <v>2820</v>
      </c>
      <c r="G41" s="8" t="n">
        <v>680</v>
      </c>
      <c r="H41" s="7" t="s">
        <v>11</v>
      </c>
      <c r="I41" s="7" t="s">
        <v>20</v>
      </c>
      <c r="J41" s="0" t="s">
        <v>13</v>
      </c>
    </row>
    <row r="42" customFormat="false" ht="15" hidden="true" customHeight="false" outlineLevel="0" collapsed="false">
      <c r="A42" s="5" t="n">
        <v>44078</v>
      </c>
      <c r="B42" s="6" t="n">
        <v>0.545833333333333</v>
      </c>
      <c r="C42" s="7" t="n">
        <v>129726</v>
      </c>
      <c r="D42" s="7" t="s">
        <v>21</v>
      </c>
      <c r="E42" s="7" t="n">
        <v>2940</v>
      </c>
      <c r="F42" s="7" t="n">
        <v>2700</v>
      </c>
      <c r="G42" s="8" t="n">
        <v>240</v>
      </c>
      <c r="H42" s="7" t="s">
        <v>11</v>
      </c>
      <c r="I42" s="7" t="s">
        <v>22</v>
      </c>
      <c r="J42" s="0" t="s">
        <v>13</v>
      </c>
    </row>
    <row r="43" customFormat="false" ht="15" hidden="true" customHeight="false" outlineLevel="0" collapsed="false">
      <c r="A43" s="5" t="n">
        <v>44078</v>
      </c>
      <c r="B43" s="6" t="n">
        <v>0.672916666666667</v>
      </c>
      <c r="C43" s="7" t="n">
        <v>129732</v>
      </c>
      <c r="D43" s="7" t="s">
        <v>10</v>
      </c>
      <c r="E43" s="7" t="n">
        <v>14020</v>
      </c>
      <c r="F43" s="7" t="n">
        <v>12760</v>
      </c>
      <c r="G43" s="8" t="n">
        <v>1260</v>
      </c>
      <c r="H43" s="7" t="s">
        <v>11</v>
      </c>
      <c r="I43" s="7" t="s">
        <v>12</v>
      </c>
      <c r="J43" s="0" t="s">
        <v>13</v>
      </c>
    </row>
    <row r="44" customFormat="false" ht="15" hidden="true" customHeight="false" outlineLevel="0" collapsed="false">
      <c r="A44" s="5" t="n">
        <v>44078</v>
      </c>
      <c r="B44" s="6" t="n">
        <v>0.506944444444444</v>
      </c>
      <c r="C44" s="7" t="n">
        <v>129719</v>
      </c>
      <c r="D44" s="7" t="s">
        <v>18</v>
      </c>
      <c r="E44" s="7" t="n">
        <v>2600</v>
      </c>
      <c r="F44" s="7" t="n">
        <v>2320</v>
      </c>
      <c r="G44" s="8" t="n">
        <v>280</v>
      </c>
      <c r="H44" s="7" t="s">
        <v>11</v>
      </c>
      <c r="I44" s="7" t="s">
        <v>12</v>
      </c>
      <c r="J44" s="0" t="s">
        <v>13</v>
      </c>
    </row>
    <row r="45" customFormat="false" ht="15" hidden="true" customHeight="false" outlineLevel="0" collapsed="false">
      <c r="A45" s="5" t="n">
        <v>44078</v>
      </c>
      <c r="B45" s="6" t="n">
        <v>0.872916666666667</v>
      </c>
      <c r="C45" s="7" t="n">
        <v>129741</v>
      </c>
      <c r="D45" s="7" t="s">
        <v>18</v>
      </c>
      <c r="E45" s="7" t="n">
        <v>2620</v>
      </c>
      <c r="F45" s="7" t="n">
        <v>2420</v>
      </c>
      <c r="G45" s="8" t="n">
        <v>200</v>
      </c>
      <c r="H45" s="7" t="s">
        <v>11</v>
      </c>
      <c r="I45" s="7" t="s">
        <v>12</v>
      </c>
      <c r="J45" s="0" t="s">
        <v>13</v>
      </c>
    </row>
    <row r="46" customFormat="false" ht="15" hidden="true" customHeight="false" outlineLevel="0" collapsed="false">
      <c r="A46" s="5" t="n">
        <v>44078</v>
      </c>
      <c r="B46" s="6" t="n">
        <v>0.860416666666667</v>
      </c>
      <c r="C46" s="7" t="n">
        <v>129740</v>
      </c>
      <c r="D46" s="7" t="s">
        <v>16</v>
      </c>
      <c r="E46" s="7" t="n">
        <v>23780</v>
      </c>
      <c r="F46" s="7" t="n">
        <v>16140</v>
      </c>
      <c r="G46" s="8" t="n">
        <v>7640</v>
      </c>
      <c r="H46" s="7" t="s">
        <v>11</v>
      </c>
      <c r="I46" s="7" t="s">
        <v>12</v>
      </c>
      <c r="J46" s="0" t="s">
        <v>13</v>
      </c>
    </row>
    <row r="47" customFormat="false" ht="15" hidden="false" customHeight="false" outlineLevel="0" collapsed="false">
      <c r="A47" s="5" t="n">
        <v>44078</v>
      </c>
      <c r="B47" s="6" t="n">
        <v>0.4375</v>
      </c>
      <c r="C47" s="9" t="s">
        <v>24</v>
      </c>
      <c r="D47" s="7" t="s">
        <v>16</v>
      </c>
      <c r="E47" s="7" t="n">
        <v>17800</v>
      </c>
      <c r="F47" s="7" t="n">
        <v>15760</v>
      </c>
      <c r="G47" s="8" t="n">
        <v>2040</v>
      </c>
      <c r="H47" s="7" t="s">
        <v>11</v>
      </c>
      <c r="I47" s="7" t="s">
        <v>25</v>
      </c>
      <c r="J47" s="0" t="s">
        <v>13</v>
      </c>
    </row>
    <row r="48" customFormat="false" ht="15" hidden="true" customHeight="false" outlineLevel="0" collapsed="false">
      <c r="A48" s="5" t="n">
        <v>44079</v>
      </c>
      <c r="B48" s="6" t="n">
        <v>0.479861111111111</v>
      </c>
      <c r="C48" s="7" t="n">
        <v>129775</v>
      </c>
      <c r="D48" s="7" t="s">
        <v>26</v>
      </c>
      <c r="E48" s="7" t="n">
        <v>5760</v>
      </c>
      <c r="F48" s="7" t="n">
        <v>5580</v>
      </c>
      <c r="G48" s="8" t="n">
        <v>180</v>
      </c>
      <c r="H48" s="7" t="s">
        <v>11</v>
      </c>
      <c r="I48" s="7" t="s">
        <v>20</v>
      </c>
      <c r="J48" s="0" t="s">
        <v>13</v>
      </c>
    </row>
    <row r="49" customFormat="false" ht="15" hidden="true" customHeight="false" outlineLevel="0" collapsed="false">
      <c r="A49" s="5" t="n">
        <v>44079</v>
      </c>
      <c r="B49" s="6" t="n">
        <v>0.255555555555556</v>
      </c>
      <c r="C49" s="7" t="n">
        <v>129759</v>
      </c>
      <c r="D49" s="7" t="s">
        <v>10</v>
      </c>
      <c r="E49" s="7" t="n">
        <v>16820</v>
      </c>
      <c r="F49" s="7" t="n">
        <v>12820</v>
      </c>
      <c r="G49" s="8" t="n">
        <v>4000</v>
      </c>
      <c r="H49" s="7" t="s">
        <v>11</v>
      </c>
      <c r="I49" s="7" t="s">
        <v>12</v>
      </c>
      <c r="J49" s="0" t="s">
        <v>13</v>
      </c>
    </row>
    <row r="50" customFormat="false" ht="15" hidden="true" customHeight="false" outlineLevel="0" collapsed="false">
      <c r="A50" s="5" t="n">
        <v>44079</v>
      </c>
      <c r="B50" s="6" t="n">
        <v>0.434722222222222</v>
      </c>
      <c r="C50" s="7" t="n">
        <v>129771</v>
      </c>
      <c r="D50" s="7" t="s">
        <v>19</v>
      </c>
      <c r="E50" s="7" t="n">
        <v>3320</v>
      </c>
      <c r="F50" s="7" t="n">
        <v>2780</v>
      </c>
      <c r="G50" s="8" t="n">
        <v>540</v>
      </c>
      <c r="H50" s="7" t="s">
        <v>11</v>
      </c>
      <c r="I50" s="7" t="s">
        <v>12</v>
      </c>
      <c r="J50" s="0" t="s">
        <v>13</v>
      </c>
    </row>
    <row r="51" customFormat="false" ht="15" hidden="true" customHeight="false" outlineLevel="0" collapsed="false">
      <c r="A51" s="5" t="n">
        <v>44079</v>
      </c>
      <c r="B51" s="6" t="n">
        <v>0.252083333333333</v>
      </c>
      <c r="C51" s="7" t="n">
        <v>129758</v>
      </c>
      <c r="D51" s="7" t="s">
        <v>14</v>
      </c>
      <c r="E51" s="7" t="n">
        <v>4500</v>
      </c>
      <c r="F51" s="7" t="n">
        <v>3660</v>
      </c>
      <c r="G51" s="8" t="n">
        <v>840</v>
      </c>
      <c r="H51" s="7" t="s">
        <v>11</v>
      </c>
      <c r="I51" s="7" t="s">
        <v>12</v>
      </c>
      <c r="J51" s="0" t="s">
        <v>13</v>
      </c>
    </row>
    <row r="52" customFormat="false" ht="15" hidden="true" customHeight="false" outlineLevel="0" collapsed="false">
      <c r="A52" s="5" t="n">
        <v>44079</v>
      </c>
      <c r="B52" s="6" t="n">
        <v>0.50625</v>
      </c>
      <c r="C52" s="7" t="n">
        <v>129776</v>
      </c>
      <c r="D52" s="7" t="s">
        <v>19</v>
      </c>
      <c r="E52" s="7" t="n">
        <v>3180</v>
      </c>
      <c r="F52" s="7" t="n">
        <v>2780</v>
      </c>
      <c r="G52" s="8" t="n">
        <v>400</v>
      </c>
      <c r="H52" s="7" t="s">
        <v>11</v>
      </c>
      <c r="I52" s="7" t="s">
        <v>20</v>
      </c>
      <c r="J52" s="0" t="s">
        <v>13</v>
      </c>
    </row>
    <row r="53" customFormat="false" ht="15" hidden="true" customHeight="false" outlineLevel="0" collapsed="false">
      <c r="A53" s="5" t="n">
        <v>44079</v>
      </c>
      <c r="B53" s="6" t="n">
        <v>0.668055555555556</v>
      </c>
      <c r="C53" s="7" t="n">
        <v>129778</v>
      </c>
      <c r="D53" s="7" t="s">
        <v>10</v>
      </c>
      <c r="E53" s="7" t="n">
        <v>13920</v>
      </c>
      <c r="F53" s="7" t="n">
        <v>12840</v>
      </c>
      <c r="G53" s="8" t="n">
        <v>1080</v>
      </c>
      <c r="H53" s="7" t="s">
        <v>11</v>
      </c>
      <c r="I53" s="7" t="s">
        <v>12</v>
      </c>
      <c r="J53" s="0" t="s">
        <v>13</v>
      </c>
    </row>
    <row r="54" customFormat="false" ht="15" hidden="true" customHeight="false" outlineLevel="0" collapsed="false">
      <c r="A54" s="5" t="n">
        <v>44079</v>
      </c>
      <c r="B54" s="6" t="n">
        <v>0.852083333333333</v>
      </c>
      <c r="C54" s="7" t="n">
        <v>129780</v>
      </c>
      <c r="D54" s="7" t="s">
        <v>16</v>
      </c>
      <c r="E54" s="7" t="n">
        <v>22960</v>
      </c>
      <c r="F54" s="7" t="n">
        <v>16200</v>
      </c>
      <c r="G54" s="8" t="n">
        <v>6760</v>
      </c>
      <c r="H54" s="7" t="s">
        <v>11</v>
      </c>
      <c r="I54" s="7" t="s">
        <v>12</v>
      </c>
      <c r="J54" s="0" t="s">
        <v>13</v>
      </c>
    </row>
    <row r="55" customFormat="false" ht="15" hidden="true" customHeight="false" outlineLevel="0" collapsed="false">
      <c r="A55" s="5" t="n">
        <v>44079</v>
      </c>
      <c r="B55" s="6" t="n">
        <v>0.0902777777777778</v>
      </c>
      <c r="C55" s="7" t="n">
        <v>129747</v>
      </c>
      <c r="D55" s="7" t="s">
        <v>10</v>
      </c>
      <c r="E55" s="7" t="n">
        <v>21660</v>
      </c>
      <c r="F55" s="7" t="n">
        <v>12800</v>
      </c>
      <c r="G55" s="8" t="n">
        <v>8860</v>
      </c>
      <c r="H55" s="7" t="s">
        <v>11</v>
      </c>
      <c r="I55" s="7" t="s">
        <v>12</v>
      </c>
      <c r="J55" s="0" t="s">
        <v>13</v>
      </c>
    </row>
    <row r="56" customFormat="false" ht="15" hidden="true" customHeight="false" outlineLevel="0" collapsed="false">
      <c r="A56" s="5" t="n">
        <v>44079</v>
      </c>
      <c r="B56" s="6" t="n">
        <v>0.365277777777778</v>
      </c>
      <c r="C56" s="7" t="n">
        <v>129770</v>
      </c>
      <c r="D56" s="7" t="s">
        <v>18</v>
      </c>
      <c r="E56" s="7" t="n">
        <v>2580</v>
      </c>
      <c r="F56" s="7" t="n">
        <v>2400</v>
      </c>
      <c r="G56" s="8" t="n">
        <v>180</v>
      </c>
      <c r="H56" s="7" t="s">
        <v>11</v>
      </c>
      <c r="I56" s="7" t="s">
        <v>12</v>
      </c>
      <c r="J56" s="0" t="s">
        <v>13</v>
      </c>
    </row>
    <row r="57" customFormat="false" ht="15" hidden="true" customHeight="false" outlineLevel="0" collapsed="false">
      <c r="A57" s="5" t="n">
        <v>44079</v>
      </c>
      <c r="B57" s="6" t="n">
        <v>0.845833333333333</v>
      </c>
      <c r="C57" s="7" t="n">
        <v>129779</v>
      </c>
      <c r="D57" s="7" t="s">
        <v>18</v>
      </c>
      <c r="E57" s="7" t="n">
        <v>2620</v>
      </c>
      <c r="F57" s="7" t="n">
        <v>2420</v>
      </c>
      <c r="G57" s="8" t="n">
        <v>200</v>
      </c>
      <c r="H57" s="7" t="s">
        <v>11</v>
      </c>
      <c r="I57" s="7" t="s">
        <v>12</v>
      </c>
      <c r="J57" s="0" t="s">
        <v>13</v>
      </c>
    </row>
    <row r="58" customFormat="false" ht="15" hidden="true" customHeight="false" outlineLevel="0" collapsed="false">
      <c r="A58" s="5" t="n">
        <v>44079</v>
      </c>
      <c r="B58" s="6" t="n">
        <v>0.26875</v>
      </c>
      <c r="C58" s="7" t="n">
        <v>129762</v>
      </c>
      <c r="D58" s="7" t="s">
        <v>16</v>
      </c>
      <c r="E58" s="7" t="n">
        <v>27000</v>
      </c>
      <c r="F58" s="7" t="n">
        <v>16160</v>
      </c>
      <c r="G58" s="8" t="n">
        <v>10840</v>
      </c>
      <c r="H58" s="7" t="s">
        <v>11</v>
      </c>
      <c r="I58" s="7" t="s">
        <v>12</v>
      </c>
      <c r="J58" s="0" t="s">
        <v>13</v>
      </c>
    </row>
    <row r="59" customFormat="false" ht="15" hidden="true" customHeight="false" outlineLevel="0" collapsed="false">
      <c r="A59" s="5" t="n">
        <v>44079</v>
      </c>
      <c r="B59" s="6" t="n">
        <v>0.45625</v>
      </c>
      <c r="C59" s="7" t="n">
        <v>106410</v>
      </c>
      <c r="D59" s="7" t="s">
        <v>15</v>
      </c>
      <c r="E59" s="7" t="n">
        <v>16640</v>
      </c>
      <c r="F59" s="7" t="n">
        <v>15740</v>
      </c>
      <c r="G59" s="8" t="n">
        <v>900</v>
      </c>
      <c r="H59" s="7" t="s">
        <v>11</v>
      </c>
      <c r="I59" s="7" t="s">
        <v>17</v>
      </c>
      <c r="J59" s="0" t="s">
        <v>13</v>
      </c>
    </row>
    <row r="60" customFormat="false" ht="15" hidden="true" customHeight="false" outlineLevel="0" collapsed="false">
      <c r="A60" s="5" t="n">
        <v>44080</v>
      </c>
      <c r="B60" s="6" t="n">
        <v>0.356944444444444</v>
      </c>
      <c r="C60" s="7" t="n">
        <v>129799</v>
      </c>
      <c r="D60" s="7" t="s">
        <v>18</v>
      </c>
      <c r="E60" s="7" t="n">
        <v>2620</v>
      </c>
      <c r="F60" s="7" t="n">
        <v>2380</v>
      </c>
      <c r="G60" s="8" t="n">
        <v>240</v>
      </c>
      <c r="H60" s="7" t="s">
        <v>11</v>
      </c>
      <c r="I60" s="7" t="s">
        <v>12</v>
      </c>
      <c r="J60" s="0" t="s">
        <v>13</v>
      </c>
    </row>
    <row r="61" customFormat="false" ht="15" hidden="true" customHeight="false" outlineLevel="0" collapsed="false">
      <c r="A61" s="5" t="n">
        <v>44080</v>
      </c>
      <c r="B61" s="6" t="n">
        <v>0.241666666666667</v>
      </c>
      <c r="C61" s="7" t="n">
        <v>129794</v>
      </c>
      <c r="D61" s="7" t="s">
        <v>14</v>
      </c>
      <c r="E61" s="7" t="n">
        <v>5260</v>
      </c>
      <c r="F61" s="7" t="n">
        <v>3740</v>
      </c>
      <c r="G61" s="8" t="n">
        <v>1520</v>
      </c>
      <c r="H61" s="7" t="s">
        <v>11</v>
      </c>
      <c r="I61" s="7" t="s">
        <v>12</v>
      </c>
      <c r="J61" s="0" t="s">
        <v>13</v>
      </c>
    </row>
    <row r="62" customFormat="false" ht="15" hidden="true" customHeight="false" outlineLevel="0" collapsed="false">
      <c r="A62" s="5" t="n">
        <v>44080</v>
      </c>
      <c r="B62" s="6" t="n">
        <v>0.175694444444444</v>
      </c>
      <c r="C62" s="7" t="n">
        <v>129789</v>
      </c>
      <c r="D62" s="7" t="s">
        <v>15</v>
      </c>
      <c r="E62" s="7" t="n">
        <v>27640</v>
      </c>
      <c r="F62" s="7" t="n">
        <v>15760</v>
      </c>
      <c r="G62" s="8" t="n">
        <v>11880</v>
      </c>
      <c r="H62" s="7" t="s">
        <v>11</v>
      </c>
      <c r="I62" s="7" t="s">
        <v>12</v>
      </c>
      <c r="J62" s="0" t="s">
        <v>13</v>
      </c>
    </row>
    <row r="63" customFormat="false" ht="15" hidden="true" customHeight="false" outlineLevel="0" collapsed="false">
      <c r="A63" s="5" t="n">
        <v>44080</v>
      </c>
      <c r="B63" s="6" t="n">
        <v>0.855555555555556</v>
      </c>
      <c r="C63" s="9" t="n">
        <v>129804</v>
      </c>
      <c r="D63" s="7" t="s">
        <v>18</v>
      </c>
      <c r="E63" s="7" t="n">
        <v>2660</v>
      </c>
      <c r="F63" s="7" t="n">
        <v>2420</v>
      </c>
      <c r="G63" s="8" t="n">
        <v>240</v>
      </c>
      <c r="H63" s="7" t="s">
        <v>11</v>
      </c>
      <c r="I63" s="7" t="s">
        <v>12</v>
      </c>
      <c r="J63" s="0" t="s">
        <v>13</v>
      </c>
    </row>
    <row r="64" customFormat="false" ht="15" hidden="true" customHeight="false" outlineLevel="0" collapsed="false">
      <c r="A64" s="5" t="n">
        <v>44080</v>
      </c>
      <c r="B64" s="6" t="n">
        <v>0.677083333333333</v>
      </c>
      <c r="C64" s="7" t="n">
        <v>129802</v>
      </c>
      <c r="D64" s="7" t="s">
        <v>10</v>
      </c>
      <c r="E64" s="7" t="n">
        <v>14180</v>
      </c>
      <c r="F64" s="7" t="n">
        <v>12820</v>
      </c>
      <c r="G64" s="8" t="n">
        <v>1360</v>
      </c>
      <c r="H64" s="7" t="s">
        <v>11</v>
      </c>
      <c r="I64" s="7" t="s">
        <v>12</v>
      </c>
      <c r="J64" s="0" t="s">
        <v>13</v>
      </c>
    </row>
    <row r="65" customFormat="false" ht="15" hidden="true" customHeight="false" outlineLevel="0" collapsed="false">
      <c r="A65" s="5" t="n">
        <v>44080</v>
      </c>
      <c r="B65" s="6" t="n">
        <v>0.854166666666667</v>
      </c>
      <c r="C65" s="7" t="n">
        <v>129803</v>
      </c>
      <c r="D65" s="7" t="s">
        <v>16</v>
      </c>
      <c r="E65" s="7" t="n">
        <v>23460</v>
      </c>
      <c r="F65" s="7" t="n">
        <v>16160</v>
      </c>
      <c r="G65" s="8" t="n">
        <v>7300</v>
      </c>
      <c r="H65" s="7" t="s">
        <v>11</v>
      </c>
      <c r="I65" s="7" t="s">
        <v>12</v>
      </c>
      <c r="J65" s="0" t="s">
        <v>13</v>
      </c>
    </row>
    <row r="66" customFormat="false" ht="15" hidden="true" customHeight="false" outlineLevel="0" collapsed="false">
      <c r="A66" s="5" t="n">
        <v>44080</v>
      </c>
      <c r="B66" s="6" t="n">
        <v>0.438194444444444</v>
      </c>
      <c r="C66" s="7" t="n">
        <v>129800</v>
      </c>
      <c r="D66" s="7" t="s">
        <v>19</v>
      </c>
      <c r="E66" s="7" t="n">
        <v>3320</v>
      </c>
      <c r="F66" s="7" t="n">
        <v>2760</v>
      </c>
      <c r="G66" s="8" t="n">
        <v>560</v>
      </c>
      <c r="H66" s="7" t="s">
        <v>11</v>
      </c>
      <c r="I66" s="7" t="s">
        <v>12</v>
      </c>
      <c r="J66" s="0" t="s">
        <v>13</v>
      </c>
    </row>
    <row r="67" customFormat="false" ht="15" hidden="true" customHeight="false" outlineLevel="0" collapsed="false">
      <c r="A67" s="5" t="n">
        <v>44080</v>
      </c>
      <c r="B67" s="6" t="n">
        <v>0.51875</v>
      </c>
      <c r="C67" s="7" t="n">
        <v>129801</v>
      </c>
      <c r="D67" s="7" t="s">
        <v>19</v>
      </c>
      <c r="E67" s="7" t="n">
        <v>3100</v>
      </c>
      <c r="F67" s="7" t="n">
        <v>2840</v>
      </c>
      <c r="G67" s="8" t="n">
        <v>260</v>
      </c>
      <c r="H67" s="7" t="s">
        <v>11</v>
      </c>
      <c r="I67" s="7" t="s">
        <v>20</v>
      </c>
      <c r="J67" s="0" t="s">
        <v>13</v>
      </c>
    </row>
    <row r="68" customFormat="false" ht="15" hidden="true" customHeight="false" outlineLevel="0" collapsed="false">
      <c r="A68" s="5" t="n">
        <v>44080</v>
      </c>
      <c r="B68" s="6" t="n">
        <v>0.127777777777778</v>
      </c>
      <c r="C68" s="7" t="n">
        <v>129787</v>
      </c>
      <c r="D68" s="7" t="s">
        <v>10</v>
      </c>
      <c r="E68" s="7" t="n">
        <v>17760</v>
      </c>
      <c r="F68" s="7" t="n">
        <v>12900</v>
      </c>
      <c r="G68" s="8" t="n">
        <v>4860</v>
      </c>
      <c r="H68" s="7" t="s">
        <v>11</v>
      </c>
      <c r="I68" s="7" t="s">
        <v>12</v>
      </c>
      <c r="J68" s="0" t="s">
        <v>13</v>
      </c>
    </row>
    <row r="69" customFormat="false" ht="15" hidden="true" customHeight="false" outlineLevel="0" collapsed="false">
      <c r="A69" s="5" t="n">
        <v>44080</v>
      </c>
      <c r="B69" s="6" t="n">
        <v>0.0402777777777778</v>
      </c>
      <c r="C69" s="7" t="n">
        <v>129782</v>
      </c>
      <c r="D69" s="7" t="s">
        <v>10</v>
      </c>
      <c r="E69" s="7" t="n">
        <v>21000</v>
      </c>
      <c r="F69" s="7" t="n">
        <v>13040</v>
      </c>
      <c r="G69" s="8" t="n">
        <v>7960</v>
      </c>
      <c r="H69" s="7" t="s">
        <v>11</v>
      </c>
      <c r="I69" s="7" t="s">
        <v>12</v>
      </c>
      <c r="J69" s="0" t="s">
        <v>13</v>
      </c>
    </row>
    <row r="70" customFormat="false" ht="15" hidden="true" customHeight="false" outlineLevel="0" collapsed="false">
      <c r="A70" s="5" t="n">
        <v>44081</v>
      </c>
      <c r="B70" s="6" t="n">
        <v>0.46875</v>
      </c>
      <c r="C70" s="7" t="n">
        <v>106440</v>
      </c>
      <c r="D70" s="7" t="s">
        <v>16</v>
      </c>
      <c r="E70" s="7" t="n">
        <v>17060</v>
      </c>
      <c r="F70" s="7" t="n">
        <v>16120</v>
      </c>
      <c r="G70" s="8" t="n">
        <v>940</v>
      </c>
      <c r="H70" s="7" t="s">
        <v>11</v>
      </c>
      <c r="I70" s="7" t="s">
        <v>17</v>
      </c>
      <c r="J70" s="0" t="s">
        <v>13</v>
      </c>
    </row>
    <row r="71" customFormat="false" ht="15" hidden="true" customHeight="false" outlineLevel="0" collapsed="false">
      <c r="A71" s="5" t="n">
        <v>44081</v>
      </c>
      <c r="B71" s="6" t="n">
        <v>0.854861111111111</v>
      </c>
      <c r="C71" s="7" t="n">
        <v>129862</v>
      </c>
      <c r="D71" s="7" t="s">
        <v>16</v>
      </c>
      <c r="E71" s="7" t="n">
        <v>21900</v>
      </c>
      <c r="F71" s="7" t="n">
        <v>16200</v>
      </c>
      <c r="G71" s="8" t="n">
        <v>5700</v>
      </c>
      <c r="H71" s="7" t="s">
        <v>11</v>
      </c>
      <c r="I71" s="7" t="s">
        <v>12</v>
      </c>
      <c r="J71" s="0" t="s">
        <v>13</v>
      </c>
    </row>
    <row r="72" customFormat="false" ht="15" hidden="true" customHeight="false" outlineLevel="0" collapsed="false">
      <c r="A72" s="5" t="n">
        <v>44081</v>
      </c>
      <c r="B72" s="6" t="n">
        <v>0.867361111111111</v>
      </c>
      <c r="C72" s="7" t="n">
        <v>129863</v>
      </c>
      <c r="D72" s="7" t="s">
        <v>18</v>
      </c>
      <c r="E72" s="7" t="n">
        <v>2500</v>
      </c>
      <c r="F72" s="7" t="n">
        <v>2380</v>
      </c>
      <c r="G72" s="8" t="n">
        <v>120</v>
      </c>
      <c r="H72" s="7" t="s">
        <v>11</v>
      </c>
      <c r="I72" s="7" t="s">
        <v>12</v>
      </c>
      <c r="J72" s="0" t="s">
        <v>13</v>
      </c>
    </row>
    <row r="73" customFormat="false" ht="15" hidden="true" customHeight="false" outlineLevel="0" collapsed="false">
      <c r="A73" s="5" t="n">
        <v>44081</v>
      </c>
      <c r="B73" s="6" t="n">
        <v>0.675694444444444</v>
      </c>
      <c r="C73" s="7" t="n">
        <v>129856</v>
      </c>
      <c r="D73" s="7" t="s">
        <v>10</v>
      </c>
      <c r="E73" s="7" t="n">
        <v>13900</v>
      </c>
      <c r="F73" s="7" t="n">
        <v>12860</v>
      </c>
      <c r="G73" s="8" t="n">
        <v>1040</v>
      </c>
      <c r="H73" s="7" t="s">
        <v>11</v>
      </c>
      <c r="I73" s="7" t="s">
        <v>12</v>
      </c>
      <c r="J73" s="0" t="s">
        <v>13</v>
      </c>
    </row>
    <row r="74" customFormat="false" ht="15" hidden="true" customHeight="false" outlineLevel="0" collapsed="false">
      <c r="A74" s="5" t="n">
        <v>44081</v>
      </c>
      <c r="B74" s="6" t="n">
        <v>0.343055555555555</v>
      </c>
      <c r="C74" s="7" t="n">
        <v>129829</v>
      </c>
      <c r="D74" s="7" t="s">
        <v>19</v>
      </c>
      <c r="E74" s="7" t="n">
        <v>3460</v>
      </c>
      <c r="F74" s="7" t="n">
        <v>2760</v>
      </c>
      <c r="G74" s="8" t="n">
        <v>700</v>
      </c>
      <c r="H74" s="7" t="s">
        <v>11</v>
      </c>
      <c r="I74" s="7" t="s">
        <v>20</v>
      </c>
      <c r="J74" s="0" t="s">
        <v>13</v>
      </c>
    </row>
    <row r="75" customFormat="false" ht="15" hidden="true" customHeight="false" outlineLevel="0" collapsed="false">
      <c r="A75" s="5" t="n">
        <v>44081</v>
      </c>
      <c r="B75" s="6" t="n">
        <v>0.510416666666667</v>
      </c>
      <c r="C75" s="7" t="n">
        <v>129844</v>
      </c>
      <c r="D75" s="7" t="s">
        <v>19</v>
      </c>
      <c r="E75" s="7" t="n">
        <v>3480</v>
      </c>
      <c r="F75" s="7" t="n">
        <v>2740</v>
      </c>
      <c r="G75" s="8" t="n">
        <v>740</v>
      </c>
      <c r="H75" s="7" t="s">
        <v>11</v>
      </c>
      <c r="I75" s="7" t="s">
        <v>20</v>
      </c>
      <c r="J75" s="0" t="s">
        <v>13</v>
      </c>
    </row>
    <row r="76" customFormat="false" ht="15" hidden="true" customHeight="false" outlineLevel="0" collapsed="false">
      <c r="A76" s="5" t="n">
        <v>44081</v>
      </c>
      <c r="B76" s="6" t="n">
        <v>0.3375</v>
      </c>
      <c r="C76" s="7" t="n">
        <v>129828</v>
      </c>
      <c r="D76" s="7" t="s">
        <v>18</v>
      </c>
      <c r="E76" s="7" t="n">
        <v>2660</v>
      </c>
      <c r="F76" s="7" t="n">
        <v>2400</v>
      </c>
      <c r="G76" s="8" t="n">
        <v>260</v>
      </c>
      <c r="H76" s="7" t="s">
        <v>11</v>
      </c>
      <c r="I76" s="7" t="s">
        <v>12</v>
      </c>
      <c r="J76" s="0" t="s">
        <v>13</v>
      </c>
    </row>
    <row r="77" customFormat="false" ht="15" hidden="true" customHeight="false" outlineLevel="0" collapsed="false">
      <c r="A77" s="5" t="n">
        <v>44081</v>
      </c>
      <c r="B77" s="6" t="n">
        <v>0.288888888888889</v>
      </c>
      <c r="C77" s="7" t="n">
        <v>129825</v>
      </c>
      <c r="D77" s="7" t="s">
        <v>15</v>
      </c>
      <c r="E77" s="7" t="n">
        <v>18920</v>
      </c>
      <c r="F77" s="7" t="n">
        <v>15940</v>
      </c>
      <c r="G77" s="8" t="n">
        <v>2980</v>
      </c>
      <c r="H77" s="7" t="s">
        <v>11</v>
      </c>
      <c r="I77" s="7" t="s">
        <v>12</v>
      </c>
      <c r="J77" s="0" t="s">
        <v>13</v>
      </c>
    </row>
    <row r="78" customFormat="false" ht="15" hidden="true" customHeight="false" outlineLevel="0" collapsed="false">
      <c r="A78" s="5" t="n">
        <v>44081</v>
      </c>
      <c r="B78" s="6" t="n">
        <v>0.218055555555556</v>
      </c>
      <c r="C78" s="7" t="n">
        <v>129816</v>
      </c>
      <c r="D78" s="7" t="s">
        <v>15</v>
      </c>
      <c r="E78" s="7" t="n">
        <v>27540</v>
      </c>
      <c r="F78" s="7" t="n">
        <v>15960</v>
      </c>
      <c r="G78" s="8" t="n">
        <v>11580</v>
      </c>
      <c r="H78" s="7" t="s">
        <v>11</v>
      </c>
      <c r="I78" s="7" t="s">
        <v>12</v>
      </c>
      <c r="J78" s="0" t="s">
        <v>13</v>
      </c>
    </row>
    <row r="79" customFormat="false" ht="15" hidden="true" customHeight="false" outlineLevel="0" collapsed="false">
      <c r="A79" s="5" t="n">
        <v>44081</v>
      </c>
      <c r="B79" s="6" t="n">
        <v>0.468055555555555</v>
      </c>
      <c r="C79" s="7" t="n">
        <v>129841</v>
      </c>
      <c r="D79" s="7" t="s">
        <v>18</v>
      </c>
      <c r="E79" s="7" t="n">
        <v>2600</v>
      </c>
      <c r="F79" s="7" t="n">
        <v>2400</v>
      </c>
      <c r="G79" s="8" t="n">
        <v>200</v>
      </c>
      <c r="H79" s="7" t="s">
        <v>11</v>
      </c>
      <c r="I79" s="7" t="s">
        <v>12</v>
      </c>
      <c r="J79" s="0" t="s">
        <v>13</v>
      </c>
    </row>
    <row r="80" customFormat="false" ht="15" hidden="true" customHeight="false" outlineLevel="0" collapsed="false">
      <c r="A80" s="5" t="n">
        <v>44081</v>
      </c>
      <c r="B80" s="6" t="n">
        <v>0.4</v>
      </c>
      <c r="C80" s="7" t="n">
        <v>129834</v>
      </c>
      <c r="D80" s="7" t="s">
        <v>23</v>
      </c>
      <c r="E80" s="7" t="n">
        <v>17320</v>
      </c>
      <c r="F80" s="7" t="n">
        <v>12540</v>
      </c>
      <c r="G80" s="8" t="n">
        <v>4780</v>
      </c>
      <c r="H80" s="7" t="s">
        <v>11</v>
      </c>
      <c r="I80" s="7" t="s">
        <v>12</v>
      </c>
      <c r="J80" s="0" t="s">
        <v>13</v>
      </c>
    </row>
    <row r="81" customFormat="false" ht="15" hidden="true" customHeight="false" outlineLevel="0" collapsed="false">
      <c r="A81" s="5" t="n">
        <v>44081</v>
      </c>
      <c r="B81" s="6" t="n">
        <v>0.25625</v>
      </c>
      <c r="C81" s="7" t="n">
        <v>129822</v>
      </c>
      <c r="D81" s="7" t="s">
        <v>14</v>
      </c>
      <c r="E81" s="7" t="n">
        <v>4540</v>
      </c>
      <c r="F81" s="7" t="n">
        <v>3660</v>
      </c>
      <c r="G81" s="8" t="n">
        <v>880</v>
      </c>
      <c r="H81" s="7" t="s">
        <v>11</v>
      </c>
      <c r="I81" s="7" t="s">
        <v>12</v>
      </c>
      <c r="J81" s="0" t="s">
        <v>13</v>
      </c>
    </row>
    <row r="82" customFormat="false" ht="15" hidden="true" customHeight="false" outlineLevel="0" collapsed="false">
      <c r="A82" s="5" t="n">
        <v>44081</v>
      </c>
      <c r="B82" s="6" t="n">
        <v>0.0722222222222222</v>
      </c>
      <c r="C82" s="7" t="n">
        <v>129806</v>
      </c>
      <c r="D82" s="7" t="s">
        <v>10</v>
      </c>
      <c r="E82" s="7" t="n">
        <v>22040</v>
      </c>
      <c r="F82" s="7" t="n">
        <v>12860</v>
      </c>
      <c r="G82" s="8" t="n">
        <v>9180</v>
      </c>
      <c r="H82" s="7" t="s">
        <v>11</v>
      </c>
      <c r="I82" s="7" t="s">
        <v>12</v>
      </c>
      <c r="J82" s="0" t="s">
        <v>13</v>
      </c>
    </row>
    <row r="83" customFormat="false" ht="15" hidden="true" customHeight="false" outlineLevel="0" collapsed="false">
      <c r="A83" s="5" t="n">
        <v>44081</v>
      </c>
      <c r="B83" s="6" t="n">
        <v>0.250694444444444</v>
      </c>
      <c r="C83" s="7" t="n">
        <v>129821</v>
      </c>
      <c r="D83" s="7" t="s">
        <v>10</v>
      </c>
      <c r="E83" s="7" t="n">
        <v>17200</v>
      </c>
      <c r="F83" s="7" t="n">
        <v>12860</v>
      </c>
      <c r="G83" s="8" t="n">
        <v>4340</v>
      </c>
      <c r="H83" s="7" t="s">
        <v>11</v>
      </c>
      <c r="I83" s="7" t="s">
        <v>12</v>
      </c>
      <c r="J83" s="0" t="s">
        <v>13</v>
      </c>
    </row>
    <row r="84" customFormat="false" ht="15" hidden="false" customHeight="false" outlineLevel="0" collapsed="false">
      <c r="A84" s="5" t="n">
        <v>44082</v>
      </c>
      <c r="B84" s="6" t="n">
        <v>0.521527777777778</v>
      </c>
      <c r="C84" s="7" t="n">
        <v>745</v>
      </c>
      <c r="D84" s="7" t="s">
        <v>16</v>
      </c>
      <c r="E84" s="7" t="n">
        <v>18140</v>
      </c>
      <c r="F84" s="7" t="n">
        <v>16080</v>
      </c>
      <c r="G84" s="8" t="n">
        <v>2060</v>
      </c>
      <c r="H84" s="7" t="s">
        <v>11</v>
      </c>
      <c r="I84" s="7" t="s">
        <v>25</v>
      </c>
      <c r="J84" s="0" t="s">
        <v>13</v>
      </c>
    </row>
    <row r="85" customFormat="false" ht="15" hidden="true" customHeight="false" outlineLevel="0" collapsed="false">
      <c r="A85" s="5" t="n">
        <v>44082</v>
      </c>
      <c r="B85" s="6" t="n">
        <v>0.0888888888888889</v>
      </c>
      <c r="C85" s="7" t="n">
        <v>129869</v>
      </c>
      <c r="D85" s="7" t="s">
        <v>16</v>
      </c>
      <c r="E85" s="7" t="n">
        <v>19600</v>
      </c>
      <c r="F85" s="7" t="n">
        <v>16240</v>
      </c>
      <c r="G85" s="8" t="n">
        <v>3360</v>
      </c>
      <c r="H85" s="7" t="s">
        <v>11</v>
      </c>
      <c r="I85" s="7" t="s">
        <v>12</v>
      </c>
      <c r="J85" s="0" t="s">
        <v>13</v>
      </c>
    </row>
    <row r="86" customFormat="false" ht="15" hidden="true" customHeight="false" outlineLevel="0" collapsed="false">
      <c r="A86" s="5" t="n">
        <v>44082</v>
      </c>
      <c r="B86" s="6" t="n">
        <v>0.23125</v>
      </c>
      <c r="C86" s="7" t="n">
        <v>129880</v>
      </c>
      <c r="D86" s="7" t="s">
        <v>10</v>
      </c>
      <c r="E86" s="7" t="n">
        <v>16100</v>
      </c>
      <c r="F86" s="7" t="n">
        <v>12880</v>
      </c>
      <c r="G86" s="8" t="n">
        <v>3220</v>
      </c>
      <c r="H86" s="7" t="s">
        <v>11</v>
      </c>
      <c r="I86" s="7" t="s">
        <v>12</v>
      </c>
      <c r="J86" s="0" t="s">
        <v>13</v>
      </c>
    </row>
    <row r="87" customFormat="false" ht="15" hidden="true" customHeight="false" outlineLevel="0" collapsed="false">
      <c r="A87" s="5" t="n">
        <v>44082</v>
      </c>
      <c r="B87" s="6" t="n">
        <v>0.0868055555555556</v>
      </c>
      <c r="C87" s="7" t="n">
        <v>129868</v>
      </c>
      <c r="D87" s="7" t="s">
        <v>10</v>
      </c>
      <c r="E87" s="7" t="n">
        <v>21440</v>
      </c>
      <c r="F87" s="7" t="n">
        <v>12900</v>
      </c>
      <c r="G87" s="8" t="n">
        <v>8540</v>
      </c>
      <c r="H87" s="7" t="s">
        <v>11</v>
      </c>
      <c r="I87" s="7" t="s">
        <v>12</v>
      </c>
      <c r="J87" s="0" t="s">
        <v>13</v>
      </c>
    </row>
    <row r="88" customFormat="false" ht="15" hidden="true" customHeight="false" outlineLevel="0" collapsed="false">
      <c r="A88" s="5" t="n">
        <v>44082</v>
      </c>
      <c r="B88" s="6" t="n">
        <v>0.252777777777778</v>
      </c>
      <c r="C88" s="7" t="n">
        <v>129881</v>
      </c>
      <c r="D88" s="7" t="s">
        <v>14</v>
      </c>
      <c r="E88" s="7" t="n">
        <v>4560</v>
      </c>
      <c r="F88" s="7" t="n">
        <v>3640</v>
      </c>
      <c r="G88" s="8" t="n">
        <v>920</v>
      </c>
      <c r="H88" s="7" t="s">
        <v>11</v>
      </c>
      <c r="I88" s="7" t="s">
        <v>12</v>
      </c>
      <c r="J88" s="0" t="s">
        <v>13</v>
      </c>
    </row>
    <row r="89" customFormat="false" ht="15" hidden="true" customHeight="false" outlineLevel="0" collapsed="false">
      <c r="A89" s="5" t="n">
        <v>44082</v>
      </c>
      <c r="B89" s="6" t="n">
        <v>0.461111111111111</v>
      </c>
      <c r="C89" s="7" t="n">
        <v>129906</v>
      </c>
      <c r="D89" s="7" t="s">
        <v>26</v>
      </c>
      <c r="E89" s="7" t="n">
        <v>5860</v>
      </c>
      <c r="F89" s="7" t="n">
        <v>5540</v>
      </c>
      <c r="G89" s="8" t="n">
        <v>320</v>
      </c>
      <c r="H89" s="7" t="s">
        <v>11</v>
      </c>
      <c r="I89" s="7" t="s">
        <v>20</v>
      </c>
      <c r="J89" s="0" t="s">
        <v>13</v>
      </c>
    </row>
    <row r="90" customFormat="false" ht="15" hidden="true" customHeight="false" outlineLevel="0" collapsed="false">
      <c r="A90" s="5" t="n">
        <v>44082</v>
      </c>
      <c r="B90" s="6" t="n">
        <v>0.269444444444444</v>
      </c>
      <c r="C90" s="7" t="n">
        <v>129885</v>
      </c>
      <c r="D90" s="7" t="s">
        <v>15</v>
      </c>
      <c r="E90" s="7" t="n">
        <v>23800</v>
      </c>
      <c r="F90" s="7" t="n">
        <v>15940</v>
      </c>
      <c r="G90" s="8" t="n">
        <v>7860</v>
      </c>
      <c r="H90" s="7" t="s">
        <v>11</v>
      </c>
      <c r="I90" s="7" t="s">
        <v>12</v>
      </c>
      <c r="J90" s="0" t="s">
        <v>13</v>
      </c>
    </row>
    <row r="91" customFormat="false" ht="15" hidden="true" customHeight="false" outlineLevel="0" collapsed="false">
      <c r="A91" s="5" t="n">
        <v>44082</v>
      </c>
      <c r="B91" s="6" t="n">
        <v>0.455555555555556</v>
      </c>
      <c r="C91" s="7" t="n">
        <v>129902</v>
      </c>
      <c r="D91" s="7" t="s">
        <v>19</v>
      </c>
      <c r="E91" s="7" t="n">
        <v>3380</v>
      </c>
      <c r="F91" s="7" t="n">
        <v>2740</v>
      </c>
      <c r="G91" s="8" t="n">
        <v>640</v>
      </c>
      <c r="H91" s="7" t="s">
        <v>11</v>
      </c>
      <c r="I91" s="7" t="s">
        <v>20</v>
      </c>
      <c r="J91" s="0" t="s">
        <v>13</v>
      </c>
    </row>
    <row r="92" customFormat="false" ht="15" hidden="true" customHeight="false" outlineLevel="0" collapsed="false">
      <c r="A92" s="5" t="n">
        <v>44082</v>
      </c>
      <c r="B92" s="6" t="n">
        <v>0.454166666666667</v>
      </c>
      <c r="C92" s="7" t="n">
        <v>129901</v>
      </c>
      <c r="D92" s="7" t="s">
        <v>18</v>
      </c>
      <c r="E92" s="7" t="n">
        <v>2680</v>
      </c>
      <c r="F92" s="7" t="n">
        <v>2340</v>
      </c>
      <c r="G92" s="8" t="n">
        <v>340</v>
      </c>
      <c r="H92" s="7" t="s">
        <v>11</v>
      </c>
      <c r="I92" s="7" t="s">
        <v>12</v>
      </c>
      <c r="J92" s="0" t="s">
        <v>13</v>
      </c>
    </row>
    <row r="93" customFormat="false" ht="15" hidden="true" customHeight="false" outlineLevel="0" collapsed="false">
      <c r="A93" s="5" t="n">
        <v>44082</v>
      </c>
      <c r="B93" s="6" t="n">
        <v>0.677777777777778</v>
      </c>
      <c r="C93" s="7" t="n">
        <v>129924</v>
      </c>
      <c r="D93" s="7" t="s">
        <v>10</v>
      </c>
      <c r="E93" s="7" t="n">
        <v>13600</v>
      </c>
      <c r="F93" s="7" t="n">
        <v>12800</v>
      </c>
      <c r="G93" s="8" t="n">
        <v>800</v>
      </c>
      <c r="H93" s="7" t="s">
        <v>11</v>
      </c>
      <c r="I93" s="7" t="s">
        <v>12</v>
      </c>
      <c r="J93" s="0" t="s">
        <v>13</v>
      </c>
    </row>
    <row r="94" customFormat="false" ht="15" hidden="true" customHeight="false" outlineLevel="0" collapsed="false">
      <c r="A94" s="5" t="n">
        <v>44082</v>
      </c>
      <c r="B94" s="6" t="n">
        <v>0.854166666666667</v>
      </c>
      <c r="C94" s="7" t="n">
        <v>129931</v>
      </c>
      <c r="D94" s="7" t="s">
        <v>16</v>
      </c>
      <c r="E94" s="7" t="n">
        <v>21360</v>
      </c>
      <c r="F94" s="7" t="n">
        <v>16360</v>
      </c>
      <c r="G94" s="8" t="n">
        <v>5000</v>
      </c>
      <c r="H94" s="7" t="s">
        <v>11</v>
      </c>
      <c r="I94" s="7" t="s">
        <v>12</v>
      </c>
      <c r="J94" s="0" t="s">
        <v>13</v>
      </c>
    </row>
    <row r="95" customFormat="false" ht="15" hidden="true" customHeight="false" outlineLevel="0" collapsed="false">
      <c r="A95" s="5" t="n">
        <v>44082</v>
      </c>
      <c r="B95" s="6" t="n">
        <v>0.859722222222222</v>
      </c>
      <c r="C95" s="7" t="n">
        <v>129932</v>
      </c>
      <c r="D95" s="7" t="s">
        <v>18</v>
      </c>
      <c r="E95" s="7" t="n">
        <v>2520</v>
      </c>
      <c r="F95" s="7" t="n">
        <v>2360</v>
      </c>
      <c r="G95" s="8" t="n">
        <v>160</v>
      </c>
      <c r="H95" s="7" t="s">
        <v>11</v>
      </c>
      <c r="I95" s="7" t="s">
        <v>12</v>
      </c>
      <c r="J95" s="0" t="s">
        <v>13</v>
      </c>
    </row>
    <row r="96" customFormat="false" ht="15" hidden="true" customHeight="false" outlineLevel="0" collapsed="false">
      <c r="A96" s="5" t="n">
        <v>44083</v>
      </c>
      <c r="B96" s="6" t="n">
        <v>0.501388888888889</v>
      </c>
      <c r="C96" s="7" t="n">
        <v>129976</v>
      </c>
      <c r="D96" s="7" t="s">
        <v>19</v>
      </c>
      <c r="E96" s="7" t="n">
        <v>3380</v>
      </c>
      <c r="F96" s="7" t="n">
        <v>2760</v>
      </c>
      <c r="G96" s="8" t="n">
        <v>620</v>
      </c>
      <c r="H96" s="7" t="s">
        <v>11</v>
      </c>
      <c r="I96" s="7" t="s">
        <v>20</v>
      </c>
      <c r="J96" s="0" t="s">
        <v>13</v>
      </c>
    </row>
    <row r="97" customFormat="false" ht="15" hidden="true" customHeight="false" outlineLevel="0" collapsed="false">
      <c r="A97" s="5" t="n">
        <v>44083</v>
      </c>
      <c r="B97" s="6" t="n">
        <v>0.472222222222222</v>
      </c>
      <c r="C97" s="7" t="n">
        <v>129973</v>
      </c>
      <c r="D97" s="7" t="s">
        <v>18</v>
      </c>
      <c r="E97" s="7" t="n">
        <v>2620</v>
      </c>
      <c r="F97" s="7" t="n">
        <v>2380</v>
      </c>
      <c r="G97" s="8" t="n">
        <v>240</v>
      </c>
      <c r="H97" s="7" t="s">
        <v>11</v>
      </c>
      <c r="I97" s="7" t="s">
        <v>12</v>
      </c>
      <c r="J97" s="0" t="s">
        <v>13</v>
      </c>
    </row>
    <row r="98" customFormat="false" ht="15" hidden="true" customHeight="false" outlineLevel="0" collapsed="false">
      <c r="A98" s="5" t="n">
        <v>44083</v>
      </c>
      <c r="B98" s="6" t="n">
        <v>0.395138888888889</v>
      </c>
      <c r="C98" s="7" t="n">
        <v>129966</v>
      </c>
      <c r="D98" s="7" t="s">
        <v>23</v>
      </c>
      <c r="E98" s="7" t="n">
        <v>16480</v>
      </c>
      <c r="F98" s="7" t="n">
        <v>12540</v>
      </c>
      <c r="G98" s="8" t="n">
        <v>3940</v>
      </c>
      <c r="H98" s="7" t="s">
        <v>11</v>
      </c>
      <c r="I98" s="7" t="s">
        <v>12</v>
      </c>
      <c r="J98" s="0" t="s">
        <v>13</v>
      </c>
    </row>
    <row r="99" customFormat="false" ht="15" hidden="true" customHeight="false" outlineLevel="0" collapsed="false">
      <c r="A99" s="5" t="n">
        <v>44083</v>
      </c>
      <c r="B99" s="6" t="n">
        <v>0.15625</v>
      </c>
      <c r="C99" s="7" t="n">
        <v>129944</v>
      </c>
      <c r="D99" s="7" t="s">
        <v>10</v>
      </c>
      <c r="E99" s="7" t="n">
        <v>23600</v>
      </c>
      <c r="F99" s="7" t="n">
        <v>12820</v>
      </c>
      <c r="G99" s="8" t="n">
        <v>10780</v>
      </c>
      <c r="H99" s="7" t="s">
        <v>11</v>
      </c>
      <c r="I99" s="7" t="s">
        <v>12</v>
      </c>
      <c r="J99" s="0" t="s">
        <v>13</v>
      </c>
    </row>
    <row r="100" customFormat="false" ht="15" hidden="true" customHeight="false" outlineLevel="0" collapsed="false">
      <c r="A100" s="5" t="n">
        <v>44083</v>
      </c>
      <c r="B100" s="6" t="n">
        <v>0.215972222222222</v>
      </c>
      <c r="C100" s="7" t="n">
        <v>129947</v>
      </c>
      <c r="D100" s="7" t="s">
        <v>14</v>
      </c>
      <c r="E100" s="7" t="n">
        <v>4480</v>
      </c>
      <c r="F100" s="7" t="n">
        <v>3720</v>
      </c>
      <c r="G100" s="8" t="n">
        <v>760</v>
      </c>
      <c r="H100" s="7" t="s">
        <v>11</v>
      </c>
      <c r="I100" s="7" t="s">
        <v>12</v>
      </c>
      <c r="J100" s="0" t="s">
        <v>13</v>
      </c>
    </row>
    <row r="101" customFormat="false" ht="15" hidden="true" customHeight="false" outlineLevel="0" collapsed="false">
      <c r="A101" s="5" t="n">
        <v>44083</v>
      </c>
      <c r="B101" s="6" t="n">
        <v>0.271527777777778</v>
      </c>
      <c r="C101" s="7" t="n">
        <v>129951</v>
      </c>
      <c r="D101" s="7" t="s">
        <v>16</v>
      </c>
      <c r="E101" s="7" t="n">
        <v>24080</v>
      </c>
      <c r="F101" s="7" t="n">
        <v>16260</v>
      </c>
      <c r="G101" s="8" t="n">
        <v>7820</v>
      </c>
      <c r="H101" s="7" t="s">
        <v>11</v>
      </c>
      <c r="I101" s="7" t="s">
        <v>12</v>
      </c>
      <c r="J101" s="0" t="s">
        <v>13</v>
      </c>
    </row>
    <row r="102" customFormat="false" ht="15" hidden="true" customHeight="false" outlineLevel="0" collapsed="false">
      <c r="A102" s="5" t="n">
        <v>44083</v>
      </c>
      <c r="B102" s="6" t="n">
        <v>0.33125</v>
      </c>
      <c r="C102" s="7" t="n">
        <v>129958</v>
      </c>
      <c r="D102" s="7" t="s">
        <v>19</v>
      </c>
      <c r="E102" s="7" t="n">
        <v>3420</v>
      </c>
      <c r="F102" s="7" t="n">
        <v>2820</v>
      </c>
      <c r="G102" s="8" t="n">
        <v>600</v>
      </c>
      <c r="H102" s="7" t="s">
        <v>11</v>
      </c>
      <c r="I102" s="7" t="s">
        <v>20</v>
      </c>
      <c r="J102" s="0" t="s">
        <v>13</v>
      </c>
    </row>
    <row r="103" customFormat="false" ht="15" hidden="true" customHeight="false" outlineLevel="0" collapsed="false">
      <c r="A103" s="5" t="n">
        <v>44084</v>
      </c>
      <c r="B103" s="6" t="n">
        <v>0.184027777777778</v>
      </c>
      <c r="C103" s="7" t="n">
        <v>130011</v>
      </c>
      <c r="D103" s="7" t="s">
        <v>16</v>
      </c>
      <c r="E103" s="7" t="n">
        <v>26320</v>
      </c>
      <c r="F103" s="7" t="n">
        <v>16320</v>
      </c>
      <c r="G103" s="8" t="n">
        <v>10000</v>
      </c>
      <c r="H103" s="7" t="s">
        <v>11</v>
      </c>
      <c r="I103" s="7" t="s">
        <v>12</v>
      </c>
      <c r="J103" s="0" t="s">
        <v>13</v>
      </c>
    </row>
    <row r="104" customFormat="false" ht="15" hidden="true" customHeight="false" outlineLevel="0" collapsed="false">
      <c r="A104" s="5" t="n">
        <v>44084</v>
      </c>
      <c r="B104" s="6" t="n">
        <v>0.256944444444444</v>
      </c>
      <c r="C104" s="7" t="n">
        <v>130019</v>
      </c>
      <c r="D104" s="7" t="s">
        <v>14</v>
      </c>
      <c r="E104" s="7" t="n">
        <v>4480</v>
      </c>
      <c r="F104" s="7" t="n">
        <v>3560</v>
      </c>
      <c r="G104" s="8" t="n">
        <v>920</v>
      </c>
      <c r="H104" s="7" t="s">
        <v>11</v>
      </c>
      <c r="I104" s="7" t="s">
        <v>12</v>
      </c>
      <c r="J104" s="0" t="s">
        <v>13</v>
      </c>
    </row>
    <row r="105" customFormat="false" ht="15" hidden="true" customHeight="false" outlineLevel="0" collapsed="false">
      <c r="A105" s="5" t="n">
        <v>44084</v>
      </c>
      <c r="B105" s="6" t="n">
        <v>0.134722222222222</v>
      </c>
      <c r="C105" s="7" t="n">
        <v>130008</v>
      </c>
      <c r="D105" s="7" t="s">
        <v>10</v>
      </c>
      <c r="E105" s="7" t="n">
        <v>22080</v>
      </c>
      <c r="F105" s="7" t="n">
        <v>12800</v>
      </c>
      <c r="G105" s="8" t="n">
        <v>9280</v>
      </c>
      <c r="H105" s="7" t="s">
        <v>11</v>
      </c>
      <c r="I105" s="7" t="s">
        <v>12</v>
      </c>
      <c r="J105" s="0" t="s">
        <v>13</v>
      </c>
    </row>
    <row r="106" customFormat="false" ht="15" hidden="true" customHeight="false" outlineLevel="0" collapsed="false">
      <c r="A106" s="5" t="n">
        <v>44084</v>
      </c>
      <c r="B106" s="6" t="n">
        <v>0.236111111111111</v>
      </c>
      <c r="C106" s="7" t="n">
        <v>130016</v>
      </c>
      <c r="D106" s="7" t="s">
        <v>10</v>
      </c>
      <c r="E106" s="7" t="n">
        <v>15600</v>
      </c>
      <c r="F106" s="7" t="n">
        <v>12840</v>
      </c>
      <c r="G106" s="8" t="n">
        <v>2760</v>
      </c>
      <c r="H106" s="7" t="s">
        <v>11</v>
      </c>
      <c r="I106" s="7" t="s">
        <v>12</v>
      </c>
      <c r="J106" s="0" t="s">
        <v>13</v>
      </c>
    </row>
    <row r="107" customFormat="false" ht="15" hidden="true" customHeight="false" outlineLevel="0" collapsed="false">
      <c r="A107" s="5" t="n">
        <v>44084</v>
      </c>
      <c r="B107" s="6" t="n">
        <v>0.225</v>
      </c>
      <c r="C107" s="7" t="n">
        <v>130014</v>
      </c>
      <c r="D107" s="7" t="s">
        <v>15</v>
      </c>
      <c r="E107" s="7" t="n">
        <v>17000</v>
      </c>
      <c r="F107" s="7" t="n">
        <v>15860</v>
      </c>
      <c r="G107" s="8" t="n">
        <v>1140</v>
      </c>
      <c r="H107" s="7" t="s">
        <v>11</v>
      </c>
      <c r="I107" s="7" t="s">
        <v>12</v>
      </c>
      <c r="J107" s="0" t="s">
        <v>13</v>
      </c>
    </row>
    <row r="108" customFormat="false" ht="15" hidden="true" customHeight="false" outlineLevel="0" collapsed="false">
      <c r="A108" s="5" t="n">
        <v>44084</v>
      </c>
      <c r="B108" s="6" t="n">
        <v>0.258333333333333</v>
      </c>
      <c r="C108" s="7" t="n">
        <v>130020</v>
      </c>
      <c r="D108" s="7" t="s">
        <v>16</v>
      </c>
      <c r="E108" s="7" t="n">
        <v>19680</v>
      </c>
      <c r="F108" s="7" t="n">
        <v>16140</v>
      </c>
      <c r="G108" s="8" t="n">
        <v>3540</v>
      </c>
      <c r="H108" s="7" t="s">
        <v>11</v>
      </c>
      <c r="I108" s="7" t="s">
        <v>12</v>
      </c>
      <c r="J108" s="0" t="s">
        <v>13</v>
      </c>
    </row>
    <row r="109" customFormat="false" ht="15" hidden="true" customHeight="false" outlineLevel="0" collapsed="false">
      <c r="A109" s="5" t="n">
        <v>44084</v>
      </c>
      <c r="B109" s="6" t="n">
        <v>0.473611111111111</v>
      </c>
      <c r="C109" s="7" t="n">
        <v>130043</v>
      </c>
      <c r="D109" s="7" t="s">
        <v>18</v>
      </c>
      <c r="E109" s="7" t="n">
        <v>2640</v>
      </c>
      <c r="F109" s="7" t="n">
        <v>2360</v>
      </c>
      <c r="G109" s="8" t="n">
        <v>280</v>
      </c>
      <c r="H109" s="7" t="s">
        <v>11</v>
      </c>
      <c r="I109" s="7" t="s">
        <v>12</v>
      </c>
      <c r="J109" s="0" t="s">
        <v>13</v>
      </c>
    </row>
    <row r="110" customFormat="false" ht="15" hidden="true" customHeight="false" outlineLevel="0" collapsed="false">
      <c r="A110" s="5" t="n">
        <v>44084</v>
      </c>
      <c r="B110" s="6" t="n">
        <v>0.478472222222222</v>
      </c>
      <c r="C110" s="7" t="n">
        <v>10658</v>
      </c>
      <c r="D110" s="7" t="s">
        <v>16</v>
      </c>
      <c r="E110" s="7" t="n">
        <v>17500</v>
      </c>
      <c r="F110" s="7" t="n">
        <v>16020</v>
      </c>
      <c r="G110" s="8" t="n">
        <v>1480</v>
      </c>
      <c r="H110" s="7" t="s">
        <v>11</v>
      </c>
      <c r="I110" s="7" t="s">
        <v>17</v>
      </c>
      <c r="J110" s="0" t="s">
        <v>13</v>
      </c>
    </row>
    <row r="111" customFormat="false" ht="15" hidden="true" customHeight="false" outlineLevel="0" collapsed="false">
      <c r="A111" s="5" t="n">
        <v>44084</v>
      </c>
      <c r="B111" s="6" t="n">
        <v>0.445833333333333</v>
      </c>
      <c r="C111" s="7" t="n">
        <v>130038</v>
      </c>
      <c r="D111" s="7" t="s">
        <v>19</v>
      </c>
      <c r="E111" s="7" t="n">
        <v>3140</v>
      </c>
      <c r="F111" s="7" t="n">
        <v>2900</v>
      </c>
      <c r="G111" s="8" t="n">
        <v>240</v>
      </c>
      <c r="H111" s="7" t="s">
        <v>11</v>
      </c>
      <c r="I111" s="7" t="s">
        <v>12</v>
      </c>
      <c r="J111" s="0" t="s">
        <v>13</v>
      </c>
    </row>
    <row r="112" customFormat="false" ht="15" hidden="true" customHeight="false" outlineLevel="0" collapsed="false">
      <c r="A112" s="5" t="n">
        <v>44084</v>
      </c>
      <c r="B112" s="6" t="n">
        <v>0.847916666666667</v>
      </c>
      <c r="C112" s="7" t="n">
        <v>130069</v>
      </c>
      <c r="D112" s="7" t="s">
        <v>16</v>
      </c>
      <c r="E112" s="7" t="n">
        <v>23340</v>
      </c>
      <c r="F112" s="7" t="n">
        <v>16200</v>
      </c>
      <c r="G112" s="8" t="n">
        <v>7140</v>
      </c>
      <c r="H112" s="7" t="s">
        <v>11</v>
      </c>
      <c r="I112" s="7" t="s">
        <v>12</v>
      </c>
      <c r="J112" s="0" t="s">
        <v>13</v>
      </c>
    </row>
    <row r="113" customFormat="false" ht="15" hidden="true" customHeight="false" outlineLevel="0" collapsed="false">
      <c r="A113" s="5" t="n">
        <v>44084</v>
      </c>
      <c r="B113" s="6" t="n">
        <v>0.675</v>
      </c>
      <c r="C113" s="7" t="n">
        <v>130061</v>
      </c>
      <c r="D113" s="7" t="s">
        <v>10</v>
      </c>
      <c r="E113" s="7" t="n">
        <v>13520</v>
      </c>
      <c r="F113" s="7" t="n">
        <v>12840</v>
      </c>
      <c r="G113" s="8" t="n">
        <v>680</v>
      </c>
      <c r="H113" s="7" t="s">
        <v>11</v>
      </c>
      <c r="I113" s="7" t="s">
        <v>12</v>
      </c>
      <c r="J113" s="0" t="s">
        <v>13</v>
      </c>
    </row>
    <row r="114" customFormat="false" ht="15" hidden="true" customHeight="false" outlineLevel="0" collapsed="false">
      <c r="A114" s="5" t="n">
        <v>44084</v>
      </c>
      <c r="B114" s="6" t="n">
        <v>0.511111111111111</v>
      </c>
      <c r="C114" s="7" t="n">
        <v>130046</v>
      </c>
      <c r="D114" s="7" t="s">
        <v>19</v>
      </c>
      <c r="E114" s="7" t="n">
        <v>3160</v>
      </c>
      <c r="F114" s="7" t="n">
        <v>2820</v>
      </c>
      <c r="G114" s="8" t="n">
        <v>340</v>
      </c>
      <c r="H114" s="7" t="s">
        <v>11</v>
      </c>
      <c r="I114" s="7" t="s">
        <v>20</v>
      </c>
      <c r="J114" s="0" t="s">
        <v>13</v>
      </c>
    </row>
    <row r="115" customFormat="false" ht="15" hidden="true" customHeight="false" outlineLevel="0" collapsed="false">
      <c r="A115" s="5" t="n">
        <v>44084</v>
      </c>
      <c r="B115" s="6" t="n">
        <v>0.884722222222222</v>
      </c>
      <c r="C115" s="7" t="n">
        <v>130071</v>
      </c>
      <c r="D115" s="7" t="s">
        <v>18</v>
      </c>
      <c r="E115" s="7" t="n">
        <v>2600</v>
      </c>
      <c r="F115" s="7" t="n">
        <v>2260</v>
      </c>
      <c r="G115" s="8" t="n">
        <v>340</v>
      </c>
      <c r="H115" s="7" t="s">
        <v>11</v>
      </c>
      <c r="I115" s="7" t="s">
        <v>12</v>
      </c>
      <c r="J115" s="0" t="s">
        <v>13</v>
      </c>
    </row>
    <row r="116" customFormat="false" ht="15" hidden="true" customHeight="false" outlineLevel="0" collapsed="false">
      <c r="A116" s="5" t="n">
        <v>44085</v>
      </c>
      <c r="B116" s="6" t="n">
        <v>0.736111111111111</v>
      </c>
      <c r="C116" s="7" t="n">
        <v>130127</v>
      </c>
      <c r="D116" s="7" t="s">
        <v>10</v>
      </c>
      <c r="E116" s="7" t="n">
        <v>14580</v>
      </c>
      <c r="F116" s="7" t="n">
        <v>12800</v>
      </c>
      <c r="G116" s="8" t="n">
        <v>1780</v>
      </c>
      <c r="H116" s="7" t="s">
        <v>11</v>
      </c>
      <c r="I116" s="7" t="s">
        <v>12</v>
      </c>
      <c r="J116" s="0" t="s">
        <v>13</v>
      </c>
    </row>
    <row r="117" customFormat="false" ht="15" hidden="true" customHeight="false" outlineLevel="0" collapsed="false">
      <c r="A117" s="5" t="n">
        <v>44085</v>
      </c>
      <c r="B117" s="6" t="n">
        <v>0.8625</v>
      </c>
      <c r="C117" s="7" t="n">
        <v>130131</v>
      </c>
      <c r="D117" s="7" t="s">
        <v>15</v>
      </c>
      <c r="E117" s="7" t="n">
        <v>19620</v>
      </c>
      <c r="F117" s="7" t="n">
        <v>16020</v>
      </c>
      <c r="G117" s="8" t="n">
        <v>3600</v>
      </c>
      <c r="H117" s="7" t="s">
        <v>11</v>
      </c>
      <c r="I117" s="7" t="s">
        <v>12</v>
      </c>
      <c r="J117" s="0" t="s">
        <v>13</v>
      </c>
    </row>
    <row r="118" customFormat="false" ht="15" hidden="true" customHeight="false" outlineLevel="0" collapsed="false">
      <c r="A118" s="5" t="n">
        <v>44085</v>
      </c>
      <c r="B118" s="6" t="n">
        <v>0.879166666666667</v>
      </c>
      <c r="C118" s="7" t="n">
        <v>130132</v>
      </c>
      <c r="D118" s="7" t="s">
        <v>18</v>
      </c>
      <c r="E118" s="7" t="n">
        <v>2480</v>
      </c>
      <c r="F118" s="7" t="n">
        <v>2360</v>
      </c>
      <c r="G118" s="8" t="n">
        <v>120</v>
      </c>
      <c r="H118" s="7" t="s">
        <v>11</v>
      </c>
      <c r="I118" s="7" t="s">
        <v>12</v>
      </c>
      <c r="J118" s="0" t="s">
        <v>13</v>
      </c>
    </row>
    <row r="119" customFormat="false" ht="15" hidden="true" customHeight="false" outlineLevel="0" collapsed="false">
      <c r="A119" s="5" t="n">
        <v>44085</v>
      </c>
      <c r="B119" s="6" t="n">
        <v>0.128472222222222</v>
      </c>
      <c r="C119" s="7" t="n">
        <v>130078</v>
      </c>
      <c r="D119" s="7" t="s">
        <v>10</v>
      </c>
      <c r="E119" s="7" t="n">
        <v>23160</v>
      </c>
      <c r="F119" s="7" t="n">
        <v>12860</v>
      </c>
      <c r="G119" s="8" t="n">
        <v>10300</v>
      </c>
      <c r="H119" s="7" t="s">
        <v>11</v>
      </c>
      <c r="I119" s="7" t="s">
        <v>12</v>
      </c>
      <c r="J119" s="0" t="s">
        <v>13</v>
      </c>
    </row>
    <row r="120" customFormat="false" ht="15" hidden="true" customHeight="false" outlineLevel="0" collapsed="false">
      <c r="A120" s="5" t="n">
        <v>44085</v>
      </c>
      <c r="B120" s="6" t="n">
        <v>0.190277777777778</v>
      </c>
      <c r="C120" s="7" t="n">
        <v>130082</v>
      </c>
      <c r="D120" s="7" t="s">
        <v>21</v>
      </c>
      <c r="E120" s="7" t="n">
        <v>3420</v>
      </c>
      <c r="F120" s="7" t="n">
        <v>2780</v>
      </c>
      <c r="G120" s="8" t="n">
        <v>640</v>
      </c>
      <c r="H120" s="7" t="s">
        <v>11</v>
      </c>
      <c r="I120" s="7" t="s">
        <v>22</v>
      </c>
      <c r="J120" s="0" t="s">
        <v>13</v>
      </c>
    </row>
    <row r="121" customFormat="false" ht="15" hidden="true" customHeight="false" outlineLevel="0" collapsed="false">
      <c r="A121" s="5" t="n">
        <v>44085</v>
      </c>
      <c r="B121" s="6" t="n">
        <v>0.375694444444444</v>
      </c>
      <c r="C121" s="7" t="n">
        <v>130100</v>
      </c>
      <c r="D121" s="7" t="s">
        <v>19</v>
      </c>
      <c r="E121" s="7" t="n">
        <v>3060</v>
      </c>
      <c r="F121" s="7" t="n">
        <v>2820</v>
      </c>
      <c r="G121" s="8" t="n">
        <v>240</v>
      </c>
      <c r="H121" s="7" t="s">
        <v>11</v>
      </c>
      <c r="I121" s="7" t="s">
        <v>12</v>
      </c>
      <c r="J121" s="0" t="s">
        <v>13</v>
      </c>
    </row>
    <row r="122" customFormat="false" ht="15" hidden="true" customHeight="false" outlineLevel="0" collapsed="false">
      <c r="A122" s="5" t="n">
        <v>44085</v>
      </c>
      <c r="B122" s="6" t="n">
        <v>0.396527777777778</v>
      </c>
      <c r="C122" s="7" t="n">
        <v>130102</v>
      </c>
      <c r="D122" s="7" t="s">
        <v>23</v>
      </c>
      <c r="E122" s="7" t="n">
        <v>15080</v>
      </c>
      <c r="F122" s="7" t="n">
        <v>12480</v>
      </c>
      <c r="G122" s="8" t="n">
        <v>2600</v>
      </c>
      <c r="H122" s="7" t="s">
        <v>11</v>
      </c>
      <c r="I122" s="7" t="s">
        <v>12</v>
      </c>
      <c r="J122" s="0" t="s">
        <v>13</v>
      </c>
    </row>
    <row r="123" customFormat="false" ht="15" hidden="true" customHeight="false" outlineLevel="0" collapsed="false">
      <c r="A123" s="5" t="n">
        <v>44085</v>
      </c>
      <c r="B123" s="6" t="n">
        <v>0.275694444444444</v>
      </c>
      <c r="C123" s="7" t="n">
        <v>130088</v>
      </c>
      <c r="D123" s="7" t="s">
        <v>16</v>
      </c>
      <c r="E123" s="7" t="n">
        <v>26060</v>
      </c>
      <c r="F123" s="7" t="n">
        <v>16220</v>
      </c>
      <c r="G123" s="8" t="n">
        <v>9840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44085</v>
      </c>
      <c r="B124" s="6" t="n">
        <v>0.373611111111111</v>
      </c>
      <c r="C124" s="7" t="n">
        <v>753</v>
      </c>
      <c r="D124" s="7" t="s">
        <v>16</v>
      </c>
      <c r="E124" s="7" t="n">
        <v>17220</v>
      </c>
      <c r="F124" s="7" t="n">
        <v>16040</v>
      </c>
      <c r="G124" s="8" t="n">
        <v>1180</v>
      </c>
      <c r="H124" s="7" t="s">
        <v>11</v>
      </c>
      <c r="I124" s="7" t="s">
        <v>25</v>
      </c>
      <c r="J124" s="0" t="s">
        <v>13</v>
      </c>
    </row>
    <row r="125" customFormat="false" ht="15" hidden="true" customHeight="false" outlineLevel="0" collapsed="false">
      <c r="A125" s="5" t="n">
        <v>44086</v>
      </c>
      <c r="B125" s="6" t="n">
        <v>0.442361111111111</v>
      </c>
      <c r="C125" s="7" t="n">
        <v>130159</v>
      </c>
      <c r="D125" s="7" t="s">
        <v>19</v>
      </c>
      <c r="E125" s="7" t="n">
        <v>3340</v>
      </c>
      <c r="F125" s="7" t="n">
        <v>2760</v>
      </c>
      <c r="G125" s="8" t="n">
        <v>580</v>
      </c>
      <c r="H125" s="7" t="s">
        <v>11</v>
      </c>
      <c r="I125" s="7" t="s">
        <v>12</v>
      </c>
      <c r="J125" s="0" t="s">
        <v>13</v>
      </c>
    </row>
    <row r="126" customFormat="false" ht="15" hidden="true" customHeight="false" outlineLevel="0" collapsed="false">
      <c r="A126" s="5" t="n">
        <v>44086</v>
      </c>
      <c r="B126" s="6" t="n">
        <v>0.673611111111111</v>
      </c>
      <c r="C126" s="7" t="n">
        <v>130161</v>
      </c>
      <c r="D126" s="7" t="s">
        <v>10</v>
      </c>
      <c r="E126" s="7" t="n">
        <v>13940</v>
      </c>
      <c r="F126" s="7" t="n">
        <v>12860</v>
      </c>
      <c r="G126" s="8" t="n">
        <v>1080</v>
      </c>
      <c r="H126" s="7" t="s">
        <v>11</v>
      </c>
      <c r="I126" s="7" t="s">
        <v>12</v>
      </c>
      <c r="J126" s="0" t="s">
        <v>13</v>
      </c>
    </row>
    <row r="127" customFormat="false" ht="15" hidden="true" customHeight="false" outlineLevel="0" collapsed="false">
      <c r="A127" s="5" t="n">
        <v>44086</v>
      </c>
      <c r="B127" s="6" t="n">
        <v>0.269444444444444</v>
      </c>
      <c r="C127" s="7" t="n">
        <v>130152</v>
      </c>
      <c r="D127" s="7" t="s">
        <v>21</v>
      </c>
      <c r="E127" s="7" t="n">
        <v>3620</v>
      </c>
      <c r="F127" s="7" t="n">
        <v>2740</v>
      </c>
      <c r="G127" s="8" t="n">
        <v>880</v>
      </c>
      <c r="H127" s="7" t="s">
        <v>11</v>
      </c>
      <c r="I127" s="7" t="s">
        <v>12</v>
      </c>
      <c r="J127" s="0" t="s">
        <v>13</v>
      </c>
    </row>
    <row r="128" customFormat="false" ht="15" hidden="true" customHeight="false" outlineLevel="0" collapsed="false">
      <c r="A128" s="5" t="n">
        <v>44086</v>
      </c>
      <c r="B128" s="6" t="n">
        <v>0.259722222222222</v>
      </c>
      <c r="C128" s="7" t="n">
        <v>130151</v>
      </c>
      <c r="D128" s="7" t="s">
        <v>10</v>
      </c>
      <c r="E128" s="7" t="n">
        <v>16980</v>
      </c>
      <c r="F128" s="7" t="n">
        <v>12800</v>
      </c>
      <c r="G128" s="8" t="n">
        <v>4180</v>
      </c>
      <c r="H128" s="7" t="s">
        <v>11</v>
      </c>
      <c r="I128" s="7" t="s">
        <v>12</v>
      </c>
      <c r="J128" s="0" t="s">
        <v>13</v>
      </c>
    </row>
    <row r="129" customFormat="false" ht="15" hidden="true" customHeight="false" outlineLevel="0" collapsed="false">
      <c r="A129" s="5" t="n">
        <v>44086</v>
      </c>
      <c r="B129" s="6" t="n">
        <v>0.1</v>
      </c>
      <c r="C129" s="7" t="n">
        <v>130136</v>
      </c>
      <c r="D129" s="7" t="s">
        <v>10</v>
      </c>
      <c r="E129" s="7" t="n">
        <v>21460</v>
      </c>
      <c r="F129" s="7" t="n">
        <v>12800</v>
      </c>
      <c r="G129" s="8" t="n">
        <v>8660</v>
      </c>
      <c r="H129" s="7" t="s">
        <v>11</v>
      </c>
      <c r="I129" s="7" t="s">
        <v>12</v>
      </c>
      <c r="J129" s="0" t="s">
        <v>13</v>
      </c>
    </row>
    <row r="130" customFormat="false" ht="15" hidden="true" customHeight="false" outlineLevel="0" collapsed="false">
      <c r="A130" s="5" t="n">
        <v>44086</v>
      </c>
      <c r="B130" s="6" t="n">
        <v>0.250694444444444</v>
      </c>
      <c r="C130" s="7" t="n">
        <v>130148</v>
      </c>
      <c r="D130" s="7" t="s">
        <v>15</v>
      </c>
      <c r="E130" s="7" t="n">
        <v>27640</v>
      </c>
      <c r="F130" s="7" t="n">
        <v>16040</v>
      </c>
      <c r="G130" s="8" t="n">
        <v>11600</v>
      </c>
      <c r="H130" s="7" t="s">
        <v>11</v>
      </c>
      <c r="I130" s="7" t="s">
        <v>12</v>
      </c>
      <c r="J130" s="0" t="s">
        <v>13</v>
      </c>
    </row>
    <row r="131" customFormat="false" ht="15" hidden="true" customHeight="false" outlineLevel="0" collapsed="false">
      <c r="A131" s="5" t="n">
        <v>44086</v>
      </c>
      <c r="B131" s="6" t="n">
        <v>0.474305555555556</v>
      </c>
      <c r="C131" s="7" t="n">
        <v>106678</v>
      </c>
      <c r="D131" s="7" t="s">
        <v>15</v>
      </c>
      <c r="E131" s="7" t="n">
        <v>17000</v>
      </c>
      <c r="F131" s="7" t="n">
        <v>15980</v>
      </c>
      <c r="G131" s="8" t="n">
        <v>1020</v>
      </c>
      <c r="H131" s="7" t="s">
        <v>11</v>
      </c>
      <c r="I131" s="7" t="s">
        <v>17</v>
      </c>
      <c r="J131" s="0" t="s">
        <v>13</v>
      </c>
    </row>
    <row r="132" customFormat="false" ht="15" hidden="true" customHeight="false" outlineLevel="0" collapsed="false">
      <c r="A132" s="5" t="n">
        <v>44087</v>
      </c>
      <c r="B132" s="6" t="n">
        <v>0.670833333333333</v>
      </c>
      <c r="C132" s="7" t="n">
        <v>130180</v>
      </c>
      <c r="D132" s="7" t="s">
        <v>10</v>
      </c>
      <c r="E132" s="7" t="n">
        <v>13460</v>
      </c>
      <c r="F132" s="7" t="n">
        <v>12820</v>
      </c>
      <c r="G132" s="8" t="n">
        <v>640</v>
      </c>
      <c r="H132" s="7" t="s">
        <v>11</v>
      </c>
      <c r="I132" s="7" t="s">
        <v>12</v>
      </c>
      <c r="J132" s="0" t="s">
        <v>13</v>
      </c>
    </row>
    <row r="133" customFormat="false" ht="15" hidden="true" customHeight="false" outlineLevel="0" collapsed="false">
      <c r="A133" s="5" t="n">
        <v>44087</v>
      </c>
      <c r="B133" s="6" t="n">
        <v>0.477777777777778</v>
      </c>
      <c r="C133" s="7" t="n">
        <v>130179</v>
      </c>
      <c r="D133" s="7" t="s">
        <v>23</v>
      </c>
      <c r="E133" s="7" t="n">
        <v>18860</v>
      </c>
      <c r="F133" s="7" t="n">
        <v>12360</v>
      </c>
      <c r="G133" s="8" t="n">
        <v>6500</v>
      </c>
      <c r="H133" s="7" t="s">
        <v>11</v>
      </c>
      <c r="I133" s="7" t="s">
        <v>12</v>
      </c>
      <c r="J133" s="0" t="s">
        <v>13</v>
      </c>
    </row>
    <row r="134" customFormat="false" ht="15" hidden="true" customHeight="false" outlineLevel="0" collapsed="false">
      <c r="A134" s="5" t="n">
        <v>44087</v>
      </c>
      <c r="B134" s="6" t="n">
        <v>0.445138888888889</v>
      </c>
      <c r="C134" s="7" t="n">
        <v>130176</v>
      </c>
      <c r="D134" s="7" t="s">
        <v>10</v>
      </c>
      <c r="E134" s="7" t="n">
        <v>22160</v>
      </c>
      <c r="F134" s="7" t="n">
        <v>12880</v>
      </c>
      <c r="G134" s="8" t="n">
        <v>9280</v>
      </c>
      <c r="H134" s="7" t="s">
        <v>11</v>
      </c>
      <c r="I134" s="7" t="s">
        <v>12</v>
      </c>
      <c r="J134" s="0" t="s">
        <v>13</v>
      </c>
    </row>
    <row r="135" customFormat="false" ht="15" hidden="true" customHeight="false" outlineLevel="0" collapsed="false">
      <c r="A135" s="5" t="n">
        <v>44087</v>
      </c>
      <c r="B135" s="6" t="n">
        <v>0.459027777777778</v>
      </c>
      <c r="C135" s="7" t="n">
        <v>130178</v>
      </c>
      <c r="D135" s="7" t="s">
        <v>21</v>
      </c>
      <c r="E135" s="7" t="n">
        <v>3700</v>
      </c>
      <c r="F135" s="7" t="n">
        <v>2680</v>
      </c>
      <c r="G135" s="8" t="n">
        <v>1020</v>
      </c>
      <c r="H135" s="7" t="s">
        <v>11</v>
      </c>
      <c r="I135" s="7" t="s">
        <v>12</v>
      </c>
      <c r="J135" s="0" t="s">
        <v>13</v>
      </c>
    </row>
    <row r="136" customFormat="false" ht="15" hidden="true" customHeight="false" outlineLevel="0" collapsed="false">
      <c r="A136" s="5" t="n">
        <v>44087</v>
      </c>
      <c r="B136" s="6" t="n">
        <v>0.447222222222222</v>
      </c>
      <c r="C136" s="7" t="n">
        <v>130177</v>
      </c>
      <c r="D136" s="7" t="s">
        <v>15</v>
      </c>
      <c r="E136" s="7" t="n">
        <v>28560</v>
      </c>
      <c r="F136" s="7" t="n">
        <v>16140</v>
      </c>
      <c r="G136" s="8" t="n">
        <v>12420</v>
      </c>
      <c r="H136" s="7" t="s">
        <v>11</v>
      </c>
      <c r="I136" s="7" t="s">
        <v>12</v>
      </c>
      <c r="J136" s="0" t="s">
        <v>13</v>
      </c>
    </row>
    <row r="137" customFormat="false" ht="15" hidden="true" customHeight="false" outlineLevel="0" collapsed="false">
      <c r="A137" s="5" t="n">
        <v>44087</v>
      </c>
      <c r="B137" s="6" t="n">
        <v>0.854166666666667</v>
      </c>
      <c r="C137" s="7" t="n">
        <v>130181</v>
      </c>
      <c r="D137" s="7" t="s">
        <v>15</v>
      </c>
      <c r="E137" s="7" t="n">
        <v>24100</v>
      </c>
      <c r="F137" s="7" t="n">
        <v>16140</v>
      </c>
      <c r="G137" s="8" t="n">
        <v>7960</v>
      </c>
      <c r="H137" s="7" t="s">
        <v>11</v>
      </c>
      <c r="I137" s="7" t="s">
        <v>12</v>
      </c>
      <c r="J137" s="0" t="s">
        <v>13</v>
      </c>
    </row>
    <row r="138" customFormat="false" ht="15" hidden="true" customHeight="false" outlineLevel="0" collapsed="false">
      <c r="A138" s="5" t="n">
        <v>44087</v>
      </c>
      <c r="B138" s="6" t="n">
        <v>0.855555555555556</v>
      </c>
      <c r="C138" s="7" t="n">
        <v>130182</v>
      </c>
      <c r="D138" s="7" t="s">
        <v>18</v>
      </c>
      <c r="E138" s="7" t="n">
        <v>2600</v>
      </c>
      <c r="F138" s="7" t="n">
        <v>2400</v>
      </c>
      <c r="G138" s="8" t="n">
        <v>200</v>
      </c>
      <c r="H138" s="7" t="s">
        <v>11</v>
      </c>
      <c r="I138" s="7" t="s">
        <v>12</v>
      </c>
      <c r="J138" s="0" t="s">
        <v>13</v>
      </c>
    </row>
    <row r="139" customFormat="false" ht="15" hidden="true" customHeight="false" outlineLevel="0" collapsed="false">
      <c r="A139" s="5" t="n">
        <v>44088</v>
      </c>
      <c r="B139" s="6" t="n">
        <v>0.0930555555555556</v>
      </c>
      <c r="C139" s="7" t="n">
        <v>130184</v>
      </c>
      <c r="D139" s="7" t="s">
        <v>10</v>
      </c>
      <c r="E139" s="7" t="n">
        <v>21400</v>
      </c>
      <c r="F139" s="7" t="n">
        <v>12820</v>
      </c>
      <c r="G139" s="8" t="n">
        <v>8580</v>
      </c>
      <c r="H139" s="7" t="s">
        <v>11</v>
      </c>
      <c r="I139" s="7" t="s">
        <v>12</v>
      </c>
      <c r="J139" s="0" t="s">
        <v>13</v>
      </c>
    </row>
    <row r="140" customFormat="false" ht="15" hidden="true" customHeight="false" outlineLevel="0" collapsed="false">
      <c r="A140" s="5" t="n">
        <v>44088</v>
      </c>
      <c r="B140" s="6" t="n">
        <v>0.284027777777778</v>
      </c>
      <c r="C140" s="7" t="n">
        <v>130201</v>
      </c>
      <c r="D140" s="7" t="s">
        <v>15</v>
      </c>
      <c r="E140" s="7" t="n">
        <v>21320</v>
      </c>
      <c r="F140" s="7" t="n">
        <v>15880</v>
      </c>
      <c r="G140" s="8" t="n">
        <v>5440</v>
      </c>
      <c r="H140" s="7" t="s">
        <v>11</v>
      </c>
      <c r="I140" s="7" t="s">
        <v>12</v>
      </c>
      <c r="J140" s="0" t="s">
        <v>13</v>
      </c>
    </row>
    <row r="141" customFormat="false" ht="15" hidden="true" customHeight="false" outlineLevel="0" collapsed="false">
      <c r="A141" s="5" t="n">
        <v>44088</v>
      </c>
      <c r="B141" s="6" t="n">
        <v>0.182638888888889</v>
      </c>
      <c r="C141" s="7" t="n">
        <v>130190</v>
      </c>
      <c r="D141" s="7" t="s">
        <v>15</v>
      </c>
      <c r="E141" s="7" t="n">
        <v>24240</v>
      </c>
      <c r="F141" s="7" t="n">
        <v>15900</v>
      </c>
      <c r="G141" s="8" t="n">
        <v>8340</v>
      </c>
      <c r="H141" s="7" t="s">
        <v>11</v>
      </c>
      <c r="I141" s="7" t="s">
        <v>12</v>
      </c>
      <c r="J141" s="0" t="s">
        <v>13</v>
      </c>
    </row>
    <row r="142" customFormat="false" ht="15" hidden="true" customHeight="false" outlineLevel="0" collapsed="false">
      <c r="A142" s="5" t="n">
        <v>44088</v>
      </c>
      <c r="B142" s="6" t="n">
        <v>0.268055555555556</v>
      </c>
      <c r="C142" s="7" t="n">
        <v>130198</v>
      </c>
      <c r="D142" s="7" t="s">
        <v>10</v>
      </c>
      <c r="E142" s="7" t="n">
        <v>15820</v>
      </c>
      <c r="F142" s="7" t="n">
        <v>12960</v>
      </c>
      <c r="G142" s="8" t="n">
        <v>2860</v>
      </c>
      <c r="H142" s="7" t="s">
        <v>11</v>
      </c>
      <c r="I142" s="7" t="s">
        <v>12</v>
      </c>
      <c r="J142" s="0" t="s">
        <v>13</v>
      </c>
    </row>
    <row r="143" customFormat="false" ht="15" hidden="true" customHeight="false" outlineLevel="0" collapsed="false">
      <c r="A143" s="5" t="n">
        <v>44088</v>
      </c>
      <c r="B143" s="6" t="n">
        <v>0.205555555555556</v>
      </c>
      <c r="C143" s="7" t="n">
        <v>130191</v>
      </c>
      <c r="D143" s="7" t="s">
        <v>21</v>
      </c>
      <c r="E143" s="7" t="n">
        <v>3500</v>
      </c>
      <c r="F143" s="7" t="n">
        <v>2700</v>
      </c>
      <c r="G143" s="8" t="n">
        <v>800</v>
      </c>
      <c r="H143" s="7" t="s">
        <v>11</v>
      </c>
      <c r="I143" s="7" t="s">
        <v>12</v>
      </c>
      <c r="J143" s="0" t="s">
        <v>13</v>
      </c>
    </row>
    <row r="144" customFormat="false" ht="15" hidden="true" customHeight="false" outlineLevel="0" collapsed="false">
      <c r="A144" s="5" t="n">
        <v>44088</v>
      </c>
      <c r="B144" s="6" t="n">
        <v>0.799305555555556</v>
      </c>
      <c r="C144" s="7" t="n">
        <v>130233</v>
      </c>
      <c r="D144" s="7" t="s">
        <v>15</v>
      </c>
      <c r="E144" s="7" t="n">
        <v>19420</v>
      </c>
      <c r="F144" s="7" t="n">
        <v>15940</v>
      </c>
      <c r="G144" s="8" t="n">
        <v>3480</v>
      </c>
      <c r="H144" s="7" t="s">
        <v>11</v>
      </c>
      <c r="I144" s="7" t="s">
        <v>12</v>
      </c>
      <c r="J144" s="0" t="s">
        <v>13</v>
      </c>
    </row>
    <row r="145" customFormat="false" ht="15" hidden="true" customHeight="false" outlineLevel="0" collapsed="false">
      <c r="A145" s="5" t="n">
        <v>44088</v>
      </c>
      <c r="B145" s="6" t="n">
        <v>0.863194444444444</v>
      </c>
      <c r="C145" s="7" t="n">
        <v>130234</v>
      </c>
      <c r="D145" s="7" t="s">
        <v>18</v>
      </c>
      <c r="E145" s="7" t="n">
        <v>2440</v>
      </c>
      <c r="F145" s="7" t="n">
        <v>2380</v>
      </c>
      <c r="G145" s="8" t="n">
        <v>60</v>
      </c>
      <c r="H145" s="7" t="s">
        <v>11</v>
      </c>
      <c r="I145" s="7" t="s">
        <v>12</v>
      </c>
      <c r="J145" s="0" t="s">
        <v>13</v>
      </c>
    </row>
    <row r="146" customFormat="false" ht="15" hidden="true" customHeight="false" outlineLevel="0" collapsed="false">
      <c r="A146" s="5" t="n">
        <v>44088</v>
      </c>
      <c r="B146" s="6" t="n">
        <v>0.39375</v>
      </c>
      <c r="C146" s="7" t="n">
        <v>130212</v>
      </c>
      <c r="D146" s="7" t="s">
        <v>23</v>
      </c>
      <c r="E146" s="7" t="n">
        <v>13980</v>
      </c>
      <c r="F146" s="7" t="n">
        <v>12580</v>
      </c>
      <c r="G146" s="8" t="n">
        <v>1400</v>
      </c>
      <c r="H146" s="7" t="s">
        <v>11</v>
      </c>
      <c r="I146" s="7" t="s">
        <v>12</v>
      </c>
      <c r="J146" s="0" t="s">
        <v>13</v>
      </c>
    </row>
    <row r="147" customFormat="false" ht="15" hidden="true" customHeight="false" outlineLevel="0" collapsed="false">
      <c r="A147" s="5" t="n">
        <v>44088</v>
      </c>
      <c r="B147" s="6" t="n">
        <v>0.366666666666667</v>
      </c>
      <c r="C147" s="7" t="n">
        <v>130210</v>
      </c>
      <c r="D147" s="7" t="s">
        <v>18</v>
      </c>
      <c r="E147" s="7" t="n">
        <v>2600</v>
      </c>
      <c r="F147" s="7" t="n">
        <v>2360</v>
      </c>
      <c r="G147" s="8" t="n">
        <v>240</v>
      </c>
      <c r="H147" s="7" t="s">
        <v>11</v>
      </c>
      <c r="I147" s="7" t="s">
        <v>12</v>
      </c>
      <c r="J147" s="0" t="s">
        <v>13</v>
      </c>
    </row>
    <row r="148" customFormat="false" ht="15" hidden="true" customHeight="false" outlineLevel="0" collapsed="false">
      <c r="A148" s="5" t="n">
        <v>44088</v>
      </c>
      <c r="B148" s="6" t="n">
        <v>0.513888888888889</v>
      </c>
      <c r="C148" s="7" t="n">
        <v>130222</v>
      </c>
      <c r="D148" s="7" t="s">
        <v>18</v>
      </c>
      <c r="E148" s="7" t="n">
        <v>2560</v>
      </c>
      <c r="F148" s="7" t="n">
        <v>2340</v>
      </c>
      <c r="G148" s="8" t="n">
        <v>220</v>
      </c>
      <c r="H148" s="7" t="s">
        <v>11</v>
      </c>
      <c r="I148" s="7" t="s">
        <v>12</v>
      </c>
      <c r="J148" s="0" t="s">
        <v>13</v>
      </c>
    </row>
    <row r="149" customFormat="false" ht="15" hidden="true" customHeight="false" outlineLevel="0" collapsed="false">
      <c r="A149" s="5" t="n">
        <v>44088</v>
      </c>
      <c r="B149" s="6" t="n">
        <v>0.672916666666667</v>
      </c>
      <c r="C149" s="7" t="n">
        <v>130232</v>
      </c>
      <c r="D149" s="7" t="s">
        <v>10</v>
      </c>
      <c r="E149" s="7" t="n">
        <v>14100</v>
      </c>
      <c r="F149" s="7" t="n">
        <v>12740</v>
      </c>
      <c r="G149" s="8" t="n">
        <v>1360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44088</v>
      </c>
      <c r="B150" s="6" t="n">
        <v>0.472222222222222</v>
      </c>
      <c r="C150" s="7" t="n">
        <v>759</v>
      </c>
      <c r="D150" s="7" t="s">
        <v>15</v>
      </c>
      <c r="E150" s="7" t="n">
        <v>17140</v>
      </c>
      <c r="F150" s="7" t="n">
        <v>15700</v>
      </c>
      <c r="G150" s="8" t="n">
        <v>1440</v>
      </c>
      <c r="H150" s="7" t="s">
        <v>11</v>
      </c>
      <c r="I150" s="7" t="s">
        <v>25</v>
      </c>
      <c r="J150" s="0" t="s">
        <v>13</v>
      </c>
    </row>
    <row r="151" customFormat="false" ht="15" hidden="true" customHeight="false" outlineLevel="0" collapsed="false">
      <c r="A151" s="5" t="n">
        <v>44088</v>
      </c>
      <c r="B151" s="6" t="n">
        <v>0.520833333333333</v>
      </c>
      <c r="C151" s="7" t="n">
        <v>106717</v>
      </c>
      <c r="D151" s="7" t="s">
        <v>27</v>
      </c>
      <c r="E151" s="7" t="n">
        <v>17660</v>
      </c>
      <c r="F151" s="7" t="n">
        <v>15860</v>
      </c>
      <c r="G151" s="8" t="n">
        <v>1800</v>
      </c>
      <c r="H151" s="7" t="s">
        <v>11</v>
      </c>
      <c r="I151" s="7" t="s">
        <v>17</v>
      </c>
      <c r="J151" s="0" t="s">
        <v>13</v>
      </c>
    </row>
    <row r="152" customFormat="false" ht="15" hidden="true" customHeight="false" outlineLevel="0" collapsed="false">
      <c r="A152" s="5" t="n">
        <v>44089</v>
      </c>
      <c r="B152" s="6" t="n">
        <v>0.284027777777778</v>
      </c>
      <c r="C152" s="7" t="n">
        <v>130253</v>
      </c>
      <c r="D152" s="7" t="s">
        <v>16</v>
      </c>
      <c r="E152" s="7" t="n">
        <v>25420</v>
      </c>
      <c r="F152" s="7" t="n">
        <v>16120</v>
      </c>
      <c r="G152" s="8" t="n">
        <v>9300</v>
      </c>
      <c r="H152" s="7" t="s">
        <v>11</v>
      </c>
      <c r="I152" s="7" t="s">
        <v>12</v>
      </c>
      <c r="J152" s="0" t="s">
        <v>13</v>
      </c>
    </row>
    <row r="153" customFormat="false" ht="15" hidden="true" customHeight="false" outlineLevel="0" collapsed="false">
      <c r="A153" s="5" t="n">
        <v>44089</v>
      </c>
      <c r="B153" s="6" t="n">
        <v>0.259027777777778</v>
      </c>
      <c r="C153" s="7" t="n">
        <v>130249</v>
      </c>
      <c r="D153" s="7" t="s">
        <v>14</v>
      </c>
      <c r="E153" s="7" t="n">
        <v>4360</v>
      </c>
      <c r="F153" s="7" t="n">
        <v>3720</v>
      </c>
      <c r="G153" s="8" t="n">
        <v>640</v>
      </c>
      <c r="H153" s="7" t="s">
        <v>11</v>
      </c>
      <c r="I153" s="7" t="s">
        <v>12</v>
      </c>
      <c r="J153" s="0" t="s">
        <v>13</v>
      </c>
    </row>
    <row r="154" customFormat="false" ht="15" hidden="true" customHeight="false" outlineLevel="0" collapsed="false">
      <c r="A154" s="5" t="n">
        <v>44089</v>
      </c>
      <c r="B154" s="6" t="n">
        <v>0.132638888888889</v>
      </c>
      <c r="C154" s="7" t="n">
        <v>130240</v>
      </c>
      <c r="D154" s="7" t="s">
        <v>10</v>
      </c>
      <c r="E154" s="7" t="n">
        <v>22420</v>
      </c>
      <c r="F154" s="7" t="n">
        <v>12900</v>
      </c>
      <c r="G154" s="8" t="n">
        <v>9520</v>
      </c>
      <c r="H154" s="7" t="s">
        <v>11</v>
      </c>
      <c r="I154" s="7" t="s">
        <v>12</v>
      </c>
      <c r="J154" s="0" t="s">
        <v>13</v>
      </c>
    </row>
    <row r="155" customFormat="false" ht="15" hidden="true" customHeight="false" outlineLevel="0" collapsed="false">
      <c r="A155" s="5" t="n">
        <v>44089</v>
      </c>
      <c r="B155" s="6" t="n">
        <v>0.502083333333333</v>
      </c>
      <c r="C155" s="7" t="n">
        <v>106777</v>
      </c>
      <c r="D155" s="7" t="s">
        <v>16</v>
      </c>
      <c r="E155" s="7" t="n">
        <v>17360</v>
      </c>
      <c r="F155" s="7" t="n">
        <v>16060</v>
      </c>
      <c r="G155" s="8" t="n">
        <v>1300</v>
      </c>
      <c r="H155" s="7" t="s">
        <v>11</v>
      </c>
      <c r="I155" s="7" t="s">
        <v>17</v>
      </c>
      <c r="J155" s="0" t="s">
        <v>13</v>
      </c>
    </row>
    <row r="156" customFormat="false" ht="15" hidden="true" customHeight="false" outlineLevel="0" collapsed="false">
      <c r="A156" s="5" t="n">
        <v>44089</v>
      </c>
      <c r="B156" s="6" t="n">
        <v>0.364583333333333</v>
      </c>
      <c r="C156" s="7" t="n">
        <v>130262</v>
      </c>
      <c r="D156" s="7" t="s">
        <v>18</v>
      </c>
      <c r="E156" s="7" t="n">
        <v>2620</v>
      </c>
      <c r="F156" s="7" t="n">
        <v>2380</v>
      </c>
      <c r="G156" s="8" t="n">
        <v>240</v>
      </c>
      <c r="H156" s="7" t="s">
        <v>11</v>
      </c>
      <c r="I156" s="7" t="s">
        <v>12</v>
      </c>
      <c r="J156" s="0" t="s">
        <v>13</v>
      </c>
    </row>
    <row r="157" customFormat="false" ht="15" hidden="true" customHeight="false" outlineLevel="0" collapsed="false">
      <c r="A157" s="5" t="n">
        <v>44089</v>
      </c>
      <c r="B157" s="6" t="n">
        <v>0.8375</v>
      </c>
      <c r="C157" s="7" t="n">
        <v>130287</v>
      </c>
      <c r="D157" s="7" t="s">
        <v>16</v>
      </c>
      <c r="E157" s="7" t="n">
        <v>20880</v>
      </c>
      <c r="F157" s="7" t="n">
        <v>16080</v>
      </c>
      <c r="G157" s="8" t="n">
        <v>4800</v>
      </c>
      <c r="H157" s="7" t="s">
        <v>11</v>
      </c>
      <c r="I157" s="7" t="s">
        <v>12</v>
      </c>
      <c r="J157" s="0" t="s">
        <v>13</v>
      </c>
    </row>
    <row r="158" customFormat="false" ht="15" hidden="true" customHeight="false" outlineLevel="0" collapsed="false">
      <c r="A158" s="5" t="n">
        <v>44089</v>
      </c>
      <c r="B158" s="6" t="n">
        <v>0.519444444444444</v>
      </c>
      <c r="C158" s="7" t="n">
        <v>130274</v>
      </c>
      <c r="D158" s="7" t="s">
        <v>18</v>
      </c>
      <c r="E158" s="7" t="n">
        <v>2660</v>
      </c>
      <c r="F158" s="7" t="n">
        <v>2380</v>
      </c>
      <c r="G158" s="8" t="n">
        <v>280</v>
      </c>
      <c r="H158" s="7" t="s">
        <v>11</v>
      </c>
      <c r="I158" s="7" t="s">
        <v>12</v>
      </c>
      <c r="J158" s="0" t="s">
        <v>13</v>
      </c>
    </row>
    <row r="159" customFormat="false" ht="15" hidden="true" customHeight="false" outlineLevel="0" collapsed="false">
      <c r="A159" s="5" t="n">
        <v>44089</v>
      </c>
      <c r="B159" s="6" t="n">
        <v>0.665277777777778</v>
      </c>
      <c r="C159" s="7" t="n">
        <v>130284</v>
      </c>
      <c r="D159" s="7" t="s">
        <v>10</v>
      </c>
      <c r="E159" s="7" t="n">
        <v>13860</v>
      </c>
      <c r="F159" s="7" t="n">
        <v>12840</v>
      </c>
      <c r="G159" s="8" t="n">
        <v>1020</v>
      </c>
      <c r="H159" s="7" t="s">
        <v>11</v>
      </c>
      <c r="I159" s="7" t="s">
        <v>12</v>
      </c>
      <c r="J159" s="0" t="s">
        <v>13</v>
      </c>
    </row>
    <row r="160" customFormat="false" ht="15" hidden="true" customHeight="false" outlineLevel="0" collapsed="false">
      <c r="A160" s="5" t="n">
        <v>44090</v>
      </c>
      <c r="B160" s="6" t="n">
        <v>0.277777777777778</v>
      </c>
      <c r="C160" s="7" t="n">
        <v>130305</v>
      </c>
      <c r="D160" s="7" t="s">
        <v>16</v>
      </c>
      <c r="E160" s="7" t="n">
        <v>24500</v>
      </c>
      <c r="F160" s="7" t="n">
        <v>16060</v>
      </c>
      <c r="G160" s="8" t="n">
        <v>8440</v>
      </c>
      <c r="H160" s="7" t="s">
        <v>11</v>
      </c>
      <c r="I160" s="7" t="s">
        <v>12</v>
      </c>
      <c r="J160" s="0" t="s">
        <v>13</v>
      </c>
    </row>
    <row r="161" customFormat="false" ht="15" hidden="true" customHeight="false" outlineLevel="0" collapsed="false">
      <c r="A161" s="5" t="n">
        <v>44090</v>
      </c>
      <c r="B161" s="6" t="n">
        <v>0.261805555555556</v>
      </c>
      <c r="C161" s="7" t="n">
        <v>130301</v>
      </c>
      <c r="D161" s="7" t="s">
        <v>14</v>
      </c>
      <c r="E161" s="7" t="n">
        <v>4420</v>
      </c>
      <c r="F161" s="7" t="n">
        <v>3760</v>
      </c>
      <c r="G161" s="8" t="n">
        <v>660</v>
      </c>
      <c r="H161" s="7" t="s">
        <v>11</v>
      </c>
      <c r="I161" s="7" t="s">
        <v>12</v>
      </c>
      <c r="J161" s="0" t="s">
        <v>13</v>
      </c>
    </row>
    <row r="162" customFormat="false" ht="15" hidden="true" customHeight="false" outlineLevel="0" collapsed="false">
      <c r="A162" s="5" t="n">
        <v>44090</v>
      </c>
      <c r="B162" s="6" t="n">
        <v>0.134027777777778</v>
      </c>
      <c r="C162" s="7" t="n">
        <v>130293</v>
      </c>
      <c r="D162" s="7" t="s">
        <v>10</v>
      </c>
      <c r="E162" s="7" t="n">
        <v>23080</v>
      </c>
      <c r="F162" s="7" t="n">
        <v>13040</v>
      </c>
      <c r="G162" s="8" t="n">
        <v>10040</v>
      </c>
      <c r="H162" s="7" t="s">
        <v>11</v>
      </c>
      <c r="I162" s="7" t="s">
        <v>12</v>
      </c>
      <c r="J162" s="0" t="s">
        <v>13</v>
      </c>
    </row>
    <row r="163" customFormat="false" ht="15" hidden="true" customHeight="false" outlineLevel="0" collapsed="false">
      <c r="A163" s="5" t="n">
        <v>44090</v>
      </c>
      <c r="B163" s="6" t="n">
        <v>0.394444444444444</v>
      </c>
      <c r="C163" s="7" t="n">
        <v>130316</v>
      </c>
      <c r="D163" s="7" t="s">
        <v>23</v>
      </c>
      <c r="E163" s="7" t="n">
        <v>13880</v>
      </c>
      <c r="F163" s="7" t="n">
        <v>12520</v>
      </c>
      <c r="G163" s="8" t="n">
        <v>1360</v>
      </c>
      <c r="H163" s="7" t="s">
        <v>11</v>
      </c>
      <c r="I163" s="7" t="s">
        <v>12</v>
      </c>
      <c r="J163" s="0" t="s">
        <v>13</v>
      </c>
    </row>
    <row r="164" customFormat="false" ht="15" hidden="true" customHeight="false" outlineLevel="0" collapsed="false">
      <c r="A164" s="5" t="n">
        <v>44090</v>
      </c>
      <c r="B164" s="6" t="n">
        <v>0.536805555555556</v>
      </c>
      <c r="C164" s="7" t="n">
        <v>130328</v>
      </c>
      <c r="D164" s="7" t="s">
        <v>18</v>
      </c>
      <c r="E164" s="7" t="n">
        <v>2580</v>
      </c>
      <c r="F164" s="7" t="n">
        <v>2360</v>
      </c>
      <c r="G164" s="8" t="n">
        <v>220</v>
      </c>
      <c r="H164" s="7" t="s">
        <v>11</v>
      </c>
      <c r="I164" s="7" t="s">
        <v>12</v>
      </c>
      <c r="J164" s="0" t="s">
        <v>13</v>
      </c>
    </row>
    <row r="165" customFormat="false" ht="15" hidden="true" customHeight="false" outlineLevel="0" collapsed="false">
      <c r="A165" s="5" t="n">
        <v>44091</v>
      </c>
      <c r="B165" s="6" t="n">
        <v>0.260416666666667</v>
      </c>
      <c r="C165" s="7" t="n">
        <v>130353</v>
      </c>
      <c r="D165" s="7" t="s">
        <v>10</v>
      </c>
      <c r="E165" s="7" t="n">
        <v>21620</v>
      </c>
      <c r="F165" s="7" t="n">
        <v>12860</v>
      </c>
      <c r="G165" s="8" t="n">
        <v>8760</v>
      </c>
      <c r="H165" s="7" t="s">
        <v>11</v>
      </c>
      <c r="I165" s="7" t="s">
        <v>12</v>
      </c>
      <c r="J165" s="0" t="s">
        <v>13</v>
      </c>
    </row>
    <row r="166" customFormat="false" ht="15" hidden="true" customHeight="false" outlineLevel="0" collapsed="false">
      <c r="A166" s="5" t="n">
        <v>44091</v>
      </c>
      <c r="B166" s="6" t="n">
        <v>0.259027777777778</v>
      </c>
      <c r="C166" s="7" t="n">
        <v>130352</v>
      </c>
      <c r="D166" s="7" t="s">
        <v>14</v>
      </c>
      <c r="E166" s="7" t="n">
        <v>4380</v>
      </c>
      <c r="F166" s="7" t="n">
        <v>3660</v>
      </c>
      <c r="G166" s="8" t="n">
        <v>720</v>
      </c>
      <c r="H166" s="7" t="s">
        <v>11</v>
      </c>
      <c r="I166" s="7" t="s">
        <v>12</v>
      </c>
      <c r="J166" s="0" t="s">
        <v>13</v>
      </c>
    </row>
    <row r="167" customFormat="false" ht="15" hidden="true" customHeight="false" outlineLevel="0" collapsed="false">
      <c r="A167" s="5" t="n">
        <v>44091</v>
      </c>
      <c r="B167" s="6" t="n">
        <v>0.282638888888889</v>
      </c>
      <c r="C167" s="7" t="n">
        <v>130356</v>
      </c>
      <c r="D167" s="7" t="s">
        <v>15</v>
      </c>
      <c r="E167" s="7" t="n">
        <v>25460</v>
      </c>
      <c r="F167" s="7" t="n">
        <v>15820</v>
      </c>
      <c r="G167" s="8" t="n">
        <v>9640</v>
      </c>
      <c r="H167" s="7" t="s">
        <v>11</v>
      </c>
      <c r="I167" s="7" t="s">
        <v>12</v>
      </c>
      <c r="J167" s="0" t="s">
        <v>13</v>
      </c>
    </row>
    <row r="168" customFormat="false" ht="15" hidden="true" customHeight="false" outlineLevel="0" collapsed="false">
      <c r="A168" s="5" t="n">
        <v>44090</v>
      </c>
      <c r="B168" s="6" t="n">
        <v>0.365277777777778</v>
      </c>
      <c r="C168" s="7" t="n">
        <v>130312</v>
      </c>
      <c r="D168" s="7" t="s">
        <v>18</v>
      </c>
      <c r="E168" s="7" t="n">
        <v>2540</v>
      </c>
      <c r="F168" s="7" t="n">
        <v>2360</v>
      </c>
      <c r="G168" s="8" t="n">
        <v>180</v>
      </c>
      <c r="H168" s="7" t="s">
        <v>11</v>
      </c>
      <c r="I168" s="7" t="s">
        <v>12</v>
      </c>
      <c r="J168" s="0" t="s">
        <v>13</v>
      </c>
    </row>
    <row r="169" customFormat="false" ht="15" hidden="true" customHeight="false" outlineLevel="0" collapsed="false">
      <c r="A169" s="5" t="n">
        <v>44091</v>
      </c>
      <c r="B169" s="6" t="n">
        <v>0.371527777777778</v>
      </c>
      <c r="C169" s="7" t="n">
        <v>130364</v>
      </c>
      <c r="D169" s="7" t="s">
        <v>18</v>
      </c>
      <c r="E169" s="7" t="n">
        <v>2540</v>
      </c>
      <c r="F169" s="7" t="n">
        <v>2360</v>
      </c>
      <c r="G169" s="8" t="n">
        <v>180</v>
      </c>
      <c r="H169" s="7" t="s">
        <v>11</v>
      </c>
      <c r="I169" s="7" t="s">
        <v>12</v>
      </c>
      <c r="J169" s="0" t="s">
        <v>13</v>
      </c>
    </row>
    <row r="170" customFormat="false" ht="15" hidden="true" customHeight="false" outlineLevel="0" collapsed="false">
      <c r="A170" s="5" t="n">
        <v>44091</v>
      </c>
      <c r="B170" s="6" t="n">
        <v>0.5125</v>
      </c>
      <c r="C170" s="7" t="n">
        <v>130375</v>
      </c>
      <c r="D170" s="7" t="s">
        <v>18</v>
      </c>
      <c r="E170" s="7" t="n">
        <v>2540</v>
      </c>
      <c r="F170" s="7" t="n">
        <v>2340</v>
      </c>
      <c r="G170" s="8" t="n">
        <v>200</v>
      </c>
      <c r="H170" s="7" t="s">
        <v>11</v>
      </c>
      <c r="I170" s="7" t="s">
        <v>12</v>
      </c>
      <c r="J170" s="0" t="s">
        <v>13</v>
      </c>
    </row>
    <row r="171" customFormat="false" ht="13.8" hidden="true" customHeight="false" outlineLevel="0" collapsed="false">
      <c r="A171" s="5" t="n">
        <v>44092</v>
      </c>
      <c r="B171" s="6" t="n">
        <v>0.247916666666667</v>
      </c>
      <c r="C171" s="7" t="n">
        <v>130396</v>
      </c>
      <c r="D171" s="7" t="s">
        <v>15</v>
      </c>
      <c r="E171" s="7" t="n">
        <v>24500</v>
      </c>
      <c r="F171" s="7" t="n">
        <v>15780</v>
      </c>
      <c r="G171" s="8" t="n">
        <v>8720</v>
      </c>
      <c r="H171" s="7" t="s">
        <v>11</v>
      </c>
      <c r="I171" s="7" t="s">
        <v>12</v>
      </c>
      <c r="J171" s="0" t="s">
        <v>13</v>
      </c>
    </row>
    <row r="172" customFormat="false" ht="13.8" hidden="true" customHeight="false" outlineLevel="0" collapsed="false">
      <c r="A172" s="5" t="n">
        <v>44092</v>
      </c>
      <c r="B172" s="6" t="n">
        <v>0.397916666666667</v>
      </c>
      <c r="C172" s="7" t="n">
        <v>130409</v>
      </c>
      <c r="D172" s="7" t="s">
        <v>23</v>
      </c>
      <c r="E172" s="7" t="n">
        <v>15540</v>
      </c>
      <c r="F172" s="7" t="n">
        <v>12460</v>
      </c>
      <c r="G172" s="8" t="n">
        <v>3080</v>
      </c>
      <c r="H172" s="7" t="s">
        <v>11</v>
      </c>
      <c r="I172" s="7" t="s">
        <v>12</v>
      </c>
      <c r="J172" s="0" t="s">
        <v>13</v>
      </c>
    </row>
    <row r="173" customFormat="false" ht="13.8" hidden="true" customHeight="false" outlineLevel="0" collapsed="false">
      <c r="A173" s="5" t="n">
        <v>44092</v>
      </c>
      <c r="B173" s="6" t="n">
        <v>0.168055555555556</v>
      </c>
      <c r="C173" s="7" t="n">
        <v>130392</v>
      </c>
      <c r="D173" s="7" t="s">
        <v>16</v>
      </c>
      <c r="E173" s="7" t="n">
        <v>23260</v>
      </c>
      <c r="F173" s="7" t="n">
        <v>16020</v>
      </c>
      <c r="G173" s="8" t="n">
        <v>7240</v>
      </c>
      <c r="H173" s="7" t="s">
        <v>11</v>
      </c>
      <c r="I173" s="7" t="s">
        <v>12</v>
      </c>
      <c r="J173" s="0" t="s">
        <v>13</v>
      </c>
    </row>
    <row r="174" customFormat="false" ht="13.8" hidden="true" customHeight="false" outlineLevel="0" collapsed="false">
      <c r="A174" s="5" t="n">
        <v>44092</v>
      </c>
      <c r="B174" s="6" t="n">
        <v>0.257638888888889</v>
      </c>
      <c r="C174" s="7" t="n">
        <v>130399</v>
      </c>
      <c r="D174" s="7" t="s">
        <v>14</v>
      </c>
      <c r="E174" s="7" t="n">
        <v>4440</v>
      </c>
      <c r="F174" s="7" t="n">
        <v>3740</v>
      </c>
      <c r="G174" s="8" t="n">
        <v>700</v>
      </c>
      <c r="H174" s="7" t="s">
        <v>11</v>
      </c>
      <c r="I174" s="7" t="s">
        <v>12</v>
      </c>
      <c r="J174" s="0" t="s">
        <v>13</v>
      </c>
    </row>
    <row r="175" customFormat="false" ht="13.8" hidden="true" customHeight="false" outlineLevel="0" collapsed="false">
      <c r="A175" s="5" t="n">
        <v>44092</v>
      </c>
      <c r="B175" s="6" t="n">
        <v>0.113194444444444</v>
      </c>
      <c r="C175" s="7" t="n">
        <v>130387</v>
      </c>
      <c r="D175" s="7" t="s">
        <v>10</v>
      </c>
      <c r="E175" s="7" t="n">
        <v>21840</v>
      </c>
      <c r="F175" s="7" t="n">
        <v>12820</v>
      </c>
      <c r="G175" s="8" t="n">
        <v>9020</v>
      </c>
      <c r="H175" s="7" t="s">
        <v>11</v>
      </c>
      <c r="I175" s="7" t="s">
        <v>12</v>
      </c>
      <c r="J175" s="0" t="s">
        <v>13</v>
      </c>
    </row>
    <row r="176" customFormat="false" ht="13.8" hidden="true" customHeight="false" outlineLevel="0" collapsed="false">
      <c r="A176" s="5" t="n">
        <v>44092</v>
      </c>
      <c r="B176" s="6" t="n">
        <v>0.514583333333333</v>
      </c>
      <c r="C176" s="7" t="n">
        <v>106993</v>
      </c>
      <c r="D176" s="7" t="s">
        <v>26</v>
      </c>
      <c r="E176" s="7" t="n">
        <v>6280</v>
      </c>
      <c r="F176" s="7" t="n">
        <v>5700</v>
      </c>
      <c r="G176" s="8" t="n">
        <v>580</v>
      </c>
      <c r="H176" s="7" t="s">
        <v>11</v>
      </c>
      <c r="I176" s="7" t="s">
        <v>20</v>
      </c>
      <c r="J176" s="0" t="s">
        <v>13</v>
      </c>
    </row>
    <row r="177" customFormat="false" ht="13.8" hidden="true" customHeight="false" outlineLevel="0" collapsed="false">
      <c r="A177" s="5" t="n">
        <v>44092</v>
      </c>
      <c r="B177" s="6" t="n">
        <v>0.471527777777778</v>
      </c>
      <c r="C177" s="7" t="n">
        <v>106981</v>
      </c>
      <c r="D177" s="7" t="s">
        <v>27</v>
      </c>
      <c r="E177" s="7" t="n">
        <v>16600</v>
      </c>
      <c r="F177" s="7" t="n">
        <v>16040</v>
      </c>
      <c r="G177" s="8" t="n">
        <v>560</v>
      </c>
      <c r="H177" s="7" t="s">
        <v>11</v>
      </c>
      <c r="I177" s="7" t="s">
        <v>20</v>
      </c>
      <c r="J177" s="0" t="s">
        <v>13</v>
      </c>
    </row>
    <row r="178" customFormat="false" ht="13.8" hidden="true" customHeight="false" outlineLevel="0" collapsed="false">
      <c r="A178" s="5" t="n">
        <v>44092</v>
      </c>
      <c r="B178" s="6" t="n">
        <v>0.476388888888889</v>
      </c>
      <c r="C178" s="7" t="n">
        <v>106982</v>
      </c>
      <c r="D178" s="7" t="s">
        <v>27</v>
      </c>
      <c r="E178" s="7" t="n">
        <v>16640</v>
      </c>
      <c r="F178" s="7" t="n">
        <v>16040</v>
      </c>
      <c r="G178" s="8" t="n">
        <v>600</v>
      </c>
      <c r="H178" s="7" t="s">
        <v>11</v>
      </c>
      <c r="I178" s="7" t="s">
        <v>20</v>
      </c>
      <c r="J178" s="0" t="s">
        <v>13</v>
      </c>
    </row>
    <row r="179" customFormat="false" ht="13.8" hidden="true" customHeight="false" outlineLevel="0" collapsed="false">
      <c r="A179" s="5" t="n">
        <v>44092</v>
      </c>
      <c r="B179" s="6" t="n">
        <v>0.454166666666667</v>
      </c>
      <c r="C179" s="7" t="n">
        <v>130411</v>
      </c>
      <c r="D179" s="7" t="s">
        <v>18</v>
      </c>
      <c r="E179" s="7" t="n">
        <v>2740</v>
      </c>
      <c r="F179" s="7" t="n">
        <v>2500</v>
      </c>
      <c r="G179" s="8" t="n">
        <v>240</v>
      </c>
      <c r="H179" s="7" t="s">
        <v>11</v>
      </c>
      <c r="I179" s="7" t="s">
        <v>12</v>
      </c>
      <c r="J179" s="0" t="s">
        <v>13</v>
      </c>
    </row>
    <row r="180" customFormat="false" ht="13.8" hidden="true" customHeight="false" outlineLevel="0" collapsed="false">
      <c r="A180" s="5" t="n">
        <v>44092</v>
      </c>
      <c r="B180" s="6" t="n">
        <v>0.438194444444444</v>
      </c>
      <c r="C180" s="7" t="n">
        <v>106974</v>
      </c>
      <c r="D180" s="7" t="s">
        <v>21</v>
      </c>
      <c r="E180" s="7" t="n">
        <v>3040</v>
      </c>
      <c r="F180" s="7" t="n">
        <v>2820</v>
      </c>
      <c r="G180" s="8" t="n">
        <v>220</v>
      </c>
      <c r="H180" s="7" t="s">
        <v>11</v>
      </c>
      <c r="I180" s="7" t="s">
        <v>22</v>
      </c>
    </row>
    <row r="181" customFormat="false" ht="13.8" hidden="true" customHeight="false" outlineLevel="0" collapsed="false">
      <c r="A181" s="5" t="n">
        <v>44092</v>
      </c>
      <c r="B181" s="6" t="n">
        <v>0.496527777777778</v>
      </c>
      <c r="C181" s="7" t="n">
        <v>106987</v>
      </c>
      <c r="D181" s="7" t="s">
        <v>19</v>
      </c>
      <c r="E181" s="7" t="n">
        <v>3400</v>
      </c>
      <c r="F181" s="7" t="n">
        <v>2900</v>
      </c>
      <c r="G181" s="8" t="n">
        <v>500</v>
      </c>
      <c r="H181" s="7" t="s">
        <v>11</v>
      </c>
      <c r="I181" s="7" t="s">
        <v>20</v>
      </c>
      <c r="J181" s="0" t="s">
        <v>13</v>
      </c>
    </row>
    <row r="182" customFormat="false" ht="13.8" hidden="true" customHeight="false" outlineLevel="0" collapsed="false">
      <c r="A182" s="5" t="n">
        <v>44092</v>
      </c>
      <c r="B182" s="6" t="n">
        <v>0.500694444444445</v>
      </c>
      <c r="C182" s="7" t="n">
        <v>106988</v>
      </c>
      <c r="D182" s="7" t="s">
        <v>19</v>
      </c>
      <c r="E182" s="7" t="n">
        <v>2960</v>
      </c>
      <c r="F182" s="7" t="n">
        <v>2900</v>
      </c>
      <c r="G182" s="8" t="n">
        <v>60</v>
      </c>
      <c r="H182" s="7" t="s">
        <v>11</v>
      </c>
      <c r="I182" s="7" t="s">
        <v>20</v>
      </c>
      <c r="J182" s="0" t="s">
        <v>13</v>
      </c>
    </row>
    <row r="183" customFormat="false" ht="13.8" hidden="true" customHeight="false" outlineLevel="0" collapsed="false">
      <c r="A183" s="5" t="n">
        <v>44093</v>
      </c>
      <c r="B183" s="6" t="n">
        <v>0.352083333333333</v>
      </c>
      <c r="C183" s="7" t="n">
        <v>107024</v>
      </c>
      <c r="D183" s="7" t="s">
        <v>19</v>
      </c>
      <c r="E183" s="7" t="n">
        <v>3400</v>
      </c>
      <c r="F183" s="7" t="n">
        <v>2800</v>
      </c>
      <c r="G183" s="8" t="n">
        <v>600</v>
      </c>
      <c r="H183" s="7" t="s">
        <v>11</v>
      </c>
      <c r="I183" s="7" t="s">
        <v>20</v>
      </c>
      <c r="J183" s="0" t="s">
        <v>13</v>
      </c>
    </row>
    <row r="184" customFormat="false" ht="13.8" hidden="true" customHeight="false" outlineLevel="0" collapsed="false">
      <c r="A184" s="5" t="n">
        <v>44093</v>
      </c>
      <c r="B184" s="6" t="n">
        <v>0.358333333333333</v>
      </c>
      <c r="C184" s="7" t="n">
        <v>107025</v>
      </c>
      <c r="D184" s="7" t="s">
        <v>19</v>
      </c>
      <c r="E184" s="7" t="n">
        <v>2820</v>
      </c>
      <c r="F184" s="7" t="n">
        <v>2800</v>
      </c>
      <c r="G184" s="8" t="n">
        <v>20</v>
      </c>
      <c r="H184" s="7" t="s">
        <v>11</v>
      </c>
      <c r="I184" s="7" t="s">
        <v>20</v>
      </c>
      <c r="J184" s="0" t="s">
        <v>13</v>
      </c>
    </row>
    <row r="185" customFormat="false" ht="13.8" hidden="true" customHeight="false" outlineLevel="0" collapsed="false">
      <c r="A185" s="5" t="n">
        <v>44093</v>
      </c>
      <c r="B185" s="6" t="n">
        <v>0.263888888888889</v>
      </c>
      <c r="C185" s="7" t="n">
        <v>130437</v>
      </c>
      <c r="D185" s="7" t="s">
        <v>15</v>
      </c>
      <c r="E185" s="7" t="n">
        <v>25460</v>
      </c>
      <c r="F185" s="7" t="n">
        <v>16040</v>
      </c>
      <c r="G185" s="8" t="n">
        <v>9420</v>
      </c>
      <c r="H185" s="7" t="s">
        <v>11</v>
      </c>
      <c r="I185" s="7" t="s">
        <v>12</v>
      </c>
      <c r="J185" s="0" t="s">
        <v>13</v>
      </c>
    </row>
    <row r="186" customFormat="false" ht="13.8" hidden="true" customHeight="false" outlineLevel="0" collapsed="false">
      <c r="A186" s="5" t="n">
        <v>44093</v>
      </c>
      <c r="B186" s="6" t="n">
        <v>0.0916666666666667</v>
      </c>
      <c r="C186" s="7" t="n">
        <v>130423</v>
      </c>
      <c r="D186" s="7" t="s">
        <v>16</v>
      </c>
      <c r="E186" s="7" t="n">
        <v>19440</v>
      </c>
      <c r="F186" s="7" t="n">
        <v>16100</v>
      </c>
      <c r="G186" s="8" t="n">
        <v>3340</v>
      </c>
      <c r="H186" s="7" t="s">
        <v>11</v>
      </c>
      <c r="I186" s="7" t="s">
        <v>12</v>
      </c>
      <c r="J186" s="0" t="s">
        <v>13</v>
      </c>
    </row>
    <row r="187" customFormat="false" ht="13.8" hidden="true" customHeight="false" outlineLevel="0" collapsed="false">
      <c r="A187" s="5" t="n">
        <v>44093</v>
      </c>
      <c r="B187" s="6" t="n">
        <v>0.259027777777778</v>
      </c>
      <c r="C187" s="7" t="n">
        <v>130436</v>
      </c>
      <c r="D187" s="7" t="s">
        <v>14</v>
      </c>
      <c r="E187" s="7" t="n">
        <v>4640</v>
      </c>
      <c r="F187" s="7" t="n">
        <v>3760</v>
      </c>
      <c r="G187" s="8" t="n">
        <v>880</v>
      </c>
      <c r="H187" s="7" t="s">
        <v>11</v>
      </c>
      <c r="I187" s="7" t="s">
        <v>12</v>
      </c>
      <c r="J187" s="0" t="s">
        <v>13</v>
      </c>
    </row>
    <row r="188" customFormat="false" ht="13.8" hidden="true" customHeight="false" outlineLevel="0" collapsed="false">
      <c r="A188" s="5" t="n">
        <v>44093</v>
      </c>
      <c r="B188" s="6" t="n">
        <v>0.110416666666667</v>
      </c>
      <c r="C188" s="7" t="n">
        <v>130425</v>
      </c>
      <c r="D188" s="7" t="s">
        <v>10</v>
      </c>
      <c r="E188" s="7" t="n">
        <v>23300</v>
      </c>
      <c r="F188" s="7" t="n">
        <v>13000</v>
      </c>
      <c r="G188" s="8" t="n">
        <v>10300</v>
      </c>
      <c r="H188" s="7" t="s">
        <v>11</v>
      </c>
      <c r="I188" s="7" t="s">
        <v>12</v>
      </c>
      <c r="J188" s="0" t="s">
        <v>13</v>
      </c>
    </row>
    <row r="189" customFormat="false" ht="13.8" hidden="true" customHeight="false" outlineLevel="0" collapsed="false">
      <c r="A189" s="5" t="n">
        <v>44093</v>
      </c>
      <c r="B189" s="6" t="n">
        <v>0.513194444444444</v>
      </c>
      <c r="C189" s="7" t="n">
        <v>107034</v>
      </c>
      <c r="D189" s="7" t="s">
        <v>26</v>
      </c>
      <c r="E189" s="7" t="n">
        <v>5860</v>
      </c>
      <c r="F189" s="7" t="n">
        <v>5660</v>
      </c>
      <c r="G189" s="8" t="n">
        <v>200</v>
      </c>
      <c r="H189" s="7" t="s">
        <v>11</v>
      </c>
      <c r="I189" s="7" t="s">
        <v>17</v>
      </c>
      <c r="J189" s="0" t="s">
        <v>13</v>
      </c>
    </row>
    <row r="190" customFormat="false" ht="13.8" hidden="true" customHeight="false" outlineLevel="0" collapsed="false">
      <c r="A190" s="5" t="n">
        <v>44094</v>
      </c>
      <c r="B190" s="6" t="n">
        <v>0.211111111111111</v>
      </c>
      <c r="C190" s="7" t="n">
        <v>130450</v>
      </c>
      <c r="D190" s="7" t="s">
        <v>10</v>
      </c>
      <c r="E190" s="7" t="n">
        <v>16720</v>
      </c>
      <c r="F190" s="7" t="n">
        <v>12780</v>
      </c>
      <c r="G190" s="8" t="n">
        <v>3940</v>
      </c>
      <c r="H190" s="7" t="s">
        <v>11</v>
      </c>
      <c r="I190" s="7" t="s">
        <v>12</v>
      </c>
      <c r="J190" s="0" t="s">
        <v>13</v>
      </c>
    </row>
    <row r="191" customFormat="false" ht="13.8" hidden="true" customHeight="false" outlineLevel="0" collapsed="false">
      <c r="A191" s="5" t="n">
        <v>44094</v>
      </c>
      <c r="B191" s="6" t="n">
        <v>0.209722222222222</v>
      </c>
      <c r="C191" s="7" t="n">
        <v>130449</v>
      </c>
      <c r="D191" s="7" t="s">
        <v>14</v>
      </c>
      <c r="E191" s="7" t="n">
        <v>4920</v>
      </c>
      <c r="F191" s="7" t="n">
        <v>3680</v>
      </c>
      <c r="G191" s="8" t="n">
        <v>1240</v>
      </c>
      <c r="H191" s="7" t="s">
        <v>11</v>
      </c>
      <c r="I191" s="7" t="s">
        <v>12</v>
      </c>
      <c r="J191" s="0" t="s">
        <v>13</v>
      </c>
    </row>
    <row r="192" customFormat="false" ht="13.8" hidden="true" customHeight="false" outlineLevel="0" collapsed="false">
      <c r="A192" s="5" t="n">
        <v>44094</v>
      </c>
      <c r="B192" s="6" t="n">
        <v>0.445833333333333</v>
      </c>
      <c r="C192" s="7" t="n">
        <v>130457</v>
      </c>
      <c r="D192" s="7" t="s">
        <v>19</v>
      </c>
      <c r="E192" s="7" t="n">
        <v>3340</v>
      </c>
      <c r="F192" s="7" t="n">
        <v>2820</v>
      </c>
      <c r="G192" s="8" t="n">
        <v>520</v>
      </c>
      <c r="H192" s="7" t="s">
        <v>11</v>
      </c>
      <c r="I192" s="7" t="s">
        <v>12</v>
      </c>
      <c r="J192" s="0" t="s">
        <v>13</v>
      </c>
    </row>
    <row r="193" customFormat="false" ht="13.8" hidden="true" customHeight="false" outlineLevel="0" collapsed="false">
      <c r="A193" s="5" t="n">
        <v>44094</v>
      </c>
      <c r="B193" s="6" t="n">
        <v>0.24375</v>
      </c>
      <c r="C193" s="7" t="n">
        <v>130453</v>
      </c>
      <c r="D193" s="7" t="s">
        <v>15</v>
      </c>
      <c r="E193" s="7" t="n">
        <v>29260</v>
      </c>
      <c r="F193" s="7" t="n">
        <v>16080</v>
      </c>
      <c r="G193" s="8" t="n">
        <v>13180</v>
      </c>
      <c r="H193" s="7" t="s">
        <v>11</v>
      </c>
      <c r="I193" s="7" t="s">
        <v>12</v>
      </c>
      <c r="J193" s="0" t="s">
        <v>13</v>
      </c>
    </row>
    <row r="194" customFormat="false" ht="13.8" hidden="true" customHeight="false" outlineLevel="0" collapsed="false">
      <c r="A194" s="5" t="n">
        <v>44094</v>
      </c>
      <c r="B194" s="6" t="n">
        <v>0.0965277777777778</v>
      </c>
      <c r="C194" s="7" t="n">
        <v>130444</v>
      </c>
      <c r="D194" s="7" t="s">
        <v>10</v>
      </c>
      <c r="E194" s="7" t="n">
        <v>20840</v>
      </c>
      <c r="F194" s="7" t="n">
        <v>12780</v>
      </c>
      <c r="G194" s="8" t="n">
        <v>8060</v>
      </c>
      <c r="H194" s="7" t="s">
        <v>11</v>
      </c>
      <c r="I194" s="7" t="s">
        <v>12</v>
      </c>
      <c r="J194" s="0" t="s">
        <v>13</v>
      </c>
    </row>
    <row r="195" customFormat="false" ht="13.8" hidden="true" customHeight="false" outlineLevel="0" collapsed="false">
      <c r="A195" s="5" t="n">
        <v>44095</v>
      </c>
      <c r="B195" s="6" t="n">
        <v>0.155555555555556</v>
      </c>
      <c r="C195" s="7" t="n">
        <v>130464</v>
      </c>
      <c r="D195" s="7" t="s">
        <v>16</v>
      </c>
      <c r="E195" s="7" t="n">
        <v>22800</v>
      </c>
      <c r="F195" s="7" t="n">
        <v>16060</v>
      </c>
      <c r="G195" s="8" t="n">
        <v>6740</v>
      </c>
      <c r="H195" s="7" t="s">
        <v>11</v>
      </c>
      <c r="I195" s="7" t="s">
        <v>12</v>
      </c>
      <c r="J195" s="0" t="s">
        <v>28</v>
      </c>
    </row>
    <row r="196" customFormat="false" ht="13.8" hidden="true" customHeight="false" outlineLevel="0" collapsed="false">
      <c r="A196" s="5" t="n">
        <v>44095</v>
      </c>
      <c r="B196" s="6" t="n">
        <v>0.263194444444444</v>
      </c>
      <c r="C196" s="7" t="n">
        <v>130472</v>
      </c>
      <c r="D196" s="7" t="s">
        <v>14</v>
      </c>
      <c r="E196" s="7" t="n">
        <v>4740</v>
      </c>
      <c r="F196" s="7" t="n">
        <v>3780</v>
      </c>
      <c r="G196" s="8" t="n">
        <v>960</v>
      </c>
      <c r="H196" s="7" t="s">
        <v>11</v>
      </c>
      <c r="I196" s="7" t="s">
        <v>12</v>
      </c>
      <c r="J196" s="0" t="s">
        <v>28</v>
      </c>
    </row>
    <row r="197" customFormat="false" ht="13.8" hidden="true" customHeight="false" outlineLevel="0" collapsed="false">
      <c r="A197" s="5" t="n">
        <v>44095</v>
      </c>
      <c r="B197" s="6" t="n">
        <v>0.273611111111111</v>
      </c>
      <c r="C197" s="7" t="n">
        <v>24400</v>
      </c>
      <c r="D197" s="7" t="s">
        <v>15</v>
      </c>
      <c r="E197" s="7" t="n">
        <v>24400</v>
      </c>
      <c r="F197" s="7" t="n">
        <v>15960</v>
      </c>
      <c r="G197" s="8" t="n">
        <v>8440</v>
      </c>
      <c r="H197" s="7" t="s">
        <v>11</v>
      </c>
      <c r="I197" s="7" t="s">
        <v>12</v>
      </c>
      <c r="J197" s="0" t="s">
        <v>28</v>
      </c>
    </row>
    <row r="198" customFormat="false" ht="13.8" hidden="true" customHeight="false" outlineLevel="0" collapsed="false">
      <c r="A198" s="5" t="n">
        <v>44095</v>
      </c>
      <c r="B198" s="6" t="n">
        <v>0.153472222222222</v>
      </c>
      <c r="C198" s="7" t="n">
        <v>130463</v>
      </c>
      <c r="D198" s="7" t="s">
        <v>10</v>
      </c>
      <c r="E198" s="7" t="n">
        <v>23740</v>
      </c>
      <c r="F198" s="7" t="n">
        <v>12800</v>
      </c>
      <c r="G198" s="8" t="n">
        <v>10940</v>
      </c>
      <c r="H198" s="7" t="s">
        <v>11</v>
      </c>
      <c r="I198" s="7" t="s">
        <v>12</v>
      </c>
      <c r="J198" s="0" t="s">
        <v>28</v>
      </c>
    </row>
    <row r="199" customFormat="false" ht="13.8" hidden="true" customHeight="false" outlineLevel="0" collapsed="false">
      <c r="A199" s="5" t="n">
        <v>44093</v>
      </c>
      <c r="B199" s="6" t="n">
        <v>0.439583333333333</v>
      </c>
      <c r="C199" s="7" t="n">
        <v>107028</v>
      </c>
      <c r="D199" s="7" t="s">
        <v>16</v>
      </c>
      <c r="E199" s="7" t="n">
        <v>17380</v>
      </c>
      <c r="F199" s="7" t="n">
        <v>16080</v>
      </c>
      <c r="G199" s="8" t="n">
        <v>1300</v>
      </c>
      <c r="H199" s="7" t="s">
        <v>11</v>
      </c>
      <c r="I199" s="7" t="s">
        <v>17</v>
      </c>
      <c r="J199" s="0" t="s">
        <v>13</v>
      </c>
    </row>
    <row r="200" customFormat="false" ht="13.8" hidden="true" customHeight="false" outlineLevel="0" collapsed="false">
      <c r="A200" s="5" t="n">
        <v>44095</v>
      </c>
      <c r="B200" s="6" t="n">
        <v>0.390277777777778</v>
      </c>
      <c r="C200" s="7" t="n">
        <v>130488</v>
      </c>
      <c r="D200" s="7" t="s">
        <v>23</v>
      </c>
      <c r="E200" s="7" t="n">
        <v>15040</v>
      </c>
      <c r="F200" s="7" t="n">
        <v>12540</v>
      </c>
      <c r="G200" s="8" t="n">
        <v>2500</v>
      </c>
      <c r="H200" s="7" t="s">
        <v>11</v>
      </c>
      <c r="I200" s="7" t="s">
        <v>12</v>
      </c>
      <c r="J200" s="0" t="s">
        <v>28</v>
      </c>
    </row>
    <row r="201" customFormat="false" ht="13.8" hidden="true" customHeight="false" outlineLevel="0" collapsed="false">
      <c r="A201" s="5" t="n">
        <v>44095</v>
      </c>
      <c r="B201" s="6" t="n">
        <v>0.545138888888889</v>
      </c>
      <c r="C201" s="7" t="n">
        <v>107080</v>
      </c>
      <c r="D201" s="7" t="s">
        <v>21</v>
      </c>
      <c r="E201" s="7" t="n">
        <v>3100</v>
      </c>
      <c r="F201" s="7" t="n">
        <v>2820</v>
      </c>
      <c r="G201" s="8" t="n">
        <v>280</v>
      </c>
      <c r="H201" s="7" t="s">
        <v>11</v>
      </c>
      <c r="I201" s="7" t="s">
        <v>22</v>
      </c>
      <c r="J201" s="0" t="s">
        <v>28</v>
      </c>
    </row>
    <row r="202" customFormat="false" ht="13.8" hidden="true" customHeight="false" outlineLevel="0" collapsed="false">
      <c r="A202" s="5" t="n">
        <v>44095</v>
      </c>
      <c r="B202" s="6" t="n">
        <v>0.490277777777778</v>
      </c>
      <c r="C202" s="7" t="n">
        <v>107068</v>
      </c>
      <c r="D202" s="7" t="s">
        <v>19</v>
      </c>
      <c r="E202" s="7" t="n">
        <v>3500</v>
      </c>
      <c r="F202" s="7" t="n">
        <v>2940</v>
      </c>
      <c r="G202" s="8" t="n">
        <v>560</v>
      </c>
      <c r="H202" s="7" t="s">
        <v>11</v>
      </c>
      <c r="I202" s="7" t="s">
        <v>20</v>
      </c>
      <c r="J202" s="0" t="s">
        <v>28</v>
      </c>
    </row>
    <row r="203" customFormat="false" ht="13.8" hidden="true" customHeight="false" outlineLevel="0" collapsed="false">
      <c r="A203" s="5" t="n">
        <v>44095</v>
      </c>
      <c r="B203" s="6" t="n">
        <v>0.490972222222222</v>
      </c>
      <c r="C203" s="7" t="n">
        <v>107069</v>
      </c>
      <c r="D203" s="7" t="s">
        <v>19</v>
      </c>
      <c r="E203" s="7" t="n">
        <v>2980</v>
      </c>
      <c r="F203" s="7" t="n">
        <v>2940</v>
      </c>
      <c r="G203" s="8" t="n">
        <v>40</v>
      </c>
      <c r="H203" s="7" t="s">
        <v>11</v>
      </c>
      <c r="I203" s="7" t="s">
        <v>20</v>
      </c>
      <c r="J203" s="0" t="s">
        <v>28</v>
      </c>
    </row>
    <row r="204" customFormat="false" ht="13.8" hidden="true" customHeight="false" outlineLevel="0" collapsed="false">
      <c r="A204" s="5" t="n">
        <v>44095</v>
      </c>
      <c r="B204" s="6" t="n">
        <v>0.338888888888889</v>
      </c>
      <c r="C204" s="7" t="n">
        <v>107037</v>
      </c>
      <c r="D204" s="7" t="s">
        <v>19</v>
      </c>
      <c r="E204" s="7" t="n">
        <v>3620</v>
      </c>
      <c r="F204" s="7" t="n">
        <v>2820</v>
      </c>
      <c r="G204" s="8" t="n">
        <v>800</v>
      </c>
      <c r="H204" s="7" t="s">
        <v>11</v>
      </c>
      <c r="I204" s="7" t="s">
        <v>20</v>
      </c>
      <c r="J204" s="0" t="s">
        <v>28</v>
      </c>
    </row>
    <row r="205" customFormat="false" ht="13.8" hidden="true" customHeight="false" outlineLevel="0" collapsed="false">
      <c r="A205" s="5" t="n">
        <v>44095</v>
      </c>
      <c r="B205" s="6" t="n">
        <v>0.338888888888889</v>
      </c>
      <c r="C205" s="7" t="n">
        <v>107038</v>
      </c>
      <c r="D205" s="7" t="s">
        <v>19</v>
      </c>
      <c r="E205" s="7" t="n">
        <v>2880</v>
      </c>
      <c r="F205" s="7" t="n">
        <v>2820</v>
      </c>
      <c r="G205" s="8" t="n">
        <v>60</v>
      </c>
      <c r="H205" s="7" t="s">
        <v>11</v>
      </c>
      <c r="I205" s="7" t="s">
        <v>20</v>
      </c>
      <c r="J205" s="0" t="s">
        <v>28</v>
      </c>
    </row>
    <row r="206" customFormat="false" ht="13.8" hidden="true" customHeight="false" outlineLevel="0" collapsed="false">
      <c r="A206" s="5" t="n">
        <v>44095</v>
      </c>
      <c r="B206" s="6" t="n">
        <v>0.484027777777778</v>
      </c>
      <c r="C206" s="7" t="n">
        <v>107067</v>
      </c>
      <c r="D206" s="7" t="s">
        <v>16</v>
      </c>
      <c r="E206" s="7" t="n">
        <v>17040</v>
      </c>
      <c r="F206" s="7" t="n">
        <v>16020</v>
      </c>
      <c r="G206" s="8" t="n">
        <v>1020</v>
      </c>
      <c r="H206" s="7" t="s">
        <v>11</v>
      </c>
      <c r="I206" s="7" t="s">
        <v>17</v>
      </c>
      <c r="J206" s="0" t="s">
        <v>13</v>
      </c>
    </row>
    <row r="207" customFormat="false" ht="13.8" hidden="true" customHeight="false" outlineLevel="0" collapsed="false">
      <c r="A207" s="5" t="n">
        <v>44096</v>
      </c>
      <c r="B207" s="6" t="n">
        <v>0.168055555555556</v>
      </c>
      <c r="C207" s="7" t="n">
        <v>130521</v>
      </c>
      <c r="D207" s="7" t="s">
        <v>10</v>
      </c>
      <c r="E207" s="7" t="n">
        <v>23020</v>
      </c>
      <c r="F207" s="7" t="n">
        <v>13060</v>
      </c>
      <c r="G207" s="8" t="n">
        <v>9960</v>
      </c>
      <c r="H207" s="7" t="s">
        <v>11</v>
      </c>
      <c r="I207" s="7" t="s">
        <v>12</v>
      </c>
      <c r="J207" s="0" t="s">
        <v>28</v>
      </c>
    </row>
    <row r="208" customFormat="false" ht="13.8" hidden="true" customHeight="false" outlineLevel="0" collapsed="false">
      <c r="A208" s="5" t="n">
        <v>44096</v>
      </c>
      <c r="B208" s="6" t="n">
        <v>0.255555555555556</v>
      </c>
      <c r="C208" s="7" t="n">
        <v>130526</v>
      </c>
      <c r="D208" s="7" t="s">
        <v>15</v>
      </c>
      <c r="E208" s="7" t="n">
        <v>25760</v>
      </c>
      <c r="F208" s="7" t="n">
        <v>15960</v>
      </c>
      <c r="G208" s="8" t="n">
        <v>9800</v>
      </c>
      <c r="H208" s="7" t="s">
        <v>11</v>
      </c>
      <c r="I208" s="7" t="s">
        <v>12</v>
      </c>
      <c r="J208" s="0" t="s">
        <v>28</v>
      </c>
    </row>
    <row r="209" customFormat="false" ht="13.8" hidden="true" customHeight="false" outlineLevel="0" collapsed="false">
      <c r="A209" s="5" t="n">
        <v>44096</v>
      </c>
      <c r="B209" s="6" t="n">
        <v>0.0875</v>
      </c>
      <c r="C209" s="7" t="n">
        <v>130514</v>
      </c>
      <c r="D209" s="7" t="s">
        <v>16</v>
      </c>
      <c r="E209" s="7" t="n">
        <v>18800</v>
      </c>
      <c r="F209" s="7" t="n">
        <v>16060</v>
      </c>
      <c r="G209" s="8" t="n">
        <v>2740</v>
      </c>
      <c r="H209" s="7" t="s">
        <v>11</v>
      </c>
      <c r="I209" s="7" t="s">
        <v>12</v>
      </c>
      <c r="J209" s="0" t="s">
        <v>28</v>
      </c>
    </row>
    <row r="210" customFormat="false" ht="13.8" hidden="true" customHeight="false" outlineLevel="0" collapsed="false">
      <c r="A210" s="5" t="n">
        <v>44096</v>
      </c>
      <c r="B210" s="6" t="n">
        <v>0.259722222222222</v>
      </c>
      <c r="C210" s="7" t="n">
        <v>130529</v>
      </c>
      <c r="D210" s="7" t="s">
        <v>14</v>
      </c>
      <c r="E210" s="7" t="n">
        <v>4380</v>
      </c>
      <c r="F210" s="7" t="n">
        <v>3740</v>
      </c>
      <c r="G210" s="8" t="n">
        <v>640</v>
      </c>
      <c r="H210" s="7" t="s">
        <v>11</v>
      </c>
      <c r="I210" s="7" t="s">
        <v>12</v>
      </c>
      <c r="J210" s="0" t="s">
        <v>28</v>
      </c>
    </row>
    <row r="211" customFormat="false" ht="13.8" hidden="false" customHeight="false" outlineLevel="0" collapsed="false">
      <c r="A211" s="5" t="n">
        <v>44096</v>
      </c>
      <c r="B211" s="6" t="n">
        <v>0.466666666666667</v>
      </c>
      <c r="C211" s="7" t="n">
        <v>781</v>
      </c>
      <c r="D211" s="7" t="s">
        <v>16</v>
      </c>
      <c r="E211" s="7" t="n">
        <v>18620</v>
      </c>
      <c r="F211" s="7" t="n">
        <v>15860</v>
      </c>
      <c r="G211" s="8" t="n">
        <v>2760</v>
      </c>
      <c r="H211" s="7" t="s">
        <v>11</v>
      </c>
      <c r="I211" s="7" t="s">
        <v>25</v>
      </c>
      <c r="J211" s="0" t="s">
        <v>13</v>
      </c>
    </row>
    <row r="212" customFormat="false" ht="13.8" hidden="true" customHeight="false" outlineLevel="0" collapsed="false">
      <c r="A212" s="5" t="n">
        <v>44096</v>
      </c>
      <c r="B212" s="6" t="n">
        <v>0.458333333333333</v>
      </c>
      <c r="C212" s="7" t="n">
        <v>130544</v>
      </c>
      <c r="D212" s="7" t="s">
        <v>19</v>
      </c>
      <c r="E212" s="7" t="n">
        <v>3580</v>
      </c>
      <c r="F212" s="7" t="n">
        <v>2740</v>
      </c>
      <c r="G212" s="8" t="n">
        <v>840</v>
      </c>
      <c r="H212" s="7" t="s">
        <v>11</v>
      </c>
      <c r="I212" s="7" t="s">
        <v>12</v>
      </c>
      <c r="J212" s="0" t="s">
        <v>28</v>
      </c>
    </row>
    <row r="213" customFormat="false" ht="13.8" hidden="true" customHeight="false" outlineLevel="0" collapsed="false">
      <c r="A213" s="5" t="n">
        <v>44096</v>
      </c>
      <c r="B213" s="6" t="n">
        <v>0.54375</v>
      </c>
      <c r="C213" s="7" t="n">
        <v>130553</v>
      </c>
      <c r="D213" s="7" t="s">
        <v>19</v>
      </c>
      <c r="E213" s="7" t="n">
        <v>3820</v>
      </c>
      <c r="F213" s="7" t="n">
        <v>2740</v>
      </c>
      <c r="G213" s="8" t="n">
        <v>1080</v>
      </c>
      <c r="H213" s="7" t="s">
        <v>11</v>
      </c>
      <c r="I213" s="7" t="s">
        <v>12</v>
      </c>
      <c r="J213" s="0" t="s">
        <v>28</v>
      </c>
    </row>
    <row r="214" customFormat="false" ht="13.8" hidden="true" customHeight="false" outlineLevel="0" collapsed="false">
      <c r="A214" s="5" t="n">
        <v>44096</v>
      </c>
      <c r="B214" s="6" t="n">
        <v>0.333333333333333</v>
      </c>
      <c r="C214" s="7" t="n">
        <v>107098</v>
      </c>
      <c r="D214" s="7" t="s">
        <v>19</v>
      </c>
      <c r="E214" s="7" t="n">
        <v>3480</v>
      </c>
      <c r="F214" s="7" t="n">
        <v>2920</v>
      </c>
      <c r="G214" s="8" t="n">
        <v>560</v>
      </c>
      <c r="H214" s="7" t="s">
        <v>11</v>
      </c>
      <c r="I214" s="7" t="s">
        <v>20</v>
      </c>
      <c r="J214" s="0" t="s">
        <v>28</v>
      </c>
    </row>
    <row r="215" customFormat="false" ht="13.8" hidden="true" customHeight="false" outlineLevel="0" collapsed="false">
      <c r="A215" s="5" t="n">
        <v>44096</v>
      </c>
      <c r="B215" s="6" t="n">
        <v>0.334722222222222</v>
      </c>
      <c r="C215" s="7" t="n">
        <v>107099</v>
      </c>
      <c r="D215" s="7" t="s">
        <v>19</v>
      </c>
      <c r="E215" s="7" t="n">
        <v>2980</v>
      </c>
      <c r="F215" s="7" t="n">
        <v>2920</v>
      </c>
      <c r="G215" s="8" t="n">
        <v>60</v>
      </c>
      <c r="H215" s="7" t="s">
        <v>11</v>
      </c>
      <c r="I215" s="7" t="s">
        <v>20</v>
      </c>
      <c r="J215" s="0" t="s">
        <v>28</v>
      </c>
    </row>
    <row r="216" customFormat="false" ht="13.8" hidden="true" customHeight="false" outlineLevel="0" collapsed="false">
      <c r="A216" s="5" t="n">
        <v>44097</v>
      </c>
      <c r="B216" s="6" t="n">
        <v>0.511111111111111</v>
      </c>
      <c r="C216" s="7" t="n">
        <v>107210</v>
      </c>
      <c r="D216" s="7" t="s">
        <v>26</v>
      </c>
      <c r="E216" s="7" t="n">
        <v>6240</v>
      </c>
      <c r="F216" s="7" t="n">
        <v>5580</v>
      </c>
      <c r="G216" s="8" t="n">
        <v>660</v>
      </c>
      <c r="H216" s="7" t="s">
        <v>11</v>
      </c>
      <c r="I216" s="7" t="s">
        <v>20</v>
      </c>
      <c r="J216" s="0" t="s">
        <v>28</v>
      </c>
    </row>
    <row r="217" customFormat="false" ht="13.8" hidden="true" customHeight="false" outlineLevel="0" collapsed="false">
      <c r="A217" s="5" t="n">
        <v>44097</v>
      </c>
      <c r="B217" s="6" t="n">
        <v>0.234722222222222</v>
      </c>
      <c r="C217" s="7" t="n">
        <v>130570</v>
      </c>
      <c r="D217" s="7" t="s">
        <v>27</v>
      </c>
      <c r="E217" s="7" t="n">
        <v>25740</v>
      </c>
      <c r="F217" s="7" t="n">
        <v>15300</v>
      </c>
      <c r="G217" s="8" t="n">
        <v>10440</v>
      </c>
      <c r="H217" s="7" t="s">
        <v>11</v>
      </c>
      <c r="I217" s="7" t="s">
        <v>29</v>
      </c>
      <c r="J217" s="0" t="s">
        <v>28</v>
      </c>
    </row>
    <row r="218" customFormat="false" ht="13.8" hidden="true" customHeight="false" outlineLevel="0" collapsed="false">
      <c r="A218" s="5" t="n">
        <v>44097</v>
      </c>
      <c r="B218" s="6" t="n">
        <v>0.393055555555556</v>
      </c>
      <c r="C218" s="7" t="n">
        <v>130585</v>
      </c>
      <c r="D218" s="7" t="s">
        <v>23</v>
      </c>
      <c r="E218" s="7" t="n">
        <v>13740</v>
      </c>
      <c r="F218" s="7" t="n">
        <v>12480</v>
      </c>
      <c r="G218" s="8" t="n">
        <v>1260</v>
      </c>
      <c r="H218" s="7" t="s">
        <v>11</v>
      </c>
      <c r="I218" s="7" t="s">
        <v>12</v>
      </c>
      <c r="J218" s="0" t="s">
        <v>28</v>
      </c>
    </row>
    <row r="219" customFormat="false" ht="13.8" hidden="true" customHeight="false" outlineLevel="0" collapsed="false">
      <c r="A219" s="5" t="n">
        <v>44097</v>
      </c>
      <c r="B219" s="6" t="n">
        <v>0.267361111111111</v>
      </c>
      <c r="C219" s="7" t="n">
        <v>130575</v>
      </c>
      <c r="D219" s="7" t="s">
        <v>27</v>
      </c>
      <c r="E219" s="7" t="n">
        <v>27920</v>
      </c>
      <c r="F219" s="7" t="n">
        <v>15300</v>
      </c>
      <c r="G219" s="8" t="n">
        <v>12620</v>
      </c>
      <c r="H219" s="7" t="s">
        <v>11</v>
      </c>
      <c r="I219" s="7" t="s">
        <v>29</v>
      </c>
      <c r="J219" s="0" t="s">
        <v>28</v>
      </c>
    </row>
    <row r="220" customFormat="false" ht="13.8" hidden="true" customHeight="false" outlineLevel="0" collapsed="false">
      <c r="A220" s="5" t="n">
        <v>44097</v>
      </c>
      <c r="B220" s="6" t="n">
        <v>0.288194444444444</v>
      </c>
      <c r="C220" s="7" t="n">
        <v>130578</v>
      </c>
      <c r="D220" s="7" t="s">
        <v>27</v>
      </c>
      <c r="E220" s="7" t="n">
        <v>28840</v>
      </c>
      <c r="F220" s="7" t="n">
        <v>15300</v>
      </c>
      <c r="G220" s="8" t="n">
        <v>13540</v>
      </c>
      <c r="H220" s="7" t="s">
        <v>11</v>
      </c>
      <c r="I220" s="7" t="s">
        <v>29</v>
      </c>
      <c r="J220" s="0" t="s">
        <v>28</v>
      </c>
    </row>
    <row r="221" customFormat="false" ht="13.8" hidden="true" customHeight="false" outlineLevel="0" collapsed="false">
      <c r="A221" s="5" t="n">
        <v>44097</v>
      </c>
      <c r="B221" s="6" t="n">
        <v>0.311111111111111</v>
      </c>
      <c r="C221" s="7" t="n">
        <v>130580</v>
      </c>
      <c r="D221" s="7" t="s">
        <v>27</v>
      </c>
      <c r="E221" s="7" t="n">
        <v>29580</v>
      </c>
      <c r="F221" s="7" t="n">
        <v>15300</v>
      </c>
      <c r="G221" s="8" t="n">
        <v>14280</v>
      </c>
      <c r="H221" s="7" t="s">
        <v>11</v>
      </c>
      <c r="I221" s="7" t="s">
        <v>29</v>
      </c>
      <c r="J221" s="0" t="s">
        <v>28</v>
      </c>
    </row>
    <row r="222" customFormat="false" ht="13.8" hidden="true" customHeight="false" outlineLevel="0" collapsed="false">
      <c r="A222" s="5" t="n">
        <v>44097</v>
      </c>
      <c r="B222" s="6" t="n">
        <v>0.257638888888889</v>
      </c>
      <c r="C222" s="7" t="n">
        <v>130573</v>
      </c>
      <c r="D222" s="7" t="s">
        <v>14</v>
      </c>
      <c r="E222" s="7" t="n">
        <v>4340</v>
      </c>
      <c r="F222" s="7" t="n">
        <v>3760</v>
      </c>
      <c r="G222" s="8" t="n">
        <v>580</v>
      </c>
      <c r="H222" s="7" t="s">
        <v>11</v>
      </c>
      <c r="I222" s="7" t="s">
        <v>12</v>
      </c>
      <c r="J222" s="0" t="s">
        <v>28</v>
      </c>
    </row>
    <row r="223" customFormat="false" ht="13.8" hidden="true" customHeight="false" outlineLevel="0" collapsed="false">
      <c r="A223" s="5" t="n">
        <v>44097</v>
      </c>
      <c r="B223" s="6" t="n">
        <v>0.171527777777778</v>
      </c>
      <c r="C223" s="7" t="n">
        <v>130566</v>
      </c>
      <c r="D223" s="7" t="s">
        <v>16</v>
      </c>
      <c r="E223" s="7" t="n">
        <v>20300</v>
      </c>
      <c r="F223" s="7" t="n">
        <v>16080</v>
      </c>
      <c r="G223" s="8" t="n">
        <v>4220</v>
      </c>
      <c r="H223" s="7" t="s">
        <v>11</v>
      </c>
      <c r="I223" s="7" t="s">
        <v>12</v>
      </c>
      <c r="J223" s="0" t="s">
        <v>28</v>
      </c>
    </row>
    <row r="224" customFormat="false" ht="13.8" hidden="true" customHeight="false" outlineLevel="0" collapsed="false">
      <c r="A224" s="5" t="n">
        <v>44097</v>
      </c>
      <c r="B224" s="6" t="n">
        <v>0.265277777777778</v>
      </c>
      <c r="C224" s="7" t="n">
        <v>130574</v>
      </c>
      <c r="D224" s="7" t="s">
        <v>15</v>
      </c>
      <c r="E224" s="7" t="n">
        <v>22900</v>
      </c>
      <c r="F224" s="7" t="n">
        <v>16080</v>
      </c>
      <c r="G224" s="8" t="n">
        <v>6820</v>
      </c>
      <c r="H224" s="7" t="s">
        <v>11</v>
      </c>
      <c r="I224" s="7" t="s">
        <v>12</v>
      </c>
      <c r="J224" s="0" t="s">
        <v>28</v>
      </c>
    </row>
    <row r="225" customFormat="false" ht="13.8" hidden="true" customHeight="false" outlineLevel="0" collapsed="false">
      <c r="A225" s="5" t="n">
        <v>44097</v>
      </c>
      <c r="B225" s="6" t="n">
        <v>0.144444444444444</v>
      </c>
      <c r="C225" s="7" t="n">
        <v>130564</v>
      </c>
      <c r="D225" s="7" t="s">
        <v>10</v>
      </c>
      <c r="E225" s="7" t="n">
        <v>20800</v>
      </c>
      <c r="F225" s="7" t="n">
        <v>13060</v>
      </c>
      <c r="G225" s="8" t="n">
        <v>7740</v>
      </c>
      <c r="H225" s="7" t="s">
        <v>11</v>
      </c>
      <c r="I225" s="7" t="s">
        <v>12</v>
      </c>
      <c r="J225" s="0" t="s">
        <v>28</v>
      </c>
    </row>
    <row r="226" customFormat="false" ht="13.8" hidden="true" customHeight="false" outlineLevel="0" collapsed="false">
      <c r="A226" s="5" t="n">
        <v>44098</v>
      </c>
      <c r="B226" s="6" t="n">
        <v>0.263194444444444</v>
      </c>
      <c r="C226" s="7" t="n">
        <v>130620</v>
      </c>
      <c r="D226" s="7" t="s">
        <v>14</v>
      </c>
      <c r="E226" s="7" t="n">
        <v>4460</v>
      </c>
      <c r="F226" s="7" t="n">
        <v>3780</v>
      </c>
      <c r="G226" s="8" t="n">
        <v>680</v>
      </c>
      <c r="H226" s="7" t="s">
        <v>11</v>
      </c>
      <c r="I226" s="7" t="s">
        <v>12</v>
      </c>
      <c r="J226" s="0" t="s">
        <v>28</v>
      </c>
    </row>
    <row r="227" customFormat="false" ht="13.8" hidden="true" customHeight="false" outlineLevel="0" collapsed="false">
      <c r="A227" s="5" t="n">
        <v>44098</v>
      </c>
      <c r="B227" s="6" t="n">
        <v>0.198611111111111</v>
      </c>
      <c r="C227" s="7" t="n">
        <v>130613</v>
      </c>
      <c r="D227" s="7" t="s">
        <v>10</v>
      </c>
      <c r="E227" s="7" t="n">
        <v>22600</v>
      </c>
      <c r="F227" s="7" t="n">
        <v>13040</v>
      </c>
      <c r="G227" s="8" t="n">
        <v>9560</v>
      </c>
      <c r="H227" s="7" t="s">
        <v>11</v>
      </c>
      <c r="I227" s="7" t="s">
        <v>12</v>
      </c>
      <c r="J227" s="0" t="s">
        <v>28</v>
      </c>
    </row>
    <row r="228" customFormat="false" ht="13.8" hidden="true" customHeight="false" outlineLevel="0" collapsed="false">
      <c r="A228" s="5" t="n">
        <v>44098</v>
      </c>
      <c r="B228" s="6" t="n">
        <v>0.254861111111111</v>
      </c>
      <c r="C228" s="7" t="n">
        <v>130619</v>
      </c>
      <c r="D228" s="7" t="s">
        <v>16</v>
      </c>
      <c r="E228" s="7" t="n">
        <v>27900</v>
      </c>
      <c r="F228" s="7" t="n">
        <v>16160</v>
      </c>
      <c r="G228" s="8" t="n">
        <v>11740</v>
      </c>
      <c r="H228" s="7" t="s">
        <v>11</v>
      </c>
      <c r="I228" s="7" t="s">
        <v>12</v>
      </c>
      <c r="J228" s="0" t="s">
        <v>28</v>
      </c>
    </row>
    <row r="229" customFormat="false" ht="13.8" hidden="true" customHeight="false" outlineLevel="0" collapsed="false">
      <c r="A229" s="5" t="n">
        <v>44090</v>
      </c>
      <c r="B229" s="6" t="n">
        <v>0.467361111111111</v>
      </c>
      <c r="C229" s="7" t="n">
        <v>130320</v>
      </c>
      <c r="D229" s="7" t="s">
        <v>30</v>
      </c>
      <c r="E229" s="7" t="n">
        <v>15900</v>
      </c>
      <c r="F229" s="7" t="n">
        <v>15100</v>
      </c>
      <c r="G229" s="8" t="n">
        <v>800</v>
      </c>
      <c r="H229" s="7" t="s">
        <v>11</v>
      </c>
      <c r="I229" s="7" t="s">
        <v>12</v>
      </c>
      <c r="J229" s="0" t="s">
        <v>13</v>
      </c>
    </row>
    <row r="230" customFormat="false" ht="13.8" hidden="true" customHeight="false" outlineLevel="0" collapsed="false">
      <c r="A230" s="5" t="n">
        <v>44082</v>
      </c>
      <c r="B230" s="6" t="n">
        <v>0.415972222222222</v>
      </c>
      <c r="C230" s="7" t="n">
        <v>107273</v>
      </c>
      <c r="D230" s="7" t="s">
        <v>19</v>
      </c>
      <c r="E230" s="7" t="n">
        <v>3420</v>
      </c>
      <c r="F230" s="7" t="n">
        <v>2940</v>
      </c>
      <c r="G230" s="8" t="n">
        <v>480</v>
      </c>
      <c r="H230" s="7" t="s">
        <v>11</v>
      </c>
      <c r="I230" s="7" t="s">
        <v>20</v>
      </c>
      <c r="J230" s="0" t="s">
        <v>13</v>
      </c>
    </row>
    <row r="231" customFormat="false" ht="13.8" hidden="true" customHeight="false" outlineLevel="0" collapsed="false">
      <c r="A231" s="5" t="n">
        <v>44098</v>
      </c>
      <c r="B231" s="6" t="n">
        <v>0.434027777777778</v>
      </c>
      <c r="C231" s="7" t="n">
        <v>107274</v>
      </c>
      <c r="D231" s="7" t="s">
        <v>19</v>
      </c>
      <c r="E231" s="7" t="n">
        <v>2960</v>
      </c>
      <c r="F231" s="7" t="n">
        <v>2940</v>
      </c>
      <c r="G231" s="8" t="n">
        <v>20</v>
      </c>
      <c r="H231" s="7" t="s">
        <v>11</v>
      </c>
      <c r="I231" s="7" t="s">
        <v>20</v>
      </c>
    </row>
    <row r="232" customFormat="false" ht="13.8" hidden="true" customHeight="false" outlineLevel="0" collapsed="false">
      <c r="A232" s="5" t="n">
        <v>44098</v>
      </c>
      <c r="B232" s="6" t="n">
        <v>0.46875</v>
      </c>
      <c r="C232" s="7" t="n">
        <v>107283</v>
      </c>
      <c r="D232" s="7" t="s">
        <v>19</v>
      </c>
      <c r="E232" s="7" t="n">
        <v>3360</v>
      </c>
      <c r="F232" s="7" t="n">
        <v>2920</v>
      </c>
      <c r="G232" s="8" t="n">
        <v>440</v>
      </c>
      <c r="H232" s="7" t="s">
        <v>11</v>
      </c>
      <c r="I232" s="7" t="s">
        <v>20</v>
      </c>
      <c r="J232" s="0" t="s">
        <v>28</v>
      </c>
    </row>
    <row r="233" customFormat="false" ht="13.8" hidden="true" customHeight="false" outlineLevel="0" collapsed="false">
      <c r="A233" s="5" t="n">
        <v>44098</v>
      </c>
      <c r="B233" s="6" t="n">
        <v>0.469444444444444</v>
      </c>
      <c r="C233" s="7" t="n">
        <v>107284</v>
      </c>
      <c r="D233" s="7" t="s">
        <v>19</v>
      </c>
      <c r="E233" s="7" t="n">
        <v>3060</v>
      </c>
      <c r="F233" s="7" t="n">
        <v>2920</v>
      </c>
      <c r="G233" s="8" t="n">
        <v>140</v>
      </c>
      <c r="H233" s="7" t="s">
        <v>11</v>
      </c>
      <c r="I233" s="7" t="s">
        <v>20</v>
      </c>
      <c r="J233" s="0" t="s">
        <v>28</v>
      </c>
    </row>
    <row r="234" customFormat="false" ht="13.8" hidden="true" customHeight="false" outlineLevel="0" collapsed="false">
      <c r="A234" s="5" t="n">
        <v>44098</v>
      </c>
      <c r="B234" s="6" t="n">
        <v>0.544444444444444</v>
      </c>
      <c r="C234" s="7" t="n">
        <v>107305</v>
      </c>
      <c r="D234" s="7" t="s">
        <v>19</v>
      </c>
      <c r="E234" s="7" t="n">
        <v>3380</v>
      </c>
      <c r="F234" s="7" t="n">
        <v>2920</v>
      </c>
      <c r="G234" s="8" t="n">
        <v>460</v>
      </c>
      <c r="H234" s="7" t="s">
        <v>11</v>
      </c>
      <c r="I234" s="7" t="s">
        <v>20</v>
      </c>
      <c r="J234" s="0" t="s">
        <v>28</v>
      </c>
    </row>
    <row r="235" customFormat="false" ht="13.8" hidden="true" customHeight="false" outlineLevel="0" collapsed="false">
      <c r="A235" s="5" t="n">
        <v>44098</v>
      </c>
      <c r="B235" s="6" t="n">
        <v>0.545833333333333</v>
      </c>
      <c r="C235" s="7" t="n">
        <v>107306</v>
      </c>
      <c r="D235" s="7" t="s">
        <v>19</v>
      </c>
      <c r="E235" s="7" t="n">
        <v>2980</v>
      </c>
      <c r="F235" s="7" t="n">
        <v>2920</v>
      </c>
      <c r="G235" s="8" t="n">
        <v>60</v>
      </c>
      <c r="H235" s="7" t="s">
        <v>11</v>
      </c>
      <c r="I235" s="7" t="s">
        <v>20</v>
      </c>
      <c r="J235" s="0" t="s">
        <v>28</v>
      </c>
    </row>
    <row r="236" customFormat="false" ht="13.8" hidden="true" customHeight="false" outlineLevel="0" collapsed="false">
      <c r="A236" s="5" t="n">
        <v>44098</v>
      </c>
      <c r="B236" s="6" t="n">
        <v>0.444444444444444</v>
      </c>
      <c r="C236" s="7" t="n">
        <v>130635</v>
      </c>
      <c r="D236" s="7" t="s">
        <v>18</v>
      </c>
      <c r="E236" s="7" t="n">
        <v>2720</v>
      </c>
      <c r="F236" s="7" t="n">
        <v>2400</v>
      </c>
      <c r="G236" s="8" t="n">
        <v>320</v>
      </c>
      <c r="H236" s="7" t="s">
        <v>11</v>
      </c>
      <c r="I236" s="7" t="s">
        <v>12</v>
      </c>
      <c r="J236" s="0" t="s">
        <v>28</v>
      </c>
    </row>
    <row r="237" customFormat="false" ht="13.8" hidden="true" customHeight="false" outlineLevel="0" collapsed="false">
      <c r="A237" s="5" t="n">
        <v>44099</v>
      </c>
      <c r="B237" s="6" t="n">
        <v>0.1375</v>
      </c>
      <c r="C237" s="7" t="n">
        <v>130655</v>
      </c>
      <c r="D237" s="7" t="s">
        <v>10</v>
      </c>
      <c r="E237" s="7" t="n">
        <v>21780</v>
      </c>
      <c r="F237" s="7" t="n">
        <v>12940</v>
      </c>
      <c r="G237" s="8" t="n">
        <v>8840</v>
      </c>
      <c r="H237" s="7" t="s">
        <v>11</v>
      </c>
      <c r="I237" s="7" t="s">
        <v>12</v>
      </c>
      <c r="J237" s="0" t="s">
        <v>28</v>
      </c>
    </row>
    <row r="238" customFormat="false" ht="13.8" hidden="true" customHeight="false" outlineLevel="0" collapsed="false">
      <c r="A238" s="5" t="n">
        <v>44099</v>
      </c>
      <c r="B238" s="6" t="n">
        <v>0.168055555555556</v>
      </c>
      <c r="C238" s="7" t="n">
        <v>130657</v>
      </c>
      <c r="D238" s="7" t="s">
        <v>16</v>
      </c>
      <c r="E238" s="7" t="n">
        <v>22000</v>
      </c>
      <c r="F238" s="7" t="n">
        <v>16020</v>
      </c>
      <c r="G238" s="8" t="n">
        <v>5980</v>
      </c>
      <c r="H238" s="7" t="s">
        <v>11</v>
      </c>
      <c r="I238" s="7" t="s">
        <v>12</v>
      </c>
      <c r="J238" s="0" t="s">
        <v>28</v>
      </c>
    </row>
    <row r="239" customFormat="false" ht="13.8" hidden="true" customHeight="false" outlineLevel="0" collapsed="false">
      <c r="A239" s="5" t="n">
        <v>44099</v>
      </c>
      <c r="B239" s="6" t="n">
        <v>0.259027777777778</v>
      </c>
      <c r="C239" s="7" t="n">
        <v>130664</v>
      </c>
      <c r="D239" s="7" t="s">
        <v>14</v>
      </c>
      <c r="E239" s="7" t="n">
        <v>4440</v>
      </c>
      <c r="F239" s="7" t="n">
        <v>3700</v>
      </c>
      <c r="G239" s="8" t="n">
        <v>740</v>
      </c>
      <c r="H239" s="7" t="s">
        <v>11</v>
      </c>
      <c r="I239" s="7" t="s">
        <v>12</v>
      </c>
      <c r="J239" s="0" t="s">
        <v>28</v>
      </c>
    </row>
    <row r="240" customFormat="false" ht="13.8" hidden="true" customHeight="false" outlineLevel="0" collapsed="false">
      <c r="A240" s="5" t="n">
        <v>44099</v>
      </c>
      <c r="B240" s="6" t="n">
        <v>0.270833333333333</v>
      </c>
      <c r="C240" s="7" t="n">
        <v>130665</v>
      </c>
      <c r="D240" s="7" t="s">
        <v>15</v>
      </c>
      <c r="E240" s="7" t="n">
        <v>24980</v>
      </c>
      <c r="F240" s="7" t="n">
        <v>15920</v>
      </c>
      <c r="G240" s="8" t="n">
        <v>9060</v>
      </c>
      <c r="H240" s="7" t="s">
        <v>11</v>
      </c>
      <c r="I240" s="7" t="s">
        <v>12</v>
      </c>
      <c r="J240" s="0" t="s">
        <v>28</v>
      </c>
    </row>
    <row r="241" customFormat="false" ht="13.8" hidden="true" customHeight="false" outlineLevel="0" collapsed="false">
      <c r="A241" s="5" t="n">
        <v>44099</v>
      </c>
      <c r="B241" s="6" t="n">
        <v>0.457638888888889</v>
      </c>
      <c r="C241" s="7" t="n">
        <v>130679</v>
      </c>
      <c r="D241" s="7" t="s">
        <v>18</v>
      </c>
      <c r="E241" s="7" t="n">
        <v>2660</v>
      </c>
      <c r="F241" s="7" t="n">
        <v>2420</v>
      </c>
      <c r="G241" s="8" t="n">
        <v>240</v>
      </c>
      <c r="H241" s="7" t="s">
        <v>11</v>
      </c>
      <c r="I241" s="7" t="s">
        <v>12</v>
      </c>
      <c r="J241" s="0" t="s">
        <v>28</v>
      </c>
    </row>
    <row r="242" customFormat="false" ht="13.8" hidden="true" customHeight="false" outlineLevel="0" collapsed="false">
      <c r="A242" s="5" t="n">
        <v>44099</v>
      </c>
      <c r="B242" s="6" t="n">
        <v>0.399305555555556</v>
      </c>
      <c r="C242" s="7" t="n">
        <v>130676</v>
      </c>
      <c r="D242" s="7" t="s">
        <v>23</v>
      </c>
      <c r="E242" s="7" t="n">
        <v>14440</v>
      </c>
      <c r="F242" s="7" t="n">
        <v>12540</v>
      </c>
      <c r="G242" s="8" t="n">
        <v>1900</v>
      </c>
      <c r="H242" s="7" t="s">
        <v>11</v>
      </c>
      <c r="I242" s="7" t="s">
        <v>12</v>
      </c>
      <c r="J242" s="0" t="s">
        <v>28</v>
      </c>
    </row>
    <row r="243" customFormat="false" ht="13.8" hidden="true" customHeight="false" outlineLevel="0" collapsed="false">
      <c r="A243" s="5" t="n">
        <v>44099</v>
      </c>
      <c r="B243" s="6" t="n">
        <v>0.5</v>
      </c>
      <c r="C243" s="7" t="n">
        <v>107367</v>
      </c>
      <c r="D243" s="7" t="s">
        <v>19</v>
      </c>
      <c r="E243" s="7" t="n">
        <v>3100</v>
      </c>
      <c r="F243" s="7" t="n">
        <v>2940</v>
      </c>
      <c r="G243" s="8" t="n">
        <v>160</v>
      </c>
      <c r="H243" s="7" t="s">
        <v>11</v>
      </c>
      <c r="I243" s="7" t="s">
        <v>20</v>
      </c>
      <c r="J243" s="0" t="s">
        <v>28</v>
      </c>
    </row>
    <row r="244" customFormat="false" ht="13.8" hidden="true" customHeight="false" outlineLevel="0" collapsed="false">
      <c r="A244" s="5" t="n">
        <v>44099</v>
      </c>
      <c r="B244" s="6" t="n">
        <v>0.501388888888889</v>
      </c>
      <c r="C244" s="7" t="n">
        <v>107368</v>
      </c>
      <c r="D244" s="7" t="s">
        <v>19</v>
      </c>
      <c r="E244" s="7" t="n">
        <v>3100</v>
      </c>
      <c r="F244" s="7" t="n">
        <v>2940</v>
      </c>
      <c r="G244" s="8" t="n">
        <v>160</v>
      </c>
      <c r="H244" s="7" t="s">
        <v>11</v>
      </c>
      <c r="I244" s="7" t="s">
        <v>20</v>
      </c>
      <c r="J244" s="0" t="s">
        <v>28</v>
      </c>
    </row>
    <row r="245" customFormat="false" ht="13.8" hidden="true" customHeight="false" outlineLevel="0" collapsed="false">
      <c r="A245" s="5" t="n">
        <v>44100</v>
      </c>
      <c r="B245" s="6" t="n">
        <v>0.443055555555556</v>
      </c>
      <c r="C245" s="7" t="n">
        <v>130709</v>
      </c>
      <c r="D245" s="7" t="s">
        <v>19</v>
      </c>
      <c r="E245" s="7" t="n">
        <v>3040</v>
      </c>
      <c r="F245" s="7" t="n">
        <v>2860</v>
      </c>
      <c r="G245" s="8" t="n">
        <v>180</v>
      </c>
      <c r="H245" s="7" t="s">
        <v>11</v>
      </c>
      <c r="I245" s="7" t="s">
        <v>12</v>
      </c>
      <c r="J245" s="0" t="s">
        <v>28</v>
      </c>
    </row>
    <row r="246" customFormat="false" ht="13.8" hidden="true" customHeight="false" outlineLevel="0" collapsed="false">
      <c r="A246" s="5" t="n">
        <v>44100</v>
      </c>
      <c r="B246" s="6" t="n">
        <v>0.256944444444444</v>
      </c>
      <c r="C246" s="7" t="n">
        <v>130703</v>
      </c>
      <c r="D246" s="7" t="s">
        <v>16</v>
      </c>
      <c r="E246" s="7" t="n">
        <v>20040</v>
      </c>
      <c r="F246" s="7" t="n">
        <v>15960</v>
      </c>
      <c r="G246" s="8" t="n">
        <v>4080</v>
      </c>
      <c r="H246" s="7" t="s">
        <v>11</v>
      </c>
      <c r="I246" s="7" t="s">
        <v>12</v>
      </c>
      <c r="J246" s="0" t="s">
        <v>28</v>
      </c>
    </row>
    <row r="247" customFormat="false" ht="13.8" hidden="true" customHeight="false" outlineLevel="0" collapsed="false">
      <c r="A247" s="5" t="n">
        <v>44100</v>
      </c>
      <c r="B247" s="6" t="n">
        <v>0.160416666666667</v>
      </c>
      <c r="C247" s="7" t="n">
        <v>130696</v>
      </c>
      <c r="D247" s="7" t="s">
        <v>16</v>
      </c>
      <c r="E247" s="7" t="n">
        <v>24780</v>
      </c>
      <c r="F247" s="7" t="n">
        <v>15980</v>
      </c>
      <c r="G247" s="8" t="n">
        <v>8800</v>
      </c>
      <c r="H247" s="7" t="s">
        <v>11</v>
      </c>
      <c r="I247" s="7" t="s">
        <v>12</v>
      </c>
      <c r="J247" s="0" t="s">
        <v>28</v>
      </c>
    </row>
    <row r="248" customFormat="false" ht="13.8" hidden="true" customHeight="false" outlineLevel="0" collapsed="false">
      <c r="A248" s="5" t="n">
        <v>44100</v>
      </c>
      <c r="B248" s="6" t="n">
        <v>0.266666666666667</v>
      </c>
      <c r="C248" s="7" t="n">
        <v>130705</v>
      </c>
      <c r="D248" s="7" t="s">
        <v>14</v>
      </c>
      <c r="E248" s="7" t="n">
        <v>4500</v>
      </c>
      <c r="F248" s="7" t="n">
        <v>3720</v>
      </c>
      <c r="G248" s="8" t="n">
        <v>780</v>
      </c>
      <c r="H248" s="7" t="s">
        <v>11</v>
      </c>
      <c r="I248" s="7" t="s">
        <v>12</v>
      </c>
      <c r="J248" s="0" t="s">
        <v>28</v>
      </c>
    </row>
    <row r="249" customFormat="false" ht="13.8" hidden="true" customHeight="false" outlineLevel="0" collapsed="false">
      <c r="A249" s="5" t="n">
        <v>44100</v>
      </c>
      <c r="B249" s="6" t="n">
        <v>0.132638888888889</v>
      </c>
      <c r="C249" s="7" t="n">
        <v>130691</v>
      </c>
      <c r="D249" s="7" t="s">
        <v>10</v>
      </c>
      <c r="E249" s="7" t="n">
        <v>22100</v>
      </c>
      <c r="F249" s="7" t="n">
        <v>12920</v>
      </c>
      <c r="G249" s="8" t="n">
        <v>9180</v>
      </c>
      <c r="H249" s="7" t="s">
        <v>11</v>
      </c>
      <c r="I249" s="7" t="s">
        <v>12</v>
      </c>
      <c r="J249" s="0" t="s">
        <v>28</v>
      </c>
    </row>
    <row r="250" customFormat="false" ht="13.8" hidden="true" customHeight="false" outlineLevel="0" collapsed="false">
      <c r="A250" s="5" t="n">
        <v>44100</v>
      </c>
      <c r="B250" s="6" t="n">
        <v>0.549305555555556</v>
      </c>
      <c r="C250" s="7" t="n">
        <v>107420</v>
      </c>
      <c r="D250" s="7" t="s">
        <v>19</v>
      </c>
      <c r="E250" s="7" t="n">
        <v>3240</v>
      </c>
      <c r="F250" s="7" t="n">
        <v>3220</v>
      </c>
      <c r="G250" s="8" t="n">
        <v>20</v>
      </c>
      <c r="H250" s="7" t="s">
        <v>11</v>
      </c>
      <c r="I250" s="7" t="s">
        <v>20</v>
      </c>
      <c r="J250" s="0" t="s">
        <v>28</v>
      </c>
    </row>
    <row r="251" customFormat="false" ht="13.8" hidden="true" customHeight="false" outlineLevel="0" collapsed="false">
      <c r="A251" s="5" t="n">
        <v>44100</v>
      </c>
      <c r="B251" s="6" t="n">
        <v>0.547916666666667</v>
      </c>
      <c r="C251" s="7" t="n">
        <v>107419</v>
      </c>
      <c r="D251" s="7" t="s">
        <v>19</v>
      </c>
      <c r="E251" s="7" t="n">
        <v>3220</v>
      </c>
      <c r="F251" s="7" t="n">
        <v>2780</v>
      </c>
      <c r="G251" s="8" t="n">
        <v>440</v>
      </c>
      <c r="H251" s="7" t="s">
        <v>11</v>
      </c>
      <c r="I251" s="7" t="s">
        <v>20</v>
      </c>
      <c r="J251" s="0" t="s">
        <v>28</v>
      </c>
    </row>
    <row r="252" customFormat="false" ht="13.8" hidden="true" customHeight="false" outlineLevel="0" collapsed="false">
      <c r="A252" s="5" t="n">
        <v>44100</v>
      </c>
      <c r="B252" s="6" t="n">
        <v>0.515277777777778</v>
      </c>
      <c r="C252" s="7" t="n">
        <v>107417</v>
      </c>
      <c r="D252" s="7" t="s">
        <v>15</v>
      </c>
      <c r="E252" s="7" t="n">
        <v>17520</v>
      </c>
      <c r="F252" s="7" t="n">
        <v>15820</v>
      </c>
      <c r="G252" s="8" t="n">
        <v>1700</v>
      </c>
      <c r="H252" s="7" t="s">
        <v>11</v>
      </c>
      <c r="I252" s="7" t="s">
        <v>17</v>
      </c>
      <c r="J252" s="0" t="s">
        <v>13</v>
      </c>
    </row>
    <row r="253" customFormat="false" ht="13.8" hidden="true" customHeight="false" outlineLevel="0" collapsed="false">
      <c r="A253" s="5" t="n">
        <v>44101</v>
      </c>
      <c r="B253" s="6" t="n">
        <v>0.25625</v>
      </c>
      <c r="C253" s="7" t="n">
        <v>130720</v>
      </c>
      <c r="D253" s="7" t="s">
        <v>14</v>
      </c>
      <c r="E253" s="7" t="n">
        <v>4940</v>
      </c>
      <c r="F253" s="7" t="n">
        <v>3740</v>
      </c>
      <c r="G253" s="8" t="n">
        <v>1200</v>
      </c>
      <c r="H253" s="7" t="s">
        <v>11</v>
      </c>
      <c r="I253" s="7" t="s">
        <v>12</v>
      </c>
      <c r="J253" s="0" t="s">
        <v>28</v>
      </c>
    </row>
    <row r="254" customFormat="false" ht="13.8" hidden="true" customHeight="false" outlineLevel="0" collapsed="false">
      <c r="A254" s="5" t="n">
        <v>44101</v>
      </c>
      <c r="B254" s="6" t="n">
        <v>0.174305555555556</v>
      </c>
      <c r="C254" s="7" t="n">
        <v>130716</v>
      </c>
      <c r="D254" s="7" t="s">
        <v>10</v>
      </c>
      <c r="E254" s="7" t="n">
        <v>23980</v>
      </c>
      <c r="F254" s="7" t="n">
        <v>12920</v>
      </c>
      <c r="G254" s="8" t="n">
        <v>11060</v>
      </c>
      <c r="H254" s="7" t="s">
        <v>11</v>
      </c>
      <c r="I254" s="7" t="s">
        <v>12</v>
      </c>
      <c r="J254" s="0" t="s">
        <v>28</v>
      </c>
    </row>
    <row r="255" customFormat="false" ht="13.8" hidden="true" customHeight="false" outlineLevel="0" collapsed="false">
      <c r="A255" s="5" t="n">
        <v>44101</v>
      </c>
      <c r="B255" s="6" t="n">
        <v>0.179861111111111</v>
      </c>
      <c r="C255" s="7" t="n">
        <v>130717</v>
      </c>
      <c r="D255" s="7" t="s">
        <v>15</v>
      </c>
      <c r="E255" s="7" t="n">
        <v>26460</v>
      </c>
      <c r="F255" s="7" t="n">
        <v>15800</v>
      </c>
      <c r="G255" s="8" t="n">
        <v>10660</v>
      </c>
      <c r="H255" s="7" t="s">
        <v>11</v>
      </c>
      <c r="I255" s="7" t="s">
        <v>12</v>
      </c>
      <c r="J255" s="0" t="s">
        <v>28</v>
      </c>
    </row>
    <row r="256" customFormat="false" ht="13.8" hidden="true" customHeight="false" outlineLevel="0" collapsed="false">
      <c r="A256" s="5" t="n">
        <v>44102</v>
      </c>
      <c r="B256" s="6" t="n">
        <v>0.252083333333333</v>
      </c>
      <c r="C256" s="7" t="n">
        <v>130738</v>
      </c>
      <c r="D256" s="7" t="s">
        <v>14</v>
      </c>
      <c r="E256" s="7" t="n">
        <v>4740</v>
      </c>
      <c r="F256" s="7" t="n">
        <v>3740</v>
      </c>
      <c r="G256" s="8" t="n">
        <v>1000</v>
      </c>
      <c r="H256" s="7" t="s">
        <v>11</v>
      </c>
      <c r="I256" s="7" t="s">
        <v>12</v>
      </c>
      <c r="J256" s="0" t="s">
        <v>28</v>
      </c>
    </row>
    <row r="257" customFormat="false" ht="13.8" hidden="true" customHeight="false" outlineLevel="0" collapsed="false">
      <c r="A257" s="5" t="n">
        <v>44102</v>
      </c>
      <c r="B257" s="6" t="n">
        <v>0.129861111111111</v>
      </c>
      <c r="C257" s="7" t="n">
        <v>130727</v>
      </c>
      <c r="D257" s="7" t="s">
        <v>10</v>
      </c>
      <c r="E257" s="7" t="n">
        <v>21520</v>
      </c>
      <c r="F257" s="7" t="n">
        <v>12960</v>
      </c>
      <c r="G257" s="8" t="n">
        <v>8560</v>
      </c>
      <c r="H257" s="7" t="s">
        <v>11</v>
      </c>
      <c r="I257" s="7" t="s">
        <v>12</v>
      </c>
      <c r="J257" s="0" t="s">
        <v>28</v>
      </c>
    </row>
    <row r="258" customFormat="false" ht="13.8" hidden="true" customHeight="false" outlineLevel="0" collapsed="false">
      <c r="A258" s="5" t="n">
        <v>44102</v>
      </c>
      <c r="B258" s="6" t="n">
        <v>0.265277777777778</v>
      </c>
      <c r="C258" s="7" t="n">
        <v>130741</v>
      </c>
      <c r="D258" s="7" t="s">
        <v>15</v>
      </c>
      <c r="E258" s="7" t="n">
        <v>23340</v>
      </c>
      <c r="F258" s="7" t="n">
        <v>15760</v>
      </c>
      <c r="G258" s="8" t="n">
        <v>7580</v>
      </c>
      <c r="H258" s="7" t="s">
        <v>11</v>
      </c>
      <c r="I258" s="7" t="s">
        <v>12</v>
      </c>
      <c r="J258" s="0" t="s">
        <v>28</v>
      </c>
    </row>
    <row r="259" customFormat="false" ht="13.8" hidden="true" customHeight="false" outlineLevel="0" collapsed="false">
      <c r="A259" s="5" t="n">
        <v>44102</v>
      </c>
      <c r="B259" s="6" t="n">
        <v>0.16875</v>
      </c>
      <c r="C259" s="7" t="n">
        <v>130731</v>
      </c>
      <c r="D259" s="7" t="s">
        <v>16</v>
      </c>
      <c r="E259" s="7" t="n">
        <v>21900</v>
      </c>
      <c r="F259" s="7" t="n">
        <v>16060</v>
      </c>
      <c r="G259" s="8" t="n">
        <v>5840</v>
      </c>
      <c r="H259" s="7" t="s">
        <v>11</v>
      </c>
      <c r="I259" s="7" t="s">
        <v>12</v>
      </c>
      <c r="J259" s="0" t="s">
        <v>28</v>
      </c>
    </row>
    <row r="260" customFormat="false" ht="13.8" hidden="true" customHeight="false" outlineLevel="0" collapsed="false">
      <c r="A260" s="5" t="n">
        <v>44102</v>
      </c>
      <c r="B260" s="6" t="n">
        <v>0.334027777777778</v>
      </c>
      <c r="C260" s="7" t="n">
        <v>107423</v>
      </c>
      <c r="D260" s="7" t="s">
        <v>19</v>
      </c>
      <c r="E260" s="7" t="n">
        <v>3560</v>
      </c>
      <c r="F260" s="7" t="n">
        <v>2940</v>
      </c>
      <c r="G260" s="8" t="n">
        <v>620</v>
      </c>
      <c r="H260" s="7" t="s">
        <v>11</v>
      </c>
      <c r="I260" s="7" t="s">
        <v>20</v>
      </c>
      <c r="J260" s="0" t="s">
        <v>28</v>
      </c>
    </row>
    <row r="261" customFormat="false" ht="13.8" hidden="true" customHeight="false" outlineLevel="0" collapsed="false">
      <c r="A261" s="5" t="n">
        <v>44102</v>
      </c>
      <c r="B261" s="6" t="n">
        <v>0.336111111111111</v>
      </c>
      <c r="C261" s="7" t="n">
        <v>107424</v>
      </c>
      <c r="D261" s="7" t="s">
        <v>19</v>
      </c>
      <c r="E261" s="7" t="n">
        <v>2980</v>
      </c>
      <c r="F261" s="7" t="n">
        <v>2940</v>
      </c>
      <c r="G261" s="8" t="n">
        <v>40</v>
      </c>
      <c r="H261" s="7" t="s">
        <v>11</v>
      </c>
      <c r="I261" s="7" t="s">
        <v>20</v>
      </c>
      <c r="J261" s="0" t="s">
        <v>28</v>
      </c>
    </row>
    <row r="262" customFormat="false" ht="13.8" hidden="true" customHeight="false" outlineLevel="0" collapsed="false">
      <c r="A262" s="5" t="n">
        <v>44102</v>
      </c>
      <c r="B262" s="6" t="n">
        <v>0.540972222222222</v>
      </c>
      <c r="C262" s="7" t="n">
        <v>107471</v>
      </c>
      <c r="D262" s="7" t="s">
        <v>19</v>
      </c>
      <c r="E262" s="7" t="n">
        <v>3160</v>
      </c>
      <c r="F262" s="7" t="n">
        <v>2880</v>
      </c>
      <c r="G262" s="8" t="n">
        <v>280</v>
      </c>
      <c r="H262" s="7" t="s">
        <v>11</v>
      </c>
      <c r="I262" s="7" t="s">
        <v>20</v>
      </c>
      <c r="J262" s="0" t="s">
        <v>28</v>
      </c>
    </row>
    <row r="263" customFormat="false" ht="13.8" hidden="true" customHeight="false" outlineLevel="0" collapsed="false">
      <c r="A263" s="5" t="n">
        <v>44102</v>
      </c>
      <c r="B263" s="6" t="n">
        <v>0.541666666666667</v>
      </c>
      <c r="C263" s="7" t="n">
        <v>107472</v>
      </c>
      <c r="D263" s="7" t="s">
        <v>19</v>
      </c>
      <c r="E263" s="7" t="n">
        <v>2940</v>
      </c>
      <c r="F263" s="7" t="n">
        <v>2880</v>
      </c>
      <c r="G263" s="8" t="n">
        <v>60</v>
      </c>
      <c r="H263" s="7" t="s">
        <v>11</v>
      </c>
      <c r="I263" s="7" t="s">
        <v>20</v>
      </c>
      <c r="J263" s="0" t="s">
        <v>28</v>
      </c>
    </row>
    <row r="264" customFormat="false" ht="13.8" hidden="true" customHeight="false" outlineLevel="0" collapsed="false">
      <c r="A264" s="5" t="n">
        <v>44102</v>
      </c>
      <c r="B264" s="6" t="n">
        <v>0.470833333333333</v>
      </c>
      <c r="C264" s="7" t="n">
        <v>107453</v>
      </c>
      <c r="D264" s="7" t="s">
        <v>19</v>
      </c>
      <c r="E264" s="7" t="n">
        <v>3640</v>
      </c>
      <c r="F264" s="7" t="n">
        <v>2880</v>
      </c>
      <c r="G264" s="8" t="n">
        <v>760</v>
      </c>
      <c r="H264" s="7" t="s">
        <v>11</v>
      </c>
      <c r="I264" s="7" t="s">
        <v>20</v>
      </c>
      <c r="J264" s="0" t="s">
        <v>28</v>
      </c>
    </row>
    <row r="265" customFormat="false" ht="13.8" hidden="false" customHeight="false" outlineLevel="0" collapsed="false">
      <c r="A265" s="5" t="n">
        <v>44102</v>
      </c>
      <c r="B265" s="6" t="n">
        <v>0.457638888888889</v>
      </c>
      <c r="C265" s="7" t="n">
        <v>797</v>
      </c>
      <c r="D265" s="7" t="s">
        <v>16</v>
      </c>
      <c r="E265" s="7" t="n">
        <v>17840</v>
      </c>
      <c r="F265" s="7" t="n">
        <v>15980</v>
      </c>
      <c r="G265" s="8" t="n">
        <v>1860</v>
      </c>
      <c r="H265" s="7" t="s">
        <v>11</v>
      </c>
      <c r="I265" s="7" t="s">
        <v>25</v>
      </c>
      <c r="J265" s="0" t="s">
        <v>13</v>
      </c>
    </row>
    <row r="266" customFormat="false" ht="13.8" hidden="true" customHeight="false" outlineLevel="0" collapsed="false">
      <c r="A266" s="5" t="n">
        <v>44103</v>
      </c>
      <c r="B266" s="6" t="n">
        <v>0.227083333333333</v>
      </c>
      <c r="C266" s="7" t="n">
        <v>130776</v>
      </c>
      <c r="D266" s="7" t="s">
        <v>15</v>
      </c>
      <c r="E266" s="7" t="n">
        <v>24540</v>
      </c>
      <c r="F266" s="7" t="n">
        <v>15720</v>
      </c>
      <c r="G266" s="8" t="n">
        <v>8820</v>
      </c>
      <c r="H266" s="7" t="s">
        <v>11</v>
      </c>
      <c r="I266" s="7" t="s">
        <v>12</v>
      </c>
      <c r="J266" s="0" t="s">
        <v>28</v>
      </c>
    </row>
    <row r="267" customFormat="false" ht="13.8" hidden="true" customHeight="false" outlineLevel="0" collapsed="false">
      <c r="A267" s="5" t="n">
        <v>44103</v>
      </c>
      <c r="B267" s="6" t="n">
        <v>0.261805555555556</v>
      </c>
      <c r="C267" s="7" t="n">
        <v>130780</v>
      </c>
      <c r="D267" s="7" t="s">
        <v>14</v>
      </c>
      <c r="E267" s="7" t="n">
        <v>4340</v>
      </c>
      <c r="F267" s="7" t="n">
        <v>3780</v>
      </c>
      <c r="G267" s="8" t="n">
        <v>560</v>
      </c>
      <c r="H267" s="7" t="s">
        <v>11</v>
      </c>
      <c r="I267" s="7" t="s">
        <v>12</v>
      </c>
      <c r="J267" s="0" t="s">
        <v>28</v>
      </c>
    </row>
    <row r="268" customFormat="false" ht="13.8" hidden="true" customHeight="false" outlineLevel="0" collapsed="false">
      <c r="A268" s="5" t="n">
        <v>44103</v>
      </c>
      <c r="B268" s="6" t="n">
        <v>0.0826388888888889</v>
      </c>
      <c r="C268" s="7" t="n">
        <v>130765</v>
      </c>
      <c r="D268" s="7" t="s">
        <v>16</v>
      </c>
      <c r="E268" s="7" t="n">
        <v>19340</v>
      </c>
      <c r="F268" s="7" t="n">
        <v>16020</v>
      </c>
      <c r="G268" s="8" t="n">
        <v>3320</v>
      </c>
      <c r="H268" s="7" t="s">
        <v>11</v>
      </c>
      <c r="I268" s="7" t="s">
        <v>12</v>
      </c>
      <c r="J268" s="0" t="s">
        <v>28</v>
      </c>
    </row>
    <row r="269" customFormat="false" ht="13.8" hidden="true" customHeight="false" outlineLevel="0" collapsed="false">
      <c r="A269" s="5" t="n">
        <v>44103</v>
      </c>
      <c r="B269" s="6" t="n">
        <v>0.131944444444444</v>
      </c>
      <c r="C269" s="7" t="n">
        <v>130770</v>
      </c>
      <c r="D269" s="7" t="s">
        <v>10</v>
      </c>
      <c r="E269" s="7" t="n">
        <v>19220</v>
      </c>
      <c r="F269" s="7" t="n">
        <v>12980</v>
      </c>
      <c r="G269" s="8" t="n">
        <v>6240</v>
      </c>
      <c r="H269" s="7" t="s">
        <v>11</v>
      </c>
      <c r="I269" s="7" t="s">
        <v>12</v>
      </c>
      <c r="J269" s="0" t="s">
        <v>28</v>
      </c>
    </row>
    <row r="270" customFormat="false" ht="13.8" hidden="true" customHeight="false" outlineLevel="0" collapsed="false">
      <c r="A270" s="5" t="n">
        <v>44103</v>
      </c>
      <c r="B270" s="6" t="n">
        <v>0.34375</v>
      </c>
      <c r="C270" s="7" t="n">
        <v>107502</v>
      </c>
      <c r="D270" s="7" t="s">
        <v>27</v>
      </c>
      <c r="E270" s="7" t="n">
        <v>18100</v>
      </c>
      <c r="F270" s="7" t="n">
        <v>15940</v>
      </c>
      <c r="G270" s="8" t="n">
        <v>2160</v>
      </c>
      <c r="H270" s="7" t="s">
        <v>11</v>
      </c>
      <c r="I270" s="7" t="s">
        <v>20</v>
      </c>
      <c r="J270" s="0" t="s">
        <v>28</v>
      </c>
    </row>
    <row r="271" customFormat="false" ht="13.8" hidden="true" customHeight="false" outlineLevel="0" collapsed="false">
      <c r="A271" s="5" t="n">
        <v>44103</v>
      </c>
      <c r="B271" s="6" t="n">
        <v>0.481944444444444</v>
      </c>
      <c r="C271" s="7" t="n">
        <v>107541</v>
      </c>
      <c r="D271" s="7" t="s">
        <v>16</v>
      </c>
      <c r="E271" s="7" t="n">
        <v>17120</v>
      </c>
      <c r="F271" s="7" t="n">
        <v>15960</v>
      </c>
      <c r="G271" s="8" t="n">
        <v>1160</v>
      </c>
      <c r="H271" s="7" t="s">
        <v>11</v>
      </c>
      <c r="I271" s="7" t="s">
        <v>17</v>
      </c>
      <c r="J271" s="0" t="s">
        <v>13</v>
      </c>
    </row>
    <row r="272" customFormat="false" ht="13.8" hidden="true" customHeight="false" outlineLevel="0" collapsed="false">
      <c r="A272" s="5" t="n">
        <v>44103</v>
      </c>
      <c r="B272" s="6" t="n">
        <v>0.452777777777778</v>
      </c>
      <c r="C272" s="7" t="n">
        <v>130793</v>
      </c>
      <c r="D272" s="7" t="s">
        <v>18</v>
      </c>
      <c r="E272" s="7" t="n">
        <v>2700</v>
      </c>
      <c r="F272" s="7" t="n">
        <v>2420</v>
      </c>
      <c r="G272" s="8" t="n">
        <v>280</v>
      </c>
      <c r="H272" s="7" t="s">
        <v>11</v>
      </c>
      <c r="I272" s="7" t="s">
        <v>12</v>
      </c>
      <c r="J272" s="0" t="s">
        <v>28</v>
      </c>
    </row>
    <row r="273" customFormat="false" ht="13.8" hidden="true" customHeight="false" outlineLevel="0" collapsed="false">
      <c r="A273" s="5" t="n">
        <v>44103</v>
      </c>
      <c r="B273" s="6" t="n">
        <v>0.55625</v>
      </c>
      <c r="C273" s="7" t="n">
        <v>107561</v>
      </c>
      <c r="D273" s="7" t="s">
        <v>19</v>
      </c>
      <c r="E273" s="7" t="n">
        <v>3080</v>
      </c>
      <c r="F273" s="7" t="n">
        <v>2780</v>
      </c>
      <c r="G273" s="8" t="n">
        <v>300</v>
      </c>
      <c r="H273" s="7" t="s">
        <v>11</v>
      </c>
      <c r="I273" s="7" t="s">
        <v>20</v>
      </c>
      <c r="J273" s="0" t="s">
        <v>28</v>
      </c>
    </row>
    <row r="274" customFormat="false" ht="13.8" hidden="true" customHeight="false" outlineLevel="0" collapsed="false">
      <c r="A274" s="5" t="n">
        <v>44103</v>
      </c>
      <c r="B274" s="6" t="n">
        <v>0.383333333333333</v>
      </c>
      <c r="C274" s="7" t="n">
        <v>107515</v>
      </c>
      <c r="D274" s="7" t="s">
        <v>27</v>
      </c>
      <c r="E274" s="7" t="n">
        <v>17940</v>
      </c>
      <c r="F274" s="7" t="n">
        <v>15960</v>
      </c>
      <c r="G274" s="8" t="n">
        <v>1980</v>
      </c>
      <c r="H274" s="7" t="s">
        <v>11</v>
      </c>
      <c r="I274" s="7" t="s">
        <v>20</v>
      </c>
      <c r="J274" s="0" t="s">
        <v>28</v>
      </c>
    </row>
    <row r="275" customFormat="false" ht="13.8" hidden="true" customHeight="false" outlineLevel="0" collapsed="false">
      <c r="A275" s="5" t="n">
        <v>44103</v>
      </c>
      <c r="B275" s="6" t="n">
        <v>0.384722222222222</v>
      </c>
      <c r="C275" s="7" t="n">
        <v>107516</v>
      </c>
      <c r="D275" s="7" t="s">
        <v>27</v>
      </c>
      <c r="E275" s="7" t="n">
        <v>16020</v>
      </c>
      <c r="F275" s="7" t="n">
        <v>15960</v>
      </c>
      <c r="G275" s="8" t="n">
        <v>60</v>
      </c>
      <c r="H275" s="7" t="s">
        <v>11</v>
      </c>
      <c r="I275" s="7" t="s">
        <v>20</v>
      </c>
      <c r="J275" s="0" t="s">
        <v>28</v>
      </c>
    </row>
    <row r="276" customFormat="false" ht="13.8" hidden="true" customHeight="false" outlineLevel="0" collapsed="false">
      <c r="A276" s="5" t="n">
        <v>44103</v>
      </c>
      <c r="B276" s="6" t="n">
        <v>0.438888888888889</v>
      </c>
      <c r="C276" s="7" t="n">
        <v>107528</v>
      </c>
      <c r="D276" s="7" t="s">
        <v>19</v>
      </c>
      <c r="E276" s="7" t="n">
        <v>3240</v>
      </c>
      <c r="F276" s="7" t="n">
        <v>2800</v>
      </c>
      <c r="G276" s="8" t="n">
        <v>440</v>
      </c>
      <c r="H276" s="7" t="s">
        <v>11</v>
      </c>
      <c r="I276" s="7" t="s">
        <v>20</v>
      </c>
      <c r="J276" s="0" t="s">
        <v>28</v>
      </c>
    </row>
    <row r="277" customFormat="false" ht="13.8" hidden="true" customHeight="false" outlineLevel="0" collapsed="false">
      <c r="A277" s="5" t="n">
        <v>44103</v>
      </c>
      <c r="B277" s="6" t="n">
        <v>0.439583333333333</v>
      </c>
      <c r="C277" s="7" t="n">
        <v>107529</v>
      </c>
      <c r="D277" s="7" t="s">
        <v>19</v>
      </c>
      <c r="E277" s="7" t="n">
        <v>2840</v>
      </c>
      <c r="F277" s="7" t="n">
        <v>2800</v>
      </c>
      <c r="G277" s="8" t="n">
        <v>40</v>
      </c>
      <c r="H277" s="7" t="s">
        <v>11</v>
      </c>
      <c r="I277" s="7" t="s">
        <v>20</v>
      </c>
      <c r="J277" s="0" t="s">
        <v>28</v>
      </c>
    </row>
    <row r="278" customFormat="false" ht="13.8" hidden="true" customHeight="false" outlineLevel="0" collapsed="false">
      <c r="A278" s="5" t="n">
        <v>44104</v>
      </c>
      <c r="B278" s="6" t="n">
        <v>0.368055555555556</v>
      </c>
      <c r="C278" s="7" t="n">
        <v>107586</v>
      </c>
      <c r="D278" s="7" t="s">
        <v>26</v>
      </c>
      <c r="E278" s="7" t="n">
        <v>6900</v>
      </c>
      <c r="F278" s="7" t="n">
        <v>5620</v>
      </c>
      <c r="G278" s="8" t="n">
        <v>1280</v>
      </c>
      <c r="H278" s="7" t="s">
        <v>11</v>
      </c>
      <c r="I278" s="7" t="s">
        <v>20</v>
      </c>
      <c r="J278" s="0" t="s">
        <v>28</v>
      </c>
    </row>
    <row r="279" customFormat="false" ht="13.8" hidden="true" customHeight="false" outlineLevel="0" collapsed="false">
      <c r="A279" s="5" t="n">
        <v>44104</v>
      </c>
      <c r="B279" s="6" t="n">
        <v>0.36875</v>
      </c>
      <c r="C279" s="7" t="n">
        <v>107587</v>
      </c>
      <c r="D279" s="7" t="s">
        <v>26</v>
      </c>
      <c r="E279" s="7" t="n">
        <v>5700</v>
      </c>
      <c r="F279" s="7" t="n">
        <v>5620</v>
      </c>
      <c r="G279" s="8" t="n">
        <v>80</v>
      </c>
      <c r="H279" s="7" t="s">
        <v>11</v>
      </c>
      <c r="I279" s="7" t="s">
        <v>20</v>
      </c>
      <c r="J279" s="0" t="s">
        <v>28</v>
      </c>
    </row>
    <row r="280" customFormat="false" ht="13.8" hidden="true" customHeight="false" outlineLevel="0" collapsed="false">
      <c r="A280" s="5" t="n">
        <v>44104</v>
      </c>
      <c r="B280" s="6" t="n">
        <v>0.204861111111111</v>
      </c>
      <c r="C280" s="7" t="n">
        <v>130817</v>
      </c>
      <c r="D280" s="7" t="s">
        <v>15</v>
      </c>
      <c r="E280" s="7" t="n">
        <v>22920</v>
      </c>
      <c r="F280" s="7" t="n">
        <v>15840</v>
      </c>
      <c r="G280" s="8" t="n">
        <v>7080</v>
      </c>
      <c r="H280" s="7" t="s">
        <v>11</v>
      </c>
      <c r="I280" s="7" t="s">
        <v>12</v>
      </c>
      <c r="J280" s="0" t="s">
        <v>28</v>
      </c>
    </row>
    <row r="281" customFormat="false" ht="13.8" hidden="true" customHeight="false" outlineLevel="0" collapsed="false">
      <c r="A281" s="5" t="n">
        <v>44104</v>
      </c>
      <c r="B281" s="6" t="n">
        <v>0.175</v>
      </c>
      <c r="C281" s="7" t="n">
        <v>130816</v>
      </c>
      <c r="D281" s="7" t="s">
        <v>16</v>
      </c>
      <c r="E281" s="7" t="n">
        <v>20480</v>
      </c>
      <c r="F281" s="7" t="n">
        <v>16100</v>
      </c>
      <c r="G281" s="8" t="n">
        <v>4380</v>
      </c>
      <c r="H281" s="7" t="s">
        <v>11</v>
      </c>
      <c r="I281" s="7" t="s">
        <v>12</v>
      </c>
      <c r="J281" s="0" t="s">
        <v>28</v>
      </c>
    </row>
    <row r="282" customFormat="false" ht="13.8" hidden="true" customHeight="false" outlineLevel="0" collapsed="false">
      <c r="A282" s="5" t="n">
        <v>44104</v>
      </c>
      <c r="B282" s="6" t="n">
        <v>0.264583333333333</v>
      </c>
      <c r="C282" s="7" t="n">
        <v>130821</v>
      </c>
      <c r="D282" s="7" t="s">
        <v>14</v>
      </c>
      <c r="E282" s="7" t="n">
        <v>4400</v>
      </c>
      <c r="F282" s="7" t="n">
        <v>3800</v>
      </c>
      <c r="G282" s="8" t="n">
        <v>600</v>
      </c>
      <c r="H282" s="7" t="s">
        <v>11</v>
      </c>
      <c r="I282" s="7" t="s">
        <v>12</v>
      </c>
      <c r="J282" s="0" t="s">
        <v>28</v>
      </c>
    </row>
    <row r="283" customFormat="false" ht="13.8" hidden="true" customHeight="false" outlineLevel="0" collapsed="false">
      <c r="A283" s="5" t="n">
        <v>44104</v>
      </c>
      <c r="B283" s="6" t="n">
        <v>0.123611111111111</v>
      </c>
      <c r="C283" s="7" t="n">
        <v>130811</v>
      </c>
      <c r="D283" s="7" t="s">
        <v>10</v>
      </c>
      <c r="E283" s="7" t="n">
        <v>20260</v>
      </c>
      <c r="F283" s="7" t="n">
        <v>12980</v>
      </c>
      <c r="G283" s="8" t="n">
        <v>7280</v>
      </c>
      <c r="H283" s="7" t="s">
        <v>11</v>
      </c>
      <c r="I283" s="7" t="s">
        <v>12</v>
      </c>
      <c r="J283" s="0" t="s">
        <v>28</v>
      </c>
    </row>
    <row r="284" customFormat="false" ht="13.8" hidden="true" customHeight="false" outlineLevel="0" collapsed="false">
      <c r="A284" s="5" t="n">
        <v>44104</v>
      </c>
      <c r="B284" s="6" t="n">
        <v>0.534027777777778</v>
      </c>
      <c r="C284" s="7" t="n">
        <v>107634</v>
      </c>
      <c r="D284" s="7" t="s">
        <v>19</v>
      </c>
      <c r="E284" s="7" t="n">
        <v>3240</v>
      </c>
      <c r="F284" s="7" t="n">
        <v>2840</v>
      </c>
      <c r="G284" s="7" t="n">
        <v>400</v>
      </c>
      <c r="H284" s="7" t="s">
        <v>11</v>
      </c>
      <c r="I284" s="7" t="s">
        <v>20</v>
      </c>
      <c r="J284" s="0" t="s">
        <v>28</v>
      </c>
    </row>
    <row r="285" customFormat="false" ht="13.8" hidden="true" customHeight="false" outlineLevel="0" collapsed="false">
      <c r="A285" s="5" t="n">
        <v>44104</v>
      </c>
      <c r="B285" s="6" t="n">
        <v>0.535416666666667</v>
      </c>
      <c r="C285" s="7" t="n">
        <v>107635</v>
      </c>
      <c r="D285" s="7" t="s">
        <v>19</v>
      </c>
      <c r="E285" s="7" t="n">
        <v>2860</v>
      </c>
      <c r="F285" s="7" t="n">
        <v>2840</v>
      </c>
      <c r="G285" s="7" t="n">
        <v>20</v>
      </c>
      <c r="H285" s="7" t="s">
        <v>11</v>
      </c>
      <c r="I285" s="7" t="s">
        <v>20</v>
      </c>
      <c r="J285" s="0" t="s">
        <v>28</v>
      </c>
    </row>
    <row r="286" customFormat="false" ht="13.8" hidden="true" customHeight="false" outlineLevel="0" collapsed="false">
      <c r="A286" s="5" t="n">
        <v>44104</v>
      </c>
      <c r="B286" s="6" t="n">
        <v>0.443055555555556</v>
      </c>
      <c r="C286" s="7" t="n">
        <v>107603</v>
      </c>
      <c r="D286" s="7" t="s">
        <v>21</v>
      </c>
      <c r="E286" s="7" t="n">
        <v>3080</v>
      </c>
      <c r="F286" s="7" t="n">
        <v>2800</v>
      </c>
      <c r="G286" s="7" t="n">
        <v>280</v>
      </c>
      <c r="H286" s="7" t="s">
        <v>11</v>
      </c>
      <c r="I286" s="7" t="s">
        <v>20</v>
      </c>
      <c r="J286" s="0" t="s">
        <v>28</v>
      </c>
    </row>
    <row r="287" customFormat="false" ht="13.8" hidden="false" customHeight="false" outlineLevel="0" collapsed="false"/>
  </sheetData>
  <autoFilter ref="A1:J286">
    <filterColumn colId="3">
      <filters>
        <filter val="1730KBZ"/>
        <filter val="1821KBZ"/>
      </filters>
    </filterColumn>
    <filterColumn colId="8">
      <customFilters and="true">
        <customFilter operator="equal" val="SEL.ENV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2" min="1" style="0" width="10.5"/>
    <col collapsed="false" customWidth="true" hidden="false" outlineLevel="0" max="13" min="13" style="0" width="15.33"/>
    <col collapsed="false" customWidth="true" hidden="false" outlineLevel="0" max="1025" min="14" style="0" width="10.5"/>
  </cols>
  <sheetData>
    <row r="1" customFormat="false" ht="12.8" hidden="false" customHeight="false" outlineLevel="0" collapsed="false">
      <c r="A1" s="10" t="s">
        <v>8</v>
      </c>
      <c r="B1" s="11" t="s">
        <v>31</v>
      </c>
    </row>
    <row r="3" customFormat="false" ht="12.8" hidden="false" customHeight="false" outlineLevel="0" collapsed="false">
      <c r="A3" s="12" t="s">
        <v>32</v>
      </c>
      <c r="B3" s="13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5"/>
    </row>
    <row r="4" customFormat="false" ht="12.8" hidden="false" customHeight="false" outlineLevel="0" collapsed="false">
      <c r="A4" s="16" t="s">
        <v>0</v>
      </c>
      <c r="B4" s="17" t="s">
        <v>27</v>
      </c>
      <c r="C4" s="18" t="s">
        <v>21</v>
      </c>
      <c r="D4" s="18" t="s">
        <v>15</v>
      </c>
      <c r="E4" s="18" t="s">
        <v>16</v>
      </c>
      <c r="F4" s="18" t="s">
        <v>18</v>
      </c>
      <c r="G4" s="18" t="s">
        <v>23</v>
      </c>
      <c r="H4" s="18" t="s">
        <v>19</v>
      </c>
      <c r="I4" s="18" t="s">
        <v>10</v>
      </c>
      <c r="J4" s="18" t="s">
        <v>14</v>
      </c>
      <c r="K4" s="18" t="s">
        <v>26</v>
      </c>
      <c r="L4" s="18" t="s">
        <v>30</v>
      </c>
      <c r="M4" s="19" t="s">
        <v>33</v>
      </c>
    </row>
    <row r="5" customFormat="false" ht="12.8" hidden="false" customHeight="false" outlineLevel="0" collapsed="false">
      <c r="A5" s="20" t="n">
        <v>44075</v>
      </c>
      <c r="B5" s="21"/>
      <c r="C5" s="22"/>
      <c r="D5" s="22" t="n">
        <v>19000</v>
      </c>
      <c r="E5" s="22" t="n">
        <v>11000</v>
      </c>
      <c r="F5" s="22" t="n">
        <v>420</v>
      </c>
      <c r="G5" s="22"/>
      <c r="H5" s="22" t="n">
        <v>800</v>
      </c>
      <c r="I5" s="22" t="n">
        <v>13780</v>
      </c>
      <c r="J5" s="22" t="n">
        <v>700</v>
      </c>
      <c r="K5" s="22"/>
      <c r="L5" s="23"/>
      <c r="M5" s="24" t="n">
        <v>45700</v>
      </c>
    </row>
    <row r="6" customFormat="false" ht="12.8" hidden="false" customHeight="false" outlineLevel="0" collapsed="false">
      <c r="A6" s="25" t="n">
        <v>44076</v>
      </c>
      <c r="B6" s="26"/>
      <c r="C6" s="27" t="n">
        <v>140</v>
      </c>
      <c r="D6" s="27"/>
      <c r="E6" s="27" t="n">
        <v>16740</v>
      </c>
      <c r="F6" s="27" t="n">
        <v>380</v>
      </c>
      <c r="G6" s="27" t="n">
        <v>2960</v>
      </c>
      <c r="H6" s="27" t="n">
        <v>720</v>
      </c>
      <c r="I6" s="27" t="n">
        <v>11720</v>
      </c>
      <c r="J6" s="27" t="n">
        <v>620</v>
      </c>
      <c r="K6" s="27"/>
      <c r="L6" s="28"/>
      <c r="M6" s="29" t="n">
        <v>33280</v>
      </c>
    </row>
    <row r="7" customFormat="false" ht="12.8" hidden="false" customHeight="false" outlineLevel="0" collapsed="false">
      <c r="A7" s="25" t="n">
        <v>44077</v>
      </c>
      <c r="B7" s="26"/>
      <c r="C7" s="27"/>
      <c r="D7" s="27"/>
      <c r="E7" s="27" t="n">
        <v>13620</v>
      </c>
      <c r="F7" s="27"/>
      <c r="G7" s="27"/>
      <c r="H7" s="27" t="n">
        <v>2140</v>
      </c>
      <c r="I7" s="27" t="n">
        <v>12840</v>
      </c>
      <c r="J7" s="27" t="n">
        <v>1000</v>
      </c>
      <c r="K7" s="27"/>
      <c r="L7" s="28"/>
      <c r="M7" s="29" t="n">
        <v>29600</v>
      </c>
    </row>
    <row r="8" customFormat="false" ht="12.8" hidden="false" customHeight="false" outlineLevel="0" collapsed="false">
      <c r="A8" s="25" t="n">
        <v>44078</v>
      </c>
      <c r="B8" s="26"/>
      <c r="C8" s="27" t="n">
        <v>240</v>
      </c>
      <c r="D8" s="27"/>
      <c r="E8" s="27" t="n">
        <v>20720</v>
      </c>
      <c r="F8" s="27" t="n">
        <v>480</v>
      </c>
      <c r="G8" s="27"/>
      <c r="H8" s="27" t="n">
        <v>1160</v>
      </c>
      <c r="I8" s="27" t="n">
        <v>13200</v>
      </c>
      <c r="J8" s="27" t="n">
        <v>800</v>
      </c>
      <c r="K8" s="27"/>
      <c r="L8" s="28"/>
      <c r="M8" s="29" t="n">
        <v>36600</v>
      </c>
    </row>
    <row r="9" customFormat="false" ht="12.8" hidden="false" customHeight="false" outlineLevel="0" collapsed="false">
      <c r="A9" s="25" t="n">
        <v>44079</v>
      </c>
      <c r="B9" s="26"/>
      <c r="C9" s="27"/>
      <c r="D9" s="27" t="n">
        <v>900</v>
      </c>
      <c r="E9" s="27" t="n">
        <v>17600</v>
      </c>
      <c r="F9" s="27" t="n">
        <v>380</v>
      </c>
      <c r="G9" s="27"/>
      <c r="H9" s="27" t="n">
        <v>940</v>
      </c>
      <c r="I9" s="27" t="n">
        <v>13940</v>
      </c>
      <c r="J9" s="27" t="n">
        <v>840</v>
      </c>
      <c r="K9" s="27" t="n">
        <v>180</v>
      </c>
      <c r="L9" s="28"/>
      <c r="M9" s="29" t="n">
        <v>34780</v>
      </c>
    </row>
    <row r="10" customFormat="false" ht="12.8" hidden="false" customHeight="false" outlineLevel="0" collapsed="false">
      <c r="A10" s="25" t="n">
        <v>44080</v>
      </c>
      <c r="B10" s="26"/>
      <c r="C10" s="27"/>
      <c r="D10" s="27" t="n">
        <v>11880</v>
      </c>
      <c r="E10" s="27" t="n">
        <v>7300</v>
      </c>
      <c r="F10" s="27" t="n">
        <v>480</v>
      </c>
      <c r="G10" s="27"/>
      <c r="H10" s="27" t="n">
        <v>820</v>
      </c>
      <c r="I10" s="27" t="n">
        <v>14180</v>
      </c>
      <c r="J10" s="27" t="n">
        <v>1520</v>
      </c>
      <c r="K10" s="27"/>
      <c r="L10" s="28"/>
      <c r="M10" s="29" t="n">
        <v>36180</v>
      </c>
    </row>
    <row r="11" customFormat="false" ht="12.8" hidden="false" customHeight="false" outlineLevel="0" collapsed="false">
      <c r="A11" s="25" t="n">
        <v>44081</v>
      </c>
      <c r="B11" s="26"/>
      <c r="C11" s="27"/>
      <c r="D11" s="27" t="n">
        <v>14560</v>
      </c>
      <c r="E11" s="27" t="n">
        <v>6640</v>
      </c>
      <c r="F11" s="27" t="n">
        <v>580</v>
      </c>
      <c r="G11" s="27" t="n">
        <v>4780</v>
      </c>
      <c r="H11" s="27" t="n">
        <v>1440</v>
      </c>
      <c r="I11" s="27" t="n">
        <v>14560</v>
      </c>
      <c r="J11" s="27" t="n">
        <v>880</v>
      </c>
      <c r="K11" s="27"/>
      <c r="L11" s="28"/>
      <c r="M11" s="29" t="n">
        <v>43440</v>
      </c>
    </row>
    <row r="12" customFormat="false" ht="12.8" hidden="false" customHeight="false" outlineLevel="0" collapsed="false">
      <c r="A12" s="25" t="n">
        <v>44082</v>
      </c>
      <c r="B12" s="26"/>
      <c r="C12" s="27"/>
      <c r="D12" s="27" t="n">
        <v>7860</v>
      </c>
      <c r="E12" s="27" t="n">
        <v>10420</v>
      </c>
      <c r="F12" s="27" t="n">
        <v>500</v>
      </c>
      <c r="G12" s="27"/>
      <c r="H12" s="27" t="n">
        <v>1120</v>
      </c>
      <c r="I12" s="27" t="n">
        <v>12560</v>
      </c>
      <c r="J12" s="27" t="n">
        <v>920</v>
      </c>
      <c r="K12" s="27" t="n">
        <v>320</v>
      </c>
      <c r="L12" s="28"/>
      <c r="M12" s="29" t="n">
        <v>33700</v>
      </c>
    </row>
    <row r="13" customFormat="false" ht="12.8" hidden="false" customHeight="false" outlineLevel="0" collapsed="false">
      <c r="A13" s="25" t="n">
        <v>44083</v>
      </c>
      <c r="B13" s="26"/>
      <c r="C13" s="27"/>
      <c r="D13" s="27"/>
      <c r="E13" s="27" t="n">
        <v>7820</v>
      </c>
      <c r="F13" s="27" t="n">
        <v>240</v>
      </c>
      <c r="G13" s="27" t="n">
        <v>3940</v>
      </c>
      <c r="H13" s="27" t="n">
        <v>1220</v>
      </c>
      <c r="I13" s="27" t="n">
        <v>10780</v>
      </c>
      <c r="J13" s="27" t="n">
        <v>760</v>
      </c>
      <c r="K13" s="27"/>
      <c r="L13" s="28"/>
      <c r="M13" s="29" t="n">
        <v>24760</v>
      </c>
    </row>
    <row r="14" customFormat="false" ht="12.8" hidden="false" customHeight="false" outlineLevel="0" collapsed="false">
      <c r="A14" s="25" t="n">
        <v>44084</v>
      </c>
      <c r="B14" s="26"/>
      <c r="C14" s="27"/>
      <c r="D14" s="27" t="n">
        <v>1140</v>
      </c>
      <c r="E14" s="27" t="n">
        <v>22160</v>
      </c>
      <c r="F14" s="27" t="n">
        <v>620</v>
      </c>
      <c r="G14" s="27"/>
      <c r="H14" s="27" t="n">
        <v>580</v>
      </c>
      <c r="I14" s="27" t="n">
        <v>12720</v>
      </c>
      <c r="J14" s="27" t="n">
        <v>920</v>
      </c>
      <c r="K14" s="27"/>
      <c r="L14" s="28"/>
      <c r="M14" s="29" t="n">
        <v>38140</v>
      </c>
    </row>
    <row r="15" customFormat="false" ht="12.8" hidden="false" customHeight="false" outlineLevel="0" collapsed="false">
      <c r="A15" s="25" t="n">
        <v>44085</v>
      </c>
      <c r="B15" s="26"/>
      <c r="C15" s="27" t="n">
        <v>640</v>
      </c>
      <c r="D15" s="27" t="n">
        <v>3600</v>
      </c>
      <c r="E15" s="27" t="n">
        <v>11020</v>
      </c>
      <c r="F15" s="27" t="n">
        <v>120</v>
      </c>
      <c r="G15" s="27" t="n">
        <v>2600</v>
      </c>
      <c r="H15" s="27" t="n">
        <v>240</v>
      </c>
      <c r="I15" s="27" t="n">
        <v>12080</v>
      </c>
      <c r="J15" s="27"/>
      <c r="K15" s="27"/>
      <c r="L15" s="28"/>
      <c r="M15" s="29" t="n">
        <v>30300</v>
      </c>
    </row>
    <row r="16" customFormat="false" ht="12.8" hidden="false" customHeight="false" outlineLevel="0" collapsed="false">
      <c r="A16" s="25" t="n">
        <v>44086</v>
      </c>
      <c r="B16" s="26"/>
      <c r="C16" s="27" t="n">
        <v>880</v>
      </c>
      <c r="D16" s="27" t="n">
        <v>12620</v>
      </c>
      <c r="E16" s="27"/>
      <c r="F16" s="27"/>
      <c r="G16" s="27"/>
      <c r="H16" s="27" t="n">
        <v>580</v>
      </c>
      <c r="I16" s="27" t="n">
        <v>13920</v>
      </c>
      <c r="J16" s="27"/>
      <c r="K16" s="27"/>
      <c r="L16" s="28"/>
      <c r="M16" s="29" t="n">
        <v>28000</v>
      </c>
    </row>
    <row r="17" customFormat="false" ht="12.8" hidden="false" customHeight="false" outlineLevel="0" collapsed="false">
      <c r="A17" s="25" t="n">
        <v>44087</v>
      </c>
      <c r="B17" s="26"/>
      <c r="C17" s="27" t="n">
        <v>1020</v>
      </c>
      <c r="D17" s="27" t="n">
        <v>20380</v>
      </c>
      <c r="E17" s="27"/>
      <c r="F17" s="27" t="n">
        <v>200</v>
      </c>
      <c r="G17" s="27" t="n">
        <v>6500</v>
      </c>
      <c r="H17" s="27"/>
      <c r="I17" s="27" t="n">
        <v>9920</v>
      </c>
      <c r="J17" s="27"/>
      <c r="K17" s="27"/>
      <c r="L17" s="28"/>
      <c r="M17" s="29" t="n">
        <v>38020</v>
      </c>
    </row>
    <row r="18" customFormat="false" ht="12.8" hidden="false" customHeight="false" outlineLevel="0" collapsed="false">
      <c r="A18" s="25" t="n">
        <v>44088</v>
      </c>
      <c r="B18" s="26" t="n">
        <v>1800</v>
      </c>
      <c r="C18" s="27" t="n">
        <v>800</v>
      </c>
      <c r="D18" s="27" t="n">
        <v>18700</v>
      </c>
      <c r="E18" s="27"/>
      <c r="F18" s="27" t="n">
        <v>520</v>
      </c>
      <c r="G18" s="27" t="n">
        <v>1400</v>
      </c>
      <c r="H18" s="27"/>
      <c r="I18" s="27" t="n">
        <v>12800</v>
      </c>
      <c r="J18" s="27"/>
      <c r="K18" s="27"/>
      <c r="L18" s="28"/>
      <c r="M18" s="29" t="n">
        <v>36020</v>
      </c>
    </row>
    <row r="19" customFormat="false" ht="12.8" hidden="false" customHeight="false" outlineLevel="0" collapsed="false">
      <c r="A19" s="25" t="n">
        <v>44089</v>
      </c>
      <c r="B19" s="26"/>
      <c r="C19" s="27"/>
      <c r="D19" s="27"/>
      <c r="E19" s="27" t="n">
        <v>15400</v>
      </c>
      <c r="F19" s="27" t="n">
        <v>520</v>
      </c>
      <c r="G19" s="27"/>
      <c r="H19" s="27"/>
      <c r="I19" s="27" t="n">
        <v>10540</v>
      </c>
      <c r="J19" s="27" t="n">
        <v>640</v>
      </c>
      <c r="K19" s="27"/>
      <c r="L19" s="28"/>
      <c r="M19" s="29" t="n">
        <v>27100</v>
      </c>
    </row>
    <row r="20" customFormat="false" ht="12.8" hidden="false" customHeight="false" outlineLevel="0" collapsed="false">
      <c r="A20" s="25" t="n">
        <v>44090</v>
      </c>
      <c r="B20" s="26"/>
      <c r="C20" s="27"/>
      <c r="D20" s="27"/>
      <c r="E20" s="27" t="n">
        <v>8440</v>
      </c>
      <c r="F20" s="27" t="n">
        <v>400</v>
      </c>
      <c r="G20" s="27" t="n">
        <v>1360</v>
      </c>
      <c r="H20" s="27"/>
      <c r="I20" s="27" t="n">
        <v>10040</v>
      </c>
      <c r="J20" s="27" t="n">
        <v>660</v>
      </c>
      <c r="K20" s="27"/>
      <c r="L20" s="28" t="n">
        <v>800</v>
      </c>
      <c r="M20" s="29" t="n">
        <v>21700</v>
      </c>
    </row>
    <row r="21" customFormat="false" ht="12.8" hidden="false" customHeight="false" outlineLevel="0" collapsed="false">
      <c r="A21" s="25" t="n">
        <v>44091</v>
      </c>
      <c r="B21" s="26"/>
      <c r="C21" s="27"/>
      <c r="D21" s="27" t="n">
        <v>9640</v>
      </c>
      <c r="E21" s="27"/>
      <c r="F21" s="27" t="n">
        <v>380</v>
      </c>
      <c r="G21" s="27"/>
      <c r="H21" s="27"/>
      <c r="I21" s="27" t="n">
        <v>8760</v>
      </c>
      <c r="J21" s="27" t="n">
        <v>720</v>
      </c>
      <c r="K21" s="27"/>
      <c r="L21" s="28"/>
      <c r="M21" s="29" t="n">
        <v>19500</v>
      </c>
    </row>
    <row r="22" customFormat="false" ht="12.8" hidden="false" customHeight="false" outlineLevel="0" collapsed="false">
      <c r="A22" s="25" t="n">
        <v>44092</v>
      </c>
      <c r="B22" s="26" t="n">
        <v>1160</v>
      </c>
      <c r="C22" s="27" t="n">
        <v>220</v>
      </c>
      <c r="D22" s="27" t="n">
        <v>8720</v>
      </c>
      <c r="E22" s="27" t="n">
        <v>7240</v>
      </c>
      <c r="F22" s="27" t="n">
        <v>240</v>
      </c>
      <c r="G22" s="27" t="n">
        <v>3080</v>
      </c>
      <c r="H22" s="27" t="n">
        <v>560</v>
      </c>
      <c r="I22" s="27" t="n">
        <v>9020</v>
      </c>
      <c r="J22" s="27" t="n">
        <v>700</v>
      </c>
      <c r="K22" s="27" t="n">
        <v>580</v>
      </c>
      <c r="L22" s="28"/>
      <c r="M22" s="29" t="n">
        <v>31520</v>
      </c>
    </row>
    <row r="23" customFormat="false" ht="12.8" hidden="false" customHeight="false" outlineLevel="0" collapsed="false">
      <c r="A23" s="25" t="n">
        <v>44093</v>
      </c>
      <c r="B23" s="26"/>
      <c r="C23" s="27"/>
      <c r="D23" s="27" t="n">
        <v>9420</v>
      </c>
      <c r="E23" s="27" t="n">
        <v>4640</v>
      </c>
      <c r="F23" s="27"/>
      <c r="G23" s="27"/>
      <c r="H23" s="27" t="n">
        <v>620</v>
      </c>
      <c r="I23" s="27" t="n">
        <v>10300</v>
      </c>
      <c r="J23" s="27" t="n">
        <v>880</v>
      </c>
      <c r="K23" s="27" t="n">
        <v>200</v>
      </c>
      <c r="L23" s="28"/>
      <c r="M23" s="29" t="n">
        <v>26060</v>
      </c>
    </row>
    <row r="24" customFormat="false" ht="12.8" hidden="false" customHeight="false" outlineLevel="0" collapsed="false">
      <c r="A24" s="25" t="n">
        <v>44094</v>
      </c>
      <c r="B24" s="26"/>
      <c r="C24" s="27"/>
      <c r="D24" s="27" t="n">
        <v>13180</v>
      </c>
      <c r="E24" s="27"/>
      <c r="F24" s="27"/>
      <c r="G24" s="27"/>
      <c r="H24" s="27" t="n">
        <v>520</v>
      </c>
      <c r="I24" s="27" t="n">
        <v>12000</v>
      </c>
      <c r="J24" s="27" t="n">
        <v>1240</v>
      </c>
      <c r="K24" s="27"/>
      <c r="L24" s="28"/>
      <c r="M24" s="29" t="n">
        <v>26940</v>
      </c>
    </row>
    <row r="25" customFormat="false" ht="12.8" hidden="false" customHeight="false" outlineLevel="0" collapsed="false">
      <c r="A25" s="25" t="n">
        <v>44095</v>
      </c>
      <c r="B25" s="26"/>
      <c r="C25" s="27" t="n">
        <v>280</v>
      </c>
      <c r="D25" s="27" t="n">
        <v>8440</v>
      </c>
      <c r="E25" s="27" t="n">
        <v>7760</v>
      </c>
      <c r="F25" s="27"/>
      <c r="G25" s="27" t="n">
        <v>2500</v>
      </c>
      <c r="H25" s="27" t="n">
        <v>1460</v>
      </c>
      <c r="I25" s="27" t="n">
        <v>10940</v>
      </c>
      <c r="J25" s="27" t="n">
        <v>960</v>
      </c>
      <c r="K25" s="27"/>
      <c r="L25" s="28"/>
      <c r="M25" s="29" t="n">
        <v>32340</v>
      </c>
    </row>
    <row r="26" customFormat="false" ht="12.8" hidden="false" customHeight="false" outlineLevel="0" collapsed="false">
      <c r="A26" s="25" t="n">
        <v>44096</v>
      </c>
      <c r="B26" s="26"/>
      <c r="C26" s="27"/>
      <c r="D26" s="27" t="n">
        <v>9800</v>
      </c>
      <c r="E26" s="27" t="n">
        <v>5500</v>
      </c>
      <c r="F26" s="27"/>
      <c r="G26" s="27"/>
      <c r="H26" s="27" t="n">
        <v>2540</v>
      </c>
      <c r="I26" s="27" t="n">
        <v>9960</v>
      </c>
      <c r="J26" s="27" t="n">
        <v>640</v>
      </c>
      <c r="K26" s="27"/>
      <c r="L26" s="28"/>
      <c r="M26" s="29" t="n">
        <v>28440</v>
      </c>
    </row>
    <row r="27" customFormat="false" ht="12.8" hidden="false" customHeight="false" outlineLevel="0" collapsed="false">
      <c r="A27" s="25" t="n">
        <v>44097</v>
      </c>
      <c r="B27" s="26" t="n">
        <v>50880</v>
      </c>
      <c r="C27" s="27"/>
      <c r="D27" s="27" t="n">
        <v>6820</v>
      </c>
      <c r="E27" s="27" t="n">
        <v>4220</v>
      </c>
      <c r="F27" s="27"/>
      <c r="G27" s="27" t="n">
        <v>1260</v>
      </c>
      <c r="H27" s="27"/>
      <c r="I27" s="27" t="n">
        <v>7740</v>
      </c>
      <c r="J27" s="27" t="n">
        <v>580</v>
      </c>
      <c r="K27" s="27" t="n">
        <v>660</v>
      </c>
      <c r="L27" s="28"/>
      <c r="M27" s="29" t="n">
        <v>72160</v>
      </c>
    </row>
    <row r="28" customFormat="false" ht="12.8" hidden="false" customHeight="false" outlineLevel="0" collapsed="false">
      <c r="A28" s="25" t="n">
        <v>44098</v>
      </c>
      <c r="B28" s="26"/>
      <c r="C28" s="27"/>
      <c r="D28" s="27"/>
      <c r="E28" s="27" t="n">
        <v>11740</v>
      </c>
      <c r="F28" s="27" t="n">
        <v>320</v>
      </c>
      <c r="G28" s="27"/>
      <c r="H28" s="27" t="n">
        <v>1120</v>
      </c>
      <c r="I28" s="27" t="n">
        <v>9560</v>
      </c>
      <c r="J28" s="27" t="n">
        <v>680</v>
      </c>
      <c r="K28" s="27"/>
      <c r="L28" s="28"/>
      <c r="M28" s="29" t="n">
        <v>23420</v>
      </c>
    </row>
    <row r="29" customFormat="false" ht="12.8" hidden="false" customHeight="false" outlineLevel="0" collapsed="false">
      <c r="A29" s="25" t="n">
        <v>44099</v>
      </c>
      <c r="B29" s="26"/>
      <c r="C29" s="27"/>
      <c r="D29" s="27" t="n">
        <v>9060</v>
      </c>
      <c r="E29" s="27" t="n">
        <v>5980</v>
      </c>
      <c r="F29" s="27" t="n">
        <v>240</v>
      </c>
      <c r="G29" s="27" t="n">
        <v>1900</v>
      </c>
      <c r="H29" s="27" t="n">
        <v>320</v>
      </c>
      <c r="I29" s="27" t="n">
        <v>8840</v>
      </c>
      <c r="J29" s="27" t="n">
        <v>740</v>
      </c>
      <c r="K29" s="27"/>
      <c r="L29" s="28"/>
      <c r="M29" s="29" t="n">
        <v>27080</v>
      </c>
    </row>
    <row r="30" customFormat="false" ht="12.8" hidden="false" customHeight="false" outlineLevel="0" collapsed="false">
      <c r="A30" s="25" t="n">
        <v>44100</v>
      </c>
      <c r="B30" s="26"/>
      <c r="C30" s="27"/>
      <c r="D30" s="27" t="n">
        <v>1700</v>
      </c>
      <c r="E30" s="27" t="n">
        <v>12880</v>
      </c>
      <c r="F30" s="27"/>
      <c r="G30" s="27"/>
      <c r="H30" s="27" t="n">
        <v>640</v>
      </c>
      <c r="I30" s="27" t="n">
        <v>9180</v>
      </c>
      <c r="J30" s="27" t="n">
        <v>780</v>
      </c>
      <c r="K30" s="27"/>
      <c r="L30" s="28"/>
      <c r="M30" s="29" t="n">
        <v>25180</v>
      </c>
    </row>
    <row r="31" customFormat="false" ht="12.8" hidden="false" customHeight="false" outlineLevel="0" collapsed="false">
      <c r="A31" s="25" t="n">
        <v>44101</v>
      </c>
      <c r="B31" s="26"/>
      <c r="C31" s="27"/>
      <c r="D31" s="27" t="n">
        <v>10660</v>
      </c>
      <c r="E31" s="27"/>
      <c r="F31" s="27"/>
      <c r="G31" s="27"/>
      <c r="H31" s="27"/>
      <c r="I31" s="27" t="n">
        <v>11060</v>
      </c>
      <c r="J31" s="27" t="n">
        <v>1200</v>
      </c>
      <c r="K31" s="27"/>
      <c r="L31" s="28"/>
      <c r="M31" s="29" t="n">
        <v>22920</v>
      </c>
    </row>
    <row r="32" customFormat="false" ht="12.8" hidden="false" customHeight="false" outlineLevel="0" collapsed="false">
      <c r="A32" s="25" t="n">
        <v>44102</v>
      </c>
      <c r="B32" s="26"/>
      <c r="C32" s="27"/>
      <c r="D32" s="27" t="n">
        <v>7580</v>
      </c>
      <c r="E32" s="27" t="n">
        <v>7700</v>
      </c>
      <c r="F32" s="27"/>
      <c r="G32" s="27"/>
      <c r="H32" s="27" t="n">
        <v>1760</v>
      </c>
      <c r="I32" s="27" t="n">
        <v>8560</v>
      </c>
      <c r="J32" s="27" t="n">
        <v>1000</v>
      </c>
      <c r="K32" s="27"/>
      <c r="L32" s="28"/>
      <c r="M32" s="29" t="n">
        <v>26600</v>
      </c>
    </row>
    <row r="33" customFormat="false" ht="12.8" hidden="false" customHeight="false" outlineLevel="0" collapsed="false">
      <c r="A33" s="25" t="n">
        <v>44103</v>
      </c>
      <c r="B33" s="26" t="n">
        <v>4200</v>
      </c>
      <c r="C33" s="27"/>
      <c r="D33" s="27" t="n">
        <v>8820</v>
      </c>
      <c r="E33" s="27" t="n">
        <v>4480</v>
      </c>
      <c r="F33" s="27" t="n">
        <v>280</v>
      </c>
      <c r="G33" s="27"/>
      <c r="H33" s="27" t="n">
        <v>780</v>
      </c>
      <c r="I33" s="27" t="n">
        <v>6240</v>
      </c>
      <c r="J33" s="27" t="n">
        <v>560</v>
      </c>
      <c r="K33" s="27"/>
      <c r="L33" s="28"/>
      <c r="M33" s="29" t="n">
        <v>25360</v>
      </c>
    </row>
    <row r="34" customFormat="false" ht="12.8" hidden="false" customHeight="false" outlineLevel="0" collapsed="false">
      <c r="A34" s="25" t="n">
        <v>44104</v>
      </c>
      <c r="B34" s="30"/>
      <c r="C34" s="31" t="n">
        <v>280</v>
      </c>
      <c r="D34" s="31" t="n">
        <v>7080</v>
      </c>
      <c r="E34" s="31" t="n">
        <v>4380</v>
      </c>
      <c r="F34" s="31"/>
      <c r="G34" s="31"/>
      <c r="H34" s="31" t="n">
        <v>420</v>
      </c>
      <c r="I34" s="31" t="n">
        <v>7280</v>
      </c>
      <c r="J34" s="31" t="n">
        <v>600</v>
      </c>
      <c r="K34" s="31" t="n">
        <v>1360</v>
      </c>
      <c r="L34" s="32"/>
      <c r="M34" s="33" t="n">
        <v>21400</v>
      </c>
    </row>
    <row r="35" customFormat="false" ht="12.8" hidden="false" customHeight="false" outlineLevel="0" collapsed="false">
      <c r="A35" s="34" t="s">
        <v>33</v>
      </c>
      <c r="B35" s="35" t="n">
        <v>58040</v>
      </c>
      <c r="C35" s="36" t="n">
        <v>4500</v>
      </c>
      <c r="D35" s="36" t="n">
        <v>221560</v>
      </c>
      <c r="E35" s="36" t="n">
        <v>245400</v>
      </c>
      <c r="F35" s="36" t="n">
        <v>7300</v>
      </c>
      <c r="G35" s="36" t="n">
        <v>32280</v>
      </c>
      <c r="H35" s="36" t="n">
        <v>22500</v>
      </c>
      <c r="I35" s="36" t="n">
        <v>329020</v>
      </c>
      <c r="J35" s="36" t="n">
        <v>21540</v>
      </c>
      <c r="K35" s="36" t="n">
        <v>3300</v>
      </c>
      <c r="L35" s="37" t="n">
        <v>800</v>
      </c>
      <c r="M35" s="38" t="n">
        <v>946240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0</v>
      </c>
      <c r="B1" s="11" t="s">
        <v>31</v>
      </c>
    </row>
    <row r="3" customFormat="false" ht="12.8" hidden="false" customHeight="false" outlineLevel="0" collapsed="false">
      <c r="A3" s="12" t="s">
        <v>32</v>
      </c>
      <c r="B3" s="13" t="s">
        <v>8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3</v>
      </c>
      <c r="B4" s="17" t="s">
        <v>29</v>
      </c>
      <c r="C4" s="18" t="s">
        <v>22</v>
      </c>
      <c r="D4" s="18" t="s">
        <v>12</v>
      </c>
      <c r="E4" s="18" t="s">
        <v>25</v>
      </c>
      <c r="F4" s="18" t="s">
        <v>17</v>
      </c>
      <c r="G4" s="18" t="s">
        <v>20</v>
      </c>
      <c r="H4" s="19" t="s">
        <v>33</v>
      </c>
    </row>
    <row r="5" customFormat="false" ht="12.8" hidden="false" customHeight="false" outlineLevel="0" collapsed="false">
      <c r="A5" s="39" t="s">
        <v>27</v>
      </c>
      <c r="B5" s="21" t="n">
        <v>50880</v>
      </c>
      <c r="C5" s="22"/>
      <c r="D5" s="22"/>
      <c r="E5" s="22"/>
      <c r="F5" s="22" t="n">
        <v>1800</v>
      </c>
      <c r="G5" s="23" t="n">
        <v>5360</v>
      </c>
      <c r="H5" s="24" t="n">
        <v>58040</v>
      </c>
    </row>
    <row r="6" customFormat="false" ht="12.8" hidden="false" customHeight="false" outlineLevel="0" collapsed="false">
      <c r="A6" s="40" t="s">
        <v>21</v>
      </c>
      <c r="B6" s="26"/>
      <c r="C6" s="27" t="n">
        <v>1520</v>
      </c>
      <c r="D6" s="27" t="n">
        <v>2700</v>
      </c>
      <c r="E6" s="27"/>
      <c r="F6" s="27"/>
      <c r="G6" s="28" t="n">
        <v>280</v>
      </c>
      <c r="H6" s="29" t="n">
        <v>4500</v>
      </c>
    </row>
    <row r="7" customFormat="false" ht="12.8" hidden="false" customHeight="false" outlineLevel="0" collapsed="false">
      <c r="A7" s="40" t="s">
        <v>15</v>
      </c>
      <c r="B7" s="26"/>
      <c r="C7" s="27"/>
      <c r="D7" s="27" t="n">
        <v>216500</v>
      </c>
      <c r="E7" s="27" t="n">
        <v>1440</v>
      </c>
      <c r="F7" s="27" t="n">
        <v>3620</v>
      </c>
      <c r="G7" s="28"/>
      <c r="H7" s="29" t="n">
        <v>221560</v>
      </c>
    </row>
    <row r="8" customFormat="false" ht="12.8" hidden="false" customHeight="false" outlineLevel="0" collapsed="false">
      <c r="A8" s="40" t="s">
        <v>16</v>
      </c>
      <c r="B8" s="26"/>
      <c r="C8" s="27"/>
      <c r="D8" s="27" t="n">
        <v>225500</v>
      </c>
      <c r="E8" s="27" t="n">
        <v>9900</v>
      </c>
      <c r="F8" s="27" t="n">
        <v>10000</v>
      </c>
      <c r="G8" s="28"/>
      <c r="H8" s="29" t="n">
        <v>245400</v>
      </c>
    </row>
    <row r="9" customFormat="false" ht="12.8" hidden="false" customHeight="false" outlineLevel="0" collapsed="false">
      <c r="A9" s="40" t="s">
        <v>18</v>
      </c>
      <c r="B9" s="26"/>
      <c r="C9" s="27"/>
      <c r="D9" s="27" t="n">
        <v>7300</v>
      </c>
      <c r="E9" s="27"/>
      <c r="F9" s="27"/>
      <c r="G9" s="28"/>
      <c r="H9" s="29" t="n">
        <v>7300</v>
      </c>
    </row>
    <row r="10" customFormat="false" ht="12.8" hidden="false" customHeight="false" outlineLevel="0" collapsed="false">
      <c r="A10" s="40" t="s">
        <v>23</v>
      </c>
      <c r="B10" s="26"/>
      <c r="C10" s="27"/>
      <c r="D10" s="27" t="n">
        <v>32280</v>
      </c>
      <c r="E10" s="27"/>
      <c r="F10" s="27"/>
      <c r="G10" s="28"/>
      <c r="H10" s="29" t="n">
        <v>32280</v>
      </c>
    </row>
    <row r="11" customFormat="false" ht="12.8" hidden="false" customHeight="false" outlineLevel="0" collapsed="false">
      <c r="A11" s="40" t="s">
        <v>19</v>
      </c>
      <c r="B11" s="26"/>
      <c r="C11" s="27"/>
      <c r="D11" s="27" t="n">
        <v>5260</v>
      </c>
      <c r="E11" s="27"/>
      <c r="F11" s="27"/>
      <c r="G11" s="28" t="n">
        <v>17240</v>
      </c>
      <c r="H11" s="29" t="n">
        <v>22500</v>
      </c>
    </row>
    <row r="12" customFormat="false" ht="12.8" hidden="false" customHeight="false" outlineLevel="0" collapsed="false">
      <c r="A12" s="40" t="s">
        <v>10</v>
      </c>
      <c r="B12" s="26"/>
      <c r="C12" s="27"/>
      <c r="D12" s="27" t="n">
        <v>329020</v>
      </c>
      <c r="E12" s="27"/>
      <c r="F12" s="27"/>
      <c r="G12" s="28"/>
      <c r="H12" s="29" t="n">
        <v>329020</v>
      </c>
    </row>
    <row r="13" customFormat="false" ht="12.8" hidden="false" customHeight="false" outlineLevel="0" collapsed="false">
      <c r="A13" s="40" t="s">
        <v>14</v>
      </c>
      <c r="B13" s="26"/>
      <c r="C13" s="27"/>
      <c r="D13" s="27" t="n">
        <v>21540</v>
      </c>
      <c r="E13" s="27"/>
      <c r="F13" s="27"/>
      <c r="G13" s="28"/>
      <c r="H13" s="29" t="n">
        <v>21540</v>
      </c>
    </row>
    <row r="14" customFormat="false" ht="12.8" hidden="false" customHeight="false" outlineLevel="0" collapsed="false">
      <c r="A14" s="40" t="s">
        <v>26</v>
      </c>
      <c r="B14" s="26"/>
      <c r="C14" s="27"/>
      <c r="D14" s="27"/>
      <c r="E14" s="27"/>
      <c r="F14" s="27" t="n">
        <v>200</v>
      </c>
      <c r="G14" s="28" t="n">
        <v>3100</v>
      </c>
      <c r="H14" s="29" t="n">
        <v>3300</v>
      </c>
    </row>
    <row r="15" customFormat="false" ht="12.8" hidden="false" customHeight="false" outlineLevel="0" collapsed="false">
      <c r="A15" s="40" t="s">
        <v>30</v>
      </c>
      <c r="B15" s="30"/>
      <c r="C15" s="31"/>
      <c r="D15" s="31" t="n">
        <v>800</v>
      </c>
      <c r="E15" s="31"/>
      <c r="F15" s="31"/>
      <c r="G15" s="32"/>
      <c r="H15" s="33" t="n">
        <v>800</v>
      </c>
    </row>
    <row r="16" customFormat="false" ht="12.8" hidden="false" customHeight="false" outlineLevel="0" collapsed="false">
      <c r="A16" s="41" t="s">
        <v>33</v>
      </c>
      <c r="B16" s="35" t="n">
        <v>50880</v>
      </c>
      <c r="C16" s="36" t="n">
        <v>1520</v>
      </c>
      <c r="D16" s="36" t="n">
        <v>840900</v>
      </c>
      <c r="E16" s="36" t="n">
        <v>11340</v>
      </c>
      <c r="F16" s="36" t="n">
        <v>15620</v>
      </c>
      <c r="G16" s="37" t="n">
        <v>25980</v>
      </c>
      <c r="H16" s="38" t="n">
        <v>946240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16" activeCellId="0" sqref="H16"/>
    </sheetView>
  </sheetViews>
  <sheetFormatPr defaultRowHeight="13.8" zeroHeight="false" outlineLevelRow="0" outlineLevelCol="0"/>
  <cols>
    <col collapsed="false" customWidth="true" hidden="false" outlineLevel="0" max="1" min="1" style="42" width="15.1"/>
    <col collapsed="false" customWidth="true" hidden="false" outlineLevel="0" max="2" min="2" style="0" width="15.86"/>
    <col collapsed="false" customWidth="true" hidden="false" outlineLevel="0" max="3" min="3" style="0" width="15.1"/>
    <col collapsed="false" customWidth="true" hidden="false" outlineLevel="0" max="4" min="4" style="42" width="13.81"/>
    <col collapsed="false" customWidth="true" hidden="false" outlineLevel="0" max="7" min="5" style="0" width="10.47"/>
    <col collapsed="false" customWidth="true" hidden="false" outlineLevel="0" max="8" min="8" style="0" width="15.1"/>
    <col collapsed="false" customWidth="true" hidden="false" outlineLevel="0" max="9" min="9" style="0" width="14.37"/>
    <col collapsed="false" customWidth="true" hidden="false" outlineLevel="0" max="11" min="10" style="0" width="10.47"/>
    <col collapsed="false" customWidth="true" hidden="false" outlineLevel="0" max="12" min="12" style="0" width="11.05"/>
    <col collapsed="false" customWidth="true" hidden="false" outlineLevel="0" max="13" min="13" style="0" width="17.39"/>
    <col collapsed="false" customWidth="true" hidden="false" outlineLevel="0" max="14" min="14" style="0" width="9.61"/>
    <col collapsed="false" customWidth="true" hidden="false" outlineLevel="0" max="1025" min="15" style="0" width="10.47"/>
  </cols>
  <sheetData>
    <row r="1" customFormat="false" ht="13.8" hidden="false" customHeight="false" outlineLevel="0" collapsed="false">
      <c r="A1" s="0" t="n">
        <v>1</v>
      </c>
      <c r="B1" s="42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43" t="s">
        <v>3</v>
      </c>
      <c r="B2" s="44" t="s">
        <v>34</v>
      </c>
      <c r="C2" s="45" t="s">
        <v>22</v>
      </c>
      <c r="D2" s="45" t="s">
        <v>12</v>
      </c>
      <c r="E2" s="45" t="s">
        <v>25</v>
      </c>
      <c r="F2" s="45" t="s">
        <v>17</v>
      </c>
      <c r="G2" s="45" t="s">
        <v>20</v>
      </c>
      <c r="H2" s="46" t="s">
        <v>33</v>
      </c>
    </row>
    <row r="3" customFormat="false" ht="13.8" hidden="false" customHeight="false" outlineLevel="0" collapsed="false">
      <c r="A3" s="47" t="s">
        <v>27</v>
      </c>
      <c r="B3" s="47" t="n">
        <v>50880</v>
      </c>
      <c r="C3" s="47"/>
      <c r="D3" s="47"/>
      <c r="E3" s="47"/>
      <c r="F3" s="47" t="n">
        <v>1800</v>
      </c>
      <c r="G3" s="47" t="n">
        <v>5360</v>
      </c>
      <c r="H3" s="48" t="n">
        <f aca="false">SUM(B3:G3)</f>
        <v>58040</v>
      </c>
      <c r="K3" s="0" t="s">
        <v>27</v>
      </c>
      <c r="L3" s="0" t="n">
        <v>50880</v>
      </c>
      <c r="P3" s="0" t="n">
        <v>1800</v>
      </c>
      <c r="Q3" s="0" t="n">
        <v>5360</v>
      </c>
    </row>
    <row r="4" customFormat="false" ht="13.8" hidden="false" customHeight="false" outlineLevel="0" collapsed="false">
      <c r="A4" s="47" t="s">
        <v>21</v>
      </c>
      <c r="B4" s="47"/>
      <c r="C4" s="47" t="n">
        <v>1520</v>
      </c>
      <c r="D4" s="47" t="n">
        <v>2700</v>
      </c>
      <c r="E4" s="47"/>
      <c r="F4" s="47"/>
      <c r="G4" s="47" t="n">
        <v>280</v>
      </c>
      <c r="H4" s="48" t="n">
        <f aca="false">SUM(B4:G4)</f>
        <v>4500</v>
      </c>
      <c r="K4" s="0" t="s">
        <v>21</v>
      </c>
      <c r="M4" s="0" t="n">
        <v>1520</v>
      </c>
      <c r="N4" s="0" t="n">
        <v>2700</v>
      </c>
      <c r="Q4" s="0" t="n">
        <v>280</v>
      </c>
    </row>
    <row r="5" customFormat="false" ht="13.8" hidden="false" customHeight="false" outlineLevel="0" collapsed="false">
      <c r="A5" s="47" t="s">
        <v>15</v>
      </c>
      <c r="B5" s="47"/>
      <c r="C5" s="47"/>
      <c r="D5" s="47" t="n">
        <v>216500</v>
      </c>
      <c r="E5" s="47" t="n">
        <v>1440</v>
      </c>
      <c r="F5" s="47" t="n">
        <v>3620</v>
      </c>
      <c r="G5" s="47"/>
      <c r="H5" s="48" t="n">
        <f aca="false">SUM(B5:G5)</f>
        <v>221560</v>
      </c>
      <c r="K5" s="0" t="s">
        <v>15</v>
      </c>
      <c r="N5" s="0" t="n">
        <v>216500</v>
      </c>
      <c r="O5" s="0" t="n">
        <v>1440</v>
      </c>
      <c r="P5" s="0" t="n">
        <v>3620</v>
      </c>
    </row>
    <row r="6" customFormat="false" ht="13.8" hidden="false" customHeight="false" outlineLevel="0" collapsed="false">
      <c r="A6" s="47" t="s">
        <v>16</v>
      </c>
      <c r="B6" s="47"/>
      <c r="C6" s="47"/>
      <c r="D6" s="47" t="n">
        <v>225500</v>
      </c>
      <c r="E6" s="47" t="n">
        <v>9900</v>
      </c>
      <c r="F6" s="47" t="n">
        <v>10000</v>
      </c>
      <c r="G6" s="47"/>
      <c r="H6" s="48" t="n">
        <f aca="false">SUM(B6:G6)</f>
        <v>245400</v>
      </c>
      <c r="K6" s="0" t="s">
        <v>16</v>
      </c>
      <c r="N6" s="0" t="n">
        <v>225500</v>
      </c>
      <c r="O6" s="0" t="n">
        <v>9900</v>
      </c>
      <c r="P6" s="0" t="n">
        <v>10000</v>
      </c>
    </row>
    <row r="7" customFormat="false" ht="13.8" hidden="false" customHeight="false" outlineLevel="0" collapsed="false">
      <c r="A7" s="47" t="s">
        <v>35</v>
      </c>
      <c r="B7" s="47"/>
      <c r="C7" s="47"/>
      <c r="D7" s="47"/>
      <c r="E7" s="47"/>
      <c r="F7" s="47"/>
      <c r="G7" s="47"/>
      <c r="H7" s="48" t="n">
        <f aca="false">SUM(B7:G7)</f>
        <v>0</v>
      </c>
    </row>
    <row r="8" customFormat="false" ht="13.8" hidden="false" customHeight="false" outlineLevel="0" collapsed="false">
      <c r="A8" s="47" t="s">
        <v>18</v>
      </c>
      <c r="B8" s="47"/>
      <c r="C8" s="47"/>
      <c r="D8" s="47" t="n">
        <v>7300</v>
      </c>
      <c r="E8" s="47"/>
      <c r="F8" s="47"/>
      <c r="G8" s="47"/>
      <c r="H8" s="48" t="n">
        <f aca="false">SUM(B8:G8)</f>
        <v>7300</v>
      </c>
      <c r="K8" s="0" t="s">
        <v>18</v>
      </c>
      <c r="N8" s="0" t="n">
        <v>7300</v>
      </c>
    </row>
    <row r="9" customFormat="false" ht="13.8" hidden="false" customHeight="false" outlineLevel="0" collapsed="false">
      <c r="A9" s="47" t="s">
        <v>23</v>
      </c>
      <c r="B9" s="47"/>
      <c r="C9" s="47"/>
      <c r="D9" s="47" t="n">
        <v>32280</v>
      </c>
      <c r="E9" s="47"/>
      <c r="F9" s="47"/>
      <c r="G9" s="47"/>
      <c r="H9" s="48" t="n">
        <f aca="false">SUM(B9:G9)</f>
        <v>32280</v>
      </c>
      <c r="K9" s="0" t="s">
        <v>23</v>
      </c>
      <c r="N9" s="0" t="n">
        <v>32280</v>
      </c>
    </row>
    <row r="10" customFormat="false" ht="13.8" hidden="false" customHeight="false" outlineLevel="0" collapsed="false">
      <c r="A10" s="47" t="s">
        <v>19</v>
      </c>
      <c r="B10" s="47"/>
      <c r="C10" s="47"/>
      <c r="D10" s="47" t="n">
        <v>5260</v>
      </c>
      <c r="E10" s="47"/>
      <c r="F10" s="47"/>
      <c r="G10" s="47" t="n">
        <v>17240</v>
      </c>
      <c r="H10" s="48" t="n">
        <f aca="false">SUM(B10:G10)</f>
        <v>22500</v>
      </c>
      <c r="K10" s="0" t="s">
        <v>19</v>
      </c>
      <c r="N10" s="0" t="n">
        <v>5260</v>
      </c>
      <c r="Q10" s="0" t="n">
        <v>17240</v>
      </c>
    </row>
    <row r="11" customFormat="false" ht="13.8" hidden="false" customHeight="false" outlineLevel="0" collapsed="false">
      <c r="A11" s="47" t="s">
        <v>10</v>
      </c>
      <c r="B11" s="47"/>
      <c r="C11" s="47"/>
      <c r="D11" s="47" t="n">
        <v>329020</v>
      </c>
      <c r="E11" s="47"/>
      <c r="F11" s="47"/>
      <c r="G11" s="47"/>
      <c r="H11" s="48" t="n">
        <f aca="false">SUM(B11:G11)</f>
        <v>329020</v>
      </c>
      <c r="K11" s="0" t="s">
        <v>10</v>
      </c>
      <c r="N11" s="0" t="n">
        <v>329020</v>
      </c>
    </row>
    <row r="12" customFormat="false" ht="13.8" hidden="false" customHeight="false" outlineLevel="0" collapsed="false">
      <c r="A12" s="47" t="s">
        <v>14</v>
      </c>
      <c r="B12" s="47"/>
      <c r="C12" s="47"/>
      <c r="D12" s="47" t="n">
        <v>21540</v>
      </c>
      <c r="E12" s="47"/>
      <c r="F12" s="47"/>
      <c r="G12" s="47"/>
      <c r="H12" s="48" t="n">
        <f aca="false">SUM(B12:G12)</f>
        <v>21540</v>
      </c>
      <c r="K12" s="0" t="s">
        <v>14</v>
      </c>
      <c r="N12" s="0" t="n">
        <v>21540</v>
      </c>
    </row>
    <row r="13" customFormat="false" ht="13.8" hidden="false" customHeight="false" outlineLevel="0" collapsed="false">
      <c r="A13" s="47" t="s">
        <v>26</v>
      </c>
      <c r="B13" s="47"/>
      <c r="C13" s="47"/>
      <c r="D13" s="47"/>
      <c r="E13" s="47"/>
      <c r="F13" s="47" t="n">
        <v>200</v>
      </c>
      <c r="G13" s="47" t="n">
        <v>3100</v>
      </c>
      <c r="H13" s="48" t="n">
        <f aca="false">SUM(B13:G13)</f>
        <v>3300</v>
      </c>
      <c r="K13" s="0" t="s">
        <v>26</v>
      </c>
      <c r="P13" s="0" t="n">
        <v>200</v>
      </c>
      <c r="Q13" s="0" t="n">
        <v>3100</v>
      </c>
    </row>
    <row r="14" customFormat="false" ht="13.8" hidden="false" customHeight="false" outlineLevel="0" collapsed="false">
      <c r="A14" s="47" t="s">
        <v>36</v>
      </c>
      <c r="B14" s="47"/>
      <c r="C14" s="47"/>
      <c r="D14" s="47"/>
      <c r="E14" s="47"/>
      <c r="F14" s="47"/>
      <c r="G14" s="47"/>
      <c r="H14" s="48" t="n">
        <f aca="false">SUM(B14:G14)</f>
        <v>0</v>
      </c>
      <c r="K14" s="0" t="s">
        <v>30</v>
      </c>
    </row>
    <row r="15" customFormat="false" ht="13.8" hidden="false" customHeight="false" outlineLevel="0" collapsed="false">
      <c r="A15" s="0" t="s">
        <v>30</v>
      </c>
      <c r="B15" s="47"/>
      <c r="C15" s="47"/>
      <c r="D15" s="47" t="n">
        <v>800</v>
      </c>
      <c r="E15" s="47"/>
      <c r="F15" s="47"/>
      <c r="G15" s="47"/>
      <c r="H15" s="48" t="n">
        <f aca="false">SUM(B15:G15)</f>
        <v>800</v>
      </c>
      <c r="N15" s="0" t="n">
        <v>800</v>
      </c>
    </row>
    <row r="16" customFormat="false" ht="13.8" hidden="false" customHeight="false" outlineLevel="0" collapsed="false">
      <c r="A16" s="49" t="s">
        <v>33</v>
      </c>
      <c r="B16" s="50" t="n">
        <f aca="false">SUM(B3:B15)</f>
        <v>50880</v>
      </c>
      <c r="C16" s="50" t="n">
        <f aca="false">SUM(C3:C15)</f>
        <v>1520</v>
      </c>
      <c r="D16" s="50" t="n">
        <f aca="false">SUM(D3:D15)</f>
        <v>840900</v>
      </c>
      <c r="E16" s="50" t="n">
        <f aca="false">SUM(E3:E15)</f>
        <v>11340</v>
      </c>
      <c r="F16" s="50" t="n">
        <f aca="false">SUM(F3:F15)</f>
        <v>15620</v>
      </c>
      <c r="G16" s="50" t="n">
        <f aca="false">SUM(G3:G15)</f>
        <v>25980</v>
      </c>
      <c r="H16" s="51" t="n">
        <f aca="false">SUM(B16:G16)</f>
        <v>946240</v>
      </c>
    </row>
    <row r="17" customFormat="false" ht="13.8" hidden="false" customHeight="false" outlineLevel="0" collapsed="false">
      <c r="A17" s="49"/>
      <c r="B17" s="50"/>
      <c r="C17" s="50"/>
      <c r="D17" s="50"/>
      <c r="E17" s="50"/>
      <c r="F17" s="50"/>
      <c r="G17" s="50"/>
      <c r="H17" s="51"/>
    </row>
    <row r="18" customFormat="false" ht="13.8" hidden="false" customHeight="false" outlineLevel="0" collapsed="false">
      <c r="C18" s="52"/>
      <c r="D18" s="52"/>
      <c r="E18" s="52"/>
      <c r="F18" s="52"/>
      <c r="G18" s="52"/>
      <c r="H18" s="52"/>
    </row>
    <row r="19" customFormat="false" ht="13.8" hidden="false" customHeight="false" outlineLevel="0" collapsed="false">
      <c r="C19" s="52"/>
      <c r="D19" s="52"/>
      <c r="E19" s="52"/>
      <c r="F19" s="52"/>
      <c r="G19" s="52"/>
      <c r="H19" s="52"/>
    </row>
    <row r="20" customFormat="false" ht="13.8" hidden="false" customHeight="false" outlineLevel="0" collapsed="false">
      <c r="C20" s="52"/>
      <c r="D20" s="52"/>
      <c r="E20" s="52"/>
      <c r="F20" s="52"/>
      <c r="G20" s="52"/>
      <c r="H20" s="52"/>
    </row>
    <row r="21" customFormat="false" ht="13.8" hidden="false" customHeight="false" outlineLevel="0" collapsed="false">
      <c r="C21" s="52"/>
      <c r="D21" s="52"/>
      <c r="E21" s="52"/>
      <c r="F21" s="52"/>
      <c r="G21" s="52"/>
      <c r="H21" s="52"/>
    </row>
    <row r="22" customFormat="false" ht="13.8" hidden="false" customHeight="false" outlineLevel="0" collapsed="false">
      <c r="A22" s="0"/>
      <c r="D22" s="0"/>
    </row>
    <row r="23" customFormat="false" ht="13.8" hidden="false" customHeight="false" outlineLevel="0" collapsed="false">
      <c r="A23" s="52" t="s">
        <v>12</v>
      </c>
      <c r="B23" s="52"/>
      <c r="C23" s="52"/>
      <c r="D23" s="52"/>
      <c r="E23" s="52"/>
      <c r="F23" s="52"/>
      <c r="G23" s="52"/>
      <c r="H23" s="52"/>
    </row>
    <row r="24" customFormat="false" ht="13.8" hidden="false" customHeight="false" outlineLevel="0" collapsed="false">
      <c r="A24" s="42" t="s">
        <v>37</v>
      </c>
      <c r="B24" s="0" t="s">
        <v>38</v>
      </c>
      <c r="C24" s="53" t="s">
        <v>39</v>
      </c>
      <c r="D24" s="54" t="s">
        <v>40</v>
      </c>
      <c r="E24" s="53" t="s">
        <v>41</v>
      </c>
      <c r="F24" s="55" t="s">
        <v>42</v>
      </c>
      <c r="G24" s="53" t="s">
        <v>9</v>
      </c>
      <c r="H24" s="53"/>
    </row>
    <row r="25" customFormat="false" ht="13.8" hidden="false" customHeight="false" outlineLevel="0" collapsed="false">
      <c r="A25" s="56" t="n">
        <v>109</v>
      </c>
      <c r="B25" s="57" t="s">
        <v>43</v>
      </c>
      <c r="C25" s="58" t="s">
        <v>27</v>
      </c>
      <c r="D25" s="59"/>
      <c r="E25" s="58"/>
      <c r="F25" s="60"/>
      <c r="G25" s="61" t="n">
        <f aca="false">VLOOKUP(C25,$A$2:$G$16,4,FALSE())</f>
        <v>0</v>
      </c>
      <c r="H25" s="62" t="str">
        <f aca="false">IF(G25-F25&gt;0,"Revisar","Bien")</f>
        <v>Bien</v>
      </c>
    </row>
    <row r="26" customFormat="false" ht="13.8" hidden="false" customHeight="false" outlineLevel="0" collapsed="false">
      <c r="A26" s="63" t="n">
        <v>333</v>
      </c>
      <c r="B26" s="64" t="s">
        <v>44</v>
      </c>
      <c r="C26" s="65" t="s">
        <v>21</v>
      </c>
      <c r="D26" s="54" t="n">
        <v>1</v>
      </c>
      <c r="E26" s="53" t="s">
        <v>45</v>
      </c>
      <c r="F26" s="55" t="n">
        <v>2700</v>
      </c>
      <c r="G26" s="66" t="n">
        <f aca="false">VLOOKUP(C26,$A$2:$G$16,4,FALSE())</f>
        <v>2700</v>
      </c>
      <c r="H26" s="67" t="str">
        <f aca="false">IF(G26-F26&gt;0,"Revisar","Bien")</f>
        <v>Bien</v>
      </c>
    </row>
    <row r="27" customFormat="false" ht="15" hidden="false" customHeight="false" outlineLevel="0" collapsed="false">
      <c r="A27" s="68" t="n">
        <v>320</v>
      </c>
      <c r="B27" s="69" t="s">
        <v>46</v>
      </c>
      <c r="C27" s="53" t="s">
        <v>15</v>
      </c>
      <c r="D27" s="54" t="s">
        <v>47</v>
      </c>
      <c r="E27" s="53" t="s">
        <v>45</v>
      </c>
      <c r="F27" s="55" t="n">
        <v>216500</v>
      </c>
      <c r="G27" s="66" t="n">
        <f aca="false">VLOOKUP(C27,$A$2:$G$16,4,FALSE())</f>
        <v>216500</v>
      </c>
      <c r="H27" s="67" t="str">
        <f aca="false">IF(G27-F27&gt;0,"Revisar","Bien")</f>
        <v>Bien</v>
      </c>
    </row>
    <row r="28" customFormat="false" ht="13.8" hidden="false" customHeight="false" outlineLevel="0" collapsed="false">
      <c r="A28" s="68" t="n">
        <v>321</v>
      </c>
      <c r="B28" s="69" t="s">
        <v>48</v>
      </c>
      <c r="C28" s="53" t="s">
        <v>16</v>
      </c>
      <c r="D28" s="54" t="s">
        <v>47</v>
      </c>
      <c r="E28" s="53" t="s">
        <v>45</v>
      </c>
      <c r="F28" s="55" t="n">
        <v>225500</v>
      </c>
      <c r="G28" s="66" t="n">
        <f aca="false">VLOOKUP(C28,$A$2:$G$16,4,FALSE())</f>
        <v>225500</v>
      </c>
      <c r="H28" s="67" t="str">
        <f aca="false">IF(G28-F28&gt;0,"Revisar","Bien")</f>
        <v>Bien</v>
      </c>
    </row>
    <row r="29" customFormat="false" ht="13.8" hidden="false" customHeight="false" outlineLevel="0" collapsed="false">
      <c r="A29" s="63" t="n">
        <v>316</v>
      </c>
      <c r="B29" s="0" t="s">
        <v>49</v>
      </c>
      <c r="C29" s="53" t="s">
        <v>18</v>
      </c>
      <c r="D29" s="54" t="s">
        <v>47</v>
      </c>
      <c r="E29" s="53" t="s">
        <v>45</v>
      </c>
      <c r="F29" s="55" t="n">
        <v>7300</v>
      </c>
      <c r="G29" s="66" t="n">
        <f aca="false">VLOOKUP(C29,$A$2:$G$16,4,FALSE())</f>
        <v>7300</v>
      </c>
      <c r="H29" s="67" t="str">
        <f aca="false">IF(G29-F29&gt;0,"Revisar","Bien")</f>
        <v>Bien</v>
      </c>
    </row>
    <row r="30" customFormat="false" ht="13.8" hidden="false" customHeight="false" outlineLevel="0" collapsed="false">
      <c r="A30" s="68" t="n">
        <v>196</v>
      </c>
      <c r="B30" s="69" t="s">
        <v>50</v>
      </c>
      <c r="C30" s="53" t="s">
        <v>23</v>
      </c>
      <c r="D30" s="54" t="s">
        <v>47</v>
      </c>
      <c r="E30" s="53" t="s">
        <v>45</v>
      </c>
      <c r="F30" s="55" t="n">
        <v>32280</v>
      </c>
      <c r="G30" s="66" t="n">
        <f aca="false">VLOOKUP(C30,$A$2:$G$16,4,FALSE())</f>
        <v>32280</v>
      </c>
      <c r="H30" s="67" t="str">
        <f aca="false">IF(G30-F30&gt;0,"Revisar","Bien")</f>
        <v>Bien</v>
      </c>
      <c r="I30" s="0" t="s">
        <v>51</v>
      </c>
    </row>
    <row r="31" customFormat="false" ht="13.8" hidden="false" customHeight="false" outlineLevel="0" collapsed="false">
      <c r="A31" s="63" t="n">
        <v>309</v>
      </c>
      <c r="B31" s="0" t="s">
        <v>52</v>
      </c>
      <c r="C31" s="53" t="s">
        <v>19</v>
      </c>
      <c r="D31" s="54" t="s">
        <v>47</v>
      </c>
      <c r="E31" s="53" t="s">
        <v>45</v>
      </c>
      <c r="F31" s="70" t="n">
        <v>5260</v>
      </c>
      <c r="G31" s="66" t="n">
        <f aca="false">VLOOKUP(C31,$A$2:$G$16,4,FALSE())</f>
        <v>5260</v>
      </c>
      <c r="H31" s="67" t="str">
        <f aca="false">IF(G31-F31&gt;0,"Revisar","Bien")</f>
        <v>Bien</v>
      </c>
      <c r="L31" s="71"/>
      <c r="M31" s="72"/>
      <c r="N31" s="64"/>
    </row>
    <row r="32" customFormat="false" ht="13.8" hidden="false" customHeight="false" outlineLevel="0" collapsed="false">
      <c r="A32" s="63" t="n">
        <v>318</v>
      </c>
      <c r="B32" s="69" t="s">
        <v>50</v>
      </c>
      <c r="C32" s="53" t="s">
        <v>10</v>
      </c>
      <c r="D32" s="54" t="s">
        <v>47</v>
      </c>
      <c r="E32" s="53" t="s">
        <v>45</v>
      </c>
      <c r="F32" s="70" t="n">
        <v>329020</v>
      </c>
      <c r="G32" s="66" t="n">
        <f aca="false">VLOOKUP(C32,$A$2:$G$16,4,FALSE())</f>
        <v>329020</v>
      </c>
      <c r="H32" s="67" t="str">
        <f aca="false">IF(G32-F32&gt;0,"Revisar","Bien")</f>
        <v>Bien</v>
      </c>
      <c r="L32" s="71"/>
      <c r="M32" s="64"/>
      <c r="N32" s="64"/>
    </row>
    <row r="33" customFormat="false" ht="14.9" hidden="false" customHeight="false" outlineLevel="0" collapsed="false">
      <c r="A33" s="73" t="n">
        <v>310</v>
      </c>
      <c r="B33" s="74" t="s">
        <v>53</v>
      </c>
      <c r="C33" s="75" t="s">
        <v>14</v>
      </c>
      <c r="D33" s="76" t="n">
        <v>1</v>
      </c>
      <c r="E33" s="75" t="s">
        <v>54</v>
      </c>
      <c r="F33" s="77" t="n">
        <v>21540</v>
      </c>
      <c r="G33" s="78" t="n">
        <f aca="false">VLOOKUP(C33,$A$2:$G$16,4,FALSE())</f>
        <v>21540</v>
      </c>
      <c r="H33" s="79" t="str">
        <f aca="false">IF(G33-F33&gt;0,"Revisar","Bien")</f>
        <v>Bien</v>
      </c>
      <c r="N33" s="69"/>
    </row>
    <row r="34" customFormat="false" ht="13.8" hidden="false" customHeight="false" outlineLevel="0" collapsed="false">
      <c r="A34" s="73"/>
      <c r="B34" s="80" t="s">
        <v>43</v>
      </c>
      <c r="C34" s="80" t="s">
        <v>30</v>
      </c>
      <c r="D34" s="76" t="n">
        <v>1</v>
      </c>
      <c r="E34" s="75" t="s">
        <v>54</v>
      </c>
      <c r="F34" s="77" t="n">
        <v>800</v>
      </c>
      <c r="G34" s="78" t="n">
        <f aca="false">VLOOKUP(C34,$A$2:$G$16,4,FALSE())</f>
        <v>800</v>
      </c>
      <c r="H34" s="79" t="str">
        <f aca="false">IF(G34-F34&gt;0,"Revisar","Bien")</f>
        <v>Bien</v>
      </c>
      <c r="I34" s="0" t="s">
        <v>55</v>
      </c>
      <c r="N34" s="69"/>
    </row>
    <row r="35" customFormat="false" ht="13.8" hidden="false" customHeight="false" outlineLevel="0" collapsed="false">
      <c r="C35" s="53"/>
      <c r="D35" s="54"/>
      <c r="E35" s="53"/>
      <c r="F35" s="81" t="n">
        <f aca="false">SUM(F25:F33)</f>
        <v>840100</v>
      </c>
      <c r="G35" s="82" t="n">
        <f aca="false">SUM(G25:G33)</f>
        <v>840100</v>
      </c>
      <c r="H35" s="53"/>
      <c r="L35" s="71"/>
      <c r="N35" s="53"/>
    </row>
    <row r="36" customFormat="false" ht="13.8" hidden="false" customHeight="false" outlineLevel="0" collapsed="false">
      <c r="A36" s="52" t="s">
        <v>56</v>
      </c>
      <c r="B36" s="52"/>
      <c r="C36" s="52"/>
      <c r="D36" s="52"/>
      <c r="E36" s="52"/>
      <c r="F36" s="52"/>
      <c r="G36" s="52"/>
      <c r="H36" s="52"/>
      <c r="L36" s="71"/>
      <c r="N36" s="53"/>
    </row>
    <row r="37" customFormat="false" ht="13.8" hidden="false" customHeight="false" outlineLevel="0" collapsed="false">
      <c r="C37" s="53" t="s">
        <v>39</v>
      </c>
      <c r="D37" s="54" t="s">
        <v>57</v>
      </c>
      <c r="E37" s="53" t="s">
        <v>58</v>
      </c>
      <c r="F37" s="70" t="s">
        <v>42</v>
      </c>
      <c r="G37" s="53" t="s">
        <v>9</v>
      </c>
      <c r="H37" s="53"/>
    </row>
    <row r="38" customFormat="false" ht="13.8" hidden="false" customHeight="false" outlineLevel="0" collapsed="false">
      <c r="A38" s="56" t="n">
        <v>109</v>
      </c>
      <c r="B38" s="57" t="s">
        <v>43</v>
      </c>
      <c r="C38" s="58" t="s">
        <v>27</v>
      </c>
      <c r="D38" s="59" t="n">
        <v>2</v>
      </c>
      <c r="E38" s="58" t="n">
        <v>5</v>
      </c>
      <c r="F38" s="58" t="n">
        <v>5360</v>
      </c>
      <c r="G38" s="61" t="n">
        <f aca="false">VLOOKUP(C38,$A$2:$G$16,7,FALSE())</f>
        <v>5360</v>
      </c>
      <c r="H38" s="62" t="str">
        <f aca="false">IF(G38-F38&gt;0,"Revisar","Bien")</f>
        <v>Bien</v>
      </c>
    </row>
    <row r="39" customFormat="false" ht="13.8" hidden="false" customHeight="false" outlineLevel="0" collapsed="false">
      <c r="A39" s="63" t="n">
        <v>333</v>
      </c>
      <c r="B39" s="0" t="s">
        <v>44</v>
      </c>
      <c r="C39" s="53" t="s">
        <v>21</v>
      </c>
      <c r="D39" s="54" t="n">
        <v>2</v>
      </c>
      <c r="E39" s="53" t="n">
        <v>1</v>
      </c>
      <c r="F39" s="53" t="n">
        <v>280</v>
      </c>
      <c r="G39" s="66" t="n">
        <f aca="false">VLOOKUP(C39,$A$2:$G$16,7,FALSE())</f>
        <v>280</v>
      </c>
      <c r="H39" s="67" t="str">
        <f aca="false">IF(G39-F39&gt;0,"Revisar","Bien")</f>
        <v>Bien</v>
      </c>
    </row>
    <row r="40" customFormat="false" ht="13.8" hidden="false" customHeight="false" outlineLevel="0" collapsed="false">
      <c r="A40" s="63" t="n">
        <v>316</v>
      </c>
      <c r="B40" s="64" t="s">
        <v>49</v>
      </c>
      <c r="C40" s="64" t="s">
        <v>18</v>
      </c>
      <c r="D40" s="54"/>
      <c r="E40" s="53"/>
      <c r="F40" s="53"/>
      <c r="G40" s="66" t="n">
        <f aca="false">VLOOKUP(C40,$A$2:$G$16,7,FALSE())</f>
        <v>0</v>
      </c>
      <c r="H40" s="67" t="str">
        <f aca="false">IF(G40-F40&gt;0,"Revisar","Bien")</f>
        <v>Bien</v>
      </c>
    </row>
    <row r="41" customFormat="false" ht="13.8" hidden="false" customHeight="false" outlineLevel="0" collapsed="false">
      <c r="A41" s="63" t="n">
        <v>309</v>
      </c>
      <c r="B41" s="0" t="s">
        <v>52</v>
      </c>
      <c r="C41" s="53" t="s">
        <v>19</v>
      </c>
      <c r="D41" s="54" t="n">
        <v>2</v>
      </c>
      <c r="E41" s="53" t="n">
        <v>44</v>
      </c>
      <c r="F41" s="53" t="n">
        <v>17240</v>
      </c>
      <c r="G41" s="66" t="n">
        <f aca="false">VLOOKUP(C41,$A$2:$G$16,7,FALSE())</f>
        <v>17240</v>
      </c>
      <c r="H41" s="67" t="str">
        <f aca="false">IF(G41-F41&gt;0,"Revisar","Bien")</f>
        <v>Bien</v>
      </c>
    </row>
    <row r="42" customFormat="false" ht="13.8" hidden="false" customHeight="false" outlineLevel="0" collapsed="false">
      <c r="A42" s="73" t="n">
        <v>296</v>
      </c>
      <c r="B42" s="75" t="s">
        <v>59</v>
      </c>
      <c r="C42" s="75" t="s">
        <v>26</v>
      </c>
      <c r="D42" s="76" t="n">
        <v>6</v>
      </c>
      <c r="E42" s="75" t="n">
        <v>3100</v>
      </c>
      <c r="F42" s="75" t="n">
        <v>6000</v>
      </c>
      <c r="G42" s="78" t="n">
        <f aca="false">VLOOKUP(C42,$A$2:$G$16,7,FALSE())</f>
        <v>3100</v>
      </c>
      <c r="H42" s="79" t="str">
        <f aca="false">IF(G42-F42&gt;0,"Revisar","Bien")</f>
        <v>Bien</v>
      </c>
    </row>
    <row r="43" customFormat="false" ht="13.8" hidden="false" customHeight="false" outlineLevel="0" collapsed="false">
      <c r="A43" s="73"/>
      <c r="B43" s="75"/>
      <c r="C43" s="80" t="s">
        <v>35</v>
      </c>
      <c r="D43" s="76"/>
      <c r="E43" s="75"/>
      <c r="F43" s="75"/>
      <c r="G43" s="78"/>
      <c r="H43" s="79"/>
    </row>
    <row r="44" customFormat="false" ht="13.8" hidden="false" customHeight="false" outlineLevel="0" collapsed="false">
      <c r="A44" s="0"/>
      <c r="D44" s="54"/>
      <c r="E44" s="53"/>
      <c r="F44" s="81" t="n">
        <f aca="false">SUM(F38:F42)</f>
        <v>28880</v>
      </c>
      <c r="G44" s="82" t="n">
        <f aca="false">SUM(G38:G42)</f>
        <v>25980</v>
      </c>
      <c r="H44" s="53"/>
    </row>
    <row r="45" customFormat="false" ht="13.8" hidden="false" customHeight="false" outlineLevel="0" collapsed="false">
      <c r="C45" s="53"/>
      <c r="D45" s="54"/>
      <c r="E45" s="53"/>
      <c r="F45" s="70"/>
      <c r="G45" s="82"/>
      <c r="H45" s="53"/>
    </row>
    <row r="46" customFormat="false" ht="13.8" hidden="false" customHeight="false" outlineLevel="0" collapsed="false">
      <c r="A46" s="52" t="s">
        <v>60</v>
      </c>
      <c r="B46" s="52"/>
      <c r="C46" s="52"/>
      <c r="D46" s="52"/>
      <c r="E46" s="52"/>
      <c r="F46" s="52"/>
      <c r="G46" s="52"/>
      <c r="H46" s="52"/>
    </row>
    <row r="47" customFormat="false" ht="13.8" hidden="false" customHeight="false" outlineLevel="0" collapsed="false">
      <c r="C47" s="53" t="s">
        <v>39</v>
      </c>
      <c r="D47" s="54" t="s">
        <v>58</v>
      </c>
      <c r="E47" s="53" t="s">
        <v>42</v>
      </c>
      <c r="F47" s="70" t="s">
        <v>9</v>
      </c>
      <c r="G47" s="53"/>
      <c r="H47" s="53"/>
    </row>
    <row r="48" customFormat="false" ht="13.8" hidden="false" customHeight="false" outlineLevel="0" collapsed="false">
      <c r="A48" s="56" t="n">
        <v>109</v>
      </c>
      <c r="B48" s="57" t="s">
        <v>43</v>
      </c>
      <c r="C48" s="58" t="s">
        <v>27</v>
      </c>
      <c r="D48" s="59" t="n">
        <v>1</v>
      </c>
      <c r="E48" s="58" t="n">
        <v>1800</v>
      </c>
      <c r="F48" s="83" t="n">
        <f aca="false">VLOOKUP(C48,$A$2:$G$16,6,FALSE())</f>
        <v>1800</v>
      </c>
      <c r="G48" s="62" t="str">
        <f aca="false">IF(F48-E48&gt;0,"Revisar","Bien")</f>
        <v>Bien</v>
      </c>
      <c r="H48" s="53"/>
    </row>
    <row r="49" customFormat="false" ht="14.9" hidden="false" customHeight="false" outlineLevel="0" collapsed="false">
      <c r="A49" s="68" t="n">
        <v>321</v>
      </c>
      <c r="B49" s="69" t="s">
        <v>48</v>
      </c>
      <c r="C49" s="53" t="s">
        <v>16</v>
      </c>
      <c r="D49" s="54" t="n">
        <v>8</v>
      </c>
      <c r="E49" s="53" t="n">
        <v>10000</v>
      </c>
      <c r="F49" s="84" t="n">
        <f aca="false">VLOOKUP(C49,$A$2:$G$16,6,FALSE())</f>
        <v>10000</v>
      </c>
      <c r="G49" s="67" t="str">
        <f aca="false">IF(F49-E49&gt;0,"Revisar","Bien")</f>
        <v>Bien</v>
      </c>
      <c r="H49" s="53"/>
    </row>
    <row r="50" customFormat="false" ht="13.8" hidden="false" customHeight="false" outlineLevel="0" collapsed="false">
      <c r="A50" s="63" t="n">
        <v>296</v>
      </c>
      <c r="B50" s="0" t="s">
        <v>59</v>
      </c>
      <c r="C50" s="53" t="s">
        <v>26</v>
      </c>
      <c r="D50" s="54" t="n">
        <v>1</v>
      </c>
      <c r="E50" s="53" t="n">
        <v>200</v>
      </c>
      <c r="F50" s="84" t="n">
        <f aca="false">VLOOKUP(C50,$A$2:$G$16,6,FALSE())</f>
        <v>200</v>
      </c>
      <c r="G50" s="67" t="str">
        <f aca="false">IF(F50-E50&gt;0,"Revisar","Bien")</f>
        <v>Bien</v>
      </c>
      <c r="H50" s="53"/>
    </row>
    <row r="51" customFormat="false" ht="14.9" hidden="false" customHeight="false" outlineLevel="0" collapsed="false">
      <c r="A51" s="68" t="n">
        <v>320</v>
      </c>
      <c r="B51" s="69" t="s">
        <v>46</v>
      </c>
      <c r="C51" s="53" t="s">
        <v>15</v>
      </c>
      <c r="D51" s="54" t="n">
        <v>3</v>
      </c>
      <c r="E51" s="70" t="n">
        <v>3620</v>
      </c>
      <c r="F51" s="84" t="n">
        <f aca="false">VLOOKUP(C51,$A$2:$G$16,6,FALSE())</f>
        <v>3620</v>
      </c>
      <c r="G51" s="67" t="str">
        <f aca="false">IF(F51-E51&gt;0,"Revisar","Bien")</f>
        <v>Bien</v>
      </c>
      <c r="H51" s="53"/>
    </row>
    <row r="52" customFormat="false" ht="14.9" hidden="false" customHeight="false" outlineLevel="0" collapsed="false">
      <c r="A52" s="85"/>
      <c r="B52" s="75"/>
      <c r="C52" s="86" t="s">
        <v>35</v>
      </c>
      <c r="D52" s="76"/>
      <c r="E52" s="77"/>
      <c r="F52" s="87" t="n">
        <f aca="false">VLOOKUP(C52,$A$2:$G$16,6,FALSE())</f>
        <v>0</v>
      </c>
      <c r="G52" s="79" t="str">
        <f aca="false">IF(F52-E52&gt;0,"Revisar","Bien")</f>
        <v>Bien</v>
      </c>
      <c r="H52" s="53"/>
    </row>
    <row r="53" customFormat="false" ht="13.8" hidden="false" customHeight="false" outlineLevel="0" collapsed="false">
      <c r="C53" s="53"/>
      <c r="D53" s="54"/>
      <c r="E53" s="88" t="n">
        <f aca="false">SUM(E48:E52)</f>
        <v>15620</v>
      </c>
      <c r="F53" s="82" t="n">
        <f aca="false">SUM(F48:F51)</f>
        <v>15620</v>
      </c>
      <c r="G53" s="53"/>
      <c r="H53" s="53"/>
    </row>
    <row r="54" customFormat="false" ht="13.8" hidden="false" customHeight="false" outlineLevel="0" collapsed="false">
      <c r="A54" s="52" t="s">
        <v>61</v>
      </c>
      <c r="B54" s="52"/>
      <c r="C54" s="52"/>
      <c r="D54" s="52"/>
      <c r="E54" s="52"/>
      <c r="F54" s="52"/>
      <c r="G54" s="52"/>
      <c r="H54" s="53"/>
    </row>
    <row r="55" customFormat="false" ht="13.8" hidden="false" customHeight="false" outlineLevel="0" collapsed="false">
      <c r="C55" s="53" t="s">
        <v>39</v>
      </c>
      <c r="D55" s="54" t="s">
        <v>58</v>
      </c>
      <c r="E55" s="53" t="s">
        <v>42</v>
      </c>
      <c r="F55" s="70" t="s">
        <v>9</v>
      </c>
      <c r="G55" s="53"/>
      <c r="H55" s="53"/>
    </row>
    <row r="56" customFormat="false" ht="15" hidden="false" customHeight="false" outlineLevel="0" collapsed="false">
      <c r="A56" s="89" t="n">
        <v>320</v>
      </c>
      <c r="B56" s="90" t="s">
        <v>46</v>
      </c>
      <c r="C56" s="58" t="s">
        <v>15</v>
      </c>
      <c r="D56" s="59" t="n">
        <v>1</v>
      </c>
      <c r="E56" s="91" t="n">
        <v>2720</v>
      </c>
      <c r="F56" s="61" t="n">
        <f aca="false">VLOOKUP(C56,$A$2:$G$16,5,FALSE())</f>
        <v>1440</v>
      </c>
      <c r="G56" s="62" t="str">
        <f aca="false">IF(F56-E56&gt;0,"Revisar","Bien")</f>
        <v>Bien</v>
      </c>
      <c r="H56" s="53"/>
    </row>
    <row r="57" customFormat="false" ht="15" hidden="false" customHeight="false" outlineLevel="0" collapsed="false">
      <c r="A57" s="68" t="n">
        <v>321</v>
      </c>
      <c r="B57" s="69" t="s">
        <v>48</v>
      </c>
      <c r="C57" s="64" t="s">
        <v>16</v>
      </c>
      <c r="D57" s="92" t="n">
        <v>5</v>
      </c>
      <c r="E57" s="93" t="n">
        <v>9900</v>
      </c>
      <c r="F57" s="94" t="n">
        <f aca="false">VLOOKUP(C57,$A$2:$G$16,5,FALSE())</f>
        <v>9900</v>
      </c>
      <c r="G57" s="67" t="str">
        <f aca="false">IF(F57-E57&gt;0,"Revisar","Bien")</f>
        <v>Bien</v>
      </c>
      <c r="H57" s="53"/>
    </row>
    <row r="58" customFormat="false" ht="14.9" hidden="false" customHeight="false" outlineLevel="0" collapsed="false">
      <c r="A58" s="85" t="n">
        <v>296</v>
      </c>
      <c r="B58" s="74" t="s">
        <v>59</v>
      </c>
      <c r="C58" s="75" t="s">
        <v>26</v>
      </c>
      <c r="D58" s="76"/>
      <c r="E58" s="77"/>
      <c r="F58" s="78" t="n">
        <f aca="false">VLOOKUP(C58,$A$2:$G$16,5,FALSE())</f>
        <v>0</v>
      </c>
      <c r="G58" s="79" t="str">
        <f aca="false">IF(F58-E58&gt;0,"Revisar","Bien")</f>
        <v>Bien</v>
      </c>
      <c r="H58" s="53"/>
    </row>
    <row r="59" customFormat="false" ht="13.8" hidden="false" customHeight="false" outlineLevel="0" collapsed="false">
      <c r="C59" s="53"/>
      <c r="D59" s="54"/>
      <c r="E59" s="88" t="n">
        <f aca="false">SUM(E56:E57)</f>
        <v>12620</v>
      </c>
      <c r="F59" s="82" t="n">
        <f aca="false">SUM(F56:F57)</f>
        <v>11340</v>
      </c>
      <c r="G59" s="53"/>
      <c r="H59" s="53"/>
    </row>
    <row r="60" customFormat="false" ht="13.8" hidden="false" customHeight="false" outlineLevel="0" collapsed="false">
      <c r="A60" s="52" t="s">
        <v>22</v>
      </c>
      <c r="B60" s="52"/>
      <c r="C60" s="52"/>
      <c r="D60" s="52"/>
      <c r="E60" s="52"/>
      <c r="F60" s="52"/>
      <c r="G60" s="52"/>
      <c r="H60" s="53"/>
    </row>
    <row r="61" customFormat="false" ht="13.8" hidden="false" customHeight="false" outlineLevel="0" collapsed="false">
      <c r="C61" s="53" t="s">
        <v>39</v>
      </c>
      <c r="D61" s="54" t="s">
        <v>58</v>
      </c>
      <c r="E61" s="53" t="s">
        <v>42</v>
      </c>
      <c r="F61" s="70" t="s">
        <v>9</v>
      </c>
      <c r="G61" s="53"/>
      <c r="H61" s="53"/>
    </row>
    <row r="62" customFormat="false" ht="15.8" hidden="false" customHeight="false" outlineLevel="0" collapsed="false">
      <c r="A62" s="56" t="n">
        <v>109</v>
      </c>
      <c r="B62" s="57" t="s">
        <v>43</v>
      </c>
      <c r="C62" s="58" t="s">
        <v>27</v>
      </c>
      <c r="D62" s="95"/>
      <c r="E62" s="96"/>
      <c r="F62" s="61" t="n">
        <f aca="false">IF(D62&lt;&gt;0,VLOOKUP(C62,$A$2:$G$16,3,FALSE()),0)</f>
        <v>0</v>
      </c>
      <c r="G62" s="62" t="str">
        <f aca="false">IF(F62-E62&gt;0,"Revisar","Bien")</f>
        <v>Bien</v>
      </c>
      <c r="H62" s="53"/>
    </row>
    <row r="63" customFormat="false" ht="13.8" hidden="false" customHeight="false" outlineLevel="0" collapsed="false">
      <c r="A63" s="63" t="n">
        <v>333</v>
      </c>
      <c r="B63" s="64" t="s">
        <v>44</v>
      </c>
      <c r="C63" s="64" t="s">
        <v>21</v>
      </c>
      <c r="D63" s="92" t="n">
        <v>5</v>
      </c>
      <c r="E63" s="64" t="n">
        <v>1520</v>
      </c>
      <c r="F63" s="66" t="n">
        <f aca="false">IF(D63&lt;&gt;0,VLOOKUP(C63,$A$2:$G$16,3,FALSE()),0)</f>
        <v>1520</v>
      </c>
      <c r="G63" s="67" t="str">
        <f aca="false">IF(F63-E63&gt;0,"Revisar","Bien")</f>
        <v>Bien</v>
      </c>
      <c r="H63" s="53"/>
    </row>
    <row r="64" customFormat="false" ht="16.85" hidden="false" customHeight="false" outlineLevel="0" collapsed="false">
      <c r="A64" s="97"/>
      <c r="B64" s="0" t="s">
        <v>62</v>
      </c>
      <c r="C64" s="69" t="s">
        <v>63</v>
      </c>
      <c r="D64" s="0"/>
      <c r="F64" s="66" t="n">
        <f aca="false">IF(D64&lt;&gt;0,VLOOKUP(C64,$A$2:$G$16,3,FALSE()),0)</f>
        <v>0</v>
      </c>
      <c r="G64" s="67" t="str">
        <f aca="false">IF(F64-E64&gt;0,"Revisar","Bien")</f>
        <v>Bien</v>
      </c>
      <c r="H64" s="53"/>
    </row>
    <row r="65" customFormat="false" ht="15.8" hidden="false" customHeight="false" outlineLevel="0" collapsed="false">
      <c r="A65" s="63" t="n">
        <v>316</v>
      </c>
      <c r="B65" s="0" t="s">
        <v>49</v>
      </c>
      <c r="C65" s="53" t="s">
        <v>18</v>
      </c>
      <c r="D65" s="0"/>
      <c r="F65" s="66" t="n">
        <f aca="false">IF(D65&lt;&gt;0,VLOOKUP(C65,$A$2:$G$16,3,FALSE()),0)</f>
        <v>0</v>
      </c>
      <c r="G65" s="67" t="str">
        <f aca="false">IF(F65-E65&gt;0,"Revisar","Bien")</f>
        <v>Bien</v>
      </c>
      <c r="H65" s="53"/>
    </row>
    <row r="66" customFormat="false" ht="13.8" hidden="false" customHeight="false" outlineLevel="0" collapsed="false">
      <c r="A66" s="63" t="n">
        <v>309</v>
      </c>
      <c r="B66" s="0" t="s">
        <v>52</v>
      </c>
      <c r="C66" s="53" t="s">
        <v>19</v>
      </c>
      <c r="D66" s="54"/>
      <c r="E66" s="53"/>
      <c r="F66" s="66" t="n">
        <f aca="false">IF(D66&lt;&gt;0,VLOOKUP(C66,$A$2:$G$16,3,FALSE()),0)</f>
        <v>0</v>
      </c>
      <c r="G66" s="67" t="str">
        <f aca="false">IF(F66-E66&gt;0,"Revisar","Bien")</f>
        <v>Bien</v>
      </c>
      <c r="H66" s="53"/>
    </row>
    <row r="67" customFormat="false" ht="15.8" hidden="false" customHeight="false" outlineLevel="0" collapsed="false">
      <c r="A67" s="73" t="n">
        <v>296</v>
      </c>
      <c r="B67" s="75" t="s">
        <v>59</v>
      </c>
      <c r="C67" s="75" t="s">
        <v>26</v>
      </c>
      <c r="D67" s="76"/>
      <c r="E67" s="75"/>
      <c r="F67" s="78" t="n">
        <f aca="false">IF(D67&lt;&gt;0,VLOOKUP(C67,$A$2:$G$16,3,FALSE()),0)</f>
        <v>0</v>
      </c>
      <c r="G67" s="79" t="str">
        <f aca="false">IF(F67-E67&gt;0,"Revisar","Bien")</f>
        <v>Bien</v>
      </c>
      <c r="H67" s="53"/>
    </row>
    <row r="68" customFormat="false" ht="13.8" hidden="false" customHeight="false" outlineLevel="0" collapsed="false">
      <c r="C68" s="53"/>
      <c r="D68" s="54"/>
      <c r="E68" s="88" t="n">
        <f aca="false">SUM(E62:E67)</f>
        <v>1520</v>
      </c>
      <c r="F68" s="82" t="n">
        <f aca="false">SUM(F62:F67)</f>
        <v>1520</v>
      </c>
      <c r="G68" s="53"/>
      <c r="H68" s="53"/>
    </row>
    <row r="69" customFormat="false" ht="13.8" hidden="false" customHeight="false" outlineLevel="0" collapsed="false">
      <c r="A69" s="52" t="s">
        <v>64</v>
      </c>
      <c r="B69" s="52"/>
      <c r="C69" s="52"/>
      <c r="D69" s="52"/>
      <c r="E69" s="52"/>
      <c r="F69" s="52"/>
      <c r="G69" s="52"/>
      <c r="H69" s="53"/>
    </row>
    <row r="70" customFormat="false" ht="13.8" hidden="false" customHeight="false" outlineLevel="0" collapsed="false">
      <c r="C70" s="53" t="s">
        <v>39</v>
      </c>
      <c r="D70" s="54" t="s">
        <v>58</v>
      </c>
      <c r="E70" s="53" t="s">
        <v>42</v>
      </c>
      <c r="F70" s="70" t="s">
        <v>9</v>
      </c>
      <c r="G70" s="53"/>
      <c r="H70" s="53"/>
    </row>
    <row r="71" customFormat="false" ht="13.8" hidden="false" customHeight="false" outlineLevel="0" collapsed="false">
      <c r="A71" s="56" t="n">
        <v>109</v>
      </c>
      <c r="B71" s="57" t="s">
        <v>43</v>
      </c>
      <c r="C71" s="58" t="s">
        <v>27</v>
      </c>
      <c r="D71" s="59" t="n">
        <v>4</v>
      </c>
      <c r="E71" s="91" t="n">
        <v>50880</v>
      </c>
      <c r="F71" s="61" t="n">
        <f aca="false">VLOOKUP(C71,$A$2:$H$16,2,FALSE())</f>
        <v>50880</v>
      </c>
      <c r="G71" s="62" t="str">
        <f aca="false">IF(F71-E71&gt;0,"Revisar","Bien")</f>
        <v>Bien</v>
      </c>
      <c r="H71" s="53"/>
    </row>
    <row r="72" customFormat="false" ht="13.8" hidden="false" customHeight="false" outlineLevel="0" collapsed="false">
      <c r="A72" s="63" t="n">
        <v>309</v>
      </c>
      <c r="B72" s="0" t="s">
        <v>52</v>
      </c>
      <c r="C72" s="53" t="s">
        <v>19</v>
      </c>
      <c r="D72" s="54"/>
      <c r="E72" s="70"/>
      <c r="F72" s="66" t="n">
        <f aca="false">VLOOKUP(C72,$A$2:$H$16,2,FALSE())</f>
        <v>0</v>
      </c>
      <c r="G72" s="67" t="str">
        <f aca="false">IF(F72-E72&gt;0,"Revisar","Bien")</f>
        <v>Bien</v>
      </c>
      <c r="H72" s="53"/>
    </row>
    <row r="73" customFormat="false" ht="13.8" hidden="false" customHeight="false" outlineLevel="0" collapsed="false">
      <c r="A73" s="73" t="n">
        <v>296</v>
      </c>
      <c r="B73" s="75" t="s">
        <v>59</v>
      </c>
      <c r="C73" s="75" t="s">
        <v>26</v>
      </c>
      <c r="D73" s="76"/>
      <c r="E73" s="77"/>
      <c r="F73" s="78" t="n">
        <f aca="false">VLOOKUP(C73,$A$2:$H$16,2,FALSE())</f>
        <v>0</v>
      </c>
      <c r="G73" s="79" t="str">
        <f aca="false">IF(F73-E73&gt;0,"Revisar","Bien")</f>
        <v>Bien</v>
      </c>
      <c r="H73" s="53"/>
    </row>
    <row r="74" customFormat="false" ht="13.8" hidden="false" customHeight="false" outlineLevel="0" collapsed="false">
      <c r="C74" s="53"/>
      <c r="D74" s="54"/>
      <c r="E74" s="88" t="n">
        <f aca="false">SUM(E71:E73)</f>
        <v>50880</v>
      </c>
      <c r="F74" s="82" t="n">
        <f aca="false">SUM(F71:F71)</f>
        <v>50880</v>
      </c>
      <c r="G74" s="53"/>
      <c r="H74" s="53"/>
    </row>
  </sheetData>
  <mergeCells count="6">
    <mergeCell ref="A23:H23"/>
    <mergeCell ref="A36:H36"/>
    <mergeCell ref="A46:H46"/>
    <mergeCell ref="A54:G54"/>
    <mergeCell ref="A60:G60"/>
    <mergeCell ref="A69:G6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2020-10-07T14:44:25Z</dcterms:created>
  <dc:creator>usuario</dc:creator>
  <dc:description/>
  <dc:language>es-ES</dc:language>
  <cp:lastModifiedBy>JORGE AZUARA ROCA</cp:lastModifiedBy>
  <dcterms:modified xsi:type="dcterms:W3CDTF">2020-10-08T10:10:31Z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