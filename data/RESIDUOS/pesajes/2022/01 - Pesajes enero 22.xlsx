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Hoja1!$A$1:$J$206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<sst xmlns="http://schemas.openxmlformats.org/spreadsheetml/2006/main" count="996" uniqueCount="65">
  <si>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</si>
  <si>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</si>
  <si>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</si>
  <si>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</si>
  <si>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</si>
  <si>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</si>
  <si>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</si>
  <si>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</si>
  <si>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</si>
  <si>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</si>
  <si>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1076KSZ</t>
  </si>
  <si>
    <t xml:space="preserve">PEÑISCOLA </t>
  </si>
  <si>
    <t xml:space="preserve">RSU</t>
  </si>
  <si>
    <t xml:space="preserve">x</t>
  </si>
  <si>
    <t xml:space="preserve">1730KBZ</t>
  </si>
  <si>
    <t xml:space="preserve">7542KBV</t>
  </si>
  <si>
    <t xml:space="preserve">6120JZX</t>
  </si>
  <si>
    <t xml:space="preserve">7809JZX</t>
  </si>
  <si>
    <t xml:space="preserve">3686KBG</t>
  </si>
  <si>
    <t xml:space="preserve">SEL.PAP</t>
  </si>
  <si>
    <t xml:space="preserve">PODA</t>
  </si>
  <si>
    <t xml:space="preserve">X</t>
  </si>
  <si>
    <t xml:space="preserve">7957JZS</t>
  </si>
  <si>
    <t xml:space="preserve">VOL</t>
  </si>
  <si>
    <t xml:space="preserve">SEL.ENV</t>
  </si>
  <si>
    <t xml:space="preserve">0315BGK</t>
  </si>
  <si>
    <t xml:space="preserve">BARREDURIA</t>
  </si>
  <si>
    <t xml:space="preserve">5936GJY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</si>
  <si>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</si>
  <si>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</si>
  <si>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</si>
  <si>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</si>
  <si>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</si>
  <si>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</si>
  <si>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</si>
  <si>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</si>
  <si>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</si>
  <si>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</si>
  <si>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</si>
  <si>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</si>
  <si>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</si>
  <si>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</si>
  <si>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</si>
  <si>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</si>
  <si>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</si>
  <si>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</si>
  <si>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</si>
  <si>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Dia/Noche</t>
  </si>
  <si>
    <t xml:space="preserve">Recolector 22 _ 1</t>
  </si>
  <si>
    <t xml:space="preserve">Noche</t>
  </si>
  <si>
    <t xml:space="preserve">Recolector 22 _ 2</t>
  </si>
  <si>
    <t xml:space="preserve">1821KBZ</t>
  </si>
  <si>
    <t xml:space="preserve">volquete 4x4 LV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</si>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</sst>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7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7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8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8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8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  <cellStyle name="Excel Built-in Explanatory Text" xfId="26" builtinId="53" customBuiltin="true"/>
  </cellStyles>
  <dxfs count="4"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5">
  <cacheSource type="worksheet">
    <worksheetSource ref="A1:I206" sheet="Hoja1"/>
  </cacheSource>
  <cacheFields count="9">
    <cacheField name="Fecha" numFmtId="0">
      <sharedItems count="31" containsMixedTypes="0" containsSemiMixedTypes="0" containsString="0" containsNumber="1">
        <n v="44562"/>
        <n v="44563"/>
        <n v="44564"/>
        <n v="44565"/>
        <n v="44566"/>
        <n v="44567"/>
        <n v="44568"/>
        <n v="44569"/>
        <n v="44570"/>
        <n v="44571"/>
        <n v="44572"/>
        <n v="44573"/>
        <n v="44574"/>
        <n v="44575"/>
        <n v="44576"/>
        <n v="44577"/>
        <n v="44578"/>
        <n v="44579"/>
        <n v="44580"/>
        <n v="44581"/>
        <n v="44582"/>
        <n v="44583"/>
        <n v="44584"/>
        <n v="44585"/>
        <n v="44586"/>
        <n v="44587"/>
        <n v="44588"/>
        <n v="44589"/>
        <n v="44590"/>
        <n v="44591"/>
        <n v="44592"/>
      </sharedItems>
    </cacheField>
    <cacheField name="Fecha / hora" numFmtId="0">
      <sharedItems count="139" containsMixedTypes="0" containsSemiMixedTypes="0" containsString="0" containsNumber="1">
        <n v="0.0465277777777778"/>
        <n v="0.0611111111111111"/>
        <n v="0.0708333333333333"/>
        <n v="0.0923611111111111"/>
        <n v="0.111111111111111"/>
        <n v="0.11875"/>
        <n v="0.126388888888889"/>
        <n v="0.127083333333333"/>
        <n v="0.13125"/>
        <n v="0.136805555555556"/>
        <n v="0.140972222222222"/>
        <n v="0.141666666666667"/>
        <n v="0.148611111111111"/>
        <n v="0.150694444444444"/>
        <n v="0.152083333333333"/>
        <n v="0.154166666666667"/>
        <n v="0.155555555555556"/>
        <n v="0.159722222222222"/>
        <n v="0.160416666666667"/>
        <n v="0.161805555555556"/>
        <n v="0.167361111111111"/>
        <n v="0.174305555555556"/>
        <n v="0.175"/>
        <n v="0.175694444444444"/>
        <n v="0.176388888888889"/>
        <n v="0.179861111111111"/>
        <n v="0.180555555555556"/>
        <n v="0.190972222222222"/>
        <n v="0.19375"/>
        <n v="0.194444444444444"/>
        <n v="0.197222222222222"/>
        <n v="0.198611111111111"/>
        <n v="0.200694444444444"/>
        <n v="0.215277777777778"/>
        <n v="0.216666666666667"/>
        <n v="0.21875"/>
        <n v="0.220138888888889"/>
        <n v="0.222916666666667"/>
        <n v="0.224305555555556"/>
        <n v="0.226388888888889"/>
        <n v="0.23125"/>
        <n v="0.234027777777778"/>
        <n v="0.235416666666667"/>
        <n v="0.236111111111111"/>
        <n v="0.236805555555556"/>
        <n v="0.238194444444444"/>
        <n v="0.238888888888889"/>
        <n v="0.240277777777778"/>
        <n v="0.240972222222222"/>
        <n v="0.254166666666667"/>
        <n v="0.25625"/>
        <n v="0.257638888888889"/>
        <n v="0.258333333333333"/>
        <n v="0.259027777777778"/>
        <n v="0.259722222222222"/>
        <n v="0.260416666666667"/>
        <n v="0.261805555555556"/>
        <n v="0.2625"/>
        <n v="0.263194444444444"/>
        <n v="0.264583333333333"/>
        <n v="0.265277777777778"/>
        <n v="0.267361111111111"/>
        <n v="0.309027777777778"/>
        <n v="0.332638888888889"/>
        <n v="0.333333333333333"/>
        <n v="0.334027777777778"/>
        <n v="0.336805555555556"/>
        <n v="0.3375"/>
        <n v="0.340972222222222"/>
        <n v="0.343055555555555"/>
        <n v="0.345138888888889"/>
        <n v="0.359722222222222"/>
        <n v="0.3625"/>
        <n v="0.383333333333333"/>
        <n v="0.427083333333333"/>
        <n v="0.431944444444444"/>
        <n v="0.432638888888889"/>
        <n v="0.433333333333333"/>
        <n v="0.434027777777778"/>
        <n v="0.434722222222222"/>
        <n v="0.435416666666667"/>
        <n v="0.436805555555555"/>
        <n v="0.443055555555556"/>
        <n v="0.44375"/>
        <n v="0.445833333333333"/>
        <n v="0.447916666666667"/>
        <n v="0.448611111111111"/>
        <n v="0.45"/>
        <n v="0.450694444444444"/>
        <n v="0.451388888888889"/>
        <n v="0.452777777777778"/>
        <n v="0.455555555555556"/>
        <n v="0.45625"/>
        <n v="0.456944444444444"/>
        <n v="0.461111111111111"/>
        <n v="0.463888888888889"/>
        <n v="0.467361111111111"/>
        <n v="0.48125"/>
        <n v="0.481944444444444"/>
        <n v="0.483333333333333"/>
        <n v="0.485416666666667"/>
        <n v="0.489583333333333"/>
        <n v="0.490277777777778"/>
        <n v="0.490972222222222"/>
        <n v="0.497222222222222"/>
        <n v="0.498611111111111"/>
        <n v="0.5"/>
        <n v="0.502083333333333"/>
        <n v="0.505555555555556"/>
        <n v="0.506944444444444"/>
        <n v="0.511111111111111"/>
        <n v="0.513194444444444"/>
        <n v="0.513888888888889"/>
        <n v="0.515972222222222"/>
        <n v="0.519444444444444"/>
        <n v="0.521527777777778"/>
        <n v="0.522916666666667"/>
        <n v="0.524305555555556"/>
        <n v="0.526388888888889"/>
        <n v="0.527083333333333"/>
        <n v="0.528472222222222"/>
        <n v="0.529166666666667"/>
        <n v="0.530555555555556"/>
        <n v="0.531944444444445"/>
        <n v="0.533333333333333"/>
        <n v="0.534027777777778"/>
        <n v="0.536805555555556"/>
        <n v="0.538888888888889"/>
        <n v="0.539583333333333"/>
        <n v="0.540277777777778"/>
        <n v="0.540972222222222"/>
        <n v="0.541666666666667"/>
        <n v="0.543055555555555"/>
        <n v="0.54375"/>
        <n v="0.544444444444444"/>
        <n v="0.545138888888889"/>
        <n v="0.545833333333333"/>
        <n v="0.547222222222222"/>
        <n v="0.547916666666667"/>
      </sharedItems>
    </cacheField>
    <cacheField name="Ticket" numFmtId="0">
      <sharedItems count="205" containsMixedTypes="1" containsSemiMixedTypes="1" containsString="0" containsNumber="1">
        <n v="436"/>
        <n v="457"/>
        <n v="461"/>
        <n v="462"/>
        <n v="473"/>
        <n v="480"/>
        <n v="482"/>
        <n v="503"/>
        <n v="507"/>
        <n v="510"/>
        <n v="515"/>
        <n v="525"/>
        <n v="526"/>
        <n v="527"/>
        <n v="537"/>
        <n v="548"/>
        <n v="2432"/>
        <n v="2468"/>
        <n v="2483"/>
        <n v="2508"/>
        <n v="131973"/>
        <n v="131977"/>
        <n v="131978"/>
        <n v="132032"/>
        <n v="132033"/>
        <n v="132085"/>
        <n v="132086"/>
        <n v="132093"/>
        <n v="132141"/>
        <n v="132142"/>
        <n v="132170"/>
        <n v="132171"/>
        <n v="132216"/>
        <n v="132217"/>
        <n v="132218"/>
        <n v="132237"/>
        <n v="132284"/>
        <n v="132285"/>
        <n v="132296"/>
        <n v="132327"/>
        <n v="132328"/>
        <n v="132377"/>
        <n v="132378"/>
        <n v="132381"/>
        <n v="132383"/>
        <n v="132434"/>
        <n v="132449"/>
        <n v="132472"/>
        <n v="132495"/>
        <n v="132519"/>
        <n v="132520"/>
        <n v="132571"/>
        <n v="132572"/>
        <n v="132596"/>
        <n v="132619"/>
        <n v="132630"/>
        <n v="132631"/>
        <n v="132655"/>
        <n v="132677"/>
        <n v="132701"/>
        <n v="132702"/>
        <n v="132706"/>
        <n v="132707"/>
        <n v="132742"/>
        <n v="132745"/>
        <n v="132746"/>
        <n v="132756"/>
        <n v="132782"/>
        <n v="132783"/>
        <n v="132784"/>
        <n v="132785"/>
        <n v="132874"/>
        <n v="132875"/>
        <n v="132883"/>
        <n v="132884"/>
        <n v="132950"/>
        <n v="132980"/>
        <n v="132981"/>
        <n v="133008"/>
        <n v="133064"/>
        <n v="133065"/>
        <n v="133071"/>
        <n v="133072"/>
        <n v="133113"/>
        <n v="133120"/>
        <n v="133169"/>
        <n v="133172"/>
        <n v="133195"/>
        <n v="133250"/>
        <n v="133251"/>
        <n v="133275"/>
        <n v="133276"/>
        <n v="133357"/>
        <n v="133358"/>
        <n v="133434"/>
        <n v="133483"/>
        <n v="133484"/>
        <n v="133493"/>
        <n v="133543"/>
        <n v="133548"/>
        <n v="147991"/>
        <n v="147992"/>
        <n v="147996"/>
        <n v="148001"/>
        <n v="148004"/>
        <n v="148010"/>
        <n v="148013"/>
        <n v="148017"/>
        <n v="148025"/>
        <n v="148027"/>
        <n v="148032"/>
        <n v="148035"/>
        <n v="148040"/>
        <n v="148043"/>
        <n v="148058"/>
        <n v="148065"/>
        <n v="148067"/>
        <n v="148077"/>
        <n v="148084"/>
        <n v="148092"/>
        <n v="148098"/>
        <n v="148099"/>
        <n v="148108"/>
        <n v="148117"/>
        <n v="148125"/>
        <n v="148128"/>
        <n v="148136"/>
        <n v="148143"/>
        <n v="148149"/>
        <n v="148150"/>
        <n v="148153"/>
        <n v="148156"/>
        <n v="148167"/>
        <n v="148171"/>
        <n v="148172"/>
        <n v="148179"/>
        <n v="148181"/>
        <n v="148188"/>
        <n v="148191"/>
        <n v="148194"/>
        <n v="148195"/>
        <n v="148205"/>
        <n v="148208"/>
        <n v="148210"/>
        <n v="148224"/>
        <n v="148245"/>
        <n v="148249"/>
        <n v="148250"/>
        <n v="148274"/>
        <n v="148289"/>
        <n v="148292"/>
        <n v="148293"/>
        <n v="148306"/>
        <n v="148319"/>
        <n v="148322"/>
        <n v="148326"/>
        <n v="148339"/>
        <n v="148349"/>
        <n v="148354"/>
        <n v="148357"/>
        <n v="148390"/>
        <n v="148395"/>
        <n v="148398"/>
        <n v="148403"/>
        <n v="148407"/>
        <n v="148414"/>
        <n v="148415"/>
        <n v="148420"/>
        <n v="148425"/>
        <n v="148431"/>
        <n v="148435"/>
        <n v="148455"/>
        <n v="148467"/>
        <n v="148477"/>
        <n v="148478"/>
        <n v="148505"/>
        <n v="148511"/>
        <n v="148512"/>
        <n v="148525"/>
        <n v="148540"/>
        <n v="148544"/>
        <n v="148547"/>
        <n v="148582"/>
        <n v="148583"/>
        <n v="148587"/>
        <n v="148624"/>
        <n v="148627"/>
        <n v="148631"/>
        <n v="148644"/>
        <n v="148645"/>
        <n v="148648"/>
        <n v="148656"/>
        <n v="148663"/>
        <n v="148664"/>
        <n v="148688"/>
        <n v="148706"/>
        <n v="148711"/>
        <n v="148714"/>
        <n v="148743"/>
        <n v="148748"/>
        <n v="148749"/>
        <n v="148766"/>
        <n v="148773"/>
        <n v="148775"/>
        <m/>
      </sharedItems>
    </cacheField>
    <cacheField name="Matrícula" numFmtId="0">
      <sharedItems count="9" containsMixedTypes="0" containsSemiMixedTypes="0" containsString="1" containsNumber="0">
        <s v="0315BGK"/>
        <s v="1076KSZ"/>
        <s v="1730KBZ"/>
        <s v="3686KBG"/>
        <s v="5936GJY"/>
        <s v="6120JZX"/>
        <s v="7542KBV"/>
        <s v="7809JZX"/>
        <s v="7957JZS"/>
      </sharedItems>
    </cacheField>
    <cacheField name="Peso total" numFmtId="0">
      <sharedItems count="147" containsMixedTypes="0" containsSemiMixedTypes="0" containsString="0" containsNumber="1">
        <n v="2500"/>
        <n v="2560"/>
        <n v="2600"/>
        <n v="2620"/>
        <n v="2640"/>
        <n v="2680"/>
        <n v="2700"/>
        <n v="2720"/>
        <n v="2760"/>
        <n v="2940"/>
        <n v="2980"/>
        <n v="3040"/>
        <n v="3060"/>
        <n v="3080"/>
        <n v="3100"/>
        <n v="3120"/>
        <n v="3140"/>
        <n v="3160"/>
        <n v="3180"/>
        <n v="3220"/>
        <n v="3240"/>
        <n v="3260"/>
        <n v="3280"/>
        <n v="3300"/>
        <n v="3320"/>
        <n v="3340"/>
        <n v="3360"/>
        <n v="3400"/>
        <n v="3420"/>
        <n v="3440"/>
        <n v="3480"/>
        <n v="3500"/>
        <n v="3520"/>
        <n v="3660"/>
        <n v="3700"/>
        <n v="3760"/>
        <n v="3960"/>
        <n v="4000"/>
        <n v="4040"/>
        <n v="4060"/>
        <n v="4080"/>
        <n v="4100"/>
        <n v="4120"/>
        <n v="4140"/>
        <n v="4180"/>
        <n v="4220"/>
        <n v="4240"/>
        <n v="4260"/>
        <n v="4280"/>
        <n v="4300"/>
        <n v="4380"/>
        <n v="4460"/>
        <n v="4600"/>
        <n v="6160"/>
        <n v="6180"/>
        <n v="6220"/>
        <n v="6260"/>
        <n v="6280"/>
        <n v="6320"/>
        <n v="6360"/>
        <n v="6480"/>
        <n v="6500"/>
        <n v="6580"/>
        <n v="6620"/>
        <n v="6640"/>
        <n v="6660"/>
        <n v="6680"/>
        <n v="6700"/>
        <n v="6800"/>
        <n v="6840"/>
        <n v="6880"/>
        <n v="6920"/>
        <n v="7100"/>
        <n v="7140"/>
        <n v="15840"/>
        <n v="15860"/>
        <n v="15940"/>
        <n v="16140"/>
        <n v="16160"/>
        <n v="16180"/>
        <n v="16240"/>
        <n v="16340"/>
        <n v="16420"/>
        <n v="16500"/>
        <n v="16600"/>
        <n v="16640"/>
        <n v="16680"/>
        <n v="16780"/>
        <n v="16800"/>
        <n v="16820"/>
        <n v="16940"/>
        <n v="16980"/>
        <n v="17040"/>
        <n v="17080"/>
        <n v="17160"/>
        <n v="17200"/>
        <n v="17220"/>
        <n v="17240"/>
        <n v="17260"/>
        <n v="17340"/>
        <n v="17360"/>
        <n v="17440"/>
        <n v="17580"/>
        <n v="17600"/>
        <n v="17620"/>
        <n v="17820"/>
        <n v="17960"/>
        <n v="18120"/>
        <n v="18140"/>
        <n v="18200"/>
        <n v="18240"/>
        <n v="18300"/>
        <n v="18500"/>
        <n v="18860"/>
        <n v="19880"/>
        <n v="22580"/>
        <n v="23000"/>
        <n v="23280"/>
        <n v="23500"/>
        <n v="23560"/>
        <n v="23580"/>
        <n v="23720"/>
        <n v="23760"/>
        <n v="23780"/>
        <n v="23840"/>
        <n v="23940"/>
        <n v="23960"/>
        <n v="24020"/>
        <n v="24120"/>
        <n v="24140"/>
        <n v="24340"/>
        <n v="24360"/>
        <n v="24420"/>
        <n v="24440"/>
        <n v="24520"/>
        <n v="24540"/>
        <n v="24640"/>
        <n v="24680"/>
        <n v="24720"/>
        <n v="24760"/>
        <n v="25040"/>
        <n v="25100"/>
        <n v="25120"/>
        <n v="25600"/>
        <n v="25960"/>
        <n v="26900"/>
        <n v="27180"/>
      </sharedItems>
    </cacheField>
    <cacheField name="Tara" numFmtId="0">
      <sharedItems count="84" containsMixedTypes="0" containsSemiMixedTypes="0" containsString="0" containsNumber="1">
        <n v="2360"/>
        <n v="2380"/>
        <n v="2400"/>
        <n v="2420"/>
        <n v="2580"/>
        <n v="2620"/>
        <n v="2660"/>
        <n v="2680"/>
        <n v="2700"/>
        <n v="2720"/>
        <n v="2800"/>
        <n v="2820"/>
        <n v="2860"/>
        <n v="2880"/>
        <n v="2900"/>
        <n v="2960"/>
        <n v="3040"/>
        <n v="3160"/>
        <n v="3640"/>
        <n v="3660"/>
        <n v="3720"/>
        <n v="3740"/>
        <n v="3760"/>
        <n v="3780"/>
        <n v="3800"/>
        <n v="3820"/>
        <n v="5480"/>
        <n v="5520"/>
        <n v="5540"/>
        <n v="5560"/>
        <n v="5580"/>
        <n v="5620"/>
        <n v="5640"/>
        <n v="5700"/>
        <n v="6160"/>
        <n v="6220"/>
        <n v="6260"/>
        <n v="6320"/>
        <n v="6480"/>
        <n v="6580"/>
        <n v="6620"/>
        <n v="6660"/>
        <n v="6700"/>
        <n v="6840"/>
        <n v="7100"/>
        <n v="12620"/>
        <n v="12640"/>
        <n v="12660"/>
        <n v="12680"/>
        <n v="12700"/>
        <n v="12720"/>
        <n v="12740"/>
        <n v="12760"/>
        <n v="12780"/>
        <n v="12820"/>
        <n v="12860"/>
        <n v="12880"/>
        <n v="12900"/>
        <n v="12920"/>
        <n v="12940"/>
        <n v="12960"/>
        <n v="12980"/>
        <n v="15300"/>
        <n v="15460"/>
        <n v="1558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40"/>
        <n v="15960"/>
        <n v="16060"/>
        <n v="16140"/>
        <n v="17620"/>
        <n v="18120"/>
        <n v="23940"/>
      </sharedItems>
    </cacheField>
    <cacheField name="Carga" numFmtId="0">
      <sharedItems count="116" containsMixedTypes="0" containsSemiMixedTypes="0" containsString="0" containsNumber="1">
        <n v="20"/>
        <n v="40"/>
        <n v="60"/>
        <n v="80"/>
        <n v="10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20"/>
        <n v="640"/>
        <n v="660"/>
        <n v="680"/>
        <n v="720"/>
        <n v="740"/>
        <n v="780"/>
        <n v="800"/>
        <n v="820"/>
        <n v="880"/>
        <n v="960"/>
        <n v="1000"/>
        <n v="1060"/>
        <n v="1140"/>
        <n v="1300"/>
        <n v="1320"/>
        <n v="1420"/>
        <n v="1440"/>
        <n v="1480"/>
        <n v="1520"/>
        <n v="1540"/>
        <n v="1620"/>
        <n v="1820"/>
        <n v="1980"/>
        <n v="2040"/>
        <n v="2400"/>
        <n v="3120"/>
        <n v="3200"/>
        <n v="3240"/>
        <n v="3340"/>
        <n v="3440"/>
        <n v="3500"/>
        <n v="3520"/>
        <n v="3540"/>
        <n v="3700"/>
        <n v="3720"/>
        <n v="3900"/>
        <n v="3920"/>
        <n v="3960"/>
        <n v="3980"/>
        <n v="4000"/>
        <n v="4020"/>
        <n v="4060"/>
        <n v="4080"/>
        <n v="4100"/>
        <n v="4140"/>
        <n v="4280"/>
        <n v="4320"/>
        <n v="4480"/>
        <n v="4500"/>
        <n v="4640"/>
        <n v="4660"/>
        <n v="5040"/>
        <n v="5460"/>
        <n v="5540"/>
        <n v="5580"/>
        <n v="5900"/>
        <n v="7280"/>
        <n v="7740"/>
        <n v="7760"/>
        <n v="7780"/>
        <n v="7800"/>
        <n v="7880"/>
        <n v="7900"/>
        <n v="7940"/>
        <n v="7980"/>
        <n v="8080"/>
        <n v="8240"/>
        <n v="8300"/>
        <n v="8400"/>
        <n v="8480"/>
        <n v="8540"/>
        <n v="8660"/>
        <n v="8700"/>
        <n v="8740"/>
        <n v="8760"/>
        <n v="8860"/>
        <n v="8900"/>
        <n v="9340"/>
        <n v="9360"/>
        <n v="9420"/>
        <n v="9440"/>
        <n v="9600"/>
        <n v="9820"/>
        <n v="10140"/>
        <n v="10160"/>
        <n v="11200"/>
        <n v="114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BARREDURIA"/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5">
  <r>
    <x v="0"/>
    <x v="44"/>
    <x v="101"/>
    <x v="1"/>
    <x v="29"/>
    <x v="11"/>
    <x v="28"/>
    <x v="0"/>
    <x v="2"/>
  </r>
  <r>
    <x v="0"/>
    <x v="41"/>
    <x v="100"/>
    <x v="2"/>
    <x v="114"/>
    <x v="69"/>
    <x v="73"/>
    <x v="0"/>
    <x v="2"/>
  </r>
  <r>
    <x v="1"/>
    <x v="10"/>
    <x v="103"/>
    <x v="6"/>
    <x v="100"/>
    <x v="49"/>
    <x v="79"/>
    <x v="0"/>
    <x v="2"/>
  </r>
  <r>
    <x v="1"/>
    <x v="1"/>
    <x v="102"/>
    <x v="6"/>
    <x v="115"/>
    <x v="61"/>
    <x v="110"/>
    <x v="0"/>
    <x v="2"/>
  </r>
  <r>
    <x v="1"/>
    <x v="124"/>
    <x v="107"/>
    <x v="5"/>
    <x v="26"/>
    <x v="12"/>
    <x v="23"/>
    <x v="0"/>
    <x v="2"/>
  </r>
  <r>
    <x v="1"/>
    <x v="22"/>
    <x v="104"/>
    <x v="2"/>
    <x v="146"/>
    <x v="68"/>
    <x v="115"/>
    <x v="0"/>
    <x v="2"/>
  </r>
  <r>
    <x v="1"/>
    <x v="34"/>
    <x v="105"/>
    <x v="7"/>
    <x v="51"/>
    <x v="20"/>
    <x v="33"/>
    <x v="0"/>
    <x v="2"/>
  </r>
  <r>
    <x v="1"/>
    <x v="90"/>
    <x v="106"/>
    <x v="3"/>
    <x v="5"/>
    <x v="3"/>
    <x v="11"/>
    <x v="0"/>
    <x v="2"/>
  </r>
  <r>
    <x v="2"/>
    <x v="21"/>
    <x v="109"/>
    <x v="2"/>
    <x v="145"/>
    <x v="67"/>
    <x v="114"/>
    <x v="0"/>
    <x v="2"/>
  </r>
  <r>
    <x v="2"/>
    <x v="59"/>
    <x v="110"/>
    <x v="7"/>
    <x v="52"/>
    <x v="23"/>
    <x v="36"/>
    <x v="0"/>
    <x v="2"/>
  </r>
  <r>
    <x v="2"/>
    <x v="13"/>
    <x v="108"/>
    <x v="6"/>
    <x v="108"/>
    <x v="48"/>
    <x v="81"/>
    <x v="0"/>
    <x v="2"/>
  </r>
  <r>
    <x v="2"/>
    <x v="62"/>
    <x v="111"/>
    <x v="2"/>
    <x v="110"/>
    <x v="74"/>
    <x v="53"/>
    <x v="0"/>
    <x v="2"/>
  </r>
  <r>
    <x v="2"/>
    <x v="72"/>
    <x v="112"/>
    <x v="3"/>
    <x v="4"/>
    <x v="3"/>
    <x v="9"/>
    <x v="0"/>
    <x v="2"/>
  </r>
  <r>
    <x v="2"/>
    <x v="119"/>
    <x v="20"/>
    <x v="2"/>
    <x v="100"/>
    <x v="74"/>
    <x v="47"/>
    <x v="0"/>
    <x v="4"/>
  </r>
  <r>
    <x v="2"/>
    <x v="85"/>
    <x v="113"/>
    <x v="3"/>
    <x v="3"/>
    <x v="2"/>
    <x v="9"/>
    <x v="0"/>
    <x v="2"/>
  </r>
  <r>
    <x v="2"/>
    <x v="129"/>
    <x v="22"/>
    <x v="5"/>
    <x v="11"/>
    <x v="14"/>
    <x v="5"/>
    <x v="0"/>
    <x v="1"/>
  </r>
  <r>
    <x v="2"/>
    <x v="128"/>
    <x v="21"/>
    <x v="1"/>
    <x v="20"/>
    <x v="9"/>
    <x v="24"/>
    <x v="0"/>
    <x v="1"/>
  </r>
  <r>
    <x v="3"/>
    <x v="8"/>
    <x v="114"/>
    <x v="6"/>
    <x v="112"/>
    <x v="58"/>
    <x v="83"/>
    <x v="0"/>
    <x v="2"/>
  </r>
  <r>
    <x v="3"/>
    <x v="54"/>
    <x v="116"/>
    <x v="7"/>
    <x v="50"/>
    <x v="25"/>
    <x v="26"/>
    <x v="0"/>
    <x v="2"/>
  </r>
  <r>
    <x v="3"/>
    <x v="46"/>
    <x v="115"/>
    <x v="2"/>
    <x v="143"/>
    <x v="71"/>
    <x v="111"/>
    <x v="0"/>
    <x v="2"/>
  </r>
  <r>
    <x v="3"/>
    <x v="118"/>
    <x v="118"/>
    <x v="3"/>
    <x v="1"/>
    <x v="2"/>
    <x v="6"/>
    <x v="0"/>
    <x v="2"/>
  </r>
  <r>
    <x v="3"/>
    <x v="76"/>
    <x v="117"/>
    <x v="3"/>
    <x v="7"/>
    <x v="2"/>
    <x v="14"/>
    <x v="0"/>
    <x v="2"/>
  </r>
  <r>
    <x v="3"/>
    <x v="128"/>
    <x v="23"/>
    <x v="5"/>
    <x v="17"/>
    <x v="13"/>
    <x v="12"/>
    <x v="0"/>
    <x v="1"/>
  </r>
  <r>
    <x v="3"/>
    <x v="131"/>
    <x v="24"/>
    <x v="1"/>
    <x v="29"/>
    <x v="9"/>
    <x v="32"/>
    <x v="0"/>
    <x v="1"/>
  </r>
  <r>
    <x v="4"/>
    <x v="57"/>
    <x v="120"/>
    <x v="2"/>
    <x v="128"/>
    <x v="73"/>
    <x v="96"/>
    <x v="0"/>
    <x v="2"/>
  </r>
  <r>
    <x v="4"/>
    <x v="61"/>
    <x v="121"/>
    <x v="7"/>
    <x v="46"/>
    <x v="24"/>
    <x v="20"/>
    <x v="0"/>
    <x v="2"/>
  </r>
  <r>
    <x v="4"/>
    <x v="6"/>
    <x v="119"/>
    <x v="6"/>
    <x v="113"/>
    <x v="60"/>
    <x v="84"/>
    <x v="0"/>
    <x v="2"/>
  </r>
  <r>
    <x v="4"/>
    <x v="83"/>
    <x v="122"/>
    <x v="3"/>
    <x v="3"/>
    <x v="2"/>
    <x v="9"/>
    <x v="0"/>
    <x v="2"/>
  </r>
  <r>
    <x v="4"/>
    <x v="128"/>
    <x v="27"/>
    <x v="1"/>
    <x v="9"/>
    <x v="4"/>
    <x v="16"/>
    <x v="0"/>
    <x v="1"/>
  </r>
  <r>
    <x v="4"/>
    <x v="103"/>
    <x v="26"/>
    <x v="8"/>
    <x v="71"/>
    <x v="43"/>
    <x v="3"/>
    <x v="0"/>
    <x v="5"/>
  </r>
  <r>
    <x v="4"/>
    <x v="103"/>
    <x v="25"/>
    <x v="8"/>
    <x v="69"/>
    <x v="28"/>
    <x v="42"/>
    <x v="0"/>
    <x v="5"/>
  </r>
  <r>
    <x v="4"/>
    <x v="100"/>
    <x v="16"/>
    <x v="2"/>
    <x v="95"/>
    <x v="70"/>
    <x v="45"/>
    <x v="0"/>
    <x v="3"/>
  </r>
  <r>
    <x v="5"/>
    <x v="125"/>
    <x v="126"/>
    <x v="5"/>
    <x v="22"/>
    <x v="13"/>
    <x v="18"/>
    <x v="0"/>
    <x v="2"/>
  </r>
  <r>
    <x v="5"/>
    <x v="17"/>
    <x v="124"/>
    <x v="7"/>
    <x v="49"/>
    <x v="24"/>
    <x v="23"/>
    <x v="0"/>
    <x v="2"/>
  </r>
  <r>
    <x v="5"/>
    <x v="34"/>
    <x v="125"/>
    <x v="2"/>
    <x v="142"/>
    <x v="67"/>
    <x v="108"/>
    <x v="0"/>
    <x v="2"/>
  </r>
  <r>
    <x v="5"/>
    <x v="0"/>
    <x v="123"/>
    <x v="6"/>
    <x v="101"/>
    <x v="59"/>
    <x v="77"/>
    <x v="0"/>
    <x v="2"/>
  </r>
  <r>
    <x v="6"/>
    <x v="56"/>
    <x v="129"/>
    <x v="2"/>
    <x v="137"/>
    <x v="73"/>
    <x v="104"/>
    <x v="0"/>
    <x v="2"/>
  </r>
  <r>
    <x v="6"/>
    <x v="9"/>
    <x v="127"/>
    <x v="6"/>
    <x v="106"/>
    <x v="58"/>
    <x v="80"/>
    <x v="0"/>
    <x v="2"/>
  </r>
  <r>
    <x v="6"/>
    <x v="51"/>
    <x v="128"/>
    <x v="7"/>
    <x v="48"/>
    <x v="24"/>
    <x v="22"/>
    <x v="0"/>
    <x v="2"/>
  </r>
  <r>
    <x v="6"/>
    <x v="122"/>
    <x v="131"/>
    <x v="3"/>
    <x v="0"/>
    <x v="0"/>
    <x v="5"/>
    <x v="0"/>
    <x v="2"/>
  </r>
  <r>
    <x v="6"/>
    <x v="87"/>
    <x v="130"/>
    <x v="3"/>
    <x v="5"/>
    <x v="1"/>
    <x v="13"/>
    <x v="0"/>
    <x v="2"/>
  </r>
  <r>
    <x v="6"/>
    <x v="132"/>
    <x v="28"/>
    <x v="5"/>
    <x v="21"/>
    <x v="13"/>
    <x v="17"/>
    <x v="0"/>
    <x v="1"/>
  </r>
  <r>
    <x v="6"/>
    <x v="137"/>
    <x v="29"/>
    <x v="1"/>
    <x v="19"/>
    <x v="4"/>
    <x v="29"/>
    <x v="0"/>
    <x v="1"/>
  </r>
  <r>
    <x v="7"/>
    <x v="99"/>
    <x v="135"/>
    <x v="3"/>
    <x v="7"/>
    <x v="2"/>
    <x v="14"/>
    <x v="0"/>
    <x v="2"/>
  </r>
  <r>
    <x v="7"/>
    <x v="30"/>
    <x v="132"/>
    <x v="6"/>
    <x v="109"/>
    <x v="47"/>
    <x v="82"/>
    <x v="0"/>
    <x v="2"/>
  </r>
  <r>
    <x v="7"/>
    <x v="60"/>
    <x v="134"/>
    <x v="7"/>
    <x v="45"/>
    <x v="22"/>
    <x v="21"/>
    <x v="0"/>
    <x v="2"/>
  </r>
  <r>
    <x v="7"/>
    <x v="58"/>
    <x v="133"/>
    <x v="2"/>
    <x v="134"/>
    <x v="70"/>
    <x v="103"/>
    <x v="0"/>
    <x v="2"/>
  </r>
  <r>
    <x v="8"/>
    <x v="97"/>
    <x v="139"/>
    <x v="3"/>
    <x v="7"/>
    <x v="2"/>
    <x v="14"/>
    <x v="0"/>
    <x v="2"/>
  </r>
  <r>
    <x v="8"/>
    <x v="133"/>
    <x v="140"/>
    <x v="5"/>
    <x v="20"/>
    <x v="13"/>
    <x v="16"/>
    <x v="0"/>
    <x v="2"/>
  </r>
  <r>
    <x v="8"/>
    <x v="23"/>
    <x v="137"/>
    <x v="7"/>
    <x v="48"/>
    <x v="19"/>
    <x v="28"/>
    <x v="0"/>
    <x v="2"/>
  </r>
  <r>
    <x v="8"/>
    <x v="3"/>
    <x v="136"/>
    <x v="6"/>
    <x v="90"/>
    <x v="45"/>
    <x v="75"/>
    <x v="0"/>
    <x v="2"/>
  </r>
  <r>
    <x v="8"/>
    <x v="36"/>
    <x v="138"/>
    <x v="2"/>
    <x v="138"/>
    <x v="73"/>
    <x v="105"/>
    <x v="0"/>
    <x v="2"/>
  </r>
  <r>
    <x v="9"/>
    <x v="57"/>
    <x v="143"/>
    <x v="7"/>
    <x v="45"/>
    <x v="22"/>
    <x v="21"/>
    <x v="0"/>
    <x v="2"/>
  </r>
  <r>
    <x v="9"/>
    <x v="28"/>
    <x v="141"/>
    <x v="6"/>
    <x v="75"/>
    <x v="51"/>
    <x v="54"/>
    <x v="0"/>
    <x v="2"/>
  </r>
  <r>
    <x v="9"/>
    <x v="52"/>
    <x v="142"/>
    <x v="2"/>
    <x v="135"/>
    <x v="72"/>
    <x v="102"/>
    <x v="0"/>
    <x v="2"/>
  </r>
  <r>
    <x v="9"/>
    <x v="113"/>
    <x v="32"/>
    <x v="2"/>
    <x v="99"/>
    <x v="68"/>
    <x v="49"/>
    <x v="0"/>
    <x v="4"/>
  </r>
  <r>
    <x v="9"/>
    <x v="96"/>
    <x v="144"/>
    <x v="3"/>
    <x v="3"/>
    <x v="2"/>
    <x v="9"/>
    <x v="0"/>
    <x v="2"/>
  </r>
  <r>
    <x v="9"/>
    <x v="63"/>
    <x v="31"/>
    <x v="8"/>
    <x v="57"/>
    <x v="35"/>
    <x v="2"/>
    <x v="0"/>
    <x v="5"/>
  </r>
  <r>
    <x v="9"/>
    <x v="63"/>
    <x v="30"/>
    <x v="8"/>
    <x v="55"/>
    <x v="30"/>
    <x v="29"/>
    <x v="0"/>
    <x v="5"/>
  </r>
  <r>
    <x v="9"/>
    <x v="128"/>
    <x v="34"/>
    <x v="1"/>
    <x v="14"/>
    <x v="8"/>
    <x v="18"/>
    <x v="0"/>
    <x v="1"/>
  </r>
  <r>
    <x v="9"/>
    <x v="115"/>
    <x v="33"/>
    <x v="5"/>
    <x v="17"/>
    <x v="12"/>
    <x v="13"/>
    <x v="0"/>
    <x v="1"/>
  </r>
  <r>
    <x v="10"/>
    <x v="116"/>
    <x v="148"/>
    <x v="3"/>
    <x v="16"/>
    <x v="2"/>
    <x v="33"/>
    <x v="0"/>
    <x v="2"/>
  </r>
  <r>
    <x v="10"/>
    <x v="29"/>
    <x v="145"/>
    <x v="6"/>
    <x v="87"/>
    <x v="50"/>
    <x v="70"/>
    <x v="0"/>
    <x v="2"/>
  </r>
  <r>
    <x v="10"/>
    <x v="58"/>
    <x v="147"/>
    <x v="7"/>
    <x v="38"/>
    <x v="23"/>
    <x v="11"/>
    <x v="0"/>
    <x v="2"/>
  </r>
  <r>
    <x v="10"/>
    <x v="51"/>
    <x v="146"/>
    <x v="2"/>
    <x v="123"/>
    <x v="76"/>
    <x v="91"/>
    <x v="0"/>
    <x v="2"/>
  </r>
  <r>
    <x v="10"/>
    <x v="66"/>
    <x v="35"/>
    <x v="1"/>
    <x v="30"/>
    <x v="8"/>
    <x v="34"/>
    <x v="0"/>
    <x v="1"/>
  </r>
  <r>
    <x v="10"/>
    <x v="111"/>
    <x v="37"/>
    <x v="8"/>
    <x v="64"/>
    <x v="40"/>
    <x v="0"/>
    <x v="0"/>
    <x v="5"/>
  </r>
  <r>
    <x v="10"/>
    <x v="111"/>
    <x v="36"/>
    <x v="8"/>
    <x v="63"/>
    <x v="31"/>
    <x v="39"/>
    <x v="0"/>
    <x v="5"/>
  </r>
  <r>
    <x v="11"/>
    <x v="43"/>
    <x v="150"/>
    <x v="1"/>
    <x v="19"/>
    <x v="14"/>
    <x v="14"/>
    <x v="0"/>
    <x v="2"/>
  </r>
  <r>
    <x v="11"/>
    <x v="45"/>
    <x v="151"/>
    <x v="2"/>
    <x v="130"/>
    <x v="72"/>
    <x v="99"/>
    <x v="0"/>
    <x v="2"/>
  </r>
  <r>
    <x v="11"/>
    <x v="17"/>
    <x v="149"/>
    <x v="6"/>
    <x v="92"/>
    <x v="52"/>
    <x v="74"/>
    <x v="0"/>
    <x v="2"/>
  </r>
  <r>
    <x v="11"/>
    <x v="117"/>
    <x v="152"/>
    <x v="3"/>
    <x v="8"/>
    <x v="1"/>
    <x v="17"/>
    <x v="0"/>
    <x v="2"/>
  </r>
  <r>
    <x v="11"/>
    <x v="135"/>
    <x v="43"/>
    <x v="1"/>
    <x v="29"/>
    <x v="9"/>
    <x v="32"/>
    <x v="0"/>
    <x v="1"/>
  </r>
  <r>
    <x v="11"/>
    <x v="120"/>
    <x v="42"/>
    <x v="8"/>
    <x v="73"/>
    <x v="44"/>
    <x v="1"/>
    <x v="0"/>
    <x v="5"/>
  </r>
  <r>
    <x v="11"/>
    <x v="120"/>
    <x v="41"/>
    <x v="8"/>
    <x v="72"/>
    <x v="29"/>
    <x v="48"/>
    <x v="0"/>
    <x v="5"/>
  </r>
  <r>
    <x v="11"/>
    <x v="70"/>
    <x v="40"/>
    <x v="8"/>
    <x v="63"/>
    <x v="39"/>
    <x v="1"/>
    <x v="0"/>
    <x v="5"/>
  </r>
  <r>
    <x v="11"/>
    <x v="70"/>
    <x v="39"/>
    <x v="8"/>
    <x v="62"/>
    <x v="30"/>
    <x v="39"/>
    <x v="0"/>
    <x v="5"/>
  </r>
  <r>
    <x v="11"/>
    <x v="137"/>
    <x v="44"/>
    <x v="5"/>
    <x v="29"/>
    <x v="15"/>
    <x v="22"/>
    <x v="0"/>
    <x v="1"/>
  </r>
  <r>
    <x v="12"/>
    <x v="59"/>
    <x v="155"/>
    <x v="7"/>
    <x v="40"/>
    <x v="23"/>
    <x v="13"/>
    <x v="0"/>
    <x v="2"/>
  </r>
  <r>
    <x v="12"/>
    <x v="48"/>
    <x v="154"/>
    <x v="2"/>
    <x v="144"/>
    <x v="73"/>
    <x v="112"/>
    <x v="0"/>
    <x v="2"/>
  </r>
  <r>
    <x v="12"/>
    <x v="18"/>
    <x v="153"/>
    <x v="6"/>
    <x v="88"/>
    <x v="54"/>
    <x v="67"/>
    <x v="0"/>
    <x v="2"/>
  </r>
  <r>
    <x v="10"/>
    <x v="138"/>
    <x v="38"/>
    <x v="5"/>
    <x v="35"/>
    <x v="13"/>
    <x v="37"/>
    <x v="0"/>
    <x v="1"/>
  </r>
  <r>
    <x v="12"/>
    <x v="98"/>
    <x v="45"/>
    <x v="1"/>
    <x v="31"/>
    <x v="9"/>
    <x v="34"/>
    <x v="0"/>
    <x v="1"/>
  </r>
  <r>
    <x v="12"/>
    <x v="136"/>
    <x v="46"/>
    <x v="1"/>
    <x v="24"/>
    <x v="10"/>
    <x v="24"/>
    <x v="0"/>
    <x v="1"/>
  </r>
  <r>
    <x v="12"/>
    <x v="117"/>
    <x v="156"/>
    <x v="5"/>
    <x v="31"/>
    <x v="12"/>
    <x v="29"/>
    <x v="0"/>
    <x v="2"/>
  </r>
  <r>
    <x v="13"/>
    <x v="19"/>
    <x v="157"/>
    <x v="6"/>
    <x v="94"/>
    <x v="48"/>
    <x v="76"/>
    <x v="0"/>
    <x v="2"/>
  </r>
  <r>
    <x v="13"/>
    <x v="44"/>
    <x v="158"/>
    <x v="2"/>
    <x v="116"/>
    <x v="68"/>
    <x v="85"/>
    <x v="0"/>
    <x v="2"/>
  </r>
  <r>
    <x v="13"/>
    <x v="55"/>
    <x v="159"/>
    <x v="7"/>
    <x v="42"/>
    <x v="21"/>
    <x v="17"/>
    <x v="0"/>
    <x v="2"/>
  </r>
  <r>
    <x v="13"/>
    <x v="78"/>
    <x v="48"/>
    <x v="5"/>
    <x v="33"/>
    <x v="13"/>
    <x v="34"/>
    <x v="0"/>
    <x v="1"/>
  </r>
  <r>
    <x v="13"/>
    <x v="134"/>
    <x v="49"/>
    <x v="5"/>
    <x v="32"/>
    <x v="13"/>
    <x v="29"/>
    <x v="0"/>
    <x v="1"/>
  </r>
  <r>
    <x v="13"/>
    <x v="69"/>
    <x v="47"/>
    <x v="1"/>
    <x v="22"/>
    <x v="8"/>
    <x v="27"/>
    <x v="0"/>
    <x v="1"/>
  </r>
  <r>
    <x v="13"/>
    <x v="135"/>
    <x v="50"/>
    <x v="1"/>
    <x v="24"/>
    <x v="8"/>
    <x v="28"/>
    <x v="0"/>
    <x v="1"/>
  </r>
  <r>
    <x v="13"/>
    <x v="106"/>
    <x v="17"/>
    <x v="2"/>
    <x v="102"/>
    <x v="70"/>
    <x v="50"/>
    <x v="0"/>
    <x v="3"/>
  </r>
  <r>
    <x v="14"/>
    <x v="94"/>
    <x v="163"/>
    <x v="3"/>
    <x v="8"/>
    <x v="1"/>
    <x v="17"/>
    <x v="0"/>
    <x v="2"/>
  </r>
  <r>
    <x v="14"/>
    <x v="13"/>
    <x v="160"/>
    <x v="6"/>
    <x v="89"/>
    <x v="51"/>
    <x v="71"/>
    <x v="0"/>
    <x v="2"/>
  </r>
  <r>
    <x v="14"/>
    <x v="56"/>
    <x v="162"/>
    <x v="7"/>
    <x v="40"/>
    <x v="23"/>
    <x v="13"/>
    <x v="0"/>
    <x v="2"/>
  </r>
  <r>
    <x v="14"/>
    <x v="42"/>
    <x v="161"/>
    <x v="2"/>
    <x v="139"/>
    <x v="75"/>
    <x v="105"/>
    <x v="0"/>
    <x v="2"/>
  </r>
  <r>
    <x v="15"/>
    <x v="24"/>
    <x v="165"/>
    <x v="7"/>
    <x v="44"/>
    <x v="25"/>
    <x v="16"/>
    <x v="0"/>
    <x v="2"/>
  </r>
  <r>
    <x v="15"/>
    <x v="2"/>
    <x v="164"/>
    <x v="6"/>
    <x v="91"/>
    <x v="60"/>
    <x v="69"/>
    <x v="0"/>
    <x v="2"/>
  </r>
  <r>
    <x v="15"/>
    <x v="26"/>
    <x v="166"/>
    <x v="2"/>
    <x v="133"/>
    <x v="71"/>
    <x v="100"/>
    <x v="0"/>
    <x v="2"/>
  </r>
  <r>
    <x v="15"/>
    <x v="107"/>
    <x v="167"/>
    <x v="3"/>
    <x v="5"/>
    <x v="2"/>
    <x v="12"/>
    <x v="0"/>
    <x v="2"/>
  </r>
  <r>
    <x v="16"/>
    <x v="5"/>
    <x v="168"/>
    <x v="6"/>
    <x v="77"/>
    <x v="57"/>
    <x v="56"/>
    <x v="0"/>
    <x v="2"/>
  </r>
  <r>
    <x v="16"/>
    <x v="35"/>
    <x v="169"/>
    <x v="2"/>
    <x v="132"/>
    <x v="76"/>
    <x v="99"/>
    <x v="0"/>
    <x v="2"/>
  </r>
  <r>
    <x v="16"/>
    <x v="52"/>
    <x v="170"/>
    <x v="7"/>
    <x v="43"/>
    <x v="24"/>
    <x v="15"/>
    <x v="0"/>
    <x v="2"/>
  </r>
  <r>
    <x v="16"/>
    <x v="109"/>
    <x v="171"/>
    <x v="3"/>
    <x v="6"/>
    <x v="2"/>
    <x v="13"/>
    <x v="0"/>
    <x v="2"/>
  </r>
  <r>
    <x v="16"/>
    <x v="128"/>
    <x v="55"/>
    <x v="5"/>
    <x v="32"/>
    <x v="13"/>
    <x v="29"/>
    <x v="0"/>
    <x v="1"/>
  </r>
  <r>
    <x v="16"/>
    <x v="65"/>
    <x v="52"/>
    <x v="5"/>
    <x v="12"/>
    <x v="16"/>
    <x v="0"/>
    <x v="0"/>
    <x v="5"/>
  </r>
  <r>
    <x v="16"/>
    <x v="65"/>
    <x v="51"/>
    <x v="5"/>
    <x v="11"/>
    <x v="13"/>
    <x v="6"/>
    <x v="0"/>
    <x v="5"/>
  </r>
  <r>
    <x v="16"/>
    <x v="129"/>
    <x v="56"/>
    <x v="1"/>
    <x v="25"/>
    <x v="7"/>
    <x v="30"/>
    <x v="0"/>
    <x v="1"/>
  </r>
  <r>
    <x v="16"/>
    <x v="81"/>
    <x v="53"/>
    <x v="1"/>
    <x v="24"/>
    <x v="7"/>
    <x v="29"/>
    <x v="0"/>
    <x v="1"/>
  </r>
  <r>
    <x v="16"/>
    <x v="110"/>
    <x v="54"/>
    <x v="2"/>
    <x v="98"/>
    <x v="68"/>
    <x v="48"/>
    <x v="0"/>
    <x v="4"/>
  </r>
  <r>
    <x v="17"/>
    <x v="51"/>
    <x v="173"/>
    <x v="7"/>
    <x v="39"/>
    <x v="24"/>
    <x v="11"/>
    <x v="0"/>
    <x v="2"/>
  </r>
  <r>
    <x v="17"/>
    <x v="53"/>
    <x v="174"/>
    <x v="2"/>
    <x v="124"/>
    <x v="70"/>
    <x v="94"/>
    <x v="0"/>
    <x v="2"/>
  </r>
  <r>
    <x v="17"/>
    <x v="4"/>
    <x v="172"/>
    <x v="6"/>
    <x v="82"/>
    <x v="56"/>
    <x v="61"/>
    <x v="0"/>
    <x v="2"/>
  </r>
  <r>
    <x v="17"/>
    <x v="123"/>
    <x v="60"/>
    <x v="8"/>
    <x v="54"/>
    <x v="34"/>
    <x v="0"/>
    <x v="0"/>
    <x v="5"/>
  </r>
  <r>
    <x v="17"/>
    <x v="123"/>
    <x v="59"/>
    <x v="8"/>
    <x v="53"/>
    <x v="26"/>
    <x v="31"/>
    <x v="0"/>
    <x v="5"/>
  </r>
  <r>
    <x v="17"/>
    <x v="67"/>
    <x v="57"/>
    <x v="1"/>
    <x v="25"/>
    <x v="7"/>
    <x v="30"/>
    <x v="0"/>
    <x v="1"/>
  </r>
  <r>
    <x v="17"/>
    <x v="131"/>
    <x v="61"/>
    <x v="1"/>
    <x v="24"/>
    <x v="7"/>
    <x v="29"/>
    <x v="0"/>
    <x v="1"/>
  </r>
  <r>
    <x v="17"/>
    <x v="136"/>
    <x v="62"/>
    <x v="5"/>
    <x v="11"/>
    <x v="13"/>
    <x v="6"/>
    <x v="0"/>
    <x v="1"/>
  </r>
  <r>
    <x v="17"/>
    <x v="75"/>
    <x v="58"/>
    <x v="5"/>
    <x v="32"/>
    <x v="13"/>
    <x v="29"/>
    <x v="0"/>
    <x v="1"/>
  </r>
  <r>
    <x v="18"/>
    <x v="51"/>
    <x v="176"/>
    <x v="7"/>
    <x v="41"/>
    <x v="24"/>
    <x v="13"/>
    <x v="0"/>
    <x v="2"/>
  </r>
  <r>
    <x v="18"/>
    <x v="8"/>
    <x v="175"/>
    <x v="6"/>
    <x v="103"/>
    <x v="60"/>
    <x v="78"/>
    <x v="0"/>
    <x v="2"/>
  </r>
  <r>
    <x v="18"/>
    <x v="57"/>
    <x v="177"/>
    <x v="2"/>
    <x v="140"/>
    <x v="66"/>
    <x v="107"/>
    <x v="0"/>
    <x v="2"/>
  </r>
  <r>
    <x v="18"/>
    <x v="104"/>
    <x v="178"/>
    <x v="3"/>
    <x v="4"/>
    <x v="1"/>
    <x v="11"/>
    <x v="0"/>
    <x v="2"/>
  </r>
  <r>
    <x v="18"/>
    <x v="133"/>
    <x v="69"/>
    <x v="1"/>
    <x v="13"/>
    <x v="7"/>
    <x v="18"/>
    <x v="0"/>
    <x v="1"/>
  </r>
  <r>
    <x v="18"/>
    <x v="93"/>
    <x v="66"/>
    <x v="1"/>
    <x v="18"/>
    <x v="7"/>
    <x v="23"/>
    <x v="0"/>
    <x v="1"/>
  </r>
  <r>
    <x v="18"/>
    <x v="134"/>
    <x v="70"/>
    <x v="5"/>
    <x v="29"/>
    <x v="13"/>
    <x v="26"/>
    <x v="0"/>
    <x v="1"/>
  </r>
  <r>
    <x v="18"/>
    <x v="79"/>
    <x v="63"/>
    <x v="5"/>
    <x v="27"/>
    <x v="13"/>
    <x v="24"/>
    <x v="0"/>
    <x v="1"/>
  </r>
  <r>
    <x v="18"/>
    <x v="130"/>
    <x v="68"/>
    <x v="8"/>
    <x v="61"/>
    <x v="38"/>
    <x v="0"/>
    <x v="0"/>
    <x v="5"/>
  </r>
  <r>
    <x v="18"/>
    <x v="130"/>
    <x v="67"/>
    <x v="8"/>
    <x v="60"/>
    <x v="33"/>
    <x v="34"/>
    <x v="0"/>
    <x v="5"/>
  </r>
  <r>
    <x v="18"/>
    <x v="82"/>
    <x v="65"/>
    <x v="8"/>
    <x v="68"/>
    <x v="42"/>
    <x v="4"/>
    <x v="0"/>
    <x v="5"/>
  </r>
  <r>
    <x v="18"/>
    <x v="82"/>
    <x v="64"/>
    <x v="8"/>
    <x v="67"/>
    <x v="32"/>
    <x v="40"/>
    <x v="0"/>
    <x v="5"/>
  </r>
  <r>
    <x v="19"/>
    <x v="37"/>
    <x v="180"/>
    <x v="7"/>
    <x v="39"/>
    <x v="24"/>
    <x v="11"/>
    <x v="0"/>
    <x v="2"/>
  </r>
  <r>
    <x v="19"/>
    <x v="18"/>
    <x v="179"/>
    <x v="6"/>
    <x v="79"/>
    <x v="48"/>
    <x v="59"/>
    <x v="0"/>
    <x v="2"/>
  </r>
  <r>
    <x v="19"/>
    <x v="51"/>
    <x v="181"/>
    <x v="2"/>
    <x v="120"/>
    <x v="73"/>
    <x v="87"/>
    <x v="0"/>
    <x v="2"/>
  </r>
  <r>
    <x v="19"/>
    <x v="86"/>
    <x v="72"/>
    <x v="8"/>
    <x v="57"/>
    <x v="36"/>
    <x v="0"/>
    <x v="0"/>
    <x v="5"/>
  </r>
  <r>
    <x v="19"/>
    <x v="86"/>
    <x v="71"/>
    <x v="8"/>
    <x v="56"/>
    <x v="27"/>
    <x v="33"/>
    <x v="0"/>
    <x v="5"/>
  </r>
  <r>
    <x v="19"/>
    <x v="98"/>
    <x v="74"/>
    <x v="0"/>
    <x v="111"/>
    <x v="82"/>
    <x v="7"/>
    <x v="0"/>
    <x v="5"/>
  </r>
  <r>
    <x v="19"/>
    <x v="98"/>
    <x v="73"/>
    <x v="0"/>
    <x v="107"/>
    <x v="80"/>
    <x v="51"/>
    <x v="0"/>
    <x v="5"/>
  </r>
  <r>
    <x v="20"/>
    <x v="40"/>
    <x v="183"/>
    <x v="2"/>
    <x v="131"/>
    <x v="78"/>
    <x v="97"/>
    <x v="0"/>
    <x v="2"/>
  </r>
  <r>
    <x v="20"/>
    <x v="32"/>
    <x v="182"/>
    <x v="6"/>
    <x v="83"/>
    <x v="53"/>
    <x v="63"/>
    <x v="0"/>
    <x v="2"/>
  </r>
  <r>
    <x v="20"/>
    <x v="50"/>
    <x v="184"/>
    <x v="7"/>
    <x v="37"/>
    <x v="24"/>
    <x v="8"/>
    <x v="0"/>
    <x v="2"/>
  </r>
  <r>
    <x v="20"/>
    <x v="88"/>
    <x v="18"/>
    <x v="2"/>
    <x v="97"/>
    <x v="70"/>
    <x v="46"/>
    <x v="0"/>
    <x v="3"/>
  </r>
  <r>
    <x v="20"/>
    <x v="84"/>
    <x v="77"/>
    <x v="0"/>
    <x v="127"/>
    <x v="83"/>
    <x v="3"/>
    <x v="0"/>
    <x v="5"/>
  </r>
  <r>
    <x v="20"/>
    <x v="84"/>
    <x v="76"/>
    <x v="0"/>
    <x v="125"/>
    <x v="79"/>
    <x v="90"/>
    <x v="0"/>
    <x v="5"/>
  </r>
  <r>
    <x v="20"/>
    <x v="121"/>
    <x v="78"/>
    <x v="5"/>
    <x v="34"/>
    <x v="13"/>
    <x v="36"/>
    <x v="0"/>
    <x v="1"/>
  </r>
  <r>
    <x v="20"/>
    <x v="64"/>
    <x v="75"/>
    <x v="5"/>
    <x v="28"/>
    <x v="13"/>
    <x v="25"/>
    <x v="0"/>
    <x v="1"/>
  </r>
  <r>
    <x v="21"/>
    <x v="102"/>
    <x v="82"/>
    <x v="8"/>
    <x v="70"/>
    <x v="41"/>
    <x v="9"/>
    <x v="0"/>
    <x v="5"/>
  </r>
  <r>
    <x v="21"/>
    <x v="101"/>
    <x v="81"/>
    <x v="8"/>
    <x v="65"/>
    <x v="27"/>
    <x v="41"/>
    <x v="0"/>
    <x v="5"/>
  </r>
  <r>
    <x v="21"/>
    <x v="59"/>
    <x v="187"/>
    <x v="7"/>
    <x v="47"/>
    <x v="25"/>
    <x v="20"/>
    <x v="0"/>
    <x v="2"/>
  </r>
  <r>
    <x v="21"/>
    <x v="53"/>
    <x v="186"/>
    <x v="2"/>
    <x v="119"/>
    <x v="73"/>
    <x v="86"/>
    <x v="0"/>
    <x v="2"/>
  </r>
  <r>
    <x v="21"/>
    <x v="31"/>
    <x v="185"/>
    <x v="6"/>
    <x v="80"/>
    <x v="50"/>
    <x v="60"/>
    <x v="0"/>
    <x v="2"/>
  </r>
  <r>
    <x v="22"/>
    <x v="25"/>
    <x v="190"/>
    <x v="7"/>
    <x v="44"/>
    <x v="23"/>
    <x v="18"/>
    <x v="0"/>
    <x v="2"/>
  </r>
  <r>
    <x v="22"/>
    <x v="5"/>
    <x v="188"/>
    <x v="6"/>
    <x v="84"/>
    <x v="49"/>
    <x v="64"/>
    <x v="0"/>
    <x v="2"/>
  </r>
  <r>
    <x v="22"/>
    <x v="20"/>
    <x v="189"/>
    <x v="2"/>
    <x v="119"/>
    <x v="70"/>
    <x v="89"/>
    <x v="0"/>
    <x v="2"/>
  </r>
  <r>
    <x v="23"/>
    <x v="58"/>
    <x v="193"/>
    <x v="2"/>
    <x v="121"/>
    <x v="77"/>
    <x v="88"/>
    <x v="0"/>
    <x v="2"/>
  </r>
  <r>
    <x v="23"/>
    <x v="54"/>
    <x v="192"/>
    <x v="7"/>
    <x v="36"/>
    <x v="18"/>
    <x v="14"/>
    <x v="0"/>
    <x v="2"/>
  </r>
  <r>
    <x v="23"/>
    <x v="12"/>
    <x v="191"/>
    <x v="6"/>
    <x v="76"/>
    <x v="51"/>
    <x v="55"/>
    <x v="0"/>
    <x v="2"/>
  </r>
  <r>
    <x v="23"/>
    <x v="125"/>
    <x v="194"/>
    <x v="3"/>
    <x v="5"/>
    <x v="1"/>
    <x v="13"/>
    <x v="0"/>
    <x v="2"/>
  </r>
  <r>
    <x v="23"/>
    <x v="127"/>
    <x v="84"/>
    <x v="1"/>
    <x v="12"/>
    <x v="6"/>
    <x v="18"/>
    <x v="0"/>
    <x v="1"/>
  </r>
  <r>
    <x v="23"/>
    <x v="112"/>
    <x v="83"/>
    <x v="2"/>
    <x v="96"/>
    <x v="72"/>
    <x v="44"/>
    <x v="0"/>
    <x v="4"/>
  </r>
  <r>
    <x v="24"/>
    <x v="55"/>
    <x v="197"/>
    <x v="7"/>
    <x v="39"/>
    <x v="22"/>
    <x v="13"/>
    <x v="0"/>
    <x v="2"/>
  </r>
  <r>
    <x v="24"/>
    <x v="15"/>
    <x v="195"/>
    <x v="6"/>
    <x v="89"/>
    <x v="50"/>
    <x v="72"/>
    <x v="0"/>
    <x v="2"/>
  </r>
  <r>
    <x v="24"/>
    <x v="39"/>
    <x v="196"/>
    <x v="2"/>
    <x v="122"/>
    <x v="73"/>
    <x v="92"/>
    <x v="0"/>
    <x v="2"/>
  </r>
  <r>
    <x v="24"/>
    <x v="92"/>
    <x v="86"/>
    <x v="1"/>
    <x v="10"/>
    <x v="6"/>
    <x v="14"/>
    <x v="0"/>
    <x v="1"/>
  </r>
  <r>
    <x v="24"/>
    <x v="80"/>
    <x v="85"/>
    <x v="5"/>
    <x v="23"/>
    <x v="12"/>
    <x v="20"/>
    <x v="0"/>
    <x v="1"/>
  </r>
  <r>
    <x v="24"/>
    <x v="126"/>
    <x v="87"/>
    <x v="5"/>
    <x v="14"/>
    <x v="12"/>
    <x v="10"/>
    <x v="0"/>
    <x v="1"/>
  </r>
  <r>
    <x v="25"/>
    <x v="46"/>
    <x v="199"/>
    <x v="2"/>
    <x v="126"/>
    <x v="68"/>
    <x v="95"/>
    <x v="0"/>
    <x v="2"/>
  </r>
  <r>
    <x v="25"/>
    <x v="14"/>
    <x v="198"/>
    <x v="6"/>
    <x v="86"/>
    <x v="48"/>
    <x v="68"/>
    <x v="0"/>
    <x v="2"/>
  </r>
  <r>
    <x v="25"/>
    <x v="55"/>
    <x v="200"/>
    <x v="7"/>
    <x v="39"/>
    <x v="23"/>
    <x v="12"/>
    <x v="0"/>
    <x v="2"/>
  </r>
  <r>
    <x v="25"/>
    <x v="74"/>
    <x v="89"/>
    <x v="8"/>
    <x v="66"/>
    <x v="39"/>
    <x v="4"/>
    <x v="0"/>
    <x v="5"/>
  </r>
  <r>
    <x v="25"/>
    <x v="74"/>
    <x v="88"/>
    <x v="8"/>
    <x v="62"/>
    <x v="31"/>
    <x v="38"/>
    <x v="0"/>
    <x v="5"/>
  </r>
  <r>
    <x v="25"/>
    <x v="114"/>
    <x v="91"/>
    <x v="8"/>
    <x v="59"/>
    <x v="37"/>
    <x v="1"/>
    <x v="0"/>
    <x v="5"/>
  </r>
  <r>
    <x v="25"/>
    <x v="114"/>
    <x v="90"/>
    <x v="8"/>
    <x v="58"/>
    <x v="27"/>
    <x v="35"/>
    <x v="0"/>
    <x v="5"/>
  </r>
  <r>
    <x v="26"/>
    <x v="47"/>
    <x v="202"/>
    <x v="2"/>
    <x v="129"/>
    <x v="65"/>
    <x v="98"/>
    <x v="0"/>
    <x v="2"/>
  </r>
  <r>
    <x v="26"/>
    <x v="11"/>
    <x v="201"/>
    <x v="6"/>
    <x v="81"/>
    <x v="46"/>
    <x v="62"/>
    <x v="0"/>
    <x v="2"/>
  </r>
  <r>
    <x v="26"/>
    <x v="58"/>
    <x v="203"/>
    <x v="7"/>
    <x v="38"/>
    <x v="23"/>
    <x v="11"/>
    <x v="0"/>
    <x v="2"/>
  </r>
  <r>
    <x v="26"/>
    <x v="108"/>
    <x v="0"/>
    <x v="3"/>
    <x v="2"/>
    <x v="0"/>
    <x v="10"/>
    <x v="0"/>
    <x v="2"/>
  </r>
  <r>
    <x v="27"/>
    <x v="54"/>
    <x v="3"/>
    <x v="7"/>
    <x v="39"/>
    <x v="20"/>
    <x v="15"/>
    <x v="0"/>
    <x v="2"/>
  </r>
  <r>
    <x v="27"/>
    <x v="16"/>
    <x v="1"/>
    <x v="6"/>
    <x v="79"/>
    <x v="51"/>
    <x v="58"/>
    <x v="0"/>
    <x v="2"/>
  </r>
  <r>
    <x v="26"/>
    <x v="128"/>
    <x v="93"/>
    <x v="5"/>
    <x v="15"/>
    <x v="14"/>
    <x v="9"/>
    <x v="0"/>
    <x v="1"/>
  </r>
  <r>
    <x v="26"/>
    <x v="127"/>
    <x v="92"/>
    <x v="1"/>
    <x v="16"/>
    <x v="5"/>
    <x v="24"/>
    <x v="0"/>
    <x v="1"/>
  </r>
  <r>
    <x v="27"/>
    <x v="41"/>
    <x v="2"/>
    <x v="2"/>
    <x v="118"/>
    <x v="69"/>
    <x v="87"/>
    <x v="0"/>
    <x v="2"/>
  </r>
  <r>
    <x v="27"/>
    <x v="77"/>
    <x v="5"/>
    <x v="3"/>
    <x v="7"/>
    <x v="2"/>
    <x v="14"/>
    <x v="0"/>
    <x v="2"/>
  </r>
  <r>
    <x v="27"/>
    <x v="91"/>
    <x v="6"/>
    <x v="0"/>
    <x v="117"/>
    <x v="62"/>
    <x v="93"/>
    <x v="0"/>
    <x v="0"/>
  </r>
  <r>
    <x v="27"/>
    <x v="73"/>
    <x v="4"/>
    <x v="0"/>
    <x v="136"/>
    <x v="62"/>
    <x v="106"/>
    <x v="0"/>
    <x v="0"/>
  </r>
  <r>
    <x v="27"/>
    <x v="133"/>
    <x v="94"/>
    <x v="5"/>
    <x v="10"/>
    <x v="10"/>
    <x v="7"/>
    <x v="0"/>
    <x v="1"/>
  </r>
  <r>
    <x v="27"/>
    <x v="95"/>
    <x v="19"/>
    <x v="2"/>
    <x v="93"/>
    <x v="70"/>
    <x v="43"/>
    <x v="0"/>
    <x v="3"/>
  </r>
  <r>
    <x v="28"/>
    <x v="16"/>
    <x v="7"/>
    <x v="6"/>
    <x v="85"/>
    <x v="50"/>
    <x v="65"/>
    <x v="0"/>
    <x v="2"/>
  </r>
  <r>
    <x v="28"/>
    <x v="49"/>
    <x v="9"/>
    <x v="7"/>
    <x v="42"/>
    <x v="23"/>
    <x v="15"/>
    <x v="0"/>
    <x v="2"/>
  </r>
  <r>
    <x v="28"/>
    <x v="38"/>
    <x v="8"/>
    <x v="2"/>
    <x v="144"/>
    <x v="72"/>
    <x v="113"/>
    <x v="0"/>
    <x v="2"/>
  </r>
  <r>
    <x v="28"/>
    <x v="71"/>
    <x v="10"/>
    <x v="3"/>
    <x v="5"/>
    <x v="2"/>
    <x v="12"/>
    <x v="0"/>
    <x v="2"/>
  </r>
  <r>
    <x v="28"/>
    <x v="105"/>
    <x v="96"/>
    <x v="5"/>
    <x v="19"/>
    <x v="17"/>
    <x v="2"/>
    <x v="0"/>
    <x v="5"/>
  </r>
  <r>
    <x v="28"/>
    <x v="105"/>
    <x v="95"/>
    <x v="5"/>
    <x v="17"/>
    <x v="12"/>
    <x v="13"/>
    <x v="0"/>
    <x v="5"/>
  </r>
  <r>
    <x v="29"/>
    <x v="33"/>
    <x v="13"/>
    <x v="2"/>
    <x v="132"/>
    <x v="68"/>
    <x v="101"/>
    <x v="0"/>
    <x v="2"/>
  </r>
  <r>
    <x v="29"/>
    <x v="7"/>
    <x v="11"/>
    <x v="6"/>
    <x v="89"/>
    <x v="55"/>
    <x v="66"/>
    <x v="0"/>
    <x v="2"/>
  </r>
  <r>
    <x v="29"/>
    <x v="27"/>
    <x v="12"/>
    <x v="7"/>
    <x v="44"/>
    <x v="22"/>
    <x v="19"/>
    <x v="0"/>
    <x v="2"/>
  </r>
  <r>
    <x v="30"/>
    <x v="50"/>
    <x v="204"/>
    <x v="7"/>
    <x v="44"/>
    <x v="24"/>
    <x v="17"/>
    <x v="0"/>
    <x v="2"/>
  </r>
  <r>
    <x v="30"/>
    <x v="55"/>
    <x v="15"/>
    <x v="2"/>
    <x v="141"/>
    <x v="65"/>
    <x v="109"/>
    <x v="0"/>
    <x v="2"/>
  </r>
  <r>
    <x v="30"/>
    <x v="11"/>
    <x v="14"/>
    <x v="6"/>
    <x v="78"/>
    <x v="54"/>
    <x v="57"/>
    <x v="0"/>
    <x v="2"/>
  </r>
  <r>
    <x v="21"/>
    <x v="89"/>
    <x v="80"/>
    <x v="4"/>
    <x v="104"/>
    <x v="64"/>
    <x v="52"/>
    <x v="0"/>
    <x v="5"/>
  </r>
  <r>
    <x v="21"/>
    <x v="89"/>
    <x v="79"/>
    <x v="4"/>
    <x v="105"/>
    <x v="81"/>
    <x v="8"/>
    <x v="0"/>
    <x v="5"/>
  </r>
  <r>
    <x v="30"/>
    <x v="126"/>
    <x v="98"/>
    <x v="1"/>
    <x v="15"/>
    <x v="14"/>
    <x v="9"/>
    <x v="0"/>
    <x v="1"/>
  </r>
  <r>
    <x v="30"/>
    <x v="135"/>
    <x v="99"/>
    <x v="1"/>
    <x v="13"/>
    <x v="11"/>
    <x v="11"/>
    <x v="0"/>
    <x v="1"/>
  </r>
  <r>
    <x v="30"/>
    <x v="68"/>
    <x v="97"/>
    <x v="2"/>
    <x v="74"/>
    <x v="63"/>
    <x v="17"/>
    <x v="0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4" firstHeaderRow="1" firstDataRow="2" firstDataCol="1" rowPageCount="1" colPageCount="1"/>
  <pivotFields count="9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8" min="1" style="0" width="10.62"/>
    <col collapsed="false" customWidth="true" hidden="false" outlineLevel="0" max="9" min="9" style="0" width="13.51"/>
    <col collapsed="false" customWidth="true" hidden="false" outlineLevel="0" max="1025" min="10" style="0" width="10.6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44562</v>
      </c>
      <c r="B2" s="6" t="n">
        <v>0.236805555555556</v>
      </c>
      <c r="C2" s="7" t="n">
        <v>147992</v>
      </c>
      <c r="D2" s="7" t="s">
        <v>10</v>
      </c>
      <c r="E2" s="7" t="n">
        <v>3440</v>
      </c>
      <c r="F2" s="7" t="n">
        <v>2820</v>
      </c>
      <c r="G2" s="7" t="n">
        <v>620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44562</v>
      </c>
      <c r="B3" s="6" t="n">
        <v>0.234027777777778</v>
      </c>
      <c r="C3" s="7" t="n">
        <v>147991</v>
      </c>
      <c r="D3" s="7" t="s">
        <v>14</v>
      </c>
      <c r="E3" s="7" t="n">
        <v>19880</v>
      </c>
      <c r="F3" s="7" t="n">
        <v>15740</v>
      </c>
      <c r="G3" s="7" t="n">
        <v>4140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44563</v>
      </c>
      <c r="B4" s="6" t="n">
        <v>0.140972222222222</v>
      </c>
      <c r="C4" s="7" t="n">
        <v>148001</v>
      </c>
      <c r="D4" s="7" t="s">
        <v>15</v>
      </c>
      <c r="E4" s="7" t="n">
        <v>17360</v>
      </c>
      <c r="F4" s="7" t="n">
        <v>12700</v>
      </c>
      <c r="G4" s="7" t="n">
        <v>4660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44563</v>
      </c>
      <c r="B5" s="6" t="n">
        <v>0.0611111111111111</v>
      </c>
      <c r="C5" s="7" t="n">
        <v>147996</v>
      </c>
      <c r="D5" s="7" t="s">
        <v>15</v>
      </c>
      <c r="E5" s="7" t="n">
        <v>22580</v>
      </c>
      <c r="F5" s="7" t="n">
        <v>12980</v>
      </c>
      <c r="G5" s="7" t="n">
        <v>9600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44563</v>
      </c>
      <c r="B6" s="6" t="n">
        <v>0.533333333333333</v>
      </c>
      <c r="C6" s="7" t="n">
        <v>148017</v>
      </c>
      <c r="D6" s="7" t="s">
        <v>16</v>
      </c>
      <c r="E6" s="7" t="n">
        <v>3360</v>
      </c>
      <c r="F6" s="7" t="n">
        <v>2860</v>
      </c>
      <c r="G6" s="7" t="n">
        <v>500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44563</v>
      </c>
      <c r="B7" s="6" t="n">
        <v>0.175</v>
      </c>
      <c r="C7" s="7" t="n">
        <v>148004</v>
      </c>
      <c r="D7" s="7" t="s">
        <v>14</v>
      </c>
      <c r="E7" s="7" t="n">
        <v>27180</v>
      </c>
      <c r="F7" s="7" t="n">
        <v>15720</v>
      </c>
      <c r="G7" s="7" t="n">
        <v>11460</v>
      </c>
      <c r="H7" s="7" t="s">
        <v>11</v>
      </c>
      <c r="I7" s="7" t="s">
        <v>12</v>
      </c>
      <c r="J7" s="0" t="s">
        <v>13</v>
      </c>
    </row>
    <row r="8" customFormat="false" ht="15" hidden="false" customHeight="false" outlineLevel="0" collapsed="false">
      <c r="A8" s="5" t="n">
        <v>44563</v>
      </c>
      <c r="B8" s="6" t="n">
        <v>0.216666666666667</v>
      </c>
      <c r="C8" s="7" t="n">
        <v>148010</v>
      </c>
      <c r="D8" s="7" t="s">
        <v>17</v>
      </c>
      <c r="E8" s="7" t="n">
        <v>4460</v>
      </c>
      <c r="F8" s="7" t="n">
        <v>3720</v>
      </c>
      <c r="G8" s="7" t="n">
        <v>740</v>
      </c>
      <c r="H8" s="7" t="s">
        <v>11</v>
      </c>
      <c r="I8" s="7" t="s">
        <v>12</v>
      </c>
      <c r="J8" s="0" t="s">
        <v>13</v>
      </c>
    </row>
    <row r="9" customFormat="false" ht="15" hidden="false" customHeight="false" outlineLevel="0" collapsed="false">
      <c r="A9" s="5" t="n">
        <v>44563</v>
      </c>
      <c r="B9" s="6" t="n">
        <v>0.452777777777778</v>
      </c>
      <c r="C9" s="7" t="n">
        <v>148013</v>
      </c>
      <c r="D9" s="7" t="s">
        <v>18</v>
      </c>
      <c r="E9" s="7" t="n">
        <v>2680</v>
      </c>
      <c r="F9" s="7" t="n">
        <v>2420</v>
      </c>
      <c r="G9" s="7" t="n">
        <v>260</v>
      </c>
      <c r="H9" s="7" t="s">
        <v>11</v>
      </c>
      <c r="I9" s="7" t="s">
        <v>12</v>
      </c>
      <c r="J9" s="0" t="s">
        <v>13</v>
      </c>
    </row>
    <row r="10" customFormat="false" ht="15" hidden="false" customHeight="false" outlineLevel="0" collapsed="false">
      <c r="A10" s="5" t="n">
        <v>44564</v>
      </c>
      <c r="B10" s="6" t="n">
        <v>0.174305555555556</v>
      </c>
      <c r="C10" s="7" t="n">
        <v>148027</v>
      </c>
      <c r="D10" s="7" t="s">
        <v>14</v>
      </c>
      <c r="E10" s="7" t="n">
        <v>26900</v>
      </c>
      <c r="F10" s="7" t="n">
        <v>15700</v>
      </c>
      <c r="G10" s="7" t="n">
        <v>11200</v>
      </c>
      <c r="H10" s="7" t="s">
        <v>11</v>
      </c>
      <c r="I10" s="7" t="s">
        <v>12</v>
      </c>
      <c r="J10" s="0" t="s">
        <v>13</v>
      </c>
    </row>
    <row r="11" customFormat="false" ht="15" hidden="false" customHeight="false" outlineLevel="0" collapsed="false">
      <c r="A11" s="5" t="n">
        <v>44564</v>
      </c>
      <c r="B11" s="6" t="n">
        <v>0.264583333333333</v>
      </c>
      <c r="C11" s="7" t="n">
        <v>148032</v>
      </c>
      <c r="D11" s="7" t="s">
        <v>17</v>
      </c>
      <c r="E11" s="7" t="n">
        <v>4600</v>
      </c>
      <c r="F11" s="7" t="n">
        <v>3780</v>
      </c>
      <c r="G11" s="7" t="n">
        <v>820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44564</v>
      </c>
      <c r="B12" s="6" t="n">
        <v>0.150694444444444</v>
      </c>
      <c r="C12" s="7" t="n">
        <v>148025</v>
      </c>
      <c r="D12" s="7" t="s">
        <v>15</v>
      </c>
      <c r="E12" s="7" t="n">
        <v>18140</v>
      </c>
      <c r="F12" s="7" t="n">
        <v>12680</v>
      </c>
      <c r="G12" s="7" t="n">
        <v>5460</v>
      </c>
      <c r="H12" s="7" t="s">
        <v>11</v>
      </c>
      <c r="I12" s="7" t="s">
        <v>12</v>
      </c>
      <c r="J12" s="0" t="s">
        <v>13</v>
      </c>
    </row>
    <row r="13" customFormat="false" ht="15" hidden="false" customHeight="false" outlineLevel="0" collapsed="false">
      <c r="A13" s="5" t="n">
        <v>44564</v>
      </c>
      <c r="B13" s="6" t="n">
        <v>0.309027777777778</v>
      </c>
      <c r="C13" s="7" t="n">
        <v>148035</v>
      </c>
      <c r="D13" s="7" t="s">
        <v>14</v>
      </c>
      <c r="E13" s="7" t="n">
        <v>18240</v>
      </c>
      <c r="F13" s="7" t="n">
        <v>15840</v>
      </c>
      <c r="G13" s="7" t="n">
        <v>2400</v>
      </c>
      <c r="H13" s="7" t="s">
        <v>11</v>
      </c>
      <c r="I13" s="7" t="s">
        <v>12</v>
      </c>
      <c r="J13" s="0" t="s">
        <v>13</v>
      </c>
    </row>
    <row r="14" customFormat="false" ht="15" hidden="false" customHeight="false" outlineLevel="0" collapsed="false">
      <c r="A14" s="5" t="n">
        <v>44564</v>
      </c>
      <c r="B14" s="6" t="n">
        <v>0.3625</v>
      </c>
      <c r="C14" s="7" t="n">
        <v>148040</v>
      </c>
      <c r="D14" s="7" t="s">
        <v>18</v>
      </c>
      <c r="E14" s="7" t="n">
        <v>2640</v>
      </c>
      <c r="F14" s="7" t="n">
        <v>2420</v>
      </c>
      <c r="G14" s="7" t="n">
        <v>220</v>
      </c>
      <c r="H14" s="7" t="s">
        <v>11</v>
      </c>
      <c r="I14" s="7" t="s">
        <v>12</v>
      </c>
      <c r="J14" s="0" t="s">
        <v>13</v>
      </c>
    </row>
    <row r="15" customFormat="false" ht="15" hidden="false" customHeight="false" outlineLevel="0" collapsed="false">
      <c r="A15" s="5" t="n">
        <v>44564</v>
      </c>
      <c r="B15" s="6" t="n">
        <v>0.527083333333333</v>
      </c>
      <c r="C15" s="7" t="n">
        <v>131973</v>
      </c>
      <c r="D15" s="7" t="s">
        <v>14</v>
      </c>
      <c r="E15" s="7" t="n">
        <v>17360</v>
      </c>
      <c r="F15" s="7" t="n">
        <v>15840</v>
      </c>
      <c r="G15" s="8" t="n">
        <v>1520</v>
      </c>
      <c r="H15" s="7" t="s">
        <v>11</v>
      </c>
      <c r="I15" s="7" t="s">
        <v>19</v>
      </c>
      <c r="J15" s="0" t="s">
        <v>13</v>
      </c>
    </row>
    <row r="16" customFormat="false" ht="15" hidden="false" customHeight="false" outlineLevel="0" collapsed="false">
      <c r="A16" s="5" t="n">
        <v>44564</v>
      </c>
      <c r="B16" s="6" t="n">
        <v>0.447916666666667</v>
      </c>
      <c r="C16" s="7" t="n">
        <v>148043</v>
      </c>
      <c r="D16" s="7" t="s">
        <v>18</v>
      </c>
      <c r="E16" s="7" t="n">
        <v>2620</v>
      </c>
      <c r="F16" s="7" t="n">
        <v>2400</v>
      </c>
      <c r="G16" s="8" t="n">
        <v>220</v>
      </c>
      <c r="H16" s="7" t="s">
        <v>11</v>
      </c>
      <c r="I16" s="7" t="s">
        <v>12</v>
      </c>
      <c r="J16" s="0" t="s">
        <v>13</v>
      </c>
    </row>
    <row r="17" customFormat="false" ht="15" hidden="false" customHeight="false" outlineLevel="0" collapsed="false">
      <c r="A17" s="5" t="n">
        <v>44564</v>
      </c>
      <c r="B17" s="6" t="n">
        <v>0.540277777777778</v>
      </c>
      <c r="C17" s="7" t="n">
        <v>131978</v>
      </c>
      <c r="D17" s="7" t="s">
        <v>16</v>
      </c>
      <c r="E17" s="7" t="n">
        <v>3040</v>
      </c>
      <c r="F17" s="7" t="n">
        <v>2900</v>
      </c>
      <c r="G17" s="8" t="n">
        <v>140</v>
      </c>
      <c r="H17" s="7" t="s">
        <v>11</v>
      </c>
      <c r="I17" s="7" t="s">
        <v>20</v>
      </c>
      <c r="J17" s="0" t="s">
        <v>21</v>
      </c>
    </row>
    <row r="18" customFormat="false" ht="15" hidden="false" customHeight="false" outlineLevel="0" collapsed="false">
      <c r="A18" s="5" t="n">
        <v>44564</v>
      </c>
      <c r="B18" s="6" t="n">
        <v>0.539583333333333</v>
      </c>
      <c r="C18" s="7" t="n">
        <v>131977</v>
      </c>
      <c r="D18" s="7" t="s">
        <v>10</v>
      </c>
      <c r="E18" s="7" t="n">
        <v>3240</v>
      </c>
      <c r="F18" s="7" t="n">
        <v>2720</v>
      </c>
      <c r="G18" s="8" t="n">
        <v>520</v>
      </c>
      <c r="H18" s="7" t="s">
        <v>11</v>
      </c>
      <c r="I18" s="7" t="s">
        <v>20</v>
      </c>
      <c r="J18" s="0" t="s">
        <v>21</v>
      </c>
    </row>
    <row r="19" customFormat="false" ht="15" hidden="false" customHeight="false" outlineLevel="0" collapsed="false">
      <c r="A19" s="5" t="n">
        <v>44565</v>
      </c>
      <c r="B19" s="6" t="n">
        <v>0.13125</v>
      </c>
      <c r="C19" s="7" t="n">
        <v>148058</v>
      </c>
      <c r="D19" s="7" t="s">
        <v>15</v>
      </c>
      <c r="E19" s="7" t="n">
        <v>18500</v>
      </c>
      <c r="F19" s="7" t="n">
        <v>12920</v>
      </c>
      <c r="G19" s="8" t="n">
        <v>5580</v>
      </c>
      <c r="H19" s="7" t="s">
        <v>11</v>
      </c>
      <c r="I19" s="7" t="s">
        <v>12</v>
      </c>
      <c r="J19" s="0" t="s">
        <v>13</v>
      </c>
    </row>
    <row r="20" customFormat="false" ht="15" hidden="false" customHeight="false" outlineLevel="0" collapsed="false">
      <c r="A20" s="5" t="n">
        <v>44565</v>
      </c>
      <c r="B20" s="6" t="n">
        <v>0.259722222222222</v>
      </c>
      <c r="C20" s="7" t="n">
        <v>148067</v>
      </c>
      <c r="D20" s="7" t="s">
        <v>17</v>
      </c>
      <c r="E20" s="7" t="n">
        <v>4380</v>
      </c>
      <c r="F20" s="7" t="n">
        <v>3820</v>
      </c>
      <c r="G20" s="8" t="n">
        <v>560</v>
      </c>
      <c r="H20" s="7" t="s">
        <v>11</v>
      </c>
      <c r="I20" s="7" t="s">
        <v>12</v>
      </c>
      <c r="J20" s="0" t="s">
        <v>13</v>
      </c>
    </row>
    <row r="21" customFormat="false" ht="15" hidden="false" customHeight="false" outlineLevel="0" collapsed="false">
      <c r="A21" s="5" t="n">
        <v>44565</v>
      </c>
      <c r="B21" s="6" t="n">
        <v>0.238888888888889</v>
      </c>
      <c r="C21" s="7" t="n">
        <v>148065</v>
      </c>
      <c r="D21" s="7" t="s">
        <v>14</v>
      </c>
      <c r="E21" s="7" t="n">
        <v>25600</v>
      </c>
      <c r="F21" s="7" t="n">
        <v>15780</v>
      </c>
      <c r="G21" s="8" t="n">
        <v>9820</v>
      </c>
      <c r="H21" s="7" t="s">
        <v>11</v>
      </c>
      <c r="I21" s="7" t="s">
        <v>12</v>
      </c>
      <c r="J21" s="0" t="s">
        <v>13</v>
      </c>
    </row>
    <row r="22" customFormat="false" ht="15" hidden="false" customHeight="false" outlineLevel="0" collapsed="false">
      <c r="A22" s="5" t="n">
        <v>44565</v>
      </c>
      <c r="B22" s="6" t="n">
        <v>0.526388888888889</v>
      </c>
      <c r="C22" s="7" t="n">
        <v>148084</v>
      </c>
      <c r="D22" s="7" t="s">
        <v>18</v>
      </c>
      <c r="E22" s="7" t="n">
        <v>2560</v>
      </c>
      <c r="F22" s="7" t="n">
        <v>2400</v>
      </c>
      <c r="G22" s="8" t="n">
        <v>160</v>
      </c>
      <c r="H22" s="7" t="s">
        <v>11</v>
      </c>
      <c r="I22" s="7" t="s">
        <v>12</v>
      </c>
      <c r="J22" s="0" t="s">
        <v>13</v>
      </c>
    </row>
    <row r="23" customFormat="false" ht="15" hidden="false" customHeight="false" outlineLevel="0" collapsed="false">
      <c r="A23" s="5" t="n">
        <v>44565</v>
      </c>
      <c r="B23" s="6" t="n">
        <v>0.432638888888889</v>
      </c>
      <c r="C23" s="7" t="n">
        <v>148077</v>
      </c>
      <c r="D23" s="7" t="s">
        <v>18</v>
      </c>
      <c r="E23" s="7" t="n">
        <v>2720</v>
      </c>
      <c r="F23" s="7" t="n">
        <v>2400</v>
      </c>
      <c r="G23" s="8" t="n">
        <v>320</v>
      </c>
      <c r="H23" s="7" t="s">
        <v>11</v>
      </c>
      <c r="I23" s="7" t="s">
        <v>12</v>
      </c>
      <c r="J23" s="0" t="s">
        <v>13</v>
      </c>
    </row>
    <row r="24" customFormat="false" ht="15" hidden="false" customHeight="false" outlineLevel="0" collapsed="false">
      <c r="A24" s="5" t="n">
        <v>44565</v>
      </c>
      <c r="B24" s="6" t="n">
        <v>0.539583333333333</v>
      </c>
      <c r="C24" s="7" t="n">
        <v>132032</v>
      </c>
      <c r="D24" s="7" t="s">
        <v>16</v>
      </c>
      <c r="E24" s="7" t="n">
        <v>3160</v>
      </c>
      <c r="F24" s="7" t="n">
        <v>2880</v>
      </c>
      <c r="G24" s="8" t="n">
        <v>280</v>
      </c>
      <c r="H24" s="7" t="s">
        <v>11</v>
      </c>
      <c r="I24" s="7" t="s">
        <v>20</v>
      </c>
      <c r="J24" s="0" t="s">
        <v>21</v>
      </c>
    </row>
    <row r="25" customFormat="false" ht="15" hidden="false" customHeight="false" outlineLevel="0" collapsed="false">
      <c r="A25" s="5" t="n">
        <v>44565</v>
      </c>
      <c r="B25" s="6" t="n">
        <v>0.541666666666667</v>
      </c>
      <c r="C25" s="7" t="n">
        <v>132033</v>
      </c>
      <c r="D25" s="7" t="s">
        <v>10</v>
      </c>
      <c r="E25" s="7" t="n">
        <v>3440</v>
      </c>
      <c r="F25" s="7" t="n">
        <v>2720</v>
      </c>
      <c r="G25" s="8" t="n">
        <v>720</v>
      </c>
      <c r="H25" s="7" t="s">
        <v>11</v>
      </c>
      <c r="I25" s="7" t="s">
        <v>20</v>
      </c>
      <c r="J25" s="0" t="s">
        <v>21</v>
      </c>
    </row>
    <row r="26" customFormat="false" ht="15" hidden="false" customHeight="false" outlineLevel="0" collapsed="false">
      <c r="A26" s="5" t="n">
        <v>44566</v>
      </c>
      <c r="B26" s="6" t="n">
        <v>0.2625</v>
      </c>
      <c r="C26" s="7" t="n">
        <v>148098</v>
      </c>
      <c r="D26" s="7" t="s">
        <v>14</v>
      </c>
      <c r="E26" s="7" t="n">
        <v>24120</v>
      </c>
      <c r="F26" s="7" t="n">
        <v>15820</v>
      </c>
      <c r="G26" s="8" t="n">
        <v>8300</v>
      </c>
      <c r="H26" s="7" t="s">
        <v>11</v>
      </c>
      <c r="I26" s="7" t="s">
        <v>12</v>
      </c>
      <c r="J26" s="0" t="s">
        <v>13</v>
      </c>
    </row>
    <row r="27" customFormat="false" ht="15" hidden="false" customHeight="false" outlineLevel="0" collapsed="false">
      <c r="A27" s="5" t="n">
        <v>44566</v>
      </c>
      <c r="B27" s="6" t="n">
        <v>0.267361111111111</v>
      </c>
      <c r="C27" s="7" t="n">
        <v>148099</v>
      </c>
      <c r="D27" s="7" t="s">
        <v>17</v>
      </c>
      <c r="E27" s="7" t="n">
        <v>4240</v>
      </c>
      <c r="F27" s="7" t="n">
        <v>3800</v>
      </c>
      <c r="G27" s="8" t="n">
        <v>440</v>
      </c>
      <c r="H27" s="7" t="s">
        <v>11</v>
      </c>
      <c r="I27" s="7" t="s">
        <v>12</v>
      </c>
      <c r="J27" s="0" t="s">
        <v>13</v>
      </c>
    </row>
    <row r="28" customFormat="false" ht="15" hidden="false" customHeight="false" outlineLevel="0" collapsed="false">
      <c r="A28" s="5" t="n">
        <v>44566</v>
      </c>
      <c r="B28" s="6" t="n">
        <v>0.126388888888889</v>
      </c>
      <c r="C28" s="7" t="n">
        <v>148092</v>
      </c>
      <c r="D28" s="7" t="s">
        <v>15</v>
      </c>
      <c r="E28" s="7" t="n">
        <v>18860</v>
      </c>
      <c r="F28" s="7" t="n">
        <v>12960</v>
      </c>
      <c r="G28" s="8" t="n">
        <v>5900</v>
      </c>
      <c r="H28" s="7" t="s">
        <v>11</v>
      </c>
      <c r="I28" s="7" t="s">
        <v>12</v>
      </c>
      <c r="J28" s="0" t="s">
        <v>13</v>
      </c>
    </row>
    <row r="29" customFormat="false" ht="15" hidden="false" customHeight="false" outlineLevel="0" collapsed="false">
      <c r="A29" s="5" t="n">
        <v>44566</v>
      </c>
      <c r="B29" s="6" t="n">
        <v>0.44375</v>
      </c>
      <c r="C29" s="7" t="n">
        <v>148108</v>
      </c>
      <c r="D29" s="7" t="s">
        <v>18</v>
      </c>
      <c r="E29" s="7" t="n">
        <v>2620</v>
      </c>
      <c r="F29" s="7" t="n">
        <v>2400</v>
      </c>
      <c r="G29" s="8" t="n">
        <v>220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44566</v>
      </c>
      <c r="B30" s="6" t="n">
        <v>0.539583333333333</v>
      </c>
      <c r="C30" s="7" t="n">
        <v>132093</v>
      </c>
      <c r="D30" s="7" t="s">
        <v>10</v>
      </c>
      <c r="E30" s="7" t="n">
        <v>2940</v>
      </c>
      <c r="F30" s="7" t="n">
        <v>2580</v>
      </c>
      <c r="G30" s="8" t="n">
        <v>360</v>
      </c>
      <c r="H30" s="7" t="s">
        <v>11</v>
      </c>
      <c r="I30" s="7" t="s">
        <v>20</v>
      </c>
      <c r="J30" s="0" t="s">
        <v>21</v>
      </c>
    </row>
    <row r="31" customFormat="false" ht="15" hidden="false" customHeight="false" outlineLevel="0" collapsed="false">
      <c r="A31" s="5" t="n">
        <v>44566</v>
      </c>
      <c r="B31" s="6" t="n">
        <v>0.490972222222222</v>
      </c>
      <c r="C31" s="7" t="n">
        <v>132086</v>
      </c>
      <c r="D31" s="7" t="s">
        <v>22</v>
      </c>
      <c r="E31" s="7" t="n">
        <v>6920</v>
      </c>
      <c r="F31" s="7" t="n">
        <v>6840</v>
      </c>
      <c r="G31" s="8" t="n">
        <v>80</v>
      </c>
      <c r="H31" s="7" t="s">
        <v>11</v>
      </c>
      <c r="I31" s="7" t="s">
        <v>23</v>
      </c>
      <c r="J31" s="0" t="s">
        <v>21</v>
      </c>
    </row>
    <row r="32" customFormat="false" ht="15" hidden="false" customHeight="false" outlineLevel="0" collapsed="false">
      <c r="A32" s="5" t="n">
        <v>44566</v>
      </c>
      <c r="B32" s="6" t="n">
        <v>0.490972222222222</v>
      </c>
      <c r="C32" s="7" t="n">
        <v>132085</v>
      </c>
      <c r="D32" s="7" t="s">
        <v>22</v>
      </c>
      <c r="E32" s="7" t="n">
        <v>6840</v>
      </c>
      <c r="F32" s="7" t="n">
        <v>5540</v>
      </c>
      <c r="G32" s="8" t="n">
        <v>1300</v>
      </c>
      <c r="H32" s="7" t="s">
        <v>11</v>
      </c>
      <c r="I32" s="7" t="s">
        <v>23</v>
      </c>
      <c r="J32" s="0" t="s">
        <v>21</v>
      </c>
    </row>
    <row r="33" customFormat="false" ht="13.8" hidden="false" customHeight="false" outlineLevel="0" collapsed="false">
      <c r="A33" s="5" t="n">
        <v>44566</v>
      </c>
      <c r="B33" s="6" t="n">
        <v>0.485416666666667</v>
      </c>
      <c r="C33" s="7" t="n">
        <v>2432</v>
      </c>
      <c r="D33" s="7" t="s">
        <v>14</v>
      </c>
      <c r="E33" s="7" t="n">
        <v>17200</v>
      </c>
      <c r="F33" s="7" t="n">
        <v>15760</v>
      </c>
      <c r="G33" s="8" t="n">
        <v>1440</v>
      </c>
      <c r="H33" s="7" t="s">
        <v>11</v>
      </c>
      <c r="I33" s="7" t="s">
        <v>24</v>
      </c>
      <c r="J33" s="0" t="s">
        <v>21</v>
      </c>
    </row>
    <row r="34" customFormat="false" ht="15" hidden="false" customHeight="false" outlineLevel="0" collapsed="false">
      <c r="A34" s="5" t="n">
        <v>44567</v>
      </c>
      <c r="B34" s="6" t="n">
        <v>0.534027777777778</v>
      </c>
      <c r="C34" s="7" t="n">
        <v>148136</v>
      </c>
      <c r="D34" s="7" t="s">
        <v>16</v>
      </c>
      <c r="E34" s="7" t="n">
        <v>3280</v>
      </c>
      <c r="F34" s="7" t="n">
        <v>2880</v>
      </c>
      <c r="G34" s="8" t="n">
        <v>400</v>
      </c>
      <c r="H34" s="7" t="s">
        <v>11</v>
      </c>
      <c r="I34" s="7" t="s">
        <v>12</v>
      </c>
      <c r="J34" s="0" t="s">
        <v>13</v>
      </c>
    </row>
    <row r="35" customFormat="false" ht="15" hidden="false" customHeight="false" outlineLevel="0" collapsed="false">
      <c r="A35" s="5" t="n">
        <v>44567</v>
      </c>
      <c r="B35" s="6" t="n">
        <v>0.159722222222222</v>
      </c>
      <c r="C35" s="7" t="n">
        <v>148125</v>
      </c>
      <c r="D35" s="7" t="s">
        <v>17</v>
      </c>
      <c r="E35" s="7" t="n">
        <v>4300</v>
      </c>
      <c r="F35" s="7" t="n">
        <v>3800</v>
      </c>
      <c r="G35" s="8" t="n">
        <v>500</v>
      </c>
      <c r="H35" s="7" t="s">
        <v>11</v>
      </c>
      <c r="I35" s="7" t="s">
        <v>12</v>
      </c>
      <c r="J35" s="0" t="s">
        <v>13</v>
      </c>
    </row>
    <row r="36" customFormat="false" ht="15" hidden="false" customHeight="false" outlineLevel="0" collapsed="false">
      <c r="A36" s="5" t="n">
        <v>44567</v>
      </c>
      <c r="B36" s="6" t="n">
        <v>0.216666666666667</v>
      </c>
      <c r="C36" s="7" t="n">
        <v>148128</v>
      </c>
      <c r="D36" s="7" t="s">
        <v>14</v>
      </c>
      <c r="E36" s="7" t="n">
        <v>25120</v>
      </c>
      <c r="F36" s="7" t="n">
        <v>15700</v>
      </c>
      <c r="G36" s="8" t="n">
        <v>9420</v>
      </c>
      <c r="H36" s="7" t="s">
        <v>11</v>
      </c>
      <c r="I36" s="7" t="s">
        <v>12</v>
      </c>
      <c r="J36" s="0" t="s">
        <v>13</v>
      </c>
    </row>
    <row r="37" customFormat="false" ht="15" hidden="false" customHeight="false" outlineLevel="0" collapsed="false">
      <c r="A37" s="5" t="n">
        <v>44567</v>
      </c>
      <c r="B37" s="6" t="n">
        <v>0.0465277777777778</v>
      </c>
      <c r="C37" s="7" t="n">
        <v>148117</v>
      </c>
      <c r="D37" s="7" t="s">
        <v>15</v>
      </c>
      <c r="E37" s="7" t="n">
        <v>17440</v>
      </c>
      <c r="F37" s="7" t="n">
        <v>12940</v>
      </c>
      <c r="G37" s="8" t="n">
        <v>4500</v>
      </c>
      <c r="H37" s="7" t="s">
        <v>11</v>
      </c>
      <c r="I37" s="7" t="s">
        <v>12</v>
      </c>
      <c r="J37" s="0" t="s">
        <v>13</v>
      </c>
    </row>
    <row r="38" customFormat="false" ht="15" hidden="false" customHeight="false" outlineLevel="0" collapsed="false">
      <c r="A38" s="5" t="n">
        <v>44568</v>
      </c>
      <c r="B38" s="6" t="n">
        <v>0.261805555555556</v>
      </c>
      <c r="C38" s="7" t="n">
        <v>148150</v>
      </c>
      <c r="D38" s="7" t="s">
        <v>14</v>
      </c>
      <c r="E38" s="7" t="n">
        <v>24680</v>
      </c>
      <c r="F38" s="7" t="n">
        <v>15820</v>
      </c>
      <c r="G38" s="8" t="n">
        <v>8860</v>
      </c>
      <c r="H38" s="7" t="s">
        <v>11</v>
      </c>
      <c r="I38" s="7" t="s">
        <v>12</v>
      </c>
      <c r="J38" s="0" t="s">
        <v>13</v>
      </c>
    </row>
    <row r="39" customFormat="false" ht="15" hidden="false" customHeight="false" outlineLevel="0" collapsed="false">
      <c r="A39" s="5" t="n">
        <v>44568</v>
      </c>
      <c r="B39" s="6" t="n">
        <v>0.136805555555556</v>
      </c>
      <c r="C39" s="7" t="n">
        <v>148143</v>
      </c>
      <c r="D39" s="7" t="s">
        <v>15</v>
      </c>
      <c r="E39" s="7" t="n">
        <v>17960</v>
      </c>
      <c r="F39" s="7" t="n">
        <v>12920</v>
      </c>
      <c r="G39" s="8" t="n">
        <v>5040</v>
      </c>
      <c r="H39" s="7" t="s">
        <v>11</v>
      </c>
      <c r="I39" s="7" t="s">
        <v>12</v>
      </c>
      <c r="J39" s="0" t="s">
        <v>13</v>
      </c>
    </row>
    <row r="40" customFormat="false" ht="15" hidden="false" customHeight="false" outlineLevel="0" collapsed="false">
      <c r="A40" s="5" t="n">
        <v>44568</v>
      </c>
      <c r="B40" s="6" t="n">
        <v>0.257638888888889</v>
      </c>
      <c r="C40" s="7" t="n">
        <v>148149</v>
      </c>
      <c r="D40" s="7" t="s">
        <v>17</v>
      </c>
      <c r="E40" s="7" t="n">
        <v>4280</v>
      </c>
      <c r="F40" s="7" t="n">
        <v>3800</v>
      </c>
      <c r="G40" s="8" t="n">
        <v>480</v>
      </c>
      <c r="H40" s="7" t="s">
        <v>11</v>
      </c>
      <c r="I40" s="7" t="s">
        <v>12</v>
      </c>
      <c r="J40" s="0" t="s">
        <v>13</v>
      </c>
    </row>
    <row r="41" customFormat="false" ht="15" hidden="false" customHeight="false" outlineLevel="0" collapsed="false">
      <c r="A41" s="5" t="n">
        <v>44568</v>
      </c>
      <c r="B41" s="6" t="n">
        <v>0.530555555555556</v>
      </c>
      <c r="C41" s="7" t="n">
        <v>148156</v>
      </c>
      <c r="D41" s="7" t="s">
        <v>18</v>
      </c>
      <c r="E41" s="7" t="n">
        <v>2500</v>
      </c>
      <c r="F41" s="7" t="n">
        <v>2360</v>
      </c>
      <c r="G41" s="8" t="n">
        <v>140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44568</v>
      </c>
      <c r="B42" s="6" t="n">
        <v>0.45</v>
      </c>
      <c r="C42" s="7" t="n">
        <v>148153</v>
      </c>
      <c r="D42" s="7" t="s">
        <v>18</v>
      </c>
      <c r="E42" s="7" t="n">
        <v>2680</v>
      </c>
      <c r="F42" s="7" t="n">
        <v>2380</v>
      </c>
      <c r="G42" s="8" t="n">
        <v>300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44568</v>
      </c>
      <c r="B43" s="6" t="n">
        <v>0.543055555555555</v>
      </c>
      <c r="C43" s="7" t="n">
        <v>132141</v>
      </c>
      <c r="D43" s="7" t="s">
        <v>16</v>
      </c>
      <c r="E43" s="7" t="n">
        <v>3260</v>
      </c>
      <c r="F43" s="7" t="n">
        <v>2880</v>
      </c>
      <c r="G43" s="8" t="n">
        <v>380</v>
      </c>
      <c r="H43" s="7" t="s">
        <v>11</v>
      </c>
      <c r="I43" s="7" t="s">
        <v>20</v>
      </c>
      <c r="J43" s="0" t="s">
        <v>21</v>
      </c>
    </row>
    <row r="44" customFormat="false" ht="15" hidden="false" customHeight="false" outlineLevel="0" collapsed="false">
      <c r="A44" s="5" t="n">
        <v>44568</v>
      </c>
      <c r="B44" s="6" t="n">
        <v>0.547222222222222</v>
      </c>
      <c r="C44" s="7" t="n">
        <v>132142</v>
      </c>
      <c r="D44" s="7" t="s">
        <v>10</v>
      </c>
      <c r="E44" s="7" t="n">
        <v>3220</v>
      </c>
      <c r="F44" s="7" t="n">
        <v>2580</v>
      </c>
      <c r="G44" s="8" t="n">
        <v>640</v>
      </c>
      <c r="H44" s="7" t="s">
        <v>11</v>
      </c>
      <c r="I44" s="7" t="s">
        <v>20</v>
      </c>
      <c r="J44" s="0" t="s">
        <v>21</v>
      </c>
    </row>
    <row r="45" customFormat="false" ht="15" hidden="false" customHeight="false" outlineLevel="0" collapsed="false">
      <c r="A45" s="5" t="n">
        <v>44569</v>
      </c>
      <c r="B45" s="6" t="n">
        <v>0.483333333333333</v>
      </c>
      <c r="C45" s="7" t="n">
        <v>148179</v>
      </c>
      <c r="D45" s="7" t="s">
        <v>18</v>
      </c>
      <c r="E45" s="7" t="n">
        <v>2720</v>
      </c>
      <c r="F45" s="7" t="n">
        <v>2400</v>
      </c>
      <c r="G45" s="8" t="n">
        <v>320</v>
      </c>
      <c r="H45" s="7" t="s">
        <v>11</v>
      </c>
      <c r="I45" s="7" t="s">
        <v>12</v>
      </c>
      <c r="J45" s="0" t="s">
        <v>13</v>
      </c>
    </row>
    <row r="46" customFormat="false" ht="15" hidden="false" customHeight="false" outlineLevel="0" collapsed="false">
      <c r="A46" s="5" t="n">
        <v>44569</v>
      </c>
      <c r="B46" s="6" t="n">
        <v>0.197222222222222</v>
      </c>
      <c r="C46" s="7" t="n">
        <v>148167</v>
      </c>
      <c r="D46" s="7" t="s">
        <v>15</v>
      </c>
      <c r="E46" s="7" t="n">
        <v>18200</v>
      </c>
      <c r="F46" s="7" t="n">
        <v>12660</v>
      </c>
      <c r="G46" s="8" t="n">
        <v>5540</v>
      </c>
      <c r="H46" s="7" t="s">
        <v>11</v>
      </c>
      <c r="I46" s="7" t="s">
        <v>12</v>
      </c>
      <c r="J46" s="0" t="s">
        <v>13</v>
      </c>
    </row>
    <row r="47" customFormat="false" ht="15" hidden="false" customHeight="false" outlineLevel="0" collapsed="false">
      <c r="A47" s="5" t="n">
        <v>44569</v>
      </c>
      <c r="B47" s="6" t="n">
        <v>0.265277777777778</v>
      </c>
      <c r="C47" s="7" t="n">
        <v>148172</v>
      </c>
      <c r="D47" s="7" t="s">
        <v>17</v>
      </c>
      <c r="E47" s="7" t="n">
        <v>4220</v>
      </c>
      <c r="F47" s="7" t="n">
        <v>3760</v>
      </c>
      <c r="G47" s="8" t="n">
        <v>460</v>
      </c>
      <c r="H47" s="7" t="s">
        <v>11</v>
      </c>
      <c r="I47" s="7" t="s">
        <v>12</v>
      </c>
      <c r="J47" s="0" t="s">
        <v>13</v>
      </c>
    </row>
    <row r="48" customFormat="false" ht="15" hidden="false" customHeight="false" outlineLevel="0" collapsed="false">
      <c r="A48" s="5" t="n">
        <v>44569</v>
      </c>
      <c r="B48" s="6" t="n">
        <v>0.263194444444444</v>
      </c>
      <c r="C48" s="7" t="n">
        <v>148171</v>
      </c>
      <c r="D48" s="7" t="s">
        <v>14</v>
      </c>
      <c r="E48" s="7" t="n">
        <v>24520</v>
      </c>
      <c r="F48" s="7" t="n">
        <v>15760</v>
      </c>
      <c r="G48" s="8" t="n">
        <v>8760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44570</v>
      </c>
      <c r="B49" s="6" t="n">
        <v>0.48125</v>
      </c>
      <c r="C49" s="7" t="n">
        <v>148194</v>
      </c>
      <c r="D49" s="7" t="s">
        <v>18</v>
      </c>
      <c r="E49" s="7" t="n">
        <v>2720</v>
      </c>
      <c r="F49" s="7" t="n">
        <v>2400</v>
      </c>
      <c r="G49" s="8" t="n">
        <v>320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44570</v>
      </c>
      <c r="B50" s="6" t="n">
        <v>0.54375</v>
      </c>
      <c r="C50" s="7" t="n">
        <v>148195</v>
      </c>
      <c r="D50" s="7" t="s">
        <v>16</v>
      </c>
      <c r="E50" s="7" t="n">
        <v>3240</v>
      </c>
      <c r="F50" s="7" t="n">
        <v>2880</v>
      </c>
      <c r="G50" s="8" t="n">
        <v>360</v>
      </c>
      <c r="H50" s="7" t="s">
        <v>11</v>
      </c>
      <c r="I50" s="7" t="s">
        <v>12</v>
      </c>
      <c r="J50" s="0" t="s">
        <v>13</v>
      </c>
    </row>
    <row r="51" customFormat="false" ht="15" hidden="false" customHeight="false" outlineLevel="0" collapsed="false">
      <c r="A51" s="5" t="n">
        <v>44570</v>
      </c>
      <c r="B51" s="6" t="n">
        <v>0.175694444444444</v>
      </c>
      <c r="C51" s="7" t="n">
        <v>148188</v>
      </c>
      <c r="D51" s="7" t="s">
        <v>17</v>
      </c>
      <c r="E51" s="7" t="n">
        <v>4280</v>
      </c>
      <c r="F51" s="7" t="n">
        <v>3660</v>
      </c>
      <c r="G51" s="8" t="n">
        <v>620</v>
      </c>
      <c r="H51" s="7" t="s">
        <v>11</v>
      </c>
      <c r="I51" s="7" t="s">
        <v>12</v>
      </c>
      <c r="J51" s="0" t="s">
        <v>13</v>
      </c>
    </row>
    <row r="52" customFormat="false" ht="15" hidden="false" customHeight="false" outlineLevel="0" collapsed="false">
      <c r="A52" s="5" t="n">
        <v>44570</v>
      </c>
      <c r="B52" s="6" t="n">
        <v>0.0923611111111111</v>
      </c>
      <c r="C52" s="7" t="n">
        <v>148181</v>
      </c>
      <c r="D52" s="7" t="s">
        <v>15</v>
      </c>
      <c r="E52" s="7" t="n">
        <v>16940</v>
      </c>
      <c r="F52" s="7" t="n">
        <v>12620</v>
      </c>
      <c r="G52" s="8" t="n">
        <v>4320</v>
      </c>
      <c r="H52" s="7" t="s">
        <v>11</v>
      </c>
      <c r="I52" s="7" t="s">
        <v>12</v>
      </c>
      <c r="J52" s="0" t="s">
        <v>13</v>
      </c>
    </row>
    <row r="53" customFormat="false" ht="15" hidden="false" customHeight="false" outlineLevel="0" collapsed="false">
      <c r="A53" s="5" t="n">
        <v>44570</v>
      </c>
      <c r="B53" s="6" t="n">
        <v>0.220138888888889</v>
      </c>
      <c r="C53" s="7" t="n">
        <v>148191</v>
      </c>
      <c r="D53" s="7" t="s">
        <v>14</v>
      </c>
      <c r="E53" s="7" t="n">
        <v>24720</v>
      </c>
      <c r="F53" s="7" t="n">
        <v>15820</v>
      </c>
      <c r="G53" s="8" t="n">
        <v>8900</v>
      </c>
      <c r="H53" s="7" t="s">
        <v>11</v>
      </c>
      <c r="I53" s="7" t="s">
        <v>12</v>
      </c>
      <c r="J53" s="0" t="s">
        <v>13</v>
      </c>
    </row>
    <row r="54" customFormat="false" ht="15" hidden="false" customHeight="false" outlineLevel="0" collapsed="false">
      <c r="A54" s="5" t="n">
        <v>44571</v>
      </c>
      <c r="B54" s="6" t="n">
        <v>0.2625</v>
      </c>
      <c r="C54" s="7" t="n">
        <v>148210</v>
      </c>
      <c r="D54" s="7" t="s">
        <v>17</v>
      </c>
      <c r="E54" s="7" t="n">
        <v>4220</v>
      </c>
      <c r="F54" s="7" t="n">
        <v>3760</v>
      </c>
      <c r="G54" s="8" t="n">
        <v>460</v>
      </c>
      <c r="H54" s="7" t="s">
        <v>11</v>
      </c>
      <c r="I54" s="7" t="s">
        <v>12</v>
      </c>
      <c r="J54" s="0" t="s">
        <v>13</v>
      </c>
    </row>
    <row r="55" customFormat="false" ht="15" hidden="false" customHeight="false" outlineLevel="0" collapsed="false">
      <c r="A55" s="5" t="n">
        <v>44571</v>
      </c>
      <c r="B55" s="6" t="n">
        <v>0.19375</v>
      </c>
      <c r="C55" s="7" t="n">
        <v>148205</v>
      </c>
      <c r="D55" s="7" t="s">
        <v>15</v>
      </c>
      <c r="E55" s="7" t="n">
        <v>15860</v>
      </c>
      <c r="F55" s="7" t="n">
        <v>12740</v>
      </c>
      <c r="G55" s="8" t="n">
        <v>3120</v>
      </c>
      <c r="H55" s="7" t="s">
        <v>11</v>
      </c>
      <c r="I55" s="7" t="s">
        <v>12</v>
      </c>
      <c r="J55" s="0" t="s">
        <v>13</v>
      </c>
    </row>
    <row r="56" customFormat="false" ht="15" hidden="false" customHeight="false" outlineLevel="0" collapsed="false">
      <c r="A56" s="5" t="n">
        <v>44571</v>
      </c>
      <c r="B56" s="6" t="n">
        <v>0.258333333333333</v>
      </c>
      <c r="C56" s="7" t="n">
        <v>148208</v>
      </c>
      <c r="D56" s="7" t="s">
        <v>14</v>
      </c>
      <c r="E56" s="7" t="n">
        <v>24540</v>
      </c>
      <c r="F56" s="7" t="n">
        <v>15800</v>
      </c>
      <c r="G56" s="8" t="n">
        <v>8740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44571</v>
      </c>
      <c r="B57" s="6" t="n">
        <v>0.515972222222222</v>
      </c>
      <c r="C57" s="7" t="n">
        <v>132216</v>
      </c>
      <c r="D57" s="7" t="s">
        <v>14</v>
      </c>
      <c r="E57" s="7" t="n">
        <v>17340</v>
      </c>
      <c r="F57" s="7" t="n">
        <v>15720</v>
      </c>
      <c r="G57" s="8" t="n">
        <v>1620</v>
      </c>
      <c r="H57" s="7" t="s">
        <v>11</v>
      </c>
      <c r="I57" s="7" t="s">
        <v>19</v>
      </c>
      <c r="J57" s="0" t="s">
        <v>13</v>
      </c>
    </row>
    <row r="58" customFormat="false" ht="15" hidden="false" customHeight="false" outlineLevel="0" collapsed="false">
      <c r="A58" s="5" t="n">
        <v>44571</v>
      </c>
      <c r="B58" s="6" t="n">
        <v>0.467361111111111</v>
      </c>
      <c r="C58" s="7" t="n">
        <v>148224</v>
      </c>
      <c r="D58" s="7" t="s">
        <v>18</v>
      </c>
      <c r="E58" s="7" t="n">
        <v>2620</v>
      </c>
      <c r="F58" s="7" t="n">
        <v>2400</v>
      </c>
      <c r="G58" s="8" t="n">
        <v>220</v>
      </c>
      <c r="H58" s="7" t="s">
        <v>11</v>
      </c>
      <c r="I58" s="7" t="s">
        <v>12</v>
      </c>
      <c r="J58" s="0" t="s">
        <v>13</v>
      </c>
    </row>
    <row r="59" customFormat="false" ht="15" hidden="false" customHeight="false" outlineLevel="0" collapsed="false">
      <c r="A59" s="5" t="n">
        <v>44571</v>
      </c>
      <c r="B59" s="6" t="n">
        <v>0.332638888888889</v>
      </c>
      <c r="C59" s="7" t="n">
        <v>132171</v>
      </c>
      <c r="D59" s="7" t="s">
        <v>22</v>
      </c>
      <c r="E59" s="7" t="n">
        <v>6280</v>
      </c>
      <c r="F59" s="7" t="n">
        <v>6220</v>
      </c>
      <c r="G59" s="8" t="n">
        <v>60</v>
      </c>
      <c r="H59" s="7" t="s">
        <v>11</v>
      </c>
      <c r="I59" s="7" t="s">
        <v>23</v>
      </c>
      <c r="J59" s="0" t="s">
        <v>21</v>
      </c>
    </row>
    <row r="60" customFormat="false" ht="15" hidden="false" customHeight="false" outlineLevel="0" collapsed="false">
      <c r="A60" s="5" t="n">
        <v>44571</v>
      </c>
      <c r="B60" s="6" t="n">
        <v>0.332638888888889</v>
      </c>
      <c r="C60" s="7" t="n">
        <v>132170</v>
      </c>
      <c r="D60" s="7" t="s">
        <v>22</v>
      </c>
      <c r="E60" s="7" t="n">
        <v>6220</v>
      </c>
      <c r="F60" s="7" t="n">
        <v>5580</v>
      </c>
      <c r="G60" s="8" t="n">
        <v>640</v>
      </c>
      <c r="H60" s="7" t="s">
        <v>11</v>
      </c>
      <c r="I60" s="7" t="s">
        <v>23</v>
      </c>
      <c r="J60" s="0" t="s">
        <v>21</v>
      </c>
    </row>
    <row r="61" customFormat="false" ht="15" hidden="false" customHeight="false" outlineLevel="0" collapsed="false">
      <c r="A61" s="5" t="n">
        <v>44571</v>
      </c>
      <c r="B61" s="6" t="n">
        <v>0.539583333333333</v>
      </c>
      <c r="C61" s="7" t="n">
        <v>132218</v>
      </c>
      <c r="D61" s="7" t="s">
        <v>10</v>
      </c>
      <c r="E61" s="7" t="n">
        <v>3100</v>
      </c>
      <c r="F61" s="7" t="n">
        <v>2700</v>
      </c>
      <c r="G61" s="8" t="n">
        <v>400</v>
      </c>
      <c r="H61" s="7" t="s">
        <v>11</v>
      </c>
      <c r="I61" s="7" t="s">
        <v>20</v>
      </c>
      <c r="J61" s="0" t="s">
        <v>21</v>
      </c>
    </row>
    <row r="62" customFormat="false" ht="15" hidden="false" customHeight="false" outlineLevel="0" collapsed="false">
      <c r="A62" s="5" t="n">
        <v>44571</v>
      </c>
      <c r="B62" s="6" t="n">
        <v>0.521527777777778</v>
      </c>
      <c r="C62" s="7" t="n">
        <v>132217</v>
      </c>
      <c r="D62" s="7" t="s">
        <v>16</v>
      </c>
      <c r="E62" s="7" t="n">
        <v>3160</v>
      </c>
      <c r="F62" s="7" t="n">
        <v>2860</v>
      </c>
      <c r="G62" s="8" t="n">
        <v>300</v>
      </c>
      <c r="H62" s="7" t="s">
        <v>11</v>
      </c>
      <c r="I62" s="7" t="s">
        <v>20</v>
      </c>
      <c r="J62" s="0" t="s">
        <v>21</v>
      </c>
    </row>
    <row r="63" customFormat="false" ht="15" hidden="false" customHeight="false" outlineLevel="0" collapsed="false">
      <c r="A63" s="5" t="n">
        <v>44572</v>
      </c>
      <c r="B63" s="6" t="n">
        <v>0.522916666666667</v>
      </c>
      <c r="C63" s="7" t="n">
        <v>148274</v>
      </c>
      <c r="D63" s="7" t="s">
        <v>18</v>
      </c>
      <c r="E63" s="7" t="n">
        <v>3140</v>
      </c>
      <c r="F63" s="7" t="n">
        <v>2400</v>
      </c>
      <c r="G63" s="8" t="n">
        <v>740</v>
      </c>
      <c r="H63" s="7" t="s">
        <v>11</v>
      </c>
      <c r="I63" s="7" t="s">
        <v>12</v>
      </c>
      <c r="J63" s="0" t="s">
        <v>13</v>
      </c>
    </row>
    <row r="64" customFormat="false" ht="15" hidden="false" customHeight="false" outlineLevel="0" collapsed="false">
      <c r="A64" s="5" t="n">
        <v>44572</v>
      </c>
      <c r="B64" s="6" t="n">
        <v>0.194444444444444</v>
      </c>
      <c r="C64" s="7" t="n">
        <v>148245</v>
      </c>
      <c r="D64" s="7" t="s">
        <v>15</v>
      </c>
      <c r="E64" s="7" t="n">
        <v>16780</v>
      </c>
      <c r="F64" s="7" t="n">
        <v>12720</v>
      </c>
      <c r="G64" s="8" t="n">
        <v>4060</v>
      </c>
      <c r="H64" s="7" t="s">
        <v>11</v>
      </c>
      <c r="I64" s="7" t="s">
        <v>12</v>
      </c>
      <c r="J64" s="0" t="s">
        <v>13</v>
      </c>
    </row>
    <row r="65" customFormat="false" ht="15" hidden="false" customHeight="false" outlineLevel="0" collapsed="false">
      <c r="A65" s="5" t="n">
        <v>44572</v>
      </c>
      <c r="B65" s="6" t="n">
        <v>0.263194444444444</v>
      </c>
      <c r="C65" s="7" t="n">
        <v>148250</v>
      </c>
      <c r="D65" s="7" t="s">
        <v>17</v>
      </c>
      <c r="E65" s="7" t="n">
        <v>4040</v>
      </c>
      <c r="F65" s="7" t="n">
        <v>3780</v>
      </c>
      <c r="G65" s="8" t="n">
        <v>260</v>
      </c>
      <c r="H65" s="7" t="s">
        <v>11</v>
      </c>
      <c r="I65" s="7" t="s">
        <v>12</v>
      </c>
      <c r="J65" s="0" t="s">
        <v>13</v>
      </c>
    </row>
    <row r="66" customFormat="false" ht="15" hidden="false" customHeight="false" outlineLevel="0" collapsed="false">
      <c r="A66" s="5" t="n">
        <v>44572</v>
      </c>
      <c r="B66" s="6" t="n">
        <v>0.257638888888889</v>
      </c>
      <c r="C66" s="7" t="n">
        <v>148249</v>
      </c>
      <c r="D66" s="7" t="s">
        <v>14</v>
      </c>
      <c r="E66" s="7" t="n">
        <v>23780</v>
      </c>
      <c r="F66" s="7" t="n">
        <v>15880</v>
      </c>
      <c r="G66" s="8" t="n">
        <v>7900</v>
      </c>
      <c r="H66" s="7" t="s">
        <v>11</v>
      </c>
      <c r="I66" s="7" t="s">
        <v>12</v>
      </c>
      <c r="J66" s="0" t="s">
        <v>13</v>
      </c>
    </row>
    <row r="67" customFormat="false" ht="15" hidden="false" customHeight="false" outlineLevel="0" collapsed="false">
      <c r="A67" s="5" t="n">
        <v>44572</v>
      </c>
      <c r="B67" s="6" t="n">
        <v>0.336805555555556</v>
      </c>
      <c r="C67" s="7" t="n">
        <v>132237</v>
      </c>
      <c r="D67" s="7" t="s">
        <v>10</v>
      </c>
      <c r="E67" s="7" t="n">
        <v>3480</v>
      </c>
      <c r="F67" s="7" t="n">
        <v>2700</v>
      </c>
      <c r="G67" s="8" t="n">
        <v>780</v>
      </c>
      <c r="H67" s="7" t="s">
        <v>11</v>
      </c>
      <c r="I67" s="7" t="s">
        <v>20</v>
      </c>
      <c r="J67" s="0" t="s">
        <v>21</v>
      </c>
    </row>
    <row r="68" customFormat="false" ht="15" hidden="false" customHeight="false" outlineLevel="0" collapsed="false">
      <c r="A68" s="5" t="n">
        <v>44572</v>
      </c>
      <c r="B68" s="6" t="n">
        <v>0.513194444444444</v>
      </c>
      <c r="C68" s="7" t="n">
        <v>132285</v>
      </c>
      <c r="D68" s="7" t="s">
        <v>22</v>
      </c>
      <c r="E68" s="7" t="n">
        <v>6640</v>
      </c>
      <c r="F68" s="7" t="n">
        <v>6620</v>
      </c>
      <c r="G68" s="8" t="n">
        <v>20</v>
      </c>
      <c r="H68" s="7" t="s">
        <v>11</v>
      </c>
      <c r="I68" s="7" t="s">
        <v>23</v>
      </c>
      <c r="J68" s="0" t="s">
        <v>21</v>
      </c>
    </row>
    <row r="69" customFormat="false" ht="15" hidden="false" customHeight="false" outlineLevel="0" collapsed="false">
      <c r="A69" s="5" t="n">
        <v>44572</v>
      </c>
      <c r="B69" s="6" t="n">
        <v>0.513194444444444</v>
      </c>
      <c r="C69" s="7" t="n">
        <v>132284</v>
      </c>
      <c r="D69" s="7" t="s">
        <v>22</v>
      </c>
      <c r="E69" s="7" t="n">
        <v>6620</v>
      </c>
      <c r="F69" s="7" t="n">
        <v>5620</v>
      </c>
      <c r="G69" s="8" t="n">
        <v>1000</v>
      </c>
      <c r="H69" s="7" t="s">
        <v>11</v>
      </c>
      <c r="I69" s="7" t="s">
        <v>23</v>
      </c>
      <c r="J69" s="0" t="s">
        <v>21</v>
      </c>
    </row>
    <row r="70" customFormat="false" ht="15" hidden="false" customHeight="false" outlineLevel="0" collapsed="false">
      <c r="A70" s="5" t="n">
        <v>44573</v>
      </c>
      <c r="B70" s="6" t="n">
        <v>0.236111111111111</v>
      </c>
      <c r="C70" s="7" t="n">
        <v>148292</v>
      </c>
      <c r="D70" s="7" t="s">
        <v>10</v>
      </c>
      <c r="E70" s="7" t="n">
        <v>3220</v>
      </c>
      <c r="F70" s="7" t="n">
        <v>2900</v>
      </c>
      <c r="G70" s="8" t="n">
        <v>320</v>
      </c>
      <c r="H70" s="7" t="s">
        <v>11</v>
      </c>
      <c r="I70" s="7" t="s">
        <v>12</v>
      </c>
      <c r="J70" s="0" t="s">
        <v>13</v>
      </c>
    </row>
    <row r="71" customFormat="false" ht="15" hidden="false" customHeight="false" outlineLevel="0" collapsed="false">
      <c r="A71" s="5" t="n">
        <v>44573</v>
      </c>
      <c r="B71" s="6" t="n">
        <v>0.238194444444444</v>
      </c>
      <c r="C71" s="7" t="n">
        <v>148293</v>
      </c>
      <c r="D71" s="7" t="s">
        <v>14</v>
      </c>
      <c r="E71" s="7" t="n">
        <v>24340</v>
      </c>
      <c r="F71" s="7" t="n">
        <v>15800</v>
      </c>
      <c r="G71" s="8" t="n">
        <v>8540</v>
      </c>
      <c r="H71" s="7" t="s">
        <v>11</v>
      </c>
      <c r="I71" s="7" t="s">
        <v>12</v>
      </c>
      <c r="J71" s="0" t="s">
        <v>13</v>
      </c>
    </row>
    <row r="72" customFormat="false" ht="15" hidden="false" customHeight="false" outlineLevel="0" collapsed="false">
      <c r="A72" s="5" t="n">
        <v>44573</v>
      </c>
      <c r="B72" s="6" t="n">
        <v>0.159722222222222</v>
      </c>
      <c r="C72" s="7" t="n">
        <v>148289</v>
      </c>
      <c r="D72" s="7" t="s">
        <v>15</v>
      </c>
      <c r="E72" s="7" t="n">
        <v>17040</v>
      </c>
      <c r="F72" s="7" t="n">
        <v>12760</v>
      </c>
      <c r="G72" s="8" t="n">
        <v>4280</v>
      </c>
      <c r="H72" s="7" t="s">
        <v>11</v>
      </c>
      <c r="I72" s="7" t="s">
        <v>12</v>
      </c>
      <c r="J72" s="0" t="s">
        <v>13</v>
      </c>
    </row>
    <row r="73" customFormat="false" ht="15" hidden="false" customHeight="false" outlineLevel="0" collapsed="false">
      <c r="A73" s="5" t="n">
        <v>44573</v>
      </c>
      <c r="B73" s="6" t="n">
        <v>0.524305555555556</v>
      </c>
      <c r="C73" s="7" t="n">
        <v>148306</v>
      </c>
      <c r="D73" s="7" t="s">
        <v>18</v>
      </c>
      <c r="E73" s="7" t="n">
        <v>2760</v>
      </c>
      <c r="F73" s="7" t="n">
        <v>2380</v>
      </c>
      <c r="G73" s="8" t="n">
        <v>380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44573</v>
      </c>
      <c r="B74" s="6" t="n">
        <v>0.545138888888889</v>
      </c>
      <c r="C74" s="7" t="n">
        <v>132381</v>
      </c>
      <c r="D74" s="7" t="s">
        <v>10</v>
      </c>
      <c r="E74" s="7" t="n">
        <v>3440</v>
      </c>
      <c r="F74" s="7" t="n">
        <v>2720</v>
      </c>
      <c r="G74" s="8" t="n">
        <v>720</v>
      </c>
      <c r="H74" s="7" t="s">
        <v>11</v>
      </c>
      <c r="I74" s="7" t="s">
        <v>20</v>
      </c>
      <c r="J74" s="0" t="s">
        <v>21</v>
      </c>
    </row>
    <row r="75" customFormat="false" ht="15" hidden="false" customHeight="false" outlineLevel="0" collapsed="false">
      <c r="A75" s="5" t="n">
        <v>44573</v>
      </c>
      <c r="B75" s="6" t="n">
        <v>0.528472222222222</v>
      </c>
      <c r="C75" s="7" t="n">
        <v>132378</v>
      </c>
      <c r="D75" s="7" t="s">
        <v>22</v>
      </c>
      <c r="E75" s="7" t="n">
        <v>7140</v>
      </c>
      <c r="F75" s="7" t="n">
        <v>7100</v>
      </c>
      <c r="G75" s="8" t="n">
        <v>40</v>
      </c>
      <c r="H75" s="7" t="s">
        <v>11</v>
      </c>
      <c r="I75" s="7" t="s">
        <v>23</v>
      </c>
      <c r="J75" s="0" t="s">
        <v>21</v>
      </c>
    </row>
    <row r="76" customFormat="false" ht="15" hidden="false" customHeight="false" outlineLevel="0" collapsed="false">
      <c r="A76" s="5" t="n">
        <v>44573</v>
      </c>
      <c r="B76" s="6" t="n">
        <v>0.528472222222222</v>
      </c>
      <c r="C76" s="7" t="n">
        <v>132377</v>
      </c>
      <c r="D76" s="7" t="s">
        <v>22</v>
      </c>
      <c r="E76" s="7" t="n">
        <v>7100</v>
      </c>
      <c r="F76" s="7" t="n">
        <v>5560</v>
      </c>
      <c r="G76" s="8" t="n">
        <v>1540</v>
      </c>
      <c r="H76" s="7" t="s">
        <v>11</v>
      </c>
      <c r="I76" s="7" t="s">
        <v>23</v>
      </c>
      <c r="J76" s="0" t="s">
        <v>21</v>
      </c>
    </row>
    <row r="77" customFormat="false" ht="15" hidden="false" customHeight="false" outlineLevel="0" collapsed="false">
      <c r="A77" s="5" t="n">
        <v>44573</v>
      </c>
      <c r="B77" s="6" t="n">
        <v>0.345138888888889</v>
      </c>
      <c r="C77" s="7" t="n">
        <v>132328</v>
      </c>
      <c r="D77" s="7" t="s">
        <v>22</v>
      </c>
      <c r="E77" s="7" t="n">
        <v>6620</v>
      </c>
      <c r="F77" s="7" t="n">
        <v>6580</v>
      </c>
      <c r="G77" s="8" t="n">
        <v>40</v>
      </c>
      <c r="H77" s="7" t="s">
        <v>11</v>
      </c>
      <c r="I77" s="7" t="s">
        <v>23</v>
      </c>
      <c r="J77" s="0" t="s">
        <v>21</v>
      </c>
    </row>
    <row r="78" customFormat="false" ht="15" hidden="false" customHeight="false" outlineLevel="0" collapsed="false">
      <c r="A78" s="5" t="n">
        <v>44573</v>
      </c>
      <c r="B78" s="6" t="n">
        <v>0.345138888888889</v>
      </c>
      <c r="C78" s="7" t="n">
        <v>132327</v>
      </c>
      <c r="D78" s="7" t="s">
        <v>22</v>
      </c>
      <c r="E78" s="7" t="n">
        <v>6580</v>
      </c>
      <c r="F78" s="7" t="n">
        <v>5580</v>
      </c>
      <c r="G78" s="8" t="n">
        <v>1000</v>
      </c>
      <c r="H78" s="7" t="s">
        <v>11</v>
      </c>
      <c r="I78" s="7" t="s">
        <v>23</v>
      </c>
      <c r="J78" s="0" t="s">
        <v>21</v>
      </c>
    </row>
    <row r="79" customFormat="false" ht="15" hidden="false" customHeight="false" outlineLevel="0" collapsed="false">
      <c r="A79" s="5" t="n">
        <v>44573</v>
      </c>
      <c r="B79" s="6" t="n">
        <v>0.547222222222222</v>
      </c>
      <c r="C79" s="7" t="n">
        <v>132383</v>
      </c>
      <c r="D79" s="7" t="s">
        <v>16</v>
      </c>
      <c r="E79" s="7" t="n">
        <v>3440</v>
      </c>
      <c r="F79" s="7" t="n">
        <v>2960</v>
      </c>
      <c r="G79" s="8" t="n">
        <v>480</v>
      </c>
      <c r="H79" s="7" t="s">
        <v>11</v>
      </c>
      <c r="I79" s="7" t="s">
        <v>20</v>
      </c>
      <c r="J79" s="0" t="s">
        <v>21</v>
      </c>
    </row>
    <row r="80" customFormat="false" ht="15" hidden="false" customHeight="false" outlineLevel="0" collapsed="false">
      <c r="A80" s="5" t="n">
        <v>44574</v>
      </c>
      <c r="B80" s="6" t="n">
        <v>0.264583333333333</v>
      </c>
      <c r="C80" s="7" t="n">
        <v>148326</v>
      </c>
      <c r="D80" s="7" t="s">
        <v>17</v>
      </c>
      <c r="E80" s="7" t="n">
        <v>4080</v>
      </c>
      <c r="F80" s="7" t="n">
        <v>3780</v>
      </c>
      <c r="G80" s="8" t="n">
        <v>300</v>
      </c>
      <c r="H80" s="7" t="s">
        <v>11</v>
      </c>
      <c r="I80" s="7" t="s">
        <v>12</v>
      </c>
      <c r="J80" s="0" t="s">
        <v>13</v>
      </c>
    </row>
    <row r="81" customFormat="false" ht="15" hidden="false" customHeight="false" outlineLevel="0" collapsed="false">
      <c r="A81" s="5" t="n">
        <v>44574</v>
      </c>
      <c r="B81" s="6" t="n">
        <v>0.240972222222222</v>
      </c>
      <c r="C81" s="7" t="n">
        <v>148322</v>
      </c>
      <c r="D81" s="7" t="s">
        <v>14</v>
      </c>
      <c r="E81" s="7" t="n">
        <v>25960</v>
      </c>
      <c r="F81" s="7" t="n">
        <v>15820</v>
      </c>
      <c r="G81" s="8" t="n">
        <v>10140</v>
      </c>
      <c r="H81" s="7" t="s">
        <v>11</v>
      </c>
      <c r="I81" s="7" t="s">
        <v>12</v>
      </c>
      <c r="J81" s="0" t="s">
        <v>13</v>
      </c>
    </row>
    <row r="82" customFormat="false" ht="15" hidden="false" customHeight="false" outlineLevel="0" collapsed="false">
      <c r="A82" s="5" t="n">
        <v>44574</v>
      </c>
      <c r="B82" s="6" t="n">
        <v>0.160416666666667</v>
      </c>
      <c r="C82" s="7" t="n">
        <v>148319</v>
      </c>
      <c r="D82" s="7" t="s">
        <v>15</v>
      </c>
      <c r="E82" s="7" t="n">
        <v>16800</v>
      </c>
      <c r="F82" s="7" t="n">
        <v>12820</v>
      </c>
      <c r="G82" s="8" t="n">
        <v>3980</v>
      </c>
      <c r="H82" s="7" t="s">
        <v>11</v>
      </c>
      <c r="I82" s="7" t="s">
        <v>12</v>
      </c>
      <c r="J82" s="0" t="s">
        <v>13</v>
      </c>
    </row>
    <row r="83" customFormat="false" ht="15" hidden="false" customHeight="false" outlineLevel="0" collapsed="false">
      <c r="A83" s="5" t="n">
        <v>44572</v>
      </c>
      <c r="B83" s="6" t="n">
        <v>0.547916666666667</v>
      </c>
      <c r="C83" s="7" t="n">
        <v>132296</v>
      </c>
      <c r="D83" s="7" t="s">
        <v>16</v>
      </c>
      <c r="E83" s="7" t="n">
        <v>3760</v>
      </c>
      <c r="F83" s="7" t="n">
        <v>2880</v>
      </c>
      <c r="G83" s="8" t="n">
        <v>880</v>
      </c>
      <c r="H83" s="7" t="s">
        <v>11</v>
      </c>
      <c r="I83" s="7" t="s">
        <v>20</v>
      </c>
      <c r="J83" s="0" t="s">
        <v>21</v>
      </c>
    </row>
    <row r="84" customFormat="false" ht="15" hidden="false" customHeight="false" outlineLevel="0" collapsed="false">
      <c r="A84" s="5" t="n">
        <v>44574</v>
      </c>
      <c r="B84" s="6" t="n">
        <v>0.481944444444444</v>
      </c>
      <c r="C84" s="7" t="n">
        <v>132434</v>
      </c>
      <c r="D84" s="7" t="s">
        <v>10</v>
      </c>
      <c r="E84" s="7" t="n">
        <v>3500</v>
      </c>
      <c r="F84" s="7" t="n">
        <v>2720</v>
      </c>
      <c r="G84" s="8" t="n">
        <v>780</v>
      </c>
      <c r="H84" s="7" t="s">
        <v>11</v>
      </c>
      <c r="I84" s="7" t="s">
        <v>20</v>
      </c>
      <c r="J84" s="0" t="s">
        <v>21</v>
      </c>
    </row>
    <row r="85" customFormat="false" ht="15" hidden="false" customHeight="false" outlineLevel="0" collapsed="false">
      <c r="A85" s="5" t="n">
        <v>44574</v>
      </c>
      <c r="B85" s="6" t="n">
        <v>0.545833333333333</v>
      </c>
      <c r="C85" s="7" t="n">
        <v>132449</v>
      </c>
      <c r="D85" s="7" t="s">
        <v>10</v>
      </c>
      <c r="E85" s="7" t="n">
        <v>3320</v>
      </c>
      <c r="F85" s="7" t="n">
        <v>2800</v>
      </c>
      <c r="G85" s="8" t="n">
        <v>520</v>
      </c>
      <c r="H85" s="7" t="s">
        <v>11</v>
      </c>
      <c r="I85" s="7" t="s">
        <v>20</v>
      </c>
      <c r="J85" s="0" t="s">
        <v>21</v>
      </c>
    </row>
    <row r="86" customFormat="false" ht="15" hidden="false" customHeight="false" outlineLevel="0" collapsed="false">
      <c r="A86" s="5" t="n">
        <v>44574</v>
      </c>
      <c r="B86" s="6" t="n">
        <v>0.524305555555556</v>
      </c>
      <c r="C86" s="7" t="n">
        <v>148339</v>
      </c>
      <c r="D86" s="7" t="s">
        <v>16</v>
      </c>
      <c r="E86" s="7" t="n">
        <v>3500</v>
      </c>
      <c r="F86" s="7" t="n">
        <v>2860</v>
      </c>
      <c r="G86" s="8" t="n">
        <v>640</v>
      </c>
      <c r="H86" s="7" t="s">
        <v>11</v>
      </c>
      <c r="I86" s="7" t="s">
        <v>12</v>
      </c>
      <c r="J86" s="0" t="s">
        <v>13</v>
      </c>
    </row>
    <row r="87" customFormat="false" ht="15" hidden="false" customHeight="false" outlineLevel="0" collapsed="false">
      <c r="A87" s="5" t="n">
        <v>44575</v>
      </c>
      <c r="B87" s="6" t="n">
        <v>0.161805555555556</v>
      </c>
      <c r="C87" s="7" t="n">
        <v>148349</v>
      </c>
      <c r="D87" s="7" t="s">
        <v>15</v>
      </c>
      <c r="E87" s="7" t="n">
        <v>17160</v>
      </c>
      <c r="F87" s="7" t="n">
        <v>12680</v>
      </c>
      <c r="G87" s="8" t="n">
        <v>4480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44575</v>
      </c>
      <c r="B88" s="6" t="n">
        <v>0.236805555555556</v>
      </c>
      <c r="C88" s="7" t="n">
        <v>148354</v>
      </c>
      <c r="D88" s="7" t="s">
        <v>14</v>
      </c>
      <c r="E88" s="7" t="n">
        <v>23000</v>
      </c>
      <c r="F88" s="7" t="n">
        <v>15720</v>
      </c>
      <c r="G88" s="8" t="n">
        <v>7280</v>
      </c>
      <c r="H88" s="7" t="s">
        <v>11</v>
      </c>
      <c r="I88" s="7" t="s">
        <v>12</v>
      </c>
      <c r="J88" s="0" t="s">
        <v>13</v>
      </c>
    </row>
    <row r="89" customFormat="false" ht="15" hidden="false" customHeight="false" outlineLevel="0" collapsed="false">
      <c r="A89" s="5" t="n">
        <v>44575</v>
      </c>
      <c r="B89" s="6" t="n">
        <v>0.260416666666667</v>
      </c>
      <c r="C89" s="7" t="n">
        <v>148357</v>
      </c>
      <c r="D89" s="7" t="s">
        <v>17</v>
      </c>
      <c r="E89" s="7" t="n">
        <v>4120</v>
      </c>
      <c r="F89" s="7" t="n">
        <v>3740</v>
      </c>
      <c r="G89" s="8" t="n">
        <v>380</v>
      </c>
      <c r="H89" s="7" t="s">
        <v>11</v>
      </c>
      <c r="I89" s="7" t="s">
        <v>12</v>
      </c>
      <c r="J89" s="0" t="s">
        <v>13</v>
      </c>
    </row>
    <row r="90" customFormat="false" ht="15" hidden="false" customHeight="false" outlineLevel="0" collapsed="false">
      <c r="A90" s="5" t="n">
        <v>44575</v>
      </c>
      <c r="B90" s="6" t="n">
        <v>0.434027777777778</v>
      </c>
      <c r="C90" s="7" t="n">
        <v>132495</v>
      </c>
      <c r="D90" s="7" t="s">
        <v>16</v>
      </c>
      <c r="E90" s="7" t="n">
        <v>3660</v>
      </c>
      <c r="F90" s="7" t="n">
        <v>2880</v>
      </c>
      <c r="G90" s="8" t="n">
        <v>780</v>
      </c>
      <c r="H90" s="7" t="s">
        <v>11</v>
      </c>
      <c r="I90" s="7" t="s">
        <v>20</v>
      </c>
      <c r="J90" s="0" t="s">
        <v>21</v>
      </c>
    </row>
    <row r="91" customFormat="false" ht="15" hidden="false" customHeight="false" outlineLevel="0" collapsed="false">
      <c r="A91" s="5" t="n">
        <v>44575</v>
      </c>
      <c r="B91" s="6" t="n">
        <v>0.544444444444444</v>
      </c>
      <c r="C91" s="7" t="n">
        <v>132519</v>
      </c>
      <c r="D91" s="7" t="s">
        <v>16</v>
      </c>
      <c r="E91" s="7" t="n">
        <v>3520</v>
      </c>
      <c r="F91" s="7" t="n">
        <v>2880</v>
      </c>
      <c r="G91" s="8" t="n">
        <v>640</v>
      </c>
      <c r="H91" s="7" t="s">
        <v>11</v>
      </c>
      <c r="I91" s="7" t="s">
        <v>20</v>
      </c>
      <c r="J91" s="0" t="s">
        <v>21</v>
      </c>
    </row>
    <row r="92" customFormat="false" ht="15" hidden="false" customHeight="false" outlineLevel="0" collapsed="false">
      <c r="A92" s="5" t="n">
        <v>44575</v>
      </c>
      <c r="B92" s="6" t="n">
        <v>0.343055555555555</v>
      </c>
      <c r="C92" s="7" t="n">
        <v>132472</v>
      </c>
      <c r="D92" s="7" t="s">
        <v>10</v>
      </c>
      <c r="E92" s="7" t="n">
        <v>3280</v>
      </c>
      <c r="F92" s="7" t="n">
        <v>2700</v>
      </c>
      <c r="G92" s="8" t="n">
        <v>580</v>
      </c>
      <c r="H92" s="7" t="s">
        <v>11</v>
      </c>
      <c r="I92" s="7" t="s">
        <v>20</v>
      </c>
      <c r="J92" s="0" t="s">
        <v>21</v>
      </c>
    </row>
    <row r="93" customFormat="false" ht="15" hidden="false" customHeight="false" outlineLevel="0" collapsed="false">
      <c r="A93" s="5" t="n">
        <v>44575</v>
      </c>
      <c r="B93" s="6" t="n">
        <v>0.545138888888889</v>
      </c>
      <c r="C93" s="7" t="n">
        <v>132520</v>
      </c>
      <c r="D93" s="7" t="s">
        <v>10</v>
      </c>
      <c r="E93" s="7" t="n">
        <v>3320</v>
      </c>
      <c r="F93" s="7" t="n">
        <v>2700</v>
      </c>
      <c r="G93" s="8" t="n">
        <v>620</v>
      </c>
      <c r="H93" s="7" t="s">
        <v>11</v>
      </c>
      <c r="I93" s="7" t="s">
        <v>20</v>
      </c>
      <c r="J93" s="0" t="s">
        <v>21</v>
      </c>
    </row>
    <row r="94" customFormat="false" ht="15" hidden="false" customHeight="false" outlineLevel="0" collapsed="false">
      <c r="A94" s="5" t="n">
        <v>44575</v>
      </c>
      <c r="B94" s="6" t="n">
        <v>0.5</v>
      </c>
      <c r="C94" s="7" t="n">
        <v>2468</v>
      </c>
      <c r="D94" s="7" t="s">
        <v>14</v>
      </c>
      <c r="E94" s="7" t="n">
        <v>17580</v>
      </c>
      <c r="F94" s="7" t="n">
        <v>15760</v>
      </c>
      <c r="G94" s="8" t="n">
        <v>1820</v>
      </c>
      <c r="H94" s="7" t="s">
        <v>11</v>
      </c>
      <c r="I94" s="5" t="s">
        <v>24</v>
      </c>
      <c r="J94" s="0" t="s">
        <v>21</v>
      </c>
    </row>
    <row r="95" customFormat="false" ht="15" hidden="false" customHeight="false" outlineLevel="0" collapsed="false">
      <c r="A95" s="5" t="n">
        <v>44576</v>
      </c>
      <c r="B95" s="6" t="n">
        <v>0.461111111111111</v>
      </c>
      <c r="C95" s="7" t="n">
        <v>148403</v>
      </c>
      <c r="D95" s="7" t="s">
        <v>18</v>
      </c>
      <c r="E95" s="7" t="n">
        <v>2760</v>
      </c>
      <c r="F95" s="7" t="n">
        <v>2380</v>
      </c>
      <c r="G95" s="8" t="n">
        <v>380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44576</v>
      </c>
      <c r="B96" s="6" t="n">
        <v>0.150694444444444</v>
      </c>
      <c r="C96" s="7" t="n">
        <v>148390</v>
      </c>
      <c r="D96" s="7" t="s">
        <v>15</v>
      </c>
      <c r="E96" s="7" t="n">
        <v>16820</v>
      </c>
      <c r="F96" s="7" t="n">
        <v>12740</v>
      </c>
      <c r="G96" s="8" t="n">
        <v>4080</v>
      </c>
      <c r="H96" s="7" t="s">
        <v>11</v>
      </c>
      <c r="I96" s="7" t="s">
        <v>12</v>
      </c>
      <c r="J96" s="0" t="s">
        <v>13</v>
      </c>
    </row>
    <row r="97" customFormat="false" ht="15" hidden="false" customHeight="false" outlineLevel="0" collapsed="false">
      <c r="A97" s="5" t="n">
        <v>44576</v>
      </c>
      <c r="B97" s="6" t="n">
        <v>0.261805555555556</v>
      </c>
      <c r="C97" s="7" t="n">
        <v>148398</v>
      </c>
      <c r="D97" s="7" t="s">
        <v>17</v>
      </c>
      <c r="E97" s="7" t="n">
        <v>4080</v>
      </c>
      <c r="F97" s="7" t="n">
        <v>3780</v>
      </c>
      <c r="G97" s="8" t="n">
        <v>300</v>
      </c>
      <c r="H97" s="7" t="s">
        <v>11</v>
      </c>
      <c r="I97" s="7" t="s">
        <v>12</v>
      </c>
      <c r="J97" s="0" t="s">
        <v>13</v>
      </c>
    </row>
    <row r="98" customFormat="false" ht="15" hidden="false" customHeight="false" outlineLevel="0" collapsed="false">
      <c r="A98" s="5" t="n">
        <v>44576</v>
      </c>
      <c r="B98" s="6" t="n">
        <v>0.235416666666667</v>
      </c>
      <c r="C98" s="7" t="n">
        <v>148395</v>
      </c>
      <c r="D98" s="7" t="s">
        <v>14</v>
      </c>
      <c r="E98" s="7" t="n">
        <v>24760</v>
      </c>
      <c r="F98" s="7" t="n">
        <v>15860</v>
      </c>
      <c r="G98" s="8" t="n">
        <v>8900</v>
      </c>
      <c r="H98" s="7" t="s">
        <v>11</v>
      </c>
      <c r="I98" s="7" t="s">
        <v>12</v>
      </c>
      <c r="J98" s="0" t="s">
        <v>13</v>
      </c>
    </row>
    <row r="99" customFormat="false" ht="15" hidden="false" customHeight="false" outlineLevel="0" collapsed="false">
      <c r="A99" s="5" t="n">
        <v>44577</v>
      </c>
      <c r="B99" s="6" t="n">
        <v>0.176388888888889</v>
      </c>
      <c r="C99" s="7" t="n">
        <v>148414</v>
      </c>
      <c r="D99" s="7" t="s">
        <v>17</v>
      </c>
      <c r="E99" s="7" t="n">
        <v>4180</v>
      </c>
      <c r="F99" s="7" t="n">
        <v>3820</v>
      </c>
      <c r="G99" s="8" t="n">
        <v>360</v>
      </c>
      <c r="H99" s="7" t="s">
        <v>11</v>
      </c>
      <c r="I99" s="7" t="s">
        <v>12</v>
      </c>
      <c r="J99" s="0" t="s">
        <v>13</v>
      </c>
    </row>
    <row r="100" customFormat="false" ht="15" hidden="false" customHeight="false" outlineLevel="0" collapsed="false">
      <c r="A100" s="5" t="n">
        <v>44577</v>
      </c>
      <c r="B100" s="6" t="n">
        <v>0.0708333333333333</v>
      </c>
      <c r="C100" s="7" t="n">
        <v>148407</v>
      </c>
      <c r="D100" s="7" t="s">
        <v>15</v>
      </c>
      <c r="E100" s="7" t="n">
        <v>16980</v>
      </c>
      <c r="F100" s="7" t="n">
        <v>12960</v>
      </c>
      <c r="G100" s="8" t="n">
        <v>4020</v>
      </c>
      <c r="H100" s="7" t="s">
        <v>11</v>
      </c>
      <c r="I100" s="7" t="s">
        <v>12</v>
      </c>
      <c r="J100" s="0" t="s">
        <v>13</v>
      </c>
    </row>
    <row r="101" customFormat="false" ht="15" hidden="false" customHeight="false" outlineLevel="0" collapsed="false">
      <c r="A101" s="5" t="n">
        <v>44577</v>
      </c>
      <c r="B101" s="6" t="n">
        <v>0.180555555555556</v>
      </c>
      <c r="C101" s="7" t="n">
        <v>148415</v>
      </c>
      <c r="D101" s="7" t="s">
        <v>14</v>
      </c>
      <c r="E101" s="7" t="n">
        <v>24440</v>
      </c>
      <c r="F101" s="7" t="n">
        <v>15780</v>
      </c>
      <c r="G101" s="8" t="n">
        <v>8660</v>
      </c>
      <c r="H101" s="7" t="s">
        <v>11</v>
      </c>
      <c r="I101" s="7" t="s">
        <v>12</v>
      </c>
      <c r="J101" s="0" t="s">
        <v>13</v>
      </c>
    </row>
    <row r="102" customFormat="false" ht="15" hidden="false" customHeight="false" outlineLevel="0" collapsed="false">
      <c r="A102" s="5" t="n">
        <v>44577</v>
      </c>
      <c r="B102" s="6" t="n">
        <v>0.502083333333333</v>
      </c>
      <c r="C102" s="7" t="n">
        <v>148420</v>
      </c>
      <c r="D102" s="7" t="s">
        <v>18</v>
      </c>
      <c r="E102" s="7" t="n">
        <v>2680</v>
      </c>
      <c r="F102" s="7" t="n">
        <v>2400</v>
      </c>
      <c r="G102" s="8" t="n">
        <v>280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44578</v>
      </c>
      <c r="B103" s="6" t="n">
        <v>0.11875</v>
      </c>
      <c r="C103" s="7" t="n">
        <v>148425</v>
      </c>
      <c r="D103" s="7" t="s">
        <v>15</v>
      </c>
      <c r="E103" s="7" t="n">
        <v>16140</v>
      </c>
      <c r="F103" s="7" t="n">
        <v>12900</v>
      </c>
      <c r="G103" s="8" t="n">
        <v>3240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44578</v>
      </c>
      <c r="B104" s="6" t="n">
        <v>0.21875</v>
      </c>
      <c r="C104" s="7" t="n">
        <v>148431</v>
      </c>
      <c r="D104" s="7" t="s">
        <v>14</v>
      </c>
      <c r="E104" s="7" t="n">
        <v>24420</v>
      </c>
      <c r="F104" s="7" t="n">
        <v>15880</v>
      </c>
      <c r="G104" s="8" t="n">
        <v>8540</v>
      </c>
      <c r="H104" s="7" t="s">
        <v>11</v>
      </c>
      <c r="I104" s="7" t="s">
        <v>12</v>
      </c>
      <c r="J104" s="0" t="s">
        <v>13</v>
      </c>
    </row>
    <row r="105" customFormat="false" ht="15" hidden="false" customHeight="false" outlineLevel="0" collapsed="false">
      <c r="A105" s="5" t="n">
        <v>44578</v>
      </c>
      <c r="B105" s="6" t="n">
        <v>0.258333333333333</v>
      </c>
      <c r="C105" s="7" t="n">
        <v>148435</v>
      </c>
      <c r="D105" s="7" t="s">
        <v>17</v>
      </c>
      <c r="E105" s="7" t="n">
        <v>4140</v>
      </c>
      <c r="F105" s="7" t="n">
        <v>3800</v>
      </c>
      <c r="G105" s="8" t="n">
        <v>340</v>
      </c>
      <c r="H105" s="7" t="s">
        <v>11</v>
      </c>
      <c r="I105" s="7" t="s">
        <v>12</v>
      </c>
      <c r="J105" s="0" t="s">
        <v>13</v>
      </c>
    </row>
    <row r="106" customFormat="false" ht="15" hidden="false" customHeight="false" outlineLevel="0" collapsed="false">
      <c r="A106" s="5" t="n">
        <v>44578</v>
      </c>
      <c r="B106" s="6" t="n">
        <v>0.506944444444444</v>
      </c>
      <c r="C106" s="7" t="n">
        <v>148455</v>
      </c>
      <c r="D106" s="7" t="s">
        <v>18</v>
      </c>
      <c r="E106" s="7" t="n">
        <v>2700</v>
      </c>
      <c r="F106" s="7" t="n">
        <v>2400</v>
      </c>
      <c r="G106" s="8" t="n">
        <v>300</v>
      </c>
      <c r="H106" s="7" t="s">
        <v>11</v>
      </c>
      <c r="I106" s="7" t="s">
        <v>12</v>
      </c>
      <c r="J106" s="0" t="s">
        <v>13</v>
      </c>
    </row>
    <row r="107" customFormat="false" ht="15" hidden="false" customHeight="false" outlineLevel="0" collapsed="false">
      <c r="A107" s="5" t="n">
        <v>44578</v>
      </c>
      <c r="B107" s="6" t="n">
        <v>0.539583333333333</v>
      </c>
      <c r="C107" s="7" t="n">
        <v>132630</v>
      </c>
      <c r="D107" s="7" t="s">
        <v>16</v>
      </c>
      <c r="E107" s="7" t="n">
        <v>3520</v>
      </c>
      <c r="F107" s="7" t="n">
        <v>2880</v>
      </c>
      <c r="G107" s="8" t="n">
        <v>640</v>
      </c>
      <c r="H107" s="7" t="s">
        <v>11</v>
      </c>
      <c r="I107" s="7" t="s">
        <v>20</v>
      </c>
      <c r="J107" s="0" t="s">
        <v>21</v>
      </c>
    </row>
    <row r="108" customFormat="false" ht="15" hidden="false" customHeight="false" outlineLevel="0" collapsed="false">
      <c r="A108" s="5" t="n">
        <v>44578</v>
      </c>
      <c r="B108" s="6" t="n">
        <v>0.334027777777778</v>
      </c>
      <c r="C108" s="7" t="n">
        <v>132572</v>
      </c>
      <c r="D108" s="7" t="s">
        <v>16</v>
      </c>
      <c r="E108" s="7" t="n">
        <v>3060</v>
      </c>
      <c r="F108" s="7" t="n">
        <v>3040</v>
      </c>
      <c r="G108" s="8" t="n">
        <v>20</v>
      </c>
      <c r="H108" s="7" t="s">
        <v>11</v>
      </c>
      <c r="I108" s="7" t="s">
        <v>23</v>
      </c>
      <c r="J108" s="0" t="s">
        <v>21</v>
      </c>
    </row>
    <row r="109" customFormat="false" ht="15" hidden="false" customHeight="false" outlineLevel="0" collapsed="false">
      <c r="A109" s="5" t="n">
        <v>44578</v>
      </c>
      <c r="B109" s="6" t="n">
        <v>0.334027777777778</v>
      </c>
      <c r="C109" s="7" t="n">
        <v>132571</v>
      </c>
      <c r="D109" s="7" t="s">
        <v>16</v>
      </c>
      <c r="E109" s="7" t="n">
        <v>3040</v>
      </c>
      <c r="F109" s="7" t="n">
        <v>2880</v>
      </c>
      <c r="G109" s="8" t="n">
        <v>160</v>
      </c>
      <c r="H109" s="7" t="s">
        <v>11</v>
      </c>
      <c r="I109" s="7" t="s">
        <v>23</v>
      </c>
      <c r="J109" s="0" t="s">
        <v>21</v>
      </c>
    </row>
    <row r="110" customFormat="false" ht="15" hidden="false" customHeight="false" outlineLevel="0" collapsed="false">
      <c r="A110" s="5" t="n">
        <v>44578</v>
      </c>
      <c r="B110" s="6" t="n">
        <v>0.540277777777778</v>
      </c>
      <c r="C110" s="7" t="n">
        <v>132631</v>
      </c>
      <c r="D110" s="7" t="s">
        <v>10</v>
      </c>
      <c r="E110" s="7" t="n">
        <v>3340</v>
      </c>
      <c r="F110" s="7" t="n">
        <v>2680</v>
      </c>
      <c r="G110" s="8" t="n">
        <v>660</v>
      </c>
      <c r="H110" s="7" t="s">
        <v>11</v>
      </c>
      <c r="I110" s="7" t="s">
        <v>20</v>
      </c>
      <c r="J110" s="0" t="s">
        <v>21</v>
      </c>
    </row>
    <row r="111" customFormat="false" ht="15" hidden="false" customHeight="false" outlineLevel="0" collapsed="false">
      <c r="A111" s="5" t="n">
        <v>44578</v>
      </c>
      <c r="B111" s="6" t="n">
        <v>0.436805555555555</v>
      </c>
      <c r="C111" s="7" t="n">
        <v>132596</v>
      </c>
      <c r="D111" s="7" t="s">
        <v>10</v>
      </c>
      <c r="E111" s="7" t="n">
        <v>3320</v>
      </c>
      <c r="F111" s="7" t="n">
        <v>2680</v>
      </c>
      <c r="G111" s="8" t="n">
        <v>640</v>
      </c>
      <c r="H111" s="7" t="s">
        <v>11</v>
      </c>
      <c r="I111" s="7" t="s">
        <v>20</v>
      </c>
      <c r="J111" s="0" t="s">
        <v>21</v>
      </c>
    </row>
    <row r="112" customFormat="false" ht="15" hidden="false" customHeight="false" outlineLevel="0" collapsed="false">
      <c r="A112" s="5" t="n">
        <v>44578</v>
      </c>
      <c r="B112" s="6" t="n">
        <v>0.511111111111111</v>
      </c>
      <c r="C112" s="7" t="n">
        <v>132619</v>
      </c>
      <c r="D112" s="7" t="s">
        <v>14</v>
      </c>
      <c r="E112" s="7" t="n">
        <v>17260</v>
      </c>
      <c r="F112" s="7" t="n">
        <v>15720</v>
      </c>
      <c r="G112" s="8" t="n">
        <v>1540</v>
      </c>
      <c r="H112" s="7" t="s">
        <v>11</v>
      </c>
      <c r="I112" s="7" t="s">
        <v>19</v>
      </c>
      <c r="J112" s="0" t="s">
        <v>13</v>
      </c>
    </row>
    <row r="113" customFormat="false" ht="15" hidden="false" customHeight="false" outlineLevel="0" collapsed="false">
      <c r="A113" s="5" t="n">
        <v>44579</v>
      </c>
      <c r="B113" s="6" t="n">
        <v>0.257638888888889</v>
      </c>
      <c r="C113" s="7" t="n">
        <v>148477</v>
      </c>
      <c r="D113" s="7" t="s">
        <v>17</v>
      </c>
      <c r="E113" s="7" t="n">
        <v>4060</v>
      </c>
      <c r="F113" s="7" t="n">
        <v>3800</v>
      </c>
      <c r="G113" s="8" t="n">
        <v>260</v>
      </c>
      <c r="H113" s="7" t="s">
        <v>11</v>
      </c>
      <c r="I113" s="7" t="s">
        <v>12</v>
      </c>
      <c r="J113" s="0" t="s">
        <v>13</v>
      </c>
    </row>
    <row r="114" customFormat="false" ht="15" hidden="false" customHeight="false" outlineLevel="0" collapsed="false">
      <c r="A114" s="5" t="n">
        <v>44579</v>
      </c>
      <c r="B114" s="6" t="n">
        <v>0.259027777777778</v>
      </c>
      <c r="C114" s="7" t="n">
        <v>148478</v>
      </c>
      <c r="D114" s="7" t="s">
        <v>14</v>
      </c>
      <c r="E114" s="7" t="n">
        <v>23840</v>
      </c>
      <c r="F114" s="7" t="n">
        <v>15760</v>
      </c>
      <c r="G114" s="8" t="n">
        <v>8080</v>
      </c>
      <c r="H114" s="7" t="s">
        <v>11</v>
      </c>
      <c r="I114" s="7" t="s">
        <v>12</v>
      </c>
      <c r="J114" s="0" t="s">
        <v>13</v>
      </c>
    </row>
    <row r="115" customFormat="false" ht="15" hidden="false" customHeight="false" outlineLevel="0" collapsed="false">
      <c r="A115" s="5" t="n">
        <v>44579</v>
      </c>
      <c r="B115" s="6" t="n">
        <v>0.111111111111111</v>
      </c>
      <c r="C115" s="7" t="n">
        <v>148467</v>
      </c>
      <c r="D115" s="7" t="s">
        <v>15</v>
      </c>
      <c r="E115" s="7" t="n">
        <v>16420</v>
      </c>
      <c r="F115" s="7" t="n">
        <v>12880</v>
      </c>
      <c r="G115" s="8" t="n">
        <v>3540</v>
      </c>
      <c r="H115" s="7" t="s">
        <v>11</v>
      </c>
      <c r="I115" s="7" t="s">
        <v>12</v>
      </c>
      <c r="J115" s="0" t="s">
        <v>13</v>
      </c>
    </row>
    <row r="116" customFormat="false" ht="15" hidden="false" customHeight="false" outlineLevel="0" collapsed="false">
      <c r="A116" s="5" t="n">
        <v>44579</v>
      </c>
      <c r="B116" s="6" t="n">
        <v>0.531944444444445</v>
      </c>
      <c r="C116" s="7" t="n">
        <v>132702</v>
      </c>
      <c r="D116" s="7" t="s">
        <v>22</v>
      </c>
      <c r="E116" s="7" t="n">
        <v>6180</v>
      </c>
      <c r="F116" s="7" t="n">
        <v>6160</v>
      </c>
      <c r="G116" s="8" t="n">
        <v>20</v>
      </c>
      <c r="H116" s="7" t="s">
        <v>11</v>
      </c>
      <c r="I116" s="7" t="s">
        <v>23</v>
      </c>
      <c r="J116" s="0" t="s">
        <v>21</v>
      </c>
    </row>
    <row r="117" customFormat="false" ht="15" hidden="false" customHeight="false" outlineLevel="0" collapsed="false">
      <c r="A117" s="5" t="n">
        <v>44579</v>
      </c>
      <c r="B117" s="6" t="n">
        <v>0.531944444444445</v>
      </c>
      <c r="C117" s="7" t="n">
        <v>132701</v>
      </c>
      <c r="D117" s="7" t="s">
        <v>22</v>
      </c>
      <c r="E117" s="7" t="n">
        <v>6160</v>
      </c>
      <c r="F117" s="7" t="n">
        <v>5480</v>
      </c>
      <c r="G117" s="8" t="n">
        <v>680</v>
      </c>
      <c r="H117" s="7" t="s">
        <v>11</v>
      </c>
      <c r="I117" s="7" t="s">
        <v>23</v>
      </c>
      <c r="J117" s="0" t="s">
        <v>21</v>
      </c>
    </row>
    <row r="118" customFormat="false" ht="15" hidden="false" customHeight="false" outlineLevel="0" collapsed="false">
      <c r="A118" s="5" t="n">
        <v>44579</v>
      </c>
      <c r="B118" s="6" t="n">
        <v>0.3375</v>
      </c>
      <c r="C118" s="7" t="n">
        <v>132655</v>
      </c>
      <c r="D118" s="7" t="s">
        <v>10</v>
      </c>
      <c r="E118" s="7" t="n">
        <v>3340</v>
      </c>
      <c r="F118" s="7" t="n">
        <v>2680</v>
      </c>
      <c r="G118" s="8" t="n">
        <v>660</v>
      </c>
      <c r="H118" s="7" t="s">
        <v>11</v>
      </c>
      <c r="I118" s="7" t="s">
        <v>20</v>
      </c>
      <c r="J118" s="0" t="s">
        <v>21</v>
      </c>
    </row>
    <row r="119" customFormat="false" ht="15" hidden="false" customHeight="false" outlineLevel="0" collapsed="false">
      <c r="A119" s="5" t="n">
        <v>44579</v>
      </c>
      <c r="B119" s="6" t="n">
        <v>0.541666666666667</v>
      </c>
      <c r="C119" s="7" t="n">
        <v>132706</v>
      </c>
      <c r="D119" s="7" t="s">
        <v>10</v>
      </c>
      <c r="E119" s="7" t="n">
        <v>3320</v>
      </c>
      <c r="F119" s="7" t="n">
        <v>2680</v>
      </c>
      <c r="G119" s="8" t="n">
        <v>640</v>
      </c>
      <c r="H119" s="7" t="s">
        <v>11</v>
      </c>
      <c r="I119" s="7" t="s">
        <v>20</v>
      </c>
      <c r="J119" s="0" t="s">
        <v>21</v>
      </c>
    </row>
    <row r="120" customFormat="false" ht="15" hidden="false" customHeight="false" outlineLevel="0" collapsed="false">
      <c r="A120" s="5" t="n">
        <v>44579</v>
      </c>
      <c r="B120" s="6" t="n">
        <v>0.545833333333333</v>
      </c>
      <c r="C120" s="7" t="n">
        <v>132707</v>
      </c>
      <c r="D120" s="7" t="s">
        <v>16</v>
      </c>
      <c r="E120" s="7" t="n">
        <v>3040</v>
      </c>
      <c r="F120" s="7" t="n">
        <v>2880</v>
      </c>
      <c r="G120" s="8" t="n">
        <v>160</v>
      </c>
      <c r="H120" s="7" t="s">
        <v>11</v>
      </c>
      <c r="I120" s="7" t="s">
        <v>20</v>
      </c>
      <c r="J120" s="0" t="s">
        <v>21</v>
      </c>
    </row>
    <row r="121" customFormat="false" ht="15" hidden="false" customHeight="false" outlineLevel="0" collapsed="false">
      <c r="A121" s="5" t="n">
        <v>44579</v>
      </c>
      <c r="B121" s="6" t="n">
        <v>0.431944444444444</v>
      </c>
      <c r="C121" s="7" t="n">
        <v>132677</v>
      </c>
      <c r="D121" s="7" t="s">
        <v>16</v>
      </c>
      <c r="E121" s="7" t="n">
        <v>3520</v>
      </c>
      <c r="F121" s="7" t="n">
        <v>2880</v>
      </c>
      <c r="G121" s="8" t="n">
        <v>640</v>
      </c>
      <c r="H121" s="7" t="s">
        <v>11</v>
      </c>
      <c r="I121" s="7" t="s">
        <v>20</v>
      </c>
      <c r="J121" s="0" t="s">
        <v>21</v>
      </c>
    </row>
    <row r="122" customFormat="false" ht="15" hidden="false" customHeight="false" outlineLevel="0" collapsed="false">
      <c r="A122" s="5" t="n">
        <v>44580</v>
      </c>
      <c r="B122" s="6" t="n">
        <v>0.257638888888889</v>
      </c>
      <c r="C122" s="7" t="n">
        <v>148511</v>
      </c>
      <c r="D122" s="7" t="s">
        <v>17</v>
      </c>
      <c r="E122" s="7" t="n">
        <v>4100</v>
      </c>
      <c r="F122" s="7" t="n">
        <v>3800</v>
      </c>
      <c r="G122" s="8" t="n">
        <v>300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44580</v>
      </c>
      <c r="B123" s="6" t="n">
        <v>0.13125</v>
      </c>
      <c r="C123" s="7" t="n">
        <v>148505</v>
      </c>
      <c r="D123" s="7" t="s">
        <v>15</v>
      </c>
      <c r="E123" s="7" t="n">
        <v>17600</v>
      </c>
      <c r="F123" s="7" t="n">
        <v>12960</v>
      </c>
      <c r="G123" s="8" t="n">
        <v>4640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44580</v>
      </c>
      <c r="B124" s="6" t="n">
        <v>0.2625</v>
      </c>
      <c r="C124" s="7" t="n">
        <v>148512</v>
      </c>
      <c r="D124" s="7" t="s">
        <v>14</v>
      </c>
      <c r="E124" s="7" t="n">
        <v>25040</v>
      </c>
      <c r="F124" s="7" t="n">
        <v>15680</v>
      </c>
      <c r="G124" s="8" t="n">
        <v>9360</v>
      </c>
      <c r="H124" s="7" t="s">
        <v>11</v>
      </c>
      <c r="I124" s="7" t="s">
        <v>12</v>
      </c>
      <c r="J124" s="0" t="s">
        <v>13</v>
      </c>
    </row>
    <row r="125" customFormat="false" ht="15" hidden="false" customHeight="false" outlineLevel="0" collapsed="false">
      <c r="A125" s="5" t="n">
        <v>44580</v>
      </c>
      <c r="B125" s="6" t="n">
        <v>0.497222222222222</v>
      </c>
      <c r="C125" s="7" t="n">
        <v>148525</v>
      </c>
      <c r="D125" s="7" t="s">
        <v>18</v>
      </c>
      <c r="E125" s="7" t="n">
        <v>2640</v>
      </c>
      <c r="F125" s="7" t="n">
        <v>2380</v>
      </c>
      <c r="G125" s="8" t="n">
        <v>260</v>
      </c>
      <c r="H125" s="7" t="s">
        <v>11</v>
      </c>
      <c r="I125" s="7" t="s">
        <v>12</v>
      </c>
      <c r="J125" s="0" t="s">
        <v>13</v>
      </c>
    </row>
    <row r="126" customFormat="false" ht="15" hidden="false" customHeight="false" outlineLevel="0" collapsed="false">
      <c r="A126" s="5" t="n">
        <v>44580</v>
      </c>
      <c r="B126" s="6" t="n">
        <v>0.54375</v>
      </c>
      <c r="C126" s="7" t="n">
        <v>132784</v>
      </c>
      <c r="D126" s="7" t="s">
        <v>10</v>
      </c>
      <c r="E126" s="7" t="n">
        <v>3080</v>
      </c>
      <c r="F126" s="7" t="n">
        <v>2680</v>
      </c>
      <c r="G126" s="8" t="n">
        <v>400</v>
      </c>
      <c r="H126" s="7" t="s">
        <v>11</v>
      </c>
      <c r="I126" s="7" t="s">
        <v>20</v>
      </c>
      <c r="J126" s="0" t="s">
        <v>21</v>
      </c>
    </row>
    <row r="127" customFormat="false" ht="15" hidden="false" customHeight="false" outlineLevel="0" collapsed="false">
      <c r="A127" s="5" t="n">
        <v>44580</v>
      </c>
      <c r="B127" s="6" t="n">
        <v>0.456944444444444</v>
      </c>
      <c r="C127" s="7" t="n">
        <v>132756</v>
      </c>
      <c r="D127" s="7" t="s">
        <v>10</v>
      </c>
      <c r="E127" s="7" t="n">
        <v>3180</v>
      </c>
      <c r="F127" s="7" t="n">
        <v>2680</v>
      </c>
      <c r="G127" s="8" t="n">
        <v>500</v>
      </c>
      <c r="H127" s="7" t="s">
        <v>11</v>
      </c>
      <c r="I127" s="7" t="s">
        <v>20</v>
      </c>
      <c r="J127" s="0" t="s">
        <v>21</v>
      </c>
    </row>
    <row r="128" customFormat="false" ht="15" hidden="false" customHeight="false" outlineLevel="0" collapsed="false">
      <c r="A128" s="5" t="n">
        <v>44580</v>
      </c>
      <c r="B128" s="6" t="n">
        <v>0.544444444444444</v>
      </c>
      <c r="C128" s="7" t="n">
        <v>132785</v>
      </c>
      <c r="D128" s="7" t="s">
        <v>16</v>
      </c>
      <c r="E128" s="7" t="n">
        <v>3440</v>
      </c>
      <c r="F128" s="7" t="n">
        <v>2880</v>
      </c>
      <c r="G128" s="8" t="n">
        <v>560</v>
      </c>
      <c r="H128" s="7" t="s">
        <v>11</v>
      </c>
      <c r="I128" s="7" t="s">
        <v>20</v>
      </c>
      <c r="J128" s="0" t="s">
        <v>21</v>
      </c>
    </row>
    <row r="129" customFormat="false" ht="15" hidden="false" customHeight="false" outlineLevel="0" collapsed="false">
      <c r="A129" s="5" t="n">
        <v>44580</v>
      </c>
      <c r="B129" s="6" t="n">
        <v>0.434722222222222</v>
      </c>
      <c r="C129" s="7" t="n">
        <v>132742</v>
      </c>
      <c r="D129" s="7" t="s">
        <v>16</v>
      </c>
      <c r="E129" s="7" t="n">
        <v>3400</v>
      </c>
      <c r="F129" s="7" t="n">
        <v>2880</v>
      </c>
      <c r="G129" s="8" t="n">
        <v>520</v>
      </c>
      <c r="H129" s="7" t="s">
        <v>11</v>
      </c>
      <c r="I129" s="7" t="s">
        <v>20</v>
      </c>
      <c r="J129" s="0" t="s">
        <v>21</v>
      </c>
    </row>
    <row r="130" customFormat="false" ht="15" hidden="false" customHeight="false" outlineLevel="0" collapsed="false">
      <c r="A130" s="5" t="n">
        <v>44580</v>
      </c>
      <c r="B130" s="6" t="n">
        <v>0.540972222222222</v>
      </c>
      <c r="C130" s="7" t="n">
        <v>132783</v>
      </c>
      <c r="D130" s="7" t="s">
        <v>22</v>
      </c>
      <c r="E130" s="7" t="n">
        <v>6500</v>
      </c>
      <c r="F130" s="7" t="n">
        <v>6480</v>
      </c>
      <c r="G130" s="8" t="n">
        <v>20</v>
      </c>
      <c r="H130" s="7" t="s">
        <v>11</v>
      </c>
      <c r="I130" s="7" t="s">
        <v>23</v>
      </c>
      <c r="J130" s="0" t="s">
        <v>21</v>
      </c>
    </row>
    <row r="131" customFormat="false" ht="15" hidden="false" customHeight="false" outlineLevel="0" collapsed="false">
      <c r="A131" s="5" t="n">
        <v>44580</v>
      </c>
      <c r="B131" s="6" t="n">
        <v>0.540972222222222</v>
      </c>
      <c r="C131" s="7" t="n">
        <v>132782</v>
      </c>
      <c r="D131" s="7" t="s">
        <v>22</v>
      </c>
      <c r="E131" s="7" t="n">
        <v>6480</v>
      </c>
      <c r="F131" s="7" t="n">
        <v>5700</v>
      </c>
      <c r="G131" s="8" t="n">
        <v>780</v>
      </c>
      <c r="H131" s="7" t="s">
        <v>11</v>
      </c>
      <c r="I131" s="7" t="s">
        <v>23</v>
      </c>
      <c r="J131" s="0" t="s">
        <v>21</v>
      </c>
    </row>
    <row r="132" customFormat="false" ht="15" hidden="false" customHeight="false" outlineLevel="0" collapsed="false">
      <c r="A132" s="5" t="n">
        <v>44580</v>
      </c>
      <c r="B132" s="6" t="n">
        <v>0.443055555555556</v>
      </c>
      <c r="C132" s="7" t="n">
        <v>132746</v>
      </c>
      <c r="D132" s="7" t="s">
        <v>22</v>
      </c>
      <c r="E132" s="7" t="n">
        <v>6800</v>
      </c>
      <c r="F132" s="7" t="n">
        <v>6700</v>
      </c>
      <c r="G132" s="8" t="n">
        <v>100</v>
      </c>
      <c r="H132" s="7" t="s">
        <v>11</v>
      </c>
      <c r="I132" s="7" t="s">
        <v>23</v>
      </c>
      <c r="J132" s="0" t="s">
        <v>21</v>
      </c>
    </row>
    <row r="133" customFormat="false" ht="15" hidden="false" customHeight="false" outlineLevel="0" collapsed="false">
      <c r="A133" s="5" t="n">
        <v>44580</v>
      </c>
      <c r="B133" s="6" t="n">
        <v>0.443055555555556</v>
      </c>
      <c r="C133" s="7" t="n">
        <v>132745</v>
      </c>
      <c r="D133" s="7" t="s">
        <v>22</v>
      </c>
      <c r="E133" s="7" t="n">
        <v>6700</v>
      </c>
      <c r="F133" s="7" t="n">
        <v>5640</v>
      </c>
      <c r="G133" s="8" t="n">
        <v>1060</v>
      </c>
      <c r="H133" s="7" t="s">
        <v>11</v>
      </c>
      <c r="I133" s="7" t="s">
        <v>23</v>
      </c>
      <c r="J133" s="0" t="s">
        <v>21</v>
      </c>
    </row>
    <row r="134" customFormat="false" ht="15" hidden="false" customHeight="false" outlineLevel="0" collapsed="false">
      <c r="A134" s="5" t="n">
        <v>44581</v>
      </c>
      <c r="B134" s="6" t="n">
        <v>0.222916666666667</v>
      </c>
      <c r="C134" s="7" t="n">
        <v>148544</v>
      </c>
      <c r="D134" s="7" t="s">
        <v>17</v>
      </c>
      <c r="E134" s="7" t="n">
        <v>4060</v>
      </c>
      <c r="F134" s="7" t="n">
        <v>3800</v>
      </c>
      <c r="G134" s="8" t="n">
        <v>260</v>
      </c>
      <c r="H134" s="7" t="s">
        <v>11</v>
      </c>
      <c r="I134" s="7" t="s">
        <v>12</v>
      </c>
      <c r="J134" s="0" t="s">
        <v>13</v>
      </c>
    </row>
    <row r="135" customFormat="false" ht="15" hidden="false" customHeight="false" outlineLevel="0" collapsed="false">
      <c r="A135" s="5" t="n">
        <v>44581</v>
      </c>
      <c r="B135" s="6" t="n">
        <v>0.160416666666667</v>
      </c>
      <c r="C135" s="7" t="n">
        <v>148540</v>
      </c>
      <c r="D135" s="7" t="s">
        <v>15</v>
      </c>
      <c r="E135" s="7" t="n">
        <v>16180</v>
      </c>
      <c r="F135" s="7" t="n">
        <v>12680</v>
      </c>
      <c r="G135" s="8" t="n">
        <v>3500</v>
      </c>
      <c r="H135" s="7" t="s">
        <v>11</v>
      </c>
      <c r="I135" s="7" t="s">
        <v>12</v>
      </c>
      <c r="J135" s="0" t="s">
        <v>13</v>
      </c>
    </row>
    <row r="136" customFormat="false" ht="15" hidden="false" customHeight="false" outlineLevel="0" collapsed="false">
      <c r="A136" s="5" t="n">
        <v>44581</v>
      </c>
      <c r="B136" s="6" t="n">
        <v>0.257638888888889</v>
      </c>
      <c r="C136" s="7" t="n">
        <v>148547</v>
      </c>
      <c r="D136" s="7" t="s">
        <v>14</v>
      </c>
      <c r="E136" s="7" t="n">
        <v>23580</v>
      </c>
      <c r="F136" s="7" t="n">
        <v>15820</v>
      </c>
      <c r="G136" s="8" t="n">
        <v>7760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44581</v>
      </c>
      <c r="B137" s="6" t="n">
        <v>0.448611111111111</v>
      </c>
      <c r="C137" s="7" t="n">
        <v>132875</v>
      </c>
      <c r="D137" s="7" t="s">
        <v>22</v>
      </c>
      <c r="E137" s="7" t="n">
        <v>6280</v>
      </c>
      <c r="F137" s="7" t="n">
        <v>6260</v>
      </c>
      <c r="G137" s="8" t="n">
        <v>20</v>
      </c>
      <c r="H137" s="7" t="s">
        <v>11</v>
      </c>
      <c r="I137" s="7" t="s">
        <v>23</v>
      </c>
      <c r="J137" s="0" t="s">
        <v>21</v>
      </c>
    </row>
    <row r="138" customFormat="false" ht="15" hidden="false" customHeight="false" outlineLevel="0" collapsed="false">
      <c r="A138" s="5" t="n">
        <v>44581</v>
      </c>
      <c r="B138" s="6" t="n">
        <v>0.448611111111111</v>
      </c>
      <c r="C138" s="7" t="n">
        <v>132874</v>
      </c>
      <c r="D138" s="7" t="s">
        <v>22</v>
      </c>
      <c r="E138" s="7" t="n">
        <v>6260</v>
      </c>
      <c r="F138" s="7" t="n">
        <v>5520</v>
      </c>
      <c r="G138" s="8" t="n">
        <v>740</v>
      </c>
      <c r="H138" s="7" t="s">
        <v>11</v>
      </c>
      <c r="I138" s="7" t="s">
        <v>23</v>
      </c>
      <c r="J138" s="0" t="s">
        <v>21</v>
      </c>
    </row>
    <row r="139" customFormat="false" ht="15" hidden="false" customHeight="false" outlineLevel="0" collapsed="false">
      <c r="A139" s="5" t="n">
        <v>44581</v>
      </c>
      <c r="B139" s="6" t="n">
        <v>0.481944444444444</v>
      </c>
      <c r="C139" s="7" t="n">
        <v>132884</v>
      </c>
      <c r="D139" s="7" t="s">
        <v>25</v>
      </c>
      <c r="E139" s="7" t="n">
        <v>18300</v>
      </c>
      <c r="F139" s="7" t="n">
        <v>18120</v>
      </c>
      <c r="G139" s="8" t="n">
        <v>180</v>
      </c>
      <c r="H139" s="7" t="s">
        <v>11</v>
      </c>
      <c r="I139" s="7" t="s">
        <v>23</v>
      </c>
      <c r="J139" s="0" t="s">
        <v>21</v>
      </c>
    </row>
    <row r="140" customFormat="false" ht="15" hidden="false" customHeight="false" outlineLevel="0" collapsed="false">
      <c r="A140" s="5" t="n">
        <v>44581</v>
      </c>
      <c r="B140" s="6" t="n">
        <v>0.481944444444444</v>
      </c>
      <c r="C140" s="7" t="n">
        <v>132883</v>
      </c>
      <c r="D140" s="7" t="s">
        <v>25</v>
      </c>
      <c r="E140" s="7" t="n">
        <v>18120</v>
      </c>
      <c r="F140" s="7" t="n">
        <v>16140</v>
      </c>
      <c r="G140" s="8" t="n">
        <v>1980</v>
      </c>
      <c r="H140" s="7" t="s">
        <v>11</v>
      </c>
      <c r="I140" s="7" t="s">
        <v>23</v>
      </c>
      <c r="J140" s="0" t="s">
        <v>21</v>
      </c>
    </row>
    <row r="141" customFormat="false" ht="15" hidden="false" customHeight="false" outlineLevel="0" collapsed="false">
      <c r="A141" s="5" t="n">
        <v>44582</v>
      </c>
      <c r="B141" s="6" t="n">
        <v>0.23125</v>
      </c>
      <c r="C141" s="7" t="n">
        <v>148583</v>
      </c>
      <c r="D141" s="7" t="s">
        <v>14</v>
      </c>
      <c r="E141" s="7" t="n">
        <v>24360</v>
      </c>
      <c r="F141" s="7" t="n">
        <v>15960</v>
      </c>
      <c r="G141" s="8" t="n">
        <v>8400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44582</v>
      </c>
      <c r="B142" s="6" t="n">
        <v>0.200694444444444</v>
      </c>
      <c r="C142" s="7" t="n">
        <v>148582</v>
      </c>
      <c r="D142" s="7" t="s">
        <v>15</v>
      </c>
      <c r="E142" s="7" t="n">
        <v>16500</v>
      </c>
      <c r="F142" s="7" t="n">
        <v>12780</v>
      </c>
      <c r="G142" s="8" t="n">
        <v>3720</v>
      </c>
      <c r="H142" s="7" t="s">
        <v>11</v>
      </c>
      <c r="I142" s="7" t="s">
        <v>12</v>
      </c>
      <c r="J142" s="0" t="s">
        <v>13</v>
      </c>
    </row>
    <row r="143" customFormat="false" ht="15" hidden="false" customHeight="false" outlineLevel="0" collapsed="false">
      <c r="A143" s="5" t="n">
        <v>44582</v>
      </c>
      <c r="B143" s="6" t="n">
        <v>0.25625</v>
      </c>
      <c r="C143" s="7" t="n">
        <v>148587</v>
      </c>
      <c r="D143" s="7" t="s">
        <v>17</v>
      </c>
      <c r="E143" s="7" t="n">
        <v>4000</v>
      </c>
      <c r="F143" s="7" t="n">
        <v>3800</v>
      </c>
      <c r="G143" s="8" t="n">
        <v>200</v>
      </c>
      <c r="H143" s="7" t="s">
        <v>11</v>
      </c>
      <c r="I143" s="7" t="s">
        <v>12</v>
      </c>
      <c r="J143" s="0" t="s">
        <v>13</v>
      </c>
    </row>
    <row r="144" customFormat="false" ht="15" hidden="false" customHeight="false" outlineLevel="0" collapsed="false">
      <c r="A144" s="5" t="n">
        <v>44582</v>
      </c>
      <c r="B144" s="6" t="n">
        <v>0.450694444444444</v>
      </c>
      <c r="C144" s="7" t="n">
        <v>2483</v>
      </c>
      <c r="D144" s="7" t="s">
        <v>14</v>
      </c>
      <c r="E144" s="7" t="n">
        <v>17240</v>
      </c>
      <c r="F144" s="7" t="n">
        <v>15760</v>
      </c>
      <c r="G144" s="8" t="n">
        <v>1480</v>
      </c>
      <c r="H144" s="7" t="s">
        <v>11</v>
      </c>
      <c r="I144" s="7" t="s">
        <v>24</v>
      </c>
      <c r="J144" s="0" t="s">
        <v>21</v>
      </c>
    </row>
    <row r="145" customFormat="false" ht="15" hidden="false" customHeight="false" outlineLevel="0" collapsed="false">
      <c r="A145" s="5" t="n">
        <v>44582</v>
      </c>
      <c r="B145" s="6" t="n">
        <v>0.445833333333333</v>
      </c>
      <c r="C145" s="7" t="n">
        <v>132981</v>
      </c>
      <c r="D145" s="7" t="s">
        <v>25</v>
      </c>
      <c r="E145" s="7" t="n">
        <v>24020</v>
      </c>
      <c r="F145" s="7" t="n">
        <v>23940</v>
      </c>
      <c r="G145" s="8" t="n">
        <v>80</v>
      </c>
      <c r="H145" s="7" t="s">
        <v>11</v>
      </c>
      <c r="I145" s="7" t="s">
        <v>23</v>
      </c>
      <c r="J145" s="0" t="s">
        <v>21</v>
      </c>
    </row>
    <row r="146" customFormat="false" ht="15" hidden="false" customHeight="false" outlineLevel="0" collapsed="false">
      <c r="A146" s="5" t="n">
        <v>44582</v>
      </c>
      <c r="B146" s="6" t="n">
        <v>0.445833333333333</v>
      </c>
      <c r="C146" s="7" t="n">
        <v>132980</v>
      </c>
      <c r="D146" s="7" t="s">
        <v>25</v>
      </c>
      <c r="E146" s="7" t="n">
        <v>23940</v>
      </c>
      <c r="F146" s="7" t="n">
        <v>16060</v>
      </c>
      <c r="G146" s="8" t="n">
        <v>7880</v>
      </c>
      <c r="H146" s="7" t="s">
        <v>11</v>
      </c>
      <c r="I146" s="7" t="s">
        <v>23</v>
      </c>
      <c r="J146" s="0" t="s">
        <v>21</v>
      </c>
    </row>
    <row r="147" customFormat="false" ht="15" hidden="false" customHeight="false" outlineLevel="0" collapsed="false">
      <c r="A147" s="5" t="n">
        <v>44582</v>
      </c>
      <c r="B147" s="6" t="n">
        <v>0.529166666666667</v>
      </c>
      <c r="C147" s="7" t="n">
        <v>133008</v>
      </c>
      <c r="D147" s="7" t="s">
        <v>16</v>
      </c>
      <c r="E147" s="7" t="n">
        <v>3700</v>
      </c>
      <c r="F147" s="7" t="n">
        <v>2880</v>
      </c>
      <c r="G147" s="8" t="n">
        <v>820</v>
      </c>
      <c r="H147" s="7" t="s">
        <v>11</v>
      </c>
      <c r="I147" s="7" t="s">
        <v>20</v>
      </c>
      <c r="J147" s="0" t="s">
        <v>21</v>
      </c>
    </row>
    <row r="148" customFormat="false" ht="15" hidden="false" customHeight="false" outlineLevel="0" collapsed="false">
      <c r="A148" s="5" t="n">
        <v>44582</v>
      </c>
      <c r="B148" s="6" t="n">
        <v>0.333333333333333</v>
      </c>
      <c r="C148" s="7" t="n">
        <v>132950</v>
      </c>
      <c r="D148" s="7" t="s">
        <v>16</v>
      </c>
      <c r="E148" s="7" t="n">
        <v>3420</v>
      </c>
      <c r="F148" s="7" t="n">
        <v>2880</v>
      </c>
      <c r="G148" s="8" t="n">
        <v>540</v>
      </c>
      <c r="H148" s="7" t="s">
        <v>11</v>
      </c>
      <c r="I148" s="7" t="s">
        <v>20</v>
      </c>
      <c r="J148" s="0" t="s">
        <v>21</v>
      </c>
    </row>
    <row r="149" customFormat="false" ht="15" hidden="false" customHeight="false" outlineLevel="0" collapsed="false">
      <c r="A149" s="5" t="n">
        <v>44583</v>
      </c>
      <c r="B149" s="6" t="n">
        <v>0.490277777777778</v>
      </c>
      <c r="C149" s="7" t="n">
        <v>133072</v>
      </c>
      <c r="D149" s="7" t="s">
        <v>22</v>
      </c>
      <c r="E149" s="7" t="n">
        <v>6880</v>
      </c>
      <c r="F149" s="7" t="n">
        <v>6660</v>
      </c>
      <c r="G149" s="8" t="n">
        <v>220</v>
      </c>
      <c r="H149" s="7" t="s">
        <v>11</v>
      </c>
      <c r="I149" s="7" t="s">
        <v>23</v>
      </c>
      <c r="J149" s="0" t="s">
        <v>21</v>
      </c>
    </row>
    <row r="150" customFormat="false" ht="15" hidden="false" customHeight="false" outlineLevel="0" collapsed="false">
      <c r="A150" s="5" t="n">
        <v>44583</v>
      </c>
      <c r="B150" s="6" t="n">
        <v>0.489583333333333</v>
      </c>
      <c r="C150" s="7" t="n">
        <v>133071</v>
      </c>
      <c r="D150" s="7" t="s">
        <v>22</v>
      </c>
      <c r="E150" s="7" t="n">
        <v>6660</v>
      </c>
      <c r="F150" s="7" t="n">
        <v>5520</v>
      </c>
      <c r="G150" s="8" t="n">
        <v>1140</v>
      </c>
      <c r="H150" s="7" t="s">
        <v>11</v>
      </c>
      <c r="I150" s="7" t="s">
        <v>23</v>
      </c>
      <c r="J150" s="0" t="s">
        <v>21</v>
      </c>
    </row>
    <row r="151" customFormat="false" ht="15" hidden="false" customHeight="false" outlineLevel="0" collapsed="false">
      <c r="A151" s="5" t="n">
        <v>44583</v>
      </c>
      <c r="B151" s="6" t="n">
        <v>0.264583333333333</v>
      </c>
      <c r="C151" s="7" t="n">
        <v>148631</v>
      </c>
      <c r="D151" s="7" t="s">
        <v>17</v>
      </c>
      <c r="E151" s="7" t="n">
        <v>4260</v>
      </c>
      <c r="F151" s="7" t="n">
        <v>3820</v>
      </c>
      <c r="G151" s="8" t="n">
        <v>440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44583</v>
      </c>
      <c r="B152" s="6" t="n">
        <v>0.259027777777778</v>
      </c>
      <c r="C152" s="7" t="n">
        <v>148627</v>
      </c>
      <c r="D152" s="7" t="s">
        <v>14</v>
      </c>
      <c r="E152" s="7" t="n">
        <v>23560</v>
      </c>
      <c r="F152" s="7" t="n">
        <v>15820</v>
      </c>
      <c r="G152" s="8" t="n">
        <v>7740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44583</v>
      </c>
      <c r="B153" s="6" t="n">
        <v>0.198611111111111</v>
      </c>
      <c r="C153" s="7" t="n">
        <v>148624</v>
      </c>
      <c r="D153" s="7" t="s">
        <v>15</v>
      </c>
      <c r="E153" s="7" t="n">
        <v>16240</v>
      </c>
      <c r="F153" s="7" t="n">
        <v>12720</v>
      </c>
      <c r="G153" s="8" t="n">
        <v>3520</v>
      </c>
      <c r="H153" s="7" t="s">
        <v>11</v>
      </c>
      <c r="I153" s="5" t="s">
        <v>12</v>
      </c>
      <c r="J153" s="0" t="s">
        <v>13</v>
      </c>
    </row>
    <row r="154" customFormat="false" ht="15" hidden="false" customHeight="false" outlineLevel="0" collapsed="false">
      <c r="A154" s="5" t="n">
        <v>44584</v>
      </c>
      <c r="B154" s="6" t="n">
        <v>0.179861111111111</v>
      </c>
      <c r="C154" s="7" t="n">
        <v>148648</v>
      </c>
      <c r="D154" s="7" t="s">
        <v>17</v>
      </c>
      <c r="E154" s="7" t="n">
        <v>4180</v>
      </c>
      <c r="F154" s="7" t="n">
        <v>3780</v>
      </c>
      <c r="G154" s="8" t="n">
        <v>400</v>
      </c>
      <c r="H154" s="7" t="s">
        <v>11</v>
      </c>
      <c r="I154" s="7" t="s">
        <v>12</v>
      </c>
      <c r="J154" s="0" t="s">
        <v>13</v>
      </c>
    </row>
    <row r="155" customFormat="false" ht="15" hidden="false" customHeight="false" outlineLevel="0" collapsed="false">
      <c r="A155" s="5" t="n">
        <v>44584</v>
      </c>
      <c r="B155" s="6" t="n">
        <v>0.11875</v>
      </c>
      <c r="C155" s="7" t="n">
        <v>148644</v>
      </c>
      <c r="D155" s="7" t="s">
        <v>15</v>
      </c>
      <c r="E155" s="7" t="n">
        <v>16600</v>
      </c>
      <c r="F155" s="7" t="n">
        <v>12700</v>
      </c>
      <c r="G155" s="8" t="n">
        <v>3900</v>
      </c>
      <c r="H155" s="7" t="s">
        <v>11</v>
      </c>
      <c r="I155" s="7" t="s">
        <v>12</v>
      </c>
      <c r="J155" s="0" t="s">
        <v>13</v>
      </c>
    </row>
    <row r="156" customFormat="false" ht="15" hidden="false" customHeight="false" outlineLevel="0" collapsed="false">
      <c r="A156" s="5" t="n">
        <v>44584</v>
      </c>
      <c r="B156" s="6" t="n">
        <v>0.167361111111111</v>
      </c>
      <c r="C156" s="7" t="n">
        <v>148645</v>
      </c>
      <c r="D156" s="7" t="s">
        <v>14</v>
      </c>
      <c r="E156" s="7" t="n">
        <v>23560</v>
      </c>
      <c r="F156" s="7" t="n">
        <v>15760</v>
      </c>
      <c r="G156" s="8" t="n">
        <v>7800</v>
      </c>
      <c r="H156" s="7" t="s">
        <v>11</v>
      </c>
      <c r="I156" s="7" t="s">
        <v>12</v>
      </c>
      <c r="J156" s="0" t="s">
        <v>13</v>
      </c>
    </row>
    <row r="157" customFormat="false" ht="15" hidden="false" customHeight="false" outlineLevel="0" collapsed="false">
      <c r="A157" s="5" t="n">
        <v>44585</v>
      </c>
      <c r="B157" s="6" t="n">
        <v>0.263194444444444</v>
      </c>
      <c r="C157" s="7" t="n">
        <v>148664</v>
      </c>
      <c r="D157" s="7" t="s">
        <v>14</v>
      </c>
      <c r="E157" s="7" t="n">
        <v>23720</v>
      </c>
      <c r="F157" s="7" t="n">
        <v>15940</v>
      </c>
      <c r="G157" s="8" t="n">
        <v>7780</v>
      </c>
      <c r="H157" s="7" t="s">
        <v>11</v>
      </c>
      <c r="I157" s="7" t="s">
        <v>12</v>
      </c>
      <c r="J157" s="0" t="s">
        <v>13</v>
      </c>
    </row>
    <row r="158" customFormat="false" ht="15" hidden="false" customHeight="false" outlineLevel="0" collapsed="false">
      <c r="A158" s="5" t="n">
        <v>44585</v>
      </c>
      <c r="B158" s="6" t="n">
        <v>0.259722222222222</v>
      </c>
      <c r="C158" s="7" t="n">
        <v>148663</v>
      </c>
      <c r="D158" s="7" t="s">
        <v>17</v>
      </c>
      <c r="E158" s="7" t="n">
        <v>3960</v>
      </c>
      <c r="F158" s="7" t="n">
        <v>3640</v>
      </c>
      <c r="G158" s="8" t="n">
        <v>320</v>
      </c>
      <c r="H158" s="7" t="s">
        <v>11</v>
      </c>
      <c r="I158" s="7" t="s">
        <v>12</v>
      </c>
      <c r="J158" s="0" t="s">
        <v>13</v>
      </c>
    </row>
    <row r="159" customFormat="false" ht="15" hidden="false" customHeight="false" outlineLevel="0" collapsed="false">
      <c r="A159" s="5" t="n">
        <v>44585</v>
      </c>
      <c r="B159" s="6" t="n">
        <v>0.148611111111111</v>
      </c>
      <c r="C159" s="7" t="n">
        <v>148656</v>
      </c>
      <c r="D159" s="7" t="s">
        <v>15</v>
      </c>
      <c r="E159" s="7" t="n">
        <v>15940</v>
      </c>
      <c r="F159" s="7" t="n">
        <v>12740</v>
      </c>
      <c r="G159" s="8" t="n">
        <v>3200</v>
      </c>
      <c r="H159" s="7" t="s">
        <v>11</v>
      </c>
      <c r="I159" s="7" t="s">
        <v>12</v>
      </c>
      <c r="J159" s="0" t="s">
        <v>13</v>
      </c>
    </row>
    <row r="160" customFormat="false" ht="15" hidden="false" customHeight="false" outlineLevel="0" collapsed="false">
      <c r="A160" s="5" t="n">
        <v>44585</v>
      </c>
      <c r="B160" s="6" t="n">
        <v>0.534027777777778</v>
      </c>
      <c r="C160" s="7" t="n">
        <v>148688</v>
      </c>
      <c r="D160" s="7" t="s">
        <v>18</v>
      </c>
      <c r="E160" s="7" t="n">
        <v>2680</v>
      </c>
      <c r="F160" s="7" t="n">
        <v>2380</v>
      </c>
      <c r="G160" s="8" t="n">
        <v>300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44585</v>
      </c>
      <c r="B161" s="6" t="n">
        <v>0.538888888888889</v>
      </c>
      <c r="C161" s="7" t="n">
        <v>133120</v>
      </c>
      <c r="D161" s="7" t="s">
        <v>10</v>
      </c>
      <c r="E161" s="7" t="n">
        <v>3060</v>
      </c>
      <c r="F161" s="7" t="n">
        <v>2660</v>
      </c>
      <c r="G161" s="8" t="n">
        <v>400</v>
      </c>
      <c r="H161" s="7" t="s">
        <v>11</v>
      </c>
      <c r="I161" s="7" t="s">
        <v>20</v>
      </c>
      <c r="J161" s="0" t="s">
        <v>21</v>
      </c>
    </row>
    <row r="162" customFormat="false" ht="15" hidden="false" customHeight="false" outlineLevel="0" collapsed="false">
      <c r="A162" s="5" t="n">
        <v>44585</v>
      </c>
      <c r="B162" s="6" t="n">
        <v>0.513888888888889</v>
      </c>
      <c r="C162" s="7" t="n">
        <v>133113</v>
      </c>
      <c r="D162" s="7" t="s">
        <v>14</v>
      </c>
      <c r="E162" s="7" t="n">
        <v>17220</v>
      </c>
      <c r="F162" s="7" t="n">
        <v>15800</v>
      </c>
      <c r="G162" s="8" t="n">
        <v>1420</v>
      </c>
      <c r="H162" s="7" t="s">
        <v>11</v>
      </c>
      <c r="I162" s="7" t="s">
        <v>19</v>
      </c>
      <c r="J162" s="0" t="s">
        <v>13</v>
      </c>
    </row>
    <row r="163" customFormat="false" ht="15" hidden="false" customHeight="false" outlineLevel="0" collapsed="false">
      <c r="A163" s="5" t="n">
        <v>44586</v>
      </c>
      <c r="B163" s="6" t="n">
        <v>0.260416666666667</v>
      </c>
      <c r="C163" s="7" t="n">
        <v>148714</v>
      </c>
      <c r="D163" s="7" t="s">
        <v>17</v>
      </c>
      <c r="E163" s="7" t="n">
        <v>4060</v>
      </c>
      <c r="F163" s="7" t="n">
        <v>3760</v>
      </c>
      <c r="G163" s="8" t="n">
        <v>300</v>
      </c>
      <c r="H163" s="7" t="s">
        <v>11</v>
      </c>
      <c r="I163" s="7" t="s">
        <v>12</v>
      </c>
      <c r="J163" s="0" t="s">
        <v>13</v>
      </c>
    </row>
    <row r="164" customFormat="false" ht="15" hidden="false" customHeight="false" outlineLevel="0" collapsed="false">
      <c r="A164" s="5" t="n">
        <v>44586</v>
      </c>
      <c r="B164" s="6" t="n">
        <v>0.154166666666667</v>
      </c>
      <c r="C164" s="7" t="n">
        <v>148706</v>
      </c>
      <c r="D164" s="7" t="s">
        <v>15</v>
      </c>
      <c r="E164" s="7" t="n">
        <v>16820</v>
      </c>
      <c r="F164" s="7" t="n">
        <v>12720</v>
      </c>
      <c r="G164" s="8" t="n">
        <v>4100</v>
      </c>
      <c r="H164" s="7" t="s">
        <v>11</v>
      </c>
      <c r="I164" s="7" t="s">
        <v>12</v>
      </c>
      <c r="J164" s="0" t="s">
        <v>13</v>
      </c>
    </row>
    <row r="165" customFormat="false" ht="15" hidden="false" customHeight="false" outlineLevel="0" collapsed="false">
      <c r="A165" s="5" t="n">
        <v>44586</v>
      </c>
      <c r="B165" s="6" t="n">
        <v>0.226388888888889</v>
      </c>
      <c r="C165" s="7" t="n">
        <v>148711</v>
      </c>
      <c r="D165" s="7" t="s">
        <v>14</v>
      </c>
      <c r="E165" s="7" t="n">
        <v>23760</v>
      </c>
      <c r="F165" s="7" t="n">
        <v>15820</v>
      </c>
      <c r="G165" s="8" t="n">
        <v>7940</v>
      </c>
      <c r="H165" s="7" t="s">
        <v>11</v>
      </c>
      <c r="I165" s="7" t="s">
        <v>12</v>
      </c>
      <c r="J165" s="0" t="s">
        <v>13</v>
      </c>
    </row>
    <row r="166" customFormat="false" ht="15" hidden="false" customHeight="false" outlineLevel="0" collapsed="false">
      <c r="A166" s="5" t="n">
        <v>44586</v>
      </c>
      <c r="B166" s="6" t="n">
        <v>0.45625</v>
      </c>
      <c r="C166" s="7" t="n">
        <v>133172</v>
      </c>
      <c r="D166" s="7" t="s">
        <v>10</v>
      </c>
      <c r="E166" s="7" t="n">
        <v>2980</v>
      </c>
      <c r="F166" s="7" t="n">
        <v>2660</v>
      </c>
      <c r="G166" s="8" t="n">
        <v>320</v>
      </c>
      <c r="H166" s="7" t="s">
        <v>11</v>
      </c>
      <c r="I166" s="7" t="s">
        <v>20</v>
      </c>
      <c r="J166" s="0" t="s">
        <v>21</v>
      </c>
    </row>
    <row r="167" customFormat="false" ht="15" hidden="false" customHeight="false" outlineLevel="0" collapsed="false">
      <c r="A167" s="5" t="n">
        <v>44586</v>
      </c>
      <c r="B167" s="6" t="n">
        <v>0.435416666666667</v>
      </c>
      <c r="C167" s="7" t="n">
        <v>133169</v>
      </c>
      <c r="D167" s="7" t="s">
        <v>16</v>
      </c>
      <c r="E167" s="7" t="n">
        <v>3300</v>
      </c>
      <c r="F167" s="7" t="n">
        <v>2860</v>
      </c>
      <c r="G167" s="8" t="n">
        <v>440</v>
      </c>
      <c r="H167" s="7" t="s">
        <v>11</v>
      </c>
      <c r="I167" s="7" t="s">
        <v>20</v>
      </c>
      <c r="J167" s="0" t="s">
        <v>21</v>
      </c>
    </row>
    <row r="168" customFormat="false" ht="15" hidden="false" customHeight="false" outlineLevel="0" collapsed="false">
      <c r="A168" s="5" t="n">
        <v>44586</v>
      </c>
      <c r="B168" s="6" t="n">
        <v>0.536805555555556</v>
      </c>
      <c r="C168" s="7" t="n">
        <v>133195</v>
      </c>
      <c r="D168" s="7" t="s">
        <v>16</v>
      </c>
      <c r="E168" s="7" t="n">
        <v>3100</v>
      </c>
      <c r="F168" s="7" t="n">
        <v>2860</v>
      </c>
      <c r="G168" s="8" t="n">
        <v>240</v>
      </c>
      <c r="H168" s="7" t="s">
        <v>11</v>
      </c>
      <c r="I168" s="7" t="s">
        <v>20</v>
      </c>
      <c r="J168" s="0" t="s">
        <v>21</v>
      </c>
    </row>
    <row r="169" customFormat="false" ht="15" hidden="false" customHeight="false" outlineLevel="0" collapsed="false">
      <c r="A169" s="5" t="n">
        <v>44587</v>
      </c>
      <c r="B169" s="6" t="n">
        <v>0.238888888888889</v>
      </c>
      <c r="C169" s="7" t="n">
        <v>148748</v>
      </c>
      <c r="D169" s="7" t="s">
        <v>14</v>
      </c>
      <c r="E169" s="7" t="n">
        <v>23960</v>
      </c>
      <c r="F169" s="7" t="n">
        <v>15720</v>
      </c>
      <c r="G169" s="8" t="n">
        <v>8240</v>
      </c>
      <c r="H169" s="7" t="s">
        <v>11</v>
      </c>
      <c r="I169" s="7" t="s">
        <v>12</v>
      </c>
      <c r="J169" s="0" t="s">
        <v>13</v>
      </c>
    </row>
    <row r="170" customFormat="false" ht="15" hidden="false" customHeight="false" outlineLevel="0" collapsed="false">
      <c r="A170" s="5" t="n">
        <v>44587</v>
      </c>
      <c r="B170" s="6" t="n">
        <v>0.152083333333333</v>
      </c>
      <c r="C170" s="7" t="n">
        <v>148743</v>
      </c>
      <c r="D170" s="7" t="s">
        <v>15</v>
      </c>
      <c r="E170" s="7" t="n">
        <v>16680</v>
      </c>
      <c r="F170" s="7" t="n">
        <v>12680</v>
      </c>
      <c r="G170" s="8" t="n">
        <v>4000</v>
      </c>
      <c r="H170" s="7" t="s">
        <v>11</v>
      </c>
      <c r="I170" s="7" t="s">
        <v>12</v>
      </c>
      <c r="J170" s="0" t="s">
        <v>13</v>
      </c>
    </row>
    <row r="171" customFormat="false" ht="15" hidden="false" customHeight="false" outlineLevel="0" collapsed="false">
      <c r="A171" s="5" t="n">
        <v>44587</v>
      </c>
      <c r="B171" s="6" t="n">
        <v>0.260416666666667</v>
      </c>
      <c r="C171" s="7" t="n">
        <v>148749</v>
      </c>
      <c r="D171" s="7" t="s">
        <v>17</v>
      </c>
      <c r="E171" s="7" t="n">
        <v>4060</v>
      </c>
      <c r="F171" s="7" t="n">
        <v>3780</v>
      </c>
      <c r="G171" s="8" t="n">
        <v>280</v>
      </c>
      <c r="H171" s="7" t="s">
        <v>11</v>
      </c>
      <c r="I171" s="7" t="s">
        <v>12</v>
      </c>
      <c r="J171" s="0" t="s">
        <v>13</v>
      </c>
    </row>
    <row r="172" customFormat="false" ht="15" hidden="false" customHeight="false" outlineLevel="0" collapsed="false">
      <c r="A172" s="5" t="n">
        <v>44587</v>
      </c>
      <c r="B172" s="6" t="n">
        <v>0.427083333333333</v>
      </c>
      <c r="C172" s="7" t="n">
        <v>133251</v>
      </c>
      <c r="D172" s="7" t="s">
        <v>22</v>
      </c>
      <c r="E172" s="7" t="n">
        <v>6680</v>
      </c>
      <c r="F172" s="7" t="n">
        <v>6580</v>
      </c>
      <c r="G172" s="8" t="n">
        <v>100</v>
      </c>
      <c r="H172" s="7" t="s">
        <v>11</v>
      </c>
      <c r="I172" s="7" t="s">
        <v>23</v>
      </c>
      <c r="J172" s="0" t="s">
        <v>21</v>
      </c>
    </row>
    <row r="173" customFormat="false" ht="15" hidden="false" customHeight="false" outlineLevel="0" collapsed="false">
      <c r="A173" s="5" t="n">
        <v>44587</v>
      </c>
      <c r="B173" s="6" t="n">
        <v>0.427083333333333</v>
      </c>
      <c r="C173" s="7" t="n">
        <v>133250</v>
      </c>
      <c r="D173" s="7" t="s">
        <v>22</v>
      </c>
      <c r="E173" s="7" t="n">
        <v>6580</v>
      </c>
      <c r="F173" s="7" t="n">
        <v>5620</v>
      </c>
      <c r="G173" s="8" t="n">
        <v>960</v>
      </c>
      <c r="H173" s="7" t="s">
        <v>11</v>
      </c>
      <c r="I173" s="5" t="s">
        <v>23</v>
      </c>
      <c r="J173" s="0" t="s">
        <v>21</v>
      </c>
    </row>
    <row r="174" customFormat="false" ht="15" hidden="false" customHeight="false" outlineLevel="0" collapsed="false">
      <c r="A174" s="5" t="n">
        <v>44587</v>
      </c>
      <c r="B174" s="6" t="n">
        <v>0.519444444444444</v>
      </c>
      <c r="C174" s="7" t="n">
        <v>133276</v>
      </c>
      <c r="D174" s="7" t="s">
        <v>22</v>
      </c>
      <c r="E174" s="7" t="n">
        <v>6360</v>
      </c>
      <c r="F174" s="7" t="n">
        <v>6320</v>
      </c>
      <c r="G174" s="8" t="n">
        <v>40</v>
      </c>
      <c r="H174" s="7" t="s">
        <v>11</v>
      </c>
      <c r="I174" s="7" t="s">
        <v>23</v>
      </c>
      <c r="J174" s="0" t="s">
        <v>21</v>
      </c>
    </row>
    <row r="175" customFormat="false" ht="15" hidden="false" customHeight="false" outlineLevel="0" collapsed="false">
      <c r="A175" s="5" t="n">
        <v>44587</v>
      </c>
      <c r="B175" s="6" t="n">
        <v>0.519444444444444</v>
      </c>
      <c r="C175" s="7" t="n">
        <v>133275</v>
      </c>
      <c r="D175" s="7" t="s">
        <v>22</v>
      </c>
      <c r="E175" s="7" t="n">
        <v>6320</v>
      </c>
      <c r="F175" s="7" t="n">
        <v>5520</v>
      </c>
      <c r="G175" s="8" t="n">
        <v>800</v>
      </c>
      <c r="H175" s="7" t="s">
        <v>11</v>
      </c>
      <c r="I175" s="7" t="s">
        <v>23</v>
      </c>
      <c r="J175" s="0" t="s">
        <v>21</v>
      </c>
    </row>
    <row r="176" customFormat="false" ht="15" hidden="false" customHeight="false" outlineLevel="0" collapsed="false">
      <c r="A176" s="5" t="n">
        <v>44588</v>
      </c>
      <c r="B176" s="6" t="n">
        <v>0.240277777777778</v>
      </c>
      <c r="C176" s="7" t="n">
        <v>148773</v>
      </c>
      <c r="D176" s="7" t="s">
        <v>14</v>
      </c>
      <c r="E176" s="7" t="n">
        <v>24140</v>
      </c>
      <c r="F176" s="7" t="n">
        <v>15660</v>
      </c>
      <c r="G176" s="8" t="n">
        <v>8480</v>
      </c>
      <c r="H176" s="7" t="s">
        <v>11</v>
      </c>
      <c r="I176" s="7" t="s">
        <v>12</v>
      </c>
      <c r="J176" s="0" t="s">
        <v>13</v>
      </c>
    </row>
    <row r="177" customFormat="false" ht="15" hidden="false" customHeight="false" outlineLevel="0" collapsed="false">
      <c r="A177" s="5" t="n">
        <v>44588</v>
      </c>
      <c r="B177" s="6" t="n">
        <v>0.141666666666667</v>
      </c>
      <c r="C177" s="7" t="n">
        <v>148766</v>
      </c>
      <c r="D177" s="7" t="s">
        <v>15</v>
      </c>
      <c r="E177" s="7" t="n">
        <v>16340</v>
      </c>
      <c r="F177" s="7" t="n">
        <v>12640</v>
      </c>
      <c r="G177" s="8" t="n">
        <v>3700</v>
      </c>
      <c r="H177" s="7" t="s">
        <v>11</v>
      </c>
      <c r="I177" s="7" t="s">
        <v>12</v>
      </c>
      <c r="J177" s="0" t="s">
        <v>13</v>
      </c>
    </row>
    <row r="178" customFormat="false" ht="15" hidden="false" customHeight="false" outlineLevel="0" collapsed="false">
      <c r="A178" s="5" t="n">
        <v>44588</v>
      </c>
      <c r="B178" s="6" t="n">
        <v>0.263194444444444</v>
      </c>
      <c r="C178" s="7" t="n">
        <v>148775</v>
      </c>
      <c r="D178" s="7" t="s">
        <v>17</v>
      </c>
      <c r="E178" s="7" t="n">
        <v>4040</v>
      </c>
      <c r="F178" s="7" t="n">
        <v>3780</v>
      </c>
      <c r="G178" s="8" t="n">
        <v>260</v>
      </c>
      <c r="H178" s="7" t="s">
        <v>11</v>
      </c>
      <c r="I178" s="7" t="s">
        <v>12</v>
      </c>
      <c r="J178" s="0" t="s">
        <v>13</v>
      </c>
    </row>
    <row r="179" customFormat="false" ht="15" hidden="false" customHeight="false" outlineLevel="0" collapsed="false">
      <c r="A179" s="5" t="n">
        <v>44588</v>
      </c>
      <c r="B179" s="6" t="n">
        <v>0.505555555555556</v>
      </c>
      <c r="C179" s="7" t="n">
        <v>436</v>
      </c>
      <c r="D179" s="7" t="s">
        <v>18</v>
      </c>
      <c r="E179" s="7" t="n">
        <v>2600</v>
      </c>
      <c r="F179" s="7" t="n">
        <v>2360</v>
      </c>
      <c r="G179" s="8" t="n">
        <v>240</v>
      </c>
      <c r="H179" s="7" t="s">
        <v>11</v>
      </c>
      <c r="I179" s="7" t="s">
        <v>12</v>
      </c>
      <c r="J179" s="0" t="s">
        <v>13</v>
      </c>
    </row>
    <row r="180" customFormat="false" ht="15" hidden="false" customHeight="false" outlineLevel="0" collapsed="false">
      <c r="A180" s="5" t="n">
        <v>44589</v>
      </c>
      <c r="B180" s="6" t="n">
        <v>0.259722222222222</v>
      </c>
      <c r="C180" s="7" t="n">
        <v>462</v>
      </c>
      <c r="D180" s="7" t="s">
        <v>17</v>
      </c>
      <c r="E180" s="7" t="n">
        <v>4060</v>
      </c>
      <c r="F180" s="7" t="n">
        <v>3720</v>
      </c>
      <c r="G180" s="8" t="n">
        <v>340</v>
      </c>
      <c r="H180" s="7" t="s">
        <v>11</v>
      </c>
      <c r="I180" s="7" t="s">
        <v>12</v>
      </c>
      <c r="J180" s="0" t="s">
        <v>13</v>
      </c>
    </row>
    <row r="181" customFormat="false" ht="15" hidden="false" customHeight="false" outlineLevel="0" collapsed="false">
      <c r="A181" s="5" t="n">
        <v>44589</v>
      </c>
      <c r="B181" s="6" t="n">
        <v>0.155555555555556</v>
      </c>
      <c r="C181" s="7" t="n">
        <v>457</v>
      </c>
      <c r="D181" s="7" t="s">
        <v>15</v>
      </c>
      <c r="E181" s="7" t="n">
        <v>16180</v>
      </c>
      <c r="F181" s="7" t="n">
        <v>12740</v>
      </c>
      <c r="G181" s="8" t="n">
        <v>3440</v>
      </c>
      <c r="H181" s="7" t="s">
        <v>11</v>
      </c>
      <c r="I181" s="7" t="s">
        <v>12</v>
      </c>
      <c r="J181" s="0" t="s">
        <v>13</v>
      </c>
    </row>
    <row r="182" customFormat="false" ht="15" hidden="false" customHeight="false" outlineLevel="0" collapsed="false">
      <c r="A182" s="5" t="n">
        <v>44588</v>
      </c>
      <c r="B182" s="6" t="n">
        <v>0.539583333333333</v>
      </c>
      <c r="C182" s="7" t="n">
        <v>133358</v>
      </c>
      <c r="D182" s="7" t="s">
        <v>16</v>
      </c>
      <c r="E182" s="7" t="n">
        <v>3120</v>
      </c>
      <c r="F182" s="7" t="n">
        <v>2900</v>
      </c>
      <c r="G182" s="8" t="n">
        <v>220</v>
      </c>
      <c r="H182" s="7" t="s">
        <v>11</v>
      </c>
      <c r="I182" s="7" t="s">
        <v>20</v>
      </c>
      <c r="J182" s="0" t="s">
        <v>21</v>
      </c>
    </row>
    <row r="183" customFormat="false" ht="15" hidden="false" customHeight="false" outlineLevel="0" collapsed="false">
      <c r="A183" s="5" t="n">
        <v>44588</v>
      </c>
      <c r="B183" s="6" t="n">
        <v>0.538888888888889</v>
      </c>
      <c r="C183" s="7" t="n">
        <v>133357</v>
      </c>
      <c r="D183" s="7" t="s">
        <v>10</v>
      </c>
      <c r="E183" s="7" t="n">
        <v>3140</v>
      </c>
      <c r="F183" s="7" t="n">
        <v>2620</v>
      </c>
      <c r="G183" s="8" t="n">
        <v>520</v>
      </c>
      <c r="H183" s="7" t="s">
        <v>11</v>
      </c>
      <c r="I183" s="7" t="s">
        <v>20</v>
      </c>
      <c r="J183" s="0" t="s">
        <v>21</v>
      </c>
    </row>
    <row r="184" customFormat="false" ht="15" hidden="false" customHeight="false" outlineLevel="0" collapsed="false">
      <c r="A184" s="5" t="n">
        <v>44589</v>
      </c>
      <c r="B184" s="6" t="n">
        <v>0.234027777777778</v>
      </c>
      <c r="C184" s="7" t="n">
        <v>461</v>
      </c>
      <c r="D184" s="7" t="s">
        <v>14</v>
      </c>
      <c r="E184" s="7" t="n">
        <v>23500</v>
      </c>
      <c r="F184" s="7" t="n">
        <v>15740</v>
      </c>
      <c r="G184" s="8" t="n">
        <v>7760</v>
      </c>
      <c r="H184" s="7" t="s">
        <v>11</v>
      </c>
      <c r="I184" s="7" t="s">
        <v>12</v>
      </c>
      <c r="J184" s="0" t="s">
        <v>13</v>
      </c>
    </row>
    <row r="185" customFormat="false" ht="15" hidden="false" customHeight="false" outlineLevel="0" collapsed="false">
      <c r="A185" s="5" t="n">
        <v>44589</v>
      </c>
      <c r="B185" s="6" t="n">
        <v>0.433333333333333</v>
      </c>
      <c r="C185" s="7" t="n">
        <v>480</v>
      </c>
      <c r="D185" s="7" t="s">
        <v>18</v>
      </c>
      <c r="E185" s="7" t="n">
        <v>2720</v>
      </c>
      <c r="F185" s="7" t="n">
        <v>2400</v>
      </c>
      <c r="G185" s="8" t="n">
        <v>320</v>
      </c>
      <c r="H185" s="7" t="s">
        <v>11</v>
      </c>
      <c r="I185" s="7" t="s">
        <v>12</v>
      </c>
      <c r="J185" s="0" t="s">
        <v>13</v>
      </c>
    </row>
    <row r="186" customFormat="false" ht="15" hidden="false" customHeight="false" outlineLevel="0" collapsed="false">
      <c r="A186" s="5" t="n">
        <v>44589</v>
      </c>
      <c r="B186" s="6" t="n">
        <v>0.455555555555556</v>
      </c>
      <c r="C186" s="7" t="n">
        <v>482</v>
      </c>
      <c r="D186" s="7" t="s">
        <v>25</v>
      </c>
      <c r="E186" s="7" t="n">
        <v>23280</v>
      </c>
      <c r="F186" s="7" t="n">
        <v>15300</v>
      </c>
      <c r="G186" s="8" t="n">
        <v>7980</v>
      </c>
      <c r="H186" s="7" t="s">
        <v>11</v>
      </c>
      <c r="I186" s="7" t="s">
        <v>26</v>
      </c>
      <c r="J186" s="0" t="s">
        <v>21</v>
      </c>
    </row>
    <row r="187" customFormat="false" ht="15" hidden="false" customHeight="false" outlineLevel="0" collapsed="false">
      <c r="A187" s="5" t="n">
        <v>44589</v>
      </c>
      <c r="B187" s="6" t="n">
        <v>0.383333333333333</v>
      </c>
      <c r="C187" s="7" t="n">
        <v>473</v>
      </c>
      <c r="D187" s="7" t="s">
        <v>25</v>
      </c>
      <c r="E187" s="7" t="n">
        <v>24640</v>
      </c>
      <c r="F187" s="7" t="n">
        <v>15300</v>
      </c>
      <c r="G187" s="8" t="n">
        <v>9340</v>
      </c>
      <c r="H187" s="7" t="s">
        <v>11</v>
      </c>
      <c r="I187" s="7" t="s">
        <v>26</v>
      </c>
      <c r="J187" s="0" t="s">
        <v>21</v>
      </c>
    </row>
    <row r="188" customFormat="false" ht="15" hidden="false" customHeight="false" outlineLevel="0" collapsed="false">
      <c r="A188" s="5" t="n">
        <v>44589</v>
      </c>
      <c r="B188" s="6" t="n">
        <v>0.54375</v>
      </c>
      <c r="C188" s="7" t="n">
        <v>133434</v>
      </c>
      <c r="D188" s="7" t="s">
        <v>16</v>
      </c>
      <c r="E188" s="7" t="n">
        <v>2980</v>
      </c>
      <c r="F188" s="7" t="n">
        <v>2800</v>
      </c>
      <c r="G188" s="8" t="n">
        <v>180</v>
      </c>
      <c r="H188" s="7" t="s">
        <v>11</v>
      </c>
      <c r="I188" s="5" t="s">
        <v>20</v>
      </c>
      <c r="J188" s="0" t="s">
        <v>21</v>
      </c>
    </row>
    <row r="189" customFormat="false" ht="15" hidden="false" customHeight="false" outlineLevel="0" collapsed="false">
      <c r="A189" s="5" t="n">
        <v>44589</v>
      </c>
      <c r="B189" s="6" t="n">
        <v>0.463888888888889</v>
      </c>
      <c r="C189" s="7" t="n">
        <v>2508</v>
      </c>
      <c r="D189" s="7" t="s">
        <v>14</v>
      </c>
      <c r="E189" s="7" t="n">
        <v>17080</v>
      </c>
      <c r="F189" s="7" t="n">
        <v>15760</v>
      </c>
      <c r="G189" s="8" t="n">
        <v>1320</v>
      </c>
      <c r="H189" s="7" t="s">
        <v>11</v>
      </c>
      <c r="I189" s="7" t="s">
        <v>24</v>
      </c>
      <c r="J189" s="0" t="s">
        <v>21</v>
      </c>
    </row>
    <row r="190" customFormat="false" ht="15" hidden="false" customHeight="false" outlineLevel="0" collapsed="false">
      <c r="A190" s="5" t="n">
        <v>44590</v>
      </c>
      <c r="B190" s="6" t="n">
        <v>0.155555555555556</v>
      </c>
      <c r="C190" s="7" t="n">
        <v>503</v>
      </c>
      <c r="D190" s="7" t="s">
        <v>15</v>
      </c>
      <c r="E190" s="7" t="n">
        <v>16640</v>
      </c>
      <c r="F190" s="7" t="n">
        <v>12720</v>
      </c>
      <c r="G190" s="8" t="n">
        <v>3920</v>
      </c>
      <c r="H190" s="7" t="s">
        <v>11</v>
      </c>
      <c r="I190" s="7" t="s">
        <v>12</v>
      </c>
      <c r="J190" s="0" t="s">
        <v>13</v>
      </c>
    </row>
    <row r="191" customFormat="false" ht="15" hidden="false" customHeight="false" outlineLevel="0" collapsed="false">
      <c r="A191" s="5" t="n">
        <v>44590</v>
      </c>
      <c r="B191" s="6" t="n">
        <v>0.254166666666667</v>
      </c>
      <c r="C191" s="7" t="n">
        <v>510</v>
      </c>
      <c r="D191" s="7" t="s">
        <v>17</v>
      </c>
      <c r="E191" s="7" t="n">
        <v>4120</v>
      </c>
      <c r="F191" s="7" t="n">
        <v>3780</v>
      </c>
      <c r="G191" s="8" t="n">
        <v>340</v>
      </c>
      <c r="H191" s="7" t="s">
        <v>11</v>
      </c>
      <c r="I191" s="7" t="s">
        <v>12</v>
      </c>
      <c r="J191" s="0" t="s">
        <v>13</v>
      </c>
    </row>
    <row r="192" customFormat="false" ht="15" hidden="false" customHeight="false" outlineLevel="0" collapsed="false">
      <c r="A192" s="5" t="n">
        <v>44590</v>
      </c>
      <c r="B192" s="6" t="n">
        <v>0.224305555555556</v>
      </c>
      <c r="C192" s="7" t="n">
        <v>507</v>
      </c>
      <c r="D192" s="7" t="s">
        <v>14</v>
      </c>
      <c r="E192" s="7" t="n">
        <v>25960</v>
      </c>
      <c r="F192" s="7" t="n">
        <v>15800</v>
      </c>
      <c r="G192" s="8" t="n">
        <v>10160</v>
      </c>
      <c r="H192" s="7" t="s">
        <v>11</v>
      </c>
      <c r="I192" s="7" t="s">
        <v>12</v>
      </c>
      <c r="J192" s="0" t="s">
        <v>13</v>
      </c>
    </row>
    <row r="193" customFormat="false" ht="15" hidden="false" customHeight="false" outlineLevel="0" collapsed="false">
      <c r="A193" s="5" t="n">
        <v>44590</v>
      </c>
      <c r="B193" s="6" t="n">
        <v>0.359722222222222</v>
      </c>
      <c r="C193" s="7" t="n">
        <v>515</v>
      </c>
      <c r="D193" s="7" t="s">
        <v>18</v>
      </c>
      <c r="E193" s="7" t="n">
        <v>2680</v>
      </c>
      <c r="F193" s="7" t="n">
        <v>2400</v>
      </c>
      <c r="G193" s="8" t="n">
        <v>280</v>
      </c>
      <c r="H193" s="7" t="s">
        <v>11</v>
      </c>
      <c r="I193" s="7" t="s">
        <v>12</v>
      </c>
      <c r="J193" s="0" t="s">
        <v>13</v>
      </c>
    </row>
    <row r="194" customFormat="false" ht="15" hidden="false" customHeight="false" outlineLevel="0" collapsed="false">
      <c r="A194" s="5" t="n">
        <v>44590</v>
      </c>
      <c r="B194" s="6" t="n">
        <v>0.498611111111111</v>
      </c>
      <c r="C194" s="7" t="n">
        <v>133484</v>
      </c>
      <c r="D194" s="7" t="s">
        <v>16</v>
      </c>
      <c r="E194" s="7" t="n">
        <v>3220</v>
      </c>
      <c r="F194" s="7" t="n">
        <v>3160</v>
      </c>
      <c r="G194" s="8" t="n">
        <v>60</v>
      </c>
      <c r="H194" s="7" t="s">
        <v>11</v>
      </c>
      <c r="I194" s="7" t="s">
        <v>23</v>
      </c>
      <c r="J194" s="0" t="s">
        <v>21</v>
      </c>
    </row>
    <row r="195" customFormat="false" ht="15" hidden="false" customHeight="false" outlineLevel="0" collapsed="false">
      <c r="A195" s="5" t="n">
        <v>44590</v>
      </c>
      <c r="B195" s="6" t="n">
        <v>0.498611111111111</v>
      </c>
      <c r="C195" s="7" t="n">
        <v>133483</v>
      </c>
      <c r="D195" s="7" t="s">
        <v>16</v>
      </c>
      <c r="E195" s="7" t="n">
        <v>3160</v>
      </c>
      <c r="F195" s="7" t="n">
        <v>2860</v>
      </c>
      <c r="G195" s="8" t="n">
        <v>300</v>
      </c>
      <c r="H195" s="7" t="s">
        <v>11</v>
      </c>
      <c r="I195" s="7" t="s">
        <v>23</v>
      </c>
      <c r="J195" s="0" t="s">
        <v>21</v>
      </c>
    </row>
    <row r="196" customFormat="false" ht="15" hidden="false" customHeight="false" outlineLevel="0" collapsed="false">
      <c r="A196" s="5" t="n">
        <v>44591</v>
      </c>
      <c r="B196" s="6" t="n">
        <v>0.215277777777778</v>
      </c>
      <c r="C196" s="7" t="n">
        <v>527</v>
      </c>
      <c r="D196" s="7" t="s">
        <v>14</v>
      </c>
      <c r="E196" s="7" t="n">
        <v>24420</v>
      </c>
      <c r="F196" s="7" t="n">
        <v>15720</v>
      </c>
      <c r="G196" s="8" t="n">
        <v>8700</v>
      </c>
      <c r="H196" s="7" t="s">
        <v>11</v>
      </c>
      <c r="I196" s="7" t="s">
        <v>12</v>
      </c>
      <c r="J196" s="0" t="s">
        <v>13</v>
      </c>
    </row>
    <row r="197" customFormat="false" ht="15" hidden="false" customHeight="false" outlineLevel="0" collapsed="false">
      <c r="A197" s="5" t="n">
        <v>44591</v>
      </c>
      <c r="B197" s="6" t="n">
        <v>0.127083333333333</v>
      </c>
      <c r="C197" s="7" t="n">
        <v>525</v>
      </c>
      <c r="D197" s="7" t="s">
        <v>15</v>
      </c>
      <c r="E197" s="7" t="n">
        <v>16820</v>
      </c>
      <c r="F197" s="7" t="n">
        <v>12860</v>
      </c>
      <c r="G197" s="8" t="n">
        <v>3960</v>
      </c>
      <c r="H197" s="7" t="s">
        <v>11</v>
      </c>
      <c r="I197" s="7" t="s">
        <v>12</v>
      </c>
      <c r="J197" s="0" t="s">
        <v>13</v>
      </c>
    </row>
    <row r="198" customFormat="false" ht="15" hidden="false" customHeight="false" outlineLevel="0" collapsed="false">
      <c r="A198" s="5" t="n">
        <v>44591</v>
      </c>
      <c r="B198" s="6" t="n">
        <v>0.190972222222222</v>
      </c>
      <c r="C198" s="7" t="n">
        <v>526</v>
      </c>
      <c r="D198" s="7" t="s">
        <v>17</v>
      </c>
      <c r="E198" s="7" t="n">
        <v>4180</v>
      </c>
      <c r="F198" s="7" t="n">
        <v>3760</v>
      </c>
      <c r="G198" s="8" t="n">
        <v>420</v>
      </c>
      <c r="H198" s="7" t="s">
        <v>11</v>
      </c>
      <c r="I198" s="7" t="s">
        <v>12</v>
      </c>
      <c r="J198" s="0" t="s">
        <v>13</v>
      </c>
    </row>
    <row r="199" customFormat="false" ht="15" hidden="false" customHeight="false" outlineLevel="0" collapsed="false">
      <c r="A199" s="5" t="n">
        <v>44592</v>
      </c>
      <c r="B199" s="6" t="n">
        <v>0.25625</v>
      </c>
      <c r="C199" s="7"/>
      <c r="D199" s="7" t="s">
        <v>17</v>
      </c>
      <c r="E199" s="7" t="n">
        <v>4180</v>
      </c>
      <c r="F199" s="7" t="n">
        <v>3800</v>
      </c>
      <c r="G199" s="8" t="n">
        <v>380</v>
      </c>
      <c r="H199" s="7" t="s">
        <v>11</v>
      </c>
      <c r="I199" s="7" t="s">
        <v>12</v>
      </c>
      <c r="J199" s="0" t="s">
        <v>13</v>
      </c>
    </row>
    <row r="200" customFormat="false" ht="15" hidden="false" customHeight="false" outlineLevel="0" collapsed="false">
      <c r="A200" s="5" t="n">
        <v>44592</v>
      </c>
      <c r="B200" s="6" t="n">
        <v>0.260416666666667</v>
      </c>
      <c r="C200" s="7" t="n">
        <v>548</v>
      </c>
      <c r="D200" s="7" t="s">
        <v>14</v>
      </c>
      <c r="E200" s="7" t="n">
        <v>25100</v>
      </c>
      <c r="F200" s="7" t="n">
        <v>15660</v>
      </c>
      <c r="G200" s="8" t="n">
        <v>9440</v>
      </c>
      <c r="H200" s="7" t="s">
        <v>11</v>
      </c>
      <c r="I200" s="7" t="s">
        <v>12</v>
      </c>
      <c r="J200" s="0" t="s">
        <v>13</v>
      </c>
    </row>
    <row r="201" customFormat="false" ht="15" hidden="false" customHeight="false" outlineLevel="0" collapsed="false">
      <c r="A201" s="5" t="n">
        <v>44592</v>
      </c>
      <c r="B201" s="6" t="n">
        <v>0.141666666666667</v>
      </c>
      <c r="C201" s="7" t="n">
        <v>537</v>
      </c>
      <c r="D201" s="7" t="s">
        <v>15</v>
      </c>
      <c r="E201" s="7" t="n">
        <v>16160</v>
      </c>
      <c r="F201" s="7" t="n">
        <v>12820</v>
      </c>
      <c r="G201" s="8" t="n">
        <v>3340</v>
      </c>
      <c r="H201" s="7" t="s">
        <v>11</v>
      </c>
      <c r="I201" s="7" t="s">
        <v>12</v>
      </c>
      <c r="J201" s="0" t="s">
        <v>13</v>
      </c>
    </row>
    <row r="202" customFormat="false" ht="15" hidden="false" customHeight="false" outlineLevel="0" collapsed="false">
      <c r="A202" s="5" t="n">
        <v>44583</v>
      </c>
      <c r="B202" s="6" t="n">
        <v>0.451388888888889</v>
      </c>
      <c r="C202" s="7" t="n">
        <v>133065</v>
      </c>
      <c r="D202" s="7" t="s">
        <v>27</v>
      </c>
      <c r="E202" s="7" t="n">
        <v>17620</v>
      </c>
      <c r="F202" s="7" t="n">
        <v>15580</v>
      </c>
      <c r="G202" s="8" t="n">
        <v>2040</v>
      </c>
      <c r="H202" s="7" t="s">
        <v>11</v>
      </c>
      <c r="I202" s="7" t="s">
        <v>23</v>
      </c>
      <c r="J202" s="0" t="s">
        <v>21</v>
      </c>
    </row>
    <row r="203" customFormat="false" ht="15" hidden="false" customHeight="false" outlineLevel="0" collapsed="false">
      <c r="A203" s="5" t="n">
        <v>44583</v>
      </c>
      <c r="B203" s="6" t="n">
        <v>0.451388888888889</v>
      </c>
      <c r="C203" s="7" t="n">
        <v>133064</v>
      </c>
      <c r="D203" s="7" t="s">
        <v>27</v>
      </c>
      <c r="E203" s="7" t="n">
        <v>17820</v>
      </c>
      <c r="F203" s="7" t="n">
        <v>17620</v>
      </c>
      <c r="G203" s="8" t="n">
        <v>200</v>
      </c>
      <c r="H203" s="7" t="s">
        <v>11</v>
      </c>
      <c r="I203" s="7" t="s">
        <v>23</v>
      </c>
      <c r="J203" s="0" t="s">
        <v>21</v>
      </c>
    </row>
    <row r="204" customFormat="false" ht="15" hidden="false" customHeight="false" outlineLevel="0" collapsed="false">
      <c r="A204" s="5" t="n">
        <v>44592</v>
      </c>
      <c r="B204" s="6" t="n">
        <v>0.536805555555556</v>
      </c>
      <c r="C204" s="7" t="n">
        <v>133543</v>
      </c>
      <c r="D204" s="7" t="s">
        <v>10</v>
      </c>
      <c r="E204" s="7" t="n">
        <v>3120</v>
      </c>
      <c r="F204" s="7" t="n">
        <v>2900</v>
      </c>
      <c r="G204" s="8" t="n">
        <v>220</v>
      </c>
      <c r="H204" s="7" t="s">
        <v>11</v>
      </c>
      <c r="I204" s="7" t="s">
        <v>20</v>
      </c>
      <c r="J204" s="0" t="s">
        <v>21</v>
      </c>
    </row>
    <row r="205" customFormat="false" ht="15" hidden="false" customHeight="false" outlineLevel="0" collapsed="false">
      <c r="A205" s="5" t="n">
        <v>44592</v>
      </c>
      <c r="B205" s="6" t="n">
        <v>0.545138888888889</v>
      </c>
      <c r="C205" s="7" t="n">
        <v>133548</v>
      </c>
      <c r="D205" s="7" t="s">
        <v>10</v>
      </c>
      <c r="E205" s="7" t="n">
        <v>3080</v>
      </c>
      <c r="F205" s="7" t="n">
        <v>2820</v>
      </c>
      <c r="G205" s="8" t="n">
        <v>260</v>
      </c>
      <c r="H205" s="7" t="s">
        <v>11</v>
      </c>
      <c r="I205" s="7" t="s">
        <v>20</v>
      </c>
      <c r="J205" s="0" t="s">
        <v>21</v>
      </c>
    </row>
    <row r="206" customFormat="false" ht="15" hidden="false" customHeight="false" outlineLevel="0" collapsed="false">
      <c r="A206" s="5" t="n">
        <v>44592</v>
      </c>
      <c r="B206" s="6" t="n">
        <v>0.340972222222222</v>
      </c>
      <c r="C206" s="7" t="n">
        <v>133493</v>
      </c>
      <c r="D206" s="7" t="s">
        <v>14</v>
      </c>
      <c r="E206" s="7" t="n">
        <v>15840</v>
      </c>
      <c r="F206" s="7" t="n">
        <v>15460</v>
      </c>
      <c r="G206" s="8" t="n">
        <v>380</v>
      </c>
      <c r="H206" s="7" t="s">
        <v>11</v>
      </c>
      <c r="I206" s="7" t="s">
        <v>19</v>
      </c>
      <c r="J206" s="0" t="s">
        <v>13</v>
      </c>
    </row>
  </sheetData>
  <autoFilter ref="A1:J206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9" t="s">
        <v>0</v>
      </c>
      <c r="B1" s="10" t="s">
        <v>28</v>
      </c>
    </row>
    <row r="3" customFormat="false" ht="12.8" hidden="false" customHeight="false" outlineLevel="0" collapsed="false">
      <c r="A3" s="11" t="s">
        <v>29</v>
      </c>
      <c r="B3" s="12" t="s">
        <v>8</v>
      </c>
      <c r="C3" s="13"/>
      <c r="D3" s="13"/>
      <c r="E3" s="13"/>
      <c r="F3" s="13"/>
      <c r="G3" s="13"/>
      <c r="H3" s="14"/>
    </row>
    <row r="4" customFormat="false" ht="12.8" hidden="false" customHeight="false" outlineLevel="0" collapsed="false">
      <c r="A4" s="15" t="s">
        <v>3</v>
      </c>
      <c r="B4" s="16" t="s">
        <v>26</v>
      </c>
      <c r="C4" s="17" t="s">
        <v>20</v>
      </c>
      <c r="D4" s="17" t="s">
        <v>12</v>
      </c>
      <c r="E4" s="17" t="s">
        <v>24</v>
      </c>
      <c r="F4" s="17" t="s">
        <v>19</v>
      </c>
      <c r="G4" s="17" t="s">
        <v>23</v>
      </c>
      <c r="H4" s="18" t="s">
        <v>30</v>
      </c>
    </row>
    <row r="5" customFormat="false" ht="12.8" hidden="false" customHeight="false" outlineLevel="0" collapsed="false">
      <c r="A5" s="19" t="s">
        <v>25</v>
      </c>
      <c r="B5" s="20" t="n">
        <v>17320</v>
      </c>
      <c r="C5" s="21"/>
      <c r="D5" s="21"/>
      <c r="E5" s="21"/>
      <c r="F5" s="21"/>
      <c r="G5" s="22" t="n">
        <v>10120</v>
      </c>
      <c r="H5" s="23" t="n">
        <v>27440</v>
      </c>
    </row>
    <row r="6" customFormat="false" ht="12.8" hidden="false" customHeight="false" outlineLevel="0" collapsed="false">
      <c r="A6" s="24" t="s">
        <v>10</v>
      </c>
      <c r="B6" s="25"/>
      <c r="C6" s="26" t="n">
        <v>11860</v>
      </c>
      <c r="D6" s="26" t="n">
        <v>940</v>
      </c>
      <c r="E6" s="27"/>
      <c r="F6" s="27"/>
      <c r="G6" s="28"/>
      <c r="H6" s="29" t="n">
        <v>12800</v>
      </c>
    </row>
    <row r="7" customFormat="false" ht="12.8" hidden="false" customHeight="false" outlineLevel="0" collapsed="false">
      <c r="A7" s="24" t="s">
        <v>14</v>
      </c>
      <c r="B7" s="25"/>
      <c r="C7" s="27"/>
      <c r="D7" s="26" t="n">
        <v>269600</v>
      </c>
      <c r="E7" s="26" t="n">
        <v>6060</v>
      </c>
      <c r="F7" s="26" t="n">
        <v>6480</v>
      </c>
      <c r="G7" s="28"/>
      <c r="H7" s="29" t="n">
        <v>282140</v>
      </c>
    </row>
    <row r="8" customFormat="false" ht="12.8" hidden="false" customHeight="false" outlineLevel="0" collapsed="false">
      <c r="A8" s="24" t="s">
        <v>18</v>
      </c>
      <c r="B8" s="25"/>
      <c r="C8" s="27"/>
      <c r="D8" s="26" t="n">
        <v>6180</v>
      </c>
      <c r="E8" s="27"/>
      <c r="F8" s="27"/>
      <c r="G8" s="28"/>
      <c r="H8" s="29" t="n">
        <v>6180</v>
      </c>
    </row>
    <row r="9" customFormat="false" ht="12.8" hidden="false" customHeight="false" outlineLevel="0" collapsed="false">
      <c r="A9" s="24" t="s">
        <v>27</v>
      </c>
      <c r="B9" s="25"/>
      <c r="C9" s="27"/>
      <c r="D9" s="27"/>
      <c r="E9" s="27"/>
      <c r="F9" s="27"/>
      <c r="G9" s="30" t="n">
        <v>2240</v>
      </c>
      <c r="H9" s="29" t="n">
        <v>2240</v>
      </c>
    </row>
    <row r="10" customFormat="false" ht="12.8" hidden="false" customHeight="false" outlineLevel="0" collapsed="false">
      <c r="A10" s="24" t="s">
        <v>16</v>
      </c>
      <c r="B10" s="25"/>
      <c r="C10" s="26" t="n">
        <v>8840</v>
      </c>
      <c r="D10" s="26" t="n">
        <v>1900</v>
      </c>
      <c r="E10" s="27"/>
      <c r="F10" s="27"/>
      <c r="G10" s="30" t="n">
        <v>540</v>
      </c>
      <c r="H10" s="29" t="n">
        <v>11280</v>
      </c>
    </row>
    <row r="11" customFormat="false" ht="12.8" hidden="false" customHeight="false" outlineLevel="0" collapsed="false">
      <c r="A11" s="24" t="s">
        <v>15</v>
      </c>
      <c r="B11" s="25"/>
      <c r="C11" s="27"/>
      <c r="D11" s="26" t="n">
        <v>134340</v>
      </c>
      <c r="E11" s="27"/>
      <c r="F11" s="27"/>
      <c r="G11" s="28"/>
      <c r="H11" s="29" t="n">
        <v>134340</v>
      </c>
    </row>
    <row r="12" customFormat="false" ht="12.8" hidden="false" customHeight="false" outlineLevel="0" collapsed="false">
      <c r="A12" s="24" t="s">
        <v>17</v>
      </c>
      <c r="B12" s="25"/>
      <c r="C12" s="27"/>
      <c r="D12" s="26" t="n">
        <v>11520</v>
      </c>
      <c r="E12" s="27"/>
      <c r="F12" s="27"/>
      <c r="G12" s="28"/>
      <c r="H12" s="29" t="n">
        <v>11520</v>
      </c>
    </row>
    <row r="13" customFormat="false" ht="12.8" hidden="false" customHeight="false" outlineLevel="0" collapsed="false">
      <c r="A13" s="24" t="s">
        <v>22</v>
      </c>
      <c r="B13" s="31"/>
      <c r="C13" s="32"/>
      <c r="D13" s="32"/>
      <c r="E13" s="32"/>
      <c r="F13" s="32"/>
      <c r="G13" s="33" t="n">
        <v>12400</v>
      </c>
      <c r="H13" s="34" t="n">
        <v>12400</v>
      </c>
    </row>
    <row r="14" customFormat="false" ht="12.8" hidden="false" customHeight="false" outlineLevel="0" collapsed="false">
      <c r="A14" s="35" t="s">
        <v>30</v>
      </c>
      <c r="B14" s="36" t="n">
        <v>17320</v>
      </c>
      <c r="C14" s="37" t="n">
        <v>20700</v>
      </c>
      <c r="D14" s="37" t="n">
        <v>424480</v>
      </c>
      <c r="E14" s="37" t="n">
        <v>6060</v>
      </c>
      <c r="F14" s="37" t="n">
        <v>6480</v>
      </c>
      <c r="G14" s="38" t="n">
        <v>25300</v>
      </c>
      <c r="H14" s="39" t="n">
        <v>500340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0" colorId="64" zoomScale="90" zoomScaleNormal="90" zoomScalePageLayoutView="100" workbookViewId="0">
      <selection pane="topLeft" activeCell="D77" activeCellId="0" sqref="D77"/>
    </sheetView>
  </sheetViews>
  <sheetFormatPr defaultRowHeight="14" zeroHeight="false" outlineLevelRow="0" outlineLevelCol="0"/>
  <cols>
    <col collapsed="false" customWidth="true" hidden="false" outlineLevel="0" max="1" min="1" style="40" width="15.11"/>
    <col collapsed="false" customWidth="true" hidden="false" outlineLevel="0" max="2" min="2" style="41" width="17.73"/>
    <col collapsed="false" customWidth="true" hidden="false" outlineLevel="0" max="3" min="3" style="41" width="10.72"/>
    <col collapsed="false" customWidth="true" hidden="false" outlineLevel="0" max="4" min="4" style="40" width="13.47"/>
    <col collapsed="false" customWidth="true" hidden="false" outlineLevel="0" max="6" min="5" style="41" width="11.27"/>
    <col collapsed="false" customWidth="true" hidden="false" outlineLevel="0" max="7" min="7" style="41" width="13.47"/>
    <col collapsed="false" customWidth="true" hidden="false" outlineLevel="0" max="8" min="8" style="41" width="14.54"/>
    <col collapsed="false" customWidth="true" hidden="false" outlineLevel="0" max="9" min="9" style="41" width="15.87"/>
    <col collapsed="false" customWidth="true" hidden="false" outlineLevel="0" max="11" min="10" style="41" width="7.73"/>
    <col collapsed="false" customWidth="true" hidden="false" outlineLevel="0" max="12" min="12" style="41" width="8.18"/>
    <col collapsed="false" customWidth="true" hidden="false" outlineLevel="0" max="13" min="13" style="41" width="12.8"/>
    <col collapsed="false" customWidth="true" hidden="false" outlineLevel="0" max="14" min="14" style="41" width="7.09"/>
    <col collapsed="false" customWidth="true" hidden="false" outlineLevel="0" max="1025" min="15" style="41" width="7.73"/>
  </cols>
  <sheetData>
    <row r="1" customFormat="false" ht="13.8" hidden="false" customHeight="false" outlineLevel="0" collapsed="false">
      <c r="A1" s="40" t="n">
        <v>1</v>
      </c>
      <c r="B1" s="40" t="n">
        <v>2</v>
      </c>
      <c r="C1" s="40" t="n">
        <v>3</v>
      </c>
      <c r="D1" s="40" t="n">
        <v>4</v>
      </c>
      <c r="E1" s="40" t="n">
        <v>5</v>
      </c>
      <c r="F1" s="40" t="n">
        <v>6</v>
      </c>
      <c r="G1" s="40" t="n">
        <v>7</v>
      </c>
    </row>
    <row r="2" customFormat="false" ht="13.8" hidden="false" customHeight="false" outlineLevel="0" collapsed="false">
      <c r="A2" s="42" t="s">
        <v>3</v>
      </c>
      <c r="B2" s="43" t="s">
        <v>31</v>
      </c>
      <c r="C2" s="44" t="s">
        <v>20</v>
      </c>
      <c r="D2" s="44" t="s">
        <v>12</v>
      </c>
      <c r="E2" s="44" t="s">
        <v>24</v>
      </c>
      <c r="F2" s="44" t="s">
        <v>19</v>
      </c>
      <c r="G2" s="44" t="s">
        <v>32</v>
      </c>
      <c r="H2" s="45" t="s">
        <v>30</v>
      </c>
    </row>
    <row r="3" customFormat="false" ht="13.8" hidden="false" customHeight="false" outlineLevel="0" collapsed="false">
      <c r="A3" s="46" t="s">
        <v>25</v>
      </c>
      <c r="B3" s="47" t="n">
        <v>17320</v>
      </c>
      <c r="C3" s="48"/>
      <c r="D3" s="48"/>
      <c r="E3" s="48"/>
      <c r="F3" s="48"/>
      <c r="G3" s="49" t="n">
        <v>10120</v>
      </c>
      <c r="H3" s="50" t="n">
        <f aca="false">SUM(B3:G3)</f>
        <v>27440</v>
      </c>
    </row>
    <row r="4" customFormat="false" ht="13.8" hidden="false" customHeight="false" outlineLevel="0" collapsed="false">
      <c r="A4" s="51" t="s">
        <v>10</v>
      </c>
      <c r="B4" s="52"/>
      <c r="C4" s="53" t="n">
        <v>11860</v>
      </c>
      <c r="D4" s="53" t="n">
        <v>940</v>
      </c>
      <c r="E4" s="53"/>
      <c r="F4" s="53"/>
      <c r="G4" s="54"/>
      <c r="H4" s="50" t="n">
        <f aca="false">SUM(B4:G4)</f>
        <v>12800</v>
      </c>
    </row>
    <row r="5" customFormat="false" ht="13.8" hidden="false" customHeight="false" outlineLevel="0" collapsed="false">
      <c r="A5" s="51" t="s">
        <v>14</v>
      </c>
      <c r="B5" s="52"/>
      <c r="C5" s="53"/>
      <c r="D5" s="53" t="n">
        <v>269600</v>
      </c>
      <c r="E5" s="53" t="n">
        <v>6060</v>
      </c>
      <c r="F5" s="53" t="n">
        <v>6480</v>
      </c>
      <c r="G5" s="54"/>
      <c r="H5" s="50" t="n">
        <f aca="false">SUM(B5:G5)</f>
        <v>282140</v>
      </c>
    </row>
    <row r="6" customFormat="false" ht="13.8" hidden="false" customHeight="false" outlineLevel="0" collapsed="false">
      <c r="A6" s="51" t="s">
        <v>18</v>
      </c>
      <c r="B6" s="52"/>
      <c r="C6" s="53"/>
      <c r="D6" s="53" t="n">
        <v>6180</v>
      </c>
      <c r="E6" s="53"/>
      <c r="F6" s="53"/>
      <c r="G6" s="54"/>
      <c r="H6" s="50" t="n">
        <f aca="false">SUM(B6:G6)</f>
        <v>6180</v>
      </c>
    </row>
    <row r="7" customFormat="false" ht="13.8" hidden="false" customHeight="false" outlineLevel="0" collapsed="false">
      <c r="A7" s="51" t="s">
        <v>27</v>
      </c>
      <c r="B7" s="52"/>
      <c r="C7" s="53"/>
      <c r="D7" s="53"/>
      <c r="E7" s="53"/>
      <c r="F7" s="53"/>
      <c r="G7" s="54" t="n">
        <v>2240</v>
      </c>
      <c r="H7" s="50" t="n">
        <f aca="false">SUM(B7:G7)</f>
        <v>2240</v>
      </c>
    </row>
    <row r="8" customFormat="false" ht="13.8" hidden="false" customHeight="false" outlineLevel="0" collapsed="false">
      <c r="A8" s="51" t="s">
        <v>16</v>
      </c>
      <c r="B8" s="52"/>
      <c r="C8" s="53" t="n">
        <v>8840</v>
      </c>
      <c r="D8" s="53" t="n">
        <v>1900</v>
      </c>
      <c r="E8" s="53"/>
      <c r="F8" s="53"/>
      <c r="G8" s="54" t="n">
        <v>540</v>
      </c>
      <c r="H8" s="50" t="n">
        <f aca="false">SUM(B8:G8)</f>
        <v>11280</v>
      </c>
    </row>
    <row r="9" customFormat="false" ht="13.8" hidden="false" customHeight="false" outlineLevel="0" collapsed="false">
      <c r="A9" s="51" t="s">
        <v>15</v>
      </c>
      <c r="B9" s="52"/>
      <c r="C9" s="53"/>
      <c r="D9" s="53" t="n">
        <v>134340</v>
      </c>
      <c r="E9" s="53"/>
      <c r="F9" s="53"/>
      <c r="G9" s="54"/>
      <c r="H9" s="50" t="n">
        <f aca="false">SUM(B9:G9)</f>
        <v>134340</v>
      </c>
    </row>
    <row r="10" customFormat="false" ht="13.8" hidden="false" customHeight="false" outlineLevel="0" collapsed="false">
      <c r="A10" s="51" t="s">
        <v>17</v>
      </c>
      <c r="B10" s="52"/>
      <c r="C10" s="53"/>
      <c r="D10" s="53" t="n">
        <v>11520</v>
      </c>
      <c r="E10" s="53"/>
      <c r="F10" s="53"/>
      <c r="G10" s="54"/>
      <c r="H10" s="50" t="n">
        <f aca="false">SUM(B10:G10)</f>
        <v>11520</v>
      </c>
    </row>
    <row r="11" customFormat="false" ht="13.8" hidden="false" customHeight="false" outlineLevel="0" collapsed="false">
      <c r="A11" s="51" t="s">
        <v>22</v>
      </c>
      <c r="B11" s="52"/>
      <c r="C11" s="53"/>
      <c r="D11" s="53"/>
      <c r="E11" s="53"/>
      <c r="F11" s="53"/>
      <c r="G11" s="54" t="n">
        <v>12400</v>
      </c>
      <c r="H11" s="50" t="n">
        <f aca="false">SUM(B11:G11)</f>
        <v>12400</v>
      </c>
    </row>
    <row r="12" customFormat="false" ht="13.8" hidden="false" customHeight="false" outlineLevel="0" collapsed="false">
      <c r="A12" s="51"/>
      <c r="B12" s="52"/>
      <c r="C12" s="53"/>
      <c r="D12" s="53"/>
      <c r="E12" s="53"/>
      <c r="F12" s="53"/>
      <c r="G12" s="54"/>
      <c r="H12" s="50" t="n">
        <f aca="false">SUM(B12:G12)</f>
        <v>0</v>
      </c>
    </row>
    <row r="13" customFormat="false" ht="13.8" hidden="false" customHeight="false" outlineLevel="0" collapsed="false">
      <c r="A13" s="51"/>
      <c r="B13" s="55"/>
      <c r="C13" s="56"/>
      <c r="D13" s="56"/>
      <c r="E13" s="56"/>
      <c r="F13" s="56"/>
      <c r="G13" s="57"/>
      <c r="H13" s="50" t="n">
        <f aca="false">SUM(B13:G13)</f>
        <v>0</v>
      </c>
    </row>
    <row r="14" s="41" customFormat="true" ht="13.8" hidden="false" customHeight="false" outlineLevel="0" collapsed="false">
      <c r="B14" s="58"/>
      <c r="C14" s="58"/>
      <c r="D14" s="58"/>
      <c r="E14" s="58"/>
      <c r="F14" s="58"/>
      <c r="G14" s="58"/>
      <c r="H14" s="50" t="n">
        <f aca="false">SUM(B14:G14)</f>
        <v>0</v>
      </c>
    </row>
    <row r="15" customFormat="false" ht="13.8" hidden="false" customHeight="false" outlineLevel="0" collapsed="false">
      <c r="A15" s="45" t="s">
        <v>30</v>
      </c>
      <c r="B15" s="59" t="n">
        <f aca="false">SUM(B3:B14)</f>
        <v>17320</v>
      </c>
      <c r="C15" s="59" t="n">
        <f aca="false">SUM(C3:C14)</f>
        <v>20700</v>
      </c>
      <c r="D15" s="59" t="n">
        <f aca="false">SUM(D3:D14)</f>
        <v>424480</v>
      </c>
      <c r="E15" s="59" t="n">
        <f aca="false">SUM(E3:E14)</f>
        <v>6060</v>
      </c>
      <c r="F15" s="59" t="n">
        <f aca="false">SUM(F3:F14)</f>
        <v>6480</v>
      </c>
      <c r="G15" s="59" t="n">
        <f aca="false">SUM(G3:G14)</f>
        <v>25300</v>
      </c>
      <c r="H15" s="60" t="n">
        <f aca="false">SUM(B15:G15)</f>
        <v>500340</v>
      </c>
    </row>
    <row r="16" customFormat="false" ht="15" hidden="false" customHeight="false" outlineLevel="0" collapsed="false">
      <c r="A16" s="61" t="s">
        <v>33</v>
      </c>
      <c r="B16" s="62" t="n">
        <f aca="false">+E79</f>
        <v>17320</v>
      </c>
      <c r="C16" s="62" t="n">
        <f aca="false">+E73</f>
        <v>20700</v>
      </c>
      <c r="D16" s="62" t="n">
        <f aca="false">+F35</f>
        <v>424480</v>
      </c>
      <c r="E16" s="62" t="n">
        <f aca="false">+E64</f>
        <v>6060</v>
      </c>
      <c r="F16" s="62" t="n">
        <f aca="false">+E56</f>
        <v>6480</v>
      </c>
      <c r="G16" s="62" t="n">
        <f aca="false">+F46</f>
        <v>25300</v>
      </c>
      <c r="H16" s="63" t="n">
        <f aca="false">SUM(B16:G16)</f>
        <v>500340</v>
      </c>
    </row>
    <row r="17" customFormat="false" ht="14.5" hidden="false" customHeight="false" outlineLevel="0" collapsed="false">
      <c r="C17" s="64"/>
      <c r="D17" s="64"/>
      <c r="E17" s="64"/>
      <c r="F17" s="64"/>
      <c r="G17" s="64"/>
      <c r="H17" s="64"/>
    </row>
    <row r="18" customFormat="false" ht="14.5" hidden="false" customHeight="false" outlineLevel="0" collapsed="false">
      <c r="C18" s="64"/>
      <c r="D18" s="64" t="s">
        <v>34</v>
      </c>
      <c r="E18" s="64" t="s">
        <v>35</v>
      </c>
      <c r="F18" s="64" t="s">
        <v>36</v>
      </c>
      <c r="G18" s="64"/>
      <c r="H18" s="64"/>
    </row>
    <row r="19" customFormat="false" ht="14.5" hidden="false" customHeight="false" outlineLevel="0" collapsed="false">
      <c r="A19" s="65" t="s">
        <v>37</v>
      </c>
      <c r="B19" s="65"/>
      <c r="C19" s="65"/>
      <c r="D19" s="66" t="n">
        <f aca="false">+F35+F46+E56+E64+E73+E79</f>
        <v>500340</v>
      </c>
      <c r="E19" s="67" t="n">
        <f aca="false">+G35+G46+F56+F64+F73+F79</f>
        <v>500340</v>
      </c>
      <c r="F19" s="66" t="n">
        <f aca="false">+E19-D19</f>
        <v>0</v>
      </c>
      <c r="G19" s="64"/>
      <c r="H19" s="64"/>
    </row>
    <row r="20" customFormat="false" ht="14.5" hidden="false" customHeight="false" outlineLevel="0" collapsed="false">
      <c r="C20" s="64"/>
      <c r="D20" s="64"/>
      <c r="E20" s="64"/>
      <c r="F20" s="64"/>
      <c r="G20" s="64"/>
      <c r="H20" s="64"/>
    </row>
    <row r="21" s="41" customFormat="true" ht="14" hidden="false" customHeight="false" outlineLevel="0" collapsed="false"/>
    <row r="22" customFormat="false" ht="14.5" hidden="false" customHeight="false" outlineLevel="0" collapsed="false">
      <c r="A22" s="64" t="s">
        <v>12</v>
      </c>
      <c r="B22" s="64"/>
      <c r="C22" s="64"/>
      <c r="D22" s="64"/>
      <c r="E22" s="64"/>
      <c r="F22" s="64"/>
      <c r="G22" s="64"/>
      <c r="H22" s="64"/>
    </row>
    <row r="23" customFormat="false" ht="14.5" hidden="false" customHeight="false" outlineLevel="0" collapsed="false">
      <c r="A23" s="40" t="s">
        <v>38</v>
      </c>
      <c r="B23" s="41" t="s">
        <v>39</v>
      </c>
      <c r="C23" s="68" t="s">
        <v>40</v>
      </c>
      <c r="D23" s="69" t="s">
        <v>41</v>
      </c>
      <c r="E23" s="68" t="s">
        <v>42</v>
      </c>
      <c r="F23" s="70" t="s">
        <v>43</v>
      </c>
      <c r="G23" s="68" t="s">
        <v>35</v>
      </c>
      <c r="H23" s="68"/>
    </row>
    <row r="24" customFormat="false" ht="15" hidden="false" customHeight="false" outlineLevel="0" collapsed="false">
      <c r="A24" s="71" t="n">
        <v>109</v>
      </c>
      <c r="B24" s="72" t="s">
        <v>44</v>
      </c>
      <c r="C24" s="73" t="s">
        <v>25</v>
      </c>
      <c r="D24" s="74"/>
      <c r="E24" s="73"/>
      <c r="F24" s="75"/>
      <c r="G24" s="76" t="n">
        <f aca="false">IFERROR(INDEX($B$3:$G$14,MATCH(C24,$A$3:$A$14,0),MATCH($A$22,$B$2:$G$2,0)),0)</f>
        <v>0</v>
      </c>
      <c r="H24" s="77" t="str">
        <f aca="false">IF(G24=F24,"Bien",G24-F24)</f>
        <v>Bien</v>
      </c>
    </row>
    <row r="25" customFormat="false" ht="15" hidden="false" customHeight="false" outlineLevel="0" collapsed="false">
      <c r="A25" s="78" t="n">
        <v>333</v>
      </c>
      <c r="B25" s="79" t="s">
        <v>45</v>
      </c>
      <c r="C25" s="80" t="s">
        <v>10</v>
      </c>
      <c r="D25" s="81" t="s">
        <v>46</v>
      </c>
      <c r="E25" s="68" t="s">
        <v>47</v>
      </c>
      <c r="F25" s="70" t="n">
        <v>940</v>
      </c>
      <c r="G25" s="82" t="n">
        <f aca="false">IFERROR(INDEX($B$3:$G$14,MATCH(C25,$A$3:$A$14,0),MATCH($A$22,$B$2:$G$2,0)),0)</f>
        <v>940</v>
      </c>
      <c r="H25" s="83" t="str">
        <f aca="false">IF(G25=F25,"Bien",G25-F25)</f>
        <v>Bien</v>
      </c>
    </row>
    <row r="26" customFormat="false" ht="14.15" hidden="false" customHeight="false" outlineLevel="0" collapsed="false">
      <c r="A26" s="84" t="n">
        <v>320</v>
      </c>
      <c r="B26" s="85" t="s">
        <v>48</v>
      </c>
      <c r="C26" s="68" t="s">
        <v>14</v>
      </c>
      <c r="D26" s="81" t="s">
        <v>46</v>
      </c>
      <c r="E26" s="68" t="s">
        <v>49</v>
      </c>
      <c r="F26" s="70" t="n">
        <v>269600</v>
      </c>
      <c r="G26" s="82" t="n">
        <f aca="false">IFERROR(INDEX($B$3:$G$14,MATCH(C26,$A$3:$A$14,0),MATCH($A$22,$B$2:$G$2,0)),0)</f>
        <v>269600</v>
      </c>
      <c r="H26" s="83" t="str">
        <f aca="false">IF(G26=F26,"Bien",G26-F26)</f>
        <v>Bien</v>
      </c>
    </row>
    <row r="27" customFormat="false" ht="15" hidden="false" customHeight="false" outlineLevel="0" collapsed="false">
      <c r="A27" s="84" t="n">
        <v>321</v>
      </c>
      <c r="B27" s="85" t="s">
        <v>50</v>
      </c>
      <c r="C27" s="68" t="s">
        <v>51</v>
      </c>
      <c r="D27" s="81"/>
      <c r="E27" s="68"/>
      <c r="F27" s="70"/>
      <c r="G27" s="82" t="n">
        <f aca="false">IFERROR(INDEX($B$3:$G$14,MATCH(C27,$A$3:$A$14,0),MATCH($A$22,$B$2:$G$2,0)),0)</f>
        <v>0</v>
      </c>
      <c r="H27" s="83" t="str">
        <f aca="false">IF(G27=F27,"Bien",G27-F27)</f>
        <v>Bien</v>
      </c>
    </row>
    <row r="28" customFormat="false" ht="14.15" hidden="false" customHeight="false" outlineLevel="0" collapsed="false">
      <c r="A28" s="78" t="n">
        <v>316</v>
      </c>
      <c r="B28" s="41" t="s">
        <v>52</v>
      </c>
      <c r="C28" s="68" t="s">
        <v>18</v>
      </c>
      <c r="D28" s="81" t="s">
        <v>46</v>
      </c>
      <c r="E28" s="68" t="s">
        <v>47</v>
      </c>
      <c r="F28" s="0" t="n">
        <v>6180</v>
      </c>
      <c r="G28" s="82" t="n">
        <f aca="false">IFERROR(INDEX($B$3:$G$14,MATCH(C28,$A$3:$A$14,0),MATCH($A$22,$B$2:$G$2,0)),0)</f>
        <v>6180</v>
      </c>
      <c r="H28" s="83" t="str">
        <f aca="false">IF(G28=F28,"Bien",G28-F28)</f>
        <v>Bien</v>
      </c>
    </row>
    <row r="29" customFormat="false" ht="15" hidden="false" customHeight="false" outlineLevel="0" collapsed="false">
      <c r="A29" s="84" t="n">
        <v>196</v>
      </c>
      <c r="B29" s="85" t="s">
        <v>53</v>
      </c>
      <c r="C29" s="68" t="s">
        <v>54</v>
      </c>
      <c r="D29" s="81"/>
      <c r="E29" s="68"/>
      <c r="F29" s="0"/>
      <c r="G29" s="82" t="n">
        <f aca="false">IFERROR(INDEX($B$3:$G$14,MATCH(C29,$A$3:$A$14,0),MATCH($A$22,$B$2:$G$2,0)),0)</f>
        <v>0</v>
      </c>
      <c r="H29" s="83" t="str">
        <f aca="false">IF(G29=F29,"Bien",G29-F29)</f>
        <v>Bien</v>
      </c>
      <c r="I29" s="41" t="s">
        <v>55</v>
      </c>
    </row>
    <row r="30" customFormat="false" ht="14.15" hidden="false" customHeight="false" outlineLevel="0" collapsed="false">
      <c r="A30" s="78" t="n">
        <v>309</v>
      </c>
      <c r="B30" s="41" t="s">
        <v>56</v>
      </c>
      <c r="C30" s="68" t="s">
        <v>16</v>
      </c>
      <c r="D30" s="81" t="s">
        <v>46</v>
      </c>
      <c r="E30" s="68" t="s">
        <v>47</v>
      </c>
      <c r="F30" s="0" t="n">
        <v>1900</v>
      </c>
      <c r="G30" s="82" t="n">
        <f aca="false">IFERROR(INDEX($B$3:$G$14,MATCH(C30,$A$3:$A$14,0),MATCH($A$22,$B$2:$G$2,0)),0)</f>
        <v>1900</v>
      </c>
      <c r="H30" s="83" t="str">
        <f aca="false">IF(G30=F30,"Bien",G30-F30)</f>
        <v>Bien</v>
      </c>
      <c r="L30" s="78"/>
      <c r="M30" s="86"/>
      <c r="N30" s="79"/>
    </row>
    <row r="31" customFormat="false" ht="14.15" hidden="false" customHeight="false" outlineLevel="0" collapsed="false">
      <c r="A31" s="78" t="n">
        <v>318</v>
      </c>
      <c r="B31" s="85" t="s">
        <v>53</v>
      </c>
      <c r="C31" s="68" t="s">
        <v>15</v>
      </c>
      <c r="D31" s="81" t="s">
        <v>46</v>
      </c>
      <c r="E31" s="68" t="s">
        <v>49</v>
      </c>
      <c r="F31" s="0" t="n">
        <v>134340</v>
      </c>
      <c r="G31" s="82" t="n">
        <f aca="false">IFERROR(INDEX($B$3:$G$14,MATCH(C31,$A$3:$A$14,0),MATCH($A$22,$B$2:$G$2,0)),0)</f>
        <v>134340</v>
      </c>
      <c r="H31" s="83" t="str">
        <f aca="false">IF(G31=F31,"Bien",G31-F31)</f>
        <v>Bien</v>
      </c>
      <c r="L31" s="78"/>
      <c r="M31" s="79"/>
      <c r="N31" s="79"/>
    </row>
    <row r="32" customFormat="false" ht="14.15" hidden="false" customHeight="false" outlineLevel="0" collapsed="false">
      <c r="A32" s="78" t="n">
        <v>310</v>
      </c>
      <c r="B32" s="85" t="s">
        <v>57</v>
      </c>
      <c r="C32" s="79" t="s">
        <v>17</v>
      </c>
      <c r="D32" s="81" t="n">
        <v>1</v>
      </c>
      <c r="E32" s="68" t="s">
        <v>49</v>
      </c>
      <c r="F32" s="0" t="n">
        <v>11520</v>
      </c>
      <c r="G32" s="82" t="n">
        <f aca="false">IFERROR(INDEX($B$3:$G$14,MATCH(C32,$A$3:$A$14,0),MATCH($A$22,$B$2:$G$2,0)),0)</f>
        <v>11520</v>
      </c>
      <c r="H32" s="83" t="str">
        <f aca="false">IF(G32=F32,"Bien",G32-F32)</f>
        <v>Bien</v>
      </c>
      <c r="N32" s="85"/>
    </row>
    <row r="33" customFormat="false" ht="15" hidden="false" customHeight="false" outlineLevel="0" collapsed="false">
      <c r="A33" s="78" t="n">
        <v>296</v>
      </c>
      <c r="B33" s="79" t="s">
        <v>58</v>
      </c>
      <c r="C33" s="79" t="s">
        <v>22</v>
      </c>
      <c r="D33" s="81"/>
      <c r="E33" s="68"/>
      <c r="F33" s="87"/>
      <c r="G33" s="82" t="n">
        <f aca="false">IFERROR(INDEX($B$3:$G$14,MATCH(C33,$A$3:$A$14,0),MATCH($A$22,$B$2:$G$2,0)),0)</f>
        <v>0</v>
      </c>
      <c r="H33" s="88" t="str">
        <f aca="false">IF(G33=F33,"Bien",G33-F33)</f>
        <v>Bien</v>
      </c>
      <c r="N33" s="85"/>
    </row>
    <row r="34" customFormat="false" ht="15" hidden="false" customHeight="false" outlineLevel="0" collapsed="false">
      <c r="A34" s="89"/>
      <c r="B34" s="90" t="s">
        <v>44</v>
      </c>
      <c r="C34" s="90" t="s">
        <v>59</v>
      </c>
      <c r="D34" s="91"/>
      <c r="E34" s="92"/>
      <c r="F34" s="93"/>
      <c r="G34" s="94" t="n">
        <f aca="false">IFERROR(INDEX($B$3:$G$14,MATCH(C34,$A$3:$A$14,0),MATCH($A$22,$B$2:$G$2,0)),0)</f>
        <v>0</v>
      </c>
      <c r="H34" s="95" t="str">
        <f aca="false">IF(G34=F34,"Bien",G34-F34)</f>
        <v>Bien</v>
      </c>
      <c r="I34" s="41" t="s">
        <v>60</v>
      </c>
      <c r="N34" s="85"/>
    </row>
    <row r="35" customFormat="false" ht="13.8" hidden="false" customHeight="false" outlineLevel="0" collapsed="false">
      <c r="C35" s="68"/>
      <c r="D35" s="69"/>
      <c r="E35" s="68"/>
      <c r="F35" s="96" t="n">
        <f aca="false">SUM(F24:F34)</f>
        <v>424480</v>
      </c>
      <c r="G35" s="97" t="n">
        <f aca="false">SUM(G24:G34)</f>
        <v>424480</v>
      </c>
      <c r="H35" s="68"/>
      <c r="I35" s="98" t="str">
        <f aca="false">IF(G35=D15,"OK","Revisar")</f>
        <v>OK</v>
      </c>
      <c r="L35" s="78"/>
      <c r="N35" s="68"/>
    </row>
    <row r="36" customFormat="false" ht="14.5" hidden="false" customHeight="false" outlineLevel="0" collapsed="false">
      <c r="A36" s="64" t="str">
        <f aca="false">+G2</f>
        <v>VOLUMINOSOS</v>
      </c>
      <c r="B36" s="64"/>
      <c r="C36" s="64"/>
      <c r="D36" s="64"/>
      <c r="E36" s="64"/>
      <c r="F36" s="64"/>
      <c r="G36" s="64"/>
      <c r="H36" s="64"/>
      <c r="L36" s="78"/>
      <c r="N36" s="68"/>
    </row>
    <row r="37" customFormat="false" ht="14.5" hidden="false" customHeight="false" outlineLevel="0" collapsed="false">
      <c r="C37" s="68" t="s">
        <v>40</v>
      </c>
      <c r="D37" s="69" t="s">
        <v>61</v>
      </c>
      <c r="E37" s="68" t="s">
        <v>62</v>
      </c>
      <c r="F37" s="96" t="s">
        <v>43</v>
      </c>
      <c r="G37" s="68" t="s">
        <v>35</v>
      </c>
      <c r="H37" s="68"/>
    </row>
    <row r="38" customFormat="false" ht="15" hidden="false" customHeight="false" outlineLevel="0" collapsed="false">
      <c r="A38" s="71" t="n">
        <v>109</v>
      </c>
      <c r="B38" s="72" t="s">
        <v>44</v>
      </c>
      <c r="C38" s="73" t="s">
        <v>25</v>
      </c>
      <c r="D38" s="99" t="n">
        <v>2</v>
      </c>
      <c r="E38" s="75" t="n">
        <v>4</v>
      </c>
      <c r="F38" s="75" t="n">
        <v>10120</v>
      </c>
      <c r="G38" s="100" t="n">
        <f aca="false">IFERROR(INDEX($B$3:$G$14,MATCH(C38,$A$3:$A$14,0),MATCH($A$36,$B$2:$G$2,0)),0)</f>
        <v>10120</v>
      </c>
      <c r="H38" s="101" t="str">
        <f aca="false">IF(G38=F38,"Bien",G38-F38)</f>
        <v>Bien</v>
      </c>
    </row>
    <row r="39" customFormat="false" ht="15" hidden="false" customHeight="false" outlineLevel="0" collapsed="false">
      <c r="A39" s="78" t="n">
        <v>333</v>
      </c>
      <c r="B39" s="41" t="s">
        <v>45</v>
      </c>
      <c r="C39" s="68" t="s">
        <v>10</v>
      </c>
      <c r="D39" s="102"/>
      <c r="E39" s="70"/>
      <c r="F39" s="70"/>
      <c r="G39" s="103" t="n">
        <f aca="false">IFERROR(INDEX($B$3:$G$14,MATCH(C39,$A$3:$A$14,0),MATCH($A$36,$B$2:$G$2,0)),0)</f>
        <v>0</v>
      </c>
      <c r="H39" s="104" t="str">
        <f aca="false">IF(G39=F39,"Bien",G39-F39)</f>
        <v>Bien</v>
      </c>
    </row>
    <row r="40" customFormat="false" ht="15" hidden="false" customHeight="false" outlineLevel="0" collapsed="false">
      <c r="A40" s="78" t="n">
        <v>316</v>
      </c>
      <c r="B40" s="79" t="s">
        <v>52</v>
      </c>
      <c r="C40" s="79" t="s">
        <v>18</v>
      </c>
      <c r="D40" s="102"/>
      <c r="E40" s="70"/>
      <c r="F40" s="70"/>
      <c r="G40" s="103" t="n">
        <f aca="false">IFERROR(INDEX($B$3:$G$14,MATCH(C40,$A$3:$A$14,0),MATCH($A$36,$B$2:$G$2,0)),0)</f>
        <v>0</v>
      </c>
      <c r="H40" s="104" t="str">
        <f aca="false">IF(G40=F40,"Bien",G40-F40)</f>
        <v>Bien</v>
      </c>
    </row>
    <row r="41" customFormat="false" ht="14.9" hidden="false" customHeight="false" outlineLevel="0" collapsed="false">
      <c r="A41" s="78" t="n">
        <v>309</v>
      </c>
      <c r="B41" s="41" t="s">
        <v>56</v>
      </c>
      <c r="C41" s="68" t="s">
        <v>16</v>
      </c>
      <c r="D41" s="102" t="n">
        <v>2</v>
      </c>
      <c r="E41" s="70" t="n">
        <v>4</v>
      </c>
      <c r="F41" s="70" t="n">
        <v>540</v>
      </c>
      <c r="G41" s="103" t="n">
        <f aca="false">IFERROR(INDEX($B$3:$G$14,MATCH(C41,$A$3:$A$14,0),MATCH($A$36,$B$2:$G$2,0)),0)</f>
        <v>540</v>
      </c>
      <c r="H41" s="105" t="str">
        <f aca="false">IF(G41=F41,"Bien",G41-F41)</f>
        <v>Bien</v>
      </c>
    </row>
    <row r="42" customFormat="false" ht="14.9" hidden="false" customHeight="false" outlineLevel="0" collapsed="false">
      <c r="A42" s="78" t="n">
        <v>296</v>
      </c>
      <c r="B42" s="79" t="s">
        <v>58</v>
      </c>
      <c r="C42" s="79" t="s">
        <v>22</v>
      </c>
      <c r="D42" s="106" t="n">
        <v>2</v>
      </c>
      <c r="E42" s="107" t="n">
        <v>24</v>
      </c>
      <c r="F42" s="107" t="n">
        <v>12400</v>
      </c>
      <c r="G42" s="103" t="n">
        <f aca="false">IFERROR(INDEX($B$3:$G$14,MATCH(C42,$A$3:$A$14,0),MATCH($A$36,$B$2:$G$2,0)),0)</f>
        <v>12400</v>
      </c>
      <c r="H42" s="105" t="str">
        <f aca="false">IF(G42=F42,"Bien",G42-F42)</f>
        <v>Bien</v>
      </c>
    </row>
    <row r="43" customFormat="false" ht="14.9" hidden="false" customHeight="false" outlineLevel="0" collapsed="false">
      <c r="A43" s="78"/>
      <c r="B43" s="108" t="s">
        <v>44</v>
      </c>
      <c r="C43" s="108" t="s">
        <v>59</v>
      </c>
      <c r="D43" s="106"/>
      <c r="E43" s="107"/>
      <c r="F43" s="107"/>
      <c r="G43" s="103" t="n">
        <f aca="false">IFERROR(INDEX($B$3:$G$14,MATCH(C43,$A$3:$A$14,0),MATCH($A$36,$B$2:$G$2,0)),0)</f>
        <v>0</v>
      </c>
      <c r="H43" s="104" t="str">
        <f aca="false">IF(G43=F43,"Bien",G43-F43)</f>
        <v>Bien</v>
      </c>
    </row>
    <row r="44" customFormat="false" ht="14.9" hidden="false" customHeight="false" outlineLevel="0" collapsed="false">
      <c r="A44" s="78"/>
      <c r="B44" s="79"/>
      <c r="C44" s="108" t="s">
        <v>63</v>
      </c>
      <c r="D44" s="106"/>
      <c r="E44" s="107"/>
      <c r="F44" s="107"/>
      <c r="G44" s="103" t="n">
        <f aca="false">IFERROR(INDEX($B$3:$G$14,MATCH(C44,$A$3:$A$14,0),MATCH($A$36,$B$2:$G$2,0)),0)</f>
        <v>0</v>
      </c>
      <c r="H44" s="104" t="str">
        <f aca="false">IF(G44=F44,"Bien",G44-F44)</f>
        <v>Bien</v>
      </c>
    </row>
    <row r="45" customFormat="false" ht="14.9" hidden="false" customHeight="false" outlineLevel="0" collapsed="false">
      <c r="A45" s="89"/>
      <c r="B45" s="109" t="s">
        <v>64</v>
      </c>
      <c r="C45" s="110" t="s">
        <v>27</v>
      </c>
      <c r="D45" s="111" t="n">
        <v>2</v>
      </c>
      <c r="E45" s="112" t="n">
        <v>2</v>
      </c>
      <c r="F45" s="112" t="n">
        <v>2240</v>
      </c>
      <c r="G45" s="113" t="n">
        <f aca="false">IFERROR(INDEX($B$3:$G$14,MATCH(C45,$A$3:$A$14,0),MATCH($A$36,$B$2:$G$2,0)),0)</f>
        <v>2240</v>
      </c>
      <c r="H45" s="114" t="str">
        <f aca="false">IF(G45=F45,"Bien",G45-F45)</f>
        <v>Bien</v>
      </c>
    </row>
    <row r="46" s="41" customFormat="true" ht="13.8" hidden="false" customHeight="false" outlineLevel="0" collapsed="false">
      <c r="D46" s="69"/>
      <c r="E46" s="68"/>
      <c r="F46" s="96" t="n">
        <f aca="false">SUM(F38:F45)</f>
        <v>25300</v>
      </c>
      <c r="G46" s="97" t="n">
        <f aca="false">SUM(G38:G45)</f>
        <v>25300</v>
      </c>
      <c r="H46" s="68"/>
      <c r="I46" s="98" t="str">
        <f aca="false">+IF(G46=G15,"OK","Revisar")</f>
        <v>OK</v>
      </c>
    </row>
    <row r="47" customFormat="false" ht="14.5" hidden="false" customHeight="false" outlineLevel="0" collapsed="false">
      <c r="C47" s="68"/>
      <c r="D47" s="69"/>
      <c r="E47" s="68"/>
      <c r="F47" s="96"/>
      <c r="G47" s="97"/>
      <c r="H47" s="68"/>
    </row>
    <row r="48" customFormat="false" ht="13.8" hidden="false" customHeight="false" outlineLevel="0" collapsed="false">
      <c r="A48" s="64" t="s">
        <v>19</v>
      </c>
      <c r="B48" s="64"/>
      <c r="C48" s="64"/>
      <c r="D48" s="64"/>
      <c r="E48" s="64"/>
      <c r="F48" s="64"/>
      <c r="G48" s="64"/>
      <c r="H48" s="64"/>
    </row>
    <row r="49" customFormat="false" ht="13.8" hidden="false" customHeight="false" outlineLevel="0" collapsed="false">
      <c r="C49" s="115" t="s">
        <v>40</v>
      </c>
      <c r="D49" s="116" t="s">
        <v>62</v>
      </c>
      <c r="E49" s="117" t="s">
        <v>43</v>
      </c>
      <c r="F49" s="118" t="s">
        <v>35</v>
      </c>
      <c r="G49" s="68"/>
      <c r="H49" s="68"/>
    </row>
    <row r="50" customFormat="false" ht="14.15" hidden="false" customHeight="false" outlineLevel="0" collapsed="false">
      <c r="A50" s="119" t="n">
        <v>109</v>
      </c>
      <c r="B50" s="120" t="s">
        <v>44</v>
      </c>
      <c r="C50" s="73" t="s">
        <v>25</v>
      </c>
      <c r="D50" s="121"/>
      <c r="E50" s="122"/>
      <c r="F50" s="123" t="n">
        <f aca="false">IFERROR(INDEX($B$3:$G$14,MATCH(C50,$A$3:$A$14,0),MATCH($A$48,$B$2:$G$2,0)),0)</f>
        <v>0</v>
      </c>
      <c r="G50" s="124" t="str">
        <f aca="false">IF(F50=E50,"Bien",F50-E50)</f>
        <v>Bien</v>
      </c>
      <c r="H50" s="68"/>
    </row>
    <row r="51" customFormat="false" ht="14.15" hidden="false" customHeight="false" outlineLevel="0" collapsed="false">
      <c r="A51" s="125" t="n">
        <v>320</v>
      </c>
      <c r="B51" s="126" t="s">
        <v>48</v>
      </c>
      <c r="C51" s="68" t="s">
        <v>14</v>
      </c>
      <c r="D51" s="127" t="n">
        <v>5</v>
      </c>
      <c r="E51" s="128" t="n">
        <v>6480</v>
      </c>
      <c r="F51" s="129" t="n">
        <f aca="false">IFERROR(INDEX($B$3:$G$14,MATCH(C51,$A$3:$A$14,0),MATCH($A$48,$B$2:$G$2,0)),0)</f>
        <v>6480</v>
      </c>
      <c r="G51" s="104" t="str">
        <f aca="false">IF(F51=E51,"Bien",F51-E51)</f>
        <v>Bien</v>
      </c>
      <c r="H51" s="68"/>
    </row>
    <row r="52" customFormat="false" ht="14.15" hidden="false" customHeight="false" outlineLevel="0" collapsed="false">
      <c r="A52" s="125" t="n">
        <v>321</v>
      </c>
      <c r="B52" s="126" t="s">
        <v>50</v>
      </c>
      <c r="C52" s="68" t="s">
        <v>51</v>
      </c>
      <c r="D52" s="130"/>
      <c r="E52" s="131"/>
      <c r="F52" s="129" t="n">
        <f aca="false">IFERROR(INDEX($B$3:$G$14,MATCH(C52,$A$3:$A$14,0),MATCH($A$48,$B$2:$G$2,0)),0)</f>
        <v>0</v>
      </c>
      <c r="G52" s="104" t="str">
        <f aca="false">IF(F52=E52,"Bien",F52-E52)</f>
        <v>Bien</v>
      </c>
      <c r="H52" s="68"/>
    </row>
    <row r="53" customFormat="false" ht="14.15" hidden="false" customHeight="false" outlineLevel="0" collapsed="false">
      <c r="A53" s="132" t="n">
        <v>296</v>
      </c>
      <c r="B53" s="133" t="s">
        <v>58</v>
      </c>
      <c r="C53" s="68" t="s">
        <v>22</v>
      </c>
      <c r="D53" s="130"/>
      <c r="E53" s="134"/>
      <c r="F53" s="129" t="n">
        <f aca="false">IFERROR(INDEX($B$3:$G$14,MATCH(C53,$A$3:$A$14,0),MATCH($A$48,$B$2:$G$2,0)),0)</f>
        <v>0</v>
      </c>
      <c r="G53" s="104" t="str">
        <f aca="false">IF(F53=E53,"Bien",F53-E53)</f>
        <v>Bien</v>
      </c>
      <c r="H53" s="68"/>
    </row>
    <row r="54" customFormat="false" ht="14.15" hidden="false" customHeight="false" outlineLevel="0" collapsed="false">
      <c r="A54" s="125"/>
      <c r="B54" s="135"/>
      <c r="C54" s="136" t="s">
        <v>63</v>
      </c>
      <c r="D54" s="137"/>
      <c r="E54" s="138"/>
      <c r="F54" s="129" t="n">
        <f aca="false">IFERROR(INDEX($B$3:$G$14,MATCH(C54,$A$3:$A$14,0),MATCH($A$48,$B$2:$G$2,0)),0)</f>
        <v>0</v>
      </c>
      <c r="G54" s="104" t="str">
        <f aca="false">IF(F54=E54,"Bien",F54-E54)</f>
        <v>Bien</v>
      </c>
      <c r="H54" s="68"/>
    </row>
    <row r="55" customFormat="false" ht="14.15" hidden="false" customHeight="false" outlineLevel="0" collapsed="false">
      <c r="A55" s="139"/>
      <c r="B55" s="140" t="s">
        <v>44</v>
      </c>
      <c r="C55" s="90" t="s">
        <v>59</v>
      </c>
      <c r="D55" s="141"/>
      <c r="E55" s="142"/>
      <c r="F55" s="143" t="n">
        <f aca="false">IFERROR(INDEX($B$3:$G$14,MATCH(C55,$A$3:$A$14,0),MATCH($A$48,$B$2:$G$2,0)),0)</f>
        <v>0</v>
      </c>
      <c r="G55" s="144" t="str">
        <f aca="false">IF(F55=E55,"Bien",F55-E55)</f>
        <v>Bien</v>
      </c>
      <c r="H55" s="68"/>
    </row>
    <row r="56" customFormat="false" ht="13.8" hidden="false" customHeight="false" outlineLevel="0" collapsed="false">
      <c r="C56" s="68"/>
      <c r="D56" s="130"/>
      <c r="E56" s="97" t="n">
        <f aca="false">SUM(E50:E55)</f>
        <v>6480</v>
      </c>
      <c r="F56" s="97" t="n">
        <f aca="false">SUM(F50:F55)</f>
        <v>6480</v>
      </c>
      <c r="G56" s="68"/>
      <c r="H56" s="68"/>
      <c r="I56" s="98" t="str">
        <f aca="false">+IF(F56=F15,"OK","Revisar")</f>
        <v>OK</v>
      </c>
    </row>
    <row r="57" customFormat="false" ht="13.8" hidden="false" customHeight="false" outlineLevel="0" collapsed="false">
      <c r="A57" s="64" t="s">
        <v>24</v>
      </c>
      <c r="B57" s="64"/>
      <c r="C57" s="64"/>
      <c r="D57" s="64"/>
      <c r="E57" s="64"/>
      <c r="F57" s="64"/>
      <c r="G57" s="64"/>
      <c r="H57" s="68"/>
    </row>
    <row r="58" customFormat="false" ht="13.8" hidden="false" customHeight="false" outlineLevel="0" collapsed="false">
      <c r="C58" s="68" t="s">
        <v>40</v>
      </c>
      <c r="D58" s="69" t="s">
        <v>62</v>
      </c>
      <c r="E58" s="68" t="s">
        <v>43</v>
      </c>
      <c r="F58" s="96" t="s">
        <v>35</v>
      </c>
      <c r="G58" s="68"/>
      <c r="H58" s="68"/>
    </row>
    <row r="59" customFormat="false" ht="14.9" hidden="false" customHeight="false" outlineLevel="0" collapsed="false">
      <c r="A59" s="145" t="n">
        <v>109</v>
      </c>
      <c r="B59" s="146" t="s">
        <v>44</v>
      </c>
      <c r="C59" s="147" t="s">
        <v>25</v>
      </c>
      <c r="D59" s="127"/>
      <c r="E59" s="128"/>
      <c r="F59" s="148" t="n">
        <f aca="false">IFERROR(INDEX($B$3:$G$14,MATCH(C59,$A$3:$A$14,0),MATCH($A$57,$B$2:$G$2,0)),0)</f>
        <v>0</v>
      </c>
      <c r="G59" s="77" t="str">
        <f aca="false">IF(F59=E59,"Bien",F59-E59)</f>
        <v>Bien</v>
      </c>
      <c r="H59" s="68"/>
    </row>
    <row r="60" customFormat="false" ht="14.15" hidden="false" customHeight="false" outlineLevel="0" collapsed="false">
      <c r="A60" s="149" t="n">
        <v>320</v>
      </c>
      <c r="B60" s="85" t="s">
        <v>48</v>
      </c>
      <c r="C60" s="68" t="s">
        <v>14</v>
      </c>
      <c r="D60" s="137" t="n">
        <v>4</v>
      </c>
      <c r="E60" s="138" t="n">
        <v>6060</v>
      </c>
      <c r="F60" s="82" t="n">
        <f aca="false">IFERROR(INDEX($B$3:$G$14,MATCH(C60,$A$3:$A$14,0),MATCH($A$57,$B$2:$G$2,0)),0)</f>
        <v>6060</v>
      </c>
      <c r="G60" s="88" t="str">
        <f aca="false">IF(F60=E60,"Bien",F60-E60)</f>
        <v>Bien</v>
      </c>
      <c r="H60" s="68"/>
    </row>
    <row r="61" customFormat="false" ht="14.15" hidden="false" customHeight="false" outlineLevel="0" collapsed="false">
      <c r="A61" s="149" t="n">
        <v>321</v>
      </c>
      <c r="B61" s="85" t="s">
        <v>50</v>
      </c>
      <c r="C61" s="68" t="s">
        <v>51</v>
      </c>
      <c r="D61" s="137"/>
      <c r="E61" s="138"/>
      <c r="F61" s="82" t="n">
        <f aca="false">IFERROR(INDEX($B$3:$G$14,MATCH(C61,$A$3:$A$14,0),MATCH($A$57,$B$2:$G$2,0)),0)</f>
        <v>0</v>
      </c>
      <c r="G61" s="88" t="str">
        <f aca="false">IF(F61=E61,"Bien",F61-E61)</f>
        <v>Bien</v>
      </c>
      <c r="H61" s="68"/>
    </row>
    <row r="62" customFormat="false" ht="14.15" hidden="false" customHeight="false" outlineLevel="0" collapsed="false">
      <c r="A62" s="150" t="n">
        <v>296</v>
      </c>
      <c r="B62" s="41" t="s">
        <v>58</v>
      </c>
      <c r="C62" s="68" t="s">
        <v>22</v>
      </c>
      <c r="D62" s="137"/>
      <c r="E62" s="138"/>
      <c r="F62" s="82" t="n">
        <f aca="false">IFERROR(INDEX($B$3:$G$14,MATCH(C62,$A$3:$A$14,0),MATCH($A$57,$B$2:$G$2,0)),0)</f>
        <v>0</v>
      </c>
      <c r="G62" s="88" t="str">
        <f aca="false">IF(F62=E62,"Bien",F62-E62)</f>
        <v>Bien</v>
      </c>
      <c r="H62" s="68"/>
    </row>
    <row r="63" customFormat="false" ht="14.15" hidden="false" customHeight="false" outlineLevel="0" collapsed="false">
      <c r="A63" s="151"/>
      <c r="B63" s="152"/>
      <c r="C63" s="153" t="s">
        <v>63</v>
      </c>
      <c r="D63" s="154"/>
      <c r="E63" s="155"/>
      <c r="F63" s="156" t="n">
        <f aca="false">IFERROR(INDEX($B$3:$G$14,MATCH(C63,$A$3:$A$14,0),MATCH($A$57,$B$2:$G$2,0)),0)</f>
        <v>0</v>
      </c>
      <c r="G63" s="95" t="str">
        <f aca="false">IF(F63=E63,"Bien",F63-E63)</f>
        <v>Bien</v>
      </c>
      <c r="H63" s="68"/>
    </row>
    <row r="64" customFormat="false" ht="13.8" hidden="false" customHeight="false" outlineLevel="0" collapsed="false">
      <c r="C64" s="68"/>
      <c r="D64" s="130"/>
      <c r="E64" s="97" t="n">
        <f aca="false">SUM(E59:E63)</f>
        <v>6060</v>
      </c>
      <c r="F64" s="97" t="n">
        <f aca="false">SUM(F59:F63)</f>
        <v>6060</v>
      </c>
      <c r="G64" s="68"/>
      <c r="H64" s="68"/>
      <c r="I64" s="98" t="str">
        <f aca="false">+IF(F64=E15,"OK","Revisar")</f>
        <v>OK</v>
      </c>
    </row>
    <row r="65" customFormat="false" ht="13.8" hidden="false" customHeight="false" outlineLevel="0" collapsed="false">
      <c r="A65" s="64" t="s">
        <v>20</v>
      </c>
      <c r="B65" s="64"/>
      <c r="C65" s="64"/>
      <c r="D65" s="64"/>
      <c r="E65" s="64"/>
      <c r="F65" s="64"/>
      <c r="G65" s="64"/>
      <c r="H65" s="68"/>
    </row>
    <row r="66" customFormat="false" ht="13.8" hidden="false" customHeight="false" outlineLevel="0" collapsed="false">
      <c r="C66" s="68" t="s">
        <v>40</v>
      </c>
      <c r="D66" s="69" t="s">
        <v>62</v>
      </c>
      <c r="E66" s="68" t="s">
        <v>43</v>
      </c>
      <c r="F66" s="96" t="s">
        <v>35</v>
      </c>
      <c r="G66" s="68"/>
      <c r="H66" s="68"/>
    </row>
    <row r="67" customFormat="false" ht="14.15" hidden="false" customHeight="false" outlineLevel="0" collapsed="false">
      <c r="A67" s="145" t="n">
        <v>109</v>
      </c>
      <c r="B67" s="146" t="s">
        <v>44</v>
      </c>
      <c r="C67" s="147" t="s">
        <v>25</v>
      </c>
      <c r="D67" s="157"/>
      <c r="E67" s="128"/>
      <c r="F67" s="148" t="n">
        <f aca="false">IFERROR(INDEX($B$3:$G$14,MATCH(C67,$A$3:$A$14,0),MATCH($A$65,$B$2:$G$2,0)),0)</f>
        <v>0</v>
      </c>
      <c r="G67" s="158" t="str">
        <f aca="false">IF(F67=E67,"Bien",F67-E67)</f>
        <v>Bien</v>
      </c>
      <c r="H67" s="68"/>
    </row>
    <row r="68" customFormat="false" ht="14.15" hidden="false" customHeight="false" outlineLevel="0" collapsed="false">
      <c r="A68" s="150" t="n">
        <v>333</v>
      </c>
      <c r="B68" s="79" t="s">
        <v>45</v>
      </c>
      <c r="C68" s="79" t="s">
        <v>10</v>
      </c>
      <c r="D68" s="137" t="n">
        <v>22</v>
      </c>
      <c r="E68" s="159" t="n">
        <v>11860</v>
      </c>
      <c r="F68" s="82" t="n">
        <f aca="false">IFERROR(INDEX($B$3:$G$14,MATCH(C68,$A$3:$A$14,0),MATCH($A$65,$B$2:$G$2,0)),0)</f>
        <v>11860</v>
      </c>
      <c r="G68" s="88" t="str">
        <f aca="false">IF(F68=E68,"Bien",F68-E68)</f>
        <v>Bien</v>
      </c>
      <c r="H68" s="68"/>
    </row>
    <row r="69" customFormat="false" ht="14.15" hidden="false" customHeight="false" outlineLevel="0" collapsed="false">
      <c r="A69" s="160"/>
      <c r="B69" s="41" t="s">
        <v>64</v>
      </c>
      <c r="C69" s="85" t="s">
        <v>27</v>
      </c>
      <c r="D69" s="134"/>
      <c r="E69" s="134"/>
      <c r="F69" s="82" t="n">
        <f aca="false">IFERROR(INDEX($B$3:$G$14,MATCH(C69,$A$3:$A$14,0),MATCH($A$65,$B$2:$G$2,0)),0)</f>
        <v>0</v>
      </c>
      <c r="G69" s="88" t="str">
        <f aca="false">IF(F69=E69,"Bien",F69-E69)</f>
        <v>Bien</v>
      </c>
      <c r="H69" s="68"/>
    </row>
    <row r="70" customFormat="false" ht="14.15" hidden="false" customHeight="false" outlineLevel="0" collapsed="false">
      <c r="A70" s="150" t="n">
        <v>316</v>
      </c>
      <c r="B70" s="41" t="s">
        <v>52</v>
      </c>
      <c r="C70" s="68" t="s">
        <v>18</v>
      </c>
      <c r="D70" s="134"/>
      <c r="E70" s="134"/>
      <c r="F70" s="82" t="n">
        <f aca="false">IFERROR(INDEX($B$3:$G$14,MATCH(C70,$A$3:$A$14,0),MATCH($A$65,$B$2:$G$2,0)),0)</f>
        <v>0</v>
      </c>
      <c r="G70" s="88" t="str">
        <f aca="false">IF(F70=E70,"Bien",F70-E70)</f>
        <v>Bien</v>
      </c>
      <c r="H70" s="68"/>
    </row>
    <row r="71" customFormat="false" ht="14.15" hidden="false" customHeight="false" outlineLevel="0" collapsed="false">
      <c r="A71" s="150" t="n">
        <v>309</v>
      </c>
      <c r="B71" s="41" t="s">
        <v>56</v>
      </c>
      <c r="C71" s="68" t="s">
        <v>16</v>
      </c>
      <c r="D71" s="130" t="n">
        <v>19</v>
      </c>
      <c r="E71" s="131" t="n">
        <v>8840</v>
      </c>
      <c r="F71" s="82" t="n">
        <f aca="false">IFERROR(INDEX($B$3:$G$14,MATCH(C71,$A$3:$A$14,0),MATCH($A$65,$B$2:$G$2,0)),0)</f>
        <v>8840</v>
      </c>
      <c r="G71" s="88" t="str">
        <f aca="false">IF(F71=E71,"Bien",F71-E71)</f>
        <v>Bien</v>
      </c>
      <c r="H71" s="68"/>
    </row>
    <row r="72" customFormat="false" ht="14.15" hidden="false" customHeight="false" outlineLevel="0" collapsed="false">
      <c r="A72" s="161" t="n">
        <v>296</v>
      </c>
      <c r="B72" s="152" t="s">
        <v>58</v>
      </c>
      <c r="C72" s="152" t="s">
        <v>22</v>
      </c>
      <c r="D72" s="154"/>
      <c r="E72" s="162"/>
      <c r="F72" s="156" t="n">
        <f aca="false">IFERROR(INDEX($B$3:$G$14,MATCH(C72,$A$3:$A$14,0),MATCH($A$65,$B$2:$G$2,0)),0)</f>
        <v>0</v>
      </c>
      <c r="G72" s="95" t="str">
        <f aca="false">IF(F72=E72,"Bien",F72-E72)</f>
        <v>Bien</v>
      </c>
      <c r="H72" s="68"/>
    </row>
    <row r="73" customFormat="false" ht="13.8" hidden="false" customHeight="false" outlineLevel="0" collapsed="false">
      <c r="C73" s="68"/>
      <c r="D73" s="130"/>
      <c r="E73" s="97" t="n">
        <f aca="false">SUM(E67:E72)</f>
        <v>20700</v>
      </c>
      <c r="F73" s="97" t="n">
        <f aca="false">SUM(F67:F72)</f>
        <v>20700</v>
      </c>
      <c r="G73" s="68"/>
      <c r="H73" s="68"/>
      <c r="I73" s="98" t="str">
        <f aca="false">+IF(F73=C15,"OK","Revisar")</f>
        <v>OK</v>
      </c>
    </row>
    <row r="74" customFormat="false" ht="13.8" hidden="false" customHeight="false" outlineLevel="0" collapsed="false">
      <c r="A74" s="64" t="s">
        <v>31</v>
      </c>
      <c r="B74" s="64"/>
      <c r="C74" s="64"/>
      <c r="D74" s="64"/>
      <c r="E74" s="64"/>
      <c r="F74" s="64"/>
      <c r="G74" s="64"/>
      <c r="H74" s="68"/>
    </row>
    <row r="75" customFormat="false" ht="13.8" hidden="false" customHeight="false" outlineLevel="0" collapsed="false">
      <c r="C75" s="68" t="s">
        <v>40</v>
      </c>
      <c r="D75" s="69" t="s">
        <v>62</v>
      </c>
      <c r="E75" s="68" t="s">
        <v>43</v>
      </c>
      <c r="F75" s="96" t="s">
        <v>35</v>
      </c>
      <c r="G75" s="68"/>
      <c r="H75" s="68"/>
    </row>
    <row r="76" customFormat="false" ht="14.15" hidden="false" customHeight="false" outlineLevel="0" collapsed="false">
      <c r="A76" s="145" t="n">
        <v>109</v>
      </c>
      <c r="B76" s="146" t="s">
        <v>44</v>
      </c>
      <c r="C76" s="147" t="s">
        <v>25</v>
      </c>
      <c r="D76" s="127" t="n">
        <v>2</v>
      </c>
      <c r="E76" s="128" t="n">
        <v>17320</v>
      </c>
      <c r="F76" s="148" t="n">
        <f aca="false">IFERROR(INDEX($B$3:$G$14,MATCH(C76,$A$3:$A$14,0),MATCH($A$74,$B$2:$G$2,0)),0)</f>
        <v>17320</v>
      </c>
      <c r="G76" s="158" t="str">
        <f aca="false">IF(F76=E76,"Bien",F76-E76)</f>
        <v>Bien</v>
      </c>
      <c r="H76" s="68"/>
    </row>
    <row r="77" customFormat="false" ht="14.15" hidden="false" customHeight="false" outlineLevel="0" collapsed="false">
      <c r="A77" s="150" t="n">
        <v>309</v>
      </c>
      <c r="B77" s="41" t="s">
        <v>56</v>
      </c>
      <c r="C77" s="68" t="s">
        <v>16</v>
      </c>
      <c r="D77" s="130"/>
      <c r="E77" s="134"/>
      <c r="F77" s="82" t="n">
        <f aca="false">IFERROR(INDEX($B$3:$G$14,MATCH(C77,$A$3:$A$14,0),MATCH($A$74,$B$2:$G$2,0)),0)</f>
        <v>0</v>
      </c>
      <c r="G77" s="88" t="str">
        <f aca="false">IF(F77=E77,"Bien",F77-E77)</f>
        <v>Bien</v>
      </c>
      <c r="H77" s="68"/>
    </row>
    <row r="78" customFormat="false" ht="14.15" hidden="false" customHeight="false" outlineLevel="0" collapsed="false">
      <c r="A78" s="161" t="n">
        <v>296</v>
      </c>
      <c r="B78" s="152" t="s">
        <v>58</v>
      </c>
      <c r="C78" s="152" t="s">
        <v>22</v>
      </c>
      <c r="D78" s="154"/>
      <c r="E78" s="155"/>
      <c r="F78" s="156" t="n">
        <f aca="false">IFERROR(INDEX($B$3:$G$14,MATCH(C78,$A$3:$A$14,0),MATCH($A$74,$B$2:$G$2,0)),0)</f>
        <v>0</v>
      </c>
      <c r="G78" s="95" t="str">
        <f aca="false">IF(F78=E78,"Bien",F78-E78)</f>
        <v>Bien</v>
      </c>
      <c r="H78" s="68"/>
    </row>
    <row r="79" customFormat="false" ht="13.8" hidden="false" customHeight="false" outlineLevel="0" collapsed="false">
      <c r="C79" s="68"/>
      <c r="D79" s="130"/>
      <c r="E79" s="97" t="n">
        <f aca="false">SUM(E76:E78)</f>
        <v>17320</v>
      </c>
      <c r="F79" s="97" t="n">
        <f aca="false">SUM(F76:F78)</f>
        <v>17320</v>
      </c>
      <c r="G79" s="68"/>
      <c r="H79" s="68"/>
      <c r="I79" s="98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5">
    <cfRule type="cellIs" priority="4" operator="notEqual" aboveAverage="0" equalAverage="0" bottom="0" percent="0" rank="0" text="" dxfId="1">
      <formula>""bien""</formula>
    </cfRule>
  </conditionalFormatting>
  <conditionalFormatting sqref="C16">
    <cfRule type="cellIs" priority="5" operator="notEqual" aboveAverage="0" equalAverage="0" bottom="0" percent="0" rank="0" text="" dxfId="1">
      <formula>#REF!</formula>
    </cfRule>
  </conditionalFormatting>
  <conditionalFormatting sqref="B16">
    <cfRule type="cellIs" priority="6" operator="notEqual" aboveAverage="0" equalAverage="0" bottom="0" percent="0" rank="0" text="" dxfId="1">
      <formula>#REF!</formula>
    </cfRule>
  </conditionalFormatting>
  <conditionalFormatting sqref="D16">
    <cfRule type="cellIs" priority="7" operator="notEqual" aboveAverage="0" equalAverage="0" bottom="0" percent="0" rank="0" text="" dxfId="1">
      <formula>#REF!</formula>
    </cfRule>
  </conditionalFormatting>
  <conditionalFormatting sqref="E16">
    <cfRule type="cellIs" priority="8" operator="notEqual" aboveAverage="0" equalAverage="0" bottom="0" percent="0" rank="0" text="" dxfId="1">
      <formula>#REF!</formula>
    </cfRule>
  </conditionalFormatting>
  <conditionalFormatting sqref="F16">
    <cfRule type="cellIs" priority="9" operator="notEqual" aboveAverage="0" equalAverage="0" bottom="0" percent="0" rank="0" text="" dxfId="1">
      <formula>#REF!</formula>
    </cfRule>
  </conditionalFormatting>
  <conditionalFormatting sqref="G16">
    <cfRule type="cellIs" priority="10" operator="notEqual" aboveAverage="0" equalAverage="0" bottom="0" percent="0" rank="0" text="" dxfId="1">
      <formula>#REF!</formula>
    </cfRule>
  </conditionalFormatting>
  <conditionalFormatting sqref="G50">
    <cfRule type="cellIs" priority="11" operator="notEqual" aboveAverage="0" equalAverage="0" bottom="0" percent="0" rank="0" text="" dxfId="2">
      <formula>""bien""</formula>
    </cfRule>
  </conditionalFormatting>
  <conditionalFormatting sqref="G51:G55">
    <cfRule type="cellIs" priority="12" operator="notEqual" aboveAverage="0" equalAverage="0" bottom="0" percent="0" rank="0" text="" dxfId="2">
      <formula>""bien""</formula>
    </cfRule>
  </conditionalFormatting>
  <conditionalFormatting sqref="G59">
    <cfRule type="cellIs" priority="13" operator="notEqual" aboveAverage="0" equalAverage="0" bottom="0" percent="0" rank="0" text="" dxfId="2">
      <formula>""bien""</formula>
    </cfRule>
  </conditionalFormatting>
  <conditionalFormatting sqref="G60:G63">
    <cfRule type="cellIs" priority="14" operator="notEqual" aboveAverage="0" equalAverage="0" bottom="0" percent="0" rank="0" text="" dxfId="3">
      <formula>""bien""</formula>
    </cfRule>
  </conditionalFormatting>
  <conditionalFormatting sqref="G67">
    <cfRule type="cellIs" priority="15" operator="notEqual" aboveAverage="0" equalAverage="0" bottom="0" percent="0" rank="0" text="" dxfId="3">
      <formula>""bien""</formula>
    </cfRule>
  </conditionalFormatting>
  <conditionalFormatting sqref="G68:G72">
    <cfRule type="cellIs" priority="16" operator="notEqual" aboveAverage="0" equalAverage="0" bottom="0" percent="0" rank="0" text="" dxfId="3">
      <formula>""bien""</formula>
    </cfRule>
  </conditionalFormatting>
  <conditionalFormatting sqref="G76">
    <cfRule type="cellIs" priority="17" operator="notEqual" aboveAverage="0" equalAverage="0" bottom="0" percent="0" rank="0" text="" dxfId="3">
      <formula>""bien""</formula>
    </cfRule>
  </conditionalFormatting>
  <conditionalFormatting sqref="G77:G78">
    <cfRule type="cellIs" priority="18" operator="notEqual" aboveAverage="0" equalAverage="0" bottom="0" percent="0" rank="0" text="" dxfId="3">
      <formula>""bien""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446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2022-02-03T09:31:11Z</dcterms:created>
  <dc:creator>usuario</dc:creator>
  <dc:description/>
  <dc:language>es-ES</dc:language>
  <cp:lastModifiedBy>JORGE AZUARA ROCA</cp:lastModifiedBy>
  <dcterms:modified xsi:type="dcterms:W3CDTF">2022-02-10T18:45:51Z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ontentTypeId">
    <vt:lpwstr>0x012000D96F098ED5E78F49B4E623047188DB6F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