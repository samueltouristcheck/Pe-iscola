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pivotTable2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Hoja1" sheetId="1" state="visible" r:id="rId2"/>
    <sheet name="Tabla dinámica_Hoja1_2" sheetId="2" state="visible" r:id="rId3"/>
    <sheet name="Tabla dinámica_Hoja1_1" sheetId="3" state="visible" r:id="rId4"/>
    <sheet name="certificacion" sheetId="4" state="visible" r:id="rId5"/>
  </sheets>
  <definedNames>
    <definedName function="false" hidden="true" localSheetId="0" name="_xlnm._FilterDatabase" vbProcedure="false">Hoja1!$A$1:$J$244</definedName>
  </definedNames>
  <calcPr iterateCount="100" refMode="A1" iterate="false" iterateDelta="0.0001"/>
  <pivotCaches>
    <pivotCache cacheId="1" r:id="rId7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<sst xmlns="http://schemas.openxmlformats.org/spreadsheetml/2006/main" count="1146" uniqueCount="60">
  <si>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</si>
  <si>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</si>
  <si>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</si>
  <si>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</si>
  <si>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</si>
  <si>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</si>
  <si>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</si>
  <si>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</si>
  <si>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</si>
  <si>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Revisado</t>
  </si>
  <si>
    <t xml:space="preserve">1821KBZ</t>
  </si>
  <si>
    <t xml:space="preserve">Peñiscola </t>
  </si>
  <si>
    <t xml:space="preserve">SEL.PAP</t>
  </si>
  <si>
    <t xml:space="preserve">x</t>
  </si>
  <si>
    <t xml:space="preserve">0315BGK</t>
  </si>
  <si>
    <t xml:space="preserve">7542KBV</t>
  </si>
  <si>
    <t xml:space="preserve">RSU</t>
  </si>
  <si>
    <t xml:space="preserve">7809JZX</t>
  </si>
  <si>
    <t xml:space="preserve">1730KBZ</t>
  </si>
  <si>
    <t xml:space="preserve">6120JZX</t>
  </si>
  <si>
    <t xml:space="preserve">3686KBG</t>
  </si>
  <si>
    <t xml:space="preserve">VOL</t>
  </si>
  <si>
    <t xml:space="preserve">7957JZS</t>
  </si>
  <si>
    <t xml:space="preserve">1076KSZ</t>
  </si>
  <si>
    <t xml:space="preserve">PODA</t>
  </si>
  <si>
    <t xml:space="preserve">TETMA</t>
  </si>
  <si>
    <t xml:space="preserve">SEL.ENV</t>
  </si>
  <si>
    <t xml:space="preserve">5313GBZ</t>
  </si>
  <si>
    <t xml:space="preserve">Error</t>
  </si>
  <si>
    <t xml:space="preserve">- todo -</t>
  </si>
  <si>
    <t xml:space="preserve">Suma - Carga</t>
  </si>
  <si>
    <t xml:space="preserve">Total Resultado</t>
  </si>
  <si>
    <t xml:space="preserve">LIMP.PLAYA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</si>
  <si>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</si>
  <si>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</si>
  <si>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</si>
  <si>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</si>
  <si>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</si>
  <si>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</si>
  <si>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REVISADO</t>
  </si>
  <si>
    <t xml:space="preserve">Recolector 5</t>
  </si>
  <si>
    <t xml:space="preserve">Noche</t>
  </si>
  <si>
    <t xml:space="preserve">volquete doble LV</t>
  </si>
  <si>
    <t xml:space="preserve">Dia/Noche</t>
  </si>
  <si>
    <t xml:space="preserve">Recolector 17</t>
  </si>
  <si>
    <t xml:space="preserve">2-3-4-5</t>
  </si>
  <si>
    <t xml:space="preserve">Recolector 22 _ 1</t>
  </si>
  <si>
    <t xml:space="preserve">Recolector 22 _ 2</t>
  </si>
  <si>
    <t xml:space="preserve">volquete 4x4 LV</t>
  </si>
  <si>
    <t xml:space="preserve">Dia</t>
  </si>
  <si>
    <t xml:space="preserve">MULTILIFT GRUA</t>
  </si>
  <si>
    <t xml:space="preserve">Día</t>
  </si>
  <si>
    <t xml:space="preserve">Volquete Jardineria</t>
  </si>
  <si>
    <t xml:space="preserve">VOLUMINOSOS</t>
  </si>
  <si>
    <t xml:space="preserve">N.º OPERARIOS</t>
  </si>
  <si>
    <t xml:space="preserve">FRECUENCIA</t>
  </si>
  <si>
    <t xml:space="preserve">volquete</t>
  </si>
  <si>
    <t xml:space="preserve">PAPEL</t>
  </si>
  <si>
    <t xml:space="preserve">ENVASES</t>
  </si>
  <si>
    <t xml:space="preserve">PLAYAS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</si>
</sst>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"/>
    <numFmt numFmtId="166" formatCode="H:MM"/>
    <numFmt numFmtId="167" formatCode="#,##0"/>
    <numFmt numFmtId="168" formatCode="DD/MM/YYYY"/>
    <numFmt numFmtId="169" formatCode="#,##0;[RED]\-#,##0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CE181E"/>
      <name val="Calibri"/>
      <family val="2"/>
      <charset val="1"/>
    </font>
    <font>
      <sz val="11"/>
      <name val="Frutiger 45 Light"/>
      <family val="2"/>
      <charset val="1"/>
    </font>
    <font>
      <b val="true"/>
      <sz val="11"/>
      <color rgb="FFCE181E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9AE"/>
        <bgColor rgb="FFFFFFCC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/>
      <top style="hair"/>
      <bottom style="thin"/>
      <diagonal/>
    </border>
    <border diagonalUp="false" diagonalDown="false">
      <left/>
      <right/>
      <top style="hair"/>
      <bottom style="thin"/>
      <diagonal/>
    </border>
    <border diagonalUp="false" diagonalDown="false">
      <left style="thin"/>
      <right style="medium"/>
      <top style="hair"/>
      <bottom style="thin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/>
      <right/>
      <top/>
      <bottom style="hair"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thin"/>
      <right style="hair"/>
      <top/>
      <bottom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thin"/>
      <right style="hair"/>
      <top style="thin"/>
      <bottom style="hair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0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0" fillId="0" borderId="1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21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2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3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3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34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5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36" xfId="26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Campo de la tabla dinámica" xfId="20" builtinId="53" customBuiltin="true"/>
    <cellStyle name="Esquina de la tabla dinámica" xfId="21" builtinId="53" customBuiltin="true"/>
    <cellStyle name="Valor de la tabla dinámica" xfId="22" builtinId="53" customBuiltin="true"/>
    <cellStyle name="Categoría de la tabla dinámica" xfId="23" builtinId="53" customBuiltin="true"/>
    <cellStyle name="Título de la tabla dinámica" xfId="24" builtinId="53" customBuiltin="true"/>
    <cellStyle name="Resultado de la tabla dinámica" xfId="25" builtinId="53" customBuiltin="true"/>
    <cellStyle name="Excel Built-in Explanatory Text" xfId="26" builtinId="53" customBuiltin="true"/>
  </cellStyles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Relationship Id="rId7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3">
  <cacheSource type="worksheet">
    <worksheetSource ref="A1:J244" sheet="Hoja1"/>
  </cacheSource>
  <cacheFields count="10">
    <cacheField name="Fecha" numFmtId="0">
      <sharedItems count="31" containsMixedTypes="0" containsSemiMixedTypes="0" containsString="0" containsNumber="1">
        <n v="43739"/>
        <n v="43740"/>
        <n v="43741"/>
        <n v="43742"/>
        <n v="43743"/>
        <n v="43744"/>
        <n v="43745"/>
        <n v="43746"/>
        <n v="43747"/>
        <n v="43748"/>
        <n v="43749"/>
        <n v="43750"/>
        <n v="43751"/>
        <n v="43752"/>
        <n v="43753"/>
        <n v="43754"/>
        <n v="43755"/>
        <n v="43756"/>
        <n v="43757"/>
        <n v="43758"/>
        <n v="43759"/>
        <n v="43760"/>
        <n v="43761"/>
        <n v="43762"/>
        <n v="43763"/>
        <n v="43764"/>
        <n v="43765"/>
        <n v="43766"/>
        <n v="43767"/>
        <n v="43768"/>
        <n v="43769"/>
      </sharedItems>
    </cacheField>
    <cacheField name="Fecha / hora" numFmtId="0">
      <sharedItems count="194" containsMixedTypes="0" containsSemiMixedTypes="0" containsString="0" containsNumber="1">
        <n v="0.0604166666666667"/>
        <n v="0.0611111111111111"/>
        <n v="0.0631944444444444"/>
        <n v="0.06875"/>
        <n v="0.0694444444444444"/>
        <n v="0.0701388888888889"/>
        <n v="0.0708333333333333"/>
        <n v="0.0784722222222222"/>
        <n v="0.0805555555555556"/>
        <n v="0.08125"/>
        <n v="0.0833333333333333"/>
        <n v="0.0847222222222222"/>
        <n v="0.0854166666666667"/>
        <n v="0.0888888888888889"/>
        <n v="0.0902777777777778"/>
        <n v="0.0909722222222222"/>
        <n v="0.0916666666666667"/>
        <n v="0.0944444444444444"/>
        <n v="0.0993055555555556"/>
        <n v="0.103472222222222"/>
        <n v="0.10625"/>
        <n v="0.107638888888889"/>
        <n v="0.109027777777778"/>
        <n v="0.109722222222222"/>
        <n v="0.113194444444444"/>
        <n v="0.121527777777778"/>
        <n v="0.123611111111111"/>
        <n v="0.124305555555556"/>
        <n v="0.125694444444444"/>
        <n v="0.126388888888889"/>
        <n v="0.127777777777778"/>
        <n v="0.129166666666667"/>
        <n v="0.129861111111111"/>
        <n v="0.130555555555556"/>
        <n v="0.13125"/>
        <n v="0.133333333333333"/>
        <n v="0.134027777777778"/>
        <n v="0.135416666666667"/>
        <n v="0.138194444444444"/>
        <n v="0.138888888888889"/>
        <n v="0.139583333333333"/>
        <n v="0.140277777777778"/>
        <n v="0.140972222222222"/>
        <n v="0.144444444444444"/>
        <n v="0.145138888888889"/>
        <n v="0.145833333333333"/>
        <n v="0.147916666666667"/>
        <n v="0.149305555555556"/>
        <n v="0.154166666666667"/>
        <n v="0.155555555555556"/>
        <n v="0.161805555555556"/>
        <n v="0.163194444444444"/>
        <n v="0.165972222222222"/>
        <n v="0.16875"/>
        <n v="0.170833333333333"/>
        <n v="0.174305555555556"/>
        <n v="0.175694444444444"/>
        <n v="0.177083333333333"/>
        <n v="0.183333333333333"/>
        <n v="0.186805555555556"/>
        <n v="0.188194444444444"/>
        <n v="0.192361111111111"/>
        <n v="0.199305555555556"/>
        <n v="0.211111111111111"/>
        <n v="0.214583333333333"/>
        <n v="0.216666666666667"/>
        <n v="0.224305555555556"/>
        <n v="0.225"/>
        <n v="0.225694444444444"/>
        <n v="0.23125"/>
        <n v="0.234027777777778"/>
        <n v="0.234722222222222"/>
        <n v="0.236111111111111"/>
        <n v="0.238888888888889"/>
        <n v="0.239583333333333"/>
        <n v="0.241666666666667"/>
        <n v="0.242361111111111"/>
        <n v="0.243055555555556"/>
        <n v="0.24375"/>
        <n v="0.244444444444444"/>
        <n v="0.245833333333333"/>
        <n v="0.247222222222222"/>
        <n v="0.247916666666667"/>
        <n v="0.248611111111111"/>
        <n v="0.25"/>
        <n v="0.250694444444444"/>
        <n v="0.251388888888889"/>
        <n v="0.252777777777778"/>
        <n v="0.254861111111111"/>
        <n v="0.25625"/>
        <n v="0.256944444444444"/>
        <n v="0.258333333333333"/>
        <n v="0.259027777777778"/>
        <n v="0.259722222222222"/>
        <n v="0.261111111111111"/>
        <n v="0.261805555555556"/>
        <n v="0.2625"/>
        <n v="0.263194444444444"/>
        <n v="0.263888888888889"/>
        <n v="0.272916666666667"/>
        <n v="0.280555555555556"/>
        <n v="0.326388888888889"/>
        <n v="0.329861111111111"/>
        <n v="0.330555555555556"/>
        <n v="0.34375"/>
        <n v="0.345833333333333"/>
        <n v="0.348611111111111"/>
        <n v="0.363888888888889"/>
        <n v="0.369444444444444"/>
        <n v="0.371527777777778"/>
        <n v="0.372916666666667"/>
        <n v="0.378472222222222"/>
        <n v="0.393055555555556"/>
        <n v="0.411805555555556"/>
        <n v="0.436805555555555"/>
        <n v="0.438888888888889"/>
        <n v="0.441666666666667"/>
        <n v="0.442361111111111"/>
        <n v="0.443055555555556"/>
        <n v="0.44375"/>
        <n v="0.445138888888889"/>
        <n v="0.445833333333333"/>
        <n v="0.447222222222222"/>
        <n v="0.447916666666667"/>
        <n v="0.448611111111111"/>
        <n v="0.450694444444444"/>
        <n v="0.451388888888889"/>
        <n v="0.452777777777778"/>
        <n v="0.454166666666667"/>
        <n v="0.455555555555556"/>
        <n v="0.45625"/>
        <n v="0.456944444444444"/>
        <n v="0.457638888888889"/>
        <n v="0.458333333333333"/>
        <n v="0.460416666666667"/>
        <n v="0.461111111111111"/>
        <n v="0.4625"/>
        <n v="0.463194444444444"/>
        <n v="0.463888888888889"/>
        <n v="0.464583333333333"/>
        <n v="0.465277777777778"/>
        <n v="0.465972222222222"/>
        <n v="0.466666666666667"/>
        <n v="0.467361111111111"/>
        <n v="0.468055555555555"/>
        <n v="0.469444444444444"/>
        <n v="0.470138888888889"/>
        <n v="0.470833333333333"/>
        <n v="0.472222222222222"/>
        <n v="0.475694444444444"/>
        <n v="0.476388888888889"/>
        <n v="0.477083333333333"/>
        <n v="0.479166666666667"/>
        <n v="0.479861111111111"/>
        <n v="0.481944444444444"/>
        <n v="0.484027777777778"/>
        <n v="0.486111111111111"/>
        <n v="0.488194444444444"/>
        <n v="0.489583333333333"/>
        <n v="0.490277777777778"/>
        <n v="0.492361111111111"/>
        <n v="0.496527777777778"/>
        <n v="0.497916666666667"/>
        <n v="0.499305555555555"/>
        <n v="0.501388888888889"/>
        <n v="0.504861111111111"/>
        <n v="0.505555555555556"/>
        <n v="0.50625"/>
        <n v="0.506944444444444"/>
        <n v="0.508333333333333"/>
        <n v="0.510416666666667"/>
        <n v="0.511805555555555"/>
        <n v="0.5125"/>
        <n v="0.513194444444444"/>
        <n v="0.514583333333333"/>
        <n v="0.51875"/>
        <n v="0.520138888888889"/>
        <n v="0.520833333333333"/>
        <n v="0.521527777777778"/>
        <n v="0.522222222222222"/>
        <n v="0.524305555555556"/>
        <n v="0.526388888888889"/>
        <n v="0.529166666666667"/>
        <n v="0.530555555555556"/>
        <n v="0.53125"/>
        <n v="0.532638888888889"/>
        <n v="0.533333333333333"/>
        <n v="0.534027777777778"/>
        <n v="0.541666666666667"/>
        <n v="0.543055555555555"/>
        <n v="0.546527777777778"/>
        <n v="0.548611111111111"/>
        <n v="0.554166666666667"/>
        <n v="0.55625"/>
      </sharedItems>
    </cacheField>
    <cacheField name="Ticket" numFmtId="0">
      <sharedItems count="239" containsMixedTypes="1" containsSemiMixedTypes="1" containsString="1" containsNumber="1">
        <n v="15847"/>
        <n v="16593"/>
        <n v="92773"/>
        <n v="92780"/>
        <n v="93049"/>
        <n v="93065"/>
        <n v="93248"/>
        <n v="93601"/>
        <n v="93973"/>
        <n v="115243"/>
        <n v="115250"/>
        <n v="115253"/>
        <n v="115256"/>
        <n v="115258"/>
        <n v="115269"/>
        <n v="115280"/>
        <n v="115282"/>
        <n v="115301"/>
        <n v="115305"/>
        <n v="115309"/>
        <n v="115314"/>
        <n v="115315"/>
        <n v="115322"/>
        <n v="115325"/>
        <n v="115332"/>
        <n v="115334"/>
        <n v="115338"/>
        <n v="115344"/>
        <n v="115353"/>
        <n v="115360"/>
        <n v="115366"/>
        <n v="115367"/>
        <n v="115383"/>
        <n v="115388"/>
        <n v="115407"/>
        <n v="115412"/>
        <n v="115416"/>
        <n v="115417"/>
        <n v="115442"/>
        <n v="115443"/>
        <n v="115451"/>
        <n v="115453"/>
        <n v="115459"/>
        <n v="115461"/>
        <n v="115466"/>
        <n v="115470"/>
        <n v="115471"/>
        <n v="115482"/>
        <n v="115483"/>
        <n v="115484"/>
        <n v="115487"/>
        <n v="115492"/>
        <n v="115493"/>
        <n v="115496"/>
        <n v="115500"/>
        <n v="115502"/>
        <n v="115506"/>
        <n v="115508"/>
        <n v="115516"/>
        <n v="115517"/>
        <n v="115537"/>
        <n v="115541"/>
        <n v="115542"/>
        <n v="115558"/>
        <n v="115563"/>
        <n v="115566"/>
        <n v="115570"/>
        <n v="115571"/>
        <n v="115596"/>
        <n v="115598"/>
        <n v="115615"/>
        <n v="115616"/>
        <n v="115618"/>
        <n v="115621"/>
        <n v="115622"/>
        <n v="115628"/>
        <n v="115630"/>
        <n v="115631"/>
        <n v="115632"/>
        <n v="115635"/>
        <n v="115641"/>
        <n v="115646"/>
        <n v="115648"/>
        <n v="115658"/>
        <n v="115666"/>
        <n v="115673"/>
        <n v="115680"/>
        <n v="115694"/>
        <n v="115699"/>
        <n v="115700"/>
        <n v="115705"/>
        <n v="115707"/>
        <n v="115719"/>
        <n v="115725"/>
        <n v="115731"/>
        <n v="115740"/>
        <n v="115745"/>
        <n v="115746"/>
        <n v="115751"/>
        <n v="115754"/>
        <n v="115755"/>
        <n v="115762"/>
        <n v="115763"/>
        <n v="115764"/>
        <n v="115765"/>
        <n v="115768"/>
        <n v="115772"/>
        <n v="115774"/>
        <n v="115775"/>
        <n v="115780"/>
        <n v="115782"/>
        <n v="115785"/>
        <n v="115796"/>
        <n v="115797"/>
        <n v="115811"/>
        <n v="115823"/>
        <n v="115834"/>
        <n v="115839"/>
        <n v="115842"/>
        <n v="115850"/>
        <n v="115870"/>
        <n v="115879"/>
        <n v="115881"/>
        <n v="115898"/>
        <n v="115903"/>
        <n v="115904"/>
        <n v="115911"/>
        <n v="115912"/>
        <n v="115931"/>
        <n v="115933"/>
        <n v="115942"/>
        <n v="115948"/>
        <n v="115964"/>
        <n v="115972"/>
        <n v="115973"/>
        <n v="115996"/>
        <n v="116001"/>
        <n v="116005"/>
        <n v="116023"/>
        <n v="116027"/>
        <n v="116029"/>
        <n v="116033"/>
        <n v="116034"/>
        <n v="116054"/>
        <n v="116057"/>
        <n v="116061"/>
        <n v="116062"/>
        <n v="116069"/>
        <n v="116074"/>
        <n v="116076"/>
        <n v="116082"/>
        <n v="116083"/>
        <n v="116094"/>
        <n v="116095"/>
        <n v="116097"/>
        <n v="116103"/>
        <n v="116104"/>
        <n v="116105"/>
        <n v="116110"/>
        <n v="116114"/>
        <n v="116115"/>
        <n v="116125"/>
        <n v="116128"/>
        <n v="116143"/>
        <n v="116146"/>
        <n v="116155"/>
        <n v="116158"/>
        <n v="116171"/>
        <n v="116174"/>
        <n v="116178"/>
        <n v="116179"/>
        <n v="116203"/>
        <n v="116218"/>
        <n v="116219"/>
        <n v="116224"/>
        <n v="116225"/>
        <n v="116234"/>
        <n v="116247"/>
        <n v="116248"/>
        <n v="116252"/>
        <n v="116255"/>
        <n v="116258"/>
        <n v="116271"/>
        <n v="116276"/>
        <n v="116277"/>
        <n v="116294"/>
        <n v="116297"/>
        <n v="116301"/>
        <n v="116310"/>
        <n v="116312"/>
        <n v="116317"/>
        <n v="116320"/>
        <n v="116328"/>
        <n v="116338"/>
        <n v="116341"/>
        <n v="116342"/>
        <n v="116344"/>
        <n v="116350"/>
        <n v="116359"/>
        <n v="116362"/>
        <n v="116364"/>
        <n v="116370"/>
        <n v="116373"/>
        <n v="116379"/>
        <n v="116383"/>
        <n v="116387"/>
        <n v="116391"/>
        <n v="116393"/>
        <n v="116395"/>
        <n v="116399"/>
        <n v="116404"/>
        <n v="116406"/>
        <n v="116414"/>
        <n v="116415"/>
        <n v="116434"/>
        <n v="116442"/>
        <n v="116458"/>
        <n v="116461"/>
        <n v="116464"/>
        <n v="116465"/>
        <n v="116485"/>
        <n v="116491"/>
        <n v="116492"/>
        <n v="116507"/>
        <n v="116509"/>
        <n v="116515"/>
        <n v="116516"/>
        <n v="116524"/>
        <n v="116528"/>
        <n v="116536"/>
        <n v="116539"/>
        <n v="116547"/>
        <n v="116562"/>
        <n v="116570"/>
        <n v="116571"/>
        <n v="116600"/>
        <n v="116603"/>
        <n v="1157890"/>
        <s v="TETMA"/>
      </sharedItems>
    </cacheField>
    <cacheField name="Matrícula" numFmtId="0">
      <sharedItems count="10" containsMixedTypes="0" containsSemiMixedTypes="0" containsString="1" containsNumber="0">
        <s v="0315BGK"/>
        <s v="1076KSZ"/>
        <s v="1730KBZ"/>
        <s v="1821KBZ"/>
        <s v="3686KBG"/>
        <s v="5313GBZ"/>
        <s v="6120JZX"/>
        <s v="7542KBV"/>
        <s v="7809JZX"/>
        <s v="7957JZS"/>
      </sharedItems>
    </cacheField>
    <cacheField name="Peso total" numFmtId="0">
      <sharedItems count="176" containsMixedTypes="0" containsSemiMixedTypes="0" containsString="0" containsNumber="1">
        <n v="2480"/>
        <n v="2500"/>
        <n v="2520"/>
        <n v="2580"/>
        <n v="2600"/>
        <n v="2620"/>
        <n v="2640"/>
        <n v="2660"/>
        <n v="2680"/>
        <n v="2700"/>
        <n v="2720"/>
        <n v="2740"/>
        <n v="2760"/>
        <n v="2800"/>
        <n v="2820"/>
        <n v="2900"/>
        <n v="2960"/>
        <n v="2980"/>
        <n v="3000"/>
        <n v="3020"/>
        <n v="3080"/>
        <n v="3100"/>
        <n v="3120"/>
        <n v="3140"/>
        <n v="3180"/>
        <n v="3220"/>
        <n v="3240"/>
        <n v="3260"/>
        <n v="3280"/>
        <n v="3300"/>
        <n v="3320"/>
        <n v="3360"/>
        <n v="3380"/>
        <n v="3400"/>
        <n v="3420"/>
        <n v="3440"/>
        <n v="3480"/>
        <n v="3500"/>
        <n v="3520"/>
        <n v="3540"/>
        <n v="3560"/>
        <n v="3580"/>
        <n v="3640"/>
        <n v="3660"/>
        <n v="3700"/>
        <n v="3800"/>
        <n v="3820"/>
        <n v="3980"/>
        <n v="4000"/>
        <n v="4080"/>
        <n v="4220"/>
        <n v="4240"/>
        <n v="4260"/>
        <n v="4280"/>
        <n v="4300"/>
        <n v="4320"/>
        <n v="4360"/>
        <n v="4380"/>
        <n v="4400"/>
        <n v="4420"/>
        <n v="4440"/>
        <n v="4460"/>
        <n v="4540"/>
        <n v="4640"/>
        <n v="4820"/>
        <n v="4880"/>
        <n v="4900"/>
        <n v="5840"/>
        <n v="6580"/>
        <n v="6860"/>
        <n v="14080"/>
        <n v="14920"/>
        <n v="15120"/>
        <n v="15340"/>
        <n v="15580"/>
        <n v="15680"/>
        <n v="15800"/>
        <n v="15840"/>
        <n v="16060"/>
        <n v="16140"/>
        <n v="16200"/>
        <n v="16240"/>
        <n v="16560"/>
        <n v="16600"/>
        <n v="16700"/>
        <n v="16940"/>
        <n v="17020"/>
        <n v="17260"/>
        <n v="17280"/>
        <n v="17580"/>
        <n v="17600"/>
        <n v="17640"/>
        <n v="17680"/>
        <n v="17700"/>
        <n v="17900"/>
        <n v="17960"/>
        <n v="18000"/>
        <n v="18200"/>
        <n v="18260"/>
        <n v="18280"/>
        <n v="18660"/>
        <n v="18700"/>
        <n v="18720"/>
        <n v="18880"/>
        <n v="18920"/>
        <n v="18960"/>
        <n v="19140"/>
        <n v="19200"/>
        <n v="19300"/>
        <n v="19360"/>
        <n v="19480"/>
        <n v="19560"/>
        <n v="19580"/>
        <n v="19620"/>
        <n v="19700"/>
        <n v="19720"/>
        <n v="19780"/>
        <n v="19920"/>
        <n v="20140"/>
        <n v="20160"/>
        <n v="20260"/>
        <n v="20360"/>
        <n v="20440"/>
        <n v="20520"/>
        <n v="20580"/>
        <n v="20820"/>
        <n v="20960"/>
        <n v="20980"/>
        <n v="21080"/>
        <n v="21260"/>
        <n v="21280"/>
        <n v="21300"/>
        <n v="21520"/>
        <n v="21540"/>
        <n v="21560"/>
        <n v="21620"/>
        <n v="21640"/>
        <n v="21740"/>
        <n v="21900"/>
        <n v="21940"/>
        <n v="22060"/>
        <n v="22100"/>
        <n v="22120"/>
        <n v="22140"/>
        <n v="22260"/>
        <n v="22320"/>
        <n v="22400"/>
        <n v="22420"/>
        <n v="22480"/>
        <n v="22520"/>
        <n v="22540"/>
        <n v="22620"/>
        <n v="22720"/>
        <n v="22740"/>
        <n v="22760"/>
        <n v="22860"/>
        <n v="22920"/>
        <n v="22960"/>
        <n v="23000"/>
        <n v="23120"/>
        <n v="23500"/>
        <n v="23700"/>
        <n v="23780"/>
        <n v="23840"/>
        <n v="23880"/>
        <n v="24440"/>
        <n v="24740"/>
        <n v="24880"/>
        <n v="24900"/>
        <n v="25360"/>
        <n v="25580"/>
        <n v="25780"/>
        <n v="25880"/>
        <n v="26100"/>
        <n v="26280"/>
        <n v="27520"/>
      </sharedItems>
    </cacheField>
    <cacheField name="Tara" numFmtId="0">
      <sharedItems count="70" containsMixedTypes="0" containsSemiMixedTypes="0" containsString="0" containsNumber="1">
        <n v="2360"/>
        <n v="2380"/>
        <n v="2400"/>
        <n v="2460"/>
        <n v="2480"/>
        <n v="2640"/>
        <n v="2660"/>
        <n v="2680"/>
        <n v="2700"/>
        <n v="2720"/>
        <n v="2740"/>
        <n v="2760"/>
        <n v="2780"/>
        <n v="2820"/>
        <n v="2840"/>
        <n v="2860"/>
        <n v="2880"/>
        <n v="2900"/>
        <n v="2920"/>
        <n v="2940"/>
        <n v="2960"/>
        <n v="3640"/>
        <n v="3680"/>
        <n v="3700"/>
        <n v="3720"/>
        <n v="3740"/>
        <n v="3760"/>
        <n v="3780"/>
        <n v="3800"/>
        <n v="3820"/>
        <n v="4020"/>
        <n v="5580"/>
        <n v="5680"/>
        <n v="12620"/>
        <n v="12740"/>
        <n v="12760"/>
        <n v="12780"/>
        <n v="12800"/>
        <n v="12820"/>
        <n v="12840"/>
        <n v="12860"/>
        <n v="12880"/>
        <n v="12900"/>
        <n v="12980"/>
        <n v="13000"/>
        <n v="13020"/>
        <n v="13040"/>
        <n v="13060"/>
        <n v="13080"/>
        <n v="13100"/>
        <n v="13120"/>
        <n v="13140"/>
        <n v="15720"/>
        <n v="15740"/>
        <n v="15760"/>
        <n v="15780"/>
        <n v="15800"/>
        <n v="15820"/>
        <n v="15840"/>
        <n v="15860"/>
        <n v="15880"/>
        <n v="15900"/>
        <n v="15920"/>
        <n v="15940"/>
        <n v="15960"/>
        <n v="15980"/>
        <n v="16000"/>
        <n v="16040"/>
        <n v="16100"/>
        <n v="16160"/>
      </sharedItems>
    </cacheField>
    <cacheField name="Carga" numFmtId="0">
      <sharedItems count="145" containsMixedTypes="0" containsSemiMixedTypes="0" containsString="0" containsNumber="1">
        <n v="12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40"/>
        <n v="460"/>
        <n v="480"/>
        <n v="500"/>
        <n v="520"/>
        <n v="540"/>
        <n v="560"/>
        <n v="580"/>
        <n v="600"/>
        <n v="620"/>
        <n v="640"/>
        <n v="660"/>
        <n v="680"/>
        <n v="700"/>
        <n v="720"/>
        <n v="740"/>
        <n v="780"/>
        <n v="860"/>
        <n v="880"/>
        <n v="900"/>
        <n v="920"/>
        <n v="1060"/>
        <n v="1120"/>
        <n v="1160"/>
        <n v="1180"/>
        <n v="1340"/>
        <n v="1500"/>
        <n v="1520"/>
        <n v="1740"/>
        <n v="1820"/>
        <n v="1880"/>
        <n v="1960"/>
        <n v="2080"/>
        <n v="2100"/>
        <n v="2120"/>
        <n v="2200"/>
        <n v="2240"/>
        <n v="2300"/>
        <n v="2380"/>
        <n v="2540"/>
        <n v="2680"/>
        <n v="2700"/>
        <n v="2820"/>
        <n v="2840"/>
        <n v="2980"/>
        <n v="3060"/>
        <n v="3200"/>
        <n v="3220"/>
        <n v="3260"/>
        <n v="3320"/>
        <n v="3460"/>
        <n v="3520"/>
        <n v="3540"/>
        <n v="3700"/>
        <n v="3760"/>
        <n v="3780"/>
        <n v="3800"/>
        <n v="3840"/>
        <n v="3860"/>
        <n v="3900"/>
        <n v="4040"/>
        <n v="4100"/>
        <n v="4180"/>
        <n v="4280"/>
        <n v="4300"/>
        <n v="4340"/>
        <n v="4460"/>
        <n v="4540"/>
        <n v="4580"/>
        <n v="4660"/>
        <n v="4800"/>
        <n v="4840"/>
        <n v="4980"/>
        <n v="5360"/>
        <n v="5660"/>
        <n v="5860"/>
        <n v="5980"/>
        <n v="6100"/>
        <n v="6280"/>
        <n v="6420"/>
        <n v="6460"/>
        <n v="6540"/>
        <n v="6640"/>
        <n v="6720"/>
        <n v="6900"/>
        <n v="6920"/>
        <n v="6960"/>
        <n v="7120"/>
        <n v="7160"/>
        <n v="7280"/>
        <n v="7380"/>
        <n v="7560"/>
        <n v="7700"/>
        <n v="7920"/>
        <n v="7940"/>
        <n v="8000"/>
        <n v="8080"/>
        <n v="8100"/>
        <n v="8180"/>
        <n v="8260"/>
        <n v="8280"/>
        <n v="8420"/>
        <n v="8440"/>
        <n v="8520"/>
        <n v="8640"/>
        <n v="8700"/>
        <n v="8840"/>
        <n v="8900"/>
        <n v="8980"/>
        <n v="9000"/>
        <n v="9080"/>
        <n v="9100"/>
        <n v="9120"/>
        <n v="9140"/>
        <n v="9160"/>
        <n v="9420"/>
        <n v="9500"/>
        <n v="9540"/>
        <n v="9620"/>
        <n v="9640"/>
        <n v="9700"/>
        <n v="9880"/>
        <n v="9980"/>
        <n v="10060"/>
        <n v="10080"/>
        <n v="10240"/>
        <n v="10500"/>
        <n v="10620"/>
        <n v="10780"/>
        <n v="11520"/>
      </sharedItems>
    </cacheField>
    <cacheField name="Población" numFmtId="0">
      <sharedItems count="1" containsMixedTypes="0" containsSemiMixedTypes="0" containsString="1" containsNumber="0">
        <s v="Peñiscola "/>
      </sharedItems>
    </cacheField>
    <cacheField name="Residuo" numFmtId="0">
      <sharedItems count="5" containsMixedTypes="0" containsSemiMixedTypes="0" containsString="1" containsNumber="0">
        <s v="PODA"/>
        <s v="RSU"/>
        <s v="SEL.ENV"/>
        <s v="SEL.PAP"/>
        <s v="VOL"/>
      </sharedItems>
    </cacheField>
    <cacheField name="Revisado" numFmtId="0">
      <sharedItems count="2" containsMixedTypes="0" containsSemiMixedTypes="0" containsString="1" containsNumber="0">
        <s v="Error"/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3">
  <r>
    <x v="0"/>
    <x v="141"/>
    <x v="2"/>
    <x v="3"/>
    <x v="101"/>
    <x v="59"/>
    <x v="58"/>
    <x v="0"/>
    <x v="3"/>
    <x v="1"/>
  </r>
  <r>
    <x v="0"/>
    <x v="170"/>
    <x v="3"/>
    <x v="0"/>
    <x v="94"/>
    <x v="55"/>
    <x v="49"/>
    <x v="0"/>
    <x v="3"/>
    <x v="1"/>
  </r>
  <r>
    <x v="0"/>
    <x v="0"/>
    <x v="9"/>
    <x v="7"/>
    <x v="129"/>
    <x v="43"/>
    <x v="115"/>
    <x v="0"/>
    <x v="1"/>
    <x v="1"/>
  </r>
  <r>
    <x v="0"/>
    <x v="44"/>
    <x v="10"/>
    <x v="3"/>
    <x v="175"/>
    <x v="66"/>
    <x v="144"/>
    <x v="0"/>
    <x v="1"/>
    <x v="1"/>
  </r>
  <r>
    <x v="0"/>
    <x v="54"/>
    <x v="11"/>
    <x v="7"/>
    <x v="103"/>
    <x v="36"/>
    <x v="92"/>
    <x v="0"/>
    <x v="1"/>
    <x v="1"/>
  </r>
  <r>
    <x v="0"/>
    <x v="77"/>
    <x v="12"/>
    <x v="8"/>
    <x v="61"/>
    <x v="25"/>
    <x v="29"/>
    <x v="0"/>
    <x v="1"/>
    <x v="1"/>
  </r>
  <r>
    <x v="0"/>
    <x v="90"/>
    <x v="13"/>
    <x v="2"/>
    <x v="170"/>
    <x v="60"/>
    <x v="135"/>
    <x v="0"/>
    <x v="1"/>
    <x v="1"/>
  </r>
  <r>
    <x v="0"/>
    <x v="109"/>
    <x v="14"/>
    <x v="6"/>
    <x v="18"/>
    <x v="10"/>
    <x v="6"/>
    <x v="0"/>
    <x v="1"/>
    <x v="1"/>
  </r>
  <r>
    <x v="0"/>
    <x v="157"/>
    <x v="15"/>
    <x v="4"/>
    <x v="0"/>
    <x v="0"/>
    <x v="0"/>
    <x v="0"/>
    <x v="1"/>
    <x v="1"/>
  </r>
  <r>
    <x v="0"/>
    <x v="171"/>
    <x v="16"/>
    <x v="6"/>
    <x v="45"/>
    <x v="16"/>
    <x v="35"/>
    <x v="0"/>
    <x v="4"/>
    <x v="1"/>
  </r>
  <r>
    <x v="1"/>
    <x v="2"/>
    <x v="17"/>
    <x v="7"/>
    <x v="140"/>
    <x v="48"/>
    <x v="123"/>
    <x v="0"/>
    <x v="1"/>
    <x v="1"/>
  </r>
  <r>
    <x v="1"/>
    <x v="31"/>
    <x v="18"/>
    <x v="3"/>
    <x v="118"/>
    <x v="58"/>
    <x v="79"/>
    <x v="0"/>
    <x v="1"/>
    <x v="1"/>
  </r>
  <r>
    <x v="1"/>
    <x v="50"/>
    <x v="19"/>
    <x v="7"/>
    <x v="97"/>
    <x v="39"/>
    <x v="88"/>
    <x v="0"/>
    <x v="1"/>
    <x v="1"/>
  </r>
  <r>
    <x v="1"/>
    <x v="87"/>
    <x v="20"/>
    <x v="2"/>
    <x v="155"/>
    <x v="61"/>
    <x v="101"/>
    <x v="0"/>
    <x v="1"/>
    <x v="1"/>
  </r>
  <r>
    <x v="1"/>
    <x v="91"/>
    <x v="21"/>
    <x v="8"/>
    <x v="56"/>
    <x v="21"/>
    <x v="29"/>
    <x v="0"/>
    <x v="1"/>
    <x v="1"/>
  </r>
  <r>
    <x v="1"/>
    <x v="102"/>
    <x v="22"/>
    <x v="4"/>
    <x v="14"/>
    <x v="0"/>
    <x v="16"/>
    <x v="0"/>
    <x v="4"/>
    <x v="1"/>
  </r>
  <r>
    <x v="1"/>
    <x v="104"/>
    <x v="23"/>
    <x v="9"/>
    <x v="69"/>
    <x v="32"/>
    <x v="39"/>
    <x v="0"/>
    <x v="4"/>
    <x v="1"/>
  </r>
  <r>
    <x v="1"/>
    <x v="115"/>
    <x v="24"/>
    <x v="1"/>
    <x v="21"/>
    <x v="8"/>
    <x v="13"/>
    <x v="0"/>
    <x v="0"/>
    <x v="1"/>
  </r>
  <r>
    <x v="1"/>
    <x v="142"/>
    <x v="25"/>
    <x v="4"/>
    <x v="4"/>
    <x v="0"/>
    <x v="5"/>
    <x v="0"/>
    <x v="1"/>
    <x v="1"/>
  </r>
  <r>
    <x v="1"/>
    <x v="155"/>
    <x v="26"/>
    <x v="6"/>
    <x v="41"/>
    <x v="15"/>
    <x v="29"/>
    <x v="0"/>
    <x v="4"/>
    <x v="1"/>
  </r>
  <r>
    <x v="1"/>
    <x v="185"/>
    <x v="27"/>
    <x v="6"/>
    <x v="33"/>
    <x v="15"/>
    <x v="20"/>
    <x v="0"/>
    <x v="4"/>
    <x v="1"/>
  </r>
  <r>
    <x v="2"/>
    <x v="13"/>
    <x v="28"/>
    <x v="7"/>
    <x v="158"/>
    <x v="45"/>
    <x v="137"/>
    <x v="0"/>
    <x v="1"/>
    <x v="1"/>
  </r>
  <r>
    <x v="2"/>
    <x v="54"/>
    <x v="29"/>
    <x v="7"/>
    <x v="81"/>
    <x v="36"/>
    <x v="65"/>
    <x v="0"/>
    <x v="1"/>
    <x v="1"/>
  </r>
  <r>
    <x v="2"/>
    <x v="91"/>
    <x v="30"/>
    <x v="2"/>
    <x v="172"/>
    <x v="56"/>
    <x v="139"/>
    <x v="0"/>
    <x v="1"/>
    <x v="1"/>
  </r>
  <r>
    <x v="2"/>
    <x v="93"/>
    <x v="31"/>
    <x v="8"/>
    <x v="53"/>
    <x v="24"/>
    <x v="21"/>
    <x v="0"/>
    <x v="1"/>
    <x v="1"/>
  </r>
  <r>
    <x v="2"/>
    <x v="120"/>
    <x v="32"/>
    <x v="6"/>
    <x v="24"/>
    <x v="12"/>
    <x v="13"/>
    <x v="0"/>
    <x v="4"/>
    <x v="1"/>
  </r>
  <r>
    <x v="2"/>
    <x v="145"/>
    <x v="33"/>
    <x v="4"/>
    <x v="10"/>
    <x v="2"/>
    <x v="9"/>
    <x v="0"/>
    <x v="1"/>
    <x v="1"/>
  </r>
  <r>
    <x v="3"/>
    <x v="10"/>
    <x v="34"/>
    <x v="7"/>
    <x v="160"/>
    <x v="44"/>
    <x v="141"/>
    <x v="0"/>
    <x v="1"/>
    <x v="1"/>
  </r>
  <r>
    <x v="3"/>
    <x v="52"/>
    <x v="35"/>
    <x v="7"/>
    <x v="80"/>
    <x v="34"/>
    <x v="65"/>
    <x v="0"/>
    <x v="1"/>
    <x v="1"/>
  </r>
  <r>
    <x v="3"/>
    <x v="84"/>
    <x v="36"/>
    <x v="3"/>
    <x v="174"/>
    <x v="55"/>
    <x v="141"/>
    <x v="0"/>
    <x v="1"/>
    <x v="1"/>
  </r>
  <r>
    <x v="3"/>
    <x v="96"/>
    <x v="37"/>
    <x v="8"/>
    <x v="59"/>
    <x v="26"/>
    <x v="26"/>
    <x v="0"/>
    <x v="1"/>
    <x v="1"/>
  </r>
  <r>
    <x v="3"/>
    <x v="149"/>
    <x v="38"/>
    <x v="6"/>
    <x v="30"/>
    <x v="11"/>
    <x v="21"/>
    <x v="0"/>
    <x v="4"/>
    <x v="1"/>
  </r>
  <r>
    <x v="3"/>
    <x v="151"/>
    <x v="39"/>
    <x v="4"/>
    <x v="13"/>
    <x v="4"/>
    <x v="9"/>
    <x v="0"/>
    <x v="1"/>
    <x v="1"/>
  </r>
  <r>
    <x v="3"/>
    <x v="187"/>
    <x v="40"/>
    <x v="1"/>
    <x v="31"/>
    <x v="12"/>
    <x v="22"/>
    <x v="0"/>
    <x v="0"/>
    <x v="1"/>
  </r>
  <r>
    <x v="3"/>
    <x v="188"/>
    <x v="41"/>
    <x v="6"/>
    <x v="30"/>
    <x v="13"/>
    <x v="18"/>
    <x v="0"/>
    <x v="4"/>
    <x v="1"/>
  </r>
  <r>
    <x v="4"/>
    <x v="7"/>
    <x v="42"/>
    <x v="3"/>
    <x v="105"/>
    <x v="61"/>
    <x v="60"/>
    <x v="0"/>
    <x v="1"/>
    <x v="1"/>
  </r>
  <r>
    <x v="4"/>
    <x v="17"/>
    <x v="43"/>
    <x v="7"/>
    <x v="159"/>
    <x v="47"/>
    <x v="138"/>
    <x v="0"/>
    <x v="1"/>
    <x v="1"/>
  </r>
  <r>
    <x v="4"/>
    <x v="59"/>
    <x v="44"/>
    <x v="7"/>
    <x v="84"/>
    <x v="40"/>
    <x v="72"/>
    <x v="0"/>
    <x v="1"/>
    <x v="1"/>
  </r>
  <r>
    <x v="4"/>
    <x v="86"/>
    <x v="45"/>
    <x v="2"/>
    <x v="165"/>
    <x v="53"/>
    <x v="120"/>
    <x v="0"/>
    <x v="1"/>
    <x v="1"/>
  </r>
  <r>
    <x v="4"/>
    <x v="91"/>
    <x v="46"/>
    <x v="8"/>
    <x v="62"/>
    <x v="26"/>
    <x v="31"/>
    <x v="0"/>
    <x v="1"/>
    <x v="1"/>
  </r>
  <r>
    <x v="4"/>
    <x v="128"/>
    <x v="47"/>
    <x v="4"/>
    <x v="11"/>
    <x v="2"/>
    <x v="10"/>
    <x v="0"/>
    <x v="1"/>
    <x v="1"/>
  </r>
  <r>
    <x v="4"/>
    <x v="129"/>
    <x v="48"/>
    <x v="6"/>
    <x v="19"/>
    <x v="13"/>
    <x v="3"/>
    <x v="0"/>
    <x v="4"/>
    <x v="1"/>
  </r>
  <r>
    <x v="4"/>
    <x v="178"/>
    <x v="49"/>
    <x v="6"/>
    <x v="27"/>
    <x v="13"/>
    <x v="15"/>
    <x v="0"/>
    <x v="4"/>
    <x v="1"/>
  </r>
  <r>
    <x v="5"/>
    <x v="14"/>
    <x v="50"/>
    <x v="7"/>
    <x v="142"/>
    <x v="50"/>
    <x v="124"/>
    <x v="0"/>
    <x v="1"/>
    <x v="1"/>
  </r>
  <r>
    <x v="5"/>
    <x v="60"/>
    <x v="51"/>
    <x v="7"/>
    <x v="93"/>
    <x v="40"/>
    <x v="86"/>
    <x v="0"/>
    <x v="1"/>
    <x v="1"/>
  </r>
  <r>
    <x v="5"/>
    <x v="65"/>
    <x v="52"/>
    <x v="2"/>
    <x v="171"/>
    <x v="61"/>
    <x v="136"/>
    <x v="0"/>
    <x v="1"/>
    <x v="1"/>
  </r>
  <r>
    <x v="5"/>
    <x v="99"/>
    <x v="53"/>
    <x v="8"/>
    <x v="66"/>
    <x v="27"/>
    <x v="37"/>
    <x v="0"/>
    <x v="1"/>
    <x v="1"/>
  </r>
  <r>
    <x v="5"/>
    <x v="131"/>
    <x v="54"/>
    <x v="4"/>
    <x v="9"/>
    <x v="1"/>
    <x v="9"/>
    <x v="0"/>
    <x v="1"/>
    <x v="1"/>
  </r>
  <r>
    <x v="6"/>
    <x v="3"/>
    <x v="55"/>
    <x v="7"/>
    <x v="124"/>
    <x v="45"/>
    <x v="106"/>
    <x v="0"/>
    <x v="1"/>
    <x v="1"/>
  </r>
  <r>
    <x v="6"/>
    <x v="33"/>
    <x v="56"/>
    <x v="3"/>
    <x v="122"/>
    <x v="59"/>
    <x v="83"/>
    <x v="0"/>
    <x v="1"/>
    <x v="1"/>
  </r>
  <r>
    <x v="6"/>
    <x v="49"/>
    <x v="57"/>
    <x v="7"/>
    <x v="84"/>
    <x v="37"/>
    <x v="74"/>
    <x v="0"/>
    <x v="1"/>
    <x v="1"/>
  </r>
  <r>
    <x v="6"/>
    <x v="90"/>
    <x v="58"/>
    <x v="2"/>
    <x v="156"/>
    <x v="56"/>
    <x v="102"/>
    <x v="0"/>
    <x v="1"/>
    <x v="1"/>
  </r>
  <r>
    <x v="6"/>
    <x v="98"/>
    <x v="59"/>
    <x v="8"/>
    <x v="63"/>
    <x v="26"/>
    <x v="33"/>
    <x v="0"/>
    <x v="1"/>
    <x v="1"/>
  </r>
  <r>
    <x v="6"/>
    <x v="153"/>
    <x v="60"/>
    <x v="6"/>
    <x v="34"/>
    <x v="9"/>
    <x v="28"/>
    <x v="0"/>
    <x v="4"/>
    <x v="1"/>
  </r>
  <r>
    <x v="6"/>
    <x v="163"/>
    <x v="61"/>
    <x v="4"/>
    <x v="3"/>
    <x v="0"/>
    <x v="4"/>
    <x v="0"/>
    <x v="1"/>
    <x v="1"/>
  </r>
  <r>
    <x v="6"/>
    <x v="164"/>
    <x v="62"/>
    <x v="7"/>
    <x v="70"/>
    <x v="34"/>
    <x v="40"/>
    <x v="0"/>
    <x v="1"/>
    <x v="1"/>
  </r>
  <r>
    <x v="6"/>
    <x v="177"/>
    <x v="238"/>
    <x v="3"/>
    <x v="91"/>
    <x v="54"/>
    <x v="45"/>
    <x v="0"/>
    <x v="2"/>
    <x v="1"/>
  </r>
  <r>
    <x v="7"/>
    <x v="113"/>
    <x v="4"/>
    <x v="3"/>
    <x v="92"/>
    <x v="52"/>
    <x v="46"/>
    <x v="0"/>
    <x v="3"/>
    <x v="1"/>
  </r>
  <r>
    <x v="7"/>
    <x v="162"/>
    <x v="5"/>
    <x v="9"/>
    <x v="67"/>
    <x v="31"/>
    <x v="6"/>
    <x v="0"/>
    <x v="3"/>
    <x v="1"/>
  </r>
  <r>
    <x v="7"/>
    <x v="16"/>
    <x v="63"/>
    <x v="7"/>
    <x v="150"/>
    <x v="46"/>
    <x v="131"/>
    <x v="0"/>
    <x v="1"/>
    <x v="1"/>
  </r>
  <r>
    <x v="7"/>
    <x v="34"/>
    <x v="64"/>
    <x v="3"/>
    <x v="114"/>
    <x v="56"/>
    <x v="74"/>
    <x v="0"/>
    <x v="1"/>
    <x v="1"/>
  </r>
  <r>
    <x v="7"/>
    <x v="57"/>
    <x v="65"/>
    <x v="7"/>
    <x v="78"/>
    <x v="40"/>
    <x v="61"/>
    <x v="0"/>
    <x v="1"/>
    <x v="1"/>
  </r>
  <r>
    <x v="7"/>
    <x v="83"/>
    <x v="66"/>
    <x v="8"/>
    <x v="58"/>
    <x v="25"/>
    <x v="26"/>
    <x v="0"/>
    <x v="1"/>
    <x v="1"/>
  </r>
  <r>
    <x v="7"/>
    <x v="84"/>
    <x v="67"/>
    <x v="2"/>
    <x v="148"/>
    <x v="54"/>
    <x v="98"/>
    <x v="0"/>
    <x v="1"/>
    <x v="1"/>
  </r>
  <r>
    <x v="7"/>
    <x v="164"/>
    <x v="68"/>
    <x v="4"/>
    <x v="4"/>
    <x v="0"/>
    <x v="5"/>
    <x v="0"/>
    <x v="1"/>
    <x v="1"/>
  </r>
  <r>
    <x v="7"/>
    <x v="172"/>
    <x v="69"/>
    <x v="6"/>
    <x v="42"/>
    <x v="12"/>
    <x v="32"/>
    <x v="0"/>
    <x v="4"/>
    <x v="1"/>
  </r>
  <r>
    <x v="8"/>
    <x v="34"/>
    <x v="70"/>
    <x v="3"/>
    <x v="120"/>
    <x v="62"/>
    <x v="80"/>
    <x v="0"/>
    <x v="1"/>
    <x v="1"/>
  </r>
  <r>
    <x v="8"/>
    <x v="39"/>
    <x v="71"/>
    <x v="7"/>
    <x v="136"/>
    <x v="34"/>
    <x v="122"/>
    <x v="0"/>
    <x v="1"/>
    <x v="1"/>
  </r>
  <r>
    <x v="8"/>
    <x v="46"/>
    <x v="72"/>
    <x v="7"/>
    <x v="75"/>
    <x v="40"/>
    <x v="57"/>
    <x v="0"/>
    <x v="1"/>
    <x v="1"/>
  </r>
  <r>
    <x v="8"/>
    <x v="63"/>
    <x v="73"/>
    <x v="8"/>
    <x v="57"/>
    <x v="27"/>
    <x v="23"/>
    <x v="0"/>
    <x v="1"/>
    <x v="1"/>
  </r>
  <r>
    <x v="8"/>
    <x v="64"/>
    <x v="74"/>
    <x v="2"/>
    <x v="158"/>
    <x v="52"/>
    <x v="104"/>
    <x v="0"/>
    <x v="1"/>
    <x v="1"/>
  </r>
  <r>
    <x v="8"/>
    <x v="110"/>
    <x v="75"/>
    <x v="6"/>
    <x v="39"/>
    <x v="13"/>
    <x v="29"/>
    <x v="0"/>
    <x v="4"/>
    <x v="1"/>
  </r>
  <r>
    <x v="8"/>
    <x v="119"/>
    <x v="76"/>
    <x v="6"/>
    <x v="16"/>
    <x v="11"/>
    <x v="3"/>
    <x v="0"/>
    <x v="1"/>
    <x v="1"/>
  </r>
  <r>
    <x v="8"/>
    <x v="161"/>
    <x v="77"/>
    <x v="4"/>
    <x v="1"/>
    <x v="1"/>
    <x v="0"/>
    <x v="0"/>
    <x v="1"/>
    <x v="1"/>
  </r>
  <r>
    <x v="8"/>
    <x v="166"/>
    <x v="78"/>
    <x v="6"/>
    <x v="37"/>
    <x v="11"/>
    <x v="30"/>
    <x v="0"/>
    <x v="4"/>
    <x v="1"/>
  </r>
  <r>
    <x v="9"/>
    <x v="9"/>
    <x v="79"/>
    <x v="7"/>
    <x v="128"/>
    <x v="44"/>
    <x v="111"/>
    <x v="0"/>
    <x v="1"/>
    <x v="1"/>
  </r>
  <r>
    <x v="9"/>
    <x v="55"/>
    <x v="80"/>
    <x v="7"/>
    <x v="79"/>
    <x v="38"/>
    <x v="64"/>
    <x v="0"/>
    <x v="1"/>
    <x v="1"/>
  </r>
  <r>
    <x v="9"/>
    <x v="79"/>
    <x v="81"/>
    <x v="2"/>
    <x v="167"/>
    <x v="52"/>
    <x v="129"/>
    <x v="0"/>
    <x v="1"/>
    <x v="1"/>
  </r>
  <r>
    <x v="9"/>
    <x v="97"/>
    <x v="82"/>
    <x v="8"/>
    <x v="61"/>
    <x v="26"/>
    <x v="28"/>
    <x v="0"/>
    <x v="1"/>
    <x v="1"/>
  </r>
  <r>
    <x v="9"/>
    <x v="106"/>
    <x v="83"/>
    <x v="6"/>
    <x v="40"/>
    <x v="17"/>
    <x v="26"/>
    <x v="0"/>
    <x v="4"/>
    <x v="1"/>
  </r>
  <r>
    <x v="9"/>
    <x v="133"/>
    <x v="84"/>
    <x v="4"/>
    <x v="5"/>
    <x v="1"/>
    <x v="5"/>
    <x v="0"/>
    <x v="1"/>
    <x v="1"/>
  </r>
  <r>
    <x v="9"/>
    <x v="167"/>
    <x v="85"/>
    <x v="6"/>
    <x v="23"/>
    <x v="10"/>
    <x v="13"/>
    <x v="0"/>
    <x v="4"/>
    <x v="1"/>
  </r>
  <r>
    <x v="9"/>
    <x v="191"/>
    <x v="86"/>
    <x v="1"/>
    <x v="30"/>
    <x v="9"/>
    <x v="23"/>
    <x v="0"/>
    <x v="1"/>
    <x v="1"/>
  </r>
  <r>
    <x v="10"/>
    <x v="15"/>
    <x v="87"/>
    <x v="7"/>
    <x v="130"/>
    <x v="45"/>
    <x v="114"/>
    <x v="0"/>
    <x v="1"/>
    <x v="1"/>
  </r>
  <r>
    <x v="10"/>
    <x v="48"/>
    <x v="88"/>
    <x v="3"/>
    <x v="119"/>
    <x v="60"/>
    <x v="78"/>
    <x v="0"/>
    <x v="1"/>
    <x v="1"/>
  </r>
  <r>
    <x v="10"/>
    <x v="53"/>
    <x v="89"/>
    <x v="7"/>
    <x v="78"/>
    <x v="37"/>
    <x v="63"/>
    <x v="0"/>
    <x v="1"/>
    <x v="1"/>
  </r>
  <r>
    <x v="10"/>
    <x v="92"/>
    <x v="90"/>
    <x v="8"/>
    <x v="58"/>
    <x v="30"/>
    <x v="12"/>
    <x v="0"/>
    <x v="1"/>
    <x v="1"/>
  </r>
  <r>
    <x v="10"/>
    <x v="95"/>
    <x v="91"/>
    <x v="2"/>
    <x v="146"/>
    <x v="59"/>
    <x v="96"/>
    <x v="0"/>
    <x v="1"/>
    <x v="1"/>
  </r>
  <r>
    <x v="10"/>
    <x v="111"/>
    <x v="92"/>
    <x v="6"/>
    <x v="32"/>
    <x v="16"/>
    <x v="18"/>
    <x v="0"/>
    <x v="4"/>
    <x v="1"/>
  </r>
  <r>
    <x v="10"/>
    <x v="124"/>
    <x v="93"/>
    <x v="4"/>
    <x v="5"/>
    <x v="1"/>
    <x v="5"/>
    <x v="0"/>
    <x v="1"/>
    <x v="1"/>
  </r>
  <r>
    <x v="10"/>
    <x v="159"/>
    <x v="94"/>
    <x v="0"/>
    <x v="96"/>
    <x v="61"/>
    <x v="48"/>
    <x v="0"/>
    <x v="1"/>
    <x v="1"/>
  </r>
  <r>
    <x v="11"/>
    <x v="4"/>
    <x v="95"/>
    <x v="7"/>
    <x v="134"/>
    <x v="51"/>
    <x v="116"/>
    <x v="0"/>
    <x v="1"/>
    <x v="1"/>
  </r>
  <r>
    <x v="11"/>
    <x v="32"/>
    <x v="96"/>
    <x v="6"/>
    <x v="17"/>
    <x v="13"/>
    <x v="1"/>
    <x v="0"/>
    <x v="1"/>
    <x v="1"/>
  </r>
  <r>
    <x v="11"/>
    <x v="34"/>
    <x v="97"/>
    <x v="3"/>
    <x v="123"/>
    <x v="59"/>
    <x v="84"/>
    <x v="0"/>
    <x v="1"/>
    <x v="1"/>
  </r>
  <r>
    <x v="11"/>
    <x v="51"/>
    <x v="98"/>
    <x v="7"/>
    <x v="83"/>
    <x v="42"/>
    <x v="68"/>
    <x v="0"/>
    <x v="1"/>
    <x v="1"/>
  </r>
  <r>
    <x v="11"/>
    <x v="66"/>
    <x v="99"/>
    <x v="8"/>
    <x v="64"/>
    <x v="26"/>
    <x v="36"/>
    <x v="0"/>
    <x v="1"/>
    <x v="1"/>
  </r>
  <r>
    <x v="11"/>
    <x v="68"/>
    <x v="100"/>
    <x v="2"/>
    <x v="153"/>
    <x v="57"/>
    <x v="100"/>
    <x v="0"/>
    <x v="1"/>
    <x v="1"/>
  </r>
  <r>
    <x v="11"/>
    <x v="112"/>
    <x v="101"/>
    <x v="5"/>
    <x v="90"/>
    <x v="33"/>
    <x v="87"/>
    <x v="0"/>
    <x v="1"/>
    <x v="0"/>
  </r>
  <r>
    <x v="11"/>
    <x v="134"/>
    <x v="102"/>
    <x v="4"/>
    <x v="6"/>
    <x v="1"/>
    <x v="6"/>
    <x v="0"/>
    <x v="1"/>
    <x v="1"/>
  </r>
  <r>
    <x v="11"/>
    <x v="148"/>
    <x v="103"/>
    <x v="6"/>
    <x v="39"/>
    <x v="16"/>
    <x v="26"/>
    <x v="0"/>
    <x v="4"/>
    <x v="1"/>
  </r>
  <r>
    <x v="11"/>
    <x v="168"/>
    <x v="104"/>
    <x v="6"/>
    <x v="29"/>
    <x v="15"/>
    <x v="15"/>
    <x v="0"/>
    <x v="4"/>
    <x v="1"/>
  </r>
  <r>
    <x v="12"/>
    <x v="15"/>
    <x v="105"/>
    <x v="7"/>
    <x v="163"/>
    <x v="47"/>
    <x v="143"/>
    <x v="0"/>
    <x v="1"/>
    <x v="1"/>
  </r>
  <r>
    <x v="12"/>
    <x v="54"/>
    <x v="106"/>
    <x v="7"/>
    <x v="86"/>
    <x v="39"/>
    <x v="77"/>
    <x v="0"/>
    <x v="1"/>
    <x v="1"/>
  </r>
  <r>
    <x v="12"/>
    <x v="73"/>
    <x v="107"/>
    <x v="8"/>
    <x v="65"/>
    <x v="24"/>
    <x v="38"/>
    <x v="0"/>
    <x v="1"/>
    <x v="1"/>
  </r>
  <r>
    <x v="12"/>
    <x v="76"/>
    <x v="108"/>
    <x v="2"/>
    <x v="173"/>
    <x v="59"/>
    <x v="140"/>
    <x v="0"/>
    <x v="1"/>
    <x v="1"/>
  </r>
  <r>
    <x v="12"/>
    <x v="121"/>
    <x v="109"/>
    <x v="4"/>
    <x v="11"/>
    <x v="3"/>
    <x v="7"/>
    <x v="0"/>
    <x v="1"/>
    <x v="1"/>
  </r>
  <r>
    <x v="13"/>
    <x v="6"/>
    <x v="110"/>
    <x v="7"/>
    <x v="151"/>
    <x v="43"/>
    <x v="134"/>
    <x v="0"/>
    <x v="1"/>
    <x v="1"/>
  </r>
  <r>
    <x v="13"/>
    <x v="26"/>
    <x v="111"/>
    <x v="3"/>
    <x v="121"/>
    <x v="57"/>
    <x v="82"/>
    <x v="0"/>
    <x v="1"/>
    <x v="1"/>
  </r>
  <r>
    <x v="13"/>
    <x v="70"/>
    <x v="112"/>
    <x v="2"/>
    <x v="162"/>
    <x v="59"/>
    <x v="108"/>
    <x v="0"/>
    <x v="1"/>
    <x v="1"/>
  </r>
  <r>
    <x v="13"/>
    <x v="89"/>
    <x v="113"/>
    <x v="8"/>
    <x v="62"/>
    <x v="22"/>
    <x v="32"/>
    <x v="0"/>
    <x v="1"/>
    <x v="1"/>
  </r>
  <r>
    <x v="13"/>
    <x v="117"/>
    <x v="114"/>
    <x v="4"/>
    <x v="6"/>
    <x v="1"/>
    <x v="6"/>
    <x v="0"/>
    <x v="1"/>
    <x v="1"/>
  </r>
  <r>
    <x v="13"/>
    <x v="180"/>
    <x v="115"/>
    <x v="0"/>
    <x v="117"/>
    <x v="60"/>
    <x v="75"/>
    <x v="0"/>
    <x v="4"/>
    <x v="1"/>
  </r>
  <r>
    <x v="13"/>
    <x v="48"/>
    <x v="237"/>
    <x v="7"/>
    <x v="82"/>
    <x v="37"/>
    <x v="69"/>
    <x v="0"/>
    <x v="1"/>
    <x v="1"/>
  </r>
  <r>
    <x v="13"/>
    <x v="126"/>
    <x v="238"/>
    <x v="3"/>
    <x v="88"/>
    <x v="54"/>
    <x v="42"/>
    <x v="0"/>
    <x v="2"/>
    <x v="1"/>
  </r>
  <r>
    <x v="14"/>
    <x v="72"/>
    <x v="0"/>
    <x v="3"/>
    <x v="138"/>
    <x v="62"/>
    <x v="91"/>
    <x v="0"/>
    <x v="1"/>
    <x v="1"/>
  </r>
  <r>
    <x v="14"/>
    <x v="120"/>
    <x v="6"/>
    <x v="3"/>
    <x v="90"/>
    <x v="59"/>
    <x v="43"/>
    <x v="0"/>
    <x v="3"/>
    <x v="1"/>
  </r>
  <r>
    <x v="14"/>
    <x v="1"/>
    <x v="116"/>
    <x v="1"/>
    <x v="18"/>
    <x v="8"/>
    <x v="8"/>
    <x v="0"/>
    <x v="0"/>
    <x v="1"/>
  </r>
  <r>
    <x v="14"/>
    <x v="27"/>
    <x v="117"/>
    <x v="2"/>
    <x v="108"/>
    <x v="54"/>
    <x v="67"/>
    <x v="0"/>
    <x v="1"/>
    <x v="1"/>
  </r>
  <r>
    <x v="14"/>
    <x v="40"/>
    <x v="118"/>
    <x v="7"/>
    <x v="76"/>
    <x v="34"/>
    <x v="60"/>
    <x v="0"/>
    <x v="1"/>
    <x v="1"/>
  </r>
  <r>
    <x v="14"/>
    <x v="89"/>
    <x v="119"/>
    <x v="8"/>
    <x v="51"/>
    <x v="26"/>
    <x v="17"/>
    <x v="0"/>
    <x v="1"/>
    <x v="1"/>
  </r>
  <r>
    <x v="14"/>
    <x v="140"/>
    <x v="120"/>
    <x v="4"/>
    <x v="5"/>
    <x v="2"/>
    <x v="4"/>
    <x v="0"/>
    <x v="1"/>
    <x v="1"/>
  </r>
  <r>
    <x v="14"/>
    <x v="176"/>
    <x v="121"/>
    <x v="6"/>
    <x v="43"/>
    <x v="18"/>
    <x v="30"/>
    <x v="0"/>
    <x v="4"/>
    <x v="1"/>
  </r>
  <r>
    <x v="14"/>
    <x v="182"/>
    <x v="122"/>
    <x v="9"/>
    <x v="67"/>
    <x v="31"/>
    <x v="6"/>
    <x v="0"/>
    <x v="4"/>
    <x v="1"/>
  </r>
  <r>
    <x v="15"/>
    <x v="5"/>
    <x v="123"/>
    <x v="7"/>
    <x v="135"/>
    <x v="49"/>
    <x v="118"/>
    <x v="0"/>
    <x v="1"/>
    <x v="1"/>
  </r>
  <r>
    <x v="15"/>
    <x v="32"/>
    <x v="124"/>
    <x v="3"/>
    <x v="109"/>
    <x v="58"/>
    <x v="66"/>
    <x v="0"/>
    <x v="1"/>
    <x v="1"/>
  </r>
  <r>
    <x v="15"/>
    <x v="35"/>
    <x v="125"/>
    <x v="7"/>
    <x v="71"/>
    <x v="39"/>
    <x v="47"/>
    <x v="0"/>
    <x v="1"/>
    <x v="1"/>
  </r>
  <r>
    <x v="15"/>
    <x v="85"/>
    <x v="126"/>
    <x v="2"/>
    <x v="144"/>
    <x v="58"/>
    <x v="94"/>
    <x v="0"/>
    <x v="1"/>
    <x v="1"/>
  </r>
  <r>
    <x v="15"/>
    <x v="88"/>
    <x v="127"/>
    <x v="8"/>
    <x v="52"/>
    <x v="25"/>
    <x v="19"/>
    <x v="0"/>
    <x v="1"/>
    <x v="1"/>
  </r>
  <r>
    <x v="15"/>
    <x v="126"/>
    <x v="128"/>
    <x v="6"/>
    <x v="35"/>
    <x v="12"/>
    <x v="26"/>
    <x v="0"/>
    <x v="4"/>
    <x v="1"/>
  </r>
  <r>
    <x v="15"/>
    <x v="130"/>
    <x v="129"/>
    <x v="4"/>
    <x v="3"/>
    <x v="1"/>
    <x v="3"/>
    <x v="0"/>
    <x v="1"/>
    <x v="1"/>
  </r>
  <r>
    <x v="15"/>
    <x v="179"/>
    <x v="130"/>
    <x v="6"/>
    <x v="26"/>
    <x v="15"/>
    <x v="12"/>
    <x v="0"/>
    <x v="4"/>
    <x v="1"/>
  </r>
  <r>
    <x v="15"/>
    <x v="192"/>
    <x v="131"/>
    <x v="1"/>
    <x v="18"/>
    <x v="8"/>
    <x v="8"/>
    <x v="0"/>
    <x v="0"/>
    <x v="1"/>
  </r>
  <r>
    <x v="16"/>
    <x v="29"/>
    <x v="132"/>
    <x v="7"/>
    <x v="145"/>
    <x v="42"/>
    <x v="130"/>
    <x v="0"/>
    <x v="1"/>
    <x v="1"/>
  </r>
  <r>
    <x v="16"/>
    <x v="76"/>
    <x v="133"/>
    <x v="8"/>
    <x v="52"/>
    <x v="26"/>
    <x v="18"/>
    <x v="0"/>
    <x v="1"/>
    <x v="1"/>
  </r>
  <r>
    <x v="16"/>
    <x v="80"/>
    <x v="134"/>
    <x v="2"/>
    <x v="168"/>
    <x v="55"/>
    <x v="127"/>
    <x v="0"/>
    <x v="1"/>
    <x v="1"/>
  </r>
  <r>
    <x v="16"/>
    <x v="114"/>
    <x v="135"/>
    <x v="6"/>
    <x v="26"/>
    <x v="13"/>
    <x v="14"/>
    <x v="0"/>
    <x v="4"/>
    <x v="1"/>
  </r>
  <r>
    <x v="16"/>
    <x v="135"/>
    <x v="136"/>
    <x v="4"/>
    <x v="8"/>
    <x v="1"/>
    <x v="8"/>
    <x v="0"/>
    <x v="1"/>
    <x v="1"/>
  </r>
  <r>
    <x v="16"/>
    <x v="158"/>
    <x v="137"/>
    <x v="6"/>
    <x v="27"/>
    <x v="13"/>
    <x v="15"/>
    <x v="0"/>
    <x v="4"/>
    <x v="1"/>
  </r>
  <r>
    <x v="17"/>
    <x v="8"/>
    <x v="138"/>
    <x v="7"/>
    <x v="131"/>
    <x v="50"/>
    <x v="113"/>
    <x v="0"/>
    <x v="1"/>
    <x v="1"/>
  </r>
  <r>
    <x v="17"/>
    <x v="36"/>
    <x v="139"/>
    <x v="3"/>
    <x v="115"/>
    <x v="63"/>
    <x v="70"/>
    <x v="0"/>
    <x v="1"/>
    <x v="1"/>
  </r>
  <r>
    <x v="17"/>
    <x v="43"/>
    <x v="140"/>
    <x v="7"/>
    <x v="72"/>
    <x v="41"/>
    <x v="51"/>
    <x v="0"/>
    <x v="1"/>
    <x v="1"/>
  </r>
  <r>
    <x v="17"/>
    <x v="76"/>
    <x v="141"/>
    <x v="8"/>
    <x v="54"/>
    <x v="28"/>
    <x v="18"/>
    <x v="0"/>
    <x v="1"/>
    <x v="1"/>
  </r>
  <r>
    <x v="17"/>
    <x v="79"/>
    <x v="142"/>
    <x v="2"/>
    <x v="137"/>
    <x v="60"/>
    <x v="90"/>
    <x v="0"/>
    <x v="1"/>
    <x v="1"/>
  </r>
  <r>
    <x v="17"/>
    <x v="156"/>
    <x v="143"/>
    <x v="6"/>
    <x v="24"/>
    <x v="19"/>
    <x v="5"/>
    <x v="0"/>
    <x v="4"/>
    <x v="1"/>
  </r>
  <r>
    <x v="17"/>
    <x v="169"/>
    <x v="144"/>
    <x v="4"/>
    <x v="3"/>
    <x v="1"/>
    <x v="3"/>
    <x v="0"/>
    <x v="1"/>
    <x v="1"/>
  </r>
  <r>
    <x v="17"/>
    <x v="181"/>
    <x v="145"/>
    <x v="6"/>
    <x v="39"/>
    <x v="19"/>
    <x v="23"/>
    <x v="0"/>
    <x v="4"/>
    <x v="1"/>
  </r>
  <r>
    <x v="17"/>
    <x v="189"/>
    <x v="146"/>
    <x v="1"/>
    <x v="17"/>
    <x v="8"/>
    <x v="7"/>
    <x v="0"/>
    <x v="0"/>
    <x v="1"/>
  </r>
  <r>
    <x v="18"/>
    <x v="2"/>
    <x v="147"/>
    <x v="7"/>
    <x v="125"/>
    <x v="50"/>
    <x v="107"/>
    <x v="0"/>
    <x v="1"/>
    <x v="1"/>
  </r>
  <r>
    <x v="18"/>
    <x v="25"/>
    <x v="148"/>
    <x v="3"/>
    <x v="121"/>
    <x v="61"/>
    <x v="81"/>
    <x v="0"/>
    <x v="1"/>
    <x v="1"/>
  </r>
  <r>
    <x v="18"/>
    <x v="37"/>
    <x v="149"/>
    <x v="7"/>
    <x v="77"/>
    <x v="40"/>
    <x v="59"/>
    <x v="0"/>
    <x v="1"/>
    <x v="1"/>
  </r>
  <r>
    <x v="18"/>
    <x v="77"/>
    <x v="150"/>
    <x v="8"/>
    <x v="60"/>
    <x v="29"/>
    <x v="24"/>
    <x v="0"/>
    <x v="1"/>
    <x v="1"/>
  </r>
  <r>
    <x v="18"/>
    <x v="81"/>
    <x v="151"/>
    <x v="2"/>
    <x v="149"/>
    <x v="56"/>
    <x v="98"/>
    <x v="0"/>
    <x v="1"/>
    <x v="1"/>
  </r>
  <r>
    <x v="18"/>
    <x v="154"/>
    <x v="152"/>
    <x v="4"/>
    <x v="3"/>
    <x v="1"/>
    <x v="3"/>
    <x v="0"/>
    <x v="1"/>
    <x v="1"/>
  </r>
  <r>
    <x v="18"/>
    <x v="165"/>
    <x v="153"/>
    <x v="6"/>
    <x v="48"/>
    <x v="19"/>
    <x v="36"/>
    <x v="0"/>
    <x v="4"/>
    <x v="1"/>
  </r>
  <r>
    <x v="19"/>
    <x v="12"/>
    <x v="154"/>
    <x v="7"/>
    <x v="142"/>
    <x v="45"/>
    <x v="126"/>
    <x v="0"/>
    <x v="1"/>
    <x v="1"/>
  </r>
  <r>
    <x v="19"/>
    <x v="56"/>
    <x v="155"/>
    <x v="7"/>
    <x v="85"/>
    <x v="39"/>
    <x v="76"/>
    <x v="0"/>
    <x v="1"/>
    <x v="1"/>
  </r>
  <r>
    <x v="19"/>
    <x v="67"/>
    <x v="156"/>
    <x v="2"/>
    <x v="168"/>
    <x v="54"/>
    <x v="128"/>
    <x v="0"/>
    <x v="1"/>
    <x v="1"/>
  </r>
  <r>
    <x v="19"/>
    <x v="74"/>
    <x v="157"/>
    <x v="8"/>
    <x v="60"/>
    <x v="26"/>
    <x v="27"/>
    <x v="0"/>
    <x v="1"/>
    <x v="1"/>
  </r>
  <r>
    <x v="19"/>
    <x v="138"/>
    <x v="158"/>
    <x v="4"/>
    <x v="3"/>
    <x v="1"/>
    <x v="3"/>
    <x v="0"/>
    <x v="1"/>
    <x v="1"/>
  </r>
  <r>
    <x v="20"/>
    <x v="23"/>
    <x v="159"/>
    <x v="7"/>
    <x v="143"/>
    <x v="47"/>
    <x v="125"/>
    <x v="0"/>
    <x v="1"/>
    <x v="1"/>
  </r>
  <r>
    <x v="20"/>
    <x v="30"/>
    <x v="160"/>
    <x v="3"/>
    <x v="113"/>
    <x v="59"/>
    <x v="69"/>
    <x v="0"/>
    <x v="1"/>
    <x v="1"/>
  </r>
  <r>
    <x v="20"/>
    <x v="82"/>
    <x v="161"/>
    <x v="8"/>
    <x v="57"/>
    <x v="25"/>
    <x v="25"/>
    <x v="0"/>
    <x v="1"/>
    <x v="1"/>
  </r>
  <r>
    <x v="20"/>
    <x v="100"/>
    <x v="162"/>
    <x v="2"/>
    <x v="157"/>
    <x v="56"/>
    <x v="103"/>
    <x v="0"/>
    <x v="1"/>
    <x v="1"/>
  </r>
  <r>
    <x v="20"/>
    <x v="118"/>
    <x v="163"/>
    <x v="6"/>
    <x v="21"/>
    <x v="18"/>
    <x v="2"/>
    <x v="0"/>
    <x v="1"/>
    <x v="1"/>
  </r>
  <r>
    <x v="20"/>
    <x v="122"/>
    <x v="164"/>
    <x v="4"/>
    <x v="5"/>
    <x v="1"/>
    <x v="5"/>
    <x v="0"/>
    <x v="1"/>
    <x v="1"/>
  </r>
  <r>
    <x v="20"/>
    <x v="181"/>
    <x v="165"/>
    <x v="6"/>
    <x v="28"/>
    <x v="17"/>
    <x v="12"/>
    <x v="0"/>
    <x v="4"/>
    <x v="1"/>
  </r>
  <r>
    <x v="20"/>
    <x v="191"/>
    <x v="166"/>
    <x v="1"/>
    <x v="15"/>
    <x v="7"/>
    <x v="4"/>
    <x v="0"/>
    <x v="0"/>
    <x v="1"/>
  </r>
  <r>
    <x v="20"/>
    <x v="123"/>
    <x v="238"/>
    <x v="3"/>
    <x v="87"/>
    <x v="54"/>
    <x v="41"/>
    <x v="0"/>
    <x v="2"/>
    <x v="1"/>
  </r>
  <r>
    <x v="21"/>
    <x v="147"/>
    <x v="7"/>
    <x v="3"/>
    <x v="89"/>
    <x v="54"/>
    <x v="44"/>
    <x v="0"/>
    <x v="3"/>
    <x v="1"/>
  </r>
  <r>
    <x v="21"/>
    <x v="28"/>
    <x v="167"/>
    <x v="7"/>
    <x v="139"/>
    <x v="49"/>
    <x v="121"/>
    <x v="0"/>
    <x v="1"/>
    <x v="1"/>
  </r>
  <r>
    <x v="21"/>
    <x v="41"/>
    <x v="168"/>
    <x v="3"/>
    <x v="112"/>
    <x v="55"/>
    <x v="71"/>
    <x v="0"/>
    <x v="1"/>
    <x v="1"/>
  </r>
  <r>
    <x v="21"/>
    <x v="61"/>
    <x v="169"/>
    <x v="2"/>
    <x v="154"/>
    <x v="59"/>
    <x v="99"/>
    <x v="0"/>
    <x v="1"/>
    <x v="1"/>
  </r>
  <r>
    <x v="21"/>
    <x v="81"/>
    <x v="170"/>
    <x v="8"/>
    <x v="54"/>
    <x v="27"/>
    <x v="19"/>
    <x v="0"/>
    <x v="1"/>
    <x v="1"/>
  </r>
  <r>
    <x v="21"/>
    <x v="175"/>
    <x v="171"/>
    <x v="6"/>
    <x v="37"/>
    <x v="20"/>
    <x v="20"/>
    <x v="0"/>
    <x v="4"/>
    <x v="1"/>
  </r>
  <r>
    <x v="22"/>
    <x v="33"/>
    <x v="172"/>
    <x v="7"/>
    <x v="127"/>
    <x v="46"/>
    <x v="109"/>
    <x v="0"/>
    <x v="1"/>
    <x v="1"/>
  </r>
  <r>
    <x v="22"/>
    <x v="45"/>
    <x v="173"/>
    <x v="3"/>
    <x v="99"/>
    <x v="65"/>
    <x v="52"/>
    <x v="0"/>
    <x v="1"/>
    <x v="1"/>
  </r>
  <r>
    <x v="22"/>
    <x v="69"/>
    <x v="174"/>
    <x v="2"/>
    <x v="126"/>
    <x v="69"/>
    <x v="85"/>
    <x v="0"/>
    <x v="1"/>
    <x v="1"/>
  </r>
  <r>
    <x v="22"/>
    <x v="75"/>
    <x v="175"/>
    <x v="8"/>
    <x v="47"/>
    <x v="25"/>
    <x v="5"/>
    <x v="0"/>
    <x v="1"/>
    <x v="1"/>
  </r>
  <r>
    <x v="22"/>
    <x v="105"/>
    <x v="176"/>
    <x v="6"/>
    <x v="38"/>
    <x v="14"/>
    <x v="27"/>
    <x v="0"/>
    <x v="4"/>
    <x v="1"/>
  </r>
  <r>
    <x v="22"/>
    <x v="144"/>
    <x v="177"/>
    <x v="4"/>
    <x v="6"/>
    <x v="2"/>
    <x v="5"/>
    <x v="0"/>
    <x v="1"/>
    <x v="1"/>
  </r>
  <r>
    <x v="22"/>
    <x v="145"/>
    <x v="178"/>
    <x v="6"/>
    <x v="28"/>
    <x v="13"/>
    <x v="16"/>
    <x v="0"/>
    <x v="4"/>
    <x v="1"/>
  </r>
  <r>
    <x v="22"/>
    <x v="158"/>
    <x v="179"/>
    <x v="0"/>
    <x v="98"/>
    <x v="60"/>
    <x v="53"/>
    <x v="0"/>
    <x v="4"/>
    <x v="1"/>
  </r>
  <r>
    <x v="22"/>
    <x v="178"/>
    <x v="180"/>
    <x v="6"/>
    <x v="21"/>
    <x v="11"/>
    <x v="10"/>
    <x v="0"/>
    <x v="4"/>
    <x v="1"/>
  </r>
  <r>
    <x v="22"/>
    <x v="183"/>
    <x v="181"/>
    <x v="1"/>
    <x v="22"/>
    <x v="7"/>
    <x v="15"/>
    <x v="0"/>
    <x v="0"/>
    <x v="1"/>
  </r>
  <r>
    <x v="23"/>
    <x v="42"/>
    <x v="182"/>
    <x v="7"/>
    <x v="161"/>
    <x v="48"/>
    <x v="142"/>
    <x v="0"/>
    <x v="1"/>
    <x v="1"/>
  </r>
  <r>
    <x v="23"/>
    <x v="75"/>
    <x v="183"/>
    <x v="1"/>
    <x v="31"/>
    <x v="15"/>
    <x v="18"/>
    <x v="0"/>
    <x v="1"/>
    <x v="1"/>
  </r>
  <r>
    <x v="23"/>
    <x v="80"/>
    <x v="184"/>
    <x v="2"/>
    <x v="166"/>
    <x v="68"/>
    <x v="119"/>
    <x v="0"/>
    <x v="1"/>
    <x v="1"/>
  </r>
  <r>
    <x v="23"/>
    <x v="160"/>
    <x v="185"/>
    <x v="4"/>
    <x v="7"/>
    <x v="1"/>
    <x v="7"/>
    <x v="0"/>
    <x v="1"/>
    <x v="1"/>
  </r>
  <r>
    <x v="23"/>
    <x v="171"/>
    <x v="186"/>
    <x v="6"/>
    <x v="34"/>
    <x v="16"/>
    <x v="20"/>
    <x v="0"/>
    <x v="4"/>
    <x v="1"/>
  </r>
  <r>
    <x v="23"/>
    <x v="193"/>
    <x v="187"/>
    <x v="1"/>
    <x v="16"/>
    <x v="6"/>
    <x v="8"/>
    <x v="0"/>
    <x v="0"/>
    <x v="1"/>
  </r>
  <r>
    <x v="24"/>
    <x v="24"/>
    <x v="188"/>
    <x v="7"/>
    <x v="132"/>
    <x v="48"/>
    <x v="117"/>
    <x v="0"/>
    <x v="1"/>
    <x v="1"/>
  </r>
  <r>
    <x v="24"/>
    <x v="40"/>
    <x v="189"/>
    <x v="3"/>
    <x v="116"/>
    <x v="62"/>
    <x v="73"/>
    <x v="0"/>
    <x v="1"/>
    <x v="1"/>
  </r>
  <r>
    <x v="24"/>
    <x v="78"/>
    <x v="190"/>
    <x v="2"/>
    <x v="152"/>
    <x v="57"/>
    <x v="99"/>
    <x v="0"/>
    <x v="1"/>
    <x v="1"/>
  </r>
  <r>
    <x v="24"/>
    <x v="95"/>
    <x v="191"/>
    <x v="8"/>
    <x v="50"/>
    <x v="25"/>
    <x v="17"/>
    <x v="0"/>
    <x v="1"/>
    <x v="1"/>
  </r>
  <r>
    <x v="24"/>
    <x v="103"/>
    <x v="192"/>
    <x v="6"/>
    <x v="24"/>
    <x v="19"/>
    <x v="5"/>
    <x v="0"/>
    <x v="0"/>
    <x v="1"/>
  </r>
  <r>
    <x v="24"/>
    <x v="125"/>
    <x v="193"/>
    <x v="6"/>
    <x v="25"/>
    <x v="15"/>
    <x v="11"/>
    <x v="0"/>
    <x v="0"/>
    <x v="1"/>
  </r>
  <r>
    <x v="24"/>
    <x v="137"/>
    <x v="194"/>
    <x v="9"/>
    <x v="68"/>
    <x v="32"/>
    <x v="34"/>
    <x v="0"/>
    <x v="4"/>
    <x v="1"/>
  </r>
  <r>
    <x v="24"/>
    <x v="139"/>
    <x v="195"/>
    <x v="4"/>
    <x v="7"/>
    <x v="3"/>
    <x v="3"/>
    <x v="0"/>
    <x v="1"/>
    <x v="1"/>
  </r>
  <r>
    <x v="24"/>
    <x v="143"/>
    <x v="196"/>
    <x v="1"/>
    <x v="16"/>
    <x v="5"/>
    <x v="9"/>
    <x v="0"/>
    <x v="0"/>
    <x v="1"/>
  </r>
  <r>
    <x v="24"/>
    <x v="173"/>
    <x v="197"/>
    <x v="6"/>
    <x v="20"/>
    <x v="15"/>
    <x v="4"/>
    <x v="0"/>
    <x v="0"/>
    <x v="1"/>
  </r>
  <r>
    <x v="25"/>
    <x v="11"/>
    <x v="198"/>
    <x v="7"/>
    <x v="130"/>
    <x v="39"/>
    <x v="117"/>
    <x v="0"/>
    <x v="1"/>
    <x v="1"/>
  </r>
  <r>
    <x v="25"/>
    <x v="38"/>
    <x v="199"/>
    <x v="3"/>
    <x v="106"/>
    <x v="60"/>
    <x v="63"/>
    <x v="0"/>
    <x v="1"/>
    <x v="1"/>
  </r>
  <r>
    <x v="25"/>
    <x v="47"/>
    <x v="200"/>
    <x v="7"/>
    <x v="73"/>
    <x v="37"/>
    <x v="54"/>
    <x v="0"/>
    <x v="1"/>
    <x v="1"/>
  </r>
  <r>
    <x v="25"/>
    <x v="75"/>
    <x v="201"/>
    <x v="2"/>
    <x v="150"/>
    <x v="61"/>
    <x v="97"/>
    <x v="0"/>
    <x v="1"/>
    <x v="1"/>
  </r>
  <r>
    <x v="25"/>
    <x v="97"/>
    <x v="202"/>
    <x v="8"/>
    <x v="50"/>
    <x v="23"/>
    <x v="19"/>
    <x v="0"/>
    <x v="1"/>
    <x v="1"/>
  </r>
  <r>
    <x v="25"/>
    <x v="107"/>
    <x v="203"/>
    <x v="6"/>
    <x v="36"/>
    <x v="18"/>
    <x v="21"/>
    <x v="0"/>
    <x v="4"/>
    <x v="1"/>
  </r>
  <r>
    <x v="25"/>
    <x v="152"/>
    <x v="204"/>
    <x v="4"/>
    <x v="4"/>
    <x v="1"/>
    <x v="4"/>
    <x v="0"/>
    <x v="1"/>
    <x v="1"/>
  </r>
  <r>
    <x v="26"/>
    <x v="19"/>
    <x v="205"/>
    <x v="7"/>
    <x v="127"/>
    <x v="43"/>
    <x v="110"/>
    <x v="0"/>
    <x v="1"/>
    <x v="1"/>
  </r>
  <r>
    <x v="26"/>
    <x v="26"/>
    <x v="206"/>
    <x v="7"/>
    <x v="74"/>
    <x v="35"/>
    <x v="57"/>
    <x v="0"/>
    <x v="1"/>
    <x v="1"/>
  </r>
  <r>
    <x v="26"/>
    <x v="58"/>
    <x v="207"/>
    <x v="8"/>
    <x v="60"/>
    <x v="26"/>
    <x v="27"/>
    <x v="0"/>
    <x v="1"/>
    <x v="1"/>
  </r>
  <r>
    <x v="26"/>
    <x v="62"/>
    <x v="208"/>
    <x v="2"/>
    <x v="169"/>
    <x v="57"/>
    <x v="132"/>
    <x v="0"/>
    <x v="1"/>
    <x v="1"/>
  </r>
  <r>
    <x v="26"/>
    <x v="150"/>
    <x v="209"/>
    <x v="4"/>
    <x v="7"/>
    <x v="0"/>
    <x v="8"/>
    <x v="0"/>
    <x v="1"/>
    <x v="1"/>
  </r>
  <r>
    <x v="27"/>
    <x v="22"/>
    <x v="210"/>
    <x v="7"/>
    <x v="153"/>
    <x v="50"/>
    <x v="133"/>
    <x v="0"/>
    <x v="1"/>
    <x v="1"/>
  </r>
  <r>
    <x v="27"/>
    <x v="39"/>
    <x v="211"/>
    <x v="3"/>
    <x v="104"/>
    <x v="59"/>
    <x v="60"/>
    <x v="0"/>
    <x v="1"/>
    <x v="1"/>
  </r>
  <r>
    <x v="27"/>
    <x v="75"/>
    <x v="212"/>
    <x v="2"/>
    <x v="133"/>
    <x v="60"/>
    <x v="89"/>
    <x v="0"/>
    <x v="1"/>
    <x v="1"/>
  </r>
  <r>
    <x v="27"/>
    <x v="89"/>
    <x v="213"/>
    <x v="8"/>
    <x v="59"/>
    <x v="27"/>
    <x v="25"/>
    <x v="0"/>
    <x v="1"/>
    <x v="1"/>
  </r>
  <r>
    <x v="27"/>
    <x v="127"/>
    <x v="214"/>
    <x v="4"/>
    <x v="3"/>
    <x v="2"/>
    <x v="2"/>
    <x v="0"/>
    <x v="1"/>
    <x v="1"/>
  </r>
  <r>
    <x v="27"/>
    <x v="174"/>
    <x v="215"/>
    <x v="1"/>
    <x v="19"/>
    <x v="8"/>
    <x v="9"/>
    <x v="0"/>
    <x v="0"/>
    <x v="1"/>
  </r>
  <r>
    <x v="28"/>
    <x v="18"/>
    <x v="216"/>
    <x v="7"/>
    <x v="111"/>
    <x v="49"/>
    <x v="95"/>
    <x v="0"/>
    <x v="1"/>
    <x v="1"/>
  </r>
  <r>
    <x v="28"/>
    <x v="39"/>
    <x v="217"/>
    <x v="3"/>
    <x v="107"/>
    <x v="65"/>
    <x v="62"/>
    <x v="0"/>
    <x v="1"/>
    <x v="1"/>
  </r>
  <r>
    <x v="28"/>
    <x v="81"/>
    <x v="218"/>
    <x v="8"/>
    <x v="50"/>
    <x v="27"/>
    <x v="15"/>
    <x v="0"/>
    <x v="1"/>
    <x v="1"/>
  </r>
  <r>
    <x v="28"/>
    <x v="83"/>
    <x v="219"/>
    <x v="2"/>
    <x v="141"/>
    <x v="57"/>
    <x v="93"/>
    <x v="0"/>
    <x v="1"/>
    <x v="1"/>
  </r>
  <r>
    <x v="28"/>
    <x v="116"/>
    <x v="220"/>
    <x v="4"/>
    <x v="12"/>
    <x v="4"/>
    <x v="7"/>
    <x v="0"/>
    <x v="1"/>
    <x v="1"/>
  </r>
  <r>
    <x v="28"/>
    <x v="184"/>
    <x v="221"/>
    <x v="1"/>
    <x v="24"/>
    <x v="8"/>
    <x v="17"/>
    <x v="0"/>
    <x v="0"/>
    <x v="1"/>
  </r>
  <r>
    <x v="28"/>
    <x v="186"/>
    <x v="222"/>
    <x v="6"/>
    <x v="31"/>
    <x v="17"/>
    <x v="16"/>
    <x v="0"/>
    <x v="4"/>
    <x v="1"/>
  </r>
  <r>
    <x v="29"/>
    <x v="21"/>
    <x v="223"/>
    <x v="7"/>
    <x v="122"/>
    <x v="47"/>
    <x v="105"/>
    <x v="0"/>
    <x v="1"/>
    <x v="1"/>
  </r>
  <r>
    <x v="29"/>
    <x v="40"/>
    <x v="224"/>
    <x v="3"/>
    <x v="100"/>
    <x v="64"/>
    <x v="56"/>
    <x v="0"/>
    <x v="1"/>
    <x v="1"/>
  </r>
  <r>
    <x v="29"/>
    <x v="71"/>
    <x v="225"/>
    <x v="2"/>
    <x v="147"/>
    <x v="60"/>
    <x v="96"/>
    <x v="0"/>
    <x v="1"/>
    <x v="1"/>
  </r>
  <r>
    <x v="29"/>
    <x v="86"/>
    <x v="226"/>
    <x v="8"/>
    <x v="49"/>
    <x v="27"/>
    <x v="8"/>
    <x v="0"/>
    <x v="1"/>
    <x v="1"/>
  </r>
  <r>
    <x v="29"/>
    <x v="101"/>
    <x v="227"/>
    <x v="4"/>
    <x v="2"/>
    <x v="2"/>
    <x v="0"/>
    <x v="0"/>
    <x v="0"/>
    <x v="1"/>
  </r>
  <r>
    <x v="29"/>
    <x v="108"/>
    <x v="228"/>
    <x v="6"/>
    <x v="46"/>
    <x v="20"/>
    <x v="32"/>
    <x v="0"/>
    <x v="4"/>
    <x v="1"/>
  </r>
  <r>
    <x v="29"/>
    <x v="136"/>
    <x v="229"/>
    <x v="4"/>
    <x v="5"/>
    <x v="2"/>
    <x v="4"/>
    <x v="0"/>
    <x v="1"/>
    <x v="1"/>
  </r>
  <r>
    <x v="29"/>
    <x v="146"/>
    <x v="230"/>
    <x v="6"/>
    <x v="44"/>
    <x v="20"/>
    <x v="30"/>
    <x v="0"/>
    <x v="4"/>
    <x v="1"/>
  </r>
  <r>
    <x v="29"/>
    <x v="186"/>
    <x v="231"/>
    <x v="6"/>
    <x v="40"/>
    <x v="19"/>
    <x v="24"/>
    <x v="0"/>
    <x v="4"/>
    <x v="1"/>
  </r>
  <r>
    <x v="29"/>
    <x v="126"/>
    <x v="238"/>
    <x v="3"/>
    <x v="95"/>
    <x v="54"/>
    <x v="50"/>
    <x v="0"/>
    <x v="2"/>
    <x v="1"/>
  </r>
  <r>
    <x v="30"/>
    <x v="132"/>
    <x v="1"/>
    <x v="4"/>
    <x v="5"/>
    <x v="1"/>
    <x v="5"/>
    <x v="0"/>
    <x v="1"/>
    <x v="1"/>
  </r>
  <r>
    <x v="30"/>
    <x v="128"/>
    <x v="8"/>
    <x v="3"/>
    <x v="102"/>
    <x v="67"/>
    <x v="55"/>
    <x v="0"/>
    <x v="3"/>
    <x v="1"/>
  </r>
  <r>
    <x v="30"/>
    <x v="20"/>
    <x v="232"/>
    <x v="7"/>
    <x v="110"/>
    <x v="47"/>
    <x v="94"/>
    <x v="0"/>
    <x v="1"/>
    <x v="1"/>
  </r>
  <r>
    <x v="30"/>
    <x v="91"/>
    <x v="233"/>
    <x v="8"/>
    <x v="55"/>
    <x v="28"/>
    <x v="19"/>
    <x v="0"/>
    <x v="1"/>
    <x v="1"/>
  </r>
  <r>
    <x v="30"/>
    <x v="94"/>
    <x v="234"/>
    <x v="2"/>
    <x v="164"/>
    <x v="56"/>
    <x v="111"/>
    <x v="0"/>
    <x v="1"/>
    <x v="1"/>
  </r>
  <r>
    <x v="30"/>
    <x v="170"/>
    <x v="235"/>
    <x v="6"/>
    <x v="32"/>
    <x v="11"/>
    <x v="24"/>
    <x v="0"/>
    <x v="4"/>
    <x v="1"/>
  </r>
  <r>
    <x v="30"/>
    <x v="190"/>
    <x v="236"/>
    <x v="1"/>
    <x v="22"/>
    <x v="7"/>
    <x v="15"/>
    <x v="0"/>
    <x v="0"/>
    <x v="1"/>
  </r>
  <r>
    <x v="14"/>
    <x v="1"/>
    <x v="116"/>
    <x v="7"/>
    <x v="128"/>
    <x v="43"/>
    <x v="112"/>
    <x v="0"/>
    <x v="1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G15" firstHeaderRow="1" firstDataRow="2" firstDataCol="1" rowPageCount="1" colPageCount="1"/>
  <pivotFields count="10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pivotTables/pivotTable2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L36" firstHeaderRow="1" firstDataRow="2" firstDataCol="1" rowPageCount="1" colPageCount="1"/>
  <pivotFields count="10">
    <pivotField axis="axisRow" showAll="0"/>
    <pivotField showAll="0"/>
    <pivotField showAll="0"/>
    <pivotField axis="axisCol" showAll="0"/>
    <pivotField showAll="0"/>
    <pivotField showAll="0"/>
    <pivotField dataField="1" showAll="0"/>
    <pivotField showAll="0"/>
    <pivotField axis="axisPage" showAll="0"/>
    <pivotField showAll="0"/>
  </pivotFields>
  <rowFields count="1">
    <field x="0"/>
  </rowFields>
  <colFields count="1">
    <field x="3"/>
  </colFields>
  <pageFields count="1">
    <pageField fld="8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J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9" activeCellId="0" sqref="G99"/>
    </sheetView>
  </sheetViews>
  <sheetFormatPr defaultRowHeight="13.8" zeroHeight="false" outlineLevelRow="0" outlineLevelCol="0"/>
  <cols>
    <col collapsed="false" customWidth="true" hidden="false" outlineLevel="0" max="9" min="1" style="0" width="10.61"/>
    <col collapsed="false" customWidth="true" hidden="false" outlineLevel="0" max="10" min="10" style="1" width="10.61"/>
    <col collapsed="false" customWidth="true" hidden="false" outlineLevel="0" max="1025" min="11" style="0" width="10.61"/>
  </cols>
  <sheetData>
    <row r="1" customFormat="false" ht="13.8" hidden="false" customHeight="fals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customFormat="false" ht="13.8" hidden="true" customHeight="false" outlineLevel="0" collapsed="false">
      <c r="A2" s="6" t="n">
        <v>43739</v>
      </c>
      <c r="B2" s="7" t="n">
        <v>0.465972222222222</v>
      </c>
      <c r="C2" s="8" t="n">
        <v>92773</v>
      </c>
      <c r="D2" s="8" t="s">
        <v>10</v>
      </c>
      <c r="E2" s="8" t="n">
        <v>18700</v>
      </c>
      <c r="F2" s="8" t="n">
        <v>15860</v>
      </c>
      <c r="G2" s="9" t="n">
        <v>2840</v>
      </c>
      <c r="H2" s="8" t="s">
        <v>11</v>
      </c>
      <c r="I2" s="8" t="s">
        <v>12</v>
      </c>
      <c r="J2" s="1" t="s">
        <v>13</v>
      </c>
    </row>
    <row r="3" customFormat="false" ht="13.8" hidden="true" customHeight="false" outlineLevel="0" collapsed="false">
      <c r="A3" s="6" t="n">
        <v>43739</v>
      </c>
      <c r="B3" s="7" t="n">
        <v>0.510416666666667</v>
      </c>
      <c r="C3" s="8" t="n">
        <v>92780</v>
      </c>
      <c r="D3" s="8" t="s">
        <v>14</v>
      </c>
      <c r="E3" s="8" t="n">
        <v>17900</v>
      </c>
      <c r="F3" s="8" t="n">
        <v>15780</v>
      </c>
      <c r="G3" s="9" t="n">
        <v>2120</v>
      </c>
      <c r="H3" s="8" t="s">
        <v>11</v>
      </c>
      <c r="I3" s="8" t="s">
        <v>12</v>
      </c>
      <c r="J3" s="1" t="s">
        <v>13</v>
      </c>
    </row>
    <row r="4" customFormat="false" ht="13.8" hidden="true" customHeight="false" outlineLevel="0" collapsed="false">
      <c r="A4" s="6" t="n">
        <v>43739</v>
      </c>
      <c r="B4" s="7" t="n">
        <v>0.0604166666666667</v>
      </c>
      <c r="C4" s="8" t="n">
        <v>115243</v>
      </c>
      <c r="D4" s="8" t="s">
        <v>15</v>
      </c>
      <c r="E4" s="8" t="n">
        <v>21260</v>
      </c>
      <c r="F4" s="8" t="n">
        <v>12980</v>
      </c>
      <c r="G4" s="9" t="n">
        <v>8280</v>
      </c>
      <c r="H4" s="8" t="s">
        <v>11</v>
      </c>
      <c r="I4" s="8" t="s">
        <v>16</v>
      </c>
      <c r="J4" s="1" t="s">
        <v>13</v>
      </c>
    </row>
    <row r="5" customFormat="false" ht="13.8" hidden="true" customHeight="false" outlineLevel="0" collapsed="false">
      <c r="A5" s="6" t="n">
        <v>43739</v>
      </c>
      <c r="B5" s="7" t="n">
        <v>0.145138888888889</v>
      </c>
      <c r="C5" s="8" t="n">
        <v>115250</v>
      </c>
      <c r="D5" s="8" t="s">
        <v>10</v>
      </c>
      <c r="E5" s="8" t="n">
        <v>27520</v>
      </c>
      <c r="F5" s="8" t="n">
        <v>16000</v>
      </c>
      <c r="G5" s="9" t="n">
        <v>11520</v>
      </c>
      <c r="H5" s="8" t="s">
        <v>11</v>
      </c>
      <c r="I5" s="8" t="s">
        <v>16</v>
      </c>
      <c r="J5" s="1" t="s">
        <v>13</v>
      </c>
    </row>
    <row r="6" customFormat="false" ht="13.8" hidden="true" customHeight="false" outlineLevel="0" collapsed="false">
      <c r="A6" s="6" t="n">
        <v>43739</v>
      </c>
      <c r="B6" s="7" t="n">
        <v>0.170833333333333</v>
      </c>
      <c r="C6" s="8" t="n">
        <v>115253</v>
      </c>
      <c r="D6" s="8" t="s">
        <v>15</v>
      </c>
      <c r="E6" s="8" t="n">
        <v>18880</v>
      </c>
      <c r="F6" s="8" t="n">
        <v>12780</v>
      </c>
      <c r="G6" s="9" t="n">
        <v>6100</v>
      </c>
      <c r="H6" s="8" t="s">
        <v>11</v>
      </c>
      <c r="I6" s="8" t="s">
        <v>16</v>
      </c>
      <c r="J6" s="1" t="s">
        <v>13</v>
      </c>
    </row>
    <row r="7" customFormat="false" ht="13.8" hidden="true" customHeight="false" outlineLevel="0" collapsed="false">
      <c r="A7" s="6" t="n">
        <v>43739</v>
      </c>
      <c r="B7" s="7" t="n">
        <v>0.243055555555556</v>
      </c>
      <c r="C7" s="8" t="n">
        <v>115256</v>
      </c>
      <c r="D7" s="8" t="s">
        <v>17</v>
      </c>
      <c r="E7" s="8" t="n">
        <v>4460</v>
      </c>
      <c r="F7" s="8" t="n">
        <v>3740</v>
      </c>
      <c r="G7" s="9" t="n">
        <v>720</v>
      </c>
      <c r="H7" s="8" t="s">
        <v>11</v>
      </c>
      <c r="I7" s="8" t="s">
        <v>16</v>
      </c>
      <c r="J7" s="1" t="s">
        <v>13</v>
      </c>
    </row>
    <row r="8" customFormat="false" ht="13.8" hidden="true" customHeight="false" outlineLevel="0" collapsed="false">
      <c r="A8" s="6" t="n">
        <v>43739</v>
      </c>
      <c r="B8" s="7" t="n">
        <v>0.256944444444444</v>
      </c>
      <c r="C8" s="8" t="n">
        <v>115258</v>
      </c>
      <c r="D8" s="8" t="s">
        <v>18</v>
      </c>
      <c r="E8" s="8" t="n">
        <v>25580</v>
      </c>
      <c r="F8" s="8" t="n">
        <v>15880</v>
      </c>
      <c r="G8" s="9" t="n">
        <v>9700</v>
      </c>
      <c r="H8" s="8" t="s">
        <v>11</v>
      </c>
      <c r="I8" s="8" t="s">
        <v>16</v>
      </c>
      <c r="J8" s="1" t="s">
        <v>13</v>
      </c>
    </row>
    <row r="9" customFormat="false" ht="13.8" hidden="true" customHeight="false" outlineLevel="0" collapsed="false">
      <c r="A9" s="6" t="n">
        <v>43739</v>
      </c>
      <c r="B9" s="7" t="n">
        <v>0.371527777777778</v>
      </c>
      <c r="C9" s="8" t="n">
        <v>115269</v>
      </c>
      <c r="D9" s="8" t="s">
        <v>19</v>
      </c>
      <c r="E9" s="8" t="n">
        <v>3000</v>
      </c>
      <c r="F9" s="8" t="n">
        <v>2740</v>
      </c>
      <c r="G9" s="9" t="n">
        <v>260</v>
      </c>
      <c r="H9" s="8" t="s">
        <v>11</v>
      </c>
      <c r="I9" s="8" t="s">
        <v>16</v>
      </c>
      <c r="J9" s="1" t="s">
        <v>13</v>
      </c>
    </row>
    <row r="10" customFormat="false" ht="13.8" hidden="true" customHeight="false" outlineLevel="0" collapsed="false">
      <c r="A10" s="6" t="n">
        <v>43739</v>
      </c>
      <c r="B10" s="7" t="n">
        <v>0.488194444444444</v>
      </c>
      <c r="C10" s="8" t="n">
        <v>115280</v>
      </c>
      <c r="D10" s="8" t="s">
        <v>20</v>
      </c>
      <c r="E10" s="8" t="n">
        <v>2480</v>
      </c>
      <c r="F10" s="8" t="n">
        <v>2360</v>
      </c>
      <c r="G10" s="9" t="n">
        <v>120</v>
      </c>
      <c r="H10" s="8" t="s">
        <v>11</v>
      </c>
      <c r="I10" s="8" t="s">
        <v>16</v>
      </c>
      <c r="J10" s="1" t="s">
        <v>13</v>
      </c>
    </row>
    <row r="11" customFormat="false" ht="13.8" hidden="true" customHeight="false" outlineLevel="0" collapsed="false">
      <c r="A11" s="6" t="n">
        <v>43739</v>
      </c>
      <c r="B11" s="7" t="n">
        <v>0.511805555555555</v>
      </c>
      <c r="C11" s="8" t="n">
        <v>115282</v>
      </c>
      <c r="D11" s="8" t="s">
        <v>19</v>
      </c>
      <c r="E11" s="8" t="n">
        <v>3800</v>
      </c>
      <c r="F11" s="8" t="n">
        <v>2880</v>
      </c>
      <c r="G11" s="9" t="n">
        <v>920</v>
      </c>
      <c r="H11" s="8" t="s">
        <v>11</v>
      </c>
      <c r="I11" s="8" t="s">
        <v>21</v>
      </c>
      <c r="J11" s="1" t="s">
        <v>13</v>
      </c>
    </row>
    <row r="12" customFormat="false" ht="13.8" hidden="true" customHeight="false" outlineLevel="0" collapsed="false">
      <c r="A12" s="6" t="n">
        <v>43740</v>
      </c>
      <c r="B12" s="7" t="n">
        <v>0.0631944444444444</v>
      </c>
      <c r="C12" s="8" t="n">
        <v>115301</v>
      </c>
      <c r="D12" s="8" t="s">
        <v>15</v>
      </c>
      <c r="E12" s="8" t="n">
        <v>22060</v>
      </c>
      <c r="F12" s="8" t="n">
        <v>13080</v>
      </c>
      <c r="G12" s="9" t="n">
        <v>8980</v>
      </c>
      <c r="H12" s="8" t="s">
        <v>11</v>
      </c>
      <c r="I12" s="8" t="s">
        <v>16</v>
      </c>
      <c r="J12" s="1" t="s">
        <v>13</v>
      </c>
    </row>
    <row r="13" customFormat="false" ht="13.8" hidden="true" customHeight="false" outlineLevel="0" collapsed="false">
      <c r="A13" s="6" t="n">
        <v>43740</v>
      </c>
      <c r="B13" s="7" t="n">
        <v>0.129166666666667</v>
      </c>
      <c r="C13" s="8" t="n">
        <v>115305</v>
      </c>
      <c r="D13" s="8" t="s">
        <v>10</v>
      </c>
      <c r="E13" s="8" t="n">
        <v>20140</v>
      </c>
      <c r="F13" s="8" t="n">
        <v>15840</v>
      </c>
      <c r="G13" s="9" t="n">
        <v>4300</v>
      </c>
      <c r="H13" s="8" t="s">
        <v>11</v>
      </c>
      <c r="I13" s="8" t="s">
        <v>16</v>
      </c>
      <c r="J13" s="1" t="s">
        <v>13</v>
      </c>
    </row>
    <row r="14" customFormat="false" ht="13.8" hidden="true" customHeight="false" outlineLevel="0" collapsed="false">
      <c r="A14" s="6" t="n">
        <v>43740</v>
      </c>
      <c r="B14" s="7" t="n">
        <v>0.161805555555556</v>
      </c>
      <c r="C14" s="8" t="n">
        <v>115309</v>
      </c>
      <c r="D14" s="8" t="s">
        <v>15</v>
      </c>
      <c r="E14" s="8" t="n">
        <v>18200</v>
      </c>
      <c r="F14" s="8" t="n">
        <v>12840</v>
      </c>
      <c r="G14" s="9" t="n">
        <v>5360</v>
      </c>
      <c r="H14" s="8" t="s">
        <v>11</v>
      </c>
      <c r="I14" s="8" t="s">
        <v>16</v>
      </c>
      <c r="J14" s="1" t="s">
        <v>13</v>
      </c>
    </row>
    <row r="15" customFormat="false" ht="13.8" hidden="true" customHeight="false" outlineLevel="0" collapsed="false">
      <c r="A15" s="6" t="n">
        <v>43740</v>
      </c>
      <c r="B15" s="7" t="n">
        <v>0.252777777777778</v>
      </c>
      <c r="C15" s="8" t="n">
        <v>115314</v>
      </c>
      <c r="D15" s="8" t="s">
        <v>18</v>
      </c>
      <c r="E15" s="8" t="n">
        <v>22860</v>
      </c>
      <c r="F15" s="8" t="n">
        <v>15900</v>
      </c>
      <c r="G15" s="9" t="n">
        <v>6960</v>
      </c>
      <c r="H15" s="8" t="s">
        <v>11</v>
      </c>
      <c r="I15" s="8" t="s">
        <v>16</v>
      </c>
      <c r="J15" s="1" t="s">
        <v>13</v>
      </c>
    </row>
    <row r="16" customFormat="false" ht="13.8" hidden="true" customHeight="false" outlineLevel="0" collapsed="false">
      <c r="A16" s="6" t="n">
        <v>43740</v>
      </c>
      <c r="B16" s="7" t="n">
        <v>0.258333333333333</v>
      </c>
      <c r="C16" s="8" t="n">
        <v>115315</v>
      </c>
      <c r="D16" s="8" t="s">
        <v>17</v>
      </c>
      <c r="E16" s="8" t="n">
        <v>4360</v>
      </c>
      <c r="F16" s="8" t="n">
        <v>3640</v>
      </c>
      <c r="G16" s="9" t="n">
        <v>720</v>
      </c>
      <c r="H16" s="8" t="s">
        <v>11</v>
      </c>
      <c r="I16" s="8" t="s">
        <v>16</v>
      </c>
      <c r="J16" s="1" t="s">
        <v>13</v>
      </c>
    </row>
    <row r="17" customFormat="false" ht="13.8" hidden="true" customHeight="false" outlineLevel="0" collapsed="false">
      <c r="A17" s="6" t="n">
        <v>43740</v>
      </c>
      <c r="B17" s="7" t="n">
        <v>0.329861111111111</v>
      </c>
      <c r="C17" s="8" t="n">
        <v>115322</v>
      </c>
      <c r="D17" s="8" t="s">
        <v>20</v>
      </c>
      <c r="E17" s="8" t="n">
        <v>2820</v>
      </c>
      <c r="F17" s="8" t="n">
        <v>2360</v>
      </c>
      <c r="G17" s="9" t="n">
        <v>460</v>
      </c>
      <c r="H17" s="8" t="s">
        <v>11</v>
      </c>
      <c r="I17" s="8" t="s">
        <v>21</v>
      </c>
      <c r="J17" s="1" t="s">
        <v>13</v>
      </c>
    </row>
    <row r="18" customFormat="false" ht="13.8" hidden="true" customHeight="false" outlineLevel="0" collapsed="false">
      <c r="A18" s="6" t="n">
        <v>43740</v>
      </c>
      <c r="B18" s="7" t="n">
        <v>0.34375</v>
      </c>
      <c r="C18" s="8" t="n">
        <v>115325</v>
      </c>
      <c r="D18" s="8" t="s">
        <v>22</v>
      </c>
      <c r="E18" s="8" t="n">
        <v>6860</v>
      </c>
      <c r="F18" s="8" t="n">
        <v>5680</v>
      </c>
      <c r="G18" s="9" t="n">
        <v>1180</v>
      </c>
      <c r="H18" s="8" t="s">
        <v>11</v>
      </c>
      <c r="I18" s="8" t="s">
        <v>21</v>
      </c>
      <c r="J18" s="1" t="s">
        <v>13</v>
      </c>
    </row>
    <row r="19" customFormat="false" ht="13.8" hidden="true" customHeight="false" outlineLevel="0" collapsed="false">
      <c r="A19" s="6" t="n">
        <v>43740</v>
      </c>
      <c r="B19" s="7" t="n">
        <v>0.438888888888889</v>
      </c>
      <c r="C19" s="8" t="n">
        <v>115332</v>
      </c>
      <c r="D19" s="8" t="s">
        <v>23</v>
      </c>
      <c r="E19" s="8" t="n">
        <v>3100</v>
      </c>
      <c r="F19" s="8" t="n">
        <v>2700</v>
      </c>
      <c r="G19" s="9" t="n">
        <v>400</v>
      </c>
      <c r="H19" s="8" t="s">
        <v>11</v>
      </c>
      <c r="I19" s="8" t="s">
        <v>24</v>
      </c>
      <c r="J19" s="1" t="s">
        <v>13</v>
      </c>
    </row>
    <row r="20" customFormat="false" ht="13.8" hidden="true" customHeight="false" outlineLevel="0" collapsed="false">
      <c r="A20" s="6" t="n">
        <v>43740</v>
      </c>
      <c r="B20" s="7" t="n">
        <v>0.466666666666667</v>
      </c>
      <c r="C20" s="8" t="n">
        <v>115334</v>
      </c>
      <c r="D20" s="8" t="s">
        <v>20</v>
      </c>
      <c r="E20" s="8" t="n">
        <v>2600</v>
      </c>
      <c r="F20" s="8" t="n">
        <v>2360</v>
      </c>
      <c r="G20" s="9" t="n">
        <v>240</v>
      </c>
      <c r="H20" s="8" t="s">
        <v>11</v>
      </c>
      <c r="I20" s="8" t="s">
        <v>16</v>
      </c>
      <c r="J20" s="1" t="s">
        <v>13</v>
      </c>
    </row>
    <row r="21" customFormat="false" ht="13.8" hidden="true" customHeight="false" outlineLevel="0" collapsed="false">
      <c r="A21" s="6" t="n">
        <v>43740</v>
      </c>
      <c r="B21" s="7" t="n">
        <v>0.484027777777778</v>
      </c>
      <c r="C21" s="8" t="n">
        <v>115338</v>
      </c>
      <c r="D21" s="8" t="s">
        <v>19</v>
      </c>
      <c r="E21" s="8" t="n">
        <v>3580</v>
      </c>
      <c r="F21" s="8" t="n">
        <v>2860</v>
      </c>
      <c r="G21" s="9" t="n">
        <v>720</v>
      </c>
      <c r="H21" s="8" t="s">
        <v>11</v>
      </c>
      <c r="I21" s="8" t="s">
        <v>21</v>
      </c>
      <c r="J21" s="1" t="s">
        <v>13</v>
      </c>
    </row>
    <row r="22" customFormat="false" ht="13.8" hidden="true" customHeight="false" outlineLevel="0" collapsed="false">
      <c r="A22" s="6" t="n">
        <v>43740</v>
      </c>
      <c r="B22" s="7" t="n">
        <v>0.532638888888889</v>
      </c>
      <c r="C22" s="8" t="n">
        <v>115344</v>
      </c>
      <c r="D22" s="8" t="s">
        <v>19</v>
      </c>
      <c r="E22" s="8" t="n">
        <v>3400</v>
      </c>
      <c r="F22" s="8" t="n">
        <v>2860</v>
      </c>
      <c r="G22" s="9" t="n">
        <v>540</v>
      </c>
      <c r="H22" s="8" t="s">
        <v>11</v>
      </c>
      <c r="I22" s="8" t="s">
        <v>21</v>
      </c>
      <c r="J22" s="1" t="s">
        <v>13</v>
      </c>
    </row>
    <row r="23" customFormat="false" ht="13.8" hidden="true" customHeight="false" outlineLevel="0" collapsed="false">
      <c r="A23" s="6" t="n">
        <v>43741</v>
      </c>
      <c r="B23" s="7" t="n">
        <v>0.0888888888888889</v>
      </c>
      <c r="C23" s="8" t="n">
        <v>115353</v>
      </c>
      <c r="D23" s="8" t="s">
        <v>15</v>
      </c>
      <c r="E23" s="8" t="n">
        <v>23000</v>
      </c>
      <c r="F23" s="8" t="n">
        <v>13020</v>
      </c>
      <c r="G23" s="9" t="n">
        <v>9980</v>
      </c>
      <c r="H23" s="8" t="s">
        <v>11</v>
      </c>
      <c r="I23" s="8" t="s">
        <v>16</v>
      </c>
      <c r="J23" s="1" t="s">
        <v>13</v>
      </c>
    </row>
    <row r="24" customFormat="false" ht="13.8" hidden="true" customHeight="false" outlineLevel="0" collapsed="false">
      <c r="A24" s="6" t="n">
        <v>43741</v>
      </c>
      <c r="B24" s="7" t="n">
        <v>0.170833333333333</v>
      </c>
      <c r="C24" s="8" t="n">
        <v>115360</v>
      </c>
      <c r="D24" s="8" t="s">
        <v>15</v>
      </c>
      <c r="E24" s="8" t="n">
        <v>16240</v>
      </c>
      <c r="F24" s="8" t="n">
        <v>12780</v>
      </c>
      <c r="G24" s="9" t="n">
        <v>3460</v>
      </c>
      <c r="H24" s="8" t="s">
        <v>11</v>
      </c>
      <c r="I24" s="8" t="s">
        <v>16</v>
      </c>
      <c r="J24" s="1" t="s">
        <v>13</v>
      </c>
    </row>
    <row r="25" customFormat="false" ht="13.8" hidden="true" customHeight="false" outlineLevel="0" collapsed="false">
      <c r="A25" s="6" t="n">
        <v>43741</v>
      </c>
      <c r="B25" s="7" t="n">
        <v>0.258333333333333</v>
      </c>
      <c r="C25" s="8" t="n">
        <v>115366</v>
      </c>
      <c r="D25" s="8" t="s">
        <v>18</v>
      </c>
      <c r="E25" s="8" t="n">
        <v>25880</v>
      </c>
      <c r="F25" s="8" t="n">
        <v>15800</v>
      </c>
      <c r="G25" s="9" t="n">
        <v>10080</v>
      </c>
      <c r="H25" s="8" t="s">
        <v>11</v>
      </c>
      <c r="I25" s="8" t="s">
        <v>16</v>
      </c>
      <c r="J25" s="1" t="s">
        <v>13</v>
      </c>
    </row>
    <row r="26" customFormat="false" ht="13.8" hidden="true" customHeight="false" outlineLevel="0" collapsed="false">
      <c r="A26" s="6" t="n">
        <v>43741</v>
      </c>
      <c r="B26" s="7" t="n">
        <v>0.259722222222222</v>
      </c>
      <c r="C26" s="8" t="n">
        <v>115367</v>
      </c>
      <c r="D26" s="8" t="s">
        <v>17</v>
      </c>
      <c r="E26" s="8" t="n">
        <v>4280</v>
      </c>
      <c r="F26" s="8" t="n">
        <v>3720</v>
      </c>
      <c r="G26" s="9" t="n">
        <v>560</v>
      </c>
      <c r="H26" s="8" t="s">
        <v>11</v>
      </c>
      <c r="I26" s="8" t="s">
        <v>16</v>
      </c>
      <c r="J26" s="1" t="s">
        <v>13</v>
      </c>
    </row>
    <row r="27" customFormat="false" ht="13.8" hidden="true" customHeight="false" outlineLevel="0" collapsed="false">
      <c r="A27" s="6" t="n">
        <v>43741</v>
      </c>
      <c r="B27" s="7" t="n">
        <v>0.445138888888889</v>
      </c>
      <c r="C27" s="8" t="n">
        <v>115383</v>
      </c>
      <c r="D27" s="8" t="s">
        <v>19</v>
      </c>
      <c r="E27" s="8" t="n">
        <v>3180</v>
      </c>
      <c r="F27" s="8" t="n">
        <v>2780</v>
      </c>
      <c r="G27" s="9" t="n">
        <v>400</v>
      </c>
      <c r="H27" s="8" t="s">
        <v>11</v>
      </c>
      <c r="I27" s="8" t="s">
        <v>21</v>
      </c>
      <c r="J27" s="1" t="s">
        <v>13</v>
      </c>
    </row>
    <row r="28" customFormat="false" ht="13.8" hidden="true" customHeight="false" outlineLevel="0" collapsed="false">
      <c r="A28" s="6" t="n">
        <v>43741</v>
      </c>
      <c r="B28" s="7" t="n">
        <v>0.469444444444444</v>
      </c>
      <c r="C28" s="8" t="n">
        <v>115388</v>
      </c>
      <c r="D28" s="8" t="s">
        <v>20</v>
      </c>
      <c r="E28" s="8" t="n">
        <v>2720</v>
      </c>
      <c r="F28" s="8" t="n">
        <v>2400</v>
      </c>
      <c r="G28" s="9" t="n">
        <v>320</v>
      </c>
      <c r="H28" s="8" t="s">
        <v>11</v>
      </c>
      <c r="I28" s="8" t="s">
        <v>16</v>
      </c>
      <c r="J28" s="1" t="s">
        <v>13</v>
      </c>
    </row>
    <row r="29" customFormat="false" ht="13.8" hidden="true" customHeight="false" outlineLevel="0" collapsed="false">
      <c r="A29" s="6" t="n">
        <v>43742</v>
      </c>
      <c r="B29" s="7" t="n">
        <v>0.0833333333333333</v>
      </c>
      <c r="C29" s="8" t="n">
        <v>115407</v>
      </c>
      <c r="D29" s="8" t="s">
        <v>15</v>
      </c>
      <c r="E29" s="8" t="n">
        <v>23500</v>
      </c>
      <c r="F29" s="8" t="n">
        <v>13000</v>
      </c>
      <c r="G29" s="9" t="n">
        <v>10500</v>
      </c>
      <c r="H29" s="8" t="s">
        <v>11</v>
      </c>
      <c r="I29" s="8" t="s">
        <v>16</v>
      </c>
      <c r="J29" s="1" t="s">
        <v>13</v>
      </c>
    </row>
    <row r="30" customFormat="false" ht="13.8" hidden="true" customHeight="false" outlineLevel="0" collapsed="false">
      <c r="A30" s="6" t="n">
        <v>43742</v>
      </c>
      <c r="B30" s="7" t="n">
        <v>0.165972222222222</v>
      </c>
      <c r="C30" s="8" t="n">
        <v>115412</v>
      </c>
      <c r="D30" s="8" t="s">
        <v>15</v>
      </c>
      <c r="E30" s="8" t="n">
        <v>16200</v>
      </c>
      <c r="F30" s="8" t="n">
        <v>12740</v>
      </c>
      <c r="G30" s="9" t="n">
        <v>3460</v>
      </c>
      <c r="H30" s="8" t="s">
        <v>11</v>
      </c>
      <c r="I30" s="8" t="s">
        <v>16</v>
      </c>
      <c r="J30" s="1" t="s">
        <v>13</v>
      </c>
    </row>
    <row r="31" customFormat="false" ht="13.8" hidden="true" customHeight="false" outlineLevel="0" collapsed="false">
      <c r="A31" s="6" t="n">
        <v>43742</v>
      </c>
      <c r="B31" s="7" t="n">
        <v>0.25</v>
      </c>
      <c r="C31" s="8" t="n">
        <v>115416</v>
      </c>
      <c r="D31" s="8" t="s">
        <v>10</v>
      </c>
      <c r="E31" s="8" t="n">
        <v>26280</v>
      </c>
      <c r="F31" s="8" t="n">
        <v>15780</v>
      </c>
      <c r="G31" s="9" t="n">
        <v>10500</v>
      </c>
      <c r="H31" s="8" t="s">
        <v>11</v>
      </c>
      <c r="I31" s="8" t="s">
        <v>16</v>
      </c>
      <c r="J31" s="1" t="s">
        <v>13</v>
      </c>
    </row>
    <row r="32" customFormat="false" ht="13.8" hidden="true" customHeight="false" outlineLevel="0" collapsed="false">
      <c r="A32" s="6" t="n">
        <v>43742</v>
      </c>
      <c r="B32" s="7" t="n">
        <v>0.2625</v>
      </c>
      <c r="C32" s="8" t="n">
        <v>115417</v>
      </c>
      <c r="D32" s="8" t="s">
        <v>17</v>
      </c>
      <c r="E32" s="8" t="n">
        <v>4420</v>
      </c>
      <c r="F32" s="8" t="n">
        <v>3760</v>
      </c>
      <c r="G32" s="9" t="n">
        <v>660</v>
      </c>
      <c r="H32" s="8" t="s">
        <v>11</v>
      </c>
      <c r="I32" s="8" t="s">
        <v>16</v>
      </c>
      <c r="J32" s="1" t="s">
        <v>13</v>
      </c>
    </row>
    <row r="33" customFormat="false" ht="13.8" hidden="true" customHeight="false" outlineLevel="0" collapsed="false">
      <c r="A33" s="6" t="n">
        <v>43742</v>
      </c>
      <c r="B33" s="7" t="n">
        <v>0.475694444444444</v>
      </c>
      <c r="C33" s="8" t="n">
        <v>115442</v>
      </c>
      <c r="D33" s="8" t="s">
        <v>19</v>
      </c>
      <c r="E33" s="8" t="n">
        <v>3320</v>
      </c>
      <c r="F33" s="8" t="n">
        <v>2760</v>
      </c>
      <c r="G33" s="9" t="n">
        <v>560</v>
      </c>
      <c r="H33" s="8" t="s">
        <v>11</v>
      </c>
      <c r="I33" s="8" t="s">
        <v>21</v>
      </c>
      <c r="J33" s="1" t="s">
        <v>13</v>
      </c>
    </row>
    <row r="34" customFormat="false" ht="13.8" hidden="true" customHeight="false" outlineLevel="0" collapsed="false">
      <c r="A34" s="6" t="n">
        <v>43742</v>
      </c>
      <c r="B34" s="7" t="n">
        <v>0.477083333333333</v>
      </c>
      <c r="C34" s="8" t="n">
        <v>115443</v>
      </c>
      <c r="D34" s="8" t="s">
        <v>20</v>
      </c>
      <c r="E34" s="8" t="n">
        <v>2800</v>
      </c>
      <c r="F34" s="8" t="n">
        <v>2480</v>
      </c>
      <c r="G34" s="9" t="n">
        <v>320</v>
      </c>
      <c r="H34" s="8" t="s">
        <v>11</v>
      </c>
      <c r="I34" s="8" t="s">
        <v>16</v>
      </c>
      <c r="J34" s="1" t="s">
        <v>13</v>
      </c>
    </row>
    <row r="35" customFormat="false" ht="13.8" hidden="true" customHeight="false" outlineLevel="0" collapsed="false">
      <c r="A35" s="6" t="n">
        <v>43742</v>
      </c>
      <c r="B35" s="7" t="n">
        <v>0.534027777777778</v>
      </c>
      <c r="C35" s="8" t="n">
        <v>115451</v>
      </c>
      <c r="D35" s="8" t="s">
        <v>23</v>
      </c>
      <c r="E35" s="8" t="n">
        <v>3360</v>
      </c>
      <c r="F35" s="8" t="n">
        <v>2780</v>
      </c>
      <c r="G35" s="9" t="n">
        <v>580</v>
      </c>
      <c r="H35" s="8" t="s">
        <v>11</v>
      </c>
      <c r="I35" s="8" t="s">
        <v>24</v>
      </c>
      <c r="J35" s="1" t="s">
        <v>13</v>
      </c>
    </row>
    <row r="36" customFormat="false" ht="13.8" hidden="true" customHeight="false" outlineLevel="0" collapsed="false">
      <c r="A36" s="6" t="n">
        <v>43742</v>
      </c>
      <c r="B36" s="7" t="n">
        <v>0.541666666666667</v>
      </c>
      <c r="C36" s="8" t="n">
        <v>115453</v>
      </c>
      <c r="D36" s="8" t="s">
        <v>19</v>
      </c>
      <c r="E36" s="8" t="n">
        <v>3320</v>
      </c>
      <c r="F36" s="8" t="n">
        <v>2820</v>
      </c>
      <c r="G36" s="9" t="n">
        <v>500</v>
      </c>
      <c r="H36" s="8" t="s">
        <v>11</v>
      </c>
      <c r="I36" s="8" t="s">
        <v>21</v>
      </c>
      <c r="J36" s="1" t="s">
        <v>13</v>
      </c>
    </row>
    <row r="37" customFormat="false" ht="13.8" hidden="true" customHeight="false" outlineLevel="0" collapsed="false">
      <c r="A37" s="6" t="n">
        <v>43743</v>
      </c>
      <c r="B37" s="7" t="n">
        <v>0.0784722222222222</v>
      </c>
      <c r="C37" s="8" t="n">
        <v>115459</v>
      </c>
      <c r="D37" s="8" t="s">
        <v>10</v>
      </c>
      <c r="E37" s="8" t="n">
        <v>18960</v>
      </c>
      <c r="F37" s="8" t="n">
        <v>15900</v>
      </c>
      <c r="G37" s="9" t="n">
        <v>3060</v>
      </c>
      <c r="H37" s="8" t="s">
        <v>11</v>
      </c>
      <c r="I37" s="8" t="s">
        <v>16</v>
      </c>
      <c r="J37" s="1" t="s">
        <v>13</v>
      </c>
    </row>
    <row r="38" customFormat="false" ht="13.8" hidden="true" customHeight="false" outlineLevel="0" collapsed="false">
      <c r="A38" s="6" t="n">
        <v>43743</v>
      </c>
      <c r="B38" s="7" t="n">
        <v>0.0944444444444444</v>
      </c>
      <c r="C38" s="8" t="n">
        <v>115461</v>
      </c>
      <c r="D38" s="8" t="s">
        <v>15</v>
      </c>
      <c r="E38" s="8" t="n">
        <v>23120</v>
      </c>
      <c r="F38" s="8" t="n">
        <v>13060</v>
      </c>
      <c r="G38" s="9" t="n">
        <v>10060</v>
      </c>
      <c r="H38" s="8" t="s">
        <v>11</v>
      </c>
      <c r="I38" s="8" t="s">
        <v>16</v>
      </c>
      <c r="J38" s="1" t="s">
        <v>13</v>
      </c>
    </row>
    <row r="39" customFormat="false" ht="13.8" hidden="true" customHeight="false" outlineLevel="0" collapsed="false">
      <c r="A39" s="6" t="n">
        <v>43743</v>
      </c>
      <c r="B39" s="7" t="n">
        <v>0.186805555555556</v>
      </c>
      <c r="C39" s="8" t="n">
        <v>115466</v>
      </c>
      <c r="D39" s="8" t="s">
        <v>15</v>
      </c>
      <c r="E39" s="8" t="n">
        <v>16700</v>
      </c>
      <c r="F39" s="8" t="n">
        <v>12860</v>
      </c>
      <c r="G39" s="9" t="n">
        <v>3840</v>
      </c>
      <c r="H39" s="8" t="s">
        <v>11</v>
      </c>
      <c r="I39" s="8" t="s">
        <v>16</v>
      </c>
      <c r="J39" s="1" t="s">
        <v>13</v>
      </c>
    </row>
    <row r="40" customFormat="false" ht="13.8" hidden="true" customHeight="false" outlineLevel="0" collapsed="false">
      <c r="A40" s="6" t="n">
        <v>43743</v>
      </c>
      <c r="B40" s="7" t="n">
        <v>0.251388888888889</v>
      </c>
      <c r="C40" s="8" t="n">
        <v>115470</v>
      </c>
      <c r="D40" s="8" t="s">
        <v>18</v>
      </c>
      <c r="E40" s="8" t="n">
        <v>24440</v>
      </c>
      <c r="F40" s="8" t="n">
        <v>15740</v>
      </c>
      <c r="G40" s="9" t="n">
        <v>8700</v>
      </c>
      <c r="H40" s="8" t="s">
        <v>11</v>
      </c>
      <c r="I40" s="8" t="s">
        <v>16</v>
      </c>
      <c r="J40" s="1" t="s">
        <v>13</v>
      </c>
    </row>
    <row r="41" customFormat="false" ht="13.8" hidden="true" customHeight="false" outlineLevel="0" collapsed="false">
      <c r="A41" s="6" t="n">
        <v>43743</v>
      </c>
      <c r="B41" s="7" t="n">
        <v>0.258333333333333</v>
      </c>
      <c r="C41" s="8" t="n">
        <v>115471</v>
      </c>
      <c r="D41" s="8" t="s">
        <v>17</v>
      </c>
      <c r="E41" s="8" t="n">
        <v>4540</v>
      </c>
      <c r="F41" s="8" t="n">
        <v>3760</v>
      </c>
      <c r="G41" s="9" t="n">
        <v>780</v>
      </c>
      <c r="H41" s="8" t="s">
        <v>11</v>
      </c>
      <c r="I41" s="8" t="s">
        <v>16</v>
      </c>
      <c r="J41" s="1" t="s">
        <v>13</v>
      </c>
    </row>
    <row r="42" customFormat="false" ht="13.8" hidden="true" customHeight="false" outlineLevel="0" collapsed="false">
      <c r="A42" s="6" t="n">
        <v>43743</v>
      </c>
      <c r="B42" s="7" t="n">
        <v>0.454166666666667</v>
      </c>
      <c r="C42" s="8" t="n">
        <v>115482</v>
      </c>
      <c r="D42" s="8" t="s">
        <v>20</v>
      </c>
      <c r="E42" s="8" t="n">
        <v>2740</v>
      </c>
      <c r="F42" s="8" t="n">
        <v>2400</v>
      </c>
      <c r="G42" s="9" t="n">
        <v>340</v>
      </c>
      <c r="H42" s="8" t="s">
        <v>11</v>
      </c>
      <c r="I42" s="8" t="s">
        <v>16</v>
      </c>
      <c r="J42" s="1" t="s">
        <v>13</v>
      </c>
    </row>
    <row r="43" customFormat="false" ht="13.8" hidden="true" customHeight="false" outlineLevel="0" collapsed="false">
      <c r="A43" s="6" t="n">
        <v>43743</v>
      </c>
      <c r="B43" s="7" t="n">
        <v>0.455555555555556</v>
      </c>
      <c r="C43" s="8" t="n">
        <v>115483</v>
      </c>
      <c r="D43" s="8" t="s">
        <v>19</v>
      </c>
      <c r="E43" s="8" t="n">
        <v>3020</v>
      </c>
      <c r="F43" s="8" t="n">
        <v>2820</v>
      </c>
      <c r="G43" s="9" t="n">
        <v>200</v>
      </c>
      <c r="H43" s="8" t="s">
        <v>11</v>
      </c>
      <c r="I43" s="8" t="s">
        <v>21</v>
      </c>
      <c r="J43" s="1" t="s">
        <v>13</v>
      </c>
    </row>
    <row r="44" customFormat="false" ht="13.8" hidden="true" customHeight="false" outlineLevel="0" collapsed="false">
      <c r="A44" s="6" t="n">
        <v>43743</v>
      </c>
      <c r="B44" s="7" t="n">
        <v>0.521527777777778</v>
      </c>
      <c r="C44" s="8" t="n">
        <v>115484</v>
      </c>
      <c r="D44" s="8" t="s">
        <v>19</v>
      </c>
      <c r="E44" s="8" t="n">
        <v>3260</v>
      </c>
      <c r="F44" s="8" t="n">
        <v>2820</v>
      </c>
      <c r="G44" s="9" t="n">
        <v>440</v>
      </c>
      <c r="H44" s="8" t="s">
        <v>11</v>
      </c>
      <c r="I44" s="8" t="s">
        <v>21</v>
      </c>
      <c r="J44" s="1" t="s">
        <v>13</v>
      </c>
    </row>
    <row r="45" customFormat="false" ht="13.8" hidden="true" customHeight="false" outlineLevel="0" collapsed="false">
      <c r="A45" s="6" t="n">
        <v>43744</v>
      </c>
      <c r="B45" s="7" t="n">
        <v>0.0902777777777778</v>
      </c>
      <c r="C45" s="8" t="n">
        <v>115487</v>
      </c>
      <c r="D45" s="8" t="s">
        <v>15</v>
      </c>
      <c r="E45" s="8" t="n">
        <v>22120</v>
      </c>
      <c r="F45" s="8" t="n">
        <v>13120</v>
      </c>
      <c r="G45" s="9" t="n">
        <v>9000</v>
      </c>
      <c r="H45" s="8" t="s">
        <v>11</v>
      </c>
      <c r="I45" s="8" t="s">
        <v>16</v>
      </c>
      <c r="J45" s="1" t="s">
        <v>13</v>
      </c>
    </row>
    <row r="46" customFormat="false" ht="13.8" hidden="true" customHeight="false" outlineLevel="0" collapsed="false">
      <c r="A46" s="6" t="n">
        <v>43744</v>
      </c>
      <c r="B46" s="7" t="n">
        <v>0.188194444444444</v>
      </c>
      <c r="C46" s="8" t="n">
        <v>115492</v>
      </c>
      <c r="D46" s="8" t="s">
        <v>15</v>
      </c>
      <c r="E46" s="8" t="n">
        <v>17700</v>
      </c>
      <c r="F46" s="8" t="n">
        <v>12860</v>
      </c>
      <c r="G46" s="9" t="n">
        <v>4840</v>
      </c>
      <c r="H46" s="8" t="s">
        <v>11</v>
      </c>
      <c r="I46" s="8" t="s">
        <v>16</v>
      </c>
      <c r="J46" s="1" t="s">
        <v>13</v>
      </c>
    </row>
    <row r="47" customFormat="false" ht="13.8" hidden="true" customHeight="false" outlineLevel="0" collapsed="false">
      <c r="A47" s="6" t="n">
        <v>43744</v>
      </c>
      <c r="B47" s="7" t="n">
        <v>0.216666666666667</v>
      </c>
      <c r="C47" s="8" t="n">
        <v>115493</v>
      </c>
      <c r="D47" s="8" t="s">
        <v>18</v>
      </c>
      <c r="E47" s="8" t="n">
        <v>25780</v>
      </c>
      <c r="F47" s="8" t="n">
        <v>15900</v>
      </c>
      <c r="G47" s="9" t="n">
        <v>9880</v>
      </c>
      <c r="H47" s="8" t="s">
        <v>11</v>
      </c>
      <c r="I47" s="8" t="s">
        <v>16</v>
      </c>
      <c r="J47" s="1" t="s">
        <v>13</v>
      </c>
    </row>
    <row r="48" customFormat="false" ht="13.8" hidden="true" customHeight="false" outlineLevel="0" collapsed="false">
      <c r="A48" s="6" t="n">
        <v>43744</v>
      </c>
      <c r="B48" s="7" t="n">
        <v>0.272916666666667</v>
      </c>
      <c r="C48" s="8" t="n">
        <v>115496</v>
      </c>
      <c r="D48" s="8" t="s">
        <v>17</v>
      </c>
      <c r="E48" s="8" t="n">
        <v>4900</v>
      </c>
      <c r="F48" s="8" t="n">
        <v>3780</v>
      </c>
      <c r="G48" s="9" t="n">
        <v>1120</v>
      </c>
      <c r="H48" s="8" t="s">
        <v>11</v>
      </c>
      <c r="I48" s="8" t="s">
        <v>16</v>
      </c>
      <c r="J48" s="1" t="s">
        <v>13</v>
      </c>
    </row>
    <row r="49" customFormat="false" ht="13.8" hidden="true" customHeight="false" outlineLevel="0" collapsed="false">
      <c r="A49" s="6" t="n">
        <v>43744</v>
      </c>
      <c r="B49" s="7" t="n">
        <v>0.456944444444444</v>
      </c>
      <c r="C49" s="8" t="n">
        <v>115500</v>
      </c>
      <c r="D49" s="8" t="s">
        <v>20</v>
      </c>
      <c r="E49" s="8" t="n">
        <v>2700</v>
      </c>
      <c r="F49" s="8" t="n">
        <v>2380</v>
      </c>
      <c r="G49" s="9" t="n">
        <v>320</v>
      </c>
      <c r="H49" s="8" t="s">
        <v>11</v>
      </c>
      <c r="I49" s="8" t="s">
        <v>16</v>
      </c>
      <c r="J49" s="1" t="s">
        <v>13</v>
      </c>
    </row>
    <row r="50" customFormat="false" ht="13.8" hidden="true" customHeight="false" outlineLevel="0" collapsed="false">
      <c r="A50" s="6" t="n">
        <v>43745</v>
      </c>
      <c r="B50" s="7" t="n">
        <v>0.06875</v>
      </c>
      <c r="C50" s="8" t="n">
        <v>115502</v>
      </c>
      <c r="D50" s="8" t="s">
        <v>15</v>
      </c>
      <c r="E50" s="8" t="n">
        <v>20580</v>
      </c>
      <c r="F50" s="8" t="n">
        <v>13020</v>
      </c>
      <c r="G50" s="9" t="n">
        <v>7560</v>
      </c>
      <c r="H50" s="8" t="s">
        <v>11</v>
      </c>
      <c r="I50" s="8" t="s">
        <v>16</v>
      </c>
      <c r="J50" s="1" t="s">
        <v>13</v>
      </c>
    </row>
    <row r="51" customFormat="false" ht="13.8" hidden="true" customHeight="false" outlineLevel="0" collapsed="false">
      <c r="A51" s="6" t="n">
        <v>43745</v>
      </c>
      <c r="B51" s="7" t="n">
        <v>0.130555555555556</v>
      </c>
      <c r="C51" s="8" t="n">
        <v>115506</v>
      </c>
      <c r="D51" s="8" t="s">
        <v>10</v>
      </c>
      <c r="E51" s="8" t="n">
        <v>20440</v>
      </c>
      <c r="F51" s="8" t="n">
        <v>15860</v>
      </c>
      <c r="G51" s="9" t="n">
        <v>4580</v>
      </c>
      <c r="H51" s="8" t="s">
        <v>11</v>
      </c>
      <c r="I51" s="8" t="s">
        <v>16</v>
      </c>
      <c r="J51" s="1" t="s">
        <v>13</v>
      </c>
    </row>
    <row r="52" customFormat="false" ht="13.8" hidden="true" customHeight="false" outlineLevel="0" collapsed="false">
      <c r="A52" s="6" t="n">
        <v>43745</v>
      </c>
      <c r="B52" s="7" t="n">
        <v>0.155555555555556</v>
      </c>
      <c r="C52" s="8" t="n">
        <v>115508</v>
      </c>
      <c r="D52" s="8" t="s">
        <v>15</v>
      </c>
      <c r="E52" s="8" t="n">
        <v>16700</v>
      </c>
      <c r="F52" s="8" t="n">
        <v>12800</v>
      </c>
      <c r="G52" s="9" t="n">
        <v>3900</v>
      </c>
      <c r="H52" s="8" t="s">
        <v>11</v>
      </c>
      <c r="I52" s="8" t="s">
        <v>16</v>
      </c>
      <c r="J52" s="1" t="s">
        <v>13</v>
      </c>
    </row>
    <row r="53" customFormat="false" ht="13.8" hidden="true" customHeight="false" outlineLevel="0" collapsed="false">
      <c r="A53" s="6" t="n">
        <v>43745</v>
      </c>
      <c r="B53" s="7" t="n">
        <v>0.256944444444444</v>
      </c>
      <c r="C53" s="8" t="n">
        <v>115516</v>
      </c>
      <c r="D53" s="8" t="s">
        <v>18</v>
      </c>
      <c r="E53" s="8" t="n">
        <v>22920</v>
      </c>
      <c r="F53" s="8" t="n">
        <v>15800</v>
      </c>
      <c r="G53" s="9" t="n">
        <v>7120</v>
      </c>
      <c r="H53" s="8" t="s">
        <v>11</v>
      </c>
      <c r="I53" s="8" t="s">
        <v>16</v>
      </c>
      <c r="J53" s="1" t="s">
        <v>13</v>
      </c>
    </row>
    <row r="54" customFormat="false" ht="13.8" hidden="true" customHeight="false" outlineLevel="0" collapsed="false">
      <c r="A54" s="6" t="n">
        <v>43745</v>
      </c>
      <c r="B54" s="7" t="n">
        <v>0.263888888888889</v>
      </c>
      <c r="C54" s="8" t="n">
        <v>115517</v>
      </c>
      <c r="D54" s="8" t="s">
        <v>17</v>
      </c>
      <c r="E54" s="8" t="n">
        <v>4640</v>
      </c>
      <c r="F54" s="8" t="n">
        <v>3760</v>
      </c>
      <c r="G54" s="9" t="n">
        <v>880</v>
      </c>
      <c r="H54" s="8" t="s">
        <v>11</v>
      </c>
      <c r="I54" s="8" t="s">
        <v>16</v>
      </c>
      <c r="J54" s="1" t="s">
        <v>13</v>
      </c>
    </row>
    <row r="55" customFormat="false" ht="13.8" hidden="true" customHeight="false" outlineLevel="0" collapsed="false">
      <c r="A55" s="6" t="n">
        <v>43745</v>
      </c>
      <c r="B55" s="7" t="n">
        <v>0.479861111111111</v>
      </c>
      <c r="C55" s="8" t="n">
        <v>115537</v>
      </c>
      <c r="D55" s="8" t="s">
        <v>19</v>
      </c>
      <c r="E55" s="8" t="n">
        <v>3420</v>
      </c>
      <c r="F55" s="8" t="n">
        <v>2720</v>
      </c>
      <c r="G55" s="9" t="n">
        <v>700</v>
      </c>
      <c r="H55" s="8" t="s">
        <v>11</v>
      </c>
      <c r="I55" s="8" t="s">
        <v>21</v>
      </c>
      <c r="J55" s="1" t="s">
        <v>13</v>
      </c>
    </row>
    <row r="56" customFormat="false" ht="13.8" hidden="true" customHeight="false" outlineLevel="0" collapsed="false">
      <c r="A56" s="6" t="n">
        <v>43745</v>
      </c>
      <c r="B56" s="7" t="n">
        <v>0.499305555555555</v>
      </c>
      <c r="C56" s="8" t="n">
        <v>115541</v>
      </c>
      <c r="D56" s="8" t="s">
        <v>20</v>
      </c>
      <c r="E56" s="8" t="n">
        <v>2580</v>
      </c>
      <c r="F56" s="8" t="n">
        <v>2360</v>
      </c>
      <c r="G56" s="9" t="n">
        <v>220</v>
      </c>
      <c r="H56" s="8" t="s">
        <v>11</v>
      </c>
      <c r="I56" s="8" t="s">
        <v>16</v>
      </c>
      <c r="J56" s="1" t="s">
        <v>13</v>
      </c>
    </row>
    <row r="57" customFormat="false" ht="13.8" hidden="true" customHeight="false" outlineLevel="0" collapsed="false">
      <c r="A57" s="6" t="n">
        <v>43745</v>
      </c>
      <c r="B57" s="7" t="n">
        <v>0.501388888888889</v>
      </c>
      <c r="C57" s="8" t="n">
        <v>115542</v>
      </c>
      <c r="D57" s="8" t="s">
        <v>15</v>
      </c>
      <c r="E57" s="8" t="n">
        <v>14080</v>
      </c>
      <c r="F57" s="8" t="n">
        <v>12740</v>
      </c>
      <c r="G57" s="9" t="n">
        <v>1340</v>
      </c>
      <c r="H57" s="8" t="s">
        <v>11</v>
      </c>
      <c r="I57" s="8" t="s">
        <v>16</v>
      </c>
      <c r="J57" s="1" t="s">
        <v>13</v>
      </c>
    </row>
    <row r="58" customFormat="false" ht="13.8" hidden="true" customHeight="false" outlineLevel="0" collapsed="false">
      <c r="A58" s="6" t="n">
        <v>43745</v>
      </c>
      <c r="B58" s="7" t="n">
        <v>0.520833333333333</v>
      </c>
      <c r="C58" s="10" t="s">
        <v>25</v>
      </c>
      <c r="D58" s="8" t="s">
        <v>10</v>
      </c>
      <c r="E58" s="8" t="n">
        <v>17640</v>
      </c>
      <c r="F58" s="8" t="n">
        <v>15760</v>
      </c>
      <c r="G58" s="9" t="n">
        <v>1880</v>
      </c>
      <c r="H58" s="8" t="s">
        <v>11</v>
      </c>
      <c r="I58" s="8" t="s">
        <v>26</v>
      </c>
      <c r="J58" s="1" t="s">
        <v>13</v>
      </c>
    </row>
    <row r="59" customFormat="false" ht="13.8" hidden="true" customHeight="false" outlineLevel="0" collapsed="false">
      <c r="A59" s="6" t="n">
        <v>43746</v>
      </c>
      <c r="B59" s="7" t="n">
        <v>0.411805555555556</v>
      </c>
      <c r="C59" s="8" t="n">
        <v>93049</v>
      </c>
      <c r="D59" s="8" t="s">
        <v>10</v>
      </c>
      <c r="E59" s="8" t="n">
        <v>17680</v>
      </c>
      <c r="F59" s="8" t="n">
        <v>15720</v>
      </c>
      <c r="G59" s="9" t="n">
        <v>1960</v>
      </c>
      <c r="H59" s="8" t="s">
        <v>11</v>
      </c>
      <c r="I59" s="8" t="s">
        <v>12</v>
      </c>
      <c r="J59" s="1" t="s">
        <v>13</v>
      </c>
    </row>
    <row r="60" customFormat="false" ht="13.8" hidden="true" customHeight="false" outlineLevel="0" collapsed="false">
      <c r="A60" s="6" t="n">
        <v>43746</v>
      </c>
      <c r="B60" s="7" t="n">
        <v>0.497916666666667</v>
      </c>
      <c r="C60" s="8" t="n">
        <v>93065</v>
      </c>
      <c r="D60" s="8" t="s">
        <v>22</v>
      </c>
      <c r="E60" s="8" t="n">
        <v>5840</v>
      </c>
      <c r="F60" s="8" t="n">
        <v>5580</v>
      </c>
      <c r="G60" s="9" t="n">
        <v>260</v>
      </c>
      <c r="H60" s="8" t="s">
        <v>11</v>
      </c>
      <c r="I60" s="8" t="s">
        <v>12</v>
      </c>
      <c r="J60" s="1" t="s">
        <v>13</v>
      </c>
    </row>
    <row r="61" customFormat="false" ht="13.8" hidden="true" customHeight="false" outlineLevel="0" collapsed="false">
      <c r="A61" s="6" t="n">
        <v>43746</v>
      </c>
      <c r="B61" s="7" t="n">
        <v>0.0916666666666667</v>
      </c>
      <c r="C61" s="8" t="n">
        <v>115558</v>
      </c>
      <c r="D61" s="8" t="s">
        <v>15</v>
      </c>
      <c r="E61" s="8" t="n">
        <v>22540</v>
      </c>
      <c r="F61" s="8" t="n">
        <v>13040</v>
      </c>
      <c r="G61" s="9" t="n">
        <v>9500</v>
      </c>
      <c r="H61" s="8" t="s">
        <v>11</v>
      </c>
      <c r="I61" s="8" t="s">
        <v>16</v>
      </c>
      <c r="J61" s="1" t="s">
        <v>13</v>
      </c>
    </row>
    <row r="62" customFormat="false" ht="13.8" hidden="true" customHeight="false" outlineLevel="0" collapsed="false">
      <c r="A62" s="11" t="n">
        <v>43746</v>
      </c>
      <c r="B62" s="7" t="n">
        <v>0.13125</v>
      </c>
      <c r="C62" s="8" t="n">
        <v>115563</v>
      </c>
      <c r="D62" s="8" t="s">
        <v>10</v>
      </c>
      <c r="E62" s="8" t="n">
        <v>19700</v>
      </c>
      <c r="F62" s="8" t="n">
        <v>15800</v>
      </c>
      <c r="G62" s="9" t="n">
        <v>3900</v>
      </c>
      <c r="H62" s="8" t="s">
        <v>11</v>
      </c>
      <c r="I62" s="8" t="s">
        <v>16</v>
      </c>
      <c r="J62" s="1" t="s">
        <v>13</v>
      </c>
    </row>
    <row r="63" customFormat="false" ht="13.8" hidden="true" customHeight="false" outlineLevel="0" collapsed="false">
      <c r="A63" s="6" t="n">
        <v>43746</v>
      </c>
      <c r="B63" s="7" t="n">
        <v>0.177083333333333</v>
      </c>
      <c r="C63" s="8" t="n">
        <v>115566</v>
      </c>
      <c r="D63" s="8" t="s">
        <v>15</v>
      </c>
      <c r="E63" s="8" t="n">
        <v>16060</v>
      </c>
      <c r="F63" s="8" t="n">
        <v>12860</v>
      </c>
      <c r="G63" s="9" t="n">
        <v>3200</v>
      </c>
      <c r="H63" s="8" t="s">
        <v>11</v>
      </c>
      <c r="I63" s="8" t="s">
        <v>16</v>
      </c>
      <c r="J63" s="1" t="s">
        <v>13</v>
      </c>
    </row>
    <row r="64" customFormat="false" ht="13.8" hidden="true" customHeight="false" outlineLevel="0" collapsed="false">
      <c r="A64" s="6" t="n">
        <v>43746</v>
      </c>
      <c r="B64" s="7" t="n">
        <v>0.248611111111111</v>
      </c>
      <c r="C64" s="8" t="n">
        <v>115570</v>
      </c>
      <c r="D64" s="8" t="s">
        <v>17</v>
      </c>
      <c r="E64" s="8" t="n">
        <v>4400</v>
      </c>
      <c r="F64" s="8" t="n">
        <v>3740</v>
      </c>
      <c r="G64" s="9" t="n">
        <v>660</v>
      </c>
      <c r="H64" s="8" t="s">
        <v>11</v>
      </c>
      <c r="I64" s="8" t="s">
        <v>16</v>
      </c>
      <c r="J64" s="1" t="s">
        <v>13</v>
      </c>
    </row>
    <row r="65" customFormat="false" ht="13.8" hidden="true" customHeight="false" outlineLevel="0" collapsed="false">
      <c r="A65" s="6" t="n">
        <v>43746</v>
      </c>
      <c r="B65" s="7" t="n">
        <v>0.25</v>
      </c>
      <c r="C65" s="8" t="n">
        <v>115571</v>
      </c>
      <c r="D65" s="8" t="s">
        <v>18</v>
      </c>
      <c r="E65" s="8" t="n">
        <v>22480</v>
      </c>
      <c r="F65" s="8" t="n">
        <v>15760</v>
      </c>
      <c r="G65" s="9" t="n">
        <v>6720</v>
      </c>
      <c r="H65" s="8" t="s">
        <v>11</v>
      </c>
      <c r="I65" s="8" t="s">
        <v>16</v>
      </c>
      <c r="J65" s="1" t="s">
        <v>13</v>
      </c>
    </row>
    <row r="66" customFormat="false" ht="13.8" hidden="true" customHeight="false" outlineLevel="0" collapsed="false">
      <c r="A66" s="6" t="n">
        <v>43746</v>
      </c>
      <c r="B66" s="7" t="n">
        <v>0.501388888888889</v>
      </c>
      <c r="C66" s="8" t="n">
        <v>115596</v>
      </c>
      <c r="D66" s="8" t="s">
        <v>20</v>
      </c>
      <c r="E66" s="8" t="n">
        <v>2600</v>
      </c>
      <c r="F66" s="8" t="n">
        <v>2360</v>
      </c>
      <c r="G66" s="9" t="n">
        <v>240</v>
      </c>
      <c r="H66" s="8" t="s">
        <v>11</v>
      </c>
      <c r="I66" s="8" t="s">
        <v>16</v>
      </c>
      <c r="J66" s="1" t="s">
        <v>13</v>
      </c>
    </row>
    <row r="67" customFormat="false" ht="13.8" hidden="true" customHeight="false" outlineLevel="0" collapsed="false">
      <c r="A67" s="6" t="n">
        <v>43746</v>
      </c>
      <c r="B67" s="7" t="n">
        <v>0.5125</v>
      </c>
      <c r="C67" s="8" t="n">
        <v>115598</v>
      </c>
      <c r="D67" s="8" t="s">
        <v>19</v>
      </c>
      <c r="E67" s="8" t="n">
        <v>3640</v>
      </c>
      <c r="F67" s="8" t="n">
        <v>2780</v>
      </c>
      <c r="G67" s="9" t="n">
        <v>860</v>
      </c>
      <c r="H67" s="8" t="s">
        <v>11</v>
      </c>
      <c r="I67" s="8" t="s">
        <v>21</v>
      </c>
      <c r="J67" s="1" t="s">
        <v>13</v>
      </c>
    </row>
    <row r="68" customFormat="false" ht="13.8" hidden="true" customHeight="false" outlineLevel="0" collapsed="false">
      <c r="A68" s="6" t="n">
        <v>43747</v>
      </c>
      <c r="B68" s="7" t="n">
        <v>0.13125</v>
      </c>
      <c r="C68" s="8" t="n">
        <v>115615</v>
      </c>
      <c r="D68" s="8" t="s">
        <v>10</v>
      </c>
      <c r="E68" s="8" t="n">
        <v>20260</v>
      </c>
      <c r="F68" s="8" t="n">
        <v>15920</v>
      </c>
      <c r="G68" s="9" t="n">
        <v>4340</v>
      </c>
      <c r="H68" s="8" t="s">
        <v>11</v>
      </c>
      <c r="I68" s="8" t="s">
        <v>16</v>
      </c>
      <c r="J68" s="1" t="s">
        <v>13</v>
      </c>
    </row>
    <row r="69" customFormat="false" ht="13.8" hidden="true" customHeight="false" outlineLevel="0" collapsed="false">
      <c r="A69" s="6" t="n">
        <v>43747</v>
      </c>
      <c r="B69" s="7" t="n">
        <v>0.138888888888889</v>
      </c>
      <c r="C69" s="8" t="n">
        <v>115616</v>
      </c>
      <c r="D69" s="8" t="s">
        <v>15</v>
      </c>
      <c r="E69" s="8" t="n">
        <v>21640</v>
      </c>
      <c r="F69" s="8" t="n">
        <v>12740</v>
      </c>
      <c r="G69" s="9" t="n">
        <v>8900</v>
      </c>
      <c r="H69" s="8" t="s">
        <v>11</v>
      </c>
      <c r="I69" s="8" t="s">
        <v>16</v>
      </c>
      <c r="J69" s="1" t="s">
        <v>13</v>
      </c>
    </row>
    <row r="70" customFormat="false" ht="13.8" hidden="true" customHeight="false" outlineLevel="0" collapsed="false">
      <c r="A70" s="6" t="n">
        <v>43747</v>
      </c>
      <c r="B70" s="7" t="n">
        <v>0.147916666666667</v>
      </c>
      <c r="C70" s="8" t="n">
        <v>115618</v>
      </c>
      <c r="D70" s="8" t="s">
        <v>15</v>
      </c>
      <c r="E70" s="8" t="n">
        <v>15680</v>
      </c>
      <c r="F70" s="8" t="n">
        <v>12860</v>
      </c>
      <c r="G70" s="9" t="n">
        <v>2820</v>
      </c>
      <c r="H70" s="8" t="s">
        <v>11</v>
      </c>
      <c r="I70" s="8" t="s">
        <v>16</v>
      </c>
      <c r="J70" s="1" t="s">
        <v>13</v>
      </c>
    </row>
    <row r="71" customFormat="false" ht="13.8" hidden="true" customHeight="false" outlineLevel="0" collapsed="false">
      <c r="A71" s="6" t="n">
        <v>43747</v>
      </c>
      <c r="B71" s="7" t="n">
        <v>0.211111111111111</v>
      </c>
      <c r="C71" s="8" t="n">
        <v>115621</v>
      </c>
      <c r="D71" s="8" t="s">
        <v>17</v>
      </c>
      <c r="E71" s="8" t="n">
        <v>4380</v>
      </c>
      <c r="F71" s="8" t="n">
        <v>3780</v>
      </c>
      <c r="G71" s="9" t="n">
        <v>600</v>
      </c>
      <c r="H71" s="8" t="s">
        <v>11</v>
      </c>
      <c r="I71" s="8" t="s">
        <v>16</v>
      </c>
      <c r="J71" s="1" t="s">
        <v>13</v>
      </c>
    </row>
    <row r="72" customFormat="false" ht="13.8" hidden="true" customHeight="false" outlineLevel="0" collapsed="false">
      <c r="A72" s="6" t="n">
        <v>43747</v>
      </c>
      <c r="B72" s="7" t="n">
        <v>0.214583333333333</v>
      </c>
      <c r="C72" s="8" t="n">
        <v>115622</v>
      </c>
      <c r="D72" s="8" t="s">
        <v>18</v>
      </c>
      <c r="E72" s="8" t="n">
        <v>23000</v>
      </c>
      <c r="F72" s="8" t="n">
        <v>15720</v>
      </c>
      <c r="G72" s="9" t="n">
        <v>7280</v>
      </c>
      <c r="H72" s="8" t="s">
        <v>11</v>
      </c>
      <c r="I72" s="8" t="s">
        <v>16</v>
      </c>
      <c r="J72" s="1" t="s">
        <v>13</v>
      </c>
    </row>
    <row r="73" customFormat="false" ht="13.8" hidden="true" customHeight="false" outlineLevel="0" collapsed="false">
      <c r="A73" s="6" t="n">
        <v>43747</v>
      </c>
      <c r="B73" s="7" t="n">
        <v>0.372916666666667</v>
      </c>
      <c r="C73" s="8" t="n">
        <v>115628</v>
      </c>
      <c r="D73" s="8" t="s">
        <v>19</v>
      </c>
      <c r="E73" s="8" t="n">
        <v>3540</v>
      </c>
      <c r="F73" s="8" t="n">
        <v>2820</v>
      </c>
      <c r="G73" s="9" t="n">
        <v>720</v>
      </c>
      <c r="H73" s="8" t="s">
        <v>11</v>
      </c>
      <c r="I73" s="8" t="s">
        <v>21</v>
      </c>
      <c r="J73" s="1" t="s">
        <v>13</v>
      </c>
    </row>
    <row r="74" customFormat="false" ht="13.8" hidden="true" customHeight="false" outlineLevel="0" collapsed="false">
      <c r="A74" s="6" t="n">
        <v>43747</v>
      </c>
      <c r="B74" s="7" t="n">
        <v>0.44375</v>
      </c>
      <c r="C74" s="8" t="n">
        <v>115630</v>
      </c>
      <c r="D74" s="8" t="s">
        <v>19</v>
      </c>
      <c r="E74" s="8" t="n">
        <v>2960</v>
      </c>
      <c r="F74" s="8" t="n">
        <v>2760</v>
      </c>
      <c r="G74" s="9" t="n">
        <v>200</v>
      </c>
      <c r="H74" s="8" t="s">
        <v>11</v>
      </c>
      <c r="I74" s="8" t="s">
        <v>16</v>
      </c>
      <c r="J74" s="1" t="s">
        <v>13</v>
      </c>
    </row>
    <row r="75" customFormat="false" ht="13.8" hidden="true" customHeight="false" outlineLevel="0" collapsed="false">
      <c r="A75" s="6" t="n">
        <v>43747</v>
      </c>
      <c r="B75" s="7" t="n">
        <v>0.496527777777778</v>
      </c>
      <c r="C75" s="8" t="n">
        <v>115631</v>
      </c>
      <c r="D75" s="8" t="s">
        <v>20</v>
      </c>
      <c r="E75" s="8" t="n">
        <v>2500</v>
      </c>
      <c r="F75" s="8" t="n">
        <v>2380</v>
      </c>
      <c r="G75" s="9" t="n">
        <v>120</v>
      </c>
      <c r="H75" s="8" t="s">
        <v>11</v>
      </c>
      <c r="I75" s="8" t="s">
        <v>16</v>
      </c>
      <c r="J75" s="1" t="s">
        <v>13</v>
      </c>
    </row>
    <row r="76" customFormat="false" ht="13.8" hidden="true" customHeight="false" outlineLevel="0" collapsed="false">
      <c r="A76" s="6" t="n">
        <v>43747</v>
      </c>
      <c r="B76" s="7" t="n">
        <v>0.505555555555556</v>
      </c>
      <c r="C76" s="8" t="n">
        <v>115632</v>
      </c>
      <c r="D76" s="8" t="s">
        <v>19</v>
      </c>
      <c r="E76" s="8" t="n">
        <v>3500</v>
      </c>
      <c r="F76" s="8" t="n">
        <v>2760</v>
      </c>
      <c r="G76" s="9" t="n">
        <v>740</v>
      </c>
      <c r="H76" s="8" t="s">
        <v>11</v>
      </c>
      <c r="I76" s="8" t="s">
        <v>21</v>
      </c>
      <c r="J76" s="1" t="s">
        <v>13</v>
      </c>
    </row>
    <row r="77" customFormat="false" ht="13.8" hidden="true" customHeight="false" outlineLevel="0" collapsed="false">
      <c r="A77" s="6" t="n">
        <v>43748</v>
      </c>
      <c r="B77" s="7" t="n">
        <v>0.08125</v>
      </c>
      <c r="C77" s="8" t="n">
        <v>115635</v>
      </c>
      <c r="D77" s="8" t="s">
        <v>15</v>
      </c>
      <c r="E77" s="8" t="n">
        <v>21080</v>
      </c>
      <c r="F77" s="8" t="n">
        <v>13000</v>
      </c>
      <c r="G77" s="9" t="n">
        <v>8080</v>
      </c>
      <c r="H77" s="8" t="s">
        <v>11</v>
      </c>
      <c r="I77" s="8" t="s">
        <v>16</v>
      </c>
      <c r="J77" s="1" t="s">
        <v>13</v>
      </c>
    </row>
    <row r="78" customFormat="false" ht="13.8" hidden="true" customHeight="false" outlineLevel="0" collapsed="false">
      <c r="A78" s="6" t="n">
        <v>43748</v>
      </c>
      <c r="B78" s="7" t="n">
        <v>0.174305555555556</v>
      </c>
      <c r="C78" s="8" t="n">
        <v>115641</v>
      </c>
      <c r="D78" s="8" t="s">
        <v>15</v>
      </c>
      <c r="E78" s="8" t="n">
        <v>16140</v>
      </c>
      <c r="F78" s="8" t="n">
        <v>12820</v>
      </c>
      <c r="G78" s="9" t="n">
        <v>3320</v>
      </c>
      <c r="H78" s="8" t="s">
        <v>11</v>
      </c>
      <c r="I78" s="8" t="s">
        <v>16</v>
      </c>
      <c r="J78" s="1" t="s">
        <v>13</v>
      </c>
    </row>
    <row r="79" customFormat="false" ht="13.8" hidden="true" customHeight="false" outlineLevel="0" collapsed="false">
      <c r="A79" s="6" t="n">
        <v>43748</v>
      </c>
      <c r="B79" s="7" t="n">
        <v>0.244444444444444</v>
      </c>
      <c r="C79" s="8" t="n">
        <v>115646</v>
      </c>
      <c r="D79" s="8" t="s">
        <v>18</v>
      </c>
      <c r="E79" s="8" t="n">
        <v>24880</v>
      </c>
      <c r="F79" s="8" t="n">
        <v>15720</v>
      </c>
      <c r="G79" s="9" t="n">
        <v>9160</v>
      </c>
      <c r="H79" s="8" t="s">
        <v>11</v>
      </c>
      <c r="I79" s="8" t="s">
        <v>16</v>
      </c>
      <c r="J79" s="1" t="s">
        <v>13</v>
      </c>
    </row>
    <row r="80" customFormat="false" ht="13.8" hidden="true" customHeight="false" outlineLevel="0" collapsed="false">
      <c r="A80" s="6" t="n">
        <v>43748</v>
      </c>
      <c r="B80" s="7" t="n">
        <v>0.263194444444444</v>
      </c>
      <c r="C80" s="8" t="n">
        <v>115648</v>
      </c>
      <c r="D80" s="8" t="s">
        <v>17</v>
      </c>
      <c r="E80" s="8" t="n">
        <v>4460</v>
      </c>
      <c r="F80" s="8" t="n">
        <v>3760</v>
      </c>
      <c r="G80" s="9" t="n">
        <v>700</v>
      </c>
      <c r="H80" s="8" t="s">
        <v>11</v>
      </c>
      <c r="I80" s="8" t="s">
        <v>16</v>
      </c>
      <c r="J80" s="1" t="s">
        <v>13</v>
      </c>
    </row>
    <row r="81" customFormat="false" ht="13.8" hidden="true" customHeight="false" outlineLevel="0" collapsed="false">
      <c r="A81" s="6" t="n">
        <v>43748</v>
      </c>
      <c r="B81" s="7" t="n">
        <v>0.348611111111111</v>
      </c>
      <c r="C81" s="8" t="n">
        <v>115658</v>
      </c>
      <c r="D81" s="8" t="s">
        <v>19</v>
      </c>
      <c r="E81" s="8" t="n">
        <v>3560</v>
      </c>
      <c r="F81" s="8" t="n">
        <v>2900</v>
      </c>
      <c r="G81" s="9" t="n">
        <v>660</v>
      </c>
      <c r="H81" s="8" t="s">
        <v>11</v>
      </c>
      <c r="I81" s="8" t="s">
        <v>21</v>
      </c>
      <c r="J81" s="1" t="s">
        <v>13</v>
      </c>
    </row>
    <row r="82" customFormat="false" ht="13.8" hidden="true" customHeight="false" outlineLevel="0" collapsed="false">
      <c r="A82" s="6" t="n">
        <v>43748</v>
      </c>
      <c r="B82" s="7" t="n">
        <v>0.458333333333333</v>
      </c>
      <c r="C82" s="8" t="n">
        <v>115666</v>
      </c>
      <c r="D82" s="8" t="s">
        <v>20</v>
      </c>
      <c r="E82" s="8" t="n">
        <v>2620</v>
      </c>
      <c r="F82" s="8" t="n">
        <v>2380</v>
      </c>
      <c r="G82" s="9" t="n">
        <v>240</v>
      </c>
      <c r="H82" s="8" t="s">
        <v>11</v>
      </c>
      <c r="I82" s="8" t="s">
        <v>16</v>
      </c>
      <c r="J82" s="1" t="s">
        <v>13</v>
      </c>
    </row>
    <row r="83" customFormat="false" ht="13.8" hidden="true" customHeight="false" outlineLevel="0" collapsed="false">
      <c r="A83" s="6" t="n">
        <v>43748</v>
      </c>
      <c r="B83" s="7" t="n">
        <v>0.50625</v>
      </c>
      <c r="C83" s="8" t="n">
        <v>115673</v>
      </c>
      <c r="D83" s="8" t="s">
        <v>19</v>
      </c>
      <c r="E83" s="8" t="n">
        <v>3140</v>
      </c>
      <c r="F83" s="8" t="n">
        <v>2740</v>
      </c>
      <c r="G83" s="9" t="n">
        <v>400</v>
      </c>
      <c r="H83" s="8" t="s">
        <v>11</v>
      </c>
      <c r="I83" s="8" t="s">
        <v>21</v>
      </c>
      <c r="J83" s="1" t="s">
        <v>13</v>
      </c>
    </row>
    <row r="84" customFormat="false" ht="13.8" hidden="true" customHeight="false" outlineLevel="0" collapsed="false">
      <c r="A84" s="6" t="n">
        <v>43748</v>
      </c>
      <c r="B84" s="7" t="n">
        <v>0.548611111111111</v>
      </c>
      <c r="C84" s="8" t="n">
        <v>115680</v>
      </c>
      <c r="D84" s="8" t="s">
        <v>23</v>
      </c>
      <c r="E84" s="8" t="n">
        <v>3320</v>
      </c>
      <c r="F84" s="8" t="n">
        <v>2720</v>
      </c>
      <c r="G84" s="9" t="n">
        <v>600</v>
      </c>
      <c r="H84" s="8" t="s">
        <v>11</v>
      </c>
      <c r="I84" s="8" t="s">
        <v>16</v>
      </c>
      <c r="J84" s="1" t="s">
        <v>13</v>
      </c>
    </row>
    <row r="85" customFormat="false" ht="13.8" hidden="true" customHeight="false" outlineLevel="0" collapsed="false">
      <c r="A85" s="6" t="n">
        <v>43749</v>
      </c>
      <c r="B85" s="7" t="n">
        <v>0.0909722222222222</v>
      </c>
      <c r="C85" s="8" t="n">
        <v>115694</v>
      </c>
      <c r="D85" s="8" t="s">
        <v>15</v>
      </c>
      <c r="E85" s="8" t="n">
        <v>21280</v>
      </c>
      <c r="F85" s="8" t="n">
        <v>13020</v>
      </c>
      <c r="G85" s="9" t="n">
        <v>8260</v>
      </c>
      <c r="H85" s="8" t="s">
        <v>11</v>
      </c>
      <c r="I85" s="6" t="s">
        <v>16</v>
      </c>
      <c r="J85" s="1" t="s">
        <v>13</v>
      </c>
    </row>
    <row r="86" customFormat="false" ht="13.8" hidden="true" customHeight="false" outlineLevel="0" collapsed="false">
      <c r="A86" s="6" t="n">
        <v>43749</v>
      </c>
      <c r="B86" s="7" t="n">
        <v>0.154166666666667</v>
      </c>
      <c r="C86" s="8" t="n">
        <v>115699</v>
      </c>
      <c r="D86" s="8" t="s">
        <v>10</v>
      </c>
      <c r="E86" s="8" t="n">
        <v>20160</v>
      </c>
      <c r="F86" s="8" t="n">
        <v>15880</v>
      </c>
      <c r="G86" s="9" t="n">
        <v>4280</v>
      </c>
      <c r="H86" s="8" t="s">
        <v>11</v>
      </c>
      <c r="I86" s="8" t="s">
        <v>16</v>
      </c>
      <c r="J86" s="1" t="s">
        <v>13</v>
      </c>
    </row>
    <row r="87" customFormat="false" ht="13.8" hidden="true" customHeight="false" outlineLevel="0" collapsed="false">
      <c r="A87" s="6" t="n">
        <v>43749</v>
      </c>
      <c r="B87" s="7" t="n">
        <v>0.16875</v>
      </c>
      <c r="C87" s="8" t="n">
        <v>115700</v>
      </c>
      <c r="D87" s="8" t="s">
        <v>15</v>
      </c>
      <c r="E87" s="8" t="n">
        <v>16060</v>
      </c>
      <c r="F87" s="8" t="n">
        <v>12800</v>
      </c>
      <c r="G87" s="9" t="n">
        <v>3260</v>
      </c>
      <c r="H87" s="8" t="s">
        <v>11</v>
      </c>
      <c r="I87" s="8" t="s">
        <v>16</v>
      </c>
      <c r="J87" s="1" t="s">
        <v>13</v>
      </c>
    </row>
    <row r="88" customFormat="false" ht="13.8" hidden="true" customHeight="false" outlineLevel="0" collapsed="false">
      <c r="A88" s="6" t="n">
        <v>43749</v>
      </c>
      <c r="B88" s="7" t="n">
        <v>0.259027777777778</v>
      </c>
      <c r="C88" s="8" t="n">
        <v>115705</v>
      </c>
      <c r="D88" s="8" t="s">
        <v>17</v>
      </c>
      <c r="E88" s="8" t="n">
        <v>4400</v>
      </c>
      <c r="F88" s="8" t="n">
        <v>4020</v>
      </c>
      <c r="G88" s="9" t="n">
        <v>380</v>
      </c>
      <c r="H88" s="8" t="s">
        <v>11</v>
      </c>
      <c r="I88" s="8" t="s">
        <v>16</v>
      </c>
      <c r="J88" s="1" t="s">
        <v>13</v>
      </c>
    </row>
    <row r="89" customFormat="false" ht="13.8" hidden="true" customHeight="false" outlineLevel="0" collapsed="false">
      <c r="A89" s="6" t="n">
        <v>43749</v>
      </c>
      <c r="B89" s="7" t="n">
        <v>0.261805555555556</v>
      </c>
      <c r="C89" s="8" t="n">
        <v>115707</v>
      </c>
      <c r="D89" s="8" t="s">
        <v>18</v>
      </c>
      <c r="E89" s="8" t="n">
        <v>22400</v>
      </c>
      <c r="F89" s="8" t="n">
        <v>15860</v>
      </c>
      <c r="G89" s="9" t="n">
        <v>6540</v>
      </c>
      <c r="H89" s="8" t="s">
        <v>11</v>
      </c>
      <c r="I89" s="8" t="s">
        <v>16</v>
      </c>
      <c r="J89" s="1" t="s">
        <v>13</v>
      </c>
    </row>
    <row r="90" customFormat="false" ht="13.8" hidden="true" customHeight="false" outlineLevel="0" collapsed="false">
      <c r="A90" s="6" t="n">
        <v>43749</v>
      </c>
      <c r="B90" s="7" t="n">
        <v>0.378472222222222</v>
      </c>
      <c r="C90" s="8" t="n">
        <v>115719</v>
      </c>
      <c r="D90" s="8" t="s">
        <v>19</v>
      </c>
      <c r="E90" s="8" t="n">
        <v>3380</v>
      </c>
      <c r="F90" s="8" t="n">
        <v>2880</v>
      </c>
      <c r="G90" s="9" t="n">
        <v>500</v>
      </c>
      <c r="H90" s="8" t="s">
        <v>11</v>
      </c>
      <c r="I90" s="8" t="s">
        <v>21</v>
      </c>
      <c r="J90" s="1" t="s">
        <v>13</v>
      </c>
    </row>
    <row r="91" customFormat="false" ht="13.8" hidden="true" customHeight="false" outlineLevel="0" collapsed="false">
      <c r="A91" s="6" t="n">
        <v>43749</v>
      </c>
      <c r="B91" s="7" t="n">
        <v>0.448611111111111</v>
      </c>
      <c r="C91" s="8" t="n">
        <v>115725</v>
      </c>
      <c r="D91" s="8" t="s">
        <v>20</v>
      </c>
      <c r="E91" s="8" t="n">
        <v>2620</v>
      </c>
      <c r="F91" s="8" t="n">
        <v>2380</v>
      </c>
      <c r="G91" s="9" t="n">
        <v>240</v>
      </c>
      <c r="H91" s="8" t="s">
        <v>11</v>
      </c>
      <c r="I91" s="8" t="s">
        <v>16</v>
      </c>
      <c r="J91" s="1" t="s">
        <v>13</v>
      </c>
    </row>
    <row r="92" customFormat="false" ht="13.8" hidden="true" customHeight="false" outlineLevel="0" collapsed="false">
      <c r="A92" s="6" t="n">
        <v>43749</v>
      </c>
      <c r="B92" s="7" t="n">
        <v>0.490277777777778</v>
      </c>
      <c r="C92" s="8" t="n">
        <v>115731</v>
      </c>
      <c r="D92" s="8" t="s">
        <v>14</v>
      </c>
      <c r="E92" s="8" t="n">
        <v>18000</v>
      </c>
      <c r="F92" s="8" t="n">
        <v>15900</v>
      </c>
      <c r="G92" s="9" t="n">
        <v>2100</v>
      </c>
      <c r="H92" s="8" t="s">
        <v>11</v>
      </c>
      <c r="I92" s="8" t="s">
        <v>16</v>
      </c>
      <c r="J92" s="1" t="s">
        <v>13</v>
      </c>
    </row>
    <row r="93" customFormat="false" ht="13.8" hidden="true" customHeight="false" outlineLevel="0" collapsed="false">
      <c r="A93" s="6" t="n">
        <v>43750</v>
      </c>
      <c r="B93" s="7" t="n">
        <v>0.0694444444444444</v>
      </c>
      <c r="C93" s="8" t="n">
        <v>115740</v>
      </c>
      <c r="D93" s="8" t="s">
        <v>15</v>
      </c>
      <c r="E93" s="8" t="n">
        <v>21560</v>
      </c>
      <c r="F93" s="8" t="n">
        <v>13140</v>
      </c>
      <c r="G93" s="9" t="n">
        <v>8420</v>
      </c>
      <c r="H93" s="8" t="s">
        <v>11</v>
      </c>
      <c r="I93" s="8" t="s">
        <v>16</v>
      </c>
      <c r="J93" s="1" t="s">
        <v>13</v>
      </c>
    </row>
    <row r="94" customFormat="false" ht="13.8" hidden="true" customHeight="false" outlineLevel="0" collapsed="false">
      <c r="A94" s="6" t="n">
        <v>43750</v>
      </c>
      <c r="B94" s="7" t="n">
        <v>0.129861111111111</v>
      </c>
      <c r="C94" s="8" t="n">
        <v>115745</v>
      </c>
      <c r="D94" s="8" t="s">
        <v>19</v>
      </c>
      <c r="E94" s="8" t="n">
        <v>2980</v>
      </c>
      <c r="F94" s="8" t="n">
        <v>2820</v>
      </c>
      <c r="G94" s="9" t="n">
        <v>160</v>
      </c>
      <c r="H94" s="8" t="s">
        <v>11</v>
      </c>
      <c r="I94" s="8" t="s">
        <v>16</v>
      </c>
      <c r="J94" s="1" t="s">
        <v>13</v>
      </c>
    </row>
    <row r="95" customFormat="false" ht="13.8" hidden="true" customHeight="false" outlineLevel="0" collapsed="false">
      <c r="A95" s="6" t="n">
        <v>43750</v>
      </c>
      <c r="B95" s="7" t="n">
        <v>0.13125</v>
      </c>
      <c r="C95" s="8" t="n">
        <v>115746</v>
      </c>
      <c r="D95" s="8" t="s">
        <v>10</v>
      </c>
      <c r="E95" s="8" t="n">
        <v>20520</v>
      </c>
      <c r="F95" s="8" t="n">
        <v>15860</v>
      </c>
      <c r="G95" s="9" t="n">
        <v>4660</v>
      </c>
      <c r="H95" s="8" t="s">
        <v>11</v>
      </c>
      <c r="I95" s="8" t="s">
        <v>16</v>
      </c>
      <c r="J95" s="1" t="s">
        <v>13</v>
      </c>
    </row>
    <row r="96" customFormat="false" ht="13.8" hidden="true" customHeight="false" outlineLevel="0" collapsed="false">
      <c r="A96" s="6" t="n">
        <v>43750</v>
      </c>
      <c r="B96" s="7" t="n">
        <v>0.163194444444444</v>
      </c>
      <c r="C96" s="8" t="n">
        <v>115751</v>
      </c>
      <c r="D96" s="8" t="s">
        <v>15</v>
      </c>
      <c r="E96" s="8" t="n">
        <v>16600</v>
      </c>
      <c r="F96" s="8" t="n">
        <v>12900</v>
      </c>
      <c r="G96" s="9" t="n">
        <v>3700</v>
      </c>
      <c r="H96" s="8" t="s">
        <v>11</v>
      </c>
      <c r="I96" s="8" t="s">
        <v>16</v>
      </c>
      <c r="J96" s="1" t="s">
        <v>13</v>
      </c>
    </row>
    <row r="97" customFormat="false" ht="13.8" hidden="true" customHeight="false" outlineLevel="0" collapsed="false">
      <c r="A97" s="6" t="n">
        <v>43750</v>
      </c>
      <c r="B97" s="7" t="n">
        <v>0.224305555555556</v>
      </c>
      <c r="C97" s="8" t="n">
        <v>115754</v>
      </c>
      <c r="D97" s="8" t="s">
        <v>17</v>
      </c>
      <c r="E97" s="8" t="n">
        <v>4820</v>
      </c>
      <c r="F97" s="8" t="n">
        <v>3760</v>
      </c>
      <c r="G97" s="9" t="n">
        <v>1060</v>
      </c>
      <c r="H97" s="8" t="s">
        <v>11</v>
      </c>
      <c r="I97" s="8" t="s">
        <v>16</v>
      </c>
      <c r="J97" s="1" t="s">
        <v>13</v>
      </c>
    </row>
    <row r="98" customFormat="false" ht="13.8" hidden="true" customHeight="false" outlineLevel="0" collapsed="false">
      <c r="A98" s="6" t="n">
        <v>43750</v>
      </c>
      <c r="B98" s="7" t="n">
        <v>0.225694444444444</v>
      </c>
      <c r="C98" s="8" t="n">
        <v>115755</v>
      </c>
      <c r="D98" s="8" t="s">
        <v>18</v>
      </c>
      <c r="E98" s="8" t="n">
        <v>22740</v>
      </c>
      <c r="F98" s="8" t="n">
        <v>15820</v>
      </c>
      <c r="G98" s="9" t="n">
        <v>6920</v>
      </c>
      <c r="H98" s="8" t="s">
        <v>11</v>
      </c>
      <c r="I98" s="8" t="s">
        <v>16</v>
      </c>
      <c r="J98" s="1" t="s">
        <v>13</v>
      </c>
    </row>
    <row r="99" customFormat="false" ht="13.8" hidden="false" customHeight="false" outlineLevel="0" collapsed="false">
      <c r="A99" s="6" t="n">
        <v>43750</v>
      </c>
      <c r="B99" s="7" t="n">
        <v>0.393055555555556</v>
      </c>
      <c r="C99" s="8" t="n">
        <v>115762</v>
      </c>
      <c r="D99" s="8" t="s">
        <v>27</v>
      </c>
      <c r="E99" s="8" t="n">
        <v>17600</v>
      </c>
      <c r="F99" s="8" t="n">
        <v>12620</v>
      </c>
      <c r="G99" s="9" t="n">
        <v>4980</v>
      </c>
      <c r="H99" s="8" t="s">
        <v>11</v>
      </c>
      <c r="I99" s="8" t="s">
        <v>16</v>
      </c>
      <c r="J99" s="1" t="s">
        <v>28</v>
      </c>
    </row>
    <row r="100" customFormat="false" ht="13.8" hidden="true" customHeight="false" outlineLevel="0" collapsed="false">
      <c r="A100" s="6" t="n">
        <v>43750</v>
      </c>
      <c r="B100" s="7" t="n">
        <v>0.460416666666667</v>
      </c>
      <c r="C100" s="8" t="n">
        <v>115763</v>
      </c>
      <c r="D100" s="8" t="s">
        <v>20</v>
      </c>
      <c r="E100" s="8" t="n">
        <v>2640</v>
      </c>
      <c r="F100" s="8" t="n">
        <v>2380</v>
      </c>
      <c r="G100" s="9" t="n">
        <v>260</v>
      </c>
      <c r="H100" s="8" t="s">
        <v>11</v>
      </c>
      <c r="I100" s="8" t="s">
        <v>16</v>
      </c>
      <c r="J100" s="1" t="s">
        <v>13</v>
      </c>
    </row>
    <row r="101" customFormat="false" ht="13.8" hidden="true" customHeight="false" outlineLevel="0" collapsed="false">
      <c r="A101" s="6" t="n">
        <v>43750</v>
      </c>
      <c r="B101" s="7" t="n">
        <v>0.472222222222222</v>
      </c>
      <c r="C101" s="8" t="n">
        <v>115764</v>
      </c>
      <c r="D101" s="8" t="s">
        <v>19</v>
      </c>
      <c r="E101" s="8" t="n">
        <v>3540</v>
      </c>
      <c r="F101" s="8" t="n">
        <v>2880</v>
      </c>
      <c r="G101" s="9" t="n">
        <v>660</v>
      </c>
      <c r="H101" s="8" t="s">
        <v>11</v>
      </c>
      <c r="I101" s="8" t="s">
        <v>21</v>
      </c>
      <c r="J101" s="1" t="s">
        <v>13</v>
      </c>
    </row>
    <row r="102" customFormat="false" ht="13.8" hidden="true" customHeight="false" outlineLevel="0" collapsed="false">
      <c r="A102" s="6" t="n">
        <v>43750</v>
      </c>
      <c r="B102" s="7" t="n">
        <v>0.506944444444444</v>
      </c>
      <c r="C102" s="8" t="n">
        <v>115765</v>
      </c>
      <c r="D102" s="8" t="s">
        <v>19</v>
      </c>
      <c r="E102" s="8" t="n">
        <v>3300</v>
      </c>
      <c r="F102" s="8" t="n">
        <v>2860</v>
      </c>
      <c r="G102" s="9" t="n">
        <v>440</v>
      </c>
      <c r="H102" s="8" t="s">
        <v>11</v>
      </c>
      <c r="I102" s="8" t="s">
        <v>21</v>
      </c>
      <c r="J102" s="1" t="s">
        <v>13</v>
      </c>
    </row>
    <row r="103" customFormat="false" ht="13.8" hidden="true" customHeight="false" outlineLevel="0" collapsed="false">
      <c r="A103" s="6" t="n">
        <v>43751</v>
      </c>
      <c r="B103" s="7" t="n">
        <v>0.0909722222222222</v>
      </c>
      <c r="C103" s="8" t="n">
        <v>115768</v>
      </c>
      <c r="D103" s="8" t="s">
        <v>15</v>
      </c>
      <c r="E103" s="8" t="n">
        <v>23840</v>
      </c>
      <c r="F103" s="8" t="n">
        <v>13060</v>
      </c>
      <c r="G103" s="9" t="n">
        <v>10780</v>
      </c>
      <c r="H103" s="8" t="s">
        <v>11</v>
      </c>
      <c r="I103" s="8" t="s">
        <v>16</v>
      </c>
      <c r="J103" s="1" t="s">
        <v>13</v>
      </c>
    </row>
    <row r="104" customFormat="false" ht="13.8" hidden="true" customHeight="false" outlineLevel="0" collapsed="false">
      <c r="A104" s="6" t="n">
        <v>43751</v>
      </c>
      <c r="B104" s="7" t="n">
        <v>0.170833333333333</v>
      </c>
      <c r="C104" s="8" t="n">
        <v>115772</v>
      </c>
      <c r="D104" s="8" t="s">
        <v>15</v>
      </c>
      <c r="E104" s="8" t="n">
        <v>17020</v>
      </c>
      <c r="F104" s="8" t="n">
        <v>12840</v>
      </c>
      <c r="G104" s="9" t="n">
        <v>4180</v>
      </c>
      <c r="H104" s="8" t="s">
        <v>11</v>
      </c>
      <c r="I104" s="8" t="s">
        <v>16</v>
      </c>
      <c r="J104" s="1" t="s">
        <v>13</v>
      </c>
    </row>
    <row r="105" customFormat="false" ht="13.8" hidden="true" customHeight="false" outlineLevel="0" collapsed="false">
      <c r="A105" s="11" t="n">
        <v>43751</v>
      </c>
      <c r="B105" s="7" t="n">
        <v>0.238888888888889</v>
      </c>
      <c r="C105" s="8" t="n">
        <v>115774</v>
      </c>
      <c r="D105" s="8" t="s">
        <v>17</v>
      </c>
      <c r="E105" s="8" t="n">
        <v>4880</v>
      </c>
      <c r="F105" s="8" t="n">
        <v>3720</v>
      </c>
      <c r="G105" s="9" t="n">
        <v>1160</v>
      </c>
      <c r="H105" s="8" t="s">
        <v>11</v>
      </c>
      <c r="I105" s="8" t="s">
        <v>16</v>
      </c>
      <c r="J105" s="1" t="s">
        <v>13</v>
      </c>
    </row>
    <row r="106" customFormat="false" ht="13.8" hidden="true" customHeight="false" outlineLevel="0" collapsed="false">
      <c r="A106" s="6" t="n">
        <v>43751</v>
      </c>
      <c r="B106" s="7" t="n">
        <v>0.242361111111111</v>
      </c>
      <c r="C106" s="8" t="n">
        <v>115775</v>
      </c>
      <c r="D106" s="8" t="s">
        <v>18</v>
      </c>
      <c r="E106" s="8" t="n">
        <v>26100</v>
      </c>
      <c r="F106" s="8" t="n">
        <v>15860</v>
      </c>
      <c r="G106" s="9" t="n">
        <v>10240</v>
      </c>
      <c r="H106" s="8" t="s">
        <v>11</v>
      </c>
      <c r="I106" s="8" t="s">
        <v>16</v>
      </c>
      <c r="J106" s="1" t="s">
        <v>13</v>
      </c>
    </row>
    <row r="107" customFormat="false" ht="13.8" hidden="true" customHeight="false" outlineLevel="0" collapsed="false">
      <c r="A107" s="6" t="n">
        <v>43751</v>
      </c>
      <c r="B107" s="7" t="n">
        <v>0.445833333333333</v>
      </c>
      <c r="C107" s="8" t="n">
        <v>115780</v>
      </c>
      <c r="D107" s="8" t="s">
        <v>20</v>
      </c>
      <c r="E107" s="8" t="n">
        <v>2740</v>
      </c>
      <c r="F107" s="8" t="n">
        <v>2460</v>
      </c>
      <c r="G107" s="9" t="n">
        <v>280</v>
      </c>
      <c r="H107" s="8" t="s">
        <v>11</v>
      </c>
      <c r="I107" s="8" t="s">
        <v>16</v>
      </c>
      <c r="J107" s="1" t="s">
        <v>13</v>
      </c>
    </row>
    <row r="108" customFormat="false" ht="13.8" hidden="true" customHeight="false" outlineLevel="0" collapsed="false">
      <c r="A108" s="6" t="n">
        <v>43752</v>
      </c>
      <c r="B108" s="7" t="n">
        <v>0.0708333333333333</v>
      </c>
      <c r="C108" s="8" t="n">
        <v>115782</v>
      </c>
      <c r="D108" s="8" t="s">
        <v>15</v>
      </c>
      <c r="E108" s="8" t="n">
        <v>22620</v>
      </c>
      <c r="F108" s="8" t="n">
        <v>12980</v>
      </c>
      <c r="G108" s="9" t="n">
        <v>9640</v>
      </c>
      <c r="H108" s="8" t="s">
        <v>11</v>
      </c>
      <c r="I108" s="8" t="s">
        <v>16</v>
      </c>
      <c r="J108" s="1" t="s">
        <v>13</v>
      </c>
    </row>
    <row r="109" customFormat="false" ht="13.8" hidden="true" customHeight="false" outlineLevel="0" collapsed="false">
      <c r="A109" s="6" t="n">
        <v>43752</v>
      </c>
      <c r="B109" s="7" t="n">
        <v>0.123611111111111</v>
      </c>
      <c r="C109" s="8" t="n">
        <v>115785</v>
      </c>
      <c r="D109" s="8" t="s">
        <v>10</v>
      </c>
      <c r="E109" s="8" t="n">
        <v>20360</v>
      </c>
      <c r="F109" s="8" t="n">
        <v>15820</v>
      </c>
      <c r="G109" s="9" t="n">
        <v>4540</v>
      </c>
      <c r="H109" s="8" t="s">
        <v>11</v>
      </c>
      <c r="I109" s="8" t="s">
        <v>16</v>
      </c>
      <c r="J109" s="1" t="s">
        <v>13</v>
      </c>
    </row>
    <row r="110" customFormat="false" ht="13.8" hidden="true" customHeight="false" outlineLevel="0" collapsed="false">
      <c r="A110" s="6" t="n">
        <v>43752</v>
      </c>
      <c r="B110" s="7" t="n">
        <v>0.234027777777778</v>
      </c>
      <c r="C110" s="8" t="n">
        <v>115796</v>
      </c>
      <c r="D110" s="8" t="s">
        <v>18</v>
      </c>
      <c r="E110" s="8" t="n">
        <v>23780</v>
      </c>
      <c r="F110" s="8" t="n">
        <v>15860</v>
      </c>
      <c r="G110" s="9" t="n">
        <v>7920</v>
      </c>
      <c r="H110" s="8" t="s">
        <v>11</v>
      </c>
      <c r="I110" s="8" t="s">
        <v>16</v>
      </c>
      <c r="J110" s="1" t="s">
        <v>13</v>
      </c>
    </row>
    <row r="111" customFormat="false" ht="13.8" hidden="true" customHeight="false" outlineLevel="0" collapsed="false">
      <c r="A111" s="6" t="n">
        <v>43752</v>
      </c>
      <c r="B111" s="7" t="n">
        <v>0.25625</v>
      </c>
      <c r="C111" s="8" t="n">
        <v>115797</v>
      </c>
      <c r="D111" s="8" t="s">
        <v>17</v>
      </c>
      <c r="E111" s="8" t="n">
        <v>4540</v>
      </c>
      <c r="F111" s="8" t="n">
        <v>3680</v>
      </c>
      <c r="G111" s="9" t="n">
        <v>860</v>
      </c>
      <c r="H111" s="8" t="s">
        <v>11</v>
      </c>
      <c r="I111" s="8" t="s">
        <v>16</v>
      </c>
      <c r="J111" s="1" t="s">
        <v>13</v>
      </c>
    </row>
    <row r="112" customFormat="false" ht="13.8" hidden="true" customHeight="false" outlineLevel="0" collapsed="false">
      <c r="A112" s="6" t="n">
        <v>43752</v>
      </c>
      <c r="B112" s="7" t="n">
        <v>0.442361111111111</v>
      </c>
      <c r="C112" s="8" t="n">
        <v>115811</v>
      </c>
      <c r="D112" s="8" t="s">
        <v>20</v>
      </c>
      <c r="E112" s="8" t="n">
        <v>2640</v>
      </c>
      <c r="F112" s="8" t="n">
        <v>2380</v>
      </c>
      <c r="G112" s="9" t="n">
        <v>260</v>
      </c>
      <c r="H112" s="8" t="s">
        <v>11</v>
      </c>
      <c r="I112" s="8" t="s">
        <v>16</v>
      </c>
      <c r="J112" s="1" t="s">
        <v>13</v>
      </c>
    </row>
    <row r="113" customFormat="false" ht="13.8" hidden="true" customHeight="false" outlineLevel="0" collapsed="false">
      <c r="A113" s="6" t="n">
        <v>43752</v>
      </c>
      <c r="B113" s="7" t="n">
        <v>0.524305555555556</v>
      </c>
      <c r="C113" s="8" t="n">
        <v>115823</v>
      </c>
      <c r="D113" s="8" t="s">
        <v>14</v>
      </c>
      <c r="E113" s="8" t="n">
        <v>19920</v>
      </c>
      <c r="F113" s="8" t="n">
        <v>15880</v>
      </c>
      <c r="G113" s="9" t="n">
        <v>4040</v>
      </c>
      <c r="H113" s="8" t="s">
        <v>11</v>
      </c>
      <c r="I113" s="8" t="s">
        <v>21</v>
      </c>
      <c r="J113" s="1" t="s">
        <v>13</v>
      </c>
    </row>
    <row r="114" customFormat="false" ht="13.8" hidden="true" customHeight="false" outlineLevel="0" collapsed="false">
      <c r="A114" s="6" t="n">
        <v>43752</v>
      </c>
      <c r="B114" s="7" t="n">
        <v>0.154166666666667</v>
      </c>
      <c r="C114" s="8" t="n">
        <v>1157890</v>
      </c>
      <c r="D114" s="8" t="s">
        <v>15</v>
      </c>
      <c r="E114" s="8" t="n">
        <v>16560</v>
      </c>
      <c r="F114" s="8" t="n">
        <v>12800</v>
      </c>
      <c r="G114" s="9" t="n">
        <v>3760</v>
      </c>
      <c r="H114" s="8" t="s">
        <v>11</v>
      </c>
      <c r="I114" s="8" t="s">
        <v>16</v>
      </c>
      <c r="J114" s="1" t="s">
        <v>13</v>
      </c>
    </row>
    <row r="115" customFormat="false" ht="13.8" hidden="true" customHeight="false" outlineLevel="0" collapsed="false">
      <c r="A115" s="6" t="n">
        <v>43752</v>
      </c>
      <c r="B115" s="7" t="n">
        <v>0.451388888888889</v>
      </c>
      <c r="C115" s="10" t="s">
        <v>25</v>
      </c>
      <c r="D115" s="8" t="s">
        <v>10</v>
      </c>
      <c r="E115" s="8" t="n">
        <v>17280</v>
      </c>
      <c r="F115" s="8" t="n">
        <v>15760</v>
      </c>
      <c r="G115" s="9" t="n">
        <v>1520</v>
      </c>
      <c r="H115" s="8" t="s">
        <v>11</v>
      </c>
      <c r="I115" s="8" t="s">
        <v>26</v>
      </c>
      <c r="J115" s="1" t="s">
        <v>13</v>
      </c>
    </row>
    <row r="116" customFormat="false" ht="13.8" hidden="true" customHeight="false" outlineLevel="0" collapsed="false">
      <c r="A116" s="6" t="n">
        <v>43753</v>
      </c>
      <c r="B116" s="7" t="n">
        <v>0.236111111111111</v>
      </c>
      <c r="C116" s="8" t="n">
        <v>15847</v>
      </c>
      <c r="D116" s="8" t="s">
        <v>10</v>
      </c>
      <c r="E116" s="8" t="n">
        <v>21900</v>
      </c>
      <c r="F116" s="8" t="n">
        <v>15920</v>
      </c>
      <c r="G116" s="9" t="n">
        <v>5980</v>
      </c>
      <c r="H116" s="8" t="s">
        <v>11</v>
      </c>
      <c r="I116" s="8" t="s">
        <v>16</v>
      </c>
      <c r="J116" s="1" t="s">
        <v>13</v>
      </c>
    </row>
    <row r="117" customFormat="false" ht="13.8" hidden="true" customHeight="false" outlineLevel="0" collapsed="false">
      <c r="A117" s="6" t="n">
        <v>43753</v>
      </c>
      <c r="B117" s="7" t="n">
        <v>0.445138888888889</v>
      </c>
      <c r="C117" s="8" t="n">
        <v>93248</v>
      </c>
      <c r="D117" s="8" t="s">
        <v>10</v>
      </c>
      <c r="E117" s="8" t="n">
        <v>17600</v>
      </c>
      <c r="F117" s="8" t="n">
        <v>15860</v>
      </c>
      <c r="G117" s="9" t="n">
        <v>1740</v>
      </c>
      <c r="H117" s="8" t="s">
        <v>11</v>
      </c>
      <c r="I117" s="8" t="s">
        <v>12</v>
      </c>
      <c r="J117" s="1" t="s">
        <v>13</v>
      </c>
    </row>
    <row r="118" customFormat="false" ht="13.8" hidden="true" customHeight="false" outlineLevel="0" collapsed="false">
      <c r="A118" s="6" t="n">
        <v>43753</v>
      </c>
      <c r="B118" s="7" t="n">
        <v>0.0611111111111111</v>
      </c>
      <c r="C118" s="8" t="n">
        <v>115834</v>
      </c>
      <c r="D118" s="8" t="s">
        <v>23</v>
      </c>
      <c r="E118" s="8" t="n">
        <v>3000</v>
      </c>
      <c r="F118" s="8" t="n">
        <v>2700</v>
      </c>
      <c r="G118" s="9" t="n">
        <v>300</v>
      </c>
      <c r="H118" s="8" t="s">
        <v>11</v>
      </c>
      <c r="I118" s="8" t="s">
        <v>24</v>
      </c>
      <c r="J118" s="1" t="s">
        <v>13</v>
      </c>
    </row>
    <row r="119" customFormat="false" ht="13.8" hidden="true" customHeight="false" outlineLevel="0" collapsed="false">
      <c r="A119" s="11" t="n">
        <v>43753</v>
      </c>
      <c r="B119" s="7" t="n">
        <v>0.124305555555556</v>
      </c>
      <c r="C119" s="8" t="n">
        <v>115839</v>
      </c>
      <c r="D119" s="8" t="s">
        <v>18</v>
      </c>
      <c r="E119" s="8" t="n">
        <v>19300</v>
      </c>
      <c r="F119" s="8" t="n">
        <v>15760</v>
      </c>
      <c r="G119" s="9" t="n">
        <v>3540</v>
      </c>
      <c r="H119" s="8" t="s">
        <v>11</v>
      </c>
      <c r="I119" s="8" t="s">
        <v>16</v>
      </c>
      <c r="J119" s="1" t="s">
        <v>13</v>
      </c>
    </row>
    <row r="120" customFormat="false" ht="13.8" hidden="true" customHeight="false" outlineLevel="0" collapsed="false">
      <c r="A120" s="6" t="n">
        <v>43753</v>
      </c>
      <c r="B120" s="7" t="n">
        <v>0.139583333333333</v>
      </c>
      <c r="C120" s="8" t="n">
        <v>115842</v>
      </c>
      <c r="D120" s="8" t="s">
        <v>15</v>
      </c>
      <c r="E120" s="8" t="n">
        <v>15800</v>
      </c>
      <c r="F120" s="8" t="n">
        <v>12740</v>
      </c>
      <c r="G120" s="9" t="n">
        <v>3060</v>
      </c>
      <c r="H120" s="8" t="s">
        <v>11</v>
      </c>
      <c r="I120" s="8" t="s">
        <v>16</v>
      </c>
      <c r="J120" s="1" t="s">
        <v>13</v>
      </c>
    </row>
    <row r="121" customFormat="false" ht="13.8" hidden="true" customHeight="false" outlineLevel="0" collapsed="false">
      <c r="A121" s="6" t="n">
        <v>43753</v>
      </c>
      <c r="B121" s="7" t="n">
        <v>0.25625</v>
      </c>
      <c r="C121" s="8" t="n">
        <v>115850</v>
      </c>
      <c r="D121" s="8" t="s">
        <v>17</v>
      </c>
      <c r="E121" s="8" t="n">
        <v>4240</v>
      </c>
      <c r="F121" s="8" t="n">
        <v>3760</v>
      </c>
      <c r="G121" s="9" t="n">
        <v>480</v>
      </c>
      <c r="H121" s="8" t="s">
        <v>11</v>
      </c>
      <c r="I121" s="8" t="s">
        <v>16</v>
      </c>
      <c r="J121" s="1" t="s">
        <v>13</v>
      </c>
    </row>
    <row r="122" customFormat="false" ht="13.8" hidden="true" customHeight="false" outlineLevel="0" collapsed="false">
      <c r="A122" s="6" t="n">
        <v>43753</v>
      </c>
      <c r="B122" s="7" t="n">
        <v>0.465277777777778</v>
      </c>
      <c r="C122" s="8" t="n">
        <v>115870</v>
      </c>
      <c r="D122" s="8" t="s">
        <v>20</v>
      </c>
      <c r="E122" s="8" t="n">
        <v>2620</v>
      </c>
      <c r="F122" s="8" t="n">
        <v>2400</v>
      </c>
      <c r="G122" s="9" t="n">
        <v>220</v>
      </c>
      <c r="H122" s="8" t="s">
        <v>11</v>
      </c>
      <c r="I122" s="8" t="s">
        <v>16</v>
      </c>
      <c r="J122" s="1" t="s">
        <v>13</v>
      </c>
    </row>
    <row r="123" customFormat="false" ht="13.8" hidden="true" customHeight="false" outlineLevel="0" collapsed="false">
      <c r="A123" s="6" t="n">
        <v>43753</v>
      </c>
      <c r="B123" s="7" t="n">
        <v>0.520138888888889</v>
      </c>
      <c r="C123" s="8" t="n">
        <v>115879</v>
      </c>
      <c r="D123" s="8" t="s">
        <v>19</v>
      </c>
      <c r="E123" s="8" t="n">
        <v>3660</v>
      </c>
      <c r="F123" s="8" t="n">
        <v>2920</v>
      </c>
      <c r="G123" s="9" t="n">
        <v>740</v>
      </c>
      <c r="H123" s="8" t="s">
        <v>11</v>
      </c>
      <c r="I123" s="8" t="s">
        <v>21</v>
      </c>
      <c r="J123" s="1" t="s">
        <v>13</v>
      </c>
    </row>
    <row r="124" customFormat="false" ht="13.8" hidden="true" customHeight="false" outlineLevel="0" collapsed="false">
      <c r="A124" s="6" t="n">
        <v>43753</v>
      </c>
      <c r="B124" s="7" t="n">
        <v>0.529166666666667</v>
      </c>
      <c r="C124" s="8" t="n">
        <v>115881</v>
      </c>
      <c r="D124" s="8" t="s">
        <v>22</v>
      </c>
      <c r="E124" s="8" t="n">
        <v>5840</v>
      </c>
      <c r="F124" s="8" t="n">
        <v>5580</v>
      </c>
      <c r="G124" s="9" t="n">
        <v>260</v>
      </c>
      <c r="H124" s="8" t="s">
        <v>11</v>
      </c>
      <c r="I124" s="8" t="s">
        <v>21</v>
      </c>
      <c r="J124" s="1" t="s">
        <v>13</v>
      </c>
    </row>
    <row r="125" customFormat="false" ht="13.8" hidden="true" customHeight="false" outlineLevel="0" collapsed="false">
      <c r="A125" s="6" t="n">
        <v>43754</v>
      </c>
      <c r="B125" s="12" t="n">
        <v>0.0701388888888889</v>
      </c>
      <c r="C125" s="8" t="n">
        <v>115898</v>
      </c>
      <c r="D125" s="8" t="s">
        <v>15</v>
      </c>
      <c r="E125" s="8" t="n">
        <v>21620</v>
      </c>
      <c r="F125" s="8" t="n">
        <v>13100</v>
      </c>
      <c r="G125" s="9" t="n">
        <v>8520</v>
      </c>
      <c r="H125" s="8" t="s">
        <v>11</v>
      </c>
      <c r="I125" s="8" t="s">
        <v>16</v>
      </c>
      <c r="J125" s="1" t="s">
        <v>13</v>
      </c>
    </row>
    <row r="126" customFormat="false" ht="13.8" hidden="true" customHeight="false" outlineLevel="0" collapsed="false">
      <c r="A126" s="6" t="n">
        <v>43754</v>
      </c>
      <c r="B126" s="7" t="n">
        <v>0.129861111111111</v>
      </c>
      <c r="C126" s="8" t="n">
        <v>115903</v>
      </c>
      <c r="D126" s="8" t="s">
        <v>10</v>
      </c>
      <c r="E126" s="8" t="n">
        <v>19360</v>
      </c>
      <c r="F126" s="8" t="n">
        <v>15840</v>
      </c>
      <c r="G126" s="9" t="n">
        <v>3520</v>
      </c>
      <c r="H126" s="8" t="s">
        <v>11</v>
      </c>
      <c r="I126" s="8" t="s">
        <v>16</v>
      </c>
      <c r="J126" s="1" t="s">
        <v>13</v>
      </c>
    </row>
    <row r="127" customFormat="false" ht="13.8" hidden="true" customHeight="false" outlineLevel="0" collapsed="false">
      <c r="A127" s="6" t="n">
        <v>43754</v>
      </c>
      <c r="B127" s="7" t="n">
        <v>0.133333333333333</v>
      </c>
      <c r="C127" s="8" t="n">
        <v>115904</v>
      </c>
      <c r="D127" s="8" t="s">
        <v>15</v>
      </c>
      <c r="E127" s="8" t="n">
        <v>14920</v>
      </c>
      <c r="F127" s="8" t="n">
        <v>12840</v>
      </c>
      <c r="G127" s="9" t="n">
        <v>2080</v>
      </c>
      <c r="H127" s="8" t="s">
        <v>11</v>
      </c>
      <c r="I127" s="8" t="s">
        <v>16</v>
      </c>
      <c r="J127" s="1" t="s">
        <v>13</v>
      </c>
    </row>
    <row r="128" customFormat="false" ht="13.8" hidden="true" customHeight="false" outlineLevel="0" collapsed="false">
      <c r="A128" s="6" t="n">
        <v>43754</v>
      </c>
      <c r="B128" s="7" t="n">
        <v>0.250694444444444</v>
      </c>
      <c r="C128" s="8" t="n">
        <v>115911</v>
      </c>
      <c r="D128" s="8" t="s">
        <v>18</v>
      </c>
      <c r="E128" s="8" t="n">
        <v>22260</v>
      </c>
      <c r="F128" s="8" t="n">
        <v>15840</v>
      </c>
      <c r="G128" s="9" t="n">
        <v>6420</v>
      </c>
      <c r="H128" s="8" t="s">
        <v>11</v>
      </c>
      <c r="I128" s="8" t="s">
        <v>16</v>
      </c>
      <c r="J128" s="1" t="s">
        <v>13</v>
      </c>
    </row>
    <row r="129" customFormat="false" ht="13.8" hidden="true" customHeight="false" outlineLevel="0" collapsed="false">
      <c r="A129" s="6" t="n">
        <v>43754</v>
      </c>
      <c r="B129" s="7" t="n">
        <v>0.254861111111111</v>
      </c>
      <c r="C129" s="8" t="n">
        <v>115912</v>
      </c>
      <c r="D129" s="8" t="s">
        <v>17</v>
      </c>
      <c r="E129" s="8" t="n">
        <v>4260</v>
      </c>
      <c r="F129" s="8" t="n">
        <v>3740</v>
      </c>
      <c r="G129" s="9" t="n">
        <v>520</v>
      </c>
      <c r="H129" s="8" t="s">
        <v>11</v>
      </c>
      <c r="I129" s="8" t="s">
        <v>16</v>
      </c>
      <c r="J129" s="1" t="s">
        <v>13</v>
      </c>
    </row>
    <row r="130" customFormat="false" ht="13.8" hidden="true" customHeight="false" outlineLevel="0" collapsed="false">
      <c r="A130" s="6" t="n">
        <v>43754</v>
      </c>
      <c r="B130" s="7" t="n">
        <v>0.451388888888889</v>
      </c>
      <c r="C130" s="8" t="n">
        <v>115931</v>
      </c>
      <c r="D130" s="8" t="s">
        <v>19</v>
      </c>
      <c r="E130" s="8" t="n">
        <v>3440</v>
      </c>
      <c r="F130" s="8" t="n">
        <v>2780</v>
      </c>
      <c r="G130" s="9" t="n">
        <v>660</v>
      </c>
      <c r="H130" s="8" t="s">
        <v>11</v>
      </c>
      <c r="I130" s="8" t="s">
        <v>21</v>
      </c>
      <c r="J130" s="1" t="s">
        <v>13</v>
      </c>
    </row>
    <row r="131" customFormat="false" ht="13.8" hidden="true" customHeight="false" outlineLevel="0" collapsed="false">
      <c r="A131" s="6" t="n">
        <v>43754</v>
      </c>
      <c r="B131" s="12" t="n">
        <v>0.45625</v>
      </c>
      <c r="C131" s="8" t="n">
        <v>115933</v>
      </c>
      <c r="D131" s="8" t="s">
        <v>20</v>
      </c>
      <c r="E131" s="8" t="n">
        <v>2580</v>
      </c>
      <c r="F131" s="8" t="n">
        <v>2380</v>
      </c>
      <c r="G131" s="9" t="n">
        <v>200</v>
      </c>
      <c r="H131" s="8" t="s">
        <v>11</v>
      </c>
      <c r="I131" s="8" t="s">
        <v>16</v>
      </c>
      <c r="J131" s="1" t="s">
        <v>13</v>
      </c>
    </row>
    <row r="132" customFormat="false" ht="13.8" hidden="true" customHeight="false" outlineLevel="0" collapsed="false">
      <c r="A132" s="6" t="n">
        <v>43754</v>
      </c>
      <c r="B132" s="7" t="n">
        <v>0.522222222222222</v>
      </c>
      <c r="C132" s="8" t="n">
        <v>115942</v>
      </c>
      <c r="D132" s="8" t="s">
        <v>19</v>
      </c>
      <c r="E132" s="8" t="n">
        <v>3240</v>
      </c>
      <c r="F132" s="8" t="n">
        <v>2860</v>
      </c>
      <c r="G132" s="9" t="n">
        <v>380</v>
      </c>
      <c r="H132" s="8" t="s">
        <v>11</v>
      </c>
      <c r="I132" s="8" t="s">
        <v>21</v>
      </c>
      <c r="J132" s="1" t="s">
        <v>13</v>
      </c>
    </row>
    <row r="133" customFormat="false" ht="13.8" hidden="true" customHeight="false" outlineLevel="0" collapsed="false">
      <c r="A133" s="6" t="n">
        <v>43754</v>
      </c>
      <c r="B133" s="7" t="n">
        <v>0.554166666666667</v>
      </c>
      <c r="C133" s="8" t="n">
        <v>115948</v>
      </c>
      <c r="D133" s="8" t="s">
        <v>23</v>
      </c>
      <c r="E133" s="8" t="n">
        <v>3000</v>
      </c>
      <c r="F133" s="8" t="n">
        <v>2700</v>
      </c>
      <c r="G133" s="9" t="n">
        <v>300</v>
      </c>
      <c r="H133" s="8" t="s">
        <v>11</v>
      </c>
      <c r="I133" s="8" t="s">
        <v>24</v>
      </c>
      <c r="J133" s="1" t="s">
        <v>13</v>
      </c>
    </row>
    <row r="134" customFormat="false" ht="13.8" hidden="true" customHeight="false" outlineLevel="0" collapsed="false">
      <c r="A134" s="6" t="n">
        <v>43755</v>
      </c>
      <c r="B134" s="7" t="n">
        <v>0.126388888888889</v>
      </c>
      <c r="C134" s="8" t="n">
        <v>115964</v>
      </c>
      <c r="D134" s="8" t="s">
        <v>15</v>
      </c>
      <c r="E134" s="8" t="n">
        <v>22320</v>
      </c>
      <c r="F134" s="8" t="n">
        <v>12900</v>
      </c>
      <c r="G134" s="9" t="n">
        <v>9420</v>
      </c>
      <c r="H134" s="8" t="s">
        <v>11</v>
      </c>
      <c r="I134" s="8" t="s">
        <v>16</v>
      </c>
      <c r="J134" s="1" t="s">
        <v>13</v>
      </c>
    </row>
    <row r="135" customFormat="false" ht="13.8" hidden="true" customHeight="false" outlineLevel="0" collapsed="false">
      <c r="A135" s="6" t="n">
        <v>43755</v>
      </c>
      <c r="B135" s="7" t="n">
        <v>0.242361111111111</v>
      </c>
      <c r="C135" s="8" t="n">
        <v>115972</v>
      </c>
      <c r="D135" s="8" t="s">
        <v>17</v>
      </c>
      <c r="E135" s="8" t="n">
        <v>4260</v>
      </c>
      <c r="F135" s="8" t="n">
        <v>3760</v>
      </c>
      <c r="G135" s="9" t="n">
        <v>500</v>
      </c>
      <c r="H135" s="8" t="s">
        <v>11</v>
      </c>
      <c r="I135" s="8" t="s">
        <v>16</v>
      </c>
      <c r="J135" s="1" t="s">
        <v>13</v>
      </c>
    </row>
    <row r="136" customFormat="false" ht="13.8" hidden="true" customHeight="false" outlineLevel="0" collapsed="false">
      <c r="A136" s="6" t="n">
        <v>43755</v>
      </c>
      <c r="B136" s="7" t="n">
        <v>0.245833333333333</v>
      </c>
      <c r="C136" s="8" t="n">
        <v>115973</v>
      </c>
      <c r="D136" s="8" t="s">
        <v>18</v>
      </c>
      <c r="E136" s="8" t="n">
        <v>24900</v>
      </c>
      <c r="F136" s="8" t="n">
        <v>15780</v>
      </c>
      <c r="G136" s="9" t="n">
        <v>9120</v>
      </c>
      <c r="H136" s="8" t="s">
        <v>11</v>
      </c>
      <c r="I136" s="8" t="s">
        <v>16</v>
      </c>
      <c r="J136" s="1" t="s">
        <v>13</v>
      </c>
    </row>
    <row r="137" customFormat="false" ht="13.8" hidden="true" customHeight="false" outlineLevel="0" collapsed="false">
      <c r="A137" s="6" t="n">
        <v>43755</v>
      </c>
      <c r="B137" s="7" t="n">
        <v>0.436805555555555</v>
      </c>
      <c r="C137" s="8" t="n">
        <v>115996</v>
      </c>
      <c r="D137" s="8" t="s">
        <v>19</v>
      </c>
      <c r="E137" s="8" t="n">
        <v>3240</v>
      </c>
      <c r="F137" s="8" t="n">
        <v>2820</v>
      </c>
      <c r="G137" s="9" t="n">
        <v>420</v>
      </c>
      <c r="H137" s="8" t="s">
        <v>11</v>
      </c>
      <c r="I137" s="8" t="s">
        <v>21</v>
      </c>
      <c r="J137" s="1" t="s">
        <v>13</v>
      </c>
    </row>
    <row r="138" customFormat="false" ht="13.8" hidden="true" customHeight="false" outlineLevel="0" collapsed="false">
      <c r="A138" s="6" t="n">
        <v>43755</v>
      </c>
      <c r="B138" s="7" t="n">
        <v>0.461111111111111</v>
      </c>
      <c r="C138" s="8" t="n">
        <v>116001</v>
      </c>
      <c r="D138" s="8" t="s">
        <v>20</v>
      </c>
      <c r="E138" s="8" t="n">
        <v>2680</v>
      </c>
      <c r="F138" s="8" t="n">
        <v>2380</v>
      </c>
      <c r="G138" s="9" t="n">
        <v>300</v>
      </c>
      <c r="H138" s="8" t="s">
        <v>11</v>
      </c>
      <c r="I138" s="8" t="s">
        <v>16</v>
      </c>
      <c r="J138" s="1" t="s">
        <v>13</v>
      </c>
    </row>
    <row r="139" customFormat="false" ht="13.8" hidden="true" customHeight="false" outlineLevel="0" collapsed="false">
      <c r="A139" s="6" t="n">
        <v>43755</v>
      </c>
      <c r="B139" s="7" t="n">
        <v>0.489583333333333</v>
      </c>
      <c r="C139" s="8" t="n">
        <v>116005</v>
      </c>
      <c r="D139" s="8" t="s">
        <v>19</v>
      </c>
      <c r="E139" s="8" t="n">
        <v>3260</v>
      </c>
      <c r="F139" s="8" t="n">
        <v>2820</v>
      </c>
      <c r="G139" s="9" t="n">
        <v>440</v>
      </c>
      <c r="H139" s="8" t="s">
        <v>11</v>
      </c>
      <c r="I139" s="8" t="s">
        <v>21</v>
      </c>
      <c r="J139" s="1" t="s">
        <v>13</v>
      </c>
    </row>
    <row r="140" customFormat="false" ht="13.8" hidden="true" customHeight="false" outlineLevel="0" collapsed="false">
      <c r="A140" s="6" t="n">
        <v>43756</v>
      </c>
      <c r="B140" s="7" t="n">
        <v>0.0805555555555556</v>
      </c>
      <c r="C140" s="8" t="n">
        <v>116023</v>
      </c>
      <c r="D140" s="8" t="s">
        <v>15</v>
      </c>
      <c r="E140" s="8" t="n">
        <v>21300</v>
      </c>
      <c r="F140" s="8" t="n">
        <v>13120</v>
      </c>
      <c r="G140" s="9" t="n">
        <v>8180</v>
      </c>
      <c r="H140" s="8" t="s">
        <v>11</v>
      </c>
      <c r="I140" s="8" t="s">
        <v>16</v>
      </c>
      <c r="J140" s="1" t="s">
        <v>13</v>
      </c>
    </row>
    <row r="141" customFormat="false" ht="13.8" hidden="true" customHeight="false" outlineLevel="0" collapsed="false">
      <c r="A141" s="6" t="n">
        <v>43756</v>
      </c>
      <c r="B141" s="7" t="n">
        <v>0.134027777777778</v>
      </c>
      <c r="C141" s="8" t="n">
        <v>116027</v>
      </c>
      <c r="D141" s="8" t="s">
        <v>10</v>
      </c>
      <c r="E141" s="8" t="n">
        <v>19720</v>
      </c>
      <c r="F141" s="8" t="n">
        <v>15940</v>
      </c>
      <c r="G141" s="9" t="n">
        <v>3780</v>
      </c>
      <c r="H141" s="8" t="s">
        <v>11</v>
      </c>
      <c r="I141" s="8" t="s">
        <v>16</v>
      </c>
      <c r="J141" s="1" t="s">
        <v>13</v>
      </c>
    </row>
    <row r="142" customFormat="false" ht="13.8" hidden="true" customHeight="false" outlineLevel="0" collapsed="false">
      <c r="A142" s="6" t="n">
        <v>43756</v>
      </c>
      <c r="B142" s="7" t="n">
        <v>0.144444444444444</v>
      </c>
      <c r="C142" s="8" t="n">
        <v>116029</v>
      </c>
      <c r="D142" s="8" t="s">
        <v>15</v>
      </c>
      <c r="E142" s="8" t="n">
        <v>15120</v>
      </c>
      <c r="F142" s="8" t="n">
        <v>12880</v>
      </c>
      <c r="G142" s="9" t="n">
        <v>2240</v>
      </c>
      <c r="H142" s="8" t="s">
        <v>11</v>
      </c>
      <c r="I142" s="8" t="s">
        <v>16</v>
      </c>
      <c r="J142" s="1" t="s">
        <v>13</v>
      </c>
    </row>
    <row r="143" customFormat="false" ht="13.8" hidden="true" customHeight="false" outlineLevel="0" collapsed="false">
      <c r="A143" s="6" t="n">
        <v>43756</v>
      </c>
      <c r="B143" s="7" t="n">
        <v>0.242361111111111</v>
      </c>
      <c r="C143" s="8" t="n">
        <v>116033</v>
      </c>
      <c r="D143" s="8" t="s">
        <v>17</v>
      </c>
      <c r="E143" s="8" t="n">
        <v>4300</v>
      </c>
      <c r="F143" s="8" t="n">
        <v>3800</v>
      </c>
      <c r="G143" s="9" t="n">
        <v>500</v>
      </c>
      <c r="H143" s="8" t="s">
        <v>11</v>
      </c>
      <c r="I143" s="8" t="s">
        <v>16</v>
      </c>
      <c r="J143" s="1" t="s">
        <v>13</v>
      </c>
    </row>
    <row r="144" customFormat="false" ht="13.8" hidden="true" customHeight="false" outlineLevel="0" collapsed="false">
      <c r="A144" s="6" t="n">
        <v>43756</v>
      </c>
      <c r="B144" s="7" t="n">
        <v>0.244444444444444</v>
      </c>
      <c r="C144" s="8" t="n">
        <v>116034</v>
      </c>
      <c r="D144" s="8" t="s">
        <v>18</v>
      </c>
      <c r="E144" s="8" t="n">
        <v>21740</v>
      </c>
      <c r="F144" s="8" t="n">
        <v>15880</v>
      </c>
      <c r="G144" s="9" t="n">
        <v>5860</v>
      </c>
      <c r="H144" s="8" t="s">
        <v>11</v>
      </c>
      <c r="I144" s="8" t="s">
        <v>16</v>
      </c>
      <c r="J144" s="1" t="s">
        <v>13</v>
      </c>
    </row>
    <row r="145" customFormat="false" ht="13.8" hidden="true" customHeight="false" outlineLevel="0" collapsed="false">
      <c r="A145" s="11" t="n">
        <v>43756</v>
      </c>
      <c r="B145" s="7" t="n">
        <v>0.486111111111111</v>
      </c>
      <c r="C145" s="8" t="n">
        <v>116054</v>
      </c>
      <c r="D145" s="8" t="s">
        <v>19</v>
      </c>
      <c r="E145" s="8" t="n">
        <v>3180</v>
      </c>
      <c r="F145" s="8" t="n">
        <v>2940</v>
      </c>
      <c r="G145" s="8" t="n">
        <v>240</v>
      </c>
      <c r="H145" s="8" t="s">
        <v>11</v>
      </c>
      <c r="I145" s="8" t="s">
        <v>21</v>
      </c>
      <c r="J145" s="1" t="s">
        <v>13</v>
      </c>
    </row>
    <row r="146" customFormat="false" ht="13.8" hidden="true" customHeight="false" outlineLevel="0" collapsed="false">
      <c r="A146" s="6" t="n">
        <v>43756</v>
      </c>
      <c r="B146" s="7" t="n">
        <v>0.508333333333333</v>
      </c>
      <c r="C146" s="8" t="n">
        <v>116057</v>
      </c>
      <c r="D146" s="8" t="s">
        <v>20</v>
      </c>
      <c r="E146" s="8" t="n">
        <v>2580</v>
      </c>
      <c r="F146" s="8" t="n">
        <v>2380</v>
      </c>
      <c r="G146" s="9" t="n">
        <v>200</v>
      </c>
      <c r="H146" s="8" t="s">
        <v>11</v>
      </c>
      <c r="I146" s="8" t="s">
        <v>16</v>
      </c>
      <c r="J146" s="1" t="s">
        <v>13</v>
      </c>
    </row>
    <row r="147" customFormat="false" ht="13.8" hidden="true" customHeight="false" outlineLevel="0" collapsed="false">
      <c r="A147" s="6" t="n">
        <v>43756</v>
      </c>
      <c r="B147" s="7" t="n">
        <v>0.526388888888889</v>
      </c>
      <c r="C147" s="8" t="n">
        <v>116061</v>
      </c>
      <c r="D147" s="8" t="s">
        <v>19</v>
      </c>
      <c r="E147" s="8" t="n">
        <v>3540</v>
      </c>
      <c r="F147" s="8" t="n">
        <v>2940</v>
      </c>
      <c r="G147" s="9" t="n">
        <v>600</v>
      </c>
      <c r="H147" s="8" t="s">
        <v>11</v>
      </c>
      <c r="I147" s="8" t="s">
        <v>21</v>
      </c>
      <c r="J147" s="1" t="s">
        <v>13</v>
      </c>
    </row>
    <row r="148" customFormat="false" ht="13.8" hidden="true" customHeight="false" outlineLevel="0" collapsed="false">
      <c r="A148" s="6" t="n">
        <v>43756</v>
      </c>
      <c r="B148" s="7" t="n">
        <v>0.543055555555555</v>
      </c>
      <c r="C148" s="8" t="n">
        <v>116062</v>
      </c>
      <c r="D148" s="8" t="s">
        <v>23</v>
      </c>
      <c r="E148" s="8" t="n">
        <v>2980</v>
      </c>
      <c r="F148" s="8" t="n">
        <v>2700</v>
      </c>
      <c r="G148" s="9" t="n">
        <v>280</v>
      </c>
      <c r="H148" s="8" t="s">
        <v>11</v>
      </c>
      <c r="I148" s="8" t="s">
        <v>24</v>
      </c>
      <c r="J148" s="1" t="s">
        <v>13</v>
      </c>
    </row>
    <row r="149" customFormat="false" ht="13.8" hidden="true" customHeight="false" outlineLevel="0" collapsed="false">
      <c r="A149" s="6" t="n">
        <v>43757</v>
      </c>
      <c r="B149" s="7" t="n">
        <v>0.0631944444444444</v>
      </c>
      <c r="C149" s="8" t="n">
        <v>116069</v>
      </c>
      <c r="D149" s="8" t="s">
        <v>15</v>
      </c>
      <c r="E149" s="8" t="n">
        <v>20820</v>
      </c>
      <c r="F149" s="8" t="n">
        <v>13120</v>
      </c>
      <c r="G149" s="9" t="n">
        <v>7700</v>
      </c>
      <c r="H149" s="8" t="s">
        <v>11</v>
      </c>
      <c r="I149" s="8" t="s">
        <v>16</v>
      </c>
      <c r="J149" s="1" t="s">
        <v>13</v>
      </c>
    </row>
    <row r="150" customFormat="false" ht="13.8" hidden="true" customHeight="false" outlineLevel="0" collapsed="false">
      <c r="A150" s="6" t="n">
        <v>43757</v>
      </c>
      <c r="B150" s="7" t="n">
        <v>0.121527777777778</v>
      </c>
      <c r="C150" s="8" t="n">
        <v>116074</v>
      </c>
      <c r="D150" s="8" t="s">
        <v>10</v>
      </c>
      <c r="E150" s="8" t="n">
        <v>20360</v>
      </c>
      <c r="F150" s="8" t="n">
        <v>15900</v>
      </c>
      <c r="G150" s="9" t="n">
        <v>4460</v>
      </c>
      <c r="H150" s="8" t="s">
        <v>11</v>
      </c>
      <c r="I150" s="8" t="s">
        <v>16</v>
      </c>
      <c r="J150" s="1" t="s">
        <v>13</v>
      </c>
    </row>
    <row r="151" customFormat="false" ht="13.8" hidden="true" customHeight="false" outlineLevel="0" collapsed="false">
      <c r="A151" s="6" t="n">
        <v>43757</v>
      </c>
      <c r="B151" s="12" t="n">
        <v>0.135416666666667</v>
      </c>
      <c r="C151" s="8" t="n">
        <v>116076</v>
      </c>
      <c r="D151" s="8" t="s">
        <v>15</v>
      </c>
      <c r="E151" s="8" t="n">
        <v>15840</v>
      </c>
      <c r="F151" s="8" t="n">
        <v>12860</v>
      </c>
      <c r="G151" s="9" t="n">
        <v>2980</v>
      </c>
      <c r="H151" s="8" t="s">
        <v>11</v>
      </c>
      <c r="I151" s="8" t="s">
        <v>16</v>
      </c>
      <c r="J151" s="1" t="s">
        <v>13</v>
      </c>
    </row>
    <row r="152" customFormat="false" ht="13.8" hidden="true" customHeight="false" outlineLevel="0" collapsed="false">
      <c r="A152" s="6" t="n">
        <v>43757</v>
      </c>
      <c r="B152" s="7" t="n">
        <v>0.243055555555556</v>
      </c>
      <c r="C152" s="8" t="n">
        <v>116082</v>
      </c>
      <c r="D152" s="8" t="s">
        <v>17</v>
      </c>
      <c r="E152" s="8" t="n">
        <v>4440</v>
      </c>
      <c r="F152" s="8" t="n">
        <v>3820</v>
      </c>
      <c r="G152" s="9" t="n">
        <v>620</v>
      </c>
      <c r="H152" s="8" t="s">
        <v>11</v>
      </c>
      <c r="I152" s="8" t="s">
        <v>16</v>
      </c>
      <c r="J152" s="1" t="s">
        <v>13</v>
      </c>
    </row>
    <row r="153" customFormat="false" ht="13.8" hidden="true" customHeight="false" outlineLevel="0" collapsed="false">
      <c r="A153" s="6" t="n">
        <v>43757</v>
      </c>
      <c r="B153" s="7" t="n">
        <v>0.247222222222222</v>
      </c>
      <c r="C153" s="8" t="n">
        <v>116083</v>
      </c>
      <c r="D153" s="8" t="s">
        <v>18</v>
      </c>
      <c r="E153" s="8" t="n">
        <v>22520</v>
      </c>
      <c r="F153" s="8" t="n">
        <v>15800</v>
      </c>
      <c r="G153" s="9" t="n">
        <v>6720</v>
      </c>
      <c r="H153" s="8" t="s">
        <v>11</v>
      </c>
      <c r="I153" s="8" t="s">
        <v>16</v>
      </c>
      <c r="J153" s="1" t="s">
        <v>13</v>
      </c>
    </row>
    <row r="154" customFormat="false" ht="13.8" hidden="true" customHeight="false" outlineLevel="0" collapsed="false">
      <c r="A154" s="6" t="n">
        <v>43757</v>
      </c>
      <c r="B154" s="7" t="n">
        <v>0.481944444444444</v>
      </c>
      <c r="C154" s="8" t="n">
        <v>116094</v>
      </c>
      <c r="D154" s="8" t="s">
        <v>20</v>
      </c>
      <c r="E154" s="8" t="n">
        <v>2580</v>
      </c>
      <c r="F154" s="8" t="n">
        <v>2380</v>
      </c>
      <c r="G154" s="9" t="n">
        <v>200</v>
      </c>
      <c r="H154" s="8" t="s">
        <v>11</v>
      </c>
      <c r="I154" s="8" t="s">
        <v>16</v>
      </c>
      <c r="J154" s="1" t="s">
        <v>13</v>
      </c>
    </row>
    <row r="155" customFormat="false" ht="13.8" hidden="true" customHeight="false" outlineLevel="0" collapsed="false">
      <c r="A155" s="6" t="n">
        <v>43757</v>
      </c>
      <c r="B155" s="7" t="n">
        <v>0.504861111111111</v>
      </c>
      <c r="C155" s="8" t="n">
        <v>116095</v>
      </c>
      <c r="D155" s="8" t="s">
        <v>19</v>
      </c>
      <c r="E155" s="8" t="n">
        <v>4000</v>
      </c>
      <c r="F155" s="8" t="n">
        <v>2940</v>
      </c>
      <c r="G155" s="9" t="n">
        <v>1060</v>
      </c>
      <c r="H155" s="8" t="s">
        <v>11</v>
      </c>
      <c r="I155" s="8" t="s">
        <v>21</v>
      </c>
      <c r="J155" s="1" t="s">
        <v>13</v>
      </c>
    </row>
    <row r="156" customFormat="false" ht="13.8" hidden="true" customHeight="false" outlineLevel="0" collapsed="false">
      <c r="A156" s="6" t="n">
        <v>43758</v>
      </c>
      <c r="B156" s="7" t="n">
        <v>0.0854166666666667</v>
      </c>
      <c r="C156" s="8" t="n">
        <v>116097</v>
      </c>
      <c r="D156" s="8" t="s">
        <v>15</v>
      </c>
      <c r="E156" s="8" t="n">
        <v>22120</v>
      </c>
      <c r="F156" s="8" t="n">
        <v>13020</v>
      </c>
      <c r="G156" s="9" t="n">
        <v>9100</v>
      </c>
      <c r="H156" s="8" t="s">
        <v>11</v>
      </c>
      <c r="I156" s="8" t="s">
        <v>16</v>
      </c>
      <c r="J156" s="1" t="s">
        <v>13</v>
      </c>
    </row>
    <row r="157" customFormat="false" ht="13.8" hidden="true" customHeight="false" outlineLevel="0" collapsed="false">
      <c r="A157" s="6" t="n">
        <v>43758</v>
      </c>
      <c r="B157" s="7" t="n">
        <v>0.175694444444444</v>
      </c>
      <c r="C157" s="8" t="n">
        <v>116103</v>
      </c>
      <c r="D157" s="8" t="s">
        <v>15</v>
      </c>
      <c r="E157" s="8" t="n">
        <v>16940</v>
      </c>
      <c r="F157" s="8" t="n">
        <v>12840</v>
      </c>
      <c r="G157" s="9" t="n">
        <v>4100</v>
      </c>
      <c r="H157" s="8" t="s">
        <v>11</v>
      </c>
      <c r="I157" s="8" t="s">
        <v>16</v>
      </c>
      <c r="J157" s="1" t="s">
        <v>13</v>
      </c>
    </row>
    <row r="158" customFormat="false" ht="13.8" hidden="true" customHeight="false" outlineLevel="0" collapsed="false">
      <c r="A158" s="6" t="n">
        <v>43758</v>
      </c>
      <c r="B158" s="7" t="n">
        <v>0.225</v>
      </c>
      <c r="C158" s="8" t="n">
        <v>116104</v>
      </c>
      <c r="D158" s="8" t="s">
        <v>18</v>
      </c>
      <c r="E158" s="8" t="n">
        <v>24900</v>
      </c>
      <c r="F158" s="8" t="n">
        <v>15760</v>
      </c>
      <c r="G158" s="9" t="n">
        <v>9140</v>
      </c>
      <c r="H158" s="8" t="s">
        <v>11</v>
      </c>
      <c r="I158" s="8" t="s">
        <v>16</v>
      </c>
      <c r="J158" s="1" t="s">
        <v>13</v>
      </c>
    </row>
    <row r="159" customFormat="false" ht="13.8" hidden="true" customHeight="false" outlineLevel="0" collapsed="false">
      <c r="A159" s="6" t="n">
        <v>43758</v>
      </c>
      <c r="B159" s="7" t="n">
        <v>0.239583333333333</v>
      </c>
      <c r="C159" s="8" t="n">
        <v>116105</v>
      </c>
      <c r="D159" s="8" t="s">
        <v>17</v>
      </c>
      <c r="E159" s="8" t="n">
        <v>4440</v>
      </c>
      <c r="F159" s="8" t="n">
        <v>3760</v>
      </c>
      <c r="G159" s="9" t="n">
        <v>680</v>
      </c>
      <c r="H159" s="8" t="s">
        <v>11</v>
      </c>
      <c r="I159" s="8" t="s">
        <v>16</v>
      </c>
      <c r="J159" s="1" t="s">
        <v>13</v>
      </c>
    </row>
    <row r="160" customFormat="false" ht="13.8" hidden="true" customHeight="false" outlineLevel="0" collapsed="false">
      <c r="A160" s="6" t="n">
        <v>43758</v>
      </c>
      <c r="B160" s="7" t="n">
        <v>0.463888888888889</v>
      </c>
      <c r="C160" s="8" t="n">
        <v>116110</v>
      </c>
      <c r="D160" s="8" t="s">
        <v>20</v>
      </c>
      <c r="E160" s="8" t="n">
        <v>2580</v>
      </c>
      <c r="F160" s="8" t="n">
        <v>2380</v>
      </c>
      <c r="G160" s="9" t="n">
        <v>200</v>
      </c>
      <c r="H160" s="8" t="s">
        <v>11</v>
      </c>
      <c r="I160" s="8" t="s">
        <v>16</v>
      </c>
      <c r="J160" s="1" t="s">
        <v>13</v>
      </c>
    </row>
    <row r="161" customFormat="false" ht="13.8" hidden="true" customHeight="false" outlineLevel="0" collapsed="false">
      <c r="A161" s="6" t="n">
        <v>43759</v>
      </c>
      <c r="B161" s="7" t="n">
        <v>0.109722222222222</v>
      </c>
      <c r="C161" s="8" t="n">
        <v>116114</v>
      </c>
      <c r="D161" s="8" t="s">
        <v>15</v>
      </c>
      <c r="E161" s="8" t="n">
        <v>22140</v>
      </c>
      <c r="F161" s="8" t="n">
        <v>13060</v>
      </c>
      <c r="G161" s="9" t="n">
        <v>9080</v>
      </c>
      <c r="H161" s="8" t="s">
        <v>11</v>
      </c>
      <c r="I161" s="8" t="s">
        <v>16</v>
      </c>
      <c r="J161" s="1" t="s">
        <v>13</v>
      </c>
    </row>
    <row r="162" customFormat="false" ht="13.8" hidden="true" customHeight="false" outlineLevel="0" collapsed="false">
      <c r="A162" s="6" t="n">
        <v>43759</v>
      </c>
      <c r="B162" s="7" t="n">
        <v>0.127777777777778</v>
      </c>
      <c r="C162" s="8" t="n">
        <v>116115</v>
      </c>
      <c r="D162" s="8" t="s">
        <v>10</v>
      </c>
      <c r="E162" s="8" t="n">
        <v>19620</v>
      </c>
      <c r="F162" s="8" t="n">
        <v>15860</v>
      </c>
      <c r="G162" s="9" t="n">
        <v>3760</v>
      </c>
      <c r="H162" s="8" t="s">
        <v>11</v>
      </c>
      <c r="I162" s="8" t="s">
        <v>16</v>
      </c>
      <c r="J162" s="1" t="s">
        <v>13</v>
      </c>
    </row>
    <row r="163" customFormat="false" ht="13.8" hidden="true" customHeight="false" outlineLevel="0" collapsed="false">
      <c r="A163" s="6" t="n">
        <v>43759</v>
      </c>
      <c r="B163" s="7" t="n">
        <v>0.247916666666667</v>
      </c>
      <c r="C163" s="8" t="n">
        <v>116125</v>
      </c>
      <c r="D163" s="8" t="s">
        <v>17</v>
      </c>
      <c r="E163" s="8" t="n">
        <v>4380</v>
      </c>
      <c r="F163" s="8" t="n">
        <v>3740</v>
      </c>
      <c r="G163" s="9" t="n">
        <v>640</v>
      </c>
      <c r="H163" s="8" t="s">
        <v>11</v>
      </c>
      <c r="I163" s="8" t="s">
        <v>16</v>
      </c>
      <c r="J163" s="1" t="s">
        <v>13</v>
      </c>
    </row>
    <row r="164" customFormat="false" ht="13.8" hidden="true" customHeight="false" outlineLevel="0" collapsed="false">
      <c r="A164" s="6" t="n">
        <v>43759</v>
      </c>
      <c r="B164" s="7" t="n">
        <v>0.280555555555556</v>
      </c>
      <c r="C164" s="8" t="n">
        <v>116128</v>
      </c>
      <c r="D164" s="8" t="s">
        <v>18</v>
      </c>
      <c r="E164" s="8" t="n">
        <v>22960</v>
      </c>
      <c r="F164" s="8" t="n">
        <v>15800</v>
      </c>
      <c r="G164" s="9" t="n">
        <v>7160</v>
      </c>
      <c r="H164" s="8" t="s">
        <v>11</v>
      </c>
      <c r="I164" s="8" t="s">
        <v>16</v>
      </c>
      <c r="J164" s="1" t="s">
        <v>13</v>
      </c>
    </row>
    <row r="165" customFormat="false" ht="13.8" hidden="true" customHeight="false" outlineLevel="0" collapsed="false">
      <c r="A165" s="6" t="n">
        <v>43759</v>
      </c>
      <c r="B165" s="7" t="n">
        <v>0.443055555555556</v>
      </c>
      <c r="C165" s="8" t="n">
        <v>116143</v>
      </c>
      <c r="D165" s="8" t="s">
        <v>19</v>
      </c>
      <c r="E165" s="8" t="n">
        <v>3100</v>
      </c>
      <c r="F165" s="8" t="n">
        <v>2920</v>
      </c>
      <c r="G165" s="9" t="n">
        <v>180</v>
      </c>
      <c r="H165" s="8" t="s">
        <v>11</v>
      </c>
      <c r="I165" s="8" t="s">
        <v>16</v>
      </c>
      <c r="J165" s="1" t="s">
        <v>13</v>
      </c>
    </row>
    <row r="166" customFormat="false" ht="13.8" hidden="true" customHeight="false" outlineLevel="0" collapsed="false">
      <c r="A166" s="6" t="n">
        <v>43759</v>
      </c>
      <c r="B166" s="7" t="n">
        <v>0.447222222222222</v>
      </c>
      <c r="C166" s="8" t="n">
        <v>116146</v>
      </c>
      <c r="D166" s="8" t="s">
        <v>20</v>
      </c>
      <c r="E166" s="8" t="n">
        <v>2620</v>
      </c>
      <c r="F166" s="8" t="n">
        <v>2380</v>
      </c>
      <c r="G166" s="9" t="n">
        <v>240</v>
      </c>
      <c r="H166" s="8" t="s">
        <v>11</v>
      </c>
      <c r="I166" s="8" t="s">
        <v>16</v>
      </c>
      <c r="J166" s="1" t="s">
        <v>13</v>
      </c>
    </row>
    <row r="167" customFormat="false" ht="13.8" hidden="true" customHeight="false" outlineLevel="0" collapsed="false">
      <c r="A167" s="6" t="n">
        <v>43759</v>
      </c>
      <c r="B167" s="7" t="n">
        <v>0.526388888888889</v>
      </c>
      <c r="C167" s="8" t="n">
        <v>116155</v>
      </c>
      <c r="D167" s="8" t="s">
        <v>19</v>
      </c>
      <c r="E167" s="8" t="n">
        <v>3280</v>
      </c>
      <c r="F167" s="8" t="n">
        <v>2900</v>
      </c>
      <c r="G167" s="9" t="n">
        <v>380</v>
      </c>
      <c r="H167" s="8" t="s">
        <v>11</v>
      </c>
      <c r="I167" s="8" t="s">
        <v>21</v>
      </c>
      <c r="J167" s="1" t="s">
        <v>13</v>
      </c>
    </row>
    <row r="168" customFormat="false" ht="13.8" hidden="true" customHeight="false" outlineLevel="0" collapsed="false">
      <c r="A168" s="6" t="n">
        <v>43759</v>
      </c>
      <c r="B168" s="7" t="n">
        <v>0.548611111111111</v>
      </c>
      <c r="C168" s="8" t="n">
        <v>116158</v>
      </c>
      <c r="D168" s="8" t="s">
        <v>23</v>
      </c>
      <c r="E168" s="8" t="n">
        <v>2900</v>
      </c>
      <c r="F168" s="8" t="n">
        <v>2680</v>
      </c>
      <c r="G168" s="9" t="n">
        <v>220</v>
      </c>
      <c r="H168" s="8" t="s">
        <v>11</v>
      </c>
      <c r="I168" s="8" t="s">
        <v>24</v>
      </c>
      <c r="J168" s="1" t="s">
        <v>13</v>
      </c>
    </row>
    <row r="169" customFormat="false" ht="13.8" hidden="true" customHeight="false" outlineLevel="0" collapsed="false">
      <c r="A169" s="6" t="n">
        <v>43759</v>
      </c>
      <c r="B169" s="7" t="n">
        <v>0.447916666666667</v>
      </c>
      <c r="C169" s="10" t="s">
        <v>25</v>
      </c>
      <c r="D169" s="8" t="s">
        <v>10</v>
      </c>
      <c r="E169" s="8" t="n">
        <v>17260</v>
      </c>
      <c r="F169" s="8" t="n">
        <v>15760</v>
      </c>
      <c r="G169" s="9" t="n">
        <v>1500</v>
      </c>
      <c r="H169" s="8" t="s">
        <v>11</v>
      </c>
      <c r="I169" s="8" t="s">
        <v>26</v>
      </c>
      <c r="J169" s="1" t="s">
        <v>13</v>
      </c>
    </row>
    <row r="170" customFormat="false" ht="13.8" hidden="true" customHeight="false" outlineLevel="0" collapsed="false">
      <c r="A170" s="6" t="n">
        <v>43760</v>
      </c>
      <c r="B170" s="7" t="n">
        <v>0.470833333333333</v>
      </c>
      <c r="C170" s="8" t="n">
        <v>93601</v>
      </c>
      <c r="D170" s="8" t="s">
        <v>10</v>
      </c>
      <c r="E170" s="8" t="n">
        <v>17580</v>
      </c>
      <c r="F170" s="8" t="n">
        <v>15760</v>
      </c>
      <c r="G170" s="9" t="n">
        <v>1820</v>
      </c>
      <c r="H170" s="8" t="s">
        <v>11</v>
      </c>
      <c r="I170" s="8" t="s">
        <v>12</v>
      </c>
      <c r="J170" s="1" t="s">
        <v>13</v>
      </c>
    </row>
    <row r="171" customFormat="false" ht="13.8" hidden="true" customHeight="false" outlineLevel="0" collapsed="false">
      <c r="A171" s="6" t="n">
        <v>43760</v>
      </c>
      <c r="B171" s="7" t="n">
        <v>0.125694444444444</v>
      </c>
      <c r="C171" s="8" t="n">
        <v>116171</v>
      </c>
      <c r="D171" s="8" t="s">
        <v>15</v>
      </c>
      <c r="E171" s="8" t="n">
        <v>21940</v>
      </c>
      <c r="F171" s="8" t="n">
        <v>13100</v>
      </c>
      <c r="G171" s="9" t="n">
        <v>8840</v>
      </c>
      <c r="H171" s="8" t="s">
        <v>11</v>
      </c>
      <c r="I171" s="8" t="s">
        <v>16</v>
      </c>
      <c r="J171" s="1" t="s">
        <v>13</v>
      </c>
    </row>
    <row r="172" customFormat="false" ht="13.8" hidden="true" customHeight="false" outlineLevel="0" collapsed="false">
      <c r="A172" s="6" t="n">
        <v>43760</v>
      </c>
      <c r="B172" s="7" t="n">
        <v>0.140277777777778</v>
      </c>
      <c r="C172" s="8" t="n">
        <v>116174</v>
      </c>
      <c r="D172" s="8" t="s">
        <v>10</v>
      </c>
      <c r="E172" s="8" t="n">
        <v>19580</v>
      </c>
      <c r="F172" s="8" t="n">
        <v>15780</v>
      </c>
      <c r="G172" s="9" t="n">
        <v>3800</v>
      </c>
      <c r="H172" s="8" t="s">
        <v>11</v>
      </c>
      <c r="I172" s="8" t="s">
        <v>16</v>
      </c>
      <c r="J172" s="1" t="s">
        <v>13</v>
      </c>
    </row>
    <row r="173" customFormat="false" ht="13.8" hidden="true" customHeight="false" outlineLevel="0" collapsed="false">
      <c r="A173" s="6" t="n">
        <v>43760</v>
      </c>
      <c r="B173" s="7" t="n">
        <v>0.192361111111111</v>
      </c>
      <c r="C173" s="8" t="n">
        <v>116178</v>
      </c>
      <c r="D173" s="8" t="s">
        <v>18</v>
      </c>
      <c r="E173" s="8" t="n">
        <v>22760</v>
      </c>
      <c r="F173" s="8" t="n">
        <v>15860</v>
      </c>
      <c r="G173" s="9" t="n">
        <v>6900</v>
      </c>
      <c r="H173" s="8" t="s">
        <v>11</v>
      </c>
      <c r="I173" s="8" t="s">
        <v>16</v>
      </c>
      <c r="J173" s="1" t="s">
        <v>13</v>
      </c>
    </row>
    <row r="174" customFormat="false" ht="13.8" hidden="true" customHeight="false" outlineLevel="0" collapsed="false">
      <c r="A174" s="6" t="n">
        <v>43760</v>
      </c>
      <c r="B174" s="7" t="n">
        <v>0.247222222222222</v>
      </c>
      <c r="C174" s="8" t="n">
        <v>116179</v>
      </c>
      <c r="D174" s="8" t="s">
        <v>17</v>
      </c>
      <c r="E174" s="8" t="n">
        <v>4300</v>
      </c>
      <c r="F174" s="8" t="n">
        <v>3780</v>
      </c>
      <c r="G174" s="9" t="n">
        <v>520</v>
      </c>
      <c r="H174" s="8" t="s">
        <v>11</v>
      </c>
      <c r="I174" s="8" t="s">
        <v>16</v>
      </c>
      <c r="J174" s="1" t="s">
        <v>13</v>
      </c>
    </row>
    <row r="175" customFormat="false" ht="13.8" hidden="true" customHeight="false" outlineLevel="0" collapsed="false">
      <c r="A175" s="6" t="n">
        <v>43760</v>
      </c>
      <c r="B175" s="7" t="n">
        <v>0.51875</v>
      </c>
      <c r="C175" s="8" t="n">
        <v>116203</v>
      </c>
      <c r="D175" s="8" t="s">
        <v>19</v>
      </c>
      <c r="E175" s="8" t="n">
        <v>3500</v>
      </c>
      <c r="F175" s="8" t="n">
        <v>2960</v>
      </c>
      <c r="G175" s="9" t="n">
        <v>540</v>
      </c>
      <c r="H175" s="8" t="s">
        <v>11</v>
      </c>
      <c r="I175" s="8" t="s">
        <v>21</v>
      </c>
      <c r="J175" s="1" t="s">
        <v>13</v>
      </c>
    </row>
    <row r="176" customFormat="false" ht="13.8" hidden="true" customHeight="false" outlineLevel="0" collapsed="false">
      <c r="A176" s="6" t="n">
        <v>43761</v>
      </c>
      <c r="B176" s="7" t="n">
        <v>0.130555555555556</v>
      </c>
      <c r="C176" s="8" t="n">
        <v>116218</v>
      </c>
      <c r="D176" s="8" t="s">
        <v>15</v>
      </c>
      <c r="E176" s="8" t="n">
        <v>20980</v>
      </c>
      <c r="F176" s="8" t="n">
        <v>13040</v>
      </c>
      <c r="G176" s="9" t="n">
        <v>7940</v>
      </c>
      <c r="H176" s="8" t="s">
        <v>11</v>
      </c>
      <c r="I176" s="8" t="s">
        <v>16</v>
      </c>
      <c r="J176" s="1" t="s">
        <v>13</v>
      </c>
    </row>
    <row r="177" customFormat="false" ht="13.8" hidden="true" customHeight="false" outlineLevel="0" collapsed="false">
      <c r="A177" s="6" t="n">
        <v>43761</v>
      </c>
      <c r="B177" s="7" t="n">
        <v>0.145833333333333</v>
      </c>
      <c r="C177" s="8" t="n">
        <v>116219</v>
      </c>
      <c r="D177" s="8" t="s">
        <v>10</v>
      </c>
      <c r="E177" s="8" t="n">
        <v>18280</v>
      </c>
      <c r="F177" s="8" t="n">
        <v>15980</v>
      </c>
      <c r="G177" s="9" t="n">
        <v>2300</v>
      </c>
      <c r="H177" s="8" t="s">
        <v>11</v>
      </c>
      <c r="I177" s="8" t="s">
        <v>16</v>
      </c>
      <c r="J177" s="1" t="s">
        <v>13</v>
      </c>
    </row>
    <row r="178" customFormat="false" ht="13.8" hidden="true" customHeight="false" outlineLevel="0" collapsed="false">
      <c r="A178" s="6" t="n">
        <v>43761</v>
      </c>
      <c r="B178" s="7" t="n">
        <v>0.23125</v>
      </c>
      <c r="C178" s="8" t="n">
        <v>116224</v>
      </c>
      <c r="D178" s="8" t="s">
        <v>18</v>
      </c>
      <c r="E178" s="8" t="n">
        <v>20960</v>
      </c>
      <c r="F178" s="8" t="n">
        <v>16160</v>
      </c>
      <c r="G178" s="9" t="n">
        <v>4800</v>
      </c>
      <c r="H178" s="8" t="s">
        <v>11</v>
      </c>
      <c r="I178" s="8" t="s">
        <v>16</v>
      </c>
      <c r="J178" s="1" t="s">
        <v>13</v>
      </c>
    </row>
    <row r="179" customFormat="false" ht="13.8" hidden="true" customHeight="false" outlineLevel="0" collapsed="false">
      <c r="A179" s="6" t="n">
        <v>43761</v>
      </c>
      <c r="B179" s="7" t="n">
        <v>0.241666666666667</v>
      </c>
      <c r="C179" s="8" t="n">
        <v>116225</v>
      </c>
      <c r="D179" s="8" t="s">
        <v>17</v>
      </c>
      <c r="E179" s="8" t="n">
        <v>3980</v>
      </c>
      <c r="F179" s="8" t="n">
        <v>3740</v>
      </c>
      <c r="G179" s="9" t="n">
        <v>240</v>
      </c>
      <c r="H179" s="8" t="s">
        <v>11</v>
      </c>
      <c r="I179" s="8" t="s">
        <v>16</v>
      </c>
      <c r="J179" s="1" t="s">
        <v>13</v>
      </c>
    </row>
    <row r="180" customFormat="false" ht="13.8" hidden="true" customHeight="false" outlineLevel="0" collapsed="false">
      <c r="A180" s="6" t="n">
        <v>43761</v>
      </c>
      <c r="B180" s="7" t="n">
        <v>0.345833333333333</v>
      </c>
      <c r="C180" s="8" t="n">
        <v>116234</v>
      </c>
      <c r="D180" s="8" t="s">
        <v>19</v>
      </c>
      <c r="E180" s="8" t="n">
        <v>3520</v>
      </c>
      <c r="F180" s="8" t="n">
        <v>2840</v>
      </c>
      <c r="G180" s="9" t="n">
        <v>680</v>
      </c>
      <c r="H180" s="8" t="s">
        <v>11</v>
      </c>
      <c r="I180" s="8" t="s">
        <v>21</v>
      </c>
      <c r="J180" s="1" t="s">
        <v>13</v>
      </c>
    </row>
    <row r="181" customFormat="false" ht="13.8" hidden="true" customHeight="false" outlineLevel="0" collapsed="false">
      <c r="A181" s="6" t="n">
        <v>43761</v>
      </c>
      <c r="B181" s="7" t="n">
        <v>0.468055555555555</v>
      </c>
      <c r="C181" s="8" t="n">
        <v>116247</v>
      </c>
      <c r="D181" s="8" t="s">
        <v>20</v>
      </c>
      <c r="E181" s="8" t="n">
        <v>2640</v>
      </c>
      <c r="F181" s="8" t="n">
        <v>2400</v>
      </c>
      <c r="G181" s="9" t="n">
        <v>240</v>
      </c>
      <c r="H181" s="8" t="s">
        <v>11</v>
      </c>
      <c r="I181" s="8" t="s">
        <v>16</v>
      </c>
      <c r="J181" s="1" t="s">
        <v>13</v>
      </c>
    </row>
    <row r="182" customFormat="false" ht="13.8" hidden="true" customHeight="false" outlineLevel="0" collapsed="false">
      <c r="A182" s="6" t="n">
        <v>43761</v>
      </c>
      <c r="B182" s="7" t="n">
        <v>0.469444444444444</v>
      </c>
      <c r="C182" s="8" t="n">
        <v>116248</v>
      </c>
      <c r="D182" s="8" t="s">
        <v>19</v>
      </c>
      <c r="E182" s="8" t="n">
        <v>3280</v>
      </c>
      <c r="F182" s="8" t="n">
        <v>2820</v>
      </c>
      <c r="G182" s="9" t="n">
        <v>460</v>
      </c>
      <c r="H182" s="8" t="s">
        <v>11</v>
      </c>
      <c r="I182" s="8" t="s">
        <v>21</v>
      </c>
      <c r="J182" s="1" t="s">
        <v>13</v>
      </c>
    </row>
    <row r="183" customFormat="false" ht="13.8" hidden="true" customHeight="false" outlineLevel="0" collapsed="false">
      <c r="A183" s="6" t="n">
        <v>43761</v>
      </c>
      <c r="B183" s="7" t="n">
        <v>0.489583333333333</v>
      </c>
      <c r="C183" s="8" t="n">
        <v>116252</v>
      </c>
      <c r="D183" s="8" t="s">
        <v>14</v>
      </c>
      <c r="E183" s="8" t="n">
        <v>18260</v>
      </c>
      <c r="F183" s="8" t="n">
        <v>15880</v>
      </c>
      <c r="G183" s="9" t="n">
        <v>2380</v>
      </c>
      <c r="H183" s="8" t="s">
        <v>11</v>
      </c>
      <c r="I183" s="8" t="s">
        <v>21</v>
      </c>
      <c r="J183" s="1" t="s">
        <v>13</v>
      </c>
    </row>
    <row r="184" customFormat="false" ht="13.8" hidden="true" customHeight="false" outlineLevel="0" collapsed="false">
      <c r="A184" s="6" t="n">
        <v>43761</v>
      </c>
      <c r="B184" s="7" t="n">
        <v>0.521527777777778</v>
      </c>
      <c r="C184" s="8" t="n">
        <v>116255</v>
      </c>
      <c r="D184" s="8" t="s">
        <v>19</v>
      </c>
      <c r="E184" s="8" t="n">
        <v>3100</v>
      </c>
      <c r="F184" s="8" t="n">
        <v>2760</v>
      </c>
      <c r="G184" s="9" t="n">
        <v>340</v>
      </c>
      <c r="H184" s="8" t="s">
        <v>11</v>
      </c>
      <c r="I184" s="6" t="s">
        <v>21</v>
      </c>
      <c r="J184" s="1" t="s">
        <v>13</v>
      </c>
    </row>
    <row r="185" customFormat="false" ht="13.8" hidden="true" customHeight="false" outlineLevel="0" collapsed="false">
      <c r="A185" s="6" t="n">
        <v>43761</v>
      </c>
      <c r="B185" s="7" t="n">
        <v>0.530555555555556</v>
      </c>
      <c r="C185" s="8" t="n">
        <v>116258</v>
      </c>
      <c r="D185" s="8" t="s">
        <v>23</v>
      </c>
      <c r="E185" s="8" t="n">
        <v>3120</v>
      </c>
      <c r="F185" s="8" t="n">
        <v>2680</v>
      </c>
      <c r="G185" s="9" t="n">
        <v>440</v>
      </c>
      <c r="H185" s="8" t="s">
        <v>11</v>
      </c>
      <c r="I185" s="8" t="s">
        <v>24</v>
      </c>
      <c r="J185" s="1" t="s">
        <v>13</v>
      </c>
    </row>
    <row r="186" customFormat="false" ht="13.8" hidden="true" customHeight="false" outlineLevel="0" collapsed="false">
      <c r="A186" s="6" t="n">
        <v>43762</v>
      </c>
      <c r="B186" s="7" t="n">
        <v>0.140972222222222</v>
      </c>
      <c r="C186" s="8" t="n">
        <v>116271</v>
      </c>
      <c r="D186" s="8" t="s">
        <v>15</v>
      </c>
      <c r="E186" s="8" t="n">
        <v>23700</v>
      </c>
      <c r="F186" s="8" t="n">
        <v>13080</v>
      </c>
      <c r="G186" s="9" t="n">
        <v>10620</v>
      </c>
      <c r="H186" s="8" t="s">
        <v>11</v>
      </c>
      <c r="I186" s="8" t="s">
        <v>16</v>
      </c>
      <c r="J186" s="1" t="s">
        <v>13</v>
      </c>
    </row>
    <row r="187" customFormat="false" ht="13.8" hidden="true" customHeight="false" outlineLevel="0" collapsed="false">
      <c r="A187" s="6" t="n">
        <v>43762</v>
      </c>
      <c r="B187" s="7" t="n">
        <v>0.241666666666667</v>
      </c>
      <c r="C187" s="8" t="n">
        <v>116276</v>
      </c>
      <c r="D187" s="8" t="s">
        <v>23</v>
      </c>
      <c r="E187" s="8" t="n">
        <v>3360</v>
      </c>
      <c r="F187" s="8" t="n">
        <v>2860</v>
      </c>
      <c r="G187" s="9" t="n">
        <v>500</v>
      </c>
      <c r="H187" s="8" t="s">
        <v>11</v>
      </c>
      <c r="I187" s="8" t="s">
        <v>16</v>
      </c>
      <c r="J187" s="1" t="s">
        <v>13</v>
      </c>
    </row>
    <row r="188" customFormat="false" ht="13.8" hidden="true" customHeight="false" outlineLevel="0" collapsed="false">
      <c r="A188" s="6" t="n">
        <v>43762</v>
      </c>
      <c r="B188" s="7" t="n">
        <v>0.245833333333333</v>
      </c>
      <c r="C188" s="8" t="n">
        <v>116277</v>
      </c>
      <c r="D188" s="8" t="s">
        <v>18</v>
      </c>
      <c r="E188" s="8" t="n">
        <v>24740</v>
      </c>
      <c r="F188" s="8" t="n">
        <v>16100</v>
      </c>
      <c r="G188" s="9" t="n">
        <v>8640</v>
      </c>
      <c r="H188" s="8" t="s">
        <v>11</v>
      </c>
      <c r="I188" s="8" t="s">
        <v>16</v>
      </c>
      <c r="J188" s="1" t="s">
        <v>13</v>
      </c>
    </row>
    <row r="189" customFormat="false" ht="13.8" hidden="true" customHeight="false" outlineLevel="0" collapsed="false">
      <c r="A189" s="6" t="n">
        <v>43762</v>
      </c>
      <c r="B189" s="7" t="n">
        <v>0.492361111111111</v>
      </c>
      <c r="C189" s="8" t="n">
        <v>116294</v>
      </c>
      <c r="D189" s="8" t="s">
        <v>20</v>
      </c>
      <c r="E189" s="8" t="n">
        <v>2660</v>
      </c>
      <c r="F189" s="8" t="n">
        <v>2380</v>
      </c>
      <c r="G189" s="9" t="n">
        <v>280</v>
      </c>
      <c r="H189" s="8" t="s">
        <v>11</v>
      </c>
      <c r="I189" s="8" t="s">
        <v>16</v>
      </c>
      <c r="J189" s="1" t="s">
        <v>13</v>
      </c>
    </row>
    <row r="190" customFormat="false" ht="13.8" hidden="true" customHeight="false" outlineLevel="0" collapsed="false">
      <c r="A190" s="6" t="n">
        <v>43762</v>
      </c>
      <c r="B190" s="7" t="n">
        <v>0.511805555555555</v>
      </c>
      <c r="C190" s="8" t="n">
        <v>116297</v>
      </c>
      <c r="D190" s="8" t="s">
        <v>19</v>
      </c>
      <c r="E190" s="8" t="n">
        <v>3420</v>
      </c>
      <c r="F190" s="8" t="n">
        <v>2880</v>
      </c>
      <c r="G190" s="9" t="n">
        <v>540</v>
      </c>
      <c r="H190" s="8" t="s">
        <v>11</v>
      </c>
      <c r="I190" s="8" t="s">
        <v>21</v>
      </c>
      <c r="J190" s="1" t="s">
        <v>13</v>
      </c>
    </row>
    <row r="191" customFormat="false" ht="13.8" hidden="true" customHeight="false" outlineLevel="0" collapsed="false">
      <c r="A191" s="6" t="n">
        <v>43762</v>
      </c>
      <c r="B191" s="7" t="n">
        <v>0.55625</v>
      </c>
      <c r="C191" s="8" t="n">
        <v>116301</v>
      </c>
      <c r="D191" s="8" t="s">
        <v>23</v>
      </c>
      <c r="E191" s="8" t="n">
        <v>2960</v>
      </c>
      <c r="F191" s="8" t="n">
        <v>2660</v>
      </c>
      <c r="G191" s="9" t="n">
        <v>300</v>
      </c>
      <c r="H191" s="8" t="s">
        <v>11</v>
      </c>
      <c r="I191" s="8" t="s">
        <v>24</v>
      </c>
      <c r="J191" s="1" t="s">
        <v>13</v>
      </c>
    </row>
    <row r="192" customFormat="false" ht="13.8" hidden="true" customHeight="false" outlineLevel="0" collapsed="false">
      <c r="A192" s="6" t="n">
        <v>43763</v>
      </c>
      <c r="B192" s="7" t="n">
        <v>0.113194444444444</v>
      </c>
      <c r="C192" s="8" t="n">
        <v>116310</v>
      </c>
      <c r="D192" s="8" t="s">
        <v>15</v>
      </c>
      <c r="E192" s="8" t="n">
        <v>21520</v>
      </c>
      <c r="F192" s="8" t="n">
        <v>13080</v>
      </c>
      <c r="G192" s="9" t="n">
        <v>8440</v>
      </c>
      <c r="H192" s="8" t="s">
        <v>11</v>
      </c>
      <c r="I192" s="8" t="s">
        <v>16</v>
      </c>
      <c r="J192" s="1" t="s">
        <v>13</v>
      </c>
    </row>
    <row r="193" customFormat="false" ht="13.8" hidden="true" customHeight="false" outlineLevel="0" collapsed="false">
      <c r="A193" s="6" t="n">
        <v>43763</v>
      </c>
      <c r="B193" s="7" t="n">
        <v>0.139583333333333</v>
      </c>
      <c r="C193" s="8" t="n">
        <v>116312</v>
      </c>
      <c r="D193" s="8" t="s">
        <v>10</v>
      </c>
      <c r="E193" s="8" t="n">
        <v>19780</v>
      </c>
      <c r="F193" s="8" t="n">
        <v>15920</v>
      </c>
      <c r="G193" s="9" t="n">
        <v>3860</v>
      </c>
      <c r="H193" s="8" t="s">
        <v>11</v>
      </c>
      <c r="I193" s="8" t="s">
        <v>16</v>
      </c>
      <c r="J193" s="1" t="s">
        <v>13</v>
      </c>
    </row>
    <row r="194" customFormat="false" ht="13.8" hidden="true" customHeight="false" outlineLevel="0" collapsed="false">
      <c r="A194" s="6" t="n">
        <v>43763</v>
      </c>
      <c r="B194" s="7" t="n">
        <v>0.24375</v>
      </c>
      <c r="C194" s="8" t="n">
        <v>116317</v>
      </c>
      <c r="D194" s="8" t="s">
        <v>18</v>
      </c>
      <c r="E194" s="8" t="n">
        <v>22720</v>
      </c>
      <c r="F194" s="8" t="n">
        <v>15820</v>
      </c>
      <c r="G194" s="9" t="n">
        <v>6900</v>
      </c>
      <c r="H194" s="8" t="s">
        <v>11</v>
      </c>
      <c r="I194" s="8" t="s">
        <v>16</v>
      </c>
      <c r="J194" s="1" t="s">
        <v>13</v>
      </c>
    </row>
    <row r="195" customFormat="false" ht="13.8" hidden="true" customHeight="false" outlineLevel="0" collapsed="false">
      <c r="A195" s="6" t="n">
        <v>43763</v>
      </c>
      <c r="B195" s="7" t="n">
        <v>0.261805555555556</v>
      </c>
      <c r="C195" s="8" t="n">
        <v>116320</v>
      </c>
      <c r="D195" s="8" t="s">
        <v>17</v>
      </c>
      <c r="E195" s="8" t="n">
        <v>4220</v>
      </c>
      <c r="F195" s="8" t="n">
        <v>3740</v>
      </c>
      <c r="G195" s="9" t="n">
        <v>480</v>
      </c>
      <c r="H195" s="8" t="s">
        <v>11</v>
      </c>
      <c r="I195" s="8" t="s">
        <v>16</v>
      </c>
      <c r="J195" s="1" t="s">
        <v>13</v>
      </c>
    </row>
    <row r="196" customFormat="false" ht="13.8" hidden="true" customHeight="false" outlineLevel="0" collapsed="false">
      <c r="A196" s="6" t="n">
        <v>43763</v>
      </c>
      <c r="B196" s="7" t="n">
        <v>0.330555555555556</v>
      </c>
      <c r="C196" s="8" t="n">
        <v>116328</v>
      </c>
      <c r="D196" s="8" t="s">
        <v>19</v>
      </c>
      <c r="E196" s="8" t="n">
        <v>3180</v>
      </c>
      <c r="F196" s="8" t="n">
        <v>2940</v>
      </c>
      <c r="G196" s="9" t="n">
        <v>240</v>
      </c>
      <c r="H196" s="8" t="s">
        <v>11</v>
      </c>
      <c r="I196" s="8" t="s">
        <v>24</v>
      </c>
      <c r="J196" s="1" t="s">
        <v>13</v>
      </c>
    </row>
    <row r="197" customFormat="false" ht="13.8" hidden="true" customHeight="false" outlineLevel="0" collapsed="false">
      <c r="A197" s="6" t="n">
        <v>43763</v>
      </c>
      <c r="B197" s="7" t="n">
        <v>0.450694444444444</v>
      </c>
      <c r="C197" s="7" t="n">
        <v>116338</v>
      </c>
      <c r="D197" s="8" t="s">
        <v>19</v>
      </c>
      <c r="E197" s="8" t="n">
        <v>3220</v>
      </c>
      <c r="F197" s="8" t="n">
        <v>2860</v>
      </c>
      <c r="G197" s="9" t="n">
        <v>360</v>
      </c>
      <c r="H197" s="8" t="s">
        <v>11</v>
      </c>
      <c r="I197" s="8" t="s">
        <v>24</v>
      </c>
      <c r="J197" s="1" t="s">
        <v>13</v>
      </c>
    </row>
    <row r="198" customFormat="false" ht="13.8" hidden="true" customHeight="false" outlineLevel="0" collapsed="false">
      <c r="A198" s="6" t="n">
        <v>43763</v>
      </c>
      <c r="B198" s="7" t="n">
        <v>0.463194444444444</v>
      </c>
      <c r="C198" s="8" t="n">
        <v>116341</v>
      </c>
      <c r="D198" s="8" t="s">
        <v>22</v>
      </c>
      <c r="E198" s="8" t="n">
        <v>6580</v>
      </c>
      <c r="F198" s="8" t="n">
        <v>5680</v>
      </c>
      <c r="G198" s="9" t="n">
        <v>900</v>
      </c>
      <c r="H198" s="8" t="s">
        <v>11</v>
      </c>
      <c r="I198" s="8" t="s">
        <v>21</v>
      </c>
      <c r="J198" s="1" t="s">
        <v>13</v>
      </c>
    </row>
    <row r="199" customFormat="false" ht="13.8" hidden="true" customHeight="false" outlineLevel="0" collapsed="false">
      <c r="A199" s="6" t="n">
        <v>43763</v>
      </c>
      <c r="B199" s="7" t="n">
        <v>0.464583333333333</v>
      </c>
      <c r="C199" s="8" t="n">
        <v>116342</v>
      </c>
      <c r="D199" s="8" t="s">
        <v>20</v>
      </c>
      <c r="E199" s="8" t="n">
        <v>2660</v>
      </c>
      <c r="F199" s="8" t="n">
        <v>2460</v>
      </c>
      <c r="G199" s="9" t="n">
        <v>200</v>
      </c>
      <c r="H199" s="8" t="s">
        <v>11</v>
      </c>
      <c r="I199" s="8" t="s">
        <v>16</v>
      </c>
      <c r="J199" s="1" t="s">
        <v>13</v>
      </c>
    </row>
    <row r="200" customFormat="false" ht="13.8" hidden="true" customHeight="false" outlineLevel="0" collapsed="false">
      <c r="A200" s="6" t="n">
        <v>43763</v>
      </c>
      <c r="B200" s="7" t="n">
        <v>0.467361111111111</v>
      </c>
      <c r="C200" s="8" t="n">
        <v>116344</v>
      </c>
      <c r="D200" s="8" t="s">
        <v>23</v>
      </c>
      <c r="E200" s="8" t="n">
        <v>2960</v>
      </c>
      <c r="F200" s="8" t="n">
        <v>2640</v>
      </c>
      <c r="G200" s="9" t="n">
        <v>320</v>
      </c>
      <c r="H200" s="8" t="s">
        <v>11</v>
      </c>
      <c r="I200" s="8" t="s">
        <v>24</v>
      </c>
      <c r="J200" s="1" t="s">
        <v>13</v>
      </c>
    </row>
    <row r="201" customFormat="false" ht="13.8" hidden="true" customHeight="false" outlineLevel="0" collapsed="false">
      <c r="A201" s="6" t="n">
        <v>43763</v>
      </c>
      <c r="B201" s="7" t="n">
        <v>0.513194444444444</v>
      </c>
      <c r="C201" s="8" t="n">
        <v>116350</v>
      </c>
      <c r="D201" s="8" t="s">
        <v>19</v>
      </c>
      <c r="E201" s="8" t="n">
        <v>3080</v>
      </c>
      <c r="F201" s="8" t="n">
        <v>2860</v>
      </c>
      <c r="G201" s="9" t="n">
        <v>220</v>
      </c>
      <c r="H201" s="8" t="s">
        <v>11</v>
      </c>
      <c r="I201" s="8" t="s">
        <v>24</v>
      </c>
      <c r="J201" s="1" t="s">
        <v>13</v>
      </c>
    </row>
    <row r="202" customFormat="false" ht="13.8" hidden="true" customHeight="false" outlineLevel="0" collapsed="false">
      <c r="A202" s="6" t="n">
        <v>43764</v>
      </c>
      <c r="B202" s="7" t="n">
        <v>0.0847222222222222</v>
      </c>
      <c r="C202" s="8" t="n">
        <v>116359</v>
      </c>
      <c r="D202" s="8" t="s">
        <v>15</v>
      </c>
      <c r="E202" s="8" t="n">
        <v>21280</v>
      </c>
      <c r="F202" s="8" t="n">
        <v>12840</v>
      </c>
      <c r="G202" s="9" t="n">
        <v>8440</v>
      </c>
      <c r="H202" s="8" t="s">
        <v>11</v>
      </c>
      <c r="I202" s="8" t="s">
        <v>16</v>
      </c>
      <c r="J202" s="1" t="s">
        <v>13</v>
      </c>
    </row>
    <row r="203" customFormat="false" ht="13.8" hidden="true" customHeight="false" outlineLevel="0" collapsed="false">
      <c r="A203" s="6" t="n">
        <v>43764</v>
      </c>
      <c r="B203" s="7" t="n">
        <v>0.138194444444444</v>
      </c>
      <c r="C203" s="8" t="n">
        <v>116362</v>
      </c>
      <c r="D203" s="8" t="s">
        <v>10</v>
      </c>
      <c r="E203" s="8" t="n">
        <v>19140</v>
      </c>
      <c r="F203" s="8" t="n">
        <v>15880</v>
      </c>
      <c r="G203" s="9" t="n">
        <v>3260</v>
      </c>
      <c r="H203" s="8" t="s">
        <v>11</v>
      </c>
      <c r="I203" s="8" t="s">
        <v>16</v>
      </c>
      <c r="J203" s="1" t="s">
        <v>13</v>
      </c>
    </row>
    <row r="204" customFormat="false" ht="13.8" hidden="true" customHeight="false" outlineLevel="0" collapsed="false">
      <c r="A204" s="6" t="n">
        <v>43764</v>
      </c>
      <c r="B204" s="7" t="n">
        <v>0.149305555555556</v>
      </c>
      <c r="C204" s="8" t="n">
        <v>116364</v>
      </c>
      <c r="D204" s="8" t="s">
        <v>15</v>
      </c>
      <c r="E204" s="8" t="n">
        <v>15340</v>
      </c>
      <c r="F204" s="8" t="n">
        <v>12800</v>
      </c>
      <c r="G204" s="9" t="n">
        <v>2540</v>
      </c>
      <c r="H204" s="8" t="s">
        <v>11</v>
      </c>
      <c r="I204" s="8" t="s">
        <v>16</v>
      </c>
      <c r="J204" s="1" t="s">
        <v>13</v>
      </c>
    </row>
    <row r="205" customFormat="false" ht="13.8" hidden="true" customHeight="false" outlineLevel="0" collapsed="false">
      <c r="A205" s="6" t="n">
        <v>43764</v>
      </c>
      <c r="B205" s="7" t="n">
        <v>0.241666666666667</v>
      </c>
      <c r="C205" s="8" t="n">
        <v>116370</v>
      </c>
      <c r="D205" s="8" t="s">
        <v>18</v>
      </c>
      <c r="E205" s="8" t="n">
        <v>22540</v>
      </c>
      <c r="F205" s="8" t="n">
        <v>15900</v>
      </c>
      <c r="G205" s="9" t="n">
        <v>6640</v>
      </c>
      <c r="H205" s="8" t="s">
        <v>11</v>
      </c>
      <c r="I205" s="8" t="s">
        <v>16</v>
      </c>
      <c r="J205" s="1" t="s">
        <v>13</v>
      </c>
    </row>
    <row r="206" customFormat="false" ht="13.8" hidden="true" customHeight="false" outlineLevel="0" collapsed="false">
      <c r="A206" s="6" t="n">
        <v>43764</v>
      </c>
      <c r="B206" s="7" t="n">
        <v>0.263194444444444</v>
      </c>
      <c r="C206" s="8" t="n">
        <v>116373</v>
      </c>
      <c r="D206" s="8" t="s">
        <v>17</v>
      </c>
      <c r="E206" s="8" t="n">
        <v>4220</v>
      </c>
      <c r="F206" s="8" t="n">
        <v>3700</v>
      </c>
      <c r="G206" s="9" t="n">
        <v>520</v>
      </c>
      <c r="H206" s="8" t="s">
        <v>11</v>
      </c>
      <c r="I206" s="8" t="s">
        <v>16</v>
      </c>
      <c r="J206" s="1" t="s">
        <v>13</v>
      </c>
    </row>
    <row r="207" customFormat="false" ht="13.8" hidden="true" customHeight="false" outlineLevel="0" collapsed="false">
      <c r="A207" s="6" t="n">
        <v>43764</v>
      </c>
      <c r="B207" s="7" t="n">
        <v>0.363888888888889</v>
      </c>
      <c r="C207" s="8" t="n">
        <v>116379</v>
      </c>
      <c r="D207" s="8" t="s">
        <v>19</v>
      </c>
      <c r="E207" s="8" t="n">
        <v>3480</v>
      </c>
      <c r="F207" s="8" t="n">
        <v>2920</v>
      </c>
      <c r="G207" s="9" t="n">
        <v>560</v>
      </c>
      <c r="H207" s="8" t="s">
        <v>11</v>
      </c>
      <c r="I207" s="8" t="s">
        <v>21</v>
      </c>
      <c r="J207" s="1" t="s">
        <v>13</v>
      </c>
    </row>
    <row r="208" customFormat="false" ht="13.8" hidden="true" customHeight="false" outlineLevel="0" collapsed="false">
      <c r="A208" s="6" t="n">
        <v>43764</v>
      </c>
      <c r="B208" s="7" t="n">
        <v>0.479166666666667</v>
      </c>
      <c r="C208" s="8" t="n">
        <v>116383</v>
      </c>
      <c r="D208" s="8" t="s">
        <v>20</v>
      </c>
      <c r="E208" s="8" t="n">
        <v>2600</v>
      </c>
      <c r="F208" s="8" t="n">
        <v>2380</v>
      </c>
      <c r="G208" s="9" t="n">
        <v>220</v>
      </c>
      <c r="H208" s="8" t="s">
        <v>11</v>
      </c>
      <c r="I208" s="8" t="s">
        <v>16</v>
      </c>
      <c r="J208" s="1" t="s">
        <v>13</v>
      </c>
    </row>
    <row r="209" customFormat="false" ht="13.8" hidden="true" customHeight="false" outlineLevel="0" collapsed="false">
      <c r="A209" s="6" t="n">
        <v>43765</v>
      </c>
      <c r="B209" s="7" t="n">
        <v>0.103472222222222</v>
      </c>
      <c r="C209" s="8" t="n">
        <v>116387</v>
      </c>
      <c r="D209" s="8" t="s">
        <v>15</v>
      </c>
      <c r="E209" s="8" t="n">
        <v>20980</v>
      </c>
      <c r="F209" s="8" t="n">
        <v>12980</v>
      </c>
      <c r="G209" s="9" t="n">
        <v>8000</v>
      </c>
      <c r="H209" s="8" t="s">
        <v>11</v>
      </c>
      <c r="I209" s="8" t="s">
        <v>16</v>
      </c>
      <c r="J209" s="1" t="s">
        <v>13</v>
      </c>
    </row>
    <row r="210" customFormat="false" ht="13.8" hidden="true" customHeight="false" outlineLevel="0" collapsed="false">
      <c r="A210" s="6" t="n">
        <v>43765</v>
      </c>
      <c r="B210" s="7" t="n">
        <v>0.123611111111111</v>
      </c>
      <c r="C210" s="8" t="n">
        <v>116391</v>
      </c>
      <c r="D210" s="8" t="s">
        <v>15</v>
      </c>
      <c r="E210" s="8" t="n">
        <v>15580</v>
      </c>
      <c r="F210" s="8" t="n">
        <v>12760</v>
      </c>
      <c r="G210" s="9" t="n">
        <v>2820</v>
      </c>
      <c r="H210" s="8" t="s">
        <v>11</v>
      </c>
      <c r="I210" s="8" t="s">
        <v>16</v>
      </c>
      <c r="J210" s="1" t="s">
        <v>13</v>
      </c>
    </row>
    <row r="211" customFormat="false" ht="13.8" hidden="true" customHeight="false" outlineLevel="0" collapsed="false">
      <c r="A211" s="6" t="n">
        <v>43765</v>
      </c>
      <c r="B211" s="7" t="n">
        <v>0.183333333333333</v>
      </c>
      <c r="C211" s="8" t="n">
        <v>116393</v>
      </c>
      <c r="D211" s="8" t="s">
        <v>17</v>
      </c>
      <c r="E211" s="8" t="n">
        <v>4440</v>
      </c>
      <c r="F211" s="8" t="n">
        <v>3760</v>
      </c>
      <c r="G211" s="9" t="n">
        <v>680</v>
      </c>
      <c r="H211" s="8" t="s">
        <v>11</v>
      </c>
      <c r="I211" s="8" t="s">
        <v>16</v>
      </c>
      <c r="J211" s="1" t="s">
        <v>13</v>
      </c>
    </row>
    <row r="212" customFormat="false" ht="13.8" hidden="true" customHeight="false" outlineLevel="0" collapsed="false">
      <c r="A212" s="6" t="n">
        <v>43765</v>
      </c>
      <c r="B212" s="7" t="n">
        <v>0.199305555555556</v>
      </c>
      <c r="C212" s="8" t="n">
        <v>116395</v>
      </c>
      <c r="D212" s="8" t="s">
        <v>18</v>
      </c>
      <c r="E212" s="8" t="n">
        <v>25360</v>
      </c>
      <c r="F212" s="8" t="n">
        <v>15820</v>
      </c>
      <c r="G212" s="9" t="n">
        <v>9540</v>
      </c>
      <c r="H212" s="8" t="s">
        <v>11</v>
      </c>
      <c r="I212" s="8" t="s">
        <v>16</v>
      </c>
      <c r="J212" s="1" t="s">
        <v>13</v>
      </c>
    </row>
    <row r="213" customFormat="false" ht="13.8" hidden="true" customHeight="false" outlineLevel="0" collapsed="false">
      <c r="A213" s="6" t="n">
        <v>43765</v>
      </c>
      <c r="B213" s="7" t="n">
        <v>0.476388888888889</v>
      </c>
      <c r="C213" s="8" t="n">
        <v>116399</v>
      </c>
      <c r="D213" s="8" t="s">
        <v>20</v>
      </c>
      <c r="E213" s="8" t="n">
        <v>2660</v>
      </c>
      <c r="F213" s="8" t="n">
        <v>2360</v>
      </c>
      <c r="G213" s="9" t="n">
        <v>300</v>
      </c>
      <c r="H213" s="8" t="s">
        <v>11</v>
      </c>
      <c r="I213" s="8" t="s">
        <v>16</v>
      </c>
      <c r="J213" s="1" t="s">
        <v>13</v>
      </c>
    </row>
    <row r="214" customFormat="false" ht="13.8" hidden="true" customHeight="false" outlineLevel="0" collapsed="false">
      <c r="A214" s="6" t="n">
        <v>43766</v>
      </c>
      <c r="B214" s="7" t="n">
        <v>0.109027777777778</v>
      </c>
      <c r="C214" s="8" t="n">
        <v>116404</v>
      </c>
      <c r="D214" s="8" t="s">
        <v>15</v>
      </c>
      <c r="E214" s="8" t="n">
        <v>22740</v>
      </c>
      <c r="F214" s="8" t="n">
        <v>13120</v>
      </c>
      <c r="G214" s="9" t="n">
        <v>9620</v>
      </c>
      <c r="H214" s="8" t="s">
        <v>11</v>
      </c>
      <c r="I214" s="8" t="s">
        <v>16</v>
      </c>
      <c r="J214" s="1" t="s">
        <v>13</v>
      </c>
    </row>
    <row r="215" customFormat="false" ht="13.8" hidden="true" customHeight="false" outlineLevel="0" collapsed="false">
      <c r="A215" s="6" t="n">
        <v>43766</v>
      </c>
      <c r="B215" s="7" t="n">
        <v>0.138888888888889</v>
      </c>
      <c r="C215" s="8" t="n">
        <v>116406</v>
      </c>
      <c r="D215" s="8" t="s">
        <v>10</v>
      </c>
      <c r="E215" s="8" t="n">
        <v>18920</v>
      </c>
      <c r="F215" s="8" t="n">
        <v>15860</v>
      </c>
      <c r="G215" s="9" t="n">
        <v>3060</v>
      </c>
      <c r="H215" s="8" t="s">
        <v>11</v>
      </c>
      <c r="I215" s="8" t="s">
        <v>16</v>
      </c>
      <c r="J215" s="1" t="s">
        <v>13</v>
      </c>
    </row>
    <row r="216" customFormat="false" ht="13.8" hidden="true" customHeight="false" outlineLevel="0" collapsed="false">
      <c r="A216" s="6" t="n">
        <v>43766</v>
      </c>
      <c r="B216" s="7" t="n">
        <v>0.241666666666667</v>
      </c>
      <c r="C216" s="8" t="n">
        <v>116414</v>
      </c>
      <c r="D216" s="8" t="s">
        <v>18</v>
      </c>
      <c r="E216" s="8" t="n">
        <v>21540</v>
      </c>
      <c r="F216" s="8" t="n">
        <v>15880</v>
      </c>
      <c r="G216" s="9" t="n">
        <v>5660</v>
      </c>
      <c r="H216" s="8" t="s">
        <v>11</v>
      </c>
      <c r="I216" s="8" t="s">
        <v>16</v>
      </c>
      <c r="J216" s="1" t="s">
        <v>13</v>
      </c>
    </row>
    <row r="217" customFormat="false" ht="13.8" hidden="true" customHeight="false" outlineLevel="0" collapsed="false">
      <c r="A217" s="6" t="n">
        <v>43766</v>
      </c>
      <c r="B217" s="7" t="n">
        <v>0.25625</v>
      </c>
      <c r="C217" s="8" t="n">
        <v>116415</v>
      </c>
      <c r="D217" s="8" t="s">
        <v>17</v>
      </c>
      <c r="E217" s="8" t="n">
        <v>4420</v>
      </c>
      <c r="F217" s="8" t="n">
        <v>3780</v>
      </c>
      <c r="G217" s="9" t="n">
        <v>640</v>
      </c>
      <c r="H217" s="8" t="s">
        <v>11</v>
      </c>
      <c r="I217" s="8" t="s">
        <v>16</v>
      </c>
      <c r="J217" s="1" t="s">
        <v>13</v>
      </c>
    </row>
    <row r="218" customFormat="false" ht="13.8" hidden="true" customHeight="false" outlineLevel="0" collapsed="false">
      <c r="A218" s="6" t="n">
        <v>43766</v>
      </c>
      <c r="B218" s="7" t="n">
        <v>0.452777777777778</v>
      </c>
      <c r="C218" s="8" t="n">
        <v>116434</v>
      </c>
      <c r="D218" s="8" t="s">
        <v>20</v>
      </c>
      <c r="E218" s="8" t="n">
        <v>2580</v>
      </c>
      <c r="F218" s="8" t="n">
        <v>2400</v>
      </c>
      <c r="G218" s="9" t="n">
        <v>180</v>
      </c>
      <c r="H218" s="8" t="s">
        <v>11</v>
      </c>
      <c r="I218" s="8" t="s">
        <v>16</v>
      </c>
      <c r="J218" s="1" t="s">
        <v>13</v>
      </c>
    </row>
    <row r="219" customFormat="false" ht="13.8" hidden="true" customHeight="false" outlineLevel="0" collapsed="false">
      <c r="A219" s="6" t="n">
        <v>43766</v>
      </c>
      <c r="B219" s="7" t="n">
        <v>0.514583333333333</v>
      </c>
      <c r="C219" s="8" t="n">
        <v>116442</v>
      </c>
      <c r="D219" s="8" t="s">
        <v>23</v>
      </c>
      <c r="E219" s="8" t="n">
        <v>3020</v>
      </c>
      <c r="F219" s="8" t="n">
        <v>2700</v>
      </c>
      <c r="G219" s="9" t="n">
        <v>320</v>
      </c>
      <c r="H219" s="8" t="s">
        <v>11</v>
      </c>
      <c r="I219" s="8" t="s">
        <v>24</v>
      </c>
      <c r="J219" s="1" t="s">
        <v>13</v>
      </c>
    </row>
    <row r="220" customFormat="false" ht="13.8" hidden="true" customHeight="false" outlineLevel="0" collapsed="false">
      <c r="A220" s="6" t="n">
        <v>43767</v>
      </c>
      <c r="B220" s="7" t="n">
        <v>0.0993055555555556</v>
      </c>
      <c r="C220" s="8" t="n">
        <v>116458</v>
      </c>
      <c r="D220" s="8" t="s">
        <v>15</v>
      </c>
      <c r="E220" s="8" t="n">
        <v>19560</v>
      </c>
      <c r="F220" s="8" t="n">
        <v>13100</v>
      </c>
      <c r="G220" s="9" t="n">
        <v>6460</v>
      </c>
      <c r="H220" s="8" t="s">
        <v>11</v>
      </c>
      <c r="I220" s="8" t="s">
        <v>16</v>
      </c>
      <c r="J220" s="1" t="s">
        <v>13</v>
      </c>
    </row>
    <row r="221" customFormat="false" ht="13.8" hidden="true" customHeight="false" outlineLevel="0" collapsed="false">
      <c r="A221" s="6" t="n">
        <v>43767</v>
      </c>
      <c r="B221" s="7" t="n">
        <v>0.138888888888889</v>
      </c>
      <c r="C221" s="8" t="n">
        <v>116461</v>
      </c>
      <c r="D221" s="8" t="s">
        <v>10</v>
      </c>
      <c r="E221" s="8" t="n">
        <v>19200</v>
      </c>
      <c r="F221" s="8" t="n">
        <v>15980</v>
      </c>
      <c r="G221" s="9" t="n">
        <v>3220</v>
      </c>
      <c r="H221" s="8" t="s">
        <v>11</v>
      </c>
      <c r="I221" s="8" t="s">
        <v>16</v>
      </c>
      <c r="J221" s="1" t="s">
        <v>13</v>
      </c>
    </row>
    <row r="222" customFormat="false" ht="13.8" hidden="true" customHeight="false" outlineLevel="0" collapsed="false">
      <c r="A222" s="6" t="n">
        <v>43767</v>
      </c>
      <c r="B222" s="7" t="n">
        <v>0.247222222222222</v>
      </c>
      <c r="C222" s="8" t="n">
        <v>116464</v>
      </c>
      <c r="D222" s="8" t="s">
        <v>17</v>
      </c>
      <c r="E222" s="8" t="n">
        <v>4220</v>
      </c>
      <c r="F222" s="8" t="n">
        <v>3780</v>
      </c>
      <c r="G222" s="9" t="n">
        <v>440</v>
      </c>
      <c r="H222" s="8" t="s">
        <v>11</v>
      </c>
      <c r="I222" s="8" t="s">
        <v>16</v>
      </c>
      <c r="J222" s="1" t="s">
        <v>13</v>
      </c>
    </row>
    <row r="223" customFormat="false" ht="13.8" hidden="true" customHeight="false" outlineLevel="0" collapsed="false">
      <c r="A223" s="6" t="n">
        <v>43767</v>
      </c>
      <c r="B223" s="7" t="n">
        <v>0.248611111111111</v>
      </c>
      <c r="C223" s="8" t="n">
        <v>116465</v>
      </c>
      <c r="D223" s="8" t="s">
        <v>18</v>
      </c>
      <c r="E223" s="8" t="n">
        <v>22100</v>
      </c>
      <c r="F223" s="8" t="n">
        <v>15820</v>
      </c>
      <c r="G223" s="9" t="n">
        <v>6280</v>
      </c>
      <c r="H223" s="8" t="s">
        <v>11</v>
      </c>
      <c r="I223" s="8" t="s">
        <v>16</v>
      </c>
      <c r="J223" s="1" t="s">
        <v>13</v>
      </c>
    </row>
    <row r="224" customFormat="false" ht="13.8" hidden="true" customHeight="false" outlineLevel="0" collapsed="false">
      <c r="A224" s="6" t="n">
        <v>43767</v>
      </c>
      <c r="B224" s="7" t="n">
        <v>0.441666666666667</v>
      </c>
      <c r="C224" s="8" t="n">
        <v>116485</v>
      </c>
      <c r="D224" s="8" t="s">
        <v>20</v>
      </c>
      <c r="E224" s="8" t="n">
        <v>2760</v>
      </c>
      <c r="F224" s="8" t="n">
        <v>2480</v>
      </c>
      <c r="G224" s="9" t="n">
        <v>280</v>
      </c>
      <c r="H224" s="8" t="s">
        <v>11</v>
      </c>
      <c r="I224" s="8" t="s">
        <v>16</v>
      </c>
      <c r="J224" s="1" t="s">
        <v>13</v>
      </c>
    </row>
    <row r="225" customFormat="false" ht="13.8" hidden="true" customHeight="false" outlineLevel="0" collapsed="false">
      <c r="A225" s="6" t="n">
        <v>43767</v>
      </c>
      <c r="B225" s="7" t="n">
        <v>0.53125</v>
      </c>
      <c r="C225" s="8" t="n">
        <v>116491</v>
      </c>
      <c r="D225" s="8" t="s">
        <v>23</v>
      </c>
      <c r="E225" s="8" t="n">
        <v>3180</v>
      </c>
      <c r="F225" s="8" t="n">
        <v>2700</v>
      </c>
      <c r="G225" s="9" t="n">
        <v>480</v>
      </c>
      <c r="H225" s="8" t="s">
        <v>11</v>
      </c>
      <c r="I225" s="8" t="s">
        <v>24</v>
      </c>
      <c r="J225" s="1" t="s">
        <v>13</v>
      </c>
    </row>
    <row r="226" customFormat="false" ht="13.8" hidden="true" customHeight="false" outlineLevel="0" collapsed="false">
      <c r="A226" s="6" t="n">
        <v>43767</v>
      </c>
      <c r="B226" s="7" t="n">
        <v>0.533333333333333</v>
      </c>
      <c r="C226" s="8" t="n">
        <v>116492</v>
      </c>
      <c r="D226" s="8" t="s">
        <v>19</v>
      </c>
      <c r="E226" s="8" t="n">
        <v>3360</v>
      </c>
      <c r="F226" s="8" t="n">
        <v>2900</v>
      </c>
      <c r="G226" s="9" t="n">
        <v>460</v>
      </c>
      <c r="H226" s="8" t="s">
        <v>11</v>
      </c>
      <c r="I226" s="8" t="s">
        <v>21</v>
      </c>
      <c r="J226" s="1" t="s">
        <v>13</v>
      </c>
    </row>
    <row r="227" customFormat="false" ht="13.8" hidden="true" customHeight="false" outlineLevel="0" collapsed="false">
      <c r="A227" s="6" t="n">
        <v>43768</v>
      </c>
      <c r="B227" s="7" t="n">
        <v>0.107638888888889</v>
      </c>
      <c r="C227" s="8" t="n">
        <v>116507</v>
      </c>
      <c r="D227" s="8" t="s">
        <v>15</v>
      </c>
      <c r="E227" s="8" t="n">
        <v>20440</v>
      </c>
      <c r="F227" s="8" t="n">
        <v>13060</v>
      </c>
      <c r="G227" s="9" t="n">
        <v>7380</v>
      </c>
      <c r="H227" s="8" t="s">
        <v>11</v>
      </c>
      <c r="I227" s="8" t="s">
        <v>16</v>
      </c>
      <c r="J227" s="1" t="s">
        <v>13</v>
      </c>
    </row>
    <row r="228" customFormat="false" ht="13.8" hidden="true" customHeight="false" outlineLevel="0" collapsed="false">
      <c r="A228" s="6" t="n">
        <v>43768</v>
      </c>
      <c r="B228" s="7" t="n">
        <v>0.139583333333333</v>
      </c>
      <c r="C228" s="8" t="n">
        <v>116509</v>
      </c>
      <c r="D228" s="8" t="s">
        <v>10</v>
      </c>
      <c r="E228" s="8" t="n">
        <v>18660</v>
      </c>
      <c r="F228" s="8" t="n">
        <v>15960</v>
      </c>
      <c r="G228" s="9" t="n">
        <v>2700</v>
      </c>
      <c r="H228" s="8" t="s">
        <v>11</v>
      </c>
      <c r="I228" s="8" t="s">
        <v>16</v>
      </c>
      <c r="J228" s="1" t="s">
        <v>13</v>
      </c>
    </row>
    <row r="229" customFormat="false" ht="13.8" hidden="true" customHeight="false" outlineLevel="0" collapsed="false">
      <c r="A229" s="6" t="n">
        <v>43768</v>
      </c>
      <c r="B229" s="7" t="n">
        <v>0.234722222222222</v>
      </c>
      <c r="C229" s="8" t="n">
        <v>116515</v>
      </c>
      <c r="D229" s="8" t="s">
        <v>18</v>
      </c>
      <c r="E229" s="8" t="n">
        <v>22420</v>
      </c>
      <c r="F229" s="8" t="n">
        <v>15880</v>
      </c>
      <c r="G229" s="9" t="n">
        <v>6540</v>
      </c>
      <c r="H229" s="8" t="s">
        <v>11</v>
      </c>
      <c r="I229" s="8" t="s">
        <v>16</v>
      </c>
      <c r="J229" s="1" t="s">
        <v>13</v>
      </c>
    </row>
    <row r="230" customFormat="false" ht="13.8" hidden="true" customHeight="false" outlineLevel="0" collapsed="false">
      <c r="A230" s="6" t="n">
        <v>43768</v>
      </c>
      <c r="B230" s="7" t="n">
        <v>0.251388888888889</v>
      </c>
      <c r="C230" s="8" t="n">
        <v>116516</v>
      </c>
      <c r="D230" s="8" t="s">
        <v>17</v>
      </c>
      <c r="E230" s="8" t="n">
        <v>4080</v>
      </c>
      <c r="F230" s="8" t="n">
        <v>3780</v>
      </c>
      <c r="G230" s="9" t="n">
        <v>300</v>
      </c>
      <c r="H230" s="8" t="s">
        <v>11</v>
      </c>
      <c r="I230" s="8" t="s">
        <v>16</v>
      </c>
      <c r="J230" s="1" t="s">
        <v>13</v>
      </c>
    </row>
    <row r="231" customFormat="false" ht="13.8" hidden="true" customHeight="false" outlineLevel="0" collapsed="false">
      <c r="A231" s="6" t="n">
        <v>43768</v>
      </c>
      <c r="B231" s="7" t="n">
        <v>0.326388888888889</v>
      </c>
      <c r="C231" s="8" t="n">
        <v>116524</v>
      </c>
      <c r="D231" s="8" t="s">
        <v>20</v>
      </c>
      <c r="E231" s="8" t="n">
        <v>2520</v>
      </c>
      <c r="F231" s="8" t="n">
        <v>2400</v>
      </c>
      <c r="G231" s="9" t="n">
        <v>120</v>
      </c>
      <c r="H231" s="8" t="s">
        <v>11</v>
      </c>
      <c r="I231" s="8" t="s">
        <v>24</v>
      </c>
      <c r="J231" s="1" t="s">
        <v>13</v>
      </c>
    </row>
    <row r="232" customFormat="false" ht="13.8" hidden="true" customHeight="false" outlineLevel="0" collapsed="false">
      <c r="A232" s="6" t="n">
        <v>43768</v>
      </c>
      <c r="B232" s="7" t="n">
        <v>0.369444444444444</v>
      </c>
      <c r="C232" s="8" t="n">
        <v>116528</v>
      </c>
      <c r="D232" s="8" t="s">
        <v>19</v>
      </c>
      <c r="E232" s="8" t="n">
        <v>3820</v>
      </c>
      <c r="F232" s="8" t="n">
        <v>2960</v>
      </c>
      <c r="G232" s="9" t="n">
        <v>860</v>
      </c>
      <c r="H232" s="8" t="s">
        <v>11</v>
      </c>
      <c r="I232" s="8" t="s">
        <v>21</v>
      </c>
      <c r="J232" s="1" t="s">
        <v>13</v>
      </c>
    </row>
    <row r="233" customFormat="false" ht="13.8" hidden="true" customHeight="false" outlineLevel="0" collapsed="false">
      <c r="A233" s="6" t="n">
        <v>43768</v>
      </c>
      <c r="B233" s="7" t="n">
        <v>0.4625</v>
      </c>
      <c r="C233" s="8" t="n">
        <v>116536</v>
      </c>
      <c r="D233" s="8" t="s">
        <v>20</v>
      </c>
      <c r="E233" s="8" t="n">
        <v>2620</v>
      </c>
      <c r="F233" s="8" t="n">
        <v>2400</v>
      </c>
      <c r="G233" s="9" t="n">
        <v>220</v>
      </c>
      <c r="H233" s="8" t="s">
        <v>11</v>
      </c>
      <c r="I233" s="8" t="s">
        <v>16</v>
      </c>
      <c r="J233" s="1" t="s">
        <v>13</v>
      </c>
    </row>
    <row r="234" customFormat="false" ht="13.8" hidden="true" customHeight="false" outlineLevel="0" collapsed="false">
      <c r="A234" s="6" t="n">
        <v>43768</v>
      </c>
      <c r="B234" s="7" t="n">
        <v>0.470138888888889</v>
      </c>
      <c r="C234" s="8" t="n">
        <v>116539</v>
      </c>
      <c r="D234" s="8" t="s">
        <v>19</v>
      </c>
      <c r="E234" s="8" t="n">
        <v>3700</v>
      </c>
      <c r="F234" s="8" t="n">
        <v>2960</v>
      </c>
      <c r="G234" s="9" t="n">
        <v>740</v>
      </c>
      <c r="H234" s="8" t="s">
        <v>11</v>
      </c>
      <c r="I234" s="8" t="s">
        <v>21</v>
      </c>
      <c r="J234" s="1" t="s">
        <v>13</v>
      </c>
    </row>
    <row r="235" customFormat="false" ht="13.8" hidden="true" customHeight="false" outlineLevel="0" collapsed="false">
      <c r="A235" s="6" t="n">
        <v>43768</v>
      </c>
      <c r="B235" s="7" t="n">
        <v>0.533333333333333</v>
      </c>
      <c r="C235" s="8" t="n">
        <v>116547</v>
      </c>
      <c r="D235" s="8" t="s">
        <v>19</v>
      </c>
      <c r="E235" s="8" t="n">
        <v>3560</v>
      </c>
      <c r="F235" s="8" t="n">
        <v>2940</v>
      </c>
      <c r="G235" s="9" t="n">
        <v>620</v>
      </c>
      <c r="H235" s="8" t="s">
        <v>11</v>
      </c>
      <c r="I235" s="8" t="s">
        <v>21</v>
      </c>
      <c r="J235" s="1" t="s">
        <v>13</v>
      </c>
    </row>
    <row r="236" customFormat="false" ht="13.8" hidden="true" customHeight="false" outlineLevel="0" collapsed="false">
      <c r="A236" s="6" t="n">
        <v>43768</v>
      </c>
      <c r="B236" s="7" t="n">
        <v>0.451388888888889</v>
      </c>
      <c r="C236" s="10" t="s">
        <v>25</v>
      </c>
      <c r="D236" s="8" t="s">
        <v>10</v>
      </c>
      <c r="E236" s="8" t="n">
        <v>17960</v>
      </c>
      <c r="F236" s="8" t="n">
        <v>15760</v>
      </c>
      <c r="G236" s="9" t="n">
        <v>2200</v>
      </c>
      <c r="H236" s="8" t="s">
        <v>11</v>
      </c>
      <c r="I236" s="8" t="s">
        <v>26</v>
      </c>
      <c r="J236" s="1" t="s">
        <v>13</v>
      </c>
    </row>
    <row r="237" customFormat="false" ht="13.8" hidden="true" customHeight="false" outlineLevel="0" collapsed="false">
      <c r="A237" s="6" t="n">
        <v>43769</v>
      </c>
      <c r="B237" s="7" t="n">
        <v>0.457638888888889</v>
      </c>
      <c r="C237" s="8" t="n">
        <v>16593</v>
      </c>
      <c r="D237" s="8" t="s">
        <v>20</v>
      </c>
      <c r="E237" s="8" t="n">
        <v>2620</v>
      </c>
      <c r="F237" s="8" t="n">
        <v>2380</v>
      </c>
      <c r="G237" s="9" t="n">
        <v>240</v>
      </c>
      <c r="H237" s="8" t="s">
        <v>11</v>
      </c>
      <c r="I237" s="8" t="s">
        <v>16</v>
      </c>
      <c r="J237" s="1" t="s">
        <v>13</v>
      </c>
    </row>
    <row r="238" customFormat="false" ht="13.8" hidden="true" customHeight="false" outlineLevel="0" collapsed="false">
      <c r="A238" s="6" t="n">
        <v>43769</v>
      </c>
      <c r="B238" s="7" t="n">
        <v>0.454166666666667</v>
      </c>
      <c r="C238" s="8" t="n">
        <v>93973</v>
      </c>
      <c r="D238" s="8" t="s">
        <v>10</v>
      </c>
      <c r="E238" s="8" t="n">
        <v>18720</v>
      </c>
      <c r="F238" s="8" t="n">
        <v>16040</v>
      </c>
      <c r="G238" s="9" t="n">
        <v>2680</v>
      </c>
      <c r="H238" s="8" t="s">
        <v>11</v>
      </c>
      <c r="I238" s="8" t="s">
        <v>12</v>
      </c>
      <c r="J238" s="1" t="s">
        <v>13</v>
      </c>
    </row>
    <row r="239" customFormat="false" ht="13.8" hidden="true" customHeight="false" outlineLevel="0" collapsed="false">
      <c r="A239" s="6" t="n">
        <v>43769</v>
      </c>
      <c r="B239" s="7" t="n">
        <v>0.10625</v>
      </c>
      <c r="C239" s="8" t="n">
        <v>116562</v>
      </c>
      <c r="D239" s="8" t="s">
        <v>15</v>
      </c>
      <c r="E239" s="8" t="n">
        <v>19480</v>
      </c>
      <c r="F239" s="8" t="n">
        <v>13060</v>
      </c>
      <c r="G239" s="9" t="n">
        <v>6420</v>
      </c>
      <c r="H239" s="8" t="s">
        <v>11</v>
      </c>
      <c r="I239" s="8" t="s">
        <v>16</v>
      </c>
      <c r="J239" s="1" t="s">
        <v>13</v>
      </c>
    </row>
    <row r="240" customFormat="false" ht="13.8" hidden="true" customHeight="false" outlineLevel="0" collapsed="false">
      <c r="A240" s="6" t="n">
        <v>43769</v>
      </c>
      <c r="B240" s="7" t="n">
        <v>0.258333333333333</v>
      </c>
      <c r="C240" s="8" t="n">
        <v>116570</v>
      </c>
      <c r="D240" s="8" t="s">
        <v>17</v>
      </c>
      <c r="E240" s="8" t="n">
        <v>4320</v>
      </c>
      <c r="F240" s="8" t="n">
        <v>3800</v>
      </c>
      <c r="G240" s="9" t="n">
        <v>520</v>
      </c>
      <c r="H240" s="8" t="s">
        <v>11</v>
      </c>
      <c r="I240" s="8" t="s">
        <v>16</v>
      </c>
      <c r="J240" s="1" t="s">
        <v>13</v>
      </c>
    </row>
    <row r="241" customFormat="false" ht="13.8" hidden="true" customHeight="false" outlineLevel="0" collapsed="false">
      <c r="A241" s="6" t="n">
        <v>43769</v>
      </c>
      <c r="B241" s="7" t="n">
        <v>0.261111111111111</v>
      </c>
      <c r="C241" s="8" t="n">
        <v>116571</v>
      </c>
      <c r="D241" s="8" t="s">
        <v>18</v>
      </c>
      <c r="E241" s="8" t="n">
        <v>23880</v>
      </c>
      <c r="F241" s="8" t="n">
        <v>15800</v>
      </c>
      <c r="G241" s="9" t="n">
        <v>8080</v>
      </c>
      <c r="H241" s="8" t="s">
        <v>11</v>
      </c>
      <c r="I241" s="8" t="s">
        <v>16</v>
      </c>
      <c r="J241" s="1" t="s">
        <v>13</v>
      </c>
    </row>
    <row r="242" customFormat="false" ht="13.8" hidden="true" customHeight="false" outlineLevel="0" collapsed="false">
      <c r="A242" s="6" t="n">
        <v>43769</v>
      </c>
      <c r="B242" s="7" t="n">
        <v>0.510416666666667</v>
      </c>
      <c r="C242" s="8" t="n">
        <v>116600</v>
      </c>
      <c r="D242" s="8" t="s">
        <v>19</v>
      </c>
      <c r="E242" s="8" t="n">
        <v>3380</v>
      </c>
      <c r="F242" s="8" t="n">
        <v>2760</v>
      </c>
      <c r="G242" s="9" t="n">
        <v>620</v>
      </c>
      <c r="H242" s="8" t="s">
        <v>11</v>
      </c>
      <c r="I242" s="8" t="s">
        <v>21</v>
      </c>
      <c r="J242" s="1" t="s">
        <v>13</v>
      </c>
    </row>
    <row r="243" customFormat="false" ht="13.8" hidden="true" customHeight="false" outlineLevel="0" collapsed="false">
      <c r="A243" s="6" t="n">
        <v>43769</v>
      </c>
      <c r="B243" s="7" t="n">
        <v>0.546527777777778</v>
      </c>
      <c r="C243" s="8" t="n">
        <v>116603</v>
      </c>
      <c r="D243" s="8" t="s">
        <v>23</v>
      </c>
      <c r="E243" s="8" t="n">
        <v>3120</v>
      </c>
      <c r="F243" s="8" t="n">
        <v>2680</v>
      </c>
      <c r="G243" s="9" t="n">
        <v>440</v>
      </c>
      <c r="H243" s="8" t="s">
        <v>11</v>
      </c>
      <c r="I243" s="8" t="s">
        <v>24</v>
      </c>
      <c r="J243" s="1" t="s">
        <v>13</v>
      </c>
    </row>
    <row r="244" customFormat="false" ht="13.8" hidden="true" customHeight="false" outlineLevel="0" collapsed="false">
      <c r="A244" s="6" t="n">
        <v>43753</v>
      </c>
      <c r="B244" s="7" t="n">
        <v>0.0611111111111111</v>
      </c>
      <c r="C244" s="8" t="n">
        <v>115834</v>
      </c>
      <c r="D244" s="8" t="s">
        <v>15</v>
      </c>
      <c r="E244" s="8" t="n">
        <v>21080</v>
      </c>
      <c r="F244" s="8" t="n">
        <v>12980</v>
      </c>
      <c r="G244" s="8" t="n">
        <v>8100</v>
      </c>
      <c r="H244" s="8" t="s">
        <v>11</v>
      </c>
      <c r="I244" s="8" t="s">
        <v>16</v>
      </c>
      <c r="J244" s="1" t="s">
        <v>13</v>
      </c>
    </row>
  </sheetData>
  <autoFilter ref="A1:J244">
    <filterColumn colId="3">
      <customFilters and="true">
        <customFilter operator="equal" val="5313GBZ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3" t="s">
        <v>0</v>
      </c>
      <c r="B1" s="14" t="s">
        <v>29</v>
      </c>
    </row>
    <row r="3" customFormat="false" ht="12.8" hidden="false" customHeight="false" outlineLevel="0" collapsed="false">
      <c r="A3" s="15" t="s">
        <v>30</v>
      </c>
      <c r="B3" s="16" t="s">
        <v>8</v>
      </c>
      <c r="C3" s="17"/>
      <c r="D3" s="17"/>
      <c r="E3" s="17"/>
      <c r="F3" s="17"/>
      <c r="G3" s="18"/>
    </row>
    <row r="4" customFormat="false" ht="12.8" hidden="false" customHeight="false" outlineLevel="0" collapsed="false">
      <c r="A4" s="19" t="s">
        <v>3</v>
      </c>
      <c r="B4" s="20" t="s">
        <v>24</v>
      </c>
      <c r="C4" s="21" t="s">
        <v>16</v>
      </c>
      <c r="D4" s="21" t="s">
        <v>26</v>
      </c>
      <c r="E4" s="21" t="s">
        <v>12</v>
      </c>
      <c r="F4" s="21" t="s">
        <v>21</v>
      </c>
      <c r="G4" s="22" t="s">
        <v>31</v>
      </c>
    </row>
    <row r="5" customFormat="false" ht="12.8" hidden="false" customHeight="false" outlineLevel="0" collapsed="false">
      <c r="A5" s="23" t="s">
        <v>14</v>
      </c>
      <c r="B5" s="24"/>
      <c r="C5" s="25" t="n">
        <v>2100</v>
      </c>
      <c r="D5" s="25"/>
      <c r="E5" s="25" t="n">
        <v>2120</v>
      </c>
      <c r="F5" s="26" t="n">
        <v>6420</v>
      </c>
      <c r="G5" s="27" t="n">
        <v>10640</v>
      </c>
    </row>
    <row r="6" customFormat="false" ht="12.8" hidden="false" customHeight="false" outlineLevel="0" collapsed="false">
      <c r="A6" s="28" t="s">
        <v>23</v>
      </c>
      <c r="B6" s="29" t="n">
        <v>4380</v>
      </c>
      <c r="C6" s="30" t="n">
        <v>1100</v>
      </c>
      <c r="D6" s="30"/>
      <c r="E6" s="30"/>
      <c r="F6" s="31"/>
      <c r="G6" s="32" t="n">
        <v>5480</v>
      </c>
    </row>
    <row r="7" customFormat="false" ht="12.8" hidden="false" customHeight="false" outlineLevel="0" collapsed="false">
      <c r="A7" s="28" t="s">
        <v>18</v>
      </c>
      <c r="B7" s="29"/>
      <c r="C7" s="30" t="n">
        <v>225160</v>
      </c>
      <c r="D7" s="30"/>
      <c r="E7" s="30"/>
      <c r="F7" s="31"/>
      <c r="G7" s="32" t="n">
        <v>225160</v>
      </c>
    </row>
    <row r="8" customFormat="false" ht="12.8" hidden="false" customHeight="false" outlineLevel="0" collapsed="false">
      <c r="A8" s="28" t="s">
        <v>10</v>
      </c>
      <c r="B8" s="29"/>
      <c r="C8" s="30" t="n">
        <v>99380</v>
      </c>
      <c r="D8" s="30" t="n">
        <v>7100</v>
      </c>
      <c r="E8" s="30" t="n">
        <v>11040</v>
      </c>
      <c r="F8" s="31"/>
      <c r="G8" s="32" t="n">
        <v>117520</v>
      </c>
    </row>
    <row r="9" customFormat="false" ht="12.8" hidden="false" customHeight="false" outlineLevel="0" collapsed="false">
      <c r="A9" s="28" t="s">
        <v>20</v>
      </c>
      <c r="B9" s="29" t="n">
        <v>120</v>
      </c>
      <c r="C9" s="30" t="n">
        <v>7240</v>
      </c>
      <c r="D9" s="30"/>
      <c r="E9" s="30"/>
      <c r="F9" s="31" t="n">
        <v>460</v>
      </c>
      <c r="G9" s="32" t="n">
        <v>7820</v>
      </c>
    </row>
    <row r="10" customFormat="false" ht="12.8" hidden="false" customHeight="false" outlineLevel="0" collapsed="false">
      <c r="A10" s="28" t="s">
        <v>27</v>
      </c>
      <c r="B10" s="29"/>
      <c r="C10" s="30" t="n">
        <v>4980</v>
      </c>
      <c r="D10" s="30"/>
      <c r="E10" s="30"/>
      <c r="F10" s="31"/>
      <c r="G10" s="32" t="n">
        <v>4980</v>
      </c>
    </row>
    <row r="11" customFormat="false" ht="12.8" hidden="false" customHeight="false" outlineLevel="0" collapsed="false">
      <c r="A11" s="28" t="s">
        <v>19</v>
      </c>
      <c r="B11" s="29" t="n">
        <v>820</v>
      </c>
      <c r="C11" s="30" t="n">
        <v>800</v>
      </c>
      <c r="D11" s="30"/>
      <c r="E11" s="30"/>
      <c r="F11" s="31" t="n">
        <v>21300</v>
      </c>
      <c r="G11" s="32" t="n">
        <v>22920</v>
      </c>
    </row>
    <row r="12" customFormat="false" ht="12.8" hidden="false" customHeight="false" outlineLevel="0" collapsed="false">
      <c r="A12" s="28" t="s">
        <v>15</v>
      </c>
      <c r="B12" s="29"/>
      <c r="C12" s="30" t="n">
        <v>346560</v>
      </c>
      <c r="D12" s="30"/>
      <c r="E12" s="30"/>
      <c r="F12" s="31"/>
      <c r="G12" s="32" t="n">
        <v>346560</v>
      </c>
    </row>
    <row r="13" customFormat="false" ht="12.8" hidden="false" customHeight="false" outlineLevel="0" collapsed="false">
      <c r="A13" s="28" t="s">
        <v>17</v>
      </c>
      <c r="B13" s="29"/>
      <c r="C13" s="30" t="n">
        <v>19140</v>
      </c>
      <c r="D13" s="30"/>
      <c r="E13" s="30"/>
      <c r="F13" s="31"/>
      <c r="G13" s="32" t="n">
        <v>19140</v>
      </c>
    </row>
    <row r="14" customFormat="false" ht="12.8" hidden="false" customHeight="false" outlineLevel="0" collapsed="false">
      <c r="A14" s="28" t="s">
        <v>22</v>
      </c>
      <c r="B14" s="33"/>
      <c r="C14" s="34"/>
      <c r="D14" s="34"/>
      <c r="E14" s="34" t="n">
        <v>260</v>
      </c>
      <c r="F14" s="35" t="n">
        <v>2340</v>
      </c>
      <c r="G14" s="36" t="n">
        <v>2600</v>
      </c>
    </row>
    <row r="15" customFormat="false" ht="12.8" hidden="false" customHeight="false" outlineLevel="0" collapsed="false">
      <c r="A15" s="37" t="s">
        <v>31</v>
      </c>
      <c r="B15" s="38" t="n">
        <v>5320</v>
      </c>
      <c r="C15" s="39" t="n">
        <v>706460</v>
      </c>
      <c r="D15" s="39" t="n">
        <v>7100</v>
      </c>
      <c r="E15" s="39" t="n">
        <v>13420</v>
      </c>
      <c r="F15" s="40" t="n">
        <v>30520</v>
      </c>
      <c r="G15" s="41" t="n">
        <v>762820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36" activeCellId="0" sqref="L36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3" t="s">
        <v>8</v>
      </c>
      <c r="B1" s="14" t="s">
        <v>29</v>
      </c>
    </row>
    <row r="3" customFormat="false" ht="12.8" hidden="false" customHeight="false" outlineLevel="0" collapsed="false">
      <c r="A3" s="15" t="s">
        <v>30</v>
      </c>
      <c r="B3" s="16" t="s">
        <v>3</v>
      </c>
      <c r="C3" s="17"/>
      <c r="D3" s="17"/>
      <c r="E3" s="17"/>
      <c r="F3" s="17"/>
      <c r="G3" s="17"/>
      <c r="H3" s="17"/>
      <c r="I3" s="17"/>
      <c r="J3" s="17"/>
      <c r="K3" s="17"/>
      <c r="L3" s="18"/>
    </row>
    <row r="4" customFormat="false" ht="12.8" hidden="false" customHeight="false" outlineLevel="0" collapsed="false">
      <c r="A4" s="19" t="s">
        <v>0</v>
      </c>
      <c r="B4" s="20" t="s">
        <v>14</v>
      </c>
      <c r="C4" s="21" t="s">
        <v>23</v>
      </c>
      <c r="D4" s="21" t="s">
        <v>18</v>
      </c>
      <c r="E4" s="21" t="s">
        <v>10</v>
      </c>
      <c r="F4" s="21" t="s">
        <v>20</v>
      </c>
      <c r="G4" s="21" t="s">
        <v>27</v>
      </c>
      <c r="H4" s="21" t="s">
        <v>19</v>
      </c>
      <c r="I4" s="21" t="s">
        <v>15</v>
      </c>
      <c r="J4" s="21" t="s">
        <v>17</v>
      </c>
      <c r="K4" s="21" t="s">
        <v>22</v>
      </c>
      <c r="L4" s="22" t="s">
        <v>31</v>
      </c>
    </row>
    <row r="5" customFormat="false" ht="12.8" hidden="false" customHeight="false" outlineLevel="0" collapsed="false">
      <c r="A5" s="42" t="n">
        <v>43739</v>
      </c>
      <c r="B5" s="24" t="n">
        <v>2120</v>
      </c>
      <c r="C5" s="25"/>
      <c r="D5" s="25" t="n">
        <v>9700</v>
      </c>
      <c r="E5" s="25" t="n">
        <v>14360</v>
      </c>
      <c r="F5" s="25" t="n">
        <v>120</v>
      </c>
      <c r="G5" s="25"/>
      <c r="H5" s="25" t="n">
        <v>1180</v>
      </c>
      <c r="I5" s="25" t="n">
        <v>14380</v>
      </c>
      <c r="J5" s="25" t="n">
        <v>720</v>
      </c>
      <c r="K5" s="26"/>
      <c r="L5" s="27" t="n">
        <v>42580</v>
      </c>
    </row>
    <row r="6" customFormat="false" ht="12.8" hidden="false" customHeight="false" outlineLevel="0" collapsed="false">
      <c r="A6" s="43" t="n">
        <v>43740</v>
      </c>
      <c r="B6" s="29"/>
      <c r="C6" s="30" t="n">
        <v>400</v>
      </c>
      <c r="D6" s="30" t="n">
        <v>6960</v>
      </c>
      <c r="E6" s="30" t="n">
        <v>4300</v>
      </c>
      <c r="F6" s="30" t="n">
        <v>700</v>
      </c>
      <c r="G6" s="30"/>
      <c r="H6" s="30" t="n">
        <v>1260</v>
      </c>
      <c r="I6" s="30" t="n">
        <v>14340</v>
      </c>
      <c r="J6" s="30" t="n">
        <v>720</v>
      </c>
      <c r="K6" s="31" t="n">
        <v>1180</v>
      </c>
      <c r="L6" s="32" t="n">
        <v>29860</v>
      </c>
    </row>
    <row r="7" customFormat="false" ht="12.8" hidden="false" customHeight="false" outlineLevel="0" collapsed="false">
      <c r="A7" s="43" t="n">
        <v>43741</v>
      </c>
      <c r="B7" s="29"/>
      <c r="C7" s="30"/>
      <c r="D7" s="30" t="n">
        <v>10080</v>
      </c>
      <c r="E7" s="30"/>
      <c r="F7" s="30" t="n">
        <v>320</v>
      </c>
      <c r="G7" s="30"/>
      <c r="H7" s="30" t="n">
        <v>400</v>
      </c>
      <c r="I7" s="30" t="n">
        <v>13440</v>
      </c>
      <c r="J7" s="30" t="n">
        <v>560</v>
      </c>
      <c r="K7" s="31"/>
      <c r="L7" s="32" t="n">
        <v>24800</v>
      </c>
    </row>
    <row r="8" customFormat="false" ht="12.8" hidden="false" customHeight="false" outlineLevel="0" collapsed="false">
      <c r="A8" s="43" t="n">
        <v>43742</v>
      </c>
      <c r="B8" s="29"/>
      <c r="C8" s="30" t="n">
        <v>580</v>
      </c>
      <c r="D8" s="30"/>
      <c r="E8" s="30" t="n">
        <v>10500</v>
      </c>
      <c r="F8" s="30" t="n">
        <v>320</v>
      </c>
      <c r="G8" s="30"/>
      <c r="H8" s="30" t="n">
        <v>1060</v>
      </c>
      <c r="I8" s="30" t="n">
        <v>13960</v>
      </c>
      <c r="J8" s="30" t="n">
        <v>660</v>
      </c>
      <c r="K8" s="31"/>
      <c r="L8" s="32" t="n">
        <v>27080</v>
      </c>
    </row>
    <row r="9" customFormat="false" ht="12.8" hidden="false" customHeight="false" outlineLevel="0" collapsed="false">
      <c r="A9" s="43" t="n">
        <v>43743</v>
      </c>
      <c r="B9" s="29"/>
      <c r="C9" s="30"/>
      <c r="D9" s="30" t="n">
        <v>8700</v>
      </c>
      <c r="E9" s="30" t="n">
        <v>3060</v>
      </c>
      <c r="F9" s="30" t="n">
        <v>340</v>
      </c>
      <c r="G9" s="30"/>
      <c r="H9" s="30" t="n">
        <v>640</v>
      </c>
      <c r="I9" s="30" t="n">
        <v>13900</v>
      </c>
      <c r="J9" s="30" t="n">
        <v>780</v>
      </c>
      <c r="K9" s="31"/>
      <c r="L9" s="32" t="n">
        <v>27420</v>
      </c>
    </row>
    <row r="10" customFormat="false" ht="12.8" hidden="false" customHeight="false" outlineLevel="0" collapsed="false">
      <c r="A10" s="43" t="n">
        <v>43744</v>
      </c>
      <c r="B10" s="29"/>
      <c r="C10" s="30"/>
      <c r="D10" s="30" t="n">
        <v>9880</v>
      </c>
      <c r="E10" s="30"/>
      <c r="F10" s="30" t="n">
        <v>320</v>
      </c>
      <c r="G10" s="30"/>
      <c r="H10" s="30"/>
      <c r="I10" s="30" t="n">
        <v>13840</v>
      </c>
      <c r="J10" s="30" t="n">
        <v>1120</v>
      </c>
      <c r="K10" s="31"/>
      <c r="L10" s="32" t="n">
        <v>25160</v>
      </c>
    </row>
    <row r="11" customFormat="false" ht="12.8" hidden="false" customHeight="false" outlineLevel="0" collapsed="false">
      <c r="A11" s="43" t="n">
        <v>43745</v>
      </c>
      <c r="B11" s="29"/>
      <c r="C11" s="30"/>
      <c r="D11" s="30" t="n">
        <v>7120</v>
      </c>
      <c r="E11" s="30" t="n">
        <v>6460</v>
      </c>
      <c r="F11" s="30" t="n">
        <v>220</v>
      </c>
      <c r="G11" s="30"/>
      <c r="H11" s="30" t="n">
        <v>700</v>
      </c>
      <c r="I11" s="30" t="n">
        <v>12800</v>
      </c>
      <c r="J11" s="30" t="n">
        <v>880</v>
      </c>
      <c r="K11" s="31"/>
      <c r="L11" s="32" t="n">
        <v>28180</v>
      </c>
    </row>
    <row r="12" customFormat="false" ht="12.8" hidden="false" customHeight="false" outlineLevel="0" collapsed="false">
      <c r="A12" s="43" t="n">
        <v>43746</v>
      </c>
      <c r="B12" s="29"/>
      <c r="C12" s="30"/>
      <c r="D12" s="30" t="n">
        <v>6720</v>
      </c>
      <c r="E12" s="30" t="n">
        <v>5860</v>
      </c>
      <c r="F12" s="30" t="n">
        <v>240</v>
      </c>
      <c r="G12" s="30"/>
      <c r="H12" s="30" t="n">
        <v>860</v>
      </c>
      <c r="I12" s="30" t="n">
        <v>12700</v>
      </c>
      <c r="J12" s="30" t="n">
        <v>660</v>
      </c>
      <c r="K12" s="31" t="n">
        <v>260</v>
      </c>
      <c r="L12" s="32" t="n">
        <v>27300</v>
      </c>
    </row>
    <row r="13" customFormat="false" ht="12.8" hidden="false" customHeight="false" outlineLevel="0" collapsed="false">
      <c r="A13" s="43" t="n">
        <v>43747</v>
      </c>
      <c r="B13" s="29"/>
      <c r="C13" s="30"/>
      <c r="D13" s="30" t="n">
        <v>7280</v>
      </c>
      <c r="E13" s="30" t="n">
        <v>4340</v>
      </c>
      <c r="F13" s="30" t="n">
        <v>120</v>
      </c>
      <c r="G13" s="30"/>
      <c r="H13" s="30" t="n">
        <v>1660</v>
      </c>
      <c r="I13" s="30" t="n">
        <v>11720</v>
      </c>
      <c r="J13" s="30" t="n">
        <v>600</v>
      </c>
      <c r="K13" s="31"/>
      <c r="L13" s="32" t="n">
        <v>25720</v>
      </c>
    </row>
    <row r="14" customFormat="false" ht="12.8" hidden="false" customHeight="false" outlineLevel="0" collapsed="false">
      <c r="A14" s="43" t="n">
        <v>43748</v>
      </c>
      <c r="B14" s="29"/>
      <c r="C14" s="30" t="n">
        <v>600</v>
      </c>
      <c r="D14" s="30" t="n">
        <v>9160</v>
      </c>
      <c r="E14" s="30"/>
      <c r="F14" s="30" t="n">
        <v>240</v>
      </c>
      <c r="G14" s="30"/>
      <c r="H14" s="30" t="n">
        <v>1060</v>
      </c>
      <c r="I14" s="30" t="n">
        <v>11400</v>
      </c>
      <c r="J14" s="30" t="n">
        <v>700</v>
      </c>
      <c r="K14" s="31"/>
      <c r="L14" s="32" t="n">
        <v>23160</v>
      </c>
    </row>
    <row r="15" customFormat="false" ht="12.8" hidden="false" customHeight="false" outlineLevel="0" collapsed="false">
      <c r="A15" s="43" t="n">
        <v>43749</v>
      </c>
      <c r="B15" s="29" t="n">
        <v>2100</v>
      </c>
      <c r="C15" s="30"/>
      <c r="D15" s="30" t="n">
        <v>6540</v>
      </c>
      <c r="E15" s="30" t="n">
        <v>4280</v>
      </c>
      <c r="F15" s="30" t="n">
        <v>240</v>
      </c>
      <c r="G15" s="30"/>
      <c r="H15" s="30" t="n">
        <v>500</v>
      </c>
      <c r="I15" s="30" t="n">
        <v>11520</v>
      </c>
      <c r="J15" s="30" t="n">
        <v>380</v>
      </c>
      <c r="K15" s="31"/>
      <c r="L15" s="32" t="n">
        <v>25560</v>
      </c>
    </row>
    <row r="16" customFormat="false" ht="12.8" hidden="false" customHeight="false" outlineLevel="0" collapsed="false">
      <c r="A16" s="43" t="n">
        <v>43750</v>
      </c>
      <c r="B16" s="29"/>
      <c r="C16" s="30"/>
      <c r="D16" s="30" t="n">
        <v>6920</v>
      </c>
      <c r="E16" s="30" t="n">
        <v>4660</v>
      </c>
      <c r="F16" s="30" t="n">
        <v>260</v>
      </c>
      <c r="G16" s="30" t="n">
        <v>4980</v>
      </c>
      <c r="H16" s="30" t="n">
        <v>1260</v>
      </c>
      <c r="I16" s="30" t="n">
        <v>12120</v>
      </c>
      <c r="J16" s="30" t="n">
        <v>1060</v>
      </c>
      <c r="K16" s="31"/>
      <c r="L16" s="32" t="n">
        <v>31260</v>
      </c>
    </row>
    <row r="17" customFormat="false" ht="12.8" hidden="false" customHeight="false" outlineLevel="0" collapsed="false">
      <c r="A17" s="43" t="n">
        <v>43751</v>
      </c>
      <c r="B17" s="29"/>
      <c r="C17" s="30"/>
      <c r="D17" s="30" t="n">
        <v>10240</v>
      </c>
      <c r="E17" s="30"/>
      <c r="F17" s="30" t="n">
        <v>280</v>
      </c>
      <c r="G17" s="30"/>
      <c r="H17" s="30"/>
      <c r="I17" s="30" t="n">
        <v>14960</v>
      </c>
      <c r="J17" s="30" t="n">
        <v>1160</v>
      </c>
      <c r="K17" s="31"/>
      <c r="L17" s="32" t="n">
        <v>26640</v>
      </c>
    </row>
    <row r="18" customFormat="false" ht="12.8" hidden="false" customHeight="false" outlineLevel="0" collapsed="false">
      <c r="A18" s="43" t="n">
        <v>43752</v>
      </c>
      <c r="B18" s="29" t="n">
        <v>4040</v>
      </c>
      <c r="C18" s="30"/>
      <c r="D18" s="30" t="n">
        <v>7920</v>
      </c>
      <c r="E18" s="30" t="n">
        <v>6060</v>
      </c>
      <c r="F18" s="30" t="n">
        <v>260</v>
      </c>
      <c r="G18" s="30"/>
      <c r="H18" s="30"/>
      <c r="I18" s="30" t="n">
        <v>13400</v>
      </c>
      <c r="J18" s="30" t="n">
        <v>860</v>
      </c>
      <c r="K18" s="31"/>
      <c r="L18" s="32" t="n">
        <v>32540</v>
      </c>
    </row>
    <row r="19" customFormat="false" ht="12.8" hidden="false" customHeight="false" outlineLevel="0" collapsed="false">
      <c r="A19" s="43" t="n">
        <v>43753</v>
      </c>
      <c r="B19" s="29"/>
      <c r="C19" s="30" t="n">
        <v>300</v>
      </c>
      <c r="D19" s="30" t="n">
        <v>3540</v>
      </c>
      <c r="E19" s="30" t="n">
        <v>7720</v>
      </c>
      <c r="F19" s="30" t="n">
        <v>220</v>
      </c>
      <c r="G19" s="30"/>
      <c r="H19" s="30" t="n">
        <v>740</v>
      </c>
      <c r="I19" s="30" t="n">
        <v>11160</v>
      </c>
      <c r="J19" s="30" t="n">
        <v>480</v>
      </c>
      <c r="K19" s="31" t="n">
        <v>260</v>
      </c>
      <c r="L19" s="32" t="n">
        <v>24420</v>
      </c>
    </row>
    <row r="20" customFormat="false" ht="12.8" hidden="false" customHeight="false" outlineLevel="0" collapsed="false">
      <c r="A20" s="43" t="n">
        <v>43754</v>
      </c>
      <c r="B20" s="29"/>
      <c r="C20" s="30" t="n">
        <v>300</v>
      </c>
      <c r="D20" s="30" t="n">
        <v>6420</v>
      </c>
      <c r="E20" s="30" t="n">
        <v>3520</v>
      </c>
      <c r="F20" s="30" t="n">
        <v>200</v>
      </c>
      <c r="G20" s="30"/>
      <c r="H20" s="30" t="n">
        <v>1040</v>
      </c>
      <c r="I20" s="30" t="n">
        <v>10600</v>
      </c>
      <c r="J20" s="30" t="n">
        <v>520</v>
      </c>
      <c r="K20" s="31"/>
      <c r="L20" s="32" t="n">
        <v>22600</v>
      </c>
    </row>
    <row r="21" customFormat="false" ht="12.8" hidden="false" customHeight="false" outlineLevel="0" collapsed="false">
      <c r="A21" s="43" t="n">
        <v>43755</v>
      </c>
      <c r="B21" s="29"/>
      <c r="C21" s="30"/>
      <c r="D21" s="30" t="n">
        <v>9120</v>
      </c>
      <c r="E21" s="30"/>
      <c r="F21" s="30" t="n">
        <v>300</v>
      </c>
      <c r="G21" s="30"/>
      <c r="H21" s="30" t="n">
        <v>860</v>
      </c>
      <c r="I21" s="30" t="n">
        <v>9420</v>
      </c>
      <c r="J21" s="30" t="n">
        <v>500</v>
      </c>
      <c r="K21" s="31"/>
      <c r="L21" s="32" t="n">
        <v>20200</v>
      </c>
    </row>
    <row r="22" customFormat="false" ht="12.8" hidden="false" customHeight="false" outlineLevel="0" collapsed="false">
      <c r="A22" s="43" t="n">
        <v>43756</v>
      </c>
      <c r="B22" s="29"/>
      <c r="C22" s="30" t="n">
        <v>280</v>
      </c>
      <c r="D22" s="30" t="n">
        <v>5860</v>
      </c>
      <c r="E22" s="30" t="n">
        <v>3780</v>
      </c>
      <c r="F22" s="30" t="n">
        <v>200</v>
      </c>
      <c r="G22" s="30"/>
      <c r="H22" s="30" t="n">
        <v>840</v>
      </c>
      <c r="I22" s="30" t="n">
        <v>10420</v>
      </c>
      <c r="J22" s="30" t="n">
        <v>500</v>
      </c>
      <c r="K22" s="31"/>
      <c r="L22" s="32" t="n">
        <v>21880</v>
      </c>
    </row>
    <row r="23" customFormat="false" ht="12.8" hidden="false" customHeight="false" outlineLevel="0" collapsed="false">
      <c r="A23" s="43" t="n">
        <v>43757</v>
      </c>
      <c r="B23" s="29"/>
      <c r="C23" s="30"/>
      <c r="D23" s="30" t="n">
        <v>6720</v>
      </c>
      <c r="E23" s="30" t="n">
        <v>4460</v>
      </c>
      <c r="F23" s="30" t="n">
        <v>200</v>
      </c>
      <c r="G23" s="30"/>
      <c r="H23" s="30" t="n">
        <v>1060</v>
      </c>
      <c r="I23" s="30" t="n">
        <v>10680</v>
      </c>
      <c r="J23" s="30" t="n">
        <v>620</v>
      </c>
      <c r="K23" s="31"/>
      <c r="L23" s="32" t="n">
        <v>23740</v>
      </c>
    </row>
    <row r="24" customFormat="false" ht="12.8" hidden="false" customHeight="false" outlineLevel="0" collapsed="false">
      <c r="A24" s="43" t="n">
        <v>43758</v>
      </c>
      <c r="B24" s="29"/>
      <c r="C24" s="30"/>
      <c r="D24" s="30" t="n">
        <v>9140</v>
      </c>
      <c r="E24" s="30"/>
      <c r="F24" s="30" t="n">
        <v>200</v>
      </c>
      <c r="G24" s="30"/>
      <c r="H24" s="30"/>
      <c r="I24" s="30" t="n">
        <v>13200</v>
      </c>
      <c r="J24" s="30" t="n">
        <v>680</v>
      </c>
      <c r="K24" s="31"/>
      <c r="L24" s="32" t="n">
        <v>23220</v>
      </c>
    </row>
    <row r="25" customFormat="false" ht="12.8" hidden="false" customHeight="false" outlineLevel="0" collapsed="false">
      <c r="A25" s="43" t="n">
        <v>43759</v>
      </c>
      <c r="B25" s="29"/>
      <c r="C25" s="30" t="n">
        <v>220</v>
      </c>
      <c r="D25" s="30" t="n">
        <v>7160</v>
      </c>
      <c r="E25" s="30" t="n">
        <v>5260</v>
      </c>
      <c r="F25" s="30" t="n">
        <v>240</v>
      </c>
      <c r="G25" s="30"/>
      <c r="H25" s="30" t="n">
        <v>560</v>
      </c>
      <c r="I25" s="30" t="n">
        <v>9080</v>
      </c>
      <c r="J25" s="30" t="n">
        <v>640</v>
      </c>
      <c r="K25" s="31"/>
      <c r="L25" s="32" t="n">
        <v>23160</v>
      </c>
    </row>
    <row r="26" customFormat="false" ht="12.8" hidden="false" customHeight="false" outlineLevel="0" collapsed="false">
      <c r="A26" s="43" t="n">
        <v>43760</v>
      </c>
      <c r="B26" s="29"/>
      <c r="C26" s="30"/>
      <c r="D26" s="30" t="n">
        <v>6900</v>
      </c>
      <c r="E26" s="30" t="n">
        <v>5620</v>
      </c>
      <c r="F26" s="30"/>
      <c r="G26" s="30"/>
      <c r="H26" s="30" t="n">
        <v>540</v>
      </c>
      <c r="I26" s="30" t="n">
        <v>8840</v>
      </c>
      <c r="J26" s="30" t="n">
        <v>520</v>
      </c>
      <c r="K26" s="31"/>
      <c r="L26" s="32" t="n">
        <v>22420</v>
      </c>
    </row>
    <row r="27" customFormat="false" ht="12.8" hidden="false" customHeight="false" outlineLevel="0" collapsed="false">
      <c r="A27" s="43" t="n">
        <v>43761</v>
      </c>
      <c r="B27" s="29" t="n">
        <v>2380</v>
      </c>
      <c r="C27" s="30" t="n">
        <v>440</v>
      </c>
      <c r="D27" s="30" t="n">
        <v>4800</v>
      </c>
      <c r="E27" s="30" t="n">
        <v>2300</v>
      </c>
      <c r="F27" s="30" t="n">
        <v>240</v>
      </c>
      <c r="G27" s="30"/>
      <c r="H27" s="30" t="n">
        <v>1480</v>
      </c>
      <c r="I27" s="30" t="n">
        <v>7940</v>
      </c>
      <c r="J27" s="30" t="n">
        <v>240</v>
      </c>
      <c r="K27" s="31"/>
      <c r="L27" s="32" t="n">
        <v>19820</v>
      </c>
    </row>
    <row r="28" customFormat="false" ht="12.8" hidden="false" customHeight="false" outlineLevel="0" collapsed="false">
      <c r="A28" s="43" t="n">
        <v>43762</v>
      </c>
      <c r="B28" s="29"/>
      <c r="C28" s="30" t="n">
        <v>800</v>
      </c>
      <c r="D28" s="30" t="n">
        <v>8640</v>
      </c>
      <c r="E28" s="30"/>
      <c r="F28" s="30" t="n">
        <v>280</v>
      </c>
      <c r="G28" s="30"/>
      <c r="H28" s="30" t="n">
        <v>540</v>
      </c>
      <c r="I28" s="30" t="n">
        <v>10620</v>
      </c>
      <c r="J28" s="30"/>
      <c r="K28" s="31"/>
      <c r="L28" s="32" t="n">
        <v>20880</v>
      </c>
    </row>
    <row r="29" customFormat="false" ht="12.8" hidden="false" customHeight="false" outlineLevel="0" collapsed="false">
      <c r="A29" s="43" t="n">
        <v>43763</v>
      </c>
      <c r="B29" s="29"/>
      <c r="C29" s="30" t="n">
        <v>320</v>
      </c>
      <c r="D29" s="30" t="n">
        <v>6900</v>
      </c>
      <c r="E29" s="30" t="n">
        <v>3860</v>
      </c>
      <c r="F29" s="30" t="n">
        <v>200</v>
      </c>
      <c r="G29" s="30"/>
      <c r="H29" s="30" t="n">
        <v>820</v>
      </c>
      <c r="I29" s="30" t="n">
        <v>8440</v>
      </c>
      <c r="J29" s="30" t="n">
        <v>480</v>
      </c>
      <c r="K29" s="31" t="n">
        <v>900</v>
      </c>
      <c r="L29" s="32" t="n">
        <v>21920</v>
      </c>
    </row>
    <row r="30" customFormat="false" ht="12.8" hidden="false" customHeight="false" outlineLevel="0" collapsed="false">
      <c r="A30" s="43" t="n">
        <v>43764</v>
      </c>
      <c r="B30" s="29"/>
      <c r="C30" s="30"/>
      <c r="D30" s="30" t="n">
        <v>6640</v>
      </c>
      <c r="E30" s="30" t="n">
        <v>3260</v>
      </c>
      <c r="F30" s="30" t="n">
        <v>220</v>
      </c>
      <c r="G30" s="30"/>
      <c r="H30" s="30" t="n">
        <v>560</v>
      </c>
      <c r="I30" s="30" t="n">
        <v>10980</v>
      </c>
      <c r="J30" s="30" t="n">
        <v>520</v>
      </c>
      <c r="K30" s="31"/>
      <c r="L30" s="32" t="n">
        <v>22180</v>
      </c>
    </row>
    <row r="31" customFormat="false" ht="12.8" hidden="false" customHeight="false" outlineLevel="0" collapsed="false">
      <c r="A31" s="43" t="n">
        <v>43765</v>
      </c>
      <c r="B31" s="29"/>
      <c r="C31" s="30"/>
      <c r="D31" s="30" t="n">
        <v>9540</v>
      </c>
      <c r="E31" s="30"/>
      <c r="F31" s="30" t="n">
        <v>300</v>
      </c>
      <c r="G31" s="30"/>
      <c r="H31" s="30"/>
      <c r="I31" s="30" t="n">
        <v>10820</v>
      </c>
      <c r="J31" s="30" t="n">
        <v>680</v>
      </c>
      <c r="K31" s="31"/>
      <c r="L31" s="32" t="n">
        <v>21340</v>
      </c>
    </row>
    <row r="32" customFormat="false" ht="12.8" hidden="false" customHeight="false" outlineLevel="0" collapsed="false">
      <c r="A32" s="43" t="n">
        <v>43766</v>
      </c>
      <c r="B32" s="29"/>
      <c r="C32" s="30" t="n">
        <v>320</v>
      </c>
      <c r="D32" s="30" t="n">
        <v>5660</v>
      </c>
      <c r="E32" s="30" t="n">
        <v>3060</v>
      </c>
      <c r="F32" s="30" t="n">
        <v>180</v>
      </c>
      <c r="G32" s="30"/>
      <c r="H32" s="30"/>
      <c r="I32" s="30" t="n">
        <v>9620</v>
      </c>
      <c r="J32" s="30" t="n">
        <v>640</v>
      </c>
      <c r="K32" s="31"/>
      <c r="L32" s="32" t="n">
        <v>19480</v>
      </c>
    </row>
    <row r="33" customFormat="false" ht="12.8" hidden="false" customHeight="false" outlineLevel="0" collapsed="false">
      <c r="A33" s="43" t="n">
        <v>43767</v>
      </c>
      <c r="B33" s="29"/>
      <c r="C33" s="30" t="n">
        <v>480</v>
      </c>
      <c r="D33" s="30" t="n">
        <v>6280</v>
      </c>
      <c r="E33" s="30" t="n">
        <v>3220</v>
      </c>
      <c r="F33" s="30" t="n">
        <v>280</v>
      </c>
      <c r="G33" s="30"/>
      <c r="H33" s="30" t="n">
        <v>460</v>
      </c>
      <c r="I33" s="30" t="n">
        <v>6460</v>
      </c>
      <c r="J33" s="30" t="n">
        <v>440</v>
      </c>
      <c r="K33" s="31"/>
      <c r="L33" s="32" t="n">
        <v>17620</v>
      </c>
    </row>
    <row r="34" customFormat="false" ht="12.8" hidden="false" customHeight="false" outlineLevel="0" collapsed="false">
      <c r="A34" s="43" t="n">
        <v>43768</v>
      </c>
      <c r="B34" s="29"/>
      <c r="C34" s="30"/>
      <c r="D34" s="30" t="n">
        <v>6540</v>
      </c>
      <c r="E34" s="30" t="n">
        <v>4900</v>
      </c>
      <c r="F34" s="30" t="n">
        <v>340</v>
      </c>
      <c r="G34" s="30"/>
      <c r="H34" s="30" t="n">
        <v>2220</v>
      </c>
      <c r="I34" s="30" t="n">
        <v>7380</v>
      </c>
      <c r="J34" s="30" t="n">
        <v>300</v>
      </c>
      <c r="K34" s="31"/>
      <c r="L34" s="32" t="n">
        <v>21680</v>
      </c>
    </row>
    <row r="35" customFormat="false" ht="12.8" hidden="false" customHeight="false" outlineLevel="0" collapsed="false">
      <c r="A35" s="43" t="n">
        <v>43769</v>
      </c>
      <c r="B35" s="33"/>
      <c r="C35" s="34" t="n">
        <v>440</v>
      </c>
      <c r="D35" s="34" t="n">
        <v>8080</v>
      </c>
      <c r="E35" s="34" t="n">
        <v>2680</v>
      </c>
      <c r="F35" s="34" t="n">
        <v>240</v>
      </c>
      <c r="G35" s="34"/>
      <c r="H35" s="34" t="n">
        <v>620</v>
      </c>
      <c r="I35" s="34" t="n">
        <v>6420</v>
      </c>
      <c r="J35" s="34" t="n">
        <v>520</v>
      </c>
      <c r="K35" s="35"/>
      <c r="L35" s="36" t="n">
        <v>19000</v>
      </c>
    </row>
    <row r="36" customFormat="false" ht="12.8" hidden="false" customHeight="false" outlineLevel="0" collapsed="false">
      <c r="A36" s="44" t="s">
        <v>31</v>
      </c>
      <c r="B36" s="38" t="n">
        <v>10640</v>
      </c>
      <c r="C36" s="39" t="n">
        <v>5480</v>
      </c>
      <c r="D36" s="39" t="n">
        <v>225160</v>
      </c>
      <c r="E36" s="39" t="n">
        <v>117520</v>
      </c>
      <c r="F36" s="39" t="n">
        <v>7820</v>
      </c>
      <c r="G36" s="39" t="n">
        <v>4980</v>
      </c>
      <c r="H36" s="39" t="n">
        <v>22920</v>
      </c>
      <c r="I36" s="39" t="n">
        <v>346560</v>
      </c>
      <c r="J36" s="39" t="n">
        <v>19140</v>
      </c>
      <c r="K36" s="40" t="n">
        <v>2600</v>
      </c>
      <c r="L36" s="41" t="n">
        <v>762820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RowHeight="13.8" zeroHeight="false" outlineLevelRow="0" outlineLevelCol="0"/>
  <cols>
    <col collapsed="false" customWidth="true" hidden="false" outlineLevel="0" max="1" min="1" style="1" width="15.11"/>
    <col collapsed="false" customWidth="true" hidden="false" outlineLevel="0" max="2" min="2" style="0" width="15.87"/>
    <col collapsed="false" customWidth="true" hidden="false" outlineLevel="0" max="3" min="3" style="0" width="15.11"/>
    <col collapsed="false" customWidth="true" hidden="false" outlineLevel="0" max="4" min="4" style="1" width="13.84"/>
    <col collapsed="false" customWidth="true" hidden="false" outlineLevel="0" max="7" min="5" style="0" width="10.5"/>
    <col collapsed="false" customWidth="true" hidden="false" outlineLevel="0" max="8" min="8" style="0" width="15.11"/>
    <col collapsed="false" customWidth="true" hidden="false" outlineLevel="0" max="9" min="9" style="0" width="10.5"/>
    <col collapsed="false" customWidth="true" hidden="false" outlineLevel="0" max="10" min="10" style="0" width="15.11"/>
    <col collapsed="false" customWidth="true" hidden="false" outlineLevel="0" max="11" min="11" style="0" width="10.5"/>
    <col collapsed="false" customWidth="true" hidden="false" outlineLevel="0" max="12" min="12" style="0" width="15.11"/>
    <col collapsed="false" customWidth="true" hidden="false" outlineLevel="0" max="1025" min="13" style="0" width="10.5"/>
  </cols>
  <sheetData>
    <row r="1" customFormat="false" ht="13.8" hidden="false" customHeight="false" outlineLevel="0" collapsed="false">
      <c r="A1" s="0" t="n">
        <v>1</v>
      </c>
      <c r="B1" s="1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</row>
    <row r="2" customFormat="false" ht="13.8" hidden="false" customHeight="false" outlineLevel="0" collapsed="false">
      <c r="A2" s="45" t="s">
        <v>3</v>
      </c>
      <c r="B2" s="46" t="s">
        <v>32</v>
      </c>
      <c r="C2" s="47" t="s">
        <v>24</v>
      </c>
      <c r="D2" s="47" t="s">
        <v>16</v>
      </c>
      <c r="E2" s="47" t="s">
        <v>26</v>
      </c>
      <c r="F2" s="47" t="s">
        <v>12</v>
      </c>
      <c r="G2" s="47" t="s">
        <v>21</v>
      </c>
      <c r="H2" s="48" t="s">
        <v>31</v>
      </c>
    </row>
    <row r="3" customFormat="false" ht="13.8" hidden="false" customHeight="false" outlineLevel="0" collapsed="false">
      <c r="A3" s="49" t="s">
        <v>14</v>
      </c>
      <c r="B3" s="1"/>
      <c r="C3" s="50"/>
      <c r="D3" s="51" t="n">
        <v>2100</v>
      </c>
      <c r="E3" s="51"/>
      <c r="F3" s="51" t="n">
        <v>2120</v>
      </c>
      <c r="G3" s="52" t="n">
        <v>6420</v>
      </c>
      <c r="H3" s="0" t="n">
        <f aca="false">SUM(B3:G3)</f>
        <v>10640</v>
      </c>
    </row>
    <row r="4" customFormat="false" ht="13.8" hidden="false" customHeight="false" outlineLevel="0" collapsed="false">
      <c r="A4" s="53" t="s">
        <v>23</v>
      </c>
      <c r="B4" s="1"/>
      <c r="C4" s="54" t="n">
        <v>4380</v>
      </c>
      <c r="D4" s="55" t="n">
        <v>1100</v>
      </c>
      <c r="E4" s="55"/>
      <c r="F4" s="55"/>
      <c r="G4" s="56"/>
      <c r="H4" s="0" t="n">
        <f aca="false">SUM(B4:G4)</f>
        <v>5480</v>
      </c>
    </row>
    <row r="5" customFormat="false" ht="13.8" hidden="false" customHeight="false" outlineLevel="0" collapsed="false">
      <c r="A5" s="53" t="s">
        <v>18</v>
      </c>
      <c r="B5" s="1"/>
      <c r="C5" s="54"/>
      <c r="D5" s="55" t="n">
        <v>225160</v>
      </c>
      <c r="E5" s="55"/>
      <c r="F5" s="55"/>
      <c r="G5" s="56"/>
      <c r="H5" s="0" t="n">
        <f aca="false">SUM(B5:G5)</f>
        <v>225160</v>
      </c>
    </row>
    <row r="6" customFormat="false" ht="13.8" hidden="false" customHeight="false" outlineLevel="0" collapsed="false">
      <c r="A6" s="53" t="s">
        <v>10</v>
      </c>
      <c r="B6" s="1"/>
      <c r="C6" s="54"/>
      <c r="D6" s="55" t="n">
        <v>99380</v>
      </c>
      <c r="E6" s="55" t="n">
        <v>7100</v>
      </c>
      <c r="F6" s="55" t="n">
        <v>11040</v>
      </c>
      <c r="G6" s="56"/>
      <c r="H6" s="0" t="n">
        <f aca="false">SUM(B6:G6)</f>
        <v>117520</v>
      </c>
    </row>
    <row r="7" customFormat="false" ht="13.8" hidden="false" customHeight="false" outlineLevel="0" collapsed="false">
      <c r="A7" s="53" t="s">
        <v>20</v>
      </c>
      <c r="B7" s="1"/>
      <c r="C7" s="54" t="n">
        <v>120</v>
      </c>
      <c r="D7" s="55" t="n">
        <v>7240</v>
      </c>
      <c r="E7" s="55"/>
      <c r="F7" s="55"/>
      <c r="G7" s="56" t="n">
        <v>460</v>
      </c>
      <c r="H7" s="0" t="n">
        <f aca="false">SUM(B7:G7)</f>
        <v>7820</v>
      </c>
    </row>
    <row r="8" customFormat="false" ht="13.8" hidden="false" customHeight="false" outlineLevel="0" collapsed="false">
      <c r="A8" s="53" t="s">
        <v>27</v>
      </c>
      <c r="B8" s="1"/>
      <c r="C8" s="54"/>
      <c r="D8" s="57" t="n">
        <v>0</v>
      </c>
      <c r="E8" s="55"/>
      <c r="F8" s="55"/>
      <c r="G8" s="56"/>
      <c r="H8" s="0" t="n">
        <f aca="false">SUM(B8:G8)</f>
        <v>0</v>
      </c>
    </row>
    <row r="9" customFormat="false" ht="13.8" hidden="false" customHeight="false" outlineLevel="0" collapsed="false">
      <c r="A9" s="53" t="s">
        <v>19</v>
      </c>
      <c r="B9" s="1"/>
      <c r="C9" s="54" t="n">
        <v>820</v>
      </c>
      <c r="D9" s="55" t="n">
        <v>800</v>
      </c>
      <c r="E9" s="55"/>
      <c r="F9" s="55"/>
      <c r="G9" s="56" t="n">
        <v>21300</v>
      </c>
      <c r="H9" s="0" t="n">
        <f aca="false">SUM(B9:G9)</f>
        <v>22920</v>
      </c>
    </row>
    <row r="10" customFormat="false" ht="13.8" hidden="false" customHeight="false" outlineLevel="0" collapsed="false">
      <c r="A10" s="53" t="s">
        <v>15</v>
      </c>
      <c r="B10" s="1"/>
      <c r="C10" s="54"/>
      <c r="D10" s="55" t="n">
        <v>346560</v>
      </c>
      <c r="E10" s="55"/>
      <c r="F10" s="55"/>
      <c r="G10" s="56"/>
      <c r="H10" s="0" t="n">
        <f aca="false">SUM(B10:G10)</f>
        <v>346560</v>
      </c>
    </row>
    <row r="11" customFormat="false" ht="13.8" hidden="false" customHeight="false" outlineLevel="0" collapsed="false">
      <c r="A11" s="53" t="s">
        <v>17</v>
      </c>
      <c r="B11" s="1"/>
      <c r="C11" s="54"/>
      <c r="D11" s="55" t="n">
        <v>19140</v>
      </c>
      <c r="E11" s="55"/>
      <c r="F11" s="55"/>
      <c r="G11" s="56"/>
      <c r="H11" s="0" t="n">
        <f aca="false">SUM(B11:G11)</f>
        <v>19140</v>
      </c>
    </row>
    <row r="12" customFormat="false" ht="13.8" hidden="false" customHeight="false" outlineLevel="0" collapsed="false">
      <c r="A12" s="53" t="s">
        <v>22</v>
      </c>
      <c r="B12" s="1"/>
      <c r="C12" s="58"/>
      <c r="D12" s="59"/>
      <c r="E12" s="59"/>
      <c r="F12" s="59" t="n">
        <v>260</v>
      </c>
      <c r="G12" s="60" t="n">
        <v>2340</v>
      </c>
      <c r="H12" s="0" t="n">
        <f aca="false">SUM(B12:G12)</f>
        <v>2600</v>
      </c>
    </row>
    <row r="13" customFormat="false" ht="13.8" hidden="false" customHeight="false" outlineLevel="0" collapsed="false">
      <c r="A13" s="61" t="s">
        <v>31</v>
      </c>
      <c r="B13" s="62"/>
      <c r="C13" s="63" t="n">
        <f aca="false">SUM(C3:C12)</f>
        <v>5320</v>
      </c>
      <c r="D13" s="63" t="n">
        <f aca="false">SUM(D3:D12)</f>
        <v>701480</v>
      </c>
      <c r="E13" s="63" t="n">
        <f aca="false">SUM(E3:E12)</f>
        <v>7100</v>
      </c>
      <c r="F13" s="63" t="n">
        <f aca="false">SUM(F3:F12)</f>
        <v>13420</v>
      </c>
      <c r="G13" s="63" t="n">
        <f aca="false">SUM(G3:G12)</f>
        <v>30520</v>
      </c>
      <c r="H13" s="63" t="n">
        <f aca="false">SUM(H3:H12)</f>
        <v>757840</v>
      </c>
    </row>
    <row r="14" customFormat="false" ht="13.8" hidden="false" customHeight="false" outlineLevel="0" collapsed="false">
      <c r="C14" s="64"/>
      <c r="D14" s="64"/>
      <c r="E14" s="64"/>
      <c r="F14" s="64"/>
      <c r="G14" s="64"/>
      <c r="H14" s="64"/>
    </row>
    <row r="15" customFormat="false" ht="13.8" hidden="false" customHeight="false" outlineLevel="0" collapsed="false">
      <c r="C15" s="64"/>
      <c r="D15" s="64"/>
      <c r="E15" s="64"/>
      <c r="F15" s="64"/>
      <c r="G15" s="64"/>
      <c r="H15" s="64"/>
    </row>
    <row r="16" customFormat="false" ht="13.8" hidden="false" customHeight="false" outlineLevel="0" collapsed="false">
      <c r="C16" s="64"/>
      <c r="D16" s="64"/>
      <c r="E16" s="64"/>
      <c r="F16" s="64"/>
      <c r="G16" s="64"/>
      <c r="H16" s="64"/>
    </row>
    <row r="17" customFormat="false" ht="13.8" hidden="false" customHeight="false" outlineLevel="0" collapsed="false">
      <c r="C17" s="64"/>
      <c r="D17" s="64"/>
      <c r="E17" s="64"/>
      <c r="F17" s="64"/>
      <c r="G17" s="64"/>
      <c r="H17" s="64"/>
    </row>
    <row r="18" customFormat="false" ht="13.8" hidden="false" customHeight="false" outlineLevel="0" collapsed="false">
      <c r="A18" s="64" t="s">
        <v>16</v>
      </c>
      <c r="B18" s="64"/>
      <c r="C18" s="64"/>
      <c r="D18" s="64"/>
      <c r="E18" s="64"/>
      <c r="F18" s="64"/>
      <c r="G18" s="64"/>
      <c r="H18" s="64"/>
    </row>
    <row r="19" customFormat="false" ht="13.8" hidden="false" customHeight="false" outlineLevel="0" collapsed="false">
      <c r="C19" s="64"/>
      <c r="D19" s="64"/>
      <c r="E19" s="64"/>
      <c r="F19" s="64"/>
      <c r="G19" s="64"/>
      <c r="H19" s="64"/>
    </row>
    <row r="20" customFormat="false" ht="13.8" hidden="false" customHeight="false" outlineLevel="0" collapsed="false">
      <c r="A20" s="1" t="s">
        <v>33</v>
      </c>
      <c r="B20" s="0" t="s">
        <v>34</v>
      </c>
      <c r="C20" s="65" t="s">
        <v>35</v>
      </c>
      <c r="D20" s="66" t="s">
        <v>36</v>
      </c>
      <c r="E20" s="65" t="s">
        <v>37</v>
      </c>
      <c r="F20" s="67" t="s">
        <v>38</v>
      </c>
      <c r="G20" s="65" t="s">
        <v>39</v>
      </c>
      <c r="H20" s="65"/>
    </row>
    <row r="21" customFormat="false" ht="16.4" hidden="false" customHeight="false" outlineLevel="0" collapsed="false">
      <c r="A21" s="1" t="n">
        <v>310</v>
      </c>
      <c r="B21" s="68" t="s">
        <v>40</v>
      </c>
      <c r="C21" s="65" t="s">
        <v>17</v>
      </c>
      <c r="D21" s="66" t="n">
        <v>1</v>
      </c>
      <c r="E21" s="65" t="s">
        <v>41</v>
      </c>
      <c r="F21" s="67" t="n">
        <v>19140</v>
      </c>
      <c r="G21" s="69" t="n">
        <f aca="false">VLOOKUP(C21,$A$2:$G$13,4,FALSE())</f>
        <v>19140</v>
      </c>
      <c r="H21" s="70" t="str">
        <f aca="false">IF(G21-F21&gt;0,"Revisar","Bien")</f>
        <v>Bien</v>
      </c>
      <c r="U21" s="71"/>
    </row>
    <row r="22" customFormat="false" ht="13.8" hidden="false" customHeight="false" outlineLevel="0" collapsed="false">
      <c r="A22" s="1" t="n">
        <v>309</v>
      </c>
      <c r="B22" s="0" t="s">
        <v>42</v>
      </c>
      <c r="C22" s="65" t="s">
        <v>19</v>
      </c>
      <c r="D22" s="66" t="n">
        <v>1</v>
      </c>
      <c r="E22" s="65" t="s">
        <v>43</v>
      </c>
      <c r="F22" s="67" t="n">
        <v>800</v>
      </c>
      <c r="G22" s="69" t="n">
        <f aca="false">VLOOKUP(C22,$A$2:$G$13,4,FALSE())</f>
        <v>800</v>
      </c>
      <c r="H22" s="70" t="str">
        <f aca="false">IF(G22-F22&gt;0,"Revisar","Bien")</f>
        <v>Bien</v>
      </c>
      <c r="U22" s="72" t="n">
        <v>10640</v>
      </c>
    </row>
    <row r="23" customFormat="false" ht="16.4" hidden="false" customHeight="false" outlineLevel="0" collapsed="false">
      <c r="A23" s="1" t="n">
        <v>318</v>
      </c>
      <c r="B23" s="68" t="s">
        <v>44</v>
      </c>
      <c r="C23" s="65" t="s">
        <v>15</v>
      </c>
      <c r="D23" s="66" t="s">
        <v>45</v>
      </c>
      <c r="E23" s="65" t="s">
        <v>43</v>
      </c>
      <c r="F23" s="67" t="n">
        <v>346560</v>
      </c>
      <c r="G23" s="69" t="n">
        <f aca="false">VLOOKUP(C23,$A$2:$G$13,4,FALSE())</f>
        <v>346560</v>
      </c>
      <c r="H23" s="70" t="str">
        <f aca="false">IF(G23-F23&gt;0,"Revisar","Bien")</f>
        <v>Bien</v>
      </c>
      <c r="U23" s="73" t="n">
        <v>5480</v>
      </c>
    </row>
    <row r="24" customFormat="false" ht="16.4" hidden="false" customHeight="false" outlineLevel="0" collapsed="false">
      <c r="A24" s="74" t="n">
        <v>320</v>
      </c>
      <c r="B24" s="68" t="s">
        <v>46</v>
      </c>
      <c r="C24" s="65" t="s">
        <v>18</v>
      </c>
      <c r="D24" s="66" t="s">
        <v>45</v>
      </c>
      <c r="E24" s="65" t="s">
        <v>43</v>
      </c>
      <c r="F24" s="67" t="n">
        <v>225160</v>
      </c>
      <c r="G24" s="69" t="n">
        <f aca="false">VLOOKUP(C24,$A$2:$G$13,4,FALSE())</f>
        <v>225160</v>
      </c>
      <c r="H24" s="70" t="str">
        <f aca="false">IF(G24-F24&gt;0,"Revisar","Bien")</f>
        <v>Bien</v>
      </c>
      <c r="U24" s="73" t="n">
        <v>225160</v>
      </c>
    </row>
    <row r="25" customFormat="false" ht="16.4" hidden="false" customHeight="false" outlineLevel="0" collapsed="false">
      <c r="A25" s="74" t="n">
        <v>321</v>
      </c>
      <c r="B25" s="68" t="s">
        <v>47</v>
      </c>
      <c r="C25" s="65" t="s">
        <v>10</v>
      </c>
      <c r="D25" s="66" t="s">
        <v>45</v>
      </c>
      <c r="E25" s="65" t="s">
        <v>43</v>
      </c>
      <c r="F25" s="67" t="n">
        <v>99380</v>
      </c>
      <c r="G25" s="69" t="n">
        <f aca="false">VLOOKUP(C25,$A$2:$G$13,4,FALSE())</f>
        <v>99380</v>
      </c>
      <c r="H25" s="70" t="str">
        <f aca="false">IF(G25-F25&gt;0,"Revisar","Bien")</f>
        <v>Bien</v>
      </c>
      <c r="U25" s="73" t="n">
        <v>117520</v>
      </c>
    </row>
    <row r="26" customFormat="false" ht="16.4" hidden="false" customHeight="false" outlineLevel="0" collapsed="false">
      <c r="A26" s="74" t="n">
        <v>196</v>
      </c>
      <c r="B26" s="68" t="s">
        <v>44</v>
      </c>
      <c r="C26" s="65" t="s">
        <v>27</v>
      </c>
      <c r="D26" s="66" t="s">
        <v>45</v>
      </c>
      <c r="E26" s="65" t="s">
        <v>43</v>
      </c>
      <c r="F26" s="67"/>
      <c r="G26" s="69" t="n">
        <f aca="false">VLOOKUP(C26,$A$2:$G$13,4,FALSE())</f>
        <v>0</v>
      </c>
      <c r="H26" s="70" t="str">
        <f aca="false">IF(G26-F26&gt;0,"Revisar","Bien")</f>
        <v>Bien</v>
      </c>
      <c r="U26" s="73"/>
    </row>
    <row r="27" customFormat="false" ht="13.8" hidden="false" customHeight="false" outlineLevel="0" collapsed="false">
      <c r="A27" s="1" t="n">
        <v>316</v>
      </c>
      <c r="B27" s="0" t="s">
        <v>48</v>
      </c>
      <c r="C27" s="65" t="s">
        <v>20</v>
      </c>
      <c r="D27" s="66" t="s">
        <v>45</v>
      </c>
      <c r="E27" s="65" t="s">
        <v>49</v>
      </c>
      <c r="F27" s="75" t="n">
        <v>7240</v>
      </c>
      <c r="G27" s="69" t="n">
        <f aca="false">VLOOKUP(C27,$A$2:$G$13,4,FALSE())</f>
        <v>7240</v>
      </c>
      <c r="H27" s="70" t="str">
        <f aca="false">IF(G27-F27&gt;0,"Revisar","Bien")</f>
        <v>Bien</v>
      </c>
      <c r="U27" s="73" t="n">
        <v>7820</v>
      </c>
    </row>
    <row r="28" customFormat="false" ht="13.8" hidden="false" customHeight="false" outlineLevel="0" collapsed="false">
      <c r="A28" s="1" t="n">
        <v>109</v>
      </c>
      <c r="B28" s="76" t="s">
        <v>50</v>
      </c>
      <c r="C28" s="65" t="s">
        <v>14</v>
      </c>
      <c r="D28" s="66" t="s">
        <v>45</v>
      </c>
      <c r="E28" s="65" t="s">
        <v>51</v>
      </c>
      <c r="F28" s="75" t="n">
        <v>2100</v>
      </c>
      <c r="G28" s="69" t="n">
        <f aca="false">VLOOKUP(C28,$A$2:$G$13,4,FALSE())</f>
        <v>2100</v>
      </c>
      <c r="H28" s="70" t="str">
        <f aca="false">IF(G28-F28&gt;0,"Revisar","Bien")</f>
        <v>Bien</v>
      </c>
      <c r="U28" s="73" t="n">
        <v>4980</v>
      </c>
    </row>
    <row r="29" customFormat="false" ht="13.8" hidden="false" customHeight="false" outlineLevel="0" collapsed="false">
      <c r="A29" s="1" t="n">
        <v>333</v>
      </c>
      <c r="B29" s="0" t="s">
        <v>52</v>
      </c>
      <c r="C29" s="65" t="s">
        <v>23</v>
      </c>
      <c r="D29" s="66" t="s">
        <v>45</v>
      </c>
      <c r="E29" s="65" t="s">
        <v>51</v>
      </c>
      <c r="F29" s="75" t="n">
        <v>1100</v>
      </c>
      <c r="G29" s="69" t="n">
        <f aca="false">VLOOKUP(C29,$A$2:$G$13,4,FALSE())</f>
        <v>1100</v>
      </c>
      <c r="H29" s="70" t="str">
        <f aca="false">IF(G29-F29&gt;0,"Revisar","Bien")</f>
        <v>Bien</v>
      </c>
      <c r="U29" s="73" t="n">
        <v>22920</v>
      </c>
    </row>
    <row r="30" customFormat="false" ht="13.8" hidden="false" customHeight="false" outlineLevel="0" collapsed="false">
      <c r="C30" s="65"/>
      <c r="D30" s="66"/>
      <c r="E30" s="65"/>
      <c r="F30" s="75"/>
      <c r="G30" s="77" t="n">
        <f aca="false">SUM(G21:G29)</f>
        <v>701480</v>
      </c>
      <c r="H30" s="65"/>
      <c r="U30" s="73" t="n">
        <v>346560</v>
      </c>
    </row>
    <row r="31" customFormat="false" ht="13.8" hidden="false" customHeight="false" outlineLevel="0" collapsed="false">
      <c r="A31" s="64" t="s">
        <v>53</v>
      </c>
      <c r="B31" s="64"/>
      <c r="C31" s="64"/>
      <c r="D31" s="64"/>
      <c r="E31" s="64"/>
      <c r="F31" s="64"/>
      <c r="G31" s="64"/>
      <c r="H31" s="64"/>
      <c r="U31" s="73" t="n">
        <v>19140</v>
      </c>
    </row>
    <row r="32" customFormat="false" ht="13.8" hidden="false" customHeight="false" outlineLevel="0" collapsed="false">
      <c r="C32" s="65" t="s">
        <v>35</v>
      </c>
      <c r="D32" s="66" t="s">
        <v>54</v>
      </c>
      <c r="E32" s="65" t="s">
        <v>55</v>
      </c>
      <c r="F32" s="75" t="s">
        <v>38</v>
      </c>
      <c r="G32" s="65" t="s">
        <v>39</v>
      </c>
      <c r="H32" s="65"/>
      <c r="U32" s="78" t="n">
        <v>2600</v>
      </c>
    </row>
    <row r="33" customFormat="false" ht="13.8" hidden="false" customHeight="false" outlineLevel="0" collapsed="false">
      <c r="A33" s="1" t="n">
        <v>109</v>
      </c>
      <c r="B33" s="76" t="s">
        <v>50</v>
      </c>
      <c r="C33" s="65" t="s">
        <v>14</v>
      </c>
      <c r="D33" s="66" t="n">
        <v>2</v>
      </c>
      <c r="E33" s="65" t="n">
        <v>2</v>
      </c>
      <c r="F33" s="65" t="n">
        <v>6420</v>
      </c>
      <c r="G33" s="69" t="n">
        <f aca="false">VLOOKUP(C33,$A$2:$G$13,7,FALSE())</f>
        <v>6420</v>
      </c>
      <c r="H33" s="70" t="str">
        <f aca="false">IF(G33-F33&gt;0,"Revisar","Bien")</f>
        <v>Bien</v>
      </c>
      <c r="U33" s="79" t="n">
        <v>762820</v>
      </c>
    </row>
    <row r="34" customFormat="false" ht="13.8" hidden="false" customHeight="false" outlineLevel="0" collapsed="false">
      <c r="A34" s="1" t="n">
        <v>333</v>
      </c>
      <c r="B34" s="0" t="s">
        <v>52</v>
      </c>
      <c r="C34" s="65" t="s">
        <v>23</v>
      </c>
      <c r="D34" s="66" t="n">
        <v>2</v>
      </c>
      <c r="E34" s="65" t="n">
        <v>0</v>
      </c>
      <c r="F34" s="65" t="n">
        <v>0</v>
      </c>
      <c r="G34" s="69" t="n">
        <f aca="false">VLOOKUP(C34,$A$2:$G$13,7,FALSE())</f>
        <v>0</v>
      </c>
      <c r="H34" s="70" t="str">
        <f aca="false">IF(G34-F34&gt;0,"Revisar","Bien")</f>
        <v>Bien</v>
      </c>
    </row>
    <row r="35" customFormat="false" ht="13.8" hidden="false" customHeight="false" outlineLevel="0" collapsed="false">
      <c r="A35" s="1" t="n">
        <v>309</v>
      </c>
      <c r="B35" s="0" t="s">
        <v>42</v>
      </c>
      <c r="C35" s="65" t="s">
        <v>19</v>
      </c>
      <c r="D35" s="66" t="n">
        <v>2</v>
      </c>
      <c r="E35" s="65" t="n">
        <v>37</v>
      </c>
      <c r="F35" s="65" t="n">
        <v>21300</v>
      </c>
      <c r="G35" s="69" t="n">
        <f aca="false">VLOOKUP(C35,$A$2:$G$13,7,FALSE())</f>
        <v>21300</v>
      </c>
      <c r="H35" s="70" t="str">
        <f aca="false">IF(G35-F35&gt;0,"Revisar","Bien")</f>
        <v>Bien</v>
      </c>
    </row>
    <row r="36" customFormat="false" ht="13.8" hidden="false" customHeight="false" outlineLevel="0" collapsed="false">
      <c r="A36" s="1" t="n">
        <v>296</v>
      </c>
      <c r="B36" s="0" t="s">
        <v>56</v>
      </c>
      <c r="C36" s="65" t="s">
        <v>22</v>
      </c>
      <c r="D36" s="66" t="n">
        <v>2</v>
      </c>
      <c r="E36" s="65" t="n">
        <v>3</v>
      </c>
      <c r="F36" s="65" t="n">
        <v>2340</v>
      </c>
      <c r="G36" s="69" t="n">
        <f aca="false">VLOOKUP(C36,$A$2:$G$13,7,FALSE())</f>
        <v>2340</v>
      </c>
      <c r="H36" s="70" t="str">
        <f aca="false">IF(G36-F36&gt;0,"Revisar","Bien")</f>
        <v>Bien</v>
      </c>
    </row>
    <row r="37" customFormat="false" ht="13.8" hidden="false" customHeight="false" outlineLevel="0" collapsed="false">
      <c r="A37" s="1" t="n">
        <v>316</v>
      </c>
      <c r="B37" s="0" t="s">
        <v>48</v>
      </c>
      <c r="C37" s="65" t="s">
        <v>20</v>
      </c>
      <c r="D37" s="66" t="n">
        <v>2</v>
      </c>
      <c r="E37" s="65" t="n">
        <v>1</v>
      </c>
      <c r="F37" s="65" t="n">
        <v>460</v>
      </c>
      <c r="G37" s="69" t="n">
        <f aca="false">VLOOKUP(C37,$A$2:$G$13,7,FALSE())</f>
        <v>460</v>
      </c>
      <c r="H37" s="70" t="str">
        <f aca="false">IF(G37-F37&gt;0,"Revisar","Bien")</f>
        <v>Bien</v>
      </c>
    </row>
    <row r="38" customFormat="false" ht="13.8" hidden="false" customHeight="false" outlineLevel="0" collapsed="false">
      <c r="C38" s="65"/>
      <c r="D38" s="66"/>
      <c r="E38" s="65"/>
      <c r="F38" s="75"/>
      <c r="G38" s="77" t="n">
        <f aca="false">SUM(G33:G37)</f>
        <v>30520</v>
      </c>
      <c r="H38" s="65"/>
    </row>
    <row r="39" customFormat="false" ht="13.8" hidden="false" customHeight="false" outlineLevel="0" collapsed="false">
      <c r="C39" s="65"/>
      <c r="D39" s="66"/>
      <c r="E39" s="65"/>
      <c r="F39" s="75"/>
      <c r="G39" s="77"/>
      <c r="H39" s="65"/>
    </row>
    <row r="40" customFormat="false" ht="13.8" hidden="false" customHeight="false" outlineLevel="0" collapsed="false">
      <c r="A40" s="64" t="s">
        <v>57</v>
      </c>
      <c r="B40" s="64"/>
      <c r="C40" s="64"/>
      <c r="D40" s="64"/>
      <c r="E40" s="64"/>
      <c r="F40" s="64"/>
      <c r="G40" s="64"/>
      <c r="H40" s="64"/>
    </row>
    <row r="41" customFormat="false" ht="13.8" hidden="false" customHeight="false" outlineLevel="0" collapsed="false">
      <c r="C41" s="65" t="s">
        <v>35</v>
      </c>
      <c r="D41" s="66" t="s">
        <v>55</v>
      </c>
      <c r="E41" s="65" t="s">
        <v>38</v>
      </c>
      <c r="F41" s="75" t="s">
        <v>39</v>
      </c>
      <c r="G41" s="65"/>
      <c r="H41" s="65"/>
    </row>
    <row r="42" customFormat="false" ht="13.8" hidden="false" customHeight="false" outlineLevel="0" collapsed="false">
      <c r="A42" s="1" t="n">
        <v>109</v>
      </c>
      <c r="B42" s="76" t="s">
        <v>50</v>
      </c>
      <c r="C42" s="65" t="s">
        <v>14</v>
      </c>
      <c r="D42" s="66" t="n">
        <v>1</v>
      </c>
      <c r="E42" s="65" t="n">
        <v>2120</v>
      </c>
      <c r="F42" s="80" t="n">
        <f aca="false">VLOOKUP(C42,$A$2:$G$13,6,FALSE())</f>
        <v>2120</v>
      </c>
      <c r="G42" s="70" t="str">
        <f aca="false">IF(F42-E42&gt;0,"Revisar","Bien")</f>
        <v>Bien</v>
      </c>
      <c r="H42" s="65"/>
    </row>
    <row r="43" customFormat="false" ht="16.5" hidden="false" customHeight="false" outlineLevel="0" collapsed="false">
      <c r="A43" s="74" t="n">
        <v>321</v>
      </c>
      <c r="B43" s="68" t="s">
        <v>47</v>
      </c>
      <c r="C43" s="65" t="s">
        <v>10</v>
      </c>
      <c r="D43" s="66" t="n">
        <v>5</v>
      </c>
      <c r="E43" s="65" t="n">
        <v>11040</v>
      </c>
      <c r="F43" s="80" t="n">
        <f aca="false">VLOOKUP(C43,$A$2:$G$13,6,FALSE())</f>
        <v>11040</v>
      </c>
      <c r="G43" s="70" t="str">
        <f aca="false">IF(F43-E43&gt;0,"Revisar","Bien")</f>
        <v>Bien</v>
      </c>
      <c r="H43" s="65"/>
    </row>
    <row r="44" customFormat="false" ht="13.8" hidden="false" customHeight="false" outlineLevel="0" collapsed="false">
      <c r="A44" s="1" t="n">
        <v>296</v>
      </c>
      <c r="B44" s="0" t="s">
        <v>56</v>
      </c>
      <c r="C44" s="65" t="s">
        <v>22</v>
      </c>
      <c r="D44" s="66" t="n">
        <v>1</v>
      </c>
      <c r="E44" s="65" t="n">
        <v>260</v>
      </c>
      <c r="F44" s="80" t="n">
        <f aca="false">VLOOKUP(C44,$A$2:$G$13,6,FALSE())</f>
        <v>260</v>
      </c>
      <c r="G44" s="70" t="str">
        <f aca="false">IF(F44-E44&gt;0,"Revisar","Bien")</f>
        <v>Bien</v>
      </c>
      <c r="H44" s="65"/>
    </row>
    <row r="45" customFormat="false" ht="15" hidden="false" customHeight="false" outlineLevel="0" collapsed="false">
      <c r="A45" s="74" t="n">
        <v>320</v>
      </c>
      <c r="B45" s="68" t="s">
        <v>46</v>
      </c>
      <c r="C45" s="65" t="s">
        <v>18</v>
      </c>
      <c r="D45" s="66" t="n">
        <v>0</v>
      </c>
      <c r="E45" s="75"/>
      <c r="F45" s="80" t="n">
        <f aca="false">VLOOKUP(C45,$A$2:$G$13,6,FALSE())</f>
        <v>0</v>
      </c>
      <c r="G45" s="70" t="str">
        <f aca="false">IF(F45-E45&gt;0,"Revisar","Bien")</f>
        <v>Bien</v>
      </c>
      <c r="H45" s="65"/>
    </row>
    <row r="46" customFormat="false" ht="13.8" hidden="false" customHeight="false" outlineLevel="0" collapsed="false">
      <c r="C46" s="65"/>
      <c r="D46" s="66"/>
      <c r="E46" s="65"/>
      <c r="F46" s="77" t="n">
        <f aca="false">SUM(F42:F45)</f>
        <v>13420</v>
      </c>
      <c r="G46" s="65"/>
      <c r="H46" s="65"/>
    </row>
    <row r="47" customFormat="false" ht="13.8" hidden="false" customHeight="false" outlineLevel="0" collapsed="false">
      <c r="A47" s="64" t="s">
        <v>58</v>
      </c>
      <c r="B47" s="64"/>
      <c r="C47" s="64"/>
      <c r="D47" s="64"/>
      <c r="E47" s="64"/>
      <c r="F47" s="64"/>
      <c r="G47" s="64"/>
      <c r="H47" s="65"/>
    </row>
    <row r="48" customFormat="false" ht="13.8" hidden="false" customHeight="false" outlineLevel="0" collapsed="false">
      <c r="C48" s="65" t="s">
        <v>35</v>
      </c>
      <c r="D48" s="66" t="s">
        <v>55</v>
      </c>
      <c r="E48" s="65" t="s">
        <v>38</v>
      </c>
      <c r="F48" s="75" t="s">
        <v>39</v>
      </c>
      <c r="G48" s="65"/>
      <c r="H48" s="65"/>
    </row>
    <row r="49" customFormat="false" ht="16.5" hidden="false" customHeight="false" outlineLevel="0" collapsed="false">
      <c r="A49" s="74" t="n">
        <v>320</v>
      </c>
      <c r="B49" s="68" t="s">
        <v>46</v>
      </c>
      <c r="C49" s="65" t="s">
        <v>18</v>
      </c>
      <c r="D49" s="66" t="n">
        <v>0</v>
      </c>
      <c r="E49" s="75" t="n">
        <v>0</v>
      </c>
      <c r="F49" s="69" t="n">
        <f aca="false">VLOOKUP(C49,$A$2:$G$13,5,FALSE())</f>
        <v>0</v>
      </c>
      <c r="G49" s="70" t="str">
        <f aca="false">IF(F49-E49&gt;0,"Revisar","Bien")</f>
        <v>Bien</v>
      </c>
      <c r="H49" s="65"/>
    </row>
    <row r="50" customFormat="false" ht="16.5" hidden="false" customHeight="false" outlineLevel="0" collapsed="false">
      <c r="A50" s="74" t="n">
        <v>321</v>
      </c>
      <c r="B50" s="68" t="s">
        <v>47</v>
      </c>
      <c r="C50" s="65" t="s">
        <v>10</v>
      </c>
      <c r="D50" s="66" t="n">
        <v>4</v>
      </c>
      <c r="E50" s="75" t="n">
        <v>7100</v>
      </c>
      <c r="F50" s="69" t="n">
        <f aca="false">VLOOKUP(C50,$A$2:$G$13,5,FALSE())</f>
        <v>7100</v>
      </c>
      <c r="G50" s="70" t="str">
        <f aca="false">IF(F50-E50&gt;0,"Revisar","Bien")</f>
        <v>Bien</v>
      </c>
      <c r="H50" s="65"/>
    </row>
    <row r="51" customFormat="false" ht="13.8" hidden="false" customHeight="false" outlineLevel="0" collapsed="false">
      <c r="C51" s="65"/>
      <c r="D51" s="66"/>
      <c r="E51" s="65"/>
      <c r="F51" s="77" t="n">
        <f aca="false">SUM(F49:F50)</f>
        <v>7100</v>
      </c>
      <c r="G51" s="65"/>
      <c r="H51" s="65"/>
    </row>
    <row r="52" customFormat="false" ht="13.8" hidden="false" customHeight="false" outlineLevel="0" collapsed="false">
      <c r="A52" s="64" t="s">
        <v>24</v>
      </c>
      <c r="B52" s="64"/>
      <c r="C52" s="64"/>
      <c r="D52" s="64"/>
      <c r="E52" s="64"/>
      <c r="F52" s="64"/>
      <c r="G52" s="64"/>
      <c r="H52" s="65"/>
    </row>
    <row r="53" customFormat="false" ht="13.8" hidden="false" customHeight="false" outlineLevel="0" collapsed="false">
      <c r="C53" s="65" t="s">
        <v>35</v>
      </c>
      <c r="D53" s="66" t="s">
        <v>55</v>
      </c>
      <c r="E53" s="65" t="s">
        <v>38</v>
      </c>
      <c r="F53" s="75" t="s">
        <v>39</v>
      </c>
      <c r="G53" s="65"/>
      <c r="H53" s="65"/>
    </row>
    <row r="54" customFormat="false" ht="13.8" hidden="false" customHeight="false" outlineLevel="0" collapsed="false">
      <c r="A54" s="1" t="n">
        <v>333</v>
      </c>
      <c r="B54" s="0" t="s">
        <v>52</v>
      </c>
      <c r="C54" s="65" t="s">
        <v>23</v>
      </c>
      <c r="D54" s="66" t="n">
        <v>12</v>
      </c>
      <c r="E54" s="65" t="n">
        <v>4380</v>
      </c>
      <c r="F54" s="69" t="n">
        <f aca="false">VLOOKUP(C54,$A$2:$G$13,3,FALSE())</f>
        <v>4380</v>
      </c>
      <c r="G54" s="70" t="str">
        <f aca="false">IF(F54-E54&gt;0,"Revisar","Bien")</f>
        <v>Bien</v>
      </c>
      <c r="H54" s="65"/>
    </row>
    <row r="55" customFormat="false" ht="13.8" hidden="false" customHeight="false" outlineLevel="0" collapsed="false">
      <c r="A55" s="1" t="n">
        <v>309</v>
      </c>
      <c r="B55" s="0" t="s">
        <v>42</v>
      </c>
      <c r="C55" s="65" t="s">
        <v>19</v>
      </c>
      <c r="D55" s="66" t="n">
        <v>3</v>
      </c>
      <c r="E55" s="65" t="n">
        <v>820</v>
      </c>
      <c r="F55" s="69" t="n">
        <f aca="false">VLOOKUP(C55,$A$2:$G$13,3,FALSE())</f>
        <v>820</v>
      </c>
      <c r="G55" s="70" t="str">
        <f aca="false">IF(F55-E55&gt;0,"Revisar","Bien")</f>
        <v>Bien</v>
      </c>
      <c r="H55" s="65"/>
    </row>
    <row r="56" customFormat="false" ht="13.8" hidden="false" customHeight="false" outlineLevel="0" collapsed="false">
      <c r="A56" s="1" t="n">
        <v>316</v>
      </c>
      <c r="B56" s="0" t="s">
        <v>48</v>
      </c>
      <c r="C56" s="65" t="s">
        <v>20</v>
      </c>
      <c r="D56" s="66" t="n">
        <v>1</v>
      </c>
      <c r="E56" s="65" t="n">
        <v>120</v>
      </c>
      <c r="F56" s="69" t="n">
        <f aca="false">VLOOKUP(C56,$A$2:$G$13,3,FALSE())</f>
        <v>120</v>
      </c>
      <c r="G56" s="70" t="str">
        <f aca="false">IF(F56-E56&gt;0,"Revisar","Bien")</f>
        <v>Bien</v>
      </c>
      <c r="H56" s="65"/>
    </row>
    <row r="57" customFormat="false" ht="13.8" hidden="false" customHeight="false" outlineLevel="0" collapsed="false">
      <c r="C57" s="65"/>
      <c r="D57" s="66"/>
      <c r="E57" s="65"/>
      <c r="F57" s="77" t="n">
        <f aca="false">SUM(F54:F55)</f>
        <v>5200</v>
      </c>
      <c r="G57" s="65"/>
      <c r="H57" s="65"/>
    </row>
    <row r="58" customFormat="false" ht="13.8" hidden="false" customHeight="false" outlineLevel="0" collapsed="false">
      <c r="A58" s="64" t="s">
        <v>59</v>
      </c>
      <c r="B58" s="64"/>
      <c r="C58" s="64"/>
      <c r="D58" s="64"/>
      <c r="E58" s="64"/>
      <c r="F58" s="64"/>
      <c r="G58" s="64"/>
      <c r="H58" s="65"/>
    </row>
    <row r="59" customFormat="false" ht="13.8" hidden="false" customHeight="false" outlineLevel="0" collapsed="false">
      <c r="C59" s="65" t="s">
        <v>35</v>
      </c>
      <c r="D59" s="66" t="s">
        <v>55</v>
      </c>
      <c r="E59" s="65" t="s">
        <v>38</v>
      </c>
      <c r="F59" s="75" t="s">
        <v>39</v>
      </c>
      <c r="G59" s="65"/>
      <c r="H59" s="65"/>
    </row>
    <row r="60" customFormat="false" ht="13.8" hidden="false" customHeight="false" outlineLevel="0" collapsed="false">
      <c r="A60" s="1" t="n">
        <v>109</v>
      </c>
      <c r="B60" s="76" t="s">
        <v>50</v>
      </c>
      <c r="C60" s="65" t="s">
        <v>14</v>
      </c>
      <c r="D60" s="66" t="n">
        <v>3</v>
      </c>
      <c r="E60" s="75" t="n">
        <v>0</v>
      </c>
      <c r="F60" s="69" t="n">
        <f aca="false">VLOOKUP(C60,$A$2:$G$13,2,FALSE())</f>
        <v>0</v>
      </c>
      <c r="G60" s="70" t="str">
        <f aca="false">IF(F60-E60&gt;0,"Revisar","Bien")</f>
        <v>Bien</v>
      </c>
      <c r="H60" s="65"/>
    </row>
    <row r="61" customFormat="false" ht="13.8" hidden="false" customHeight="false" outlineLevel="0" collapsed="false">
      <c r="A61" s="1" t="n">
        <v>309</v>
      </c>
      <c r="B61" s="0" t="s">
        <v>42</v>
      </c>
      <c r="C61" s="65" t="s">
        <v>19</v>
      </c>
      <c r="D61" s="66" t="n">
        <v>2</v>
      </c>
      <c r="E61" s="75" t="n">
        <v>0</v>
      </c>
      <c r="F61" s="69" t="n">
        <f aca="false">VLOOKUP(C61,$A$2:$G$13,2,FALSE())</f>
        <v>0</v>
      </c>
      <c r="G61" s="70" t="str">
        <f aca="false">IF(F61-E61&gt;0,"Revisar","Bien")</f>
        <v>Bien</v>
      </c>
      <c r="H61" s="65"/>
    </row>
    <row r="62" customFormat="false" ht="13.8" hidden="false" customHeight="false" outlineLevel="0" collapsed="false">
      <c r="A62" s="1" t="n">
        <v>296</v>
      </c>
      <c r="B62" s="0" t="s">
        <v>56</v>
      </c>
      <c r="C62" s="65" t="s">
        <v>22</v>
      </c>
      <c r="D62" s="66" t="n">
        <v>4</v>
      </c>
      <c r="E62" s="75" t="n">
        <v>0</v>
      </c>
      <c r="F62" s="69" t="n">
        <f aca="false">VLOOKUP(C62,$A$2:$G$13,2,FALSE())</f>
        <v>0</v>
      </c>
      <c r="G62" s="70" t="str">
        <f aca="false">IF(F62-E62&gt;0,"Revisar","Bien")</f>
        <v>Bien</v>
      </c>
      <c r="H62" s="65"/>
    </row>
    <row r="63" customFormat="false" ht="13.8" hidden="false" customHeight="false" outlineLevel="0" collapsed="false">
      <c r="C63" s="65"/>
      <c r="D63" s="66"/>
      <c r="E63" s="65"/>
      <c r="F63" s="77" t="n">
        <f aca="false">SUM(F60:F60)</f>
        <v>0</v>
      </c>
      <c r="G63" s="65"/>
      <c r="H63" s="65"/>
    </row>
  </sheetData>
  <mergeCells count="6">
    <mergeCell ref="A18:H18"/>
    <mergeCell ref="A31:H31"/>
    <mergeCell ref="A40:H40"/>
    <mergeCell ref="A47:G47"/>
    <mergeCell ref="A52:G52"/>
    <mergeCell ref="A58:G5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1106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2019-11-06T08:10:47Z</dcterms:created>
  <dc:creator>usuario</dc:creator>
  <dc:description/>
  <dc:language>es-ES</dc:language>
  <cp:lastModifiedBy>JORGE AZUARA ROCA</cp:lastModifiedBy>
  <dcterms:modified xsi:type="dcterms:W3CDTF">2019-11-07T08:18:46Z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