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_2" sheetId="4" state="visible" r:id="rId5"/>
  </sheets>
  <definedNames>
    <definedName function="false" hidden="true" localSheetId="0" name="_xlnm._FilterDatabase" vbProcedure="false">Hoja1!$A$1:$J$194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<sst xmlns="http://schemas.openxmlformats.org/spreadsheetml/2006/main" count="952" uniqueCount="65">
  <si>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</si>
  <si>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</si>
  <si>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</si>
  <si>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</si>
  <si>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</si>
  <si>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</si>
  <si>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</si>
  <si>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</si>
  <si>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</si>
  <si>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</si>
  <si>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7809JZX</t>
  </si>
  <si>
    <t xml:space="preserve">PEÑISCOLA </t>
  </si>
  <si>
    <t xml:space="preserve">RSU</t>
  </si>
  <si>
    <t xml:space="preserve">x</t>
  </si>
  <si>
    <t xml:space="preserve">7542KBV</t>
  </si>
  <si>
    <t xml:space="preserve">1730KBZ</t>
  </si>
  <si>
    <t xml:space="preserve">6120JZX</t>
  </si>
  <si>
    <t xml:space="preserve">PODA</t>
  </si>
  <si>
    <t xml:space="preserve">0315BGK</t>
  </si>
  <si>
    <t xml:space="preserve">VOL</t>
  </si>
  <si>
    <t xml:space="preserve">3686KBG</t>
  </si>
  <si>
    <t xml:space="preserve">1076KSZ</t>
  </si>
  <si>
    <t xml:space="preserve">SEL.PAP</t>
  </si>
  <si>
    <t xml:space="preserve">7957JZS</t>
  </si>
  <si>
    <t xml:space="preserve">SEL.ENV</t>
  </si>
  <si>
    <t xml:space="preserve">1821KBZ</t>
  </si>
  <si>
    <t xml:space="preserve">LIMP. PLAYA</t>
  </si>
  <si>
    <t xml:space="preserve">- todo -</t>
  </si>
  <si>
    <t xml:space="preserve">Suma - Carga</t>
  </si>
  <si>
    <t xml:space="preserve">Datos</t>
  </si>
  <si>
    <t xml:space="preserve">Total Resultado</t>
  </si>
  <si>
    <t xml:space="preserve">VOLUMINOSOS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</si>
  <si>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</si>
  <si>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</si>
  <si>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</si>
  <si>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</si>
  <si>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</si>
  <si>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</si>
  <si>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</si>
  <si>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</si>
  <si>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</si>
  <si>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</si>
  <si>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GRUA</t>
  </si>
  <si>
    <t xml:space="preserve">Volquete Jardineria</t>
  </si>
  <si>
    <t xml:space="preserve">Recolector 22 _ 1</t>
  </si>
  <si>
    <t xml:space="preserve">2-3-4-5</t>
  </si>
  <si>
    <t xml:space="preserve">Noche</t>
  </si>
  <si>
    <t xml:space="preserve">Recolector 22 _ 2</t>
  </si>
  <si>
    <t xml:space="preserve">volquete 4x4 LV</t>
  </si>
  <si>
    <t xml:space="preserve">Dia/Noche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</si>
  <si>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</si>
  <si>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</si>
  <si>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</si>
  <si>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</si>
  <si>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</si>
  <si>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</si>
  <si>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</si>
  <si>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</si>
  <si>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</si>
  <si>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volquete</t>
  </si>
  <si>
    <t xml:space="preserve">En certificado y datos error en matricula 7957 en lugar de 7657</t>
  </si>
  <si>
    <t xml:space="preserve">2828CZW</t>
  </si>
  <si>
    <t xml:space="preserve">Camión FOBESA</t>
  </si>
  <si>
    <t xml:space="preserve">5936GJY</t>
  </si>
  <si>
    <t xml:space="preserve">+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</si>
</sst>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DD/MM/YYYY"/>
    <numFmt numFmtId="171" formatCode="#,##0;[RED]\-#,##0"/>
  </numFmts>
  <fonts count="21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 val="true"/>
      <sz val="10"/>
      <color rgb="FF808080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 val="true"/>
      <sz val="10"/>
      <color rgb="FFFFFFFF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Calibri"/>
      <family val="2"/>
    </font>
    <font>
      <sz val="11"/>
      <color rgb="FF000000"/>
      <name val="Arial"/>
      <family val="0"/>
    </font>
    <font>
      <b val="true"/>
      <sz val="11"/>
      <color rgb="FF000000"/>
      <name val="Calibri"/>
      <family val="2"/>
    </font>
    <font>
      <b val="true"/>
      <sz val="10"/>
      <name val="Arial"/>
      <family val="2"/>
    </font>
    <font>
      <sz val="10"/>
      <color rgb="FF000000"/>
      <name val="Arial"/>
      <family val="2"/>
    </font>
    <font>
      <b val="true"/>
      <sz val="11"/>
      <name val="Calibri"/>
      <family val="2"/>
    </font>
    <font>
      <sz val="11"/>
      <color rgb="FF000000"/>
      <name val="Frutiger 45 Light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9AE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FCD3C1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9D9D9"/>
      </patternFill>
    </fill>
    <fill>
      <patternFill patternType="solid">
        <fgColor rgb="FFD9D9D9"/>
        <bgColor rgb="FFDDDDDD"/>
      </patternFill>
    </fill>
    <fill>
      <patternFill patternType="solid">
        <fgColor rgb="FFFFF9AE"/>
        <bgColor rgb="FFFFFFCC"/>
      </patternFill>
    </fill>
    <fill>
      <patternFill patternType="solid">
        <fgColor rgb="FFFCD3C1"/>
        <bgColor rgb="FFFFCC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43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5" fillId="0" borderId="0" applyFont="true" applyBorder="false" applyAlignment="true" applyProtection="false">
      <alignment horizontal="general" vertical="bottom" textRotation="0" wrapText="false" indent="0" shrinkToFit="false"/>
    </xf>
    <xf numFmtId="165" fontId="6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7" fillId="2" borderId="1" applyFont="true" applyBorder="true" applyAlignment="true" applyProtection="false">
      <alignment horizontal="general" vertical="bottom" textRotation="0" wrapText="false" indent="0" shrinkToFit="false"/>
    </xf>
    <xf numFmtId="165" fontId="8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9" fillId="3" borderId="0" applyFont="true" applyBorder="false" applyAlignment="true" applyProtection="false">
      <alignment horizontal="general" vertical="bottom" textRotation="0" wrapText="false" indent="0" shrinkToFit="false"/>
    </xf>
    <xf numFmtId="165" fontId="10" fillId="2" borderId="0" applyFont="true" applyBorder="false" applyAlignment="true" applyProtection="false">
      <alignment horizontal="general" vertical="bottom" textRotation="0" wrapText="false" indent="0" shrinkToFit="false"/>
    </xf>
    <xf numFmtId="165" fontId="11" fillId="4" borderId="0" applyFont="true" applyBorder="false" applyAlignment="true" applyProtection="false">
      <alignment horizontal="general" vertical="bottom" textRotation="0" wrapText="false" indent="0" shrinkToFit="false"/>
    </xf>
    <xf numFmtId="165" fontId="11" fillId="0" borderId="0" applyFont="true" applyBorder="false" applyAlignment="true" applyProtection="false">
      <alignment horizontal="general" vertical="bottom" textRotation="0" wrapText="false" indent="0" shrinkToFit="false"/>
    </xf>
    <xf numFmtId="165" fontId="12" fillId="5" borderId="0" applyFont="true" applyBorder="false" applyAlignment="true" applyProtection="false">
      <alignment horizontal="general" vertical="bottom" textRotation="0" wrapText="false" indent="0" shrinkToFit="false"/>
    </xf>
    <xf numFmtId="165" fontId="13" fillId="0" borderId="0" applyFont="true" applyBorder="false" applyAlignment="true" applyProtection="false">
      <alignment horizontal="general" vertical="bottom" textRotation="0" wrapText="false" indent="0" shrinkToFit="false"/>
    </xf>
    <xf numFmtId="165" fontId="14" fillId="6" borderId="0" applyFont="true" applyBorder="false" applyAlignment="true" applyProtection="false">
      <alignment horizontal="general" vertical="bottom" textRotation="0" wrapText="false" indent="0" shrinkToFit="false"/>
    </xf>
    <xf numFmtId="165" fontId="14" fillId="7" borderId="0" applyFont="true" applyBorder="false" applyAlignment="true" applyProtection="false">
      <alignment horizontal="general" vertical="bottom" textRotation="0" wrapText="false" indent="0" shrinkToFit="false"/>
    </xf>
    <xf numFmtId="165" fontId="13" fillId="8" borderId="0" applyFont="true" applyBorder="false" applyAlignment="true" applyProtection="false">
      <alignment horizontal="general" vertical="bottom" textRotation="0" wrapText="false" indent="0" shrinkToFit="false"/>
    </xf>
    <xf numFmtId="165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16" fillId="0" borderId="0" applyFont="true" applyBorder="false" applyAlignment="true" applyProtection="false">
      <alignment horizontal="left" vertical="bottom" textRotation="0" wrapText="false" indent="0" shrinkToFit="false"/>
    </xf>
    <xf numFmtId="165" fontId="1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2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3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3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6" fillId="0" borderId="10" xfId="4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2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5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7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39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39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1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2" xfId="4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6" fillId="0" borderId="2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4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5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6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1" xfId="4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2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5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6" xfId="4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6" fillId="0" borderId="1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1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22" xfId="4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6" fillId="0" borderId="2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4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5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6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3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3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3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7" xfId="3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8" xfId="3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6" fillId="0" borderId="2" xfId="3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29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8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2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0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0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3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2" xfId="3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3" xfId="3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3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3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10" borderId="13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0" borderId="29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7" xfId="3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3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15" fillId="10" borderId="0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0" borderId="3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17" xfId="3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0" borderId="0" xfId="3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9" fillId="10" borderId="3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0" xfId="3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3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3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0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8" xfId="3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1" borderId="9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9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10" borderId="9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0" borderId="31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10" borderId="29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8" xfId="3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11" borderId="9" xfId="3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6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3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3" xfId="3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3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7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9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  <cellStyle name="Normal 2" xfId="36" builtinId="53" customBuiltin="true"/>
    <cellStyle name="Campo de la tabla dinámica" xfId="37" builtinId="53" customBuiltin="true"/>
    <cellStyle name="Esquina de la tabla dinámica" xfId="38" builtinId="53" customBuiltin="true"/>
    <cellStyle name="Valor de la tabla dinámica" xfId="39" builtinId="53" customBuiltin="true"/>
    <cellStyle name="Categoría de la tabla dinámica" xfId="40" builtinId="53" customBuiltin="true"/>
    <cellStyle name="Título de la tabla dinámica" xfId="41" builtinId="53" customBuiltin="true"/>
    <cellStyle name="Resultado de la tabla dinámica" xfId="42" builtinId="53" customBuiltin="true"/>
  </cellStyles>
  <dxfs count="11"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CC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5" t="n">
        <v>44256</v>
      </c>
      <c r="B2" s="6" t="n">
        <v>0.242361111111111</v>
      </c>
      <c r="C2" s="7" t="n">
        <v>135774</v>
      </c>
      <c r="D2" s="7" t="s">
        <v>10</v>
      </c>
      <c r="E2" s="7" t="n">
        <v>4160</v>
      </c>
      <c r="F2" s="7" t="n">
        <v>3800</v>
      </c>
      <c r="G2" s="8" t="n">
        <v>360</v>
      </c>
      <c r="H2" s="7" t="s">
        <v>11</v>
      </c>
      <c r="I2" s="7" t="s">
        <v>12</v>
      </c>
      <c r="J2" s="0" t="s">
        <v>13</v>
      </c>
    </row>
    <row r="3" customFormat="false" ht="15" hidden="false" customHeight="false" outlineLevel="0" collapsed="false">
      <c r="A3" s="5" t="n">
        <v>44256</v>
      </c>
      <c r="B3" s="6" t="n">
        <v>0.114583333333333</v>
      </c>
      <c r="C3" s="7" t="n">
        <v>135765</v>
      </c>
      <c r="D3" s="7" t="s">
        <v>14</v>
      </c>
      <c r="E3" s="7" t="n">
        <v>14800</v>
      </c>
      <c r="F3" s="7" t="n">
        <v>12900</v>
      </c>
      <c r="G3" s="8" t="n">
        <v>1900</v>
      </c>
      <c r="H3" s="7" t="s">
        <v>11</v>
      </c>
      <c r="I3" s="7" t="s">
        <v>12</v>
      </c>
      <c r="J3" s="0" t="s">
        <v>13</v>
      </c>
    </row>
    <row r="4" customFormat="false" ht="15" hidden="false" customHeight="false" outlineLevel="0" collapsed="false">
      <c r="A4" s="5" t="n">
        <v>44256</v>
      </c>
      <c r="B4" s="6" t="n">
        <v>0.270833333333333</v>
      </c>
      <c r="C4" s="7" t="n">
        <v>135775</v>
      </c>
      <c r="D4" s="7" t="s">
        <v>15</v>
      </c>
      <c r="E4" s="7" t="n">
        <v>23920</v>
      </c>
      <c r="F4" s="7" t="n">
        <v>15680</v>
      </c>
      <c r="G4" s="8" t="n">
        <v>8240</v>
      </c>
      <c r="H4" s="7" t="s">
        <v>11</v>
      </c>
      <c r="I4" s="7" t="s">
        <v>12</v>
      </c>
      <c r="J4" s="0" t="s">
        <v>13</v>
      </c>
    </row>
    <row r="5" customFormat="false" ht="15" hidden="false" customHeight="false" outlineLevel="0" collapsed="false">
      <c r="A5" s="5" t="n">
        <v>44256</v>
      </c>
      <c r="B5" s="6" t="n">
        <v>0.542361111111111</v>
      </c>
      <c r="C5" s="7" t="n">
        <v>115160</v>
      </c>
      <c r="D5" s="7" t="s">
        <v>16</v>
      </c>
      <c r="E5" s="7" t="n">
        <v>3600</v>
      </c>
      <c r="F5" s="7" t="n">
        <v>2880</v>
      </c>
      <c r="G5" s="8" t="n">
        <v>720</v>
      </c>
      <c r="H5" s="7" t="s">
        <v>11</v>
      </c>
      <c r="I5" s="7" t="s">
        <v>17</v>
      </c>
      <c r="J5" s="0" t="s">
        <v>13</v>
      </c>
    </row>
    <row r="6" customFormat="false" ht="15" hidden="false" customHeight="false" outlineLevel="0" collapsed="false">
      <c r="A6" s="5" t="n">
        <v>44256</v>
      </c>
      <c r="B6" s="6" t="n">
        <v>0.542361111111111</v>
      </c>
      <c r="C6" s="7" t="n">
        <v>115153</v>
      </c>
      <c r="D6" s="7" t="s">
        <v>18</v>
      </c>
      <c r="E6" s="7" t="n">
        <v>22420</v>
      </c>
      <c r="F6" s="7" t="n">
        <v>22340</v>
      </c>
      <c r="G6" s="8" t="n">
        <v>80</v>
      </c>
      <c r="H6" s="7" t="s">
        <v>11</v>
      </c>
      <c r="I6" s="7" t="s">
        <v>19</v>
      </c>
      <c r="J6" s="0" t="s">
        <v>13</v>
      </c>
    </row>
    <row r="7" customFormat="false" ht="15" hidden="false" customHeight="false" outlineLevel="0" collapsed="false">
      <c r="A7" s="5" t="n">
        <v>44256</v>
      </c>
      <c r="B7" s="6" t="n">
        <v>0.506944444444444</v>
      </c>
      <c r="C7" s="7" t="n">
        <v>115151</v>
      </c>
      <c r="D7" s="7" t="s">
        <v>18</v>
      </c>
      <c r="E7" s="7" t="n">
        <v>22340</v>
      </c>
      <c r="F7" s="7" t="n">
        <v>15940</v>
      </c>
      <c r="G7" s="8" t="n">
        <v>6400</v>
      </c>
      <c r="H7" s="7" t="s">
        <v>11</v>
      </c>
      <c r="I7" s="7" t="s">
        <v>19</v>
      </c>
      <c r="J7" s="0" t="s">
        <v>13</v>
      </c>
    </row>
    <row r="8" customFormat="false" ht="15" hidden="false" customHeight="false" outlineLevel="0" collapsed="false">
      <c r="A8" s="5" t="n">
        <v>44256</v>
      </c>
      <c r="B8" s="6" t="n">
        <v>0.525</v>
      </c>
      <c r="C8" s="7" t="n">
        <v>135799</v>
      </c>
      <c r="D8" s="7" t="s">
        <v>20</v>
      </c>
      <c r="E8" s="7" t="n">
        <v>2560</v>
      </c>
      <c r="F8" s="7" t="n">
        <v>2420</v>
      </c>
      <c r="G8" s="8" t="n">
        <v>140</v>
      </c>
      <c r="H8" s="7" t="s">
        <v>11</v>
      </c>
      <c r="I8" s="7" t="s">
        <v>12</v>
      </c>
      <c r="J8" s="0" t="s">
        <v>13</v>
      </c>
    </row>
    <row r="9" customFormat="false" ht="15" hidden="false" customHeight="false" outlineLevel="0" collapsed="false">
      <c r="A9" s="5" t="n">
        <v>44256</v>
      </c>
      <c r="B9" s="6" t="n">
        <v>0.541666666666667</v>
      </c>
      <c r="C9" s="7" t="n">
        <v>115159</v>
      </c>
      <c r="D9" s="7" t="s">
        <v>21</v>
      </c>
      <c r="E9" s="7" t="n">
        <v>3020</v>
      </c>
      <c r="F9" s="7" t="n">
        <v>2720</v>
      </c>
      <c r="G9" s="8" t="n">
        <v>300</v>
      </c>
      <c r="H9" s="7" t="s">
        <v>11</v>
      </c>
      <c r="I9" s="7" t="s">
        <v>17</v>
      </c>
      <c r="J9" s="0" t="s">
        <v>13</v>
      </c>
    </row>
    <row r="10" customFormat="false" ht="15" hidden="false" customHeight="false" outlineLevel="0" collapsed="false">
      <c r="A10" s="5" t="n">
        <v>44257</v>
      </c>
      <c r="B10" s="6" t="n">
        <v>0.259027777777778</v>
      </c>
      <c r="C10" s="7" t="n">
        <v>135822</v>
      </c>
      <c r="D10" s="7" t="s">
        <v>10</v>
      </c>
      <c r="E10" s="7" t="n">
        <v>4140</v>
      </c>
      <c r="F10" s="7" t="n">
        <v>3820</v>
      </c>
      <c r="G10" s="8" t="n">
        <v>320</v>
      </c>
      <c r="H10" s="7" t="s">
        <v>11</v>
      </c>
      <c r="I10" s="7" t="s">
        <v>12</v>
      </c>
      <c r="J10" s="0" t="s">
        <v>13</v>
      </c>
    </row>
    <row r="11" customFormat="false" ht="15" hidden="false" customHeight="false" outlineLevel="0" collapsed="false">
      <c r="A11" s="5" t="n">
        <v>44257</v>
      </c>
      <c r="B11" s="6" t="n">
        <v>0.177083333333333</v>
      </c>
      <c r="C11" s="7" t="n">
        <v>135818</v>
      </c>
      <c r="D11" s="7" t="s">
        <v>14</v>
      </c>
      <c r="E11" s="7" t="n">
        <v>15020</v>
      </c>
      <c r="F11" s="7" t="n">
        <v>12880</v>
      </c>
      <c r="G11" s="8" t="n">
        <v>2140</v>
      </c>
      <c r="H11" s="7" t="s">
        <v>11</v>
      </c>
      <c r="I11" s="7" t="s">
        <v>12</v>
      </c>
      <c r="J11" s="0" t="s">
        <v>13</v>
      </c>
    </row>
    <row r="12" customFormat="false" ht="15" hidden="false" customHeight="false" outlineLevel="0" collapsed="false">
      <c r="A12" s="5" t="n">
        <v>44257</v>
      </c>
      <c r="B12" s="6" t="n">
        <v>0.271527777777778</v>
      </c>
      <c r="C12" s="9" t="n">
        <v>135823</v>
      </c>
      <c r="D12" s="7" t="s">
        <v>15</v>
      </c>
      <c r="E12" s="7" t="n">
        <v>23700</v>
      </c>
      <c r="F12" s="7" t="n">
        <v>15780</v>
      </c>
      <c r="G12" s="8" t="n">
        <v>7920</v>
      </c>
      <c r="H12" s="7" t="s">
        <v>11</v>
      </c>
      <c r="I12" s="7" t="s">
        <v>12</v>
      </c>
      <c r="J12" s="0" t="s">
        <v>13</v>
      </c>
    </row>
    <row r="13" customFormat="false" ht="15" hidden="false" customHeight="false" outlineLevel="0" collapsed="false">
      <c r="A13" s="5" t="n">
        <v>44257</v>
      </c>
      <c r="B13" s="6" t="n">
        <v>0.523611111111111</v>
      </c>
      <c r="C13" s="7" t="n">
        <v>135844</v>
      </c>
      <c r="D13" s="7" t="s">
        <v>20</v>
      </c>
      <c r="E13" s="7" t="n">
        <v>2780</v>
      </c>
      <c r="F13" s="7" t="n">
        <v>2400</v>
      </c>
      <c r="G13" s="8" t="n">
        <v>380</v>
      </c>
      <c r="H13" s="7" t="s">
        <v>11</v>
      </c>
      <c r="I13" s="7" t="s">
        <v>12</v>
      </c>
      <c r="J13" s="0" t="s">
        <v>13</v>
      </c>
    </row>
    <row r="14" customFormat="false" ht="13.8" hidden="false" customHeight="false" outlineLevel="0" collapsed="false">
      <c r="A14" s="5" t="n">
        <v>44257</v>
      </c>
      <c r="B14" s="6" t="n">
        <v>0.515972222222222</v>
      </c>
      <c r="C14" s="7" t="n">
        <v>115242</v>
      </c>
      <c r="D14" s="7" t="s">
        <v>15</v>
      </c>
      <c r="E14" s="7" t="n">
        <v>17000</v>
      </c>
      <c r="F14" s="7" t="n">
        <v>15780</v>
      </c>
      <c r="G14" s="8" t="n">
        <v>1220</v>
      </c>
      <c r="H14" s="7" t="s">
        <v>11</v>
      </c>
      <c r="I14" s="7" t="s">
        <v>22</v>
      </c>
      <c r="J14" s="10" t="s">
        <v>13</v>
      </c>
    </row>
    <row r="15" customFormat="false" ht="13.8" hidden="false" customHeight="false" outlineLevel="0" collapsed="false">
      <c r="A15" s="5" t="n">
        <v>44257</v>
      </c>
      <c r="B15" s="6" t="n">
        <v>0.522222222222222</v>
      </c>
      <c r="C15" s="7" t="n">
        <v>115245</v>
      </c>
      <c r="D15" s="7" t="s">
        <v>23</v>
      </c>
      <c r="E15" s="7" t="n">
        <v>6680</v>
      </c>
      <c r="F15" s="7" t="n">
        <v>6560</v>
      </c>
      <c r="G15" s="8" t="n">
        <v>120</v>
      </c>
      <c r="H15" s="7" t="s">
        <v>11</v>
      </c>
      <c r="I15" s="7" t="s">
        <v>19</v>
      </c>
      <c r="J15" s="0" t="s">
        <v>13</v>
      </c>
    </row>
    <row r="16" customFormat="false" ht="13.8" hidden="false" customHeight="false" outlineLevel="0" collapsed="false">
      <c r="A16" s="5" t="n">
        <v>44257</v>
      </c>
      <c r="B16" s="6" t="n">
        <v>0.522222222222222</v>
      </c>
      <c r="C16" s="7" t="n">
        <v>115244</v>
      </c>
      <c r="D16" s="7" t="s">
        <v>23</v>
      </c>
      <c r="E16" s="7" t="n">
        <v>6560</v>
      </c>
      <c r="F16" s="7" t="n">
        <v>5780</v>
      </c>
      <c r="G16" s="8" t="n">
        <v>780</v>
      </c>
      <c r="H16" s="7" t="s">
        <v>11</v>
      </c>
      <c r="I16" s="7" t="s">
        <v>19</v>
      </c>
      <c r="J16" s="0" t="s">
        <v>13</v>
      </c>
    </row>
    <row r="17" customFormat="false" ht="13.8" hidden="false" customHeight="false" outlineLevel="0" collapsed="false">
      <c r="A17" s="5" t="n">
        <v>44258</v>
      </c>
      <c r="B17" s="6" t="n">
        <v>0.261111111111111</v>
      </c>
      <c r="C17" s="7" t="n">
        <v>135866</v>
      </c>
      <c r="D17" s="7" t="s">
        <v>10</v>
      </c>
      <c r="E17" s="7" t="n">
        <v>4120</v>
      </c>
      <c r="F17" s="7" t="n">
        <v>3780</v>
      </c>
      <c r="G17" s="8" t="n">
        <v>340</v>
      </c>
      <c r="H17" s="7" t="s">
        <v>11</v>
      </c>
      <c r="I17" s="7" t="s">
        <v>12</v>
      </c>
      <c r="J17" s="0" t="s">
        <v>13</v>
      </c>
    </row>
    <row r="18" customFormat="false" ht="13.8" hidden="false" customHeight="false" outlineLevel="0" collapsed="false">
      <c r="A18" s="5" t="n">
        <v>44258</v>
      </c>
      <c r="B18" s="6" t="n">
        <v>0.259722222222222</v>
      </c>
      <c r="C18" s="7" t="n">
        <v>135865</v>
      </c>
      <c r="D18" s="7" t="s">
        <v>15</v>
      </c>
      <c r="E18" s="7" t="n">
        <v>22640</v>
      </c>
      <c r="F18" s="7" t="n">
        <v>15820</v>
      </c>
      <c r="G18" s="8" t="n">
        <v>6820</v>
      </c>
      <c r="H18" s="7" t="s">
        <v>11</v>
      </c>
      <c r="I18" s="7" t="s">
        <v>12</v>
      </c>
      <c r="J18" s="0" t="s">
        <v>13</v>
      </c>
    </row>
    <row r="19" customFormat="false" ht="13.8" hidden="false" customHeight="false" outlineLevel="0" collapsed="false">
      <c r="A19" s="5" t="n">
        <v>44258</v>
      </c>
      <c r="B19" s="6" t="n">
        <v>0.178472222222222</v>
      </c>
      <c r="C19" s="7" t="n">
        <v>135862</v>
      </c>
      <c r="D19" s="7" t="s">
        <v>14</v>
      </c>
      <c r="E19" s="7" t="n">
        <v>14760</v>
      </c>
      <c r="F19" s="7" t="n">
        <v>12840</v>
      </c>
      <c r="G19" s="8" t="n">
        <v>1920</v>
      </c>
      <c r="H19" s="7" t="s">
        <v>11</v>
      </c>
      <c r="I19" s="7" t="s">
        <v>12</v>
      </c>
      <c r="J19" s="0" t="s">
        <v>13</v>
      </c>
    </row>
    <row r="20" customFormat="false" ht="13.8" hidden="false" customHeight="false" outlineLevel="0" collapsed="false">
      <c r="A20" s="5" t="n">
        <v>44258</v>
      </c>
      <c r="B20" s="6" t="n">
        <v>0.509722222222222</v>
      </c>
      <c r="C20" s="7" t="n">
        <v>1180</v>
      </c>
      <c r="D20" s="7" t="s">
        <v>15</v>
      </c>
      <c r="E20" s="7" t="n">
        <v>16860</v>
      </c>
      <c r="F20" s="7" t="n">
        <v>15760</v>
      </c>
      <c r="G20" s="8" t="n">
        <v>1100</v>
      </c>
      <c r="H20" s="7" t="s">
        <v>11</v>
      </c>
      <c r="I20" s="7" t="s">
        <v>24</v>
      </c>
      <c r="J20" s="10" t="s">
        <v>13</v>
      </c>
    </row>
    <row r="21" customFormat="false" ht="13.8" hidden="false" customHeight="false" outlineLevel="0" collapsed="false">
      <c r="A21" s="5" t="n">
        <v>44258</v>
      </c>
      <c r="B21" s="6" t="n">
        <v>0.543055555555555</v>
      </c>
      <c r="C21" s="7" t="n">
        <v>135892</v>
      </c>
      <c r="D21" s="7" t="s">
        <v>20</v>
      </c>
      <c r="E21" s="7" t="n">
        <v>2740</v>
      </c>
      <c r="F21" s="7" t="n">
        <v>2400</v>
      </c>
      <c r="G21" s="8" t="n">
        <v>340</v>
      </c>
      <c r="H21" s="7" t="s">
        <v>11</v>
      </c>
      <c r="I21" s="7" t="s">
        <v>12</v>
      </c>
      <c r="J21" s="0" t="s">
        <v>13</v>
      </c>
    </row>
    <row r="22" customFormat="false" ht="13.8" hidden="false" customHeight="false" outlineLevel="0" collapsed="false">
      <c r="A22" s="5" t="n">
        <v>44258</v>
      </c>
      <c r="B22" s="6" t="n">
        <v>0.540277777777778</v>
      </c>
      <c r="C22" s="7" t="n">
        <v>115332</v>
      </c>
      <c r="D22" s="7" t="s">
        <v>23</v>
      </c>
      <c r="E22" s="7" t="n">
        <v>6560</v>
      </c>
      <c r="F22" s="7" t="n">
        <v>5580</v>
      </c>
      <c r="G22" s="8" t="n">
        <v>980</v>
      </c>
      <c r="H22" s="7" t="s">
        <v>11</v>
      </c>
      <c r="I22" s="7" t="s">
        <v>19</v>
      </c>
      <c r="J22" s="0" t="s">
        <v>13</v>
      </c>
    </row>
    <row r="23" customFormat="false" ht="13.8" hidden="false" customHeight="false" outlineLevel="0" collapsed="false">
      <c r="A23" s="5" t="n">
        <v>44258</v>
      </c>
      <c r="B23" s="6" t="n">
        <v>0.359722222222222</v>
      </c>
      <c r="C23" s="7" t="n">
        <v>115288</v>
      </c>
      <c r="D23" s="7" t="s">
        <v>23</v>
      </c>
      <c r="E23" s="7" t="n">
        <v>6980</v>
      </c>
      <c r="F23" s="7" t="n">
        <v>5700</v>
      </c>
      <c r="G23" s="8" t="n">
        <v>1280</v>
      </c>
      <c r="H23" s="7" t="s">
        <v>11</v>
      </c>
      <c r="I23" s="7" t="s">
        <v>19</v>
      </c>
      <c r="J23" s="0" t="s">
        <v>13</v>
      </c>
    </row>
    <row r="24" customFormat="false" ht="13.8" hidden="false" customHeight="false" outlineLevel="0" collapsed="false">
      <c r="A24" s="5" t="n">
        <v>44259</v>
      </c>
      <c r="B24" s="6" t="n">
        <v>0.2625</v>
      </c>
      <c r="C24" s="7" t="n">
        <v>135917</v>
      </c>
      <c r="D24" s="7" t="s">
        <v>10</v>
      </c>
      <c r="E24" s="7" t="n">
        <v>4240</v>
      </c>
      <c r="F24" s="7" t="n">
        <v>3820</v>
      </c>
      <c r="G24" s="8" t="n">
        <v>420</v>
      </c>
      <c r="H24" s="7" t="s">
        <v>11</v>
      </c>
      <c r="I24" s="7" t="s">
        <v>12</v>
      </c>
      <c r="J24" s="0" t="s">
        <v>13</v>
      </c>
    </row>
    <row r="25" customFormat="false" ht="13.8" hidden="false" customHeight="false" outlineLevel="0" collapsed="false">
      <c r="A25" s="5" t="n">
        <v>44259</v>
      </c>
      <c r="B25" s="6" t="n">
        <v>0.183333333333333</v>
      </c>
      <c r="C25" s="7" t="n">
        <v>135913</v>
      </c>
      <c r="D25" s="7" t="s">
        <v>14</v>
      </c>
      <c r="E25" s="7" t="n">
        <v>15020</v>
      </c>
      <c r="F25" s="7" t="n">
        <v>12820</v>
      </c>
      <c r="G25" s="8" t="n">
        <v>2200</v>
      </c>
      <c r="H25" s="7" t="s">
        <v>11</v>
      </c>
      <c r="I25" s="7" t="s">
        <v>12</v>
      </c>
      <c r="J25" s="0" t="s">
        <v>13</v>
      </c>
    </row>
    <row r="26" customFormat="false" ht="13.8" hidden="false" customHeight="false" outlineLevel="0" collapsed="false">
      <c r="A26" s="5" t="n">
        <v>44259</v>
      </c>
      <c r="B26" s="6" t="n">
        <v>0.268055555555556</v>
      </c>
      <c r="C26" s="7" t="n">
        <v>135918</v>
      </c>
      <c r="D26" s="7" t="s">
        <v>15</v>
      </c>
      <c r="E26" s="7" t="n">
        <v>23140</v>
      </c>
      <c r="F26" s="7" t="n">
        <v>15820</v>
      </c>
      <c r="G26" s="8" t="n">
        <v>7320</v>
      </c>
      <c r="H26" s="7" t="s">
        <v>11</v>
      </c>
      <c r="I26" s="7" t="s">
        <v>12</v>
      </c>
      <c r="J26" s="0" t="s">
        <v>13</v>
      </c>
    </row>
    <row r="27" customFormat="false" ht="13.8" hidden="false" customHeight="false" outlineLevel="0" collapsed="false">
      <c r="A27" s="5" t="n">
        <v>44259</v>
      </c>
      <c r="B27" s="6" t="n">
        <v>0.333333333333333</v>
      </c>
      <c r="C27" s="7" t="n">
        <v>115356</v>
      </c>
      <c r="D27" s="7" t="s">
        <v>18</v>
      </c>
      <c r="E27" s="7" t="n">
        <v>18020</v>
      </c>
      <c r="F27" s="7" t="n">
        <v>17980</v>
      </c>
      <c r="G27" s="8" t="n">
        <v>40</v>
      </c>
      <c r="H27" s="7" t="s">
        <v>11</v>
      </c>
      <c r="I27" s="7" t="s">
        <v>19</v>
      </c>
      <c r="J27" s="0" t="s">
        <v>13</v>
      </c>
    </row>
    <row r="28" customFormat="false" ht="13.8" hidden="false" customHeight="false" outlineLevel="0" collapsed="false">
      <c r="A28" s="5" t="n">
        <v>44259</v>
      </c>
      <c r="B28" s="6" t="n">
        <v>0.333333333333333</v>
      </c>
      <c r="C28" s="7" t="n">
        <v>115355</v>
      </c>
      <c r="D28" s="7" t="s">
        <v>18</v>
      </c>
      <c r="E28" s="7" t="n">
        <v>17980</v>
      </c>
      <c r="F28" s="7" t="n">
        <v>15920</v>
      </c>
      <c r="G28" s="8" t="n">
        <v>2060</v>
      </c>
      <c r="H28" s="7" t="s">
        <v>11</v>
      </c>
      <c r="I28" s="7" t="s">
        <v>19</v>
      </c>
      <c r="J28" s="0" t="s">
        <v>13</v>
      </c>
    </row>
    <row r="29" customFormat="false" ht="13.8" hidden="false" customHeight="false" outlineLevel="0" collapsed="false">
      <c r="A29" s="5" t="n">
        <v>44259</v>
      </c>
      <c r="B29" s="6" t="n">
        <v>0.528472222222222</v>
      </c>
      <c r="C29" s="7" t="n">
        <v>115403</v>
      </c>
      <c r="D29" s="7" t="s">
        <v>21</v>
      </c>
      <c r="E29" s="7" t="n">
        <v>3120</v>
      </c>
      <c r="F29" s="7" t="n">
        <v>2700</v>
      </c>
      <c r="G29" s="8" t="n">
        <v>420</v>
      </c>
      <c r="H29" s="7" t="s">
        <v>11</v>
      </c>
      <c r="I29" s="7" t="s">
        <v>17</v>
      </c>
      <c r="J29" s="0" t="s">
        <v>13</v>
      </c>
    </row>
    <row r="30" customFormat="false" ht="13.8" hidden="false" customHeight="false" outlineLevel="0" collapsed="false">
      <c r="A30" s="5" t="n">
        <v>44259</v>
      </c>
      <c r="B30" s="6" t="n">
        <v>0.529861111111111</v>
      </c>
      <c r="C30" s="7" t="n">
        <v>115404</v>
      </c>
      <c r="D30" s="7" t="s">
        <v>16</v>
      </c>
      <c r="E30" s="7" t="n">
        <v>3400</v>
      </c>
      <c r="F30" s="7" t="n">
        <v>2960</v>
      </c>
      <c r="G30" s="8" t="n">
        <v>440</v>
      </c>
      <c r="H30" s="7" t="s">
        <v>11</v>
      </c>
      <c r="I30" s="7" t="s">
        <v>17</v>
      </c>
      <c r="J30" s="0" t="s">
        <v>13</v>
      </c>
    </row>
    <row r="31" customFormat="false" ht="13.8" hidden="false" customHeight="false" outlineLevel="0" collapsed="false">
      <c r="A31" s="5" t="n">
        <v>44260</v>
      </c>
      <c r="B31" s="6" t="n">
        <v>0.274305555555556</v>
      </c>
      <c r="C31" s="7" t="n">
        <v>135972</v>
      </c>
      <c r="D31" s="7" t="s">
        <v>15</v>
      </c>
      <c r="E31" s="7" t="n">
        <v>24220</v>
      </c>
      <c r="F31" s="7" t="n">
        <v>15760</v>
      </c>
      <c r="G31" s="8" t="n">
        <v>8460</v>
      </c>
      <c r="H31" s="7" t="s">
        <v>11</v>
      </c>
      <c r="I31" s="7" t="s">
        <v>12</v>
      </c>
      <c r="J31" s="0" t="s">
        <v>13</v>
      </c>
    </row>
    <row r="32" customFormat="false" ht="13.8" hidden="false" customHeight="false" outlineLevel="0" collapsed="false">
      <c r="A32" s="5" t="n">
        <v>44260</v>
      </c>
      <c r="B32" s="6" t="n">
        <v>0.2625</v>
      </c>
      <c r="C32" s="7" t="n">
        <v>135971</v>
      </c>
      <c r="D32" s="7" t="s">
        <v>10</v>
      </c>
      <c r="E32" s="7" t="n">
        <v>4360</v>
      </c>
      <c r="F32" s="7" t="n">
        <v>3800</v>
      </c>
      <c r="G32" s="8" t="n">
        <v>560</v>
      </c>
      <c r="H32" s="7" t="s">
        <v>11</v>
      </c>
      <c r="I32" s="7" t="s">
        <v>12</v>
      </c>
      <c r="J32" s="0" t="s">
        <v>13</v>
      </c>
    </row>
    <row r="33" customFormat="false" ht="13.8" hidden="false" customHeight="false" outlineLevel="0" collapsed="false">
      <c r="A33" s="5" t="n">
        <v>44260</v>
      </c>
      <c r="B33" s="6" t="n">
        <v>0.177777777777778</v>
      </c>
      <c r="C33" s="7" t="n">
        <v>135968</v>
      </c>
      <c r="D33" s="7" t="s">
        <v>14</v>
      </c>
      <c r="E33" s="7" t="n">
        <v>15520</v>
      </c>
      <c r="F33" s="7" t="n">
        <v>12820</v>
      </c>
      <c r="G33" s="8" t="n">
        <v>2700</v>
      </c>
      <c r="H33" s="7" t="s">
        <v>11</v>
      </c>
      <c r="I33" s="7" t="s">
        <v>12</v>
      </c>
      <c r="J33" s="0" t="s">
        <v>13</v>
      </c>
    </row>
    <row r="34" customFormat="false" ht="13.8" hidden="false" customHeight="false" outlineLevel="0" collapsed="false">
      <c r="A34" s="5" t="n">
        <v>44260</v>
      </c>
      <c r="B34" s="6" t="n">
        <v>0.521527777777778</v>
      </c>
      <c r="C34" s="7" t="n">
        <v>135990</v>
      </c>
      <c r="D34" s="7" t="s">
        <v>20</v>
      </c>
      <c r="E34" s="7" t="n">
        <v>2720</v>
      </c>
      <c r="F34" s="7" t="n">
        <v>2420</v>
      </c>
      <c r="G34" s="8" t="n">
        <v>300</v>
      </c>
      <c r="H34" s="7" t="s">
        <v>11</v>
      </c>
      <c r="I34" s="7" t="s">
        <v>12</v>
      </c>
      <c r="J34" s="0" t="s">
        <v>13</v>
      </c>
    </row>
    <row r="35" customFormat="false" ht="13.8" hidden="false" customHeight="false" outlineLevel="0" collapsed="false">
      <c r="A35" s="5" t="n">
        <v>44260</v>
      </c>
      <c r="B35" s="6" t="n">
        <v>0.543055555555555</v>
      </c>
      <c r="C35" s="7" t="n">
        <v>115467</v>
      </c>
      <c r="D35" s="7" t="s">
        <v>16</v>
      </c>
      <c r="E35" s="7" t="n">
        <v>3440</v>
      </c>
      <c r="F35" s="7" t="n">
        <v>2860</v>
      </c>
      <c r="G35" s="8" t="n">
        <v>580</v>
      </c>
      <c r="H35" s="7" t="s">
        <v>11</v>
      </c>
      <c r="I35" s="7" t="s">
        <v>17</v>
      </c>
      <c r="J35" s="0" t="s">
        <v>13</v>
      </c>
    </row>
    <row r="36" customFormat="false" ht="13.8" hidden="false" customHeight="false" outlineLevel="0" collapsed="false">
      <c r="A36" s="5" t="n">
        <v>44261</v>
      </c>
      <c r="B36" s="6" t="n">
        <v>0.151388888888889</v>
      </c>
      <c r="C36" s="7" t="n">
        <v>136001</v>
      </c>
      <c r="D36" s="7" t="s">
        <v>14</v>
      </c>
      <c r="E36" s="7" t="n">
        <v>15400</v>
      </c>
      <c r="F36" s="7" t="n">
        <v>12800</v>
      </c>
      <c r="G36" s="8" t="n">
        <v>2600</v>
      </c>
      <c r="H36" s="7" t="s">
        <v>11</v>
      </c>
      <c r="I36" s="7" t="s">
        <v>12</v>
      </c>
      <c r="J36" s="0" t="s">
        <v>13</v>
      </c>
    </row>
    <row r="37" customFormat="false" ht="13.8" hidden="false" customHeight="false" outlineLevel="0" collapsed="false">
      <c r="A37" s="5" t="n">
        <v>44261</v>
      </c>
      <c r="B37" s="6" t="n">
        <v>0.259722222222222</v>
      </c>
      <c r="C37" s="7" t="n">
        <v>136007</v>
      </c>
      <c r="D37" s="7" t="s">
        <v>10</v>
      </c>
      <c r="E37" s="7" t="n">
        <v>4300</v>
      </c>
      <c r="F37" s="7" t="n">
        <v>3760</v>
      </c>
      <c r="G37" s="8" t="n">
        <v>540</v>
      </c>
      <c r="H37" s="7" t="s">
        <v>11</v>
      </c>
      <c r="I37" s="7" t="s">
        <v>12</v>
      </c>
      <c r="J37" s="0" t="s">
        <v>13</v>
      </c>
    </row>
    <row r="38" customFormat="false" ht="13.8" hidden="false" customHeight="false" outlineLevel="0" collapsed="false">
      <c r="A38" s="5" t="n">
        <v>44261</v>
      </c>
      <c r="B38" s="6" t="n">
        <v>0.288888888888889</v>
      </c>
      <c r="C38" s="7" t="n">
        <v>136011</v>
      </c>
      <c r="D38" s="7" t="s">
        <v>15</v>
      </c>
      <c r="E38" s="7" t="n">
        <v>24400</v>
      </c>
      <c r="F38" s="7" t="n">
        <v>15840</v>
      </c>
      <c r="G38" s="8" t="n">
        <v>8560</v>
      </c>
      <c r="H38" s="7" t="s">
        <v>11</v>
      </c>
      <c r="I38" s="7" t="s">
        <v>12</v>
      </c>
      <c r="J38" s="0" t="s">
        <v>13</v>
      </c>
    </row>
    <row r="39" customFormat="false" ht="13.8" hidden="false" customHeight="false" outlineLevel="0" collapsed="false">
      <c r="A39" s="5" t="n">
        <v>44262</v>
      </c>
      <c r="B39" s="6" t="n">
        <v>0.548611111111111</v>
      </c>
      <c r="C39" s="7" t="n">
        <v>136027</v>
      </c>
      <c r="D39" s="7" t="s">
        <v>20</v>
      </c>
      <c r="E39" s="7" t="n">
        <v>2940</v>
      </c>
      <c r="F39" s="7" t="n">
        <v>2420</v>
      </c>
      <c r="G39" s="8" t="n">
        <v>520</v>
      </c>
      <c r="H39" s="7" t="s">
        <v>11</v>
      </c>
      <c r="I39" s="7" t="s">
        <v>12</v>
      </c>
      <c r="J39" s="0" t="s">
        <v>13</v>
      </c>
    </row>
    <row r="40" customFormat="false" ht="13.8" hidden="false" customHeight="false" outlineLevel="0" collapsed="false">
      <c r="A40" s="5" t="n">
        <v>44262</v>
      </c>
      <c r="B40" s="6" t="n">
        <v>0.221527777777778</v>
      </c>
      <c r="C40" s="7" t="n">
        <v>136021</v>
      </c>
      <c r="D40" s="7" t="s">
        <v>15</v>
      </c>
      <c r="E40" s="7" t="n">
        <v>24680</v>
      </c>
      <c r="F40" s="7" t="n">
        <v>15820</v>
      </c>
      <c r="G40" s="8" t="n">
        <v>8860</v>
      </c>
      <c r="H40" s="7" t="s">
        <v>11</v>
      </c>
      <c r="I40" s="7" t="s">
        <v>12</v>
      </c>
      <c r="J40" s="0" t="s">
        <v>13</v>
      </c>
    </row>
    <row r="41" customFormat="false" ht="13.8" hidden="false" customHeight="false" outlineLevel="0" collapsed="false">
      <c r="A41" s="5" t="n">
        <v>44262</v>
      </c>
      <c r="B41" s="6" t="n">
        <v>0.21875</v>
      </c>
      <c r="C41" s="7" t="n">
        <v>136020</v>
      </c>
      <c r="D41" s="7" t="s">
        <v>10</v>
      </c>
      <c r="E41" s="7" t="n">
        <v>4340</v>
      </c>
      <c r="F41" s="7" t="n">
        <v>3760</v>
      </c>
      <c r="G41" s="8" t="n">
        <v>580</v>
      </c>
      <c r="H41" s="7" t="s">
        <v>11</v>
      </c>
      <c r="I41" s="7" t="s">
        <v>12</v>
      </c>
      <c r="J41" s="0" t="s">
        <v>13</v>
      </c>
    </row>
    <row r="42" customFormat="false" ht="13.8" hidden="false" customHeight="false" outlineLevel="0" collapsed="false">
      <c r="A42" s="5" t="n">
        <v>44262</v>
      </c>
      <c r="B42" s="6" t="n">
        <v>0.126388888888889</v>
      </c>
      <c r="C42" s="7" t="n">
        <v>136018</v>
      </c>
      <c r="D42" s="7" t="s">
        <v>14</v>
      </c>
      <c r="E42" s="7" t="n">
        <v>15200</v>
      </c>
      <c r="F42" s="7" t="n">
        <v>12780</v>
      </c>
      <c r="G42" s="8" t="n">
        <v>2420</v>
      </c>
      <c r="H42" s="7" t="s">
        <v>11</v>
      </c>
      <c r="I42" s="7" t="s">
        <v>12</v>
      </c>
      <c r="J42" s="0" t="s">
        <v>13</v>
      </c>
    </row>
    <row r="43" customFormat="false" ht="13.8" hidden="false" customHeight="false" outlineLevel="0" collapsed="false">
      <c r="A43" s="5" t="n">
        <v>44263</v>
      </c>
      <c r="B43" s="6" t="n">
        <v>0.171527777777778</v>
      </c>
      <c r="C43" s="7" t="n">
        <v>136036</v>
      </c>
      <c r="D43" s="7" t="s">
        <v>14</v>
      </c>
      <c r="E43" s="7" t="n">
        <v>14000</v>
      </c>
      <c r="F43" s="7" t="n">
        <v>12760</v>
      </c>
      <c r="G43" s="8" t="n">
        <v>1240</v>
      </c>
      <c r="H43" s="7" t="s">
        <v>11</v>
      </c>
      <c r="I43" s="7" t="s">
        <v>12</v>
      </c>
      <c r="J43" s="0" t="s">
        <v>13</v>
      </c>
    </row>
    <row r="44" customFormat="false" ht="13.8" hidden="false" customHeight="false" outlineLevel="0" collapsed="false">
      <c r="A44" s="5" t="n">
        <v>44263</v>
      </c>
      <c r="B44" s="6" t="n">
        <v>0.259722222222222</v>
      </c>
      <c r="C44" s="7" t="n">
        <v>136042</v>
      </c>
      <c r="D44" s="7" t="s">
        <v>10</v>
      </c>
      <c r="E44" s="7" t="n">
        <v>4220</v>
      </c>
      <c r="F44" s="7" t="n">
        <v>3760</v>
      </c>
      <c r="G44" s="8" t="n">
        <v>460</v>
      </c>
      <c r="H44" s="7" t="s">
        <v>11</v>
      </c>
      <c r="I44" s="7" t="s">
        <v>12</v>
      </c>
      <c r="J44" s="0" t="s">
        <v>13</v>
      </c>
    </row>
    <row r="45" customFormat="false" ht="13.8" hidden="false" customHeight="false" outlineLevel="0" collapsed="false">
      <c r="A45" s="5" t="n">
        <v>44263</v>
      </c>
      <c r="B45" s="6" t="n">
        <v>0.234027777777778</v>
      </c>
      <c r="C45" s="7" t="n">
        <v>136040</v>
      </c>
      <c r="D45" s="7" t="s">
        <v>15</v>
      </c>
      <c r="E45" s="7" t="n">
        <v>21720</v>
      </c>
      <c r="F45" s="7" t="n">
        <v>15800</v>
      </c>
      <c r="G45" s="8" t="n">
        <v>5920</v>
      </c>
      <c r="H45" s="7" t="s">
        <v>11</v>
      </c>
      <c r="I45" s="7" t="s">
        <v>12</v>
      </c>
      <c r="J45" s="0" t="s">
        <v>13</v>
      </c>
    </row>
    <row r="46" customFormat="false" ht="13.8" hidden="false" customHeight="false" outlineLevel="0" collapsed="false">
      <c r="A46" s="5" t="n">
        <v>44263</v>
      </c>
      <c r="B46" s="6" t="n">
        <v>0.530555555555556</v>
      </c>
      <c r="C46" s="7" t="n">
        <v>136070</v>
      </c>
      <c r="D46" s="7" t="s">
        <v>20</v>
      </c>
      <c r="E46" s="7" t="n">
        <v>2620</v>
      </c>
      <c r="F46" s="7" t="n">
        <v>2420</v>
      </c>
      <c r="G46" s="8" t="n">
        <v>200</v>
      </c>
      <c r="H46" s="7" t="s">
        <v>11</v>
      </c>
      <c r="I46" s="7" t="s">
        <v>12</v>
      </c>
      <c r="J46" s="0" t="s">
        <v>13</v>
      </c>
    </row>
    <row r="47" customFormat="false" ht="13.8" hidden="false" customHeight="false" outlineLevel="0" collapsed="false">
      <c r="A47" s="5" t="n">
        <v>44260</v>
      </c>
      <c r="B47" s="6" t="n">
        <v>0.545833333333333</v>
      </c>
      <c r="C47" s="7" t="n">
        <v>115468</v>
      </c>
      <c r="D47" s="7" t="s">
        <v>21</v>
      </c>
      <c r="E47" s="7" t="n">
        <v>3260</v>
      </c>
      <c r="F47" s="7" t="n">
        <v>2820</v>
      </c>
      <c r="G47" s="8" t="n">
        <v>440</v>
      </c>
      <c r="H47" s="7" t="s">
        <v>11</v>
      </c>
      <c r="I47" s="7" t="s">
        <v>17</v>
      </c>
      <c r="J47" s="0" t="s">
        <v>13</v>
      </c>
    </row>
    <row r="48" customFormat="false" ht="13.8" hidden="false" customHeight="false" outlineLevel="0" collapsed="false">
      <c r="A48" s="5" t="n">
        <v>44263</v>
      </c>
      <c r="B48" s="6" t="n">
        <v>0.486111111111111</v>
      </c>
      <c r="C48" s="7" t="n">
        <v>115562</v>
      </c>
      <c r="D48" s="7" t="s">
        <v>23</v>
      </c>
      <c r="E48" s="7" t="n">
        <v>6020</v>
      </c>
      <c r="F48" s="7" t="n">
        <v>5900</v>
      </c>
      <c r="G48" s="8" t="n">
        <v>120</v>
      </c>
      <c r="H48" s="7" t="s">
        <v>11</v>
      </c>
      <c r="I48" s="7" t="s">
        <v>19</v>
      </c>
      <c r="J48" s="0" t="s">
        <v>13</v>
      </c>
    </row>
    <row r="49" customFormat="false" ht="13.8" hidden="false" customHeight="false" outlineLevel="0" collapsed="false">
      <c r="A49" s="5" t="n">
        <v>44263</v>
      </c>
      <c r="B49" s="6" t="n">
        <v>0.485416666666667</v>
      </c>
      <c r="C49" s="7" t="n">
        <v>115561</v>
      </c>
      <c r="D49" s="7" t="s">
        <v>23</v>
      </c>
      <c r="E49" s="7" t="n">
        <v>5900</v>
      </c>
      <c r="F49" s="7" t="n">
        <v>5560</v>
      </c>
      <c r="G49" s="8" t="n">
        <v>340</v>
      </c>
      <c r="H49" s="7" t="s">
        <v>11</v>
      </c>
      <c r="I49" s="7" t="s">
        <v>19</v>
      </c>
      <c r="J49" s="0" t="s">
        <v>13</v>
      </c>
    </row>
    <row r="50" customFormat="false" ht="13.8" hidden="false" customHeight="false" outlineLevel="0" collapsed="false">
      <c r="A50" s="5" t="n">
        <v>44264</v>
      </c>
      <c r="B50" s="6" t="n">
        <v>0.154861111111111</v>
      </c>
      <c r="C50" s="7" t="n">
        <v>136093</v>
      </c>
      <c r="D50" s="7" t="s">
        <v>14</v>
      </c>
      <c r="E50" s="7" t="n">
        <v>14920</v>
      </c>
      <c r="F50" s="7" t="n">
        <v>12740</v>
      </c>
      <c r="G50" s="8" t="n">
        <v>2180</v>
      </c>
      <c r="H50" s="7" t="s">
        <v>11</v>
      </c>
      <c r="I50" s="7" t="s">
        <v>12</v>
      </c>
      <c r="J50" s="0" t="s">
        <v>13</v>
      </c>
    </row>
    <row r="51" customFormat="false" ht="13.8" hidden="false" customHeight="false" outlineLevel="0" collapsed="false">
      <c r="A51" s="5" t="n">
        <v>44264</v>
      </c>
      <c r="B51" s="6" t="n">
        <v>0.229861111111111</v>
      </c>
      <c r="C51" s="7" t="n">
        <v>136095</v>
      </c>
      <c r="D51" s="7" t="s">
        <v>15</v>
      </c>
      <c r="E51" s="7" t="n">
        <v>23080</v>
      </c>
      <c r="F51" s="7" t="n">
        <v>16180</v>
      </c>
      <c r="G51" s="8" t="n">
        <v>6900</v>
      </c>
      <c r="H51" s="7" t="s">
        <v>11</v>
      </c>
      <c r="I51" s="7" t="s">
        <v>12</v>
      </c>
      <c r="J51" s="0" t="s">
        <v>13</v>
      </c>
    </row>
    <row r="52" customFormat="false" ht="13.8" hidden="false" customHeight="false" outlineLevel="0" collapsed="false">
      <c r="A52" s="5" t="n">
        <v>44264</v>
      </c>
      <c r="B52" s="6" t="n">
        <v>0.259722222222222</v>
      </c>
      <c r="C52" s="7" t="n">
        <v>136096</v>
      </c>
      <c r="D52" s="7" t="s">
        <v>10</v>
      </c>
      <c r="E52" s="7" t="n">
        <v>4120</v>
      </c>
      <c r="F52" s="7" t="n">
        <v>3780</v>
      </c>
      <c r="G52" s="8" t="n">
        <v>340</v>
      </c>
      <c r="H52" s="7" t="s">
        <v>11</v>
      </c>
      <c r="I52" s="7" t="s">
        <v>12</v>
      </c>
      <c r="J52" s="0" t="s">
        <v>13</v>
      </c>
    </row>
    <row r="53" customFormat="false" ht="13.8" hidden="false" customHeight="false" outlineLevel="0" collapsed="false">
      <c r="A53" s="5" t="n">
        <v>44264</v>
      </c>
      <c r="B53" s="6" t="n">
        <v>0.528472222222222</v>
      </c>
      <c r="C53" s="7" t="n">
        <v>115643</v>
      </c>
      <c r="D53" s="7" t="s">
        <v>23</v>
      </c>
      <c r="E53" s="7" t="n">
        <v>6040</v>
      </c>
      <c r="F53" s="7" t="n">
        <v>5680</v>
      </c>
      <c r="G53" s="8" t="n">
        <v>360</v>
      </c>
      <c r="H53" s="7" t="s">
        <v>11</v>
      </c>
      <c r="I53" s="7" t="s">
        <v>17</v>
      </c>
      <c r="J53" s="0" t="s">
        <v>13</v>
      </c>
    </row>
    <row r="54" customFormat="false" ht="13.8" hidden="false" customHeight="false" outlineLevel="0" collapsed="false">
      <c r="A54" s="5" t="n">
        <v>44264</v>
      </c>
      <c r="B54" s="6" t="n">
        <v>0.475694444444444</v>
      </c>
      <c r="C54" s="7" t="n">
        <v>115629</v>
      </c>
      <c r="D54" s="7" t="s">
        <v>23</v>
      </c>
      <c r="E54" s="7" t="n">
        <v>5940</v>
      </c>
      <c r="F54" s="7" t="n">
        <v>5620</v>
      </c>
      <c r="G54" s="8" t="n">
        <v>320</v>
      </c>
      <c r="H54" s="7" t="s">
        <v>11</v>
      </c>
      <c r="I54" s="7" t="s">
        <v>17</v>
      </c>
      <c r="J54" s="0" t="s">
        <v>13</v>
      </c>
    </row>
    <row r="55" customFormat="false" ht="13.8" hidden="false" customHeight="false" outlineLevel="0" collapsed="false">
      <c r="A55" s="5" t="n">
        <v>44264</v>
      </c>
      <c r="B55" s="6" t="n">
        <v>0.367361111111111</v>
      </c>
      <c r="C55" s="7" t="n">
        <v>115606</v>
      </c>
      <c r="D55" s="7" t="s">
        <v>23</v>
      </c>
      <c r="E55" s="7" t="n">
        <v>6260</v>
      </c>
      <c r="F55" s="7" t="n">
        <v>6220</v>
      </c>
      <c r="G55" s="8" t="n">
        <v>40</v>
      </c>
      <c r="H55" s="7" t="s">
        <v>11</v>
      </c>
      <c r="I55" s="7" t="s">
        <v>19</v>
      </c>
      <c r="J55" s="0" t="s">
        <v>13</v>
      </c>
    </row>
    <row r="56" customFormat="false" ht="13.8" hidden="false" customHeight="false" outlineLevel="0" collapsed="false">
      <c r="A56" s="5" t="n">
        <v>44264</v>
      </c>
      <c r="B56" s="6" t="n">
        <v>0.366666666666667</v>
      </c>
      <c r="C56" s="7" t="n">
        <v>115605</v>
      </c>
      <c r="D56" s="7" t="s">
        <v>23</v>
      </c>
      <c r="E56" s="7" t="n">
        <v>6220</v>
      </c>
      <c r="F56" s="7" t="n">
        <v>5620</v>
      </c>
      <c r="G56" s="8" t="n">
        <v>600</v>
      </c>
      <c r="H56" s="7" t="s">
        <v>11</v>
      </c>
      <c r="I56" s="7" t="s">
        <v>19</v>
      </c>
      <c r="J56" s="0" t="s">
        <v>13</v>
      </c>
    </row>
    <row r="57" customFormat="false" ht="13.8" hidden="false" customHeight="false" outlineLevel="0" collapsed="false">
      <c r="A57" s="5" t="n">
        <v>44263</v>
      </c>
      <c r="B57" s="6" t="n">
        <v>0.516666666666667</v>
      </c>
      <c r="C57" s="7" t="n">
        <v>1206</v>
      </c>
      <c r="D57" s="7" t="s">
        <v>15</v>
      </c>
      <c r="E57" s="7" t="n">
        <v>16700</v>
      </c>
      <c r="F57" s="7" t="n">
        <v>15760</v>
      </c>
      <c r="G57" s="8" t="n">
        <v>940</v>
      </c>
      <c r="H57" s="7" t="s">
        <v>11</v>
      </c>
      <c r="I57" s="7" t="s">
        <v>24</v>
      </c>
      <c r="J57" s="10" t="s">
        <v>13</v>
      </c>
    </row>
    <row r="58" customFormat="false" ht="13.8" hidden="false" customHeight="false" outlineLevel="0" collapsed="false">
      <c r="A58" s="5" t="n">
        <v>44264</v>
      </c>
      <c r="B58" s="6" t="n">
        <v>0.513888888888889</v>
      </c>
      <c r="C58" s="7" t="n">
        <v>115641</v>
      </c>
      <c r="D58" s="7" t="s">
        <v>15</v>
      </c>
      <c r="E58" s="7" t="n">
        <v>17440</v>
      </c>
      <c r="F58" s="7" t="n">
        <v>15980</v>
      </c>
      <c r="G58" s="8" t="n">
        <v>1460</v>
      </c>
      <c r="H58" s="7" t="s">
        <v>11</v>
      </c>
      <c r="I58" s="7" t="s">
        <v>22</v>
      </c>
      <c r="J58" s="10" t="s">
        <v>13</v>
      </c>
    </row>
    <row r="59" customFormat="false" ht="13.8" hidden="false" customHeight="false" outlineLevel="0" collapsed="false">
      <c r="A59" s="5" t="n">
        <v>44265</v>
      </c>
      <c r="B59" s="6" t="n">
        <v>0.527777777777778</v>
      </c>
      <c r="C59" s="7" t="n">
        <v>136158</v>
      </c>
      <c r="D59" s="7" t="s">
        <v>20</v>
      </c>
      <c r="E59" s="7" t="n">
        <v>2580</v>
      </c>
      <c r="F59" s="7" t="n">
        <v>2400</v>
      </c>
      <c r="G59" s="8" t="n">
        <v>180</v>
      </c>
      <c r="H59" s="7" t="s">
        <v>11</v>
      </c>
      <c r="I59" s="7" t="s">
        <v>12</v>
      </c>
      <c r="J59" s="0" t="s">
        <v>13</v>
      </c>
    </row>
    <row r="60" customFormat="false" ht="13.8" hidden="false" customHeight="false" outlineLevel="0" collapsed="false">
      <c r="A60" s="5" t="n">
        <v>44265</v>
      </c>
      <c r="B60" s="6" t="n">
        <v>0.243055555555556</v>
      </c>
      <c r="C60" s="7" t="n">
        <v>136133</v>
      </c>
      <c r="D60" s="7" t="s">
        <v>15</v>
      </c>
      <c r="E60" s="7" t="n">
        <v>22820</v>
      </c>
      <c r="F60" s="7" t="n">
        <v>15740</v>
      </c>
      <c r="G60" s="8" t="n">
        <v>7080</v>
      </c>
      <c r="H60" s="7" t="s">
        <v>11</v>
      </c>
      <c r="I60" s="7" t="s">
        <v>12</v>
      </c>
      <c r="J60" s="0" t="s">
        <v>13</v>
      </c>
    </row>
    <row r="61" customFormat="false" ht="13.8" hidden="false" customHeight="false" outlineLevel="0" collapsed="false">
      <c r="A61" s="5" t="n">
        <v>44265</v>
      </c>
      <c r="B61" s="6" t="n">
        <v>0.245138888888889</v>
      </c>
      <c r="C61" s="7" t="n">
        <v>136134</v>
      </c>
      <c r="D61" s="7" t="s">
        <v>10</v>
      </c>
      <c r="E61" s="7" t="n">
        <v>4260</v>
      </c>
      <c r="F61" s="7" t="n">
        <v>3800</v>
      </c>
      <c r="G61" s="8" t="n">
        <v>460</v>
      </c>
      <c r="H61" s="7" t="s">
        <v>11</v>
      </c>
      <c r="I61" s="7" t="s">
        <v>12</v>
      </c>
      <c r="J61" s="0" t="s">
        <v>13</v>
      </c>
    </row>
    <row r="62" customFormat="false" ht="13.8" hidden="false" customHeight="false" outlineLevel="0" collapsed="false">
      <c r="A62" s="5" t="n">
        <v>44265</v>
      </c>
      <c r="B62" s="6" t="n">
        <v>0.1375</v>
      </c>
      <c r="C62" s="7" t="n">
        <v>136128</v>
      </c>
      <c r="D62" s="7" t="s">
        <v>14</v>
      </c>
      <c r="E62" s="7" t="n">
        <v>16120</v>
      </c>
      <c r="F62" s="7" t="n">
        <v>12860</v>
      </c>
      <c r="G62" s="8" t="n">
        <v>3260</v>
      </c>
      <c r="H62" s="7" t="s">
        <v>11</v>
      </c>
      <c r="I62" s="7" t="s">
        <v>12</v>
      </c>
      <c r="J62" s="0" t="s">
        <v>13</v>
      </c>
    </row>
    <row r="63" customFormat="false" ht="13.8" hidden="false" customHeight="false" outlineLevel="0" collapsed="false">
      <c r="A63" s="5" t="n">
        <v>44265</v>
      </c>
      <c r="B63" s="6" t="n">
        <v>0.55</v>
      </c>
      <c r="C63" s="7" t="n">
        <v>115730</v>
      </c>
      <c r="D63" s="7" t="s">
        <v>23</v>
      </c>
      <c r="E63" s="7" t="n">
        <v>6620</v>
      </c>
      <c r="F63" s="7" t="n">
        <v>5680</v>
      </c>
      <c r="G63" s="8" t="n">
        <v>940</v>
      </c>
      <c r="H63" s="7" t="s">
        <v>11</v>
      </c>
      <c r="I63" s="7" t="s">
        <v>19</v>
      </c>
      <c r="J63" s="0" t="s">
        <v>13</v>
      </c>
    </row>
    <row r="64" customFormat="false" ht="13.8" hidden="false" customHeight="false" outlineLevel="0" collapsed="false">
      <c r="A64" s="5" t="n">
        <v>44265</v>
      </c>
      <c r="B64" s="6" t="n">
        <v>0.55</v>
      </c>
      <c r="C64" s="7" t="n">
        <v>115731</v>
      </c>
      <c r="D64" s="7" t="s">
        <v>21</v>
      </c>
      <c r="E64" s="7" t="n">
        <v>3500</v>
      </c>
      <c r="F64" s="7" t="n">
        <v>2840</v>
      </c>
      <c r="G64" s="8" t="n">
        <v>660</v>
      </c>
      <c r="H64" s="7" t="s">
        <v>11</v>
      </c>
      <c r="I64" s="7" t="s">
        <v>17</v>
      </c>
      <c r="J64" s="0" t="s">
        <v>13</v>
      </c>
    </row>
    <row r="65" customFormat="false" ht="13.8" hidden="false" customHeight="false" outlineLevel="0" collapsed="false">
      <c r="A65" s="5" t="n">
        <v>44265</v>
      </c>
      <c r="B65" s="6" t="n">
        <v>0.43125</v>
      </c>
      <c r="C65" s="9" t="n">
        <v>115693</v>
      </c>
      <c r="D65" s="7" t="s">
        <v>23</v>
      </c>
      <c r="E65" s="7" t="n">
        <v>6780</v>
      </c>
      <c r="F65" s="7" t="n">
        <v>5680</v>
      </c>
      <c r="G65" s="8" t="n">
        <v>1100</v>
      </c>
      <c r="H65" s="7" t="s">
        <v>11</v>
      </c>
      <c r="I65" s="7" t="s">
        <v>19</v>
      </c>
      <c r="J65" s="0" t="s">
        <v>13</v>
      </c>
    </row>
    <row r="66" customFormat="false" ht="13.8" hidden="false" customHeight="false" outlineLevel="0" collapsed="false">
      <c r="A66" s="5" t="n">
        <v>44265</v>
      </c>
      <c r="B66" s="6" t="n">
        <v>0.431944444444444</v>
      </c>
      <c r="C66" s="7" t="n">
        <v>115694</v>
      </c>
      <c r="D66" s="7" t="s">
        <v>23</v>
      </c>
      <c r="E66" s="7" t="n">
        <v>6800</v>
      </c>
      <c r="F66" s="7" t="n">
        <v>6780</v>
      </c>
      <c r="G66" s="8" t="n">
        <v>20</v>
      </c>
      <c r="H66" s="7" t="s">
        <v>11</v>
      </c>
      <c r="I66" s="7" t="s">
        <v>19</v>
      </c>
      <c r="J66" s="0" t="s">
        <v>13</v>
      </c>
    </row>
    <row r="67" customFormat="false" ht="13.8" hidden="false" customHeight="false" outlineLevel="0" collapsed="false">
      <c r="A67" s="5" t="n">
        <v>44266</v>
      </c>
      <c r="B67" s="6" t="n">
        <v>0.211111111111111</v>
      </c>
      <c r="C67" s="7" t="n">
        <v>136182</v>
      </c>
      <c r="D67" s="7" t="s">
        <v>15</v>
      </c>
      <c r="E67" s="7" t="n">
        <v>24740</v>
      </c>
      <c r="F67" s="7" t="n">
        <v>15860</v>
      </c>
      <c r="G67" s="8" t="n">
        <v>8880</v>
      </c>
      <c r="H67" s="7" t="s">
        <v>11</v>
      </c>
      <c r="I67" s="7" t="s">
        <v>12</v>
      </c>
      <c r="J67" s="0" t="s">
        <v>13</v>
      </c>
    </row>
    <row r="68" customFormat="false" ht="13.8" hidden="false" customHeight="false" outlineLevel="0" collapsed="false">
      <c r="A68" s="5" t="n">
        <v>44266</v>
      </c>
      <c r="B68" s="6" t="n">
        <v>0.255555555555556</v>
      </c>
      <c r="C68" s="7" t="n">
        <v>136184</v>
      </c>
      <c r="D68" s="7" t="s">
        <v>10</v>
      </c>
      <c r="E68" s="7" t="n">
        <v>4360</v>
      </c>
      <c r="F68" s="7" t="n">
        <v>3820</v>
      </c>
      <c r="G68" s="8" t="n">
        <v>540</v>
      </c>
      <c r="H68" s="7" t="s">
        <v>11</v>
      </c>
      <c r="I68" s="7" t="s">
        <v>12</v>
      </c>
      <c r="J68" s="0" t="s">
        <v>13</v>
      </c>
    </row>
    <row r="69" customFormat="false" ht="13.8" hidden="false" customHeight="false" outlineLevel="0" collapsed="false">
      <c r="A69" s="5" t="n">
        <v>44266</v>
      </c>
      <c r="B69" s="6" t="n">
        <v>0.14375</v>
      </c>
      <c r="C69" s="7" t="n">
        <v>136176</v>
      </c>
      <c r="D69" s="7" t="s">
        <v>14</v>
      </c>
      <c r="E69" s="7" t="n">
        <v>14840</v>
      </c>
      <c r="F69" s="7" t="n">
        <v>12820</v>
      </c>
      <c r="G69" s="8" t="n">
        <v>2020</v>
      </c>
      <c r="H69" s="7" t="s">
        <v>11</v>
      </c>
      <c r="I69" s="7" t="s">
        <v>12</v>
      </c>
      <c r="J69" s="0" t="s">
        <v>13</v>
      </c>
    </row>
    <row r="70" customFormat="false" ht="13.8" hidden="false" customHeight="false" outlineLevel="0" collapsed="false">
      <c r="A70" s="5" t="n">
        <v>44266</v>
      </c>
      <c r="B70" s="6" t="n">
        <v>0.513194444444444</v>
      </c>
      <c r="C70" s="7" t="n">
        <v>115825</v>
      </c>
      <c r="D70" s="7" t="s">
        <v>21</v>
      </c>
      <c r="E70" s="7" t="n">
        <v>3240</v>
      </c>
      <c r="F70" s="7" t="n">
        <v>2700</v>
      </c>
      <c r="G70" s="8" t="n">
        <v>540</v>
      </c>
      <c r="H70" s="7" t="s">
        <v>11</v>
      </c>
      <c r="I70" s="7" t="s">
        <v>17</v>
      </c>
      <c r="J70" s="0" t="s">
        <v>13</v>
      </c>
    </row>
    <row r="71" customFormat="false" ht="13.8" hidden="false" customHeight="false" outlineLevel="0" collapsed="false">
      <c r="A71" s="5" t="n">
        <v>44267</v>
      </c>
      <c r="B71" s="6" t="n">
        <v>0.106944444444444</v>
      </c>
      <c r="C71" s="7" t="n">
        <v>136214</v>
      </c>
      <c r="D71" s="7" t="s">
        <v>14</v>
      </c>
      <c r="E71" s="7" t="n">
        <v>15760</v>
      </c>
      <c r="F71" s="7" t="n">
        <v>12940</v>
      </c>
      <c r="G71" s="8" t="n">
        <v>2820</v>
      </c>
      <c r="H71" s="7" t="s">
        <v>11</v>
      </c>
      <c r="I71" s="7" t="s">
        <v>12</v>
      </c>
      <c r="J71" s="0" t="s">
        <v>13</v>
      </c>
    </row>
    <row r="72" customFormat="false" ht="13.8" hidden="false" customHeight="false" outlineLevel="0" collapsed="false">
      <c r="A72" s="5" t="n">
        <v>44267</v>
      </c>
      <c r="B72" s="6" t="n">
        <v>0.263194444444444</v>
      </c>
      <c r="C72" s="7" t="n">
        <v>136224</v>
      </c>
      <c r="D72" s="7" t="s">
        <v>15</v>
      </c>
      <c r="E72" s="7" t="n">
        <v>25000</v>
      </c>
      <c r="F72" s="7" t="n">
        <v>15740</v>
      </c>
      <c r="G72" s="8" t="n">
        <v>9260</v>
      </c>
      <c r="H72" s="7" t="s">
        <v>11</v>
      </c>
      <c r="I72" s="7" t="s">
        <v>12</v>
      </c>
      <c r="J72" s="0" t="s">
        <v>13</v>
      </c>
    </row>
    <row r="73" customFormat="false" ht="13.8" hidden="false" customHeight="false" outlineLevel="0" collapsed="false">
      <c r="A73" s="5" t="n">
        <v>44267</v>
      </c>
      <c r="B73" s="6" t="n">
        <v>0.260416666666667</v>
      </c>
      <c r="C73" s="7" t="n">
        <v>136223</v>
      </c>
      <c r="D73" s="7" t="s">
        <v>10</v>
      </c>
      <c r="E73" s="7" t="n">
        <v>4320</v>
      </c>
      <c r="F73" s="7" t="n">
        <v>3780</v>
      </c>
      <c r="G73" s="8" t="n">
        <v>540</v>
      </c>
      <c r="H73" s="7" t="s">
        <v>11</v>
      </c>
      <c r="I73" s="7" t="s">
        <v>12</v>
      </c>
      <c r="J73" s="0" t="s">
        <v>13</v>
      </c>
    </row>
    <row r="74" customFormat="false" ht="13.8" hidden="false" customHeight="false" outlineLevel="0" collapsed="false">
      <c r="A74" s="5" t="n">
        <v>44267</v>
      </c>
      <c r="B74" s="6" t="n">
        <v>0.550694444444444</v>
      </c>
      <c r="C74" s="7" t="n">
        <v>115943</v>
      </c>
      <c r="D74" s="7" t="s">
        <v>21</v>
      </c>
      <c r="E74" s="7" t="n">
        <v>3500</v>
      </c>
      <c r="F74" s="7" t="n">
        <v>2520</v>
      </c>
      <c r="G74" s="8" t="n">
        <v>980</v>
      </c>
      <c r="H74" s="7" t="s">
        <v>11</v>
      </c>
      <c r="I74" s="7" t="s">
        <v>17</v>
      </c>
      <c r="J74" s="0" t="s">
        <v>13</v>
      </c>
    </row>
    <row r="75" customFormat="false" ht="13.8" hidden="false" customHeight="false" outlineLevel="0" collapsed="false">
      <c r="A75" s="5" t="n">
        <v>44267</v>
      </c>
      <c r="B75" s="6" t="n">
        <v>0.640972222222222</v>
      </c>
      <c r="C75" s="7" t="n">
        <v>115953</v>
      </c>
      <c r="D75" s="7" t="s">
        <v>21</v>
      </c>
      <c r="E75" s="7" t="n">
        <v>3400</v>
      </c>
      <c r="F75" s="7" t="n">
        <v>2700</v>
      </c>
      <c r="G75" s="8" t="n">
        <v>700</v>
      </c>
      <c r="H75" s="7" t="s">
        <v>11</v>
      </c>
      <c r="I75" s="7" t="s">
        <v>17</v>
      </c>
      <c r="J75" s="0" t="s">
        <v>13</v>
      </c>
    </row>
    <row r="76" customFormat="false" ht="13.8" hidden="false" customHeight="false" outlineLevel="0" collapsed="false">
      <c r="A76" s="5" t="n">
        <v>44267</v>
      </c>
      <c r="B76" s="6" t="n">
        <v>0.427777777777778</v>
      </c>
      <c r="C76" s="7" t="n">
        <v>115910</v>
      </c>
      <c r="D76" s="7" t="s">
        <v>21</v>
      </c>
      <c r="E76" s="7" t="n">
        <v>3340</v>
      </c>
      <c r="F76" s="7" t="n">
        <v>2700</v>
      </c>
      <c r="G76" s="8" t="n">
        <v>640</v>
      </c>
      <c r="H76" s="7" t="s">
        <v>11</v>
      </c>
      <c r="I76" s="7" t="s">
        <v>17</v>
      </c>
      <c r="J76" s="0" t="s">
        <v>13</v>
      </c>
    </row>
    <row r="77" customFormat="false" ht="13.8" hidden="false" customHeight="false" outlineLevel="0" collapsed="false">
      <c r="A77" s="5" t="n">
        <v>44268</v>
      </c>
      <c r="B77" s="6" t="n">
        <v>0.259027777777778</v>
      </c>
      <c r="C77" s="7" t="n">
        <v>136256</v>
      </c>
      <c r="D77" s="7" t="s">
        <v>10</v>
      </c>
      <c r="E77" s="7" t="n">
        <v>4380</v>
      </c>
      <c r="F77" s="7" t="n">
        <v>3800</v>
      </c>
      <c r="G77" s="8" t="n">
        <v>580</v>
      </c>
      <c r="H77" s="7" t="s">
        <v>11</v>
      </c>
      <c r="I77" s="7" t="s">
        <v>12</v>
      </c>
      <c r="J77" s="0" t="s">
        <v>13</v>
      </c>
    </row>
    <row r="78" customFormat="false" ht="13.8" hidden="false" customHeight="false" outlineLevel="0" collapsed="false">
      <c r="A78" s="5" t="n">
        <v>44268</v>
      </c>
      <c r="B78" s="6" t="n">
        <v>0.265972222222222</v>
      </c>
      <c r="C78" s="7" t="n">
        <v>136260</v>
      </c>
      <c r="D78" s="7" t="s">
        <v>15</v>
      </c>
      <c r="E78" s="7" t="n">
        <v>22000</v>
      </c>
      <c r="F78" s="7" t="n">
        <v>15700</v>
      </c>
      <c r="G78" s="8" t="n">
        <v>6300</v>
      </c>
      <c r="H78" s="7" t="s">
        <v>11</v>
      </c>
      <c r="I78" s="7" t="s">
        <v>12</v>
      </c>
      <c r="J78" s="0" t="s">
        <v>13</v>
      </c>
    </row>
    <row r="79" customFormat="false" ht="13.8" hidden="false" customHeight="false" outlineLevel="0" collapsed="false">
      <c r="A79" s="5" t="n">
        <v>44268</v>
      </c>
      <c r="B79" s="6" t="n">
        <v>0.136111111111111</v>
      </c>
      <c r="C79" s="7" t="n">
        <v>136251</v>
      </c>
      <c r="D79" s="7" t="s">
        <v>14</v>
      </c>
      <c r="E79" s="7" t="n">
        <v>16840</v>
      </c>
      <c r="F79" s="7" t="n">
        <v>13060</v>
      </c>
      <c r="G79" s="8" t="n">
        <v>3780</v>
      </c>
      <c r="H79" s="7" t="s">
        <v>11</v>
      </c>
      <c r="I79" s="7" t="s">
        <v>12</v>
      </c>
      <c r="J79" s="0" t="s">
        <v>13</v>
      </c>
    </row>
    <row r="80" customFormat="false" ht="13.8" hidden="false" customHeight="false" outlineLevel="0" collapsed="false">
      <c r="A80" s="5" t="n">
        <v>44269</v>
      </c>
      <c r="B80" s="6" t="n">
        <v>0.226388888888889</v>
      </c>
      <c r="C80" s="7" t="n">
        <v>136276</v>
      </c>
      <c r="D80" s="7" t="s">
        <v>10</v>
      </c>
      <c r="E80" s="7" t="n">
        <v>4460</v>
      </c>
      <c r="F80" s="7" t="n">
        <v>3800</v>
      </c>
      <c r="G80" s="8" t="n">
        <v>660</v>
      </c>
      <c r="H80" s="7" t="s">
        <v>11</v>
      </c>
      <c r="I80" s="7" t="s">
        <v>12</v>
      </c>
      <c r="J80" s="0" t="s">
        <v>13</v>
      </c>
    </row>
    <row r="81" customFormat="false" ht="13.8" hidden="false" customHeight="false" outlineLevel="0" collapsed="false">
      <c r="A81" s="5" t="n">
        <v>44269</v>
      </c>
      <c r="B81" s="6" t="n">
        <v>0.140277777777778</v>
      </c>
      <c r="C81" s="7" t="n">
        <v>136275</v>
      </c>
      <c r="D81" s="7" t="s">
        <v>14</v>
      </c>
      <c r="E81" s="7" t="n">
        <v>15760</v>
      </c>
      <c r="F81" s="7" t="n">
        <v>12920</v>
      </c>
      <c r="G81" s="8" t="n">
        <v>2840</v>
      </c>
      <c r="H81" s="7" t="s">
        <v>11</v>
      </c>
      <c r="I81" s="7" t="s">
        <v>12</v>
      </c>
      <c r="J81" s="0" t="s">
        <v>13</v>
      </c>
    </row>
    <row r="82" customFormat="false" ht="13.8" hidden="false" customHeight="false" outlineLevel="0" collapsed="false">
      <c r="A82" s="5" t="n">
        <v>44270</v>
      </c>
      <c r="B82" s="6" t="n">
        <v>0.132638888888889</v>
      </c>
      <c r="C82" s="7" t="n">
        <v>136286</v>
      </c>
      <c r="D82" s="7" t="s">
        <v>14</v>
      </c>
      <c r="E82" s="7" t="n">
        <v>14920</v>
      </c>
      <c r="F82" s="7" t="n">
        <v>12840</v>
      </c>
      <c r="G82" s="8" t="n">
        <v>2080</v>
      </c>
      <c r="H82" s="7" t="s">
        <v>11</v>
      </c>
      <c r="I82" s="7" t="s">
        <v>12</v>
      </c>
      <c r="J82" s="0" t="s">
        <v>13</v>
      </c>
    </row>
    <row r="83" customFormat="false" ht="13.8" hidden="false" customHeight="false" outlineLevel="0" collapsed="false">
      <c r="A83" s="5" t="n">
        <v>44269</v>
      </c>
      <c r="B83" s="6" t="n">
        <v>0.245138888888889</v>
      </c>
      <c r="C83" s="7" t="n">
        <v>136279</v>
      </c>
      <c r="D83" s="7" t="s">
        <v>25</v>
      </c>
      <c r="E83" s="7" t="n">
        <v>23900</v>
      </c>
      <c r="F83" s="7" t="n">
        <v>16040</v>
      </c>
      <c r="G83" s="8" t="n">
        <v>7860</v>
      </c>
      <c r="H83" s="5" t="s">
        <v>11</v>
      </c>
      <c r="I83" s="7" t="s">
        <v>12</v>
      </c>
      <c r="J83" s="0" t="s">
        <v>13</v>
      </c>
    </row>
    <row r="84" customFormat="false" ht="13.8" hidden="false" customHeight="false" outlineLevel="0" collapsed="false">
      <c r="A84" s="5" t="n">
        <v>44270</v>
      </c>
      <c r="B84" s="6" t="n">
        <v>0.25625</v>
      </c>
      <c r="C84" s="7" t="n">
        <v>136295</v>
      </c>
      <c r="D84" s="7" t="s">
        <v>10</v>
      </c>
      <c r="E84" s="7" t="n">
        <v>4400</v>
      </c>
      <c r="F84" s="7" t="n">
        <v>3740</v>
      </c>
      <c r="G84" s="8" t="n">
        <v>660</v>
      </c>
      <c r="H84" s="7" t="s">
        <v>11</v>
      </c>
      <c r="I84" s="7" t="s">
        <v>12</v>
      </c>
      <c r="J84" s="0" t="s">
        <v>13</v>
      </c>
    </row>
    <row r="85" customFormat="false" ht="13.8" hidden="false" customHeight="false" outlineLevel="0" collapsed="false">
      <c r="A85" s="5" t="n">
        <v>44270</v>
      </c>
      <c r="B85" s="6" t="n">
        <v>0.247916666666667</v>
      </c>
      <c r="C85" s="7" t="n">
        <v>136294</v>
      </c>
      <c r="D85" s="7" t="s">
        <v>15</v>
      </c>
      <c r="E85" s="7" t="n">
        <v>26140</v>
      </c>
      <c r="F85" s="7" t="n">
        <v>15780</v>
      </c>
      <c r="G85" s="8" t="n">
        <v>10360</v>
      </c>
      <c r="H85" s="7" t="s">
        <v>11</v>
      </c>
      <c r="I85" s="7" t="s">
        <v>12</v>
      </c>
      <c r="J85" s="0" t="s">
        <v>13</v>
      </c>
    </row>
    <row r="86" customFormat="false" ht="13.8" hidden="false" customHeight="false" outlineLevel="0" collapsed="false">
      <c r="A86" s="5" t="n">
        <v>44270</v>
      </c>
      <c r="B86" s="6" t="n">
        <v>0.533333333333333</v>
      </c>
      <c r="C86" s="7" t="n">
        <v>116039</v>
      </c>
      <c r="D86" s="7" t="s">
        <v>21</v>
      </c>
      <c r="E86" s="7" t="n">
        <v>3480</v>
      </c>
      <c r="F86" s="7" t="n">
        <v>2780</v>
      </c>
      <c r="G86" s="8" t="n">
        <v>700</v>
      </c>
      <c r="H86" s="7" t="s">
        <v>11</v>
      </c>
      <c r="I86" s="7" t="s">
        <v>17</v>
      </c>
      <c r="J86" s="0" t="s">
        <v>13</v>
      </c>
    </row>
    <row r="87" customFormat="false" ht="13.8" hidden="false" customHeight="false" outlineLevel="0" collapsed="false">
      <c r="A87" s="5" t="n">
        <v>44270</v>
      </c>
      <c r="B87" s="6" t="n">
        <v>0.532638888888889</v>
      </c>
      <c r="C87" s="7" t="n">
        <v>116038</v>
      </c>
      <c r="D87" s="7" t="s">
        <v>16</v>
      </c>
      <c r="E87" s="7" t="n">
        <v>3220</v>
      </c>
      <c r="F87" s="7" t="n">
        <v>2860</v>
      </c>
      <c r="G87" s="8" t="n">
        <v>360</v>
      </c>
      <c r="H87" s="7" t="s">
        <v>11</v>
      </c>
      <c r="I87" s="7" t="s">
        <v>17</v>
      </c>
      <c r="J87" s="0" t="s">
        <v>13</v>
      </c>
    </row>
    <row r="88" customFormat="false" ht="13.8" hidden="false" customHeight="false" outlineLevel="0" collapsed="false">
      <c r="A88" s="5" t="n">
        <v>44271</v>
      </c>
      <c r="B88" s="6" t="n">
        <v>0.233333333333333</v>
      </c>
      <c r="C88" s="7" t="n">
        <v>136332</v>
      </c>
      <c r="D88" s="7" t="s">
        <v>15</v>
      </c>
      <c r="E88" s="7" t="n">
        <v>24780</v>
      </c>
      <c r="F88" s="7" t="n">
        <v>15760</v>
      </c>
      <c r="G88" s="8" t="n">
        <v>9020</v>
      </c>
      <c r="H88" s="7" t="s">
        <v>11</v>
      </c>
      <c r="I88" s="7" t="s">
        <v>12</v>
      </c>
      <c r="J88" s="0" t="s">
        <v>13</v>
      </c>
    </row>
    <row r="89" customFormat="false" ht="13.8" hidden="false" customHeight="false" outlineLevel="0" collapsed="false">
      <c r="A89" s="5" t="n">
        <v>44271</v>
      </c>
      <c r="B89" s="6" t="n">
        <v>0.134722222222222</v>
      </c>
      <c r="C89" s="7" t="n">
        <v>136327</v>
      </c>
      <c r="D89" s="7" t="s">
        <v>14</v>
      </c>
      <c r="E89" s="7" t="n">
        <v>15760</v>
      </c>
      <c r="F89" s="7" t="n">
        <v>12920</v>
      </c>
      <c r="G89" s="8" t="n">
        <v>2840</v>
      </c>
      <c r="H89" s="7" t="s">
        <v>11</v>
      </c>
      <c r="I89" s="7" t="s">
        <v>12</v>
      </c>
      <c r="J89" s="0" t="s">
        <v>13</v>
      </c>
    </row>
    <row r="90" customFormat="false" ht="13.8" hidden="false" customHeight="false" outlineLevel="0" collapsed="false">
      <c r="A90" s="5" t="n">
        <v>44271</v>
      </c>
      <c r="B90" s="6" t="n">
        <v>0.254861111111111</v>
      </c>
      <c r="C90" s="7" t="n">
        <v>136333</v>
      </c>
      <c r="D90" s="7" t="s">
        <v>10</v>
      </c>
      <c r="E90" s="7" t="n">
        <v>4400</v>
      </c>
      <c r="F90" s="7" t="n">
        <v>3760</v>
      </c>
      <c r="G90" s="8" t="n">
        <v>640</v>
      </c>
      <c r="H90" s="7" t="s">
        <v>11</v>
      </c>
      <c r="I90" s="7" t="s">
        <v>12</v>
      </c>
      <c r="J90" s="0" t="s">
        <v>13</v>
      </c>
    </row>
    <row r="91" customFormat="false" ht="13.8" hidden="false" customHeight="false" outlineLevel="0" collapsed="false">
      <c r="A91" s="5" t="n">
        <v>44267</v>
      </c>
      <c r="B91" s="6" t="n">
        <v>0.5</v>
      </c>
      <c r="C91" s="7" t="n">
        <v>115930</v>
      </c>
      <c r="D91" s="7" t="s">
        <v>23</v>
      </c>
      <c r="E91" s="7" t="n">
        <v>6040</v>
      </c>
      <c r="F91" s="7" t="n">
        <v>5960</v>
      </c>
      <c r="G91" s="8" t="n">
        <v>80</v>
      </c>
      <c r="H91" s="7" t="s">
        <v>11</v>
      </c>
      <c r="I91" s="7" t="s">
        <v>19</v>
      </c>
      <c r="J91" s="0" t="s">
        <v>13</v>
      </c>
    </row>
    <row r="92" customFormat="false" ht="13.8" hidden="false" customHeight="false" outlineLevel="0" collapsed="false">
      <c r="A92" s="5" t="n">
        <v>44267</v>
      </c>
      <c r="B92" s="6" t="n">
        <v>0.5</v>
      </c>
      <c r="C92" s="7" t="n">
        <v>115929</v>
      </c>
      <c r="D92" s="7" t="s">
        <v>23</v>
      </c>
      <c r="E92" s="7" t="n">
        <v>5960</v>
      </c>
      <c r="F92" s="7" t="n">
        <v>5560</v>
      </c>
      <c r="G92" s="8" t="n">
        <v>400</v>
      </c>
      <c r="H92" s="7" t="s">
        <v>11</v>
      </c>
      <c r="I92" s="7" t="s">
        <v>19</v>
      </c>
      <c r="J92" s="0" t="s">
        <v>13</v>
      </c>
    </row>
    <row r="93" customFormat="false" ht="13.8" hidden="false" customHeight="false" outlineLevel="0" collapsed="false">
      <c r="A93" s="5" t="n">
        <v>44271</v>
      </c>
      <c r="B93" s="6" t="n">
        <v>0.547916666666667</v>
      </c>
      <c r="C93" s="7" t="n">
        <v>136353</v>
      </c>
      <c r="D93" s="7" t="s">
        <v>20</v>
      </c>
      <c r="E93" s="7" t="n">
        <v>2760</v>
      </c>
      <c r="F93" s="7" t="n">
        <v>2400</v>
      </c>
      <c r="G93" s="8" t="n">
        <v>360</v>
      </c>
      <c r="H93" s="7" t="s">
        <v>11</v>
      </c>
      <c r="I93" s="7" t="s">
        <v>12</v>
      </c>
      <c r="J93" s="0" t="s">
        <v>13</v>
      </c>
    </row>
    <row r="94" customFormat="false" ht="13.8" hidden="false" customHeight="false" outlineLevel="0" collapsed="false">
      <c r="A94" s="5" t="n">
        <v>44271</v>
      </c>
      <c r="B94" s="6" t="n">
        <v>0.547916666666667</v>
      </c>
      <c r="C94" s="7" t="n">
        <v>116144</v>
      </c>
      <c r="D94" s="7" t="s">
        <v>21</v>
      </c>
      <c r="E94" s="7" t="n">
        <v>3280</v>
      </c>
      <c r="F94" s="7" t="n">
        <v>2680</v>
      </c>
      <c r="G94" s="8" t="n">
        <v>600</v>
      </c>
      <c r="H94" s="7" t="s">
        <v>11</v>
      </c>
      <c r="I94" s="7" t="s">
        <v>17</v>
      </c>
      <c r="J94" s="0" t="s">
        <v>13</v>
      </c>
    </row>
    <row r="95" customFormat="false" ht="13.8" hidden="false" customHeight="false" outlineLevel="0" collapsed="false">
      <c r="A95" s="5" t="n">
        <v>44271</v>
      </c>
      <c r="B95" s="6" t="n">
        <v>0.548611111111111</v>
      </c>
      <c r="C95" s="7" t="n">
        <v>116145</v>
      </c>
      <c r="D95" s="7" t="s">
        <v>16</v>
      </c>
      <c r="E95" s="7" t="n">
        <v>3660</v>
      </c>
      <c r="F95" s="7" t="n">
        <v>2940</v>
      </c>
      <c r="G95" s="8" t="n">
        <v>720</v>
      </c>
      <c r="H95" s="7" t="s">
        <v>11</v>
      </c>
      <c r="I95" s="7" t="s">
        <v>17</v>
      </c>
      <c r="J95" s="0" t="s">
        <v>13</v>
      </c>
    </row>
    <row r="96" customFormat="false" ht="13.8" hidden="false" customHeight="false" outlineLevel="0" collapsed="false">
      <c r="A96" s="5" t="n">
        <v>44271</v>
      </c>
      <c r="B96" s="6" t="n">
        <v>0.515972222222222</v>
      </c>
      <c r="C96" s="7" t="n">
        <v>116131</v>
      </c>
      <c r="D96" s="7" t="s">
        <v>15</v>
      </c>
      <c r="E96" s="7" t="n">
        <v>17040</v>
      </c>
      <c r="F96" s="7" t="n">
        <v>15660</v>
      </c>
      <c r="G96" s="8" t="n">
        <v>1380</v>
      </c>
      <c r="H96" s="7" t="s">
        <v>11</v>
      </c>
      <c r="I96" s="7" t="s">
        <v>22</v>
      </c>
      <c r="J96" s="10" t="s">
        <v>13</v>
      </c>
    </row>
    <row r="97" customFormat="false" ht="13.8" hidden="false" customHeight="false" outlineLevel="0" collapsed="false">
      <c r="A97" s="5" t="n">
        <v>44272</v>
      </c>
      <c r="B97" s="6" t="n">
        <v>0.1125</v>
      </c>
      <c r="C97" s="7" t="n">
        <v>136363</v>
      </c>
      <c r="D97" s="7" t="s">
        <v>14</v>
      </c>
      <c r="E97" s="7" t="n">
        <v>16580</v>
      </c>
      <c r="F97" s="7" t="n">
        <v>12920</v>
      </c>
      <c r="G97" s="8" t="n">
        <v>3660</v>
      </c>
      <c r="H97" s="7" t="s">
        <v>11</v>
      </c>
      <c r="I97" s="7" t="s">
        <v>12</v>
      </c>
      <c r="J97" s="0" t="s">
        <v>13</v>
      </c>
    </row>
    <row r="98" customFormat="false" ht="13.8" hidden="false" customHeight="false" outlineLevel="0" collapsed="false">
      <c r="A98" s="5" t="n">
        <v>44272</v>
      </c>
      <c r="B98" s="6" t="n">
        <v>0.265972222222222</v>
      </c>
      <c r="C98" s="7" t="n">
        <v>136373</v>
      </c>
      <c r="D98" s="7" t="s">
        <v>10</v>
      </c>
      <c r="E98" s="7" t="n">
        <v>4460</v>
      </c>
      <c r="F98" s="7" t="n">
        <v>3820</v>
      </c>
      <c r="G98" s="8" t="n">
        <v>640</v>
      </c>
      <c r="H98" s="7" t="s">
        <v>11</v>
      </c>
      <c r="I98" s="7" t="s">
        <v>12</v>
      </c>
      <c r="J98" s="0" t="s">
        <v>13</v>
      </c>
    </row>
    <row r="99" customFormat="false" ht="13.8" hidden="false" customHeight="false" outlineLevel="0" collapsed="false">
      <c r="A99" s="5" t="n">
        <v>44272</v>
      </c>
      <c r="B99" s="6" t="n">
        <v>0.23125</v>
      </c>
      <c r="C99" s="7" t="n">
        <v>136370</v>
      </c>
      <c r="D99" s="7" t="s">
        <v>15</v>
      </c>
      <c r="E99" s="7" t="n">
        <v>25640</v>
      </c>
      <c r="F99" s="7" t="n">
        <v>15840</v>
      </c>
      <c r="G99" s="8" t="n">
        <v>9800</v>
      </c>
      <c r="H99" s="7" t="s">
        <v>11</v>
      </c>
      <c r="I99" s="7" t="s">
        <v>12</v>
      </c>
      <c r="J99" s="0" t="s">
        <v>13</v>
      </c>
    </row>
    <row r="100" customFormat="false" ht="13.8" hidden="false" customHeight="false" outlineLevel="0" collapsed="false">
      <c r="A100" s="5" t="n">
        <v>44272</v>
      </c>
      <c r="B100" s="6" t="n">
        <v>0.486111111111111</v>
      </c>
      <c r="C100" s="7" t="n">
        <v>116216</v>
      </c>
      <c r="D100" s="7" t="s">
        <v>18</v>
      </c>
      <c r="E100" s="7" t="n">
        <v>18720</v>
      </c>
      <c r="F100" s="7" t="n">
        <v>15960</v>
      </c>
      <c r="G100" s="8" t="n">
        <v>2760</v>
      </c>
      <c r="H100" s="7" t="s">
        <v>11</v>
      </c>
      <c r="I100" s="7" t="s">
        <v>19</v>
      </c>
      <c r="J100" s="0" t="s">
        <v>13</v>
      </c>
    </row>
    <row r="101" customFormat="false" ht="13.8" hidden="false" customHeight="false" outlineLevel="0" collapsed="false">
      <c r="A101" s="5" t="n">
        <v>44272</v>
      </c>
      <c r="B101" s="6" t="n">
        <v>0.546527777777778</v>
      </c>
      <c r="C101" s="7" t="n">
        <v>116231</v>
      </c>
      <c r="D101" s="7" t="s">
        <v>23</v>
      </c>
      <c r="E101" s="7" t="n">
        <v>6260</v>
      </c>
      <c r="F101" s="7" t="n">
        <v>6240</v>
      </c>
      <c r="G101" s="8" t="n">
        <v>20</v>
      </c>
      <c r="H101" s="7" t="s">
        <v>11</v>
      </c>
      <c r="I101" s="7" t="s">
        <v>19</v>
      </c>
      <c r="J101" s="0" t="s">
        <v>13</v>
      </c>
    </row>
    <row r="102" customFormat="false" ht="13.8" hidden="false" customHeight="false" outlineLevel="0" collapsed="false">
      <c r="A102" s="5" t="n">
        <v>44272</v>
      </c>
      <c r="B102" s="6" t="n">
        <v>0.541666666666667</v>
      </c>
      <c r="C102" s="7" t="n">
        <v>116230</v>
      </c>
      <c r="D102" s="7" t="s">
        <v>23</v>
      </c>
      <c r="E102" s="7" t="n">
        <v>6240</v>
      </c>
      <c r="F102" s="7" t="n">
        <v>5620</v>
      </c>
      <c r="G102" s="8" t="n">
        <v>620</v>
      </c>
      <c r="H102" s="7" t="s">
        <v>11</v>
      </c>
      <c r="I102" s="7" t="s">
        <v>19</v>
      </c>
      <c r="J102" s="0" t="s">
        <v>13</v>
      </c>
    </row>
    <row r="103" customFormat="false" ht="13.8" hidden="false" customHeight="false" outlineLevel="0" collapsed="false">
      <c r="A103" s="5" t="n">
        <v>44272</v>
      </c>
      <c r="B103" s="6" t="n">
        <v>0.429861111111111</v>
      </c>
      <c r="C103" s="7" t="n">
        <v>116201</v>
      </c>
      <c r="D103" s="7" t="s">
        <v>21</v>
      </c>
      <c r="E103" s="7" t="n">
        <v>3180</v>
      </c>
      <c r="F103" s="7" t="n">
        <v>2700</v>
      </c>
      <c r="G103" s="8" t="n">
        <v>480</v>
      </c>
      <c r="H103" s="7" t="s">
        <v>11</v>
      </c>
      <c r="I103" s="7" t="s">
        <v>17</v>
      </c>
      <c r="J103" s="0" t="s">
        <v>13</v>
      </c>
    </row>
    <row r="104" customFormat="false" ht="13.8" hidden="false" customHeight="false" outlineLevel="0" collapsed="false">
      <c r="A104" s="5" t="n">
        <v>44272</v>
      </c>
      <c r="B104" s="6" t="n">
        <v>0.434722222222222</v>
      </c>
      <c r="C104" s="7" t="n">
        <v>116202</v>
      </c>
      <c r="D104" s="7" t="s">
        <v>23</v>
      </c>
      <c r="E104" s="7" t="n">
        <v>6400</v>
      </c>
      <c r="F104" s="7" t="n">
        <v>5720</v>
      </c>
      <c r="G104" s="8" t="n">
        <v>680</v>
      </c>
      <c r="H104" s="7" t="s">
        <v>11</v>
      </c>
      <c r="I104" s="7" t="s">
        <v>19</v>
      </c>
      <c r="J104" s="0" t="s">
        <v>13</v>
      </c>
    </row>
    <row r="105" customFormat="false" ht="13.8" hidden="false" customHeight="false" outlineLevel="0" collapsed="false">
      <c r="A105" s="5" t="n">
        <v>44272</v>
      </c>
      <c r="B105" s="6" t="n">
        <v>0.436805555555556</v>
      </c>
      <c r="C105" s="7" t="n">
        <v>116203</v>
      </c>
      <c r="D105" s="7" t="s">
        <v>23</v>
      </c>
      <c r="E105" s="7" t="n">
        <v>6500</v>
      </c>
      <c r="F105" s="7" t="n">
        <v>6400</v>
      </c>
      <c r="G105" s="8" t="n">
        <v>100</v>
      </c>
      <c r="H105" s="7" t="s">
        <v>11</v>
      </c>
      <c r="I105" s="7" t="s">
        <v>19</v>
      </c>
      <c r="J105" s="0" t="s">
        <v>13</v>
      </c>
    </row>
    <row r="106" customFormat="false" ht="13.8" hidden="false" customHeight="false" outlineLevel="0" collapsed="false">
      <c r="A106" s="5" t="n">
        <v>44272</v>
      </c>
      <c r="B106" s="6" t="n">
        <v>0.442361111111111</v>
      </c>
      <c r="C106" s="7" t="n">
        <v>116205</v>
      </c>
      <c r="D106" s="7" t="s">
        <v>18</v>
      </c>
      <c r="E106" s="7" t="n">
        <v>17200</v>
      </c>
      <c r="F106" s="7" t="n">
        <v>17100</v>
      </c>
      <c r="G106" s="8" t="n">
        <v>100</v>
      </c>
      <c r="H106" s="7" t="s">
        <v>11</v>
      </c>
      <c r="I106" s="7" t="s">
        <v>19</v>
      </c>
      <c r="J106" s="0" t="s">
        <v>13</v>
      </c>
    </row>
    <row r="107" customFormat="false" ht="13.8" hidden="false" customHeight="false" outlineLevel="0" collapsed="false">
      <c r="A107" s="5" t="n">
        <v>44272</v>
      </c>
      <c r="B107" s="6" t="n">
        <v>0.440277777777778</v>
      </c>
      <c r="C107" s="7" t="n">
        <v>116204</v>
      </c>
      <c r="D107" s="7" t="s">
        <v>18</v>
      </c>
      <c r="E107" s="7" t="n">
        <v>17100</v>
      </c>
      <c r="F107" s="7" t="n">
        <v>15820</v>
      </c>
      <c r="G107" s="8" t="n">
        <v>1280</v>
      </c>
      <c r="H107" s="7" t="s">
        <v>11</v>
      </c>
      <c r="I107" s="7" t="s">
        <v>19</v>
      </c>
      <c r="J107" s="0" t="s">
        <v>13</v>
      </c>
    </row>
    <row r="108" customFormat="false" ht="13.8" hidden="false" customHeight="false" outlineLevel="0" collapsed="false">
      <c r="A108" s="5" t="n">
        <v>44272</v>
      </c>
      <c r="B108" s="6" t="n">
        <v>0.373611111111111</v>
      </c>
      <c r="C108" s="7" t="n">
        <v>116190</v>
      </c>
      <c r="D108" s="7" t="s">
        <v>16</v>
      </c>
      <c r="E108" s="7" t="n">
        <v>3340</v>
      </c>
      <c r="F108" s="7" t="n">
        <v>2840</v>
      </c>
      <c r="G108" s="8" t="n">
        <v>500</v>
      </c>
      <c r="H108" s="7" t="s">
        <v>11</v>
      </c>
      <c r="I108" s="7" t="s">
        <v>17</v>
      </c>
      <c r="J108" s="0" t="s">
        <v>13</v>
      </c>
    </row>
    <row r="109" customFormat="false" ht="13.8" hidden="false" customHeight="false" outlineLevel="0" collapsed="false">
      <c r="A109" s="5" t="n">
        <v>44273</v>
      </c>
      <c r="B109" s="6" t="n">
        <v>0.140972222222222</v>
      </c>
      <c r="C109" s="7" t="n">
        <v>136402</v>
      </c>
      <c r="D109" s="7" t="s">
        <v>14</v>
      </c>
      <c r="E109" s="7" t="n">
        <v>15700</v>
      </c>
      <c r="F109" s="7" t="n">
        <v>12780</v>
      </c>
      <c r="G109" s="8" t="n">
        <v>2920</v>
      </c>
      <c r="H109" s="7" t="s">
        <v>11</v>
      </c>
      <c r="I109" s="7" t="s">
        <v>12</v>
      </c>
      <c r="J109" s="0" t="s">
        <v>13</v>
      </c>
    </row>
    <row r="110" customFormat="false" ht="13.8" hidden="false" customHeight="false" outlineLevel="0" collapsed="false">
      <c r="A110" s="5" t="n">
        <v>44273</v>
      </c>
      <c r="B110" s="6" t="n">
        <v>0.215277777777778</v>
      </c>
      <c r="C110" s="7" t="n">
        <v>136407</v>
      </c>
      <c r="D110" s="7" t="s">
        <v>15</v>
      </c>
      <c r="E110" s="7" t="n">
        <v>23680</v>
      </c>
      <c r="F110" s="7" t="n">
        <v>15740</v>
      </c>
      <c r="G110" s="8" t="n">
        <v>7940</v>
      </c>
      <c r="H110" s="7" t="s">
        <v>11</v>
      </c>
      <c r="I110" s="7" t="s">
        <v>12</v>
      </c>
      <c r="J110" s="0" t="s">
        <v>13</v>
      </c>
    </row>
    <row r="111" customFormat="false" ht="13.8" hidden="false" customHeight="false" outlineLevel="0" collapsed="false">
      <c r="A111" s="5" t="n">
        <v>44273</v>
      </c>
      <c r="B111" s="6" t="n">
        <v>0.259722222222222</v>
      </c>
      <c r="C111" s="9" t="n">
        <v>136411</v>
      </c>
      <c r="D111" s="7" t="s">
        <v>10</v>
      </c>
      <c r="E111" s="7" t="n">
        <v>4460</v>
      </c>
      <c r="F111" s="7" t="n">
        <v>3680</v>
      </c>
      <c r="G111" s="8" t="n">
        <v>780</v>
      </c>
      <c r="H111" s="7" t="s">
        <v>11</v>
      </c>
      <c r="I111" s="7" t="s">
        <v>12</v>
      </c>
      <c r="J111" s="0" t="s">
        <v>13</v>
      </c>
    </row>
    <row r="112" customFormat="false" ht="13.8" hidden="false" customHeight="false" outlineLevel="0" collapsed="false">
      <c r="A112" s="5" t="n">
        <v>44272</v>
      </c>
      <c r="B112" s="6" t="n">
        <v>0.506944444444444</v>
      </c>
      <c r="C112" s="7" t="n">
        <v>1225</v>
      </c>
      <c r="D112" s="7" t="s">
        <v>15</v>
      </c>
      <c r="E112" s="7" t="n">
        <v>17120</v>
      </c>
      <c r="F112" s="7" t="n">
        <v>15760</v>
      </c>
      <c r="G112" s="8" t="n">
        <v>1360</v>
      </c>
      <c r="H112" s="7" t="s">
        <v>11</v>
      </c>
      <c r="I112" s="7" t="s">
        <v>24</v>
      </c>
      <c r="J112" s="10" t="s">
        <v>13</v>
      </c>
    </row>
    <row r="113" customFormat="false" ht="13.8" hidden="false" customHeight="false" outlineLevel="0" collapsed="false">
      <c r="A113" s="5" t="n">
        <v>44273</v>
      </c>
      <c r="B113" s="6" t="n">
        <v>0.48125</v>
      </c>
      <c r="C113" s="7" t="n">
        <v>116275</v>
      </c>
      <c r="D113" s="7" t="s">
        <v>16</v>
      </c>
      <c r="E113" s="7" t="n">
        <v>3280</v>
      </c>
      <c r="F113" s="7" t="n">
        <v>2820</v>
      </c>
      <c r="G113" s="8" t="n">
        <v>460</v>
      </c>
      <c r="H113" s="7" t="s">
        <v>11</v>
      </c>
      <c r="I113" s="7" t="s">
        <v>17</v>
      </c>
      <c r="J113" s="0" t="s">
        <v>13</v>
      </c>
    </row>
    <row r="114" customFormat="false" ht="13.8" hidden="false" customHeight="false" outlineLevel="0" collapsed="false">
      <c r="A114" s="5" t="n">
        <v>44273</v>
      </c>
      <c r="B114" s="6" t="n">
        <v>0.5375</v>
      </c>
      <c r="C114" s="7" t="n">
        <v>116288</v>
      </c>
      <c r="D114" s="7" t="s">
        <v>16</v>
      </c>
      <c r="E114" s="7" t="n">
        <v>3060</v>
      </c>
      <c r="F114" s="7" t="n">
        <v>2940</v>
      </c>
      <c r="G114" s="8" t="n">
        <v>120</v>
      </c>
      <c r="H114" s="7" t="s">
        <v>11</v>
      </c>
      <c r="I114" s="7" t="s">
        <v>17</v>
      </c>
      <c r="J114" s="0" t="s">
        <v>13</v>
      </c>
    </row>
    <row r="115" customFormat="false" ht="13.8" hidden="false" customHeight="false" outlineLevel="0" collapsed="false">
      <c r="A115" s="5" t="n">
        <v>44274</v>
      </c>
      <c r="B115" s="6" t="n">
        <v>0.209027777777778</v>
      </c>
      <c r="C115" s="7" t="n">
        <v>136438</v>
      </c>
      <c r="D115" s="7" t="s">
        <v>10</v>
      </c>
      <c r="E115" s="7" t="n">
        <v>4340</v>
      </c>
      <c r="F115" s="7" t="n">
        <v>3560</v>
      </c>
      <c r="G115" s="8" t="n">
        <v>780</v>
      </c>
      <c r="H115" s="7" t="s">
        <v>11</v>
      </c>
      <c r="I115" s="7" t="s">
        <v>12</v>
      </c>
      <c r="J115" s="0" t="s">
        <v>13</v>
      </c>
    </row>
    <row r="116" customFormat="false" ht="13.8" hidden="false" customHeight="false" outlineLevel="0" collapsed="false">
      <c r="A116" s="5" t="n">
        <v>44274</v>
      </c>
      <c r="B116" s="6" t="n">
        <v>0.105555555555556</v>
      </c>
      <c r="C116" s="7" t="n">
        <v>136431</v>
      </c>
      <c r="D116" s="7" t="s">
        <v>14</v>
      </c>
      <c r="E116" s="7" t="n">
        <v>16160</v>
      </c>
      <c r="F116" s="7" t="n">
        <v>12820</v>
      </c>
      <c r="G116" s="8" t="n">
        <v>3340</v>
      </c>
      <c r="H116" s="7" t="s">
        <v>11</v>
      </c>
      <c r="I116" s="7" t="s">
        <v>12</v>
      </c>
      <c r="J116" s="0" t="s">
        <v>13</v>
      </c>
    </row>
    <row r="117" customFormat="false" ht="13.8" hidden="false" customHeight="false" outlineLevel="0" collapsed="false">
      <c r="A117" s="5" t="n">
        <v>44274</v>
      </c>
      <c r="B117" s="6" t="n">
        <v>0.204166666666667</v>
      </c>
      <c r="C117" s="7" t="n">
        <v>136437</v>
      </c>
      <c r="D117" s="7" t="s">
        <v>15</v>
      </c>
      <c r="E117" s="7" t="n">
        <v>25160</v>
      </c>
      <c r="F117" s="7" t="n">
        <v>15840</v>
      </c>
      <c r="G117" s="8" t="n">
        <v>9320</v>
      </c>
      <c r="H117" s="7" t="s">
        <v>11</v>
      </c>
      <c r="I117" s="7" t="s">
        <v>12</v>
      </c>
      <c r="J117" s="0" t="s">
        <v>13</v>
      </c>
    </row>
    <row r="118" customFormat="false" ht="13.8" hidden="false" customHeight="false" outlineLevel="0" collapsed="false">
      <c r="A118" s="5" t="n">
        <v>44275</v>
      </c>
      <c r="B118" s="6" t="n">
        <v>0.263194444444444</v>
      </c>
      <c r="C118" s="7" t="n">
        <v>136460</v>
      </c>
      <c r="D118" s="7" t="s">
        <v>10</v>
      </c>
      <c r="E118" s="7" t="n">
        <v>4820</v>
      </c>
      <c r="F118" s="7" t="n">
        <v>3780</v>
      </c>
      <c r="G118" s="8" t="n">
        <v>1040</v>
      </c>
      <c r="H118" s="7" t="s">
        <v>11</v>
      </c>
      <c r="I118" s="7" t="s">
        <v>12</v>
      </c>
      <c r="J118" s="0" t="s">
        <v>13</v>
      </c>
    </row>
    <row r="119" customFormat="false" ht="13.8" hidden="false" customHeight="false" outlineLevel="0" collapsed="false">
      <c r="A119" s="5" t="n">
        <v>44275</v>
      </c>
      <c r="B119" s="6" t="n">
        <v>0.13125</v>
      </c>
      <c r="C119" s="7" t="n">
        <v>136452</v>
      </c>
      <c r="D119" s="7" t="s">
        <v>14</v>
      </c>
      <c r="E119" s="7" t="n">
        <v>15920</v>
      </c>
      <c r="F119" s="7" t="n">
        <v>12740</v>
      </c>
      <c r="G119" s="8" t="n">
        <v>3180</v>
      </c>
      <c r="H119" s="7" t="s">
        <v>11</v>
      </c>
      <c r="I119" s="7" t="s">
        <v>12</v>
      </c>
      <c r="J119" s="0" t="s">
        <v>13</v>
      </c>
    </row>
    <row r="120" customFormat="false" ht="13.8" hidden="false" customHeight="false" outlineLevel="0" collapsed="false">
      <c r="A120" s="5" t="n">
        <v>44275</v>
      </c>
      <c r="B120" s="6" t="n">
        <v>0.538888888888889</v>
      </c>
      <c r="C120" s="7" t="n">
        <v>136466</v>
      </c>
      <c r="D120" s="7" t="s">
        <v>20</v>
      </c>
      <c r="E120" s="7" t="n">
        <v>2640</v>
      </c>
      <c r="F120" s="7" t="n">
        <v>2380</v>
      </c>
      <c r="G120" s="8" t="n">
        <v>260</v>
      </c>
      <c r="H120" s="7" t="s">
        <v>11</v>
      </c>
      <c r="I120" s="7" t="s">
        <v>12</v>
      </c>
      <c r="J120" s="0" t="s">
        <v>13</v>
      </c>
    </row>
    <row r="121" customFormat="false" ht="13.8" hidden="false" customHeight="false" outlineLevel="0" collapsed="false">
      <c r="A121" s="5" t="n">
        <v>44275</v>
      </c>
      <c r="B121" s="6" t="n">
        <v>0.281944444444444</v>
      </c>
      <c r="C121" s="7" t="n">
        <v>136463</v>
      </c>
      <c r="D121" s="7" t="s">
        <v>15</v>
      </c>
      <c r="E121" s="7" t="n">
        <v>24840</v>
      </c>
      <c r="F121" s="7" t="n">
        <v>15740</v>
      </c>
      <c r="G121" s="8" t="n">
        <v>9100</v>
      </c>
      <c r="H121" s="7" t="s">
        <v>11</v>
      </c>
      <c r="I121" s="7" t="s">
        <v>12</v>
      </c>
      <c r="J121" s="0" t="s">
        <v>13</v>
      </c>
    </row>
    <row r="122" customFormat="false" ht="13.8" hidden="false" customHeight="false" outlineLevel="0" collapsed="false">
      <c r="A122" s="5" t="n">
        <v>44276</v>
      </c>
      <c r="B122" s="6" t="n">
        <v>0.214583333333333</v>
      </c>
      <c r="C122" s="7" t="n">
        <v>136474</v>
      </c>
      <c r="D122" s="7" t="s">
        <v>10</v>
      </c>
      <c r="E122" s="7" t="n">
        <v>4720</v>
      </c>
      <c r="F122" s="7" t="n">
        <v>3680</v>
      </c>
      <c r="G122" s="8" t="n">
        <v>1040</v>
      </c>
      <c r="H122" s="7" t="s">
        <v>11</v>
      </c>
      <c r="I122" s="7" t="s">
        <v>12</v>
      </c>
      <c r="J122" s="0" t="s">
        <v>13</v>
      </c>
    </row>
    <row r="123" customFormat="false" ht="13.8" hidden="false" customHeight="false" outlineLevel="0" collapsed="false">
      <c r="A123" s="5" t="n">
        <v>44276</v>
      </c>
      <c r="B123" s="6" t="n">
        <v>0.254166666666667</v>
      </c>
      <c r="C123" s="7" t="n">
        <v>136477</v>
      </c>
      <c r="D123" s="7" t="s">
        <v>15</v>
      </c>
      <c r="E123" s="7" t="n">
        <v>24100</v>
      </c>
      <c r="F123" s="7" t="n">
        <v>15840</v>
      </c>
      <c r="G123" s="8" t="n">
        <v>8260</v>
      </c>
      <c r="H123" s="7" t="s">
        <v>11</v>
      </c>
      <c r="I123" s="7" t="s">
        <v>12</v>
      </c>
      <c r="J123" s="0" t="s">
        <v>13</v>
      </c>
    </row>
    <row r="124" customFormat="false" ht="13.8" hidden="false" customHeight="false" outlineLevel="0" collapsed="false">
      <c r="A124" s="5" t="n">
        <v>44276</v>
      </c>
      <c r="B124" s="6" t="n">
        <v>0.129861111111111</v>
      </c>
      <c r="C124" s="7" t="n">
        <v>136473</v>
      </c>
      <c r="D124" s="7" t="s">
        <v>14</v>
      </c>
      <c r="E124" s="7" t="n">
        <v>17040</v>
      </c>
      <c r="F124" s="7" t="n">
        <v>13020</v>
      </c>
      <c r="G124" s="8" t="n">
        <v>4020</v>
      </c>
      <c r="H124" s="7" t="s">
        <v>11</v>
      </c>
      <c r="I124" s="7" t="s">
        <v>12</v>
      </c>
      <c r="J124" s="0" t="s">
        <v>13</v>
      </c>
    </row>
    <row r="125" customFormat="false" ht="13.8" hidden="false" customHeight="false" outlineLevel="0" collapsed="false">
      <c r="A125" s="5" t="n">
        <v>44276</v>
      </c>
      <c r="B125" s="6" t="n">
        <v>0.540277777777778</v>
      </c>
      <c r="C125" s="7" t="n">
        <v>136480</v>
      </c>
      <c r="D125" s="7" t="s">
        <v>20</v>
      </c>
      <c r="E125" s="7" t="n">
        <v>2820</v>
      </c>
      <c r="F125" s="7" t="n">
        <v>2420</v>
      </c>
      <c r="G125" s="8" t="n">
        <v>400</v>
      </c>
      <c r="H125" s="7" t="s">
        <v>11</v>
      </c>
      <c r="I125" s="7" t="s">
        <v>12</v>
      </c>
      <c r="J125" s="0" t="s">
        <v>13</v>
      </c>
    </row>
    <row r="126" customFormat="false" ht="13.8" hidden="false" customHeight="false" outlineLevel="0" collapsed="false">
      <c r="A126" s="5" t="n">
        <v>44277</v>
      </c>
      <c r="B126" s="6" t="n">
        <v>0.126388888888889</v>
      </c>
      <c r="C126" s="7" t="n">
        <v>136485</v>
      </c>
      <c r="D126" s="7" t="s">
        <v>14</v>
      </c>
      <c r="E126" s="7" t="n">
        <v>15620</v>
      </c>
      <c r="F126" s="7" t="n">
        <v>13020</v>
      </c>
      <c r="G126" s="8" t="n">
        <v>2600</v>
      </c>
      <c r="H126" s="7" t="s">
        <v>11</v>
      </c>
      <c r="I126" s="7" t="s">
        <v>12</v>
      </c>
      <c r="J126" s="0" t="s">
        <v>13</v>
      </c>
    </row>
    <row r="127" customFormat="false" ht="13.8" hidden="false" customHeight="false" outlineLevel="0" collapsed="false">
      <c r="A127" s="5" t="n">
        <v>44277</v>
      </c>
      <c r="B127" s="6" t="n">
        <v>0.28125</v>
      </c>
      <c r="C127" s="7" t="n">
        <v>136497</v>
      </c>
      <c r="D127" s="7" t="s">
        <v>15</v>
      </c>
      <c r="E127" s="7" t="n">
        <v>23660</v>
      </c>
      <c r="F127" s="7" t="n">
        <v>15780</v>
      </c>
      <c r="G127" s="8" t="n">
        <v>7880</v>
      </c>
      <c r="H127" s="7" t="s">
        <v>11</v>
      </c>
      <c r="I127" s="7" t="s">
        <v>12</v>
      </c>
      <c r="J127" s="0" t="s">
        <v>13</v>
      </c>
    </row>
    <row r="128" customFormat="false" ht="13.8" hidden="false" customHeight="false" outlineLevel="0" collapsed="false">
      <c r="A128" s="5" t="n">
        <v>44277</v>
      </c>
      <c r="B128" s="6" t="n">
        <v>0.258333333333333</v>
      </c>
      <c r="C128" s="7" t="n">
        <v>136494</v>
      </c>
      <c r="D128" s="7" t="s">
        <v>10</v>
      </c>
      <c r="E128" s="7" t="n">
        <v>4660</v>
      </c>
      <c r="F128" s="7" t="n">
        <v>3780</v>
      </c>
      <c r="G128" s="8" t="n">
        <v>880</v>
      </c>
      <c r="H128" s="7" t="s">
        <v>11</v>
      </c>
      <c r="I128" s="7" t="s">
        <v>12</v>
      </c>
      <c r="J128" s="0" t="s">
        <v>13</v>
      </c>
    </row>
    <row r="129" customFormat="false" ht="13.8" hidden="false" customHeight="false" outlineLevel="0" collapsed="false">
      <c r="A129" s="5" t="n">
        <v>44277</v>
      </c>
      <c r="B129" s="6" t="n">
        <v>0.448611111111111</v>
      </c>
      <c r="C129" s="7" t="n">
        <v>116328</v>
      </c>
      <c r="D129" s="7" t="s">
        <v>23</v>
      </c>
      <c r="E129" s="7" t="n">
        <v>6440</v>
      </c>
      <c r="F129" s="7" t="n">
        <v>5640</v>
      </c>
      <c r="G129" s="8" t="n">
        <v>800</v>
      </c>
      <c r="H129" s="7" t="s">
        <v>11</v>
      </c>
      <c r="I129" s="7" t="s">
        <v>19</v>
      </c>
      <c r="J129" s="0" t="s">
        <v>13</v>
      </c>
    </row>
    <row r="130" customFormat="false" ht="13.8" hidden="false" customHeight="false" outlineLevel="0" collapsed="false">
      <c r="A130" s="5" t="n">
        <v>44278</v>
      </c>
      <c r="B130" s="6" t="n">
        <v>0.120833333333333</v>
      </c>
      <c r="C130" s="7" t="n">
        <v>136523</v>
      </c>
      <c r="D130" s="7" t="s">
        <v>14</v>
      </c>
      <c r="E130" s="7" t="n">
        <v>16280</v>
      </c>
      <c r="F130" s="7" t="n">
        <v>12940</v>
      </c>
      <c r="G130" s="8" t="n">
        <v>3340</v>
      </c>
      <c r="H130" s="7" t="s">
        <v>11</v>
      </c>
      <c r="I130" s="7" t="s">
        <v>12</v>
      </c>
      <c r="J130" s="0" t="s">
        <v>13</v>
      </c>
    </row>
    <row r="131" customFormat="false" ht="13.8" hidden="false" customHeight="false" outlineLevel="0" collapsed="false">
      <c r="A131" s="5" t="n">
        <v>44278</v>
      </c>
      <c r="B131" s="6" t="n">
        <v>0.261805555555556</v>
      </c>
      <c r="C131" s="7" t="n">
        <v>136531</v>
      </c>
      <c r="D131" s="7" t="s">
        <v>10</v>
      </c>
      <c r="E131" s="7" t="n">
        <v>4380</v>
      </c>
      <c r="F131" s="7" t="n">
        <v>3820</v>
      </c>
      <c r="G131" s="8" t="n">
        <v>560</v>
      </c>
      <c r="H131" s="7" t="s">
        <v>11</v>
      </c>
      <c r="I131" s="7" t="s">
        <v>12</v>
      </c>
      <c r="J131" s="0" t="s">
        <v>13</v>
      </c>
    </row>
    <row r="132" customFormat="false" ht="13.8" hidden="false" customHeight="false" outlineLevel="0" collapsed="false">
      <c r="A132" s="5" t="n">
        <v>44278</v>
      </c>
      <c r="B132" s="6" t="n">
        <v>0.284027777777778</v>
      </c>
      <c r="C132" s="7" t="n">
        <v>136535</v>
      </c>
      <c r="D132" s="7" t="s">
        <v>15</v>
      </c>
      <c r="E132" s="7" t="n">
        <v>23700</v>
      </c>
      <c r="F132" s="7" t="n">
        <v>15820</v>
      </c>
      <c r="G132" s="8" t="n">
        <v>7880</v>
      </c>
      <c r="H132" s="7" t="s">
        <v>11</v>
      </c>
      <c r="I132" s="7" t="s">
        <v>12</v>
      </c>
      <c r="J132" s="0" t="s">
        <v>13</v>
      </c>
    </row>
    <row r="133" customFormat="false" ht="13.8" hidden="false" customHeight="false" outlineLevel="0" collapsed="false">
      <c r="A133" s="5" t="n">
        <v>44278</v>
      </c>
      <c r="B133" s="6" t="n">
        <v>0.504861111111111</v>
      </c>
      <c r="C133" s="7" t="n">
        <v>1240</v>
      </c>
      <c r="D133" s="7" t="s">
        <v>15</v>
      </c>
      <c r="E133" s="7" t="n">
        <v>16580</v>
      </c>
      <c r="F133" s="7" t="n">
        <v>15700</v>
      </c>
      <c r="G133" s="8" t="n">
        <v>880</v>
      </c>
      <c r="H133" s="7" t="s">
        <v>11</v>
      </c>
      <c r="I133" s="7" t="s">
        <v>24</v>
      </c>
      <c r="J133" s="10" t="s">
        <v>13</v>
      </c>
    </row>
    <row r="134" customFormat="false" ht="13.8" hidden="false" customHeight="false" outlineLevel="0" collapsed="false">
      <c r="A134" s="5" t="n">
        <v>44278</v>
      </c>
      <c r="B134" s="6" t="n">
        <v>0.467361111111111</v>
      </c>
      <c r="C134" s="7" t="n">
        <v>136545</v>
      </c>
      <c r="D134" s="7" t="s">
        <v>20</v>
      </c>
      <c r="E134" s="7" t="n">
        <v>2720</v>
      </c>
      <c r="F134" s="7" t="n">
        <v>2420</v>
      </c>
      <c r="G134" s="8" t="n">
        <v>300</v>
      </c>
      <c r="H134" s="7" t="s">
        <v>11</v>
      </c>
      <c r="I134" s="7" t="s">
        <v>12</v>
      </c>
      <c r="J134" s="0" t="s">
        <v>13</v>
      </c>
    </row>
    <row r="135" customFormat="false" ht="13.8" hidden="false" customHeight="false" outlineLevel="0" collapsed="false">
      <c r="A135" s="5" t="n">
        <v>44278</v>
      </c>
      <c r="B135" s="6" t="n">
        <v>0.515972222222222</v>
      </c>
      <c r="C135" s="7" t="n">
        <v>116405</v>
      </c>
      <c r="D135" s="7" t="s">
        <v>15</v>
      </c>
      <c r="E135" s="7" t="n">
        <v>17280</v>
      </c>
      <c r="F135" s="7" t="n">
        <v>15760</v>
      </c>
      <c r="G135" s="8" t="n">
        <v>1520</v>
      </c>
      <c r="H135" s="7" t="s">
        <v>11</v>
      </c>
      <c r="I135" s="7" t="s">
        <v>22</v>
      </c>
      <c r="J135" s="10" t="s">
        <v>13</v>
      </c>
    </row>
    <row r="136" customFormat="false" ht="13.8" hidden="false" customHeight="false" outlineLevel="0" collapsed="false">
      <c r="A136" s="5" t="n">
        <v>44278</v>
      </c>
      <c r="B136" s="6" t="n">
        <v>0.55</v>
      </c>
      <c r="C136" s="7" t="n">
        <v>116412</v>
      </c>
      <c r="D136" s="7" t="s">
        <v>16</v>
      </c>
      <c r="E136" s="7" t="n">
        <v>3760</v>
      </c>
      <c r="F136" s="7" t="n">
        <v>2940</v>
      </c>
      <c r="G136" s="8" t="n">
        <v>820</v>
      </c>
      <c r="H136" s="7" t="s">
        <v>11</v>
      </c>
      <c r="I136" s="7" t="s">
        <v>17</v>
      </c>
      <c r="J136" s="0" t="s">
        <v>13</v>
      </c>
    </row>
    <row r="137" customFormat="false" ht="13.8" hidden="false" customHeight="false" outlineLevel="0" collapsed="false">
      <c r="A137" s="5" t="n">
        <v>44278</v>
      </c>
      <c r="B137" s="6" t="n">
        <v>0.402777777777778</v>
      </c>
      <c r="C137" s="7" t="n">
        <v>116378</v>
      </c>
      <c r="D137" s="7" t="s">
        <v>21</v>
      </c>
      <c r="E137" s="7" t="n">
        <v>3160</v>
      </c>
      <c r="F137" s="7" t="n">
        <v>2700</v>
      </c>
      <c r="G137" s="8" t="n">
        <v>460</v>
      </c>
      <c r="H137" s="7" t="s">
        <v>11</v>
      </c>
      <c r="I137" s="7" t="s">
        <v>17</v>
      </c>
      <c r="J137" s="0" t="s">
        <v>13</v>
      </c>
    </row>
    <row r="138" customFormat="false" ht="13.8" hidden="false" customHeight="false" outlineLevel="0" collapsed="false">
      <c r="A138" s="5" t="n">
        <v>44278</v>
      </c>
      <c r="B138" s="6" t="n">
        <v>0.445138888888889</v>
      </c>
      <c r="C138" s="7" t="n">
        <v>116389</v>
      </c>
      <c r="D138" s="7" t="s">
        <v>21</v>
      </c>
      <c r="E138" s="7" t="n">
        <v>3940</v>
      </c>
      <c r="F138" s="7" t="n">
        <v>2700</v>
      </c>
      <c r="G138" s="8" t="n">
        <v>1240</v>
      </c>
      <c r="H138" s="7" t="s">
        <v>11</v>
      </c>
      <c r="I138" s="7" t="s">
        <v>17</v>
      </c>
      <c r="J138" s="0" t="s">
        <v>13</v>
      </c>
    </row>
    <row r="139" customFormat="false" ht="13.8" hidden="false" customHeight="false" outlineLevel="0" collapsed="false">
      <c r="A139" s="5" t="n">
        <v>44278</v>
      </c>
      <c r="B139" s="6" t="n">
        <v>0.540972222222222</v>
      </c>
      <c r="C139" s="7" t="n">
        <v>116410</v>
      </c>
      <c r="D139" s="7" t="s">
        <v>21</v>
      </c>
      <c r="E139" s="7" t="n">
        <v>3700</v>
      </c>
      <c r="F139" s="7" t="n">
        <v>2700</v>
      </c>
      <c r="G139" s="8" t="n">
        <v>1000</v>
      </c>
      <c r="H139" s="7" t="s">
        <v>11</v>
      </c>
      <c r="I139" s="7" t="s">
        <v>17</v>
      </c>
      <c r="J139" s="0" t="s">
        <v>13</v>
      </c>
    </row>
    <row r="140" customFormat="false" ht="13.8" hidden="false" customHeight="false" outlineLevel="0" collapsed="false">
      <c r="A140" s="5" t="n">
        <v>44279</v>
      </c>
      <c r="B140" s="6" t="n">
        <v>0.271527777777778</v>
      </c>
      <c r="C140" s="7" t="n">
        <v>136570</v>
      </c>
      <c r="D140" s="7" t="s">
        <v>15</v>
      </c>
      <c r="E140" s="7" t="n">
        <v>23120</v>
      </c>
      <c r="F140" s="7" t="n">
        <v>15820</v>
      </c>
      <c r="G140" s="8" t="n">
        <v>7300</v>
      </c>
      <c r="H140" s="7" t="s">
        <v>11</v>
      </c>
      <c r="I140" s="7" t="s">
        <v>12</v>
      </c>
      <c r="J140" s="0" t="s">
        <v>13</v>
      </c>
    </row>
    <row r="141" customFormat="false" ht="13.8" hidden="false" customHeight="false" outlineLevel="0" collapsed="false">
      <c r="A141" s="5" t="n">
        <v>44279</v>
      </c>
      <c r="B141" s="6" t="n">
        <v>0.263194444444444</v>
      </c>
      <c r="C141" s="7" t="n">
        <v>136569</v>
      </c>
      <c r="D141" s="7" t="s">
        <v>10</v>
      </c>
      <c r="E141" s="7" t="n">
        <v>4360</v>
      </c>
      <c r="F141" s="7" t="n">
        <v>3760</v>
      </c>
      <c r="G141" s="8" t="n">
        <v>600</v>
      </c>
      <c r="H141" s="7" t="s">
        <v>11</v>
      </c>
      <c r="I141" s="7" t="s">
        <v>12</v>
      </c>
      <c r="J141" s="0" t="s">
        <v>13</v>
      </c>
    </row>
    <row r="142" customFormat="false" ht="13.8" hidden="false" customHeight="false" outlineLevel="0" collapsed="false">
      <c r="A142" s="5" t="n">
        <v>44279</v>
      </c>
      <c r="B142" s="6" t="n">
        <v>0.121527777777778</v>
      </c>
      <c r="C142" s="7" t="n">
        <v>136561</v>
      </c>
      <c r="D142" s="7" t="s">
        <v>14</v>
      </c>
      <c r="E142" s="7" t="n">
        <v>15540</v>
      </c>
      <c r="F142" s="7" t="n">
        <v>12860</v>
      </c>
      <c r="G142" s="8" t="n">
        <v>2680</v>
      </c>
      <c r="H142" s="7" t="s">
        <v>11</v>
      </c>
      <c r="I142" s="7" t="s">
        <v>12</v>
      </c>
      <c r="J142" s="0" t="s">
        <v>13</v>
      </c>
    </row>
    <row r="143" customFormat="false" ht="13.8" hidden="false" customHeight="false" outlineLevel="0" collapsed="false">
      <c r="A143" s="5" t="n">
        <v>44279</v>
      </c>
      <c r="B143" s="6" t="n">
        <v>0.2875</v>
      </c>
      <c r="C143" s="7" t="n">
        <v>136573</v>
      </c>
      <c r="D143" s="7" t="s">
        <v>18</v>
      </c>
      <c r="E143" s="7" t="n">
        <v>26380</v>
      </c>
      <c r="F143" s="7" t="n">
        <v>15300</v>
      </c>
      <c r="G143" s="8" t="n">
        <v>11080</v>
      </c>
      <c r="H143" s="7" t="s">
        <v>11</v>
      </c>
      <c r="I143" s="7" t="s">
        <v>26</v>
      </c>
      <c r="J143" s="0" t="s">
        <v>13</v>
      </c>
    </row>
    <row r="144" customFormat="false" ht="13.8" hidden="false" customHeight="false" outlineLevel="0" collapsed="false">
      <c r="A144" s="5" t="n">
        <v>44279</v>
      </c>
      <c r="B144" s="6" t="n">
        <v>0.309027777777778</v>
      </c>
      <c r="C144" s="7" t="n">
        <v>136574</v>
      </c>
      <c r="D144" s="7" t="s">
        <v>18</v>
      </c>
      <c r="E144" s="7" t="n">
        <v>27320</v>
      </c>
      <c r="F144" s="7" t="n">
        <v>15300</v>
      </c>
      <c r="G144" s="8" t="n">
        <v>12020</v>
      </c>
      <c r="H144" s="7" t="s">
        <v>11</v>
      </c>
      <c r="I144" s="7" t="s">
        <v>26</v>
      </c>
      <c r="J144" s="0" t="s">
        <v>13</v>
      </c>
    </row>
    <row r="145" customFormat="false" ht="13.8" hidden="false" customHeight="false" outlineLevel="0" collapsed="false">
      <c r="A145" s="5" t="n">
        <v>44279</v>
      </c>
      <c r="B145" s="6" t="n">
        <v>0.329166666666667</v>
      </c>
      <c r="C145" s="7" t="n">
        <v>136576</v>
      </c>
      <c r="D145" s="7" t="s">
        <v>18</v>
      </c>
      <c r="E145" s="7" t="n">
        <v>28280</v>
      </c>
      <c r="F145" s="7" t="n">
        <v>15300</v>
      </c>
      <c r="G145" s="8" t="n">
        <v>12980</v>
      </c>
      <c r="H145" s="7" t="s">
        <v>11</v>
      </c>
      <c r="I145" s="7" t="s">
        <v>26</v>
      </c>
      <c r="J145" s="0" t="s">
        <v>13</v>
      </c>
    </row>
    <row r="146" customFormat="false" ht="13.8" hidden="false" customHeight="false" outlineLevel="0" collapsed="false">
      <c r="A146" s="5" t="n">
        <v>44279</v>
      </c>
      <c r="B146" s="6" t="n">
        <v>0.349305555555556</v>
      </c>
      <c r="C146" s="7" t="n">
        <v>136579</v>
      </c>
      <c r="D146" s="7" t="s">
        <v>18</v>
      </c>
      <c r="E146" s="7" t="n">
        <v>28780</v>
      </c>
      <c r="F146" s="7" t="n">
        <v>15300</v>
      </c>
      <c r="G146" s="8" t="n">
        <v>13480</v>
      </c>
      <c r="H146" s="7" t="s">
        <v>11</v>
      </c>
      <c r="I146" s="7" t="s">
        <v>26</v>
      </c>
      <c r="J146" s="0" t="s">
        <v>13</v>
      </c>
    </row>
    <row r="147" customFormat="false" ht="13.8" hidden="false" customHeight="false" outlineLevel="0" collapsed="false">
      <c r="A147" s="5" t="n">
        <v>44279</v>
      </c>
      <c r="B147" s="6" t="n">
        <v>0.370833333333333</v>
      </c>
      <c r="C147" s="7" t="n">
        <v>136581</v>
      </c>
      <c r="D147" s="7" t="s">
        <v>18</v>
      </c>
      <c r="E147" s="7" t="n">
        <v>28420</v>
      </c>
      <c r="F147" s="7" t="n">
        <v>15300</v>
      </c>
      <c r="G147" s="8" t="n">
        <v>13120</v>
      </c>
      <c r="H147" s="7" t="s">
        <v>11</v>
      </c>
      <c r="I147" s="7" t="s">
        <v>26</v>
      </c>
      <c r="J147" s="0" t="s">
        <v>13</v>
      </c>
    </row>
    <row r="148" customFormat="false" ht="13.8" hidden="false" customHeight="false" outlineLevel="0" collapsed="false">
      <c r="A148" s="5" t="n">
        <v>44279</v>
      </c>
      <c r="B148" s="6" t="n">
        <v>0.441666666666667</v>
      </c>
      <c r="C148" s="7" t="n">
        <v>136587</v>
      </c>
      <c r="D148" s="7" t="s">
        <v>18</v>
      </c>
      <c r="E148" s="7" t="n">
        <v>29060</v>
      </c>
      <c r="F148" s="7" t="n">
        <v>15300</v>
      </c>
      <c r="G148" s="8" t="n">
        <v>13760</v>
      </c>
      <c r="H148" s="7" t="s">
        <v>11</v>
      </c>
      <c r="I148" s="7" t="s">
        <v>26</v>
      </c>
      <c r="J148" s="0" t="s">
        <v>13</v>
      </c>
    </row>
    <row r="149" customFormat="false" ht="13.8" hidden="false" customHeight="false" outlineLevel="0" collapsed="false">
      <c r="A149" s="5" t="n">
        <v>44279</v>
      </c>
      <c r="B149" s="6" t="n">
        <v>0.368055555555555</v>
      </c>
      <c r="C149" s="7" t="n">
        <v>116442</v>
      </c>
      <c r="D149" s="7" t="s">
        <v>23</v>
      </c>
      <c r="E149" s="7" t="n">
        <v>6580</v>
      </c>
      <c r="F149" s="7" t="n">
        <v>6520</v>
      </c>
      <c r="G149" s="8" t="n">
        <v>60</v>
      </c>
      <c r="H149" s="7" t="s">
        <v>11</v>
      </c>
      <c r="I149" s="7" t="s">
        <v>19</v>
      </c>
      <c r="J149" s="0" t="s">
        <v>13</v>
      </c>
    </row>
    <row r="150" customFormat="false" ht="13.8" hidden="false" customHeight="false" outlineLevel="0" collapsed="false">
      <c r="A150" s="5" t="n">
        <v>44279</v>
      </c>
      <c r="B150" s="6" t="n">
        <v>0.368055555555555</v>
      </c>
      <c r="C150" s="7" t="n">
        <v>116441</v>
      </c>
      <c r="D150" s="7" t="s">
        <v>23</v>
      </c>
      <c r="E150" s="7" t="n">
        <v>6520</v>
      </c>
      <c r="F150" s="7" t="n">
        <v>5620</v>
      </c>
      <c r="G150" s="8" t="n">
        <v>900</v>
      </c>
      <c r="H150" s="7" t="s">
        <v>11</v>
      </c>
      <c r="I150" s="7" t="s">
        <v>19</v>
      </c>
      <c r="J150" s="0" t="s">
        <v>13</v>
      </c>
    </row>
    <row r="151" customFormat="false" ht="13.8" hidden="false" customHeight="false" outlineLevel="0" collapsed="false">
      <c r="A151" s="5" t="n">
        <v>44279</v>
      </c>
      <c r="B151" s="6" t="n">
        <v>0.549305555555555</v>
      </c>
      <c r="C151" s="7" t="n">
        <v>116484</v>
      </c>
      <c r="D151" s="7" t="s">
        <v>23</v>
      </c>
      <c r="E151" s="7" t="n">
        <v>6240</v>
      </c>
      <c r="F151" s="7" t="n">
        <v>6180</v>
      </c>
      <c r="G151" s="8" t="n">
        <v>60</v>
      </c>
      <c r="H151" s="7" t="s">
        <v>11</v>
      </c>
      <c r="I151" s="7" t="s">
        <v>19</v>
      </c>
      <c r="J151" s="0" t="s">
        <v>13</v>
      </c>
    </row>
    <row r="152" customFormat="false" ht="13.8" hidden="false" customHeight="false" outlineLevel="0" collapsed="false">
      <c r="A152" s="5" t="n">
        <v>44279</v>
      </c>
      <c r="B152" s="6" t="n">
        <v>0.549305555555555</v>
      </c>
      <c r="C152" s="7" t="n">
        <v>116485</v>
      </c>
      <c r="D152" s="7" t="s">
        <v>23</v>
      </c>
      <c r="E152" s="7" t="n">
        <v>6180</v>
      </c>
      <c r="F152" s="7" t="n">
        <v>5620</v>
      </c>
      <c r="G152" s="8" t="n">
        <v>560</v>
      </c>
      <c r="H152" s="7" t="s">
        <v>11</v>
      </c>
      <c r="I152" s="7" t="s">
        <v>19</v>
      </c>
      <c r="J152" s="0" t="s">
        <v>13</v>
      </c>
    </row>
    <row r="153" customFormat="false" ht="13.8" hidden="false" customHeight="false" outlineLevel="0" collapsed="false">
      <c r="A153" s="5" t="n">
        <v>44279</v>
      </c>
      <c r="B153" s="6" t="n">
        <v>0.440972222222222</v>
      </c>
      <c r="C153" s="7" t="n">
        <v>116456</v>
      </c>
      <c r="D153" s="7" t="s">
        <v>16</v>
      </c>
      <c r="E153" s="7" t="n">
        <v>3560</v>
      </c>
      <c r="F153" s="7" t="n">
        <v>2840</v>
      </c>
      <c r="G153" s="8" t="n">
        <v>720</v>
      </c>
      <c r="H153" s="7" t="s">
        <v>11</v>
      </c>
      <c r="I153" s="7" t="s">
        <v>17</v>
      </c>
      <c r="J153" s="0" t="s">
        <v>13</v>
      </c>
    </row>
    <row r="154" customFormat="false" ht="13.8" hidden="false" customHeight="false" outlineLevel="0" collapsed="false">
      <c r="A154" s="5" t="n">
        <v>44279</v>
      </c>
      <c r="B154" s="6" t="n">
        <v>0.459722222222222</v>
      </c>
      <c r="C154" s="7" t="n">
        <v>116460</v>
      </c>
      <c r="D154" s="7" t="s">
        <v>21</v>
      </c>
      <c r="E154" s="7" t="n">
        <v>3420</v>
      </c>
      <c r="F154" s="7" t="n">
        <v>2700</v>
      </c>
      <c r="G154" s="8" t="n">
        <v>720</v>
      </c>
      <c r="H154" s="7" t="s">
        <v>11</v>
      </c>
      <c r="I154" s="7" t="s">
        <v>17</v>
      </c>
      <c r="J154" s="0" t="s">
        <v>13</v>
      </c>
    </row>
    <row r="155" customFormat="false" ht="13.8" hidden="false" customHeight="false" outlineLevel="0" collapsed="false">
      <c r="A155" s="5" t="n">
        <v>44279</v>
      </c>
      <c r="B155" s="6" t="n">
        <v>0.541666666666667</v>
      </c>
      <c r="C155" s="7" t="n">
        <v>116479</v>
      </c>
      <c r="D155" s="7" t="s">
        <v>16</v>
      </c>
      <c r="E155" s="7" t="n">
        <v>3460</v>
      </c>
      <c r="F155" s="7" t="n">
        <v>2840</v>
      </c>
      <c r="G155" s="8" t="n">
        <v>620</v>
      </c>
      <c r="H155" s="7" t="s">
        <v>11</v>
      </c>
      <c r="I155" s="7" t="s">
        <v>17</v>
      </c>
      <c r="J155" s="0" t="s">
        <v>13</v>
      </c>
    </row>
    <row r="156" customFormat="false" ht="13.8" hidden="false" customHeight="false" outlineLevel="0" collapsed="false">
      <c r="A156" s="5" t="n">
        <v>44280</v>
      </c>
      <c r="B156" s="6" t="n">
        <v>0.256944444444444</v>
      </c>
      <c r="C156" s="7" t="n">
        <v>136608</v>
      </c>
      <c r="D156" s="7" t="s">
        <v>10</v>
      </c>
      <c r="E156" s="7" t="n">
        <v>4460</v>
      </c>
      <c r="F156" s="7" t="n">
        <v>3800</v>
      </c>
      <c r="G156" s="8" t="n">
        <v>660</v>
      </c>
      <c r="H156" s="7" t="s">
        <v>11</v>
      </c>
      <c r="I156" s="7" t="s">
        <v>12</v>
      </c>
      <c r="J156" s="0" t="s">
        <v>13</v>
      </c>
    </row>
    <row r="157" customFormat="false" ht="13.8" hidden="false" customHeight="false" outlineLevel="0" collapsed="false">
      <c r="A157" s="5" t="n">
        <v>44280</v>
      </c>
      <c r="B157" s="6" t="n">
        <v>0.115277777777778</v>
      </c>
      <c r="C157" s="7" t="n">
        <v>136598</v>
      </c>
      <c r="D157" s="7" t="s">
        <v>14</v>
      </c>
      <c r="E157" s="7" t="n">
        <v>15940</v>
      </c>
      <c r="F157" s="7" t="n">
        <v>12940</v>
      </c>
      <c r="G157" s="8" t="n">
        <v>3000</v>
      </c>
      <c r="H157" s="7" t="s">
        <v>11</v>
      </c>
      <c r="I157" s="7" t="s">
        <v>12</v>
      </c>
      <c r="J157" s="0" t="s">
        <v>13</v>
      </c>
    </row>
    <row r="158" customFormat="false" ht="13.8" hidden="false" customHeight="false" outlineLevel="0" collapsed="false">
      <c r="A158" s="5" t="n">
        <v>44280</v>
      </c>
      <c r="B158" s="6" t="n">
        <v>0.270833333333333</v>
      </c>
      <c r="C158" s="7" t="n">
        <v>136611</v>
      </c>
      <c r="D158" s="7" t="s">
        <v>15</v>
      </c>
      <c r="E158" s="7" t="n">
        <v>24280</v>
      </c>
      <c r="F158" s="7" t="n">
        <v>15740</v>
      </c>
      <c r="G158" s="8" t="n">
        <v>8540</v>
      </c>
      <c r="H158" s="7" t="s">
        <v>11</v>
      </c>
      <c r="I158" s="7" t="s">
        <v>12</v>
      </c>
      <c r="J158" s="0" t="s">
        <v>13</v>
      </c>
    </row>
    <row r="159" customFormat="false" ht="13.8" hidden="false" customHeight="false" outlineLevel="0" collapsed="false">
      <c r="A159" s="5" t="n">
        <v>44280</v>
      </c>
      <c r="B159" s="6" t="n">
        <v>0.518055555555556</v>
      </c>
      <c r="C159" s="7" t="n">
        <v>116557</v>
      </c>
      <c r="D159" s="7" t="s">
        <v>18</v>
      </c>
      <c r="E159" s="7" t="n">
        <v>18560</v>
      </c>
      <c r="F159" s="7" t="n">
        <v>18440</v>
      </c>
      <c r="G159" s="8" t="n">
        <v>120</v>
      </c>
      <c r="H159" s="7" t="s">
        <v>11</v>
      </c>
      <c r="I159" s="7" t="s">
        <v>19</v>
      </c>
      <c r="J159" s="0" t="s">
        <v>13</v>
      </c>
    </row>
    <row r="160" customFormat="false" ht="13.8" hidden="false" customHeight="false" outlineLevel="0" collapsed="false">
      <c r="A160" s="5" t="n">
        <v>44280</v>
      </c>
      <c r="B160" s="6" t="n">
        <v>0.518055555555556</v>
      </c>
      <c r="C160" s="7" t="n">
        <v>116556</v>
      </c>
      <c r="D160" s="7" t="s">
        <v>18</v>
      </c>
      <c r="E160" s="7" t="n">
        <v>18440</v>
      </c>
      <c r="F160" s="7" t="n">
        <v>15900</v>
      </c>
      <c r="G160" s="8" t="n">
        <v>2540</v>
      </c>
      <c r="H160" s="7" t="s">
        <v>11</v>
      </c>
      <c r="I160" s="7" t="s">
        <v>19</v>
      </c>
      <c r="J160" s="0" t="s">
        <v>13</v>
      </c>
    </row>
    <row r="161" customFormat="false" ht="13.8" hidden="false" customHeight="false" outlineLevel="0" collapsed="false">
      <c r="A161" s="5" t="n">
        <v>44280</v>
      </c>
      <c r="B161" s="6" t="n">
        <v>0.477083333333333</v>
      </c>
      <c r="C161" s="7" t="n">
        <v>116545</v>
      </c>
      <c r="D161" s="7" t="s">
        <v>21</v>
      </c>
      <c r="E161" s="7" t="n">
        <v>3420</v>
      </c>
      <c r="F161" s="7" t="n">
        <v>2700</v>
      </c>
      <c r="G161" s="8" t="n">
        <v>720</v>
      </c>
      <c r="H161" s="7" t="s">
        <v>11</v>
      </c>
      <c r="I161" s="7" t="s">
        <v>17</v>
      </c>
      <c r="J161" s="0" t="s">
        <v>13</v>
      </c>
    </row>
    <row r="162" customFormat="false" ht="13.8" hidden="false" customHeight="false" outlineLevel="0" collapsed="false">
      <c r="A162" s="5" t="n">
        <v>44280</v>
      </c>
      <c r="B162" s="6" t="n">
        <v>0.545833333333333</v>
      </c>
      <c r="C162" s="7" t="n">
        <v>116567</v>
      </c>
      <c r="D162" s="7" t="s">
        <v>21</v>
      </c>
      <c r="E162" s="7" t="n">
        <v>3440</v>
      </c>
      <c r="F162" s="7" t="n">
        <v>2800</v>
      </c>
      <c r="G162" s="8" t="n">
        <v>640</v>
      </c>
      <c r="H162" s="7" t="s">
        <v>11</v>
      </c>
      <c r="I162" s="7" t="s">
        <v>17</v>
      </c>
      <c r="J162" s="0" t="s">
        <v>13</v>
      </c>
    </row>
    <row r="163" customFormat="false" ht="13.8" hidden="false" customHeight="false" outlineLevel="0" collapsed="false">
      <c r="A163" s="5" t="n">
        <v>44280</v>
      </c>
      <c r="B163" s="6" t="n">
        <v>0.538194444444444</v>
      </c>
      <c r="C163" s="7" t="n">
        <v>116561</v>
      </c>
      <c r="D163" s="7" t="s">
        <v>16</v>
      </c>
      <c r="E163" s="7" t="n">
        <v>3680</v>
      </c>
      <c r="F163" s="7" t="n">
        <v>2840</v>
      </c>
      <c r="G163" s="8" t="n">
        <v>840</v>
      </c>
      <c r="H163" s="7" t="s">
        <v>11</v>
      </c>
      <c r="I163" s="7" t="s">
        <v>17</v>
      </c>
      <c r="J163" s="0" t="s">
        <v>13</v>
      </c>
    </row>
    <row r="164" customFormat="false" ht="13.8" hidden="false" customHeight="false" outlineLevel="0" collapsed="false">
      <c r="A164" s="5" t="n">
        <v>44280</v>
      </c>
      <c r="B164" s="6" t="n">
        <v>0.388194444444444</v>
      </c>
      <c r="C164" s="7" t="n">
        <v>116526</v>
      </c>
      <c r="D164" s="7" t="s">
        <v>16</v>
      </c>
      <c r="E164" s="7" t="n">
        <v>3560</v>
      </c>
      <c r="F164" s="7" t="n">
        <v>2840</v>
      </c>
      <c r="G164" s="8" t="n">
        <v>720</v>
      </c>
      <c r="H164" s="7" t="s">
        <v>11</v>
      </c>
      <c r="I164" s="7" t="s">
        <v>17</v>
      </c>
      <c r="J164" s="0" t="s">
        <v>13</v>
      </c>
    </row>
    <row r="165" customFormat="false" ht="13.8" hidden="false" customHeight="false" outlineLevel="0" collapsed="false">
      <c r="A165" s="5" t="n">
        <v>44280</v>
      </c>
      <c r="B165" s="6" t="n">
        <v>0.544444444444444</v>
      </c>
      <c r="C165" s="7" t="n">
        <v>116566</v>
      </c>
      <c r="D165" s="7" t="s">
        <v>23</v>
      </c>
      <c r="E165" s="7" t="n">
        <v>7680</v>
      </c>
      <c r="F165" s="7" t="n">
        <v>5600</v>
      </c>
      <c r="G165" s="8" t="n">
        <v>2080</v>
      </c>
      <c r="H165" s="7" t="s">
        <v>11</v>
      </c>
      <c r="I165" s="7" t="s">
        <v>19</v>
      </c>
      <c r="J165" s="0" t="s">
        <v>13</v>
      </c>
    </row>
    <row r="166" customFormat="false" ht="13.8" hidden="false" customHeight="false" outlineLevel="0" collapsed="false">
      <c r="A166" s="5" t="n">
        <v>44280</v>
      </c>
      <c r="B166" s="6" t="n">
        <v>0.544444444444444</v>
      </c>
      <c r="C166" s="7" t="n">
        <v>116565</v>
      </c>
      <c r="D166" s="7" t="s">
        <v>23</v>
      </c>
      <c r="E166" s="7" t="n">
        <v>7700</v>
      </c>
      <c r="F166" s="7" t="n">
        <v>7680</v>
      </c>
      <c r="G166" s="8" t="n">
        <v>20</v>
      </c>
      <c r="H166" s="7" t="s">
        <v>11</v>
      </c>
      <c r="I166" s="7" t="s">
        <v>19</v>
      </c>
      <c r="J166" s="0" t="s">
        <v>13</v>
      </c>
    </row>
    <row r="167" customFormat="false" ht="13.8" hidden="false" customHeight="false" outlineLevel="0" collapsed="false">
      <c r="A167" s="5" t="n">
        <v>44281</v>
      </c>
      <c r="B167" s="6" t="n">
        <v>0.263888888888889</v>
      </c>
      <c r="C167" s="7" t="n">
        <v>136642</v>
      </c>
      <c r="D167" s="7" t="s">
        <v>10</v>
      </c>
      <c r="E167" s="7" t="n">
        <v>4520</v>
      </c>
      <c r="F167" s="7" t="n">
        <v>3800</v>
      </c>
      <c r="G167" s="8" t="n">
        <v>720</v>
      </c>
      <c r="H167" s="7" t="s">
        <v>11</v>
      </c>
      <c r="I167" s="7" t="s">
        <v>12</v>
      </c>
      <c r="J167" s="0" t="s">
        <v>13</v>
      </c>
    </row>
    <row r="168" customFormat="false" ht="13.8" hidden="false" customHeight="false" outlineLevel="0" collapsed="false">
      <c r="A168" s="5" t="n">
        <v>44281</v>
      </c>
      <c r="B168" s="6" t="n">
        <v>0.111111111111111</v>
      </c>
      <c r="C168" s="7" t="n">
        <v>136633</v>
      </c>
      <c r="D168" s="7" t="s">
        <v>14</v>
      </c>
      <c r="E168" s="7" t="n">
        <v>16200</v>
      </c>
      <c r="F168" s="7" t="n">
        <v>12960</v>
      </c>
      <c r="G168" s="8" t="n">
        <v>3240</v>
      </c>
      <c r="H168" s="7" t="s">
        <v>11</v>
      </c>
      <c r="I168" s="7" t="s">
        <v>12</v>
      </c>
      <c r="J168" s="0" t="s">
        <v>13</v>
      </c>
    </row>
    <row r="169" customFormat="false" ht="13.8" hidden="false" customHeight="false" outlineLevel="0" collapsed="false">
      <c r="A169" s="5" t="n">
        <v>44281</v>
      </c>
      <c r="B169" s="6" t="n">
        <v>0.265972222222222</v>
      </c>
      <c r="C169" s="7" t="n">
        <v>136643</v>
      </c>
      <c r="D169" s="7" t="s">
        <v>15</v>
      </c>
      <c r="E169" s="7" t="n">
        <v>23480</v>
      </c>
      <c r="F169" s="7" t="n">
        <v>15820</v>
      </c>
      <c r="G169" s="8" t="n">
        <v>7660</v>
      </c>
      <c r="H169" s="7" t="s">
        <v>11</v>
      </c>
      <c r="I169" s="7" t="s">
        <v>12</v>
      </c>
      <c r="J169" s="0" t="s">
        <v>13</v>
      </c>
    </row>
    <row r="170" customFormat="false" ht="13.8" hidden="false" customHeight="false" outlineLevel="0" collapsed="false">
      <c r="A170" s="5" t="n">
        <v>44281</v>
      </c>
      <c r="B170" s="6" t="n">
        <v>0.539583333333333</v>
      </c>
      <c r="C170" s="7" t="n">
        <v>116657</v>
      </c>
      <c r="D170" s="7" t="s">
        <v>16</v>
      </c>
      <c r="E170" s="7" t="n">
        <v>3420</v>
      </c>
      <c r="F170" s="7" t="n">
        <v>3000</v>
      </c>
      <c r="G170" s="8" t="n">
        <v>420</v>
      </c>
      <c r="H170" s="7" t="s">
        <v>11</v>
      </c>
      <c r="I170" s="7" t="s">
        <v>17</v>
      </c>
      <c r="J170" s="0" t="s">
        <v>13</v>
      </c>
    </row>
    <row r="171" customFormat="false" ht="13.8" hidden="false" customHeight="false" outlineLevel="0" collapsed="false">
      <c r="A171" s="5" t="n">
        <v>44282</v>
      </c>
      <c r="B171" s="6" t="n">
        <v>0.263888888888889</v>
      </c>
      <c r="C171" s="7" t="n">
        <v>136672</v>
      </c>
      <c r="D171" s="7" t="s">
        <v>10</v>
      </c>
      <c r="E171" s="7" t="n">
        <v>4680</v>
      </c>
      <c r="F171" s="7" t="n">
        <v>3760</v>
      </c>
      <c r="G171" s="8" t="n">
        <v>920</v>
      </c>
      <c r="H171" s="7" t="s">
        <v>11</v>
      </c>
      <c r="I171" s="7" t="s">
        <v>12</v>
      </c>
      <c r="J171" s="0" t="s">
        <v>13</v>
      </c>
    </row>
    <row r="172" customFormat="false" ht="13.8" hidden="false" customHeight="false" outlineLevel="0" collapsed="false">
      <c r="A172" s="5" t="n">
        <v>44282</v>
      </c>
      <c r="B172" s="6" t="n">
        <v>0.128472222222222</v>
      </c>
      <c r="C172" s="7" t="n">
        <v>136663</v>
      </c>
      <c r="D172" s="7" t="s">
        <v>14</v>
      </c>
      <c r="E172" s="7" t="n">
        <v>17200</v>
      </c>
      <c r="F172" s="7" t="n">
        <v>12900</v>
      </c>
      <c r="G172" s="8" t="n">
        <v>4300</v>
      </c>
      <c r="H172" s="7" t="s">
        <v>11</v>
      </c>
      <c r="I172" s="7" t="s">
        <v>12</v>
      </c>
      <c r="J172" s="0" t="s">
        <v>13</v>
      </c>
    </row>
    <row r="173" customFormat="false" ht="13.8" hidden="false" customHeight="false" outlineLevel="0" collapsed="false">
      <c r="A173" s="5" t="n">
        <v>44282</v>
      </c>
      <c r="B173" s="6" t="n">
        <v>0.509722222222222</v>
      </c>
      <c r="C173" s="7" t="n">
        <v>116741</v>
      </c>
      <c r="D173" s="7" t="s">
        <v>23</v>
      </c>
      <c r="E173" s="7" t="n">
        <v>6280</v>
      </c>
      <c r="F173" s="7" t="n">
        <v>5620</v>
      </c>
      <c r="G173" s="8" t="n">
        <v>660</v>
      </c>
      <c r="H173" s="7" t="s">
        <v>11</v>
      </c>
      <c r="I173" s="7" t="s">
        <v>19</v>
      </c>
      <c r="J173" s="0" t="s">
        <v>13</v>
      </c>
    </row>
    <row r="174" customFormat="false" ht="13.8" hidden="false" customHeight="false" outlineLevel="0" collapsed="false">
      <c r="A174" s="5" t="n">
        <v>44283</v>
      </c>
      <c r="B174" s="6" t="n">
        <v>0.265277777777778</v>
      </c>
      <c r="C174" s="7" t="n">
        <v>136686</v>
      </c>
      <c r="D174" s="7" t="s">
        <v>10</v>
      </c>
      <c r="E174" s="7" t="n">
        <v>4640</v>
      </c>
      <c r="F174" s="7" t="n">
        <v>3760</v>
      </c>
      <c r="G174" s="8" t="n">
        <v>880</v>
      </c>
      <c r="H174" s="7" t="s">
        <v>11</v>
      </c>
      <c r="I174" s="7" t="s">
        <v>12</v>
      </c>
      <c r="J174" s="0" t="s">
        <v>13</v>
      </c>
    </row>
    <row r="175" customFormat="false" ht="13.8" hidden="false" customHeight="false" outlineLevel="0" collapsed="false">
      <c r="A175" s="5" t="n">
        <v>44283</v>
      </c>
      <c r="B175" s="6" t="n">
        <v>0.153472222222222</v>
      </c>
      <c r="C175" s="7" t="n">
        <v>136680</v>
      </c>
      <c r="D175" s="7" t="s">
        <v>14</v>
      </c>
      <c r="E175" s="7" t="n">
        <v>16500</v>
      </c>
      <c r="F175" s="7" t="n">
        <v>12980</v>
      </c>
      <c r="G175" s="8" t="n">
        <v>3520</v>
      </c>
      <c r="H175" s="7" t="s">
        <v>11</v>
      </c>
      <c r="I175" s="7" t="s">
        <v>12</v>
      </c>
      <c r="J175" s="0" t="s">
        <v>13</v>
      </c>
    </row>
    <row r="176" customFormat="false" ht="13.8" hidden="false" customHeight="false" outlineLevel="0" collapsed="false">
      <c r="A176" s="5" t="n">
        <v>44283</v>
      </c>
      <c r="B176" s="6" t="n">
        <v>0.236805555555556</v>
      </c>
      <c r="C176" s="7" t="n">
        <v>136683</v>
      </c>
      <c r="D176" s="7" t="s">
        <v>15</v>
      </c>
      <c r="E176" s="7" t="n">
        <v>24400</v>
      </c>
      <c r="F176" s="7" t="n">
        <v>15720</v>
      </c>
      <c r="G176" s="8" t="n">
        <v>8680</v>
      </c>
      <c r="H176" s="7" t="s">
        <v>11</v>
      </c>
      <c r="I176" s="7" t="s">
        <v>12</v>
      </c>
      <c r="J176" s="0" t="s">
        <v>13</v>
      </c>
    </row>
    <row r="177" customFormat="false" ht="13.8" hidden="false" customHeight="false" outlineLevel="0" collapsed="false">
      <c r="A177" s="5" t="n">
        <v>44284</v>
      </c>
      <c r="B177" s="6" t="n">
        <v>0.263888888888889</v>
      </c>
      <c r="C177" s="7" t="n">
        <v>136704</v>
      </c>
      <c r="D177" s="7" t="s">
        <v>10</v>
      </c>
      <c r="E177" s="7" t="n">
        <v>4640</v>
      </c>
      <c r="F177" s="7" t="n">
        <v>3800</v>
      </c>
      <c r="G177" s="8" t="n">
        <v>840</v>
      </c>
      <c r="H177" s="7" t="s">
        <v>11</v>
      </c>
      <c r="I177" s="7" t="s">
        <v>12</v>
      </c>
      <c r="J177" s="0" t="s">
        <v>13</v>
      </c>
    </row>
    <row r="178" customFormat="false" ht="13.8" hidden="false" customHeight="false" outlineLevel="0" collapsed="false">
      <c r="A178" s="5" t="n">
        <v>44284</v>
      </c>
      <c r="B178" s="6" t="n">
        <v>0.125694444444444</v>
      </c>
      <c r="C178" s="7" t="n">
        <v>136692</v>
      </c>
      <c r="D178" s="7" t="s">
        <v>14</v>
      </c>
      <c r="E178" s="7" t="n">
        <v>15880</v>
      </c>
      <c r="F178" s="7" t="n">
        <v>12880</v>
      </c>
      <c r="G178" s="8" t="n">
        <v>3000</v>
      </c>
      <c r="H178" s="7" t="s">
        <v>11</v>
      </c>
      <c r="I178" s="7" t="s">
        <v>12</v>
      </c>
      <c r="J178" s="0" t="s">
        <v>13</v>
      </c>
    </row>
    <row r="179" customFormat="false" ht="13.8" hidden="false" customHeight="false" outlineLevel="0" collapsed="false">
      <c r="A179" s="5" t="n">
        <v>44284</v>
      </c>
      <c r="B179" s="6" t="n">
        <v>0.23125</v>
      </c>
      <c r="C179" s="7" t="n">
        <v>136700</v>
      </c>
      <c r="D179" s="7" t="s">
        <v>15</v>
      </c>
      <c r="E179" s="7" t="n">
        <v>25460</v>
      </c>
      <c r="F179" s="7" t="n">
        <v>15840</v>
      </c>
      <c r="G179" s="8" t="n">
        <v>9620</v>
      </c>
      <c r="H179" s="7" t="s">
        <v>11</v>
      </c>
      <c r="I179" s="7" t="s">
        <v>12</v>
      </c>
      <c r="J179" s="0" t="s">
        <v>13</v>
      </c>
    </row>
    <row r="180" customFormat="false" ht="13.8" hidden="false" customHeight="false" outlineLevel="0" collapsed="false">
      <c r="A180" s="5" t="n">
        <v>44282</v>
      </c>
      <c r="B180" s="6" t="n">
        <v>0.251388888888889</v>
      </c>
      <c r="C180" s="7" t="n">
        <v>136670</v>
      </c>
      <c r="D180" s="7" t="s">
        <v>15</v>
      </c>
      <c r="E180" s="7" t="n">
        <v>24620</v>
      </c>
      <c r="F180" s="7" t="n">
        <v>15820</v>
      </c>
      <c r="G180" s="7" t="n">
        <v>8800</v>
      </c>
      <c r="H180" s="7" t="s">
        <v>11</v>
      </c>
      <c r="I180" s="7" t="s">
        <v>12</v>
      </c>
      <c r="J180" s="0" t="s">
        <v>13</v>
      </c>
    </row>
    <row r="181" customFormat="false" ht="13.8" hidden="false" customHeight="false" outlineLevel="0" collapsed="false">
      <c r="A181" s="5" t="n">
        <v>44284</v>
      </c>
      <c r="B181" s="6" t="n">
        <v>0.481944444444444</v>
      </c>
      <c r="C181" s="9" t="n">
        <v>1255</v>
      </c>
      <c r="D181" s="7" t="s">
        <v>15</v>
      </c>
      <c r="E181" s="7" t="n">
        <v>17040</v>
      </c>
      <c r="F181" s="7" t="n">
        <v>15680</v>
      </c>
      <c r="G181" s="7" t="n">
        <v>1360</v>
      </c>
      <c r="H181" s="7" t="s">
        <v>11</v>
      </c>
      <c r="I181" s="7" t="s">
        <v>24</v>
      </c>
      <c r="J181" s="10" t="s">
        <v>13</v>
      </c>
    </row>
    <row r="182" customFormat="false" ht="13.8" hidden="false" customHeight="false" outlineLevel="0" collapsed="false">
      <c r="A182" s="5" t="n">
        <v>44285</v>
      </c>
      <c r="B182" s="6" t="n">
        <v>0.232638888888889</v>
      </c>
      <c r="C182" s="7" t="n">
        <v>136747</v>
      </c>
      <c r="D182" s="7" t="s">
        <v>15</v>
      </c>
      <c r="E182" s="7" t="n">
        <v>24620</v>
      </c>
      <c r="F182" s="7" t="n">
        <v>15720</v>
      </c>
      <c r="G182" s="7" t="n">
        <v>8900</v>
      </c>
      <c r="H182" s="7" t="s">
        <v>11</v>
      </c>
      <c r="I182" s="7" t="s">
        <v>12</v>
      </c>
      <c r="J182" s="0" t="s">
        <v>13</v>
      </c>
    </row>
    <row r="183" customFormat="false" ht="13.8" hidden="false" customHeight="false" outlineLevel="0" collapsed="false">
      <c r="A183" s="5" t="n">
        <v>44285</v>
      </c>
      <c r="B183" s="6" t="n">
        <v>0.129861111111111</v>
      </c>
      <c r="C183" s="7" t="n">
        <v>136739</v>
      </c>
      <c r="D183" s="7" t="s">
        <v>14</v>
      </c>
      <c r="E183" s="7" t="n">
        <v>16680</v>
      </c>
      <c r="F183" s="7" t="n">
        <v>12880</v>
      </c>
      <c r="G183" s="7" t="n">
        <v>3800</v>
      </c>
      <c r="H183" s="7" t="s">
        <v>11</v>
      </c>
      <c r="I183" s="7" t="s">
        <v>12</v>
      </c>
      <c r="J183" s="0" t="s">
        <v>13</v>
      </c>
    </row>
    <row r="184" customFormat="false" ht="13.8" hidden="false" customHeight="false" outlineLevel="0" collapsed="false">
      <c r="A184" s="5" t="n">
        <v>44285</v>
      </c>
      <c r="B184" s="6" t="n">
        <v>0.260416666666667</v>
      </c>
      <c r="C184" s="7" t="n">
        <v>136750</v>
      </c>
      <c r="D184" s="7" t="s">
        <v>10</v>
      </c>
      <c r="E184" s="7" t="n">
        <v>4200</v>
      </c>
      <c r="F184" s="7" t="n">
        <v>3740</v>
      </c>
      <c r="G184" s="7" t="n">
        <v>460</v>
      </c>
      <c r="H184" s="7" t="s">
        <v>11</v>
      </c>
      <c r="I184" s="7" t="s">
        <v>12</v>
      </c>
      <c r="J184" s="0" t="s">
        <v>13</v>
      </c>
    </row>
    <row r="185" customFormat="false" ht="13.8" hidden="false" customHeight="false" outlineLevel="0" collapsed="false">
      <c r="A185" s="5" t="n">
        <v>44285</v>
      </c>
      <c r="B185" s="6" t="n">
        <v>0.474305555555556</v>
      </c>
      <c r="C185" s="7" t="n">
        <v>116841</v>
      </c>
      <c r="D185" s="7" t="s">
        <v>23</v>
      </c>
      <c r="E185" s="7" t="n">
        <v>7080</v>
      </c>
      <c r="F185" s="7" t="n">
        <v>5640</v>
      </c>
      <c r="G185" s="7" t="n">
        <v>1440</v>
      </c>
      <c r="H185" s="7" t="s">
        <v>11</v>
      </c>
      <c r="I185" s="7" t="s">
        <v>19</v>
      </c>
      <c r="J185" s="0" t="s">
        <v>13</v>
      </c>
    </row>
    <row r="186" customFormat="false" ht="13.8" hidden="false" customHeight="false" outlineLevel="0" collapsed="false">
      <c r="A186" s="5" t="n">
        <v>44285</v>
      </c>
      <c r="B186" s="6" t="n">
        <v>0.482638888888889</v>
      </c>
      <c r="C186" s="7" t="n">
        <v>136766</v>
      </c>
      <c r="D186" s="7" t="s">
        <v>20</v>
      </c>
      <c r="E186" s="7" t="n">
        <v>2660</v>
      </c>
      <c r="F186" s="7" t="n">
        <v>2400</v>
      </c>
      <c r="G186" s="7" t="n">
        <v>260</v>
      </c>
      <c r="H186" s="7" t="s">
        <v>11</v>
      </c>
      <c r="I186" s="7" t="s">
        <v>12</v>
      </c>
      <c r="J186" s="0" t="s">
        <v>13</v>
      </c>
    </row>
    <row r="187" customFormat="false" ht="13.8" hidden="false" customHeight="false" outlineLevel="0" collapsed="false">
      <c r="A187" s="5" t="n">
        <v>44286</v>
      </c>
      <c r="B187" s="6" t="n">
        <v>0.263194444444444</v>
      </c>
      <c r="C187" s="7" t="n">
        <v>136789</v>
      </c>
      <c r="D187" s="7" t="s">
        <v>10</v>
      </c>
      <c r="E187" s="7" t="n">
        <v>4480</v>
      </c>
      <c r="F187" s="7" t="n">
        <v>3760</v>
      </c>
      <c r="G187" s="7" t="n">
        <v>720</v>
      </c>
      <c r="H187" s="7" t="s">
        <v>11</v>
      </c>
      <c r="I187" s="7" t="s">
        <v>12</v>
      </c>
      <c r="J187" s="0" t="s">
        <v>13</v>
      </c>
    </row>
    <row r="188" customFormat="false" ht="13.8" hidden="false" customHeight="false" outlineLevel="0" collapsed="false">
      <c r="A188" s="5" t="n">
        <v>44286</v>
      </c>
      <c r="B188" s="6" t="n">
        <v>0.134722222222222</v>
      </c>
      <c r="C188" s="7" t="n">
        <v>136780</v>
      </c>
      <c r="D188" s="7" t="s">
        <v>14</v>
      </c>
      <c r="E188" s="7" t="n">
        <v>16860</v>
      </c>
      <c r="F188" s="7" t="n">
        <v>12800</v>
      </c>
      <c r="G188" s="7" t="n">
        <v>4060</v>
      </c>
      <c r="H188" s="7" t="s">
        <v>11</v>
      </c>
      <c r="I188" s="7" t="s">
        <v>12</v>
      </c>
      <c r="J188" s="0" t="s">
        <v>13</v>
      </c>
    </row>
    <row r="189" customFormat="false" ht="13.8" hidden="false" customHeight="false" outlineLevel="0" collapsed="false">
      <c r="A189" s="5" t="n">
        <v>44286</v>
      </c>
      <c r="B189" s="6" t="n">
        <v>0.214583333333333</v>
      </c>
      <c r="C189" s="7" t="n">
        <v>136784</v>
      </c>
      <c r="D189" s="7" t="s">
        <v>15</v>
      </c>
      <c r="E189" s="7" t="n">
        <v>24140</v>
      </c>
      <c r="F189" s="7" t="n">
        <v>15840</v>
      </c>
      <c r="G189" s="7" t="n">
        <v>8300</v>
      </c>
      <c r="H189" s="7" t="s">
        <v>11</v>
      </c>
      <c r="I189" s="7" t="s">
        <v>12</v>
      </c>
      <c r="J189" s="0" t="s">
        <v>13</v>
      </c>
    </row>
    <row r="190" customFormat="false" ht="13.8" hidden="false" customHeight="false" outlineLevel="0" collapsed="false">
      <c r="A190" s="5" t="n">
        <v>44286</v>
      </c>
      <c r="B190" s="6" t="n">
        <v>0.490972222222222</v>
      </c>
      <c r="C190" s="7" t="n">
        <v>136807</v>
      </c>
      <c r="D190" s="7" t="s">
        <v>20</v>
      </c>
      <c r="E190" s="7" t="n">
        <v>2600</v>
      </c>
      <c r="F190" s="7" t="n">
        <v>2380</v>
      </c>
      <c r="G190" s="7" t="n">
        <v>220</v>
      </c>
      <c r="H190" s="7" t="s">
        <v>11</v>
      </c>
      <c r="I190" s="7" t="s">
        <v>12</v>
      </c>
      <c r="J190" s="0" t="s">
        <v>13</v>
      </c>
    </row>
    <row r="191" customFormat="false" ht="13.8" hidden="false" customHeight="false" outlineLevel="0" collapsed="false">
      <c r="A191" s="5" t="n">
        <v>44286</v>
      </c>
      <c r="B191" s="6" t="n">
        <v>0.5125</v>
      </c>
      <c r="C191" s="7" t="n">
        <v>116918</v>
      </c>
      <c r="D191" s="7" t="s">
        <v>15</v>
      </c>
      <c r="E191" s="7" t="n">
        <v>17580</v>
      </c>
      <c r="F191" s="7" t="n">
        <v>15740</v>
      </c>
      <c r="G191" s="7" t="n">
        <v>1840</v>
      </c>
      <c r="H191" s="7" t="s">
        <v>11</v>
      </c>
      <c r="I191" s="7" t="s">
        <v>22</v>
      </c>
      <c r="J191" s="10" t="s">
        <v>13</v>
      </c>
    </row>
    <row r="192" customFormat="false" ht="15" hidden="false" customHeight="false" outlineLevel="0" collapsed="false">
      <c r="A192" s="5" t="n">
        <v>44286</v>
      </c>
      <c r="B192" s="6" t="n">
        <v>0.377777777777778</v>
      </c>
      <c r="C192" s="7" t="n">
        <v>116881</v>
      </c>
      <c r="D192" s="7" t="s">
        <v>23</v>
      </c>
      <c r="E192" s="7" t="n">
        <v>6700</v>
      </c>
      <c r="F192" s="7" t="n">
        <v>6540</v>
      </c>
      <c r="G192" s="7" t="n">
        <v>160</v>
      </c>
      <c r="H192" s="7" t="s">
        <v>11</v>
      </c>
      <c r="I192" s="7" t="s">
        <v>19</v>
      </c>
      <c r="J192" s="0" t="s">
        <v>13</v>
      </c>
    </row>
    <row r="193" customFormat="false" ht="15" hidden="false" customHeight="false" outlineLevel="0" collapsed="false">
      <c r="A193" s="5" t="n">
        <v>44286</v>
      </c>
      <c r="B193" s="6" t="n">
        <v>0.376388888888889</v>
      </c>
      <c r="C193" s="7" t="n">
        <v>116880</v>
      </c>
      <c r="D193" s="7" t="s">
        <v>23</v>
      </c>
      <c r="E193" s="7" t="n">
        <v>6540</v>
      </c>
      <c r="F193" s="7" t="n">
        <v>5620</v>
      </c>
      <c r="G193" s="7" t="n">
        <v>920</v>
      </c>
      <c r="H193" s="7" t="s">
        <v>11</v>
      </c>
      <c r="I193" s="7" t="s">
        <v>19</v>
      </c>
      <c r="J193" s="0" t="s">
        <v>13</v>
      </c>
    </row>
    <row r="194" customFormat="false" ht="15" hidden="false" customHeight="false" outlineLevel="0" collapsed="false">
      <c r="A194" s="5" t="n">
        <v>44286</v>
      </c>
      <c r="B194" s="6" t="n">
        <v>0.488194444444444</v>
      </c>
      <c r="C194" s="7" t="n">
        <v>116907</v>
      </c>
      <c r="D194" s="7" t="s">
        <v>16</v>
      </c>
      <c r="E194" s="7" t="n">
        <v>3240</v>
      </c>
      <c r="F194" s="7" t="n">
        <v>2860</v>
      </c>
      <c r="G194" s="7" t="n">
        <v>380</v>
      </c>
      <c r="H194" s="7" t="s">
        <v>11</v>
      </c>
      <c r="I194" s="7" t="s">
        <v>19</v>
      </c>
      <c r="J194" s="0" t="s">
        <v>13</v>
      </c>
    </row>
  </sheetData>
  <autoFilter ref="A1:J194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1" t="s">
        <v>0</v>
      </c>
      <c r="B1" s="12" t="s">
        <v>27</v>
      </c>
    </row>
    <row r="3" customFormat="false" ht="12.8" hidden="false" customHeight="false" outlineLevel="0" collapsed="false">
      <c r="A3" s="13" t="s">
        <v>28</v>
      </c>
      <c r="B3" s="14" t="s">
        <v>29</v>
      </c>
      <c r="C3" s="15"/>
      <c r="D3" s="15"/>
      <c r="E3" s="15"/>
      <c r="F3" s="15"/>
      <c r="G3" s="15"/>
      <c r="H3" s="16"/>
    </row>
    <row r="4" customFormat="false" ht="12.8" hidden="false" customHeight="false" outlineLevel="0" collapsed="false">
      <c r="A4" s="17" t="s">
        <v>3</v>
      </c>
      <c r="B4" s="18" t="s">
        <v>26</v>
      </c>
      <c r="C4" s="19" t="s">
        <v>17</v>
      </c>
      <c r="D4" s="19" t="s">
        <v>12</v>
      </c>
      <c r="E4" s="19" t="s">
        <v>24</v>
      </c>
      <c r="F4" s="19" t="s">
        <v>22</v>
      </c>
      <c r="G4" s="19" t="s">
        <v>19</v>
      </c>
      <c r="H4" s="20" t="s">
        <v>30</v>
      </c>
    </row>
    <row r="5" customFormat="false" ht="12.8" hidden="false" customHeight="false" outlineLevel="0" collapsed="false">
      <c r="A5" s="21" t="s">
        <v>18</v>
      </c>
      <c r="B5" s="22" t="n">
        <v>76440</v>
      </c>
      <c r="C5" s="23"/>
      <c r="D5" s="23"/>
      <c r="E5" s="23"/>
      <c r="F5" s="23"/>
      <c r="G5" s="24" t="n">
        <v>15380</v>
      </c>
      <c r="H5" s="25" t="n">
        <v>91820</v>
      </c>
    </row>
    <row r="6" customFormat="false" ht="12.8" hidden="false" customHeight="false" outlineLevel="0" collapsed="false">
      <c r="A6" s="26" t="s">
        <v>21</v>
      </c>
      <c r="B6" s="27"/>
      <c r="C6" s="28" t="n">
        <v>11240</v>
      </c>
      <c r="D6" s="29"/>
      <c r="E6" s="29"/>
      <c r="F6" s="29"/>
      <c r="G6" s="30"/>
      <c r="H6" s="31" t="n">
        <v>11240</v>
      </c>
    </row>
    <row r="7" customFormat="false" ht="12.8" hidden="false" customHeight="false" outlineLevel="0" collapsed="false">
      <c r="A7" s="26" t="s">
        <v>15</v>
      </c>
      <c r="B7" s="27"/>
      <c r="C7" s="29"/>
      <c r="D7" s="28" t="n">
        <v>247880</v>
      </c>
      <c r="E7" s="28" t="n">
        <v>5640</v>
      </c>
      <c r="F7" s="28" t="n">
        <v>7420</v>
      </c>
      <c r="G7" s="30"/>
      <c r="H7" s="31" t="n">
        <v>260940</v>
      </c>
    </row>
    <row r="8" customFormat="false" ht="12.8" hidden="false" customHeight="false" outlineLevel="0" collapsed="false">
      <c r="A8" s="26" t="s">
        <v>25</v>
      </c>
      <c r="B8" s="27"/>
      <c r="C8" s="29"/>
      <c r="D8" s="28" t="n">
        <v>7860</v>
      </c>
      <c r="E8" s="29"/>
      <c r="F8" s="29"/>
      <c r="G8" s="30"/>
      <c r="H8" s="31" t="n">
        <v>7860</v>
      </c>
    </row>
    <row r="9" customFormat="false" ht="12.8" hidden="false" customHeight="false" outlineLevel="0" collapsed="false">
      <c r="A9" s="26" t="s">
        <v>20</v>
      </c>
      <c r="B9" s="27"/>
      <c r="C9" s="29"/>
      <c r="D9" s="28" t="n">
        <v>3860</v>
      </c>
      <c r="E9" s="29"/>
      <c r="F9" s="29"/>
      <c r="G9" s="30"/>
      <c r="H9" s="31" t="n">
        <v>3860</v>
      </c>
    </row>
    <row r="10" customFormat="false" ht="12.8" hidden="false" customHeight="false" outlineLevel="0" collapsed="false">
      <c r="A10" s="26" t="s">
        <v>16</v>
      </c>
      <c r="B10" s="27"/>
      <c r="C10" s="28" t="n">
        <v>8040</v>
      </c>
      <c r="D10" s="29"/>
      <c r="E10" s="29"/>
      <c r="F10" s="29"/>
      <c r="G10" s="32" t="n">
        <v>380</v>
      </c>
      <c r="H10" s="31" t="n">
        <v>8420</v>
      </c>
    </row>
    <row r="11" customFormat="false" ht="12.8" hidden="false" customHeight="false" outlineLevel="0" collapsed="false">
      <c r="A11" s="26" t="s">
        <v>14</v>
      </c>
      <c r="B11" s="27"/>
      <c r="C11" s="29"/>
      <c r="D11" s="28" t="n">
        <v>89600</v>
      </c>
      <c r="E11" s="29"/>
      <c r="F11" s="29"/>
      <c r="G11" s="30"/>
      <c r="H11" s="31" t="n">
        <v>89600</v>
      </c>
    </row>
    <row r="12" customFormat="false" ht="12.8" hidden="false" customHeight="false" outlineLevel="0" collapsed="false">
      <c r="A12" s="26" t="s">
        <v>10</v>
      </c>
      <c r="B12" s="27"/>
      <c r="C12" s="29"/>
      <c r="D12" s="28" t="n">
        <v>19520</v>
      </c>
      <c r="E12" s="29"/>
      <c r="F12" s="29"/>
      <c r="G12" s="30"/>
      <c r="H12" s="31" t="n">
        <v>19520</v>
      </c>
    </row>
    <row r="13" customFormat="false" ht="12.8" hidden="false" customHeight="false" outlineLevel="0" collapsed="false">
      <c r="A13" s="26" t="s">
        <v>23</v>
      </c>
      <c r="B13" s="33"/>
      <c r="C13" s="34" t="n">
        <v>680</v>
      </c>
      <c r="D13" s="35"/>
      <c r="E13" s="35"/>
      <c r="F13" s="35"/>
      <c r="G13" s="36" t="n">
        <v>15880</v>
      </c>
      <c r="H13" s="37" t="n">
        <v>16560</v>
      </c>
    </row>
    <row r="14" customFormat="false" ht="12.8" hidden="false" customHeight="false" outlineLevel="0" collapsed="false">
      <c r="A14" s="38" t="s">
        <v>30</v>
      </c>
      <c r="B14" s="39" t="n">
        <v>76440</v>
      </c>
      <c r="C14" s="40" t="n">
        <v>19960</v>
      </c>
      <c r="D14" s="40" t="n">
        <v>368720</v>
      </c>
      <c r="E14" s="40" t="n">
        <v>5640</v>
      </c>
      <c r="F14" s="40" t="n">
        <v>7420</v>
      </c>
      <c r="G14" s="41" t="n">
        <v>31640</v>
      </c>
      <c r="H14" s="42" t="n">
        <v>509820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1" t="s">
        <v>3</v>
      </c>
      <c r="B1" s="12" t="s">
        <v>27</v>
      </c>
    </row>
    <row r="3" customFormat="false" ht="12.8" hidden="false" customHeight="false" outlineLevel="0" collapsed="false">
      <c r="A3" s="13" t="s">
        <v>28</v>
      </c>
      <c r="B3" s="14" t="s">
        <v>8</v>
      </c>
      <c r="C3" s="15"/>
      <c r="D3" s="15"/>
      <c r="E3" s="15"/>
      <c r="F3" s="15"/>
      <c r="G3" s="15"/>
      <c r="H3" s="16"/>
    </row>
    <row r="4" customFormat="false" ht="12.8" hidden="false" customHeight="false" outlineLevel="0" collapsed="false">
      <c r="A4" s="17" t="s">
        <v>0</v>
      </c>
      <c r="B4" s="18" t="s">
        <v>26</v>
      </c>
      <c r="C4" s="19" t="s">
        <v>17</v>
      </c>
      <c r="D4" s="19" t="s">
        <v>12</v>
      </c>
      <c r="E4" s="19" t="s">
        <v>24</v>
      </c>
      <c r="F4" s="19" t="s">
        <v>22</v>
      </c>
      <c r="G4" s="19" t="s">
        <v>19</v>
      </c>
      <c r="H4" s="20" t="s">
        <v>30</v>
      </c>
    </row>
    <row r="5" customFormat="false" ht="12.8" hidden="false" customHeight="false" outlineLevel="0" collapsed="false">
      <c r="A5" s="43" t="n">
        <v>44256</v>
      </c>
      <c r="B5" s="44"/>
      <c r="C5" s="23" t="n">
        <v>1020</v>
      </c>
      <c r="D5" s="23" t="n">
        <v>10640</v>
      </c>
      <c r="E5" s="23"/>
      <c r="F5" s="23"/>
      <c r="G5" s="45" t="n">
        <v>6480</v>
      </c>
      <c r="H5" s="46" t="n">
        <v>18140</v>
      </c>
    </row>
    <row r="6" customFormat="false" ht="12.8" hidden="false" customHeight="false" outlineLevel="0" collapsed="false">
      <c r="A6" s="47" t="n">
        <v>44257</v>
      </c>
      <c r="B6" s="27"/>
      <c r="C6" s="29"/>
      <c r="D6" s="29" t="n">
        <v>10760</v>
      </c>
      <c r="E6" s="29"/>
      <c r="F6" s="29" t="n">
        <v>1220</v>
      </c>
      <c r="G6" s="30" t="n">
        <v>900</v>
      </c>
      <c r="H6" s="48" t="n">
        <v>12880</v>
      </c>
    </row>
    <row r="7" customFormat="false" ht="12.8" hidden="false" customHeight="false" outlineLevel="0" collapsed="false">
      <c r="A7" s="47" t="n">
        <v>44258</v>
      </c>
      <c r="B7" s="27"/>
      <c r="C7" s="29"/>
      <c r="D7" s="29" t="n">
        <v>9420</v>
      </c>
      <c r="E7" s="29" t="n">
        <v>1100</v>
      </c>
      <c r="F7" s="29"/>
      <c r="G7" s="30" t="n">
        <v>2260</v>
      </c>
      <c r="H7" s="48" t="n">
        <v>12780</v>
      </c>
    </row>
    <row r="8" customFormat="false" ht="12.8" hidden="false" customHeight="false" outlineLevel="0" collapsed="false">
      <c r="A8" s="47" t="n">
        <v>44259</v>
      </c>
      <c r="B8" s="27"/>
      <c r="C8" s="29" t="n">
        <v>860</v>
      </c>
      <c r="D8" s="29" t="n">
        <v>9940</v>
      </c>
      <c r="E8" s="29"/>
      <c r="F8" s="29"/>
      <c r="G8" s="30" t="n">
        <v>2100</v>
      </c>
      <c r="H8" s="48" t="n">
        <v>12900</v>
      </c>
    </row>
    <row r="9" customFormat="false" ht="12.8" hidden="false" customHeight="false" outlineLevel="0" collapsed="false">
      <c r="A9" s="47" t="n">
        <v>44260</v>
      </c>
      <c r="B9" s="27"/>
      <c r="C9" s="29" t="n">
        <v>1020</v>
      </c>
      <c r="D9" s="29" t="n">
        <v>12020</v>
      </c>
      <c r="E9" s="29"/>
      <c r="F9" s="29"/>
      <c r="G9" s="30"/>
      <c r="H9" s="48" t="n">
        <v>13040</v>
      </c>
    </row>
    <row r="10" customFormat="false" ht="12.8" hidden="false" customHeight="false" outlineLevel="0" collapsed="false">
      <c r="A10" s="47" t="n">
        <v>44261</v>
      </c>
      <c r="B10" s="27"/>
      <c r="C10" s="29"/>
      <c r="D10" s="29" t="n">
        <v>11700</v>
      </c>
      <c r="E10" s="29"/>
      <c r="F10" s="29"/>
      <c r="G10" s="30"/>
      <c r="H10" s="48" t="n">
        <v>11700</v>
      </c>
    </row>
    <row r="11" customFormat="false" ht="12.8" hidden="false" customHeight="false" outlineLevel="0" collapsed="false">
      <c r="A11" s="47" t="n">
        <v>44262</v>
      </c>
      <c r="B11" s="27"/>
      <c r="C11" s="29"/>
      <c r="D11" s="29" t="n">
        <v>12380</v>
      </c>
      <c r="E11" s="29"/>
      <c r="F11" s="29"/>
      <c r="G11" s="30"/>
      <c r="H11" s="48" t="n">
        <v>12380</v>
      </c>
    </row>
    <row r="12" customFormat="false" ht="12.8" hidden="false" customHeight="false" outlineLevel="0" collapsed="false">
      <c r="A12" s="47" t="n">
        <v>44263</v>
      </c>
      <c r="B12" s="27"/>
      <c r="C12" s="29"/>
      <c r="D12" s="29" t="n">
        <v>7820</v>
      </c>
      <c r="E12" s="29" t="n">
        <v>940</v>
      </c>
      <c r="F12" s="29"/>
      <c r="G12" s="30" t="n">
        <v>460</v>
      </c>
      <c r="H12" s="48" t="n">
        <v>9220</v>
      </c>
    </row>
    <row r="13" customFormat="false" ht="12.8" hidden="false" customHeight="false" outlineLevel="0" collapsed="false">
      <c r="A13" s="47" t="n">
        <v>44264</v>
      </c>
      <c r="B13" s="27"/>
      <c r="C13" s="29" t="n">
        <v>680</v>
      </c>
      <c r="D13" s="29" t="n">
        <v>9420</v>
      </c>
      <c r="E13" s="29"/>
      <c r="F13" s="29" t="n">
        <v>1460</v>
      </c>
      <c r="G13" s="30" t="n">
        <v>640</v>
      </c>
      <c r="H13" s="48" t="n">
        <v>12200</v>
      </c>
    </row>
    <row r="14" customFormat="false" ht="12.8" hidden="false" customHeight="false" outlineLevel="0" collapsed="false">
      <c r="A14" s="47" t="n">
        <v>44265</v>
      </c>
      <c r="B14" s="27"/>
      <c r="C14" s="29" t="n">
        <v>660</v>
      </c>
      <c r="D14" s="29" t="n">
        <v>10980</v>
      </c>
      <c r="E14" s="29"/>
      <c r="F14" s="29"/>
      <c r="G14" s="30" t="n">
        <v>2060</v>
      </c>
      <c r="H14" s="48" t="n">
        <v>13700</v>
      </c>
    </row>
    <row r="15" customFormat="false" ht="12.8" hidden="false" customHeight="false" outlineLevel="0" collapsed="false">
      <c r="A15" s="47" t="n">
        <v>44266</v>
      </c>
      <c r="B15" s="27"/>
      <c r="C15" s="29" t="n">
        <v>540</v>
      </c>
      <c r="D15" s="29" t="n">
        <v>11440</v>
      </c>
      <c r="E15" s="29"/>
      <c r="F15" s="29"/>
      <c r="G15" s="30"/>
      <c r="H15" s="48" t="n">
        <v>11980</v>
      </c>
    </row>
    <row r="16" customFormat="false" ht="12.8" hidden="false" customHeight="false" outlineLevel="0" collapsed="false">
      <c r="A16" s="47" t="n">
        <v>44267</v>
      </c>
      <c r="B16" s="27"/>
      <c r="C16" s="29" t="n">
        <v>2320</v>
      </c>
      <c r="D16" s="29" t="n">
        <v>12620</v>
      </c>
      <c r="E16" s="29"/>
      <c r="F16" s="29"/>
      <c r="G16" s="30" t="n">
        <v>480</v>
      </c>
      <c r="H16" s="48" t="n">
        <v>15420</v>
      </c>
    </row>
    <row r="17" customFormat="false" ht="12.8" hidden="false" customHeight="false" outlineLevel="0" collapsed="false">
      <c r="A17" s="47" t="n">
        <v>44268</v>
      </c>
      <c r="B17" s="27"/>
      <c r="C17" s="29"/>
      <c r="D17" s="29" t="n">
        <v>10660</v>
      </c>
      <c r="E17" s="29"/>
      <c r="F17" s="29"/>
      <c r="G17" s="30"/>
      <c r="H17" s="48" t="n">
        <v>10660</v>
      </c>
    </row>
    <row r="18" customFormat="false" ht="12.8" hidden="false" customHeight="false" outlineLevel="0" collapsed="false">
      <c r="A18" s="47" t="n">
        <v>44269</v>
      </c>
      <c r="B18" s="27"/>
      <c r="C18" s="29"/>
      <c r="D18" s="29" t="n">
        <v>11360</v>
      </c>
      <c r="E18" s="29"/>
      <c r="F18" s="29"/>
      <c r="G18" s="30"/>
      <c r="H18" s="48" t="n">
        <v>11360</v>
      </c>
    </row>
    <row r="19" customFormat="false" ht="12.8" hidden="false" customHeight="false" outlineLevel="0" collapsed="false">
      <c r="A19" s="47" t="n">
        <v>44270</v>
      </c>
      <c r="B19" s="27"/>
      <c r="C19" s="29" t="n">
        <v>1060</v>
      </c>
      <c r="D19" s="29" t="n">
        <v>13100</v>
      </c>
      <c r="E19" s="29"/>
      <c r="F19" s="29"/>
      <c r="G19" s="30"/>
      <c r="H19" s="48" t="n">
        <v>14160</v>
      </c>
    </row>
    <row r="20" customFormat="false" ht="12.8" hidden="false" customHeight="false" outlineLevel="0" collapsed="false">
      <c r="A20" s="47" t="n">
        <v>44271</v>
      </c>
      <c r="B20" s="27"/>
      <c r="C20" s="29" t="n">
        <v>1320</v>
      </c>
      <c r="D20" s="29" t="n">
        <v>12860</v>
      </c>
      <c r="E20" s="29"/>
      <c r="F20" s="29" t="n">
        <v>1380</v>
      </c>
      <c r="G20" s="30"/>
      <c r="H20" s="48" t="n">
        <v>15560</v>
      </c>
    </row>
    <row r="21" customFormat="false" ht="12.8" hidden="false" customHeight="false" outlineLevel="0" collapsed="false">
      <c r="A21" s="47" t="n">
        <v>44272</v>
      </c>
      <c r="B21" s="27"/>
      <c r="C21" s="29" t="n">
        <v>980</v>
      </c>
      <c r="D21" s="29" t="n">
        <v>14100</v>
      </c>
      <c r="E21" s="29" t="n">
        <v>1360</v>
      </c>
      <c r="F21" s="29"/>
      <c r="G21" s="30" t="n">
        <v>5560</v>
      </c>
      <c r="H21" s="48" t="n">
        <v>22000</v>
      </c>
    </row>
    <row r="22" customFormat="false" ht="12.8" hidden="false" customHeight="false" outlineLevel="0" collapsed="false">
      <c r="A22" s="47" t="n">
        <v>44273</v>
      </c>
      <c r="B22" s="27"/>
      <c r="C22" s="29" t="n">
        <v>580</v>
      </c>
      <c r="D22" s="29" t="n">
        <v>11640</v>
      </c>
      <c r="E22" s="29"/>
      <c r="F22" s="29"/>
      <c r="G22" s="30"/>
      <c r="H22" s="48" t="n">
        <v>12220</v>
      </c>
    </row>
    <row r="23" customFormat="false" ht="12.8" hidden="false" customHeight="false" outlineLevel="0" collapsed="false">
      <c r="A23" s="47" t="n">
        <v>44274</v>
      </c>
      <c r="B23" s="27"/>
      <c r="C23" s="29"/>
      <c r="D23" s="29" t="n">
        <v>13440</v>
      </c>
      <c r="E23" s="29"/>
      <c r="F23" s="29"/>
      <c r="G23" s="30"/>
      <c r="H23" s="48" t="n">
        <v>13440</v>
      </c>
    </row>
    <row r="24" customFormat="false" ht="12.8" hidden="false" customHeight="false" outlineLevel="0" collapsed="false">
      <c r="A24" s="47" t="n">
        <v>44275</v>
      </c>
      <c r="B24" s="27"/>
      <c r="C24" s="29"/>
      <c r="D24" s="29" t="n">
        <v>13580</v>
      </c>
      <c r="E24" s="29"/>
      <c r="F24" s="29"/>
      <c r="G24" s="30"/>
      <c r="H24" s="48" t="n">
        <v>13580</v>
      </c>
    </row>
    <row r="25" customFormat="false" ht="12.8" hidden="false" customHeight="false" outlineLevel="0" collapsed="false">
      <c r="A25" s="47" t="n">
        <v>44276</v>
      </c>
      <c r="B25" s="27"/>
      <c r="C25" s="29"/>
      <c r="D25" s="29" t="n">
        <v>13720</v>
      </c>
      <c r="E25" s="29"/>
      <c r="F25" s="29"/>
      <c r="G25" s="30"/>
      <c r="H25" s="48" t="n">
        <v>13720</v>
      </c>
    </row>
    <row r="26" customFormat="false" ht="12.8" hidden="false" customHeight="false" outlineLevel="0" collapsed="false">
      <c r="A26" s="47" t="n">
        <v>44277</v>
      </c>
      <c r="B26" s="27"/>
      <c r="C26" s="29"/>
      <c r="D26" s="29" t="n">
        <v>11360</v>
      </c>
      <c r="E26" s="29"/>
      <c r="F26" s="29"/>
      <c r="G26" s="30" t="n">
        <v>800</v>
      </c>
      <c r="H26" s="48" t="n">
        <v>12160</v>
      </c>
    </row>
    <row r="27" customFormat="false" ht="12.8" hidden="false" customHeight="false" outlineLevel="0" collapsed="false">
      <c r="A27" s="47" t="n">
        <v>44278</v>
      </c>
      <c r="B27" s="27"/>
      <c r="C27" s="29" t="n">
        <v>3520</v>
      </c>
      <c r="D27" s="29" t="n">
        <v>12080</v>
      </c>
      <c r="E27" s="29" t="n">
        <v>880</v>
      </c>
      <c r="F27" s="29" t="n">
        <v>1520</v>
      </c>
      <c r="G27" s="30"/>
      <c r="H27" s="48" t="n">
        <v>18000</v>
      </c>
    </row>
    <row r="28" customFormat="false" ht="12.8" hidden="false" customHeight="false" outlineLevel="0" collapsed="false">
      <c r="A28" s="47" t="n">
        <v>44279</v>
      </c>
      <c r="B28" s="27" t="n">
        <v>76440</v>
      </c>
      <c r="C28" s="29" t="n">
        <v>2060</v>
      </c>
      <c r="D28" s="29" t="n">
        <v>10580</v>
      </c>
      <c r="E28" s="29"/>
      <c r="F28" s="29"/>
      <c r="G28" s="30" t="n">
        <v>1580</v>
      </c>
      <c r="H28" s="48" t="n">
        <v>90660</v>
      </c>
    </row>
    <row r="29" customFormat="false" ht="12.8" hidden="false" customHeight="false" outlineLevel="0" collapsed="false">
      <c r="A29" s="47" t="n">
        <v>44280</v>
      </c>
      <c r="B29" s="27"/>
      <c r="C29" s="29" t="n">
        <v>2920</v>
      </c>
      <c r="D29" s="29" t="n">
        <v>12200</v>
      </c>
      <c r="E29" s="29"/>
      <c r="F29" s="29"/>
      <c r="G29" s="30" t="n">
        <v>4760</v>
      </c>
      <c r="H29" s="48" t="n">
        <v>19880</v>
      </c>
    </row>
    <row r="30" customFormat="false" ht="12.8" hidden="false" customHeight="false" outlineLevel="0" collapsed="false">
      <c r="A30" s="47" t="n">
        <v>44281</v>
      </c>
      <c r="B30" s="27"/>
      <c r="C30" s="29" t="n">
        <v>420</v>
      </c>
      <c r="D30" s="29" t="n">
        <v>11620</v>
      </c>
      <c r="E30" s="29"/>
      <c r="F30" s="29"/>
      <c r="G30" s="30"/>
      <c r="H30" s="48" t="n">
        <v>12040</v>
      </c>
    </row>
    <row r="31" customFormat="false" ht="12.8" hidden="false" customHeight="false" outlineLevel="0" collapsed="false">
      <c r="A31" s="47" t="n">
        <v>44282</v>
      </c>
      <c r="B31" s="27"/>
      <c r="C31" s="29"/>
      <c r="D31" s="29" t="n">
        <v>14020</v>
      </c>
      <c r="E31" s="29"/>
      <c r="F31" s="29"/>
      <c r="G31" s="30" t="n">
        <v>660</v>
      </c>
      <c r="H31" s="48" t="n">
        <v>14680</v>
      </c>
    </row>
    <row r="32" customFormat="false" ht="12.8" hidden="false" customHeight="false" outlineLevel="0" collapsed="false">
      <c r="A32" s="47" t="n">
        <v>44283</v>
      </c>
      <c r="B32" s="27"/>
      <c r="C32" s="29"/>
      <c r="D32" s="29" t="n">
        <v>13080</v>
      </c>
      <c r="E32" s="29"/>
      <c r="F32" s="29"/>
      <c r="G32" s="30"/>
      <c r="H32" s="48" t="n">
        <v>13080</v>
      </c>
    </row>
    <row r="33" customFormat="false" ht="12.8" hidden="false" customHeight="false" outlineLevel="0" collapsed="false">
      <c r="A33" s="47" t="n">
        <v>44284</v>
      </c>
      <c r="B33" s="27"/>
      <c r="C33" s="29"/>
      <c r="D33" s="29" t="n">
        <v>13460</v>
      </c>
      <c r="E33" s="29" t="n">
        <v>1360</v>
      </c>
      <c r="F33" s="29"/>
      <c r="G33" s="30"/>
      <c r="H33" s="48" t="n">
        <v>14820</v>
      </c>
    </row>
    <row r="34" customFormat="false" ht="12.8" hidden="false" customHeight="false" outlineLevel="0" collapsed="false">
      <c r="A34" s="47" t="n">
        <v>44285</v>
      </c>
      <c r="B34" s="27"/>
      <c r="C34" s="29"/>
      <c r="D34" s="29" t="n">
        <v>13420</v>
      </c>
      <c r="E34" s="29"/>
      <c r="F34" s="29"/>
      <c r="G34" s="30" t="n">
        <v>1440</v>
      </c>
      <c r="H34" s="48" t="n">
        <v>14860</v>
      </c>
    </row>
    <row r="35" customFormat="false" ht="12.8" hidden="false" customHeight="false" outlineLevel="0" collapsed="false">
      <c r="A35" s="47" t="n">
        <v>44286</v>
      </c>
      <c r="B35" s="33"/>
      <c r="C35" s="35"/>
      <c r="D35" s="35" t="n">
        <v>13300</v>
      </c>
      <c r="E35" s="35"/>
      <c r="F35" s="35" t="n">
        <v>1840</v>
      </c>
      <c r="G35" s="49" t="n">
        <v>1460</v>
      </c>
      <c r="H35" s="50" t="n">
        <v>16600</v>
      </c>
    </row>
    <row r="36" customFormat="false" ht="12.8" hidden="false" customHeight="false" outlineLevel="0" collapsed="false">
      <c r="A36" s="51" t="s">
        <v>30</v>
      </c>
      <c r="B36" s="52" t="n">
        <v>76440</v>
      </c>
      <c r="C36" s="53" t="n">
        <v>19960</v>
      </c>
      <c r="D36" s="53" t="n">
        <v>368720</v>
      </c>
      <c r="E36" s="53" t="n">
        <v>5640</v>
      </c>
      <c r="F36" s="53" t="n">
        <v>7420</v>
      </c>
      <c r="G36" s="54" t="n">
        <v>31640</v>
      </c>
      <c r="H36" s="55" t="n">
        <v>509820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1" activeCellId="0" sqref="E81"/>
    </sheetView>
  </sheetViews>
  <sheetFormatPr defaultRowHeight="14" zeroHeight="false" outlineLevelRow="0" outlineLevelCol="0"/>
  <cols>
    <col collapsed="false" customWidth="true" hidden="false" outlineLevel="0" max="1" min="1" style="56" width="13.91"/>
    <col collapsed="false" customWidth="true" hidden="false" outlineLevel="0" max="2" min="2" style="57" width="17.73"/>
    <col collapsed="false" customWidth="true" hidden="false" outlineLevel="0" max="3" min="3" style="57" width="10.72"/>
    <col collapsed="false" customWidth="true" hidden="false" outlineLevel="0" max="4" min="4" style="56" width="13.46"/>
    <col collapsed="false" customWidth="true" hidden="false" outlineLevel="0" max="6" min="5" style="57" width="11.27"/>
    <col collapsed="false" customWidth="true" hidden="false" outlineLevel="0" max="7" min="7" style="57" width="13.46"/>
    <col collapsed="false" customWidth="true" hidden="false" outlineLevel="0" max="8" min="8" style="57" width="14.54"/>
    <col collapsed="false" customWidth="true" hidden="false" outlineLevel="0" max="9" min="9" style="57" width="10.63"/>
    <col collapsed="false" customWidth="true" hidden="false" outlineLevel="0" max="11" min="10" style="57" width="7.73"/>
    <col collapsed="false" customWidth="true" hidden="false" outlineLevel="0" max="12" min="12" style="57" width="8.18"/>
    <col collapsed="false" customWidth="true" hidden="false" outlineLevel="0" max="13" min="13" style="57" width="12.81"/>
    <col collapsed="false" customWidth="true" hidden="false" outlineLevel="0" max="14" min="14" style="57" width="7.09"/>
    <col collapsed="false" customWidth="true" hidden="false" outlineLevel="0" max="1025" min="15" style="57" width="7.73"/>
  </cols>
  <sheetData>
    <row r="1" customFormat="false" ht="14" hidden="false" customHeight="false" outlineLevel="0" collapsed="false">
      <c r="A1" s="57" t="n">
        <v>1</v>
      </c>
      <c r="B1" s="56" t="n">
        <v>2</v>
      </c>
      <c r="C1" s="57" t="n">
        <v>3</v>
      </c>
      <c r="D1" s="57" t="n">
        <v>4</v>
      </c>
      <c r="E1" s="57" t="n">
        <v>5</v>
      </c>
      <c r="F1" s="57" t="n">
        <v>6</v>
      </c>
      <c r="G1" s="57" t="n">
        <v>7</v>
      </c>
    </row>
    <row r="2" customFormat="false" ht="14.5" hidden="false" customHeight="false" outlineLevel="0" collapsed="false">
      <c r="A2" s="58" t="s">
        <v>3</v>
      </c>
      <c r="B2" s="59" t="s">
        <v>26</v>
      </c>
      <c r="C2" s="60" t="s">
        <v>17</v>
      </c>
      <c r="D2" s="60" t="s">
        <v>12</v>
      </c>
      <c r="E2" s="60" t="s">
        <v>24</v>
      </c>
      <c r="F2" s="60" t="s">
        <v>22</v>
      </c>
      <c r="G2" s="60" t="s">
        <v>31</v>
      </c>
      <c r="H2" s="61" t="s">
        <v>30</v>
      </c>
    </row>
    <row r="3" customFormat="false" ht="13.8" hidden="false" customHeight="false" outlineLevel="0" collapsed="false">
      <c r="A3" s="62" t="s">
        <v>18</v>
      </c>
      <c r="B3" s="63" t="n">
        <v>76440</v>
      </c>
      <c r="C3" s="63"/>
      <c r="D3" s="63"/>
      <c r="E3" s="63"/>
      <c r="F3" s="63"/>
      <c r="G3" s="63" t="n">
        <v>15380</v>
      </c>
      <c r="H3" s="64" t="n">
        <f aca="false">SUM(B3:G3)</f>
        <v>91820</v>
      </c>
    </row>
    <row r="4" customFormat="false" ht="13.8" hidden="false" customHeight="false" outlineLevel="0" collapsed="false">
      <c r="A4" s="62" t="s">
        <v>21</v>
      </c>
      <c r="B4" s="63"/>
      <c r="C4" s="63" t="n">
        <v>11240</v>
      </c>
      <c r="D4" s="63"/>
      <c r="E4" s="63"/>
      <c r="F4" s="63"/>
      <c r="G4" s="63"/>
      <c r="H4" s="64" t="n">
        <f aca="false">SUM(B4:G4)</f>
        <v>11240</v>
      </c>
    </row>
    <row r="5" customFormat="false" ht="13.8" hidden="false" customHeight="false" outlineLevel="0" collapsed="false">
      <c r="A5" s="62" t="s">
        <v>15</v>
      </c>
      <c r="B5" s="63"/>
      <c r="C5" s="63"/>
      <c r="D5" s="63" t="n">
        <v>247880</v>
      </c>
      <c r="E5" s="63" t="n">
        <v>5640</v>
      </c>
      <c r="F5" s="63" t="n">
        <v>7420</v>
      </c>
      <c r="G5" s="63"/>
      <c r="H5" s="64" t="n">
        <f aca="false">SUM(B5:G5)</f>
        <v>260940</v>
      </c>
    </row>
    <row r="6" customFormat="false" ht="13.8" hidden="false" customHeight="false" outlineLevel="0" collapsed="false">
      <c r="A6" s="62" t="s">
        <v>25</v>
      </c>
      <c r="B6" s="62"/>
      <c r="C6" s="62"/>
      <c r="D6" s="62" t="n">
        <v>7860</v>
      </c>
      <c r="E6" s="62"/>
      <c r="F6" s="62"/>
      <c r="G6" s="62"/>
      <c r="H6" s="64" t="n">
        <f aca="false">SUM(B6:G6)</f>
        <v>7860</v>
      </c>
    </row>
    <row r="7" customFormat="false" ht="13.8" hidden="false" customHeight="false" outlineLevel="0" collapsed="false">
      <c r="A7" s="62" t="s">
        <v>20</v>
      </c>
      <c r="B7" s="62"/>
      <c r="C7" s="62"/>
      <c r="D7" s="62" t="n">
        <v>3860</v>
      </c>
      <c r="E7" s="62"/>
      <c r="F7" s="62"/>
      <c r="G7" s="62"/>
      <c r="H7" s="64" t="n">
        <f aca="false">SUM(B7:G7)</f>
        <v>3860</v>
      </c>
    </row>
    <row r="8" customFormat="false" ht="13.8" hidden="false" customHeight="false" outlineLevel="0" collapsed="false">
      <c r="A8" s="62" t="s">
        <v>16</v>
      </c>
      <c r="B8" s="62"/>
      <c r="C8" s="62" t="n">
        <v>8040</v>
      </c>
      <c r="D8" s="62"/>
      <c r="E8" s="62"/>
      <c r="F8" s="62"/>
      <c r="G8" s="62" t="n">
        <v>380</v>
      </c>
      <c r="H8" s="64" t="n">
        <f aca="false">SUM(B8:G8)</f>
        <v>8420</v>
      </c>
    </row>
    <row r="9" customFormat="false" ht="13.8" hidden="false" customHeight="false" outlineLevel="0" collapsed="false">
      <c r="A9" s="62" t="s">
        <v>14</v>
      </c>
      <c r="B9" s="62"/>
      <c r="C9" s="62"/>
      <c r="D9" s="62" t="n">
        <v>89600</v>
      </c>
      <c r="E9" s="62"/>
      <c r="F9" s="62"/>
      <c r="G9" s="62"/>
      <c r="H9" s="64" t="n">
        <f aca="false">SUM(B9:G9)</f>
        <v>89600</v>
      </c>
    </row>
    <row r="10" customFormat="false" ht="13.8" hidden="false" customHeight="false" outlineLevel="0" collapsed="false">
      <c r="A10" s="62" t="s">
        <v>10</v>
      </c>
      <c r="B10" s="62"/>
      <c r="C10" s="62"/>
      <c r="D10" s="62" t="n">
        <v>19520</v>
      </c>
      <c r="E10" s="62"/>
      <c r="F10" s="62"/>
      <c r="G10" s="62"/>
      <c r="H10" s="64" t="n">
        <f aca="false">SUM(B10:G10)</f>
        <v>19520</v>
      </c>
    </row>
    <row r="11" customFormat="false" ht="13.8" hidden="false" customHeight="false" outlineLevel="0" collapsed="false">
      <c r="A11" s="62" t="s">
        <v>23</v>
      </c>
      <c r="B11" s="62"/>
      <c r="C11" s="62" t="n">
        <v>680</v>
      </c>
      <c r="D11" s="62"/>
      <c r="E11" s="62"/>
      <c r="F11" s="62"/>
      <c r="G11" s="62" t="n">
        <v>15880</v>
      </c>
      <c r="H11" s="64" t="n">
        <f aca="false">SUM(B11:G11)</f>
        <v>16560</v>
      </c>
    </row>
    <row r="12" customFormat="false" ht="14.5" hidden="false" customHeight="false" outlineLevel="0" collapsed="false">
      <c r="A12" s="62"/>
      <c r="B12" s="62"/>
      <c r="C12" s="62"/>
      <c r="D12" s="62"/>
      <c r="E12" s="62"/>
      <c r="F12" s="62"/>
      <c r="G12" s="62"/>
      <c r="H12" s="64" t="n">
        <f aca="false">SUM(B12:G12)</f>
        <v>0</v>
      </c>
    </row>
    <row r="13" customFormat="false" ht="14.5" hidden="false" customHeight="false" outlineLevel="0" collapsed="false">
      <c r="A13" s="62"/>
      <c r="B13" s="62"/>
      <c r="C13" s="62"/>
      <c r="D13" s="62"/>
      <c r="E13" s="62"/>
      <c r="F13" s="62"/>
      <c r="G13" s="62"/>
      <c r="H13" s="64"/>
    </row>
    <row r="14" s="57" customFormat="true" ht="14.5" hidden="false" customHeight="false" outlineLevel="0" collapsed="false">
      <c r="B14" s="62"/>
      <c r="C14" s="62"/>
      <c r="D14" s="62"/>
      <c r="E14" s="62"/>
      <c r="F14" s="62"/>
      <c r="G14" s="62"/>
      <c r="H14" s="64" t="n">
        <f aca="false">SUM(B14:G14)</f>
        <v>0</v>
      </c>
    </row>
    <row r="15" customFormat="false" ht="14.5" hidden="false" customHeight="false" outlineLevel="0" collapsed="false">
      <c r="A15" s="61" t="s">
        <v>30</v>
      </c>
      <c r="B15" s="65" t="n">
        <f aca="false">SUM(B3:B14)</f>
        <v>76440</v>
      </c>
      <c r="C15" s="65" t="n">
        <f aca="false">SUM(C3:C14)</f>
        <v>19960</v>
      </c>
      <c r="D15" s="65" t="n">
        <f aca="false">SUM(D3:D14)</f>
        <v>368720</v>
      </c>
      <c r="E15" s="65" t="n">
        <f aca="false">SUM(E3:E14)</f>
        <v>5640</v>
      </c>
      <c r="F15" s="65" t="n">
        <f aca="false">SUM(F3:F14)</f>
        <v>7420</v>
      </c>
      <c r="G15" s="65" t="n">
        <f aca="false">SUM(G3:G14)</f>
        <v>31640</v>
      </c>
      <c r="H15" s="66" t="n">
        <f aca="false">SUM(B15:G15)</f>
        <v>509820</v>
      </c>
    </row>
    <row r="16" customFormat="false" ht="14.5" hidden="false" customHeight="false" outlineLevel="0" collapsed="false">
      <c r="A16" s="61"/>
      <c r="B16" s="65"/>
      <c r="C16" s="65"/>
      <c r="D16" s="65"/>
      <c r="E16" s="65"/>
      <c r="F16" s="65"/>
      <c r="G16" s="65"/>
      <c r="H16" s="66"/>
    </row>
    <row r="17" customFormat="false" ht="14.5" hidden="false" customHeight="false" outlineLevel="0" collapsed="false">
      <c r="C17" s="67"/>
      <c r="D17" s="67"/>
      <c r="E17" s="67"/>
      <c r="F17" s="67"/>
      <c r="G17" s="67"/>
      <c r="H17" s="67"/>
    </row>
    <row r="18" customFormat="false" ht="14.5" hidden="false" customHeight="false" outlineLevel="0" collapsed="false">
      <c r="C18" s="67"/>
      <c r="D18" s="67" t="s">
        <v>32</v>
      </c>
      <c r="E18" s="67" t="s">
        <v>33</v>
      </c>
      <c r="F18" s="67" t="s">
        <v>34</v>
      </c>
      <c r="G18" s="67"/>
      <c r="H18" s="67"/>
    </row>
    <row r="19" customFormat="false" ht="14.5" hidden="false" customHeight="false" outlineLevel="0" collapsed="false">
      <c r="A19" s="68" t="s">
        <v>35</v>
      </c>
      <c r="B19" s="68"/>
      <c r="C19" s="68"/>
      <c r="D19" s="69" t="n">
        <f aca="false">+F34+F43+E52+E60+E69+E75</f>
        <v>509820</v>
      </c>
      <c r="E19" s="70" t="n">
        <f aca="false">+G34+G43+F52+F60+F69+F75</f>
        <v>509820</v>
      </c>
      <c r="F19" s="69" t="n">
        <f aca="false">+E19-D19</f>
        <v>0</v>
      </c>
      <c r="G19" s="67"/>
      <c r="H19" s="67"/>
    </row>
    <row r="20" customFormat="false" ht="14.5" hidden="false" customHeight="false" outlineLevel="0" collapsed="false">
      <c r="C20" s="67"/>
      <c r="D20" s="67"/>
      <c r="E20" s="67"/>
      <c r="F20" s="67"/>
      <c r="G20" s="67"/>
      <c r="H20" s="67"/>
    </row>
    <row r="21" s="57" customFormat="true" ht="14" hidden="false" customHeight="false" outlineLevel="0" collapsed="false"/>
    <row r="22" customFormat="false" ht="14.5" hidden="false" customHeight="false" outlineLevel="0" collapsed="false">
      <c r="A22" s="71" t="s">
        <v>12</v>
      </c>
      <c r="B22" s="71"/>
      <c r="C22" s="71"/>
      <c r="D22" s="71"/>
      <c r="E22" s="71"/>
      <c r="F22" s="71"/>
      <c r="G22" s="71"/>
      <c r="H22" s="71"/>
    </row>
    <row r="23" customFormat="false" ht="14.5" hidden="false" customHeight="false" outlineLevel="0" collapsed="false">
      <c r="A23" s="56" t="s">
        <v>36</v>
      </c>
      <c r="B23" s="57" t="s">
        <v>37</v>
      </c>
      <c r="C23" s="72" t="s">
        <v>38</v>
      </c>
      <c r="D23" s="73" t="s">
        <v>39</v>
      </c>
      <c r="E23" s="72" t="s">
        <v>40</v>
      </c>
      <c r="F23" s="74" t="s">
        <v>41</v>
      </c>
      <c r="G23" s="72" t="s">
        <v>33</v>
      </c>
      <c r="H23" s="72"/>
    </row>
    <row r="24" customFormat="false" ht="14.5" hidden="false" customHeight="false" outlineLevel="0" collapsed="false">
      <c r="A24" s="75" t="n">
        <v>109</v>
      </c>
      <c r="B24" s="76" t="s">
        <v>42</v>
      </c>
      <c r="C24" s="77" t="s">
        <v>18</v>
      </c>
      <c r="D24" s="78"/>
      <c r="E24" s="77"/>
      <c r="F24" s="79"/>
      <c r="G24" s="80" t="n">
        <f aca="false">IFERROR(INDEX($B$3:$G$14,MATCH(C24,$A$3:$A$14,0),MATCH($A$22,$B$2:$G$2,0)),0)</f>
        <v>0</v>
      </c>
      <c r="H24" s="81" t="str">
        <f aca="false">IF(G24=F24,"Bien",G24-F24)</f>
        <v>Bien</v>
      </c>
    </row>
    <row r="25" customFormat="false" ht="14.5" hidden="false" customHeight="false" outlineLevel="0" collapsed="false">
      <c r="A25" s="82" t="n">
        <v>333</v>
      </c>
      <c r="B25" s="83" t="s">
        <v>43</v>
      </c>
      <c r="C25" s="84" t="s">
        <v>21</v>
      </c>
      <c r="D25" s="73"/>
      <c r="E25" s="72"/>
      <c r="F25" s="74"/>
      <c r="G25" s="85" t="n">
        <f aca="false">IFERROR(INDEX($B$3:$G$14,MATCH(C25,$A$3:$A$14,0),MATCH($A$22,$B$2:$G$2,0)),0)</f>
        <v>0</v>
      </c>
      <c r="H25" s="86" t="str">
        <f aca="false">IF(G25=F25,"Bien",G25-F25)</f>
        <v>Bien</v>
      </c>
    </row>
    <row r="26" customFormat="false" ht="14.5" hidden="false" customHeight="false" outlineLevel="0" collapsed="false">
      <c r="A26" s="87" t="n">
        <v>320</v>
      </c>
      <c r="B26" s="88" t="s">
        <v>44</v>
      </c>
      <c r="C26" s="72" t="s">
        <v>15</v>
      </c>
      <c r="D26" s="73" t="s">
        <v>45</v>
      </c>
      <c r="E26" s="72" t="s">
        <v>46</v>
      </c>
      <c r="F26" s="74" t="n">
        <v>247880</v>
      </c>
      <c r="G26" s="85" t="n">
        <f aca="false">IFERROR(INDEX($B$3:$G$14,MATCH(C26,$A$3:$A$14,0),MATCH($A$22,$B$2:$G$2,0)),0)</f>
        <v>247880</v>
      </c>
      <c r="H26" s="89" t="str">
        <f aca="false">IF(G26=F26,"Bien",G26-F26)</f>
        <v>Bien</v>
      </c>
    </row>
    <row r="27" customFormat="false" ht="15" hidden="false" customHeight="false" outlineLevel="0" collapsed="false">
      <c r="A27" s="87" t="n">
        <v>321</v>
      </c>
      <c r="B27" s="88" t="s">
        <v>47</v>
      </c>
      <c r="C27" s="72" t="s">
        <v>25</v>
      </c>
      <c r="D27" s="73" t="s">
        <v>45</v>
      </c>
      <c r="E27" s="72" t="s">
        <v>46</v>
      </c>
      <c r="F27" s="74" t="n">
        <v>7860</v>
      </c>
      <c r="G27" s="85" t="n">
        <f aca="false">IFERROR(INDEX($B$3:$G$14,MATCH(C27,$A$3:$A$14,0),MATCH($A$22,$B$2:$G$2,0)),0)</f>
        <v>7860</v>
      </c>
      <c r="H27" s="89" t="str">
        <f aca="false">IF(G27=F27,"Bien",G27-F27)</f>
        <v>Bien</v>
      </c>
    </row>
    <row r="28" customFormat="false" ht="15" hidden="false" customHeight="false" outlineLevel="0" collapsed="false">
      <c r="A28" s="82" t="n">
        <v>316</v>
      </c>
      <c r="B28" s="57" t="s">
        <v>48</v>
      </c>
      <c r="C28" s="72" t="s">
        <v>20</v>
      </c>
      <c r="D28" s="73" t="s">
        <v>45</v>
      </c>
      <c r="E28" s="72" t="s">
        <v>49</v>
      </c>
      <c r="F28" s="74" t="n">
        <v>3860</v>
      </c>
      <c r="G28" s="85" t="n">
        <f aca="false">IFERROR(INDEX($B$3:$G$14,MATCH(C28,$A$3:$A$14,0),MATCH($A$22,$B$2:$G$2,0)),0)</f>
        <v>3860</v>
      </c>
      <c r="H28" s="89" t="str">
        <f aca="false">IF(G28=F28,"Bien",G28-F28)</f>
        <v>Bien</v>
      </c>
    </row>
    <row r="29" customFormat="false" ht="14.5" hidden="false" customHeight="false" outlineLevel="0" collapsed="false">
      <c r="A29" s="87" t="n">
        <v>196</v>
      </c>
      <c r="B29" s="88" t="s">
        <v>50</v>
      </c>
      <c r="C29" s="72" t="s">
        <v>51</v>
      </c>
      <c r="D29" s="73"/>
      <c r="E29" s="72"/>
      <c r="F29" s="74"/>
      <c r="G29" s="85" t="n">
        <f aca="false">IFERROR(INDEX($B$3:$G$14,MATCH(C29,$A$3:$A$14,0),MATCH($A$22,$B$2:$G$2,0)),0)</f>
        <v>0</v>
      </c>
      <c r="H29" s="86" t="str">
        <f aca="false">IF(G29=F29,"Bien",G29-F29)</f>
        <v>Bien</v>
      </c>
      <c r="I29" s="57" t="s">
        <v>52</v>
      </c>
    </row>
    <row r="30" customFormat="false" ht="14.5" hidden="false" customHeight="false" outlineLevel="0" collapsed="false">
      <c r="A30" s="82" t="n">
        <v>309</v>
      </c>
      <c r="B30" s="57" t="s">
        <v>53</v>
      </c>
      <c r="C30" s="72" t="s">
        <v>16</v>
      </c>
      <c r="D30" s="73"/>
      <c r="E30" s="72"/>
      <c r="F30" s="90"/>
      <c r="G30" s="85" t="n">
        <f aca="false">IFERROR(INDEX($B$3:$G$14,MATCH(C30,$A$3:$A$14,0),MATCH($A$22,$B$2:$G$2,0)),0)</f>
        <v>0</v>
      </c>
      <c r="H30" s="86" t="str">
        <f aca="false">IF(G30=F30,"Bien",G30-F30)</f>
        <v>Bien</v>
      </c>
      <c r="L30" s="91"/>
      <c r="M30" s="92"/>
      <c r="N30" s="83"/>
    </row>
    <row r="31" customFormat="false" ht="15" hidden="false" customHeight="false" outlineLevel="0" collapsed="false">
      <c r="A31" s="82" t="n">
        <v>318</v>
      </c>
      <c r="B31" s="88" t="s">
        <v>50</v>
      </c>
      <c r="C31" s="72" t="s">
        <v>14</v>
      </c>
      <c r="D31" s="73" t="s">
        <v>45</v>
      </c>
      <c r="E31" s="72" t="s">
        <v>46</v>
      </c>
      <c r="F31" s="90" t="n">
        <v>89600</v>
      </c>
      <c r="G31" s="85" t="n">
        <f aca="false">IFERROR(INDEX($B$3:$G$14,MATCH(C31,$A$3:$A$14,0),MATCH($A$22,$B$2:$G$2,0)),0)</f>
        <v>89600</v>
      </c>
      <c r="H31" s="89" t="str">
        <f aca="false">IF(G31=F31,"Bien",G31-F31)</f>
        <v>Bien</v>
      </c>
      <c r="L31" s="91"/>
      <c r="M31" s="83"/>
      <c r="N31" s="83"/>
    </row>
    <row r="32" customFormat="false" ht="14.5" hidden="false" customHeight="false" outlineLevel="0" collapsed="false">
      <c r="A32" s="82" t="n">
        <v>310</v>
      </c>
      <c r="B32" s="88" t="s">
        <v>54</v>
      </c>
      <c r="C32" s="83" t="s">
        <v>10</v>
      </c>
      <c r="D32" s="93" t="n">
        <v>1</v>
      </c>
      <c r="E32" s="83" t="s">
        <v>46</v>
      </c>
      <c r="F32" s="94" t="n">
        <v>19520</v>
      </c>
      <c r="G32" s="85" t="n">
        <f aca="false">IFERROR(INDEX($B$3:$G$14,MATCH(C32,$A$3:$A$14,0),MATCH($A$22,$B$2:$G$2,0)),0)</f>
        <v>19520</v>
      </c>
      <c r="H32" s="89" t="str">
        <f aca="false">IF(G32=F32,"Bien",G32-F32)</f>
        <v>Bien</v>
      </c>
      <c r="N32" s="88"/>
    </row>
    <row r="33" customFormat="false" ht="14.5" hidden="false" customHeight="false" outlineLevel="0" collapsed="false">
      <c r="A33" s="95"/>
      <c r="B33" s="96" t="s">
        <v>42</v>
      </c>
      <c r="C33" s="96" t="s">
        <v>55</v>
      </c>
      <c r="D33" s="97"/>
      <c r="E33" s="98"/>
      <c r="F33" s="99"/>
      <c r="G33" s="100" t="n">
        <f aca="false">IFERROR(INDEX($B$3:$G$14,MATCH(C33,$A$3:$A$14,0),MATCH($A$22,$B$2:$G$2,0)),0)</f>
        <v>0</v>
      </c>
      <c r="H33" s="101" t="str">
        <f aca="false">IF(G33=F33,"Bien",G33-F33)</f>
        <v>Bien</v>
      </c>
      <c r="I33" s="57" t="s">
        <v>56</v>
      </c>
      <c r="N33" s="88"/>
    </row>
    <row r="34" customFormat="false" ht="14.5" hidden="false" customHeight="false" outlineLevel="0" collapsed="false">
      <c r="C34" s="72"/>
      <c r="D34" s="73"/>
      <c r="E34" s="72"/>
      <c r="F34" s="102" t="n">
        <f aca="false">SUM(F24:F32)</f>
        <v>368720</v>
      </c>
      <c r="G34" s="103" t="n">
        <f aca="false">SUM(G24:G32)</f>
        <v>368720</v>
      </c>
      <c r="H34" s="72"/>
      <c r="L34" s="91"/>
      <c r="N34" s="72"/>
    </row>
    <row r="35" customFormat="false" ht="14.5" hidden="false" customHeight="false" outlineLevel="0" collapsed="false">
      <c r="A35" s="71" t="str">
        <f aca="false">+G2</f>
        <v>VOLUMINOSOS</v>
      </c>
      <c r="B35" s="71"/>
      <c r="C35" s="71"/>
      <c r="D35" s="71"/>
      <c r="E35" s="71"/>
      <c r="F35" s="71"/>
      <c r="G35" s="71"/>
      <c r="H35" s="71"/>
      <c r="L35" s="91"/>
      <c r="N35" s="72"/>
    </row>
    <row r="36" customFormat="false" ht="14.5" hidden="false" customHeight="false" outlineLevel="0" collapsed="false">
      <c r="C36" s="72" t="s">
        <v>38</v>
      </c>
      <c r="D36" s="73" t="s">
        <v>57</v>
      </c>
      <c r="E36" s="72" t="s">
        <v>58</v>
      </c>
      <c r="F36" s="90" t="s">
        <v>41</v>
      </c>
      <c r="G36" s="72" t="s">
        <v>33</v>
      </c>
      <c r="H36" s="72"/>
    </row>
    <row r="37" customFormat="false" ht="14.5" hidden="false" customHeight="false" outlineLevel="0" collapsed="false">
      <c r="A37" s="75" t="n">
        <v>109</v>
      </c>
      <c r="B37" s="76" t="s">
        <v>42</v>
      </c>
      <c r="C37" s="77" t="s">
        <v>18</v>
      </c>
      <c r="D37" s="78" t="n">
        <v>2</v>
      </c>
      <c r="E37" s="77" t="n">
        <v>9</v>
      </c>
      <c r="F37" s="77" t="n">
        <v>15380</v>
      </c>
      <c r="G37" s="80" t="n">
        <f aca="false">IFERROR(INDEX($B$3:$G$14,MATCH(C37,$A$3:$A$14,0),MATCH($A$35,$B$2:$G$2,0)),0)</f>
        <v>15380</v>
      </c>
      <c r="H37" s="104" t="str">
        <f aca="false">IF(G37=F37,"Bien",G37-F37)</f>
        <v>Bien</v>
      </c>
    </row>
    <row r="38" customFormat="false" ht="14.5" hidden="false" customHeight="false" outlineLevel="0" collapsed="false">
      <c r="A38" s="82" t="n">
        <v>333</v>
      </c>
      <c r="B38" s="57" t="s">
        <v>43</v>
      </c>
      <c r="C38" s="72" t="s">
        <v>21</v>
      </c>
      <c r="D38" s="73"/>
      <c r="E38" s="72"/>
      <c r="F38" s="72"/>
      <c r="G38" s="85" t="n">
        <f aca="false">IFERROR(INDEX($B$3:$G$14,MATCH(C38,$A$3:$A$14,0),MATCH($A$35,$B$2:$G$2,0)),0)</f>
        <v>0</v>
      </c>
      <c r="H38" s="86" t="str">
        <f aca="false">IF(G38=F38,"Bien",G38-F38)</f>
        <v>Bien</v>
      </c>
    </row>
    <row r="39" customFormat="false" ht="14.5" hidden="false" customHeight="false" outlineLevel="0" collapsed="false">
      <c r="A39" s="82" t="n">
        <v>316</v>
      </c>
      <c r="B39" s="83" t="s">
        <v>48</v>
      </c>
      <c r="C39" s="83" t="s">
        <v>20</v>
      </c>
      <c r="D39" s="73"/>
      <c r="E39" s="72"/>
      <c r="F39" s="72"/>
      <c r="G39" s="85" t="n">
        <f aca="false">IFERROR(INDEX($B$3:$G$14,MATCH(C39,$A$3:$A$14,0),MATCH($A$35,$B$2:$G$2,0)),0)</f>
        <v>0</v>
      </c>
      <c r="H39" s="86" t="str">
        <f aca="false">IF(G39=F39,"Bien",G39-F39)</f>
        <v>Bien</v>
      </c>
    </row>
    <row r="40" customFormat="false" ht="14.5" hidden="false" customHeight="false" outlineLevel="0" collapsed="false">
      <c r="A40" s="82" t="n">
        <v>309</v>
      </c>
      <c r="B40" s="57" t="s">
        <v>53</v>
      </c>
      <c r="C40" s="72" t="s">
        <v>16</v>
      </c>
      <c r="D40" s="73" t="n">
        <v>2</v>
      </c>
      <c r="E40" s="72" t="n">
        <v>1</v>
      </c>
      <c r="F40" s="72" t="n">
        <v>380</v>
      </c>
      <c r="G40" s="85" t="n">
        <f aca="false">IFERROR(INDEX($B$3:$G$14,MATCH(C40,$A$3:$A$14,0),MATCH($A$35,$B$2:$G$2,0)),0)</f>
        <v>380</v>
      </c>
      <c r="H40" s="89" t="str">
        <f aca="false">IF(G40=F40,"Bien",G40-F40)</f>
        <v>Bien</v>
      </c>
    </row>
    <row r="41" customFormat="false" ht="14.5" hidden="false" customHeight="false" outlineLevel="0" collapsed="false">
      <c r="A41" s="82" t="n">
        <v>296</v>
      </c>
      <c r="B41" s="83" t="s">
        <v>59</v>
      </c>
      <c r="C41" s="83" t="s">
        <v>23</v>
      </c>
      <c r="D41" s="93" t="n">
        <v>2</v>
      </c>
      <c r="E41" s="83" t="n">
        <v>28</v>
      </c>
      <c r="F41" s="83" t="n">
        <v>15880</v>
      </c>
      <c r="G41" s="85" t="n">
        <f aca="false">IFERROR(INDEX($B$3:$G$14,MATCH(C41,$A$3:$A$14,0),MATCH($A$35,$B$2:$G$2,0)),0)</f>
        <v>15880</v>
      </c>
      <c r="H41" s="89" t="str">
        <f aca="false">IF(G41=F41,"Bien",G41-F41)</f>
        <v>Bien</v>
      </c>
      <c r="J41" s="57" t="s">
        <v>60</v>
      </c>
    </row>
    <row r="42" customFormat="false" ht="14.5" hidden="false" customHeight="false" outlineLevel="0" collapsed="false">
      <c r="A42" s="95"/>
      <c r="B42" s="98"/>
      <c r="C42" s="96" t="s">
        <v>61</v>
      </c>
      <c r="D42" s="97"/>
      <c r="E42" s="98"/>
      <c r="F42" s="98"/>
      <c r="G42" s="100" t="n">
        <f aca="false">IFERROR(INDEX($B$3:$G$14,MATCH(C42,$A$3:$A$14,0),MATCH($A$35,$B$2:$G$2,0)),0)</f>
        <v>0</v>
      </c>
      <c r="H42" s="101" t="str">
        <f aca="false">IF(G42=F42,"Bien",G42-F42)</f>
        <v>Bien</v>
      </c>
    </row>
    <row r="43" s="57" customFormat="true" ht="14.5" hidden="false" customHeight="false" outlineLevel="0" collapsed="false">
      <c r="D43" s="73"/>
      <c r="E43" s="72"/>
      <c r="F43" s="102" t="n">
        <f aca="false">SUM(F37:F41)</f>
        <v>31640</v>
      </c>
      <c r="G43" s="103" t="n">
        <f aca="false">SUM(G37:G41)</f>
        <v>31640</v>
      </c>
      <c r="H43" s="72"/>
    </row>
    <row r="44" customFormat="false" ht="14.5" hidden="false" customHeight="false" outlineLevel="0" collapsed="false">
      <c r="C44" s="72"/>
      <c r="D44" s="73"/>
      <c r="E44" s="72"/>
      <c r="F44" s="90"/>
      <c r="G44" s="103"/>
      <c r="H44" s="72"/>
    </row>
    <row r="45" customFormat="false" ht="14.5" hidden="false" customHeight="false" outlineLevel="0" collapsed="false">
      <c r="A45" s="71" t="s">
        <v>22</v>
      </c>
      <c r="B45" s="71"/>
      <c r="C45" s="71"/>
      <c r="D45" s="71"/>
      <c r="E45" s="71"/>
      <c r="F45" s="71"/>
      <c r="G45" s="71"/>
      <c r="H45" s="71"/>
    </row>
    <row r="46" customFormat="false" ht="14.5" hidden="false" customHeight="false" outlineLevel="0" collapsed="false">
      <c r="C46" s="72" t="s">
        <v>38</v>
      </c>
      <c r="D46" s="73" t="s">
        <v>58</v>
      </c>
      <c r="E46" s="72" t="s">
        <v>41</v>
      </c>
      <c r="F46" s="90" t="s">
        <v>33</v>
      </c>
      <c r="G46" s="72"/>
      <c r="H46" s="72"/>
    </row>
    <row r="47" customFormat="false" ht="14.5" hidden="false" customHeight="false" outlineLevel="0" collapsed="false">
      <c r="A47" s="75" t="n">
        <v>109</v>
      </c>
      <c r="B47" s="76" t="s">
        <v>42</v>
      </c>
      <c r="C47" s="77" t="s">
        <v>18</v>
      </c>
      <c r="D47" s="78"/>
      <c r="E47" s="77"/>
      <c r="F47" s="80" t="n">
        <f aca="false">IFERROR(INDEX($B$3:$G$14,MATCH(C47,$A$3:$A$14,0),MATCH($A$45,$B$2:$G$2,0)),0)</f>
        <v>0</v>
      </c>
      <c r="G47" s="81" t="str">
        <f aca="false">IF(F47=E47,"Bien",F47-E47)</f>
        <v>Bien</v>
      </c>
      <c r="H47" s="72"/>
    </row>
    <row r="48" customFormat="false" ht="14.5" hidden="false" customHeight="false" outlineLevel="0" collapsed="false">
      <c r="A48" s="87" t="n">
        <v>320</v>
      </c>
      <c r="B48" s="88" t="s">
        <v>44</v>
      </c>
      <c r="C48" s="72" t="s">
        <v>15</v>
      </c>
      <c r="D48" s="73" t="n">
        <v>5</v>
      </c>
      <c r="E48" s="72" t="n">
        <v>7420</v>
      </c>
      <c r="F48" s="85" t="n">
        <f aca="false">IFERROR(INDEX($B$3:$G$14,MATCH(C48,$A$3:$A$14,0),MATCH($A$45,$B$2:$G$2,0)),0)</f>
        <v>7420</v>
      </c>
      <c r="G48" s="86" t="str">
        <f aca="false">IF(F48=E48,"Bien",F48-E48)</f>
        <v>Bien</v>
      </c>
      <c r="H48" s="72"/>
    </row>
    <row r="49" customFormat="false" ht="14.5" hidden="false" customHeight="false" outlineLevel="0" collapsed="false">
      <c r="A49" s="87" t="n">
        <v>321</v>
      </c>
      <c r="B49" s="88" t="s">
        <v>47</v>
      </c>
      <c r="C49" s="72" t="s">
        <v>25</v>
      </c>
      <c r="D49" s="73"/>
      <c r="E49" s="72"/>
      <c r="F49" s="85" t="n">
        <f aca="false">IFERROR(INDEX($B$3:$G$14,MATCH(C49,$A$3:$A$14,0),MATCH($A$45,$B$2:$G$2,0)),0)</f>
        <v>0</v>
      </c>
      <c r="G49" s="86" t="str">
        <f aca="false">IF(F49=E49,"Bien",F49-E49)</f>
        <v>Bien</v>
      </c>
      <c r="H49" s="72"/>
    </row>
    <row r="50" customFormat="false" ht="14.5" hidden="false" customHeight="false" outlineLevel="0" collapsed="false">
      <c r="A50" s="82" t="n">
        <v>296</v>
      </c>
      <c r="B50" s="57" t="s">
        <v>59</v>
      </c>
      <c r="C50" s="72" t="s">
        <v>23</v>
      </c>
      <c r="D50" s="73"/>
      <c r="E50" s="90"/>
      <c r="F50" s="85" t="n">
        <f aca="false">IFERROR(INDEX($B$3:$G$14,MATCH(C50,$A$3:$A$14,0),MATCH($A$45,$B$2:$G$2,0)),0)</f>
        <v>0</v>
      </c>
      <c r="G50" s="86" t="str">
        <f aca="false">IF(F50=E50,"Bien",F50-E50)</f>
        <v>Bien</v>
      </c>
      <c r="H50" s="72"/>
    </row>
    <row r="51" customFormat="false" ht="14.5" hidden="false" customHeight="false" outlineLevel="0" collapsed="false">
      <c r="A51" s="105"/>
      <c r="B51" s="98"/>
      <c r="C51" s="106" t="s">
        <v>61</v>
      </c>
      <c r="D51" s="97"/>
      <c r="E51" s="99"/>
      <c r="F51" s="100" t="n">
        <f aca="false">IFERROR(INDEX($B$3:$G$14,MATCH(C51,$A$3:$A$14,0),MATCH($A$45,$B$2:$G$2,0)),0)</f>
        <v>0</v>
      </c>
      <c r="G51" s="101" t="str">
        <f aca="false">IF(F51=E51,"Bien",F51-E51)</f>
        <v>Bien</v>
      </c>
      <c r="H51" s="72"/>
    </row>
    <row r="52" customFormat="false" ht="14.5" hidden="false" customHeight="false" outlineLevel="0" collapsed="false">
      <c r="C52" s="72"/>
      <c r="D52" s="73"/>
      <c r="E52" s="107" t="n">
        <f aca="false">SUM(E47:E51)</f>
        <v>7420</v>
      </c>
      <c r="F52" s="103" t="n">
        <f aca="false">SUM(F47:F50)</f>
        <v>7420</v>
      </c>
      <c r="G52" s="72"/>
      <c r="H52" s="72"/>
    </row>
    <row r="53" customFormat="false" ht="14.5" hidden="false" customHeight="false" outlineLevel="0" collapsed="false">
      <c r="A53" s="71" t="s">
        <v>24</v>
      </c>
      <c r="B53" s="71"/>
      <c r="C53" s="71"/>
      <c r="D53" s="71"/>
      <c r="E53" s="71"/>
      <c r="F53" s="71"/>
      <c r="G53" s="71"/>
      <c r="H53" s="72"/>
    </row>
    <row r="54" customFormat="false" ht="14.5" hidden="false" customHeight="false" outlineLevel="0" collapsed="false">
      <c r="C54" s="72" t="s">
        <v>38</v>
      </c>
      <c r="D54" s="73" t="s">
        <v>58</v>
      </c>
      <c r="E54" s="72" t="s">
        <v>41</v>
      </c>
      <c r="F54" s="90" t="s">
        <v>33</v>
      </c>
      <c r="G54" s="72"/>
      <c r="H54" s="72"/>
    </row>
    <row r="55" customFormat="false" ht="14.5" hidden="false" customHeight="false" outlineLevel="0" collapsed="false">
      <c r="A55" s="75" t="n">
        <v>109</v>
      </c>
      <c r="B55" s="76" t="s">
        <v>42</v>
      </c>
      <c r="C55" s="77" t="s">
        <v>18</v>
      </c>
      <c r="D55" s="78"/>
      <c r="E55" s="108"/>
      <c r="F55" s="80" t="n">
        <f aca="false">IFERROR(INDEX($B$3:$G$14,MATCH(C55,$A$3:$A$14,0),MATCH($A$53,$B$2:$G$2,0)),0)</f>
        <v>0</v>
      </c>
      <c r="G55" s="81" t="str">
        <f aca="false">IF(F55=E55,"Bien",F55-E55)</f>
        <v>Bien</v>
      </c>
      <c r="H55" s="72"/>
    </row>
    <row r="56" customFormat="false" ht="14.5" hidden="false" customHeight="false" outlineLevel="0" collapsed="false">
      <c r="A56" s="87" t="n">
        <v>320</v>
      </c>
      <c r="B56" s="88" t="s">
        <v>44</v>
      </c>
      <c r="C56" s="72" t="s">
        <v>15</v>
      </c>
      <c r="D56" s="93" t="n">
        <v>5</v>
      </c>
      <c r="E56" s="94" t="n">
        <v>5640</v>
      </c>
      <c r="F56" s="85" t="n">
        <f aca="false">IFERROR(INDEX($B$3:$G$14,MATCH(C56,$A$3:$A$14,0),MATCH($A$53,$B$2:$G$2,0)),0)</f>
        <v>5640</v>
      </c>
      <c r="G56" s="86" t="str">
        <f aca="false">IF(F56=E56,"Bien",F56-E56)</f>
        <v>Bien</v>
      </c>
      <c r="H56" s="72"/>
    </row>
    <row r="57" customFormat="false" ht="14.5" hidden="false" customHeight="false" outlineLevel="0" collapsed="false">
      <c r="A57" s="87" t="n">
        <v>321</v>
      </c>
      <c r="B57" s="88" t="s">
        <v>47</v>
      </c>
      <c r="C57" s="72" t="s">
        <v>25</v>
      </c>
      <c r="D57" s="93"/>
      <c r="E57" s="94"/>
      <c r="F57" s="85" t="n">
        <f aca="false">IFERROR(INDEX($B$3:$G$14,MATCH(C57,$A$3:$A$14,0),MATCH($A$53,$B$2:$G$2,0)),0)</f>
        <v>0</v>
      </c>
      <c r="G57" s="86" t="str">
        <f aca="false">IF(F57=E57,"Bien",F57-E57)</f>
        <v>Bien</v>
      </c>
      <c r="H57" s="72"/>
    </row>
    <row r="58" customFormat="false" ht="14.5" hidden="false" customHeight="false" outlineLevel="0" collapsed="false">
      <c r="A58" s="82" t="n">
        <v>296</v>
      </c>
      <c r="B58" s="57" t="s">
        <v>59</v>
      </c>
      <c r="C58" s="72" t="s">
        <v>23</v>
      </c>
      <c r="D58" s="93"/>
      <c r="E58" s="94"/>
      <c r="F58" s="85" t="n">
        <f aca="false">IFERROR(INDEX($B$3:$G$14,MATCH(C58,$A$3:$A$14,0),MATCH($A$53,$B$2:$G$2,0)),0)</f>
        <v>0</v>
      </c>
      <c r="G58" s="86" t="str">
        <f aca="false">IF(F58=E58,"Bien",F58-E58)</f>
        <v>Bien</v>
      </c>
      <c r="H58" s="72"/>
    </row>
    <row r="59" customFormat="false" ht="14.5" hidden="false" customHeight="false" outlineLevel="0" collapsed="false">
      <c r="A59" s="105"/>
      <c r="B59" s="98"/>
      <c r="C59" s="106" t="s">
        <v>61</v>
      </c>
      <c r="D59" s="97"/>
      <c r="E59" s="99"/>
      <c r="F59" s="100" t="n">
        <f aca="false">IFERROR(INDEX($B$3:$G$14,MATCH(C59,$A$3:$A$14,0),MATCH($A$53,$B$2:$G$2,0)),0)</f>
        <v>0</v>
      </c>
      <c r="G59" s="101" t="str">
        <f aca="false">IF(F59=E59,"Bien",F59-E59)</f>
        <v>Bien</v>
      </c>
      <c r="H59" s="72"/>
    </row>
    <row r="60" customFormat="false" ht="14.5" hidden="false" customHeight="false" outlineLevel="0" collapsed="false">
      <c r="C60" s="72"/>
      <c r="D60" s="73"/>
      <c r="E60" s="102" t="n">
        <f aca="false">SUM(E55:E59)</f>
        <v>5640</v>
      </c>
      <c r="F60" s="103" t="n">
        <f aca="false">SUM(F55:F59)</f>
        <v>5640</v>
      </c>
      <c r="G60" s="72"/>
      <c r="H60" s="72"/>
    </row>
    <row r="61" customFormat="false" ht="14.5" hidden="false" customHeight="false" outlineLevel="0" collapsed="false">
      <c r="A61" s="71" t="s">
        <v>17</v>
      </c>
      <c r="B61" s="71"/>
      <c r="C61" s="71"/>
      <c r="D61" s="71"/>
      <c r="E61" s="71"/>
      <c r="F61" s="71"/>
      <c r="G61" s="71"/>
      <c r="H61" s="72"/>
    </row>
    <row r="62" customFormat="false" ht="14.5" hidden="false" customHeight="false" outlineLevel="0" collapsed="false">
      <c r="C62" s="72" t="s">
        <v>38</v>
      </c>
      <c r="D62" s="73" t="s">
        <v>58</v>
      </c>
      <c r="E62" s="72" t="s">
        <v>41</v>
      </c>
      <c r="F62" s="90" t="s">
        <v>33</v>
      </c>
      <c r="G62" s="72"/>
      <c r="H62" s="72"/>
    </row>
    <row r="63" customFormat="false" ht="14.5" hidden="false" customHeight="false" outlineLevel="0" collapsed="false">
      <c r="A63" s="75" t="n">
        <v>109</v>
      </c>
      <c r="B63" s="76" t="s">
        <v>42</v>
      </c>
      <c r="C63" s="77" t="s">
        <v>18</v>
      </c>
      <c r="D63" s="109"/>
      <c r="E63" s="110"/>
      <c r="F63" s="80" t="n">
        <f aca="false">IFERROR(INDEX($B$3:$G$14,MATCH(C63,$A$3:$A$14,0),MATCH($A$61,$B$2:$G$2,0)),0)</f>
        <v>0</v>
      </c>
      <c r="G63" s="81" t="str">
        <f aca="false">IF(F63=E63,"Bien",F63-E63)</f>
        <v>Bien</v>
      </c>
      <c r="H63" s="72"/>
    </row>
    <row r="64" customFormat="false" ht="14.5" hidden="false" customHeight="false" outlineLevel="0" collapsed="false">
      <c r="A64" s="82" t="n">
        <v>333</v>
      </c>
      <c r="B64" s="83" t="s">
        <v>43</v>
      </c>
      <c r="C64" s="83" t="s">
        <v>21</v>
      </c>
      <c r="D64" s="93" t="n">
        <v>17</v>
      </c>
      <c r="E64" s="83" t="n">
        <v>11240</v>
      </c>
      <c r="F64" s="85" t="n">
        <f aca="false">IFERROR(INDEX($B$3:$G$14,MATCH(C64,$A$3:$A$14,0),MATCH($A$61,$B$2:$G$2,0)),0)</f>
        <v>11240</v>
      </c>
      <c r="G64" s="86" t="str">
        <f aca="false">IF(F64=E64,"Bien",F64-E64)</f>
        <v>Bien</v>
      </c>
      <c r="H64" s="72"/>
    </row>
    <row r="65" s="57" customFormat="true" ht="14.5" hidden="false" customHeight="false" outlineLevel="0" collapsed="false">
      <c r="A65" s="111"/>
      <c r="B65" s="57" t="s">
        <v>62</v>
      </c>
      <c r="C65" s="88" t="s">
        <v>63</v>
      </c>
      <c r="F65" s="85" t="n">
        <f aca="false">IFERROR(INDEX($B$3:$G$14,MATCH(C65,$A$3:$A$14,0),MATCH($A$61,$B$2:$G$2,0)),0)</f>
        <v>0</v>
      </c>
      <c r="G65" s="86" t="str">
        <f aca="false">IF(F65=E65,"Bien",F65-E65)</f>
        <v>Bien</v>
      </c>
      <c r="H65" s="72"/>
    </row>
    <row r="66" s="57" customFormat="true" ht="14.5" hidden="false" customHeight="false" outlineLevel="0" collapsed="false">
      <c r="A66" s="82" t="n">
        <v>316</v>
      </c>
      <c r="B66" s="57" t="s">
        <v>48</v>
      </c>
      <c r="C66" s="72" t="s">
        <v>20</v>
      </c>
      <c r="F66" s="85" t="n">
        <f aca="false">IFERROR(INDEX($B$3:$G$14,MATCH(C66,$A$3:$A$14,0),MATCH($A$61,$B$2:$G$2,0)),0)</f>
        <v>0</v>
      </c>
      <c r="G66" s="86" t="str">
        <f aca="false">IF(F66=E66,"Bien",F66-E66)</f>
        <v>Bien</v>
      </c>
      <c r="H66" s="72"/>
    </row>
    <row r="67" customFormat="false" ht="14.5" hidden="false" customHeight="false" outlineLevel="0" collapsed="false">
      <c r="A67" s="82" t="n">
        <v>309</v>
      </c>
      <c r="B67" s="57" t="s">
        <v>53</v>
      </c>
      <c r="C67" s="72" t="s">
        <v>16</v>
      </c>
      <c r="D67" s="73" t="n">
        <v>14</v>
      </c>
      <c r="E67" s="72" t="n">
        <v>8040</v>
      </c>
      <c r="F67" s="85" t="n">
        <f aca="false">IFERROR(INDEX($B$3:$G$14,MATCH(C67,$A$3:$A$14,0),MATCH($A$61,$B$2:$G$2,0)),0)</f>
        <v>8040</v>
      </c>
      <c r="G67" s="86" t="str">
        <f aca="false">IF(F67=E67,"Bien",F67-E67)</f>
        <v>Bien</v>
      </c>
      <c r="H67" s="72"/>
    </row>
    <row r="68" customFormat="false" ht="14.5" hidden="false" customHeight="false" outlineLevel="0" collapsed="false">
      <c r="A68" s="95" t="n">
        <v>296</v>
      </c>
      <c r="B68" s="98" t="s">
        <v>59</v>
      </c>
      <c r="C68" s="98" t="s">
        <v>23</v>
      </c>
      <c r="D68" s="97" t="n">
        <v>2</v>
      </c>
      <c r="E68" s="98" t="n">
        <v>680</v>
      </c>
      <c r="F68" s="100" t="n">
        <f aca="false">IFERROR(INDEX($B$3:$G$14,MATCH(C68,$A$3:$A$14,0),MATCH($A$61,$B$2:$G$2,0)),0)</f>
        <v>680</v>
      </c>
      <c r="G68" s="101" t="str">
        <f aca="false">IF(F68=E68,"Bien",F68-E68)</f>
        <v>Bien</v>
      </c>
      <c r="H68" s="72"/>
    </row>
    <row r="69" customFormat="false" ht="14.5" hidden="false" customHeight="false" outlineLevel="0" collapsed="false">
      <c r="C69" s="72"/>
      <c r="D69" s="73"/>
      <c r="E69" s="107" t="n">
        <f aca="false">SUM(E63:E68)</f>
        <v>19960</v>
      </c>
      <c r="F69" s="103" t="n">
        <f aca="false">SUM(F63:F68)</f>
        <v>19960</v>
      </c>
      <c r="G69" s="72"/>
      <c r="H69" s="72"/>
    </row>
    <row r="70" customFormat="false" ht="14.5" hidden="false" customHeight="false" outlineLevel="0" collapsed="false">
      <c r="A70" s="71" t="s">
        <v>26</v>
      </c>
      <c r="B70" s="71"/>
      <c r="C70" s="71"/>
      <c r="D70" s="71"/>
      <c r="E70" s="71"/>
      <c r="F70" s="71"/>
      <c r="G70" s="71"/>
      <c r="H70" s="72"/>
    </row>
    <row r="71" customFormat="false" ht="14.5" hidden="false" customHeight="false" outlineLevel="0" collapsed="false">
      <c r="C71" s="72" t="s">
        <v>38</v>
      </c>
      <c r="D71" s="73" t="s">
        <v>58</v>
      </c>
      <c r="E71" s="72" t="s">
        <v>41</v>
      </c>
      <c r="F71" s="90" t="s">
        <v>33</v>
      </c>
      <c r="G71" s="72"/>
      <c r="H71" s="72"/>
    </row>
    <row r="72" customFormat="false" ht="14.5" hidden="false" customHeight="false" outlineLevel="0" collapsed="false">
      <c r="A72" s="75" t="n">
        <v>109</v>
      </c>
      <c r="B72" s="76" t="s">
        <v>42</v>
      </c>
      <c r="C72" s="77" t="s">
        <v>18</v>
      </c>
      <c r="D72" s="78" t="n">
        <v>6</v>
      </c>
      <c r="E72" s="108" t="n">
        <v>76440</v>
      </c>
      <c r="F72" s="80" t="n">
        <f aca="false">IFERROR(INDEX($B$3:$G$14,MATCH(C72,$A$3:$A$14,0),MATCH($A$70,$B$2:$G$2,0)),0)</f>
        <v>76440</v>
      </c>
      <c r="G72" s="81" t="str">
        <f aca="false">IF(F72=E72,"Bien",F72-E72)</f>
        <v>Bien</v>
      </c>
      <c r="H72" s="72"/>
    </row>
    <row r="73" customFormat="false" ht="14.5" hidden="false" customHeight="false" outlineLevel="0" collapsed="false">
      <c r="A73" s="82" t="n">
        <v>309</v>
      </c>
      <c r="B73" s="57" t="s">
        <v>53</v>
      </c>
      <c r="C73" s="72" t="s">
        <v>16</v>
      </c>
      <c r="D73" s="73"/>
      <c r="E73" s="90"/>
      <c r="F73" s="85" t="n">
        <f aca="false">IFERROR(INDEX($B$3:$G$14,MATCH(C73,$A$3:$A$14,0),MATCH($A$70,$B$2:$G$2,0)),0)</f>
        <v>0</v>
      </c>
      <c r="G73" s="86" t="str">
        <f aca="false">IF(F73=E73,"Bien",F73-E73)</f>
        <v>Bien</v>
      </c>
      <c r="H73" s="72"/>
    </row>
    <row r="74" customFormat="false" ht="14.5" hidden="false" customHeight="false" outlineLevel="0" collapsed="false">
      <c r="A74" s="95" t="n">
        <v>296</v>
      </c>
      <c r="B74" s="98" t="s">
        <v>59</v>
      </c>
      <c r="C74" s="98" t="s">
        <v>23</v>
      </c>
      <c r="D74" s="97"/>
      <c r="E74" s="99"/>
      <c r="F74" s="100" t="n">
        <f aca="false">IFERROR(INDEX($B$3:$G$14,MATCH(C74,$A$3:$A$14,0),MATCH($A$70,$B$2:$G$2,0)),0)</f>
        <v>0</v>
      </c>
      <c r="G74" s="101" t="str">
        <f aca="false">IF(F74=E74,"Bien",F74-E74)</f>
        <v>Bien</v>
      </c>
      <c r="H74" s="72"/>
    </row>
    <row r="75" customFormat="false" ht="14.5" hidden="false" customHeight="false" outlineLevel="0" collapsed="false">
      <c r="C75" s="72"/>
      <c r="D75" s="73"/>
      <c r="E75" s="107" t="n">
        <f aca="false">SUM(E72:E74)</f>
        <v>76440</v>
      </c>
      <c r="F75" s="103" t="n">
        <f aca="false">SUM(F72:F72)</f>
        <v>76440</v>
      </c>
      <c r="G75" s="72"/>
      <c r="H75" s="72"/>
    </row>
    <row r="81" customFormat="false" ht="14" hidden="false" customHeight="false" outlineLevel="0" collapsed="false">
      <c r="E81" s="57" t="s">
        <v>64</v>
      </c>
    </row>
  </sheetData>
  <mergeCells count="7">
    <mergeCell ref="A19:C19"/>
    <mergeCell ref="A22:H22"/>
    <mergeCell ref="A35:H35"/>
    <mergeCell ref="A45:H45"/>
    <mergeCell ref="A53:G53"/>
    <mergeCell ref="A61:G61"/>
    <mergeCell ref="A70:G70"/>
  </mergeCells>
  <conditionalFormatting sqref="H24:H33">
    <cfRule type="cellIs" priority="2" operator="notEqual" aboveAverage="0" equalAverage="0" bottom="0" percent="0" rank="0" text="" dxfId="0">
      <formula>""bien""</formula>
    </cfRule>
  </conditionalFormatting>
  <conditionalFormatting sqref="H37">
    <cfRule type="cellIs" priority="3" operator="notEqual" aboveAverage="0" equalAverage="0" bottom="0" percent="0" rank="0" text="" dxfId="1">
      <formula>""bien""</formula>
    </cfRule>
  </conditionalFormatting>
  <conditionalFormatting sqref="H38:H42">
    <cfRule type="cellIs" priority="4" operator="notEqual" aboveAverage="0" equalAverage="0" bottom="0" percent="0" rank="0" text="" dxfId="2">
      <formula>""bien""</formula>
    </cfRule>
  </conditionalFormatting>
  <conditionalFormatting sqref="G47">
    <cfRule type="cellIs" priority="5" operator="notEqual" aboveAverage="0" equalAverage="0" bottom="0" percent="0" rank="0" text="" dxfId="3">
      <formula>""bien""</formula>
    </cfRule>
  </conditionalFormatting>
  <conditionalFormatting sqref="G48:G51">
    <cfRule type="cellIs" priority="6" operator="notEqual" aboveAverage="0" equalAverage="0" bottom="0" percent="0" rank="0" text="" dxfId="4">
      <formula>""bien""</formula>
    </cfRule>
  </conditionalFormatting>
  <conditionalFormatting sqref="G55">
    <cfRule type="cellIs" priority="7" operator="notEqual" aboveAverage="0" equalAverage="0" bottom="0" percent="0" rank="0" text="" dxfId="5">
      <formula>""bien""</formula>
    </cfRule>
  </conditionalFormatting>
  <conditionalFormatting sqref="G56:G59">
    <cfRule type="cellIs" priority="8" operator="notEqual" aboveAverage="0" equalAverage="0" bottom="0" percent="0" rank="0" text="" dxfId="6">
      <formula>""bien""</formula>
    </cfRule>
  </conditionalFormatting>
  <conditionalFormatting sqref="G63">
    <cfRule type="cellIs" priority="9" operator="notEqual" aboveAverage="0" equalAverage="0" bottom="0" percent="0" rank="0" text="" dxfId="7">
      <formula>""bien""</formula>
    </cfRule>
  </conditionalFormatting>
  <conditionalFormatting sqref="G64:G68">
    <cfRule type="cellIs" priority="10" operator="notEqual" aboveAverage="0" equalAverage="0" bottom="0" percent="0" rank="0" text="" dxfId="8">
      <formula>""bien""</formula>
    </cfRule>
  </conditionalFormatting>
  <conditionalFormatting sqref="G72">
    <cfRule type="cellIs" priority="11" operator="notEqual" aboveAverage="0" equalAverage="0" bottom="0" percent="0" rank="0" text="" dxfId="9">
      <formula>""bien""</formula>
    </cfRule>
  </conditionalFormatting>
  <conditionalFormatting sqref="G73:G74">
    <cfRule type="cellIs" priority="12" operator="notEqual" aboveAverage="0" equalAverage="0" bottom="0" percent="0" rank="0" text="" dxfId="10">
      <formula>""bien""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2021-04-01T10:32:37Z</dcterms:created>
  <dc:creator>usuario</dc:creator>
  <dc:description/>
  <dc:language>es-ES</dc:language>
  <cp:lastModifiedBy>JORGE AZUARA ROCA</cp:lastModifiedBy>
  <dcterms:modified xsi:type="dcterms:W3CDTF">2021-04-06T09:48:29Z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