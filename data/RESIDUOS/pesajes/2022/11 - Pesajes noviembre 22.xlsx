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<sst xmlns="http://schemas.openxmlformats.org/spreadsheetml/2006/main" count="744" uniqueCount="64">
  <si>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</si>
  <si>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</si>
  <si>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</si>
  <si>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</si>
  <si>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</si>
  <si>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</si>
  <si>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</si>
  <si>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</si>
  <si>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</si>
  <si>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1821KBZ</t>
  </si>
  <si>
    <t xml:space="preserve">PEÑISCOLA </t>
  </si>
  <si>
    <t xml:space="preserve">RSU</t>
  </si>
  <si>
    <t xml:space="preserve">7542KBV</t>
  </si>
  <si>
    <t xml:space="preserve">7809JZX</t>
  </si>
  <si>
    <t xml:space="preserve">3686KBG</t>
  </si>
  <si>
    <t xml:space="preserve">SEL.PAP</t>
  </si>
  <si>
    <t xml:space="preserve">7957JZS</t>
  </si>
  <si>
    <t xml:space="preserve">VOL</t>
  </si>
  <si>
    <t xml:space="preserve">1076KSZ</t>
  </si>
  <si>
    <t xml:space="preserve">6120JZX</t>
  </si>
  <si>
    <t xml:space="preserve">1730KBZ</t>
  </si>
  <si>
    <t xml:space="preserve">PODA</t>
  </si>
  <si>
    <t xml:space="preserve">SEL.ENV</t>
  </si>
  <si>
    <t xml:space="preserve">4885CLL</t>
  </si>
  <si>
    <t xml:space="preserve">9594FRV</t>
  </si>
  <si>
    <t xml:space="preserve">0315BGK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</si>
  <si>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</si>
  <si>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</si>
  <si>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</si>
  <si>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</si>
  <si>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</si>
  <si>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</si>
  <si>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</si>
  <si>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</si>
  <si>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</si>
  <si>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</si>
  <si>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</si>
  <si>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</si>
  <si>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</si>
  <si>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</si>
  <si>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</si>
  <si>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</si>
  <si>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</si>
  <si>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</si>
  <si>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</si>
  <si>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</si>
  <si>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Dia/Noche</t>
  </si>
  <si>
    <t xml:space="preserve">Recolector 22 _ 1</t>
  </si>
  <si>
    <t xml:space="preserve">Recolector 22 _ 2</t>
  </si>
  <si>
    <t xml:space="preserve">volquete 4x4 LV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</si>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</sst>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3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5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2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8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9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4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8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8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2"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5" createdVersion="3">
  <cacheSource type="worksheet">
    <worksheetSource ref="A1:I186" sheet="Hoja1"/>
  </cacheSource>
  <cacheFields count="9">
    <cacheField name="Fecha" numFmtId="0">
      <sharedItems containsSemiMixedTypes="0" containsNonDate="0" containsDate="1" containsString="0" minDate="2022-11-01T00:00:00" maxDate="2022-11-30T00:00:00" count="30"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</sharedItems>
    </cacheField>
    <cacheField name="Fecha / hora" numFmtId="0">
      <sharedItems containsSemiMixedTypes="0" containsString="0" containsNumber="1" minValue="0.0298611111111111" maxValue="0.977083333333333" count="139">
        <n v="0.0298611111111111"/>
        <n v="0.0576388888888889"/>
        <n v="0.0916666666666667"/>
        <n v="0.103472222222222"/>
        <n v="0.115972222222222"/>
        <n v="0.124305555555556"/>
        <n v="0.125"/>
        <n v="0.130555555555556"/>
        <n v="0.133333333333333"/>
        <n v="0.135416666666667"/>
        <n v="0.138194444444444"/>
        <n v="0.138888888888889"/>
        <n v="0.139583333333333"/>
        <n v="0.145138888888889"/>
        <n v="0.148611111111111"/>
        <n v="0.149305555555556"/>
        <n v="0.163194444444444"/>
        <n v="0.166666666666667"/>
        <n v="0.168055555555556"/>
        <n v="0.16875"/>
        <n v="0.169444444444444"/>
        <n v="0.171527777777778"/>
        <n v="0.177777777777778"/>
        <n v="0.192361111111111"/>
        <n v="0.195833333333333"/>
        <n v="0.197222222222222"/>
        <n v="0.201388888888889"/>
        <n v="0.203472222222222"/>
        <n v="0.204166666666667"/>
        <n v="0.205555555555556"/>
        <n v="0.20625"/>
        <n v="0.207638888888889"/>
        <n v="0.213194444444444"/>
        <n v="0.221527777777778"/>
        <n v="0.226388888888889"/>
        <n v="0.227083333333333"/>
        <n v="0.227777777777778"/>
        <n v="0.229166666666667"/>
        <n v="0.232638888888889"/>
        <n v="0.233333333333333"/>
        <n v="0.234722222222222"/>
        <n v="0.236805555555556"/>
        <n v="0.2375"/>
        <n v="0.238194444444444"/>
        <n v="0.238888888888889"/>
        <n v="0.240972222222222"/>
        <n v="0.241666666666667"/>
        <n v="0.243055555555556"/>
        <n v="0.247222222222222"/>
        <n v="0.249305555555556"/>
        <n v="0.250694444444444"/>
        <n v="0.251388888888889"/>
        <n v="0.252083333333333"/>
        <n v="0.252777777777778"/>
        <n v="0.253472222222222"/>
        <n v="0.254861111111111"/>
        <n v="0.255555555555556"/>
        <n v="0.25625"/>
        <n v="0.256944444444444"/>
        <n v="0.257638888888889"/>
        <n v="0.259027777777778"/>
        <n v="0.259722222222222"/>
        <n v="0.265277777777778"/>
        <n v="0.265972222222222"/>
        <n v="0.333333333333333"/>
        <n v="0.335416666666667"/>
        <n v="0.338194444444444"/>
        <n v="0.345833333333333"/>
        <n v="0.352083333333333"/>
        <n v="0.354166666666667"/>
        <n v="0.357638888888889"/>
        <n v="0.359027777777778"/>
        <n v="0.364583333333333"/>
        <n v="0.374305555555555"/>
        <n v="0.426388888888889"/>
        <n v="0.429861111111111"/>
        <n v="0.43125"/>
        <n v="0.432638888888889"/>
        <n v="0.433333333333333"/>
        <n v="0.434027777777778"/>
        <n v="0.434722222222222"/>
        <n v="0.435416666666667"/>
        <n v="0.438194444444444"/>
        <n v="0.439583333333333"/>
        <n v="0.442361111111111"/>
        <n v="0.443055555555556"/>
        <n v="0.45"/>
        <n v="0.456944444444444"/>
        <n v="0.457638888888889"/>
        <n v="0.463194444444444"/>
        <n v="0.463888888888889"/>
        <n v="0.469444444444444"/>
        <n v="0.472222222222222"/>
        <n v="0.478472222222222"/>
        <n v="0.484027777777778"/>
        <n v="0.485416666666667"/>
        <n v="0.488194444444444"/>
        <n v="0.491666666666667"/>
        <n v="0.493055555555556"/>
        <n v="0.494444444444444"/>
        <n v="0.497222222222222"/>
        <n v="0.497916666666667"/>
        <n v="0.5"/>
        <n v="0.502777777777778"/>
        <n v="0.504166666666667"/>
        <n v="0.504861111111111"/>
        <n v="0.50625"/>
        <n v="0.507638888888889"/>
        <n v="0.508333333333333"/>
        <n v="0.509027777777778"/>
        <n v="0.509722222222222"/>
        <n v="0.510416666666667"/>
        <n v="0.5125"/>
        <n v="0.514583333333333"/>
        <n v="0.517361111111111"/>
        <n v="0.518055555555556"/>
        <n v="0.51875"/>
        <n v="0.519444444444444"/>
        <n v="0.520138888888889"/>
        <n v="0.521527777777778"/>
        <n v="0.524305555555556"/>
        <n v="0.525"/>
        <n v="0.527777777777778"/>
        <n v="0.530555555555556"/>
        <n v="0.536111111111111"/>
        <n v="0.538194444444444"/>
        <n v="0.539583333333333"/>
        <n v="0.540972222222222"/>
        <n v="0.542361111111111"/>
        <n v="0.543055555555555"/>
        <n v="0.54375"/>
        <n v="0.545833333333333"/>
        <n v="0.546527777777778"/>
        <n v="0.548611111111111"/>
        <n v="0.549305555555556"/>
        <n v="0.552777777777778"/>
        <n v="0.573611111111111"/>
        <n v="0.600694444444444"/>
        <n v="0.977083333333333"/>
      </sharedItems>
    </cacheField>
    <cacheField name="Ticket" numFmtId="0">
      <sharedItems containsSemiMixedTypes="0" containsString="0" containsNumber="1" containsInteger="1" minValue="3665" maxValue="147969" count="185">
        <n v="3665"/>
        <n v="3695"/>
        <n v="3711"/>
        <n v="3736"/>
        <n v="14219"/>
        <n v="14221"/>
        <n v="14225"/>
        <n v="14226"/>
        <n v="14231"/>
        <n v="14232"/>
        <n v="14237"/>
        <n v="14242"/>
        <n v="14245"/>
        <n v="14261"/>
        <n v="14265"/>
        <n v="14266"/>
        <n v="14286"/>
        <n v="14288"/>
        <n v="14291"/>
        <n v="14310"/>
        <n v="14323"/>
        <n v="14327"/>
        <n v="14344"/>
        <n v="14345"/>
        <n v="14356"/>
        <n v="14362"/>
        <n v="14370"/>
        <n v="14371"/>
        <n v="14381"/>
        <n v="14382"/>
        <n v="14389"/>
        <n v="14391"/>
        <n v="14394"/>
        <n v="14406"/>
        <n v="14407"/>
        <n v="14413"/>
        <n v="14414"/>
        <n v="14434"/>
        <n v="14435"/>
        <n v="14460"/>
        <n v="14462"/>
        <n v="14464"/>
        <n v="14481"/>
        <n v="14497"/>
        <n v="14505"/>
        <n v="14506"/>
        <n v="14511"/>
        <n v="14512"/>
        <n v="14528"/>
        <n v="14547"/>
        <n v="14554"/>
        <n v="14556"/>
        <n v="14569"/>
        <n v="14572"/>
        <n v="14574"/>
        <n v="14586"/>
        <n v="14587"/>
        <n v="14591"/>
        <n v="14592"/>
        <n v="14599"/>
        <n v="14600"/>
        <n v="14601"/>
        <n v="14606"/>
        <n v="14613"/>
        <n v="14615"/>
        <n v="14617"/>
        <n v="14626"/>
        <n v="14635"/>
        <n v="14638"/>
        <n v="14639"/>
        <n v="14641"/>
        <n v="14645"/>
        <n v="14646"/>
        <n v="14652"/>
        <n v="14664"/>
        <n v="14665"/>
        <n v="14679"/>
        <n v="14684"/>
        <n v="14703"/>
        <n v="14704"/>
        <n v="14712"/>
        <n v="14716"/>
        <n v="14737"/>
        <n v="14740"/>
        <n v="14741"/>
        <n v="14753"/>
        <n v="14771"/>
        <n v="14772"/>
        <n v="14778"/>
        <n v="14789"/>
        <n v="14794"/>
        <n v="14795"/>
        <n v="14804"/>
        <n v="14809"/>
        <n v="14816"/>
        <n v="14820"/>
        <n v="14823"/>
        <n v="14824"/>
        <n v="14844"/>
        <n v="14847"/>
        <n v="14848"/>
        <n v="14863"/>
        <n v="14866"/>
        <n v="14875"/>
        <n v="14877"/>
        <n v="14889"/>
        <n v="14892"/>
        <n v="14894"/>
        <n v="14899"/>
        <n v="14903"/>
        <n v="14904"/>
        <n v="14910"/>
        <n v="14915"/>
        <n v="14916"/>
        <n v="14921"/>
        <n v="14930"/>
        <n v="14935"/>
        <n v="14936"/>
        <n v="14951"/>
        <n v="14956"/>
        <n v="14959"/>
        <n v="14961"/>
        <n v="14962"/>
        <n v="14983"/>
        <n v="14988"/>
        <n v="14989"/>
        <n v="15002"/>
        <n v="15006"/>
        <n v="15018"/>
        <n v="15019"/>
        <n v="15034"/>
        <n v="15040"/>
        <n v="15041"/>
        <n v="15051"/>
        <n v="15056"/>
        <n v="15062"/>
        <n v="15063"/>
        <n v="15074"/>
        <n v="15081"/>
        <n v="15083"/>
        <n v="15094"/>
        <n v="15095"/>
        <n v="15104"/>
        <n v="15105"/>
        <n v="15119"/>
        <n v="15122"/>
        <n v="15124"/>
        <n v="15133"/>
        <n v="15141"/>
        <n v="15143"/>
        <n v="15151"/>
        <n v="15152"/>
        <n v="15163"/>
        <n v="15170"/>
        <n v="15182"/>
        <n v="15187"/>
        <n v="15190"/>
        <n v="15191"/>
        <n v="15194"/>
        <n v="15203"/>
        <n v="15208"/>
        <n v="15210"/>
        <n v="15223"/>
        <n v="15234"/>
        <n v="15240"/>
        <n v="15252"/>
        <n v="15253"/>
        <n v="15255"/>
        <n v="15271"/>
        <n v="15274"/>
        <n v="15279"/>
        <n v="15283"/>
        <n v="15296"/>
        <n v="15300"/>
        <n v="15301"/>
        <n v="15308"/>
        <n v="15316"/>
        <n v="15325"/>
        <n v="15329"/>
        <n v="15330"/>
        <n v="146745"/>
        <n v="147181"/>
        <n v="147616"/>
        <n v="147747"/>
        <n v="147969"/>
      </sharedItems>
    </cacheField>
    <cacheField name="Matrícula" numFmtId="0">
      <sharedItems count="11">
        <s v="0315BGK"/>
        <s v="1076KSZ"/>
        <s v="1730KBZ"/>
        <s v="1821KBZ"/>
        <s v="3686KBG"/>
        <s v="4885CLL"/>
        <s v="6120JZX"/>
        <s v="7542KBV"/>
        <s v="7809JZX"/>
        <s v="7957JZS"/>
        <s v="9594FRV"/>
      </sharedItems>
    </cacheField>
    <cacheField name="Peso total" numFmtId="0">
      <sharedItems containsSemiMixedTypes="0" containsString="0" containsNumber="1" containsInteger="1" minValue="2540" maxValue="27660" count="139">
        <n v="2540"/>
        <n v="2560"/>
        <n v="2580"/>
        <n v="2600"/>
        <n v="2620"/>
        <n v="2640"/>
        <n v="2660"/>
        <n v="2680"/>
        <n v="2700"/>
        <n v="2720"/>
        <n v="2780"/>
        <n v="3020"/>
        <n v="3040"/>
        <n v="3060"/>
        <n v="3140"/>
        <n v="3160"/>
        <n v="3180"/>
        <n v="3200"/>
        <n v="3260"/>
        <n v="3280"/>
        <n v="3320"/>
        <n v="3340"/>
        <n v="3360"/>
        <n v="3380"/>
        <n v="3400"/>
        <n v="3440"/>
        <n v="3460"/>
        <n v="3540"/>
        <n v="3600"/>
        <n v="3620"/>
        <n v="3640"/>
        <n v="3680"/>
        <n v="3700"/>
        <n v="3760"/>
        <n v="3800"/>
        <n v="4040"/>
        <n v="4060"/>
        <n v="4080"/>
        <n v="4100"/>
        <n v="4120"/>
        <n v="4180"/>
        <n v="4240"/>
        <n v="4260"/>
        <n v="4280"/>
        <n v="4300"/>
        <n v="4320"/>
        <n v="4340"/>
        <n v="4400"/>
        <n v="4420"/>
        <n v="4440"/>
        <n v="4640"/>
        <n v="4740"/>
        <n v="4820"/>
        <n v="5580"/>
        <n v="6220"/>
        <n v="6300"/>
        <n v="6360"/>
        <n v="6500"/>
        <n v="6520"/>
        <n v="6560"/>
        <n v="6600"/>
        <n v="6620"/>
        <n v="6640"/>
        <n v="6740"/>
        <n v="6800"/>
        <n v="6840"/>
        <n v="7140"/>
        <n v="8120"/>
        <n v="13440"/>
        <n v="13460"/>
        <n v="13540"/>
        <n v="15680"/>
        <n v="16980"/>
        <n v="17220"/>
        <n v="17260"/>
        <n v="17460"/>
        <n v="17700"/>
        <n v="17740"/>
        <n v="17920"/>
        <n v="17960"/>
        <n v="18040"/>
        <n v="18160"/>
        <n v="18180"/>
        <n v="18200"/>
        <n v="18320"/>
        <n v="18340"/>
        <n v="18380"/>
        <n v="18440"/>
        <n v="18560"/>
        <n v="18640"/>
        <n v="18820"/>
        <n v="18960"/>
        <n v="19040"/>
        <n v="19140"/>
        <n v="19200"/>
        <n v="19400"/>
        <n v="19460"/>
        <n v="19680"/>
        <n v="19700"/>
        <n v="19780"/>
        <n v="19840"/>
        <n v="19860"/>
        <n v="20060"/>
        <n v="20140"/>
        <n v="20240"/>
        <n v="21120"/>
        <n v="21620"/>
        <n v="21640"/>
        <n v="22240"/>
        <n v="23040"/>
        <n v="23420"/>
        <n v="23560"/>
        <n v="23700"/>
        <n v="23780"/>
        <n v="23800"/>
        <n v="23880"/>
        <n v="23920"/>
        <n v="24060"/>
        <n v="24080"/>
        <n v="24120"/>
        <n v="24460"/>
        <n v="24560"/>
        <n v="24720"/>
        <n v="24840"/>
        <n v="24860"/>
        <n v="25100"/>
        <n v="25180"/>
        <n v="25240"/>
        <n v="25280"/>
        <n v="25300"/>
        <n v="25340"/>
        <n v="25380"/>
        <n v="25520"/>
        <n v="25660"/>
        <n v="25880"/>
        <n v="25920"/>
        <n v="26740"/>
        <n v="27020"/>
        <n v="27660"/>
      </sharedItems>
    </cacheField>
    <cacheField name="Tara" numFmtId="0">
      <sharedItems containsSemiMixedTypes="0" containsString="0" containsNumber="1" containsInteger="1" minValue="2300" maxValue="16140" count="69">
        <n v="2300"/>
        <n v="2380"/>
        <n v="2400"/>
        <n v="2420"/>
        <n v="2440"/>
        <n v="2480"/>
        <n v="2680"/>
        <n v="2700"/>
        <n v="2720"/>
        <n v="2760"/>
        <n v="2780"/>
        <n v="2800"/>
        <n v="2820"/>
        <n v="2840"/>
        <n v="2860"/>
        <n v="2940"/>
        <n v="3540"/>
        <n v="3600"/>
        <n v="3680"/>
        <n v="3700"/>
        <n v="3720"/>
        <n v="3740"/>
        <n v="3760"/>
        <n v="3780"/>
        <n v="3800"/>
        <n v="3820"/>
        <n v="5520"/>
        <n v="5560"/>
        <n v="5580"/>
        <n v="5600"/>
        <n v="5620"/>
        <n v="5660"/>
        <n v="5680"/>
        <n v="5700"/>
        <n v="12560"/>
        <n v="12900"/>
        <n v="13120"/>
        <n v="13140"/>
        <n v="13160"/>
        <n v="13180"/>
        <n v="13200"/>
        <n v="13220"/>
        <n v="13240"/>
        <n v="13260"/>
        <n v="13280"/>
        <n v="13300"/>
        <n v="13340"/>
        <n v="13360"/>
        <n v="13380"/>
        <n v="13420"/>
        <n v="13460"/>
        <n v="13480"/>
        <n v="15680"/>
        <n v="15740"/>
        <n v="15760"/>
        <n v="15780"/>
        <n v="15800"/>
        <n v="15820"/>
        <n v="15840"/>
        <n v="15860"/>
        <n v="15880"/>
        <n v="15900"/>
        <n v="15920"/>
        <n v="15960"/>
        <n v="15980"/>
        <n v="16020"/>
        <n v="16040"/>
        <n v="16100"/>
        <n v="16140"/>
      </sharedItems>
    </cacheField>
    <cacheField name="Carga" numFmtId="0">
      <sharedItems containsSemiMixedTypes="0" containsString="0" containsNumber="1" containsInteger="1" minValue="140" maxValue="11880" count="113">
        <n v="14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60"/>
        <n v="480"/>
        <n v="500"/>
        <n v="540"/>
        <n v="560"/>
        <n v="580"/>
        <n v="600"/>
        <n v="620"/>
        <n v="640"/>
        <n v="660"/>
        <n v="680"/>
        <n v="700"/>
        <n v="720"/>
        <n v="740"/>
        <n v="760"/>
        <n v="780"/>
        <n v="820"/>
        <n v="840"/>
        <n v="860"/>
        <n v="880"/>
        <n v="900"/>
        <n v="920"/>
        <n v="940"/>
        <n v="960"/>
        <n v="1020"/>
        <n v="1040"/>
        <n v="1060"/>
        <n v="1120"/>
        <n v="1140"/>
        <n v="1220"/>
        <n v="1260"/>
        <n v="1440"/>
        <n v="1460"/>
        <n v="1500"/>
        <n v="1700"/>
        <n v="1940"/>
        <n v="2040"/>
        <n v="2180"/>
        <n v="2260"/>
        <n v="2300"/>
        <n v="2360"/>
        <n v="2420"/>
        <n v="3120"/>
        <n v="3900"/>
        <n v="4280"/>
        <n v="4440"/>
        <n v="4620"/>
        <n v="5080"/>
        <n v="5180"/>
        <n v="5200"/>
        <n v="5260"/>
        <n v="5280"/>
        <n v="5680"/>
        <n v="5700"/>
        <n v="5780"/>
        <n v="5800"/>
        <n v="5900"/>
        <n v="5980"/>
        <n v="6020"/>
        <n v="6140"/>
        <n v="6220"/>
        <n v="6460"/>
        <n v="6520"/>
        <n v="6620"/>
        <n v="6660"/>
        <n v="6780"/>
        <n v="6900"/>
        <n v="7540"/>
        <n v="7740"/>
        <n v="7760"/>
        <n v="7780"/>
        <n v="7840"/>
        <n v="7900"/>
        <n v="8140"/>
        <n v="8160"/>
        <n v="8220"/>
        <n v="8260"/>
        <n v="8440"/>
        <n v="8460"/>
        <n v="8580"/>
        <n v="8960"/>
        <n v="8980"/>
        <n v="9000"/>
        <n v="9040"/>
        <n v="9180"/>
        <n v="9200"/>
        <n v="9240"/>
        <n v="9380"/>
        <n v="9520"/>
        <n v="9560"/>
        <n v="9620"/>
        <n v="9680"/>
        <n v="9700"/>
        <n v="9940"/>
        <n v="10120"/>
        <n v="10900"/>
        <n v="11120"/>
        <n v="11840"/>
        <n v="11880"/>
      </sharedItems>
    </cacheField>
    <cacheField name="Población" numFmtId="0">
      <sharedItems count="1">
        <s v="PEÑISCOLA "/>
      </sharedItems>
    </cacheField>
    <cacheField name="Residuo" numFmtId="0">
      <sharedItems count="5"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5">
  <r>
    <x v="0"/>
    <x v="49"/>
    <x v="6"/>
    <x v="3"/>
    <x v="99"/>
    <x v="60"/>
    <x v="57"/>
    <x v="0"/>
    <x v="1"/>
  </r>
  <r>
    <x v="0"/>
    <x v="15"/>
    <x v="4"/>
    <x v="3"/>
    <x v="132"/>
    <x v="61"/>
    <x v="104"/>
    <x v="0"/>
    <x v="1"/>
  </r>
  <r>
    <x v="0"/>
    <x v="16"/>
    <x v="5"/>
    <x v="7"/>
    <x v="129"/>
    <x v="49"/>
    <x v="112"/>
    <x v="0"/>
    <x v="1"/>
  </r>
  <r>
    <x v="0"/>
    <x v="53"/>
    <x v="7"/>
    <x v="8"/>
    <x v="52"/>
    <x v="19"/>
    <x v="41"/>
    <x v="0"/>
    <x v="1"/>
  </r>
  <r>
    <x v="0"/>
    <x v="111"/>
    <x v="9"/>
    <x v="4"/>
    <x v="7"/>
    <x v="2"/>
    <x v="6"/>
    <x v="0"/>
    <x v="1"/>
  </r>
  <r>
    <x v="0"/>
    <x v="71"/>
    <x v="8"/>
    <x v="4"/>
    <x v="0"/>
    <x v="2"/>
    <x v="0"/>
    <x v="0"/>
    <x v="1"/>
  </r>
  <r>
    <x v="1"/>
    <x v="97"/>
    <x v="180"/>
    <x v="3"/>
    <x v="81"/>
    <x v="61"/>
    <x v="52"/>
    <x v="0"/>
    <x v="3"/>
  </r>
  <r>
    <x v="1"/>
    <x v="89"/>
    <x v="13"/>
    <x v="4"/>
    <x v="5"/>
    <x v="1"/>
    <x v="5"/>
    <x v="0"/>
    <x v="1"/>
  </r>
  <r>
    <x v="1"/>
    <x v="102"/>
    <x v="15"/>
    <x v="9"/>
    <x v="62"/>
    <x v="29"/>
    <x v="39"/>
    <x v="0"/>
    <x v="4"/>
  </r>
  <r>
    <x v="1"/>
    <x v="28"/>
    <x v="11"/>
    <x v="1"/>
    <x v="26"/>
    <x v="11"/>
    <x v="23"/>
    <x v="0"/>
    <x v="1"/>
  </r>
  <r>
    <x v="1"/>
    <x v="109"/>
    <x v="14"/>
    <x v="6"/>
    <x v="13"/>
    <x v="13"/>
    <x v="3"/>
    <x v="0"/>
    <x v="4"/>
  </r>
  <r>
    <x v="1"/>
    <x v="53"/>
    <x v="12"/>
    <x v="3"/>
    <x v="138"/>
    <x v="57"/>
    <x v="111"/>
    <x v="0"/>
    <x v="1"/>
  </r>
  <r>
    <x v="1"/>
    <x v="11"/>
    <x v="10"/>
    <x v="7"/>
    <x v="107"/>
    <x v="40"/>
    <x v="91"/>
    <x v="0"/>
    <x v="1"/>
  </r>
  <r>
    <x v="2"/>
    <x v="32"/>
    <x v="17"/>
    <x v="7"/>
    <x v="102"/>
    <x v="44"/>
    <x v="79"/>
    <x v="0"/>
    <x v="1"/>
  </r>
  <r>
    <x v="2"/>
    <x v="92"/>
    <x v="19"/>
    <x v="4"/>
    <x v="9"/>
    <x v="1"/>
    <x v="9"/>
    <x v="0"/>
    <x v="1"/>
  </r>
  <r>
    <x v="2"/>
    <x v="56"/>
    <x v="18"/>
    <x v="8"/>
    <x v="38"/>
    <x v="19"/>
    <x v="12"/>
    <x v="0"/>
    <x v="1"/>
  </r>
  <r>
    <x v="2"/>
    <x v="23"/>
    <x v="16"/>
    <x v="3"/>
    <x v="137"/>
    <x v="61"/>
    <x v="110"/>
    <x v="0"/>
    <x v="1"/>
  </r>
  <r>
    <x v="3"/>
    <x v="79"/>
    <x v="22"/>
    <x v="9"/>
    <x v="54"/>
    <x v="28"/>
    <x v="22"/>
    <x v="0"/>
    <x v="4"/>
  </r>
  <r>
    <x v="3"/>
    <x v="7"/>
    <x v="20"/>
    <x v="7"/>
    <x v="95"/>
    <x v="43"/>
    <x v="73"/>
    <x v="0"/>
    <x v="1"/>
  </r>
  <r>
    <x v="3"/>
    <x v="87"/>
    <x v="23"/>
    <x v="4"/>
    <x v="8"/>
    <x v="3"/>
    <x v="6"/>
    <x v="0"/>
    <x v="1"/>
  </r>
  <r>
    <x v="3"/>
    <x v="41"/>
    <x v="21"/>
    <x v="3"/>
    <x v="136"/>
    <x v="58"/>
    <x v="109"/>
    <x v="0"/>
    <x v="1"/>
  </r>
  <r>
    <x v="4"/>
    <x v="0"/>
    <x v="24"/>
    <x v="2"/>
    <x v="135"/>
    <x v="64"/>
    <x v="107"/>
    <x v="0"/>
    <x v="1"/>
  </r>
  <r>
    <x v="4"/>
    <x v="107"/>
    <x v="29"/>
    <x v="4"/>
    <x v="6"/>
    <x v="2"/>
    <x v="5"/>
    <x v="0"/>
    <x v="1"/>
  </r>
  <r>
    <x v="4"/>
    <x v="104"/>
    <x v="28"/>
    <x v="6"/>
    <x v="12"/>
    <x v="14"/>
    <x v="1"/>
    <x v="0"/>
    <x v="1"/>
  </r>
  <r>
    <x v="4"/>
    <x v="55"/>
    <x v="27"/>
    <x v="1"/>
    <x v="19"/>
    <x v="11"/>
    <x v="15"/>
    <x v="0"/>
    <x v="1"/>
  </r>
  <r>
    <x v="4"/>
    <x v="12"/>
    <x v="25"/>
    <x v="7"/>
    <x v="100"/>
    <x v="41"/>
    <x v="77"/>
    <x v="0"/>
    <x v="1"/>
  </r>
  <r>
    <x v="4"/>
    <x v="48"/>
    <x v="26"/>
    <x v="2"/>
    <x v="125"/>
    <x v="62"/>
    <x v="98"/>
    <x v="0"/>
    <x v="1"/>
  </r>
  <r>
    <x v="5"/>
    <x v="43"/>
    <x v="32"/>
    <x v="2"/>
    <x v="131"/>
    <x v="59"/>
    <x v="102"/>
    <x v="0"/>
    <x v="1"/>
  </r>
  <r>
    <x v="5"/>
    <x v="25"/>
    <x v="31"/>
    <x v="8"/>
    <x v="45"/>
    <x v="18"/>
    <x v="22"/>
    <x v="0"/>
    <x v="1"/>
  </r>
  <r>
    <x v="5"/>
    <x v="6"/>
    <x v="30"/>
    <x v="7"/>
    <x v="104"/>
    <x v="46"/>
    <x v="80"/>
    <x v="0"/>
    <x v="1"/>
  </r>
  <r>
    <x v="6"/>
    <x v="24"/>
    <x v="33"/>
    <x v="7"/>
    <x v="85"/>
    <x v="43"/>
    <x v="61"/>
    <x v="0"/>
    <x v="1"/>
  </r>
  <r>
    <x v="6"/>
    <x v="62"/>
    <x v="36"/>
    <x v="8"/>
    <x v="47"/>
    <x v="23"/>
    <x v="21"/>
    <x v="0"/>
    <x v="1"/>
  </r>
  <r>
    <x v="6"/>
    <x v="30"/>
    <x v="34"/>
    <x v="2"/>
    <x v="133"/>
    <x v="64"/>
    <x v="105"/>
    <x v="0"/>
    <x v="1"/>
  </r>
  <r>
    <x v="6"/>
    <x v="54"/>
    <x v="35"/>
    <x v="2"/>
    <x v="73"/>
    <x v="63"/>
    <x v="44"/>
    <x v="0"/>
    <x v="1"/>
  </r>
  <r>
    <x v="6"/>
    <x v="120"/>
    <x v="38"/>
    <x v="8"/>
    <x v="67"/>
    <x v="18"/>
    <x v="59"/>
    <x v="0"/>
    <x v="1"/>
  </r>
  <r>
    <x v="6"/>
    <x v="113"/>
    <x v="37"/>
    <x v="4"/>
    <x v="5"/>
    <x v="2"/>
    <x v="4"/>
    <x v="0"/>
    <x v="1"/>
  </r>
  <r>
    <x v="7"/>
    <x v="38"/>
    <x v="40"/>
    <x v="2"/>
    <x v="128"/>
    <x v="61"/>
    <x v="101"/>
    <x v="0"/>
    <x v="1"/>
  </r>
  <r>
    <x v="7"/>
    <x v="60"/>
    <x v="41"/>
    <x v="7"/>
    <x v="98"/>
    <x v="39"/>
    <x v="76"/>
    <x v="0"/>
    <x v="1"/>
  </r>
  <r>
    <x v="7"/>
    <x v="31"/>
    <x v="39"/>
    <x v="1"/>
    <x v="16"/>
    <x v="12"/>
    <x v="10"/>
    <x v="0"/>
    <x v="1"/>
  </r>
  <r>
    <x v="7"/>
    <x v="114"/>
    <x v="42"/>
    <x v="4"/>
    <x v="3"/>
    <x v="1"/>
    <x v="3"/>
    <x v="0"/>
    <x v="1"/>
  </r>
  <r>
    <x v="8"/>
    <x v="50"/>
    <x v="44"/>
    <x v="2"/>
    <x v="124"/>
    <x v="60"/>
    <x v="95"/>
    <x v="0"/>
    <x v="1"/>
  </r>
  <r>
    <x v="8"/>
    <x v="65"/>
    <x v="46"/>
    <x v="6"/>
    <x v="16"/>
    <x v="14"/>
    <x v="8"/>
    <x v="0"/>
    <x v="4"/>
  </r>
  <r>
    <x v="8"/>
    <x v="59"/>
    <x v="45"/>
    <x v="8"/>
    <x v="48"/>
    <x v="23"/>
    <x v="22"/>
    <x v="0"/>
    <x v="1"/>
  </r>
  <r>
    <x v="8"/>
    <x v="13"/>
    <x v="43"/>
    <x v="7"/>
    <x v="93"/>
    <x v="47"/>
    <x v="68"/>
    <x v="0"/>
    <x v="1"/>
  </r>
  <r>
    <x v="8"/>
    <x v="92"/>
    <x v="48"/>
    <x v="9"/>
    <x v="60"/>
    <x v="28"/>
    <x v="38"/>
    <x v="0"/>
    <x v="4"/>
  </r>
  <r>
    <x v="8"/>
    <x v="66"/>
    <x v="47"/>
    <x v="1"/>
    <x v="14"/>
    <x v="8"/>
    <x v="13"/>
    <x v="0"/>
    <x v="4"/>
  </r>
  <r>
    <x v="9"/>
    <x v="37"/>
    <x v="50"/>
    <x v="2"/>
    <x v="110"/>
    <x v="60"/>
    <x v="81"/>
    <x v="0"/>
    <x v="1"/>
  </r>
  <r>
    <x v="9"/>
    <x v="131"/>
    <x v="53"/>
    <x v="1"/>
    <x v="26"/>
    <x v="10"/>
    <x v="24"/>
    <x v="0"/>
    <x v="0"/>
  </r>
  <r>
    <x v="9"/>
    <x v="94"/>
    <x v="52"/>
    <x v="4"/>
    <x v="8"/>
    <x v="2"/>
    <x v="7"/>
    <x v="0"/>
    <x v="1"/>
  </r>
  <r>
    <x v="9"/>
    <x v="8"/>
    <x v="49"/>
    <x v="7"/>
    <x v="94"/>
    <x v="45"/>
    <x v="70"/>
    <x v="0"/>
    <x v="1"/>
  </r>
  <r>
    <x v="9"/>
    <x v="63"/>
    <x v="51"/>
    <x v="8"/>
    <x v="37"/>
    <x v="23"/>
    <x v="7"/>
    <x v="0"/>
    <x v="1"/>
  </r>
  <r>
    <x v="9"/>
    <x v="110"/>
    <x v="181"/>
    <x v="2"/>
    <x v="82"/>
    <x v="54"/>
    <x v="55"/>
    <x v="0"/>
    <x v="3"/>
  </r>
  <r>
    <x v="8"/>
    <x v="108"/>
    <x v="0"/>
    <x v="2"/>
    <x v="76"/>
    <x v="54"/>
    <x v="49"/>
    <x v="0"/>
    <x v="2"/>
  </r>
  <r>
    <x v="9"/>
    <x v="137"/>
    <x v="54"/>
    <x v="7"/>
    <x v="68"/>
    <x v="41"/>
    <x v="3"/>
    <x v="0"/>
    <x v="1"/>
  </r>
  <r>
    <x v="10"/>
    <x v="61"/>
    <x v="56"/>
    <x v="8"/>
    <x v="50"/>
    <x v="22"/>
    <x v="33"/>
    <x v="0"/>
    <x v="1"/>
  </r>
  <r>
    <x v="10"/>
    <x v="38"/>
    <x v="55"/>
    <x v="2"/>
    <x v="123"/>
    <x v="56"/>
    <x v="97"/>
    <x v="0"/>
    <x v="1"/>
  </r>
  <r>
    <x v="10"/>
    <x v="125"/>
    <x v="61"/>
    <x v="1"/>
    <x v="13"/>
    <x v="10"/>
    <x v="6"/>
    <x v="0"/>
    <x v="0"/>
  </r>
  <r>
    <x v="10"/>
    <x v="121"/>
    <x v="60"/>
    <x v="9"/>
    <x v="58"/>
    <x v="27"/>
    <x v="37"/>
    <x v="0"/>
    <x v="4"/>
  </r>
  <r>
    <x v="10"/>
    <x v="68"/>
    <x v="58"/>
    <x v="4"/>
    <x v="2"/>
    <x v="2"/>
    <x v="1"/>
    <x v="0"/>
    <x v="1"/>
  </r>
  <r>
    <x v="10"/>
    <x v="119"/>
    <x v="59"/>
    <x v="4"/>
    <x v="2"/>
    <x v="2"/>
    <x v="1"/>
    <x v="0"/>
    <x v="1"/>
  </r>
  <r>
    <x v="10"/>
    <x v="67"/>
    <x v="57"/>
    <x v="9"/>
    <x v="56"/>
    <x v="28"/>
    <x v="29"/>
    <x v="0"/>
    <x v="4"/>
  </r>
  <r>
    <x v="11"/>
    <x v="52"/>
    <x v="65"/>
    <x v="2"/>
    <x v="114"/>
    <x v="65"/>
    <x v="84"/>
    <x v="0"/>
    <x v="1"/>
  </r>
  <r>
    <x v="11"/>
    <x v="106"/>
    <x v="66"/>
    <x v="4"/>
    <x v="10"/>
    <x v="2"/>
    <x v="11"/>
    <x v="0"/>
    <x v="1"/>
  </r>
  <r>
    <x v="11"/>
    <x v="1"/>
    <x v="62"/>
    <x v="5"/>
    <x v="105"/>
    <x v="35"/>
    <x v="89"/>
    <x v="0"/>
    <x v="1"/>
  </r>
  <r>
    <x v="11"/>
    <x v="35"/>
    <x v="64"/>
    <x v="5"/>
    <x v="71"/>
    <x v="34"/>
    <x v="56"/>
    <x v="0"/>
    <x v="1"/>
  </r>
  <r>
    <x v="11"/>
    <x v="34"/>
    <x v="63"/>
    <x v="8"/>
    <x v="41"/>
    <x v="19"/>
    <x v="17"/>
    <x v="0"/>
    <x v="1"/>
  </r>
  <r>
    <x v="12"/>
    <x v="115"/>
    <x v="71"/>
    <x v="4"/>
    <x v="7"/>
    <x v="1"/>
    <x v="7"/>
    <x v="0"/>
    <x v="1"/>
  </r>
  <r>
    <x v="12"/>
    <x v="39"/>
    <x v="70"/>
    <x v="2"/>
    <x v="77"/>
    <x v="66"/>
    <x v="48"/>
    <x v="0"/>
    <x v="1"/>
  </r>
  <r>
    <x v="12"/>
    <x v="5"/>
    <x v="67"/>
    <x v="8"/>
    <x v="51"/>
    <x v="17"/>
    <x v="42"/>
    <x v="0"/>
    <x v="1"/>
  </r>
  <r>
    <x v="12"/>
    <x v="19"/>
    <x v="68"/>
    <x v="8"/>
    <x v="43"/>
    <x v="23"/>
    <x v="16"/>
    <x v="0"/>
    <x v="1"/>
  </r>
  <r>
    <x v="12"/>
    <x v="115"/>
    <x v="72"/>
    <x v="8"/>
    <x v="53"/>
    <x v="16"/>
    <x v="50"/>
    <x v="0"/>
    <x v="1"/>
  </r>
  <r>
    <x v="12"/>
    <x v="18"/>
    <x v="69"/>
    <x v="2"/>
    <x v="115"/>
    <x v="68"/>
    <x v="82"/>
    <x v="0"/>
    <x v="1"/>
  </r>
  <r>
    <x v="13"/>
    <x v="58"/>
    <x v="75"/>
    <x v="8"/>
    <x v="49"/>
    <x v="24"/>
    <x v="22"/>
    <x v="0"/>
    <x v="1"/>
  </r>
  <r>
    <x v="13"/>
    <x v="46"/>
    <x v="74"/>
    <x v="2"/>
    <x v="130"/>
    <x v="67"/>
    <x v="100"/>
    <x v="0"/>
    <x v="1"/>
  </r>
  <r>
    <x v="13"/>
    <x v="2"/>
    <x v="73"/>
    <x v="7"/>
    <x v="109"/>
    <x v="51"/>
    <x v="103"/>
    <x v="0"/>
    <x v="1"/>
  </r>
  <r>
    <x v="13"/>
    <x v="125"/>
    <x v="77"/>
    <x v="1"/>
    <x v="13"/>
    <x v="10"/>
    <x v="6"/>
    <x v="0"/>
    <x v="0"/>
  </r>
  <r>
    <x v="13"/>
    <x v="100"/>
    <x v="76"/>
    <x v="4"/>
    <x v="4"/>
    <x v="2"/>
    <x v="3"/>
    <x v="0"/>
    <x v="1"/>
  </r>
  <r>
    <x v="14"/>
    <x v="50"/>
    <x v="78"/>
    <x v="2"/>
    <x v="127"/>
    <x v="66"/>
    <x v="99"/>
    <x v="0"/>
    <x v="1"/>
  </r>
  <r>
    <x v="14"/>
    <x v="51"/>
    <x v="79"/>
    <x v="8"/>
    <x v="39"/>
    <x v="25"/>
    <x v="7"/>
    <x v="0"/>
    <x v="1"/>
  </r>
  <r>
    <x v="14"/>
    <x v="91"/>
    <x v="80"/>
    <x v="7"/>
    <x v="101"/>
    <x v="40"/>
    <x v="78"/>
    <x v="0"/>
    <x v="1"/>
  </r>
  <r>
    <x v="14"/>
    <x v="105"/>
    <x v="81"/>
    <x v="4"/>
    <x v="0"/>
    <x v="2"/>
    <x v="0"/>
    <x v="0"/>
    <x v="1"/>
  </r>
  <r>
    <x v="15"/>
    <x v="29"/>
    <x v="82"/>
    <x v="7"/>
    <x v="84"/>
    <x v="36"/>
    <x v="63"/>
    <x v="0"/>
    <x v="1"/>
  </r>
  <r>
    <x v="15"/>
    <x v="47"/>
    <x v="83"/>
    <x v="8"/>
    <x v="40"/>
    <x v="18"/>
    <x v="16"/>
    <x v="0"/>
    <x v="1"/>
  </r>
  <r>
    <x v="15"/>
    <x v="51"/>
    <x v="84"/>
    <x v="2"/>
    <x v="122"/>
    <x v="54"/>
    <x v="94"/>
    <x v="0"/>
    <x v="1"/>
  </r>
  <r>
    <x v="15"/>
    <x v="73"/>
    <x v="85"/>
    <x v="9"/>
    <x v="65"/>
    <x v="30"/>
    <x v="43"/>
    <x v="0"/>
    <x v="4"/>
  </r>
  <r>
    <x v="15"/>
    <x v="117"/>
    <x v="86"/>
    <x v="4"/>
    <x v="1"/>
    <x v="1"/>
    <x v="1"/>
    <x v="0"/>
    <x v="1"/>
  </r>
  <r>
    <x v="15"/>
    <x v="113"/>
    <x v="87"/>
    <x v="9"/>
    <x v="58"/>
    <x v="29"/>
    <x v="35"/>
    <x v="0"/>
    <x v="4"/>
  </r>
  <r>
    <x v="15"/>
    <x v="127"/>
    <x v="1"/>
    <x v="2"/>
    <x v="74"/>
    <x v="54"/>
    <x v="47"/>
    <x v="0"/>
    <x v="2"/>
  </r>
  <r>
    <x v="16"/>
    <x v="20"/>
    <x v="89"/>
    <x v="10"/>
    <x v="103"/>
    <x v="42"/>
    <x v="80"/>
    <x v="0"/>
    <x v="1"/>
  </r>
  <r>
    <x v="16"/>
    <x v="43"/>
    <x v="90"/>
    <x v="2"/>
    <x v="132"/>
    <x v="57"/>
    <x v="106"/>
    <x v="0"/>
    <x v="1"/>
  </r>
  <r>
    <x v="16"/>
    <x v="60"/>
    <x v="91"/>
    <x v="8"/>
    <x v="40"/>
    <x v="23"/>
    <x v="12"/>
    <x v="0"/>
    <x v="1"/>
  </r>
  <r>
    <x v="16"/>
    <x v="122"/>
    <x v="182"/>
    <x v="2"/>
    <x v="80"/>
    <x v="52"/>
    <x v="54"/>
    <x v="0"/>
    <x v="3"/>
  </r>
  <r>
    <x v="15"/>
    <x v="136"/>
    <x v="88"/>
    <x v="7"/>
    <x v="69"/>
    <x v="41"/>
    <x v="4"/>
    <x v="0"/>
    <x v="1"/>
  </r>
  <r>
    <x v="16"/>
    <x v="72"/>
    <x v="92"/>
    <x v="9"/>
    <x v="64"/>
    <x v="32"/>
    <x v="41"/>
    <x v="0"/>
    <x v="4"/>
  </r>
  <r>
    <x v="16"/>
    <x v="85"/>
    <x v="93"/>
    <x v="1"/>
    <x v="26"/>
    <x v="7"/>
    <x v="28"/>
    <x v="0"/>
    <x v="0"/>
  </r>
  <r>
    <x v="16"/>
    <x v="95"/>
    <x v="94"/>
    <x v="9"/>
    <x v="66"/>
    <x v="33"/>
    <x v="45"/>
    <x v="0"/>
    <x v="4"/>
  </r>
  <r>
    <x v="16"/>
    <x v="118"/>
    <x v="95"/>
    <x v="4"/>
    <x v="5"/>
    <x v="2"/>
    <x v="4"/>
    <x v="0"/>
    <x v="1"/>
  </r>
  <r>
    <x v="16"/>
    <x v="127"/>
    <x v="96"/>
    <x v="6"/>
    <x v="34"/>
    <x v="14"/>
    <x v="36"/>
    <x v="0"/>
    <x v="0"/>
  </r>
  <r>
    <x v="16"/>
    <x v="128"/>
    <x v="97"/>
    <x v="1"/>
    <x v="24"/>
    <x v="10"/>
    <x v="21"/>
    <x v="0"/>
    <x v="0"/>
  </r>
  <r>
    <x v="17"/>
    <x v="30"/>
    <x v="98"/>
    <x v="10"/>
    <x v="90"/>
    <x v="37"/>
    <x v="66"/>
    <x v="0"/>
    <x v="1"/>
  </r>
  <r>
    <x v="17"/>
    <x v="53"/>
    <x v="99"/>
    <x v="8"/>
    <x v="44"/>
    <x v="18"/>
    <x v="21"/>
    <x v="0"/>
    <x v="1"/>
  </r>
  <r>
    <x v="17"/>
    <x v="57"/>
    <x v="100"/>
    <x v="2"/>
    <x v="116"/>
    <x v="54"/>
    <x v="88"/>
    <x v="0"/>
    <x v="1"/>
  </r>
  <r>
    <x v="17"/>
    <x v="76"/>
    <x v="101"/>
    <x v="4"/>
    <x v="5"/>
    <x v="0"/>
    <x v="9"/>
    <x v="0"/>
    <x v="1"/>
  </r>
  <r>
    <x v="17"/>
    <x v="79"/>
    <x v="102"/>
    <x v="1"/>
    <x v="17"/>
    <x v="7"/>
    <x v="16"/>
    <x v="0"/>
    <x v="0"/>
  </r>
  <r>
    <x v="17"/>
    <x v="126"/>
    <x v="103"/>
    <x v="1"/>
    <x v="11"/>
    <x v="7"/>
    <x v="8"/>
    <x v="0"/>
    <x v="0"/>
  </r>
  <r>
    <x v="17"/>
    <x v="126"/>
    <x v="104"/>
    <x v="6"/>
    <x v="31"/>
    <x v="15"/>
    <x v="27"/>
    <x v="0"/>
    <x v="1"/>
  </r>
  <r>
    <x v="18"/>
    <x v="29"/>
    <x v="105"/>
    <x v="10"/>
    <x v="91"/>
    <x v="38"/>
    <x v="69"/>
    <x v="0"/>
    <x v="1"/>
  </r>
  <r>
    <x v="18"/>
    <x v="45"/>
    <x v="106"/>
    <x v="8"/>
    <x v="47"/>
    <x v="22"/>
    <x v="22"/>
    <x v="0"/>
    <x v="1"/>
  </r>
  <r>
    <x v="18"/>
    <x v="48"/>
    <x v="107"/>
    <x v="2"/>
    <x v="126"/>
    <x v="56"/>
    <x v="101"/>
    <x v="0"/>
    <x v="1"/>
  </r>
  <r>
    <x v="18"/>
    <x v="69"/>
    <x v="108"/>
    <x v="4"/>
    <x v="4"/>
    <x v="2"/>
    <x v="3"/>
    <x v="0"/>
    <x v="1"/>
  </r>
  <r>
    <x v="18"/>
    <x v="94"/>
    <x v="109"/>
    <x v="9"/>
    <x v="61"/>
    <x v="28"/>
    <x v="39"/>
    <x v="0"/>
    <x v="4"/>
  </r>
  <r>
    <x v="18"/>
    <x v="112"/>
    <x v="110"/>
    <x v="4"/>
    <x v="3"/>
    <x v="2"/>
    <x v="2"/>
    <x v="0"/>
    <x v="1"/>
  </r>
  <r>
    <x v="19"/>
    <x v="4"/>
    <x v="111"/>
    <x v="10"/>
    <x v="97"/>
    <x v="50"/>
    <x v="74"/>
    <x v="0"/>
    <x v="1"/>
  </r>
  <r>
    <x v="19"/>
    <x v="17"/>
    <x v="112"/>
    <x v="2"/>
    <x v="112"/>
    <x v="59"/>
    <x v="85"/>
    <x v="0"/>
    <x v="1"/>
  </r>
  <r>
    <x v="19"/>
    <x v="116"/>
    <x v="114"/>
    <x v="4"/>
    <x v="10"/>
    <x v="2"/>
    <x v="11"/>
    <x v="0"/>
    <x v="1"/>
  </r>
  <r>
    <x v="19"/>
    <x v="22"/>
    <x v="113"/>
    <x v="8"/>
    <x v="42"/>
    <x v="22"/>
    <x v="16"/>
    <x v="0"/>
    <x v="1"/>
  </r>
  <r>
    <x v="20"/>
    <x v="27"/>
    <x v="115"/>
    <x v="10"/>
    <x v="94"/>
    <x v="39"/>
    <x v="72"/>
    <x v="0"/>
    <x v="1"/>
  </r>
  <r>
    <x v="20"/>
    <x v="42"/>
    <x v="116"/>
    <x v="8"/>
    <x v="41"/>
    <x v="23"/>
    <x v="14"/>
    <x v="0"/>
    <x v="1"/>
  </r>
  <r>
    <x v="20"/>
    <x v="44"/>
    <x v="117"/>
    <x v="2"/>
    <x v="124"/>
    <x v="59"/>
    <x v="96"/>
    <x v="0"/>
    <x v="1"/>
  </r>
  <r>
    <x v="20"/>
    <x v="123"/>
    <x v="122"/>
    <x v="6"/>
    <x v="33"/>
    <x v="14"/>
    <x v="34"/>
    <x v="0"/>
    <x v="0"/>
  </r>
  <r>
    <x v="20"/>
    <x v="123"/>
    <x v="121"/>
    <x v="1"/>
    <x v="22"/>
    <x v="10"/>
    <x v="19"/>
    <x v="0"/>
    <x v="0"/>
  </r>
  <r>
    <x v="20"/>
    <x v="78"/>
    <x v="118"/>
    <x v="1"/>
    <x v="26"/>
    <x v="7"/>
    <x v="28"/>
    <x v="0"/>
    <x v="0"/>
  </r>
  <r>
    <x v="20"/>
    <x v="103"/>
    <x v="120"/>
    <x v="9"/>
    <x v="57"/>
    <x v="27"/>
    <x v="36"/>
    <x v="0"/>
    <x v="4"/>
  </r>
  <r>
    <x v="20"/>
    <x v="93"/>
    <x v="119"/>
    <x v="4"/>
    <x v="2"/>
    <x v="2"/>
    <x v="1"/>
    <x v="0"/>
    <x v="1"/>
  </r>
  <r>
    <x v="20"/>
    <x v="90"/>
    <x v="183"/>
    <x v="0"/>
    <x v="83"/>
    <x v="61"/>
    <x v="53"/>
    <x v="0"/>
    <x v="3"/>
  </r>
  <r>
    <x v="21"/>
    <x v="59"/>
    <x v="125"/>
    <x v="8"/>
    <x v="35"/>
    <x v="21"/>
    <x v="7"/>
    <x v="0"/>
    <x v="1"/>
  </r>
  <r>
    <x v="21"/>
    <x v="13"/>
    <x v="123"/>
    <x v="7"/>
    <x v="79"/>
    <x v="46"/>
    <x v="60"/>
    <x v="0"/>
    <x v="1"/>
  </r>
  <r>
    <x v="21"/>
    <x v="54"/>
    <x v="124"/>
    <x v="2"/>
    <x v="108"/>
    <x v="55"/>
    <x v="75"/>
    <x v="0"/>
    <x v="1"/>
  </r>
  <r>
    <x v="21"/>
    <x v="134"/>
    <x v="128"/>
    <x v="1"/>
    <x v="25"/>
    <x v="10"/>
    <x v="23"/>
    <x v="0"/>
    <x v="0"/>
  </r>
  <r>
    <x v="21"/>
    <x v="134"/>
    <x v="129"/>
    <x v="6"/>
    <x v="27"/>
    <x v="13"/>
    <x v="25"/>
    <x v="0"/>
    <x v="0"/>
  </r>
  <r>
    <x v="21"/>
    <x v="81"/>
    <x v="126"/>
    <x v="6"/>
    <x v="29"/>
    <x v="13"/>
    <x v="29"/>
    <x v="0"/>
    <x v="0"/>
  </r>
  <r>
    <x v="22"/>
    <x v="77"/>
    <x v="133"/>
    <x v="1"/>
    <x v="29"/>
    <x v="6"/>
    <x v="36"/>
    <x v="0"/>
    <x v="0"/>
  </r>
  <r>
    <x v="22"/>
    <x v="52"/>
    <x v="132"/>
    <x v="2"/>
    <x v="121"/>
    <x v="67"/>
    <x v="92"/>
    <x v="0"/>
    <x v="1"/>
  </r>
  <r>
    <x v="22"/>
    <x v="132"/>
    <x v="135"/>
    <x v="1"/>
    <x v="24"/>
    <x v="9"/>
    <x v="22"/>
    <x v="0"/>
    <x v="0"/>
  </r>
  <r>
    <x v="22"/>
    <x v="133"/>
    <x v="136"/>
    <x v="6"/>
    <x v="32"/>
    <x v="13"/>
    <x v="32"/>
    <x v="0"/>
    <x v="0"/>
  </r>
  <r>
    <x v="22"/>
    <x v="52"/>
    <x v="131"/>
    <x v="8"/>
    <x v="38"/>
    <x v="20"/>
    <x v="11"/>
    <x v="0"/>
    <x v="1"/>
  </r>
  <r>
    <x v="22"/>
    <x v="15"/>
    <x v="130"/>
    <x v="7"/>
    <x v="92"/>
    <x v="46"/>
    <x v="67"/>
    <x v="0"/>
    <x v="1"/>
  </r>
  <r>
    <x v="22"/>
    <x v="92"/>
    <x v="134"/>
    <x v="9"/>
    <x v="59"/>
    <x v="29"/>
    <x v="37"/>
    <x v="0"/>
    <x v="4"/>
  </r>
  <r>
    <x v="22"/>
    <x v="121"/>
    <x v="2"/>
    <x v="2"/>
    <x v="73"/>
    <x v="54"/>
    <x v="46"/>
    <x v="0"/>
    <x v="2"/>
  </r>
  <r>
    <x v="23"/>
    <x v="36"/>
    <x v="138"/>
    <x v="3"/>
    <x v="119"/>
    <x v="59"/>
    <x v="90"/>
    <x v="0"/>
    <x v="1"/>
  </r>
  <r>
    <x v="23"/>
    <x v="9"/>
    <x v="137"/>
    <x v="7"/>
    <x v="96"/>
    <x v="51"/>
    <x v="71"/>
    <x v="0"/>
    <x v="1"/>
  </r>
  <r>
    <x v="23"/>
    <x v="54"/>
    <x v="139"/>
    <x v="8"/>
    <x v="36"/>
    <x v="25"/>
    <x v="4"/>
    <x v="0"/>
    <x v="1"/>
  </r>
  <r>
    <x v="23"/>
    <x v="124"/>
    <x v="143"/>
    <x v="1"/>
    <x v="28"/>
    <x v="9"/>
    <x v="31"/>
    <x v="0"/>
    <x v="0"/>
  </r>
  <r>
    <x v="23"/>
    <x v="82"/>
    <x v="141"/>
    <x v="7"/>
    <x v="70"/>
    <x v="39"/>
    <x v="10"/>
    <x v="0"/>
    <x v="1"/>
  </r>
  <r>
    <x v="23"/>
    <x v="80"/>
    <x v="140"/>
    <x v="6"/>
    <x v="30"/>
    <x v="12"/>
    <x v="30"/>
    <x v="0"/>
    <x v="0"/>
  </r>
  <r>
    <x v="23"/>
    <x v="124"/>
    <x v="142"/>
    <x v="6"/>
    <x v="20"/>
    <x v="13"/>
    <x v="15"/>
    <x v="0"/>
    <x v="0"/>
  </r>
  <r>
    <x v="24"/>
    <x v="30"/>
    <x v="145"/>
    <x v="3"/>
    <x v="113"/>
    <x v="60"/>
    <x v="86"/>
    <x v="0"/>
    <x v="1"/>
  </r>
  <r>
    <x v="24"/>
    <x v="54"/>
    <x v="146"/>
    <x v="8"/>
    <x v="42"/>
    <x v="24"/>
    <x v="14"/>
    <x v="0"/>
    <x v="1"/>
  </r>
  <r>
    <x v="24"/>
    <x v="10"/>
    <x v="144"/>
    <x v="7"/>
    <x v="89"/>
    <x v="47"/>
    <x v="65"/>
    <x v="0"/>
    <x v="1"/>
  </r>
  <r>
    <x v="23"/>
    <x v="99"/>
    <x v="184"/>
    <x v="3"/>
    <x v="78"/>
    <x v="53"/>
    <x v="51"/>
    <x v="0"/>
    <x v="3"/>
  </r>
  <r>
    <x v="24"/>
    <x v="64"/>
    <x v="147"/>
    <x v="9"/>
    <x v="55"/>
    <x v="28"/>
    <x v="26"/>
    <x v="0"/>
    <x v="4"/>
  </r>
  <r>
    <x v="24"/>
    <x v="130"/>
    <x v="151"/>
    <x v="1"/>
    <x v="14"/>
    <x v="10"/>
    <x v="10"/>
    <x v="0"/>
    <x v="0"/>
  </r>
  <r>
    <x v="24"/>
    <x v="75"/>
    <x v="148"/>
    <x v="1"/>
    <x v="23"/>
    <x v="7"/>
    <x v="24"/>
    <x v="0"/>
    <x v="0"/>
  </r>
  <r>
    <x v="24"/>
    <x v="130"/>
    <x v="150"/>
    <x v="6"/>
    <x v="25"/>
    <x v="13"/>
    <x v="20"/>
    <x v="0"/>
    <x v="0"/>
  </r>
  <r>
    <x v="24"/>
    <x v="84"/>
    <x v="149"/>
    <x v="4"/>
    <x v="9"/>
    <x v="0"/>
    <x v="13"/>
    <x v="0"/>
    <x v="1"/>
  </r>
  <r>
    <x v="25"/>
    <x v="53"/>
    <x v="153"/>
    <x v="8"/>
    <x v="42"/>
    <x v="24"/>
    <x v="14"/>
    <x v="0"/>
    <x v="1"/>
  </r>
  <r>
    <x v="25"/>
    <x v="14"/>
    <x v="152"/>
    <x v="7"/>
    <x v="88"/>
    <x v="48"/>
    <x v="62"/>
    <x v="0"/>
    <x v="1"/>
  </r>
  <r>
    <x v="26"/>
    <x v="21"/>
    <x v="155"/>
    <x v="8"/>
    <x v="46"/>
    <x v="24"/>
    <x v="17"/>
    <x v="0"/>
    <x v="1"/>
  </r>
  <r>
    <x v="26"/>
    <x v="57"/>
    <x v="157"/>
    <x v="4"/>
    <x v="9"/>
    <x v="5"/>
    <x v="4"/>
    <x v="0"/>
    <x v="1"/>
  </r>
  <r>
    <x v="26"/>
    <x v="96"/>
    <x v="158"/>
    <x v="4"/>
    <x v="5"/>
    <x v="4"/>
    <x v="2"/>
    <x v="0"/>
    <x v="1"/>
  </r>
  <r>
    <x v="26"/>
    <x v="29"/>
    <x v="156"/>
    <x v="3"/>
    <x v="134"/>
    <x v="54"/>
    <x v="108"/>
    <x v="0"/>
    <x v="1"/>
  </r>
  <r>
    <x v="26"/>
    <x v="3"/>
    <x v="154"/>
    <x v="7"/>
    <x v="106"/>
    <x v="51"/>
    <x v="87"/>
    <x v="0"/>
    <x v="1"/>
  </r>
  <r>
    <x v="27"/>
    <x v="55"/>
    <x v="161"/>
    <x v="3"/>
    <x v="111"/>
    <x v="56"/>
    <x v="83"/>
    <x v="0"/>
    <x v="1"/>
  </r>
  <r>
    <x v="27"/>
    <x v="41"/>
    <x v="160"/>
    <x v="8"/>
    <x v="41"/>
    <x v="23"/>
    <x v="14"/>
    <x v="0"/>
    <x v="1"/>
  </r>
  <r>
    <x v="27"/>
    <x v="26"/>
    <x v="159"/>
    <x v="7"/>
    <x v="87"/>
    <x v="42"/>
    <x v="63"/>
    <x v="0"/>
    <x v="1"/>
  </r>
  <r>
    <x v="27"/>
    <x v="83"/>
    <x v="162"/>
    <x v="4"/>
    <x v="13"/>
    <x v="3"/>
    <x v="22"/>
    <x v="0"/>
    <x v="1"/>
  </r>
  <r>
    <x v="27"/>
    <x v="135"/>
    <x v="163"/>
    <x v="1"/>
    <x v="21"/>
    <x v="10"/>
    <x v="18"/>
    <x v="0"/>
    <x v="0"/>
  </r>
  <r>
    <x v="27"/>
    <x v="138"/>
    <x v="164"/>
    <x v="2"/>
    <x v="120"/>
    <x v="60"/>
    <x v="93"/>
    <x v="0"/>
    <x v="1"/>
  </r>
  <r>
    <x v="28"/>
    <x v="29"/>
    <x v="165"/>
    <x v="7"/>
    <x v="75"/>
    <x v="39"/>
    <x v="58"/>
    <x v="0"/>
    <x v="1"/>
  </r>
  <r>
    <x v="28"/>
    <x v="33"/>
    <x v="166"/>
    <x v="2"/>
    <x v="117"/>
    <x v="56"/>
    <x v="90"/>
    <x v="0"/>
    <x v="1"/>
  </r>
  <r>
    <x v="28"/>
    <x v="40"/>
    <x v="167"/>
    <x v="8"/>
    <x v="38"/>
    <x v="23"/>
    <x v="8"/>
    <x v="0"/>
    <x v="1"/>
  </r>
  <r>
    <x v="28"/>
    <x v="98"/>
    <x v="169"/>
    <x v="4"/>
    <x v="8"/>
    <x v="1"/>
    <x v="8"/>
    <x v="0"/>
    <x v="1"/>
  </r>
  <r>
    <x v="28"/>
    <x v="129"/>
    <x v="170"/>
    <x v="6"/>
    <x v="15"/>
    <x v="14"/>
    <x v="7"/>
    <x v="0"/>
    <x v="0"/>
  </r>
  <r>
    <x v="28"/>
    <x v="132"/>
    <x v="171"/>
    <x v="1"/>
    <x v="18"/>
    <x v="11"/>
    <x v="14"/>
    <x v="0"/>
    <x v="0"/>
  </r>
  <r>
    <x v="28"/>
    <x v="88"/>
    <x v="168"/>
    <x v="9"/>
    <x v="63"/>
    <x v="26"/>
    <x v="43"/>
    <x v="0"/>
    <x v="4"/>
  </r>
  <r>
    <x v="29"/>
    <x v="26"/>
    <x v="172"/>
    <x v="7"/>
    <x v="86"/>
    <x v="36"/>
    <x v="64"/>
    <x v="0"/>
    <x v="1"/>
  </r>
  <r>
    <x v="29"/>
    <x v="44"/>
    <x v="173"/>
    <x v="8"/>
    <x v="42"/>
    <x v="23"/>
    <x v="15"/>
    <x v="0"/>
    <x v="1"/>
  </r>
  <r>
    <x v="29"/>
    <x v="49"/>
    <x v="174"/>
    <x v="2"/>
    <x v="118"/>
    <x v="59"/>
    <x v="89"/>
    <x v="0"/>
    <x v="1"/>
  </r>
  <r>
    <x v="29"/>
    <x v="101"/>
    <x v="3"/>
    <x v="2"/>
    <x v="72"/>
    <x v="54"/>
    <x v="43"/>
    <x v="0"/>
    <x v="2"/>
  </r>
  <r>
    <x v="29"/>
    <x v="74"/>
    <x v="176"/>
    <x v="1"/>
    <x v="17"/>
    <x v="7"/>
    <x v="16"/>
    <x v="0"/>
    <x v="0"/>
  </r>
  <r>
    <x v="29"/>
    <x v="128"/>
    <x v="179"/>
    <x v="6"/>
    <x v="31"/>
    <x v="14"/>
    <x v="30"/>
    <x v="0"/>
    <x v="0"/>
  </r>
  <r>
    <x v="29"/>
    <x v="112"/>
    <x v="177"/>
    <x v="9"/>
    <x v="57"/>
    <x v="31"/>
    <x v="31"/>
    <x v="0"/>
    <x v="4"/>
  </r>
  <r>
    <x v="29"/>
    <x v="70"/>
    <x v="175"/>
    <x v="9"/>
    <x v="63"/>
    <x v="32"/>
    <x v="40"/>
    <x v="0"/>
    <x v="4"/>
  </r>
  <r>
    <x v="29"/>
    <x v="127"/>
    <x v="178"/>
    <x v="1"/>
    <x v="24"/>
    <x v="10"/>
    <x v="21"/>
    <x v="0"/>
    <x v="0"/>
  </r>
  <r>
    <x v="21"/>
    <x v="86"/>
    <x v="127"/>
    <x v="4"/>
    <x v="1"/>
    <x v="1"/>
    <x v="1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6" firstHeaderRow="1" firstDataRow="2" firstDataCol="1" rowPageCount="1" colPageCount="1"/>
  <pivotFields count="9">
    <pivotField axis="axisPage" compact="0" showAll="0" defaultSubtotal="0" outline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showAll="0"/>
    <pivotField compact="0" showAll="0"/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8" zeroHeight="false" outlineLevelRow="0" outlineLevelCol="0"/>
  <sheetData>
    <row r="1" customFormat="false" ht="1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8" hidden="false" customHeight="false" outlineLevel="0" collapsed="false">
      <c r="A2" s="5" t="n">
        <v>44866</v>
      </c>
      <c r="B2" s="6" t="n">
        <v>0.249305555555556</v>
      </c>
      <c r="C2" s="7" t="n">
        <v>14225</v>
      </c>
      <c r="D2" s="7" t="s">
        <v>9</v>
      </c>
      <c r="E2" s="7" t="n">
        <v>19780</v>
      </c>
      <c r="F2" s="7" t="n">
        <v>15880</v>
      </c>
      <c r="G2" s="8" t="n">
        <v>3900</v>
      </c>
      <c r="H2" s="7" t="s">
        <v>10</v>
      </c>
      <c r="I2" s="7" t="s">
        <v>11</v>
      </c>
    </row>
    <row r="3" customFormat="false" ht="18" hidden="false" customHeight="false" outlineLevel="0" collapsed="false">
      <c r="A3" s="5" t="n">
        <v>44866</v>
      </c>
      <c r="B3" s="6" t="n">
        <v>0.149305555555556</v>
      </c>
      <c r="C3" s="7" t="n">
        <v>14219</v>
      </c>
      <c r="D3" s="7" t="s">
        <v>9</v>
      </c>
      <c r="E3" s="7" t="n">
        <v>25520</v>
      </c>
      <c r="F3" s="7" t="n">
        <v>15900</v>
      </c>
      <c r="G3" s="8" t="n">
        <v>9620</v>
      </c>
      <c r="H3" s="7" t="s">
        <v>10</v>
      </c>
      <c r="I3" s="7" t="s">
        <v>11</v>
      </c>
    </row>
    <row r="4" customFormat="false" ht="18" hidden="false" customHeight="false" outlineLevel="0" collapsed="false">
      <c r="A4" s="5" t="n">
        <v>44866</v>
      </c>
      <c r="B4" s="6" t="n">
        <v>0.163194444444444</v>
      </c>
      <c r="C4" s="7" t="n">
        <v>14221</v>
      </c>
      <c r="D4" s="7" t="s">
        <v>12</v>
      </c>
      <c r="E4" s="7" t="n">
        <v>25300</v>
      </c>
      <c r="F4" s="7" t="n">
        <v>13420</v>
      </c>
      <c r="G4" s="8" t="n">
        <v>11880</v>
      </c>
      <c r="H4" s="7" t="s">
        <v>10</v>
      </c>
      <c r="I4" s="7" t="s">
        <v>11</v>
      </c>
    </row>
    <row r="5" customFormat="false" ht="18" hidden="false" customHeight="false" outlineLevel="0" collapsed="false">
      <c r="A5" s="5" t="n">
        <v>44866</v>
      </c>
      <c r="B5" s="6" t="n">
        <v>0.252777777777778</v>
      </c>
      <c r="C5" s="7" t="n">
        <v>14226</v>
      </c>
      <c r="D5" s="7" t="s">
        <v>13</v>
      </c>
      <c r="E5" s="7" t="n">
        <v>4820</v>
      </c>
      <c r="F5" s="7" t="n">
        <v>3700</v>
      </c>
      <c r="G5" s="8" t="n">
        <v>1120</v>
      </c>
      <c r="H5" s="7" t="s">
        <v>10</v>
      </c>
      <c r="I5" s="7" t="s">
        <v>11</v>
      </c>
    </row>
    <row r="6" customFormat="false" ht="18" hidden="false" customHeight="false" outlineLevel="0" collapsed="false">
      <c r="A6" s="5" t="n">
        <v>44866</v>
      </c>
      <c r="B6" s="6" t="n">
        <v>0.510416666666667</v>
      </c>
      <c r="C6" s="7" t="n">
        <v>14232</v>
      </c>
      <c r="D6" s="7" t="s">
        <v>14</v>
      </c>
      <c r="E6" s="7" t="n">
        <v>2680</v>
      </c>
      <c r="F6" s="7" t="n">
        <v>2400</v>
      </c>
      <c r="G6" s="8" t="n">
        <v>280</v>
      </c>
      <c r="H6" s="7" t="s">
        <v>10</v>
      </c>
      <c r="I6" s="7" t="s">
        <v>11</v>
      </c>
    </row>
    <row r="7" customFormat="false" ht="18" hidden="false" customHeight="false" outlineLevel="0" collapsed="false">
      <c r="A7" s="5" t="n">
        <v>44866</v>
      </c>
      <c r="B7" s="6" t="n">
        <v>0.359027777777778</v>
      </c>
      <c r="C7" s="7" t="n">
        <v>14231</v>
      </c>
      <c r="D7" s="7" t="s">
        <v>14</v>
      </c>
      <c r="E7" s="7" t="n">
        <v>2540</v>
      </c>
      <c r="F7" s="7" t="n">
        <v>2400</v>
      </c>
      <c r="G7" s="8" t="n">
        <v>140</v>
      </c>
      <c r="H7" s="7" t="s">
        <v>10</v>
      </c>
      <c r="I7" s="7" t="s">
        <v>11</v>
      </c>
    </row>
    <row r="8" customFormat="false" ht="18" hidden="false" customHeight="false" outlineLevel="0" collapsed="false">
      <c r="A8" s="5" t="n">
        <v>44867</v>
      </c>
      <c r="B8" s="6" t="n">
        <v>0.491666666666667</v>
      </c>
      <c r="C8" s="7" t="n">
        <v>146745</v>
      </c>
      <c r="D8" s="7" t="s">
        <v>9</v>
      </c>
      <c r="E8" s="7" t="n">
        <v>18160</v>
      </c>
      <c r="F8" s="7" t="n">
        <v>15900</v>
      </c>
      <c r="G8" s="8" t="n">
        <v>2260</v>
      </c>
      <c r="H8" s="7" t="s">
        <v>10</v>
      </c>
      <c r="I8" s="7" t="s">
        <v>15</v>
      </c>
    </row>
    <row r="9" customFormat="false" ht="18" hidden="false" customHeight="false" outlineLevel="0" collapsed="false">
      <c r="A9" s="5" t="n">
        <v>44867</v>
      </c>
      <c r="B9" s="6" t="n">
        <v>0.463194444444444</v>
      </c>
      <c r="C9" s="7" t="n">
        <v>14261</v>
      </c>
      <c r="D9" s="7" t="s">
        <v>14</v>
      </c>
      <c r="E9" s="7" t="n">
        <v>2640</v>
      </c>
      <c r="F9" s="7" t="n">
        <v>2380</v>
      </c>
      <c r="G9" s="8" t="n">
        <v>260</v>
      </c>
      <c r="H9" s="7" t="s">
        <v>10</v>
      </c>
      <c r="I9" s="7" t="s">
        <v>11</v>
      </c>
    </row>
    <row r="10" customFormat="false" ht="18" hidden="false" customHeight="false" outlineLevel="0" collapsed="false">
      <c r="A10" s="5" t="n">
        <v>44867</v>
      </c>
      <c r="B10" s="6" t="n">
        <v>0.5</v>
      </c>
      <c r="C10" s="7" t="n">
        <v>14266</v>
      </c>
      <c r="D10" s="7" t="s">
        <v>16</v>
      </c>
      <c r="E10" s="7" t="n">
        <v>6640</v>
      </c>
      <c r="F10" s="7" t="n">
        <v>5600</v>
      </c>
      <c r="G10" s="8" t="n">
        <v>1040</v>
      </c>
      <c r="H10" s="7" t="s">
        <v>10</v>
      </c>
      <c r="I10" s="7" t="s">
        <v>17</v>
      </c>
    </row>
    <row r="11" customFormat="false" ht="18" hidden="false" customHeight="false" outlineLevel="0" collapsed="false">
      <c r="A11" s="5" t="n">
        <v>44867</v>
      </c>
      <c r="B11" s="6" t="n">
        <v>0.204166666666667</v>
      </c>
      <c r="C11" s="7" t="n">
        <v>14242</v>
      </c>
      <c r="D11" s="7" t="s">
        <v>18</v>
      </c>
      <c r="E11" s="7" t="n">
        <v>3460</v>
      </c>
      <c r="F11" s="7" t="n">
        <v>2800</v>
      </c>
      <c r="G11" s="8" t="n">
        <v>660</v>
      </c>
      <c r="H11" s="7" t="s">
        <v>10</v>
      </c>
      <c r="I11" s="7" t="s">
        <v>11</v>
      </c>
    </row>
    <row r="12" customFormat="false" ht="18" hidden="false" customHeight="false" outlineLevel="0" collapsed="false">
      <c r="A12" s="5" t="n">
        <v>44867</v>
      </c>
      <c r="B12" s="6" t="n">
        <v>0.509027777777778</v>
      </c>
      <c r="C12" s="7" t="n">
        <v>14265</v>
      </c>
      <c r="D12" s="7" t="s">
        <v>19</v>
      </c>
      <c r="E12" s="7" t="n">
        <v>3060</v>
      </c>
      <c r="F12" s="7" t="n">
        <v>2840</v>
      </c>
      <c r="G12" s="8" t="n">
        <v>220</v>
      </c>
      <c r="H12" s="7" t="s">
        <v>10</v>
      </c>
      <c r="I12" s="7" t="s">
        <v>17</v>
      </c>
    </row>
    <row r="13" customFormat="false" ht="18" hidden="false" customHeight="false" outlineLevel="0" collapsed="false">
      <c r="A13" s="5" t="n">
        <v>44867</v>
      </c>
      <c r="B13" s="6" t="n">
        <v>0.252777777777778</v>
      </c>
      <c r="C13" s="9" t="n">
        <v>14245</v>
      </c>
      <c r="D13" s="7" t="s">
        <v>9</v>
      </c>
      <c r="E13" s="7" t="n">
        <v>27660</v>
      </c>
      <c r="F13" s="7" t="n">
        <v>15820</v>
      </c>
      <c r="G13" s="8" t="n">
        <v>11840</v>
      </c>
      <c r="H13" s="7" t="s">
        <v>10</v>
      </c>
      <c r="I13" s="7" t="s">
        <v>11</v>
      </c>
    </row>
    <row r="14" customFormat="false" ht="18" hidden="false" customHeight="false" outlineLevel="0" collapsed="false">
      <c r="A14" s="5" t="n">
        <v>44867</v>
      </c>
      <c r="B14" s="6" t="n">
        <v>0.138888888888889</v>
      </c>
      <c r="C14" s="7" t="n">
        <v>14237</v>
      </c>
      <c r="D14" s="7" t="s">
        <v>12</v>
      </c>
      <c r="E14" s="7" t="n">
        <v>21640</v>
      </c>
      <c r="F14" s="7" t="n">
        <v>13200</v>
      </c>
      <c r="G14" s="8" t="n">
        <v>8440</v>
      </c>
      <c r="H14" s="7" t="s">
        <v>10</v>
      </c>
      <c r="I14" s="7" t="s">
        <v>11</v>
      </c>
    </row>
    <row r="15" customFormat="false" ht="18" hidden="false" customHeight="false" outlineLevel="0" collapsed="false">
      <c r="A15" s="5" t="n">
        <v>44868</v>
      </c>
      <c r="B15" s="6" t="n">
        <v>0.213194444444444</v>
      </c>
      <c r="C15" s="7" t="n">
        <v>14288</v>
      </c>
      <c r="D15" s="7" t="s">
        <v>12</v>
      </c>
      <c r="E15" s="7" t="n">
        <v>20060</v>
      </c>
      <c r="F15" s="7" t="n">
        <v>13280</v>
      </c>
      <c r="G15" s="8" t="n">
        <v>6780</v>
      </c>
      <c r="H15" s="7" t="s">
        <v>10</v>
      </c>
      <c r="I15" s="7" t="s">
        <v>11</v>
      </c>
    </row>
    <row r="16" customFormat="false" ht="18" hidden="false" customHeight="false" outlineLevel="0" collapsed="false">
      <c r="A16" s="5" t="n">
        <v>44868</v>
      </c>
      <c r="B16" s="6" t="n">
        <v>0.472222222222222</v>
      </c>
      <c r="C16" s="7" t="n">
        <v>14310</v>
      </c>
      <c r="D16" s="7" t="s">
        <v>14</v>
      </c>
      <c r="E16" s="7" t="n">
        <v>2720</v>
      </c>
      <c r="F16" s="7" t="n">
        <v>2380</v>
      </c>
      <c r="G16" s="8" t="n">
        <v>340</v>
      </c>
      <c r="H16" s="7" t="s">
        <v>10</v>
      </c>
      <c r="I16" s="7" t="s">
        <v>11</v>
      </c>
    </row>
    <row r="17" customFormat="false" ht="18" hidden="false" customHeight="false" outlineLevel="0" collapsed="false">
      <c r="A17" s="5" t="n">
        <v>44868</v>
      </c>
      <c r="B17" s="6" t="n">
        <v>0.255555555555556</v>
      </c>
      <c r="C17" s="7" t="n">
        <v>14291</v>
      </c>
      <c r="D17" s="7" t="s">
        <v>13</v>
      </c>
      <c r="E17" s="7" t="n">
        <v>4100</v>
      </c>
      <c r="F17" s="7" t="n">
        <v>3700</v>
      </c>
      <c r="G17" s="8" t="n">
        <v>400</v>
      </c>
      <c r="H17" s="7" t="s">
        <v>10</v>
      </c>
      <c r="I17" s="7" t="s">
        <v>11</v>
      </c>
    </row>
    <row r="18" customFormat="false" ht="18" hidden="false" customHeight="false" outlineLevel="0" collapsed="false">
      <c r="A18" s="5" t="n">
        <v>44868</v>
      </c>
      <c r="B18" s="6" t="n">
        <v>0.192361111111111</v>
      </c>
      <c r="C18" s="7" t="n">
        <v>14286</v>
      </c>
      <c r="D18" s="7" t="s">
        <v>9</v>
      </c>
      <c r="E18" s="7" t="n">
        <v>27020</v>
      </c>
      <c r="F18" s="7" t="n">
        <v>15900</v>
      </c>
      <c r="G18" s="8" t="n">
        <v>11120</v>
      </c>
      <c r="H18" s="7" t="s">
        <v>10</v>
      </c>
      <c r="I18" s="7" t="s">
        <v>11</v>
      </c>
    </row>
    <row r="19" customFormat="false" ht="18" hidden="false" customHeight="false" outlineLevel="0" collapsed="false">
      <c r="A19" s="5" t="n">
        <v>44869</v>
      </c>
      <c r="B19" s="6" t="n">
        <v>0.434027777777778</v>
      </c>
      <c r="C19" s="7" t="n">
        <v>14344</v>
      </c>
      <c r="D19" s="7" t="s">
        <v>16</v>
      </c>
      <c r="E19" s="7" t="n">
        <v>6220</v>
      </c>
      <c r="F19" s="7" t="n">
        <v>5580</v>
      </c>
      <c r="G19" s="8" t="n">
        <v>640</v>
      </c>
      <c r="H19" s="7" t="s">
        <v>10</v>
      </c>
      <c r="I19" s="7" t="s">
        <v>17</v>
      </c>
    </row>
    <row r="20" customFormat="false" ht="18" hidden="false" customHeight="false" outlineLevel="0" collapsed="false">
      <c r="A20" s="5" t="n">
        <v>44869</v>
      </c>
      <c r="B20" s="6" t="n">
        <v>0.130555555555556</v>
      </c>
      <c r="C20" s="7" t="n">
        <v>14323</v>
      </c>
      <c r="D20" s="7" t="s">
        <v>12</v>
      </c>
      <c r="E20" s="7" t="n">
        <v>19400</v>
      </c>
      <c r="F20" s="7" t="n">
        <v>13260</v>
      </c>
      <c r="G20" s="8" t="n">
        <v>6140</v>
      </c>
      <c r="H20" s="7" t="s">
        <v>10</v>
      </c>
      <c r="I20" s="7" t="s">
        <v>11</v>
      </c>
    </row>
    <row r="21" customFormat="false" ht="18" hidden="false" customHeight="false" outlineLevel="0" collapsed="false">
      <c r="A21" s="5" t="n">
        <v>44869</v>
      </c>
      <c r="B21" s="6" t="n">
        <v>0.456944444444444</v>
      </c>
      <c r="C21" s="7" t="n">
        <v>14345</v>
      </c>
      <c r="D21" s="7" t="s">
        <v>14</v>
      </c>
      <c r="E21" s="7" t="n">
        <v>2700</v>
      </c>
      <c r="F21" s="7" t="n">
        <v>2420</v>
      </c>
      <c r="G21" s="8" t="n">
        <v>280</v>
      </c>
      <c r="H21" s="7" t="s">
        <v>10</v>
      </c>
      <c r="I21" s="7" t="s">
        <v>11</v>
      </c>
    </row>
    <row r="22" customFormat="false" ht="18" hidden="false" customHeight="false" outlineLevel="0" collapsed="false">
      <c r="A22" s="5" t="n">
        <v>44869</v>
      </c>
      <c r="B22" s="6" t="n">
        <v>0.236805555555556</v>
      </c>
      <c r="C22" s="7" t="n">
        <v>14327</v>
      </c>
      <c r="D22" s="7" t="s">
        <v>9</v>
      </c>
      <c r="E22" s="7" t="n">
        <v>26740</v>
      </c>
      <c r="F22" s="7" t="n">
        <v>15840</v>
      </c>
      <c r="G22" s="8" t="n">
        <v>10900</v>
      </c>
      <c r="H22" s="7" t="s">
        <v>10</v>
      </c>
      <c r="I22" s="7" t="s">
        <v>11</v>
      </c>
    </row>
    <row r="23" customFormat="false" ht="18" hidden="false" customHeight="false" outlineLevel="0" collapsed="false">
      <c r="A23" s="5" t="n">
        <v>44870</v>
      </c>
      <c r="B23" s="6" t="n">
        <v>0.0298611111111111</v>
      </c>
      <c r="C23" s="7" t="n">
        <v>14356</v>
      </c>
      <c r="D23" s="7" t="s">
        <v>20</v>
      </c>
      <c r="E23" s="7" t="n">
        <v>25920</v>
      </c>
      <c r="F23" s="7" t="n">
        <v>15980</v>
      </c>
      <c r="G23" s="8" t="n">
        <v>9940</v>
      </c>
      <c r="H23" s="7" t="s">
        <v>10</v>
      </c>
      <c r="I23" s="7" t="s">
        <v>11</v>
      </c>
    </row>
    <row r="24" customFormat="false" ht="18" hidden="false" customHeight="false" outlineLevel="0" collapsed="false">
      <c r="A24" s="5" t="n">
        <v>44870</v>
      </c>
      <c r="B24" s="6" t="n">
        <v>0.507638888888889</v>
      </c>
      <c r="C24" s="7" t="n">
        <v>14382</v>
      </c>
      <c r="D24" s="7" t="s">
        <v>14</v>
      </c>
      <c r="E24" s="7" t="n">
        <v>2660</v>
      </c>
      <c r="F24" s="7" t="n">
        <v>2400</v>
      </c>
      <c r="G24" s="8" t="n">
        <v>260</v>
      </c>
      <c r="H24" s="7" t="s">
        <v>10</v>
      </c>
      <c r="I24" s="7" t="s">
        <v>11</v>
      </c>
    </row>
    <row r="25" customFormat="false" ht="18" hidden="false" customHeight="false" outlineLevel="0" collapsed="false">
      <c r="A25" s="5" t="n">
        <v>44870</v>
      </c>
      <c r="B25" s="6" t="n">
        <v>0.504166666666667</v>
      </c>
      <c r="C25" s="7" t="n">
        <v>14381</v>
      </c>
      <c r="D25" s="7" t="s">
        <v>19</v>
      </c>
      <c r="E25" s="7" t="n">
        <v>3040</v>
      </c>
      <c r="F25" s="7" t="n">
        <v>2860</v>
      </c>
      <c r="G25" s="8" t="n">
        <v>180</v>
      </c>
      <c r="H25" s="7" t="s">
        <v>10</v>
      </c>
      <c r="I25" s="7" t="s">
        <v>11</v>
      </c>
    </row>
    <row r="26" customFormat="false" ht="18" hidden="false" customHeight="false" outlineLevel="0" collapsed="false">
      <c r="A26" s="5" t="n">
        <v>44870</v>
      </c>
      <c r="B26" s="6" t="n">
        <v>0.254861111111111</v>
      </c>
      <c r="C26" s="7" t="n">
        <v>14371</v>
      </c>
      <c r="D26" s="7" t="s">
        <v>18</v>
      </c>
      <c r="E26" s="7" t="n">
        <v>3280</v>
      </c>
      <c r="F26" s="7" t="n">
        <v>2800</v>
      </c>
      <c r="G26" s="8" t="n">
        <v>480</v>
      </c>
      <c r="H26" s="7" t="s">
        <v>10</v>
      </c>
      <c r="I26" s="7" t="s">
        <v>11</v>
      </c>
    </row>
    <row r="27" customFormat="false" ht="18" hidden="false" customHeight="false" outlineLevel="0" collapsed="false">
      <c r="A27" s="5" t="n">
        <v>44870</v>
      </c>
      <c r="B27" s="6" t="n">
        <v>0.139583333333333</v>
      </c>
      <c r="C27" s="7" t="n">
        <v>14362</v>
      </c>
      <c r="D27" s="7" t="s">
        <v>12</v>
      </c>
      <c r="E27" s="7" t="n">
        <v>19840</v>
      </c>
      <c r="F27" s="7" t="n">
        <v>13220</v>
      </c>
      <c r="G27" s="8" t="n">
        <v>6620</v>
      </c>
      <c r="H27" s="7" t="s">
        <v>10</v>
      </c>
      <c r="I27" s="7" t="s">
        <v>11</v>
      </c>
    </row>
    <row r="28" customFormat="false" ht="18" hidden="false" customHeight="false" outlineLevel="0" collapsed="false">
      <c r="A28" s="5" t="n">
        <v>44870</v>
      </c>
      <c r="B28" s="6" t="n">
        <v>0.247222222222222</v>
      </c>
      <c r="C28" s="7" t="n">
        <v>14370</v>
      </c>
      <c r="D28" s="7" t="s">
        <v>20</v>
      </c>
      <c r="E28" s="7" t="n">
        <v>25100</v>
      </c>
      <c r="F28" s="7" t="n">
        <v>15920</v>
      </c>
      <c r="G28" s="8" t="n">
        <v>9180</v>
      </c>
      <c r="H28" s="7" t="s">
        <v>10</v>
      </c>
      <c r="I28" s="7" t="s">
        <v>11</v>
      </c>
    </row>
    <row r="29" customFormat="false" ht="18" hidden="false" customHeight="false" outlineLevel="0" collapsed="false">
      <c r="A29" s="5" t="n">
        <v>44871</v>
      </c>
      <c r="B29" s="6" t="n">
        <v>0.238194444444444</v>
      </c>
      <c r="C29" s="7" t="n">
        <v>14394</v>
      </c>
      <c r="D29" s="7" t="s">
        <v>20</v>
      </c>
      <c r="E29" s="7" t="n">
        <v>25380</v>
      </c>
      <c r="F29" s="7" t="n">
        <v>15860</v>
      </c>
      <c r="G29" s="8" t="n">
        <v>9520</v>
      </c>
      <c r="H29" s="7" t="s">
        <v>10</v>
      </c>
      <c r="I29" s="7" t="s">
        <v>11</v>
      </c>
    </row>
    <row r="30" customFormat="false" ht="18" hidden="false" customHeight="false" outlineLevel="0" collapsed="false">
      <c r="A30" s="5" t="n">
        <v>44871</v>
      </c>
      <c r="B30" s="6" t="n">
        <v>0.197222222222222</v>
      </c>
      <c r="C30" s="7" t="n">
        <v>14391</v>
      </c>
      <c r="D30" s="7" t="s">
        <v>13</v>
      </c>
      <c r="E30" s="7" t="n">
        <v>4320</v>
      </c>
      <c r="F30" s="7" t="n">
        <v>3680</v>
      </c>
      <c r="G30" s="8" t="n">
        <v>640</v>
      </c>
      <c r="H30" s="7" t="s">
        <v>10</v>
      </c>
      <c r="I30" s="7" t="s">
        <v>11</v>
      </c>
    </row>
    <row r="31" customFormat="false" ht="18" hidden="false" customHeight="false" outlineLevel="0" collapsed="false">
      <c r="A31" s="5" t="n">
        <v>44871</v>
      </c>
      <c r="B31" s="6" t="n">
        <v>0.125</v>
      </c>
      <c r="C31" s="7" t="n">
        <v>14389</v>
      </c>
      <c r="D31" s="7" t="s">
        <v>12</v>
      </c>
      <c r="E31" s="7" t="n">
        <v>20240</v>
      </c>
      <c r="F31" s="7" t="n">
        <v>13340</v>
      </c>
      <c r="G31" s="8" t="n">
        <v>6900</v>
      </c>
      <c r="H31" s="5" t="s">
        <v>10</v>
      </c>
      <c r="I31" s="7" t="s">
        <v>11</v>
      </c>
    </row>
    <row r="32" customFormat="false" ht="18" hidden="false" customHeight="false" outlineLevel="0" collapsed="false">
      <c r="A32" s="5" t="n">
        <v>44872</v>
      </c>
      <c r="B32" s="6" t="n">
        <v>0.195833333333333</v>
      </c>
      <c r="C32" s="7" t="n">
        <v>14406</v>
      </c>
      <c r="D32" s="7" t="s">
        <v>12</v>
      </c>
      <c r="E32" s="7" t="n">
        <v>18340</v>
      </c>
      <c r="F32" s="7" t="n">
        <v>13260</v>
      </c>
      <c r="G32" s="8" t="n">
        <v>5080</v>
      </c>
      <c r="H32" s="7" t="s">
        <v>10</v>
      </c>
      <c r="I32" s="7" t="s">
        <v>11</v>
      </c>
    </row>
    <row r="33" customFormat="false" ht="18" hidden="false" customHeight="false" outlineLevel="0" collapsed="false">
      <c r="A33" s="5" t="n">
        <v>44872</v>
      </c>
      <c r="B33" s="6" t="n">
        <v>0.265277777777778</v>
      </c>
      <c r="C33" s="7" t="n">
        <v>14414</v>
      </c>
      <c r="D33" s="7" t="s">
        <v>13</v>
      </c>
      <c r="E33" s="7" t="n">
        <v>4400</v>
      </c>
      <c r="F33" s="7" t="n">
        <v>3780</v>
      </c>
      <c r="G33" s="8" t="n">
        <v>620</v>
      </c>
      <c r="H33" s="7" t="s">
        <v>10</v>
      </c>
      <c r="I33" s="7" t="s">
        <v>11</v>
      </c>
    </row>
    <row r="34" customFormat="false" ht="18" hidden="false" customHeight="false" outlineLevel="0" collapsed="false">
      <c r="A34" s="5" t="n">
        <v>44872</v>
      </c>
      <c r="B34" s="6" t="n">
        <v>0.20625</v>
      </c>
      <c r="C34" s="7" t="n">
        <v>14407</v>
      </c>
      <c r="D34" s="7" t="s">
        <v>20</v>
      </c>
      <c r="E34" s="7" t="n">
        <v>25660</v>
      </c>
      <c r="F34" s="7" t="n">
        <v>15980</v>
      </c>
      <c r="G34" s="8" t="n">
        <v>9680</v>
      </c>
      <c r="H34" s="7" t="s">
        <v>10</v>
      </c>
      <c r="I34" s="7" t="s">
        <v>11</v>
      </c>
    </row>
    <row r="35" customFormat="false" ht="18" hidden="false" customHeight="false" outlineLevel="0" collapsed="false">
      <c r="A35" s="5" t="n">
        <v>44872</v>
      </c>
      <c r="B35" s="6" t="n">
        <v>0.253472222222222</v>
      </c>
      <c r="C35" s="7" t="n">
        <v>14413</v>
      </c>
      <c r="D35" s="7" t="s">
        <v>20</v>
      </c>
      <c r="E35" s="7" t="n">
        <v>17220</v>
      </c>
      <c r="F35" s="7" t="n">
        <v>15960</v>
      </c>
      <c r="G35" s="8" t="n">
        <v>1260</v>
      </c>
      <c r="H35" s="7" t="s">
        <v>10</v>
      </c>
      <c r="I35" s="7" t="s">
        <v>11</v>
      </c>
    </row>
    <row r="36" customFormat="false" ht="18" hidden="false" customHeight="false" outlineLevel="0" collapsed="false">
      <c r="A36" s="5" t="n">
        <v>44872</v>
      </c>
      <c r="B36" s="6" t="n">
        <v>0.524305555555556</v>
      </c>
      <c r="C36" s="7" t="n">
        <v>14435</v>
      </c>
      <c r="D36" s="7" t="s">
        <v>13</v>
      </c>
      <c r="E36" s="7" t="n">
        <v>8120</v>
      </c>
      <c r="F36" s="7" t="n">
        <v>3680</v>
      </c>
      <c r="G36" s="8" t="n">
        <v>4440</v>
      </c>
      <c r="H36" s="7" t="s">
        <v>10</v>
      </c>
      <c r="I36" s="7" t="s">
        <v>11</v>
      </c>
    </row>
    <row r="37" customFormat="false" ht="18" hidden="false" customHeight="false" outlineLevel="0" collapsed="false">
      <c r="A37" s="5" t="n">
        <v>44872</v>
      </c>
      <c r="B37" s="6" t="n">
        <v>0.514583333333333</v>
      </c>
      <c r="C37" s="7" t="n">
        <v>14434</v>
      </c>
      <c r="D37" s="7" t="s">
        <v>14</v>
      </c>
      <c r="E37" s="7" t="n">
        <v>2640</v>
      </c>
      <c r="F37" s="7" t="n">
        <v>2400</v>
      </c>
      <c r="G37" s="8" t="n">
        <v>240</v>
      </c>
      <c r="H37" s="7" t="s">
        <v>10</v>
      </c>
      <c r="I37" s="7" t="s">
        <v>11</v>
      </c>
    </row>
    <row r="38" customFormat="false" ht="18" hidden="false" customHeight="false" outlineLevel="0" collapsed="false">
      <c r="A38" s="5" t="n">
        <v>44873</v>
      </c>
      <c r="B38" s="6" t="n">
        <v>0.232638888888889</v>
      </c>
      <c r="C38" s="7" t="n">
        <v>14462</v>
      </c>
      <c r="D38" s="7" t="s">
        <v>20</v>
      </c>
      <c r="E38" s="7" t="n">
        <v>25280</v>
      </c>
      <c r="F38" s="7" t="n">
        <v>15900</v>
      </c>
      <c r="G38" s="8" t="n">
        <v>9380</v>
      </c>
      <c r="H38" s="7" t="s">
        <v>10</v>
      </c>
      <c r="I38" s="7" t="s">
        <v>11</v>
      </c>
    </row>
    <row r="39" customFormat="false" ht="18" hidden="false" customHeight="false" outlineLevel="0" collapsed="false">
      <c r="A39" s="5" t="n">
        <v>44873</v>
      </c>
      <c r="B39" s="6" t="n">
        <v>0.259027777777778</v>
      </c>
      <c r="C39" s="7" t="n">
        <v>14464</v>
      </c>
      <c r="D39" s="7" t="s">
        <v>12</v>
      </c>
      <c r="E39" s="7" t="n">
        <v>19700</v>
      </c>
      <c r="F39" s="7" t="n">
        <v>13180</v>
      </c>
      <c r="G39" s="8" t="n">
        <v>6520</v>
      </c>
      <c r="H39" s="7" t="s">
        <v>10</v>
      </c>
      <c r="I39" s="7" t="s">
        <v>11</v>
      </c>
    </row>
    <row r="40" customFormat="false" ht="18" hidden="false" customHeight="false" outlineLevel="0" collapsed="false">
      <c r="A40" s="5" t="n">
        <v>44873</v>
      </c>
      <c r="B40" s="6" t="n">
        <v>0.207638888888889</v>
      </c>
      <c r="C40" s="7" t="n">
        <v>14460</v>
      </c>
      <c r="D40" s="7" t="s">
        <v>18</v>
      </c>
      <c r="E40" s="7" t="n">
        <v>3180</v>
      </c>
      <c r="F40" s="7" t="n">
        <v>2820</v>
      </c>
      <c r="G40" s="8" t="n">
        <v>360</v>
      </c>
      <c r="H40" s="7" t="s">
        <v>10</v>
      </c>
      <c r="I40" s="7" t="s">
        <v>11</v>
      </c>
    </row>
    <row r="41" customFormat="false" ht="18" hidden="false" customHeight="false" outlineLevel="0" collapsed="false">
      <c r="A41" s="5" t="n">
        <v>44873</v>
      </c>
      <c r="B41" s="6" t="n">
        <v>0.517361111111111</v>
      </c>
      <c r="C41" s="7" t="n">
        <v>14481</v>
      </c>
      <c r="D41" s="7" t="s">
        <v>14</v>
      </c>
      <c r="E41" s="7" t="n">
        <v>2600</v>
      </c>
      <c r="F41" s="7" t="n">
        <v>2380</v>
      </c>
      <c r="G41" s="8" t="n">
        <v>220</v>
      </c>
      <c r="H41" s="7" t="s">
        <v>10</v>
      </c>
      <c r="I41" s="7" t="s">
        <v>11</v>
      </c>
    </row>
    <row r="42" customFormat="false" ht="18" hidden="false" customHeight="false" outlineLevel="0" collapsed="false">
      <c r="A42" s="5" t="n">
        <v>44874</v>
      </c>
      <c r="B42" s="6" t="n">
        <v>0.250694444444444</v>
      </c>
      <c r="C42" s="7" t="n">
        <v>14505</v>
      </c>
      <c r="D42" s="7" t="s">
        <v>20</v>
      </c>
      <c r="E42" s="7" t="n">
        <v>24860</v>
      </c>
      <c r="F42" s="7" t="n">
        <v>15880</v>
      </c>
      <c r="G42" s="8" t="n">
        <v>8980</v>
      </c>
      <c r="H42" s="7" t="s">
        <v>10</v>
      </c>
      <c r="I42" s="7" t="s">
        <v>11</v>
      </c>
    </row>
    <row r="43" customFormat="false" ht="18" hidden="false" customHeight="false" outlineLevel="0" collapsed="false">
      <c r="A43" s="5" t="n">
        <v>44874</v>
      </c>
      <c r="B43" s="6" t="n">
        <v>0.335416666666667</v>
      </c>
      <c r="C43" s="7" t="n">
        <v>14511</v>
      </c>
      <c r="D43" s="7" t="s">
        <v>19</v>
      </c>
      <c r="E43" s="7" t="n">
        <v>3180</v>
      </c>
      <c r="F43" s="7" t="n">
        <v>2860</v>
      </c>
      <c r="G43" s="8" t="n">
        <v>320</v>
      </c>
      <c r="H43" s="7" t="s">
        <v>10</v>
      </c>
      <c r="I43" s="7" t="s">
        <v>17</v>
      </c>
    </row>
    <row r="44" customFormat="false" ht="18" hidden="false" customHeight="false" outlineLevel="0" collapsed="false">
      <c r="A44" s="5" t="n">
        <v>44874</v>
      </c>
      <c r="B44" s="6" t="n">
        <v>0.257638888888889</v>
      </c>
      <c r="C44" s="7" t="n">
        <v>14506</v>
      </c>
      <c r="D44" s="7" t="s">
        <v>13</v>
      </c>
      <c r="E44" s="7" t="n">
        <v>4420</v>
      </c>
      <c r="F44" s="7" t="n">
        <v>3780</v>
      </c>
      <c r="G44" s="8" t="n">
        <v>640</v>
      </c>
      <c r="H44" s="7" t="s">
        <v>10</v>
      </c>
      <c r="I44" s="7" t="s">
        <v>11</v>
      </c>
    </row>
    <row r="45" customFormat="false" ht="18" hidden="false" customHeight="false" outlineLevel="0" collapsed="false">
      <c r="A45" s="5" t="n">
        <v>44874</v>
      </c>
      <c r="B45" s="6" t="n">
        <v>0.145138888888889</v>
      </c>
      <c r="C45" s="7" t="n">
        <v>14497</v>
      </c>
      <c r="D45" s="7" t="s">
        <v>12</v>
      </c>
      <c r="E45" s="7" t="n">
        <v>19140</v>
      </c>
      <c r="F45" s="7" t="n">
        <v>13360</v>
      </c>
      <c r="G45" s="8" t="n">
        <v>5780</v>
      </c>
      <c r="H45" s="7" t="s">
        <v>10</v>
      </c>
      <c r="I45" s="7" t="s">
        <v>11</v>
      </c>
    </row>
    <row r="46" customFormat="false" ht="18" hidden="false" customHeight="false" outlineLevel="0" collapsed="false">
      <c r="A46" s="5" t="n">
        <v>44874</v>
      </c>
      <c r="B46" s="6" t="n">
        <v>0.472222222222222</v>
      </c>
      <c r="C46" s="7" t="n">
        <v>14528</v>
      </c>
      <c r="D46" s="7" t="s">
        <v>16</v>
      </c>
      <c r="E46" s="7" t="n">
        <v>6600</v>
      </c>
      <c r="F46" s="7" t="n">
        <v>5580</v>
      </c>
      <c r="G46" s="8" t="n">
        <v>1020</v>
      </c>
      <c r="H46" s="7" t="s">
        <v>10</v>
      </c>
      <c r="I46" s="7" t="s">
        <v>17</v>
      </c>
    </row>
    <row r="47" customFormat="false" ht="18" hidden="false" customHeight="false" outlineLevel="0" collapsed="false">
      <c r="A47" s="5" t="n">
        <v>44874</v>
      </c>
      <c r="B47" s="6" t="n">
        <v>0.338194444444444</v>
      </c>
      <c r="C47" s="7" t="n">
        <v>14512</v>
      </c>
      <c r="D47" s="7" t="s">
        <v>18</v>
      </c>
      <c r="E47" s="7" t="n">
        <v>3140</v>
      </c>
      <c r="F47" s="7" t="n">
        <v>2720</v>
      </c>
      <c r="G47" s="8" t="n">
        <v>420</v>
      </c>
      <c r="H47" s="7" t="s">
        <v>10</v>
      </c>
      <c r="I47" s="7" t="s">
        <v>17</v>
      </c>
    </row>
    <row r="48" customFormat="false" ht="18" hidden="false" customHeight="false" outlineLevel="0" collapsed="false">
      <c r="A48" s="5" t="n">
        <v>44875</v>
      </c>
      <c r="B48" s="6" t="n">
        <v>0.229166666666667</v>
      </c>
      <c r="C48" s="7" t="n">
        <v>14554</v>
      </c>
      <c r="D48" s="7" t="s">
        <v>20</v>
      </c>
      <c r="E48" s="7" t="n">
        <v>23420</v>
      </c>
      <c r="F48" s="7" t="n">
        <v>15880</v>
      </c>
      <c r="G48" s="8" t="n">
        <v>7540</v>
      </c>
      <c r="H48" s="7" t="s">
        <v>10</v>
      </c>
      <c r="I48" s="7" t="s">
        <v>11</v>
      </c>
    </row>
    <row r="49" customFormat="false" ht="18" hidden="false" customHeight="false" outlineLevel="0" collapsed="false">
      <c r="A49" s="5" t="n">
        <v>44875</v>
      </c>
      <c r="B49" s="6" t="n">
        <v>0.545833333333333</v>
      </c>
      <c r="C49" s="7" t="n">
        <v>14572</v>
      </c>
      <c r="D49" s="7" t="s">
        <v>18</v>
      </c>
      <c r="E49" s="7" t="n">
        <v>3460</v>
      </c>
      <c r="F49" s="7" t="n">
        <v>2780</v>
      </c>
      <c r="G49" s="8" t="n">
        <v>680</v>
      </c>
      <c r="H49" s="7" t="s">
        <v>10</v>
      </c>
      <c r="I49" s="7" t="s">
        <v>21</v>
      </c>
    </row>
    <row r="50" customFormat="false" ht="18" hidden="false" customHeight="false" outlineLevel="0" collapsed="false">
      <c r="A50" s="5" t="n">
        <v>44875</v>
      </c>
      <c r="B50" s="6" t="n">
        <v>0.484027777777778</v>
      </c>
      <c r="C50" s="7" t="n">
        <v>14569</v>
      </c>
      <c r="D50" s="7" t="s">
        <v>14</v>
      </c>
      <c r="E50" s="7" t="n">
        <v>2700</v>
      </c>
      <c r="F50" s="7" t="n">
        <v>2400</v>
      </c>
      <c r="G50" s="8" t="n">
        <v>300</v>
      </c>
      <c r="H50" s="7" t="s">
        <v>10</v>
      </c>
      <c r="I50" s="7" t="s">
        <v>11</v>
      </c>
    </row>
    <row r="51" customFormat="false" ht="18" hidden="false" customHeight="false" outlineLevel="0" collapsed="false">
      <c r="A51" s="5" t="n">
        <v>44875</v>
      </c>
      <c r="B51" s="6" t="n">
        <v>0.133333333333333</v>
      </c>
      <c r="C51" s="7" t="n">
        <v>14547</v>
      </c>
      <c r="D51" s="7" t="s">
        <v>12</v>
      </c>
      <c r="E51" s="7" t="n">
        <v>19200</v>
      </c>
      <c r="F51" s="7" t="n">
        <v>13300</v>
      </c>
      <c r="G51" s="8" t="n">
        <v>5900</v>
      </c>
      <c r="H51" s="7" t="s">
        <v>10</v>
      </c>
      <c r="I51" s="7" t="s">
        <v>11</v>
      </c>
    </row>
    <row r="52" customFormat="false" ht="18" hidden="false" customHeight="false" outlineLevel="0" collapsed="false">
      <c r="A52" s="5" t="n">
        <v>44875</v>
      </c>
      <c r="B52" s="6" t="n">
        <v>0.265972222222222</v>
      </c>
      <c r="C52" s="7" t="n">
        <v>14556</v>
      </c>
      <c r="D52" s="7" t="s">
        <v>13</v>
      </c>
      <c r="E52" s="7" t="n">
        <v>4080</v>
      </c>
      <c r="F52" s="7" t="n">
        <v>3780</v>
      </c>
      <c r="G52" s="8" t="n">
        <v>300</v>
      </c>
      <c r="H52" s="7" t="s">
        <v>10</v>
      </c>
      <c r="I52" s="7" t="s">
        <v>11</v>
      </c>
    </row>
    <row r="53" customFormat="false" ht="18" hidden="false" customHeight="false" outlineLevel="0" collapsed="false">
      <c r="A53" s="5" t="n">
        <v>44875</v>
      </c>
      <c r="B53" s="6" t="n">
        <v>0.509722222222222</v>
      </c>
      <c r="C53" s="7" t="n">
        <v>147181</v>
      </c>
      <c r="D53" s="7" t="s">
        <v>20</v>
      </c>
      <c r="E53" s="7" t="n">
        <v>18180</v>
      </c>
      <c r="F53" s="7" t="n">
        <v>15760</v>
      </c>
      <c r="G53" s="8" t="n">
        <v>2420</v>
      </c>
      <c r="H53" s="7" t="s">
        <v>10</v>
      </c>
      <c r="I53" s="7" t="s">
        <v>15</v>
      </c>
    </row>
    <row r="54" customFormat="false" ht="18" hidden="false" customHeight="false" outlineLevel="0" collapsed="false">
      <c r="A54" s="5" t="n">
        <v>44874</v>
      </c>
      <c r="B54" s="6" t="n">
        <v>0.508333333333333</v>
      </c>
      <c r="C54" s="7" t="n">
        <v>3665</v>
      </c>
      <c r="D54" s="7" t="s">
        <v>20</v>
      </c>
      <c r="E54" s="7" t="n">
        <v>17700</v>
      </c>
      <c r="F54" s="7" t="n">
        <v>15760</v>
      </c>
      <c r="G54" s="8" t="n">
        <v>1940</v>
      </c>
      <c r="H54" s="7" t="s">
        <v>10</v>
      </c>
      <c r="I54" s="7" t="s">
        <v>22</v>
      </c>
    </row>
    <row r="55" customFormat="false" ht="18" hidden="false" customHeight="false" outlineLevel="0" collapsed="false">
      <c r="A55" s="5" t="n">
        <v>44875</v>
      </c>
      <c r="B55" s="6" t="n">
        <v>0.600694444444444</v>
      </c>
      <c r="C55" s="7" t="n">
        <v>14574</v>
      </c>
      <c r="D55" s="7" t="s">
        <v>12</v>
      </c>
      <c r="E55" s="7" t="n">
        <v>13440</v>
      </c>
      <c r="F55" s="7" t="n">
        <v>13220</v>
      </c>
      <c r="G55" s="8" t="n">
        <v>220</v>
      </c>
      <c r="H55" s="7" t="s">
        <v>10</v>
      </c>
      <c r="I55" s="7" t="s">
        <v>11</v>
      </c>
    </row>
    <row r="56" customFormat="false" ht="18" hidden="false" customHeight="false" outlineLevel="0" collapsed="false">
      <c r="A56" s="5" t="n">
        <v>44876</v>
      </c>
      <c r="B56" s="6" t="n">
        <v>0.259722222222222</v>
      </c>
      <c r="C56" s="7" t="n">
        <v>14587</v>
      </c>
      <c r="D56" s="7" t="s">
        <v>13</v>
      </c>
      <c r="E56" s="7" t="n">
        <v>4640</v>
      </c>
      <c r="F56" s="7" t="n">
        <v>3760</v>
      </c>
      <c r="G56" s="8" t="n">
        <v>880</v>
      </c>
      <c r="H56" s="7" t="s">
        <v>10</v>
      </c>
      <c r="I56" s="7" t="s">
        <v>11</v>
      </c>
    </row>
    <row r="57" customFormat="false" ht="18" hidden="false" customHeight="false" outlineLevel="0" collapsed="false">
      <c r="A57" s="5" t="n">
        <v>44876</v>
      </c>
      <c r="B57" s="6" t="n">
        <v>0.232638888888889</v>
      </c>
      <c r="C57" s="7" t="n">
        <v>14586</v>
      </c>
      <c r="D57" s="7" t="s">
        <v>20</v>
      </c>
      <c r="E57" s="7" t="n">
        <v>24840</v>
      </c>
      <c r="F57" s="7" t="n">
        <v>15800</v>
      </c>
      <c r="G57" s="8" t="n">
        <v>9040</v>
      </c>
      <c r="H57" s="7" t="s">
        <v>10</v>
      </c>
      <c r="I57" s="7" t="s">
        <v>11</v>
      </c>
    </row>
    <row r="58" customFormat="false" ht="18" hidden="false" customHeight="false" outlineLevel="0" collapsed="false">
      <c r="A58" s="5" t="n">
        <v>44876</v>
      </c>
      <c r="B58" s="6" t="n">
        <v>0.538194444444444</v>
      </c>
      <c r="C58" s="7" t="n">
        <v>14601</v>
      </c>
      <c r="D58" s="7" t="s">
        <v>18</v>
      </c>
      <c r="E58" s="7" t="n">
        <v>3060</v>
      </c>
      <c r="F58" s="7" t="n">
        <v>2780</v>
      </c>
      <c r="G58" s="8" t="n">
        <v>280</v>
      </c>
      <c r="H58" s="7" t="s">
        <v>10</v>
      </c>
      <c r="I58" s="7" t="s">
        <v>21</v>
      </c>
    </row>
    <row r="59" customFormat="false" ht="18" hidden="false" customHeight="false" outlineLevel="0" collapsed="false">
      <c r="A59" s="5" t="n">
        <v>44876</v>
      </c>
      <c r="B59" s="6" t="n">
        <v>0.525</v>
      </c>
      <c r="C59" s="7" t="n">
        <v>14600</v>
      </c>
      <c r="D59" s="7" t="s">
        <v>16</v>
      </c>
      <c r="E59" s="7" t="n">
        <v>6520</v>
      </c>
      <c r="F59" s="7" t="n">
        <v>5560</v>
      </c>
      <c r="G59" s="8" t="n">
        <v>960</v>
      </c>
      <c r="H59" s="7" t="s">
        <v>10</v>
      </c>
      <c r="I59" s="7" t="s">
        <v>17</v>
      </c>
    </row>
    <row r="60" customFormat="false" ht="18" hidden="false" customHeight="false" outlineLevel="0" collapsed="false">
      <c r="A60" s="5" t="n">
        <v>44876</v>
      </c>
      <c r="B60" s="6" t="n">
        <v>0.352083333333333</v>
      </c>
      <c r="C60" s="7" t="n">
        <v>14592</v>
      </c>
      <c r="D60" s="7" t="s">
        <v>14</v>
      </c>
      <c r="E60" s="7" t="n">
        <v>2580</v>
      </c>
      <c r="F60" s="7" t="n">
        <v>2400</v>
      </c>
      <c r="G60" s="8" t="n">
        <v>180</v>
      </c>
      <c r="H60" s="7" t="s">
        <v>10</v>
      </c>
      <c r="I60" s="7" t="s">
        <v>11</v>
      </c>
    </row>
    <row r="61" customFormat="false" ht="18" hidden="false" customHeight="false" outlineLevel="0" collapsed="false">
      <c r="A61" s="5" t="n">
        <v>44876</v>
      </c>
      <c r="B61" s="6" t="n">
        <v>0.521527777777778</v>
      </c>
      <c r="C61" s="7" t="n">
        <v>14599</v>
      </c>
      <c r="D61" s="7" t="s">
        <v>14</v>
      </c>
      <c r="E61" s="7" t="n">
        <v>2580</v>
      </c>
      <c r="F61" s="7" t="n">
        <v>2400</v>
      </c>
      <c r="G61" s="8" t="n">
        <v>180</v>
      </c>
      <c r="H61" s="7" t="s">
        <v>10</v>
      </c>
      <c r="I61" s="7" t="s">
        <v>11</v>
      </c>
    </row>
    <row r="62" customFormat="false" ht="18" hidden="false" customHeight="false" outlineLevel="0" collapsed="false">
      <c r="A62" s="5" t="n">
        <v>44876</v>
      </c>
      <c r="B62" s="6" t="n">
        <v>0.345833333333333</v>
      </c>
      <c r="C62" s="7" t="n">
        <v>14591</v>
      </c>
      <c r="D62" s="6" t="s">
        <v>16</v>
      </c>
      <c r="E62" s="7" t="n">
        <v>6360</v>
      </c>
      <c r="F62" s="7" t="n">
        <v>5580</v>
      </c>
      <c r="G62" s="8" t="n">
        <v>780</v>
      </c>
      <c r="H62" s="7" t="s">
        <v>10</v>
      </c>
      <c r="I62" s="7" t="s">
        <v>17</v>
      </c>
    </row>
    <row r="63" customFormat="false" ht="18" hidden="false" customHeight="false" outlineLevel="0" collapsed="false">
      <c r="A63" s="5" t="n">
        <v>44877</v>
      </c>
      <c r="B63" s="6" t="n">
        <v>0.252083333333333</v>
      </c>
      <c r="C63" s="7" t="n">
        <v>14617</v>
      </c>
      <c r="D63" s="7" t="s">
        <v>20</v>
      </c>
      <c r="E63" s="7" t="n">
        <v>23800</v>
      </c>
      <c r="F63" s="7" t="n">
        <v>16020</v>
      </c>
      <c r="G63" s="8" t="n">
        <v>7780</v>
      </c>
      <c r="H63" s="7" t="s">
        <v>10</v>
      </c>
      <c r="I63" s="7" t="s">
        <v>11</v>
      </c>
    </row>
    <row r="64" customFormat="false" ht="18" hidden="false" customHeight="false" outlineLevel="0" collapsed="false">
      <c r="A64" s="5" t="n">
        <v>44877</v>
      </c>
      <c r="B64" s="6" t="n">
        <v>0.50625</v>
      </c>
      <c r="C64" s="7" t="n">
        <v>14626</v>
      </c>
      <c r="D64" s="7" t="s">
        <v>14</v>
      </c>
      <c r="E64" s="7" t="n">
        <v>2780</v>
      </c>
      <c r="F64" s="7" t="n">
        <v>2400</v>
      </c>
      <c r="G64" s="8" t="n">
        <v>380</v>
      </c>
      <c r="H64" s="7" t="s">
        <v>10</v>
      </c>
      <c r="I64" s="7" t="s">
        <v>11</v>
      </c>
    </row>
    <row r="65" customFormat="false" ht="18" hidden="false" customHeight="false" outlineLevel="0" collapsed="false">
      <c r="A65" s="5" t="n">
        <v>44877</v>
      </c>
      <c r="B65" s="6" t="n">
        <v>0.0576388888888889</v>
      </c>
      <c r="C65" s="7" t="n">
        <v>14606</v>
      </c>
      <c r="D65" s="7" t="s">
        <v>23</v>
      </c>
      <c r="E65" s="7" t="n">
        <v>21120</v>
      </c>
      <c r="F65" s="7" t="n">
        <v>12900</v>
      </c>
      <c r="G65" s="8" t="n">
        <v>8220</v>
      </c>
      <c r="H65" s="7" t="s">
        <v>10</v>
      </c>
      <c r="I65" s="7" t="s">
        <v>11</v>
      </c>
    </row>
    <row r="66" customFormat="false" ht="18" hidden="false" customHeight="false" outlineLevel="0" collapsed="false">
      <c r="A66" s="5" t="n">
        <v>44877</v>
      </c>
      <c r="B66" s="6" t="n">
        <v>0.227083333333333</v>
      </c>
      <c r="C66" s="7" t="n">
        <v>14615</v>
      </c>
      <c r="D66" s="7" t="s">
        <v>23</v>
      </c>
      <c r="E66" s="7" t="n">
        <v>15680</v>
      </c>
      <c r="F66" s="7" t="n">
        <v>12560</v>
      </c>
      <c r="G66" s="8" t="n">
        <v>3120</v>
      </c>
      <c r="H66" s="7" t="s">
        <v>10</v>
      </c>
      <c r="I66" s="7" t="s">
        <v>11</v>
      </c>
    </row>
    <row r="67" customFormat="false" ht="18" hidden="false" customHeight="false" outlineLevel="0" collapsed="false">
      <c r="A67" s="5" t="n">
        <v>44877</v>
      </c>
      <c r="B67" s="6" t="n">
        <v>0.226388888888889</v>
      </c>
      <c r="C67" s="7" t="n">
        <v>14613</v>
      </c>
      <c r="D67" s="7" t="s">
        <v>13</v>
      </c>
      <c r="E67" s="7" t="n">
        <v>4240</v>
      </c>
      <c r="F67" s="7" t="n">
        <v>3700</v>
      </c>
      <c r="G67" s="8" t="n">
        <v>540</v>
      </c>
      <c r="H67" s="7" t="s">
        <v>10</v>
      </c>
      <c r="I67" s="7" t="s">
        <v>11</v>
      </c>
    </row>
    <row r="68" customFormat="false" ht="18" hidden="false" customHeight="false" outlineLevel="0" collapsed="false">
      <c r="A68" s="5" t="n">
        <v>44878</v>
      </c>
      <c r="B68" s="6" t="n">
        <v>0.518055555555556</v>
      </c>
      <c r="C68" s="7" t="n">
        <v>14645</v>
      </c>
      <c r="D68" s="7" t="s">
        <v>14</v>
      </c>
      <c r="E68" s="7" t="n">
        <v>2680</v>
      </c>
      <c r="F68" s="7" t="n">
        <v>2380</v>
      </c>
      <c r="G68" s="8" t="n">
        <v>300</v>
      </c>
      <c r="H68" s="7" t="s">
        <v>10</v>
      </c>
      <c r="I68" s="7" t="s">
        <v>11</v>
      </c>
    </row>
    <row r="69" customFormat="false" ht="18" hidden="false" customHeight="false" outlineLevel="0" collapsed="false">
      <c r="A69" s="5" t="n">
        <v>44878</v>
      </c>
      <c r="B69" s="6" t="n">
        <v>0.233333333333333</v>
      </c>
      <c r="C69" s="7" t="n">
        <v>14641</v>
      </c>
      <c r="D69" s="7" t="s">
        <v>20</v>
      </c>
      <c r="E69" s="7" t="n">
        <v>17740</v>
      </c>
      <c r="F69" s="7" t="n">
        <v>16040</v>
      </c>
      <c r="G69" s="8" t="n">
        <v>1700</v>
      </c>
      <c r="H69" s="7" t="s">
        <v>10</v>
      </c>
      <c r="I69" s="7" t="s">
        <v>11</v>
      </c>
    </row>
    <row r="70" customFormat="false" ht="18" hidden="false" customHeight="false" outlineLevel="0" collapsed="false">
      <c r="A70" s="5" t="n">
        <v>44878</v>
      </c>
      <c r="B70" s="6" t="n">
        <v>0.124305555555556</v>
      </c>
      <c r="C70" s="7" t="n">
        <v>14635</v>
      </c>
      <c r="D70" s="7" t="s">
        <v>13</v>
      </c>
      <c r="E70" s="7" t="n">
        <v>4740</v>
      </c>
      <c r="F70" s="7" t="n">
        <v>3600</v>
      </c>
      <c r="G70" s="8" t="n">
        <v>1140</v>
      </c>
      <c r="H70" s="7" t="s">
        <v>10</v>
      </c>
      <c r="I70" s="7" t="s">
        <v>11</v>
      </c>
    </row>
    <row r="71" customFormat="false" ht="18" hidden="false" customHeight="false" outlineLevel="0" collapsed="false">
      <c r="A71" s="5" t="n">
        <v>44878</v>
      </c>
      <c r="B71" s="6" t="n">
        <v>0.16875</v>
      </c>
      <c r="C71" s="7" t="n">
        <v>14638</v>
      </c>
      <c r="D71" s="7" t="s">
        <v>13</v>
      </c>
      <c r="E71" s="7" t="n">
        <v>4280</v>
      </c>
      <c r="F71" s="7" t="n">
        <v>3780</v>
      </c>
      <c r="G71" s="8" t="n">
        <v>500</v>
      </c>
      <c r="H71" s="7" t="s">
        <v>10</v>
      </c>
      <c r="I71" s="7" t="s">
        <v>11</v>
      </c>
    </row>
    <row r="72" customFormat="false" ht="18" hidden="false" customHeight="false" outlineLevel="0" collapsed="false">
      <c r="A72" s="5" t="n">
        <v>44878</v>
      </c>
      <c r="B72" s="6" t="n">
        <v>0.518055555555556</v>
      </c>
      <c r="C72" s="7" t="n">
        <v>14646</v>
      </c>
      <c r="D72" s="7" t="s">
        <v>13</v>
      </c>
      <c r="E72" s="7" t="n">
        <v>5580</v>
      </c>
      <c r="F72" s="7" t="n">
        <v>3540</v>
      </c>
      <c r="G72" s="8" t="n">
        <v>2040</v>
      </c>
      <c r="H72" s="7" t="s">
        <v>10</v>
      </c>
      <c r="I72" s="7" t="s">
        <v>11</v>
      </c>
    </row>
    <row r="73" customFormat="false" ht="18" hidden="false" customHeight="false" outlineLevel="0" collapsed="false">
      <c r="A73" s="5" t="n">
        <v>44878</v>
      </c>
      <c r="B73" s="6" t="n">
        <v>0.168055555555556</v>
      </c>
      <c r="C73" s="7" t="n">
        <v>14639</v>
      </c>
      <c r="D73" s="7" t="s">
        <v>20</v>
      </c>
      <c r="E73" s="7" t="n">
        <v>23880</v>
      </c>
      <c r="F73" s="7" t="n">
        <v>16140</v>
      </c>
      <c r="G73" s="8" t="n">
        <v>7740</v>
      </c>
      <c r="H73" s="7" t="s">
        <v>10</v>
      </c>
      <c r="I73" s="7" t="s">
        <v>11</v>
      </c>
    </row>
    <row r="74" customFormat="false" ht="18" hidden="false" customHeight="false" outlineLevel="0" collapsed="false">
      <c r="A74" s="5" t="n">
        <v>44879</v>
      </c>
      <c r="B74" s="6" t="n">
        <v>0.256944444444444</v>
      </c>
      <c r="C74" s="7" t="n">
        <v>14665</v>
      </c>
      <c r="D74" s="7" t="s">
        <v>13</v>
      </c>
      <c r="E74" s="7" t="n">
        <v>4440</v>
      </c>
      <c r="F74" s="7" t="n">
        <v>3800</v>
      </c>
      <c r="G74" s="8" t="n">
        <v>640</v>
      </c>
      <c r="H74" s="7" t="s">
        <v>10</v>
      </c>
      <c r="I74" s="7" t="s">
        <v>11</v>
      </c>
    </row>
    <row r="75" customFormat="false" ht="18" hidden="false" customHeight="false" outlineLevel="0" collapsed="false">
      <c r="A75" s="5" t="n">
        <v>44879</v>
      </c>
      <c r="B75" s="6" t="n">
        <v>0.241666666666667</v>
      </c>
      <c r="C75" s="7" t="n">
        <v>14664</v>
      </c>
      <c r="D75" s="7" t="s">
        <v>20</v>
      </c>
      <c r="E75" s="7" t="n">
        <v>25340</v>
      </c>
      <c r="F75" s="7" t="n">
        <v>16100</v>
      </c>
      <c r="G75" s="8" t="n">
        <v>9240</v>
      </c>
      <c r="H75" s="7" t="s">
        <v>10</v>
      </c>
      <c r="I75" s="7" t="s">
        <v>11</v>
      </c>
    </row>
    <row r="76" customFormat="false" ht="18" hidden="false" customHeight="false" outlineLevel="0" collapsed="false">
      <c r="A76" s="5" t="n">
        <v>44879</v>
      </c>
      <c r="B76" s="6" t="n">
        <v>0.0916666666666667</v>
      </c>
      <c r="C76" s="7" t="n">
        <v>14652</v>
      </c>
      <c r="D76" s="7" t="s">
        <v>12</v>
      </c>
      <c r="E76" s="7" t="n">
        <v>23040</v>
      </c>
      <c r="F76" s="7" t="n">
        <v>13480</v>
      </c>
      <c r="G76" s="8" t="n">
        <v>9560</v>
      </c>
      <c r="H76" s="7" t="s">
        <v>10</v>
      </c>
      <c r="I76" s="7" t="s">
        <v>11</v>
      </c>
    </row>
    <row r="77" customFormat="false" ht="18" hidden="false" customHeight="false" outlineLevel="0" collapsed="false">
      <c r="A77" s="5" t="n">
        <v>44879</v>
      </c>
      <c r="B77" s="6" t="n">
        <v>0.538194444444444</v>
      </c>
      <c r="C77" s="7" t="n">
        <v>14684</v>
      </c>
      <c r="D77" s="7" t="s">
        <v>18</v>
      </c>
      <c r="E77" s="7" t="n">
        <v>3060</v>
      </c>
      <c r="F77" s="7" t="n">
        <v>2780</v>
      </c>
      <c r="G77" s="8" t="n">
        <v>280</v>
      </c>
      <c r="H77" s="7" t="s">
        <v>10</v>
      </c>
      <c r="I77" s="7" t="s">
        <v>21</v>
      </c>
    </row>
    <row r="78" customFormat="false" ht="18" hidden="false" customHeight="false" outlineLevel="0" collapsed="false">
      <c r="A78" s="5" t="n">
        <v>44879</v>
      </c>
      <c r="B78" s="6" t="n">
        <v>0.497222222222222</v>
      </c>
      <c r="C78" s="7" t="n">
        <v>14679</v>
      </c>
      <c r="D78" s="7" t="s">
        <v>14</v>
      </c>
      <c r="E78" s="7" t="n">
        <v>2620</v>
      </c>
      <c r="F78" s="7" t="n">
        <v>2400</v>
      </c>
      <c r="G78" s="8" t="n">
        <v>220</v>
      </c>
      <c r="H78" s="7" t="s">
        <v>10</v>
      </c>
      <c r="I78" s="7" t="s">
        <v>11</v>
      </c>
    </row>
    <row r="79" customFormat="false" ht="18" hidden="false" customHeight="false" outlineLevel="0" collapsed="false">
      <c r="A79" s="5" t="n">
        <v>44880</v>
      </c>
      <c r="B79" s="6" t="n">
        <v>0.250694444444444</v>
      </c>
      <c r="C79" s="7" t="n">
        <v>14703</v>
      </c>
      <c r="D79" s="7" t="s">
        <v>20</v>
      </c>
      <c r="E79" s="7" t="n">
        <v>25240</v>
      </c>
      <c r="F79" s="7" t="n">
        <v>16040</v>
      </c>
      <c r="G79" s="8" t="n">
        <v>9200</v>
      </c>
      <c r="H79" s="7" t="s">
        <v>10</v>
      </c>
      <c r="I79" s="7" t="s">
        <v>11</v>
      </c>
    </row>
    <row r="80" customFormat="false" ht="18" hidden="false" customHeight="false" outlineLevel="0" collapsed="false">
      <c r="A80" s="5" t="n">
        <v>44880</v>
      </c>
      <c r="B80" s="6" t="n">
        <v>0.251388888888889</v>
      </c>
      <c r="C80" s="7" t="n">
        <v>14704</v>
      </c>
      <c r="D80" s="7" t="s">
        <v>13</v>
      </c>
      <c r="E80" s="7" t="n">
        <v>4120</v>
      </c>
      <c r="F80" s="7" t="n">
        <v>3820</v>
      </c>
      <c r="G80" s="8" t="n">
        <v>300</v>
      </c>
      <c r="H80" s="7" t="s">
        <v>10</v>
      </c>
      <c r="I80" s="7" t="s">
        <v>11</v>
      </c>
    </row>
    <row r="81" customFormat="false" ht="18" hidden="false" customHeight="false" outlineLevel="0" collapsed="false">
      <c r="A81" s="5" t="n">
        <v>44880</v>
      </c>
      <c r="B81" s="6" t="n">
        <v>0.469444444444444</v>
      </c>
      <c r="C81" s="7" t="n">
        <v>14712</v>
      </c>
      <c r="D81" s="7" t="s">
        <v>12</v>
      </c>
      <c r="E81" s="7" t="n">
        <v>19860</v>
      </c>
      <c r="F81" s="7" t="n">
        <v>13200</v>
      </c>
      <c r="G81" s="8" t="n">
        <v>6660</v>
      </c>
      <c r="H81" s="7" t="s">
        <v>10</v>
      </c>
      <c r="I81" s="7" t="s">
        <v>11</v>
      </c>
    </row>
    <row r="82" customFormat="false" ht="18" hidden="false" customHeight="false" outlineLevel="0" collapsed="false">
      <c r="A82" s="5" t="n">
        <v>44880</v>
      </c>
      <c r="B82" s="6" t="n">
        <v>0.504861111111111</v>
      </c>
      <c r="C82" s="7" t="n">
        <v>14716</v>
      </c>
      <c r="D82" s="7" t="s">
        <v>14</v>
      </c>
      <c r="E82" s="7" t="n">
        <v>2540</v>
      </c>
      <c r="F82" s="7" t="n">
        <v>2400</v>
      </c>
      <c r="G82" s="8" t="n">
        <v>140</v>
      </c>
      <c r="H82" s="7" t="s">
        <v>10</v>
      </c>
      <c r="I82" s="7" t="s">
        <v>11</v>
      </c>
    </row>
    <row r="83" customFormat="false" ht="18" hidden="false" customHeight="false" outlineLevel="0" collapsed="false">
      <c r="A83" s="5" t="n">
        <v>44881</v>
      </c>
      <c r="B83" s="6" t="n">
        <v>0.205555555555556</v>
      </c>
      <c r="C83" s="7" t="n">
        <v>14737</v>
      </c>
      <c r="D83" s="7" t="s">
        <v>12</v>
      </c>
      <c r="E83" s="7" t="n">
        <v>18320</v>
      </c>
      <c r="F83" s="7" t="n">
        <v>13120</v>
      </c>
      <c r="G83" s="8" t="n">
        <v>5200</v>
      </c>
      <c r="H83" s="7" t="s">
        <v>10</v>
      </c>
      <c r="I83" s="7" t="s">
        <v>11</v>
      </c>
    </row>
    <row r="84" customFormat="false" ht="18" hidden="false" customHeight="false" outlineLevel="0" collapsed="false">
      <c r="A84" s="5" t="n">
        <v>44881</v>
      </c>
      <c r="B84" s="6" t="n">
        <v>0.243055555555556</v>
      </c>
      <c r="C84" s="7" t="n">
        <v>14740</v>
      </c>
      <c r="D84" s="7" t="s">
        <v>13</v>
      </c>
      <c r="E84" s="7" t="n">
        <v>4180</v>
      </c>
      <c r="F84" s="7" t="n">
        <v>3680</v>
      </c>
      <c r="G84" s="8" t="n">
        <v>500</v>
      </c>
      <c r="H84" s="7" t="s">
        <v>10</v>
      </c>
      <c r="I84" s="7" t="s">
        <v>11</v>
      </c>
    </row>
    <row r="85" customFormat="false" ht="18" hidden="false" customHeight="false" outlineLevel="0" collapsed="false">
      <c r="A85" s="5" t="n">
        <v>44881</v>
      </c>
      <c r="B85" s="6" t="n">
        <v>0.251388888888889</v>
      </c>
      <c r="C85" s="7" t="n">
        <v>14741</v>
      </c>
      <c r="D85" s="7" t="s">
        <v>20</v>
      </c>
      <c r="E85" s="7" t="n">
        <v>24720</v>
      </c>
      <c r="F85" s="7" t="n">
        <v>15760</v>
      </c>
      <c r="G85" s="8" t="n">
        <v>8960</v>
      </c>
      <c r="H85" s="7" t="s">
        <v>10</v>
      </c>
      <c r="I85" s="7" t="s">
        <v>11</v>
      </c>
    </row>
    <row r="86" customFormat="false" ht="18" hidden="false" customHeight="false" outlineLevel="0" collapsed="false">
      <c r="A86" s="5" t="n">
        <v>44881</v>
      </c>
      <c r="B86" s="6" t="n">
        <v>0.374305555555555</v>
      </c>
      <c r="C86" s="7" t="n">
        <v>14753</v>
      </c>
      <c r="D86" s="7" t="s">
        <v>16</v>
      </c>
      <c r="E86" s="7" t="n">
        <v>6840</v>
      </c>
      <c r="F86" s="7" t="n">
        <v>5620</v>
      </c>
      <c r="G86" s="8" t="n">
        <v>1220</v>
      </c>
      <c r="H86" s="7" t="s">
        <v>10</v>
      </c>
      <c r="I86" s="7" t="s">
        <v>17</v>
      </c>
    </row>
    <row r="87" customFormat="false" ht="18" hidden="false" customHeight="false" outlineLevel="0" collapsed="false">
      <c r="A87" s="5" t="n">
        <v>44881</v>
      </c>
      <c r="B87" s="6" t="n">
        <v>0.519444444444444</v>
      </c>
      <c r="C87" s="7" t="n">
        <v>14771</v>
      </c>
      <c r="D87" s="7" t="s">
        <v>14</v>
      </c>
      <c r="E87" s="7" t="n">
        <v>2560</v>
      </c>
      <c r="F87" s="7" t="n">
        <v>2380</v>
      </c>
      <c r="G87" s="8" t="n">
        <v>180</v>
      </c>
      <c r="H87" s="7" t="s">
        <v>10</v>
      </c>
      <c r="I87" s="7" t="s">
        <v>11</v>
      </c>
    </row>
    <row r="88" customFormat="false" ht="18" hidden="false" customHeight="false" outlineLevel="0" collapsed="false">
      <c r="A88" s="5" t="n">
        <v>44881</v>
      </c>
      <c r="B88" s="6" t="n">
        <v>0.514583333333333</v>
      </c>
      <c r="C88" s="7" t="n">
        <v>14772</v>
      </c>
      <c r="D88" s="7" t="s">
        <v>16</v>
      </c>
      <c r="E88" s="7" t="n">
        <v>6520</v>
      </c>
      <c r="F88" s="7" t="n">
        <v>5600</v>
      </c>
      <c r="G88" s="8" t="n">
        <v>920</v>
      </c>
      <c r="H88" s="7" t="s">
        <v>10</v>
      </c>
      <c r="I88" s="7" t="s">
        <v>17</v>
      </c>
    </row>
    <row r="89" customFormat="false" ht="18" hidden="false" customHeight="false" outlineLevel="0" collapsed="false">
      <c r="A89" s="5" t="n">
        <v>44881</v>
      </c>
      <c r="B89" s="6" t="n">
        <v>0.540972222222222</v>
      </c>
      <c r="C89" s="7" t="n">
        <v>3695</v>
      </c>
      <c r="D89" s="7" t="s">
        <v>20</v>
      </c>
      <c r="E89" s="7" t="n">
        <v>17260</v>
      </c>
      <c r="F89" s="7" t="n">
        <v>15760</v>
      </c>
      <c r="G89" s="8" t="n">
        <v>1500</v>
      </c>
      <c r="H89" s="7" t="s">
        <v>10</v>
      </c>
      <c r="I89" s="7" t="s">
        <v>22</v>
      </c>
    </row>
    <row r="90" customFormat="false" ht="18" hidden="false" customHeight="false" outlineLevel="0" collapsed="false">
      <c r="A90" s="5" t="n">
        <v>44882</v>
      </c>
      <c r="B90" s="6" t="n">
        <v>0.169444444444444</v>
      </c>
      <c r="C90" s="7" t="n">
        <v>14789</v>
      </c>
      <c r="D90" s="7" t="s">
        <v>24</v>
      </c>
      <c r="E90" s="7" t="n">
        <v>20140</v>
      </c>
      <c r="F90" s="7" t="n">
        <v>13240</v>
      </c>
      <c r="G90" s="8" t="n">
        <v>6900</v>
      </c>
      <c r="H90" s="7" t="s">
        <v>10</v>
      </c>
      <c r="I90" s="7" t="s">
        <v>11</v>
      </c>
    </row>
    <row r="91" customFormat="false" ht="18" hidden="false" customHeight="false" outlineLevel="0" collapsed="false">
      <c r="A91" s="5" t="n">
        <v>44882</v>
      </c>
      <c r="B91" s="6" t="n">
        <v>0.238194444444444</v>
      </c>
      <c r="C91" s="7" t="n">
        <v>14794</v>
      </c>
      <c r="D91" s="7" t="s">
        <v>20</v>
      </c>
      <c r="E91" s="7" t="n">
        <v>25520</v>
      </c>
      <c r="F91" s="7" t="n">
        <v>15820</v>
      </c>
      <c r="G91" s="8" t="n">
        <v>9700</v>
      </c>
      <c r="H91" s="7" t="s">
        <v>10</v>
      </c>
      <c r="I91" s="7" t="s">
        <v>11</v>
      </c>
    </row>
    <row r="92" customFormat="false" ht="18" hidden="false" customHeight="false" outlineLevel="0" collapsed="false">
      <c r="A92" s="5" t="n">
        <v>44882</v>
      </c>
      <c r="B92" s="6" t="n">
        <v>0.259027777777778</v>
      </c>
      <c r="C92" s="7" t="n">
        <v>14795</v>
      </c>
      <c r="D92" s="7" t="s">
        <v>13</v>
      </c>
      <c r="E92" s="7" t="n">
        <v>4180</v>
      </c>
      <c r="F92" s="7" t="n">
        <v>3780</v>
      </c>
      <c r="G92" s="8" t="n">
        <v>400</v>
      </c>
      <c r="H92" s="7" t="s">
        <v>10</v>
      </c>
      <c r="I92" s="7" t="s">
        <v>11</v>
      </c>
    </row>
    <row r="93" customFormat="false" ht="18" hidden="false" customHeight="false" outlineLevel="0" collapsed="false">
      <c r="A93" s="5" t="n">
        <v>44882</v>
      </c>
      <c r="B93" s="6" t="n">
        <v>0.527777777777778</v>
      </c>
      <c r="C93" s="7" t="n">
        <v>147616</v>
      </c>
      <c r="D93" s="7" t="s">
        <v>20</v>
      </c>
      <c r="E93" s="7" t="n">
        <v>18040</v>
      </c>
      <c r="F93" s="7" t="n">
        <v>15680</v>
      </c>
      <c r="G93" s="8" t="n">
        <v>2360</v>
      </c>
      <c r="H93" s="7" t="s">
        <v>10</v>
      </c>
      <c r="I93" s="7" t="s">
        <v>15</v>
      </c>
    </row>
    <row r="94" customFormat="false" ht="18" hidden="false" customHeight="false" outlineLevel="0" collapsed="false">
      <c r="A94" s="5" t="n">
        <v>44881</v>
      </c>
      <c r="B94" s="6" t="n">
        <v>0.573611111111111</v>
      </c>
      <c r="C94" s="7" t="n">
        <v>14778</v>
      </c>
      <c r="D94" s="7" t="s">
        <v>12</v>
      </c>
      <c r="E94" s="7" t="n">
        <v>13460</v>
      </c>
      <c r="F94" s="7" t="n">
        <v>13220</v>
      </c>
      <c r="G94" s="8" t="n">
        <v>240</v>
      </c>
      <c r="H94" s="7" t="s">
        <v>10</v>
      </c>
      <c r="I94" s="7" t="s">
        <v>11</v>
      </c>
    </row>
    <row r="95" customFormat="false" ht="18" hidden="false" customHeight="false" outlineLevel="0" collapsed="false">
      <c r="A95" s="5" t="n">
        <v>44882</v>
      </c>
      <c r="B95" s="6" t="n">
        <v>0.364583333333333</v>
      </c>
      <c r="C95" s="7" t="n">
        <v>14804</v>
      </c>
      <c r="D95" s="7" t="s">
        <v>16</v>
      </c>
      <c r="E95" s="7" t="n">
        <v>6800</v>
      </c>
      <c r="F95" s="7" t="n">
        <v>5680</v>
      </c>
      <c r="G95" s="8" t="n">
        <v>1120</v>
      </c>
      <c r="H95" s="7" t="s">
        <v>10</v>
      </c>
      <c r="I95" s="7" t="s">
        <v>17</v>
      </c>
    </row>
    <row r="96" customFormat="false" ht="18" hidden="false" customHeight="false" outlineLevel="0" collapsed="false">
      <c r="A96" s="5" t="n">
        <v>44882</v>
      </c>
      <c r="B96" s="6" t="n">
        <v>0.443055555555556</v>
      </c>
      <c r="C96" s="7" t="n">
        <v>14809</v>
      </c>
      <c r="D96" s="7" t="s">
        <v>18</v>
      </c>
      <c r="E96" s="7" t="n">
        <v>3460</v>
      </c>
      <c r="F96" s="7" t="n">
        <v>2700</v>
      </c>
      <c r="G96" s="8" t="n">
        <v>760</v>
      </c>
      <c r="H96" s="7" t="s">
        <v>10</v>
      </c>
      <c r="I96" s="7" t="s">
        <v>21</v>
      </c>
    </row>
    <row r="97" customFormat="false" ht="18" hidden="false" customHeight="false" outlineLevel="0" collapsed="false">
      <c r="A97" s="5" t="n">
        <v>44882</v>
      </c>
      <c r="B97" s="6" t="n">
        <v>0.485416666666667</v>
      </c>
      <c r="C97" s="7" t="n">
        <v>14816</v>
      </c>
      <c r="D97" s="7" t="s">
        <v>16</v>
      </c>
      <c r="E97" s="7" t="n">
        <v>7140</v>
      </c>
      <c r="F97" s="7" t="n">
        <v>5700</v>
      </c>
      <c r="G97" s="8" t="n">
        <v>1440</v>
      </c>
      <c r="H97" s="7" t="s">
        <v>10</v>
      </c>
      <c r="I97" s="5" t="s">
        <v>17</v>
      </c>
    </row>
    <row r="98" customFormat="false" ht="18" hidden="false" customHeight="false" outlineLevel="0" collapsed="false">
      <c r="A98" s="5" t="n">
        <v>44882</v>
      </c>
      <c r="B98" s="6" t="n">
        <v>0.520138888888889</v>
      </c>
      <c r="C98" s="7" t="n">
        <v>14820</v>
      </c>
      <c r="D98" s="7" t="s">
        <v>14</v>
      </c>
      <c r="E98" s="7" t="n">
        <v>2640</v>
      </c>
      <c r="F98" s="7" t="n">
        <v>2400</v>
      </c>
      <c r="G98" s="8" t="n">
        <v>240</v>
      </c>
      <c r="H98" s="7" t="s">
        <v>10</v>
      </c>
      <c r="I98" s="7" t="s">
        <v>11</v>
      </c>
    </row>
    <row r="99" customFormat="false" ht="18" hidden="false" customHeight="false" outlineLevel="0" collapsed="false">
      <c r="A99" s="5" t="n">
        <v>44882</v>
      </c>
      <c r="B99" s="6" t="n">
        <v>0.540972222222222</v>
      </c>
      <c r="C99" s="7" t="n">
        <v>14823</v>
      </c>
      <c r="D99" s="7" t="s">
        <v>19</v>
      </c>
      <c r="E99" s="7" t="n">
        <v>3800</v>
      </c>
      <c r="F99" s="7" t="n">
        <v>2860</v>
      </c>
      <c r="G99" s="8" t="n">
        <v>940</v>
      </c>
      <c r="H99" s="7" t="s">
        <v>10</v>
      </c>
      <c r="I99" s="7" t="s">
        <v>21</v>
      </c>
    </row>
    <row r="100" customFormat="false" ht="18" hidden="false" customHeight="false" outlineLevel="0" collapsed="false">
      <c r="A100" s="5" t="n">
        <v>44882</v>
      </c>
      <c r="B100" s="6" t="n">
        <v>0.542361111111111</v>
      </c>
      <c r="C100" s="7" t="n">
        <v>14824</v>
      </c>
      <c r="D100" s="7" t="s">
        <v>18</v>
      </c>
      <c r="E100" s="7" t="n">
        <v>3400</v>
      </c>
      <c r="F100" s="7" t="n">
        <v>2780</v>
      </c>
      <c r="G100" s="8" t="n">
        <v>620</v>
      </c>
      <c r="H100" s="7" t="s">
        <v>10</v>
      </c>
      <c r="I100" s="7" t="s">
        <v>21</v>
      </c>
    </row>
    <row r="101" customFormat="false" ht="18" hidden="false" customHeight="false" outlineLevel="0" collapsed="false">
      <c r="A101" s="5" t="n">
        <v>44883</v>
      </c>
      <c r="B101" s="6" t="n">
        <v>0.20625</v>
      </c>
      <c r="C101" s="7" t="n">
        <v>14844</v>
      </c>
      <c r="D101" s="7" t="s">
        <v>24</v>
      </c>
      <c r="E101" s="7" t="n">
        <v>18820</v>
      </c>
      <c r="F101" s="7" t="n">
        <v>13140</v>
      </c>
      <c r="G101" s="8" t="n">
        <v>5680</v>
      </c>
      <c r="H101" s="7" t="s">
        <v>10</v>
      </c>
      <c r="I101" s="7" t="s">
        <v>11</v>
      </c>
    </row>
    <row r="102" customFormat="false" ht="18" hidden="false" customHeight="false" outlineLevel="0" collapsed="false">
      <c r="A102" s="5" t="n">
        <v>44883</v>
      </c>
      <c r="B102" s="6" t="n">
        <v>0.252777777777778</v>
      </c>
      <c r="C102" s="7" t="n">
        <v>14847</v>
      </c>
      <c r="D102" s="7" t="s">
        <v>13</v>
      </c>
      <c r="E102" s="7" t="n">
        <v>4300</v>
      </c>
      <c r="F102" s="7" t="n">
        <v>3680</v>
      </c>
      <c r="G102" s="8" t="n">
        <v>620</v>
      </c>
      <c r="H102" s="7" t="s">
        <v>10</v>
      </c>
      <c r="I102" s="7" t="s">
        <v>11</v>
      </c>
    </row>
    <row r="103" customFormat="false" ht="18" hidden="false" customHeight="false" outlineLevel="0" collapsed="false">
      <c r="A103" s="5" t="n">
        <v>44883</v>
      </c>
      <c r="B103" s="6" t="n">
        <v>0.25625</v>
      </c>
      <c r="C103" s="7" t="n">
        <v>14848</v>
      </c>
      <c r="D103" s="7" t="s">
        <v>20</v>
      </c>
      <c r="E103" s="7" t="n">
        <v>23920</v>
      </c>
      <c r="F103" s="7" t="n">
        <v>15760</v>
      </c>
      <c r="G103" s="8" t="n">
        <v>8160</v>
      </c>
      <c r="H103" s="7" t="s">
        <v>10</v>
      </c>
      <c r="I103" s="7" t="s">
        <v>11</v>
      </c>
    </row>
    <row r="104" customFormat="false" ht="18" hidden="false" customHeight="false" outlineLevel="0" collapsed="false">
      <c r="A104" s="5" t="n">
        <v>44883</v>
      </c>
      <c r="B104" s="6" t="n">
        <v>0.43125</v>
      </c>
      <c r="C104" s="7" t="n">
        <v>14863</v>
      </c>
      <c r="D104" s="7" t="s">
        <v>14</v>
      </c>
      <c r="E104" s="7" t="n">
        <v>2640</v>
      </c>
      <c r="F104" s="7" t="n">
        <v>2300</v>
      </c>
      <c r="G104" s="8" t="n">
        <v>340</v>
      </c>
      <c r="H104" s="7" t="s">
        <v>10</v>
      </c>
      <c r="I104" s="7" t="s">
        <v>11</v>
      </c>
    </row>
    <row r="105" customFormat="false" ht="18" hidden="false" customHeight="false" outlineLevel="0" collapsed="false">
      <c r="A105" s="5" t="n">
        <v>44883</v>
      </c>
      <c r="B105" s="6" t="n">
        <v>0.434027777777778</v>
      </c>
      <c r="C105" s="7" t="n">
        <v>14866</v>
      </c>
      <c r="D105" s="7" t="s">
        <v>18</v>
      </c>
      <c r="E105" s="7" t="n">
        <v>3200</v>
      </c>
      <c r="F105" s="7" t="n">
        <v>2700</v>
      </c>
      <c r="G105" s="8" t="n">
        <v>500</v>
      </c>
      <c r="H105" s="7" t="s">
        <v>10</v>
      </c>
      <c r="I105" s="7" t="s">
        <v>21</v>
      </c>
    </row>
    <row r="106" customFormat="false" ht="18" hidden="false" customHeight="false" outlineLevel="0" collapsed="false">
      <c r="A106" s="5" t="n">
        <v>44883</v>
      </c>
      <c r="B106" s="6" t="n">
        <v>0.539583333333333</v>
      </c>
      <c r="C106" s="7" t="n">
        <v>14875</v>
      </c>
      <c r="D106" s="7" t="s">
        <v>18</v>
      </c>
      <c r="E106" s="7" t="n">
        <v>3020</v>
      </c>
      <c r="F106" s="7" t="n">
        <v>2700</v>
      </c>
      <c r="G106" s="8" t="n">
        <v>320</v>
      </c>
      <c r="H106" s="7" t="s">
        <v>10</v>
      </c>
      <c r="I106" s="7" t="s">
        <v>21</v>
      </c>
    </row>
    <row r="107" customFormat="false" ht="18" hidden="false" customHeight="false" outlineLevel="0" collapsed="false">
      <c r="A107" s="5" t="n">
        <v>44883</v>
      </c>
      <c r="B107" s="6" t="n">
        <v>0.539583333333333</v>
      </c>
      <c r="C107" s="7" t="n">
        <v>14877</v>
      </c>
      <c r="D107" s="7" t="s">
        <v>19</v>
      </c>
      <c r="E107" s="7" t="n">
        <v>3680</v>
      </c>
      <c r="F107" s="7" t="n">
        <v>2940</v>
      </c>
      <c r="G107" s="8" t="n">
        <v>740</v>
      </c>
      <c r="H107" s="7" t="s">
        <v>10</v>
      </c>
      <c r="I107" s="7" t="s">
        <v>11</v>
      </c>
    </row>
    <row r="108" customFormat="false" ht="18" hidden="false" customHeight="false" outlineLevel="0" collapsed="false">
      <c r="A108" s="5" t="n">
        <v>44884</v>
      </c>
      <c r="B108" s="6" t="n">
        <v>0.205555555555556</v>
      </c>
      <c r="C108" s="7" t="n">
        <v>14889</v>
      </c>
      <c r="D108" s="7" t="s">
        <v>24</v>
      </c>
      <c r="E108" s="7" t="n">
        <v>18960</v>
      </c>
      <c r="F108" s="7" t="n">
        <v>13160</v>
      </c>
      <c r="G108" s="8" t="n">
        <v>5800</v>
      </c>
      <c r="H108" s="7" t="s">
        <v>10</v>
      </c>
      <c r="I108" s="7" t="s">
        <v>11</v>
      </c>
    </row>
    <row r="109" customFormat="false" ht="18" hidden="false" customHeight="false" outlineLevel="0" collapsed="false">
      <c r="A109" s="5" t="n">
        <v>44884</v>
      </c>
      <c r="B109" s="6" t="n">
        <v>0.240972222222222</v>
      </c>
      <c r="C109" s="7" t="n">
        <v>14892</v>
      </c>
      <c r="D109" s="7" t="s">
        <v>13</v>
      </c>
      <c r="E109" s="7" t="n">
        <v>4400</v>
      </c>
      <c r="F109" s="7" t="n">
        <v>3760</v>
      </c>
      <c r="G109" s="8" t="n">
        <v>640</v>
      </c>
      <c r="H109" s="7" t="s">
        <v>10</v>
      </c>
      <c r="I109" s="7" t="s">
        <v>11</v>
      </c>
    </row>
    <row r="110" customFormat="false" ht="18" hidden="false" customHeight="false" outlineLevel="0" collapsed="false">
      <c r="A110" s="5" t="n">
        <v>44884</v>
      </c>
      <c r="B110" s="6" t="n">
        <v>0.247222222222222</v>
      </c>
      <c r="C110" s="7" t="n">
        <v>14894</v>
      </c>
      <c r="D110" s="7" t="s">
        <v>20</v>
      </c>
      <c r="E110" s="7" t="n">
        <v>25180</v>
      </c>
      <c r="F110" s="7" t="n">
        <v>15800</v>
      </c>
      <c r="G110" s="8" t="n">
        <v>9380</v>
      </c>
      <c r="H110" s="7" t="s">
        <v>10</v>
      </c>
      <c r="I110" s="7" t="s">
        <v>11</v>
      </c>
    </row>
    <row r="111" customFormat="false" ht="18" hidden="false" customHeight="false" outlineLevel="0" collapsed="false">
      <c r="A111" s="5" t="n">
        <v>44884</v>
      </c>
      <c r="B111" s="6" t="n">
        <v>0.354166666666667</v>
      </c>
      <c r="C111" s="7" t="n">
        <v>14899</v>
      </c>
      <c r="D111" s="7" t="s">
        <v>14</v>
      </c>
      <c r="E111" s="7" t="n">
        <v>2620</v>
      </c>
      <c r="F111" s="7" t="n">
        <v>2400</v>
      </c>
      <c r="G111" s="8" t="n">
        <v>220</v>
      </c>
      <c r="H111" s="7" t="s">
        <v>10</v>
      </c>
      <c r="I111" s="7" t="s">
        <v>11</v>
      </c>
    </row>
    <row r="112" customFormat="false" ht="18" hidden="false" customHeight="false" outlineLevel="0" collapsed="false">
      <c r="A112" s="5" t="n">
        <v>44884</v>
      </c>
      <c r="B112" s="6" t="n">
        <v>0.484027777777778</v>
      </c>
      <c r="C112" s="7" t="n">
        <v>14903</v>
      </c>
      <c r="D112" s="7" t="s">
        <v>16</v>
      </c>
      <c r="E112" s="7" t="n">
        <v>6620</v>
      </c>
      <c r="F112" s="7" t="n">
        <v>5580</v>
      </c>
      <c r="G112" s="8" t="n">
        <v>1040</v>
      </c>
      <c r="H112" s="7" t="s">
        <v>10</v>
      </c>
      <c r="I112" s="7" t="s">
        <v>17</v>
      </c>
    </row>
    <row r="113" customFormat="false" ht="18" hidden="false" customHeight="false" outlineLevel="0" collapsed="false">
      <c r="A113" s="5" t="n">
        <v>44884</v>
      </c>
      <c r="B113" s="6" t="n">
        <v>0.5125</v>
      </c>
      <c r="C113" s="7" t="n">
        <v>14904</v>
      </c>
      <c r="D113" s="7" t="s">
        <v>14</v>
      </c>
      <c r="E113" s="7" t="n">
        <v>2600</v>
      </c>
      <c r="F113" s="7" t="n">
        <v>2400</v>
      </c>
      <c r="G113" s="8" t="n">
        <v>200</v>
      </c>
      <c r="H113" s="7" t="s">
        <v>10</v>
      </c>
      <c r="I113" s="7" t="s">
        <v>11</v>
      </c>
    </row>
    <row r="114" customFormat="false" ht="18" hidden="false" customHeight="false" outlineLevel="0" collapsed="false">
      <c r="A114" s="5" t="n">
        <v>44885</v>
      </c>
      <c r="B114" s="6" t="n">
        <v>0.115972222222222</v>
      </c>
      <c r="C114" s="7" t="n">
        <v>14910</v>
      </c>
      <c r="D114" s="7" t="s">
        <v>24</v>
      </c>
      <c r="E114" s="7" t="n">
        <v>19680</v>
      </c>
      <c r="F114" s="7" t="n">
        <v>13460</v>
      </c>
      <c r="G114" s="8" t="n">
        <v>6220</v>
      </c>
      <c r="H114" s="7" t="s">
        <v>10</v>
      </c>
      <c r="I114" s="7" t="s">
        <v>11</v>
      </c>
    </row>
    <row r="115" customFormat="false" ht="18" hidden="false" customHeight="false" outlineLevel="0" collapsed="false">
      <c r="A115" s="5" t="n">
        <v>44885</v>
      </c>
      <c r="B115" s="6" t="n">
        <v>0.166666666666667</v>
      </c>
      <c r="C115" s="7" t="n">
        <v>14915</v>
      </c>
      <c r="D115" s="7" t="s">
        <v>20</v>
      </c>
      <c r="E115" s="7" t="n">
        <v>23700</v>
      </c>
      <c r="F115" s="7" t="n">
        <v>15860</v>
      </c>
      <c r="G115" s="8" t="n">
        <v>7840</v>
      </c>
      <c r="H115" s="7" t="s">
        <v>10</v>
      </c>
      <c r="I115" s="7" t="s">
        <v>11</v>
      </c>
    </row>
    <row r="116" customFormat="false" ht="18" hidden="false" customHeight="false" outlineLevel="0" collapsed="false">
      <c r="A116" s="5" t="n">
        <v>44885</v>
      </c>
      <c r="B116" s="6" t="n">
        <v>0.51875</v>
      </c>
      <c r="C116" s="7" t="n">
        <v>14921</v>
      </c>
      <c r="D116" s="7" t="s">
        <v>14</v>
      </c>
      <c r="E116" s="7" t="n">
        <v>2780</v>
      </c>
      <c r="F116" s="7" t="n">
        <v>2400</v>
      </c>
      <c r="G116" s="8" t="n">
        <v>380</v>
      </c>
      <c r="H116" s="7" t="s">
        <v>10</v>
      </c>
      <c r="I116" s="7" t="s">
        <v>11</v>
      </c>
    </row>
    <row r="117" customFormat="false" ht="18" hidden="false" customHeight="false" outlineLevel="0" collapsed="false">
      <c r="A117" s="5" t="n">
        <v>44885</v>
      </c>
      <c r="B117" s="6" t="n">
        <v>0.177777777777778</v>
      </c>
      <c r="C117" s="7" t="n">
        <v>14916</v>
      </c>
      <c r="D117" s="7" t="s">
        <v>13</v>
      </c>
      <c r="E117" s="7" t="n">
        <v>4260</v>
      </c>
      <c r="F117" s="7" t="n">
        <v>3760</v>
      </c>
      <c r="G117" s="8" t="n">
        <v>500</v>
      </c>
      <c r="H117" s="7" t="s">
        <v>10</v>
      </c>
      <c r="I117" s="7" t="s">
        <v>11</v>
      </c>
    </row>
    <row r="118" customFormat="false" ht="18" hidden="false" customHeight="false" outlineLevel="0" collapsed="false">
      <c r="A118" s="5" t="n">
        <v>44886</v>
      </c>
      <c r="B118" s="6" t="n">
        <v>0.203472222222222</v>
      </c>
      <c r="C118" s="7" t="n">
        <v>14930</v>
      </c>
      <c r="D118" s="7" t="s">
        <v>24</v>
      </c>
      <c r="E118" s="7" t="n">
        <v>19200</v>
      </c>
      <c r="F118" s="7" t="n">
        <v>13180</v>
      </c>
      <c r="G118" s="8" t="n">
        <v>6020</v>
      </c>
      <c r="H118" s="7" t="s">
        <v>10</v>
      </c>
      <c r="I118" s="7" t="s">
        <v>11</v>
      </c>
    </row>
    <row r="119" customFormat="false" ht="18" hidden="false" customHeight="false" outlineLevel="0" collapsed="false">
      <c r="A119" s="5" t="n">
        <v>44886</v>
      </c>
      <c r="B119" s="6" t="n">
        <v>0.2375</v>
      </c>
      <c r="C119" s="7" t="n">
        <v>14935</v>
      </c>
      <c r="D119" s="7" t="s">
        <v>13</v>
      </c>
      <c r="E119" s="7" t="n">
        <v>4240</v>
      </c>
      <c r="F119" s="7" t="n">
        <v>3780</v>
      </c>
      <c r="G119" s="8" t="n">
        <v>460</v>
      </c>
      <c r="H119" s="7" t="s">
        <v>10</v>
      </c>
      <c r="I119" s="7" t="s">
        <v>11</v>
      </c>
    </row>
    <row r="120" customFormat="false" ht="18" hidden="false" customHeight="false" outlineLevel="0" collapsed="false">
      <c r="A120" s="5" t="n">
        <v>44886</v>
      </c>
      <c r="B120" s="6" t="n">
        <v>0.238888888888889</v>
      </c>
      <c r="C120" s="7" t="n">
        <v>14936</v>
      </c>
      <c r="D120" s="7" t="s">
        <v>20</v>
      </c>
      <c r="E120" s="7" t="n">
        <v>24860</v>
      </c>
      <c r="F120" s="7" t="n">
        <v>15860</v>
      </c>
      <c r="G120" s="8" t="n">
        <v>9000</v>
      </c>
      <c r="H120" s="7" t="s">
        <v>10</v>
      </c>
      <c r="I120" s="7" t="s">
        <v>11</v>
      </c>
    </row>
    <row r="121" customFormat="false" ht="18" hidden="false" customHeight="false" outlineLevel="0" collapsed="false">
      <c r="A121" s="5" t="n">
        <v>44886</v>
      </c>
      <c r="B121" s="6" t="n">
        <v>0.530555555555556</v>
      </c>
      <c r="C121" s="7" t="n">
        <v>14962</v>
      </c>
      <c r="D121" s="7" t="s">
        <v>19</v>
      </c>
      <c r="E121" s="7" t="n">
        <v>3760</v>
      </c>
      <c r="F121" s="7" t="n">
        <v>2860</v>
      </c>
      <c r="G121" s="8" t="n">
        <v>900</v>
      </c>
      <c r="H121" s="7" t="s">
        <v>10</v>
      </c>
      <c r="I121" s="7" t="s">
        <v>21</v>
      </c>
    </row>
    <row r="122" customFormat="false" ht="18" hidden="false" customHeight="false" outlineLevel="0" collapsed="false">
      <c r="A122" s="5" t="n">
        <v>44886</v>
      </c>
      <c r="B122" s="6" t="n">
        <v>0.530555555555556</v>
      </c>
      <c r="C122" s="7" t="n">
        <v>14961</v>
      </c>
      <c r="D122" s="7" t="s">
        <v>18</v>
      </c>
      <c r="E122" s="7" t="n">
        <v>3360</v>
      </c>
      <c r="F122" s="7" t="n">
        <v>2780</v>
      </c>
      <c r="G122" s="8" t="n">
        <v>580</v>
      </c>
      <c r="H122" s="7" t="s">
        <v>10</v>
      </c>
      <c r="I122" s="7" t="s">
        <v>21</v>
      </c>
    </row>
    <row r="123" customFormat="false" ht="18" hidden="false" customHeight="false" outlineLevel="0" collapsed="false">
      <c r="A123" s="5" t="n">
        <v>44886</v>
      </c>
      <c r="B123" s="6" t="n">
        <v>0.433333333333333</v>
      </c>
      <c r="C123" s="7" t="n">
        <v>14951</v>
      </c>
      <c r="D123" s="7" t="s">
        <v>18</v>
      </c>
      <c r="E123" s="7" t="n">
        <v>3460</v>
      </c>
      <c r="F123" s="7" t="n">
        <v>2700</v>
      </c>
      <c r="G123" s="8" t="n">
        <v>760</v>
      </c>
      <c r="H123" s="7" t="s">
        <v>10</v>
      </c>
      <c r="I123" s="7" t="s">
        <v>21</v>
      </c>
    </row>
    <row r="124" customFormat="false" ht="18" hidden="false" customHeight="false" outlineLevel="0" collapsed="false">
      <c r="A124" s="5" t="n">
        <v>44886</v>
      </c>
      <c r="B124" s="6" t="n">
        <v>0.502777777777778</v>
      </c>
      <c r="C124" s="7" t="n">
        <v>14959</v>
      </c>
      <c r="D124" s="7" t="s">
        <v>16</v>
      </c>
      <c r="E124" s="7" t="n">
        <v>6500</v>
      </c>
      <c r="F124" s="7" t="n">
        <v>5560</v>
      </c>
      <c r="G124" s="8" t="n">
        <v>940</v>
      </c>
      <c r="H124" s="7" t="s">
        <v>10</v>
      </c>
      <c r="I124" s="7" t="s">
        <v>17</v>
      </c>
    </row>
    <row r="125" customFormat="false" ht="18" hidden="false" customHeight="false" outlineLevel="0" collapsed="false">
      <c r="A125" s="5" t="n">
        <v>44886</v>
      </c>
      <c r="B125" s="6" t="n">
        <v>0.478472222222222</v>
      </c>
      <c r="C125" s="7" t="n">
        <v>14956</v>
      </c>
      <c r="D125" s="7" t="s">
        <v>14</v>
      </c>
      <c r="E125" s="7" t="n">
        <v>2580</v>
      </c>
      <c r="F125" s="7" t="n">
        <v>2400</v>
      </c>
      <c r="G125" s="8" t="n">
        <v>180</v>
      </c>
      <c r="H125" s="7" t="s">
        <v>10</v>
      </c>
      <c r="I125" s="7" t="s">
        <v>11</v>
      </c>
    </row>
    <row r="126" customFormat="false" ht="18" hidden="false" customHeight="false" outlineLevel="0" collapsed="false">
      <c r="A126" s="5" t="n">
        <v>44886</v>
      </c>
      <c r="B126" s="6" t="n">
        <v>0.463888888888889</v>
      </c>
      <c r="C126" s="7" t="n">
        <v>147747</v>
      </c>
      <c r="D126" s="7" t="s">
        <v>25</v>
      </c>
      <c r="E126" s="7" t="n">
        <v>18200</v>
      </c>
      <c r="F126" s="7" t="n">
        <v>15900</v>
      </c>
      <c r="G126" s="8" t="n">
        <v>2300</v>
      </c>
      <c r="H126" s="7" t="s">
        <v>10</v>
      </c>
      <c r="I126" s="7" t="s">
        <v>15</v>
      </c>
    </row>
    <row r="127" customFormat="false" ht="18" hidden="false" customHeight="false" outlineLevel="0" collapsed="false">
      <c r="A127" s="5" t="n">
        <v>44887</v>
      </c>
      <c r="B127" s="6" t="n">
        <v>0.257638888888889</v>
      </c>
      <c r="C127" s="7" t="n">
        <v>14989</v>
      </c>
      <c r="D127" s="7" t="s">
        <v>13</v>
      </c>
      <c r="E127" s="7" t="n">
        <v>4040</v>
      </c>
      <c r="F127" s="7" t="n">
        <v>3740</v>
      </c>
      <c r="G127" s="8" t="n">
        <v>300</v>
      </c>
      <c r="H127" s="7" t="s">
        <v>10</v>
      </c>
      <c r="I127" s="7" t="s">
        <v>11</v>
      </c>
    </row>
    <row r="128" customFormat="false" ht="18" hidden="false" customHeight="false" outlineLevel="0" collapsed="false">
      <c r="A128" s="5" t="n">
        <v>44887</v>
      </c>
      <c r="B128" s="6" t="n">
        <v>0.145138888888889</v>
      </c>
      <c r="C128" s="7" t="n">
        <v>14983</v>
      </c>
      <c r="D128" s="7" t="s">
        <v>12</v>
      </c>
      <c r="E128" s="7" t="n">
        <v>17960</v>
      </c>
      <c r="F128" s="7" t="n">
        <v>13340</v>
      </c>
      <c r="G128" s="8" t="n">
        <v>4620</v>
      </c>
      <c r="H128" s="7" t="s">
        <v>10</v>
      </c>
      <c r="I128" s="7" t="s">
        <v>11</v>
      </c>
    </row>
    <row r="129" customFormat="false" ht="18" hidden="false" customHeight="false" outlineLevel="0" collapsed="false">
      <c r="A129" s="5" t="n">
        <v>44887</v>
      </c>
      <c r="B129" s="6" t="n">
        <v>0.253472222222222</v>
      </c>
      <c r="C129" s="7" t="n">
        <v>14988</v>
      </c>
      <c r="D129" s="7" t="s">
        <v>20</v>
      </c>
      <c r="E129" s="7" t="n">
        <v>22240</v>
      </c>
      <c r="F129" s="7" t="n">
        <v>15780</v>
      </c>
      <c r="G129" s="8" t="n">
        <v>6460</v>
      </c>
      <c r="H129" s="7" t="s">
        <v>10</v>
      </c>
      <c r="I129" s="7" t="s">
        <v>11</v>
      </c>
    </row>
    <row r="130" customFormat="false" ht="18" hidden="false" customHeight="false" outlineLevel="0" collapsed="false">
      <c r="A130" s="5" t="n">
        <v>44887</v>
      </c>
      <c r="B130" s="6" t="n">
        <v>0.549305555555556</v>
      </c>
      <c r="C130" s="7" t="n">
        <v>15018</v>
      </c>
      <c r="D130" s="7" t="s">
        <v>18</v>
      </c>
      <c r="E130" s="7" t="n">
        <v>3440</v>
      </c>
      <c r="F130" s="7" t="n">
        <v>2780</v>
      </c>
      <c r="G130" s="8" t="n">
        <v>660</v>
      </c>
      <c r="H130" s="7" t="s">
        <v>10</v>
      </c>
      <c r="I130" s="7" t="s">
        <v>21</v>
      </c>
    </row>
    <row r="131" customFormat="false" ht="18" hidden="false" customHeight="false" outlineLevel="0" collapsed="false">
      <c r="A131" s="5" t="n">
        <v>44887</v>
      </c>
      <c r="B131" s="6" t="n">
        <v>0.549305555555556</v>
      </c>
      <c r="C131" s="7" t="n">
        <v>15019</v>
      </c>
      <c r="D131" s="7" t="s">
        <v>19</v>
      </c>
      <c r="E131" s="7" t="n">
        <v>3540</v>
      </c>
      <c r="F131" s="7" t="n">
        <v>2840</v>
      </c>
      <c r="G131" s="8" t="n">
        <v>700</v>
      </c>
      <c r="H131" s="7" t="s">
        <v>10</v>
      </c>
      <c r="I131" s="7" t="s">
        <v>21</v>
      </c>
    </row>
    <row r="132" customFormat="false" ht="18" hidden="false" customHeight="false" outlineLevel="0" collapsed="false">
      <c r="A132" s="5" t="n">
        <v>44887</v>
      </c>
      <c r="B132" s="6" t="n">
        <v>0.435416666666667</v>
      </c>
      <c r="C132" s="7" t="n">
        <v>15002</v>
      </c>
      <c r="D132" s="7" t="s">
        <v>19</v>
      </c>
      <c r="E132" s="7" t="n">
        <v>3620</v>
      </c>
      <c r="F132" s="7" t="n">
        <v>2840</v>
      </c>
      <c r="G132" s="8" t="n">
        <v>780</v>
      </c>
      <c r="H132" s="7" t="s">
        <v>10</v>
      </c>
      <c r="I132" s="7" t="s">
        <v>21</v>
      </c>
    </row>
    <row r="133" customFormat="false" ht="18" hidden="false" customHeight="false" outlineLevel="0" collapsed="false">
      <c r="A133" s="5" t="n">
        <v>44888</v>
      </c>
      <c r="B133" s="6" t="n">
        <v>0.432638888888889</v>
      </c>
      <c r="C133" s="7" t="n">
        <v>15051</v>
      </c>
      <c r="D133" s="7" t="s">
        <v>18</v>
      </c>
      <c r="E133" s="7" t="n">
        <v>3620</v>
      </c>
      <c r="F133" s="7" t="n">
        <v>2680</v>
      </c>
      <c r="G133" s="8" t="n">
        <v>940</v>
      </c>
      <c r="H133" s="7" t="s">
        <v>10</v>
      </c>
      <c r="I133" s="7" t="s">
        <v>21</v>
      </c>
    </row>
    <row r="134" customFormat="false" ht="18" hidden="false" customHeight="false" outlineLevel="0" collapsed="false">
      <c r="A134" s="5" t="n">
        <v>44888</v>
      </c>
      <c r="B134" s="6" t="n">
        <v>0.252083333333333</v>
      </c>
      <c r="C134" s="7" t="n">
        <v>15041</v>
      </c>
      <c r="D134" s="7" t="s">
        <v>20</v>
      </c>
      <c r="E134" s="7" t="n">
        <v>24560</v>
      </c>
      <c r="F134" s="7" t="n">
        <v>16100</v>
      </c>
      <c r="G134" s="8" t="n">
        <v>8460</v>
      </c>
      <c r="H134" s="7" t="s">
        <v>10</v>
      </c>
      <c r="I134" s="7" t="s">
        <v>11</v>
      </c>
    </row>
    <row r="135" customFormat="false" ht="18" hidden="false" customHeight="false" outlineLevel="0" collapsed="false">
      <c r="A135" s="5" t="n">
        <v>44888</v>
      </c>
      <c r="B135" s="6" t="n">
        <v>0.546527777777778</v>
      </c>
      <c r="C135" s="7" t="n">
        <v>15062</v>
      </c>
      <c r="D135" s="7" t="s">
        <v>18</v>
      </c>
      <c r="E135" s="7" t="n">
        <v>3400</v>
      </c>
      <c r="F135" s="7" t="n">
        <v>2760</v>
      </c>
      <c r="G135" s="8" t="n">
        <v>640</v>
      </c>
      <c r="H135" s="7" t="s">
        <v>10</v>
      </c>
      <c r="I135" s="7" t="s">
        <v>21</v>
      </c>
    </row>
    <row r="136" customFormat="false" ht="18" hidden="false" customHeight="false" outlineLevel="0" collapsed="false">
      <c r="A136" s="5" t="n">
        <v>44888</v>
      </c>
      <c r="B136" s="6" t="n">
        <v>0.548611111111111</v>
      </c>
      <c r="C136" s="7" t="n">
        <v>15063</v>
      </c>
      <c r="D136" s="7" t="s">
        <v>19</v>
      </c>
      <c r="E136" s="7" t="n">
        <v>3700</v>
      </c>
      <c r="F136" s="7" t="n">
        <v>2840</v>
      </c>
      <c r="G136" s="8" t="n">
        <v>860</v>
      </c>
      <c r="H136" s="7" t="s">
        <v>10</v>
      </c>
      <c r="I136" s="7" t="s">
        <v>21</v>
      </c>
    </row>
    <row r="137" customFormat="false" ht="18" hidden="false" customHeight="false" outlineLevel="0" collapsed="false">
      <c r="A137" s="5" t="n">
        <v>44888</v>
      </c>
      <c r="B137" s="6" t="n">
        <v>0.252083333333333</v>
      </c>
      <c r="C137" s="7" t="n">
        <v>15040</v>
      </c>
      <c r="D137" s="7" t="s">
        <v>13</v>
      </c>
      <c r="E137" s="7" t="n">
        <v>4100</v>
      </c>
      <c r="F137" s="7" t="n">
        <v>3720</v>
      </c>
      <c r="G137" s="8" t="n">
        <v>380</v>
      </c>
      <c r="H137" s="7" t="s">
        <v>10</v>
      </c>
      <c r="I137" s="7" t="s">
        <v>11</v>
      </c>
    </row>
    <row r="138" customFormat="false" ht="18" hidden="false" customHeight="false" outlineLevel="0" collapsed="false">
      <c r="A138" s="5" t="n">
        <v>44888</v>
      </c>
      <c r="B138" s="6" t="n">
        <v>0.149305555555556</v>
      </c>
      <c r="C138" s="7" t="n">
        <v>15034</v>
      </c>
      <c r="D138" s="7" t="s">
        <v>12</v>
      </c>
      <c r="E138" s="7" t="n">
        <v>19040</v>
      </c>
      <c r="F138" s="7" t="n">
        <v>13340</v>
      </c>
      <c r="G138" s="8" t="n">
        <v>5700</v>
      </c>
      <c r="H138" s="7" t="s">
        <v>10</v>
      </c>
      <c r="I138" s="7" t="s">
        <v>11</v>
      </c>
    </row>
    <row r="139" customFormat="false" ht="18" hidden="false" customHeight="false" outlineLevel="0" collapsed="false">
      <c r="A139" s="5" t="n">
        <v>44888</v>
      </c>
      <c r="B139" s="6" t="n">
        <v>0.472222222222222</v>
      </c>
      <c r="C139" s="7" t="n">
        <v>15056</v>
      </c>
      <c r="D139" s="7" t="s">
        <v>16</v>
      </c>
      <c r="E139" s="7" t="n">
        <v>6560</v>
      </c>
      <c r="F139" s="7" t="n">
        <v>5600</v>
      </c>
      <c r="G139" s="8" t="n">
        <v>960</v>
      </c>
      <c r="H139" s="7" t="s">
        <v>10</v>
      </c>
      <c r="I139" s="7" t="s">
        <v>17</v>
      </c>
    </row>
    <row r="140" customFormat="false" ht="18" hidden="false" customHeight="false" outlineLevel="0" collapsed="false">
      <c r="A140" s="5" t="n">
        <v>44888</v>
      </c>
      <c r="B140" s="6" t="n">
        <v>0.525</v>
      </c>
      <c r="C140" s="7" t="n">
        <v>3711</v>
      </c>
      <c r="D140" s="7" t="s">
        <v>20</v>
      </c>
      <c r="E140" s="7" t="n">
        <v>17220</v>
      </c>
      <c r="F140" s="7" t="n">
        <v>15760</v>
      </c>
      <c r="G140" s="8" t="n">
        <v>1460</v>
      </c>
      <c r="H140" s="7" t="s">
        <v>10</v>
      </c>
      <c r="I140" s="7" t="s">
        <v>22</v>
      </c>
    </row>
    <row r="141" customFormat="false" ht="18" hidden="false" customHeight="false" outlineLevel="0" collapsed="false">
      <c r="A141" s="5" t="n">
        <v>44889</v>
      </c>
      <c r="B141" s="6" t="n">
        <v>0.227777777777778</v>
      </c>
      <c r="C141" s="7" t="n">
        <v>15081</v>
      </c>
      <c r="D141" s="7" t="s">
        <v>9</v>
      </c>
      <c r="E141" s="7" t="n">
        <v>24120</v>
      </c>
      <c r="F141" s="7" t="n">
        <v>15860</v>
      </c>
      <c r="G141" s="8" t="n">
        <v>8260</v>
      </c>
      <c r="H141" s="7" t="s">
        <v>10</v>
      </c>
      <c r="I141" s="7" t="s">
        <v>11</v>
      </c>
    </row>
    <row r="142" customFormat="false" ht="18" hidden="false" customHeight="false" outlineLevel="0" collapsed="false">
      <c r="A142" s="5" t="n">
        <v>44889</v>
      </c>
      <c r="B142" s="6" t="n">
        <v>0.135416666666667</v>
      </c>
      <c r="C142" s="7" t="n">
        <v>15074</v>
      </c>
      <c r="D142" s="7" t="s">
        <v>12</v>
      </c>
      <c r="E142" s="7" t="n">
        <v>19460</v>
      </c>
      <c r="F142" s="7" t="n">
        <v>13480</v>
      </c>
      <c r="G142" s="8" t="n">
        <v>5980</v>
      </c>
      <c r="H142" s="7" t="s">
        <v>10</v>
      </c>
      <c r="I142" s="7" t="s">
        <v>11</v>
      </c>
    </row>
    <row r="143" customFormat="false" ht="18" hidden="false" customHeight="false" outlineLevel="0" collapsed="false">
      <c r="A143" s="5" t="n">
        <v>44889</v>
      </c>
      <c r="B143" s="6" t="n">
        <v>0.253472222222222</v>
      </c>
      <c r="C143" s="7" t="n">
        <v>15083</v>
      </c>
      <c r="D143" s="7" t="s">
        <v>13</v>
      </c>
      <c r="E143" s="7" t="n">
        <v>4060</v>
      </c>
      <c r="F143" s="7" t="n">
        <v>3820</v>
      </c>
      <c r="G143" s="8" t="n">
        <v>240</v>
      </c>
      <c r="H143" s="7" t="s">
        <v>10</v>
      </c>
      <c r="I143" s="7" t="s">
        <v>11</v>
      </c>
    </row>
    <row r="144" customFormat="false" ht="18" hidden="false" customHeight="false" outlineLevel="0" collapsed="false">
      <c r="A144" s="5" t="n">
        <v>44889</v>
      </c>
      <c r="B144" s="6" t="n">
        <v>0.536111111111111</v>
      </c>
      <c r="C144" s="7" t="n">
        <v>15105</v>
      </c>
      <c r="D144" s="7" t="s">
        <v>18</v>
      </c>
      <c r="E144" s="7" t="n">
        <v>3600</v>
      </c>
      <c r="F144" s="7" t="n">
        <v>2760</v>
      </c>
      <c r="G144" s="8" t="n">
        <v>840</v>
      </c>
      <c r="H144" s="7" t="s">
        <v>10</v>
      </c>
      <c r="I144" s="7" t="s">
        <v>21</v>
      </c>
    </row>
    <row r="145" customFormat="false" ht="18" hidden="false" customHeight="false" outlineLevel="0" collapsed="false">
      <c r="A145" s="5" t="n">
        <v>44889</v>
      </c>
      <c r="B145" s="6" t="n">
        <v>0.438194444444444</v>
      </c>
      <c r="C145" s="7" t="n">
        <v>15095</v>
      </c>
      <c r="D145" s="7" t="s">
        <v>12</v>
      </c>
      <c r="E145" s="7" t="n">
        <v>13540</v>
      </c>
      <c r="F145" s="7" t="n">
        <v>13180</v>
      </c>
      <c r="G145" s="8" t="n">
        <v>360</v>
      </c>
      <c r="H145" s="7" t="s">
        <v>10</v>
      </c>
      <c r="I145" s="7" t="s">
        <v>11</v>
      </c>
    </row>
    <row r="146" customFormat="false" ht="18" hidden="false" customHeight="false" outlineLevel="0" collapsed="false">
      <c r="A146" s="5" t="n">
        <v>44889</v>
      </c>
      <c r="B146" s="6" t="n">
        <v>0.434722222222222</v>
      </c>
      <c r="C146" s="7" t="n">
        <v>15094</v>
      </c>
      <c r="D146" s="7" t="s">
        <v>19</v>
      </c>
      <c r="E146" s="7" t="n">
        <v>3640</v>
      </c>
      <c r="F146" s="7" t="n">
        <v>2820</v>
      </c>
      <c r="G146" s="8" t="n">
        <v>820</v>
      </c>
      <c r="H146" s="7" t="s">
        <v>10</v>
      </c>
      <c r="I146" s="7" t="s">
        <v>21</v>
      </c>
    </row>
    <row r="147" customFormat="false" ht="18" hidden="false" customHeight="false" outlineLevel="0" collapsed="false">
      <c r="A147" s="5" t="n">
        <v>44889</v>
      </c>
      <c r="B147" s="6" t="n">
        <v>0.536111111111111</v>
      </c>
      <c r="C147" s="7" t="n">
        <v>15104</v>
      </c>
      <c r="D147" s="7" t="s">
        <v>19</v>
      </c>
      <c r="E147" s="7" t="n">
        <v>3320</v>
      </c>
      <c r="F147" s="7" t="n">
        <v>2840</v>
      </c>
      <c r="G147" s="8" t="n">
        <v>480</v>
      </c>
      <c r="H147" s="7" t="s">
        <v>10</v>
      </c>
      <c r="I147" s="7" t="s">
        <v>21</v>
      </c>
    </row>
    <row r="148" customFormat="false" ht="18" hidden="false" customHeight="false" outlineLevel="0" collapsed="false">
      <c r="A148" s="5" t="n">
        <v>44890</v>
      </c>
      <c r="B148" s="6" t="n">
        <v>0.20625</v>
      </c>
      <c r="C148" s="7" t="n">
        <v>15122</v>
      </c>
      <c r="D148" s="7" t="s">
        <v>9</v>
      </c>
      <c r="E148" s="7" t="n">
        <v>23780</v>
      </c>
      <c r="F148" s="7" t="n">
        <v>15880</v>
      </c>
      <c r="G148" s="8" t="n">
        <v>7900</v>
      </c>
      <c r="H148" s="7" t="s">
        <v>10</v>
      </c>
      <c r="I148" s="7" t="s">
        <v>11</v>
      </c>
    </row>
    <row r="149" customFormat="false" ht="18" hidden="false" customHeight="false" outlineLevel="0" collapsed="false">
      <c r="A149" s="5" t="n">
        <v>44890</v>
      </c>
      <c r="B149" s="6" t="n">
        <v>0.253472222222222</v>
      </c>
      <c r="C149" s="7" t="n">
        <v>15124</v>
      </c>
      <c r="D149" s="7" t="s">
        <v>13</v>
      </c>
      <c r="E149" s="7" t="n">
        <v>4260</v>
      </c>
      <c r="F149" s="7" t="n">
        <v>3800</v>
      </c>
      <c r="G149" s="8" t="n">
        <v>460</v>
      </c>
      <c r="H149" s="7" t="s">
        <v>10</v>
      </c>
      <c r="I149" s="7" t="s">
        <v>11</v>
      </c>
    </row>
    <row r="150" customFormat="false" ht="18" hidden="false" customHeight="false" outlineLevel="0" collapsed="false">
      <c r="A150" s="5" t="n">
        <v>44890</v>
      </c>
      <c r="B150" s="6" t="n">
        <v>0.138194444444444</v>
      </c>
      <c r="C150" s="7" t="n">
        <v>15119</v>
      </c>
      <c r="D150" s="7" t="s">
        <v>12</v>
      </c>
      <c r="E150" s="7" t="n">
        <v>18640</v>
      </c>
      <c r="F150" s="7" t="n">
        <v>13360</v>
      </c>
      <c r="G150" s="8" t="n">
        <v>5280</v>
      </c>
      <c r="H150" s="7" t="s">
        <v>10</v>
      </c>
      <c r="I150" s="7" t="s">
        <v>11</v>
      </c>
    </row>
    <row r="151" customFormat="false" ht="18" hidden="false" customHeight="false" outlineLevel="0" collapsed="false">
      <c r="A151" s="5" t="n">
        <v>44889</v>
      </c>
      <c r="B151" s="6" t="n">
        <v>0.494444444444444</v>
      </c>
      <c r="C151" s="7" t="n">
        <v>147969</v>
      </c>
      <c r="D151" s="7" t="s">
        <v>9</v>
      </c>
      <c r="E151" s="7" t="n">
        <v>17920</v>
      </c>
      <c r="F151" s="7" t="n">
        <v>15740</v>
      </c>
      <c r="G151" s="8" t="n">
        <v>2180</v>
      </c>
      <c r="H151" s="7" t="s">
        <v>10</v>
      </c>
      <c r="I151" s="7" t="s">
        <v>15</v>
      </c>
    </row>
    <row r="152" customFormat="false" ht="18" hidden="false" customHeight="false" outlineLevel="0" collapsed="false">
      <c r="A152" s="5" t="n">
        <v>44890</v>
      </c>
      <c r="B152" s="6" t="n">
        <v>0.333333333333333</v>
      </c>
      <c r="C152" s="7" t="n">
        <v>15133</v>
      </c>
      <c r="D152" s="7" t="s">
        <v>16</v>
      </c>
      <c r="E152" s="7" t="n">
        <v>6300</v>
      </c>
      <c r="F152" s="7" t="n">
        <v>5580</v>
      </c>
      <c r="G152" s="8" t="n">
        <v>720</v>
      </c>
      <c r="H152" s="7" t="s">
        <v>10</v>
      </c>
      <c r="I152" s="7" t="s">
        <v>17</v>
      </c>
    </row>
    <row r="153" customFormat="false" ht="18" hidden="false" customHeight="false" outlineLevel="0" collapsed="false">
      <c r="A153" s="5" t="n">
        <v>44890</v>
      </c>
      <c r="B153" s="6" t="n">
        <v>0.54375</v>
      </c>
      <c r="C153" s="7" t="n">
        <v>15152</v>
      </c>
      <c r="D153" s="7" t="s">
        <v>18</v>
      </c>
      <c r="E153" s="7" t="n">
        <v>3140</v>
      </c>
      <c r="F153" s="7" t="n">
        <v>2780</v>
      </c>
      <c r="G153" s="8" t="n">
        <v>360</v>
      </c>
      <c r="H153" s="7" t="s">
        <v>10</v>
      </c>
      <c r="I153" s="7" t="s">
        <v>21</v>
      </c>
    </row>
    <row r="154" customFormat="false" ht="18" hidden="false" customHeight="false" outlineLevel="0" collapsed="false">
      <c r="A154" s="5" t="n">
        <v>44890</v>
      </c>
      <c r="B154" s="6" t="n">
        <v>0.429861111111111</v>
      </c>
      <c r="C154" s="7" t="n">
        <v>15141</v>
      </c>
      <c r="D154" s="7" t="s">
        <v>18</v>
      </c>
      <c r="E154" s="7" t="n">
        <v>3380</v>
      </c>
      <c r="F154" s="7" t="n">
        <v>2700</v>
      </c>
      <c r="G154" s="8" t="n">
        <v>680</v>
      </c>
      <c r="H154" s="7" t="s">
        <v>10</v>
      </c>
      <c r="I154" s="7" t="s">
        <v>21</v>
      </c>
    </row>
    <row r="155" customFormat="false" ht="18" hidden="false" customHeight="false" outlineLevel="0" collapsed="false">
      <c r="A155" s="5" t="n">
        <v>44890</v>
      </c>
      <c r="B155" s="6" t="n">
        <v>0.54375</v>
      </c>
      <c r="C155" s="7" t="n">
        <v>15151</v>
      </c>
      <c r="D155" s="7" t="s">
        <v>19</v>
      </c>
      <c r="E155" s="7" t="n">
        <v>3440</v>
      </c>
      <c r="F155" s="7" t="n">
        <v>2840</v>
      </c>
      <c r="G155" s="8" t="n">
        <v>600</v>
      </c>
      <c r="H155" s="7" t="s">
        <v>10</v>
      </c>
      <c r="I155" s="7" t="s">
        <v>21</v>
      </c>
    </row>
    <row r="156" customFormat="false" ht="18" hidden="false" customHeight="false" outlineLevel="0" collapsed="false">
      <c r="A156" s="5" t="n">
        <v>44890</v>
      </c>
      <c r="B156" s="6" t="n">
        <v>0.442361111111111</v>
      </c>
      <c r="C156" s="7" t="n">
        <v>15143</v>
      </c>
      <c r="D156" s="7" t="s">
        <v>14</v>
      </c>
      <c r="E156" s="7" t="n">
        <v>2720</v>
      </c>
      <c r="F156" s="7" t="n">
        <v>2300</v>
      </c>
      <c r="G156" s="8" t="n">
        <v>420</v>
      </c>
      <c r="H156" s="7" t="s">
        <v>10</v>
      </c>
      <c r="I156" s="7" t="s">
        <v>11</v>
      </c>
    </row>
    <row r="157" customFormat="false" ht="18" hidden="false" customHeight="false" outlineLevel="0" collapsed="false">
      <c r="A157" s="5" t="n">
        <v>44891</v>
      </c>
      <c r="B157" s="6" t="n">
        <v>0.252777777777778</v>
      </c>
      <c r="C157" s="7" t="n">
        <v>15170</v>
      </c>
      <c r="D157" s="7" t="s">
        <v>13</v>
      </c>
      <c r="E157" s="7" t="n">
        <v>4260</v>
      </c>
      <c r="F157" s="7" t="n">
        <v>3800</v>
      </c>
      <c r="G157" s="8" t="n">
        <v>460</v>
      </c>
      <c r="H157" s="7" t="s">
        <v>10</v>
      </c>
      <c r="I157" s="7" t="s">
        <v>11</v>
      </c>
    </row>
    <row r="158" customFormat="false" ht="18" hidden="false" customHeight="false" outlineLevel="0" collapsed="false">
      <c r="A158" s="5" t="n">
        <v>44891</v>
      </c>
      <c r="B158" s="6" t="n">
        <v>0.148611111111111</v>
      </c>
      <c r="C158" s="7" t="n">
        <v>15163</v>
      </c>
      <c r="D158" s="7" t="s">
        <v>12</v>
      </c>
      <c r="E158" s="7" t="n">
        <v>18560</v>
      </c>
      <c r="F158" s="7" t="n">
        <v>13380</v>
      </c>
      <c r="G158" s="8" t="n">
        <v>5180</v>
      </c>
      <c r="H158" s="7" t="s">
        <v>10</v>
      </c>
      <c r="I158" s="7" t="s">
        <v>11</v>
      </c>
    </row>
    <row r="159" customFormat="false" ht="18" hidden="false" customHeight="false" outlineLevel="0" collapsed="false">
      <c r="A159" s="5" t="n">
        <v>44892</v>
      </c>
      <c r="B159" s="6" t="n">
        <v>0.171527777777778</v>
      </c>
      <c r="C159" s="7" t="n">
        <v>15187</v>
      </c>
      <c r="D159" s="7" t="s">
        <v>13</v>
      </c>
      <c r="E159" s="7" t="n">
        <v>4340</v>
      </c>
      <c r="F159" s="7" t="n">
        <v>3800</v>
      </c>
      <c r="G159" s="8" t="n">
        <v>540</v>
      </c>
      <c r="H159" s="7" t="s">
        <v>10</v>
      </c>
      <c r="I159" s="7" t="s">
        <v>11</v>
      </c>
    </row>
    <row r="160" customFormat="false" ht="18" hidden="false" customHeight="false" outlineLevel="0" collapsed="false">
      <c r="A160" s="5" t="n">
        <v>44892</v>
      </c>
      <c r="B160" s="6" t="n">
        <v>0.25625</v>
      </c>
      <c r="C160" s="7" t="n">
        <v>15191</v>
      </c>
      <c r="D160" s="7" t="s">
        <v>14</v>
      </c>
      <c r="E160" s="7" t="n">
        <v>2720</v>
      </c>
      <c r="F160" s="7" t="n">
        <v>2480</v>
      </c>
      <c r="G160" s="8" t="n">
        <v>240</v>
      </c>
      <c r="H160" s="7" t="s">
        <v>10</v>
      </c>
      <c r="I160" s="7" t="s">
        <v>11</v>
      </c>
    </row>
    <row r="161" customFormat="false" ht="18" hidden="false" customHeight="false" outlineLevel="0" collapsed="false">
      <c r="A161" s="5" t="n">
        <v>44892</v>
      </c>
      <c r="B161" s="6" t="n">
        <v>0.488194444444444</v>
      </c>
      <c r="C161" s="7" t="n">
        <v>15194</v>
      </c>
      <c r="D161" s="7" t="s">
        <v>14</v>
      </c>
      <c r="E161" s="7" t="n">
        <v>2640</v>
      </c>
      <c r="F161" s="7" t="n">
        <v>2440</v>
      </c>
      <c r="G161" s="8" t="n">
        <v>200</v>
      </c>
      <c r="H161" s="7" t="s">
        <v>10</v>
      </c>
      <c r="I161" s="7" t="s">
        <v>11</v>
      </c>
    </row>
    <row r="162" customFormat="false" ht="18" hidden="false" customHeight="false" outlineLevel="0" collapsed="false">
      <c r="A162" s="5" t="n">
        <v>44892</v>
      </c>
      <c r="B162" s="6" t="n">
        <v>0.205555555555556</v>
      </c>
      <c r="C162" s="7" t="n">
        <v>15190</v>
      </c>
      <c r="D162" s="7" t="s">
        <v>9</v>
      </c>
      <c r="E162" s="7" t="n">
        <v>25880</v>
      </c>
      <c r="F162" s="7" t="n">
        <v>15760</v>
      </c>
      <c r="G162" s="8" t="n">
        <v>10120</v>
      </c>
      <c r="H162" s="7" t="s">
        <v>10</v>
      </c>
      <c r="I162" s="7" t="s">
        <v>11</v>
      </c>
    </row>
    <row r="163" customFormat="false" ht="18" hidden="false" customHeight="false" outlineLevel="0" collapsed="false">
      <c r="A163" s="5" t="n">
        <v>44892</v>
      </c>
      <c r="B163" s="6" t="n">
        <v>0.103472222222222</v>
      </c>
      <c r="C163" s="7" t="n">
        <v>15182</v>
      </c>
      <c r="D163" s="7" t="s">
        <v>12</v>
      </c>
      <c r="E163" s="7" t="n">
        <v>21620</v>
      </c>
      <c r="F163" s="7" t="n">
        <v>13480</v>
      </c>
      <c r="G163" s="8" t="n">
        <v>8140</v>
      </c>
      <c r="H163" s="7" t="s">
        <v>10</v>
      </c>
      <c r="I163" s="7" t="s">
        <v>11</v>
      </c>
    </row>
    <row r="164" customFormat="false" ht="18" hidden="false" customHeight="false" outlineLevel="0" collapsed="false">
      <c r="A164" s="5" t="n">
        <v>44893</v>
      </c>
      <c r="B164" s="6" t="n">
        <v>0.254861111111111</v>
      </c>
      <c r="C164" s="7" t="n">
        <v>15210</v>
      </c>
      <c r="D164" s="7" t="s">
        <v>9</v>
      </c>
      <c r="E164" s="7" t="n">
        <v>23560</v>
      </c>
      <c r="F164" s="7" t="n">
        <v>15800</v>
      </c>
      <c r="G164" s="8" t="n">
        <v>7760</v>
      </c>
      <c r="H164" s="7" t="s">
        <v>10</v>
      </c>
      <c r="I164" s="7" t="s">
        <v>11</v>
      </c>
    </row>
    <row r="165" customFormat="false" ht="18" hidden="false" customHeight="false" outlineLevel="0" collapsed="false">
      <c r="A165" s="5" t="n">
        <v>44893</v>
      </c>
      <c r="B165" s="6" t="n">
        <v>0.236805555555556</v>
      </c>
      <c r="C165" s="7" t="n">
        <v>15208</v>
      </c>
      <c r="D165" s="7" t="s">
        <v>13</v>
      </c>
      <c r="E165" s="7" t="n">
        <v>4240</v>
      </c>
      <c r="F165" s="7" t="n">
        <v>3780</v>
      </c>
      <c r="G165" s="8" t="n">
        <v>460</v>
      </c>
      <c r="H165" s="7" t="s">
        <v>10</v>
      </c>
      <c r="I165" s="7" t="s">
        <v>11</v>
      </c>
    </row>
    <row r="166" customFormat="false" ht="18" hidden="false" customHeight="false" outlineLevel="0" collapsed="false">
      <c r="A166" s="5" t="n">
        <v>44893</v>
      </c>
      <c r="B166" s="6" t="n">
        <v>0.201388888888889</v>
      </c>
      <c r="C166" s="7" t="n">
        <v>15203</v>
      </c>
      <c r="D166" s="7" t="s">
        <v>12</v>
      </c>
      <c r="E166" s="7" t="n">
        <v>18440</v>
      </c>
      <c r="F166" s="7" t="n">
        <v>13240</v>
      </c>
      <c r="G166" s="8" t="n">
        <v>5200</v>
      </c>
      <c r="H166" s="7" t="s">
        <v>10</v>
      </c>
      <c r="I166" s="7" t="s">
        <v>11</v>
      </c>
    </row>
    <row r="167" customFormat="false" ht="18" hidden="false" customHeight="false" outlineLevel="0" collapsed="false">
      <c r="A167" s="5" t="n">
        <v>44893</v>
      </c>
      <c r="B167" s="6" t="n">
        <v>0.439583333333333</v>
      </c>
      <c r="C167" s="7" t="n">
        <v>15223</v>
      </c>
      <c r="D167" s="7" t="s">
        <v>14</v>
      </c>
      <c r="E167" s="7" t="n">
        <v>3060</v>
      </c>
      <c r="F167" s="7" t="n">
        <v>2420</v>
      </c>
      <c r="G167" s="8" t="n">
        <v>640</v>
      </c>
      <c r="H167" s="7" t="s">
        <v>10</v>
      </c>
      <c r="I167" s="7" t="s">
        <v>11</v>
      </c>
    </row>
    <row r="168" customFormat="false" ht="18" hidden="false" customHeight="false" outlineLevel="0" collapsed="false">
      <c r="A168" s="5" t="n">
        <v>44893</v>
      </c>
      <c r="B168" s="6" t="n">
        <v>0.552777777777778</v>
      </c>
      <c r="C168" s="7" t="n">
        <v>15234</v>
      </c>
      <c r="D168" s="7" t="s">
        <v>18</v>
      </c>
      <c r="E168" s="7" t="n">
        <v>3340</v>
      </c>
      <c r="F168" s="7" t="n">
        <v>2780</v>
      </c>
      <c r="G168" s="8" t="n">
        <v>560</v>
      </c>
      <c r="H168" s="7" t="s">
        <v>10</v>
      </c>
      <c r="I168" s="7" t="s">
        <v>21</v>
      </c>
    </row>
    <row r="169" customFormat="false" ht="18" hidden="false" customHeight="false" outlineLevel="0" collapsed="false">
      <c r="A169" s="5" t="n">
        <v>44893</v>
      </c>
      <c r="B169" s="6" t="n">
        <v>0.977083333333333</v>
      </c>
      <c r="C169" s="7" t="n">
        <v>15240</v>
      </c>
      <c r="D169" s="7" t="s">
        <v>20</v>
      </c>
      <c r="E169" s="7" t="n">
        <v>24460</v>
      </c>
      <c r="F169" s="7" t="n">
        <v>15880</v>
      </c>
      <c r="G169" s="8" t="n">
        <v>8580</v>
      </c>
      <c r="H169" s="7" t="s">
        <v>10</v>
      </c>
      <c r="I169" s="7" t="s">
        <v>11</v>
      </c>
    </row>
    <row r="170" customFormat="false" ht="18" hidden="false" customHeight="false" outlineLevel="0" collapsed="false">
      <c r="A170" s="5" t="n">
        <v>44894</v>
      </c>
      <c r="B170" s="6" t="n">
        <v>0.205555555555556</v>
      </c>
      <c r="C170" s="7" t="n">
        <v>15252</v>
      </c>
      <c r="D170" s="7" t="s">
        <v>12</v>
      </c>
      <c r="E170" s="7" t="n">
        <v>17460</v>
      </c>
      <c r="F170" s="7" t="n">
        <v>13180</v>
      </c>
      <c r="G170" s="8" t="n">
        <v>4280</v>
      </c>
      <c r="H170" s="7" t="s">
        <v>10</v>
      </c>
      <c r="I170" s="7" t="s">
        <v>11</v>
      </c>
    </row>
    <row r="171" customFormat="false" ht="18" hidden="false" customHeight="false" outlineLevel="0" collapsed="false">
      <c r="A171" s="5" t="n">
        <v>44894</v>
      </c>
      <c r="B171" s="6" t="n">
        <v>0.221527777777778</v>
      </c>
      <c r="C171" s="7" t="n">
        <v>15253</v>
      </c>
      <c r="D171" s="7" t="s">
        <v>20</v>
      </c>
      <c r="E171" s="7" t="n">
        <v>24060</v>
      </c>
      <c r="F171" s="7" t="n">
        <v>15800</v>
      </c>
      <c r="G171" s="8" t="n">
        <v>8260</v>
      </c>
      <c r="H171" s="7" t="s">
        <v>10</v>
      </c>
      <c r="I171" s="7" t="s">
        <v>11</v>
      </c>
    </row>
    <row r="172" customFormat="false" ht="18" hidden="false" customHeight="false" outlineLevel="0" collapsed="false">
      <c r="A172" s="5" t="n">
        <v>44894</v>
      </c>
      <c r="B172" s="6" t="n">
        <v>0.234722222222222</v>
      </c>
      <c r="C172" s="7" t="n">
        <v>15255</v>
      </c>
      <c r="D172" s="7" t="s">
        <v>13</v>
      </c>
      <c r="E172" s="7" t="n">
        <v>4100</v>
      </c>
      <c r="F172" s="7" t="n">
        <v>3780</v>
      </c>
      <c r="G172" s="8" t="n">
        <v>320</v>
      </c>
      <c r="H172" s="7" t="s">
        <v>10</v>
      </c>
      <c r="I172" s="7" t="s">
        <v>11</v>
      </c>
    </row>
    <row r="173" customFormat="false" ht="18" hidden="false" customHeight="false" outlineLevel="0" collapsed="false">
      <c r="A173" s="5" t="n">
        <v>44894</v>
      </c>
      <c r="B173" s="6" t="n">
        <v>0.493055555555556</v>
      </c>
      <c r="C173" s="7" t="n">
        <v>15274</v>
      </c>
      <c r="D173" s="7" t="s">
        <v>14</v>
      </c>
      <c r="E173" s="7" t="n">
        <v>2700</v>
      </c>
      <c r="F173" s="7" t="n">
        <v>2380</v>
      </c>
      <c r="G173" s="8" t="n">
        <v>320</v>
      </c>
      <c r="H173" s="7" t="s">
        <v>10</v>
      </c>
      <c r="I173" s="7" t="s">
        <v>11</v>
      </c>
    </row>
    <row r="174" customFormat="false" ht="18" hidden="false" customHeight="false" outlineLevel="0" collapsed="false">
      <c r="A174" s="5" t="n">
        <v>44894</v>
      </c>
      <c r="B174" s="6" t="n">
        <v>0.543055555555555</v>
      </c>
      <c r="C174" s="7" t="n">
        <v>15279</v>
      </c>
      <c r="D174" s="7" t="s">
        <v>19</v>
      </c>
      <c r="E174" s="7" t="n">
        <v>3160</v>
      </c>
      <c r="F174" s="7" t="n">
        <v>2860</v>
      </c>
      <c r="G174" s="8" t="n">
        <v>300</v>
      </c>
      <c r="H174" s="7" t="s">
        <v>10</v>
      </c>
      <c r="I174" s="7" t="s">
        <v>21</v>
      </c>
    </row>
    <row r="175" customFormat="false" ht="18" hidden="false" customHeight="false" outlineLevel="0" collapsed="false">
      <c r="A175" s="5" t="n">
        <v>44894</v>
      </c>
      <c r="B175" s="6" t="n">
        <v>0.546527777777778</v>
      </c>
      <c r="C175" s="7" t="n">
        <v>15283</v>
      </c>
      <c r="D175" s="7" t="s">
        <v>18</v>
      </c>
      <c r="E175" s="7" t="n">
        <v>3260</v>
      </c>
      <c r="F175" s="7" t="n">
        <v>2800</v>
      </c>
      <c r="G175" s="8" t="n">
        <v>460</v>
      </c>
      <c r="H175" s="7" t="s">
        <v>10</v>
      </c>
      <c r="I175" s="7" t="s">
        <v>21</v>
      </c>
    </row>
    <row r="176" customFormat="false" ht="18" hidden="false" customHeight="false" outlineLevel="0" collapsed="false">
      <c r="A176" s="5" t="n">
        <v>44894</v>
      </c>
      <c r="B176" s="6" t="n">
        <v>0.457638888888889</v>
      </c>
      <c r="C176" s="7" t="n">
        <v>15271</v>
      </c>
      <c r="D176" s="7" t="s">
        <v>16</v>
      </c>
      <c r="E176" s="7" t="n">
        <v>6740</v>
      </c>
      <c r="F176" s="7" t="n">
        <v>5520</v>
      </c>
      <c r="G176" s="8" t="n">
        <v>1220</v>
      </c>
      <c r="H176" s="7" t="s">
        <v>10</v>
      </c>
      <c r="I176" s="7" t="s">
        <v>17</v>
      </c>
    </row>
    <row r="177" customFormat="false" ht="18" hidden="false" customHeight="false" outlineLevel="0" collapsed="false">
      <c r="A177" s="5" t="n">
        <v>44895</v>
      </c>
      <c r="B177" s="6" t="n">
        <v>0.201388888888889</v>
      </c>
      <c r="C177" s="7" t="n">
        <v>15296</v>
      </c>
      <c r="D177" s="7" t="s">
        <v>12</v>
      </c>
      <c r="E177" s="7" t="n">
        <v>18380</v>
      </c>
      <c r="F177" s="7" t="n">
        <v>13120</v>
      </c>
      <c r="G177" s="8" t="n">
        <v>5260</v>
      </c>
      <c r="H177" s="7" t="s">
        <v>10</v>
      </c>
      <c r="I177" s="7" t="s">
        <v>11</v>
      </c>
    </row>
    <row r="178" customFormat="false" ht="18" hidden="false" customHeight="false" outlineLevel="0" collapsed="false">
      <c r="A178" s="5" t="n">
        <v>44895</v>
      </c>
      <c r="B178" s="6" t="n">
        <v>0.238888888888889</v>
      </c>
      <c r="C178" s="7" t="n">
        <v>15300</v>
      </c>
      <c r="D178" s="7" t="s">
        <v>13</v>
      </c>
      <c r="E178" s="7" t="n">
        <v>4260</v>
      </c>
      <c r="F178" s="7" t="n">
        <v>3780</v>
      </c>
      <c r="G178" s="8" t="n">
        <v>480</v>
      </c>
      <c r="H178" s="7" t="s">
        <v>10</v>
      </c>
      <c r="I178" s="7" t="s">
        <v>11</v>
      </c>
    </row>
    <row r="179" customFormat="false" ht="18" hidden="false" customHeight="false" outlineLevel="0" collapsed="false">
      <c r="A179" s="5" t="n">
        <v>44895</v>
      </c>
      <c r="B179" s="6" t="n">
        <v>0.249305555555556</v>
      </c>
      <c r="C179" s="7" t="n">
        <v>15301</v>
      </c>
      <c r="D179" s="7" t="s">
        <v>20</v>
      </c>
      <c r="E179" s="7" t="n">
        <v>24080</v>
      </c>
      <c r="F179" s="7" t="n">
        <v>15860</v>
      </c>
      <c r="G179" s="8" t="n">
        <v>8220</v>
      </c>
      <c r="H179" s="7" t="s">
        <v>10</v>
      </c>
      <c r="I179" s="7" t="s">
        <v>11</v>
      </c>
    </row>
    <row r="180" customFormat="false" ht="18" hidden="false" customHeight="false" outlineLevel="0" collapsed="false">
      <c r="A180" s="5" t="n">
        <v>44895</v>
      </c>
      <c r="B180" s="6" t="n">
        <v>0.497916666666667</v>
      </c>
      <c r="C180" s="7" t="n">
        <v>3736</v>
      </c>
      <c r="D180" s="7" t="s">
        <v>20</v>
      </c>
      <c r="E180" s="7" t="n">
        <v>16980</v>
      </c>
      <c r="F180" s="7" t="n">
        <v>15760</v>
      </c>
      <c r="G180" s="8" t="n">
        <v>1220</v>
      </c>
      <c r="H180" s="7" t="s">
        <v>10</v>
      </c>
      <c r="I180" s="7" t="s">
        <v>22</v>
      </c>
    </row>
    <row r="181" customFormat="false" ht="18" hidden="false" customHeight="false" outlineLevel="0" collapsed="false">
      <c r="A181" s="5" t="n">
        <v>44895</v>
      </c>
      <c r="B181" s="6" t="n">
        <v>0.426388888888889</v>
      </c>
      <c r="C181" s="7" t="n">
        <v>15316</v>
      </c>
      <c r="D181" s="7" t="s">
        <v>18</v>
      </c>
      <c r="E181" s="7" t="n">
        <v>3200</v>
      </c>
      <c r="F181" s="7" t="n">
        <v>2700</v>
      </c>
      <c r="G181" s="8" t="n">
        <v>500</v>
      </c>
      <c r="H181" s="7" t="s">
        <v>10</v>
      </c>
      <c r="I181" s="7" t="s">
        <v>21</v>
      </c>
    </row>
    <row r="182" customFormat="false" ht="18" hidden="false" customHeight="false" outlineLevel="0" collapsed="false">
      <c r="A182" s="5" t="n">
        <v>44895</v>
      </c>
      <c r="B182" s="6" t="n">
        <v>0.542361111111111</v>
      </c>
      <c r="C182" s="7" t="n">
        <v>15330</v>
      </c>
      <c r="D182" s="7" t="s">
        <v>19</v>
      </c>
      <c r="E182" s="7" t="n">
        <v>3680</v>
      </c>
      <c r="F182" s="7" t="n">
        <v>2860</v>
      </c>
      <c r="G182" s="8" t="n">
        <v>820</v>
      </c>
      <c r="H182" s="7" t="s">
        <v>10</v>
      </c>
      <c r="I182" s="7" t="s">
        <v>21</v>
      </c>
    </row>
    <row r="183" customFormat="false" ht="18" hidden="false" customHeight="false" outlineLevel="0" collapsed="false">
      <c r="A183" s="5" t="n">
        <v>44895</v>
      </c>
      <c r="B183" s="6" t="n">
        <v>0.5125</v>
      </c>
      <c r="C183" s="7" t="n">
        <v>15325</v>
      </c>
      <c r="D183" s="7" t="s">
        <v>16</v>
      </c>
      <c r="E183" s="7" t="n">
        <v>6500</v>
      </c>
      <c r="F183" s="7" t="n">
        <v>5660</v>
      </c>
      <c r="G183" s="8" t="n">
        <v>840</v>
      </c>
      <c r="H183" s="7" t="s">
        <v>10</v>
      </c>
      <c r="I183" s="7" t="s">
        <v>17</v>
      </c>
    </row>
    <row r="184" customFormat="false" ht="18" hidden="false" customHeight="false" outlineLevel="0" collapsed="false">
      <c r="A184" s="5" t="n">
        <v>44895</v>
      </c>
      <c r="B184" s="6" t="n">
        <v>0.357638888888889</v>
      </c>
      <c r="C184" s="7" t="n">
        <v>15308</v>
      </c>
      <c r="D184" s="7" t="s">
        <v>16</v>
      </c>
      <c r="E184" s="7" t="n">
        <v>6740</v>
      </c>
      <c r="F184" s="7" t="n">
        <v>5680</v>
      </c>
      <c r="G184" s="8" t="n">
        <v>1060</v>
      </c>
      <c r="H184" s="7" t="s">
        <v>10</v>
      </c>
      <c r="I184" s="7" t="s">
        <v>17</v>
      </c>
    </row>
    <row r="185" customFormat="false" ht="18" hidden="false" customHeight="false" outlineLevel="0" collapsed="false">
      <c r="A185" s="5" t="n">
        <v>44895</v>
      </c>
      <c r="B185" s="6" t="n">
        <v>0.540972222222222</v>
      </c>
      <c r="C185" s="7" t="n">
        <v>15329</v>
      </c>
      <c r="D185" s="7" t="s">
        <v>18</v>
      </c>
      <c r="E185" s="7" t="n">
        <v>3400</v>
      </c>
      <c r="F185" s="7" t="n">
        <v>2780</v>
      </c>
      <c r="G185" s="8" t="n">
        <v>620</v>
      </c>
      <c r="H185" s="7" t="s">
        <v>10</v>
      </c>
      <c r="I185" s="7" t="s">
        <v>21</v>
      </c>
    </row>
    <row r="186" customFormat="false" ht="18" hidden="false" customHeight="false" outlineLevel="0" collapsed="false">
      <c r="A186" s="5" t="n">
        <v>44887</v>
      </c>
      <c r="B186" s="6" t="n">
        <v>0.45</v>
      </c>
      <c r="C186" s="7" t="n">
        <v>15006</v>
      </c>
      <c r="D186" s="7" t="s">
        <v>14</v>
      </c>
      <c r="E186" s="7" t="n">
        <v>2560</v>
      </c>
      <c r="F186" s="7" t="n">
        <v>2380</v>
      </c>
      <c r="G186" s="8" t="n">
        <v>180</v>
      </c>
      <c r="H186" s="7" t="s">
        <v>10</v>
      </c>
      <c r="I186" s="7" t="s">
        <v>11</v>
      </c>
    </row>
    <row r="187" customFormat="false" ht="18" hidden="false" customHeight="false" outlineLevel="0" collapsed="false">
      <c r="A187" s="5"/>
      <c r="B187" s="7"/>
      <c r="C187" s="7"/>
      <c r="D187" s="7"/>
      <c r="E187" s="7"/>
      <c r="F187" s="7"/>
      <c r="G187" s="8"/>
      <c r="H187" s="7"/>
      <c r="I187" s="7"/>
    </row>
    <row r="188" customFormat="false" ht="18" hidden="false" customHeight="false" outlineLevel="0" collapsed="false">
      <c r="A188" s="5"/>
      <c r="B188" s="7"/>
      <c r="C188" s="7"/>
      <c r="D188" s="7"/>
      <c r="E188" s="7"/>
      <c r="F188" s="7"/>
      <c r="G188" s="8"/>
      <c r="H188" s="7"/>
      <c r="I188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4921875" defaultRowHeight="12.8" zeroHeight="false" outlineLevelRow="0" outlineLevelCol="0"/>
  <sheetData>
    <row r="1" customFormat="false" ht="12.8" hidden="false" customHeight="false" outlineLevel="0" collapsed="false">
      <c r="A1" s="10" t="s">
        <v>0</v>
      </c>
      <c r="B1" s="11" t="s">
        <v>26</v>
      </c>
    </row>
    <row r="3" customFormat="false" ht="12.8" hidden="false" customHeight="false" outlineLevel="0" collapsed="false">
      <c r="A3" s="12" t="s">
        <v>27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3</v>
      </c>
      <c r="B4" s="17" t="s">
        <v>21</v>
      </c>
      <c r="C4" s="18" t="s">
        <v>11</v>
      </c>
      <c r="D4" s="18" t="s">
        <v>22</v>
      </c>
      <c r="E4" s="18" t="s">
        <v>15</v>
      </c>
      <c r="F4" s="18" t="s">
        <v>17</v>
      </c>
      <c r="G4" s="19" t="s">
        <v>28</v>
      </c>
    </row>
    <row r="5" customFormat="false" ht="12.8" hidden="false" customHeight="false" outlineLevel="0" collapsed="false">
      <c r="A5" s="20" t="s">
        <v>25</v>
      </c>
      <c r="B5" s="21"/>
      <c r="C5" s="22"/>
      <c r="D5" s="22"/>
      <c r="E5" s="23" t="n">
        <v>2300</v>
      </c>
      <c r="F5" s="24"/>
      <c r="G5" s="25" t="n">
        <v>2300</v>
      </c>
    </row>
    <row r="6" customFormat="false" ht="12.8" hidden="false" customHeight="false" outlineLevel="0" collapsed="false">
      <c r="A6" s="26" t="s">
        <v>18</v>
      </c>
      <c r="B6" s="27" t="n">
        <v>11040</v>
      </c>
      <c r="C6" s="28" t="n">
        <v>1500</v>
      </c>
      <c r="D6" s="29"/>
      <c r="E6" s="29"/>
      <c r="F6" s="30" t="n">
        <v>420</v>
      </c>
      <c r="G6" s="31" t="n">
        <v>12960</v>
      </c>
    </row>
    <row r="7" customFormat="false" ht="12.8" hidden="false" customHeight="false" outlineLevel="0" collapsed="false">
      <c r="A7" s="26" t="s">
        <v>20</v>
      </c>
      <c r="B7" s="32"/>
      <c r="C7" s="28" t="n">
        <v>203200</v>
      </c>
      <c r="D7" s="28" t="n">
        <v>6120</v>
      </c>
      <c r="E7" s="28" t="n">
        <v>4780</v>
      </c>
      <c r="F7" s="33"/>
      <c r="G7" s="31" t="n">
        <v>214100</v>
      </c>
    </row>
    <row r="8" customFormat="false" ht="12.8" hidden="false" customHeight="false" outlineLevel="0" collapsed="false">
      <c r="A8" s="26" t="s">
        <v>9</v>
      </c>
      <c r="B8" s="32"/>
      <c r="C8" s="28" t="n">
        <v>81420</v>
      </c>
      <c r="D8" s="29"/>
      <c r="E8" s="28" t="n">
        <v>4440</v>
      </c>
      <c r="F8" s="33"/>
      <c r="G8" s="31" t="n">
        <v>85860</v>
      </c>
    </row>
    <row r="9" customFormat="false" ht="12.8" hidden="false" customHeight="false" outlineLevel="0" collapsed="false">
      <c r="A9" s="26" t="s">
        <v>14</v>
      </c>
      <c r="B9" s="32"/>
      <c r="C9" s="28" t="n">
        <v>7460</v>
      </c>
      <c r="D9" s="29"/>
      <c r="E9" s="29"/>
      <c r="F9" s="33"/>
      <c r="G9" s="31" t="n">
        <v>7460</v>
      </c>
    </row>
    <row r="10" customFormat="false" ht="12.8" hidden="false" customHeight="false" outlineLevel="0" collapsed="false">
      <c r="A10" s="26" t="s">
        <v>23</v>
      </c>
      <c r="B10" s="32"/>
      <c r="C10" s="28" t="n">
        <v>11340</v>
      </c>
      <c r="D10" s="29"/>
      <c r="E10" s="29"/>
      <c r="F10" s="33"/>
      <c r="G10" s="31" t="n">
        <v>11340</v>
      </c>
    </row>
    <row r="11" customFormat="false" ht="12.8" hidden="false" customHeight="false" outlineLevel="0" collapsed="false">
      <c r="A11" s="26" t="s">
        <v>19</v>
      </c>
      <c r="B11" s="27" t="n">
        <v>7200</v>
      </c>
      <c r="C11" s="28" t="n">
        <v>920</v>
      </c>
      <c r="D11" s="29"/>
      <c r="E11" s="29"/>
      <c r="F11" s="30" t="n">
        <v>540</v>
      </c>
      <c r="G11" s="31" t="n">
        <v>8660</v>
      </c>
    </row>
    <row r="12" customFormat="false" ht="12.8" hidden="false" customHeight="false" outlineLevel="0" collapsed="false">
      <c r="A12" s="26" t="s">
        <v>12</v>
      </c>
      <c r="B12" s="32"/>
      <c r="C12" s="28" t="n">
        <v>141920</v>
      </c>
      <c r="D12" s="29"/>
      <c r="E12" s="29"/>
      <c r="F12" s="33"/>
      <c r="G12" s="31" t="n">
        <v>141920</v>
      </c>
    </row>
    <row r="13" customFormat="false" ht="12.8" hidden="false" customHeight="false" outlineLevel="0" collapsed="false">
      <c r="A13" s="26" t="s">
        <v>13</v>
      </c>
      <c r="B13" s="32"/>
      <c r="C13" s="28" t="n">
        <v>20960</v>
      </c>
      <c r="D13" s="29"/>
      <c r="E13" s="29"/>
      <c r="F13" s="33"/>
      <c r="G13" s="31" t="n">
        <v>20960</v>
      </c>
    </row>
    <row r="14" customFormat="false" ht="12.8" hidden="false" customHeight="false" outlineLevel="0" collapsed="false">
      <c r="A14" s="26" t="s">
        <v>16</v>
      </c>
      <c r="B14" s="32"/>
      <c r="C14" s="29"/>
      <c r="D14" s="29"/>
      <c r="E14" s="29"/>
      <c r="F14" s="30" t="n">
        <v>15920</v>
      </c>
      <c r="G14" s="31" t="n">
        <v>15920</v>
      </c>
    </row>
    <row r="15" customFormat="false" ht="12.8" hidden="false" customHeight="false" outlineLevel="0" collapsed="false">
      <c r="A15" s="26" t="s">
        <v>24</v>
      </c>
      <c r="B15" s="34"/>
      <c r="C15" s="35" t="n">
        <v>30620</v>
      </c>
      <c r="D15" s="36"/>
      <c r="E15" s="36"/>
      <c r="F15" s="37"/>
      <c r="G15" s="38" t="n">
        <v>30620</v>
      </c>
    </row>
    <row r="16" customFormat="false" ht="12.8" hidden="false" customHeight="false" outlineLevel="0" collapsed="false">
      <c r="A16" s="39" t="s">
        <v>28</v>
      </c>
      <c r="B16" s="40" t="n">
        <v>18240</v>
      </c>
      <c r="C16" s="41" t="n">
        <v>499340</v>
      </c>
      <c r="D16" s="41" t="n">
        <v>6120</v>
      </c>
      <c r="E16" s="41" t="n">
        <v>11520</v>
      </c>
      <c r="F16" s="42" t="n">
        <v>16880</v>
      </c>
      <c r="G16" s="43" t="n">
        <v>552100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D74" activeCellId="0" sqref="D74"/>
    </sheetView>
  </sheetViews>
  <sheetFormatPr defaultColWidth="7.72265625" defaultRowHeight="13.8" zeroHeight="false" outlineLevelRow="0" outlineLevelCol="0"/>
  <cols>
    <col collapsed="false" customWidth="true" hidden="false" outlineLevel="0" max="1" min="1" style="44" width="15.11"/>
    <col collapsed="false" customWidth="true" hidden="false" outlineLevel="0" max="2" min="2" style="45" width="17.73"/>
    <col collapsed="false" customWidth="true" hidden="false" outlineLevel="0" max="3" min="3" style="45" width="10.72"/>
    <col collapsed="false" customWidth="true" hidden="false" outlineLevel="0" max="4" min="4" style="44" width="13.47"/>
    <col collapsed="false" customWidth="true" hidden="false" outlineLevel="0" max="6" min="5" style="45" width="11.27"/>
    <col collapsed="false" customWidth="true" hidden="false" outlineLevel="0" max="7" min="7" style="45" width="13.47"/>
    <col collapsed="false" customWidth="true" hidden="false" outlineLevel="0" max="8" min="8" style="45" width="14.54"/>
    <col collapsed="false" customWidth="true" hidden="false" outlineLevel="0" max="9" min="9" style="45" width="15.87"/>
    <col collapsed="false" customWidth="false" hidden="false" outlineLevel="0" max="11" min="10" style="45" width="7.73"/>
    <col collapsed="false" customWidth="true" hidden="false" outlineLevel="0" max="12" min="12" style="45" width="8.18"/>
    <col collapsed="false" customWidth="true" hidden="false" outlineLevel="0" max="13" min="13" style="45" width="12.8"/>
    <col collapsed="false" customWidth="true" hidden="false" outlineLevel="0" max="14" min="14" style="45" width="7.09"/>
    <col collapsed="false" customWidth="false" hidden="false" outlineLevel="0" max="1024" min="15" style="45" width="7.73"/>
  </cols>
  <sheetData>
    <row r="1" customFormat="false" ht="13.8" hidden="false" customHeight="false" outlineLevel="0" collapsed="false">
      <c r="A1" s="44" t="n">
        <v>1</v>
      </c>
      <c r="B1" s="44" t="n">
        <v>2</v>
      </c>
      <c r="C1" s="44" t="n">
        <v>3</v>
      </c>
      <c r="D1" s="44" t="n">
        <v>4</v>
      </c>
      <c r="E1" s="44" t="n">
        <v>5</v>
      </c>
      <c r="F1" s="44" t="n">
        <v>6</v>
      </c>
      <c r="G1" s="44" t="n">
        <v>7</v>
      </c>
    </row>
    <row r="2" customFormat="false" ht="13.8" hidden="false" customHeight="false" outlineLevel="0" collapsed="false">
      <c r="A2" s="46" t="s">
        <v>3</v>
      </c>
      <c r="B2" s="47" t="s">
        <v>29</v>
      </c>
      <c r="C2" s="48" t="s">
        <v>21</v>
      </c>
      <c r="D2" s="48" t="s">
        <v>11</v>
      </c>
      <c r="E2" s="48" t="s">
        <v>22</v>
      </c>
      <c r="F2" s="48" t="s">
        <v>15</v>
      </c>
      <c r="G2" s="48" t="s">
        <v>30</v>
      </c>
      <c r="H2" s="49" t="s">
        <v>28</v>
      </c>
    </row>
    <row r="3" customFormat="false" ht="13.8" hidden="false" customHeight="false" outlineLevel="0" collapsed="false">
      <c r="A3" s="50" t="s">
        <v>25</v>
      </c>
      <c r="B3" s="51"/>
      <c r="C3" s="52"/>
      <c r="D3" s="52"/>
      <c r="E3" s="52"/>
      <c r="F3" s="52" t="n">
        <v>2300</v>
      </c>
      <c r="G3" s="53"/>
      <c r="H3" s="54" t="n">
        <f aca="false">SUM(B3:G3)</f>
        <v>2300</v>
      </c>
    </row>
    <row r="4" customFormat="false" ht="13.8" hidden="false" customHeight="false" outlineLevel="0" collapsed="false">
      <c r="A4" s="55" t="s">
        <v>18</v>
      </c>
      <c r="B4" s="56"/>
      <c r="C4" s="57" t="n">
        <v>11040</v>
      </c>
      <c r="D4" s="57" t="n">
        <v>1500</v>
      </c>
      <c r="E4" s="57"/>
      <c r="F4" s="57"/>
      <c r="G4" s="58" t="n">
        <v>420</v>
      </c>
      <c r="H4" s="54" t="n">
        <f aca="false">SUM(B4:G4)</f>
        <v>12960</v>
      </c>
    </row>
    <row r="5" customFormat="false" ht="13.8" hidden="false" customHeight="false" outlineLevel="0" collapsed="false">
      <c r="A5" s="55" t="s">
        <v>20</v>
      </c>
      <c r="B5" s="56"/>
      <c r="C5" s="57"/>
      <c r="D5" s="57" t="n">
        <v>203200</v>
      </c>
      <c r="E5" s="57" t="n">
        <v>6120</v>
      </c>
      <c r="F5" s="57" t="n">
        <v>4780</v>
      </c>
      <c r="G5" s="58"/>
      <c r="H5" s="54" t="n">
        <f aca="false">SUM(B5:G5)</f>
        <v>214100</v>
      </c>
    </row>
    <row r="6" customFormat="false" ht="13.8" hidden="false" customHeight="false" outlineLevel="0" collapsed="false">
      <c r="A6" s="55" t="s">
        <v>9</v>
      </c>
      <c r="B6" s="56"/>
      <c r="C6" s="57"/>
      <c r="D6" s="57" t="n">
        <v>81420</v>
      </c>
      <c r="E6" s="57"/>
      <c r="F6" s="57" t="n">
        <v>4440</v>
      </c>
      <c r="G6" s="58"/>
      <c r="H6" s="54" t="n">
        <f aca="false">SUM(B6:G6)</f>
        <v>85860</v>
      </c>
    </row>
    <row r="7" customFormat="false" ht="13.8" hidden="false" customHeight="false" outlineLevel="0" collapsed="false">
      <c r="A7" s="55" t="s">
        <v>14</v>
      </c>
      <c r="B7" s="56"/>
      <c r="C7" s="57"/>
      <c r="D7" s="57" t="n">
        <v>7460</v>
      </c>
      <c r="E7" s="57"/>
      <c r="F7" s="57"/>
      <c r="G7" s="58"/>
      <c r="H7" s="54" t="n">
        <f aca="false">SUM(B7:G7)</f>
        <v>7460</v>
      </c>
    </row>
    <row r="8" customFormat="false" ht="13.8" hidden="false" customHeight="false" outlineLevel="0" collapsed="false">
      <c r="A8" s="55" t="s">
        <v>23</v>
      </c>
      <c r="B8" s="56"/>
      <c r="C8" s="57"/>
      <c r="D8" s="57" t="n">
        <v>11340</v>
      </c>
      <c r="E8" s="57"/>
      <c r="F8" s="57"/>
      <c r="G8" s="58"/>
      <c r="H8" s="54" t="n">
        <f aca="false">SUM(B8:G8)</f>
        <v>11340</v>
      </c>
    </row>
    <row r="9" customFormat="false" ht="13.8" hidden="false" customHeight="false" outlineLevel="0" collapsed="false">
      <c r="A9" s="55" t="s">
        <v>19</v>
      </c>
      <c r="B9" s="56"/>
      <c r="C9" s="57" t="n">
        <v>7200</v>
      </c>
      <c r="D9" s="57" t="n">
        <v>920</v>
      </c>
      <c r="E9" s="57"/>
      <c r="F9" s="57"/>
      <c r="G9" s="58" t="n">
        <v>540</v>
      </c>
      <c r="H9" s="54" t="n">
        <f aca="false">SUM(B9:G9)</f>
        <v>8660</v>
      </c>
    </row>
    <row r="10" customFormat="false" ht="13.8" hidden="false" customHeight="false" outlineLevel="0" collapsed="false">
      <c r="A10" s="55" t="s">
        <v>12</v>
      </c>
      <c r="B10" s="56"/>
      <c r="C10" s="57"/>
      <c r="D10" s="57" t="n">
        <v>141920</v>
      </c>
      <c r="E10" s="57"/>
      <c r="F10" s="57"/>
      <c r="G10" s="58"/>
      <c r="H10" s="54" t="n">
        <f aca="false">SUM(B10:G10)</f>
        <v>141920</v>
      </c>
    </row>
    <row r="11" customFormat="false" ht="13.8" hidden="false" customHeight="false" outlineLevel="0" collapsed="false">
      <c r="A11" s="55" t="s">
        <v>13</v>
      </c>
      <c r="B11" s="56"/>
      <c r="C11" s="57"/>
      <c r="D11" s="57" t="n">
        <v>20960</v>
      </c>
      <c r="E11" s="57"/>
      <c r="F11" s="57"/>
      <c r="G11" s="58"/>
      <c r="H11" s="54" t="n">
        <f aca="false">SUM(B11:G11)</f>
        <v>20960</v>
      </c>
    </row>
    <row r="12" customFormat="false" ht="13.8" hidden="false" customHeight="false" outlineLevel="0" collapsed="false">
      <c r="A12" s="55" t="s">
        <v>16</v>
      </c>
      <c r="B12" s="56"/>
      <c r="C12" s="57"/>
      <c r="D12" s="57"/>
      <c r="E12" s="57"/>
      <c r="F12" s="57"/>
      <c r="G12" s="58" t="n">
        <v>15920</v>
      </c>
      <c r="H12" s="54" t="n">
        <f aca="false">SUM(B12:G12)</f>
        <v>15920</v>
      </c>
    </row>
    <row r="13" customFormat="false" ht="13.8" hidden="false" customHeight="false" outlineLevel="0" collapsed="false">
      <c r="A13" s="55" t="s">
        <v>24</v>
      </c>
      <c r="B13" s="59"/>
      <c r="C13" s="60"/>
      <c r="D13" s="60" t="n">
        <v>30620</v>
      </c>
      <c r="E13" s="60"/>
      <c r="F13" s="60"/>
      <c r="G13" s="61"/>
      <c r="H13" s="54" t="n">
        <f aca="false">SUM(B13:G13)</f>
        <v>30620</v>
      </c>
      <c r="I13" s="45" t="s">
        <v>31</v>
      </c>
    </row>
    <row r="14" s="45" customFormat="true" ht="13.8" hidden="false" customHeight="false" outlineLevel="0" collapsed="false">
      <c r="B14" s="62"/>
      <c r="C14" s="62"/>
      <c r="D14" s="62"/>
      <c r="E14" s="62"/>
      <c r="F14" s="62"/>
      <c r="G14" s="62"/>
      <c r="H14" s="54" t="n">
        <f aca="false">SUM(B14:G14)</f>
        <v>0</v>
      </c>
    </row>
    <row r="15" customFormat="false" ht="13.8" hidden="false" customHeight="false" outlineLevel="0" collapsed="false">
      <c r="A15" s="49" t="s">
        <v>28</v>
      </c>
      <c r="B15" s="63" t="n">
        <f aca="false">SUM(B3:B14)</f>
        <v>0</v>
      </c>
      <c r="C15" s="63" t="n">
        <f aca="false">SUM(C3:C14)</f>
        <v>18240</v>
      </c>
      <c r="D15" s="63" t="n">
        <f aca="false">SUM(D3:D14)</f>
        <v>499340</v>
      </c>
      <c r="E15" s="63" t="n">
        <f aca="false">SUM(E3:E14)</f>
        <v>6120</v>
      </c>
      <c r="F15" s="63" t="n">
        <f aca="false">SUM(F3:F14)</f>
        <v>11520</v>
      </c>
      <c r="G15" s="63" t="n">
        <f aca="false">SUM(G3:G14)</f>
        <v>16880</v>
      </c>
      <c r="H15" s="64" t="n">
        <f aca="false">SUM(B15:G15)</f>
        <v>552100</v>
      </c>
    </row>
    <row r="16" customFormat="false" ht="13.8" hidden="false" customHeight="false" outlineLevel="0" collapsed="false">
      <c r="A16" s="65" t="s">
        <v>32</v>
      </c>
      <c r="B16" s="66" t="n">
        <f aca="false">+E81</f>
        <v>0</v>
      </c>
      <c r="C16" s="66" t="n">
        <f aca="false">+E75</f>
        <v>18240</v>
      </c>
      <c r="D16" s="66" t="n">
        <f aca="false">+F37</f>
        <v>499340</v>
      </c>
      <c r="E16" s="66" t="n">
        <f aca="false">+E66</f>
        <v>6120</v>
      </c>
      <c r="F16" s="66" t="n">
        <f aca="false">+E58</f>
        <v>11520</v>
      </c>
      <c r="G16" s="66" t="n">
        <f aca="false">+F48</f>
        <v>16880</v>
      </c>
      <c r="H16" s="67" t="n">
        <f aca="false">SUM(B16:G16)</f>
        <v>552100</v>
      </c>
    </row>
    <row r="17" customFormat="false" ht="13.8" hidden="false" customHeight="false" outlineLevel="0" collapsed="false">
      <c r="C17" s="68"/>
      <c r="D17" s="68"/>
      <c r="E17" s="68"/>
      <c r="F17" s="68"/>
      <c r="G17" s="68"/>
      <c r="H17" s="68"/>
    </row>
    <row r="18" customFormat="false" ht="13.8" hidden="false" customHeight="false" outlineLevel="0" collapsed="false">
      <c r="C18" s="68"/>
      <c r="D18" s="68" t="s">
        <v>33</v>
      </c>
      <c r="E18" s="68" t="s">
        <v>34</v>
      </c>
      <c r="F18" s="68" t="s">
        <v>35</v>
      </c>
      <c r="G18" s="68"/>
      <c r="H18" s="68"/>
    </row>
    <row r="19" customFormat="false" ht="13.8" hidden="false" customHeight="false" outlineLevel="0" collapsed="false">
      <c r="A19" s="69" t="s">
        <v>36</v>
      </c>
      <c r="B19" s="69"/>
      <c r="C19" s="69"/>
      <c r="D19" s="70" t="n">
        <f aca="false">+F37+F48+E58+E66+E75+E81</f>
        <v>552100</v>
      </c>
      <c r="E19" s="71" t="n">
        <f aca="false">+G37+G48+F58+F66+F75+F81</f>
        <v>552100</v>
      </c>
      <c r="F19" s="70" t="n">
        <f aca="false">+E19-D19</f>
        <v>0</v>
      </c>
      <c r="G19" s="68"/>
      <c r="H19" s="68"/>
    </row>
    <row r="20" customFormat="false" ht="13.8" hidden="false" customHeight="false" outlineLevel="0" collapsed="false">
      <c r="C20" s="68"/>
      <c r="D20" s="68"/>
      <c r="E20" s="68"/>
      <c r="F20" s="68"/>
      <c r="G20" s="68"/>
      <c r="H20" s="68"/>
    </row>
    <row r="21" s="45" customFormat="true" ht="13.8" hidden="false" customHeight="false" outlineLevel="0" collapsed="false"/>
    <row r="22" customFormat="false" ht="13.8" hidden="false" customHeight="false" outlineLevel="0" collapsed="false">
      <c r="A22" s="68" t="s">
        <v>11</v>
      </c>
      <c r="B22" s="68"/>
      <c r="C22" s="68"/>
      <c r="D22" s="68"/>
      <c r="E22" s="68"/>
      <c r="F22" s="68"/>
      <c r="G22" s="68"/>
      <c r="H22" s="68"/>
    </row>
    <row r="23" customFormat="false" ht="13.8" hidden="false" customHeight="false" outlineLevel="0" collapsed="false">
      <c r="A23" s="44" t="s">
        <v>37</v>
      </c>
      <c r="B23" s="45" t="s">
        <v>38</v>
      </c>
      <c r="C23" s="72" t="s">
        <v>39</v>
      </c>
      <c r="D23" s="73" t="s">
        <v>40</v>
      </c>
      <c r="E23" s="72" t="s">
        <v>41</v>
      </c>
      <c r="F23" s="74" t="s">
        <v>42</v>
      </c>
      <c r="G23" s="72" t="s">
        <v>34</v>
      </c>
      <c r="H23" s="72"/>
    </row>
    <row r="24" customFormat="false" ht="13.8" hidden="false" customHeight="false" outlineLevel="0" collapsed="false">
      <c r="A24" s="75" t="n">
        <v>109</v>
      </c>
      <c r="B24" s="76" t="s">
        <v>43</v>
      </c>
      <c r="C24" s="77" t="s">
        <v>25</v>
      </c>
      <c r="D24" s="78"/>
      <c r="E24" s="77"/>
      <c r="F24" s="79"/>
      <c r="G24" s="80" t="n">
        <f aca="false">IFERROR(INDEX($B$3:$G$14,MATCH(C24,$A$3:$A$14,0),MATCH($A$22,$B$2:$G$2,0)),0)</f>
        <v>0</v>
      </c>
      <c r="H24" s="81" t="str">
        <f aca="false">IF(G24=F24,"Bien",G24-F24)</f>
        <v>Bien</v>
      </c>
    </row>
    <row r="25" customFormat="false" ht="13.8" hidden="false" customHeight="false" outlineLevel="0" collapsed="false">
      <c r="A25" s="82" t="n">
        <v>333</v>
      </c>
      <c r="B25" s="83" t="s">
        <v>44</v>
      </c>
      <c r="C25" s="84" t="s">
        <v>18</v>
      </c>
      <c r="D25" s="85" t="s">
        <v>45</v>
      </c>
      <c r="E25" s="72" t="s">
        <v>46</v>
      </c>
      <c r="F25" s="74" t="n">
        <v>1500</v>
      </c>
      <c r="G25" s="86" t="n">
        <f aca="false">IFERROR(INDEX($B$3:$G$14,MATCH(C25,$A$3:$A$14,0),MATCH($A$22,$B$2:$G$2,0)),0)</f>
        <v>1500</v>
      </c>
      <c r="H25" s="87" t="str">
        <f aca="false">IF(G25=F25,"Bien",G25-F25)</f>
        <v>Bien</v>
      </c>
    </row>
    <row r="26" customFormat="false" ht="14.9" hidden="false" customHeight="false" outlineLevel="0" collapsed="false">
      <c r="A26" s="88" t="n">
        <v>320</v>
      </c>
      <c r="B26" s="89" t="s">
        <v>47</v>
      </c>
      <c r="C26" s="72" t="s">
        <v>20</v>
      </c>
      <c r="D26" s="85" t="s">
        <v>45</v>
      </c>
      <c r="E26" s="72" t="s">
        <v>46</v>
      </c>
      <c r="F26" s="74" t="n">
        <v>203200</v>
      </c>
      <c r="G26" s="86" t="n">
        <f aca="false">IFERROR(INDEX($B$3:$G$14,MATCH(C26,$A$3:$A$14,0),MATCH($A$22,$B$2:$G$2,0)),0)</f>
        <v>203200</v>
      </c>
      <c r="H26" s="87" t="str">
        <f aca="false">IF(G26=F26,"Bien",G26-F26)</f>
        <v>Bien</v>
      </c>
    </row>
    <row r="27" customFormat="false" ht="14.9" hidden="false" customHeight="false" outlineLevel="0" collapsed="false">
      <c r="A27" s="88" t="n">
        <v>321</v>
      </c>
      <c r="B27" s="89" t="s">
        <v>48</v>
      </c>
      <c r="C27" s="72" t="s">
        <v>9</v>
      </c>
      <c r="D27" s="85" t="s">
        <v>45</v>
      </c>
      <c r="E27" s="72" t="s">
        <v>46</v>
      </c>
      <c r="F27" s="74" t="n">
        <v>81420</v>
      </c>
      <c r="G27" s="86" t="n">
        <f aca="false">IFERROR(INDEX($B$3:$G$14,MATCH(C27,$A$3:$A$14,0),MATCH($A$22,$B$2:$G$2,0)),0)</f>
        <v>81420</v>
      </c>
      <c r="H27" s="87" t="str">
        <f aca="false">IF(G27=F27,"Bien",G27-F27)</f>
        <v>Bien</v>
      </c>
    </row>
    <row r="28" customFormat="false" ht="13.8" hidden="false" customHeight="false" outlineLevel="0" collapsed="false">
      <c r="A28" s="82" t="n">
        <v>316</v>
      </c>
      <c r="B28" s="45" t="s">
        <v>49</v>
      </c>
      <c r="C28" s="72" t="s">
        <v>14</v>
      </c>
      <c r="D28" s="85" t="s">
        <v>45</v>
      </c>
      <c r="E28" s="72" t="s">
        <v>46</v>
      </c>
      <c r="F28" s="0" t="n">
        <v>7460</v>
      </c>
      <c r="G28" s="86" t="n">
        <f aca="false">IFERROR(INDEX($B$3:$G$14,MATCH(C28,$A$3:$A$14,0),MATCH($A$22,$B$2:$G$2,0)),0)</f>
        <v>7460</v>
      </c>
      <c r="H28" s="87" t="str">
        <f aca="false">IF(G28=F28,"Bien",G28-F28)</f>
        <v>Bien</v>
      </c>
    </row>
    <row r="29" customFormat="false" ht="14.9" hidden="false" customHeight="false" outlineLevel="0" collapsed="false">
      <c r="A29" s="88" t="n">
        <v>196</v>
      </c>
      <c r="B29" s="89" t="s">
        <v>50</v>
      </c>
      <c r="C29" s="72" t="s">
        <v>51</v>
      </c>
      <c r="D29" s="85"/>
      <c r="E29" s="72"/>
      <c r="F29" s="0"/>
      <c r="G29" s="86" t="n">
        <f aca="false">IFERROR(INDEX($B$3:$G$14,MATCH(C29,$A$3:$A$14,0),MATCH($A$22,$B$2:$G$2,0)),0)</f>
        <v>0</v>
      </c>
      <c r="H29" s="87" t="str">
        <f aca="false">IF(G29=F29,"Bien",G29-F29)</f>
        <v>Bien</v>
      </c>
      <c r="I29" s="45" t="s">
        <v>52</v>
      </c>
    </row>
    <row r="30" customFormat="false" ht="13.8" hidden="false" customHeight="false" outlineLevel="0" collapsed="false">
      <c r="A30" s="82" t="n">
        <v>309</v>
      </c>
      <c r="B30" s="45" t="s">
        <v>53</v>
      </c>
      <c r="C30" s="72" t="s">
        <v>19</v>
      </c>
      <c r="D30" s="85" t="s">
        <v>45</v>
      </c>
      <c r="E30" s="72" t="s">
        <v>46</v>
      </c>
      <c r="F30" s="0" t="n">
        <v>920</v>
      </c>
      <c r="G30" s="86" t="n">
        <f aca="false">IFERROR(INDEX($B$3:$G$14,MATCH(C30,$A$3:$A$14,0),MATCH($A$22,$B$2:$G$2,0)),0)</f>
        <v>920</v>
      </c>
      <c r="H30" s="87" t="str">
        <f aca="false">IF(G30=F30,"Bien",G30-F30)</f>
        <v>Bien</v>
      </c>
      <c r="L30" s="82"/>
      <c r="M30" s="90"/>
      <c r="N30" s="83"/>
    </row>
    <row r="31" customFormat="false" ht="14.9" hidden="false" customHeight="false" outlineLevel="0" collapsed="false">
      <c r="A31" s="82" t="n">
        <v>318</v>
      </c>
      <c r="B31" s="89" t="s">
        <v>50</v>
      </c>
      <c r="C31" s="72" t="s">
        <v>12</v>
      </c>
      <c r="D31" s="85" t="s">
        <v>45</v>
      </c>
      <c r="E31" s="72" t="s">
        <v>46</v>
      </c>
      <c r="F31" s="0" t="n">
        <v>141920</v>
      </c>
      <c r="G31" s="86" t="n">
        <f aca="false">IFERROR(INDEX($B$3:$G$14,MATCH(C31,$A$3:$A$14,0),MATCH($A$22,$B$2:$G$2,0)),0)</f>
        <v>141920</v>
      </c>
      <c r="H31" s="87" t="str">
        <f aca="false">IF(G31=F31,"Bien",G31-F31)</f>
        <v>Bien</v>
      </c>
      <c r="L31" s="82"/>
      <c r="M31" s="83"/>
      <c r="N31" s="83"/>
    </row>
    <row r="32" customFormat="false" ht="14.9" hidden="false" customHeight="false" outlineLevel="0" collapsed="false">
      <c r="A32" s="82" t="n">
        <v>310</v>
      </c>
      <c r="B32" s="89" t="s">
        <v>54</v>
      </c>
      <c r="C32" s="83" t="s">
        <v>13</v>
      </c>
      <c r="D32" s="85" t="n">
        <v>1</v>
      </c>
      <c r="E32" s="72" t="s">
        <v>55</v>
      </c>
      <c r="F32" s="0" t="n">
        <v>20960</v>
      </c>
      <c r="G32" s="86" t="n">
        <f aca="false">IFERROR(INDEX($B$3:$G$14,MATCH(C32,$A$3:$A$14,0),MATCH($A$22,$B$2:$G$2,0)),0)</f>
        <v>20960</v>
      </c>
      <c r="H32" s="87" t="str">
        <f aca="false">IF(G32=F32,"Bien",G32-F32)</f>
        <v>Bien</v>
      </c>
      <c r="N32" s="89"/>
    </row>
    <row r="33" customFormat="false" ht="13.8" hidden="false" customHeight="false" outlineLevel="0" collapsed="false">
      <c r="A33" s="82" t="n">
        <v>296</v>
      </c>
      <c r="B33" s="83" t="s">
        <v>56</v>
      </c>
      <c r="C33" s="83" t="s">
        <v>16</v>
      </c>
      <c r="D33" s="85"/>
      <c r="E33" s="72"/>
      <c r="F33" s="91"/>
      <c r="G33" s="86" t="n">
        <f aca="false">IFERROR(INDEX($B$3:$G$14,MATCH(C33,$A$3:$A$14,0),MATCH($A$22,$B$2:$G$2,0)),0)</f>
        <v>0</v>
      </c>
      <c r="H33" s="92" t="str">
        <f aca="false">IF(G33=F33,"Bien",G33-F33)</f>
        <v>Bien</v>
      </c>
      <c r="N33" s="89"/>
    </row>
    <row r="34" customFormat="false" ht="13.8" hidden="false" customHeight="false" outlineLevel="0" collapsed="false">
      <c r="A34" s="93"/>
      <c r="B34" s="94" t="s">
        <v>43</v>
      </c>
      <c r="C34" s="94" t="s">
        <v>57</v>
      </c>
      <c r="D34" s="95"/>
      <c r="E34" s="96"/>
      <c r="F34" s="97"/>
      <c r="G34" s="98" t="n">
        <f aca="false">IFERROR(INDEX($B$3:$G$14,MATCH(C34,$A$3:$A$14,0),MATCH($A$22,$B$2:$G$2,0)),0)</f>
        <v>0</v>
      </c>
      <c r="H34" s="99" t="str">
        <f aca="false">IF(G34=F34,"Bien",G34-F34)</f>
        <v>Bien</v>
      </c>
      <c r="I34" s="45" t="s">
        <v>58</v>
      </c>
      <c r="N34" s="89"/>
    </row>
    <row r="35" customFormat="false" ht="13.8" hidden="false" customHeight="false" outlineLevel="0" collapsed="false">
      <c r="A35" s="93"/>
      <c r="B35" s="94"/>
      <c r="C35" s="94" t="s">
        <v>23</v>
      </c>
      <c r="D35" s="85" t="s">
        <v>45</v>
      </c>
      <c r="E35" s="96" t="s">
        <v>55</v>
      </c>
      <c r="F35" s="97" t="n">
        <v>11340</v>
      </c>
      <c r="G35" s="98" t="n">
        <f aca="false">IFERROR(INDEX($B$3:$G$14,MATCH(C35,$A$3:$A$14,0),MATCH($A$22,$B$2:$G$2,0)),0)</f>
        <v>11340</v>
      </c>
      <c r="H35" s="99" t="str">
        <f aca="false">IF(G35=F35,"Bien",G35-F35)</f>
        <v>Bien</v>
      </c>
      <c r="I35" s="45" t="s">
        <v>52</v>
      </c>
      <c r="N35" s="89"/>
    </row>
    <row r="36" customFormat="false" ht="13.8" hidden="false" customHeight="false" outlineLevel="0" collapsed="false">
      <c r="A36" s="93"/>
      <c r="B36" s="94"/>
      <c r="C36" s="94" t="s">
        <v>24</v>
      </c>
      <c r="D36" s="85" t="s">
        <v>45</v>
      </c>
      <c r="E36" s="96" t="s">
        <v>55</v>
      </c>
      <c r="F36" s="97" t="n">
        <v>30620</v>
      </c>
      <c r="G36" s="98" t="n">
        <f aca="false">IFERROR(INDEX($B$3:$G$14,MATCH(C36,$A$3:$A$14,0),MATCH($A$22,$B$2:$G$2,0)),0)</f>
        <v>30620</v>
      </c>
      <c r="H36" s="99" t="str">
        <f aca="false">IF(G36=F36,"Bien",G36-F36)</f>
        <v>Bien</v>
      </c>
      <c r="I36" s="45" t="s">
        <v>52</v>
      </c>
      <c r="N36" s="89"/>
    </row>
    <row r="37" customFormat="false" ht="13.8" hidden="false" customHeight="false" outlineLevel="0" collapsed="false">
      <c r="C37" s="72"/>
      <c r="D37" s="73"/>
      <c r="E37" s="72"/>
      <c r="F37" s="100" t="n">
        <f aca="false">SUM(F24:F36)</f>
        <v>499340</v>
      </c>
      <c r="G37" s="101" t="n">
        <f aca="false">SUM(G24:G36)</f>
        <v>499340</v>
      </c>
      <c r="H37" s="72"/>
      <c r="I37" s="102" t="str">
        <f aca="false">IF(G37=D15,"OK","Revisar")</f>
        <v>OK</v>
      </c>
      <c r="L37" s="82"/>
      <c r="N37" s="72"/>
    </row>
    <row r="38" customFormat="false" ht="13.8" hidden="false" customHeight="false" outlineLevel="0" collapsed="false">
      <c r="A38" s="68" t="str">
        <f aca="false">+G2</f>
        <v>VOLUMINOSOS</v>
      </c>
      <c r="B38" s="68"/>
      <c r="C38" s="68"/>
      <c r="D38" s="68"/>
      <c r="E38" s="68"/>
      <c r="F38" s="68"/>
      <c r="G38" s="68"/>
      <c r="H38" s="68"/>
      <c r="L38" s="82"/>
      <c r="N38" s="72"/>
    </row>
    <row r="39" customFormat="false" ht="13.8" hidden="false" customHeight="false" outlineLevel="0" collapsed="false">
      <c r="C39" s="72" t="s">
        <v>39</v>
      </c>
      <c r="D39" s="73" t="s">
        <v>59</v>
      </c>
      <c r="E39" s="72" t="s">
        <v>60</v>
      </c>
      <c r="F39" s="100" t="s">
        <v>42</v>
      </c>
      <c r="G39" s="72" t="s">
        <v>34</v>
      </c>
      <c r="H39" s="72"/>
    </row>
    <row r="40" customFormat="false" ht="13.8" hidden="false" customHeight="false" outlineLevel="0" collapsed="false">
      <c r="A40" s="75" t="n">
        <v>109</v>
      </c>
      <c r="B40" s="76" t="s">
        <v>43</v>
      </c>
      <c r="C40" s="77" t="s">
        <v>25</v>
      </c>
      <c r="D40" s="103"/>
      <c r="E40" s="79"/>
      <c r="F40" s="79"/>
      <c r="G40" s="104" t="n">
        <f aca="false">IFERROR(INDEX($B$3:$G$14,MATCH(C40,$A$3:$A$14,0),MATCH($A$38,$B$2:$G$2,0)),0)</f>
        <v>0</v>
      </c>
      <c r="H40" s="105" t="str">
        <f aca="false">IF(G40=F40,"Bien",G40-F40)</f>
        <v>Bien</v>
      </c>
    </row>
    <row r="41" customFormat="false" ht="13.8" hidden="false" customHeight="false" outlineLevel="0" collapsed="false">
      <c r="A41" s="82" t="n">
        <v>333</v>
      </c>
      <c r="B41" s="45" t="s">
        <v>44</v>
      </c>
      <c r="C41" s="72" t="s">
        <v>18</v>
      </c>
      <c r="D41" s="106" t="n">
        <v>2</v>
      </c>
      <c r="E41" s="74" t="n">
        <v>1</v>
      </c>
      <c r="F41" s="74" t="n">
        <v>420</v>
      </c>
      <c r="G41" s="107" t="n">
        <f aca="false">IFERROR(INDEX($B$3:$G$14,MATCH(C41,$A$3:$A$14,0),MATCH($A$38,$B$2:$G$2,0)),0)</f>
        <v>420</v>
      </c>
      <c r="H41" s="108" t="str">
        <f aca="false">IF(G41=F41,"Bien",G41-F41)</f>
        <v>Bien</v>
      </c>
    </row>
    <row r="42" customFormat="false" ht="13.8" hidden="false" customHeight="false" outlineLevel="0" collapsed="false">
      <c r="A42" s="82" t="n">
        <v>316</v>
      </c>
      <c r="B42" s="83" t="s">
        <v>49</v>
      </c>
      <c r="C42" s="83" t="s">
        <v>14</v>
      </c>
      <c r="D42" s="106"/>
      <c r="E42" s="74"/>
      <c r="F42" s="74"/>
      <c r="G42" s="107" t="n">
        <f aca="false">IFERROR(INDEX($B$3:$G$14,MATCH(C42,$A$3:$A$14,0),MATCH($A$38,$B$2:$G$2,0)),0)</f>
        <v>0</v>
      </c>
      <c r="H42" s="108" t="str">
        <f aca="false">IF(G42=F42,"Bien",G42-F42)</f>
        <v>Bien</v>
      </c>
    </row>
    <row r="43" customFormat="false" ht="13.8" hidden="false" customHeight="false" outlineLevel="0" collapsed="false">
      <c r="A43" s="82" t="n">
        <v>309</v>
      </c>
      <c r="B43" s="45" t="s">
        <v>53</v>
      </c>
      <c r="C43" s="72" t="s">
        <v>19</v>
      </c>
      <c r="D43" s="106" t="n">
        <v>2</v>
      </c>
      <c r="E43" s="74" t="n">
        <v>2</v>
      </c>
      <c r="F43" s="74" t="n">
        <v>540</v>
      </c>
      <c r="G43" s="107" t="n">
        <f aca="false">IFERROR(INDEX($B$3:$G$14,MATCH(C43,$A$3:$A$14,0),MATCH($A$38,$B$2:$G$2,0)),0)</f>
        <v>540</v>
      </c>
      <c r="H43" s="109" t="str">
        <f aca="false">IF(G43=F43,"Bien",G43-F43)</f>
        <v>Bien</v>
      </c>
    </row>
    <row r="44" customFormat="false" ht="13.8" hidden="false" customHeight="false" outlineLevel="0" collapsed="false">
      <c r="A44" s="82" t="n">
        <v>296</v>
      </c>
      <c r="B44" s="83" t="s">
        <v>56</v>
      </c>
      <c r="C44" s="83" t="s">
        <v>16</v>
      </c>
      <c r="D44" s="110" t="n">
        <v>2</v>
      </c>
      <c r="E44" s="111" t="n">
        <v>16</v>
      </c>
      <c r="F44" s="111" t="n">
        <v>15920</v>
      </c>
      <c r="G44" s="107" t="n">
        <f aca="false">IFERROR(INDEX($B$3:$G$14,MATCH(C44,$A$3:$A$14,0),MATCH($A$38,$B$2:$G$2,0)),0)</f>
        <v>15920</v>
      </c>
      <c r="H44" s="109" t="str">
        <f aca="false">IF(G44=F44,"Bien",G44-F44)</f>
        <v>Bien</v>
      </c>
    </row>
    <row r="45" customFormat="false" ht="13.8" hidden="false" customHeight="false" outlineLevel="0" collapsed="false">
      <c r="A45" s="82"/>
      <c r="B45" s="112" t="s">
        <v>43</v>
      </c>
      <c r="C45" s="112" t="s">
        <v>57</v>
      </c>
      <c r="D45" s="110"/>
      <c r="E45" s="111"/>
      <c r="F45" s="111"/>
      <c r="G45" s="107" t="n">
        <f aca="false">IFERROR(INDEX($B$3:$G$14,MATCH(C45,$A$3:$A$14,0),MATCH($A$38,$B$2:$G$2,0)),0)</f>
        <v>0</v>
      </c>
      <c r="H45" s="108" t="str">
        <f aca="false">IF(G45=F45,"Bien",G45-F45)</f>
        <v>Bien</v>
      </c>
    </row>
    <row r="46" customFormat="false" ht="13.8" hidden="false" customHeight="false" outlineLevel="0" collapsed="false">
      <c r="A46" s="82"/>
      <c r="B46" s="83"/>
      <c r="C46" s="112" t="s">
        <v>61</v>
      </c>
      <c r="D46" s="110"/>
      <c r="E46" s="111"/>
      <c r="F46" s="111"/>
      <c r="G46" s="107" t="n">
        <f aca="false">IFERROR(INDEX($B$3:$G$14,MATCH(C46,$A$3:$A$14,0),MATCH($A$38,$B$2:$G$2,0)),0)</f>
        <v>0</v>
      </c>
      <c r="H46" s="108" t="str">
        <f aca="false">IF(G46=F46,"Bien",G46-F46)</f>
        <v>Bien</v>
      </c>
    </row>
    <row r="47" customFormat="false" ht="14.9" hidden="false" customHeight="false" outlineLevel="0" collapsed="false">
      <c r="A47" s="93"/>
      <c r="B47" s="113" t="s">
        <v>62</v>
      </c>
      <c r="C47" s="114" t="s">
        <v>63</v>
      </c>
      <c r="D47" s="115"/>
      <c r="E47" s="116"/>
      <c r="F47" s="116"/>
      <c r="G47" s="117" t="n">
        <f aca="false">IFERROR(INDEX($B$3:$G$14,MATCH(C47,$A$3:$A$14,0),MATCH($A$38,$B$2:$G$2,0)),0)</f>
        <v>0</v>
      </c>
      <c r="H47" s="118" t="str">
        <f aca="false">IF(G47=F47,"Bien",G47-F47)</f>
        <v>Bien</v>
      </c>
    </row>
    <row r="48" s="45" customFormat="true" ht="13.8" hidden="false" customHeight="false" outlineLevel="0" collapsed="false">
      <c r="D48" s="73"/>
      <c r="E48" s="72"/>
      <c r="F48" s="100" t="n">
        <f aca="false">SUM(F40:F47)</f>
        <v>16880</v>
      </c>
      <c r="G48" s="101" t="n">
        <f aca="false">SUM(G40:G47)</f>
        <v>16880</v>
      </c>
      <c r="H48" s="72"/>
      <c r="I48" s="102" t="str">
        <f aca="false">+IF(G48=G15,"OK","Revisar")</f>
        <v>OK</v>
      </c>
    </row>
    <row r="49" customFormat="false" ht="13.8" hidden="false" customHeight="false" outlineLevel="0" collapsed="false">
      <c r="C49" s="72"/>
      <c r="D49" s="73"/>
      <c r="E49" s="72"/>
      <c r="F49" s="100"/>
      <c r="G49" s="101"/>
      <c r="H49" s="72"/>
    </row>
    <row r="50" customFormat="false" ht="13.8" hidden="false" customHeight="false" outlineLevel="0" collapsed="false">
      <c r="A50" s="68" t="s">
        <v>15</v>
      </c>
      <c r="B50" s="68"/>
      <c r="C50" s="68"/>
      <c r="D50" s="68"/>
      <c r="E50" s="68"/>
      <c r="F50" s="68"/>
      <c r="G50" s="68"/>
      <c r="H50" s="68"/>
    </row>
    <row r="51" customFormat="false" ht="13.8" hidden="false" customHeight="false" outlineLevel="0" collapsed="false">
      <c r="C51" s="119" t="s">
        <v>39</v>
      </c>
      <c r="D51" s="120" t="s">
        <v>60</v>
      </c>
      <c r="E51" s="121" t="s">
        <v>42</v>
      </c>
      <c r="F51" s="122" t="s">
        <v>34</v>
      </c>
      <c r="G51" s="72"/>
      <c r="H51" s="72"/>
    </row>
    <row r="52" customFormat="false" ht="13.8" hidden="false" customHeight="false" outlineLevel="0" collapsed="false">
      <c r="A52" s="123" t="n">
        <v>109</v>
      </c>
      <c r="B52" s="124" t="s">
        <v>43</v>
      </c>
      <c r="C52" s="77" t="s">
        <v>25</v>
      </c>
      <c r="D52" s="125" t="n">
        <v>1</v>
      </c>
      <c r="E52" s="126" t="n">
        <v>2300</v>
      </c>
      <c r="F52" s="127" t="n">
        <f aca="false">IFERROR(INDEX($B$3:$G$14,MATCH(C52,$A$3:$A$14,0),MATCH($A$50,$B$2:$G$2,0)),0)</f>
        <v>2300</v>
      </c>
      <c r="G52" s="105" t="str">
        <f aca="false">IF(F52=E52,"Bien",F52-E52)</f>
        <v>Bien</v>
      </c>
      <c r="H52" s="72"/>
    </row>
    <row r="53" customFormat="false" ht="14.9" hidden="false" customHeight="false" outlineLevel="0" collapsed="false">
      <c r="A53" s="128" t="n">
        <v>320</v>
      </c>
      <c r="B53" s="129" t="s">
        <v>47</v>
      </c>
      <c r="C53" s="72" t="s">
        <v>20</v>
      </c>
      <c r="D53" s="130" t="n">
        <v>2</v>
      </c>
      <c r="E53" s="131" t="n">
        <v>4780</v>
      </c>
      <c r="F53" s="132" t="n">
        <f aca="false">IFERROR(INDEX($B$3:$G$14,MATCH(C53,$A$3:$A$14,0),MATCH($A$50,$B$2:$G$2,0)),0)</f>
        <v>4780</v>
      </c>
      <c r="G53" s="108" t="str">
        <f aca="false">IF(F53=E53,"Bien",F53-E53)</f>
        <v>Bien</v>
      </c>
      <c r="H53" s="72"/>
    </row>
    <row r="54" customFormat="false" ht="14.9" hidden="false" customHeight="false" outlineLevel="0" collapsed="false">
      <c r="A54" s="128" t="n">
        <v>321</v>
      </c>
      <c r="B54" s="129" t="s">
        <v>48</v>
      </c>
      <c r="C54" s="72" t="s">
        <v>9</v>
      </c>
      <c r="D54" s="130" t="n">
        <v>2</v>
      </c>
      <c r="E54" s="131" t="n">
        <v>4440</v>
      </c>
      <c r="F54" s="132" t="n">
        <f aca="false">IFERROR(INDEX($B$3:$G$14,MATCH(C54,$A$3:$A$14,0),MATCH($A$50,$B$2:$G$2,0)),0)</f>
        <v>4440</v>
      </c>
      <c r="G54" s="108" t="str">
        <f aca="false">IF(F54=E54,"Bien",F54-E54)</f>
        <v>Bien</v>
      </c>
      <c r="H54" s="72"/>
    </row>
    <row r="55" customFormat="false" ht="13.8" hidden="false" customHeight="false" outlineLevel="0" collapsed="false">
      <c r="A55" s="133" t="n">
        <v>296</v>
      </c>
      <c r="B55" s="134" t="s">
        <v>56</v>
      </c>
      <c r="C55" s="72" t="s">
        <v>16</v>
      </c>
      <c r="D55" s="130"/>
      <c r="E55" s="135"/>
      <c r="F55" s="132" t="n">
        <f aca="false">IFERROR(INDEX($B$3:$G$14,MATCH(C55,$A$3:$A$14,0),MATCH($A$50,$B$2:$G$2,0)),0)</f>
        <v>0</v>
      </c>
      <c r="G55" s="108" t="str">
        <f aca="false">IF(F55=E55,"Bien",F55-E55)</f>
        <v>Bien</v>
      </c>
      <c r="H55" s="72"/>
    </row>
    <row r="56" customFormat="false" ht="14.9" hidden="false" customHeight="false" outlineLevel="0" collapsed="false">
      <c r="A56" s="128"/>
      <c r="B56" s="136"/>
      <c r="C56" s="137" t="s">
        <v>61</v>
      </c>
      <c r="D56" s="138"/>
      <c r="E56" s="139"/>
      <c r="F56" s="132" t="n">
        <f aca="false">IFERROR(INDEX($B$3:$G$14,MATCH(C56,$A$3:$A$14,0),MATCH($A$50,$B$2:$G$2,0)),0)</f>
        <v>0</v>
      </c>
      <c r="G56" s="108" t="str">
        <f aca="false">IF(F56=E56,"Bien",F56-E56)</f>
        <v>Bien</v>
      </c>
      <c r="H56" s="72"/>
    </row>
    <row r="57" customFormat="false" ht="13.8" hidden="false" customHeight="false" outlineLevel="0" collapsed="false">
      <c r="A57" s="140"/>
      <c r="B57" s="141" t="s">
        <v>43</v>
      </c>
      <c r="C57" s="94" t="s">
        <v>57</v>
      </c>
      <c r="D57" s="142"/>
      <c r="E57" s="143"/>
      <c r="F57" s="144" t="n">
        <f aca="false">IFERROR(INDEX($B$3:$G$14,MATCH(C57,$A$3:$A$14,0),MATCH($A$50,$B$2:$G$2,0)),0)</f>
        <v>0</v>
      </c>
      <c r="G57" s="118" t="str">
        <f aca="false">IF(F57=E57,"Bien",F57-E57)</f>
        <v>Bien</v>
      </c>
      <c r="H57" s="72"/>
    </row>
    <row r="58" customFormat="false" ht="13.8" hidden="false" customHeight="false" outlineLevel="0" collapsed="false">
      <c r="C58" s="72"/>
      <c r="D58" s="130"/>
      <c r="E58" s="101" t="n">
        <f aca="false">SUM(E52:E57)</f>
        <v>11520</v>
      </c>
      <c r="F58" s="101" t="n">
        <f aca="false">SUM(F52:F57)</f>
        <v>11520</v>
      </c>
      <c r="G58" s="72"/>
      <c r="H58" s="72"/>
      <c r="I58" s="102" t="str">
        <f aca="false">+IF(F58=F15,"OK","Revisar")</f>
        <v>OK</v>
      </c>
    </row>
    <row r="59" customFormat="false" ht="13.8" hidden="false" customHeight="false" outlineLevel="0" collapsed="false">
      <c r="A59" s="68" t="s">
        <v>22</v>
      </c>
      <c r="B59" s="68"/>
      <c r="C59" s="68"/>
      <c r="D59" s="68"/>
      <c r="E59" s="68"/>
      <c r="F59" s="68"/>
      <c r="G59" s="68"/>
      <c r="H59" s="72"/>
    </row>
    <row r="60" customFormat="false" ht="13.8" hidden="false" customHeight="false" outlineLevel="0" collapsed="false">
      <c r="C60" s="72" t="s">
        <v>39</v>
      </c>
      <c r="D60" s="73" t="s">
        <v>60</v>
      </c>
      <c r="E60" s="72" t="s">
        <v>42</v>
      </c>
      <c r="F60" s="100" t="s">
        <v>34</v>
      </c>
      <c r="G60" s="72"/>
      <c r="H60" s="72"/>
    </row>
    <row r="61" customFormat="false" ht="13.8" hidden="false" customHeight="false" outlineLevel="0" collapsed="false">
      <c r="A61" s="145" t="n">
        <v>109</v>
      </c>
      <c r="B61" s="146" t="s">
        <v>43</v>
      </c>
      <c r="C61" s="147" t="s">
        <v>25</v>
      </c>
      <c r="D61" s="148"/>
      <c r="E61" s="149"/>
      <c r="F61" s="150" t="n">
        <f aca="false">IFERROR(INDEX($B$3:$G$14,MATCH(C61,$A$3:$A$14,0),MATCH($A$59,$B$2:$G$2,0)),0)</f>
        <v>0</v>
      </c>
      <c r="G61" s="151" t="str">
        <f aca="false">IF(F61=E61,"Bien",F61-E61)</f>
        <v>Bien</v>
      </c>
      <c r="H61" s="72"/>
    </row>
    <row r="62" customFormat="false" ht="14.9" hidden="false" customHeight="false" outlineLevel="0" collapsed="false">
      <c r="A62" s="152" t="n">
        <v>320</v>
      </c>
      <c r="B62" s="89" t="s">
        <v>47</v>
      </c>
      <c r="C62" s="72" t="s">
        <v>20</v>
      </c>
      <c r="D62" s="138" t="n">
        <v>4</v>
      </c>
      <c r="E62" s="139" t="n">
        <v>6120</v>
      </c>
      <c r="F62" s="86" t="n">
        <f aca="false">IFERROR(INDEX($B$3:$G$14,MATCH(C62,$A$3:$A$14,0),MATCH($A$59,$B$2:$G$2,0)),0)</f>
        <v>6120</v>
      </c>
      <c r="G62" s="92" t="str">
        <f aca="false">IF(F62=E62,"Bien",F62-E62)</f>
        <v>Bien</v>
      </c>
      <c r="H62" s="72"/>
    </row>
    <row r="63" customFormat="false" ht="14.9" hidden="false" customHeight="false" outlineLevel="0" collapsed="false">
      <c r="A63" s="152" t="n">
        <v>321</v>
      </c>
      <c r="B63" s="89" t="s">
        <v>48</v>
      </c>
      <c r="C63" s="72" t="s">
        <v>9</v>
      </c>
      <c r="D63" s="138"/>
      <c r="E63" s="139"/>
      <c r="F63" s="86" t="n">
        <f aca="false">IFERROR(INDEX($B$3:$G$14,MATCH(C63,$A$3:$A$14,0),MATCH($A$59,$B$2:$G$2,0)),0)</f>
        <v>0</v>
      </c>
      <c r="G63" s="92" t="str">
        <f aca="false">IF(F63=E63,"Bien",F63-E63)</f>
        <v>Bien</v>
      </c>
      <c r="H63" s="72"/>
    </row>
    <row r="64" customFormat="false" ht="13.8" hidden="false" customHeight="false" outlineLevel="0" collapsed="false">
      <c r="A64" s="153" t="n">
        <v>296</v>
      </c>
      <c r="B64" s="45" t="s">
        <v>56</v>
      </c>
      <c r="C64" s="72" t="s">
        <v>16</v>
      </c>
      <c r="D64" s="138"/>
      <c r="E64" s="139"/>
      <c r="F64" s="86" t="n">
        <f aca="false">IFERROR(INDEX($B$3:$G$14,MATCH(C64,$A$3:$A$14,0),MATCH($A$59,$B$2:$G$2,0)),0)</f>
        <v>0</v>
      </c>
      <c r="G64" s="92" t="str">
        <f aca="false">IF(F64=E64,"Bien",F64-E64)</f>
        <v>Bien</v>
      </c>
      <c r="H64" s="72"/>
    </row>
    <row r="65" customFormat="false" ht="14.9" hidden="false" customHeight="false" outlineLevel="0" collapsed="false">
      <c r="A65" s="154"/>
      <c r="B65" s="155"/>
      <c r="C65" s="156" t="s">
        <v>61</v>
      </c>
      <c r="D65" s="157"/>
      <c r="E65" s="158"/>
      <c r="F65" s="159" t="n">
        <f aca="false">IFERROR(INDEX($B$3:$G$14,MATCH(C65,$A$3:$A$14,0),MATCH($A$59,$B$2:$G$2,0)),0)</f>
        <v>0</v>
      </c>
      <c r="G65" s="99" t="str">
        <f aca="false">IF(F65=E65,"Bien",F65-E65)</f>
        <v>Bien</v>
      </c>
      <c r="H65" s="72"/>
    </row>
    <row r="66" customFormat="false" ht="13.8" hidden="false" customHeight="false" outlineLevel="0" collapsed="false">
      <c r="C66" s="72"/>
      <c r="D66" s="130"/>
      <c r="E66" s="101" t="n">
        <f aca="false">SUM(E61:E65)</f>
        <v>6120</v>
      </c>
      <c r="F66" s="101" t="n">
        <f aca="false">SUM(F61:F65)</f>
        <v>6120</v>
      </c>
      <c r="G66" s="72"/>
      <c r="H66" s="72"/>
      <c r="I66" s="102" t="str">
        <f aca="false">+IF(F66=E15,"OK","Revisar")</f>
        <v>OK</v>
      </c>
    </row>
    <row r="67" customFormat="false" ht="13.8" hidden="false" customHeight="false" outlineLevel="0" collapsed="false">
      <c r="A67" s="68" t="s">
        <v>21</v>
      </c>
      <c r="B67" s="68"/>
      <c r="C67" s="68"/>
      <c r="D67" s="68"/>
      <c r="E67" s="68"/>
      <c r="F67" s="68"/>
      <c r="G67" s="68"/>
      <c r="H67" s="72"/>
    </row>
    <row r="68" customFormat="false" ht="13.8" hidden="false" customHeight="false" outlineLevel="0" collapsed="false">
      <c r="C68" s="72" t="s">
        <v>39</v>
      </c>
      <c r="D68" s="73" t="s">
        <v>60</v>
      </c>
      <c r="E68" s="72" t="s">
        <v>42</v>
      </c>
      <c r="F68" s="100" t="s">
        <v>34</v>
      </c>
      <c r="G68" s="72"/>
      <c r="H68" s="72"/>
    </row>
    <row r="69" customFormat="false" ht="13.8" hidden="false" customHeight="false" outlineLevel="0" collapsed="false">
      <c r="A69" s="145" t="n">
        <v>109</v>
      </c>
      <c r="B69" s="146" t="s">
        <v>43</v>
      </c>
      <c r="C69" s="147" t="s">
        <v>25</v>
      </c>
      <c r="D69" s="160"/>
      <c r="E69" s="149"/>
      <c r="F69" s="150" t="n">
        <f aca="false">IFERROR(INDEX($B$3:$G$14,MATCH(C69,$A$3:$A$14,0),MATCH($A$67,$B$2:$G$2,0)),0)</f>
        <v>0</v>
      </c>
      <c r="G69" s="151" t="str">
        <f aca="false">IF(F69=E69,"Bien",F69-E69)</f>
        <v>Bien</v>
      </c>
      <c r="H69" s="72"/>
    </row>
    <row r="70" customFormat="false" ht="13.8" hidden="false" customHeight="false" outlineLevel="0" collapsed="false">
      <c r="A70" s="153" t="n">
        <v>333</v>
      </c>
      <c r="B70" s="83" t="s">
        <v>44</v>
      </c>
      <c r="C70" s="83" t="s">
        <v>18</v>
      </c>
      <c r="D70" s="138" t="n">
        <v>19</v>
      </c>
      <c r="E70" s="161" t="n">
        <v>11040</v>
      </c>
      <c r="F70" s="86" t="n">
        <f aca="false">IFERROR(INDEX($B$3:$G$14,MATCH(C70,$A$3:$A$14,0),MATCH($A$67,$B$2:$G$2,0)),0)</f>
        <v>11040</v>
      </c>
      <c r="G70" s="92" t="str">
        <f aca="false">IF(F70=E70,"Bien",F70-E70)</f>
        <v>Bien</v>
      </c>
      <c r="H70" s="72"/>
    </row>
    <row r="71" customFormat="false" ht="14.9" hidden="false" customHeight="false" outlineLevel="0" collapsed="false">
      <c r="A71" s="162"/>
      <c r="B71" s="45" t="s">
        <v>62</v>
      </c>
      <c r="C71" s="89" t="s">
        <v>63</v>
      </c>
      <c r="D71" s="135"/>
      <c r="E71" s="135"/>
      <c r="F71" s="86" t="n">
        <f aca="false">IFERROR(INDEX($B$3:$G$14,MATCH(C71,$A$3:$A$14,0),MATCH($A$67,$B$2:$G$2,0)),0)</f>
        <v>0</v>
      </c>
      <c r="G71" s="92" t="str">
        <f aca="false">IF(F71=E71,"Bien",F71-E71)</f>
        <v>Bien</v>
      </c>
      <c r="H71" s="72"/>
    </row>
    <row r="72" customFormat="false" ht="13.8" hidden="false" customHeight="false" outlineLevel="0" collapsed="false">
      <c r="A72" s="153" t="n">
        <v>316</v>
      </c>
      <c r="B72" s="45" t="s">
        <v>49</v>
      </c>
      <c r="C72" s="72" t="s">
        <v>14</v>
      </c>
      <c r="D72" s="135"/>
      <c r="E72" s="135"/>
      <c r="F72" s="86" t="n">
        <f aca="false">IFERROR(INDEX($B$3:$G$14,MATCH(C72,$A$3:$A$14,0),MATCH($A$67,$B$2:$G$2,0)),0)</f>
        <v>0</v>
      </c>
      <c r="G72" s="92" t="str">
        <f aca="false">IF(F72=E72,"Bien",F72-E72)</f>
        <v>Bien</v>
      </c>
      <c r="H72" s="72"/>
    </row>
    <row r="73" customFormat="false" ht="13.8" hidden="false" customHeight="false" outlineLevel="0" collapsed="false">
      <c r="A73" s="153" t="n">
        <v>309</v>
      </c>
      <c r="B73" s="45" t="s">
        <v>53</v>
      </c>
      <c r="C73" s="72" t="s">
        <v>19</v>
      </c>
      <c r="D73" s="130" t="n">
        <v>10</v>
      </c>
      <c r="E73" s="131" t="n">
        <v>7200</v>
      </c>
      <c r="F73" s="86" t="n">
        <f aca="false">IFERROR(INDEX($B$3:$G$14,MATCH(C73,$A$3:$A$14,0),MATCH($A$67,$B$2:$G$2,0)),0)</f>
        <v>7200</v>
      </c>
      <c r="G73" s="92" t="str">
        <f aca="false">IF(F73=E73,"Bien",F73-E73)</f>
        <v>Bien</v>
      </c>
      <c r="H73" s="72"/>
    </row>
    <row r="74" customFormat="false" ht="13.8" hidden="false" customHeight="false" outlineLevel="0" collapsed="false">
      <c r="A74" s="163" t="n">
        <v>296</v>
      </c>
      <c r="B74" s="155" t="s">
        <v>56</v>
      </c>
      <c r="C74" s="155" t="s">
        <v>16</v>
      </c>
      <c r="D74" s="157"/>
      <c r="E74" s="164"/>
      <c r="F74" s="159" t="n">
        <f aca="false">IFERROR(INDEX($B$3:$G$14,MATCH(C74,$A$3:$A$14,0),MATCH($A$67,$B$2:$G$2,0)),0)</f>
        <v>0</v>
      </c>
      <c r="G74" s="99" t="str">
        <f aca="false">IF(F74=E74,"Bien",F74-E74)</f>
        <v>Bien</v>
      </c>
      <c r="H74" s="72"/>
    </row>
    <row r="75" customFormat="false" ht="13.8" hidden="false" customHeight="false" outlineLevel="0" collapsed="false">
      <c r="C75" s="72"/>
      <c r="D75" s="130"/>
      <c r="E75" s="101" t="n">
        <f aca="false">SUM(E69:E74)</f>
        <v>18240</v>
      </c>
      <c r="F75" s="101" t="n">
        <f aca="false">SUM(F69:F74)</f>
        <v>18240</v>
      </c>
      <c r="G75" s="72"/>
      <c r="H75" s="72"/>
      <c r="I75" s="102" t="str">
        <f aca="false">+IF(F75=C15,"OK","Revisar")</f>
        <v>OK</v>
      </c>
    </row>
    <row r="76" customFormat="false" ht="13.8" hidden="false" customHeight="false" outlineLevel="0" collapsed="false">
      <c r="A76" s="68" t="s">
        <v>29</v>
      </c>
      <c r="B76" s="68"/>
      <c r="C76" s="68"/>
      <c r="D76" s="68"/>
      <c r="E76" s="68"/>
      <c r="F76" s="68"/>
      <c r="G76" s="68"/>
      <c r="H76" s="72"/>
    </row>
    <row r="77" customFormat="false" ht="13.8" hidden="false" customHeight="false" outlineLevel="0" collapsed="false">
      <c r="C77" s="72" t="s">
        <v>39</v>
      </c>
      <c r="D77" s="73" t="s">
        <v>60</v>
      </c>
      <c r="E77" s="72" t="s">
        <v>42</v>
      </c>
      <c r="F77" s="100" t="s">
        <v>34</v>
      </c>
      <c r="G77" s="72"/>
      <c r="H77" s="72"/>
    </row>
    <row r="78" customFormat="false" ht="13.8" hidden="false" customHeight="false" outlineLevel="0" collapsed="false">
      <c r="A78" s="145" t="n">
        <v>109</v>
      </c>
      <c r="B78" s="146" t="s">
        <v>43</v>
      </c>
      <c r="C78" s="147" t="s">
        <v>25</v>
      </c>
      <c r="D78" s="148"/>
      <c r="E78" s="149"/>
      <c r="F78" s="150" t="n">
        <f aca="false">IFERROR(INDEX($B$3:$G$14,MATCH(C78,$A$3:$A$14,0),MATCH($A$76,$B$2:$G$2,0)),0)</f>
        <v>0</v>
      </c>
      <c r="G78" s="151" t="str">
        <f aca="false">IF(F78=E78,"Bien",F78-E78)</f>
        <v>Bien</v>
      </c>
      <c r="H78" s="72"/>
    </row>
    <row r="79" customFormat="false" ht="13.8" hidden="false" customHeight="false" outlineLevel="0" collapsed="false">
      <c r="A79" s="153" t="n">
        <v>309</v>
      </c>
      <c r="B79" s="45" t="s">
        <v>53</v>
      </c>
      <c r="C79" s="72" t="s">
        <v>19</v>
      </c>
      <c r="D79" s="130"/>
      <c r="E79" s="135"/>
      <c r="F79" s="86" t="n">
        <f aca="false">IFERROR(INDEX($B$3:$G$14,MATCH(C79,$A$3:$A$14,0),MATCH($A$76,$B$2:$G$2,0)),0)</f>
        <v>0</v>
      </c>
      <c r="G79" s="92" t="str">
        <f aca="false">IF(F79=E79,"Bien",F79-E79)</f>
        <v>Bien</v>
      </c>
      <c r="H79" s="72"/>
    </row>
    <row r="80" customFormat="false" ht="13.8" hidden="false" customHeight="false" outlineLevel="0" collapsed="false">
      <c r="A80" s="163" t="n">
        <v>296</v>
      </c>
      <c r="B80" s="155" t="s">
        <v>56</v>
      </c>
      <c r="C80" s="155" t="s">
        <v>16</v>
      </c>
      <c r="D80" s="157"/>
      <c r="E80" s="158"/>
      <c r="F80" s="159" t="n">
        <f aca="false">IFERROR(INDEX($B$3:$G$14,MATCH(C80,$A$3:$A$14,0),MATCH($A$76,$B$2:$G$2,0)),0)</f>
        <v>0</v>
      </c>
      <c r="G80" s="99" t="str">
        <f aca="false">IF(F80=E80,"Bien",F80-E80)</f>
        <v>Bien</v>
      </c>
      <c r="H80" s="72"/>
    </row>
    <row r="81" customFormat="false" ht="13.8" hidden="false" customHeight="false" outlineLevel="0" collapsed="false">
      <c r="C81" s="72"/>
      <c r="D81" s="130"/>
      <c r="E81" s="101" t="n">
        <f aca="false">SUM(E78:E80)</f>
        <v>0</v>
      </c>
      <c r="F81" s="101" t="n">
        <f aca="false">SUM(F78:F80)</f>
        <v>0</v>
      </c>
      <c r="G81" s="72"/>
      <c r="H81" s="72"/>
      <c r="I81" s="102" t="str">
        <f aca="false">+IF(F81=B15,"OK","Revisar")</f>
        <v>OK</v>
      </c>
    </row>
  </sheetData>
  <mergeCells count="7">
    <mergeCell ref="A19:C19"/>
    <mergeCell ref="A22:H22"/>
    <mergeCell ref="A38:H38"/>
    <mergeCell ref="A50:H50"/>
    <mergeCell ref="A59:G59"/>
    <mergeCell ref="A67:G67"/>
    <mergeCell ref="A76:G76"/>
  </mergeCells>
  <conditionalFormatting sqref="H24:H36">
    <cfRule type="cellIs" priority="2" operator="notEqual" aboveAverage="0" equalAverage="0" bottom="0" percent="0" rank="0" text="" dxfId="0">
      <formula>""bien""</formula>
    </cfRule>
  </conditionalFormatting>
  <conditionalFormatting sqref="H40">
    <cfRule type="cellIs" priority="3" operator="notEqual" aboveAverage="0" equalAverage="0" bottom="0" percent="0" rank="0" text="" dxfId="1">
      <formula>""bien""</formula>
    </cfRule>
  </conditionalFormatting>
  <conditionalFormatting sqref="H41:H47">
    <cfRule type="cellIs" priority="4" operator="notEqual" aboveAverage="0" equalAverage="0" bottom="0" percent="0" rank="0" text="" dxfId="2">
      <formula>""bien""</formula>
    </cfRule>
  </conditionalFormatting>
  <conditionalFormatting sqref="G52">
    <cfRule type="cellIs" priority="5" operator="notEqual" aboveAverage="0" equalAverage="0" bottom="0" percent="0" rank="0" text="" dxfId="3">
      <formula>""bien""</formula>
    </cfRule>
  </conditionalFormatting>
  <conditionalFormatting sqref="G53:G57">
    <cfRule type="cellIs" priority="6" operator="notEqual" aboveAverage="0" equalAverage="0" bottom="0" percent="0" rank="0" text="" dxfId="4">
      <formula>""bien""</formula>
    </cfRule>
  </conditionalFormatting>
  <conditionalFormatting sqref="G61">
    <cfRule type="cellIs" priority="7" operator="notEqual" aboveAverage="0" equalAverage="0" bottom="0" percent="0" rank="0" text="" dxfId="5">
      <formula>""bien""</formula>
    </cfRule>
  </conditionalFormatting>
  <conditionalFormatting sqref="G62:G65">
    <cfRule type="cellIs" priority="8" operator="notEqual" aboveAverage="0" equalAverage="0" bottom="0" percent="0" rank="0" text="" dxfId="6">
      <formula>""bien""</formula>
    </cfRule>
  </conditionalFormatting>
  <conditionalFormatting sqref="G69">
    <cfRule type="cellIs" priority="9" operator="notEqual" aboveAverage="0" equalAverage="0" bottom="0" percent="0" rank="0" text="" dxfId="7">
      <formula>""bien""</formula>
    </cfRule>
  </conditionalFormatting>
  <conditionalFormatting sqref="G70:G74">
    <cfRule type="cellIs" priority="10" operator="notEqual" aboveAverage="0" equalAverage="0" bottom="0" percent="0" rank="0" text="" dxfId="8">
      <formula>""bien""</formula>
    </cfRule>
  </conditionalFormatting>
  <conditionalFormatting sqref="G78">
    <cfRule type="cellIs" priority="11" operator="notEqual" aboveAverage="0" equalAverage="0" bottom="0" percent="0" rank="0" text="" dxfId="9">
      <formula>""bien""</formula>
    </cfRule>
  </conditionalFormatting>
  <conditionalFormatting sqref="G79:G80">
    <cfRule type="cellIs" priority="12" operator="notEqual" aboveAverage="0" equalAverage="0" bottom="0" percent="0" rank="0" text="" dxfId="10">
      <formula>""bien""</formula>
    </cfRule>
  </conditionalFormatting>
  <conditionalFormatting sqref="B16:G16">
    <cfRule type="cellIs" priority="13" operator="notEqual" aboveAverage="0" equalAverage="0" bottom="0" percent="0" rank="0" text="" dxfId="11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D814EF-5D22-425D-9386-C973D975CE0C}"/>
</file>

<file path=customXml/itemProps2.xml><?xml version="1.0" encoding="utf-8"?>
<ds:datastoreItem xmlns:ds="http://schemas.openxmlformats.org/officeDocument/2006/customXml" ds:itemID="{CC300AFD-ED07-4BB6-9856-4F44FD863C14}"/>
</file>

<file path=customXml/itemProps3.xml><?xml version="1.0" encoding="utf-8"?>
<ds:datastoreItem xmlns:ds="http://schemas.openxmlformats.org/officeDocument/2006/customXml" ds:itemID="{A7A3FC60-001C-4764-905E-32E3C0BC609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2022-12-05T08:42:32Z</dcterms:created>
  <dc:creator>Administrador</dc:creator>
  <dc:description/>
  <dc:language>es-ES</dc:language>
  <cp:lastModifiedBy/>
  <cp:lastPrinted>2022-12-05T08:42:38Z</cp:lastPrinted>
  <dcterms:modified xsi:type="dcterms:W3CDTF">2022-12-21T09:10:51Z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