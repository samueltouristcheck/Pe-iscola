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book.xml" ContentType="application/vnd.openxmlformats-officedocument.spreadsheetml.sheet.main+xml"/>
  <Override PartName="/xl/media/image1.jpeg" ContentType="image/jpe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_rels/pivotTable3.xml.rels" ContentType="application/vnd.openxmlformats-package.relationships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_rels/pivotCacheDefinition2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forme" sheetId="1" state="visible" r:id="rId2"/>
    <sheet name="Pesadas octubre" sheetId="2" state="visible" r:id="rId3"/>
    <sheet name="Tabla dinámica_Pesadas octubre_1" sheetId="3" state="visible" r:id="rId4"/>
    <sheet name="RSU" sheetId="4" state="visible" r:id="rId5"/>
    <sheet name="Vehiculos" sheetId="5" state="visible" r:id="rId6"/>
    <sheet name="Hoja5" sheetId="6" state="visible" r:id="rId7"/>
  </sheets>
  <definedNames>
    <definedName function="false" hidden="false" localSheetId="0" name="_xlnm.Print_Area" vbProcedure="false">Informe!$A$1:$G$64</definedName>
    <definedName function="false" hidden="true" localSheetId="1" name="_xlnm._FilterDatabase" vbProcedure="false">'Pesadas octubre'!$A$1:$J$244</definedName>
    <definedName function="false" hidden="true" localSheetId="4" name="_xlnm._FilterDatabase" vbProcedure="false">Vehiculos!$A$1:$J$54</definedName>
    <definedName function="false" hidden="false" localSheetId="1" name="_xlnm._FilterDatabase_0" vbProcedure="false">'Pesadas octubre'!$A$1:$I$360</definedName>
  </definedNames>
  <calcPr iterateCount="100" refMode="A1" iterate="false" iterateDelta="0.0001"/>
  <pivotCaches>
    <pivotCache cacheId="1" r:id="rId9"/>
    <pivotCache cacheId="2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<sst xmlns="http://schemas.openxmlformats.org/spreadsheetml/2006/main" count="1583" uniqueCount="282">
  <si>
    <t xml:space="preserve">INFORME MENSUAL DE LOS SERVICIOS DE RECOGIDA DE RESIDUOS</t>
  </si>
  <si>
    <t xml:space="preserve">Fecha</t>
  </si>
  <si>
    <t xml:space="preserve">Temporada</t>
  </si>
  <si>
    <t xml:space="preserve">Media</t>
  </si>
  <si>
    <t xml:space="preserve">Responsable técnico</t>
  </si>
  <si>
    <t xml:space="preserve">Eliseo Castell Marín</t>
  </si>
  <si>
    <t xml:space="preserve">1. Recogida de residuos urbanos</t>
  </si>
  <si>
    <t xml:space="preserve">Equipos utilizados</t>
  </si>
  <si>
    <t xml:space="preserve">Ruta</t>
  </si>
  <si>
    <t xml:space="preserve">Horario</t>
  </si>
  <si>
    <t xml:space="preserve">Kg recogidos</t>
  </si>
  <si>
    <t xml:space="preserve">Incidencias</t>
  </si>
  <si>
    <t xml:space="preserve">7809JZX</t>
  </si>
  <si>
    <t xml:space="preserve">Noche</t>
  </si>
  <si>
    <t xml:space="preserve">6120JZX</t>
  </si>
  <si>
    <t xml:space="preserve">Dia/Noche</t>
  </si>
  <si>
    <t xml:space="preserve">7542KBV</t>
  </si>
  <si>
    <t xml:space="preserve">2-3-4-5</t>
  </si>
  <si>
    <t xml:space="preserve">1730KBZ</t>
  </si>
  <si>
    <t xml:space="preserve">1821KBZ</t>
  </si>
  <si>
    <t xml:space="preserve">0315BGK</t>
  </si>
  <si>
    <t xml:space="preserve">Día/Noche</t>
  </si>
  <si>
    <t xml:space="preserve">3686KBG</t>
  </si>
  <si>
    <t xml:space="preserve">Dia</t>
  </si>
  <si>
    <t xml:space="preserve">2. Recogida de enseres y voluminosos</t>
  </si>
  <si>
    <t xml:space="preserve">Nº operarios</t>
  </si>
  <si>
    <t xml:space="preserve">Frecuencia/mensual</t>
  </si>
  <si>
    <t xml:space="preserve">Todas las zonas</t>
  </si>
  <si>
    <t xml:space="preserve">3. Recogida selectiva de residuos</t>
  </si>
  <si>
    <t xml:space="preserve">Tipo de residuo</t>
  </si>
  <si>
    <t xml:space="preserve">Equipo utilizado</t>
  </si>
  <si>
    <t xml:space="preserve">Papel</t>
  </si>
  <si>
    <t xml:space="preserve">Envases</t>
  </si>
  <si>
    <t xml:space="preserve">Poda</t>
  </si>
  <si>
    <t xml:space="preserve">Limpieza de playa</t>
  </si>
  <si>
    <t xml:space="preserve">7957JZS</t>
  </si>
  <si>
    <t xml:space="preserve">4. Contenedores. Mantenimiento y lavado</t>
  </si>
  <si>
    <t xml:space="preserve">Relación de operaciones de mantenimiento realizadas</t>
  </si>
  <si>
    <t xml:space="preserve">Reparación de contenedores carga trasera: 5 ud.</t>
  </si>
  <si>
    <t xml:space="preserve">Reparación de contenedores carga trasera hoteles: 1 ud.</t>
  </si>
  <si>
    <t xml:space="preserve">Reparación de contenedores carga lateral: 6 ud.</t>
  </si>
  <si>
    <t xml:space="preserve">Relación de operaciones de limpieza</t>
  </si>
  <si>
    <t xml:space="preserve">Tipo de contenedor/cantidad</t>
  </si>
  <si>
    <t xml:space="preserve">CS6350AK</t>
  </si>
  <si>
    <t xml:space="preserve">Traseros / 280</t>
  </si>
  <si>
    <t xml:space="preserve">2210DZV</t>
  </si>
  <si>
    <t xml:space="preserve">Laterales /236</t>
  </si>
  <si>
    <t xml:space="preserve">1557-DJW</t>
  </si>
  <si>
    <t xml:space="preserve">Traseros / 302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</si>
  <si>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</si>
  <si>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</si>
  <si>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</si>
  <si>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</si>
  <si>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</si>
  <si>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</si>
  <si>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</si>
  <si>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</si>
  <si>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marca</t>
  </si>
  <si>
    <t xml:space="preserve">Peñiscola </t>
  </si>
  <si>
    <t xml:space="preserve">RSU</t>
  </si>
  <si>
    <t xml:space="preserve">x</t>
  </si>
  <si>
    <t xml:space="preserve">SEL.PAP</t>
  </si>
  <si>
    <t xml:space="preserve">VOL</t>
  </si>
  <si>
    <t xml:space="preserve">SEL.ENV</t>
  </si>
  <si>
    <t xml:space="preserve">PODA</t>
  </si>
  <si>
    <t xml:space="preserve">LIMP. PLAY</t>
  </si>
  <si>
    <t xml:space="preserve">- todo -</t>
  </si>
  <si>
    <t xml:space="preserve">Suma - Carga</t>
  </si>
  <si>
    <t xml:space="preserve">Total Resultado</t>
  </si>
  <si>
    <t xml:space="preserve">(vacío)</t>
  </si>
  <si>
    <t xml:space="preserve">Cantidad - Fecha</t>
  </si>
  <si>
    <t xml:space="preserve">Nº Veh.</t>
  </si>
  <si>
    <t xml:space="preserve">Marca y Modelo</t>
  </si>
  <si>
    <t xml:space="preserve">F. Matric</t>
  </si>
  <si>
    <t xml:space="preserve">Empresa</t>
  </si>
  <si>
    <t xml:space="preserve">Dpto.</t>
  </si>
  <si>
    <t xml:space="preserve">Cat. SAP</t>
  </si>
  <si>
    <t xml:space="preserve">Centro Coste</t>
  </si>
  <si>
    <t xml:space="preserve">Descripción</t>
  </si>
  <si>
    <t xml:space="preserve">Lavacontenedores lateral</t>
  </si>
  <si>
    <t xml:space="preserve">0059</t>
  </si>
  <si>
    <t xml:space="preserve">CS42174VE</t>
  </si>
  <si>
    <t xml:space="preserve"> Cherrington Limpia Playas</t>
  </si>
  <si>
    <t xml:space="preserve">3000</t>
  </si>
  <si>
    <t xml:space="preserve">7008</t>
  </si>
  <si>
    <t xml:space="preserve">V0158</t>
  </si>
  <si>
    <t xml:space="preserve">0300010278</t>
  </si>
  <si>
    <t xml:space="preserve">Peñiscola LV Explotacion</t>
  </si>
  <si>
    <t xml:space="preserve">0065</t>
  </si>
  <si>
    <t xml:space="preserve">CS7675AJ</t>
  </si>
  <si>
    <t xml:space="preserve"> Scania 93 ML 6x2 A</t>
  </si>
  <si>
    <t xml:space="preserve">V0018</t>
  </si>
  <si>
    <t xml:space="preserve">0300010267</t>
  </si>
  <si>
    <t xml:space="preserve">Peñiscola RSU Recogida</t>
  </si>
  <si>
    <t xml:space="preserve">0079</t>
  </si>
  <si>
    <t xml:space="preserve">SRAKE79</t>
  </si>
  <si>
    <t xml:space="preserve"> Barber Surf Rake 600 HD</t>
  </si>
  <si>
    <t xml:space="preserve">V0182</t>
  </si>
  <si>
    <t xml:space="preserve">0089</t>
  </si>
  <si>
    <t xml:space="preserve">CS44377VE</t>
  </si>
  <si>
    <t xml:space="preserve"> Bucher CityCat 2000</t>
  </si>
  <si>
    <t xml:space="preserve">V0030</t>
  </si>
  <si>
    <t xml:space="preserve">0095</t>
  </si>
  <si>
    <t xml:space="preserve">CS1637AW</t>
  </si>
  <si>
    <t xml:space="preserve"> Iveco MH190E27 / P</t>
  </si>
  <si>
    <t xml:space="preserve">V0032</t>
  </si>
  <si>
    <t xml:space="preserve">0104</t>
  </si>
  <si>
    <t xml:space="preserve">7173BGH</t>
  </si>
  <si>
    <t xml:space="preserve"> Nissan Cabstar E 110.35</t>
  </si>
  <si>
    <t xml:space="preserve">V0038</t>
  </si>
  <si>
    <t xml:space="preserve">0115</t>
  </si>
  <si>
    <t xml:space="preserve">E6483BBS</t>
  </si>
  <si>
    <t xml:space="preserve"> John Deere 6910 (103KW)</t>
  </si>
  <si>
    <t xml:space="preserve">V0048</t>
  </si>
  <si>
    <t xml:space="preserve">0119</t>
  </si>
  <si>
    <t xml:space="preserve">0587BPB</t>
  </si>
  <si>
    <t xml:space="preserve"> Land Rover Defender 130</t>
  </si>
  <si>
    <t xml:space="preserve">V0049</t>
  </si>
  <si>
    <t xml:space="preserve">0128</t>
  </si>
  <si>
    <t xml:space="preserve">9825BYG</t>
  </si>
  <si>
    <t xml:space="preserve">V0055</t>
  </si>
  <si>
    <t xml:space="preserve">0145</t>
  </si>
  <si>
    <t xml:space="preserve">C0720BRB</t>
  </si>
  <si>
    <t xml:space="preserve"> Honda SZX50X</t>
  </si>
  <si>
    <t xml:space="preserve">V0164</t>
  </si>
  <si>
    <t xml:space="preserve">0152</t>
  </si>
  <si>
    <t xml:space="preserve">E9358BDD</t>
  </si>
  <si>
    <t xml:space="preserve"> Kassbohrer Beach Tech STR 3000</t>
  </si>
  <si>
    <t xml:space="preserve">V0068</t>
  </si>
  <si>
    <t xml:space="preserve">0153</t>
  </si>
  <si>
    <t xml:space="preserve">E0424BDF</t>
  </si>
  <si>
    <t xml:space="preserve"> John Deere 6820</t>
  </si>
  <si>
    <t xml:space="preserve">V0069</t>
  </si>
  <si>
    <t xml:space="preserve">0155</t>
  </si>
  <si>
    <t xml:space="preserve">E5511BDF</t>
  </si>
  <si>
    <t xml:space="preserve"> Ravo 5002 Compact</t>
  </si>
  <si>
    <t xml:space="preserve">V0071</t>
  </si>
  <si>
    <t xml:space="preserve">0159</t>
  </si>
  <si>
    <t xml:space="preserve">E5996BDH</t>
  </si>
  <si>
    <t xml:space="preserve"> Ecologica ECO 100</t>
  </si>
  <si>
    <t xml:space="preserve">V0075</t>
  </si>
  <si>
    <t xml:space="preserve">0161</t>
  </si>
  <si>
    <t xml:space="preserve">7105DRK</t>
  </si>
  <si>
    <t xml:space="preserve"> Citroen Jumper 2.8 HDI</t>
  </si>
  <si>
    <t xml:space="preserve">V0077</t>
  </si>
  <si>
    <t xml:space="preserve">0163</t>
  </si>
  <si>
    <t xml:space="preserve">2122DTL</t>
  </si>
  <si>
    <t xml:space="preserve"> Iveco 35C12 Cabina Doble</t>
  </si>
  <si>
    <t xml:space="preserve">V0079</t>
  </si>
  <si>
    <t xml:space="preserve">0166</t>
  </si>
  <si>
    <t xml:space="preserve">6886DVG</t>
  </si>
  <si>
    <t xml:space="preserve"> Iveco ML150E24</t>
  </si>
  <si>
    <t xml:space="preserve">V0081</t>
  </si>
  <si>
    <t xml:space="preserve">0170</t>
  </si>
  <si>
    <t xml:space="preserve">7777FCX</t>
  </si>
  <si>
    <t xml:space="preserve"> Renault 320.26 S (6X2)</t>
  </si>
  <si>
    <t xml:space="preserve">V0082</t>
  </si>
  <si>
    <t xml:space="preserve">0183</t>
  </si>
  <si>
    <t xml:space="preserve">E5639BCB</t>
  </si>
  <si>
    <t xml:space="preserve"> KASSBOHRER Beach Teach STR2000</t>
  </si>
  <si>
    <t xml:space="preserve">V0186</t>
  </si>
  <si>
    <t xml:space="preserve">0260</t>
  </si>
  <si>
    <t xml:space="preserve">CS8930AU</t>
  </si>
  <si>
    <t xml:space="preserve"> Nissan Cabstar 110.45</t>
  </si>
  <si>
    <t xml:space="preserve">V0406</t>
  </si>
  <si>
    <t xml:space="preserve">0292</t>
  </si>
  <si>
    <t xml:space="preserve">7668JZB</t>
  </si>
  <si>
    <t xml:space="preserve"> NISSAN LEAF</t>
  </si>
  <si>
    <t xml:space="preserve">V4057</t>
  </si>
  <si>
    <t xml:space="preserve">0293</t>
  </si>
  <si>
    <t xml:space="preserve">E9062BGS</t>
  </si>
  <si>
    <t xml:space="preserve"> Dulevo 850 DK</t>
  </si>
  <si>
    <t xml:space="preserve">V4058</t>
  </si>
  <si>
    <t xml:space="preserve">0294</t>
  </si>
  <si>
    <t xml:space="preserve">E9061BGS</t>
  </si>
  <si>
    <t xml:space="preserve"> Barredora Dulevo 6000 T/6</t>
  </si>
  <si>
    <t xml:space="preserve">V4059</t>
  </si>
  <si>
    <t xml:space="preserve">0295</t>
  </si>
  <si>
    <t xml:space="preserve">8647JVN</t>
  </si>
  <si>
    <t xml:space="preserve"> Iveco 35S14</t>
  </si>
  <si>
    <t xml:space="preserve">V4060</t>
  </si>
  <si>
    <t xml:space="preserve">0296</t>
  </si>
  <si>
    <t xml:space="preserve"> IVECO EUROCARGO A1AC01</t>
  </si>
  <si>
    <t xml:space="preserve">V4061</t>
  </si>
  <si>
    <t xml:space="preserve">0297</t>
  </si>
  <si>
    <t xml:space="preserve">6746JZT</t>
  </si>
  <si>
    <t xml:space="preserve"> AEON CROSSLAND RX</t>
  </si>
  <si>
    <t xml:space="preserve">V4064</t>
  </si>
  <si>
    <t xml:space="preserve">0298</t>
  </si>
  <si>
    <t xml:space="preserve">6747JZT</t>
  </si>
  <si>
    <t xml:space="preserve">V4065</t>
  </si>
  <si>
    <t xml:space="preserve">0299</t>
  </si>
  <si>
    <t xml:space="preserve">6749JZT</t>
  </si>
  <si>
    <t xml:space="preserve">V4066</t>
  </si>
  <si>
    <t xml:space="preserve">0300</t>
  </si>
  <si>
    <t xml:space="preserve">C9740BVZ</t>
  </si>
  <si>
    <t xml:space="preserve"> AEON COBRA 50H</t>
  </si>
  <si>
    <t xml:space="preserve">V4067</t>
  </si>
  <si>
    <t xml:space="preserve">0301</t>
  </si>
  <si>
    <t xml:space="preserve">C9741BVZ</t>
  </si>
  <si>
    <t xml:space="preserve">V4068</t>
  </si>
  <si>
    <t xml:space="preserve">0302</t>
  </si>
  <si>
    <t xml:space="preserve">C9742BVZ</t>
  </si>
  <si>
    <t xml:space="preserve">V4069</t>
  </si>
  <si>
    <t xml:space="preserve">0303</t>
  </si>
  <si>
    <t xml:space="preserve">C9743BVZ</t>
  </si>
  <si>
    <t xml:space="preserve">V4070</t>
  </si>
  <si>
    <t xml:space="preserve">0304</t>
  </si>
  <si>
    <t xml:space="preserve">C9744BVZ</t>
  </si>
  <si>
    <t xml:space="preserve">V4071</t>
  </si>
  <si>
    <t xml:space="preserve">0305</t>
  </si>
  <si>
    <t xml:space="preserve">E9863BGS</t>
  </si>
  <si>
    <t xml:space="preserve"> John Deere 6135M</t>
  </si>
  <si>
    <t xml:space="preserve">V4072</t>
  </si>
  <si>
    <t xml:space="preserve">0306</t>
  </si>
  <si>
    <t xml:space="preserve">E9864BGS</t>
  </si>
  <si>
    <t xml:space="preserve">V4073</t>
  </si>
  <si>
    <t xml:space="preserve">0307</t>
  </si>
  <si>
    <t xml:space="preserve">E9865BGS</t>
  </si>
  <si>
    <t xml:space="preserve">V4074</t>
  </si>
  <si>
    <t xml:space="preserve">0308</t>
  </si>
  <si>
    <t xml:space="preserve">9974JZV</t>
  </si>
  <si>
    <t xml:space="preserve"> Fiat Doblo VU 5p 2G</t>
  </si>
  <si>
    <t xml:space="preserve">V4075</t>
  </si>
  <si>
    <t xml:space="preserve">0309</t>
  </si>
  <si>
    <t xml:space="preserve"> Nissan Cabstar</t>
  </si>
  <si>
    <t xml:space="preserve">V4076</t>
  </si>
  <si>
    <t xml:space="preserve">0310</t>
  </si>
  <si>
    <t xml:space="preserve"> Nissan Cabstar NT400</t>
  </si>
  <si>
    <t xml:space="preserve">V4077</t>
  </si>
  <si>
    <t xml:space="preserve">0311</t>
  </si>
  <si>
    <t xml:space="preserve">E1758BGT</t>
  </si>
  <si>
    <t xml:space="preserve"> FLOZAGA MOTHER</t>
  </si>
  <si>
    <t xml:space="preserve">V4078</t>
  </si>
  <si>
    <t xml:space="preserve">0312</t>
  </si>
  <si>
    <t xml:space="preserve">E1759BGT</t>
  </si>
  <si>
    <t xml:space="preserve">V4079</t>
  </si>
  <si>
    <t xml:space="preserve">0313</t>
  </si>
  <si>
    <t xml:space="preserve">E1760BGT</t>
  </si>
  <si>
    <t xml:space="preserve">V4080</t>
  </si>
  <si>
    <t xml:space="preserve">0314</t>
  </si>
  <si>
    <t xml:space="preserve">E2218BGT</t>
  </si>
  <si>
    <t xml:space="preserve"> BUCHER CC2020 CITY CAT 2020</t>
  </si>
  <si>
    <t xml:space="preserve">V4083</t>
  </si>
  <si>
    <t xml:space="preserve">0315</t>
  </si>
  <si>
    <t xml:space="preserve">8699JVN</t>
  </si>
  <si>
    <t xml:space="preserve">V4084</t>
  </si>
  <si>
    <t xml:space="preserve">0316</t>
  </si>
  <si>
    <t xml:space="preserve"> NISSAN NAVARA</t>
  </si>
  <si>
    <t xml:space="preserve">V4085</t>
  </si>
  <si>
    <t xml:space="preserve">0318</t>
  </si>
  <si>
    <t xml:space="preserve"> IVECO AD190SP</t>
  </si>
  <si>
    <t xml:space="preserve">V4089</t>
  </si>
  <si>
    <t xml:space="preserve">0319</t>
  </si>
  <si>
    <t xml:space="preserve">6517KBY</t>
  </si>
  <si>
    <t xml:space="preserve">V4090</t>
  </si>
  <si>
    <t xml:space="preserve">0320</t>
  </si>
  <si>
    <t xml:space="preserve"> IVECO AD260SY/PS</t>
  </si>
  <si>
    <t xml:space="preserve">V4094</t>
  </si>
  <si>
    <t xml:space="preserve">0321</t>
  </si>
  <si>
    <t xml:space="preserve">V4095</t>
  </si>
  <si>
    <t xml:space="preserve">4038</t>
  </si>
  <si>
    <t xml:space="preserve">R9728BCC</t>
  </si>
  <si>
    <t xml:space="preserve"> SEMIRREMOLQUE EQUIPTRANS</t>
  </si>
  <si>
    <t xml:space="preserve">V0206</t>
  </si>
  <si>
    <t xml:space="preserve">0300010296</t>
  </si>
  <si>
    <t xml:space="preserve">Peñiscola Transporte Residuos Peñiscola</t>
  </si>
  <si>
    <t xml:space="preserve">4039</t>
  </si>
  <si>
    <t xml:space="preserve">R9729BCC</t>
  </si>
  <si>
    <t xml:space="preserve">V0198</t>
  </si>
  <si>
    <t xml:space="preserve">6011</t>
  </si>
  <si>
    <t xml:space="preserve">R9813BCF</t>
  </si>
  <si>
    <t xml:space="preserve"> MURSEM CAJA CERRADA</t>
  </si>
  <si>
    <t xml:space="preserve">V0226</t>
  </si>
  <si>
    <t xml:space="preserve">certificado</t>
  </si>
  <si>
    <t xml:space="preserve">comprobado</t>
  </si>
  <si>
    <t xml:space="preserve">5313GBZ</t>
  </si>
  <si>
    <t xml:space="preserve">VOLUMINOSOS</t>
  </si>
  <si>
    <t xml:space="preserve">SELECTIVA</t>
  </si>
  <si>
    <t xml:space="preserve">PAPEL</t>
  </si>
  <si>
    <t xml:space="preserve">ENVASES</t>
  </si>
  <si>
    <t xml:space="preserve">PLAYAS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</si>
</sst>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M\-YY;@"/>
    <numFmt numFmtId="166" formatCode="_-* #,##0.00\ _€_-;\-* #,##0.00\ _€_-;_-* \-??\ _€_-;_-@_-"/>
    <numFmt numFmtId="167" formatCode="_-* #,##0\ _€_-;\-* #,##0\ _€_-;_-* \-??\ _€_-;_-@_-"/>
    <numFmt numFmtId="168" formatCode="DD\-MM\-YY;@"/>
    <numFmt numFmtId="169" formatCode="H:MM"/>
    <numFmt numFmtId="170" formatCode="#,##0"/>
    <numFmt numFmtId="171" formatCode="DD\/MM\/YYYY"/>
    <numFmt numFmtId="172" formatCode="#,##0.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entury Gothic"/>
      <family val="2"/>
      <charset val="1"/>
    </font>
    <font>
      <b val="true"/>
      <sz val="11"/>
      <color rgb="FF000000"/>
      <name val="Century Gothic"/>
      <family val="2"/>
      <charset val="1"/>
    </font>
    <font>
      <b val="true"/>
      <i val="true"/>
      <sz val="11"/>
      <color rgb="FF000000"/>
      <name val="Century Gothic"/>
      <family val="2"/>
      <charset val="1"/>
    </font>
    <font>
      <i val="true"/>
      <sz val="11"/>
      <color rgb="FF000000"/>
      <name val="Century Gothic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Century Gothic"/>
      <family val="2"/>
      <charset val="1"/>
    </font>
    <font>
      <b val="true"/>
      <sz val="10"/>
      <color rgb="FF000000"/>
      <name val="Century Gothic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DDDDD"/>
        <bgColor rgb="FFD9D9D9"/>
      </patternFill>
    </fill>
    <fill>
      <patternFill patternType="solid">
        <fgColor rgb="FFEBF1DE"/>
        <bgColor rgb="FFE4E4E4"/>
      </patternFill>
    </fill>
    <fill>
      <patternFill patternType="solid">
        <fgColor rgb="FFE4E4E4"/>
        <bgColor rgb="FFDDDDDD"/>
      </patternFill>
    </fill>
    <fill>
      <patternFill patternType="solid">
        <fgColor rgb="FF92D050"/>
        <bgColor rgb="FFC0C0C0"/>
      </patternFill>
    </fill>
    <fill>
      <patternFill patternType="solid">
        <fgColor rgb="FFD9D9D9"/>
        <bgColor rgb="FFDDDDDD"/>
      </patternFill>
    </fill>
    <fill>
      <patternFill patternType="solid">
        <fgColor rgb="FFFFFF00"/>
        <bgColor rgb="FFFFFF00"/>
      </patternFill>
    </fill>
  </fills>
  <borders count="29">
    <border diagonalUp="false" diagonalDown="false">
      <left/>
      <right/>
      <top/>
      <bottom/>
      <diagonal/>
    </border>
    <border diagonalUp="false" diagonalDown="false">
      <left/>
      <right/>
      <top style="thick"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3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squina de la tabla dinámica" xfId="20" builtinId="53" customBuiltin="true"/>
    <cellStyle name="Valor de la tabla dinámica" xfId="21" builtinId="53" customBuiltin="true"/>
    <cellStyle name="Campo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DDDD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4E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<Relationship Id="rId10" Type="http://schemas.openxmlformats.org/officeDocument/2006/relationships/pivotCacheDefinition" Target="pivotCache/pivotCacheDefinition2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19080</xdr:colOff>
      <xdr:row>0</xdr:row>
      <xdr:rowOff>64080</xdr:rowOff>
    </xdr:from>
    <xdr:to>
      <xdr:col>2</xdr:col>
      <xdr:colOff>1265760</xdr:colOff>
      <xdr:row>7</xdr:row>
      <xdr:rowOff>84600</xdr:rowOff>
    </xdr:to>
    <xdr:pic>
      <xdr:nvPicPr>
        <xdr:cNvPr id="0" name="1 Imagen" descr=""/>
        <xdr:cNvPicPr/>
      </xdr:nvPicPr>
      <xdr:blipFill>
        <a:blip r:embed="rId1"/>
        <a:stretch/>
      </xdr:blipFill>
      <xdr:spPr>
        <a:xfrm>
          <a:off x="372600" y="64080"/>
          <a:ext cx="1567440" cy="14871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3">
  <cacheSource type="worksheet">
    <worksheetSource ref="A1:I498" sheet="Pesadas octubre"/>
  </cacheSource>
  <cacheFields count="9">
    <cacheField name="Fecha" numFmtId="0">
      <sharedItems count="32" containsMixedTypes="1" containsSemiMixedTypes="1" containsString="0" containsNumber="1">
        <n v="43374"/>
        <n v="43375"/>
        <n v="43376"/>
        <n v="43377"/>
        <n v="43378"/>
        <n v="43379"/>
        <n v="43380"/>
        <n v="43381"/>
        <n v="43382"/>
        <n v="43383"/>
        <n v="43384"/>
        <n v="43385"/>
        <n v="43386"/>
        <n v="43387"/>
        <n v="43388"/>
        <n v="43389"/>
        <n v="43390"/>
        <n v="43391"/>
        <n v="43392"/>
        <n v="43393"/>
        <n v="43394"/>
        <n v="43395"/>
        <n v="43396"/>
        <n v="43397"/>
        <n v="43398"/>
        <n v="43399"/>
        <n v="43400"/>
        <n v="43401"/>
        <n v="43402"/>
        <n v="43403"/>
        <n v="43404"/>
        <m/>
      </sharedItems>
    </cacheField>
    <cacheField name="Fecha / hora" numFmtId="0">
      <sharedItems count="202" containsMixedTypes="1" containsSemiMixedTypes="1" containsString="0" containsNumber="1">
        <n v="0.0506944444444445"/>
        <n v="0.0513888888888889"/>
        <n v="0.0520833333333333"/>
        <n v="0.0541666666666667"/>
        <n v="0.0548611111111111"/>
        <n v="0.0576388888888889"/>
        <n v="0.0583333333333333"/>
        <n v="0.0611111111111111"/>
        <n v="0.0638888888888889"/>
        <n v="0.0652777777777778"/>
        <n v="0.0673611111111111"/>
        <n v="0.06875"/>
        <n v="0.0694444444444444"/>
        <n v="0.0715277777777778"/>
        <n v="0.0736111111111111"/>
        <n v="0.0763888888888889"/>
        <n v="0.0784722222222222"/>
        <n v="0.0791666666666667"/>
        <n v="0.0798611111111111"/>
        <n v="0.0875"/>
        <n v="0.0881944444444444"/>
        <n v="0.0986111111111111"/>
        <n v="0.1"/>
        <n v="0.10625"/>
        <n v="0.109722222222222"/>
        <n v="0.111111111111111"/>
        <n v="0.127083333333333"/>
        <n v="0.133333333333333"/>
        <n v="0.134027777777778"/>
        <n v="0.140277777777778"/>
        <n v="0.143055555555556"/>
        <n v="0.144444444444444"/>
        <n v="0.145138888888889"/>
        <n v="0.147916666666667"/>
        <n v="0.148611111111111"/>
        <n v="0.150694444444444"/>
        <n v="0.152083333333333"/>
        <n v="0.15625"/>
        <n v="0.156944444444444"/>
        <n v="0.161111111111111"/>
        <n v="0.164583333333333"/>
        <n v="0.168055555555556"/>
        <n v="0.169444444444444"/>
        <n v="0.175"/>
        <n v="0.175694444444444"/>
        <n v="0.177777777777778"/>
        <n v="0.179166666666667"/>
        <n v="0.179861111111111"/>
        <n v="0.180555555555556"/>
        <n v="0.181944444444444"/>
        <n v="0.182638888888889"/>
        <n v="0.194444444444444"/>
        <n v="0.209722222222222"/>
        <n v="0.211111111111111"/>
        <n v="0.213194444444444"/>
        <n v="0.213888888888889"/>
        <n v="0.214583333333333"/>
        <n v="0.215277777777778"/>
        <n v="0.215972222222222"/>
        <n v="0.216666666666667"/>
        <n v="0.217361111111111"/>
        <n v="0.218055555555556"/>
        <n v="0.219444444444444"/>
        <n v="0.220833333333333"/>
        <n v="0.221527777777778"/>
        <n v="0.225"/>
        <n v="0.227083333333333"/>
        <n v="0.23125"/>
        <n v="0.231944444444444"/>
        <n v="0.234027777777778"/>
        <n v="0.2375"/>
        <n v="0.238888888888889"/>
        <n v="0.239583333333333"/>
        <n v="0.240277777777778"/>
        <n v="0.240972222222222"/>
        <n v="0.241666666666667"/>
        <n v="0.242361111111111"/>
        <n v="0.24375"/>
        <n v="0.245138888888889"/>
        <n v="0.245833333333333"/>
        <n v="0.247916666666667"/>
        <n v="0.248611111111111"/>
        <n v="0.249305555555556"/>
        <n v="0.250694444444444"/>
        <n v="0.251388888888889"/>
        <n v="0.252083333333333"/>
        <n v="0.252777777777778"/>
        <n v="0.253472222222222"/>
        <n v="0.254166666666667"/>
        <n v="0.254861111111111"/>
        <n v="0.255555555555556"/>
        <n v="0.257638888888889"/>
        <n v="0.258333333333333"/>
        <n v="0.259027777777778"/>
        <n v="0.259722222222222"/>
        <n v="0.260416666666667"/>
        <n v="0.2625"/>
        <n v="0.271527777777778"/>
        <n v="0.272916666666667"/>
        <n v="0.279861111111111"/>
        <n v="0.297916666666667"/>
        <n v="0.314583333333333"/>
        <n v="0.316666666666667"/>
        <n v="0.327083333333333"/>
        <n v="0.33125"/>
        <n v="0.334027777777778"/>
        <n v="0.335416666666667"/>
        <n v="0.338194444444444"/>
        <n v="0.338888888888889"/>
        <n v="0.342361111111111"/>
        <n v="0.343055555555555"/>
        <n v="0.34375"/>
        <n v="0.346527777777778"/>
        <n v="0.347222222222222"/>
        <n v="0.3625"/>
        <n v="0.371527777777778"/>
        <n v="0.373611111111111"/>
        <n v="0.384027777777778"/>
        <n v="0.427083333333333"/>
        <n v="0.432638888888889"/>
        <n v="0.438888888888889"/>
        <n v="0.445833333333333"/>
        <n v="0.447222222222222"/>
        <n v="0.447916666666667"/>
        <n v="0.448611111111111"/>
        <n v="0.449305555555556"/>
        <n v="0.45"/>
        <n v="0.450694444444444"/>
        <n v="0.451388888888889"/>
        <n v="0.452083333333333"/>
        <n v="0.452777777777778"/>
        <n v="0.453472222222222"/>
        <n v="0.454166666666667"/>
        <n v="0.454861111111111"/>
        <n v="0.455555555555556"/>
        <n v="0.45625"/>
        <n v="0.456944444444444"/>
        <n v="0.459027777777778"/>
        <n v="0.460416666666667"/>
        <n v="0.461805555555556"/>
        <n v="0.4625"/>
        <n v="0.463194444444444"/>
        <n v="0.463888888888889"/>
        <n v="0.465277777777778"/>
        <n v="0.465972222222222"/>
        <n v="0.466666666666667"/>
        <n v="0.468055555555555"/>
        <n v="0.470138888888889"/>
        <n v="0.472222222222222"/>
        <n v="0.472916666666667"/>
        <n v="0.477083333333333"/>
        <n v="0.478472222222222"/>
        <n v="0.479166666666667"/>
        <n v="0.48125"/>
        <n v="0.481944444444444"/>
        <n v="0.486111111111111"/>
        <n v="0.4875"/>
        <n v="0.488194444444444"/>
        <n v="0.490277777777778"/>
        <n v="0.491666666666667"/>
        <n v="0.492361111111111"/>
        <n v="0.495833333333333"/>
        <n v="0.497222222222222"/>
        <n v="0.497916666666667"/>
        <n v="0.498611111111111"/>
        <n v="0.5"/>
        <n v="0.504861111111111"/>
        <n v="0.507638888888889"/>
        <n v="0.508333333333333"/>
        <n v="0.509722222222222"/>
        <n v="0.5125"/>
        <n v="0.516666666666667"/>
        <n v="0.518055555555556"/>
        <n v="0.524305555555556"/>
        <n v="0.534722222222222"/>
        <n v="0.676388888888889"/>
        <n v="0.679166666666667"/>
        <n v="0.679861111111111"/>
        <n v="0.680555555555555"/>
        <n v="0.68125"/>
        <n v="0.683333333333333"/>
        <n v="0.685416666666667"/>
        <n v="0.6875"/>
        <n v="0.688194444444445"/>
        <n v="0.689583333333333"/>
        <n v="0.690277777777778"/>
        <n v="0.69375"/>
        <n v="0.867361111111111"/>
        <n v="0.86875"/>
        <n v="0.870138888888889"/>
        <n v="0.872916666666667"/>
        <n v="0.873611111111111"/>
        <n v="0.875694444444444"/>
        <n v="0.876388888888889"/>
        <n v="0.877083333333333"/>
        <n v="0.878472222222222"/>
        <n v="0.879861111111111"/>
        <n v="0.880555555555556"/>
        <n v="0.882638888888889"/>
        <n v="0.883333333333333"/>
        <n v="0.984722222222222"/>
        <m/>
      </sharedItems>
    </cacheField>
    <cacheField name="Ticket" numFmtId="0">
      <sharedItems count="244" containsMixedTypes="1" containsSemiMixedTypes="1" containsString="0" containsNumber="1">
        <n v="9285"/>
        <n v="37167"/>
        <n v="37439"/>
        <n v="78287"/>
        <n v="78472"/>
        <n v="78833"/>
        <n v="79066"/>
        <n v="79223"/>
        <n v="97772"/>
        <n v="97777"/>
        <n v="97785"/>
        <n v="97786"/>
        <n v="97798"/>
        <n v="97802"/>
        <n v="97813"/>
        <n v="97819"/>
        <n v="97820"/>
        <n v="97827"/>
        <n v="97829"/>
        <n v="97832"/>
        <n v="97850"/>
        <n v="97855"/>
        <n v="97867"/>
        <n v="97871"/>
        <n v="97872"/>
        <n v="97879"/>
        <n v="97880"/>
        <n v="97882"/>
        <n v="97889"/>
        <n v="97897"/>
        <n v="97907"/>
        <n v="97917"/>
        <n v="97924"/>
        <n v="97925"/>
        <n v="97931"/>
        <n v="97932"/>
        <n v="97935"/>
        <n v="97943"/>
        <n v="97951"/>
        <n v="97957"/>
        <n v="97960"/>
        <n v="97974"/>
        <n v="97979"/>
        <n v="97980"/>
        <n v="97986"/>
        <n v="97988"/>
        <n v="97992"/>
        <n v="97997"/>
        <n v="98012"/>
        <n v="98016"/>
        <n v="98025"/>
        <n v="98027"/>
        <n v="98028"/>
        <n v="98035"/>
        <n v="98037"/>
        <n v="98041"/>
        <n v="98047"/>
        <n v="98049"/>
        <n v="98052"/>
        <n v="98053"/>
        <n v="98054"/>
        <n v="98055"/>
        <n v="98056"/>
        <n v="98062"/>
        <n v="98063"/>
        <n v="98064"/>
        <n v="98070"/>
        <n v="98071"/>
        <n v="98072"/>
        <n v="98073"/>
        <n v="98074"/>
        <n v="98081"/>
        <n v="98085"/>
        <n v="98088"/>
        <n v="98091"/>
        <n v="98099"/>
        <n v="98108"/>
        <n v="98122"/>
        <n v="98128"/>
        <n v="98129"/>
        <n v="98136"/>
        <n v="98139"/>
        <n v="98140"/>
        <n v="98153"/>
        <n v="98157"/>
        <n v="98158"/>
        <n v="98166"/>
        <n v="98169"/>
        <n v="98170"/>
        <n v="98171"/>
        <n v="98181"/>
        <n v="98184"/>
        <n v="98185"/>
        <n v="98191"/>
        <n v="98204"/>
        <n v="98222"/>
        <n v="98227"/>
        <n v="98230"/>
        <n v="98237"/>
        <n v="98239"/>
        <n v="98240"/>
        <n v="98251"/>
        <n v="98259"/>
        <n v="98265"/>
        <n v="98279"/>
        <n v="98284"/>
        <n v="98289"/>
        <n v="98295"/>
        <n v="98296"/>
        <n v="98302"/>
        <n v="98303"/>
        <n v="98305"/>
        <n v="98307"/>
        <n v="98308"/>
        <n v="98317"/>
        <n v="98322"/>
        <n v="98323"/>
        <n v="98330"/>
        <n v="98333"/>
        <n v="98336"/>
        <n v="98338"/>
        <n v="98339"/>
        <n v="98340"/>
        <n v="98346"/>
        <n v="98347"/>
        <n v="98348"/>
        <n v="98350"/>
        <n v="98356"/>
        <n v="98357"/>
        <n v="98358"/>
        <n v="98359"/>
        <n v="98362"/>
        <n v="98366"/>
        <n v="98372"/>
        <n v="98373"/>
        <n v="98386"/>
        <n v="98387"/>
        <n v="98389"/>
        <n v="98393"/>
        <n v="98396"/>
        <n v="98410"/>
        <n v="98416"/>
        <n v="98417"/>
        <n v="98426"/>
        <n v="98428"/>
        <n v="98432"/>
        <n v="98438"/>
        <n v="98448"/>
        <n v="98454"/>
        <n v="98472"/>
        <n v="98479"/>
        <n v="98480"/>
        <n v="98486"/>
        <n v="98492"/>
        <n v="98493"/>
        <n v="98498"/>
        <n v="98511"/>
        <n v="98514"/>
        <n v="98542"/>
        <n v="98553"/>
        <n v="98554"/>
        <n v="98562"/>
        <n v="98570"/>
        <n v="98579"/>
        <n v="98595"/>
        <n v="98596"/>
        <n v="98597"/>
        <n v="98599"/>
        <n v="98603"/>
        <n v="98608"/>
        <n v="98609"/>
        <n v="98611"/>
        <n v="98612"/>
        <n v="98614"/>
        <n v="98624"/>
        <n v="98631"/>
        <n v="98633"/>
        <n v="98638"/>
        <n v="98640"/>
        <n v="98641"/>
        <n v="98648"/>
        <n v="98649"/>
        <n v="98654"/>
        <n v="98655"/>
        <n v="98662"/>
        <n v="98663"/>
        <n v="98673"/>
        <n v="98692"/>
        <n v="98702"/>
        <n v="98705"/>
        <n v="98706"/>
        <n v="98724"/>
        <n v="98725"/>
        <n v="98750"/>
        <n v="98756"/>
        <n v="98760"/>
        <n v="98764"/>
        <n v="98769"/>
        <n v="98773"/>
        <n v="98785"/>
        <n v="98786"/>
        <n v="98817"/>
        <n v="98826"/>
        <n v="98827"/>
        <n v="98837"/>
        <n v="98842"/>
        <n v="98849"/>
        <n v="98857"/>
        <n v="98875"/>
        <n v="98876"/>
        <n v="98885"/>
        <n v="98890"/>
        <n v="98893"/>
        <n v="98901"/>
        <n v="98922"/>
        <n v="98928"/>
        <n v="98932"/>
        <n v="98934"/>
        <n v="98941"/>
        <n v="98945"/>
        <n v="98949"/>
        <n v="98956"/>
        <n v="98957"/>
        <n v="98964"/>
        <n v="98965"/>
        <n v="98968"/>
        <n v="98971"/>
        <n v="98977"/>
        <n v="98981"/>
        <n v="98996"/>
        <n v="98999"/>
        <n v="99024"/>
        <n v="99032"/>
        <n v="99034"/>
        <n v="99037"/>
        <n v="99052"/>
        <n v="99053"/>
        <n v="99084"/>
        <n v="99086"/>
        <n v="99087"/>
        <n v="99090"/>
        <n v="99093"/>
        <n v="99104"/>
        <m/>
      </sharedItems>
    </cacheField>
    <cacheField name="Matrícula" numFmtId="0">
      <sharedItems count="9" containsMixedTypes="1" containsSemiMixedTypes="1" containsString="1" containsNumber="0">
        <s v="0315BGK"/>
        <s v="1730KBZ"/>
        <s v="1821KBZ"/>
        <s v="3686KBG"/>
        <s v="6120JZX"/>
        <s v="7542KBV"/>
        <s v="7809JZX"/>
        <s v="7957JZS"/>
        <m/>
      </sharedItems>
    </cacheField>
    <cacheField name="Peso total" numFmtId="0">
      <sharedItems count="193" containsMixedTypes="1" containsSemiMixedTypes="1" containsString="0" containsNumber="1">
        <n v="2520"/>
        <n v="2560"/>
        <n v="2580"/>
        <n v="2600"/>
        <n v="2620"/>
        <n v="2640"/>
        <n v="2660"/>
        <n v="2700"/>
        <n v="2720"/>
        <n v="2740"/>
        <n v="2780"/>
        <n v="2800"/>
        <n v="2840"/>
        <n v="2880"/>
        <n v="2900"/>
        <n v="2920"/>
        <n v="2940"/>
        <n v="2960"/>
        <n v="3020"/>
        <n v="3040"/>
        <n v="3060"/>
        <n v="3080"/>
        <n v="3160"/>
        <n v="3200"/>
        <n v="3240"/>
        <n v="3300"/>
        <n v="3320"/>
        <n v="3340"/>
        <n v="3360"/>
        <n v="3440"/>
        <n v="3460"/>
        <n v="3540"/>
        <n v="3560"/>
        <n v="3580"/>
        <n v="3660"/>
        <n v="3680"/>
        <n v="3700"/>
        <n v="3780"/>
        <n v="4020"/>
        <n v="4040"/>
        <n v="4060"/>
        <n v="4080"/>
        <n v="4100"/>
        <n v="4120"/>
        <n v="4150"/>
        <n v="4160"/>
        <n v="4180"/>
        <n v="4200"/>
        <n v="4240"/>
        <n v="4260"/>
        <n v="4280"/>
        <n v="4300"/>
        <n v="4320"/>
        <n v="4380"/>
        <n v="4400"/>
        <n v="4440"/>
        <n v="4460"/>
        <n v="4480"/>
        <n v="4500"/>
        <n v="4600"/>
        <n v="4640"/>
        <n v="4660"/>
        <n v="4720"/>
        <n v="5100"/>
        <n v="6460"/>
        <n v="13760"/>
        <n v="13800"/>
        <n v="13900"/>
        <n v="13940"/>
        <n v="14240"/>
        <n v="14280"/>
        <n v="14300"/>
        <n v="14360"/>
        <n v="14460"/>
        <n v="14680"/>
        <n v="14720"/>
        <n v="14760"/>
        <n v="14860"/>
        <n v="15000"/>
        <n v="15080"/>
        <n v="15300"/>
        <n v="15940"/>
        <n v="16320"/>
        <n v="16360"/>
        <n v="16520"/>
        <n v="16540"/>
        <n v="16580"/>
        <n v="16640"/>
        <n v="16660"/>
        <n v="16780"/>
        <n v="16940"/>
        <n v="17000"/>
        <n v="17020"/>
        <n v="17040"/>
        <n v="17080"/>
        <n v="17180"/>
        <n v="17300"/>
        <n v="17380"/>
        <n v="17400"/>
        <n v="17420"/>
        <n v="17520"/>
        <n v="17540"/>
        <n v="17600"/>
        <n v="17680"/>
        <n v="17900"/>
        <n v="18040"/>
        <n v="18120"/>
        <n v="18140"/>
        <n v="18380"/>
        <n v="18640"/>
        <n v="18860"/>
        <n v="18920"/>
        <n v="18940"/>
        <n v="19000"/>
        <n v="19100"/>
        <n v="19140"/>
        <n v="19160"/>
        <n v="19260"/>
        <n v="19380"/>
        <n v="19480"/>
        <n v="19560"/>
        <n v="19630"/>
        <n v="19680"/>
        <n v="19700"/>
        <n v="19720"/>
        <n v="19820"/>
        <n v="19900"/>
        <n v="19920"/>
        <n v="19980"/>
        <n v="20020"/>
        <n v="20060"/>
        <n v="20100"/>
        <n v="20120"/>
        <n v="20160"/>
        <n v="20200"/>
        <n v="20340"/>
        <n v="20420"/>
        <n v="20500"/>
        <n v="20540"/>
        <n v="20560"/>
        <n v="20580"/>
        <n v="20640"/>
        <n v="20660"/>
        <n v="20680"/>
        <n v="20720"/>
        <n v="20740"/>
        <n v="20820"/>
        <n v="20840"/>
        <n v="20880"/>
        <n v="20900"/>
        <n v="20940"/>
        <n v="21000"/>
        <n v="21040"/>
        <n v="21080"/>
        <n v="21120"/>
        <n v="21300"/>
        <n v="21440"/>
        <n v="21620"/>
        <n v="21680"/>
        <n v="21720"/>
        <n v="21820"/>
        <n v="22100"/>
        <n v="22160"/>
        <n v="22220"/>
        <n v="22280"/>
        <n v="22340"/>
        <n v="22540"/>
        <n v="22760"/>
        <n v="22900"/>
        <n v="22940"/>
        <n v="23020"/>
        <n v="23340"/>
        <n v="23460"/>
        <n v="23520"/>
        <n v="23800"/>
        <n v="23840"/>
        <n v="23920"/>
        <n v="23940"/>
        <n v="24300"/>
        <n v="24340"/>
        <n v="24360"/>
        <n v="25400"/>
        <n v="25860"/>
        <n v="26040"/>
        <n v="26220"/>
        <n v="26500"/>
        <n v="26660"/>
        <n v="26740"/>
        <n v="26900"/>
        <n v="26940"/>
        <n v="27020"/>
        <n v="31320"/>
        <m/>
      </sharedItems>
    </cacheField>
    <cacheField name="Tara" numFmtId="0">
      <sharedItems count="89" containsMixedTypes="1" containsSemiMixedTypes="1" containsString="0" containsNumber="1">
        <n v="2260"/>
        <n v="2280"/>
        <n v="2300"/>
        <n v="2320"/>
        <n v="2360"/>
        <n v="2380"/>
        <n v="2440"/>
        <n v="2480"/>
        <n v="2720"/>
        <n v="2740"/>
        <n v="2760"/>
        <n v="2780"/>
        <n v="2800"/>
        <n v="2820"/>
        <n v="2840"/>
        <n v="2860"/>
        <n v="2880"/>
        <n v="2900"/>
        <n v="3020"/>
        <n v="3480"/>
        <n v="3500"/>
        <n v="3520"/>
        <n v="3540"/>
        <n v="3560"/>
        <n v="3580"/>
        <n v="3600"/>
        <n v="3620"/>
        <n v="3640"/>
        <n v="3660"/>
        <n v="3680"/>
        <n v="3700"/>
        <n v="3720"/>
        <n v="3740"/>
        <n v="3760"/>
        <n v="5720"/>
        <n v="12300"/>
        <n v="12740"/>
        <n v="12760"/>
        <n v="12800"/>
        <n v="12820"/>
        <n v="12840"/>
        <n v="12860"/>
        <n v="12880"/>
        <n v="12900"/>
        <n v="12920"/>
        <n v="12940"/>
        <n v="12960"/>
        <n v="12980"/>
        <n v="13000"/>
        <n v="13020"/>
        <n v="13040"/>
        <n v="13060"/>
        <n v="13080"/>
        <n v="13100"/>
        <n v="13140"/>
        <n v="13160"/>
        <n v="13200"/>
        <n v="13220"/>
        <n v="15380"/>
        <n v="15400"/>
        <n v="15440"/>
        <n v="15600"/>
        <n v="15640"/>
        <n v="15660"/>
        <n v="15680"/>
        <n v="15700"/>
        <n v="15720"/>
        <n v="15740"/>
        <n v="15760"/>
        <n v="15780"/>
        <n v="15800"/>
        <n v="15820"/>
        <n v="15840"/>
        <n v="15860"/>
        <n v="15880"/>
        <n v="15900"/>
        <n v="15920"/>
        <n v="15960"/>
        <n v="15980"/>
        <n v="16000"/>
        <n v="16020"/>
        <n v="16040"/>
        <n v="16060"/>
        <n v="16280"/>
        <n v="16360"/>
        <n v="16500"/>
        <n v="16620"/>
        <n v="16740"/>
        <m/>
      </sharedItems>
    </cacheField>
    <cacheField name="Carga" numFmtId="0">
      <sharedItems count="172" containsMixedTypes="1" containsSemiMixedTypes="1" containsString="0" containsNumber="1">
        <n v="40"/>
        <n v="12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60"/>
        <n v="570"/>
        <n v="580"/>
        <n v="600"/>
        <n v="620"/>
        <n v="640"/>
        <n v="660"/>
        <n v="680"/>
        <n v="700"/>
        <n v="720"/>
        <n v="740"/>
        <n v="760"/>
        <n v="780"/>
        <n v="820"/>
        <n v="840"/>
        <n v="880"/>
        <n v="920"/>
        <n v="940"/>
        <n v="960"/>
        <n v="980"/>
        <n v="1000"/>
        <n v="1020"/>
        <n v="1040"/>
        <n v="1060"/>
        <n v="1080"/>
        <n v="1180"/>
        <n v="1220"/>
        <n v="1300"/>
        <n v="1320"/>
        <n v="1360"/>
        <n v="1400"/>
        <n v="1420"/>
        <n v="1480"/>
        <n v="1540"/>
        <n v="1560"/>
        <n v="1580"/>
        <n v="1700"/>
        <n v="1780"/>
        <n v="1800"/>
        <n v="1880"/>
        <n v="1960"/>
        <n v="2060"/>
        <n v="2180"/>
        <n v="2240"/>
        <n v="2480"/>
        <n v="2840"/>
        <n v="3160"/>
        <n v="3460"/>
        <n v="3540"/>
        <n v="3640"/>
        <n v="3700"/>
        <n v="3760"/>
        <n v="3820"/>
        <n v="3840"/>
        <n v="3880"/>
        <n v="3900"/>
        <n v="3920"/>
        <n v="3940"/>
        <n v="3980"/>
        <n v="4060"/>
        <n v="4100"/>
        <n v="4120"/>
        <n v="4140"/>
        <n v="4220"/>
        <n v="4280"/>
        <n v="4360"/>
        <n v="4380"/>
        <n v="4420"/>
        <n v="4440"/>
        <n v="4500"/>
        <n v="4520"/>
        <n v="4540"/>
        <n v="4580"/>
        <n v="4640"/>
        <n v="4660"/>
        <n v="4700"/>
        <n v="4740"/>
        <n v="4780"/>
        <n v="4880"/>
        <n v="4980"/>
        <n v="5000"/>
        <n v="5020"/>
        <n v="5040"/>
        <n v="5080"/>
        <n v="5120"/>
        <n v="5160"/>
        <n v="5220"/>
        <n v="5280"/>
        <n v="5320"/>
        <n v="5560"/>
        <n v="5640"/>
        <n v="5700"/>
        <n v="5740"/>
        <n v="5760"/>
        <n v="5780"/>
        <n v="5840"/>
        <n v="6020"/>
        <n v="6040"/>
        <n v="6060"/>
        <n v="6080"/>
        <n v="6100"/>
        <n v="6160"/>
        <n v="6380"/>
        <n v="6420"/>
        <n v="6500"/>
        <n v="6520"/>
        <n v="6540"/>
        <n v="6560"/>
        <n v="6610"/>
        <n v="6680"/>
        <n v="6820"/>
        <n v="6840"/>
        <n v="6920"/>
        <n v="6960"/>
        <n v="7000"/>
        <n v="7120"/>
        <n v="7200"/>
        <n v="7280"/>
        <n v="7300"/>
        <n v="7460"/>
        <n v="7600"/>
        <n v="7620"/>
        <n v="7640"/>
        <n v="7680"/>
        <n v="7720"/>
        <n v="7800"/>
        <n v="7820"/>
        <n v="7880"/>
        <n v="8240"/>
        <n v="8300"/>
        <n v="8420"/>
        <n v="8500"/>
        <n v="8600"/>
        <n v="9140"/>
        <n v="9940"/>
        <n v="9960"/>
        <n v="10140"/>
        <n v="10280"/>
        <n v="10320"/>
        <n v="10420"/>
        <n v="10520"/>
        <n v="10700"/>
        <n v="10880"/>
        <n v="11040"/>
        <n v="11100"/>
        <n v="11240"/>
        <n v="11340"/>
        <n v="15040"/>
        <m/>
      </sharedItems>
    </cacheField>
    <cacheField name="Población" numFmtId="0">
      <sharedItems count="2" containsMixedTypes="1" containsSemiMixedTypes="1" containsString="1" containsNumber="0">
        <s v="Peñiscola "/>
        <m/>
      </sharedItems>
    </cacheField>
    <cacheField name="Residuo" numFmtId="0">
      <sharedItems count="7" containsMixedTypes="1" containsSemiMixedTypes="1" containsString="1" containsNumber="0">
        <s v="LIMP. PLAY"/>
        <s v="PODA"/>
        <s v="RSU"/>
        <s v="SEL.ENV"/>
        <s v="SEL.PAP"/>
        <s v="VOL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243">
  <cacheSource type="worksheet">
    <worksheetSource ref="A1:J244" sheet="Pesadas octubre"/>
  </cacheSource>
  <cacheFields count="10">
    <cacheField name="Fecha" numFmtId="0">
      <sharedItems count="31" containsMixedTypes="0" containsSemiMixedTypes="0" containsString="0" containsNumber="1">
        <n v="43374"/>
        <n v="43375"/>
        <n v="43376"/>
        <n v="43377"/>
        <n v="43378"/>
        <n v="43379"/>
        <n v="43380"/>
        <n v="43381"/>
        <n v="43382"/>
        <n v="43383"/>
        <n v="43384"/>
        <n v="43385"/>
        <n v="43386"/>
        <n v="43387"/>
        <n v="43388"/>
        <n v="43389"/>
        <n v="43390"/>
        <n v="43391"/>
        <n v="43392"/>
        <n v="43393"/>
        <n v="43394"/>
        <n v="43395"/>
        <n v="43396"/>
        <n v="43397"/>
        <n v="43398"/>
        <n v="43399"/>
        <n v="43400"/>
        <n v="43401"/>
        <n v="43402"/>
        <n v="43403"/>
        <n v="43404"/>
      </sharedItems>
    </cacheField>
    <cacheField name="Fecha / hora" numFmtId="0">
      <sharedItems count="201" containsMixedTypes="0" containsSemiMixedTypes="0" containsString="0" containsNumber="1">
        <n v="0.0506944444444445"/>
        <n v="0.0513888888888889"/>
        <n v="0.0520833333333333"/>
        <n v="0.0541666666666667"/>
        <n v="0.0548611111111111"/>
        <n v="0.0576388888888889"/>
        <n v="0.0583333333333333"/>
        <n v="0.0611111111111111"/>
        <n v="0.0638888888888889"/>
        <n v="0.0652777777777778"/>
        <n v="0.0673611111111111"/>
        <n v="0.06875"/>
        <n v="0.0694444444444444"/>
        <n v="0.0715277777777778"/>
        <n v="0.0736111111111111"/>
        <n v="0.0763888888888889"/>
        <n v="0.0784722222222222"/>
        <n v="0.0791666666666667"/>
        <n v="0.0798611111111111"/>
        <n v="0.0875"/>
        <n v="0.0881944444444444"/>
        <n v="0.0986111111111111"/>
        <n v="0.1"/>
        <n v="0.10625"/>
        <n v="0.109722222222222"/>
        <n v="0.111111111111111"/>
        <n v="0.127083333333333"/>
        <n v="0.133333333333333"/>
        <n v="0.134027777777778"/>
        <n v="0.140277777777778"/>
        <n v="0.143055555555556"/>
        <n v="0.144444444444444"/>
        <n v="0.145138888888889"/>
        <n v="0.147916666666667"/>
        <n v="0.148611111111111"/>
        <n v="0.150694444444444"/>
        <n v="0.152083333333333"/>
        <n v="0.15625"/>
        <n v="0.156944444444444"/>
        <n v="0.161111111111111"/>
        <n v="0.164583333333333"/>
        <n v="0.168055555555556"/>
        <n v="0.169444444444444"/>
        <n v="0.175"/>
        <n v="0.175694444444444"/>
        <n v="0.177777777777778"/>
        <n v="0.179166666666667"/>
        <n v="0.179861111111111"/>
        <n v="0.180555555555556"/>
        <n v="0.181944444444444"/>
        <n v="0.182638888888889"/>
        <n v="0.194444444444444"/>
        <n v="0.209722222222222"/>
        <n v="0.211111111111111"/>
        <n v="0.213194444444444"/>
        <n v="0.213888888888889"/>
        <n v="0.214583333333333"/>
        <n v="0.215277777777778"/>
        <n v="0.215972222222222"/>
        <n v="0.216666666666667"/>
        <n v="0.217361111111111"/>
        <n v="0.218055555555556"/>
        <n v="0.219444444444444"/>
        <n v="0.220833333333333"/>
        <n v="0.221527777777778"/>
        <n v="0.225"/>
        <n v="0.227083333333333"/>
        <n v="0.23125"/>
        <n v="0.231944444444444"/>
        <n v="0.234027777777778"/>
        <n v="0.2375"/>
        <n v="0.238888888888889"/>
        <n v="0.239583333333333"/>
        <n v="0.240277777777778"/>
        <n v="0.240972222222222"/>
        <n v="0.241666666666667"/>
        <n v="0.242361111111111"/>
        <n v="0.24375"/>
        <n v="0.245138888888889"/>
        <n v="0.245833333333333"/>
        <n v="0.247916666666667"/>
        <n v="0.248611111111111"/>
        <n v="0.249305555555556"/>
        <n v="0.250694444444444"/>
        <n v="0.251388888888889"/>
        <n v="0.252083333333333"/>
        <n v="0.252777777777778"/>
        <n v="0.253472222222222"/>
        <n v="0.254166666666667"/>
        <n v="0.254861111111111"/>
        <n v="0.255555555555556"/>
        <n v="0.257638888888889"/>
        <n v="0.258333333333333"/>
        <n v="0.259027777777778"/>
        <n v="0.259722222222222"/>
        <n v="0.260416666666667"/>
        <n v="0.2625"/>
        <n v="0.271527777777778"/>
        <n v="0.272916666666667"/>
        <n v="0.279861111111111"/>
        <n v="0.297916666666667"/>
        <n v="0.314583333333333"/>
        <n v="0.316666666666667"/>
        <n v="0.327083333333333"/>
        <n v="0.33125"/>
        <n v="0.334027777777778"/>
        <n v="0.335416666666667"/>
        <n v="0.338194444444444"/>
        <n v="0.338888888888889"/>
        <n v="0.342361111111111"/>
        <n v="0.343055555555555"/>
        <n v="0.34375"/>
        <n v="0.346527777777778"/>
        <n v="0.347222222222222"/>
        <n v="0.3625"/>
        <n v="0.371527777777778"/>
        <n v="0.373611111111111"/>
        <n v="0.384027777777778"/>
        <n v="0.427083333333333"/>
        <n v="0.432638888888889"/>
        <n v="0.438888888888889"/>
        <n v="0.445833333333333"/>
        <n v="0.447222222222222"/>
        <n v="0.447916666666667"/>
        <n v="0.448611111111111"/>
        <n v="0.449305555555556"/>
        <n v="0.45"/>
        <n v="0.450694444444444"/>
        <n v="0.451388888888889"/>
        <n v="0.452083333333333"/>
        <n v="0.452777777777778"/>
        <n v="0.453472222222222"/>
        <n v="0.454166666666667"/>
        <n v="0.454861111111111"/>
        <n v="0.455555555555556"/>
        <n v="0.45625"/>
        <n v="0.456944444444444"/>
        <n v="0.459027777777778"/>
        <n v="0.460416666666667"/>
        <n v="0.461805555555556"/>
        <n v="0.4625"/>
        <n v="0.463194444444444"/>
        <n v="0.463888888888889"/>
        <n v="0.465277777777778"/>
        <n v="0.465972222222222"/>
        <n v="0.466666666666667"/>
        <n v="0.468055555555555"/>
        <n v="0.470138888888889"/>
        <n v="0.472222222222222"/>
        <n v="0.472916666666667"/>
        <n v="0.477083333333333"/>
        <n v="0.478472222222222"/>
        <n v="0.479166666666667"/>
        <n v="0.48125"/>
        <n v="0.481944444444444"/>
        <n v="0.486111111111111"/>
        <n v="0.4875"/>
        <n v="0.488194444444444"/>
        <n v="0.490277777777778"/>
        <n v="0.491666666666667"/>
        <n v="0.492361111111111"/>
        <n v="0.495833333333333"/>
        <n v="0.497222222222222"/>
        <n v="0.497916666666667"/>
        <n v="0.498611111111111"/>
        <n v="0.5"/>
        <n v="0.504861111111111"/>
        <n v="0.507638888888889"/>
        <n v="0.508333333333333"/>
        <n v="0.509722222222222"/>
        <n v="0.5125"/>
        <n v="0.516666666666667"/>
        <n v="0.518055555555556"/>
        <n v="0.524305555555556"/>
        <n v="0.534722222222222"/>
        <n v="0.676388888888889"/>
        <n v="0.679166666666667"/>
        <n v="0.679861111111111"/>
        <n v="0.680555555555555"/>
        <n v="0.68125"/>
        <n v="0.683333333333333"/>
        <n v="0.685416666666667"/>
        <n v="0.6875"/>
        <n v="0.688194444444445"/>
        <n v="0.689583333333333"/>
        <n v="0.690277777777778"/>
        <n v="0.69375"/>
        <n v="0.867361111111111"/>
        <n v="0.86875"/>
        <n v="0.870138888888889"/>
        <n v="0.872916666666667"/>
        <n v="0.873611111111111"/>
        <n v="0.875694444444444"/>
        <n v="0.876388888888889"/>
        <n v="0.877083333333333"/>
        <n v="0.878472222222222"/>
        <n v="0.879861111111111"/>
        <n v="0.880555555555556"/>
        <n v="0.882638888888889"/>
        <n v="0.883333333333333"/>
        <n v="0.984722222222222"/>
      </sharedItems>
    </cacheField>
    <cacheField name="Ticket" numFmtId="0">
      <sharedItems count="243" containsMixedTypes="0" containsSemiMixedTypes="0" containsString="0" containsNumber="1">
        <n v="9285"/>
        <n v="37167"/>
        <n v="37439"/>
        <n v="78287"/>
        <n v="78472"/>
        <n v="78833"/>
        <n v="79066"/>
        <n v="79223"/>
        <n v="97772"/>
        <n v="97777"/>
        <n v="97785"/>
        <n v="97786"/>
        <n v="97798"/>
        <n v="97802"/>
        <n v="97813"/>
        <n v="97819"/>
        <n v="97820"/>
        <n v="97827"/>
        <n v="97829"/>
        <n v="97832"/>
        <n v="97850"/>
        <n v="97855"/>
        <n v="97867"/>
        <n v="97871"/>
        <n v="97872"/>
        <n v="97879"/>
        <n v="97880"/>
        <n v="97882"/>
        <n v="97889"/>
        <n v="97897"/>
        <n v="97907"/>
        <n v="97917"/>
        <n v="97924"/>
        <n v="97925"/>
        <n v="97931"/>
        <n v="97932"/>
        <n v="97935"/>
        <n v="97943"/>
        <n v="97951"/>
        <n v="97957"/>
        <n v="97960"/>
        <n v="97974"/>
        <n v="97979"/>
        <n v="97980"/>
        <n v="97986"/>
        <n v="97988"/>
        <n v="97992"/>
        <n v="97997"/>
        <n v="98012"/>
        <n v="98016"/>
        <n v="98025"/>
        <n v="98027"/>
        <n v="98028"/>
        <n v="98035"/>
        <n v="98037"/>
        <n v="98041"/>
        <n v="98047"/>
        <n v="98049"/>
        <n v="98052"/>
        <n v="98053"/>
        <n v="98054"/>
        <n v="98055"/>
        <n v="98056"/>
        <n v="98062"/>
        <n v="98063"/>
        <n v="98064"/>
        <n v="98070"/>
        <n v="98071"/>
        <n v="98072"/>
        <n v="98073"/>
        <n v="98074"/>
        <n v="98081"/>
        <n v="98085"/>
        <n v="98088"/>
        <n v="98091"/>
        <n v="98099"/>
        <n v="98108"/>
        <n v="98122"/>
        <n v="98128"/>
        <n v="98129"/>
        <n v="98136"/>
        <n v="98139"/>
        <n v="98140"/>
        <n v="98153"/>
        <n v="98157"/>
        <n v="98158"/>
        <n v="98166"/>
        <n v="98169"/>
        <n v="98170"/>
        <n v="98171"/>
        <n v="98181"/>
        <n v="98184"/>
        <n v="98185"/>
        <n v="98191"/>
        <n v="98204"/>
        <n v="98222"/>
        <n v="98227"/>
        <n v="98230"/>
        <n v="98237"/>
        <n v="98239"/>
        <n v="98240"/>
        <n v="98251"/>
        <n v="98259"/>
        <n v="98265"/>
        <n v="98279"/>
        <n v="98284"/>
        <n v="98289"/>
        <n v="98295"/>
        <n v="98296"/>
        <n v="98302"/>
        <n v="98303"/>
        <n v="98305"/>
        <n v="98307"/>
        <n v="98308"/>
        <n v="98317"/>
        <n v="98322"/>
        <n v="98323"/>
        <n v="98330"/>
        <n v="98333"/>
        <n v="98336"/>
        <n v="98338"/>
        <n v="98339"/>
        <n v="98340"/>
        <n v="98346"/>
        <n v="98347"/>
        <n v="98348"/>
        <n v="98350"/>
        <n v="98356"/>
        <n v="98357"/>
        <n v="98358"/>
        <n v="98359"/>
        <n v="98362"/>
        <n v="98366"/>
        <n v="98372"/>
        <n v="98373"/>
        <n v="98386"/>
        <n v="98387"/>
        <n v="98389"/>
        <n v="98393"/>
        <n v="98396"/>
        <n v="98410"/>
        <n v="98416"/>
        <n v="98417"/>
        <n v="98426"/>
        <n v="98428"/>
        <n v="98432"/>
        <n v="98438"/>
        <n v="98448"/>
        <n v="98454"/>
        <n v="98472"/>
        <n v="98479"/>
        <n v="98480"/>
        <n v="98486"/>
        <n v="98492"/>
        <n v="98493"/>
        <n v="98498"/>
        <n v="98511"/>
        <n v="98514"/>
        <n v="98542"/>
        <n v="98553"/>
        <n v="98554"/>
        <n v="98562"/>
        <n v="98570"/>
        <n v="98579"/>
        <n v="98595"/>
        <n v="98596"/>
        <n v="98597"/>
        <n v="98599"/>
        <n v="98603"/>
        <n v="98608"/>
        <n v="98609"/>
        <n v="98611"/>
        <n v="98612"/>
        <n v="98614"/>
        <n v="98624"/>
        <n v="98631"/>
        <n v="98633"/>
        <n v="98638"/>
        <n v="98640"/>
        <n v="98641"/>
        <n v="98648"/>
        <n v="98649"/>
        <n v="98654"/>
        <n v="98655"/>
        <n v="98662"/>
        <n v="98663"/>
        <n v="98673"/>
        <n v="98692"/>
        <n v="98702"/>
        <n v="98705"/>
        <n v="98706"/>
        <n v="98724"/>
        <n v="98725"/>
        <n v="98750"/>
        <n v="98756"/>
        <n v="98760"/>
        <n v="98764"/>
        <n v="98769"/>
        <n v="98773"/>
        <n v="98785"/>
        <n v="98786"/>
        <n v="98817"/>
        <n v="98826"/>
        <n v="98827"/>
        <n v="98837"/>
        <n v="98842"/>
        <n v="98849"/>
        <n v="98857"/>
        <n v="98875"/>
        <n v="98876"/>
        <n v="98885"/>
        <n v="98890"/>
        <n v="98893"/>
        <n v="98901"/>
        <n v="98922"/>
        <n v="98928"/>
        <n v="98932"/>
        <n v="98934"/>
        <n v="98941"/>
        <n v="98945"/>
        <n v="98949"/>
        <n v="98956"/>
        <n v="98957"/>
        <n v="98964"/>
        <n v="98965"/>
        <n v="98968"/>
        <n v="98971"/>
        <n v="98977"/>
        <n v="98981"/>
        <n v="98996"/>
        <n v="98999"/>
        <n v="99024"/>
        <n v="99032"/>
        <n v="99034"/>
        <n v="99037"/>
        <n v="99052"/>
        <n v="99053"/>
        <n v="99084"/>
        <n v="99086"/>
        <n v="99087"/>
        <n v="99090"/>
        <n v="99093"/>
        <n v="99104"/>
      </sharedItems>
    </cacheField>
    <cacheField name="Matrícula" numFmtId="0">
      <sharedItems count="8" containsMixedTypes="0" containsSemiMixedTypes="0" containsString="1" containsNumber="0">
        <s v="0315BGK"/>
        <s v="1730KBZ"/>
        <s v="1821KBZ"/>
        <s v="3686KBG"/>
        <s v="6120JZX"/>
        <s v="7542KBV"/>
        <s v="7809JZX"/>
        <s v="7957JZS"/>
      </sharedItems>
    </cacheField>
    <cacheField name="Peso total" numFmtId="0">
      <sharedItems count="192" containsMixedTypes="0" containsSemiMixedTypes="0" containsString="0" containsNumber="1">
        <n v="2520"/>
        <n v="2560"/>
        <n v="2580"/>
        <n v="2600"/>
        <n v="2620"/>
        <n v="2640"/>
        <n v="2660"/>
        <n v="2700"/>
        <n v="2720"/>
        <n v="2740"/>
        <n v="2780"/>
        <n v="2800"/>
        <n v="2840"/>
        <n v="2880"/>
        <n v="2900"/>
        <n v="2920"/>
        <n v="2940"/>
        <n v="2960"/>
        <n v="3020"/>
        <n v="3040"/>
        <n v="3060"/>
        <n v="3080"/>
        <n v="3160"/>
        <n v="3200"/>
        <n v="3240"/>
        <n v="3300"/>
        <n v="3320"/>
        <n v="3340"/>
        <n v="3360"/>
        <n v="3440"/>
        <n v="3460"/>
        <n v="3540"/>
        <n v="3560"/>
        <n v="3580"/>
        <n v="3660"/>
        <n v="3680"/>
        <n v="3700"/>
        <n v="3780"/>
        <n v="4020"/>
        <n v="4040"/>
        <n v="4060"/>
        <n v="4080"/>
        <n v="4100"/>
        <n v="4120"/>
        <n v="4150"/>
        <n v="4160"/>
        <n v="4180"/>
        <n v="4200"/>
        <n v="4240"/>
        <n v="4260"/>
        <n v="4280"/>
        <n v="4300"/>
        <n v="4320"/>
        <n v="4380"/>
        <n v="4400"/>
        <n v="4440"/>
        <n v="4460"/>
        <n v="4480"/>
        <n v="4500"/>
        <n v="4600"/>
        <n v="4640"/>
        <n v="4660"/>
        <n v="4720"/>
        <n v="5100"/>
        <n v="6460"/>
        <n v="13760"/>
        <n v="13800"/>
        <n v="13900"/>
        <n v="13940"/>
        <n v="14240"/>
        <n v="14280"/>
        <n v="14300"/>
        <n v="14360"/>
        <n v="14460"/>
        <n v="14680"/>
        <n v="14720"/>
        <n v="14760"/>
        <n v="14860"/>
        <n v="15000"/>
        <n v="15080"/>
        <n v="15300"/>
        <n v="15940"/>
        <n v="16320"/>
        <n v="16360"/>
        <n v="16520"/>
        <n v="16540"/>
        <n v="16580"/>
        <n v="16640"/>
        <n v="16660"/>
        <n v="16780"/>
        <n v="16940"/>
        <n v="17000"/>
        <n v="17020"/>
        <n v="17040"/>
        <n v="17080"/>
        <n v="17180"/>
        <n v="17300"/>
        <n v="17380"/>
        <n v="17400"/>
        <n v="17420"/>
        <n v="17520"/>
        <n v="17540"/>
        <n v="17600"/>
        <n v="17680"/>
        <n v="17900"/>
        <n v="18040"/>
        <n v="18120"/>
        <n v="18140"/>
        <n v="18380"/>
        <n v="18640"/>
        <n v="18860"/>
        <n v="18920"/>
        <n v="18940"/>
        <n v="19000"/>
        <n v="19100"/>
        <n v="19140"/>
        <n v="19160"/>
        <n v="19260"/>
        <n v="19380"/>
        <n v="19480"/>
        <n v="19560"/>
        <n v="19630"/>
        <n v="19680"/>
        <n v="19700"/>
        <n v="19720"/>
        <n v="19820"/>
        <n v="19900"/>
        <n v="19920"/>
        <n v="19980"/>
        <n v="20020"/>
        <n v="20060"/>
        <n v="20100"/>
        <n v="20120"/>
        <n v="20160"/>
        <n v="20200"/>
        <n v="20340"/>
        <n v="20420"/>
        <n v="20500"/>
        <n v="20540"/>
        <n v="20560"/>
        <n v="20580"/>
        <n v="20640"/>
        <n v="20660"/>
        <n v="20680"/>
        <n v="20720"/>
        <n v="20740"/>
        <n v="20820"/>
        <n v="20840"/>
        <n v="20880"/>
        <n v="20900"/>
        <n v="20940"/>
        <n v="21000"/>
        <n v="21040"/>
        <n v="21080"/>
        <n v="21120"/>
        <n v="21300"/>
        <n v="21440"/>
        <n v="21620"/>
        <n v="21680"/>
        <n v="21720"/>
        <n v="21820"/>
        <n v="22100"/>
        <n v="22160"/>
        <n v="22220"/>
        <n v="22280"/>
        <n v="22340"/>
        <n v="22540"/>
        <n v="22760"/>
        <n v="22900"/>
        <n v="22940"/>
        <n v="23020"/>
        <n v="23340"/>
        <n v="23460"/>
        <n v="23520"/>
        <n v="23800"/>
        <n v="23840"/>
        <n v="23920"/>
        <n v="23940"/>
        <n v="24300"/>
        <n v="24340"/>
        <n v="24360"/>
        <n v="25400"/>
        <n v="25860"/>
        <n v="26040"/>
        <n v="26220"/>
        <n v="26500"/>
        <n v="26660"/>
        <n v="26740"/>
        <n v="26900"/>
        <n v="26940"/>
        <n v="27020"/>
        <n v="31320"/>
      </sharedItems>
    </cacheField>
    <cacheField name="Tara" numFmtId="0">
      <sharedItems count="88" containsMixedTypes="0" containsSemiMixedTypes="0" containsString="0" containsNumber="1">
        <n v="2260"/>
        <n v="2280"/>
        <n v="2300"/>
        <n v="2320"/>
        <n v="2360"/>
        <n v="2380"/>
        <n v="2440"/>
        <n v="2480"/>
        <n v="2720"/>
        <n v="2740"/>
        <n v="2760"/>
        <n v="2780"/>
        <n v="2800"/>
        <n v="2820"/>
        <n v="2840"/>
        <n v="2860"/>
        <n v="2880"/>
        <n v="2900"/>
        <n v="3020"/>
        <n v="3480"/>
        <n v="3500"/>
        <n v="3520"/>
        <n v="3540"/>
        <n v="3560"/>
        <n v="3580"/>
        <n v="3600"/>
        <n v="3620"/>
        <n v="3640"/>
        <n v="3660"/>
        <n v="3680"/>
        <n v="3700"/>
        <n v="3720"/>
        <n v="3740"/>
        <n v="3760"/>
        <n v="5720"/>
        <n v="12300"/>
        <n v="12740"/>
        <n v="12760"/>
        <n v="12800"/>
        <n v="12820"/>
        <n v="12840"/>
        <n v="12860"/>
        <n v="12880"/>
        <n v="12900"/>
        <n v="12920"/>
        <n v="12940"/>
        <n v="12960"/>
        <n v="12980"/>
        <n v="13000"/>
        <n v="13020"/>
        <n v="13040"/>
        <n v="13060"/>
        <n v="13080"/>
        <n v="13100"/>
        <n v="13140"/>
        <n v="13160"/>
        <n v="13200"/>
        <n v="13220"/>
        <n v="15380"/>
        <n v="15400"/>
        <n v="15440"/>
        <n v="15600"/>
        <n v="15640"/>
        <n v="15660"/>
        <n v="15680"/>
        <n v="15700"/>
        <n v="15720"/>
        <n v="15740"/>
        <n v="15760"/>
        <n v="15780"/>
        <n v="15800"/>
        <n v="15820"/>
        <n v="15840"/>
        <n v="15860"/>
        <n v="15880"/>
        <n v="15900"/>
        <n v="15920"/>
        <n v="15960"/>
        <n v="15980"/>
        <n v="16000"/>
        <n v="16020"/>
        <n v="16040"/>
        <n v="16060"/>
        <n v="16280"/>
        <n v="16360"/>
        <n v="16500"/>
        <n v="16620"/>
        <n v="16740"/>
      </sharedItems>
    </cacheField>
    <cacheField name="Carga" numFmtId="0">
      <sharedItems count="171" containsMixedTypes="0" containsSemiMixedTypes="0" containsString="0" containsNumber="1">
        <n v="40"/>
        <n v="12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60"/>
        <n v="570"/>
        <n v="580"/>
        <n v="600"/>
        <n v="620"/>
        <n v="640"/>
        <n v="660"/>
        <n v="680"/>
        <n v="700"/>
        <n v="720"/>
        <n v="740"/>
        <n v="760"/>
        <n v="780"/>
        <n v="820"/>
        <n v="840"/>
        <n v="880"/>
        <n v="920"/>
        <n v="940"/>
        <n v="960"/>
        <n v="980"/>
        <n v="1000"/>
        <n v="1020"/>
        <n v="1040"/>
        <n v="1060"/>
        <n v="1080"/>
        <n v="1180"/>
        <n v="1220"/>
        <n v="1300"/>
        <n v="1320"/>
        <n v="1360"/>
        <n v="1400"/>
        <n v="1420"/>
        <n v="1480"/>
        <n v="1540"/>
        <n v="1560"/>
        <n v="1580"/>
        <n v="1700"/>
        <n v="1780"/>
        <n v="1800"/>
        <n v="1880"/>
        <n v="1960"/>
        <n v="2060"/>
        <n v="2180"/>
        <n v="2240"/>
        <n v="2480"/>
        <n v="2840"/>
        <n v="3160"/>
        <n v="3460"/>
        <n v="3540"/>
        <n v="3640"/>
        <n v="3700"/>
        <n v="3760"/>
        <n v="3820"/>
        <n v="3840"/>
        <n v="3880"/>
        <n v="3900"/>
        <n v="3920"/>
        <n v="3940"/>
        <n v="3980"/>
        <n v="4060"/>
        <n v="4100"/>
        <n v="4120"/>
        <n v="4140"/>
        <n v="4220"/>
        <n v="4280"/>
        <n v="4360"/>
        <n v="4380"/>
        <n v="4420"/>
        <n v="4440"/>
        <n v="4500"/>
        <n v="4520"/>
        <n v="4540"/>
        <n v="4580"/>
        <n v="4640"/>
        <n v="4660"/>
        <n v="4700"/>
        <n v="4740"/>
        <n v="4780"/>
        <n v="4880"/>
        <n v="4980"/>
        <n v="5000"/>
        <n v="5020"/>
        <n v="5040"/>
        <n v="5080"/>
        <n v="5120"/>
        <n v="5160"/>
        <n v="5220"/>
        <n v="5280"/>
        <n v="5320"/>
        <n v="5560"/>
        <n v="5640"/>
        <n v="5700"/>
        <n v="5740"/>
        <n v="5760"/>
        <n v="5780"/>
        <n v="5840"/>
        <n v="6020"/>
        <n v="6040"/>
        <n v="6060"/>
        <n v="6080"/>
        <n v="6100"/>
        <n v="6160"/>
        <n v="6380"/>
        <n v="6420"/>
        <n v="6500"/>
        <n v="6520"/>
        <n v="6540"/>
        <n v="6560"/>
        <n v="6610"/>
        <n v="6680"/>
        <n v="6820"/>
        <n v="6840"/>
        <n v="6920"/>
        <n v="6960"/>
        <n v="7000"/>
        <n v="7120"/>
        <n v="7200"/>
        <n v="7280"/>
        <n v="7300"/>
        <n v="7460"/>
        <n v="7600"/>
        <n v="7620"/>
        <n v="7640"/>
        <n v="7680"/>
        <n v="7720"/>
        <n v="7800"/>
        <n v="7820"/>
        <n v="7880"/>
        <n v="8240"/>
        <n v="8300"/>
        <n v="8420"/>
        <n v="8500"/>
        <n v="8600"/>
        <n v="9140"/>
        <n v="9940"/>
        <n v="9960"/>
        <n v="10140"/>
        <n v="10280"/>
        <n v="10320"/>
        <n v="10420"/>
        <n v="10520"/>
        <n v="10700"/>
        <n v="10880"/>
        <n v="11040"/>
        <n v="11100"/>
        <n v="11240"/>
        <n v="11340"/>
        <n v="15040"/>
      </sharedItems>
    </cacheField>
    <cacheField name="Población" numFmtId="0">
      <sharedItems count="1" containsMixedTypes="0" containsSemiMixedTypes="0" containsString="1" containsNumber="0">
        <s v="Peñiscola "/>
      </sharedItems>
    </cacheField>
    <cacheField name="Residuo" numFmtId="0">
      <sharedItems count="6" containsMixedTypes="0" containsSemiMixedTypes="0" containsString="1" containsNumber="0">
        <s v="LIMP. PLAY"/>
        <s v="PODA"/>
        <s v="RSU"/>
        <s v="SEL.ENV"/>
        <s v="SEL.PAP"/>
        <s v="VOL"/>
      </sharedItems>
    </cacheField>
    <cacheField name="marca" numFmtId="0">
      <sharedItems count="1" containsMixedTypes="0" containsSemiMixedTypes="0" containsString="1" containsNumber="0">
        <s v="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3">
  <r>
    <x v="0"/>
    <x v="6"/>
    <x v="8"/>
    <x v="5"/>
    <x v="147"/>
    <x v="50"/>
    <x v="148"/>
    <x v="0"/>
    <x v="2"/>
  </r>
  <r>
    <x v="0"/>
    <x v="35"/>
    <x v="9"/>
    <x v="5"/>
    <x v="108"/>
    <x v="39"/>
    <x v="112"/>
    <x v="0"/>
    <x v="2"/>
  </r>
  <r>
    <x v="0"/>
    <x v="77"/>
    <x v="10"/>
    <x v="6"/>
    <x v="61"/>
    <x v="24"/>
    <x v="47"/>
    <x v="0"/>
    <x v="2"/>
  </r>
  <r>
    <x v="0"/>
    <x v="80"/>
    <x v="11"/>
    <x v="2"/>
    <x v="179"/>
    <x v="76"/>
    <x v="153"/>
    <x v="0"/>
    <x v="2"/>
  </r>
  <r>
    <x v="0"/>
    <x v="127"/>
    <x v="12"/>
    <x v="3"/>
    <x v="2"/>
    <x v="5"/>
    <x v="5"/>
    <x v="0"/>
    <x v="2"/>
  </r>
  <r>
    <x v="0"/>
    <x v="171"/>
    <x v="13"/>
    <x v="1"/>
    <x v="98"/>
    <x v="65"/>
    <x v="59"/>
    <x v="0"/>
    <x v="2"/>
  </r>
  <r>
    <x v="0"/>
    <x v="181"/>
    <x v="14"/>
    <x v="5"/>
    <x v="79"/>
    <x v="43"/>
    <x v="65"/>
    <x v="0"/>
    <x v="2"/>
  </r>
  <r>
    <x v="0"/>
    <x v="196"/>
    <x v="15"/>
    <x v="1"/>
    <x v="149"/>
    <x v="69"/>
    <x v="107"/>
    <x v="0"/>
    <x v="2"/>
  </r>
  <r>
    <x v="1"/>
    <x v="146"/>
    <x v="3"/>
    <x v="2"/>
    <x v="103"/>
    <x v="66"/>
    <x v="63"/>
    <x v="0"/>
    <x v="4"/>
  </r>
  <r>
    <x v="1"/>
    <x v="2"/>
    <x v="16"/>
    <x v="5"/>
    <x v="131"/>
    <x v="47"/>
    <x v="138"/>
    <x v="0"/>
    <x v="2"/>
  </r>
  <r>
    <x v="1"/>
    <x v="59"/>
    <x v="17"/>
    <x v="6"/>
    <x v="57"/>
    <x v="31"/>
    <x v="34"/>
    <x v="0"/>
    <x v="2"/>
  </r>
  <r>
    <x v="1"/>
    <x v="71"/>
    <x v="18"/>
    <x v="5"/>
    <x v="92"/>
    <x v="38"/>
    <x v="86"/>
    <x v="0"/>
    <x v="2"/>
  </r>
  <r>
    <x v="1"/>
    <x v="82"/>
    <x v="19"/>
    <x v="1"/>
    <x v="164"/>
    <x v="61"/>
    <x v="132"/>
    <x v="0"/>
    <x v="2"/>
  </r>
  <r>
    <x v="1"/>
    <x v="125"/>
    <x v="20"/>
    <x v="3"/>
    <x v="1"/>
    <x v="5"/>
    <x v="4"/>
    <x v="0"/>
    <x v="2"/>
  </r>
  <r>
    <x v="1"/>
    <x v="163"/>
    <x v="21"/>
    <x v="4"/>
    <x v="23"/>
    <x v="15"/>
    <x v="12"/>
    <x v="0"/>
    <x v="5"/>
  </r>
  <r>
    <x v="1"/>
    <x v="182"/>
    <x v="22"/>
    <x v="5"/>
    <x v="69"/>
    <x v="49"/>
    <x v="49"/>
    <x v="0"/>
    <x v="2"/>
  </r>
  <r>
    <x v="1"/>
    <x v="193"/>
    <x v="23"/>
    <x v="1"/>
    <x v="123"/>
    <x v="69"/>
    <x v="79"/>
    <x v="0"/>
    <x v="2"/>
  </r>
  <r>
    <x v="2"/>
    <x v="174"/>
    <x v="1"/>
    <x v="1"/>
    <x v="93"/>
    <x v="62"/>
    <x v="53"/>
    <x v="0"/>
    <x v="3"/>
  </r>
  <r>
    <x v="2"/>
    <x v="10"/>
    <x v="24"/>
    <x v="5"/>
    <x v="122"/>
    <x v="54"/>
    <x v="129"/>
    <x v="0"/>
    <x v="2"/>
  </r>
  <r>
    <x v="2"/>
    <x v="61"/>
    <x v="25"/>
    <x v="6"/>
    <x v="52"/>
    <x v="28"/>
    <x v="29"/>
    <x v="0"/>
    <x v="2"/>
  </r>
  <r>
    <x v="2"/>
    <x v="66"/>
    <x v="26"/>
    <x v="5"/>
    <x v="102"/>
    <x v="46"/>
    <x v="96"/>
    <x v="0"/>
    <x v="2"/>
  </r>
  <r>
    <x v="2"/>
    <x v="68"/>
    <x v="27"/>
    <x v="1"/>
    <x v="169"/>
    <x v="67"/>
    <x v="139"/>
    <x v="0"/>
    <x v="2"/>
  </r>
  <r>
    <x v="2"/>
    <x v="104"/>
    <x v="28"/>
    <x v="4"/>
    <x v="24"/>
    <x v="14"/>
    <x v="15"/>
    <x v="0"/>
    <x v="5"/>
  </r>
  <r>
    <x v="2"/>
    <x v="125"/>
    <x v="29"/>
    <x v="3"/>
    <x v="1"/>
    <x v="4"/>
    <x v="5"/>
    <x v="0"/>
    <x v="2"/>
  </r>
  <r>
    <x v="2"/>
    <x v="173"/>
    <x v="30"/>
    <x v="4"/>
    <x v="27"/>
    <x v="14"/>
    <x v="20"/>
    <x v="0"/>
    <x v="5"/>
  </r>
  <r>
    <x v="2"/>
    <x v="185"/>
    <x v="31"/>
    <x v="5"/>
    <x v="70"/>
    <x v="46"/>
    <x v="51"/>
    <x v="0"/>
    <x v="2"/>
  </r>
  <r>
    <x v="2"/>
    <x v="190"/>
    <x v="32"/>
    <x v="1"/>
    <x v="133"/>
    <x v="67"/>
    <x v="90"/>
    <x v="0"/>
    <x v="2"/>
  </r>
  <r>
    <x v="3"/>
    <x v="12"/>
    <x v="33"/>
    <x v="5"/>
    <x v="116"/>
    <x v="52"/>
    <x v="122"/>
    <x v="0"/>
    <x v="2"/>
  </r>
  <r>
    <x v="3"/>
    <x v="38"/>
    <x v="34"/>
    <x v="5"/>
    <x v="89"/>
    <x v="42"/>
    <x v="78"/>
    <x v="0"/>
    <x v="2"/>
  </r>
  <r>
    <x v="3"/>
    <x v="42"/>
    <x v="35"/>
    <x v="1"/>
    <x v="159"/>
    <x v="64"/>
    <x v="120"/>
    <x v="0"/>
    <x v="2"/>
  </r>
  <r>
    <x v="3"/>
    <x v="76"/>
    <x v="36"/>
    <x v="6"/>
    <x v="48"/>
    <x v="23"/>
    <x v="30"/>
    <x v="0"/>
    <x v="2"/>
  </r>
  <r>
    <x v="3"/>
    <x v="109"/>
    <x v="37"/>
    <x v="4"/>
    <x v="13"/>
    <x v="14"/>
    <x v="0"/>
    <x v="0"/>
    <x v="2"/>
  </r>
  <r>
    <x v="3"/>
    <x v="130"/>
    <x v="38"/>
    <x v="3"/>
    <x v="0"/>
    <x v="4"/>
    <x v="3"/>
    <x v="0"/>
    <x v="2"/>
  </r>
  <r>
    <x v="3"/>
    <x v="160"/>
    <x v="39"/>
    <x v="0"/>
    <x v="126"/>
    <x v="76"/>
    <x v="81"/>
    <x v="0"/>
    <x v="1"/>
  </r>
  <r>
    <x v="3"/>
    <x v="169"/>
    <x v="40"/>
    <x v="4"/>
    <x v="29"/>
    <x v="13"/>
    <x v="27"/>
    <x v="0"/>
    <x v="5"/>
  </r>
  <r>
    <x v="3"/>
    <x v="186"/>
    <x v="41"/>
    <x v="5"/>
    <x v="71"/>
    <x v="45"/>
    <x v="52"/>
    <x v="0"/>
    <x v="2"/>
  </r>
  <r>
    <x v="3"/>
    <x v="194"/>
    <x v="42"/>
    <x v="1"/>
    <x v="136"/>
    <x v="74"/>
    <x v="94"/>
    <x v="0"/>
    <x v="2"/>
  </r>
  <r>
    <x v="4"/>
    <x v="7"/>
    <x v="43"/>
    <x v="5"/>
    <x v="128"/>
    <x v="49"/>
    <x v="136"/>
    <x v="0"/>
    <x v="2"/>
  </r>
  <r>
    <x v="4"/>
    <x v="46"/>
    <x v="44"/>
    <x v="6"/>
    <x v="54"/>
    <x v="30"/>
    <x v="31"/>
    <x v="0"/>
    <x v="2"/>
  </r>
  <r>
    <x v="4"/>
    <x v="69"/>
    <x v="45"/>
    <x v="5"/>
    <x v="101"/>
    <x v="40"/>
    <x v="98"/>
    <x v="0"/>
    <x v="2"/>
  </r>
  <r>
    <x v="4"/>
    <x v="92"/>
    <x v="46"/>
    <x v="1"/>
    <x v="180"/>
    <x v="68"/>
    <x v="155"/>
    <x v="0"/>
    <x v="2"/>
  </r>
  <r>
    <x v="4"/>
    <x v="100"/>
    <x v="47"/>
    <x v="0"/>
    <x v="139"/>
    <x v="81"/>
    <x v="93"/>
    <x v="0"/>
    <x v="1"/>
  </r>
  <r>
    <x v="4"/>
    <x v="136"/>
    <x v="48"/>
    <x v="3"/>
    <x v="3"/>
    <x v="4"/>
    <x v="7"/>
    <x v="0"/>
    <x v="2"/>
  </r>
  <r>
    <x v="4"/>
    <x v="159"/>
    <x v="49"/>
    <x v="4"/>
    <x v="30"/>
    <x v="13"/>
    <x v="28"/>
    <x v="0"/>
    <x v="5"/>
  </r>
  <r>
    <x v="4"/>
    <x v="183"/>
    <x v="50"/>
    <x v="5"/>
    <x v="73"/>
    <x v="42"/>
    <x v="58"/>
    <x v="0"/>
    <x v="2"/>
  </r>
  <r>
    <x v="4"/>
    <x v="189"/>
    <x v="51"/>
    <x v="1"/>
    <x v="126"/>
    <x v="70"/>
    <x v="83"/>
    <x v="0"/>
    <x v="2"/>
  </r>
  <r>
    <x v="5"/>
    <x v="4"/>
    <x v="52"/>
    <x v="5"/>
    <x v="117"/>
    <x v="53"/>
    <x v="124"/>
    <x v="0"/>
    <x v="2"/>
  </r>
  <r>
    <x v="5"/>
    <x v="32"/>
    <x v="53"/>
    <x v="5"/>
    <x v="105"/>
    <x v="49"/>
    <x v="104"/>
    <x v="0"/>
    <x v="2"/>
  </r>
  <r>
    <x v="5"/>
    <x v="71"/>
    <x v="54"/>
    <x v="6"/>
    <x v="57"/>
    <x v="23"/>
    <x v="39"/>
    <x v="0"/>
    <x v="2"/>
  </r>
  <r>
    <x v="5"/>
    <x v="94"/>
    <x v="55"/>
    <x v="1"/>
    <x v="165"/>
    <x v="69"/>
    <x v="130"/>
    <x v="0"/>
    <x v="2"/>
  </r>
  <r>
    <x v="5"/>
    <x v="108"/>
    <x v="56"/>
    <x v="4"/>
    <x v="18"/>
    <x v="14"/>
    <x v="4"/>
    <x v="0"/>
    <x v="2"/>
  </r>
  <r>
    <x v="5"/>
    <x v="119"/>
    <x v="57"/>
    <x v="3"/>
    <x v="1"/>
    <x v="4"/>
    <x v="5"/>
    <x v="0"/>
    <x v="2"/>
  </r>
  <r>
    <x v="5"/>
    <x v="147"/>
    <x v="58"/>
    <x v="0"/>
    <x v="154"/>
    <x v="75"/>
    <x v="109"/>
    <x v="0"/>
    <x v="5"/>
  </r>
  <r>
    <x v="5"/>
    <x v="157"/>
    <x v="59"/>
    <x v="4"/>
    <x v="25"/>
    <x v="13"/>
    <x v="19"/>
    <x v="0"/>
    <x v="5"/>
  </r>
  <r>
    <x v="5"/>
    <x v="176"/>
    <x v="60"/>
    <x v="5"/>
    <x v="74"/>
    <x v="47"/>
    <x v="59"/>
    <x v="0"/>
    <x v="2"/>
  </r>
  <r>
    <x v="5"/>
    <x v="188"/>
    <x v="61"/>
    <x v="1"/>
    <x v="144"/>
    <x v="72"/>
    <x v="101"/>
    <x v="0"/>
    <x v="2"/>
  </r>
  <r>
    <x v="6"/>
    <x v="4"/>
    <x v="62"/>
    <x v="5"/>
    <x v="130"/>
    <x v="51"/>
    <x v="137"/>
    <x v="0"/>
    <x v="2"/>
  </r>
  <r>
    <x v="6"/>
    <x v="43"/>
    <x v="63"/>
    <x v="6"/>
    <x v="62"/>
    <x v="32"/>
    <x v="42"/>
    <x v="0"/>
    <x v="2"/>
  </r>
  <r>
    <x v="6"/>
    <x v="53"/>
    <x v="64"/>
    <x v="5"/>
    <x v="104"/>
    <x v="41"/>
    <x v="105"/>
    <x v="0"/>
    <x v="2"/>
  </r>
  <r>
    <x v="6"/>
    <x v="64"/>
    <x v="65"/>
    <x v="1"/>
    <x v="161"/>
    <x v="66"/>
    <x v="125"/>
    <x v="0"/>
    <x v="2"/>
  </r>
  <r>
    <x v="6"/>
    <x v="114"/>
    <x v="66"/>
    <x v="4"/>
    <x v="15"/>
    <x v="9"/>
    <x v="4"/>
    <x v="0"/>
    <x v="2"/>
  </r>
  <r>
    <x v="6"/>
    <x v="133"/>
    <x v="67"/>
    <x v="3"/>
    <x v="1"/>
    <x v="0"/>
    <x v="10"/>
    <x v="0"/>
    <x v="2"/>
  </r>
  <r>
    <x v="6"/>
    <x v="179"/>
    <x v="68"/>
    <x v="5"/>
    <x v="68"/>
    <x v="44"/>
    <x v="44"/>
    <x v="0"/>
    <x v="2"/>
  </r>
  <r>
    <x v="6"/>
    <x v="191"/>
    <x v="69"/>
    <x v="1"/>
    <x v="132"/>
    <x v="67"/>
    <x v="89"/>
    <x v="0"/>
    <x v="2"/>
  </r>
  <r>
    <x v="7"/>
    <x v="151"/>
    <x v="4"/>
    <x v="7"/>
    <x v="64"/>
    <x v="34"/>
    <x v="33"/>
    <x v="0"/>
    <x v="4"/>
  </r>
  <r>
    <x v="7"/>
    <x v="4"/>
    <x v="70"/>
    <x v="5"/>
    <x v="121"/>
    <x v="49"/>
    <x v="131"/>
    <x v="0"/>
    <x v="2"/>
  </r>
  <r>
    <x v="7"/>
    <x v="34"/>
    <x v="71"/>
    <x v="5"/>
    <x v="109"/>
    <x v="48"/>
    <x v="113"/>
    <x v="0"/>
    <x v="2"/>
  </r>
  <r>
    <x v="7"/>
    <x v="72"/>
    <x v="72"/>
    <x v="6"/>
    <x v="55"/>
    <x v="19"/>
    <x v="41"/>
    <x v="0"/>
    <x v="2"/>
  </r>
  <r>
    <x v="7"/>
    <x v="78"/>
    <x v="73"/>
    <x v="1"/>
    <x v="170"/>
    <x v="67"/>
    <x v="140"/>
    <x v="0"/>
    <x v="2"/>
  </r>
  <r>
    <x v="7"/>
    <x v="106"/>
    <x v="74"/>
    <x v="4"/>
    <x v="17"/>
    <x v="8"/>
    <x v="7"/>
    <x v="0"/>
    <x v="2"/>
  </r>
  <r>
    <x v="7"/>
    <x v="126"/>
    <x v="75"/>
    <x v="3"/>
    <x v="10"/>
    <x v="3"/>
    <x v="18"/>
    <x v="0"/>
    <x v="2"/>
  </r>
  <r>
    <x v="7"/>
    <x v="165"/>
    <x v="76"/>
    <x v="4"/>
    <x v="31"/>
    <x v="8"/>
    <x v="36"/>
    <x v="0"/>
    <x v="5"/>
  </r>
  <r>
    <x v="7"/>
    <x v="176"/>
    <x v="77"/>
    <x v="5"/>
    <x v="76"/>
    <x v="47"/>
    <x v="60"/>
    <x v="0"/>
    <x v="2"/>
  </r>
  <r>
    <x v="7"/>
    <x v="191"/>
    <x v="78"/>
    <x v="1"/>
    <x v="148"/>
    <x v="70"/>
    <x v="106"/>
    <x v="0"/>
    <x v="2"/>
  </r>
  <r>
    <x v="8"/>
    <x v="1"/>
    <x v="79"/>
    <x v="5"/>
    <x v="120"/>
    <x v="51"/>
    <x v="127"/>
    <x v="0"/>
    <x v="2"/>
  </r>
  <r>
    <x v="8"/>
    <x v="47"/>
    <x v="80"/>
    <x v="6"/>
    <x v="56"/>
    <x v="26"/>
    <x v="37"/>
    <x v="0"/>
    <x v="2"/>
  </r>
  <r>
    <x v="8"/>
    <x v="53"/>
    <x v="81"/>
    <x v="5"/>
    <x v="105"/>
    <x v="39"/>
    <x v="109"/>
    <x v="0"/>
    <x v="2"/>
  </r>
  <r>
    <x v="8"/>
    <x v="65"/>
    <x v="82"/>
    <x v="1"/>
    <x v="158"/>
    <x v="63"/>
    <x v="119"/>
    <x v="0"/>
    <x v="2"/>
  </r>
  <r>
    <x v="8"/>
    <x v="118"/>
    <x v="83"/>
    <x v="3"/>
    <x v="12"/>
    <x v="5"/>
    <x v="18"/>
    <x v="0"/>
    <x v="2"/>
  </r>
  <r>
    <x v="8"/>
    <x v="150"/>
    <x v="84"/>
    <x v="3"/>
    <x v="9"/>
    <x v="7"/>
    <x v="8"/>
    <x v="0"/>
    <x v="5"/>
  </r>
  <r>
    <x v="8"/>
    <x v="161"/>
    <x v="85"/>
    <x v="4"/>
    <x v="26"/>
    <x v="8"/>
    <x v="26"/>
    <x v="0"/>
    <x v="5"/>
  </r>
  <r>
    <x v="8"/>
    <x v="182"/>
    <x v="86"/>
    <x v="5"/>
    <x v="67"/>
    <x v="43"/>
    <x v="43"/>
    <x v="0"/>
    <x v="2"/>
  </r>
  <r>
    <x v="8"/>
    <x v="198"/>
    <x v="87"/>
    <x v="1"/>
    <x v="127"/>
    <x v="69"/>
    <x v="85"/>
    <x v="0"/>
    <x v="2"/>
  </r>
  <r>
    <x v="9"/>
    <x v="5"/>
    <x v="88"/>
    <x v="2"/>
    <x v="95"/>
    <x v="74"/>
    <x v="50"/>
    <x v="0"/>
    <x v="2"/>
  </r>
  <r>
    <x v="9"/>
    <x v="15"/>
    <x v="89"/>
    <x v="5"/>
    <x v="126"/>
    <x v="52"/>
    <x v="133"/>
    <x v="0"/>
    <x v="2"/>
  </r>
  <r>
    <x v="9"/>
    <x v="56"/>
    <x v="90"/>
    <x v="6"/>
    <x v="59"/>
    <x v="27"/>
    <x v="41"/>
    <x v="0"/>
    <x v="2"/>
  </r>
  <r>
    <x v="9"/>
    <x v="70"/>
    <x v="91"/>
    <x v="5"/>
    <x v="89"/>
    <x v="43"/>
    <x v="77"/>
    <x v="0"/>
    <x v="2"/>
  </r>
  <r>
    <x v="9"/>
    <x v="81"/>
    <x v="92"/>
    <x v="1"/>
    <x v="156"/>
    <x v="63"/>
    <x v="117"/>
    <x v="0"/>
    <x v="2"/>
  </r>
  <r>
    <x v="9"/>
    <x v="110"/>
    <x v="93"/>
    <x v="4"/>
    <x v="18"/>
    <x v="11"/>
    <x v="7"/>
    <x v="0"/>
    <x v="2"/>
  </r>
  <r>
    <x v="9"/>
    <x v="131"/>
    <x v="94"/>
    <x v="3"/>
    <x v="5"/>
    <x v="4"/>
    <x v="9"/>
    <x v="0"/>
    <x v="2"/>
  </r>
  <r>
    <x v="9"/>
    <x v="178"/>
    <x v="95"/>
    <x v="5"/>
    <x v="65"/>
    <x v="44"/>
    <x v="37"/>
    <x v="0"/>
    <x v="2"/>
  </r>
  <r>
    <x v="9"/>
    <x v="192"/>
    <x v="96"/>
    <x v="1"/>
    <x v="129"/>
    <x v="75"/>
    <x v="84"/>
    <x v="0"/>
    <x v="2"/>
  </r>
  <r>
    <x v="10"/>
    <x v="18"/>
    <x v="97"/>
    <x v="5"/>
    <x v="114"/>
    <x v="49"/>
    <x v="122"/>
    <x v="0"/>
    <x v="2"/>
  </r>
  <r>
    <x v="10"/>
    <x v="55"/>
    <x v="98"/>
    <x v="6"/>
    <x v="47"/>
    <x v="27"/>
    <x v="23"/>
    <x v="0"/>
    <x v="2"/>
  </r>
  <r>
    <x v="10"/>
    <x v="79"/>
    <x v="99"/>
    <x v="1"/>
    <x v="160"/>
    <x v="68"/>
    <x v="121"/>
    <x v="0"/>
    <x v="2"/>
  </r>
  <r>
    <x v="10"/>
    <x v="86"/>
    <x v="100"/>
    <x v="5"/>
    <x v="83"/>
    <x v="43"/>
    <x v="70"/>
    <x v="0"/>
    <x v="2"/>
  </r>
  <r>
    <x v="10"/>
    <x v="110"/>
    <x v="101"/>
    <x v="4"/>
    <x v="14"/>
    <x v="10"/>
    <x v="2"/>
    <x v="0"/>
    <x v="2"/>
  </r>
  <r>
    <x v="10"/>
    <x v="122"/>
    <x v="102"/>
    <x v="3"/>
    <x v="3"/>
    <x v="4"/>
    <x v="7"/>
    <x v="0"/>
    <x v="2"/>
  </r>
  <r>
    <x v="10"/>
    <x v="162"/>
    <x v="103"/>
    <x v="4"/>
    <x v="22"/>
    <x v="9"/>
    <x v="16"/>
    <x v="0"/>
    <x v="5"/>
  </r>
  <r>
    <x v="10"/>
    <x v="177"/>
    <x v="104"/>
    <x v="5"/>
    <x v="72"/>
    <x v="50"/>
    <x v="51"/>
    <x v="0"/>
    <x v="2"/>
  </r>
  <r>
    <x v="10"/>
    <x v="197"/>
    <x v="105"/>
    <x v="1"/>
    <x v="131"/>
    <x v="67"/>
    <x v="88"/>
    <x v="0"/>
    <x v="2"/>
  </r>
  <r>
    <x v="11"/>
    <x v="3"/>
    <x v="0"/>
    <x v="5"/>
    <x v="131"/>
    <x v="54"/>
    <x v="136"/>
    <x v="0"/>
    <x v="2"/>
  </r>
  <r>
    <x v="11"/>
    <x v="27"/>
    <x v="106"/>
    <x v="5"/>
    <x v="100"/>
    <x v="45"/>
    <x v="95"/>
    <x v="0"/>
    <x v="2"/>
  </r>
  <r>
    <x v="11"/>
    <x v="51"/>
    <x v="107"/>
    <x v="6"/>
    <x v="55"/>
    <x v="32"/>
    <x v="31"/>
    <x v="0"/>
    <x v="2"/>
  </r>
  <r>
    <x v="11"/>
    <x v="60"/>
    <x v="108"/>
    <x v="1"/>
    <x v="175"/>
    <x v="61"/>
    <x v="151"/>
    <x v="0"/>
    <x v="2"/>
  </r>
  <r>
    <x v="11"/>
    <x v="128"/>
    <x v="109"/>
    <x v="3"/>
    <x v="2"/>
    <x v="1"/>
    <x v="10"/>
    <x v="0"/>
    <x v="2"/>
  </r>
  <r>
    <x v="11"/>
    <x v="175"/>
    <x v="110"/>
    <x v="5"/>
    <x v="66"/>
    <x v="47"/>
    <x v="36"/>
    <x v="0"/>
    <x v="2"/>
  </r>
  <r>
    <x v="11"/>
    <x v="198"/>
    <x v="111"/>
    <x v="1"/>
    <x v="131"/>
    <x v="61"/>
    <x v="92"/>
    <x v="0"/>
    <x v="2"/>
  </r>
  <r>
    <x v="12"/>
    <x v="14"/>
    <x v="112"/>
    <x v="5"/>
    <x v="150"/>
    <x v="51"/>
    <x v="150"/>
    <x v="0"/>
    <x v="2"/>
  </r>
  <r>
    <x v="12"/>
    <x v="21"/>
    <x v="113"/>
    <x v="2"/>
    <x v="137"/>
    <x v="72"/>
    <x v="97"/>
    <x v="0"/>
    <x v="2"/>
  </r>
  <r>
    <x v="12"/>
    <x v="54"/>
    <x v="114"/>
    <x v="6"/>
    <x v="63"/>
    <x v="29"/>
    <x v="54"/>
    <x v="0"/>
    <x v="2"/>
  </r>
  <r>
    <x v="12"/>
    <x v="83"/>
    <x v="115"/>
    <x v="1"/>
    <x v="163"/>
    <x v="66"/>
    <x v="127"/>
    <x v="0"/>
    <x v="2"/>
  </r>
  <r>
    <x v="12"/>
    <x v="89"/>
    <x v="116"/>
    <x v="5"/>
    <x v="113"/>
    <x v="43"/>
    <x v="123"/>
    <x v="0"/>
    <x v="2"/>
  </r>
  <r>
    <x v="12"/>
    <x v="107"/>
    <x v="117"/>
    <x v="4"/>
    <x v="16"/>
    <x v="8"/>
    <x v="6"/>
    <x v="0"/>
    <x v="2"/>
  </r>
  <r>
    <x v="12"/>
    <x v="133"/>
    <x v="118"/>
    <x v="3"/>
    <x v="5"/>
    <x v="1"/>
    <x v="13"/>
    <x v="0"/>
    <x v="2"/>
  </r>
  <r>
    <x v="12"/>
    <x v="164"/>
    <x v="119"/>
    <x v="4"/>
    <x v="29"/>
    <x v="8"/>
    <x v="32"/>
    <x v="0"/>
    <x v="5"/>
  </r>
  <r>
    <x v="12"/>
    <x v="180"/>
    <x v="120"/>
    <x v="5"/>
    <x v="75"/>
    <x v="44"/>
    <x v="61"/>
    <x v="0"/>
    <x v="2"/>
  </r>
  <r>
    <x v="12"/>
    <x v="191"/>
    <x v="121"/>
    <x v="1"/>
    <x v="138"/>
    <x v="70"/>
    <x v="99"/>
    <x v="0"/>
    <x v="2"/>
  </r>
  <r>
    <x v="13"/>
    <x v="0"/>
    <x v="122"/>
    <x v="5"/>
    <x v="145"/>
    <x v="49"/>
    <x v="147"/>
    <x v="0"/>
    <x v="2"/>
  </r>
  <r>
    <x v="13"/>
    <x v="44"/>
    <x v="123"/>
    <x v="6"/>
    <x v="60"/>
    <x v="25"/>
    <x v="45"/>
    <x v="0"/>
    <x v="2"/>
  </r>
  <r>
    <x v="13"/>
    <x v="48"/>
    <x v="124"/>
    <x v="5"/>
    <x v="143"/>
    <x v="41"/>
    <x v="149"/>
    <x v="0"/>
    <x v="2"/>
  </r>
  <r>
    <x v="13"/>
    <x v="52"/>
    <x v="125"/>
    <x v="1"/>
    <x v="177"/>
    <x v="62"/>
    <x v="152"/>
    <x v="0"/>
    <x v="2"/>
  </r>
  <r>
    <x v="13"/>
    <x v="61"/>
    <x v="126"/>
    <x v="6"/>
    <x v="46"/>
    <x v="33"/>
    <x v="16"/>
    <x v="0"/>
    <x v="2"/>
  </r>
  <r>
    <x v="13"/>
    <x v="134"/>
    <x v="127"/>
    <x v="3"/>
    <x v="4"/>
    <x v="1"/>
    <x v="12"/>
    <x v="0"/>
    <x v="2"/>
  </r>
  <r>
    <x v="13"/>
    <x v="179"/>
    <x v="128"/>
    <x v="5"/>
    <x v="78"/>
    <x v="45"/>
    <x v="64"/>
    <x v="0"/>
    <x v="2"/>
  </r>
  <r>
    <x v="13"/>
    <x v="199"/>
    <x v="129"/>
    <x v="1"/>
    <x v="155"/>
    <x v="78"/>
    <x v="111"/>
    <x v="0"/>
    <x v="2"/>
  </r>
  <r>
    <x v="14"/>
    <x v="9"/>
    <x v="130"/>
    <x v="5"/>
    <x v="141"/>
    <x v="50"/>
    <x v="143"/>
    <x v="0"/>
    <x v="2"/>
  </r>
  <r>
    <x v="14"/>
    <x v="26"/>
    <x v="131"/>
    <x v="2"/>
    <x v="135"/>
    <x v="82"/>
    <x v="87"/>
    <x v="0"/>
    <x v="2"/>
  </r>
  <r>
    <x v="14"/>
    <x v="33"/>
    <x v="132"/>
    <x v="5"/>
    <x v="100"/>
    <x v="36"/>
    <x v="100"/>
    <x v="0"/>
    <x v="2"/>
  </r>
  <r>
    <x v="14"/>
    <x v="80"/>
    <x v="133"/>
    <x v="1"/>
    <x v="154"/>
    <x v="58"/>
    <x v="115"/>
    <x v="0"/>
    <x v="2"/>
  </r>
  <r>
    <x v="14"/>
    <x v="83"/>
    <x v="134"/>
    <x v="6"/>
    <x v="58"/>
    <x v="18"/>
    <x v="55"/>
    <x v="0"/>
    <x v="2"/>
  </r>
  <r>
    <x v="14"/>
    <x v="128"/>
    <x v="135"/>
    <x v="3"/>
    <x v="5"/>
    <x v="3"/>
    <x v="11"/>
    <x v="0"/>
    <x v="2"/>
  </r>
  <r>
    <x v="14"/>
    <x v="135"/>
    <x v="136"/>
    <x v="0"/>
    <x v="106"/>
    <x v="74"/>
    <x v="66"/>
    <x v="0"/>
    <x v="2"/>
  </r>
  <r>
    <x v="14"/>
    <x v="143"/>
    <x v="137"/>
    <x v="4"/>
    <x v="28"/>
    <x v="14"/>
    <x v="21"/>
    <x v="0"/>
    <x v="5"/>
  </r>
  <r>
    <x v="14"/>
    <x v="155"/>
    <x v="138"/>
    <x v="0"/>
    <x v="151"/>
    <x v="79"/>
    <x v="103"/>
    <x v="0"/>
    <x v="1"/>
  </r>
  <r>
    <x v="14"/>
    <x v="170"/>
    <x v="139"/>
    <x v="0"/>
    <x v="153"/>
    <x v="70"/>
    <x v="110"/>
    <x v="0"/>
    <x v="1"/>
  </r>
  <r>
    <x v="14"/>
    <x v="184"/>
    <x v="140"/>
    <x v="5"/>
    <x v="78"/>
    <x v="45"/>
    <x v="64"/>
    <x v="0"/>
    <x v="2"/>
  </r>
  <r>
    <x v="14"/>
    <x v="195"/>
    <x v="141"/>
    <x v="2"/>
    <x v="125"/>
    <x v="79"/>
    <x v="75"/>
    <x v="0"/>
    <x v="2"/>
  </r>
  <r>
    <x v="15"/>
    <x v="16"/>
    <x v="142"/>
    <x v="5"/>
    <x v="112"/>
    <x v="53"/>
    <x v="118"/>
    <x v="0"/>
    <x v="2"/>
  </r>
  <r>
    <x v="15"/>
    <x v="58"/>
    <x v="143"/>
    <x v="6"/>
    <x v="54"/>
    <x v="23"/>
    <x v="37"/>
    <x v="0"/>
    <x v="2"/>
  </r>
  <r>
    <x v="15"/>
    <x v="82"/>
    <x v="144"/>
    <x v="5"/>
    <x v="85"/>
    <x v="40"/>
    <x v="73"/>
    <x v="0"/>
    <x v="2"/>
  </r>
  <r>
    <x v="15"/>
    <x v="96"/>
    <x v="145"/>
    <x v="2"/>
    <x v="157"/>
    <x v="76"/>
    <x v="114"/>
    <x v="0"/>
    <x v="2"/>
  </r>
  <r>
    <x v="15"/>
    <x v="113"/>
    <x v="146"/>
    <x v="4"/>
    <x v="16"/>
    <x v="9"/>
    <x v="5"/>
    <x v="0"/>
    <x v="2"/>
  </r>
  <r>
    <x v="15"/>
    <x v="140"/>
    <x v="147"/>
    <x v="3"/>
    <x v="0"/>
    <x v="5"/>
    <x v="2"/>
    <x v="0"/>
    <x v="2"/>
  </r>
  <r>
    <x v="15"/>
    <x v="166"/>
    <x v="148"/>
    <x v="4"/>
    <x v="24"/>
    <x v="10"/>
    <x v="19"/>
    <x v="0"/>
    <x v="5"/>
  </r>
  <r>
    <x v="15"/>
    <x v="178"/>
    <x v="149"/>
    <x v="5"/>
    <x v="77"/>
    <x v="47"/>
    <x v="62"/>
    <x v="0"/>
    <x v="2"/>
  </r>
  <r>
    <x v="15"/>
    <x v="187"/>
    <x v="150"/>
    <x v="1"/>
    <x v="119"/>
    <x v="72"/>
    <x v="72"/>
    <x v="0"/>
    <x v="2"/>
  </r>
  <r>
    <x v="16"/>
    <x v="13"/>
    <x v="151"/>
    <x v="5"/>
    <x v="110"/>
    <x v="53"/>
    <x v="116"/>
    <x v="0"/>
    <x v="2"/>
  </r>
  <r>
    <x v="16"/>
    <x v="37"/>
    <x v="152"/>
    <x v="5"/>
    <x v="88"/>
    <x v="43"/>
    <x v="74"/>
    <x v="0"/>
    <x v="2"/>
  </r>
  <r>
    <x v="16"/>
    <x v="82"/>
    <x v="153"/>
    <x v="6"/>
    <x v="43"/>
    <x v="23"/>
    <x v="23"/>
    <x v="0"/>
    <x v="2"/>
  </r>
  <r>
    <x v="16"/>
    <x v="84"/>
    <x v="154"/>
    <x v="1"/>
    <x v="162"/>
    <x v="69"/>
    <x v="125"/>
    <x v="0"/>
    <x v="2"/>
  </r>
  <r>
    <x v="16"/>
    <x v="103"/>
    <x v="155"/>
    <x v="4"/>
    <x v="15"/>
    <x v="12"/>
    <x v="1"/>
    <x v="0"/>
    <x v="2"/>
  </r>
  <r>
    <x v="16"/>
    <x v="123"/>
    <x v="156"/>
    <x v="3"/>
    <x v="6"/>
    <x v="2"/>
    <x v="13"/>
    <x v="0"/>
    <x v="2"/>
  </r>
  <r>
    <x v="16"/>
    <x v="145"/>
    <x v="157"/>
    <x v="4"/>
    <x v="32"/>
    <x v="9"/>
    <x v="36"/>
    <x v="0"/>
    <x v="5"/>
  </r>
  <r>
    <x v="17"/>
    <x v="138"/>
    <x v="5"/>
    <x v="2"/>
    <x v="97"/>
    <x v="71"/>
    <x v="57"/>
    <x v="0"/>
    <x v="4"/>
  </r>
  <r>
    <x v="17"/>
    <x v="17"/>
    <x v="158"/>
    <x v="5"/>
    <x v="118"/>
    <x v="46"/>
    <x v="126"/>
    <x v="0"/>
    <x v="2"/>
  </r>
  <r>
    <x v="17"/>
    <x v="75"/>
    <x v="159"/>
    <x v="6"/>
    <x v="50"/>
    <x v="21"/>
    <x v="34"/>
    <x v="0"/>
    <x v="2"/>
  </r>
  <r>
    <x v="17"/>
    <x v="95"/>
    <x v="160"/>
    <x v="2"/>
    <x v="166"/>
    <x v="80"/>
    <x v="128"/>
    <x v="0"/>
    <x v="2"/>
  </r>
  <r>
    <x v="17"/>
    <x v="105"/>
    <x v="161"/>
    <x v="4"/>
    <x v="21"/>
    <x v="9"/>
    <x v="12"/>
    <x v="0"/>
    <x v="2"/>
  </r>
  <r>
    <x v="17"/>
    <x v="121"/>
    <x v="162"/>
    <x v="3"/>
    <x v="5"/>
    <x v="4"/>
    <x v="9"/>
    <x v="0"/>
    <x v="2"/>
  </r>
  <r>
    <x v="17"/>
    <x v="172"/>
    <x v="163"/>
    <x v="4"/>
    <x v="28"/>
    <x v="8"/>
    <x v="28"/>
    <x v="0"/>
    <x v="5"/>
  </r>
  <r>
    <x v="18"/>
    <x v="115"/>
    <x v="164"/>
    <x v="4"/>
    <x v="19"/>
    <x v="15"/>
    <x v="4"/>
    <x v="0"/>
    <x v="2"/>
  </r>
  <r>
    <x v="18"/>
    <x v="116"/>
    <x v="165"/>
    <x v="5"/>
    <x v="96"/>
    <x v="41"/>
    <x v="91"/>
    <x v="0"/>
    <x v="2"/>
  </r>
  <r>
    <x v="18"/>
    <x v="117"/>
    <x v="166"/>
    <x v="6"/>
    <x v="39"/>
    <x v="28"/>
    <x v="14"/>
    <x v="0"/>
    <x v="2"/>
  </r>
  <r>
    <x v="18"/>
    <x v="136"/>
    <x v="167"/>
    <x v="3"/>
    <x v="5"/>
    <x v="2"/>
    <x v="12"/>
    <x v="0"/>
    <x v="2"/>
  </r>
  <r>
    <x v="18"/>
    <x v="168"/>
    <x v="168"/>
    <x v="4"/>
    <x v="20"/>
    <x v="11"/>
    <x v="9"/>
    <x v="0"/>
    <x v="5"/>
  </r>
  <r>
    <x v="19"/>
    <x v="22"/>
    <x v="169"/>
    <x v="5"/>
    <x v="176"/>
    <x v="57"/>
    <x v="164"/>
    <x v="0"/>
    <x v="2"/>
  </r>
  <r>
    <x v="19"/>
    <x v="23"/>
    <x v="170"/>
    <x v="2"/>
    <x v="167"/>
    <x v="87"/>
    <x v="119"/>
    <x v="0"/>
    <x v="2"/>
  </r>
  <r>
    <x v="19"/>
    <x v="41"/>
    <x v="171"/>
    <x v="5"/>
    <x v="90"/>
    <x v="53"/>
    <x v="76"/>
    <x v="0"/>
    <x v="2"/>
  </r>
  <r>
    <x v="19"/>
    <x v="57"/>
    <x v="172"/>
    <x v="2"/>
    <x v="99"/>
    <x v="84"/>
    <x v="46"/>
    <x v="0"/>
    <x v="2"/>
  </r>
  <r>
    <x v="19"/>
    <x v="85"/>
    <x v="173"/>
    <x v="6"/>
    <x v="45"/>
    <x v="24"/>
    <x v="25"/>
    <x v="0"/>
    <x v="2"/>
  </r>
  <r>
    <x v="19"/>
    <x v="158"/>
    <x v="174"/>
    <x v="4"/>
    <x v="25"/>
    <x v="10"/>
    <x v="22"/>
    <x v="0"/>
    <x v="5"/>
  </r>
  <r>
    <x v="19"/>
    <x v="200"/>
    <x v="175"/>
    <x v="1"/>
    <x v="189"/>
    <x v="86"/>
    <x v="161"/>
    <x v="0"/>
    <x v="2"/>
  </r>
  <r>
    <x v="20"/>
    <x v="22"/>
    <x v="176"/>
    <x v="5"/>
    <x v="171"/>
    <x v="51"/>
    <x v="160"/>
    <x v="0"/>
    <x v="2"/>
  </r>
  <r>
    <x v="20"/>
    <x v="45"/>
    <x v="177"/>
    <x v="5"/>
    <x v="87"/>
    <x v="48"/>
    <x v="72"/>
    <x v="0"/>
    <x v="2"/>
  </r>
  <r>
    <x v="20"/>
    <x v="67"/>
    <x v="178"/>
    <x v="1"/>
    <x v="191"/>
    <x v="83"/>
    <x v="170"/>
    <x v="0"/>
    <x v="2"/>
  </r>
  <r>
    <x v="20"/>
    <x v="86"/>
    <x v="179"/>
    <x v="6"/>
    <x v="42"/>
    <x v="20"/>
    <x v="26"/>
    <x v="0"/>
    <x v="2"/>
  </r>
  <r>
    <x v="20"/>
    <x v="129"/>
    <x v="180"/>
    <x v="3"/>
    <x v="9"/>
    <x v="1"/>
    <x v="18"/>
    <x v="0"/>
    <x v="2"/>
  </r>
  <r>
    <x v="20"/>
    <x v="162"/>
    <x v="181"/>
    <x v="4"/>
    <x v="36"/>
    <x v="8"/>
    <x v="42"/>
    <x v="0"/>
    <x v="5"/>
  </r>
  <r>
    <x v="21"/>
    <x v="29"/>
    <x v="182"/>
    <x v="5"/>
    <x v="172"/>
    <x v="45"/>
    <x v="163"/>
    <x v="0"/>
    <x v="2"/>
  </r>
  <r>
    <x v="21"/>
    <x v="30"/>
    <x v="183"/>
    <x v="2"/>
    <x v="174"/>
    <x v="85"/>
    <x v="141"/>
    <x v="0"/>
    <x v="2"/>
  </r>
  <r>
    <x v="21"/>
    <x v="74"/>
    <x v="184"/>
    <x v="1"/>
    <x v="168"/>
    <x v="78"/>
    <x v="135"/>
    <x v="0"/>
    <x v="2"/>
  </r>
  <r>
    <x v="21"/>
    <x v="93"/>
    <x v="185"/>
    <x v="6"/>
    <x v="47"/>
    <x v="28"/>
    <x v="22"/>
    <x v="0"/>
    <x v="2"/>
  </r>
  <r>
    <x v="21"/>
    <x v="139"/>
    <x v="186"/>
    <x v="3"/>
    <x v="11"/>
    <x v="4"/>
    <x v="17"/>
    <x v="0"/>
    <x v="2"/>
  </r>
  <r>
    <x v="22"/>
    <x v="11"/>
    <x v="187"/>
    <x v="5"/>
    <x v="134"/>
    <x v="36"/>
    <x v="142"/>
    <x v="0"/>
    <x v="2"/>
  </r>
  <r>
    <x v="22"/>
    <x v="39"/>
    <x v="188"/>
    <x v="5"/>
    <x v="115"/>
    <x v="35"/>
    <x v="134"/>
    <x v="0"/>
    <x v="2"/>
  </r>
  <r>
    <x v="22"/>
    <x v="87"/>
    <x v="189"/>
    <x v="1"/>
    <x v="140"/>
    <x v="76"/>
    <x v="97"/>
    <x v="0"/>
    <x v="2"/>
  </r>
  <r>
    <x v="22"/>
    <x v="93"/>
    <x v="190"/>
    <x v="6"/>
    <x v="44"/>
    <x v="24"/>
    <x v="24"/>
    <x v="0"/>
    <x v="2"/>
  </r>
  <r>
    <x v="22"/>
    <x v="137"/>
    <x v="191"/>
    <x v="3"/>
    <x v="7"/>
    <x v="4"/>
    <x v="12"/>
    <x v="0"/>
    <x v="2"/>
  </r>
  <r>
    <x v="22"/>
    <x v="139"/>
    <x v="192"/>
    <x v="0"/>
    <x v="181"/>
    <x v="60"/>
    <x v="158"/>
    <x v="0"/>
    <x v="0"/>
  </r>
  <r>
    <x v="23"/>
    <x v="158"/>
    <x v="6"/>
    <x v="0"/>
    <x v="127"/>
    <x v="73"/>
    <x v="82"/>
    <x v="0"/>
    <x v="4"/>
  </r>
  <r>
    <x v="23"/>
    <x v="12"/>
    <x v="193"/>
    <x v="5"/>
    <x v="146"/>
    <x v="56"/>
    <x v="144"/>
    <x v="0"/>
    <x v="2"/>
  </r>
  <r>
    <x v="23"/>
    <x v="36"/>
    <x v="194"/>
    <x v="5"/>
    <x v="82"/>
    <x v="55"/>
    <x v="69"/>
    <x v="0"/>
    <x v="2"/>
  </r>
  <r>
    <x v="23"/>
    <x v="88"/>
    <x v="195"/>
    <x v="6"/>
    <x v="40"/>
    <x v="19"/>
    <x v="25"/>
    <x v="0"/>
    <x v="2"/>
  </r>
  <r>
    <x v="23"/>
    <x v="99"/>
    <x v="196"/>
    <x v="1"/>
    <x v="184"/>
    <x v="70"/>
    <x v="162"/>
    <x v="0"/>
    <x v="2"/>
  </r>
  <r>
    <x v="23"/>
    <x v="102"/>
    <x v="197"/>
    <x v="3"/>
    <x v="2"/>
    <x v="4"/>
    <x v="6"/>
    <x v="0"/>
    <x v="5"/>
  </r>
  <r>
    <x v="23"/>
    <x v="110"/>
    <x v="198"/>
    <x v="4"/>
    <x v="18"/>
    <x v="10"/>
    <x v="8"/>
    <x v="0"/>
    <x v="2"/>
  </r>
  <r>
    <x v="23"/>
    <x v="132"/>
    <x v="199"/>
    <x v="3"/>
    <x v="8"/>
    <x v="1"/>
    <x v="17"/>
    <x v="0"/>
    <x v="2"/>
  </r>
  <r>
    <x v="23"/>
    <x v="134"/>
    <x v="200"/>
    <x v="4"/>
    <x v="38"/>
    <x v="14"/>
    <x v="48"/>
    <x v="0"/>
    <x v="5"/>
  </r>
  <r>
    <x v="24"/>
    <x v="25"/>
    <x v="201"/>
    <x v="5"/>
    <x v="162"/>
    <x v="49"/>
    <x v="156"/>
    <x v="0"/>
    <x v="2"/>
  </r>
  <r>
    <x v="24"/>
    <x v="90"/>
    <x v="202"/>
    <x v="6"/>
    <x v="41"/>
    <x v="22"/>
    <x v="22"/>
    <x v="0"/>
    <x v="2"/>
  </r>
  <r>
    <x v="24"/>
    <x v="91"/>
    <x v="203"/>
    <x v="1"/>
    <x v="190"/>
    <x v="69"/>
    <x v="168"/>
    <x v="0"/>
    <x v="2"/>
  </r>
  <r>
    <x v="24"/>
    <x v="111"/>
    <x v="204"/>
    <x v="0"/>
    <x v="187"/>
    <x v="59"/>
    <x v="169"/>
    <x v="0"/>
    <x v="0"/>
  </r>
  <r>
    <x v="24"/>
    <x v="116"/>
    <x v="205"/>
    <x v="4"/>
    <x v="37"/>
    <x v="14"/>
    <x v="40"/>
    <x v="0"/>
    <x v="5"/>
  </r>
  <r>
    <x v="24"/>
    <x v="148"/>
    <x v="206"/>
    <x v="3"/>
    <x v="8"/>
    <x v="5"/>
    <x v="12"/>
    <x v="0"/>
    <x v="2"/>
  </r>
  <r>
    <x v="24"/>
    <x v="167"/>
    <x v="207"/>
    <x v="0"/>
    <x v="185"/>
    <x v="59"/>
    <x v="167"/>
    <x v="0"/>
    <x v="0"/>
  </r>
  <r>
    <x v="25"/>
    <x v="123"/>
    <x v="208"/>
    <x v="3"/>
    <x v="6"/>
    <x v="2"/>
    <x v="13"/>
    <x v="0"/>
    <x v="2"/>
  </r>
  <r>
    <x v="25"/>
    <x v="132"/>
    <x v="209"/>
    <x v="5"/>
    <x v="107"/>
    <x v="47"/>
    <x v="108"/>
    <x v="0"/>
    <x v="2"/>
  </r>
  <r>
    <x v="25"/>
    <x v="144"/>
    <x v="210"/>
    <x v="6"/>
    <x v="53"/>
    <x v="20"/>
    <x v="38"/>
    <x v="0"/>
    <x v="2"/>
  </r>
  <r>
    <x v="25"/>
    <x v="152"/>
    <x v="211"/>
    <x v="5"/>
    <x v="91"/>
    <x v="42"/>
    <x v="84"/>
    <x v="0"/>
    <x v="2"/>
  </r>
  <r>
    <x v="25"/>
    <x v="153"/>
    <x v="212"/>
    <x v="1"/>
    <x v="178"/>
    <x v="70"/>
    <x v="154"/>
    <x v="0"/>
    <x v="2"/>
  </r>
  <r>
    <x v="25"/>
    <x v="156"/>
    <x v="213"/>
    <x v="4"/>
    <x v="35"/>
    <x v="17"/>
    <x v="35"/>
    <x v="0"/>
    <x v="5"/>
  </r>
  <r>
    <x v="26"/>
    <x v="19"/>
    <x v="214"/>
    <x v="5"/>
    <x v="142"/>
    <x v="47"/>
    <x v="146"/>
    <x v="0"/>
    <x v="2"/>
  </r>
  <r>
    <x v="26"/>
    <x v="40"/>
    <x v="215"/>
    <x v="5"/>
    <x v="84"/>
    <x v="37"/>
    <x v="74"/>
    <x v="0"/>
    <x v="2"/>
  </r>
  <r>
    <x v="26"/>
    <x v="81"/>
    <x v="216"/>
    <x v="6"/>
    <x v="53"/>
    <x v="20"/>
    <x v="38"/>
    <x v="0"/>
    <x v="2"/>
  </r>
  <r>
    <x v="26"/>
    <x v="90"/>
    <x v="217"/>
    <x v="1"/>
    <x v="188"/>
    <x v="73"/>
    <x v="166"/>
    <x v="0"/>
    <x v="2"/>
  </r>
  <r>
    <x v="26"/>
    <x v="112"/>
    <x v="218"/>
    <x v="4"/>
    <x v="34"/>
    <x v="16"/>
    <x v="35"/>
    <x v="0"/>
    <x v="5"/>
  </r>
  <r>
    <x v="26"/>
    <x v="142"/>
    <x v="219"/>
    <x v="3"/>
    <x v="1"/>
    <x v="5"/>
    <x v="4"/>
    <x v="0"/>
    <x v="2"/>
  </r>
  <r>
    <x v="27"/>
    <x v="20"/>
    <x v="220"/>
    <x v="5"/>
    <x v="124"/>
    <x v="42"/>
    <x v="134"/>
    <x v="0"/>
    <x v="2"/>
  </r>
  <r>
    <x v="27"/>
    <x v="28"/>
    <x v="221"/>
    <x v="6"/>
    <x v="51"/>
    <x v="23"/>
    <x v="33"/>
    <x v="0"/>
    <x v="2"/>
  </r>
  <r>
    <x v="27"/>
    <x v="49"/>
    <x v="222"/>
    <x v="5"/>
    <x v="80"/>
    <x v="39"/>
    <x v="67"/>
    <x v="0"/>
    <x v="2"/>
  </r>
  <r>
    <x v="27"/>
    <x v="129"/>
    <x v="223"/>
    <x v="3"/>
    <x v="5"/>
    <x v="2"/>
    <x v="12"/>
    <x v="0"/>
    <x v="2"/>
  </r>
  <r>
    <x v="28"/>
    <x v="149"/>
    <x v="7"/>
    <x v="1"/>
    <x v="152"/>
    <x v="82"/>
    <x v="102"/>
    <x v="0"/>
    <x v="4"/>
  </r>
  <r>
    <x v="28"/>
    <x v="8"/>
    <x v="224"/>
    <x v="5"/>
    <x v="111"/>
    <x v="52"/>
    <x v="118"/>
    <x v="0"/>
    <x v="2"/>
  </r>
  <r>
    <x v="28"/>
    <x v="24"/>
    <x v="225"/>
    <x v="1"/>
    <x v="186"/>
    <x v="69"/>
    <x v="165"/>
    <x v="0"/>
    <x v="2"/>
  </r>
  <r>
    <x v="28"/>
    <x v="31"/>
    <x v="226"/>
    <x v="5"/>
    <x v="86"/>
    <x v="50"/>
    <x v="71"/>
    <x v="0"/>
    <x v="2"/>
  </r>
  <r>
    <x v="28"/>
    <x v="73"/>
    <x v="227"/>
    <x v="6"/>
    <x v="51"/>
    <x v="19"/>
    <x v="36"/>
    <x v="0"/>
    <x v="2"/>
  </r>
  <r>
    <x v="28"/>
    <x v="97"/>
    <x v="228"/>
    <x v="1"/>
    <x v="173"/>
    <x v="74"/>
    <x v="145"/>
    <x v="0"/>
    <x v="2"/>
  </r>
  <r>
    <x v="28"/>
    <x v="120"/>
    <x v="229"/>
    <x v="4"/>
    <x v="33"/>
    <x v="9"/>
    <x v="37"/>
    <x v="0"/>
    <x v="5"/>
  </r>
  <r>
    <x v="28"/>
    <x v="133"/>
    <x v="230"/>
    <x v="3"/>
    <x v="2"/>
    <x v="2"/>
    <x v="9"/>
    <x v="0"/>
    <x v="2"/>
  </r>
  <r>
    <x v="29"/>
    <x v="154"/>
    <x v="2"/>
    <x v="1"/>
    <x v="126"/>
    <x v="77"/>
    <x v="80"/>
    <x v="0"/>
    <x v="3"/>
  </r>
  <r>
    <x v="29"/>
    <x v="20"/>
    <x v="231"/>
    <x v="5"/>
    <x v="94"/>
    <x v="53"/>
    <x v="81"/>
    <x v="0"/>
    <x v="2"/>
  </r>
  <r>
    <x v="29"/>
    <x v="50"/>
    <x v="232"/>
    <x v="5"/>
    <x v="81"/>
    <x v="53"/>
    <x v="68"/>
    <x v="0"/>
    <x v="2"/>
  </r>
  <r>
    <x v="29"/>
    <x v="62"/>
    <x v="233"/>
    <x v="6"/>
    <x v="47"/>
    <x v="19"/>
    <x v="32"/>
    <x v="0"/>
    <x v="2"/>
  </r>
  <r>
    <x v="29"/>
    <x v="86"/>
    <x v="234"/>
    <x v="1"/>
    <x v="182"/>
    <x v="76"/>
    <x v="157"/>
    <x v="0"/>
    <x v="2"/>
  </r>
  <r>
    <x v="29"/>
    <x v="123"/>
    <x v="235"/>
    <x v="3"/>
    <x v="7"/>
    <x v="6"/>
    <x v="8"/>
    <x v="0"/>
    <x v="2"/>
  </r>
  <r>
    <x v="29"/>
    <x v="141"/>
    <x v="236"/>
    <x v="4"/>
    <x v="25"/>
    <x v="8"/>
    <x v="25"/>
    <x v="0"/>
    <x v="5"/>
  </r>
  <r>
    <x v="30"/>
    <x v="38"/>
    <x v="237"/>
    <x v="5"/>
    <x v="143"/>
    <x v="52"/>
    <x v="143"/>
    <x v="0"/>
    <x v="2"/>
  </r>
  <r>
    <x v="30"/>
    <x v="63"/>
    <x v="238"/>
    <x v="1"/>
    <x v="183"/>
    <x v="75"/>
    <x v="159"/>
    <x v="0"/>
    <x v="2"/>
  </r>
  <r>
    <x v="30"/>
    <x v="80"/>
    <x v="239"/>
    <x v="6"/>
    <x v="49"/>
    <x v="25"/>
    <x v="29"/>
    <x v="0"/>
    <x v="2"/>
  </r>
  <r>
    <x v="30"/>
    <x v="98"/>
    <x v="240"/>
    <x v="1"/>
    <x v="98"/>
    <x v="73"/>
    <x v="56"/>
    <x v="0"/>
    <x v="2"/>
  </r>
  <r>
    <x v="30"/>
    <x v="101"/>
    <x v="241"/>
    <x v="3"/>
    <x v="7"/>
    <x v="5"/>
    <x v="11"/>
    <x v="0"/>
    <x v="2"/>
  </r>
  <r>
    <x v="30"/>
    <x v="124"/>
    <x v="242"/>
    <x v="3"/>
    <x v="4"/>
    <x v="5"/>
    <x v="7"/>
    <x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43">
  <r>
    <x v="0"/>
    <x v="6"/>
    <x v="8"/>
    <x v="5"/>
    <x v="147"/>
    <x v="50"/>
    <x v="148"/>
    <x v="0"/>
    <x v="2"/>
    <x v="0"/>
  </r>
  <r>
    <x v="0"/>
    <x v="35"/>
    <x v="9"/>
    <x v="5"/>
    <x v="108"/>
    <x v="39"/>
    <x v="112"/>
    <x v="0"/>
    <x v="2"/>
    <x v="0"/>
  </r>
  <r>
    <x v="0"/>
    <x v="77"/>
    <x v="10"/>
    <x v="6"/>
    <x v="61"/>
    <x v="24"/>
    <x v="47"/>
    <x v="0"/>
    <x v="2"/>
    <x v="0"/>
  </r>
  <r>
    <x v="0"/>
    <x v="80"/>
    <x v="11"/>
    <x v="2"/>
    <x v="179"/>
    <x v="76"/>
    <x v="153"/>
    <x v="0"/>
    <x v="2"/>
    <x v="0"/>
  </r>
  <r>
    <x v="0"/>
    <x v="127"/>
    <x v="12"/>
    <x v="3"/>
    <x v="2"/>
    <x v="5"/>
    <x v="5"/>
    <x v="0"/>
    <x v="2"/>
    <x v="0"/>
  </r>
  <r>
    <x v="0"/>
    <x v="171"/>
    <x v="13"/>
    <x v="1"/>
    <x v="98"/>
    <x v="65"/>
    <x v="59"/>
    <x v="0"/>
    <x v="2"/>
    <x v="0"/>
  </r>
  <r>
    <x v="0"/>
    <x v="181"/>
    <x v="14"/>
    <x v="5"/>
    <x v="79"/>
    <x v="43"/>
    <x v="65"/>
    <x v="0"/>
    <x v="2"/>
    <x v="0"/>
  </r>
  <r>
    <x v="0"/>
    <x v="196"/>
    <x v="15"/>
    <x v="1"/>
    <x v="149"/>
    <x v="69"/>
    <x v="107"/>
    <x v="0"/>
    <x v="2"/>
    <x v="0"/>
  </r>
  <r>
    <x v="1"/>
    <x v="146"/>
    <x v="3"/>
    <x v="2"/>
    <x v="103"/>
    <x v="66"/>
    <x v="63"/>
    <x v="0"/>
    <x v="4"/>
    <x v="0"/>
  </r>
  <r>
    <x v="1"/>
    <x v="2"/>
    <x v="16"/>
    <x v="5"/>
    <x v="131"/>
    <x v="47"/>
    <x v="138"/>
    <x v="0"/>
    <x v="2"/>
    <x v="0"/>
  </r>
  <r>
    <x v="1"/>
    <x v="59"/>
    <x v="17"/>
    <x v="6"/>
    <x v="57"/>
    <x v="31"/>
    <x v="34"/>
    <x v="0"/>
    <x v="2"/>
    <x v="0"/>
  </r>
  <r>
    <x v="1"/>
    <x v="71"/>
    <x v="18"/>
    <x v="5"/>
    <x v="92"/>
    <x v="38"/>
    <x v="86"/>
    <x v="0"/>
    <x v="2"/>
    <x v="0"/>
  </r>
  <r>
    <x v="1"/>
    <x v="82"/>
    <x v="19"/>
    <x v="1"/>
    <x v="164"/>
    <x v="61"/>
    <x v="132"/>
    <x v="0"/>
    <x v="2"/>
    <x v="0"/>
  </r>
  <r>
    <x v="1"/>
    <x v="125"/>
    <x v="20"/>
    <x v="3"/>
    <x v="1"/>
    <x v="5"/>
    <x v="4"/>
    <x v="0"/>
    <x v="2"/>
    <x v="0"/>
  </r>
  <r>
    <x v="1"/>
    <x v="163"/>
    <x v="21"/>
    <x v="4"/>
    <x v="23"/>
    <x v="15"/>
    <x v="12"/>
    <x v="0"/>
    <x v="5"/>
    <x v="0"/>
  </r>
  <r>
    <x v="1"/>
    <x v="182"/>
    <x v="22"/>
    <x v="5"/>
    <x v="69"/>
    <x v="49"/>
    <x v="49"/>
    <x v="0"/>
    <x v="2"/>
    <x v="0"/>
  </r>
  <r>
    <x v="1"/>
    <x v="193"/>
    <x v="23"/>
    <x v="1"/>
    <x v="123"/>
    <x v="69"/>
    <x v="79"/>
    <x v="0"/>
    <x v="2"/>
    <x v="0"/>
  </r>
  <r>
    <x v="2"/>
    <x v="174"/>
    <x v="1"/>
    <x v="1"/>
    <x v="93"/>
    <x v="62"/>
    <x v="53"/>
    <x v="0"/>
    <x v="3"/>
    <x v="0"/>
  </r>
  <r>
    <x v="2"/>
    <x v="10"/>
    <x v="24"/>
    <x v="5"/>
    <x v="122"/>
    <x v="54"/>
    <x v="129"/>
    <x v="0"/>
    <x v="2"/>
    <x v="0"/>
  </r>
  <r>
    <x v="2"/>
    <x v="61"/>
    <x v="25"/>
    <x v="6"/>
    <x v="52"/>
    <x v="28"/>
    <x v="29"/>
    <x v="0"/>
    <x v="2"/>
    <x v="0"/>
  </r>
  <r>
    <x v="2"/>
    <x v="66"/>
    <x v="26"/>
    <x v="5"/>
    <x v="102"/>
    <x v="46"/>
    <x v="96"/>
    <x v="0"/>
    <x v="2"/>
    <x v="0"/>
  </r>
  <r>
    <x v="2"/>
    <x v="68"/>
    <x v="27"/>
    <x v="1"/>
    <x v="169"/>
    <x v="67"/>
    <x v="139"/>
    <x v="0"/>
    <x v="2"/>
    <x v="0"/>
  </r>
  <r>
    <x v="2"/>
    <x v="104"/>
    <x v="28"/>
    <x v="4"/>
    <x v="24"/>
    <x v="14"/>
    <x v="15"/>
    <x v="0"/>
    <x v="5"/>
    <x v="0"/>
  </r>
  <r>
    <x v="2"/>
    <x v="125"/>
    <x v="29"/>
    <x v="3"/>
    <x v="1"/>
    <x v="4"/>
    <x v="5"/>
    <x v="0"/>
    <x v="2"/>
    <x v="0"/>
  </r>
  <r>
    <x v="2"/>
    <x v="173"/>
    <x v="30"/>
    <x v="4"/>
    <x v="27"/>
    <x v="14"/>
    <x v="20"/>
    <x v="0"/>
    <x v="5"/>
    <x v="0"/>
  </r>
  <r>
    <x v="2"/>
    <x v="185"/>
    <x v="31"/>
    <x v="5"/>
    <x v="70"/>
    <x v="46"/>
    <x v="51"/>
    <x v="0"/>
    <x v="2"/>
    <x v="0"/>
  </r>
  <r>
    <x v="2"/>
    <x v="190"/>
    <x v="32"/>
    <x v="1"/>
    <x v="133"/>
    <x v="67"/>
    <x v="90"/>
    <x v="0"/>
    <x v="2"/>
    <x v="0"/>
  </r>
  <r>
    <x v="3"/>
    <x v="12"/>
    <x v="33"/>
    <x v="5"/>
    <x v="116"/>
    <x v="52"/>
    <x v="122"/>
    <x v="0"/>
    <x v="2"/>
    <x v="0"/>
  </r>
  <r>
    <x v="3"/>
    <x v="38"/>
    <x v="34"/>
    <x v="5"/>
    <x v="89"/>
    <x v="42"/>
    <x v="78"/>
    <x v="0"/>
    <x v="2"/>
    <x v="0"/>
  </r>
  <r>
    <x v="3"/>
    <x v="42"/>
    <x v="35"/>
    <x v="1"/>
    <x v="159"/>
    <x v="64"/>
    <x v="120"/>
    <x v="0"/>
    <x v="2"/>
    <x v="0"/>
  </r>
  <r>
    <x v="3"/>
    <x v="76"/>
    <x v="36"/>
    <x v="6"/>
    <x v="48"/>
    <x v="23"/>
    <x v="30"/>
    <x v="0"/>
    <x v="2"/>
    <x v="0"/>
  </r>
  <r>
    <x v="3"/>
    <x v="109"/>
    <x v="37"/>
    <x v="4"/>
    <x v="13"/>
    <x v="14"/>
    <x v="0"/>
    <x v="0"/>
    <x v="2"/>
    <x v="0"/>
  </r>
  <r>
    <x v="3"/>
    <x v="130"/>
    <x v="38"/>
    <x v="3"/>
    <x v="0"/>
    <x v="4"/>
    <x v="3"/>
    <x v="0"/>
    <x v="2"/>
    <x v="0"/>
  </r>
  <r>
    <x v="3"/>
    <x v="160"/>
    <x v="39"/>
    <x v="0"/>
    <x v="126"/>
    <x v="76"/>
    <x v="81"/>
    <x v="0"/>
    <x v="1"/>
    <x v="0"/>
  </r>
  <r>
    <x v="3"/>
    <x v="169"/>
    <x v="40"/>
    <x v="4"/>
    <x v="29"/>
    <x v="13"/>
    <x v="27"/>
    <x v="0"/>
    <x v="5"/>
    <x v="0"/>
  </r>
  <r>
    <x v="3"/>
    <x v="186"/>
    <x v="41"/>
    <x v="5"/>
    <x v="71"/>
    <x v="45"/>
    <x v="52"/>
    <x v="0"/>
    <x v="2"/>
    <x v="0"/>
  </r>
  <r>
    <x v="3"/>
    <x v="194"/>
    <x v="42"/>
    <x v="1"/>
    <x v="136"/>
    <x v="74"/>
    <x v="94"/>
    <x v="0"/>
    <x v="2"/>
    <x v="0"/>
  </r>
  <r>
    <x v="4"/>
    <x v="7"/>
    <x v="43"/>
    <x v="5"/>
    <x v="128"/>
    <x v="49"/>
    <x v="136"/>
    <x v="0"/>
    <x v="2"/>
    <x v="0"/>
  </r>
  <r>
    <x v="4"/>
    <x v="46"/>
    <x v="44"/>
    <x v="6"/>
    <x v="54"/>
    <x v="30"/>
    <x v="31"/>
    <x v="0"/>
    <x v="2"/>
    <x v="0"/>
  </r>
  <r>
    <x v="4"/>
    <x v="69"/>
    <x v="45"/>
    <x v="5"/>
    <x v="101"/>
    <x v="40"/>
    <x v="98"/>
    <x v="0"/>
    <x v="2"/>
    <x v="0"/>
  </r>
  <r>
    <x v="4"/>
    <x v="92"/>
    <x v="46"/>
    <x v="1"/>
    <x v="180"/>
    <x v="68"/>
    <x v="155"/>
    <x v="0"/>
    <x v="2"/>
    <x v="0"/>
  </r>
  <r>
    <x v="4"/>
    <x v="100"/>
    <x v="47"/>
    <x v="0"/>
    <x v="139"/>
    <x v="81"/>
    <x v="93"/>
    <x v="0"/>
    <x v="1"/>
    <x v="0"/>
  </r>
  <r>
    <x v="4"/>
    <x v="136"/>
    <x v="48"/>
    <x v="3"/>
    <x v="3"/>
    <x v="4"/>
    <x v="7"/>
    <x v="0"/>
    <x v="2"/>
    <x v="0"/>
  </r>
  <r>
    <x v="4"/>
    <x v="159"/>
    <x v="49"/>
    <x v="4"/>
    <x v="30"/>
    <x v="13"/>
    <x v="28"/>
    <x v="0"/>
    <x v="5"/>
    <x v="0"/>
  </r>
  <r>
    <x v="4"/>
    <x v="183"/>
    <x v="50"/>
    <x v="5"/>
    <x v="73"/>
    <x v="42"/>
    <x v="58"/>
    <x v="0"/>
    <x v="2"/>
    <x v="0"/>
  </r>
  <r>
    <x v="4"/>
    <x v="189"/>
    <x v="51"/>
    <x v="1"/>
    <x v="126"/>
    <x v="70"/>
    <x v="83"/>
    <x v="0"/>
    <x v="2"/>
    <x v="0"/>
  </r>
  <r>
    <x v="5"/>
    <x v="4"/>
    <x v="52"/>
    <x v="5"/>
    <x v="117"/>
    <x v="53"/>
    <x v="124"/>
    <x v="0"/>
    <x v="2"/>
    <x v="0"/>
  </r>
  <r>
    <x v="5"/>
    <x v="32"/>
    <x v="53"/>
    <x v="5"/>
    <x v="105"/>
    <x v="49"/>
    <x v="104"/>
    <x v="0"/>
    <x v="2"/>
    <x v="0"/>
  </r>
  <r>
    <x v="5"/>
    <x v="71"/>
    <x v="54"/>
    <x v="6"/>
    <x v="57"/>
    <x v="23"/>
    <x v="39"/>
    <x v="0"/>
    <x v="2"/>
    <x v="0"/>
  </r>
  <r>
    <x v="5"/>
    <x v="94"/>
    <x v="55"/>
    <x v="1"/>
    <x v="165"/>
    <x v="69"/>
    <x v="130"/>
    <x v="0"/>
    <x v="2"/>
    <x v="0"/>
  </r>
  <r>
    <x v="5"/>
    <x v="108"/>
    <x v="56"/>
    <x v="4"/>
    <x v="18"/>
    <x v="14"/>
    <x v="4"/>
    <x v="0"/>
    <x v="2"/>
    <x v="0"/>
  </r>
  <r>
    <x v="5"/>
    <x v="119"/>
    <x v="57"/>
    <x v="3"/>
    <x v="1"/>
    <x v="4"/>
    <x v="5"/>
    <x v="0"/>
    <x v="2"/>
    <x v="0"/>
  </r>
  <r>
    <x v="5"/>
    <x v="147"/>
    <x v="58"/>
    <x v="0"/>
    <x v="154"/>
    <x v="75"/>
    <x v="109"/>
    <x v="0"/>
    <x v="5"/>
    <x v="0"/>
  </r>
  <r>
    <x v="5"/>
    <x v="157"/>
    <x v="59"/>
    <x v="4"/>
    <x v="25"/>
    <x v="13"/>
    <x v="19"/>
    <x v="0"/>
    <x v="5"/>
    <x v="0"/>
  </r>
  <r>
    <x v="5"/>
    <x v="176"/>
    <x v="60"/>
    <x v="5"/>
    <x v="74"/>
    <x v="47"/>
    <x v="59"/>
    <x v="0"/>
    <x v="2"/>
    <x v="0"/>
  </r>
  <r>
    <x v="5"/>
    <x v="188"/>
    <x v="61"/>
    <x v="1"/>
    <x v="144"/>
    <x v="72"/>
    <x v="101"/>
    <x v="0"/>
    <x v="2"/>
    <x v="0"/>
  </r>
  <r>
    <x v="6"/>
    <x v="4"/>
    <x v="62"/>
    <x v="5"/>
    <x v="130"/>
    <x v="51"/>
    <x v="137"/>
    <x v="0"/>
    <x v="2"/>
    <x v="0"/>
  </r>
  <r>
    <x v="6"/>
    <x v="43"/>
    <x v="63"/>
    <x v="6"/>
    <x v="62"/>
    <x v="32"/>
    <x v="42"/>
    <x v="0"/>
    <x v="2"/>
    <x v="0"/>
  </r>
  <r>
    <x v="6"/>
    <x v="53"/>
    <x v="64"/>
    <x v="5"/>
    <x v="104"/>
    <x v="41"/>
    <x v="105"/>
    <x v="0"/>
    <x v="2"/>
    <x v="0"/>
  </r>
  <r>
    <x v="6"/>
    <x v="64"/>
    <x v="65"/>
    <x v="1"/>
    <x v="161"/>
    <x v="66"/>
    <x v="125"/>
    <x v="0"/>
    <x v="2"/>
    <x v="0"/>
  </r>
  <r>
    <x v="6"/>
    <x v="114"/>
    <x v="66"/>
    <x v="4"/>
    <x v="15"/>
    <x v="9"/>
    <x v="4"/>
    <x v="0"/>
    <x v="2"/>
    <x v="0"/>
  </r>
  <r>
    <x v="6"/>
    <x v="133"/>
    <x v="67"/>
    <x v="3"/>
    <x v="1"/>
    <x v="0"/>
    <x v="10"/>
    <x v="0"/>
    <x v="2"/>
    <x v="0"/>
  </r>
  <r>
    <x v="6"/>
    <x v="179"/>
    <x v="68"/>
    <x v="5"/>
    <x v="68"/>
    <x v="44"/>
    <x v="44"/>
    <x v="0"/>
    <x v="2"/>
    <x v="0"/>
  </r>
  <r>
    <x v="6"/>
    <x v="191"/>
    <x v="69"/>
    <x v="1"/>
    <x v="132"/>
    <x v="67"/>
    <x v="89"/>
    <x v="0"/>
    <x v="2"/>
    <x v="0"/>
  </r>
  <r>
    <x v="7"/>
    <x v="151"/>
    <x v="4"/>
    <x v="7"/>
    <x v="64"/>
    <x v="34"/>
    <x v="33"/>
    <x v="0"/>
    <x v="4"/>
    <x v="0"/>
  </r>
  <r>
    <x v="7"/>
    <x v="4"/>
    <x v="70"/>
    <x v="5"/>
    <x v="121"/>
    <x v="49"/>
    <x v="131"/>
    <x v="0"/>
    <x v="2"/>
    <x v="0"/>
  </r>
  <r>
    <x v="7"/>
    <x v="34"/>
    <x v="71"/>
    <x v="5"/>
    <x v="109"/>
    <x v="48"/>
    <x v="113"/>
    <x v="0"/>
    <x v="2"/>
    <x v="0"/>
  </r>
  <r>
    <x v="7"/>
    <x v="72"/>
    <x v="72"/>
    <x v="6"/>
    <x v="55"/>
    <x v="19"/>
    <x v="41"/>
    <x v="0"/>
    <x v="2"/>
    <x v="0"/>
  </r>
  <r>
    <x v="7"/>
    <x v="78"/>
    <x v="73"/>
    <x v="1"/>
    <x v="170"/>
    <x v="67"/>
    <x v="140"/>
    <x v="0"/>
    <x v="2"/>
    <x v="0"/>
  </r>
  <r>
    <x v="7"/>
    <x v="106"/>
    <x v="74"/>
    <x v="4"/>
    <x v="17"/>
    <x v="8"/>
    <x v="7"/>
    <x v="0"/>
    <x v="2"/>
    <x v="0"/>
  </r>
  <r>
    <x v="7"/>
    <x v="126"/>
    <x v="75"/>
    <x v="3"/>
    <x v="10"/>
    <x v="3"/>
    <x v="18"/>
    <x v="0"/>
    <x v="2"/>
    <x v="0"/>
  </r>
  <r>
    <x v="7"/>
    <x v="165"/>
    <x v="76"/>
    <x v="4"/>
    <x v="31"/>
    <x v="8"/>
    <x v="36"/>
    <x v="0"/>
    <x v="5"/>
    <x v="0"/>
  </r>
  <r>
    <x v="7"/>
    <x v="176"/>
    <x v="77"/>
    <x v="5"/>
    <x v="76"/>
    <x v="47"/>
    <x v="60"/>
    <x v="0"/>
    <x v="2"/>
    <x v="0"/>
  </r>
  <r>
    <x v="7"/>
    <x v="191"/>
    <x v="78"/>
    <x v="1"/>
    <x v="148"/>
    <x v="70"/>
    <x v="106"/>
    <x v="0"/>
    <x v="2"/>
    <x v="0"/>
  </r>
  <r>
    <x v="8"/>
    <x v="1"/>
    <x v="79"/>
    <x v="5"/>
    <x v="120"/>
    <x v="51"/>
    <x v="127"/>
    <x v="0"/>
    <x v="2"/>
    <x v="0"/>
  </r>
  <r>
    <x v="8"/>
    <x v="47"/>
    <x v="80"/>
    <x v="6"/>
    <x v="56"/>
    <x v="26"/>
    <x v="37"/>
    <x v="0"/>
    <x v="2"/>
    <x v="0"/>
  </r>
  <r>
    <x v="8"/>
    <x v="53"/>
    <x v="81"/>
    <x v="5"/>
    <x v="105"/>
    <x v="39"/>
    <x v="109"/>
    <x v="0"/>
    <x v="2"/>
    <x v="0"/>
  </r>
  <r>
    <x v="8"/>
    <x v="65"/>
    <x v="82"/>
    <x v="1"/>
    <x v="158"/>
    <x v="63"/>
    <x v="119"/>
    <x v="0"/>
    <x v="2"/>
    <x v="0"/>
  </r>
  <r>
    <x v="8"/>
    <x v="118"/>
    <x v="83"/>
    <x v="3"/>
    <x v="12"/>
    <x v="5"/>
    <x v="18"/>
    <x v="0"/>
    <x v="2"/>
    <x v="0"/>
  </r>
  <r>
    <x v="8"/>
    <x v="150"/>
    <x v="84"/>
    <x v="3"/>
    <x v="9"/>
    <x v="7"/>
    <x v="8"/>
    <x v="0"/>
    <x v="5"/>
    <x v="0"/>
  </r>
  <r>
    <x v="8"/>
    <x v="161"/>
    <x v="85"/>
    <x v="4"/>
    <x v="26"/>
    <x v="8"/>
    <x v="26"/>
    <x v="0"/>
    <x v="5"/>
    <x v="0"/>
  </r>
  <r>
    <x v="8"/>
    <x v="182"/>
    <x v="86"/>
    <x v="5"/>
    <x v="67"/>
    <x v="43"/>
    <x v="43"/>
    <x v="0"/>
    <x v="2"/>
    <x v="0"/>
  </r>
  <r>
    <x v="8"/>
    <x v="198"/>
    <x v="87"/>
    <x v="1"/>
    <x v="127"/>
    <x v="69"/>
    <x v="85"/>
    <x v="0"/>
    <x v="2"/>
    <x v="0"/>
  </r>
  <r>
    <x v="9"/>
    <x v="5"/>
    <x v="88"/>
    <x v="2"/>
    <x v="95"/>
    <x v="74"/>
    <x v="50"/>
    <x v="0"/>
    <x v="2"/>
    <x v="0"/>
  </r>
  <r>
    <x v="9"/>
    <x v="15"/>
    <x v="89"/>
    <x v="5"/>
    <x v="126"/>
    <x v="52"/>
    <x v="133"/>
    <x v="0"/>
    <x v="2"/>
    <x v="0"/>
  </r>
  <r>
    <x v="9"/>
    <x v="56"/>
    <x v="90"/>
    <x v="6"/>
    <x v="59"/>
    <x v="27"/>
    <x v="41"/>
    <x v="0"/>
    <x v="2"/>
    <x v="0"/>
  </r>
  <r>
    <x v="9"/>
    <x v="70"/>
    <x v="91"/>
    <x v="5"/>
    <x v="89"/>
    <x v="43"/>
    <x v="77"/>
    <x v="0"/>
    <x v="2"/>
    <x v="0"/>
  </r>
  <r>
    <x v="9"/>
    <x v="81"/>
    <x v="92"/>
    <x v="1"/>
    <x v="156"/>
    <x v="63"/>
    <x v="117"/>
    <x v="0"/>
    <x v="2"/>
    <x v="0"/>
  </r>
  <r>
    <x v="9"/>
    <x v="110"/>
    <x v="93"/>
    <x v="4"/>
    <x v="18"/>
    <x v="11"/>
    <x v="7"/>
    <x v="0"/>
    <x v="2"/>
    <x v="0"/>
  </r>
  <r>
    <x v="9"/>
    <x v="131"/>
    <x v="94"/>
    <x v="3"/>
    <x v="5"/>
    <x v="4"/>
    <x v="9"/>
    <x v="0"/>
    <x v="2"/>
    <x v="0"/>
  </r>
  <r>
    <x v="9"/>
    <x v="178"/>
    <x v="95"/>
    <x v="5"/>
    <x v="65"/>
    <x v="44"/>
    <x v="37"/>
    <x v="0"/>
    <x v="2"/>
    <x v="0"/>
  </r>
  <r>
    <x v="9"/>
    <x v="192"/>
    <x v="96"/>
    <x v="1"/>
    <x v="129"/>
    <x v="75"/>
    <x v="84"/>
    <x v="0"/>
    <x v="2"/>
    <x v="0"/>
  </r>
  <r>
    <x v="10"/>
    <x v="18"/>
    <x v="97"/>
    <x v="5"/>
    <x v="114"/>
    <x v="49"/>
    <x v="122"/>
    <x v="0"/>
    <x v="2"/>
    <x v="0"/>
  </r>
  <r>
    <x v="10"/>
    <x v="55"/>
    <x v="98"/>
    <x v="6"/>
    <x v="47"/>
    <x v="27"/>
    <x v="23"/>
    <x v="0"/>
    <x v="2"/>
    <x v="0"/>
  </r>
  <r>
    <x v="10"/>
    <x v="79"/>
    <x v="99"/>
    <x v="1"/>
    <x v="160"/>
    <x v="68"/>
    <x v="121"/>
    <x v="0"/>
    <x v="2"/>
    <x v="0"/>
  </r>
  <r>
    <x v="10"/>
    <x v="86"/>
    <x v="100"/>
    <x v="5"/>
    <x v="83"/>
    <x v="43"/>
    <x v="70"/>
    <x v="0"/>
    <x v="2"/>
    <x v="0"/>
  </r>
  <r>
    <x v="10"/>
    <x v="110"/>
    <x v="101"/>
    <x v="4"/>
    <x v="14"/>
    <x v="10"/>
    <x v="2"/>
    <x v="0"/>
    <x v="2"/>
    <x v="0"/>
  </r>
  <r>
    <x v="10"/>
    <x v="122"/>
    <x v="102"/>
    <x v="3"/>
    <x v="3"/>
    <x v="4"/>
    <x v="7"/>
    <x v="0"/>
    <x v="2"/>
    <x v="0"/>
  </r>
  <r>
    <x v="10"/>
    <x v="162"/>
    <x v="103"/>
    <x v="4"/>
    <x v="22"/>
    <x v="9"/>
    <x v="16"/>
    <x v="0"/>
    <x v="5"/>
    <x v="0"/>
  </r>
  <r>
    <x v="10"/>
    <x v="177"/>
    <x v="104"/>
    <x v="5"/>
    <x v="72"/>
    <x v="50"/>
    <x v="51"/>
    <x v="0"/>
    <x v="2"/>
    <x v="0"/>
  </r>
  <r>
    <x v="10"/>
    <x v="197"/>
    <x v="105"/>
    <x v="1"/>
    <x v="131"/>
    <x v="67"/>
    <x v="88"/>
    <x v="0"/>
    <x v="2"/>
    <x v="0"/>
  </r>
  <r>
    <x v="11"/>
    <x v="3"/>
    <x v="0"/>
    <x v="5"/>
    <x v="131"/>
    <x v="54"/>
    <x v="136"/>
    <x v="0"/>
    <x v="2"/>
    <x v="0"/>
  </r>
  <r>
    <x v="11"/>
    <x v="27"/>
    <x v="106"/>
    <x v="5"/>
    <x v="100"/>
    <x v="45"/>
    <x v="95"/>
    <x v="0"/>
    <x v="2"/>
    <x v="0"/>
  </r>
  <r>
    <x v="11"/>
    <x v="51"/>
    <x v="107"/>
    <x v="6"/>
    <x v="55"/>
    <x v="32"/>
    <x v="31"/>
    <x v="0"/>
    <x v="2"/>
    <x v="0"/>
  </r>
  <r>
    <x v="11"/>
    <x v="60"/>
    <x v="108"/>
    <x v="1"/>
    <x v="175"/>
    <x v="61"/>
    <x v="151"/>
    <x v="0"/>
    <x v="2"/>
    <x v="0"/>
  </r>
  <r>
    <x v="11"/>
    <x v="128"/>
    <x v="109"/>
    <x v="3"/>
    <x v="2"/>
    <x v="1"/>
    <x v="10"/>
    <x v="0"/>
    <x v="2"/>
    <x v="0"/>
  </r>
  <r>
    <x v="11"/>
    <x v="175"/>
    <x v="110"/>
    <x v="5"/>
    <x v="66"/>
    <x v="47"/>
    <x v="36"/>
    <x v="0"/>
    <x v="2"/>
    <x v="0"/>
  </r>
  <r>
    <x v="11"/>
    <x v="198"/>
    <x v="111"/>
    <x v="1"/>
    <x v="131"/>
    <x v="61"/>
    <x v="92"/>
    <x v="0"/>
    <x v="2"/>
    <x v="0"/>
  </r>
  <r>
    <x v="12"/>
    <x v="14"/>
    <x v="112"/>
    <x v="5"/>
    <x v="150"/>
    <x v="51"/>
    <x v="150"/>
    <x v="0"/>
    <x v="2"/>
    <x v="0"/>
  </r>
  <r>
    <x v="12"/>
    <x v="21"/>
    <x v="113"/>
    <x v="2"/>
    <x v="137"/>
    <x v="72"/>
    <x v="97"/>
    <x v="0"/>
    <x v="2"/>
    <x v="0"/>
  </r>
  <r>
    <x v="12"/>
    <x v="54"/>
    <x v="114"/>
    <x v="6"/>
    <x v="63"/>
    <x v="29"/>
    <x v="54"/>
    <x v="0"/>
    <x v="2"/>
    <x v="0"/>
  </r>
  <r>
    <x v="12"/>
    <x v="83"/>
    <x v="115"/>
    <x v="1"/>
    <x v="163"/>
    <x v="66"/>
    <x v="127"/>
    <x v="0"/>
    <x v="2"/>
    <x v="0"/>
  </r>
  <r>
    <x v="12"/>
    <x v="89"/>
    <x v="116"/>
    <x v="5"/>
    <x v="113"/>
    <x v="43"/>
    <x v="123"/>
    <x v="0"/>
    <x v="2"/>
    <x v="0"/>
  </r>
  <r>
    <x v="12"/>
    <x v="107"/>
    <x v="117"/>
    <x v="4"/>
    <x v="16"/>
    <x v="8"/>
    <x v="6"/>
    <x v="0"/>
    <x v="2"/>
    <x v="0"/>
  </r>
  <r>
    <x v="12"/>
    <x v="133"/>
    <x v="118"/>
    <x v="3"/>
    <x v="5"/>
    <x v="1"/>
    <x v="13"/>
    <x v="0"/>
    <x v="2"/>
    <x v="0"/>
  </r>
  <r>
    <x v="12"/>
    <x v="164"/>
    <x v="119"/>
    <x v="4"/>
    <x v="29"/>
    <x v="8"/>
    <x v="32"/>
    <x v="0"/>
    <x v="5"/>
    <x v="0"/>
  </r>
  <r>
    <x v="12"/>
    <x v="180"/>
    <x v="120"/>
    <x v="5"/>
    <x v="75"/>
    <x v="44"/>
    <x v="61"/>
    <x v="0"/>
    <x v="2"/>
    <x v="0"/>
  </r>
  <r>
    <x v="12"/>
    <x v="191"/>
    <x v="121"/>
    <x v="1"/>
    <x v="138"/>
    <x v="70"/>
    <x v="99"/>
    <x v="0"/>
    <x v="2"/>
    <x v="0"/>
  </r>
  <r>
    <x v="13"/>
    <x v="0"/>
    <x v="122"/>
    <x v="5"/>
    <x v="145"/>
    <x v="49"/>
    <x v="147"/>
    <x v="0"/>
    <x v="2"/>
    <x v="0"/>
  </r>
  <r>
    <x v="13"/>
    <x v="44"/>
    <x v="123"/>
    <x v="6"/>
    <x v="60"/>
    <x v="25"/>
    <x v="45"/>
    <x v="0"/>
    <x v="2"/>
    <x v="0"/>
  </r>
  <r>
    <x v="13"/>
    <x v="48"/>
    <x v="124"/>
    <x v="5"/>
    <x v="143"/>
    <x v="41"/>
    <x v="149"/>
    <x v="0"/>
    <x v="2"/>
    <x v="0"/>
  </r>
  <r>
    <x v="13"/>
    <x v="52"/>
    <x v="125"/>
    <x v="1"/>
    <x v="177"/>
    <x v="62"/>
    <x v="152"/>
    <x v="0"/>
    <x v="2"/>
    <x v="0"/>
  </r>
  <r>
    <x v="13"/>
    <x v="61"/>
    <x v="126"/>
    <x v="6"/>
    <x v="46"/>
    <x v="33"/>
    <x v="16"/>
    <x v="0"/>
    <x v="2"/>
    <x v="0"/>
  </r>
  <r>
    <x v="13"/>
    <x v="134"/>
    <x v="127"/>
    <x v="3"/>
    <x v="4"/>
    <x v="1"/>
    <x v="12"/>
    <x v="0"/>
    <x v="2"/>
    <x v="0"/>
  </r>
  <r>
    <x v="13"/>
    <x v="179"/>
    <x v="128"/>
    <x v="5"/>
    <x v="78"/>
    <x v="45"/>
    <x v="64"/>
    <x v="0"/>
    <x v="2"/>
    <x v="0"/>
  </r>
  <r>
    <x v="13"/>
    <x v="199"/>
    <x v="129"/>
    <x v="1"/>
    <x v="155"/>
    <x v="78"/>
    <x v="111"/>
    <x v="0"/>
    <x v="2"/>
    <x v="0"/>
  </r>
  <r>
    <x v="14"/>
    <x v="9"/>
    <x v="130"/>
    <x v="5"/>
    <x v="141"/>
    <x v="50"/>
    <x v="143"/>
    <x v="0"/>
    <x v="2"/>
    <x v="0"/>
  </r>
  <r>
    <x v="14"/>
    <x v="26"/>
    <x v="131"/>
    <x v="2"/>
    <x v="135"/>
    <x v="82"/>
    <x v="87"/>
    <x v="0"/>
    <x v="2"/>
    <x v="0"/>
  </r>
  <r>
    <x v="14"/>
    <x v="33"/>
    <x v="132"/>
    <x v="5"/>
    <x v="100"/>
    <x v="36"/>
    <x v="100"/>
    <x v="0"/>
    <x v="2"/>
    <x v="0"/>
  </r>
  <r>
    <x v="14"/>
    <x v="80"/>
    <x v="133"/>
    <x v="1"/>
    <x v="154"/>
    <x v="58"/>
    <x v="115"/>
    <x v="0"/>
    <x v="2"/>
    <x v="0"/>
  </r>
  <r>
    <x v="14"/>
    <x v="83"/>
    <x v="134"/>
    <x v="6"/>
    <x v="58"/>
    <x v="18"/>
    <x v="55"/>
    <x v="0"/>
    <x v="2"/>
    <x v="0"/>
  </r>
  <r>
    <x v="14"/>
    <x v="128"/>
    <x v="135"/>
    <x v="3"/>
    <x v="5"/>
    <x v="3"/>
    <x v="11"/>
    <x v="0"/>
    <x v="2"/>
    <x v="0"/>
  </r>
  <r>
    <x v="14"/>
    <x v="135"/>
    <x v="136"/>
    <x v="0"/>
    <x v="106"/>
    <x v="74"/>
    <x v="66"/>
    <x v="0"/>
    <x v="2"/>
    <x v="0"/>
  </r>
  <r>
    <x v="14"/>
    <x v="143"/>
    <x v="137"/>
    <x v="4"/>
    <x v="28"/>
    <x v="14"/>
    <x v="21"/>
    <x v="0"/>
    <x v="5"/>
    <x v="0"/>
  </r>
  <r>
    <x v="14"/>
    <x v="155"/>
    <x v="138"/>
    <x v="0"/>
    <x v="151"/>
    <x v="79"/>
    <x v="103"/>
    <x v="0"/>
    <x v="1"/>
    <x v="0"/>
  </r>
  <r>
    <x v="14"/>
    <x v="170"/>
    <x v="139"/>
    <x v="0"/>
    <x v="153"/>
    <x v="70"/>
    <x v="110"/>
    <x v="0"/>
    <x v="1"/>
    <x v="0"/>
  </r>
  <r>
    <x v="14"/>
    <x v="184"/>
    <x v="140"/>
    <x v="5"/>
    <x v="78"/>
    <x v="45"/>
    <x v="64"/>
    <x v="0"/>
    <x v="2"/>
    <x v="0"/>
  </r>
  <r>
    <x v="14"/>
    <x v="195"/>
    <x v="141"/>
    <x v="2"/>
    <x v="125"/>
    <x v="79"/>
    <x v="75"/>
    <x v="0"/>
    <x v="2"/>
    <x v="0"/>
  </r>
  <r>
    <x v="15"/>
    <x v="16"/>
    <x v="142"/>
    <x v="5"/>
    <x v="112"/>
    <x v="53"/>
    <x v="118"/>
    <x v="0"/>
    <x v="2"/>
    <x v="0"/>
  </r>
  <r>
    <x v="15"/>
    <x v="58"/>
    <x v="143"/>
    <x v="6"/>
    <x v="54"/>
    <x v="23"/>
    <x v="37"/>
    <x v="0"/>
    <x v="2"/>
    <x v="0"/>
  </r>
  <r>
    <x v="15"/>
    <x v="82"/>
    <x v="144"/>
    <x v="5"/>
    <x v="85"/>
    <x v="40"/>
    <x v="73"/>
    <x v="0"/>
    <x v="2"/>
    <x v="0"/>
  </r>
  <r>
    <x v="15"/>
    <x v="96"/>
    <x v="145"/>
    <x v="2"/>
    <x v="157"/>
    <x v="76"/>
    <x v="114"/>
    <x v="0"/>
    <x v="2"/>
    <x v="0"/>
  </r>
  <r>
    <x v="15"/>
    <x v="113"/>
    <x v="146"/>
    <x v="4"/>
    <x v="16"/>
    <x v="9"/>
    <x v="5"/>
    <x v="0"/>
    <x v="2"/>
    <x v="0"/>
  </r>
  <r>
    <x v="15"/>
    <x v="140"/>
    <x v="147"/>
    <x v="3"/>
    <x v="0"/>
    <x v="5"/>
    <x v="2"/>
    <x v="0"/>
    <x v="2"/>
    <x v="0"/>
  </r>
  <r>
    <x v="15"/>
    <x v="166"/>
    <x v="148"/>
    <x v="4"/>
    <x v="24"/>
    <x v="10"/>
    <x v="19"/>
    <x v="0"/>
    <x v="5"/>
    <x v="0"/>
  </r>
  <r>
    <x v="15"/>
    <x v="178"/>
    <x v="149"/>
    <x v="5"/>
    <x v="77"/>
    <x v="47"/>
    <x v="62"/>
    <x v="0"/>
    <x v="2"/>
    <x v="0"/>
  </r>
  <r>
    <x v="15"/>
    <x v="187"/>
    <x v="150"/>
    <x v="1"/>
    <x v="119"/>
    <x v="72"/>
    <x v="72"/>
    <x v="0"/>
    <x v="2"/>
    <x v="0"/>
  </r>
  <r>
    <x v="16"/>
    <x v="13"/>
    <x v="151"/>
    <x v="5"/>
    <x v="110"/>
    <x v="53"/>
    <x v="116"/>
    <x v="0"/>
    <x v="2"/>
    <x v="0"/>
  </r>
  <r>
    <x v="16"/>
    <x v="37"/>
    <x v="152"/>
    <x v="5"/>
    <x v="88"/>
    <x v="43"/>
    <x v="74"/>
    <x v="0"/>
    <x v="2"/>
    <x v="0"/>
  </r>
  <r>
    <x v="16"/>
    <x v="82"/>
    <x v="153"/>
    <x v="6"/>
    <x v="43"/>
    <x v="23"/>
    <x v="23"/>
    <x v="0"/>
    <x v="2"/>
    <x v="0"/>
  </r>
  <r>
    <x v="16"/>
    <x v="84"/>
    <x v="154"/>
    <x v="1"/>
    <x v="162"/>
    <x v="69"/>
    <x v="125"/>
    <x v="0"/>
    <x v="2"/>
    <x v="0"/>
  </r>
  <r>
    <x v="16"/>
    <x v="103"/>
    <x v="155"/>
    <x v="4"/>
    <x v="15"/>
    <x v="12"/>
    <x v="1"/>
    <x v="0"/>
    <x v="2"/>
    <x v="0"/>
  </r>
  <r>
    <x v="16"/>
    <x v="123"/>
    <x v="156"/>
    <x v="3"/>
    <x v="6"/>
    <x v="2"/>
    <x v="13"/>
    <x v="0"/>
    <x v="2"/>
    <x v="0"/>
  </r>
  <r>
    <x v="16"/>
    <x v="145"/>
    <x v="157"/>
    <x v="4"/>
    <x v="32"/>
    <x v="9"/>
    <x v="36"/>
    <x v="0"/>
    <x v="5"/>
    <x v="0"/>
  </r>
  <r>
    <x v="17"/>
    <x v="138"/>
    <x v="5"/>
    <x v="2"/>
    <x v="97"/>
    <x v="71"/>
    <x v="57"/>
    <x v="0"/>
    <x v="4"/>
    <x v="0"/>
  </r>
  <r>
    <x v="17"/>
    <x v="17"/>
    <x v="158"/>
    <x v="5"/>
    <x v="118"/>
    <x v="46"/>
    <x v="126"/>
    <x v="0"/>
    <x v="2"/>
    <x v="0"/>
  </r>
  <r>
    <x v="17"/>
    <x v="75"/>
    <x v="159"/>
    <x v="6"/>
    <x v="50"/>
    <x v="21"/>
    <x v="34"/>
    <x v="0"/>
    <x v="2"/>
    <x v="0"/>
  </r>
  <r>
    <x v="17"/>
    <x v="95"/>
    <x v="160"/>
    <x v="2"/>
    <x v="166"/>
    <x v="80"/>
    <x v="128"/>
    <x v="0"/>
    <x v="2"/>
    <x v="0"/>
  </r>
  <r>
    <x v="17"/>
    <x v="105"/>
    <x v="161"/>
    <x v="4"/>
    <x v="21"/>
    <x v="9"/>
    <x v="12"/>
    <x v="0"/>
    <x v="2"/>
    <x v="0"/>
  </r>
  <r>
    <x v="17"/>
    <x v="121"/>
    <x v="162"/>
    <x v="3"/>
    <x v="5"/>
    <x v="4"/>
    <x v="9"/>
    <x v="0"/>
    <x v="2"/>
    <x v="0"/>
  </r>
  <r>
    <x v="17"/>
    <x v="172"/>
    <x v="163"/>
    <x v="4"/>
    <x v="28"/>
    <x v="8"/>
    <x v="28"/>
    <x v="0"/>
    <x v="5"/>
    <x v="0"/>
  </r>
  <r>
    <x v="18"/>
    <x v="115"/>
    <x v="164"/>
    <x v="4"/>
    <x v="19"/>
    <x v="15"/>
    <x v="4"/>
    <x v="0"/>
    <x v="2"/>
    <x v="0"/>
  </r>
  <r>
    <x v="18"/>
    <x v="116"/>
    <x v="165"/>
    <x v="5"/>
    <x v="96"/>
    <x v="41"/>
    <x v="91"/>
    <x v="0"/>
    <x v="2"/>
    <x v="0"/>
  </r>
  <r>
    <x v="18"/>
    <x v="117"/>
    <x v="166"/>
    <x v="6"/>
    <x v="39"/>
    <x v="28"/>
    <x v="14"/>
    <x v="0"/>
    <x v="2"/>
    <x v="0"/>
  </r>
  <r>
    <x v="18"/>
    <x v="136"/>
    <x v="167"/>
    <x v="3"/>
    <x v="5"/>
    <x v="2"/>
    <x v="12"/>
    <x v="0"/>
    <x v="2"/>
    <x v="0"/>
  </r>
  <r>
    <x v="18"/>
    <x v="168"/>
    <x v="168"/>
    <x v="4"/>
    <x v="20"/>
    <x v="11"/>
    <x v="9"/>
    <x v="0"/>
    <x v="5"/>
    <x v="0"/>
  </r>
  <r>
    <x v="19"/>
    <x v="22"/>
    <x v="169"/>
    <x v="5"/>
    <x v="176"/>
    <x v="57"/>
    <x v="164"/>
    <x v="0"/>
    <x v="2"/>
    <x v="0"/>
  </r>
  <r>
    <x v="19"/>
    <x v="23"/>
    <x v="170"/>
    <x v="2"/>
    <x v="167"/>
    <x v="87"/>
    <x v="119"/>
    <x v="0"/>
    <x v="2"/>
    <x v="0"/>
  </r>
  <r>
    <x v="19"/>
    <x v="41"/>
    <x v="171"/>
    <x v="5"/>
    <x v="90"/>
    <x v="53"/>
    <x v="76"/>
    <x v="0"/>
    <x v="2"/>
    <x v="0"/>
  </r>
  <r>
    <x v="19"/>
    <x v="57"/>
    <x v="172"/>
    <x v="2"/>
    <x v="99"/>
    <x v="84"/>
    <x v="46"/>
    <x v="0"/>
    <x v="2"/>
    <x v="0"/>
  </r>
  <r>
    <x v="19"/>
    <x v="85"/>
    <x v="173"/>
    <x v="6"/>
    <x v="45"/>
    <x v="24"/>
    <x v="25"/>
    <x v="0"/>
    <x v="2"/>
    <x v="0"/>
  </r>
  <r>
    <x v="19"/>
    <x v="158"/>
    <x v="174"/>
    <x v="4"/>
    <x v="25"/>
    <x v="10"/>
    <x v="22"/>
    <x v="0"/>
    <x v="5"/>
    <x v="0"/>
  </r>
  <r>
    <x v="19"/>
    <x v="200"/>
    <x v="175"/>
    <x v="1"/>
    <x v="189"/>
    <x v="86"/>
    <x v="161"/>
    <x v="0"/>
    <x v="2"/>
    <x v="0"/>
  </r>
  <r>
    <x v="20"/>
    <x v="22"/>
    <x v="176"/>
    <x v="5"/>
    <x v="171"/>
    <x v="51"/>
    <x v="160"/>
    <x v="0"/>
    <x v="2"/>
    <x v="0"/>
  </r>
  <r>
    <x v="20"/>
    <x v="45"/>
    <x v="177"/>
    <x v="5"/>
    <x v="87"/>
    <x v="48"/>
    <x v="72"/>
    <x v="0"/>
    <x v="2"/>
    <x v="0"/>
  </r>
  <r>
    <x v="20"/>
    <x v="67"/>
    <x v="178"/>
    <x v="1"/>
    <x v="191"/>
    <x v="83"/>
    <x v="170"/>
    <x v="0"/>
    <x v="2"/>
    <x v="0"/>
  </r>
  <r>
    <x v="20"/>
    <x v="86"/>
    <x v="179"/>
    <x v="6"/>
    <x v="42"/>
    <x v="20"/>
    <x v="26"/>
    <x v="0"/>
    <x v="2"/>
    <x v="0"/>
  </r>
  <r>
    <x v="20"/>
    <x v="129"/>
    <x v="180"/>
    <x v="3"/>
    <x v="9"/>
    <x v="1"/>
    <x v="18"/>
    <x v="0"/>
    <x v="2"/>
    <x v="0"/>
  </r>
  <r>
    <x v="20"/>
    <x v="162"/>
    <x v="181"/>
    <x v="4"/>
    <x v="36"/>
    <x v="8"/>
    <x v="42"/>
    <x v="0"/>
    <x v="5"/>
    <x v="0"/>
  </r>
  <r>
    <x v="21"/>
    <x v="29"/>
    <x v="182"/>
    <x v="5"/>
    <x v="172"/>
    <x v="45"/>
    <x v="163"/>
    <x v="0"/>
    <x v="2"/>
    <x v="0"/>
  </r>
  <r>
    <x v="21"/>
    <x v="30"/>
    <x v="183"/>
    <x v="2"/>
    <x v="174"/>
    <x v="85"/>
    <x v="141"/>
    <x v="0"/>
    <x v="2"/>
    <x v="0"/>
  </r>
  <r>
    <x v="21"/>
    <x v="74"/>
    <x v="184"/>
    <x v="1"/>
    <x v="168"/>
    <x v="78"/>
    <x v="135"/>
    <x v="0"/>
    <x v="2"/>
    <x v="0"/>
  </r>
  <r>
    <x v="21"/>
    <x v="93"/>
    <x v="185"/>
    <x v="6"/>
    <x v="47"/>
    <x v="28"/>
    <x v="22"/>
    <x v="0"/>
    <x v="2"/>
    <x v="0"/>
  </r>
  <r>
    <x v="21"/>
    <x v="139"/>
    <x v="186"/>
    <x v="3"/>
    <x v="11"/>
    <x v="4"/>
    <x v="17"/>
    <x v="0"/>
    <x v="2"/>
    <x v="0"/>
  </r>
  <r>
    <x v="22"/>
    <x v="11"/>
    <x v="187"/>
    <x v="5"/>
    <x v="134"/>
    <x v="36"/>
    <x v="142"/>
    <x v="0"/>
    <x v="2"/>
    <x v="0"/>
  </r>
  <r>
    <x v="22"/>
    <x v="39"/>
    <x v="188"/>
    <x v="5"/>
    <x v="115"/>
    <x v="35"/>
    <x v="134"/>
    <x v="0"/>
    <x v="2"/>
    <x v="0"/>
  </r>
  <r>
    <x v="22"/>
    <x v="87"/>
    <x v="189"/>
    <x v="1"/>
    <x v="140"/>
    <x v="76"/>
    <x v="97"/>
    <x v="0"/>
    <x v="2"/>
    <x v="0"/>
  </r>
  <r>
    <x v="22"/>
    <x v="93"/>
    <x v="190"/>
    <x v="6"/>
    <x v="44"/>
    <x v="24"/>
    <x v="24"/>
    <x v="0"/>
    <x v="2"/>
    <x v="0"/>
  </r>
  <r>
    <x v="22"/>
    <x v="137"/>
    <x v="191"/>
    <x v="3"/>
    <x v="7"/>
    <x v="4"/>
    <x v="12"/>
    <x v="0"/>
    <x v="2"/>
    <x v="0"/>
  </r>
  <r>
    <x v="22"/>
    <x v="139"/>
    <x v="192"/>
    <x v="0"/>
    <x v="181"/>
    <x v="60"/>
    <x v="158"/>
    <x v="0"/>
    <x v="0"/>
    <x v="0"/>
  </r>
  <r>
    <x v="23"/>
    <x v="158"/>
    <x v="6"/>
    <x v="0"/>
    <x v="127"/>
    <x v="73"/>
    <x v="82"/>
    <x v="0"/>
    <x v="4"/>
    <x v="0"/>
  </r>
  <r>
    <x v="23"/>
    <x v="12"/>
    <x v="193"/>
    <x v="5"/>
    <x v="146"/>
    <x v="56"/>
    <x v="144"/>
    <x v="0"/>
    <x v="2"/>
    <x v="0"/>
  </r>
  <r>
    <x v="23"/>
    <x v="36"/>
    <x v="194"/>
    <x v="5"/>
    <x v="82"/>
    <x v="55"/>
    <x v="69"/>
    <x v="0"/>
    <x v="2"/>
    <x v="0"/>
  </r>
  <r>
    <x v="23"/>
    <x v="88"/>
    <x v="195"/>
    <x v="6"/>
    <x v="40"/>
    <x v="19"/>
    <x v="25"/>
    <x v="0"/>
    <x v="2"/>
    <x v="0"/>
  </r>
  <r>
    <x v="23"/>
    <x v="99"/>
    <x v="196"/>
    <x v="1"/>
    <x v="184"/>
    <x v="70"/>
    <x v="162"/>
    <x v="0"/>
    <x v="2"/>
    <x v="0"/>
  </r>
  <r>
    <x v="23"/>
    <x v="102"/>
    <x v="197"/>
    <x v="3"/>
    <x v="2"/>
    <x v="4"/>
    <x v="6"/>
    <x v="0"/>
    <x v="5"/>
    <x v="0"/>
  </r>
  <r>
    <x v="23"/>
    <x v="110"/>
    <x v="198"/>
    <x v="4"/>
    <x v="18"/>
    <x v="10"/>
    <x v="8"/>
    <x v="0"/>
    <x v="2"/>
    <x v="0"/>
  </r>
  <r>
    <x v="23"/>
    <x v="132"/>
    <x v="199"/>
    <x v="3"/>
    <x v="8"/>
    <x v="1"/>
    <x v="17"/>
    <x v="0"/>
    <x v="2"/>
    <x v="0"/>
  </r>
  <r>
    <x v="23"/>
    <x v="134"/>
    <x v="200"/>
    <x v="4"/>
    <x v="38"/>
    <x v="14"/>
    <x v="48"/>
    <x v="0"/>
    <x v="5"/>
    <x v="0"/>
  </r>
  <r>
    <x v="24"/>
    <x v="25"/>
    <x v="201"/>
    <x v="5"/>
    <x v="162"/>
    <x v="49"/>
    <x v="156"/>
    <x v="0"/>
    <x v="2"/>
    <x v="0"/>
  </r>
  <r>
    <x v="24"/>
    <x v="90"/>
    <x v="202"/>
    <x v="6"/>
    <x v="41"/>
    <x v="22"/>
    <x v="22"/>
    <x v="0"/>
    <x v="2"/>
    <x v="0"/>
  </r>
  <r>
    <x v="24"/>
    <x v="91"/>
    <x v="203"/>
    <x v="1"/>
    <x v="190"/>
    <x v="69"/>
    <x v="168"/>
    <x v="0"/>
    <x v="2"/>
    <x v="0"/>
  </r>
  <r>
    <x v="24"/>
    <x v="111"/>
    <x v="204"/>
    <x v="0"/>
    <x v="187"/>
    <x v="59"/>
    <x v="169"/>
    <x v="0"/>
    <x v="0"/>
    <x v="0"/>
  </r>
  <r>
    <x v="24"/>
    <x v="116"/>
    <x v="205"/>
    <x v="4"/>
    <x v="37"/>
    <x v="14"/>
    <x v="40"/>
    <x v="0"/>
    <x v="5"/>
    <x v="0"/>
  </r>
  <r>
    <x v="24"/>
    <x v="148"/>
    <x v="206"/>
    <x v="3"/>
    <x v="8"/>
    <x v="5"/>
    <x v="12"/>
    <x v="0"/>
    <x v="2"/>
    <x v="0"/>
  </r>
  <r>
    <x v="24"/>
    <x v="167"/>
    <x v="207"/>
    <x v="0"/>
    <x v="185"/>
    <x v="59"/>
    <x v="167"/>
    <x v="0"/>
    <x v="0"/>
    <x v="0"/>
  </r>
  <r>
    <x v="25"/>
    <x v="123"/>
    <x v="208"/>
    <x v="3"/>
    <x v="6"/>
    <x v="2"/>
    <x v="13"/>
    <x v="0"/>
    <x v="2"/>
    <x v="0"/>
  </r>
  <r>
    <x v="25"/>
    <x v="132"/>
    <x v="209"/>
    <x v="5"/>
    <x v="107"/>
    <x v="47"/>
    <x v="108"/>
    <x v="0"/>
    <x v="2"/>
    <x v="0"/>
  </r>
  <r>
    <x v="25"/>
    <x v="144"/>
    <x v="210"/>
    <x v="6"/>
    <x v="53"/>
    <x v="20"/>
    <x v="38"/>
    <x v="0"/>
    <x v="2"/>
    <x v="0"/>
  </r>
  <r>
    <x v="25"/>
    <x v="152"/>
    <x v="211"/>
    <x v="5"/>
    <x v="91"/>
    <x v="42"/>
    <x v="84"/>
    <x v="0"/>
    <x v="2"/>
    <x v="0"/>
  </r>
  <r>
    <x v="25"/>
    <x v="153"/>
    <x v="212"/>
    <x v="1"/>
    <x v="178"/>
    <x v="70"/>
    <x v="154"/>
    <x v="0"/>
    <x v="2"/>
    <x v="0"/>
  </r>
  <r>
    <x v="25"/>
    <x v="156"/>
    <x v="213"/>
    <x v="4"/>
    <x v="35"/>
    <x v="17"/>
    <x v="35"/>
    <x v="0"/>
    <x v="5"/>
    <x v="0"/>
  </r>
  <r>
    <x v="26"/>
    <x v="19"/>
    <x v="214"/>
    <x v="5"/>
    <x v="142"/>
    <x v="47"/>
    <x v="146"/>
    <x v="0"/>
    <x v="2"/>
    <x v="0"/>
  </r>
  <r>
    <x v="26"/>
    <x v="40"/>
    <x v="215"/>
    <x v="5"/>
    <x v="84"/>
    <x v="37"/>
    <x v="74"/>
    <x v="0"/>
    <x v="2"/>
    <x v="0"/>
  </r>
  <r>
    <x v="26"/>
    <x v="81"/>
    <x v="216"/>
    <x v="6"/>
    <x v="53"/>
    <x v="20"/>
    <x v="38"/>
    <x v="0"/>
    <x v="2"/>
    <x v="0"/>
  </r>
  <r>
    <x v="26"/>
    <x v="90"/>
    <x v="217"/>
    <x v="1"/>
    <x v="188"/>
    <x v="73"/>
    <x v="166"/>
    <x v="0"/>
    <x v="2"/>
    <x v="0"/>
  </r>
  <r>
    <x v="26"/>
    <x v="112"/>
    <x v="218"/>
    <x v="4"/>
    <x v="34"/>
    <x v="16"/>
    <x v="35"/>
    <x v="0"/>
    <x v="5"/>
    <x v="0"/>
  </r>
  <r>
    <x v="26"/>
    <x v="142"/>
    <x v="219"/>
    <x v="3"/>
    <x v="1"/>
    <x v="5"/>
    <x v="4"/>
    <x v="0"/>
    <x v="2"/>
    <x v="0"/>
  </r>
  <r>
    <x v="27"/>
    <x v="20"/>
    <x v="220"/>
    <x v="5"/>
    <x v="124"/>
    <x v="42"/>
    <x v="134"/>
    <x v="0"/>
    <x v="2"/>
    <x v="0"/>
  </r>
  <r>
    <x v="27"/>
    <x v="28"/>
    <x v="221"/>
    <x v="6"/>
    <x v="51"/>
    <x v="23"/>
    <x v="33"/>
    <x v="0"/>
    <x v="2"/>
    <x v="0"/>
  </r>
  <r>
    <x v="27"/>
    <x v="49"/>
    <x v="222"/>
    <x v="5"/>
    <x v="80"/>
    <x v="39"/>
    <x v="67"/>
    <x v="0"/>
    <x v="2"/>
    <x v="0"/>
  </r>
  <r>
    <x v="27"/>
    <x v="129"/>
    <x v="223"/>
    <x v="3"/>
    <x v="5"/>
    <x v="2"/>
    <x v="12"/>
    <x v="0"/>
    <x v="2"/>
    <x v="0"/>
  </r>
  <r>
    <x v="28"/>
    <x v="149"/>
    <x v="7"/>
    <x v="1"/>
    <x v="152"/>
    <x v="82"/>
    <x v="102"/>
    <x v="0"/>
    <x v="4"/>
    <x v="0"/>
  </r>
  <r>
    <x v="28"/>
    <x v="8"/>
    <x v="224"/>
    <x v="5"/>
    <x v="111"/>
    <x v="52"/>
    <x v="118"/>
    <x v="0"/>
    <x v="2"/>
    <x v="0"/>
  </r>
  <r>
    <x v="28"/>
    <x v="24"/>
    <x v="225"/>
    <x v="1"/>
    <x v="186"/>
    <x v="69"/>
    <x v="165"/>
    <x v="0"/>
    <x v="2"/>
    <x v="0"/>
  </r>
  <r>
    <x v="28"/>
    <x v="31"/>
    <x v="226"/>
    <x v="5"/>
    <x v="86"/>
    <x v="50"/>
    <x v="71"/>
    <x v="0"/>
    <x v="2"/>
    <x v="0"/>
  </r>
  <r>
    <x v="28"/>
    <x v="73"/>
    <x v="227"/>
    <x v="6"/>
    <x v="51"/>
    <x v="19"/>
    <x v="36"/>
    <x v="0"/>
    <x v="2"/>
    <x v="0"/>
  </r>
  <r>
    <x v="28"/>
    <x v="97"/>
    <x v="228"/>
    <x v="1"/>
    <x v="173"/>
    <x v="74"/>
    <x v="145"/>
    <x v="0"/>
    <x v="2"/>
    <x v="0"/>
  </r>
  <r>
    <x v="28"/>
    <x v="120"/>
    <x v="229"/>
    <x v="4"/>
    <x v="33"/>
    <x v="9"/>
    <x v="37"/>
    <x v="0"/>
    <x v="5"/>
    <x v="0"/>
  </r>
  <r>
    <x v="28"/>
    <x v="133"/>
    <x v="230"/>
    <x v="3"/>
    <x v="2"/>
    <x v="2"/>
    <x v="9"/>
    <x v="0"/>
    <x v="2"/>
    <x v="0"/>
  </r>
  <r>
    <x v="29"/>
    <x v="154"/>
    <x v="2"/>
    <x v="1"/>
    <x v="126"/>
    <x v="77"/>
    <x v="80"/>
    <x v="0"/>
    <x v="3"/>
    <x v="0"/>
  </r>
  <r>
    <x v="29"/>
    <x v="20"/>
    <x v="231"/>
    <x v="5"/>
    <x v="94"/>
    <x v="53"/>
    <x v="81"/>
    <x v="0"/>
    <x v="2"/>
    <x v="0"/>
  </r>
  <r>
    <x v="29"/>
    <x v="50"/>
    <x v="232"/>
    <x v="5"/>
    <x v="81"/>
    <x v="53"/>
    <x v="68"/>
    <x v="0"/>
    <x v="2"/>
    <x v="0"/>
  </r>
  <r>
    <x v="29"/>
    <x v="62"/>
    <x v="233"/>
    <x v="6"/>
    <x v="47"/>
    <x v="19"/>
    <x v="32"/>
    <x v="0"/>
    <x v="2"/>
    <x v="0"/>
  </r>
  <r>
    <x v="29"/>
    <x v="86"/>
    <x v="234"/>
    <x v="1"/>
    <x v="182"/>
    <x v="76"/>
    <x v="157"/>
    <x v="0"/>
    <x v="2"/>
    <x v="0"/>
  </r>
  <r>
    <x v="29"/>
    <x v="123"/>
    <x v="235"/>
    <x v="3"/>
    <x v="7"/>
    <x v="6"/>
    <x v="8"/>
    <x v="0"/>
    <x v="2"/>
    <x v="0"/>
  </r>
  <r>
    <x v="29"/>
    <x v="141"/>
    <x v="236"/>
    <x v="4"/>
    <x v="25"/>
    <x v="8"/>
    <x v="25"/>
    <x v="0"/>
    <x v="5"/>
    <x v="0"/>
  </r>
  <r>
    <x v="30"/>
    <x v="38"/>
    <x v="237"/>
    <x v="5"/>
    <x v="143"/>
    <x v="52"/>
    <x v="143"/>
    <x v="0"/>
    <x v="2"/>
    <x v="0"/>
  </r>
  <r>
    <x v="30"/>
    <x v="63"/>
    <x v="238"/>
    <x v="1"/>
    <x v="183"/>
    <x v="75"/>
    <x v="159"/>
    <x v="0"/>
    <x v="2"/>
    <x v="0"/>
  </r>
  <r>
    <x v="30"/>
    <x v="80"/>
    <x v="239"/>
    <x v="6"/>
    <x v="49"/>
    <x v="25"/>
    <x v="29"/>
    <x v="0"/>
    <x v="2"/>
    <x v="0"/>
  </r>
  <r>
    <x v="30"/>
    <x v="98"/>
    <x v="240"/>
    <x v="1"/>
    <x v="98"/>
    <x v="73"/>
    <x v="56"/>
    <x v="0"/>
    <x v="2"/>
    <x v="0"/>
  </r>
  <r>
    <x v="30"/>
    <x v="101"/>
    <x v="241"/>
    <x v="3"/>
    <x v="7"/>
    <x v="5"/>
    <x v="11"/>
    <x v="0"/>
    <x v="2"/>
    <x v="0"/>
  </r>
  <r>
    <x v="30"/>
    <x v="124"/>
    <x v="242"/>
    <x v="3"/>
    <x v="4"/>
    <x v="5"/>
    <x v="7"/>
    <x v="0"/>
    <x v="2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TablaDinámica3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17:I28" firstHeaderRow="1" firstDataRow="2" firstDataCol="1"/>
  <pivotFields count="9">
    <pivotField dataField="1" showAll="0"/>
    <pivotField showAll="0"/>
    <pivotField showAll="0"/>
    <pivotField axis="axisRow" showAll="0"/>
    <pivotField showAll="0"/>
    <pivotField showAll="0"/>
    <pivotField showAll="0"/>
    <pivotField showAll="0"/>
    <pivotField axis="axisCol" showAll="0"/>
  </pivotFields>
  <rowFields count="1">
    <field x="3"/>
  </rowFields>
  <colFields count="1">
    <field x="8"/>
  </colFields>
  <dataFields count="1">
    <dataField fld="0" subtotal="count"/>
  </dataFields>
</pivotTableDefinition>
</file>

<file path=xl/pivotTables/pivotTable2.xml><?xml version="1.0" encoding="utf-8"?>
<pivotTableDefinition xmlns="http://schemas.openxmlformats.org/spreadsheetml/2006/main" name="TablaDinámica2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1:I12" firstHeaderRow="1" firstDataRow="2" firstDataCol="1"/>
  <pivotFields count="9">
    <pivotField showAll="0"/>
    <pivotField showAll="0"/>
    <pivotField showAll="0"/>
    <pivotField axis="axisRow" showAll="0"/>
    <pivotField showAll="0"/>
    <pivotField showAll="0"/>
    <pivotField dataField="1" showAll="0"/>
    <pivotField showAll="0"/>
    <pivotField axis="axisCol" showAll="0"/>
  </pivotFields>
  <rowFields count="1">
    <field x="3"/>
  </rowFields>
  <colFields count="1">
    <field x="8"/>
  </colFields>
  <dataFields count="1">
    <dataField fld="6" subtotal="sum"/>
  </dataFields>
</pivotTableDefinition>
</file>

<file path=xl/pivotTables/pivotTable3.xml><?xml version="1.0" encoding="utf-8"?>
<pivotTableDefinition xmlns="http://schemas.openxmlformats.org/spreadsheetml/2006/main" name="DataPilot1" cacheId="2" applyNumberFormats="0" applyBorderFormats="0" applyFontFormats="0" applyPatternFormats="0" applyAlignmentFormats="0" applyWidthHeightFormats="0" dataCaption="Values" useAutoFormatting="0" itemPrintTitles="1" indent="0" outline="1" outlineData="1">
  <location ref="A3:H36" firstHeaderRow="1" firstDataRow="2" firstDataCol="1" rowPageCount="1" colPageCount="1"/>
  <pivotFields count="10">
    <pivotField axis="axisRow" showAll="0"/>
    <pivotField showAll="0"/>
    <pivotField showAll="0"/>
    <pivotField axis="axisPage" showAll="0"/>
    <pivotField showAll="0"/>
    <pivotField showAll="0"/>
    <pivotField dataField="1" showAll="0"/>
    <pivotField showAll="0"/>
    <pivotField axis="axisCol" showAll="0"/>
    <pivotField showAll="0"/>
  </pivotFields>
  <rowFields count="1">
    <field x="0"/>
  </rowFields>
  <colFields count="1">
    <field x="8"/>
  </colFields>
  <pageFields count="1">
    <pageField fld="3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B3:M64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F39" activeCellId="1" sqref="B36:G36 F39"/>
    </sheetView>
  </sheetViews>
  <sheetFormatPr defaultRowHeight="16.5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1" width="4.14"/>
    <col collapsed="false" customWidth="true" hidden="false" outlineLevel="0" max="3" min="3" style="1" width="21"/>
    <col collapsed="false" customWidth="true" hidden="false" outlineLevel="0" max="4" min="4" style="1" width="35.14"/>
    <col collapsed="false" customWidth="true" hidden="false" outlineLevel="0" max="5" min="5" style="1" width="24.27"/>
    <col collapsed="false" customWidth="true" hidden="false" outlineLevel="0" max="6" min="6" style="1" width="16.14"/>
    <col collapsed="false" customWidth="true" hidden="false" outlineLevel="0" max="7" min="7" style="1" width="19.86"/>
    <col collapsed="false" customWidth="false" hidden="false" outlineLevel="0" max="8" min="8" style="1" width="11.43"/>
    <col collapsed="false" customWidth="true" hidden="false" outlineLevel="0" max="9" min="9" style="1" width="29.87"/>
    <col collapsed="false" customWidth="true" hidden="false" outlineLevel="0" max="10" min="10" style="1" width="14.27"/>
    <col collapsed="false" customWidth="false" hidden="false" outlineLevel="0" max="11" min="11" style="1" width="11.43"/>
    <col collapsed="false" customWidth="true" hidden="false" outlineLevel="0" max="12" min="12" style="1" width="12.14"/>
    <col collapsed="false" customWidth="false" hidden="false" outlineLevel="0" max="1025" min="13" style="1" width="11.43"/>
  </cols>
  <sheetData>
    <row r="3" customFormat="false" ht="16.5" hidden="false" customHeight="false" outlineLevel="0" collapsed="false">
      <c r="J3" s="2"/>
      <c r="K3" s="2"/>
      <c r="L3" s="2"/>
      <c r="M3" s="2"/>
    </row>
    <row r="4" customFormat="false" ht="16.5" hidden="false" customHeight="false" outlineLevel="0" collapsed="false">
      <c r="J4" s="2"/>
      <c r="K4" s="2"/>
      <c r="L4" s="2"/>
      <c r="M4" s="2"/>
    </row>
    <row r="5" customFormat="false" ht="16.5" hidden="false" customHeight="false" outlineLevel="0" collapsed="false">
      <c r="J5" s="2"/>
      <c r="K5" s="2"/>
      <c r="L5" s="2"/>
      <c r="M5" s="2"/>
    </row>
    <row r="6" customFormat="false" ht="16.5" hidden="false" customHeight="false" outlineLevel="0" collapsed="false">
      <c r="J6" s="2"/>
      <c r="K6" s="2"/>
      <c r="L6" s="2"/>
      <c r="M6" s="2"/>
    </row>
    <row r="7" customFormat="false" ht="16.5" hidden="false" customHeight="false" outlineLevel="0" collapsed="false">
      <c r="J7" s="2"/>
      <c r="K7" s="3"/>
      <c r="L7" s="3"/>
      <c r="M7" s="2"/>
    </row>
    <row r="8" customFormat="false" ht="16.5" hidden="false" customHeight="false" outlineLevel="0" collapsed="false">
      <c r="J8" s="2"/>
      <c r="K8" s="3"/>
      <c r="L8" s="3"/>
      <c r="M8" s="2"/>
    </row>
    <row r="9" customFormat="false" ht="16.5" hidden="false" customHeight="false" outlineLevel="0" collapsed="false">
      <c r="B9" s="4" t="s">
        <v>0</v>
      </c>
      <c r="C9" s="4"/>
      <c r="D9" s="4"/>
      <c r="E9" s="4"/>
      <c r="F9" s="4"/>
      <c r="G9" s="4"/>
      <c r="J9" s="2"/>
      <c r="K9" s="3"/>
      <c r="L9" s="3"/>
      <c r="M9" s="2"/>
    </row>
    <row r="10" customFormat="false" ht="16.5" hidden="false" customHeight="false" outlineLevel="0" collapsed="false">
      <c r="B10" s="5"/>
      <c r="C10" s="5"/>
      <c r="D10" s="5"/>
      <c r="E10" s="5"/>
      <c r="F10" s="5"/>
      <c r="G10" s="5"/>
      <c r="J10" s="2"/>
      <c r="K10" s="3"/>
      <c r="L10" s="3"/>
      <c r="M10" s="2"/>
    </row>
    <row r="11" customFormat="false" ht="16.5" hidden="false" customHeight="false" outlineLevel="0" collapsed="false">
      <c r="B11" s="6" t="s">
        <v>1</v>
      </c>
      <c r="C11" s="6"/>
      <c r="D11" s="7" t="n">
        <v>43374</v>
      </c>
      <c r="E11" s="7"/>
      <c r="F11" s="7"/>
      <c r="G11" s="5"/>
      <c r="J11" s="2"/>
      <c r="K11" s="3"/>
      <c r="L11" s="3"/>
      <c r="M11" s="2"/>
    </row>
    <row r="12" customFormat="false" ht="16.5" hidden="false" customHeight="false" outlineLevel="0" collapsed="false">
      <c r="B12" s="6" t="s">
        <v>2</v>
      </c>
      <c r="C12" s="6"/>
      <c r="D12" s="8" t="s">
        <v>3</v>
      </c>
      <c r="E12" s="8"/>
      <c r="F12" s="8"/>
      <c r="G12" s="5"/>
      <c r="J12" s="2"/>
      <c r="K12" s="3"/>
      <c r="L12" s="3"/>
      <c r="M12" s="2"/>
    </row>
    <row r="13" customFormat="false" ht="16.5" hidden="false" customHeight="false" outlineLevel="0" collapsed="false">
      <c r="B13" s="9" t="s">
        <v>4</v>
      </c>
      <c r="C13" s="9"/>
      <c r="D13" s="8" t="s">
        <v>5</v>
      </c>
      <c r="E13" s="8"/>
      <c r="F13" s="8"/>
      <c r="G13" s="5"/>
      <c r="J13" s="2"/>
      <c r="K13" s="3"/>
      <c r="L13" s="3"/>
      <c r="M13" s="2"/>
    </row>
    <row r="14" customFormat="false" ht="16.5" hidden="false" customHeight="false" outlineLevel="0" collapsed="false">
      <c r="B14" s="5"/>
      <c r="C14" s="5"/>
      <c r="D14" s="5"/>
      <c r="E14" s="5"/>
      <c r="F14" s="5"/>
      <c r="G14" s="5"/>
      <c r="J14" s="2"/>
      <c r="K14" s="3"/>
      <c r="L14" s="3"/>
      <c r="M14" s="2"/>
    </row>
    <row r="15" customFormat="false" ht="17.25" hidden="false" customHeight="false" outlineLevel="0" collapsed="false">
      <c r="J15" s="2"/>
      <c r="K15" s="3"/>
      <c r="L15" s="3"/>
      <c r="M15" s="2"/>
    </row>
    <row r="16" customFormat="false" ht="18" hidden="false" customHeight="false" outlineLevel="0" collapsed="false">
      <c r="B16" s="10" t="s">
        <v>6</v>
      </c>
      <c r="C16" s="10"/>
      <c r="D16" s="10"/>
      <c r="E16" s="10"/>
      <c r="F16" s="10"/>
      <c r="G16" s="10"/>
      <c r="J16" s="11"/>
      <c r="K16" s="3"/>
      <c r="L16" s="3"/>
      <c r="M16" s="2"/>
    </row>
    <row r="17" customFormat="false" ht="9" hidden="false" customHeight="true" outlineLevel="0" collapsed="false">
      <c r="B17" s="12"/>
      <c r="C17" s="12"/>
      <c r="D17" s="12"/>
      <c r="E17" s="12"/>
      <c r="F17" s="12"/>
      <c r="G17" s="12"/>
      <c r="J17" s="2"/>
      <c r="K17" s="2"/>
      <c r="L17" s="2"/>
      <c r="M17" s="2"/>
    </row>
    <row r="18" customFormat="false" ht="16.5" hidden="false" customHeight="false" outlineLevel="0" collapsed="false">
      <c r="C18" s="13" t="s">
        <v>7</v>
      </c>
      <c r="D18" s="14" t="s">
        <v>8</v>
      </c>
      <c r="E18" s="14" t="s">
        <v>9</v>
      </c>
      <c r="F18" s="14" t="s">
        <v>10</v>
      </c>
      <c r="G18" s="14" t="s">
        <v>11</v>
      </c>
      <c r="I18" s="2"/>
      <c r="J18" s="2"/>
      <c r="K18" s="2"/>
      <c r="L18" s="2"/>
      <c r="M18" s="2"/>
    </row>
    <row r="19" s="2" customFormat="true" ht="6" hidden="false" customHeight="true" outlineLevel="0" collapsed="false">
      <c r="C19" s="15"/>
      <c r="D19" s="16"/>
      <c r="E19" s="16"/>
      <c r="F19" s="16"/>
      <c r="G19" s="16"/>
    </row>
    <row r="20" customFormat="false" ht="16.5" hidden="false" customHeight="false" outlineLevel="0" collapsed="false">
      <c r="C20" s="17" t="s">
        <v>12</v>
      </c>
      <c r="D20" s="17" t="n">
        <v>1</v>
      </c>
      <c r="E20" s="17" t="s">
        <v>13</v>
      </c>
      <c r="F20" s="18" t="n">
        <f aca="false">GETPIVOTDATA("Carga",RSU!$A$1,"Matrícula","7809JZX","Residuo","RSU")</f>
        <v>24810</v>
      </c>
      <c r="G20" s="19"/>
      <c r="I20" s="3"/>
      <c r="K20" s="11"/>
      <c r="L20" s="2"/>
      <c r="M20" s="2"/>
    </row>
    <row r="21" customFormat="false" ht="16.5" hidden="false" customHeight="false" outlineLevel="0" collapsed="false">
      <c r="C21" s="17" t="s">
        <v>14</v>
      </c>
      <c r="D21" s="17" t="n">
        <v>1</v>
      </c>
      <c r="E21" s="17" t="s">
        <v>15</v>
      </c>
      <c r="F21" s="18" t="n">
        <f aca="false">GETPIVOTDATA("Carga",RSU!$A$1,"Matrícula","6120JZX","Residuo","RSU")</f>
        <v>2340</v>
      </c>
      <c r="G21" s="19"/>
      <c r="I21" s="3"/>
      <c r="K21" s="11"/>
      <c r="M21" s="2"/>
    </row>
    <row r="22" customFormat="false" ht="16.5" hidden="false" customHeight="false" outlineLevel="0" collapsed="false">
      <c r="C22" s="17" t="s">
        <v>16</v>
      </c>
      <c r="D22" s="17" t="s">
        <v>17</v>
      </c>
      <c r="E22" s="17" t="s">
        <v>15</v>
      </c>
      <c r="F22" s="18" t="n">
        <f aca="false">GETPIVOTDATA("Carga",RSU!$A$1,"Matrícula","7542KBV","Residuo","RSU")</f>
        <v>359290</v>
      </c>
      <c r="G22" s="19"/>
      <c r="I22" s="3"/>
      <c r="K22" s="11"/>
      <c r="M22" s="2"/>
    </row>
    <row r="23" customFormat="false" ht="16.5" hidden="false" customHeight="false" outlineLevel="0" collapsed="false">
      <c r="C23" s="17" t="s">
        <v>18</v>
      </c>
      <c r="D23" s="17" t="s">
        <v>17</v>
      </c>
      <c r="E23" s="17" t="s">
        <v>13</v>
      </c>
      <c r="F23" s="18" t="n">
        <f aca="false">GETPIVOTDATA("Carga",RSU!$A$1,"Matrícula","1730KBZ","Residuo","RSU")</f>
        <v>289000</v>
      </c>
      <c r="G23" s="19"/>
      <c r="I23" s="3"/>
      <c r="K23" s="11"/>
      <c r="M23" s="2"/>
    </row>
    <row r="24" customFormat="false" ht="16.5" hidden="false" customHeight="false" outlineLevel="0" collapsed="false">
      <c r="C24" s="17" t="s">
        <v>19</v>
      </c>
      <c r="D24" s="17" t="s">
        <v>17</v>
      </c>
      <c r="E24" s="17" t="s">
        <v>13</v>
      </c>
      <c r="F24" s="18" t="n">
        <f aca="false">GETPIVOTDATA("Carga",RSU!$A$1,"Matrícula","1821KBZ","Residuo","RSU")</f>
        <v>49080</v>
      </c>
      <c r="G24" s="19"/>
      <c r="I24" s="3"/>
      <c r="K24" s="11"/>
      <c r="M24" s="2"/>
    </row>
    <row r="25" customFormat="false" ht="16.5" hidden="false" customHeight="false" outlineLevel="0" collapsed="false">
      <c r="C25" s="17" t="s">
        <v>20</v>
      </c>
      <c r="D25" s="17" t="s">
        <v>17</v>
      </c>
      <c r="E25" s="17" t="s">
        <v>21</v>
      </c>
      <c r="F25" s="18" t="n">
        <f aca="false">GETPIVOTDATA("Carga",RSU!$A$1,"Matrícula","0315BGK","Residuo","RSU")</f>
        <v>2240</v>
      </c>
      <c r="G25" s="19"/>
      <c r="I25" s="3"/>
      <c r="K25" s="11"/>
      <c r="M25" s="2"/>
    </row>
    <row r="26" customFormat="false" ht="16.5" hidden="false" customHeight="false" outlineLevel="0" collapsed="false">
      <c r="C26" s="17" t="s">
        <v>22</v>
      </c>
      <c r="D26" s="17" t="s">
        <v>17</v>
      </c>
      <c r="E26" s="17" t="s">
        <v>23</v>
      </c>
      <c r="F26" s="18" t="n">
        <f aca="false">GETPIVOTDATA("Carga",RSU!$A$1,"Matrícula","3686KBG","Residuo","RSU")</f>
        <v>9360</v>
      </c>
      <c r="G26" s="19"/>
      <c r="I26" s="20" t="n">
        <f aca="false">SUM(F20:F26)</f>
        <v>736120</v>
      </c>
      <c r="K26" s="11"/>
      <c r="M26" s="2"/>
    </row>
    <row r="27" customFormat="false" ht="9" hidden="false" customHeight="true" outlineLevel="0" collapsed="false">
      <c r="I27" s="2"/>
      <c r="M27" s="2"/>
    </row>
    <row r="28" customFormat="false" ht="18" hidden="false" customHeight="false" outlineLevel="0" collapsed="false">
      <c r="B28" s="10" t="s">
        <v>24</v>
      </c>
      <c r="C28" s="10"/>
      <c r="D28" s="10"/>
      <c r="E28" s="10"/>
      <c r="F28" s="10"/>
      <c r="G28" s="10"/>
    </row>
    <row r="29" customFormat="false" ht="7.5" hidden="false" customHeight="true" outlineLevel="0" collapsed="false">
      <c r="B29" s="12"/>
      <c r="C29" s="12"/>
      <c r="D29" s="12"/>
      <c r="E29" s="12"/>
      <c r="F29" s="12"/>
      <c r="G29" s="12"/>
    </row>
    <row r="30" customFormat="false" ht="16.5" hidden="false" customHeight="false" outlineLevel="0" collapsed="false">
      <c r="C30" s="13" t="s">
        <v>7</v>
      </c>
      <c r="D30" s="14" t="s">
        <v>25</v>
      </c>
      <c r="E30" s="14" t="s">
        <v>26</v>
      </c>
      <c r="F30" s="14" t="s">
        <v>10</v>
      </c>
      <c r="G30" s="14" t="s">
        <v>11</v>
      </c>
    </row>
    <row r="31" s="2" customFormat="true" ht="15" hidden="false" customHeight="true" outlineLevel="0" collapsed="false">
      <c r="C31" s="17" t="s">
        <v>20</v>
      </c>
      <c r="D31" s="17" t="n">
        <v>2</v>
      </c>
      <c r="E31" s="17" t="n">
        <f aca="false">GETPIVOTDATA("Fecha",RSU!$A$17,"Matrícula","0315BGK","Residuo","VOL")</f>
        <v>1</v>
      </c>
      <c r="F31" s="18" t="n">
        <f aca="false">GETPIVOTDATA("Carga",RSU!$A$1,"Matrícula","0315BGK","Residuo","VOL")</f>
        <v>5220</v>
      </c>
      <c r="G31" s="19" t="s">
        <v>27</v>
      </c>
    </row>
    <row r="32" s="2" customFormat="true" ht="18" hidden="false" customHeight="true" outlineLevel="0" collapsed="false">
      <c r="C32" s="17" t="s">
        <v>14</v>
      </c>
      <c r="D32" s="17" t="n">
        <v>2</v>
      </c>
      <c r="E32" s="17" t="n">
        <f aca="false">GETPIVOTDATA("Fecha",RSU!$A$17,"Matrícula","6120JZX","Residuo","VOL")</f>
        <v>23</v>
      </c>
      <c r="F32" s="18" t="n">
        <f aca="false">GETPIVOTDATA("Carga",RSU!$A$1,"Matrícula","6120JZX","Residuo","VOL")</f>
        <v>14900</v>
      </c>
      <c r="G32" s="19" t="s">
        <v>27</v>
      </c>
    </row>
    <row r="33" customFormat="false" ht="16.5" hidden="false" customHeight="false" outlineLevel="0" collapsed="false">
      <c r="C33" s="17" t="s">
        <v>22</v>
      </c>
      <c r="D33" s="17" t="n">
        <v>2</v>
      </c>
      <c r="E33" s="17" t="n">
        <f aca="false">GETPIVOTDATA("Fecha",RSU!$A$17,"Matrícula","3686KBG","Residuo","VOL")</f>
        <v>2</v>
      </c>
      <c r="F33" s="18" t="n">
        <f aca="false">GETPIVOTDATA("Carga",RSU!$A$1,"Matrícula","3686KBG","Residuo","VOL")</f>
        <v>480</v>
      </c>
      <c r="G33" s="19" t="s">
        <v>27</v>
      </c>
      <c r="I33" s="20" t="n">
        <f aca="false">SUM(F31:F33)</f>
        <v>20600</v>
      </c>
    </row>
    <row r="34" customFormat="false" ht="9" hidden="false" customHeight="true" outlineLevel="0" collapsed="false">
      <c r="I34" s="20"/>
    </row>
    <row r="35" customFormat="false" ht="18" hidden="false" customHeight="false" outlineLevel="0" collapsed="false">
      <c r="B35" s="10" t="s">
        <v>28</v>
      </c>
      <c r="C35" s="10"/>
      <c r="D35" s="10"/>
      <c r="E35" s="10"/>
      <c r="F35" s="10"/>
      <c r="G35" s="10"/>
      <c r="I35" s="20"/>
    </row>
    <row r="36" customFormat="false" ht="8.25" hidden="false" customHeight="true" outlineLevel="0" collapsed="false">
      <c r="B36" s="12"/>
      <c r="C36" s="12"/>
      <c r="D36" s="12"/>
      <c r="E36" s="12"/>
      <c r="F36" s="12"/>
      <c r="G36" s="12"/>
      <c r="I36" s="20"/>
    </row>
    <row r="37" customFormat="false" ht="16.5" hidden="false" customHeight="false" outlineLevel="0" collapsed="false">
      <c r="C37" s="13" t="s">
        <v>29</v>
      </c>
      <c r="D37" s="14" t="s">
        <v>30</v>
      </c>
      <c r="E37" s="14" t="s">
        <v>26</v>
      </c>
      <c r="F37" s="14" t="s">
        <v>10</v>
      </c>
      <c r="G37" s="14" t="s">
        <v>11</v>
      </c>
      <c r="I37" s="20"/>
    </row>
    <row r="38" customFormat="false" ht="9" hidden="false" customHeight="true" outlineLevel="0" collapsed="false">
      <c r="B38" s="2"/>
      <c r="C38" s="15"/>
      <c r="D38" s="16"/>
      <c r="E38" s="16"/>
      <c r="F38" s="16"/>
      <c r="G38" s="16"/>
      <c r="I38" s="20"/>
    </row>
    <row r="39" customFormat="false" ht="17.25" hidden="false" customHeight="true" outlineLevel="0" collapsed="false">
      <c r="C39" s="21" t="s">
        <v>31</v>
      </c>
      <c r="D39" s="22" t="s">
        <v>20</v>
      </c>
      <c r="E39" s="22" t="n">
        <f aca="false">GETPIVOTDATA("Fecha",RSU!$A$17,"Matrícula","0315BGK","Residuo","SEL.PAP")</f>
        <v>1</v>
      </c>
      <c r="F39" s="23" t="n">
        <f aca="false">GETPIVOTDATA("Carga",RSU!$A$1,"Matrícula","0315BGK","Residuo","SEL.PAP")</f>
        <v>4060</v>
      </c>
      <c r="G39" s="19"/>
      <c r="I39" s="20"/>
    </row>
    <row r="40" customFormat="false" ht="16.5" hidden="true" customHeight="false" outlineLevel="0" collapsed="false">
      <c r="C40" s="21" t="s">
        <v>31</v>
      </c>
      <c r="D40" s="22" t="s">
        <v>18</v>
      </c>
      <c r="E40" s="22" t="e">
        <f aca="false">GETPIVOTDATA("Fecha",#REF!,"Matrícula","1730KBZ","Residuo","SEL.PAP")</f>
        <v>#REF!</v>
      </c>
      <c r="F40" s="23" t="n">
        <v>0</v>
      </c>
      <c r="G40" s="19"/>
      <c r="I40" s="20"/>
    </row>
    <row r="41" customFormat="false" ht="16.5" hidden="false" customHeight="false" outlineLevel="0" collapsed="false">
      <c r="C41" s="21" t="s">
        <v>31</v>
      </c>
      <c r="D41" s="22" t="s">
        <v>19</v>
      </c>
      <c r="E41" s="22" t="n">
        <f aca="false">GETPIVOTDATA("Fecha",RSU!$A$17,"Matrícula","1821KBZ","Residuo","SEL.PAP")</f>
        <v>2</v>
      </c>
      <c r="F41" s="23" t="n">
        <f aca="false">GETPIVOTDATA("Carga",RSU!$A$1,"Matrícula","1821KBZ","Residuo","SEL.PAP")</f>
        <v>3520</v>
      </c>
      <c r="G41" s="19"/>
      <c r="I41" s="20"/>
    </row>
    <row r="42" customFormat="false" ht="16.5" hidden="false" customHeight="false" outlineLevel="0" collapsed="false">
      <c r="C42" s="21" t="s">
        <v>31</v>
      </c>
      <c r="D42" s="22" t="s">
        <v>18</v>
      </c>
      <c r="E42" s="24" t="n">
        <f aca="false">GETPIVOTDATA("Fecha",RSU!$A$17,"Matrícula","1730KBZ","Residuo","SEL.PAP")</f>
        <v>1</v>
      </c>
      <c r="F42" s="23" t="n">
        <f aca="false">GETPIVOTDATA("Carga",RSU!$A$1,"Matrícula","1730KBZ","Residuo","SEL.PAP")</f>
        <v>4980</v>
      </c>
      <c r="G42" s="19"/>
      <c r="I42" s="20"/>
    </row>
    <row r="43" customFormat="false" ht="16.5" hidden="false" customHeight="false" outlineLevel="0" collapsed="false">
      <c r="C43" s="21" t="s">
        <v>32</v>
      </c>
      <c r="D43" s="22" t="s">
        <v>18</v>
      </c>
      <c r="E43" s="24" t="n">
        <f aca="false">GETPIVOTDATA("Fecha",RSU!$A$17,"Matrícula","1730KBZ","Residuo","SEL.ENV")</f>
        <v>2</v>
      </c>
      <c r="F43" s="23" t="n">
        <f aca="false">GETPIVOTDATA("Carga",RSU!$A$1,"Matrícula","1730KBZ","Residuo","SEL.ENV")</f>
        <v>5340</v>
      </c>
      <c r="G43" s="19"/>
      <c r="I43" s="20"/>
    </row>
    <row r="44" customFormat="false" ht="16.5" hidden="false" customHeight="false" outlineLevel="0" collapsed="false">
      <c r="C44" s="21" t="s">
        <v>33</v>
      </c>
      <c r="D44" s="22" t="s">
        <v>20</v>
      </c>
      <c r="E44" s="24" t="n">
        <f aca="false">GETPIVOTDATA("Fecha",RSU!$A$17,"Matrícula","0315BGK","Residuo","PODA")</f>
        <v>4</v>
      </c>
      <c r="F44" s="23" t="n">
        <f aca="false">GETPIVOTDATA("Carga",RSU!$A$1,"Matrícula","0315BGK","Residuo","PODA")</f>
        <v>18780</v>
      </c>
      <c r="G44" s="19"/>
      <c r="I44" s="20"/>
    </row>
    <row r="45" customFormat="false" ht="16.5" hidden="false" customHeight="false" outlineLevel="0" collapsed="false">
      <c r="C45" s="21" t="s">
        <v>34</v>
      </c>
      <c r="D45" s="22" t="s">
        <v>20</v>
      </c>
      <c r="E45" s="24" t="n">
        <f aca="false">GETPIVOTDATA("Fecha",RSU!$A$17,"Matrícula","0315BGK","Residuo","LIMP. PLAY")</f>
        <v>3</v>
      </c>
      <c r="F45" s="23" t="n">
        <f aca="false">GETPIVOTDATA("Carga",RSU!$A$1,"Matrícula","0315BGK","Residuo","LIMP. PLAY")</f>
        <v>32400</v>
      </c>
      <c r="G45" s="19"/>
      <c r="I45" s="20"/>
    </row>
    <row r="46" customFormat="false" ht="16.5" hidden="false" customHeight="false" outlineLevel="0" collapsed="false">
      <c r="C46" s="21" t="s">
        <v>31</v>
      </c>
      <c r="D46" s="22" t="s">
        <v>35</v>
      </c>
      <c r="E46" s="24" t="n">
        <f aca="false">GETPIVOTDATA("Fecha",RSU!$A$17,"Matrícula","7957JZS","Residuo","SEL.PAP")</f>
        <v>1</v>
      </c>
      <c r="F46" s="23" t="n">
        <f aca="false">GETPIVOTDATA("Carga",RSU!$A$1,"Matrícula","7957JZS","Residuo","SEL.PAP")</f>
        <v>740</v>
      </c>
      <c r="G46" s="19"/>
      <c r="I46" s="20" t="n">
        <f aca="false">SUM(F39:F46)</f>
        <v>69820</v>
      </c>
    </row>
    <row r="47" customFormat="false" ht="16.5" hidden="true" customHeight="false" outlineLevel="0" collapsed="false">
      <c r="C47" s="21" t="s">
        <v>33</v>
      </c>
      <c r="D47" s="22" t="s">
        <v>20</v>
      </c>
      <c r="E47" s="24" t="n">
        <f aca="false">GETPIVOTDATA("Fecha",RSU!$A$17,"Matrícula","0315BGK","Residuo","PODA")</f>
        <v>4</v>
      </c>
      <c r="F47" s="23" t="n">
        <f aca="false">GETPIVOTDATA("Carga",RSU!$A$1,"Matrícula","0315BGK","Residuo","PODA")</f>
        <v>18780</v>
      </c>
      <c r="G47" s="19"/>
      <c r="I47" s="20" t="n">
        <f aca="false">SUM(F39:F47)</f>
        <v>88600</v>
      </c>
      <c r="J47" s="20"/>
    </row>
    <row r="48" customFormat="false" ht="16.5" hidden="true" customHeight="false" outlineLevel="0" collapsed="false">
      <c r="C48" s="21" t="s">
        <v>32</v>
      </c>
      <c r="D48" s="22" t="s">
        <v>19</v>
      </c>
      <c r="E48" s="24" t="e">
        <f aca="false">GETPIVOTDATA("Residuo",#REF!,"Matrícula","1821KBZ","Residuo","SEL.ENV")</f>
        <v>#REF!</v>
      </c>
      <c r="F48" s="23" t="e">
        <f aca="false">GETPIVOTDATA("Carga",#REF!,"Matrícula","1821KBZ","Residuo","SEL.ENV")</f>
        <v>#REF!</v>
      </c>
      <c r="G48" s="19"/>
      <c r="J48" s="20"/>
    </row>
    <row r="49" customFormat="false" ht="16.5" hidden="true" customHeight="false" outlineLevel="0" collapsed="false">
      <c r="C49" s="21" t="s">
        <v>31</v>
      </c>
      <c r="D49" s="22" t="s">
        <v>20</v>
      </c>
      <c r="E49" s="24" t="e">
        <f aca="false">GETPIVOTDATA("Residuo",#REF!,"Matrícula","0315BGK","Residuo","SEL.PAP")</f>
        <v>#REF!</v>
      </c>
      <c r="F49" s="23" t="e">
        <f aca="false">GETPIVOTDATA("Carga",#REF!,"Matrícula","0315BGK","Residuo","SEL.PAP")</f>
        <v>#REF!</v>
      </c>
      <c r="G49" s="19"/>
      <c r="I49" s="20" t="e">
        <f aca="false">SUM(F38:F49)</f>
        <v>#REF!</v>
      </c>
      <c r="J49" s="20" t="e">
        <f aca="false">SUM(I26:I49)</f>
        <v>#REF!</v>
      </c>
    </row>
    <row r="50" customFormat="false" ht="17.25" hidden="false" customHeight="false" outlineLevel="0" collapsed="false">
      <c r="I50" s="25" t="n">
        <f aca="false">I26+I33+I46</f>
        <v>826540</v>
      </c>
    </row>
    <row r="51" customFormat="false" ht="18" hidden="false" customHeight="false" outlineLevel="0" collapsed="false">
      <c r="B51" s="10" t="s">
        <v>36</v>
      </c>
      <c r="C51" s="10"/>
      <c r="D51" s="10"/>
      <c r="E51" s="10"/>
      <c r="F51" s="10"/>
      <c r="G51" s="10"/>
    </row>
    <row r="52" customFormat="false" ht="6.75" hidden="false" customHeight="true" outlineLevel="0" collapsed="false">
      <c r="B52" s="12"/>
      <c r="C52" s="12"/>
      <c r="D52" s="12"/>
      <c r="E52" s="12"/>
      <c r="F52" s="12"/>
      <c r="G52" s="12"/>
    </row>
    <row r="53" customFormat="false" ht="16.5" hidden="false" customHeight="false" outlineLevel="0" collapsed="false">
      <c r="C53" s="13" t="s">
        <v>37</v>
      </c>
      <c r="D53" s="13"/>
      <c r="E53" s="13"/>
      <c r="F53" s="13"/>
      <c r="G53" s="13"/>
    </row>
    <row r="54" customFormat="false" ht="16.5" hidden="false" customHeight="false" outlineLevel="0" collapsed="false">
      <c r="D54" s="26" t="s">
        <v>38</v>
      </c>
      <c r="E54" s="26"/>
      <c r="F54" s="26"/>
      <c r="G54" s="26"/>
    </row>
    <row r="55" customFormat="false" ht="16.5" hidden="false" customHeight="false" outlineLevel="0" collapsed="false">
      <c r="D55" s="26" t="s">
        <v>39</v>
      </c>
      <c r="E55" s="26"/>
      <c r="F55" s="26"/>
      <c r="G55" s="26"/>
    </row>
    <row r="56" customFormat="false" ht="16.5" hidden="false" customHeight="false" outlineLevel="0" collapsed="false">
      <c r="D56" s="26" t="s">
        <v>40</v>
      </c>
      <c r="E56" s="26"/>
      <c r="F56" s="26"/>
      <c r="G56" s="26"/>
    </row>
    <row r="57" customFormat="false" ht="7.5" hidden="false" customHeight="true" outlineLevel="0" collapsed="false"/>
    <row r="58" customFormat="false" ht="16.5" hidden="false" customHeight="false" outlineLevel="0" collapsed="false">
      <c r="C58" s="13" t="s">
        <v>41</v>
      </c>
      <c r="D58" s="13"/>
      <c r="E58" s="13"/>
      <c r="F58" s="13"/>
      <c r="G58" s="13"/>
    </row>
    <row r="59" customFormat="false" ht="6.75" hidden="false" customHeight="true" outlineLevel="0" collapsed="false"/>
    <row r="60" customFormat="false" ht="16.5" hidden="false" customHeight="false" outlineLevel="0" collapsed="false">
      <c r="C60" s="14" t="s">
        <v>30</v>
      </c>
      <c r="D60" s="14" t="s">
        <v>42</v>
      </c>
      <c r="E60" s="14" t="s">
        <v>26</v>
      </c>
      <c r="F60" s="13" t="s">
        <v>11</v>
      </c>
      <c r="G60" s="13"/>
    </row>
    <row r="61" customFormat="false" ht="4.5" hidden="false" customHeight="true" outlineLevel="0" collapsed="false">
      <c r="C61" s="16"/>
      <c r="D61" s="16"/>
      <c r="E61" s="16"/>
      <c r="F61" s="15"/>
      <c r="G61" s="15"/>
    </row>
    <row r="62" customFormat="false" ht="16.5" hidden="false" customHeight="false" outlineLevel="0" collapsed="false">
      <c r="C62" s="17" t="s">
        <v>43</v>
      </c>
      <c r="D62" s="19" t="s">
        <v>44</v>
      </c>
      <c r="E62" s="17" t="n">
        <v>4</v>
      </c>
      <c r="F62" s="17"/>
      <c r="G62" s="17"/>
    </row>
    <row r="63" customFormat="false" ht="16.5" hidden="false" customHeight="false" outlineLevel="0" collapsed="false">
      <c r="C63" s="22" t="s">
        <v>45</v>
      </c>
      <c r="D63" s="27" t="s">
        <v>46</v>
      </c>
      <c r="E63" s="22" t="n">
        <v>4</v>
      </c>
      <c r="F63" s="28"/>
      <c r="G63" s="28"/>
    </row>
    <row r="64" customFormat="false" ht="16.5" hidden="true" customHeight="false" outlineLevel="0" collapsed="false">
      <c r="C64" s="17" t="s">
        <v>47</v>
      </c>
      <c r="D64" s="19" t="s">
        <v>48</v>
      </c>
      <c r="E64" s="17" t="n">
        <v>4</v>
      </c>
      <c r="F64" s="17"/>
      <c r="G64" s="17"/>
    </row>
  </sheetData>
  <mergeCells count="19">
    <mergeCell ref="B9:G9"/>
    <mergeCell ref="B11:C11"/>
    <mergeCell ref="D11:F11"/>
    <mergeCell ref="B12:C12"/>
    <mergeCell ref="D12:F12"/>
    <mergeCell ref="D13:F13"/>
    <mergeCell ref="B16:G16"/>
    <mergeCell ref="B28:G28"/>
    <mergeCell ref="B35:G35"/>
    <mergeCell ref="B51:G51"/>
    <mergeCell ref="C53:G53"/>
    <mergeCell ref="D54:G54"/>
    <mergeCell ref="D55:G55"/>
    <mergeCell ref="D56:G56"/>
    <mergeCell ref="C58:G58"/>
    <mergeCell ref="F60:G60"/>
    <mergeCell ref="F62:G62"/>
    <mergeCell ref="F63:G63"/>
    <mergeCell ref="F64:G64"/>
  </mergeCells>
  <printOptions headings="false" gridLines="false" gridLinesSet="true" horizontalCentered="false" verticalCentered="false"/>
  <pageMargins left="0.209722222222222" right="0.220138888888889" top="0.359722222222222" bottom="0.37986111111111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36:G36 A1"/>
    </sheetView>
  </sheetViews>
  <sheetFormatPr defaultRowHeight="15" zeroHeight="false" outlineLevelRow="0" outlineLevelCol="0"/>
  <cols>
    <col collapsed="false" customWidth="true" hidden="false" outlineLevel="0" max="1" min="1" style="0" width="11.14"/>
    <col collapsed="false" customWidth="true" hidden="false" outlineLevel="0" max="2" min="2" style="0" width="17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4.57"/>
    <col collapsed="false" customWidth="true" hidden="false" outlineLevel="0" max="6" min="6" style="0" width="9.71"/>
    <col collapsed="false" customWidth="true" hidden="false" outlineLevel="0" max="7" min="7" style="0" width="11"/>
    <col collapsed="false" customWidth="true" hidden="false" outlineLevel="0" max="8" min="8" style="0" width="14.71"/>
    <col collapsed="false" customWidth="true" hidden="false" outlineLevel="0" max="9" min="9" style="0" width="12.87"/>
    <col collapsed="false" customWidth="true" hidden="false" outlineLevel="0" max="1025" min="10" style="0" width="10.61"/>
  </cols>
  <sheetData>
    <row r="1" customFormat="false" ht="15" hidden="false" customHeight="false" outlineLevel="0" collapsed="false">
      <c r="A1" s="29" t="s">
        <v>1</v>
      </c>
      <c r="B1" s="30" t="s">
        <v>49</v>
      </c>
      <c r="C1" s="31" t="s">
        <v>50</v>
      </c>
      <c r="D1" s="32" t="s">
        <v>51</v>
      </c>
      <c r="E1" s="31" t="s">
        <v>52</v>
      </c>
      <c r="F1" s="31" t="s">
        <v>53</v>
      </c>
      <c r="G1" s="31" t="s">
        <v>54</v>
      </c>
      <c r="H1" s="31" t="s">
        <v>55</v>
      </c>
      <c r="I1" s="31" t="s">
        <v>56</v>
      </c>
      <c r="J1" s="33" t="s">
        <v>57</v>
      </c>
    </row>
    <row r="2" customFormat="false" ht="15" hidden="false" customHeight="false" outlineLevel="0" collapsed="false">
      <c r="A2" s="34" t="n">
        <v>43374</v>
      </c>
      <c r="B2" s="35" t="n">
        <v>0.0583333333333333</v>
      </c>
      <c r="C2" s="36" t="n">
        <v>97772</v>
      </c>
      <c r="D2" s="36" t="s">
        <v>16</v>
      </c>
      <c r="E2" s="36" t="n">
        <v>20840</v>
      </c>
      <c r="F2" s="36" t="n">
        <v>13040</v>
      </c>
      <c r="G2" s="37" t="n">
        <v>7800</v>
      </c>
      <c r="H2" s="36" t="s">
        <v>58</v>
      </c>
      <c r="I2" s="36" t="s">
        <v>59</v>
      </c>
      <c r="J2" s="0" t="s">
        <v>60</v>
      </c>
    </row>
    <row r="3" customFormat="false" ht="15" hidden="false" customHeight="false" outlineLevel="0" collapsed="false">
      <c r="A3" s="34" t="n">
        <v>43374</v>
      </c>
      <c r="B3" s="35" t="n">
        <v>0.150694444444444</v>
      </c>
      <c r="C3" s="36" t="n">
        <v>97777</v>
      </c>
      <c r="D3" s="36" t="s">
        <v>16</v>
      </c>
      <c r="E3" s="36" t="n">
        <v>18380</v>
      </c>
      <c r="F3" s="36" t="n">
        <v>12820</v>
      </c>
      <c r="G3" s="37" t="n">
        <v>5560</v>
      </c>
      <c r="H3" s="36" t="s">
        <v>58</v>
      </c>
      <c r="I3" s="36" t="s">
        <v>59</v>
      </c>
      <c r="J3" s="0" t="s">
        <v>60</v>
      </c>
    </row>
    <row r="4" customFormat="false" ht="15" hidden="false" customHeight="false" outlineLevel="0" collapsed="false">
      <c r="A4" s="34" t="n">
        <v>43374</v>
      </c>
      <c r="B4" s="35" t="n">
        <v>0.24375</v>
      </c>
      <c r="C4" s="36" t="n">
        <v>97785</v>
      </c>
      <c r="D4" s="36" t="s">
        <v>12</v>
      </c>
      <c r="E4" s="36" t="n">
        <v>4660</v>
      </c>
      <c r="F4" s="36" t="n">
        <v>3580</v>
      </c>
      <c r="G4" s="37" t="n">
        <v>1080</v>
      </c>
      <c r="H4" s="36" t="s">
        <v>58</v>
      </c>
      <c r="I4" s="36" t="s">
        <v>59</v>
      </c>
      <c r="J4" s="0" t="s">
        <v>60</v>
      </c>
    </row>
    <row r="5" customFormat="false" ht="15" hidden="false" customHeight="false" outlineLevel="0" collapsed="false">
      <c r="A5" s="34" t="n">
        <v>43374</v>
      </c>
      <c r="B5" s="35" t="n">
        <v>0.247916666666667</v>
      </c>
      <c r="C5" s="36" t="n">
        <v>97786</v>
      </c>
      <c r="D5" s="36" t="s">
        <v>19</v>
      </c>
      <c r="E5" s="36" t="n">
        <v>24340</v>
      </c>
      <c r="F5" s="36" t="n">
        <v>15920</v>
      </c>
      <c r="G5" s="37" t="n">
        <v>8420</v>
      </c>
      <c r="H5" s="36" t="s">
        <v>58</v>
      </c>
      <c r="I5" s="36" t="s">
        <v>59</v>
      </c>
      <c r="J5" s="0" t="s">
        <v>60</v>
      </c>
    </row>
    <row r="6" customFormat="false" ht="15" hidden="false" customHeight="false" outlineLevel="0" collapsed="false">
      <c r="A6" s="34" t="n">
        <v>43374</v>
      </c>
      <c r="B6" s="35" t="n">
        <v>0.450694444444444</v>
      </c>
      <c r="C6" s="36" t="n">
        <v>97798</v>
      </c>
      <c r="D6" s="36" t="s">
        <v>22</v>
      </c>
      <c r="E6" s="36" t="n">
        <v>2580</v>
      </c>
      <c r="F6" s="36" t="n">
        <v>2380</v>
      </c>
      <c r="G6" s="37" t="n">
        <v>200</v>
      </c>
      <c r="H6" s="36" t="s">
        <v>58</v>
      </c>
      <c r="I6" s="36" t="s">
        <v>59</v>
      </c>
      <c r="J6" s="0" t="s">
        <v>60</v>
      </c>
    </row>
    <row r="7" customFormat="false" ht="15" hidden="false" customHeight="false" outlineLevel="0" collapsed="false">
      <c r="A7" s="34" t="n">
        <v>43374</v>
      </c>
      <c r="B7" s="35" t="n">
        <v>0.516666666666667</v>
      </c>
      <c r="C7" s="36" t="n">
        <v>97802</v>
      </c>
      <c r="D7" s="36" t="s">
        <v>18</v>
      </c>
      <c r="E7" s="36" t="n">
        <v>17400</v>
      </c>
      <c r="F7" s="36" t="n">
        <v>15700</v>
      </c>
      <c r="G7" s="37" t="n">
        <v>1700</v>
      </c>
      <c r="H7" s="36" t="s">
        <v>58</v>
      </c>
      <c r="I7" s="36" t="s">
        <v>59</v>
      </c>
      <c r="J7" s="0" t="s">
        <v>60</v>
      </c>
    </row>
    <row r="8" customFormat="false" ht="15" hidden="false" customHeight="false" outlineLevel="0" collapsed="false">
      <c r="A8" s="34" t="n">
        <v>43374</v>
      </c>
      <c r="B8" s="35" t="n">
        <v>0.685416666666667</v>
      </c>
      <c r="C8" s="36" t="n">
        <v>97813</v>
      </c>
      <c r="D8" s="36" t="s">
        <v>16</v>
      </c>
      <c r="E8" s="36" t="n">
        <v>15080</v>
      </c>
      <c r="F8" s="36" t="n">
        <v>12900</v>
      </c>
      <c r="G8" s="37" t="n">
        <v>2180</v>
      </c>
      <c r="H8" s="36" t="s">
        <v>58</v>
      </c>
      <c r="I8" s="36" t="s">
        <v>59</v>
      </c>
      <c r="J8" s="0" t="s">
        <v>60</v>
      </c>
    </row>
    <row r="9" customFormat="false" ht="15" hidden="false" customHeight="false" outlineLevel="0" collapsed="false">
      <c r="A9" s="34" t="n">
        <v>43374</v>
      </c>
      <c r="B9" s="35" t="n">
        <v>0.879861111111111</v>
      </c>
      <c r="C9" s="36" t="n">
        <v>97819</v>
      </c>
      <c r="D9" s="36" t="s">
        <v>18</v>
      </c>
      <c r="E9" s="36" t="n">
        <v>20900</v>
      </c>
      <c r="F9" s="36" t="n">
        <v>15780</v>
      </c>
      <c r="G9" s="37" t="n">
        <v>5120</v>
      </c>
      <c r="H9" s="36" t="s">
        <v>58</v>
      </c>
      <c r="I9" s="36" t="s">
        <v>59</v>
      </c>
      <c r="J9" s="0" t="s">
        <v>60</v>
      </c>
    </row>
    <row r="10" customFormat="false" ht="15" hidden="false" customHeight="false" outlineLevel="0" collapsed="false">
      <c r="A10" s="34" t="n">
        <v>43375</v>
      </c>
      <c r="B10" s="35" t="n">
        <v>0.468055555555555</v>
      </c>
      <c r="C10" s="36" t="n">
        <v>78287</v>
      </c>
      <c r="D10" s="36" t="s">
        <v>19</v>
      </c>
      <c r="E10" s="36" t="n">
        <v>17680</v>
      </c>
      <c r="F10" s="36" t="n">
        <v>15720</v>
      </c>
      <c r="G10" s="37" t="n">
        <v>1960</v>
      </c>
      <c r="H10" s="36" t="s">
        <v>58</v>
      </c>
      <c r="I10" s="36" t="s">
        <v>61</v>
      </c>
      <c r="J10" s="0" t="s">
        <v>60</v>
      </c>
    </row>
    <row r="11" customFormat="false" ht="15" hidden="false" customHeight="false" outlineLevel="0" collapsed="false">
      <c r="A11" s="34" t="n">
        <v>43375</v>
      </c>
      <c r="B11" s="35" t="n">
        <v>0.0520833333333333</v>
      </c>
      <c r="C11" s="36" t="n">
        <v>97820</v>
      </c>
      <c r="D11" s="36" t="s">
        <v>16</v>
      </c>
      <c r="E11" s="36" t="n">
        <v>20100</v>
      </c>
      <c r="F11" s="36" t="n">
        <v>12980</v>
      </c>
      <c r="G11" s="37" t="n">
        <v>7120</v>
      </c>
      <c r="H11" s="36" t="s">
        <v>58</v>
      </c>
      <c r="I11" s="36" t="s">
        <v>59</v>
      </c>
      <c r="J11" s="0" t="s">
        <v>60</v>
      </c>
    </row>
    <row r="12" customFormat="false" ht="15" hidden="false" customHeight="false" outlineLevel="0" collapsed="false">
      <c r="A12" s="34" t="n">
        <v>43375</v>
      </c>
      <c r="B12" s="35" t="n">
        <v>0.216666666666667</v>
      </c>
      <c r="C12" s="36" t="n">
        <v>97827</v>
      </c>
      <c r="D12" s="36" t="s">
        <v>12</v>
      </c>
      <c r="E12" s="36" t="n">
        <v>4480</v>
      </c>
      <c r="F12" s="36" t="n">
        <v>3720</v>
      </c>
      <c r="G12" s="37" t="n">
        <v>760</v>
      </c>
      <c r="H12" s="36" t="s">
        <v>58</v>
      </c>
      <c r="I12" s="36" t="s">
        <v>59</v>
      </c>
      <c r="J12" s="0" t="s">
        <v>60</v>
      </c>
    </row>
    <row r="13" customFormat="false" ht="15" hidden="false" customHeight="false" outlineLevel="0" collapsed="false">
      <c r="A13" s="34" t="n">
        <v>43375</v>
      </c>
      <c r="B13" s="35" t="n">
        <v>0.238888888888889</v>
      </c>
      <c r="C13" s="36" t="n">
        <v>97829</v>
      </c>
      <c r="D13" s="36" t="s">
        <v>16</v>
      </c>
      <c r="E13" s="36" t="n">
        <v>17020</v>
      </c>
      <c r="F13" s="36" t="n">
        <v>12800</v>
      </c>
      <c r="G13" s="37" t="n">
        <v>4220</v>
      </c>
      <c r="H13" s="36" t="s">
        <v>58</v>
      </c>
      <c r="I13" s="36" t="s">
        <v>59</v>
      </c>
      <c r="J13" s="0" t="s">
        <v>60</v>
      </c>
    </row>
    <row r="14" customFormat="false" ht="15" hidden="false" customHeight="false" outlineLevel="0" collapsed="false">
      <c r="A14" s="34" t="n">
        <v>43375</v>
      </c>
      <c r="B14" s="35" t="n">
        <v>0.249305555555556</v>
      </c>
      <c r="C14" s="36" t="n">
        <v>97832</v>
      </c>
      <c r="D14" s="36" t="s">
        <v>18</v>
      </c>
      <c r="E14" s="36" t="n">
        <v>22280</v>
      </c>
      <c r="F14" s="36" t="n">
        <v>15600</v>
      </c>
      <c r="G14" s="37" t="n">
        <v>6680</v>
      </c>
      <c r="H14" s="36" t="s">
        <v>58</v>
      </c>
      <c r="I14" s="36" t="s">
        <v>59</v>
      </c>
      <c r="J14" s="0" t="s">
        <v>60</v>
      </c>
    </row>
    <row r="15" customFormat="false" ht="15" hidden="false" customHeight="false" outlineLevel="0" collapsed="false">
      <c r="A15" s="34" t="n">
        <v>43375</v>
      </c>
      <c r="B15" s="35" t="n">
        <v>0.449305555555556</v>
      </c>
      <c r="C15" s="36" t="n">
        <v>97850</v>
      </c>
      <c r="D15" s="36" t="s">
        <v>22</v>
      </c>
      <c r="E15" s="36" t="n">
        <v>2560</v>
      </c>
      <c r="F15" s="36" t="n">
        <v>2380</v>
      </c>
      <c r="G15" s="37" t="n">
        <v>180</v>
      </c>
      <c r="H15" s="36" t="s">
        <v>58</v>
      </c>
      <c r="I15" s="36" t="s">
        <v>59</v>
      </c>
      <c r="J15" s="0" t="s">
        <v>60</v>
      </c>
    </row>
    <row r="16" customFormat="false" ht="15" hidden="false" customHeight="false" outlineLevel="0" collapsed="false">
      <c r="A16" s="34" t="n">
        <v>43375</v>
      </c>
      <c r="B16" s="35" t="n">
        <v>0.497916666666667</v>
      </c>
      <c r="C16" s="36" t="n">
        <v>97855</v>
      </c>
      <c r="D16" s="36" t="s">
        <v>14</v>
      </c>
      <c r="E16" s="36" t="n">
        <v>3200</v>
      </c>
      <c r="F16" s="36" t="n">
        <v>2860</v>
      </c>
      <c r="G16" s="37" t="n">
        <v>340</v>
      </c>
      <c r="H16" s="36" t="s">
        <v>58</v>
      </c>
      <c r="I16" s="36" t="s">
        <v>62</v>
      </c>
      <c r="J16" s="0" t="s">
        <v>60</v>
      </c>
    </row>
    <row r="17" customFormat="false" ht="15" hidden="false" customHeight="false" outlineLevel="0" collapsed="false">
      <c r="A17" s="34" t="n">
        <v>43375</v>
      </c>
      <c r="B17" s="35" t="n">
        <v>0.6875</v>
      </c>
      <c r="C17" s="36" t="n">
        <v>97867</v>
      </c>
      <c r="D17" s="36" t="s">
        <v>16</v>
      </c>
      <c r="E17" s="36" t="n">
        <v>14240</v>
      </c>
      <c r="F17" s="36" t="n">
        <v>13020</v>
      </c>
      <c r="G17" s="37" t="n">
        <v>1220</v>
      </c>
      <c r="H17" s="36" t="s">
        <v>58</v>
      </c>
      <c r="I17" s="36" t="s">
        <v>59</v>
      </c>
      <c r="J17" s="0" t="s">
        <v>60</v>
      </c>
    </row>
    <row r="18" customFormat="false" ht="15" hidden="false" customHeight="false" outlineLevel="0" collapsed="false">
      <c r="A18" s="34" t="n">
        <v>43375</v>
      </c>
      <c r="B18" s="35" t="n">
        <v>0.876388888888889</v>
      </c>
      <c r="C18" s="36" t="n">
        <v>97871</v>
      </c>
      <c r="D18" s="36" t="s">
        <v>18</v>
      </c>
      <c r="E18" s="36" t="n">
        <v>19700</v>
      </c>
      <c r="F18" s="36" t="n">
        <v>15780</v>
      </c>
      <c r="G18" s="37" t="n">
        <v>3920</v>
      </c>
      <c r="H18" s="36" t="s">
        <v>58</v>
      </c>
      <c r="I18" s="36" t="s">
        <v>59</v>
      </c>
      <c r="J18" s="0" t="s">
        <v>60</v>
      </c>
    </row>
    <row r="19" customFormat="false" ht="15" hidden="false" customHeight="false" outlineLevel="0" collapsed="false">
      <c r="A19" s="34" t="n">
        <v>43376</v>
      </c>
      <c r="B19" s="35" t="n">
        <v>0.534722222222222</v>
      </c>
      <c r="C19" s="36" t="n">
        <v>37167</v>
      </c>
      <c r="D19" s="36" t="s">
        <v>18</v>
      </c>
      <c r="E19" s="36" t="n">
        <v>17040</v>
      </c>
      <c r="F19" s="36" t="n">
        <v>15640</v>
      </c>
      <c r="G19" s="37" t="n">
        <v>1400</v>
      </c>
      <c r="H19" s="36" t="s">
        <v>58</v>
      </c>
      <c r="I19" s="36" t="s">
        <v>63</v>
      </c>
      <c r="J19" s="0" t="s">
        <v>60</v>
      </c>
    </row>
    <row r="20" customFormat="false" ht="15" hidden="false" customHeight="false" outlineLevel="0" collapsed="false">
      <c r="A20" s="34" t="n">
        <v>43376</v>
      </c>
      <c r="B20" s="35" t="n">
        <v>0.0673611111111111</v>
      </c>
      <c r="C20" s="36" t="n">
        <v>97872</v>
      </c>
      <c r="D20" s="36" t="s">
        <v>16</v>
      </c>
      <c r="E20" s="36" t="n">
        <v>19680</v>
      </c>
      <c r="F20" s="36" t="n">
        <v>13140</v>
      </c>
      <c r="G20" s="37" t="n">
        <v>6540</v>
      </c>
      <c r="H20" s="36" t="s">
        <v>58</v>
      </c>
      <c r="I20" s="36" t="s">
        <v>59</v>
      </c>
      <c r="J20" s="0" t="s">
        <v>60</v>
      </c>
    </row>
    <row r="21" customFormat="false" ht="15" hidden="false" customHeight="false" outlineLevel="0" collapsed="false">
      <c r="A21" s="34" t="n">
        <v>43376</v>
      </c>
      <c r="B21" s="35" t="n">
        <v>0.218055555555556</v>
      </c>
      <c r="C21" s="36" t="n">
        <v>97879</v>
      </c>
      <c r="D21" s="36" t="s">
        <v>12</v>
      </c>
      <c r="E21" s="36" t="n">
        <v>4320</v>
      </c>
      <c r="F21" s="36" t="n">
        <v>3660</v>
      </c>
      <c r="G21" s="37" t="n">
        <v>660</v>
      </c>
      <c r="H21" s="36" t="s">
        <v>58</v>
      </c>
      <c r="I21" s="36" t="s">
        <v>59</v>
      </c>
      <c r="J21" s="0" t="s">
        <v>60</v>
      </c>
    </row>
    <row r="22" customFormat="false" ht="15" hidden="false" customHeight="false" outlineLevel="0" collapsed="false">
      <c r="A22" s="34" t="n">
        <v>43376</v>
      </c>
      <c r="B22" s="35" t="n">
        <v>0.227083333333333</v>
      </c>
      <c r="C22" s="36" t="n">
        <v>97880</v>
      </c>
      <c r="D22" s="36" t="s">
        <v>16</v>
      </c>
      <c r="E22" s="36" t="n">
        <v>17600</v>
      </c>
      <c r="F22" s="36" t="n">
        <v>12960</v>
      </c>
      <c r="G22" s="37" t="n">
        <v>4640</v>
      </c>
      <c r="H22" s="36" t="s">
        <v>58</v>
      </c>
      <c r="I22" s="36" t="s">
        <v>59</v>
      </c>
      <c r="J22" s="0" t="s">
        <v>60</v>
      </c>
    </row>
    <row r="23" customFormat="false" ht="15" hidden="false" customHeight="false" outlineLevel="0" collapsed="false">
      <c r="A23" s="34" t="n">
        <v>43376</v>
      </c>
      <c r="B23" s="35" t="n">
        <v>0.231944444444444</v>
      </c>
      <c r="C23" s="36" t="n">
        <v>97882</v>
      </c>
      <c r="D23" s="36" t="s">
        <v>18</v>
      </c>
      <c r="E23" s="36" t="n">
        <v>22940</v>
      </c>
      <c r="F23" s="36" t="n">
        <v>15740</v>
      </c>
      <c r="G23" s="37" t="n">
        <v>7200</v>
      </c>
      <c r="H23" s="36" t="s">
        <v>58</v>
      </c>
      <c r="I23" s="36" t="s">
        <v>59</v>
      </c>
      <c r="J23" s="0" t="s">
        <v>60</v>
      </c>
    </row>
    <row r="24" customFormat="false" ht="15" hidden="false" customHeight="false" outlineLevel="0" collapsed="false">
      <c r="A24" s="34" t="n">
        <v>43376</v>
      </c>
      <c r="B24" s="35" t="n">
        <v>0.33125</v>
      </c>
      <c r="C24" s="36" t="n">
        <v>97889</v>
      </c>
      <c r="D24" s="36" t="s">
        <v>14</v>
      </c>
      <c r="E24" s="36" t="n">
        <v>3240</v>
      </c>
      <c r="F24" s="36" t="n">
        <v>2840</v>
      </c>
      <c r="G24" s="37" t="n">
        <v>400</v>
      </c>
      <c r="H24" s="36" t="s">
        <v>58</v>
      </c>
      <c r="I24" s="36" t="s">
        <v>62</v>
      </c>
      <c r="J24" s="0" t="s">
        <v>60</v>
      </c>
    </row>
    <row r="25" customFormat="false" ht="15" hidden="false" customHeight="false" outlineLevel="0" collapsed="false">
      <c r="A25" s="34" t="n">
        <v>43376</v>
      </c>
      <c r="B25" s="35" t="n">
        <v>0.449305555555556</v>
      </c>
      <c r="C25" s="36" t="n">
        <v>97897</v>
      </c>
      <c r="D25" s="36" t="s">
        <v>22</v>
      </c>
      <c r="E25" s="36" t="n">
        <v>2560</v>
      </c>
      <c r="F25" s="36" t="n">
        <v>2360</v>
      </c>
      <c r="G25" s="37" t="n">
        <v>200</v>
      </c>
      <c r="H25" s="36" t="s">
        <v>58</v>
      </c>
      <c r="I25" s="36" t="s">
        <v>59</v>
      </c>
      <c r="J25" s="0" t="s">
        <v>60</v>
      </c>
    </row>
    <row r="26" customFormat="false" ht="15" hidden="false" customHeight="false" outlineLevel="0" collapsed="false">
      <c r="A26" s="34" t="n">
        <v>43376</v>
      </c>
      <c r="B26" s="35" t="n">
        <v>0.524305555555556</v>
      </c>
      <c r="C26" s="36" t="n">
        <v>97907</v>
      </c>
      <c r="D26" s="36" t="s">
        <v>14</v>
      </c>
      <c r="E26" s="36" t="n">
        <v>3340</v>
      </c>
      <c r="F26" s="36" t="n">
        <v>2840</v>
      </c>
      <c r="G26" s="37" t="n">
        <v>500</v>
      </c>
      <c r="H26" s="36" t="s">
        <v>58</v>
      </c>
      <c r="I26" s="36" t="s">
        <v>62</v>
      </c>
      <c r="J26" s="0" t="s">
        <v>60</v>
      </c>
    </row>
    <row r="27" customFormat="false" ht="15" hidden="false" customHeight="false" outlineLevel="0" collapsed="false">
      <c r="A27" s="34" t="n">
        <v>43376</v>
      </c>
      <c r="B27" s="35" t="n">
        <v>0.690277777777778</v>
      </c>
      <c r="C27" s="36" t="n">
        <v>97917</v>
      </c>
      <c r="D27" s="36" t="s">
        <v>16</v>
      </c>
      <c r="E27" s="36" t="n">
        <v>14280</v>
      </c>
      <c r="F27" s="36" t="n">
        <v>12960</v>
      </c>
      <c r="G27" s="37" t="n">
        <v>1320</v>
      </c>
      <c r="H27" s="36" t="s">
        <v>58</v>
      </c>
      <c r="I27" s="36" t="s">
        <v>59</v>
      </c>
      <c r="J27" s="0" t="s">
        <v>60</v>
      </c>
    </row>
    <row r="28" customFormat="false" ht="15" hidden="false" customHeight="false" outlineLevel="0" collapsed="false">
      <c r="A28" s="34" t="n">
        <v>43376</v>
      </c>
      <c r="B28" s="35" t="n">
        <v>0.872916666666667</v>
      </c>
      <c r="C28" s="36" t="n">
        <v>97924</v>
      </c>
      <c r="D28" s="36" t="s">
        <v>18</v>
      </c>
      <c r="E28" s="36" t="n">
        <v>20160</v>
      </c>
      <c r="F28" s="36" t="n">
        <v>15740</v>
      </c>
      <c r="G28" s="37" t="n">
        <v>4420</v>
      </c>
      <c r="H28" s="36" t="s">
        <v>58</v>
      </c>
      <c r="I28" s="36" t="s">
        <v>59</v>
      </c>
      <c r="J28" s="0" t="s">
        <v>60</v>
      </c>
    </row>
    <row r="29" customFormat="false" ht="15" hidden="false" customHeight="false" outlineLevel="0" collapsed="false">
      <c r="A29" s="34" t="n">
        <v>43377</v>
      </c>
      <c r="B29" s="35" t="n">
        <v>0.0694444444444444</v>
      </c>
      <c r="C29" s="36" t="n">
        <v>97925</v>
      </c>
      <c r="D29" s="36" t="s">
        <v>16</v>
      </c>
      <c r="E29" s="36" t="n">
        <v>19160</v>
      </c>
      <c r="F29" s="36" t="n">
        <v>13080</v>
      </c>
      <c r="G29" s="37" t="n">
        <v>6080</v>
      </c>
      <c r="H29" s="36" t="s">
        <v>58</v>
      </c>
      <c r="I29" s="36" t="s">
        <v>59</v>
      </c>
      <c r="J29" s="0" t="s">
        <v>60</v>
      </c>
    </row>
    <row r="30" customFormat="false" ht="15" hidden="false" customHeight="false" outlineLevel="0" collapsed="false">
      <c r="A30" s="34" t="n">
        <v>43377</v>
      </c>
      <c r="B30" s="35" t="n">
        <v>0.156944444444444</v>
      </c>
      <c r="C30" s="36" t="n">
        <v>97931</v>
      </c>
      <c r="D30" s="36" t="s">
        <v>16</v>
      </c>
      <c r="E30" s="36" t="n">
        <v>16780</v>
      </c>
      <c r="F30" s="36" t="n">
        <v>12880</v>
      </c>
      <c r="G30" s="37" t="n">
        <v>3900</v>
      </c>
      <c r="H30" s="36" t="s">
        <v>58</v>
      </c>
      <c r="I30" s="36" t="s">
        <v>59</v>
      </c>
      <c r="J30" s="0" t="s">
        <v>60</v>
      </c>
    </row>
    <row r="31" customFormat="false" ht="15" hidden="false" customHeight="false" outlineLevel="0" collapsed="false">
      <c r="A31" s="34" t="n">
        <v>43377</v>
      </c>
      <c r="B31" s="35" t="n">
        <v>0.169444444444444</v>
      </c>
      <c r="C31" s="36" t="n">
        <v>97932</v>
      </c>
      <c r="D31" s="36" t="s">
        <v>18</v>
      </c>
      <c r="E31" s="36" t="n">
        <v>21720</v>
      </c>
      <c r="F31" s="36" t="n">
        <v>15680</v>
      </c>
      <c r="G31" s="37" t="n">
        <v>6040</v>
      </c>
      <c r="H31" s="36" t="s">
        <v>58</v>
      </c>
      <c r="I31" s="36" t="s">
        <v>59</v>
      </c>
      <c r="J31" s="0" t="s">
        <v>60</v>
      </c>
    </row>
    <row r="32" customFormat="false" ht="15" hidden="false" customHeight="false" outlineLevel="0" collapsed="false">
      <c r="A32" s="34" t="n">
        <v>43377</v>
      </c>
      <c r="B32" s="35" t="n">
        <v>0.242361111111111</v>
      </c>
      <c r="C32" s="36" t="n">
        <v>97935</v>
      </c>
      <c r="D32" s="36" t="s">
        <v>12</v>
      </c>
      <c r="E32" s="36" t="n">
        <v>4240</v>
      </c>
      <c r="F32" s="36" t="n">
        <v>3560</v>
      </c>
      <c r="G32" s="37" t="n">
        <v>680</v>
      </c>
      <c r="H32" s="36" t="s">
        <v>58</v>
      </c>
      <c r="I32" s="36" t="s">
        <v>59</v>
      </c>
      <c r="J32" s="0" t="s">
        <v>60</v>
      </c>
    </row>
    <row r="33" customFormat="false" ht="15" hidden="false" customHeight="false" outlineLevel="0" collapsed="false">
      <c r="A33" s="34" t="n">
        <v>43377</v>
      </c>
      <c r="B33" s="35" t="n">
        <v>0.342361111111111</v>
      </c>
      <c r="C33" s="36" t="n">
        <v>97943</v>
      </c>
      <c r="D33" s="36" t="s">
        <v>14</v>
      </c>
      <c r="E33" s="36" t="n">
        <v>2880</v>
      </c>
      <c r="F33" s="36" t="n">
        <v>2840</v>
      </c>
      <c r="G33" s="37" t="n">
        <v>40</v>
      </c>
      <c r="H33" s="36" t="s">
        <v>58</v>
      </c>
      <c r="I33" s="36" t="s">
        <v>59</v>
      </c>
      <c r="J33" s="0" t="s">
        <v>60</v>
      </c>
    </row>
    <row r="34" customFormat="false" ht="15" hidden="false" customHeight="false" outlineLevel="0" collapsed="false">
      <c r="A34" s="34" t="n">
        <v>43377</v>
      </c>
      <c r="B34" s="35" t="n">
        <v>0.452777777777778</v>
      </c>
      <c r="C34" s="36" t="n">
        <v>97951</v>
      </c>
      <c r="D34" s="36" t="s">
        <v>22</v>
      </c>
      <c r="E34" s="36" t="n">
        <v>2520</v>
      </c>
      <c r="F34" s="36" t="n">
        <v>2360</v>
      </c>
      <c r="G34" s="37" t="n">
        <v>160</v>
      </c>
      <c r="H34" s="36" t="s">
        <v>58</v>
      </c>
      <c r="I34" s="36" t="s">
        <v>59</v>
      </c>
      <c r="J34" s="0" t="s">
        <v>60</v>
      </c>
    </row>
    <row r="35" customFormat="false" ht="15" hidden="false" customHeight="false" outlineLevel="0" collapsed="false">
      <c r="A35" s="34" t="n">
        <v>43377</v>
      </c>
      <c r="B35" s="35" t="n">
        <v>0.492361111111111</v>
      </c>
      <c r="C35" s="36" t="n">
        <v>97957</v>
      </c>
      <c r="D35" s="36" t="s">
        <v>20</v>
      </c>
      <c r="E35" s="36" t="n">
        <v>19900</v>
      </c>
      <c r="F35" s="36" t="n">
        <v>15920</v>
      </c>
      <c r="G35" s="37" t="n">
        <v>3980</v>
      </c>
      <c r="H35" s="36" t="s">
        <v>58</v>
      </c>
      <c r="I35" s="36" t="s">
        <v>64</v>
      </c>
      <c r="J35" s="0" t="s">
        <v>60</v>
      </c>
    </row>
    <row r="36" customFormat="false" ht="15" hidden="false" customHeight="false" outlineLevel="0" collapsed="false">
      <c r="A36" s="34" t="n">
        <v>43377</v>
      </c>
      <c r="B36" s="35" t="n">
        <v>0.509722222222222</v>
      </c>
      <c r="C36" s="36" t="n">
        <v>97960</v>
      </c>
      <c r="D36" s="36" t="s">
        <v>14</v>
      </c>
      <c r="E36" s="36" t="n">
        <v>3440</v>
      </c>
      <c r="F36" s="36" t="n">
        <v>2820</v>
      </c>
      <c r="G36" s="37" t="n">
        <v>620</v>
      </c>
      <c r="H36" s="36" t="s">
        <v>58</v>
      </c>
      <c r="I36" s="36" t="s">
        <v>62</v>
      </c>
      <c r="J36" s="0" t="s">
        <v>60</v>
      </c>
    </row>
    <row r="37" customFormat="false" ht="15" hidden="false" customHeight="false" outlineLevel="0" collapsed="false">
      <c r="A37" s="34" t="n">
        <v>43377</v>
      </c>
      <c r="B37" s="35" t="n">
        <v>0.69375</v>
      </c>
      <c r="C37" s="36" t="n">
        <v>97974</v>
      </c>
      <c r="D37" s="36" t="s">
        <v>16</v>
      </c>
      <c r="E37" s="36" t="n">
        <v>14300</v>
      </c>
      <c r="F37" s="36" t="n">
        <v>12940</v>
      </c>
      <c r="G37" s="37" t="n">
        <v>1360</v>
      </c>
      <c r="H37" s="36" t="s">
        <v>58</v>
      </c>
      <c r="I37" s="36" t="s">
        <v>59</v>
      </c>
      <c r="J37" s="0" t="s">
        <v>60</v>
      </c>
    </row>
    <row r="38" customFormat="false" ht="15" hidden="false" customHeight="false" outlineLevel="0" collapsed="false">
      <c r="A38" s="34" t="n">
        <v>43377</v>
      </c>
      <c r="B38" s="35" t="n">
        <v>0.877083333333333</v>
      </c>
      <c r="C38" s="36" t="n">
        <v>97979</v>
      </c>
      <c r="D38" s="36" t="s">
        <v>18</v>
      </c>
      <c r="E38" s="36" t="n">
        <v>20420</v>
      </c>
      <c r="F38" s="36" t="n">
        <v>15880</v>
      </c>
      <c r="G38" s="37" t="n">
        <v>4540</v>
      </c>
      <c r="H38" s="36" t="s">
        <v>58</v>
      </c>
      <c r="I38" s="36" t="s">
        <v>59</v>
      </c>
      <c r="J38" s="0" t="s">
        <v>60</v>
      </c>
    </row>
    <row r="39" customFormat="false" ht="15" hidden="false" customHeight="false" outlineLevel="0" collapsed="false">
      <c r="A39" s="34" t="n">
        <v>43378</v>
      </c>
      <c r="B39" s="35" t="n">
        <v>0.0611111111111111</v>
      </c>
      <c r="C39" s="36" t="n">
        <v>97980</v>
      </c>
      <c r="D39" s="36" t="s">
        <v>16</v>
      </c>
      <c r="E39" s="36" t="n">
        <v>19980</v>
      </c>
      <c r="F39" s="36" t="n">
        <v>13020</v>
      </c>
      <c r="G39" s="37" t="n">
        <v>6960</v>
      </c>
      <c r="H39" s="36" t="s">
        <v>58</v>
      </c>
      <c r="I39" s="36" t="s">
        <v>59</v>
      </c>
      <c r="J39" s="0" t="s">
        <v>60</v>
      </c>
    </row>
    <row r="40" customFormat="false" ht="15" hidden="false" customHeight="false" outlineLevel="0" collapsed="false">
      <c r="A40" s="34" t="n">
        <v>43378</v>
      </c>
      <c r="B40" s="35" t="n">
        <v>0.179166666666667</v>
      </c>
      <c r="C40" s="36" t="n">
        <v>97986</v>
      </c>
      <c r="D40" s="36" t="s">
        <v>12</v>
      </c>
      <c r="E40" s="36" t="n">
        <v>4400</v>
      </c>
      <c r="F40" s="36" t="n">
        <v>3700</v>
      </c>
      <c r="G40" s="37" t="n">
        <v>700</v>
      </c>
      <c r="H40" s="36" t="s">
        <v>58</v>
      </c>
      <c r="I40" s="36" t="s">
        <v>59</v>
      </c>
      <c r="J40" s="0" t="s">
        <v>60</v>
      </c>
    </row>
    <row r="41" customFormat="false" ht="15" hidden="false" customHeight="false" outlineLevel="0" collapsed="false">
      <c r="A41" s="34" t="n">
        <v>43378</v>
      </c>
      <c r="B41" s="35" t="n">
        <v>0.234027777777778</v>
      </c>
      <c r="C41" s="36" t="n">
        <v>97988</v>
      </c>
      <c r="D41" s="36" t="s">
        <v>16</v>
      </c>
      <c r="E41" s="36" t="n">
        <v>17540</v>
      </c>
      <c r="F41" s="36" t="n">
        <v>12840</v>
      </c>
      <c r="G41" s="37" t="n">
        <v>4700</v>
      </c>
      <c r="H41" s="36" t="s">
        <v>58</v>
      </c>
      <c r="I41" s="36" t="s">
        <v>59</v>
      </c>
      <c r="J41" s="0" t="s">
        <v>60</v>
      </c>
    </row>
    <row r="42" customFormat="false" ht="15" hidden="false" customHeight="false" outlineLevel="0" collapsed="false">
      <c r="A42" s="34" t="n">
        <v>43378</v>
      </c>
      <c r="B42" s="35" t="n">
        <v>0.258333333333333</v>
      </c>
      <c r="C42" s="36" t="n">
        <v>97992</v>
      </c>
      <c r="D42" s="36" t="s">
        <v>18</v>
      </c>
      <c r="E42" s="36" t="n">
        <v>24360</v>
      </c>
      <c r="F42" s="36" t="n">
        <v>15760</v>
      </c>
      <c r="G42" s="37" t="n">
        <v>8600</v>
      </c>
      <c r="H42" s="36" t="s">
        <v>58</v>
      </c>
      <c r="I42" s="36" t="s">
        <v>59</v>
      </c>
      <c r="J42" s="0" t="s">
        <v>60</v>
      </c>
    </row>
    <row r="43" customFormat="false" ht="15" hidden="false" customHeight="false" outlineLevel="0" collapsed="false">
      <c r="A43" s="34" t="n">
        <v>43378</v>
      </c>
      <c r="B43" s="35" t="n">
        <v>0.297916666666667</v>
      </c>
      <c r="C43" s="36" t="n">
        <v>97997</v>
      </c>
      <c r="D43" s="36" t="s">
        <v>20</v>
      </c>
      <c r="E43" s="36" t="n">
        <v>20560</v>
      </c>
      <c r="F43" s="36" t="n">
        <v>16040</v>
      </c>
      <c r="G43" s="37" t="n">
        <v>4520</v>
      </c>
      <c r="H43" s="36" t="s">
        <v>58</v>
      </c>
      <c r="I43" s="36" t="s">
        <v>64</v>
      </c>
      <c r="J43" s="0" t="s">
        <v>60</v>
      </c>
    </row>
    <row r="44" customFormat="false" ht="15" hidden="false" customHeight="false" outlineLevel="0" collapsed="false">
      <c r="A44" s="34" t="n">
        <v>43378</v>
      </c>
      <c r="B44" s="35" t="n">
        <v>0.456944444444444</v>
      </c>
      <c r="C44" s="36" t="n">
        <v>98012</v>
      </c>
      <c r="D44" s="36" t="s">
        <v>22</v>
      </c>
      <c r="E44" s="36" t="n">
        <v>2600</v>
      </c>
      <c r="F44" s="36" t="n">
        <v>2360</v>
      </c>
      <c r="G44" s="37" t="n">
        <v>240</v>
      </c>
      <c r="H44" s="36" t="s">
        <v>58</v>
      </c>
      <c r="I44" s="36" t="s">
        <v>59</v>
      </c>
      <c r="J44" s="0" t="s">
        <v>60</v>
      </c>
    </row>
    <row r="45" customFormat="false" ht="15" hidden="false" customHeight="false" outlineLevel="0" collapsed="false">
      <c r="A45" s="34" t="n">
        <v>43378</v>
      </c>
      <c r="B45" s="35" t="n">
        <v>0.491666666666667</v>
      </c>
      <c r="C45" s="36" t="n">
        <v>98016</v>
      </c>
      <c r="D45" s="36" t="s">
        <v>14</v>
      </c>
      <c r="E45" s="36" t="n">
        <v>3460</v>
      </c>
      <c r="F45" s="36" t="n">
        <v>2820</v>
      </c>
      <c r="G45" s="37" t="n">
        <v>640</v>
      </c>
      <c r="H45" s="36" t="s">
        <v>58</v>
      </c>
      <c r="I45" s="36" t="s">
        <v>62</v>
      </c>
      <c r="J45" s="0" t="s">
        <v>60</v>
      </c>
    </row>
    <row r="46" customFormat="false" ht="15" hidden="false" customHeight="false" outlineLevel="0" collapsed="false">
      <c r="A46" s="34" t="n">
        <v>43378</v>
      </c>
      <c r="B46" s="35" t="n">
        <v>0.688194444444445</v>
      </c>
      <c r="C46" s="36" t="n">
        <v>98025</v>
      </c>
      <c r="D46" s="36" t="s">
        <v>16</v>
      </c>
      <c r="E46" s="36" t="n">
        <v>14460</v>
      </c>
      <c r="F46" s="36" t="n">
        <v>12880</v>
      </c>
      <c r="G46" s="37" t="n">
        <v>1580</v>
      </c>
      <c r="H46" s="36" t="s">
        <v>58</v>
      </c>
      <c r="I46" s="36" t="s">
        <v>59</v>
      </c>
      <c r="J46" s="0" t="s">
        <v>60</v>
      </c>
    </row>
    <row r="47" customFormat="false" ht="15" hidden="false" customHeight="false" outlineLevel="0" collapsed="false">
      <c r="A47" s="34" t="n">
        <v>43378</v>
      </c>
      <c r="B47" s="35" t="n">
        <v>0.870138888888889</v>
      </c>
      <c r="C47" s="36" t="n">
        <v>98027</v>
      </c>
      <c r="D47" s="36" t="s">
        <v>18</v>
      </c>
      <c r="E47" s="36" t="n">
        <v>19900</v>
      </c>
      <c r="F47" s="36" t="n">
        <v>15800</v>
      </c>
      <c r="G47" s="37" t="n">
        <v>4100</v>
      </c>
      <c r="H47" s="36" t="s">
        <v>58</v>
      </c>
      <c r="I47" s="36" t="s">
        <v>59</v>
      </c>
      <c r="J47" s="0" t="s">
        <v>60</v>
      </c>
    </row>
    <row r="48" customFormat="false" ht="15" hidden="false" customHeight="false" outlineLevel="0" collapsed="false">
      <c r="A48" s="34" t="n">
        <v>43379</v>
      </c>
      <c r="B48" s="35" t="n">
        <v>0.0548611111111111</v>
      </c>
      <c r="C48" s="36" t="n">
        <v>98028</v>
      </c>
      <c r="D48" s="36" t="s">
        <v>16</v>
      </c>
      <c r="E48" s="36" t="n">
        <v>19260</v>
      </c>
      <c r="F48" s="36" t="n">
        <v>13100</v>
      </c>
      <c r="G48" s="37" t="n">
        <v>6160</v>
      </c>
      <c r="H48" s="36" t="s">
        <v>58</v>
      </c>
      <c r="I48" s="36" t="s">
        <v>59</v>
      </c>
      <c r="J48" s="0" t="s">
        <v>60</v>
      </c>
    </row>
    <row r="49" customFormat="false" ht="15" hidden="false" customHeight="false" outlineLevel="0" collapsed="false">
      <c r="A49" s="34" t="n">
        <v>43379</v>
      </c>
      <c r="B49" s="35" t="n">
        <v>0.145138888888889</v>
      </c>
      <c r="C49" s="36" t="n">
        <v>98035</v>
      </c>
      <c r="D49" s="36" t="s">
        <v>16</v>
      </c>
      <c r="E49" s="36" t="n">
        <v>18040</v>
      </c>
      <c r="F49" s="36" t="n">
        <v>13020</v>
      </c>
      <c r="G49" s="37" t="n">
        <v>5020</v>
      </c>
      <c r="H49" s="36" t="s">
        <v>58</v>
      </c>
      <c r="I49" s="36" t="s">
        <v>59</v>
      </c>
      <c r="J49" s="0" t="s">
        <v>60</v>
      </c>
    </row>
    <row r="50" customFormat="false" ht="15" hidden="false" customHeight="false" outlineLevel="0" collapsed="false">
      <c r="A50" s="34" t="n">
        <v>43379</v>
      </c>
      <c r="B50" s="35" t="n">
        <v>0.238888888888889</v>
      </c>
      <c r="C50" s="36" t="n">
        <v>98037</v>
      </c>
      <c r="D50" s="36" t="s">
        <v>12</v>
      </c>
      <c r="E50" s="36" t="n">
        <v>4480</v>
      </c>
      <c r="F50" s="36" t="n">
        <v>3560</v>
      </c>
      <c r="G50" s="37" t="n">
        <v>920</v>
      </c>
      <c r="H50" s="36" t="s">
        <v>58</v>
      </c>
      <c r="I50" s="36" t="s">
        <v>59</v>
      </c>
      <c r="J50" s="0" t="s">
        <v>60</v>
      </c>
    </row>
    <row r="51" customFormat="false" ht="15" hidden="false" customHeight="false" outlineLevel="0" collapsed="false">
      <c r="A51" s="34" t="n">
        <v>43379</v>
      </c>
      <c r="B51" s="35" t="n">
        <v>0.259722222222222</v>
      </c>
      <c r="C51" s="36" t="n">
        <v>98041</v>
      </c>
      <c r="D51" s="36" t="s">
        <v>18</v>
      </c>
      <c r="E51" s="36" t="n">
        <v>22340</v>
      </c>
      <c r="F51" s="36" t="n">
        <v>15780</v>
      </c>
      <c r="G51" s="37" t="n">
        <v>6560</v>
      </c>
      <c r="H51" s="36" t="s">
        <v>58</v>
      </c>
      <c r="I51" s="36" t="s">
        <v>59</v>
      </c>
      <c r="J51" s="0" t="s">
        <v>60</v>
      </c>
    </row>
    <row r="52" customFormat="false" ht="15" hidden="false" customHeight="false" outlineLevel="0" collapsed="false">
      <c r="A52" s="34" t="n">
        <v>43379</v>
      </c>
      <c r="B52" s="35" t="n">
        <v>0.338888888888889</v>
      </c>
      <c r="C52" s="36" t="n">
        <v>98047</v>
      </c>
      <c r="D52" s="36" t="s">
        <v>14</v>
      </c>
      <c r="E52" s="36" t="n">
        <v>3020</v>
      </c>
      <c r="F52" s="36" t="n">
        <v>2840</v>
      </c>
      <c r="G52" s="37" t="n">
        <v>180</v>
      </c>
      <c r="H52" s="36" t="s">
        <v>58</v>
      </c>
      <c r="I52" s="36" t="s">
        <v>59</v>
      </c>
      <c r="J52" s="0" t="s">
        <v>60</v>
      </c>
    </row>
    <row r="53" customFormat="false" ht="15" hidden="false" customHeight="false" outlineLevel="0" collapsed="false">
      <c r="A53" s="34" t="n">
        <v>43379</v>
      </c>
      <c r="B53" s="35" t="n">
        <v>0.432638888888889</v>
      </c>
      <c r="C53" s="36" t="n">
        <v>98049</v>
      </c>
      <c r="D53" s="36" t="s">
        <v>22</v>
      </c>
      <c r="E53" s="36" t="n">
        <v>2560</v>
      </c>
      <c r="F53" s="36" t="n">
        <v>2360</v>
      </c>
      <c r="G53" s="37" t="n">
        <v>200</v>
      </c>
      <c r="H53" s="36" t="s">
        <v>58</v>
      </c>
      <c r="I53" s="36" t="s">
        <v>59</v>
      </c>
      <c r="J53" s="0" t="s">
        <v>60</v>
      </c>
    </row>
    <row r="54" customFormat="false" ht="15" hidden="false" customHeight="false" outlineLevel="0" collapsed="false">
      <c r="A54" s="34" t="n">
        <v>43379</v>
      </c>
      <c r="B54" s="35" t="n">
        <v>0.470138888888889</v>
      </c>
      <c r="C54" s="36" t="n">
        <v>98052</v>
      </c>
      <c r="D54" s="36" t="s">
        <v>20</v>
      </c>
      <c r="E54" s="36" t="n">
        <v>21120</v>
      </c>
      <c r="F54" s="36" t="n">
        <v>15900</v>
      </c>
      <c r="G54" s="37" t="n">
        <v>5220</v>
      </c>
      <c r="H54" s="36" t="s">
        <v>58</v>
      </c>
      <c r="I54" s="36" t="s">
        <v>62</v>
      </c>
      <c r="J54" s="0" t="s">
        <v>60</v>
      </c>
    </row>
    <row r="55" customFormat="false" ht="15" hidden="false" customHeight="false" outlineLevel="0" collapsed="false">
      <c r="A55" s="34" t="n">
        <v>43379</v>
      </c>
      <c r="B55" s="35" t="n">
        <v>0.488194444444444</v>
      </c>
      <c r="C55" s="36" t="n">
        <v>98053</v>
      </c>
      <c r="D55" s="36" t="s">
        <v>14</v>
      </c>
      <c r="E55" s="36" t="n">
        <v>3300</v>
      </c>
      <c r="F55" s="36" t="n">
        <v>2820</v>
      </c>
      <c r="G55" s="37" t="n">
        <v>480</v>
      </c>
      <c r="H55" s="36" t="s">
        <v>58</v>
      </c>
      <c r="I55" s="36" t="s">
        <v>62</v>
      </c>
      <c r="J55" s="0" t="s">
        <v>60</v>
      </c>
    </row>
    <row r="56" customFormat="false" ht="15" hidden="false" customHeight="false" outlineLevel="0" collapsed="false">
      <c r="A56" s="34" t="n">
        <v>43379</v>
      </c>
      <c r="B56" s="35" t="n">
        <v>0.679166666666667</v>
      </c>
      <c r="C56" s="36" t="n">
        <v>98054</v>
      </c>
      <c r="D56" s="36" t="s">
        <v>16</v>
      </c>
      <c r="E56" s="36" t="n">
        <v>14680</v>
      </c>
      <c r="F56" s="36" t="n">
        <v>12980</v>
      </c>
      <c r="G56" s="37" t="n">
        <v>1700</v>
      </c>
      <c r="H56" s="36" t="s">
        <v>58</v>
      </c>
      <c r="I56" s="36" t="s">
        <v>59</v>
      </c>
      <c r="J56" s="0" t="s">
        <v>60</v>
      </c>
    </row>
    <row r="57" customFormat="false" ht="15" hidden="false" customHeight="false" outlineLevel="0" collapsed="false">
      <c r="A57" s="34" t="n">
        <v>43379</v>
      </c>
      <c r="B57" s="35" t="n">
        <v>0.86875</v>
      </c>
      <c r="C57" s="36" t="n">
        <v>98055</v>
      </c>
      <c r="D57" s="36" t="s">
        <v>18</v>
      </c>
      <c r="E57" s="36" t="n">
        <v>20720</v>
      </c>
      <c r="F57" s="36" t="n">
        <v>15840</v>
      </c>
      <c r="G57" s="37" t="n">
        <v>4880</v>
      </c>
      <c r="H57" s="36" t="s">
        <v>58</v>
      </c>
      <c r="I57" s="36" t="s">
        <v>59</v>
      </c>
      <c r="J57" s="0" t="s">
        <v>60</v>
      </c>
    </row>
    <row r="58" customFormat="false" ht="15" hidden="false" customHeight="false" outlineLevel="0" collapsed="false">
      <c r="A58" s="34" t="n">
        <v>43380</v>
      </c>
      <c r="B58" s="35" t="n">
        <v>0.0548611111111111</v>
      </c>
      <c r="C58" s="36" t="n">
        <v>98056</v>
      </c>
      <c r="D58" s="36" t="s">
        <v>16</v>
      </c>
      <c r="E58" s="36" t="n">
        <v>20060</v>
      </c>
      <c r="F58" s="36" t="n">
        <v>13060</v>
      </c>
      <c r="G58" s="37" t="n">
        <v>7000</v>
      </c>
      <c r="H58" s="36" t="s">
        <v>58</v>
      </c>
      <c r="I58" s="36" t="s">
        <v>59</v>
      </c>
      <c r="J58" s="0" t="s">
        <v>60</v>
      </c>
    </row>
    <row r="59" customFormat="false" ht="15" hidden="false" customHeight="false" outlineLevel="0" collapsed="false">
      <c r="A59" s="34" t="n">
        <v>43380</v>
      </c>
      <c r="B59" s="35" t="n">
        <v>0.175</v>
      </c>
      <c r="C59" s="36" t="n">
        <v>98062</v>
      </c>
      <c r="D59" s="36" t="s">
        <v>12</v>
      </c>
      <c r="E59" s="36" t="n">
        <v>4720</v>
      </c>
      <c r="F59" s="36" t="n">
        <v>3740</v>
      </c>
      <c r="G59" s="37" t="n">
        <v>980</v>
      </c>
      <c r="H59" s="36" t="s">
        <v>58</v>
      </c>
      <c r="I59" s="36" t="s">
        <v>59</v>
      </c>
      <c r="J59" s="0" t="s">
        <v>60</v>
      </c>
    </row>
    <row r="60" customFormat="false" ht="15" hidden="false" customHeight="false" outlineLevel="0" collapsed="false">
      <c r="A60" s="34" t="n">
        <v>43380</v>
      </c>
      <c r="B60" s="35" t="n">
        <v>0.211111111111111</v>
      </c>
      <c r="C60" s="36" t="n">
        <v>98063</v>
      </c>
      <c r="D60" s="36" t="s">
        <v>16</v>
      </c>
      <c r="E60" s="36" t="n">
        <v>17900</v>
      </c>
      <c r="F60" s="36" t="n">
        <v>12860</v>
      </c>
      <c r="G60" s="37" t="n">
        <v>5040</v>
      </c>
      <c r="H60" s="36" t="s">
        <v>58</v>
      </c>
      <c r="I60" s="36" t="s">
        <v>59</v>
      </c>
      <c r="J60" s="0" t="s">
        <v>60</v>
      </c>
    </row>
    <row r="61" customFormat="false" ht="15" hidden="false" customHeight="false" outlineLevel="0" collapsed="false">
      <c r="A61" s="34" t="n">
        <v>43380</v>
      </c>
      <c r="B61" s="35" t="n">
        <v>0.221527777777778</v>
      </c>
      <c r="C61" s="36" t="n">
        <v>98064</v>
      </c>
      <c r="D61" s="36" t="s">
        <v>18</v>
      </c>
      <c r="E61" s="36" t="n">
        <v>22100</v>
      </c>
      <c r="F61" s="36" t="n">
        <v>15720</v>
      </c>
      <c r="G61" s="37" t="n">
        <v>6380</v>
      </c>
      <c r="H61" s="36" t="s">
        <v>58</v>
      </c>
      <c r="I61" s="36" t="s">
        <v>59</v>
      </c>
      <c r="J61" s="0" t="s">
        <v>60</v>
      </c>
    </row>
    <row r="62" customFormat="false" ht="15" hidden="false" customHeight="false" outlineLevel="0" collapsed="false">
      <c r="A62" s="34" t="n">
        <v>43380</v>
      </c>
      <c r="B62" s="35" t="n">
        <v>0.3625</v>
      </c>
      <c r="C62" s="36" t="n">
        <v>98070</v>
      </c>
      <c r="D62" s="36" t="s">
        <v>14</v>
      </c>
      <c r="E62" s="36" t="n">
        <v>2920</v>
      </c>
      <c r="F62" s="36" t="n">
        <v>2740</v>
      </c>
      <c r="G62" s="37" t="n">
        <v>180</v>
      </c>
      <c r="H62" s="36" t="s">
        <v>58</v>
      </c>
      <c r="I62" s="36" t="s">
        <v>59</v>
      </c>
      <c r="J62" s="0" t="s">
        <v>60</v>
      </c>
    </row>
    <row r="63" customFormat="false" ht="15" hidden="false" customHeight="false" outlineLevel="0" collapsed="false">
      <c r="A63" s="34" t="n">
        <v>43380</v>
      </c>
      <c r="B63" s="35" t="n">
        <v>0.454861111111111</v>
      </c>
      <c r="C63" s="36" t="n">
        <v>98071</v>
      </c>
      <c r="D63" s="36" t="s">
        <v>22</v>
      </c>
      <c r="E63" s="36" t="n">
        <v>2560</v>
      </c>
      <c r="F63" s="36" t="n">
        <v>2260</v>
      </c>
      <c r="G63" s="37" t="n">
        <v>300</v>
      </c>
      <c r="H63" s="36" t="s">
        <v>58</v>
      </c>
      <c r="I63" s="36" t="s">
        <v>59</v>
      </c>
      <c r="J63" s="0" t="s">
        <v>60</v>
      </c>
    </row>
    <row r="64" customFormat="false" ht="15" hidden="false" customHeight="false" outlineLevel="0" collapsed="false">
      <c r="A64" s="34" t="n">
        <v>43380</v>
      </c>
      <c r="B64" s="35" t="n">
        <v>0.68125</v>
      </c>
      <c r="C64" s="36" t="n">
        <v>98072</v>
      </c>
      <c r="D64" s="36" t="s">
        <v>16</v>
      </c>
      <c r="E64" s="36" t="n">
        <v>13940</v>
      </c>
      <c r="F64" s="36" t="n">
        <v>12920</v>
      </c>
      <c r="G64" s="37" t="n">
        <v>1020</v>
      </c>
      <c r="H64" s="36" t="s">
        <v>58</v>
      </c>
      <c r="I64" s="36" t="s">
        <v>59</v>
      </c>
      <c r="J64" s="0" t="s">
        <v>60</v>
      </c>
    </row>
    <row r="65" customFormat="false" ht="15" hidden="false" customHeight="false" outlineLevel="0" collapsed="false">
      <c r="A65" s="34" t="n">
        <v>43380</v>
      </c>
      <c r="B65" s="35" t="n">
        <v>0.873611111111111</v>
      </c>
      <c r="C65" s="36" t="n">
        <v>98073</v>
      </c>
      <c r="D65" s="36" t="s">
        <v>18</v>
      </c>
      <c r="E65" s="36" t="n">
        <v>20120</v>
      </c>
      <c r="F65" s="36" t="n">
        <v>15740</v>
      </c>
      <c r="G65" s="37" t="n">
        <v>4380</v>
      </c>
      <c r="H65" s="36" t="s">
        <v>58</v>
      </c>
      <c r="I65" s="36" t="s">
        <v>59</v>
      </c>
      <c r="J65" s="0" t="s">
        <v>60</v>
      </c>
    </row>
    <row r="66" customFormat="false" ht="15" hidden="false" customHeight="false" outlineLevel="0" collapsed="false">
      <c r="A66" s="34" t="n">
        <v>43381</v>
      </c>
      <c r="B66" s="35" t="n">
        <v>0.478472222222222</v>
      </c>
      <c r="C66" s="36" t="n">
        <v>78472</v>
      </c>
      <c r="D66" s="36" t="s">
        <v>35</v>
      </c>
      <c r="E66" s="36" t="n">
        <v>6460</v>
      </c>
      <c r="F66" s="36" t="n">
        <v>5720</v>
      </c>
      <c r="G66" s="37" t="n">
        <v>740</v>
      </c>
      <c r="H66" s="36" t="s">
        <v>58</v>
      </c>
      <c r="I66" s="36" t="s">
        <v>61</v>
      </c>
      <c r="J66" s="0" t="s">
        <v>60</v>
      </c>
    </row>
    <row r="67" customFormat="false" ht="15" hidden="false" customHeight="false" outlineLevel="0" collapsed="false">
      <c r="A67" s="34" t="n">
        <v>43381</v>
      </c>
      <c r="B67" s="35" t="n">
        <v>0.0548611111111111</v>
      </c>
      <c r="C67" s="36" t="n">
        <v>98074</v>
      </c>
      <c r="D67" s="36" t="s">
        <v>16</v>
      </c>
      <c r="E67" s="36" t="n">
        <v>19630</v>
      </c>
      <c r="F67" s="36" t="n">
        <v>13020</v>
      </c>
      <c r="G67" s="37" t="n">
        <v>6610</v>
      </c>
      <c r="H67" s="36" t="s">
        <v>58</v>
      </c>
      <c r="I67" s="36" t="s">
        <v>59</v>
      </c>
      <c r="J67" s="0" t="s">
        <v>60</v>
      </c>
    </row>
    <row r="68" customFormat="false" ht="15" hidden="false" customHeight="false" outlineLevel="0" collapsed="false">
      <c r="A68" s="34" t="n">
        <v>43381</v>
      </c>
      <c r="B68" s="35" t="n">
        <v>0.148611111111111</v>
      </c>
      <c r="C68" s="36" t="n">
        <v>98081</v>
      </c>
      <c r="D68" s="36" t="s">
        <v>16</v>
      </c>
      <c r="E68" s="36" t="n">
        <v>18640</v>
      </c>
      <c r="F68" s="36" t="n">
        <v>13000</v>
      </c>
      <c r="G68" s="37" t="n">
        <v>5640</v>
      </c>
      <c r="H68" s="36" t="s">
        <v>58</v>
      </c>
      <c r="I68" s="36" t="s">
        <v>59</v>
      </c>
      <c r="J68" s="0" t="s">
        <v>60</v>
      </c>
    </row>
    <row r="69" customFormat="false" ht="15" hidden="false" customHeight="false" outlineLevel="0" collapsed="false">
      <c r="A69" s="34" t="n">
        <v>43381</v>
      </c>
      <c r="B69" s="35" t="n">
        <v>0.239583333333333</v>
      </c>
      <c r="C69" s="36" t="n">
        <v>98085</v>
      </c>
      <c r="D69" s="36" t="s">
        <v>12</v>
      </c>
      <c r="E69" s="36" t="n">
        <v>4440</v>
      </c>
      <c r="F69" s="36" t="n">
        <v>3480</v>
      </c>
      <c r="G69" s="37" t="n">
        <v>960</v>
      </c>
      <c r="H69" s="36" t="s">
        <v>58</v>
      </c>
      <c r="I69" s="36" t="s">
        <v>59</v>
      </c>
      <c r="J69" s="0" t="s">
        <v>60</v>
      </c>
    </row>
    <row r="70" customFormat="false" ht="15" hidden="false" customHeight="false" outlineLevel="0" collapsed="false">
      <c r="A70" s="34" t="n">
        <v>43381</v>
      </c>
      <c r="B70" s="35" t="n">
        <v>0.245138888888889</v>
      </c>
      <c r="C70" s="36" t="n">
        <v>98088</v>
      </c>
      <c r="D70" s="36" t="s">
        <v>18</v>
      </c>
      <c r="E70" s="36" t="n">
        <v>23020</v>
      </c>
      <c r="F70" s="36" t="n">
        <v>15740</v>
      </c>
      <c r="G70" s="37" t="n">
        <v>7280</v>
      </c>
      <c r="H70" s="36" t="s">
        <v>58</v>
      </c>
      <c r="I70" s="36" t="s">
        <v>59</v>
      </c>
      <c r="J70" s="0" t="s">
        <v>60</v>
      </c>
    </row>
    <row r="71" customFormat="false" ht="15" hidden="false" customHeight="false" outlineLevel="0" collapsed="false">
      <c r="A71" s="34" t="n">
        <v>43381</v>
      </c>
      <c r="B71" s="35" t="n">
        <v>0.335416666666667</v>
      </c>
      <c r="C71" s="36" t="n">
        <v>98091</v>
      </c>
      <c r="D71" s="36" t="s">
        <v>14</v>
      </c>
      <c r="E71" s="36" t="n">
        <v>2960</v>
      </c>
      <c r="F71" s="36" t="n">
        <v>2720</v>
      </c>
      <c r="G71" s="37" t="n">
        <v>240</v>
      </c>
      <c r="H71" s="36" t="s">
        <v>58</v>
      </c>
      <c r="I71" s="36" t="s">
        <v>59</v>
      </c>
      <c r="J71" s="0" t="s">
        <v>60</v>
      </c>
    </row>
    <row r="72" customFormat="false" ht="15" hidden="false" customHeight="false" outlineLevel="0" collapsed="false">
      <c r="A72" s="34" t="n">
        <v>43381</v>
      </c>
      <c r="B72" s="35" t="n">
        <v>0.45</v>
      </c>
      <c r="C72" s="36" t="n">
        <v>98099</v>
      </c>
      <c r="D72" s="36" t="s">
        <v>22</v>
      </c>
      <c r="E72" s="36" t="n">
        <v>2780</v>
      </c>
      <c r="F72" s="36" t="n">
        <v>2320</v>
      </c>
      <c r="G72" s="37" t="n">
        <v>460</v>
      </c>
      <c r="H72" s="36" t="s">
        <v>58</v>
      </c>
      <c r="I72" s="36" t="s">
        <v>59</v>
      </c>
      <c r="J72" s="0" t="s">
        <v>60</v>
      </c>
    </row>
    <row r="73" customFormat="false" ht="15" hidden="false" customHeight="false" outlineLevel="0" collapsed="false">
      <c r="A73" s="34" t="n">
        <v>43381</v>
      </c>
      <c r="B73" s="35" t="n">
        <v>0.5</v>
      </c>
      <c r="C73" s="36" t="n">
        <v>98108</v>
      </c>
      <c r="D73" s="36" t="s">
        <v>14</v>
      </c>
      <c r="E73" s="36" t="n">
        <v>3540</v>
      </c>
      <c r="F73" s="36" t="n">
        <v>2720</v>
      </c>
      <c r="G73" s="37" t="n">
        <v>820</v>
      </c>
      <c r="H73" s="36" t="s">
        <v>58</v>
      </c>
      <c r="I73" s="36" t="s">
        <v>62</v>
      </c>
      <c r="J73" s="0" t="s">
        <v>60</v>
      </c>
    </row>
    <row r="74" customFormat="false" ht="15" hidden="false" customHeight="false" outlineLevel="0" collapsed="false">
      <c r="A74" s="34" t="n">
        <v>43381</v>
      </c>
      <c r="B74" s="35" t="n">
        <v>0.679166666666667</v>
      </c>
      <c r="C74" s="36" t="n">
        <v>98122</v>
      </c>
      <c r="D74" s="36" t="s">
        <v>16</v>
      </c>
      <c r="E74" s="36" t="n">
        <v>14760</v>
      </c>
      <c r="F74" s="36" t="n">
        <v>12980</v>
      </c>
      <c r="G74" s="37" t="n">
        <v>1780</v>
      </c>
      <c r="H74" s="36" t="s">
        <v>58</v>
      </c>
      <c r="I74" s="36" t="s">
        <v>59</v>
      </c>
      <c r="J74" s="0" t="s">
        <v>60</v>
      </c>
    </row>
    <row r="75" customFormat="false" ht="15" hidden="false" customHeight="false" outlineLevel="0" collapsed="false">
      <c r="A75" s="34" t="n">
        <v>43381</v>
      </c>
      <c r="B75" s="35" t="n">
        <v>0.873611111111111</v>
      </c>
      <c r="C75" s="36" t="n">
        <v>98128</v>
      </c>
      <c r="D75" s="36" t="s">
        <v>18</v>
      </c>
      <c r="E75" s="36" t="n">
        <v>20880</v>
      </c>
      <c r="F75" s="36" t="n">
        <v>15800</v>
      </c>
      <c r="G75" s="37" t="n">
        <v>5080</v>
      </c>
      <c r="H75" s="36" t="s">
        <v>58</v>
      </c>
      <c r="I75" s="36" t="s">
        <v>59</v>
      </c>
      <c r="J75" s="0" t="s">
        <v>60</v>
      </c>
    </row>
    <row r="76" customFormat="false" ht="15" hidden="false" customHeight="false" outlineLevel="0" collapsed="false">
      <c r="A76" s="34" t="n">
        <v>43382</v>
      </c>
      <c r="B76" s="35" t="n">
        <v>0.0513888888888889</v>
      </c>
      <c r="C76" s="36" t="n">
        <v>98129</v>
      </c>
      <c r="D76" s="36" t="s">
        <v>16</v>
      </c>
      <c r="E76" s="36" t="n">
        <v>19560</v>
      </c>
      <c r="F76" s="36" t="n">
        <v>13060</v>
      </c>
      <c r="G76" s="37" t="n">
        <v>6500</v>
      </c>
      <c r="H76" s="36" t="s">
        <v>58</v>
      </c>
      <c r="I76" s="36" t="s">
        <v>59</v>
      </c>
      <c r="J76" s="0" t="s">
        <v>60</v>
      </c>
    </row>
    <row r="77" customFormat="false" ht="15" hidden="false" customHeight="false" outlineLevel="0" collapsed="false">
      <c r="A77" s="34" t="n">
        <v>43382</v>
      </c>
      <c r="B77" s="35" t="n">
        <v>0.179861111111111</v>
      </c>
      <c r="C77" s="36" t="n">
        <v>98136</v>
      </c>
      <c r="D77" s="36" t="s">
        <v>12</v>
      </c>
      <c r="E77" s="36" t="n">
        <v>4460</v>
      </c>
      <c r="F77" s="36" t="n">
        <v>3620</v>
      </c>
      <c r="G77" s="37" t="n">
        <v>840</v>
      </c>
      <c r="H77" s="36" t="s">
        <v>58</v>
      </c>
      <c r="I77" s="36" t="s">
        <v>59</v>
      </c>
      <c r="J77" s="0" t="s">
        <v>60</v>
      </c>
    </row>
    <row r="78" customFormat="false" ht="15" hidden="false" customHeight="false" outlineLevel="0" collapsed="false">
      <c r="A78" s="34" t="n">
        <v>43382</v>
      </c>
      <c r="B78" s="35" t="n">
        <v>0.211111111111111</v>
      </c>
      <c r="C78" s="36" t="n">
        <v>98139</v>
      </c>
      <c r="D78" s="36" t="s">
        <v>16</v>
      </c>
      <c r="E78" s="36" t="n">
        <v>18040</v>
      </c>
      <c r="F78" s="36" t="n">
        <v>12820</v>
      </c>
      <c r="G78" s="37" t="n">
        <v>5220</v>
      </c>
      <c r="H78" s="36" t="s">
        <v>58</v>
      </c>
      <c r="I78" s="36" t="s">
        <v>59</v>
      </c>
      <c r="J78" s="0" t="s">
        <v>60</v>
      </c>
    </row>
    <row r="79" customFormat="false" ht="15" hidden="false" customHeight="false" outlineLevel="0" collapsed="false">
      <c r="A79" s="34" t="n">
        <v>43382</v>
      </c>
      <c r="B79" s="35" t="n">
        <v>0.225</v>
      </c>
      <c r="C79" s="36" t="n">
        <v>98140</v>
      </c>
      <c r="D79" s="36" t="s">
        <v>18</v>
      </c>
      <c r="E79" s="36" t="n">
        <v>21680</v>
      </c>
      <c r="F79" s="36" t="n">
        <v>15660</v>
      </c>
      <c r="G79" s="37" t="n">
        <v>6020</v>
      </c>
      <c r="H79" s="36" t="s">
        <v>58</v>
      </c>
      <c r="I79" s="36" t="s">
        <v>59</v>
      </c>
      <c r="J79" s="0" t="s">
        <v>60</v>
      </c>
    </row>
    <row r="80" customFormat="false" ht="15" hidden="false" customHeight="false" outlineLevel="0" collapsed="false">
      <c r="A80" s="34" t="n">
        <v>43382</v>
      </c>
      <c r="B80" s="35" t="n">
        <v>0.427083333333333</v>
      </c>
      <c r="C80" s="36" t="n">
        <v>98153</v>
      </c>
      <c r="D80" s="36" t="s">
        <v>22</v>
      </c>
      <c r="E80" s="36" t="n">
        <v>2840</v>
      </c>
      <c r="F80" s="36" t="n">
        <v>2380</v>
      </c>
      <c r="G80" s="37" t="n">
        <v>460</v>
      </c>
      <c r="H80" s="36" t="s">
        <v>58</v>
      </c>
      <c r="I80" s="36" t="s">
        <v>59</v>
      </c>
      <c r="J80" s="0" t="s">
        <v>60</v>
      </c>
    </row>
    <row r="81" customFormat="false" ht="15" hidden="false" customHeight="false" outlineLevel="0" collapsed="false">
      <c r="A81" s="34" t="n">
        <v>43382</v>
      </c>
      <c r="B81" s="35" t="n">
        <v>0.477083333333333</v>
      </c>
      <c r="C81" s="36" t="n">
        <v>98157</v>
      </c>
      <c r="D81" s="36" t="s">
        <v>22</v>
      </c>
      <c r="E81" s="36" t="n">
        <v>2740</v>
      </c>
      <c r="F81" s="36" t="n">
        <v>2480</v>
      </c>
      <c r="G81" s="37" t="n">
        <v>260</v>
      </c>
      <c r="H81" s="36" t="s">
        <v>58</v>
      </c>
      <c r="I81" s="36" t="s">
        <v>62</v>
      </c>
      <c r="J81" s="0" t="s">
        <v>60</v>
      </c>
    </row>
    <row r="82" customFormat="false" ht="15" hidden="false" customHeight="false" outlineLevel="0" collapsed="false">
      <c r="A82" s="34" t="n">
        <v>43382</v>
      </c>
      <c r="B82" s="35" t="n">
        <v>0.495833333333333</v>
      </c>
      <c r="C82" s="36" t="n">
        <v>98158</v>
      </c>
      <c r="D82" s="36" t="s">
        <v>14</v>
      </c>
      <c r="E82" s="36" t="n">
        <v>3320</v>
      </c>
      <c r="F82" s="36" t="n">
        <v>2720</v>
      </c>
      <c r="G82" s="37" t="n">
        <v>600</v>
      </c>
      <c r="H82" s="36" t="s">
        <v>58</v>
      </c>
      <c r="I82" s="36" t="s">
        <v>62</v>
      </c>
      <c r="J82" s="0" t="s">
        <v>60</v>
      </c>
    </row>
    <row r="83" customFormat="false" ht="15" hidden="false" customHeight="false" outlineLevel="0" collapsed="false">
      <c r="A83" s="34" t="n">
        <v>43382</v>
      </c>
      <c r="B83" s="35" t="n">
        <v>0.6875</v>
      </c>
      <c r="C83" s="36" t="n">
        <v>98166</v>
      </c>
      <c r="D83" s="36" t="s">
        <v>16</v>
      </c>
      <c r="E83" s="36" t="n">
        <v>13900</v>
      </c>
      <c r="F83" s="36" t="n">
        <v>12900</v>
      </c>
      <c r="G83" s="37" t="n">
        <v>1000</v>
      </c>
      <c r="H83" s="36" t="s">
        <v>58</v>
      </c>
      <c r="I83" s="36" t="s">
        <v>59</v>
      </c>
      <c r="J83" s="0" t="s">
        <v>60</v>
      </c>
    </row>
    <row r="84" customFormat="false" ht="15" hidden="false" customHeight="false" outlineLevel="0" collapsed="false">
      <c r="A84" s="34" t="n">
        <v>43382</v>
      </c>
      <c r="B84" s="35" t="n">
        <v>0.882638888888889</v>
      </c>
      <c r="C84" s="36" t="n">
        <v>98169</v>
      </c>
      <c r="D84" s="36" t="s">
        <v>18</v>
      </c>
      <c r="E84" s="36" t="n">
        <v>19920</v>
      </c>
      <c r="F84" s="36" t="n">
        <v>15780</v>
      </c>
      <c r="G84" s="37" t="n">
        <v>4140</v>
      </c>
      <c r="H84" s="36" t="s">
        <v>58</v>
      </c>
      <c r="I84" s="36" t="s">
        <v>59</v>
      </c>
      <c r="J84" s="0" t="s">
        <v>60</v>
      </c>
    </row>
    <row r="85" customFormat="false" ht="15" hidden="false" customHeight="false" outlineLevel="0" collapsed="false">
      <c r="A85" s="34" t="n">
        <v>43383</v>
      </c>
      <c r="B85" s="35" t="n">
        <v>0.0576388888888889</v>
      </c>
      <c r="C85" s="36" t="n">
        <v>98170</v>
      </c>
      <c r="D85" s="36" t="s">
        <v>19</v>
      </c>
      <c r="E85" s="36" t="n">
        <v>17180</v>
      </c>
      <c r="F85" s="36" t="n">
        <v>15880</v>
      </c>
      <c r="G85" s="37" t="n">
        <v>1300</v>
      </c>
      <c r="H85" s="36" t="s">
        <v>58</v>
      </c>
      <c r="I85" s="36" t="s">
        <v>59</v>
      </c>
      <c r="J85" s="0" t="s">
        <v>60</v>
      </c>
    </row>
    <row r="86" customFormat="false" ht="15" hidden="false" customHeight="false" outlineLevel="0" collapsed="false">
      <c r="A86" s="34" t="n">
        <v>43383</v>
      </c>
      <c r="B86" s="35" t="n">
        <v>0.0763888888888889</v>
      </c>
      <c r="C86" s="36" t="n">
        <v>98171</v>
      </c>
      <c r="D86" s="36" t="s">
        <v>16</v>
      </c>
      <c r="E86" s="36" t="n">
        <v>19900</v>
      </c>
      <c r="F86" s="36" t="n">
        <v>13080</v>
      </c>
      <c r="G86" s="37" t="n">
        <v>6820</v>
      </c>
      <c r="H86" s="36" t="s">
        <v>58</v>
      </c>
      <c r="I86" s="36" t="s">
        <v>59</v>
      </c>
      <c r="J86" s="0" t="s">
        <v>60</v>
      </c>
    </row>
    <row r="87" customFormat="false" ht="15" hidden="false" customHeight="false" outlineLevel="0" collapsed="false">
      <c r="A87" s="34" t="n">
        <v>43383</v>
      </c>
      <c r="B87" s="35" t="n">
        <v>0.214583333333333</v>
      </c>
      <c r="C87" s="36" t="n">
        <v>98181</v>
      </c>
      <c r="D87" s="36" t="s">
        <v>12</v>
      </c>
      <c r="E87" s="36" t="n">
        <v>4600</v>
      </c>
      <c r="F87" s="36" t="n">
        <v>3640</v>
      </c>
      <c r="G87" s="37" t="n">
        <v>960</v>
      </c>
      <c r="H87" s="36" t="s">
        <v>58</v>
      </c>
      <c r="I87" s="36" t="s">
        <v>59</v>
      </c>
      <c r="J87" s="0" t="s">
        <v>60</v>
      </c>
    </row>
    <row r="88" customFormat="false" ht="15" hidden="false" customHeight="false" outlineLevel="0" collapsed="false">
      <c r="A88" s="34" t="n">
        <v>43383</v>
      </c>
      <c r="B88" s="35" t="n">
        <v>0.2375</v>
      </c>
      <c r="C88" s="36" t="n">
        <v>98184</v>
      </c>
      <c r="D88" s="36" t="s">
        <v>16</v>
      </c>
      <c r="E88" s="36" t="n">
        <v>16780</v>
      </c>
      <c r="F88" s="36" t="n">
        <v>12900</v>
      </c>
      <c r="G88" s="37" t="n">
        <v>3880</v>
      </c>
      <c r="H88" s="36" t="s">
        <v>58</v>
      </c>
      <c r="I88" s="36" t="s">
        <v>59</v>
      </c>
      <c r="J88" s="0" t="s">
        <v>60</v>
      </c>
    </row>
    <row r="89" customFormat="false" ht="15" hidden="false" customHeight="false" outlineLevel="0" collapsed="false">
      <c r="A89" s="34" t="n">
        <v>43383</v>
      </c>
      <c r="B89" s="35" t="n">
        <v>0.248611111111111</v>
      </c>
      <c r="C89" s="36" t="n">
        <v>98185</v>
      </c>
      <c r="D89" s="36" t="s">
        <v>18</v>
      </c>
      <c r="E89" s="36" t="n">
        <v>21440</v>
      </c>
      <c r="F89" s="36" t="n">
        <v>15660</v>
      </c>
      <c r="G89" s="37" t="n">
        <v>5780</v>
      </c>
      <c r="H89" s="36" t="s">
        <v>58</v>
      </c>
      <c r="I89" s="36" t="s">
        <v>59</v>
      </c>
      <c r="J89" s="0" t="s">
        <v>60</v>
      </c>
    </row>
    <row r="90" customFormat="false" ht="15" hidden="false" customHeight="false" outlineLevel="0" collapsed="false">
      <c r="A90" s="34" t="n">
        <v>43383</v>
      </c>
      <c r="B90" s="35" t="n">
        <v>0.343055555555555</v>
      </c>
      <c r="C90" s="36" t="n">
        <v>98191</v>
      </c>
      <c r="D90" s="36" t="s">
        <v>14</v>
      </c>
      <c r="E90" s="36" t="n">
        <v>3020</v>
      </c>
      <c r="F90" s="36" t="n">
        <v>2780</v>
      </c>
      <c r="G90" s="37" t="n">
        <v>240</v>
      </c>
      <c r="H90" s="36" t="s">
        <v>58</v>
      </c>
      <c r="I90" s="36" t="s">
        <v>59</v>
      </c>
      <c r="J90" s="0" t="s">
        <v>60</v>
      </c>
    </row>
    <row r="91" customFormat="false" ht="15" hidden="false" customHeight="false" outlineLevel="0" collapsed="false">
      <c r="A91" s="34" t="n">
        <v>43383</v>
      </c>
      <c r="B91" s="35" t="n">
        <v>0.453472222222222</v>
      </c>
      <c r="C91" s="36" t="n">
        <v>98204</v>
      </c>
      <c r="D91" s="36" t="s">
        <v>22</v>
      </c>
      <c r="E91" s="36" t="n">
        <v>2640</v>
      </c>
      <c r="F91" s="36" t="n">
        <v>2360</v>
      </c>
      <c r="G91" s="37" t="n">
        <v>280</v>
      </c>
      <c r="H91" s="36" t="s">
        <v>58</v>
      </c>
      <c r="I91" s="36" t="s">
        <v>59</v>
      </c>
      <c r="J91" s="0" t="s">
        <v>60</v>
      </c>
    </row>
    <row r="92" customFormat="false" ht="15" hidden="false" customHeight="false" outlineLevel="0" collapsed="false">
      <c r="A92" s="34" t="n">
        <v>43383</v>
      </c>
      <c r="B92" s="35" t="n">
        <v>0.680555555555555</v>
      </c>
      <c r="C92" s="36" t="n">
        <v>98222</v>
      </c>
      <c r="D92" s="36" t="s">
        <v>16</v>
      </c>
      <c r="E92" s="36" t="n">
        <v>13760</v>
      </c>
      <c r="F92" s="36" t="n">
        <v>12920</v>
      </c>
      <c r="G92" s="37" t="n">
        <v>840</v>
      </c>
      <c r="H92" s="36" t="s">
        <v>58</v>
      </c>
      <c r="I92" s="36" t="s">
        <v>59</v>
      </c>
      <c r="J92" s="0" t="s">
        <v>60</v>
      </c>
    </row>
    <row r="93" customFormat="false" ht="15" hidden="false" customHeight="false" outlineLevel="0" collapsed="false">
      <c r="A93" s="34" t="n">
        <v>43383</v>
      </c>
      <c r="B93" s="35" t="n">
        <v>0.875694444444444</v>
      </c>
      <c r="C93" s="36" t="n">
        <v>98227</v>
      </c>
      <c r="D93" s="36" t="s">
        <v>18</v>
      </c>
      <c r="E93" s="36" t="n">
        <v>20020</v>
      </c>
      <c r="F93" s="36" t="n">
        <v>15900</v>
      </c>
      <c r="G93" s="37" t="n">
        <v>4120</v>
      </c>
      <c r="H93" s="36" t="s">
        <v>58</v>
      </c>
      <c r="I93" s="36" t="s">
        <v>59</v>
      </c>
      <c r="J93" s="0" t="s">
        <v>60</v>
      </c>
    </row>
    <row r="94" customFormat="false" ht="15" hidden="false" customHeight="false" outlineLevel="0" collapsed="false">
      <c r="A94" s="34" t="n">
        <v>43384</v>
      </c>
      <c r="B94" s="35" t="n">
        <v>0.0798611111111111</v>
      </c>
      <c r="C94" s="36" t="n">
        <v>98230</v>
      </c>
      <c r="D94" s="36" t="s">
        <v>16</v>
      </c>
      <c r="E94" s="36" t="n">
        <v>19100</v>
      </c>
      <c r="F94" s="36" t="n">
        <v>13020</v>
      </c>
      <c r="G94" s="37" t="n">
        <v>6080</v>
      </c>
      <c r="H94" s="36" t="s">
        <v>58</v>
      </c>
      <c r="I94" s="36" t="s">
        <v>59</v>
      </c>
      <c r="J94" s="0" t="s">
        <v>60</v>
      </c>
    </row>
    <row r="95" customFormat="false" ht="15" hidden="false" customHeight="false" outlineLevel="0" collapsed="false">
      <c r="A95" s="34" t="n">
        <v>43384</v>
      </c>
      <c r="B95" s="35" t="n">
        <v>0.213888888888889</v>
      </c>
      <c r="C95" s="36" t="n">
        <v>98237</v>
      </c>
      <c r="D95" s="36" t="s">
        <v>12</v>
      </c>
      <c r="E95" s="36" t="n">
        <v>4200</v>
      </c>
      <c r="F95" s="36" t="n">
        <v>3640</v>
      </c>
      <c r="G95" s="37" t="n">
        <v>560</v>
      </c>
      <c r="H95" s="36" t="s">
        <v>58</v>
      </c>
      <c r="I95" s="36" t="s">
        <v>59</v>
      </c>
      <c r="J95" s="0" t="s">
        <v>60</v>
      </c>
    </row>
    <row r="96" customFormat="false" ht="15" hidden="false" customHeight="false" outlineLevel="0" collapsed="false">
      <c r="A96" s="34" t="n">
        <v>43384</v>
      </c>
      <c r="B96" s="35" t="n">
        <v>0.245833333333333</v>
      </c>
      <c r="C96" s="36" t="n">
        <v>98239</v>
      </c>
      <c r="D96" s="36" t="s">
        <v>18</v>
      </c>
      <c r="E96" s="36" t="n">
        <v>21820</v>
      </c>
      <c r="F96" s="36" t="n">
        <v>15760</v>
      </c>
      <c r="G96" s="37" t="n">
        <v>6060</v>
      </c>
      <c r="H96" s="36" t="s">
        <v>58</v>
      </c>
      <c r="I96" s="36" t="s">
        <v>59</v>
      </c>
      <c r="J96" s="0" t="s">
        <v>60</v>
      </c>
    </row>
    <row r="97" customFormat="false" ht="15" hidden="false" customHeight="false" outlineLevel="0" collapsed="false">
      <c r="A97" s="34" t="n">
        <v>43384</v>
      </c>
      <c r="B97" s="35" t="n">
        <v>0.252777777777778</v>
      </c>
      <c r="C97" s="36" t="n">
        <v>98240</v>
      </c>
      <c r="D97" s="36" t="s">
        <v>16</v>
      </c>
      <c r="E97" s="36" t="n">
        <v>16360</v>
      </c>
      <c r="F97" s="36" t="n">
        <v>12900</v>
      </c>
      <c r="G97" s="37" t="n">
        <v>3460</v>
      </c>
      <c r="H97" s="36" t="s">
        <v>58</v>
      </c>
      <c r="I97" s="36" t="s">
        <v>59</v>
      </c>
      <c r="J97" s="0" t="s">
        <v>60</v>
      </c>
    </row>
    <row r="98" customFormat="false" ht="15" hidden="false" customHeight="false" outlineLevel="0" collapsed="false">
      <c r="A98" s="34" t="n">
        <v>43384</v>
      </c>
      <c r="B98" s="35" t="n">
        <v>0.343055555555555</v>
      </c>
      <c r="C98" s="36" t="n">
        <v>98251</v>
      </c>
      <c r="D98" s="36" t="s">
        <v>14</v>
      </c>
      <c r="E98" s="36" t="n">
        <v>2900</v>
      </c>
      <c r="F98" s="36" t="n">
        <v>2760</v>
      </c>
      <c r="G98" s="37" t="n">
        <v>140</v>
      </c>
      <c r="H98" s="36" t="s">
        <v>58</v>
      </c>
      <c r="I98" s="36" t="s">
        <v>59</v>
      </c>
      <c r="J98" s="0" t="s">
        <v>60</v>
      </c>
    </row>
    <row r="99" customFormat="false" ht="15" hidden="false" customHeight="false" outlineLevel="0" collapsed="false">
      <c r="A99" s="34" t="n">
        <v>43384</v>
      </c>
      <c r="B99" s="35" t="n">
        <v>0.447222222222222</v>
      </c>
      <c r="C99" s="36" t="n">
        <v>98259</v>
      </c>
      <c r="D99" s="36" t="s">
        <v>22</v>
      </c>
      <c r="E99" s="36" t="n">
        <v>2600</v>
      </c>
      <c r="F99" s="36" t="n">
        <v>2360</v>
      </c>
      <c r="G99" s="37" t="n">
        <v>240</v>
      </c>
      <c r="H99" s="36" t="s">
        <v>58</v>
      </c>
      <c r="I99" s="36" t="s">
        <v>59</v>
      </c>
      <c r="J99" s="0" t="s">
        <v>60</v>
      </c>
    </row>
    <row r="100" customFormat="false" ht="15" hidden="false" customHeight="false" outlineLevel="0" collapsed="false">
      <c r="A100" s="34" t="n">
        <v>43384</v>
      </c>
      <c r="B100" s="35" t="n">
        <v>0.497222222222222</v>
      </c>
      <c r="C100" s="36" t="n">
        <v>98265</v>
      </c>
      <c r="D100" s="36" t="s">
        <v>14</v>
      </c>
      <c r="E100" s="36" t="n">
        <v>3160</v>
      </c>
      <c r="F100" s="36" t="n">
        <v>2740</v>
      </c>
      <c r="G100" s="37" t="n">
        <v>420</v>
      </c>
      <c r="H100" s="36" t="s">
        <v>58</v>
      </c>
      <c r="I100" s="36" t="s">
        <v>62</v>
      </c>
      <c r="J100" s="0" t="s">
        <v>60</v>
      </c>
    </row>
    <row r="101" customFormat="false" ht="15" hidden="false" customHeight="false" outlineLevel="0" collapsed="false">
      <c r="A101" s="34" t="n">
        <v>43384</v>
      </c>
      <c r="B101" s="35" t="n">
        <v>0.679861111111111</v>
      </c>
      <c r="C101" s="36" t="n">
        <v>98279</v>
      </c>
      <c r="D101" s="36" t="s">
        <v>16</v>
      </c>
      <c r="E101" s="36" t="n">
        <v>14360</v>
      </c>
      <c r="F101" s="36" t="n">
        <v>13040</v>
      </c>
      <c r="G101" s="37" t="n">
        <v>1320</v>
      </c>
      <c r="H101" s="36" t="s">
        <v>58</v>
      </c>
      <c r="I101" s="36" t="s">
        <v>59</v>
      </c>
      <c r="J101" s="0" t="s">
        <v>60</v>
      </c>
    </row>
    <row r="102" customFormat="false" ht="15" hidden="false" customHeight="false" outlineLevel="0" collapsed="false">
      <c r="A102" s="34" t="n">
        <v>43384</v>
      </c>
      <c r="B102" s="35" t="n">
        <v>0.880555555555556</v>
      </c>
      <c r="C102" s="36" t="n">
        <v>98284</v>
      </c>
      <c r="D102" s="36" t="s">
        <v>18</v>
      </c>
      <c r="E102" s="36" t="n">
        <v>20100</v>
      </c>
      <c r="F102" s="36" t="n">
        <v>15740</v>
      </c>
      <c r="G102" s="37" t="n">
        <v>4360</v>
      </c>
      <c r="H102" s="36" t="s">
        <v>58</v>
      </c>
      <c r="I102" s="36" t="s">
        <v>59</v>
      </c>
      <c r="J102" s="0" t="s">
        <v>60</v>
      </c>
    </row>
    <row r="103" customFormat="false" ht="15" hidden="false" customHeight="false" outlineLevel="0" collapsed="false">
      <c r="A103" s="34" t="n">
        <v>43385</v>
      </c>
      <c r="B103" s="35" t="n">
        <v>0.0541666666666667</v>
      </c>
      <c r="C103" s="36" t="n">
        <v>9285</v>
      </c>
      <c r="D103" s="36" t="s">
        <v>16</v>
      </c>
      <c r="E103" s="36" t="n">
        <v>20100</v>
      </c>
      <c r="F103" s="36" t="n">
        <v>13140</v>
      </c>
      <c r="G103" s="37" t="n">
        <v>6960</v>
      </c>
      <c r="H103" s="36" t="s">
        <v>58</v>
      </c>
      <c r="I103" s="36" t="s">
        <v>59</v>
      </c>
      <c r="J103" s="0" t="s">
        <v>60</v>
      </c>
    </row>
    <row r="104" customFormat="false" ht="15" hidden="false" customHeight="false" outlineLevel="0" collapsed="false">
      <c r="A104" s="34" t="n">
        <v>43385</v>
      </c>
      <c r="B104" s="35" t="n">
        <v>0.133333333333333</v>
      </c>
      <c r="C104" s="36" t="n">
        <v>98289</v>
      </c>
      <c r="D104" s="36" t="s">
        <v>16</v>
      </c>
      <c r="E104" s="36" t="n">
        <v>17520</v>
      </c>
      <c r="F104" s="36" t="n">
        <v>12940</v>
      </c>
      <c r="G104" s="37" t="n">
        <v>4580</v>
      </c>
      <c r="H104" s="36" t="s">
        <v>58</v>
      </c>
      <c r="I104" s="36" t="s">
        <v>59</v>
      </c>
      <c r="J104" s="0" t="s">
        <v>60</v>
      </c>
    </row>
    <row r="105" customFormat="false" ht="15" hidden="false" customHeight="false" outlineLevel="0" collapsed="false">
      <c r="A105" s="34" t="n">
        <v>43385</v>
      </c>
      <c r="B105" s="35" t="n">
        <v>0.194444444444444</v>
      </c>
      <c r="C105" s="36" t="n">
        <v>98295</v>
      </c>
      <c r="D105" s="36" t="s">
        <v>12</v>
      </c>
      <c r="E105" s="36" t="n">
        <v>4440</v>
      </c>
      <c r="F105" s="36" t="n">
        <v>3740</v>
      </c>
      <c r="G105" s="37" t="n">
        <v>700</v>
      </c>
      <c r="H105" s="36" t="s">
        <v>58</v>
      </c>
      <c r="I105" s="36" t="s">
        <v>59</v>
      </c>
      <c r="J105" s="0" t="s">
        <v>60</v>
      </c>
    </row>
    <row r="106" customFormat="false" ht="15" hidden="false" customHeight="false" outlineLevel="0" collapsed="false">
      <c r="A106" s="34" t="n">
        <v>43385</v>
      </c>
      <c r="B106" s="35" t="n">
        <v>0.217361111111111</v>
      </c>
      <c r="C106" s="36" t="n">
        <v>98296</v>
      </c>
      <c r="D106" s="36" t="s">
        <v>18</v>
      </c>
      <c r="E106" s="36" t="n">
        <v>23840</v>
      </c>
      <c r="F106" s="36" t="n">
        <v>15600</v>
      </c>
      <c r="G106" s="37" t="n">
        <v>8240</v>
      </c>
      <c r="H106" s="36" t="s">
        <v>58</v>
      </c>
      <c r="I106" s="36" t="s">
        <v>59</v>
      </c>
      <c r="J106" s="0" t="s">
        <v>60</v>
      </c>
    </row>
    <row r="107" customFormat="false" ht="15" hidden="false" customHeight="false" outlineLevel="0" collapsed="false">
      <c r="A107" s="34" t="n">
        <v>43385</v>
      </c>
      <c r="B107" s="35" t="n">
        <v>0.451388888888889</v>
      </c>
      <c r="C107" s="36" t="n">
        <v>98302</v>
      </c>
      <c r="D107" s="36" t="s">
        <v>22</v>
      </c>
      <c r="E107" s="36" t="n">
        <v>2580</v>
      </c>
      <c r="F107" s="36" t="n">
        <v>2280</v>
      </c>
      <c r="G107" s="37" t="n">
        <v>300</v>
      </c>
      <c r="H107" s="36" t="s">
        <v>58</v>
      </c>
      <c r="I107" s="36" t="s">
        <v>59</v>
      </c>
      <c r="J107" s="0" t="s">
        <v>60</v>
      </c>
    </row>
    <row r="108" customFormat="false" ht="15" hidden="false" customHeight="false" outlineLevel="0" collapsed="false">
      <c r="A108" s="34" t="n">
        <v>43385</v>
      </c>
      <c r="B108" s="35" t="n">
        <v>0.676388888888889</v>
      </c>
      <c r="C108" s="36" t="n">
        <v>98303</v>
      </c>
      <c r="D108" s="36" t="s">
        <v>16</v>
      </c>
      <c r="E108" s="36" t="n">
        <v>13800</v>
      </c>
      <c r="F108" s="36" t="n">
        <v>12980</v>
      </c>
      <c r="G108" s="37" t="n">
        <v>820</v>
      </c>
      <c r="H108" s="36" t="s">
        <v>58</v>
      </c>
      <c r="I108" s="36" t="s">
        <v>59</v>
      </c>
      <c r="J108" s="0" t="s">
        <v>60</v>
      </c>
    </row>
    <row r="109" customFormat="false" ht="15" hidden="false" customHeight="false" outlineLevel="0" collapsed="false">
      <c r="A109" s="34" t="n">
        <v>43385</v>
      </c>
      <c r="B109" s="35" t="n">
        <v>0.882638888888889</v>
      </c>
      <c r="C109" s="36" t="n">
        <v>98305</v>
      </c>
      <c r="D109" s="36" t="s">
        <v>18</v>
      </c>
      <c r="E109" s="36" t="n">
        <v>20100</v>
      </c>
      <c r="F109" s="36" t="n">
        <v>15600</v>
      </c>
      <c r="G109" s="37" t="n">
        <v>4500</v>
      </c>
      <c r="H109" s="36" t="s">
        <v>58</v>
      </c>
      <c r="I109" s="36" t="s">
        <v>59</v>
      </c>
      <c r="J109" s="0" t="s">
        <v>60</v>
      </c>
    </row>
    <row r="110" customFormat="false" ht="15" hidden="false" customHeight="false" outlineLevel="0" collapsed="false">
      <c r="A110" s="34" t="n">
        <v>43386</v>
      </c>
      <c r="B110" s="35" t="n">
        <v>0.0736111111111111</v>
      </c>
      <c r="C110" s="36" t="n">
        <v>98307</v>
      </c>
      <c r="D110" s="36" t="s">
        <v>16</v>
      </c>
      <c r="E110" s="36" t="n">
        <v>20940</v>
      </c>
      <c r="F110" s="36" t="n">
        <v>13060</v>
      </c>
      <c r="G110" s="37" t="n">
        <v>7880</v>
      </c>
      <c r="H110" s="36" t="s">
        <v>58</v>
      </c>
      <c r="I110" s="36" t="s">
        <v>59</v>
      </c>
      <c r="J110" s="0" t="s">
        <v>60</v>
      </c>
    </row>
    <row r="111" customFormat="false" ht="15" hidden="false" customHeight="false" outlineLevel="0" collapsed="false">
      <c r="A111" s="34" t="n">
        <v>43386</v>
      </c>
      <c r="B111" s="35" t="n">
        <v>0.0986111111111111</v>
      </c>
      <c r="C111" s="36" t="n">
        <v>98308</v>
      </c>
      <c r="D111" s="36" t="s">
        <v>19</v>
      </c>
      <c r="E111" s="36" t="n">
        <v>20500</v>
      </c>
      <c r="F111" s="36" t="n">
        <v>15840</v>
      </c>
      <c r="G111" s="37" t="n">
        <v>4660</v>
      </c>
      <c r="H111" s="36" t="s">
        <v>58</v>
      </c>
      <c r="I111" s="36" t="s">
        <v>59</v>
      </c>
      <c r="J111" s="0" t="s">
        <v>60</v>
      </c>
    </row>
    <row r="112" customFormat="false" ht="15" hidden="false" customHeight="false" outlineLevel="0" collapsed="false">
      <c r="A112" s="34" t="n">
        <v>43386</v>
      </c>
      <c r="B112" s="35" t="n">
        <v>0.213194444444444</v>
      </c>
      <c r="C112" s="36" t="n">
        <v>98317</v>
      </c>
      <c r="D112" s="36" t="s">
        <v>12</v>
      </c>
      <c r="E112" s="36" t="n">
        <v>5100</v>
      </c>
      <c r="F112" s="36" t="n">
        <v>3680</v>
      </c>
      <c r="G112" s="37" t="n">
        <v>1420</v>
      </c>
      <c r="H112" s="36" t="s">
        <v>58</v>
      </c>
      <c r="I112" s="36" t="s">
        <v>59</v>
      </c>
      <c r="J112" s="0" t="s">
        <v>60</v>
      </c>
    </row>
    <row r="113" customFormat="false" ht="15" hidden="false" customHeight="false" outlineLevel="0" collapsed="false">
      <c r="A113" s="34" t="n">
        <v>43386</v>
      </c>
      <c r="B113" s="35" t="n">
        <v>0.250694444444444</v>
      </c>
      <c r="C113" s="36" t="n">
        <v>98322</v>
      </c>
      <c r="D113" s="36" t="s">
        <v>18</v>
      </c>
      <c r="E113" s="36" t="n">
        <v>22220</v>
      </c>
      <c r="F113" s="36" t="n">
        <v>15720</v>
      </c>
      <c r="G113" s="37" t="n">
        <v>6500</v>
      </c>
      <c r="H113" s="36" t="s">
        <v>58</v>
      </c>
      <c r="I113" s="36" t="s">
        <v>59</v>
      </c>
      <c r="J113" s="0" t="s">
        <v>60</v>
      </c>
    </row>
    <row r="114" customFormat="false" ht="15" hidden="false" customHeight="false" outlineLevel="0" collapsed="false">
      <c r="A114" s="34" t="n">
        <v>43386</v>
      </c>
      <c r="B114" s="35" t="n">
        <v>0.254861111111111</v>
      </c>
      <c r="C114" s="36" t="n">
        <v>98323</v>
      </c>
      <c r="D114" s="36" t="s">
        <v>16</v>
      </c>
      <c r="E114" s="36" t="n">
        <v>19000</v>
      </c>
      <c r="F114" s="36" t="n">
        <v>12900</v>
      </c>
      <c r="G114" s="37" t="n">
        <v>6100</v>
      </c>
      <c r="H114" s="36" t="s">
        <v>58</v>
      </c>
      <c r="I114" s="36" t="s">
        <v>59</v>
      </c>
      <c r="J114" s="0" t="s">
        <v>60</v>
      </c>
    </row>
    <row r="115" customFormat="false" ht="15" hidden="false" customHeight="false" outlineLevel="0" collapsed="false">
      <c r="A115" s="34" t="n">
        <v>43386</v>
      </c>
      <c r="B115" s="35" t="n">
        <v>0.338194444444444</v>
      </c>
      <c r="C115" s="36" t="n">
        <v>98330</v>
      </c>
      <c r="D115" s="36" t="s">
        <v>14</v>
      </c>
      <c r="E115" s="36" t="n">
        <v>2940</v>
      </c>
      <c r="F115" s="36" t="n">
        <v>2720</v>
      </c>
      <c r="G115" s="37" t="n">
        <v>220</v>
      </c>
      <c r="H115" s="36" t="s">
        <v>58</v>
      </c>
      <c r="I115" s="36" t="s">
        <v>59</v>
      </c>
      <c r="J115" s="0" t="s">
        <v>60</v>
      </c>
    </row>
    <row r="116" customFormat="false" ht="15" hidden="false" customHeight="false" outlineLevel="0" collapsed="false">
      <c r="A116" s="34" t="n">
        <v>43386</v>
      </c>
      <c r="B116" s="35" t="n">
        <v>0.454861111111111</v>
      </c>
      <c r="C116" s="36" t="n">
        <v>98333</v>
      </c>
      <c r="D116" s="36" t="s">
        <v>22</v>
      </c>
      <c r="E116" s="36" t="n">
        <v>2640</v>
      </c>
      <c r="F116" s="36" t="n">
        <v>2280</v>
      </c>
      <c r="G116" s="37" t="n">
        <v>360</v>
      </c>
      <c r="H116" s="36" t="s">
        <v>58</v>
      </c>
      <c r="I116" s="36" t="s">
        <v>59</v>
      </c>
      <c r="J116" s="0" t="s">
        <v>60</v>
      </c>
    </row>
    <row r="117" customFormat="false" ht="15" hidden="false" customHeight="false" outlineLevel="0" collapsed="false">
      <c r="A117" s="34" t="n">
        <v>43386</v>
      </c>
      <c r="B117" s="35" t="n">
        <v>0.498611111111111</v>
      </c>
      <c r="C117" s="36" t="n">
        <v>98336</v>
      </c>
      <c r="D117" s="36" t="s">
        <v>14</v>
      </c>
      <c r="E117" s="36" t="n">
        <v>3440</v>
      </c>
      <c r="F117" s="36" t="n">
        <v>2720</v>
      </c>
      <c r="G117" s="37" t="n">
        <v>720</v>
      </c>
      <c r="H117" s="36" t="s">
        <v>58</v>
      </c>
      <c r="I117" s="36" t="s">
        <v>62</v>
      </c>
      <c r="J117" s="0" t="s">
        <v>60</v>
      </c>
    </row>
    <row r="118" customFormat="false" ht="15" hidden="false" customHeight="false" outlineLevel="0" collapsed="false">
      <c r="A118" s="34" t="n">
        <v>43386</v>
      </c>
      <c r="B118" s="35" t="n">
        <v>0.683333333333333</v>
      </c>
      <c r="C118" s="36" t="n">
        <v>98338</v>
      </c>
      <c r="D118" s="36" t="s">
        <v>16</v>
      </c>
      <c r="E118" s="36" t="n">
        <v>14720</v>
      </c>
      <c r="F118" s="36" t="n">
        <v>12920</v>
      </c>
      <c r="G118" s="37" t="n">
        <v>1800</v>
      </c>
      <c r="H118" s="36" t="s">
        <v>58</v>
      </c>
      <c r="I118" s="36" t="s">
        <v>59</v>
      </c>
      <c r="J118" s="0" t="s">
        <v>60</v>
      </c>
    </row>
    <row r="119" customFormat="false" ht="15" hidden="false" customHeight="false" outlineLevel="0" collapsed="false">
      <c r="A119" s="34" t="n">
        <v>43386</v>
      </c>
      <c r="B119" s="35" t="n">
        <v>0.873611111111111</v>
      </c>
      <c r="C119" s="36" t="n">
        <v>98339</v>
      </c>
      <c r="D119" s="36" t="s">
        <v>18</v>
      </c>
      <c r="E119" s="36" t="n">
        <v>20540</v>
      </c>
      <c r="F119" s="36" t="n">
        <v>15800</v>
      </c>
      <c r="G119" s="37" t="n">
        <v>4740</v>
      </c>
      <c r="H119" s="36" t="s">
        <v>58</v>
      </c>
      <c r="I119" s="36" t="s">
        <v>59</v>
      </c>
      <c r="J119" s="0" t="s">
        <v>60</v>
      </c>
    </row>
    <row r="120" customFormat="false" ht="15" hidden="false" customHeight="false" outlineLevel="0" collapsed="false">
      <c r="A120" s="34" t="n">
        <v>43387</v>
      </c>
      <c r="B120" s="35" t="n">
        <v>0.0506944444444445</v>
      </c>
      <c r="C120" s="36" t="n">
        <v>98340</v>
      </c>
      <c r="D120" s="36" t="s">
        <v>16</v>
      </c>
      <c r="E120" s="36" t="n">
        <v>20740</v>
      </c>
      <c r="F120" s="36" t="n">
        <v>13020</v>
      </c>
      <c r="G120" s="37" t="n">
        <v>7720</v>
      </c>
      <c r="H120" s="36" t="s">
        <v>58</v>
      </c>
      <c r="I120" s="36" t="s">
        <v>59</v>
      </c>
      <c r="J120" s="0" t="s">
        <v>60</v>
      </c>
    </row>
    <row r="121" customFormat="false" ht="15" hidden="false" customHeight="false" outlineLevel="0" collapsed="false">
      <c r="A121" s="34" t="n">
        <v>43387</v>
      </c>
      <c r="B121" s="35" t="n">
        <v>0.175694444444444</v>
      </c>
      <c r="C121" s="36" t="n">
        <v>98346</v>
      </c>
      <c r="D121" s="36" t="s">
        <v>12</v>
      </c>
      <c r="E121" s="36" t="n">
        <v>4640</v>
      </c>
      <c r="F121" s="36" t="n">
        <v>3600</v>
      </c>
      <c r="G121" s="37" t="n">
        <v>1040</v>
      </c>
      <c r="H121" s="36" t="s">
        <v>58</v>
      </c>
      <c r="I121" s="36" t="s">
        <v>59</v>
      </c>
      <c r="J121" s="0" t="s">
        <v>60</v>
      </c>
    </row>
    <row r="122" customFormat="false" ht="15" hidden="false" customHeight="false" outlineLevel="0" collapsed="false">
      <c r="A122" s="34" t="n">
        <v>43387</v>
      </c>
      <c r="B122" s="35" t="n">
        <v>0.180555555555556</v>
      </c>
      <c r="C122" s="36" t="n">
        <v>98347</v>
      </c>
      <c r="D122" s="36" t="s">
        <v>16</v>
      </c>
      <c r="E122" s="36" t="n">
        <v>20680</v>
      </c>
      <c r="F122" s="36" t="n">
        <v>12860</v>
      </c>
      <c r="G122" s="37" t="n">
        <v>7820</v>
      </c>
      <c r="H122" s="36" t="s">
        <v>58</v>
      </c>
      <c r="I122" s="36" t="s">
        <v>59</v>
      </c>
      <c r="J122" s="0" t="s">
        <v>60</v>
      </c>
    </row>
    <row r="123" customFormat="false" ht="15" hidden="false" customHeight="false" outlineLevel="0" collapsed="false">
      <c r="A123" s="34" t="n">
        <v>43387</v>
      </c>
      <c r="B123" s="35" t="n">
        <v>0.209722222222222</v>
      </c>
      <c r="C123" s="36" t="n">
        <v>98348</v>
      </c>
      <c r="D123" s="36" t="s">
        <v>18</v>
      </c>
      <c r="E123" s="36" t="n">
        <v>23940</v>
      </c>
      <c r="F123" s="36" t="n">
        <v>15640</v>
      </c>
      <c r="G123" s="37" t="n">
        <v>8300</v>
      </c>
      <c r="H123" s="36" t="s">
        <v>58</v>
      </c>
      <c r="I123" s="36" t="s">
        <v>59</v>
      </c>
      <c r="J123" s="0" t="s">
        <v>60</v>
      </c>
    </row>
    <row r="124" customFormat="false" ht="15" hidden="false" customHeight="false" outlineLevel="0" collapsed="false">
      <c r="A124" s="34" t="n">
        <v>43387</v>
      </c>
      <c r="B124" s="35" t="n">
        <v>0.218055555555556</v>
      </c>
      <c r="C124" s="36" t="n">
        <v>98350</v>
      </c>
      <c r="D124" s="36" t="s">
        <v>12</v>
      </c>
      <c r="E124" s="36" t="n">
        <v>4180</v>
      </c>
      <c r="F124" s="36" t="n">
        <v>3760</v>
      </c>
      <c r="G124" s="37" t="n">
        <v>420</v>
      </c>
      <c r="H124" s="36" t="s">
        <v>58</v>
      </c>
      <c r="I124" s="36" t="s">
        <v>59</v>
      </c>
      <c r="J124" s="0" t="s">
        <v>60</v>
      </c>
    </row>
    <row r="125" customFormat="false" ht="15" hidden="false" customHeight="false" outlineLevel="0" collapsed="false">
      <c r="A125" s="34" t="n">
        <v>43387</v>
      </c>
      <c r="B125" s="35" t="n">
        <v>0.455555555555556</v>
      </c>
      <c r="C125" s="36" t="n">
        <v>98356</v>
      </c>
      <c r="D125" s="36" t="s">
        <v>22</v>
      </c>
      <c r="E125" s="36" t="n">
        <v>2620</v>
      </c>
      <c r="F125" s="36" t="n">
        <v>2280</v>
      </c>
      <c r="G125" s="37" t="n">
        <v>340</v>
      </c>
      <c r="H125" s="36" t="s">
        <v>58</v>
      </c>
      <c r="I125" s="36" t="s">
        <v>59</v>
      </c>
      <c r="J125" s="0" t="s">
        <v>60</v>
      </c>
    </row>
    <row r="126" customFormat="false" ht="15" hidden="false" customHeight="false" outlineLevel="0" collapsed="false">
      <c r="A126" s="34" t="n">
        <v>43387</v>
      </c>
      <c r="B126" s="35" t="n">
        <v>0.68125</v>
      </c>
      <c r="C126" s="36" t="n">
        <v>98357</v>
      </c>
      <c r="D126" s="36" t="s">
        <v>16</v>
      </c>
      <c r="E126" s="36" t="n">
        <v>15000</v>
      </c>
      <c r="F126" s="36" t="n">
        <v>12940</v>
      </c>
      <c r="G126" s="37" t="n">
        <v>2060</v>
      </c>
      <c r="H126" s="36" t="s">
        <v>58</v>
      </c>
      <c r="I126" s="36" t="s">
        <v>59</v>
      </c>
      <c r="J126" s="0" t="s">
        <v>60</v>
      </c>
    </row>
    <row r="127" customFormat="false" ht="15" hidden="false" customHeight="false" outlineLevel="0" collapsed="false">
      <c r="A127" s="34" t="n">
        <v>43387</v>
      </c>
      <c r="B127" s="35" t="n">
        <v>0.883333333333333</v>
      </c>
      <c r="C127" s="36" t="n">
        <v>98358</v>
      </c>
      <c r="D127" s="36" t="s">
        <v>18</v>
      </c>
      <c r="E127" s="36" t="n">
        <v>21300</v>
      </c>
      <c r="F127" s="36" t="n">
        <v>15980</v>
      </c>
      <c r="G127" s="37" t="n">
        <v>5320</v>
      </c>
      <c r="H127" s="36" t="s">
        <v>58</v>
      </c>
      <c r="I127" s="36" t="s">
        <v>59</v>
      </c>
      <c r="J127" s="0" t="s">
        <v>60</v>
      </c>
    </row>
    <row r="128" customFormat="false" ht="15" hidden="false" customHeight="false" outlineLevel="0" collapsed="false">
      <c r="A128" s="34" t="n">
        <v>43388</v>
      </c>
      <c r="B128" s="35" t="n">
        <v>0.0652777777777778</v>
      </c>
      <c r="C128" s="36" t="n">
        <v>98359</v>
      </c>
      <c r="D128" s="36" t="s">
        <v>16</v>
      </c>
      <c r="E128" s="36" t="n">
        <v>20640</v>
      </c>
      <c r="F128" s="36" t="n">
        <v>13040</v>
      </c>
      <c r="G128" s="37" t="n">
        <v>7600</v>
      </c>
      <c r="H128" s="36" t="s">
        <v>58</v>
      </c>
      <c r="I128" s="36" t="s">
        <v>59</v>
      </c>
      <c r="J128" s="0" t="s">
        <v>60</v>
      </c>
    </row>
    <row r="129" customFormat="false" ht="15" hidden="false" customHeight="false" outlineLevel="0" collapsed="false">
      <c r="A129" s="34" t="n">
        <v>43388</v>
      </c>
      <c r="B129" s="35" t="n">
        <v>0.127083333333333</v>
      </c>
      <c r="C129" s="36" t="n">
        <v>98362</v>
      </c>
      <c r="D129" s="36" t="s">
        <v>19</v>
      </c>
      <c r="E129" s="36" t="n">
        <v>20340</v>
      </c>
      <c r="F129" s="36" t="n">
        <v>16060</v>
      </c>
      <c r="G129" s="37" t="n">
        <v>4280</v>
      </c>
      <c r="H129" s="36" t="s">
        <v>58</v>
      </c>
      <c r="I129" s="36" t="s">
        <v>59</v>
      </c>
      <c r="J129" s="0" t="s">
        <v>60</v>
      </c>
    </row>
    <row r="130" customFormat="false" ht="15" hidden="false" customHeight="false" outlineLevel="0" collapsed="false">
      <c r="A130" s="34" t="n">
        <v>43388</v>
      </c>
      <c r="B130" s="35" t="n">
        <v>0.147916666666667</v>
      </c>
      <c r="C130" s="36" t="n">
        <v>98366</v>
      </c>
      <c r="D130" s="36" t="s">
        <v>16</v>
      </c>
      <c r="E130" s="36" t="n">
        <v>17520</v>
      </c>
      <c r="F130" s="36" t="n">
        <v>12740</v>
      </c>
      <c r="G130" s="37" t="n">
        <v>4780</v>
      </c>
      <c r="H130" s="36" t="s">
        <v>58</v>
      </c>
      <c r="I130" s="36" t="s">
        <v>59</v>
      </c>
      <c r="J130" s="0" t="s">
        <v>60</v>
      </c>
    </row>
    <row r="131" customFormat="false" ht="15" hidden="false" customHeight="false" outlineLevel="0" collapsed="false">
      <c r="A131" s="34" t="n">
        <v>43388</v>
      </c>
      <c r="B131" s="35" t="n">
        <v>0.247916666666667</v>
      </c>
      <c r="C131" s="36" t="n">
        <v>98372</v>
      </c>
      <c r="D131" s="36" t="s">
        <v>18</v>
      </c>
      <c r="E131" s="36" t="n">
        <v>21120</v>
      </c>
      <c r="F131" s="36" t="n">
        <v>15380</v>
      </c>
      <c r="G131" s="37" t="n">
        <v>5740</v>
      </c>
      <c r="H131" s="36" t="s">
        <v>58</v>
      </c>
      <c r="I131" s="36" t="s">
        <v>59</v>
      </c>
      <c r="J131" s="0" t="s">
        <v>60</v>
      </c>
    </row>
    <row r="132" customFormat="false" ht="15" hidden="false" customHeight="false" outlineLevel="0" collapsed="false">
      <c r="A132" s="34" t="n">
        <v>43388</v>
      </c>
      <c r="B132" s="35" t="n">
        <v>0.250694444444444</v>
      </c>
      <c r="C132" s="36" t="n">
        <v>98373</v>
      </c>
      <c r="D132" s="36" t="s">
        <v>12</v>
      </c>
      <c r="E132" s="36" t="n">
        <v>4500</v>
      </c>
      <c r="F132" s="36" t="n">
        <v>3020</v>
      </c>
      <c r="G132" s="37" t="n">
        <v>1480</v>
      </c>
      <c r="H132" s="36" t="s">
        <v>58</v>
      </c>
      <c r="I132" s="36" t="s">
        <v>59</v>
      </c>
      <c r="J132" s="0" t="s">
        <v>60</v>
      </c>
    </row>
    <row r="133" customFormat="false" ht="15" hidden="false" customHeight="false" outlineLevel="0" collapsed="false">
      <c r="A133" s="34" t="n">
        <v>43388</v>
      </c>
      <c r="B133" s="35" t="n">
        <v>0.451388888888889</v>
      </c>
      <c r="C133" s="36" t="n">
        <v>98386</v>
      </c>
      <c r="D133" s="36" t="s">
        <v>22</v>
      </c>
      <c r="E133" s="36" t="n">
        <v>2640</v>
      </c>
      <c r="F133" s="36" t="n">
        <v>2320</v>
      </c>
      <c r="G133" s="37" t="n">
        <v>320</v>
      </c>
      <c r="H133" s="36" t="s">
        <v>58</v>
      </c>
      <c r="I133" s="36" t="s">
        <v>59</v>
      </c>
      <c r="J133" s="0" t="s">
        <v>60</v>
      </c>
    </row>
    <row r="134" customFormat="false" ht="15" hidden="false" customHeight="false" outlineLevel="0" collapsed="false">
      <c r="A134" s="34" t="n">
        <v>43388</v>
      </c>
      <c r="B134" s="35" t="n">
        <v>0.45625</v>
      </c>
      <c r="C134" s="36" t="n">
        <v>98387</v>
      </c>
      <c r="D134" s="36" t="s">
        <v>20</v>
      </c>
      <c r="E134" s="36" t="n">
        <v>18120</v>
      </c>
      <c r="F134" s="36" t="n">
        <v>15880</v>
      </c>
      <c r="G134" s="37" t="n">
        <v>2240</v>
      </c>
      <c r="H134" s="36" t="s">
        <v>58</v>
      </c>
      <c r="I134" s="36" t="s">
        <v>59</v>
      </c>
      <c r="J134" s="0" t="s">
        <v>60</v>
      </c>
    </row>
    <row r="135" customFormat="false" ht="15" hidden="false" customHeight="false" outlineLevel="0" collapsed="false">
      <c r="A135" s="34" t="n">
        <v>43388</v>
      </c>
      <c r="B135" s="35" t="n">
        <v>0.465277777777778</v>
      </c>
      <c r="C135" s="36" t="n">
        <v>98389</v>
      </c>
      <c r="D135" s="36" t="s">
        <v>14</v>
      </c>
      <c r="E135" s="36" t="n">
        <v>3360</v>
      </c>
      <c r="F135" s="36" t="n">
        <v>2840</v>
      </c>
      <c r="G135" s="37" t="n">
        <v>520</v>
      </c>
      <c r="H135" s="36" t="s">
        <v>58</v>
      </c>
      <c r="I135" s="36" t="s">
        <v>62</v>
      </c>
      <c r="J135" s="0" t="s">
        <v>60</v>
      </c>
    </row>
    <row r="136" customFormat="false" ht="15" hidden="false" customHeight="false" outlineLevel="0" collapsed="false">
      <c r="A136" s="34" t="n">
        <v>43388</v>
      </c>
      <c r="B136" s="35" t="n">
        <v>0.486111111111111</v>
      </c>
      <c r="C136" s="36" t="n">
        <v>98393</v>
      </c>
      <c r="D136" s="36" t="s">
        <v>20</v>
      </c>
      <c r="E136" s="35" t="n">
        <v>21000</v>
      </c>
      <c r="F136" s="36" t="n">
        <v>16000</v>
      </c>
      <c r="G136" s="37" t="n">
        <v>5000</v>
      </c>
      <c r="H136" s="36" t="s">
        <v>58</v>
      </c>
      <c r="I136" s="36" t="s">
        <v>64</v>
      </c>
      <c r="J136" s="0" t="s">
        <v>60</v>
      </c>
    </row>
    <row r="137" customFormat="false" ht="15" hidden="false" customHeight="false" outlineLevel="0" collapsed="false">
      <c r="A137" s="34" t="n">
        <v>43388</v>
      </c>
      <c r="B137" s="35" t="n">
        <v>0.5125</v>
      </c>
      <c r="C137" s="36" t="n">
        <v>98396</v>
      </c>
      <c r="D137" s="36" t="s">
        <v>20</v>
      </c>
      <c r="E137" s="36" t="n">
        <v>21080</v>
      </c>
      <c r="F137" s="36" t="n">
        <v>15800</v>
      </c>
      <c r="G137" s="37" t="n">
        <v>5280</v>
      </c>
      <c r="H137" s="36" t="s">
        <v>58</v>
      </c>
      <c r="I137" s="36" t="s">
        <v>64</v>
      </c>
      <c r="J137" s="0" t="s">
        <v>60</v>
      </c>
    </row>
    <row r="138" customFormat="false" ht="15" hidden="false" customHeight="false" outlineLevel="0" collapsed="false">
      <c r="A138" s="34" t="n">
        <v>43388</v>
      </c>
      <c r="B138" s="35" t="n">
        <v>0.689583333333333</v>
      </c>
      <c r="C138" s="36" t="n">
        <v>98410</v>
      </c>
      <c r="D138" s="36" t="s">
        <v>16</v>
      </c>
      <c r="E138" s="36" t="n">
        <v>15000</v>
      </c>
      <c r="F138" s="36" t="n">
        <v>12940</v>
      </c>
      <c r="G138" s="37" t="n">
        <v>2060</v>
      </c>
      <c r="H138" s="36" t="s">
        <v>58</v>
      </c>
      <c r="I138" s="36" t="s">
        <v>59</v>
      </c>
      <c r="J138" s="0" t="s">
        <v>60</v>
      </c>
    </row>
    <row r="139" customFormat="false" ht="15" hidden="false" customHeight="false" outlineLevel="0" collapsed="false">
      <c r="A139" s="34" t="n">
        <v>43388</v>
      </c>
      <c r="B139" s="35" t="n">
        <v>0.878472222222222</v>
      </c>
      <c r="C139" s="36" t="n">
        <v>98416</v>
      </c>
      <c r="D139" s="36" t="s">
        <v>19</v>
      </c>
      <c r="E139" s="36" t="n">
        <v>19820</v>
      </c>
      <c r="F139" s="36" t="n">
        <v>16000</v>
      </c>
      <c r="G139" s="37" t="n">
        <v>3820</v>
      </c>
      <c r="H139" s="36" t="s">
        <v>58</v>
      </c>
      <c r="I139" s="36" t="s">
        <v>59</v>
      </c>
      <c r="J139" s="0" t="s">
        <v>60</v>
      </c>
    </row>
    <row r="140" customFormat="false" ht="15" hidden="false" customHeight="false" outlineLevel="0" collapsed="false">
      <c r="A140" s="34" t="n">
        <v>43389</v>
      </c>
      <c r="B140" s="35" t="n">
        <v>0.0784722222222222</v>
      </c>
      <c r="C140" s="36" t="n">
        <v>98417</v>
      </c>
      <c r="D140" s="36" t="s">
        <v>16</v>
      </c>
      <c r="E140" s="36" t="n">
        <v>18940</v>
      </c>
      <c r="F140" s="36" t="n">
        <v>13100</v>
      </c>
      <c r="G140" s="37" t="n">
        <v>5840</v>
      </c>
      <c r="H140" s="36" t="s">
        <v>58</v>
      </c>
      <c r="I140" s="36" t="s">
        <v>59</v>
      </c>
      <c r="J140" s="0" t="s">
        <v>60</v>
      </c>
    </row>
    <row r="141" customFormat="false" ht="15" hidden="false" customHeight="false" outlineLevel="0" collapsed="false">
      <c r="A141" s="34" t="n">
        <v>43389</v>
      </c>
      <c r="B141" s="35" t="n">
        <v>0.215972222222222</v>
      </c>
      <c r="C141" s="36" t="n">
        <v>98426</v>
      </c>
      <c r="D141" s="36" t="s">
        <v>12</v>
      </c>
      <c r="E141" s="36" t="n">
        <v>4400</v>
      </c>
      <c r="F141" s="36" t="n">
        <v>3560</v>
      </c>
      <c r="G141" s="37" t="n">
        <v>840</v>
      </c>
      <c r="H141" s="36" t="s">
        <v>58</v>
      </c>
      <c r="I141" s="36" t="s">
        <v>59</v>
      </c>
      <c r="J141" s="0" t="s">
        <v>60</v>
      </c>
    </row>
    <row r="142" customFormat="false" ht="15" hidden="false" customHeight="false" outlineLevel="0" collapsed="false">
      <c r="A142" s="34" t="n">
        <v>43389</v>
      </c>
      <c r="B142" s="35" t="n">
        <v>0.249305555555556</v>
      </c>
      <c r="C142" s="36" t="n">
        <v>98428</v>
      </c>
      <c r="D142" s="36" t="s">
        <v>16</v>
      </c>
      <c r="E142" s="36" t="n">
        <v>16540</v>
      </c>
      <c r="F142" s="36" t="n">
        <v>12840</v>
      </c>
      <c r="G142" s="37" t="n">
        <v>3700</v>
      </c>
      <c r="H142" s="36" t="s">
        <v>58</v>
      </c>
      <c r="I142" s="36" t="s">
        <v>59</v>
      </c>
      <c r="J142" s="0" t="s">
        <v>60</v>
      </c>
    </row>
    <row r="143" customFormat="false" ht="15" hidden="false" customHeight="false" outlineLevel="0" collapsed="false">
      <c r="A143" s="34" t="n">
        <v>43389</v>
      </c>
      <c r="B143" s="35" t="n">
        <v>0.2625</v>
      </c>
      <c r="C143" s="36" t="n">
        <v>98432</v>
      </c>
      <c r="D143" s="36" t="s">
        <v>19</v>
      </c>
      <c r="E143" s="36" t="n">
        <v>21620</v>
      </c>
      <c r="F143" s="36" t="n">
        <v>15920</v>
      </c>
      <c r="G143" s="37" t="n">
        <v>5700</v>
      </c>
      <c r="H143" s="36" t="s">
        <v>58</v>
      </c>
      <c r="I143" s="36" t="s">
        <v>59</v>
      </c>
      <c r="J143" s="0" t="s">
        <v>60</v>
      </c>
    </row>
    <row r="144" customFormat="false" ht="15" hidden="false" customHeight="false" outlineLevel="0" collapsed="false">
      <c r="A144" s="34" t="n">
        <v>43389</v>
      </c>
      <c r="B144" s="35" t="n">
        <v>0.347222222222222</v>
      </c>
      <c r="C144" s="36" t="n">
        <v>98438</v>
      </c>
      <c r="D144" s="36" t="s">
        <v>14</v>
      </c>
      <c r="E144" s="36" t="n">
        <v>2940</v>
      </c>
      <c r="F144" s="36" t="n">
        <v>2740</v>
      </c>
      <c r="G144" s="37" t="n">
        <v>200</v>
      </c>
      <c r="H144" s="36" t="s">
        <v>58</v>
      </c>
      <c r="I144" s="36" t="s">
        <v>59</v>
      </c>
      <c r="J144" s="0" t="s">
        <v>60</v>
      </c>
    </row>
    <row r="145" customFormat="false" ht="15" hidden="false" customHeight="false" outlineLevel="0" collapsed="false">
      <c r="A145" s="34" t="n">
        <v>43389</v>
      </c>
      <c r="B145" s="35" t="n">
        <v>0.4625</v>
      </c>
      <c r="C145" s="36" t="n">
        <v>98448</v>
      </c>
      <c r="D145" s="36" t="s">
        <v>22</v>
      </c>
      <c r="E145" s="36" t="n">
        <v>2520</v>
      </c>
      <c r="F145" s="36" t="n">
        <v>2380</v>
      </c>
      <c r="G145" s="37" t="n">
        <v>140</v>
      </c>
      <c r="H145" s="36" t="s">
        <v>58</v>
      </c>
      <c r="I145" s="36" t="s">
        <v>59</v>
      </c>
      <c r="J145" s="0" t="s">
        <v>60</v>
      </c>
    </row>
    <row r="146" customFormat="false" ht="15" hidden="false" customHeight="false" outlineLevel="0" collapsed="false">
      <c r="A146" s="34" t="n">
        <v>43389</v>
      </c>
      <c r="B146" s="35" t="n">
        <v>0.504861111111111</v>
      </c>
      <c r="C146" s="36" t="n">
        <v>98454</v>
      </c>
      <c r="D146" s="36" t="s">
        <v>14</v>
      </c>
      <c r="E146" s="36" t="n">
        <v>3240</v>
      </c>
      <c r="F146" s="36" t="n">
        <v>2760</v>
      </c>
      <c r="G146" s="37" t="n">
        <v>480</v>
      </c>
      <c r="H146" s="36" t="s">
        <v>58</v>
      </c>
      <c r="I146" s="36" t="s">
        <v>62</v>
      </c>
      <c r="J146" s="0" t="s">
        <v>60</v>
      </c>
    </row>
    <row r="147" customFormat="false" ht="15" hidden="false" customHeight="false" outlineLevel="0" collapsed="false">
      <c r="A147" s="34" t="n">
        <v>43389</v>
      </c>
      <c r="B147" s="35" t="n">
        <v>0.680555555555555</v>
      </c>
      <c r="C147" s="36" t="n">
        <v>98472</v>
      </c>
      <c r="D147" s="36" t="s">
        <v>16</v>
      </c>
      <c r="E147" s="36" t="n">
        <v>14860</v>
      </c>
      <c r="F147" s="36" t="n">
        <v>12980</v>
      </c>
      <c r="G147" s="37" t="n">
        <v>1880</v>
      </c>
      <c r="H147" s="36" t="s">
        <v>58</v>
      </c>
      <c r="I147" s="36" t="s">
        <v>59</v>
      </c>
      <c r="J147" s="0" t="s">
        <v>60</v>
      </c>
    </row>
    <row r="148" customFormat="false" ht="15" hidden="false" customHeight="false" outlineLevel="0" collapsed="false">
      <c r="A148" s="34" t="n">
        <v>43389</v>
      </c>
      <c r="B148" s="35" t="n">
        <v>0.867361111111111</v>
      </c>
      <c r="C148" s="36" t="n">
        <v>98479</v>
      </c>
      <c r="D148" s="36" t="s">
        <v>18</v>
      </c>
      <c r="E148" s="36" t="n">
        <v>19480</v>
      </c>
      <c r="F148" s="36" t="n">
        <v>15840</v>
      </c>
      <c r="G148" s="37" t="n">
        <v>3640</v>
      </c>
      <c r="H148" s="36" t="s">
        <v>58</v>
      </c>
      <c r="I148" s="36" t="s">
        <v>59</v>
      </c>
      <c r="J148" s="0" t="s">
        <v>60</v>
      </c>
    </row>
    <row r="149" customFormat="false" ht="15" hidden="false" customHeight="false" outlineLevel="0" collapsed="false">
      <c r="A149" s="34" t="n">
        <v>43390</v>
      </c>
      <c r="B149" s="35" t="n">
        <v>0.0715277777777778</v>
      </c>
      <c r="C149" s="36" t="n">
        <v>98480</v>
      </c>
      <c r="D149" s="36" t="s">
        <v>16</v>
      </c>
      <c r="E149" s="36" t="n">
        <v>18860</v>
      </c>
      <c r="F149" s="36" t="n">
        <v>13100</v>
      </c>
      <c r="G149" s="37" t="n">
        <v>5760</v>
      </c>
      <c r="H149" s="36" t="s">
        <v>58</v>
      </c>
      <c r="I149" s="36" t="s">
        <v>59</v>
      </c>
      <c r="J149" s="0" t="s">
        <v>60</v>
      </c>
    </row>
    <row r="150" customFormat="false" ht="15" hidden="false" customHeight="false" outlineLevel="0" collapsed="false">
      <c r="A150" s="34" t="n">
        <v>43390</v>
      </c>
      <c r="B150" s="35" t="n">
        <v>0.15625</v>
      </c>
      <c r="C150" s="36" t="n">
        <v>98486</v>
      </c>
      <c r="D150" s="36" t="s">
        <v>16</v>
      </c>
      <c r="E150" s="36" t="n">
        <v>16660</v>
      </c>
      <c r="F150" s="36" t="n">
        <v>12900</v>
      </c>
      <c r="G150" s="37" t="n">
        <v>3760</v>
      </c>
      <c r="H150" s="36" t="s">
        <v>58</v>
      </c>
      <c r="I150" s="36" t="s">
        <v>59</v>
      </c>
      <c r="J150" s="0" t="s">
        <v>60</v>
      </c>
    </row>
    <row r="151" customFormat="false" ht="15" hidden="false" customHeight="false" outlineLevel="0" collapsed="false">
      <c r="A151" s="34" t="n">
        <v>43390</v>
      </c>
      <c r="B151" s="35" t="n">
        <v>0.249305555555556</v>
      </c>
      <c r="C151" s="36" t="n">
        <v>98492</v>
      </c>
      <c r="D151" s="36" t="s">
        <v>12</v>
      </c>
      <c r="E151" s="36" t="n">
        <v>4120</v>
      </c>
      <c r="F151" s="36" t="n">
        <v>3560</v>
      </c>
      <c r="G151" s="37" t="n">
        <v>560</v>
      </c>
      <c r="H151" s="36" t="s">
        <v>58</v>
      </c>
      <c r="I151" s="36" t="s">
        <v>59</v>
      </c>
      <c r="J151" s="0" t="s">
        <v>60</v>
      </c>
    </row>
    <row r="152" customFormat="false" ht="15" hidden="false" customHeight="false" outlineLevel="0" collapsed="false">
      <c r="A152" s="34" t="n">
        <v>43390</v>
      </c>
      <c r="B152" s="35" t="n">
        <v>0.251388888888889</v>
      </c>
      <c r="C152" s="36" t="n">
        <v>98493</v>
      </c>
      <c r="D152" s="36" t="s">
        <v>18</v>
      </c>
      <c r="E152" s="36" t="n">
        <v>22160</v>
      </c>
      <c r="F152" s="36" t="n">
        <v>15780</v>
      </c>
      <c r="G152" s="37" t="n">
        <v>6380</v>
      </c>
      <c r="H152" s="36" t="s">
        <v>58</v>
      </c>
      <c r="I152" s="36" t="s">
        <v>59</v>
      </c>
      <c r="J152" s="0" t="s">
        <v>60</v>
      </c>
    </row>
    <row r="153" customFormat="false" ht="15" hidden="false" customHeight="false" outlineLevel="0" collapsed="false">
      <c r="A153" s="34" t="n">
        <v>43390</v>
      </c>
      <c r="B153" s="35" t="n">
        <v>0.327083333333333</v>
      </c>
      <c r="C153" s="36" t="n">
        <v>98498</v>
      </c>
      <c r="D153" s="36" t="s">
        <v>14</v>
      </c>
      <c r="E153" s="36" t="n">
        <v>2920</v>
      </c>
      <c r="F153" s="36" t="n">
        <v>2800</v>
      </c>
      <c r="G153" s="37" t="n">
        <v>120</v>
      </c>
      <c r="H153" s="36" t="s">
        <v>58</v>
      </c>
      <c r="I153" s="36" t="s">
        <v>59</v>
      </c>
      <c r="J153" s="0" t="s">
        <v>60</v>
      </c>
    </row>
    <row r="154" customFormat="false" ht="15" hidden="false" customHeight="false" outlineLevel="0" collapsed="false">
      <c r="A154" s="34" t="n">
        <v>43390</v>
      </c>
      <c r="B154" s="35" t="n">
        <v>0.447916666666667</v>
      </c>
      <c r="C154" s="36" t="n">
        <v>98511</v>
      </c>
      <c r="D154" s="36" t="s">
        <v>22</v>
      </c>
      <c r="E154" s="36" t="n">
        <v>2660</v>
      </c>
      <c r="F154" s="36" t="n">
        <v>2300</v>
      </c>
      <c r="G154" s="37" t="n">
        <v>360</v>
      </c>
      <c r="H154" s="36" t="s">
        <v>58</v>
      </c>
      <c r="I154" s="36" t="s">
        <v>59</v>
      </c>
      <c r="J154" s="0" t="s">
        <v>60</v>
      </c>
    </row>
    <row r="155" customFormat="false" ht="15" hidden="false" customHeight="false" outlineLevel="0" collapsed="false">
      <c r="A155" s="34" t="n">
        <v>43390</v>
      </c>
      <c r="B155" s="35" t="n">
        <v>0.466666666666667</v>
      </c>
      <c r="C155" s="36" t="n">
        <v>98514</v>
      </c>
      <c r="D155" s="36" t="s">
        <v>14</v>
      </c>
      <c r="E155" s="36" t="n">
        <v>3560</v>
      </c>
      <c r="F155" s="36" t="n">
        <v>2740</v>
      </c>
      <c r="G155" s="37" t="n">
        <v>820</v>
      </c>
      <c r="H155" s="36" t="s">
        <v>58</v>
      </c>
      <c r="I155" s="36" t="s">
        <v>62</v>
      </c>
      <c r="J155" s="0" t="s">
        <v>60</v>
      </c>
    </row>
    <row r="156" customFormat="false" ht="13.8" hidden="false" customHeight="false" outlineLevel="0" collapsed="false">
      <c r="A156" s="34" t="n">
        <v>43391</v>
      </c>
      <c r="B156" s="35" t="n">
        <v>0.460416666666667</v>
      </c>
      <c r="C156" s="36" t="n">
        <v>78833</v>
      </c>
      <c r="D156" s="36" t="s">
        <v>19</v>
      </c>
      <c r="E156" s="36" t="n">
        <v>17380</v>
      </c>
      <c r="F156" s="36" t="n">
        <v>15820</v>
      </c>
      <c r="G156" s="37" t="n">
        <v>1560</v>
      </c>
      <c r="H156" s="36" t="s">
        <v>58</v>
      </c>
      <c r="I156" s="36" t="s">
        <v>61</v>
      </c>
      <c r="J156" s="0" t="s">
        <v>60</v>
      </c>
    </row>
    <row r="157" customFormat="false" ht="15" hidden="false" customHeight="false" outlineLevel="0" collapsed="false">
      <c r="A157" s="34" t="n">
        <v>43391</v>
      </c>
      <c r="B157" s="35" t="n">
        <v>0.0791666666666667</v>
      </c>
      <c r="C157" s="36" t="n">
        <v>98542</v>
      </c>
      <c r="D157" s="36" t="s">
        <v>16</v>
      </c>
      <c r="E157" s="36" t="n">
        <v>19380</v>
      </c>
      <c r="F157" s="36" t="n">
        <v>12960</v>
      </c>
      <c r="G157" s="37" t="n">
        <v>6420</v>
      </c>
      <c r="H157" s="36" t="s">
        <v>58</v>
      </c>
      <c r="I157" s="36" t="s">
        <v>59</v>
      </c>
      <c r="J157" s="0" t="s">
        <v>60</v>
      </c>
    </row>
    <row r="158" customFormat="false" ht="15" hidden="false" customHeight="false" outlineLevel="0" collapsed="false">
      <c r="A158" s="34" t="n">
        <v>43391</v>
      </c>
      <c r="B158" s="35" t="n">
        <v>0.241666666666667</v>
      </c>
      <c r="C158" s="36" t="n">
        <v>98553</v>
      </c>
      <c r="D158" s="36" t="s">
        <v>12</v>
      </c>
      <c r="E158" s="36" t="n">
        <v>4280</v>
      </c>
      <c r="F158" s="36" t="n">
        <v>3520</v>
      </c>
      <c r="G158" s="37" t="n">
        <v>760</v>
      </c>
      <c r="H158" s="36" t="s">
        <v>58</v>
      </c>
      <c r="I158" s="36" t="s">
        <v>59</v>
      </c>
      <c r="J158" s="0" t="s">
        <v>60</v>
      </c>
    </row>
    <row r="159" customFormat="false" ht="15" hidden="false" customHeight="false" outlineLevel="0" collapsed="false">
      <c r="A159" s="34" t="n">
        <v>43391</v>
      </c>
      <c r="B159" s="35" t="n">
        <v>0.260416666666667</v>
      </c>
      <c r="C159" s="36" t="n">
        <v>98554</v>
      </c>
      <c r="D159" s="36" t="s">
        <v>19</v>
      </c>
      <c r="E159" s="36" t="n">
        <v>22540</v>
      </c>
      <c r="F159" s="36" t="n">
        <v>16020</v>
      </c>
      <c r="G159" s="37" t="n">
        <v>6520</v>
      </c>
      <c r="H159" s="36" t="s">
        <v>58</v>
      </c>
      <c r="I159" s="36" t="s">
        <v>59</v>
      </c>
      <c r="J159" s="0" t="s">
        <v>60</v>
      </c>
    </row>
    <row r="160" customFormat="false" ht="15" hidden="false" customHeight="false" outlineLevel="0" collapsed="false">
      <c r="A160" s="34" t="n">
        <v>43391</v>
      </c>
      <c r="B160" s="35" t="n">
        <v>0.334027777777778</v>
      </c>
      <c r="C160" s="36" t="n">
        <v>98562</v>
      </c>
      <c r="D160" s="36" t="s">
        <v>14</v>
      </c>
      <c r="E160" s="36" t="n">
        <v>3080</v>
      </c>
      <c r="F160" s="36" t="n">
        <v>2740</v>
      </c>
      <c r="G160" s="37" t="n">
        <v>340</v>
      </c>
      <c r="H160" s="36" t="s">
        <v>58</v>
      </c>
      <c r="I160" s="36" t="s">
        <v>59</v>
      </c>
      <c r="J160" s="0" t="s">
        <v>60</v>
      </c>
    </row>
    <row r="161" customFormat="false" ht="15" hidden="false" customHeight="false" outlineLevel="0" collapsed="false">
      <c r="A161" s="34" t="n">
        <v>43391</v>
      </c>
      <c r="B161" s="35" t="n">
        <v>0.445833333333333</v>
      </c>
      <c r="C161" s="36" t="n">
        <v>98570</v>
      </c>
      <c r="D161" s="36" t="s">
        <v>22</v>
      </c>
      <c r="E161" s="36" t="n">
        <v>2640</v>
      </c>
      <c r="F161" s="36" t="n">
        <v>2360</v>
      </c>
      <c r="G161" s="37" t="n">
        <v>280</v>
      </c>
      <c r="H161" s="36" t="s">
        <v>58</v>
      </c>
      <c r="I161" s="36" t="s">
        <v>59</v>
      </c>
      <c r="J161" s="0" t="s">
        <v>60</v>
      </c>
    </row>
    <row r="162" customFormat="false" ht="15" hidden="false" customHeight="false" outlineLevel="0" collapsed="false">
      <c r="A162" s="34" t="n">
        <v>43391</v>
      </c>
      <c r="B162" s="35" t="n">
        <v>0.518055555555556</v>
      </c>
      <c r="C162" s="36" t="n">
        <v>98579</v>
      </c>
      <c r="D162" s="36" t="s">
        <v>14</v>
      </c>
      <c r="E162" s="36" t="n">
        <v>3360</v>
      </c>
      <c r="F162" s="36" t="n">
        <v>2720</v>
      </c>
      <c r="G162" s="37" t="n">
        <v>640</v>
      </c>
      <c r="H162" s="36" t="s">
        <v>58</v>
      </c>
      <c r="I162" s="36" t="s">
        <v>62</v>
      </c>
      <c r="J162" s="0" t="s">
        <v>60</v>
      </c>
    </row>
    <row r="163" customFormat="false" ht="15" hidden="false" customHeight="false" outlineLevel="0" collapsed="false">
      <c r="A163" s="34" t="n">
        <v>43392</v>
      </c>
      <c r="B163" s="35" t="n">
        <v>0.371527777777778</v>
      </c>
      <c r="C163" s="36" t="n">
        <v>98595</v>
      </c>
      <c r="D163" s="36" t="s">
        <v>14</v>
      </c>
      <c r="E163" s="36" t="n">
        <v>3040</v>
      </c>
      <c r="F163" s="36" t="n">
        <v>2860</v>
      </c>
      <c r="G163" s="37" t="n">
        <v>180</v>
      </c>
      <c r="H163" s="36" t="s">
        <v>58</v>
      </c>
      <c r="I163" s="36" t="s">
        <v>59</v>
      </c>
      <c r="J163" s="0" t="s">
        <v>60</v>
      </c>
    </row>
    <row r="164" customFormat="false" ht="15" hidden="false" customHeight="false" outlineLevel="0" collapsed="false">
      <c r="A164" s="34" t="n">
        <v>43392</v>
      </c>
      <c r="B164" s="35" t="n">
        <v>0.373611111111111</v>
      </c>
      <c r="C164" s="36" t="n">
        <v>98596</v>
      </c>
      <c r="D164" s="36" t="s">
        <v>16</v>
      </c>
      <c r="E164" s="36" t="n">
        <v>17300</v>
      </c>
      <c r="F164" s="36" t="n">
        <v>12860</v>
      </c>
      <c r="G164" s="37" t="n">
        <v>4440</v>
      </c>
      <c r="H164" s="36" t="s">
        <v>58</v>
      </c>
      <c r="I164" s="36" t="s">
        <v>59</v>
      </c>
      <c r="J164" s="0" t="s">
        <v>60</v>
      </c>
    </row>
    <row r="165" customFormat="false" ht="15" hidden="false" customHeight="false" outlineLevel="0" collapsed="false">
      <c r="A165" s="34" t="n">
        <v>43392</v>
      </c>
      <c r="B165" s="35" t="n">
        <v>0.384027777777778</v>
      </c>
      <c r="C165" s="36" t="n">
        <v>98597</v>
      </c>
      <c r="D165" s="36" t="s">
        <v>12</v>
      </c>
      <c r="E165" s="36" t="n">
        <v>4040</v>
      </c>
      <c r="F165" s="36" t="n">
        <v>3660</v>
      </c>
      <c r="G165" s="37" t="n">
        <v>380</v>
      </c>
      <c r="H165" s="36" t="s">
        <v>58</v>
      </c>
      <c r="I165" s="36" t="s">
        <v>59</v>
      </c>
      <c r="J165" s="0" t="s">
        <v>60</v>
      </c>
    </row>
    <row r="166" customFormat="false" ht="15" hidden="false" customHeight="false" outlineLevel="0" collapsed="false">
      <c r="A166" s="34" t="n">
        <v>43392</v>
      </c>
      <c r="B166" s="35" t="n">
        <v>0.456944444444444</v>
      </c>
      <c r="C166" s="36" t="n">
        <v>98599</v>
      </c>
      <c r="D166" s="36" t="s">
        <v>22</v>
      </c>
      <c r="E166" s="36" t="n">
        <v>2640</v>
      </c>
      <c r="F166" s="36" t="n">
        <v>2300</v>
      </c>
      <c r="G166" s="37" t="n">
        <v>340</v>
      </c>
      <c r="H166" s="36" t="s">
        <v>58</v>
      </c>
      <c r="I166" s="36" t="s">
        <v>59</v>
      </c>
      <c r="J166" s="0" t="s">
        <v>60</v>
      </c>
    </row>
    <row r="167" customFormat="false" ht="15" hidden="false" customHeight="false" outlineLevel="0" collapsed="false">
      <c r="A167" s="34" t="n">
        <v>43392</v>
      </c>
      <c r="B167" s="35" t="n">
        <v>0.508333333333333</v>
      </c>
      <c r="C167" s="36" t="n">
        <v>98603</v>
      </c>
      <c r="D167" s="36" t="s">
        <v>14</v>
      </c>
      <c r="E167" s="36" t="n">
        <v>3060</v>
      </c>
      <c r="F167" s="36" t="n">
        <v>2780</v>
      </c>
      <c r="G167" s="37" t="n">
        <v>280</v>
      </c>
      <c r="H167" s="36" t="s">
        <v>58</v>
      </c>
      <c r="I167" s="36" t="s">
        <v>62</v>
      </c>
      <c r="J167" s="0" t="s">
        <v>60</v>
      </c>
    </row>
    <row r="168" customFormat="false" ht="15" hidden="false" customHeight="false" outlineLevel="0" collapsed="false">
      <c r="A168" s="34" t="n">
        <v>43393</v>
      </c>
      <c r="B168" s="35" t="n">
        <v>0.1</v>
      </c>
      <c r="C168" s="36" t="n">
        <v>98608</v>
      </c>
      <c r="D168" s="36" t="s">
        <v>16</v>
      </c>
      <c r="E168" s="36" t="n">
        <v>23920</v>
      </c>
      <c r="F168" s="36" t="n">
        <v>13220</v>
      </c>
      <c r="G168" s="37" t="n">
        <v>10700</v>
      </c>
      <c r="H168" s="36" t="s">
        <v>58</v>
      </c>
      <c r="I168" s="36" t="s">
        <v>59</v>
      </c>
      <c r="J168" s="0" t="s">
        <v>60</v>
      </c>
    </row>
    <row r="169" customFormat="false" ht="15" hidden="false" customHeight="false" outlineLevel="0" collapsed="false">
      <c r="A169" s="34" t="n">
        <v>43393</v>
      </c>
      <c r="B169" s="35" t="n">
        <v>0.10625</v>
      </c>
      <c r="C169" s="36" t="n">
        <v>98609</v>
      </c>
      <c r="D169" s="36" t="s">
        <v>19</v>
      </c>
      <c r="E169" s="36" t="n">
        <v>22760</v>
      </c>
      <c r="F169" s="36" t="n">
        <v>16740</v>
      </c>
      <c r="G169" s="37" t="n">
        <v>6020</v>
      </c>
      <c r="H169" s="36" t="s">
        <v>58</v>
      </c>
      <c r="I169" s="36" t="s">
        <v>59</v>
      </c>
      <c r="J169" s="0" t="s">
        <v>60</v>
      </c>
    </row>
    <row r="170" customFormat="false" ht="15" hidden="false" customHeight="false" outlineLevel="0" collapsed="false">
      <c r="A170" s="34" t="n">
        <v>43393</v>
      </c>
      <c r="B170" s="35" t="n">
        <v>0.168055555555556</v>
      </c>
      <c r="C170" s="36" t="n">
        <v>98611</v>
      </c>
      <c r="D170" s="36" t="s">
        <v>16</v>
      </c>
      <c r="E170" s="36" t="n">
        <v>16940</v>
      </c>
      <c r="F170" s="36" t="n">
        <v>13100</v>
      </c>
      <c r="G170" s="37" t="n">
        <v>3840</v>
      </c>
      <c r="H170" s="36" t="s">
        <v>58</v>
      </c>
      <c r="I170" s="36" t="s">
        <v>59</v>
      </c>
      <c r="J170" s="0" t="s">
        <v>60</v>
      </c>
    </row>
    <row r="171" customFormat="false" ht="15" hidden="false" customHeight="false" outlineLevel="0" collapsed="false">
      <c r="A171" s="34" t="n">
        <v>43393</v>
      </c>
      <c r="B171" s="35" t="n">
        <v>0.215277777777778</v>
      </c>
      <c r="C171" s="36" t="n">
        <v>98612</v>
      </c>
      <c r="D171" s="36" t="s">
        <v>19</v>
      </c>
      <c r="E171" s="36" t="n">
        <v>17420</v>
      </c>
      <c r="F171" s="36" t="n">
        <v>16360</v>
      </c>
      <c r="G171" s="37" t="n">
        <v>1060</v>
      </c>
      <c r="H171" s="36" t="s">
        <v>58</v>
      </c>
      <c r="I171" s="36" t="s">
        <v>59</v>
      </c>
      <c r="J171" s="0" t="s">
        <v>60</v>
      </c>
    </row>
    <row r="172" customFormat="false" ht="15" hidden="false" customHeight="false" outlineLevel="0" collapsed="false">
      <c r="A172" s="34" t="n">
        <v>43393</v>
      </c>
      <c r="B172" s="35" t="n">
        <v>0.252083333333333</v>
      </c>
      <c r="C172" s="36" t="n">
        <v>98614</v>
      </c>
      <c r="D172" s="36" t="s">
        <v>12</v>
      </c>
      <c r="E172" s="36" t="n">
        <v>4160</v>
      </c>
      <c r="F172" s="36" t="n">
        <v>3580</v>
      </c>
      <c r="G172" s="37" t="n">
        <v>580</v>
      </c>
      <c r="H172" s="36" t="s">
        <v>58</v>
      </c>
      <c r="I172" s="36" t="s">
        <v>59</v>
      </c>
      <c r="J172" s="0" t="s">
        <v>60</v>
      </c>
    </row>
    <row r="173" customFormat="false" ht="15" hidden="false" customHeight="false" outlineLevel="0" collapsed="false">
      <c r="A173" s="34" t="n">
        <v>43393</v>
      </c>
      <c r="B173" s="35" t="n">
        <v>0.490277777777778</v>
      </c>
      <c r="C173" s="36" t="n">
        <v>98624</v>
      </c>
      <c r="D173" s="36" t="s">
        <v>14</v>
      </c>
      <c r="E173" s="36" t="n">
        <v>3300</v>
      </c>
      <c r="F173" s="36" t="n">
        <v>2760</v>
      </c>
      <c r="G173" s="37" t="n">
        <v>540</v>
      </c>
      <c r="H173" s="36" t="s">
        <v>58</v>
      </c>
      <c r="I173" s="36" t="s">
        <v>62</v>
      </c>
      <c r="J173" s="0" t="s">
        <v>60</v>
      </c>
    </row>
    <row r="174" customFormat="false" ht="15" hidden="false" customHeight="false" outlineLevel="0" collapsed="false">
      <c r="A174" s="34" t="n">
        <v>43393</v>
      </c>
      <c r="B174" s="35" t="n">
        <v>0.984722222222222</v>
      </c>
      <c r="C174" s="36" t="n">
        <v>98631</v>
      </c>
      <c r="D174" s="36" t="s">
        <v>18</v>
      </c>
      <c r="E174" s="36" t="n">
        <v>26940</v>
      </c>
      <c r="F174" s="36" t="n">
        <v>16620</v>
      </c>
      <c r="G174" s="37" t="n">
        <v>10320</v>
      </c>
      <c r="H174" s="36" t="s">
        <v>58</v>
      </c>
      <c r="I174" s="36" t="s">
        <v>59</v>
      </c>
      <c r="J174" s="0" t="s">
        <v>60</v>
      </c>
    </row>
    <row r="175" customFormat="false" ht="15" hidden="false" customHeight="false" outlineLevel="0" collapsed="false">
      <c r="A175" s="34" t="n">
        <v>43394</v>
      </c>
      <c r="B175" s="35" t="n">
        <v>0.1</v>
      </c>
      <c r="C175" s="36" t="n">
        <v>98633</v>
      </c>
      <c r="D175" s="36" t="s">
        <v>16</v>
      </c>
      <c r="E175" s="36" t="n">
        <v>23340</v>
      </c>
      <c r="F175" s="36" t="n">
        <v>13060</v>
      </c>
      <c r="G175" s="37" t="n">
        <v>10280</v>
      </c>
      <c r="H175" s="36" t="s">
        <v>58</v>
      </c>
      <c r="I175" s="38" t="s">
        <v>59</v>
      </c>
      <c r="J175" s="0" t="s">
        <v>60</v>
      </c>
    </row>
    <row r="176" customFormat="false" ht="15" hidden="false" customHeight="false" outlineLevel="0" collapsed="false">
      <c r="A176" s="34" t="n">
        <v>43394</v>
      </c>
      <c r="B176" s="35" t="n">
        <v>0.177777777777778</v>
      </c>
      <c r="C176" s="36" t="n">
        <v>98638</v>
      </c>
      <c r="D176" s="36" t="s">
        <v>16</v>
      </c>
      <c r="E176" s="36" t="n">
        <v>16640</v>
      </c>
      <c r="F176" s="36" t="n">
        <v>13000</v>
      </c>
      <c r="G176" s="37" t="n">
        <v>3640</v>
      </c>
      <c r="H176" s="36" t="s">
        <v>58</v>
      </c>
      <c r="I176" s="36" t="s">
        <v>59</v>
      </c>
      <c r="J176" s="0" t="s">
        <v>60</v>
      </c>
    </row>
    <row r="177" customFormat="false" ht="15" hidden="false" customHeight="false" outlineLevel="0" collapsed="false">
      <c r="A177" s="34" t="n">
        <v>43394</v>
      </c>
      <c r="B177" s="35" t="n">
        <v>0.23125</v>
      </c>
      <c r="C177" s="36" t="n">
        <v>98640</v>
      </c>
      <c r="D177" s="36" t="s">
        <v>18</v>
      </c>
      <c r="E177" s="36" t="n">
        <v>31320</v>
      </c>
      <c r="F177" s="36" t="n">
        <v>16280</v>
      </c>
      <c r="G177" s="37" t="n">
        <v>15040</v>
      </c>
      <c r="H177" s="36" t="s">
        <v>58</v>
      </c>
      <c r="I177" s="36" t="s">
        <v>59</v>
      </c>
      <c r="J177" s="0" t="s">
        <v>60</v>
      </c>
    </row>
    <row r="178" customFormat="false" ht="15" hidden="false" customHeight="false" outlineLevel="0" collapsed="false">
      <c r="A178" s="34" t="n">
        <v>43394</v>
      </c>
      <c r="B178" s="35" t="n">
        <v>0.252777777777778</v>
      </c>
      <c r="C178" s="36" t="n">
        <v>98641</v>
      </c>
      <c r="D178" s="36" t="s">
        <v>12</v>
      </c>
      <c r="E178" s="36" t="n">
        <v>4100</v>
      </c>
      <c r="F178" s="36" t="n">
        <v>3500</v>
      </c>
      <c r="G178" s="37" t="n">
        <v>600</v>
      </c>
      <c r="H178" s="36" t="s">
        <v>58</v>
      </c>
      <c r="I178" s="36" t="s">
        <v>59</v>
      </c>
      <c r="J178" s="0" t="s">
        <v>60</v>
      </c>
    </row>
    <row r="179" customFormat="false" ht="15" hidden="false" customHeight="false" outlineLevel="0" collapsed="false">
      <c r="A179" s="34" t="n">
        <v>43394</v>
      </c>
      <c r="B179" s="35" t="n">
        <v>0.452083333333333</v>
      </c>
      <c r="C179" s="36" t="n">
        <v>98648</v>
      </c>
      <c r="D179" s="36" t="s">
        <v>22</v>
      </c>
      <c r="E179" s="36" t="n">
        <v>2740</v>
      </c>
      <c r="F179" s="36" t="n">
        <v>2280</v>
      </c>
      <c r="G179" s="37" t="n">
        <v>460</v>
      </c>
      <c r="H179" s="36" t="s">
        <v>58</v>
      </c>
      <c r="I179" s="38" t="s">
        <v>59</v>
      </c>
      <c r="J179" s="0" t="s">
        <v>60</v>
      </c>
    </row>
    <row r="180" customFormat="false" ht="15" hidden="false" customHeight="false" outlineLevel="0" collapsed="false">
      <c r="A180" s="34" t="n">
        <v>43394</v>
      </c>
      <c r="B180" s="35" t="n">
        <v>0.497222222222222</v>
      </c>
      <c r="C180" s="36" t="n">
        <v>98649</v>
      </c>
      <c r="D180" s="36" t="s">
        <v>14</v>
      </c>
      <c r="E180" s="36" t="n">
        <v>3700</v>
      </c>
      <c r="F180" s="36" t="n">
        <v>2720</v>
      </c>
      <c r="G180" s="37" t="n">
        <v>980</v>
      </c>
      <c r="H180" s="36" t="s">
        <v>58</v>
      </c>
      <c r="I180" s="38" t="s">
        <v>62</v>
      </c>
      <c r="J180" s="0" t="s">
        <v>60</v>
      </c>
    </row>
    <row r="181" customFormat="false" ht="15" hidden="false" customHeight="false" outlineLevel="0" collapsed="false">
      <c r="A181" s="34" t="n">
        <v>43395</v>
      </c>
      <c r="B181" s="35" t="n">
        <v>0.140277777777778</v>
      </c>
      <c r="C181" s="36" t="n">
        <v>98654</v>
      </c>
      <c r="D181" s="36" t="s">
        <v>16</v>
      </c>
      <c r="E181" s="36" t="n">
        <v>23460</v>
      </c>
      <c r="F181" s="36" t="n">
        <v>12940</v>
      </c>
      <c r="G181" s="37" t="n">
        <v>10520</v>
      </c>
      <c r="H181" s="36" t="s">
        <v>58</v>
      </c>
      <c r="I181" s="36" t="s">
        <v>59</v>
      </c>
      <c r="J181" s="0" t="s">
        <v>60</v>
      </c>
    </row>
    <row r="182" customFormat="false" ht="15" hidden="false" customHeight="false" outlineLevel="0" collapsed="false">
      <c r="A182" s="34" t="n">
        <v>43395</v>
      </c>
      <c r="B182" s="35" t="n">
        <v>0.143055555555556</v>
      </c>
      <c r="C182" s="36" t="n">
        <v>98655</v>
      </c>
      <c r="D182" s="36" t="s">
        <v>19</v>
      </c>
      <c r="E182" s="36" t="n">
        <v>23800</v>
      </c>
      <c r="F182" s="36" t="n">
        <v>16500</v>
      </c>
      <c r="G182" s="37" t="n">
        <v>7300</v>
      </c>
      <c r="H182" s="36" t="s">
        <v>58</v>
      </c>
      <c r="I182" s="36" t="s">
        <v>59</v>
      </c>
      <c r="J182" s="0" t="s">
        <v>60</v>
      </c>
    </row>
    <row r="183" customFormat="false" ht="15" hidden="false" customHeight="false" outlineLevel="0" collapsed="false">
      <c r="A183" s="34" t="n">
        <v>43395</v>
      </c>
      <c r="B183" s="35" t="n">
        <v>0.240972222222222</v>
      </c>
      <c r="C183" s="36" t="n">
        <v>98662</v>
      </c>
      <c r="D183" s="36" t="s">
        <v>18</v>
      </c>
      <c r="E183" s="36" t="n">
        <v>22900</v>
      </c>
      <c r="F183" s="36" t="n">
        <v>15980</v>
      </c>
      <c r="G183" s="37" t="n">
        <v>6920</v>
      </c>
      <c r="H183" s="36" t="s">
        <v>58</v>
      </c>
      <c r="I183" s="36" t="s">
        <v>59</v>
      </c>
      <c r="J183" s="0" t="s">
        <v>60</v>
      </c>
    </row>
    <row r="184" customFormat="false" ht="15" hidden="false" customHeight="false" outlineLevel="0" collapsed="false">
      <c r="A184" s="34" t="n">
        <v>43395</v>
      </c>
      <c r="B184" s="35" t="n">
        <v>0.259027777777778</v>
      </c>
      <c r="C184" s="36" t="n">
        <v>98663</v>
      </c>
      <c r="D184" s="36" t="s">
        <v>12</v>
      </c>
      <c r="E184" s="36" t="n">
        <v>4200</v>
      </c>
      <c r="F184" s="36" t="n">
        <v>3660</v>
      </c>
      <c r="G184" s="37" t="n">
        <v>540</v>
      </c>
      <c r="H184" s="36" t="s">
        <v>58</v>
      </c>
      <c r="I184" s="36" t="s">
        <v>59</v>
      </c>
      <c r="J184" s="0" t="s">
        <v>60</v>
      </c>
    </row>
    <row r="185" customFormat="false" ht="15" hidden="false" customHeight="false" outlineLevel="0" collapsed="false">
      <c r="A185" s="34" t="n">
        <v>43395</v>
      </c>
      <c r="B185" s="35" t="n">
        <v>0.461805555555556</v>
      </c>
      <c r="C185" s="36" t="n">
        <v>98673</v>
      </c>
      <c r="D185" s="36" t="s">
        <v>22</v>
      </c>
      <c r="E185" s="36" t="n">
        <v>2800</v>
      </c>
      <c r="F185" s="36" t="n">
        <v>2360</v>
      </c>
      <c r="G185" s="37" t="n">
        <v>440</v>
      </c>
      <c r="H185" s="36" t="s">
        <v>58</v>
      </c>
      <c r="I185" s="36" t="s">
        <v>59</v>
      </c>
      <c r="J185" s="0" t="s">
        <v>60</v>
      </c>
    </row>
    <row r="186" customFormat="false" ht="15" hidden="false" customHeight="false" outlineLevel="0" collapsed="false">
      <c r="A186" s="34" t="n">
        <v>43396</v>
      </c>
      <c r="B186" s="35" t="n">
        <v>0.06875</v>
      </c>
      <c r="C186" s="36" t="n">
        <v>98692</v>
      </c>
      <c r="D186" s="36" t="s">
        <v>16</v>
      </c>
      <c r="E186" s="36" t="n">
        <v>20200</v>
      </c>
      <c r="F186" s="36" t="n">
        <v>12740</v>
      </c>
      <c r="G186" s="37" t="n">
        <v>7460</v>
      </c>
      <c r="H186" s="36" t="s">
        <v>58</v>
      </c>
      <c r="I186" s="36" t="s">
        <v>59</v>
      </c>
      <c r="J186" s="0" t="s">
        <v>60</v>
      </c>
    </row>
    <row r="187" customFormat="false" ht="15" hidden="false" customHeight="false" outlineLevel="0" collapsed="false">
      <c r="A187" s="34" t="n">
        <v>43396</v>
      </c>
      <c r="B187" s="35" t="n">
        <v>0.161111111111111</v>
      </c>
      <c r="C187" s="36" t="n">
        <v>98702</v>
      </c>
      <c r="D187" s="36" t="s">
        <v>16</v>
      </c>
      <c r="E187" s="36" t="n">
        <v>19140</v>
      </c>
      <c r="F187" s="36" t="n">
        <v>12300</v>
      </c>
      <c r="G187" s="37" t="n">
        <v>6840</v>
      </c>
      <c r="H187" s="36" t="s">
        <v>58</v>
      </c>
      <c r="I187" s="36" t="s">
        <v>59</v>
      </c>
      <c r="J187" s="0" t="s">
        <v>60</v>
      </c>
    </row>
    <row r="188" customFormat="false" ht="15" hidden="false" customHeight="false" outlineLevel="0" collapsed="false">
      <c r="A188" s="34" t="n">
        <v>43396</v>
      </c>
      <c r="B188" s="35" t="n">
        <v>0.253472222222222</v>
      </c>
      <c r="C188" s="36" t="n">
        <v>98705</v>
      </c>
      <c r="D188" s="36" t="s">
        <v>18</v>
      </c>
      <c r="E188" s="36" t="n">
        <v>20580</v>
      </c>
      <c r="F188" s="36" t="n">
        <v>15920</v>
      </c>
      <c r="G188" s="37" t="n">
        <v>4660</v>
      </c>
      <c r="H188" s="36" t="s">
        <v>58</v>
      </c>
      <c r="I188" s="36" t="s">
        <v>59</v>
      </c>
      <c r="J188" s="0" t="s">
        <v>60</v>
      </c>
    </row>
    <row r="189" customFormat="false" ht="15" hidden="false" customHeight="false" outlineLevel="0" collapsed="false">
      <c r="A189" s="34" t="n">
        <v>43396</v>
      </c>
      <c r="B189" s="35" t="n">
        <v>0.259027777777778</v>
      </c>
      <c r="C189" s="36" t="n">
        <v>98706</v>
      </c>
      <c r="D189" s="36" t="s">
        <v>12</v>
      </c>
      <c r="E189" s="36" t="n">
        <v>4150</v>
      </c>
      <c r="F189" s="36" t="n">
        <v>3580</v>
      </c>
      <c r="G189" s="37" t="n">
        <v>570</v>
      </c>
      <c r="H189" s="36" t="s">
        <v>58</v>
      </c>
      <c r="I189" s="36" t="s">
        <v>59</v>
      </c>
      <c r="J189" s="0" t="s">
        <v>60</v>
      </c>
    </row>
    <row r="190" customFormat="false" ht="15" hidden="false" customHeight="false" outlineLevel="0" collapsed="false">
      <c r="A190" s="34" t="n">
        <v>43396</v>
      </c>
      <c r="B190" s="35" t="n">
        <v>0.459027777777778</v>
      </c>
      <c r="C190" s="36" t="n">
        <v>98724</v>
      </c>
      <c r="D190" s="36" t="s">
        <v>22</v>
      </c>
      <c r="E190" s="36" t="n">
        <v>2700</v>
      </c>
      <c r="F190" s="36" t="n">
        <v>2360</v>
      </c>
      <c r="G190" s="37" t="n">
        <v>340</v>
      </c>
      <c r="H190" s="36" t="s">
        <v>58</v>
      </c>
      <c r="I190" s="36" t="s">
        <v>59</v>
      </c>
      <c r="J190" s="0" t="s">
        <v>60</v>
      </c>
    </row>
    <row r="191" customFormat="false" ht="15" hidden="false" customHeight="false" outlineLevel="0" collapsed="false">
      <c r="A191" s="34" t="n">
        <v>43396</v>
      </c>
      <c r="B191" s="35" t="n">
        <v>0.461805555555556</v>
      </c>
      <c r="C191" s="36" t="n">
        <v>98725</v>
      </c>
      <c r="D191" s="36" t="s">
        <v>20</v>
      </c>
      <c r="E191" s="36" t="n">
        <v>25400</v>
      </c>
      <c r="F191" s="36" t="n">
        <v>15440</v>
      </c>
      <c r="G191" s="37" t="n">
        <v>9960</v>
      </c>
      <c r="H191" s="36" t="s">
        <v>58</v>
      </c>
      <c r="I191" s="36" t="s">
        <v>65</v>
      </c>
      <c r="J191" s="0" t="s">
        <v>60</v>
      </c>
    </row>
    <row r="192" customFormat="false" ht="15" hidden="false" customHeight="false" outlineLevel="0" collapsed="false">
      <c r="A192" s="34" t="n">
        <v>43397</v>
      </c>
      <c r="B192" s="35" t="n">
        <v>0.490277777777778</v>
      </c>
      <c r="C192" s="36" t="n">
        <v>79066</v>
      </c>
      <c r="D192" s="36" t="s">
        <v>20</v>
      </c>
      <c r="E192" s="36" t="n">
        <v>19920</v>
      </c>
      <c r="F192" s="36" t="n">
        <v>15860</v>
      </c>
      <c r="G192" s="37" t="n">
        <v>4060</v>
      </c>
      <c r="H192" s="36" t="s">
        <v>58</v>
      </c>
      <c r="I192" s="36" t="s">
        <v>61</v>
      </c>
      <c r="J192" s="0" t="s">
        <v>60</v>
      </c>
    </row>
    <row r="193" customFormat="false" ht="15" hidden="false" customHeight="false" outlineLevel="0" collapsed="false">
      <c r="A193" s="34" t="n">
        <v>43397</v>
      </c>
      <c r="B193" s="35" t="n">
        <v>0.0694444444444444</v>
      </c>
      <c r="C193" s="36" t="n">
        <v>98750</v>
      </c>
      <c r="D193" s="36" t="s">
        <v>16</v>
      </c>
      <c r="E193" s="36" t="n">
        <v>20820</v>
      </c>
      <c r="F193" s="36" t="n">
        <v>13200</v>
      </c>
      <c r="G193" s="37" t="n">
        <v>7620</v>
      </c>
      <c r="H193" s="36" t="s">
        <v>58</v>
      </c>
      <c r="I193" s="36" t="s">
        <v>59</v>
      </c>
      <c r="J193" s="0" t="s">
        <v>60</v>
      </c>
    </row>
    <row r="194" customFormat="false" ht="15" hidden="false" customHeight="false" outlineLevel="0" collapsed="false">
      <c r="A194" s="34" t="n">
        <v>43397</v>
      </c>
      <c r="B194" s="35" t="n">
        <v>0.152083333333333</v>
      </c>
      <c r="C194" s="36" t="n">
        <v>98756</v>
      </c>
      <c r="D194" s="36" t="s">
        <v>16</v>
      </c>
      <c r="E194" s="36" t="n">
        <v>16320</v>
      </c>
      <c r="F194" s="36" t="n">
        <v>13160</v>
      </c>
      <c r="G194" s="37" t="n">
        <v>3160</v>
      </c>
      <c r="H194" s="36" t="s">
        <v>58</v>
      </c>
      <c r="I194" s="36" t="s">
        <v>59</v>
      </c>
      <c r="J194" s="0" t="s">
        <v>60</v>
      </c>
    </row>
    <row r="195" customFormat="false" ht="15" hidden="false" customHeight="false" outlineLevel="0" collapsed="false">
      <c r="A195" s="34" t="n">
        <v>43397</v>
      </c>
      <c r="B195" s="35" t="n">
        <v>0.254166666666667</v>
      </c>
      <c r="C195" s="36" t="n">
        <v>98760</v>
      </c>
      <c r="D195" s="36" t="s">
        <v>12</v>
      </c>
      <c r="E195" s="36" t="n">
        <v>4060</v>
      </c>
      <c r="F195" s="36" t="n">
        <v>3480</v>
      </c>
      <c r="G195" s="37" t="n">
        <v>580</v>
      </c>
      <c r="H195" s="36" t="s">
        <v>58</v>
      </c>
      <c r="I195" s="36" t="s">
        <v>59</v>
      </c>
      <c r="J195" s="0" t="s">
        <v>60</v>
      </c>
    </row>
    <row r="196" customFormat="false" ht="15" hidden="false" customHeight="false" outlineLevel="0" collapsed="false">
      <c r="A196" s="34" t="n">
        <v>43397</v>
      </c>
      <c r="B196" s="35" t="n">
        <v>0.279861111111111</v>
      </c>
      <c r="C196" s="36" t="n">
        <v>98764</v>
      </c>
      <c r="D196" s="36" t="s">
        <v>18</v>
      </c>
      <c r="E196" s="36" t="n">
        <v>26220</v>
      </c>
      <c r="F196" s="36" t="n">
        <v>15800</v>
      </c>
      <c r="G196" s="37" t="n">
        <v>10420</v>
      </c>
      <c r="H196" s="36" t="s">
        <v>58</v>
      </c>
      <c r="I196" s="36" t="s">
        <v>59</v>
      </c>
      <c r="J196" s="0" t="s">
        <v>60</v>
      </c>
    </row>
    <row r="197" customFormat="false" ht="15" hidden="false" customHeight="false" outlineLevel="0" collapsed="false">
      <c r="A197" s="34" t="n">
        <v>43397</v>
      </c>
      <c r="B197" s="35" t="n">
        <v>0.316666666666667</v>
      </c>
      <c r="C197" s="36" t="n">
        <v>98769</v>
      </c>
      <c r="D197" s="36" t="s">
        <v>22</v>
      </c>
      <c r="E197" s="36" t="n">
        <v>2580</v>
      </c>
      <c r="F197" s="36" t="n">
        <v>2360</v>
      </c>
      <c r="G197" s="37" t="n">
        <v>220</v>
      </c>
      <c r="H197" s="36" t="s">
        <v>58</v>
      </c>
      <c r="I197" s="36" t="s">
        <v>62</v>
      </c>
      <c r="J197" s="0" t="s">
        <v>60</v>
      </c>
    </row>
    <row r="198" customFormat="false" ht="15" hidden="false" customHeight="false" outlineLevel="0" collapsed="false">
      <c r="A198" s="34" t="n">
        <v>43397</v>
      </c>
      <c r="B198" s="35" t="n">
        <v>0.343055555555555</v>
      </c>
      <c r="C198" s="36" t="n">
        <v>98773</v>
      </c>
      <c r="D198" s="36" t="s">
        <v>14</v>
      </c>
      <c r="E198" s="36" t="n">
        <v>3020</v>
      </c>
      <c r="F198" s="36" t="n">
        <v>2760</v>
      </c>
      <c r="G198" s="37" t="n">
        <v>260</v>
      </c>
      <c r="H198" s="36" t="s">
        <v>58</v>
      </c>
      <c r="I198" s="36" t="s">
        <v>59</v>
      </c>
      <c r="J198" s="0" t="s">
        <v>60</v>
      </c>
    </row>
    <row r="199" customFormat="false" ht="15" hidden="false" customHeight="false" outlineLevel="0" collapsed="false">
      <c r="A199" s="34" t="n">
        <v>43397</v>
      </c>
      <c r="B199" s="35" t="n">
        <v>0.454166666666667</v>
      </c>
      <c r="C199" s="36" t="n">
        <v>98785</v>
      </c>
      <c r="D199" s="36" t="s">
        <v>22</v>
      </c>
      <c r="E199" s="36" t="n">
        <v>2720</v>
      </c>
      <c r="F199" s="36" t="n">
        <v>2280</v>
      </c>
      <c r="G199" s="37" t="n">
        <v>440</v>
      </c>
      <c r="H199" s="36" t="s">
        <v>58</v>
      </c>
      <c r="I199" s="36" t="s">
        <v>59</v>
      </c>
      <c r="J199" s="0" t="s">
        <v>60</v>
      </c>
    </row>
    <row r="200" customFormat="false" ht="15" hidden="false" customHeight="false" outlineLevel="0" collapsed="false">
      <c r="A200" s="34" t="n">
        <v>43397</v>
      </c>
      <c r="B200" s="35" t="n">
        <v>0.455555555555556</v>
      </c>
      <c r="C200" s="36" t="n">
        <v>98786</v>
      </c>
      <c r="D200" s="36" t="s">
        <v>14</v>
      </c>
      <c r="E200" s="36" t="n">
        <v>4020</v>
      </c>
      <c r="F200" s="36" t="n">
        <v>2840</v>
      </c>
      <c r="G200" s="37" t="n">
        <v>1180</v>
      </c>
      <c r="H200" s="36" t="s">
        <v>58</v>
      </c>
      <c r="I200" s="36" t="s">
        <v>62</v>
      </c>
      <c r="J200" s="0" t="s">
        <v>60</v>
      </c>
    </row>
    <row r="201" customFormat="false" ht="15" hidden="false" customHeight="false" outlineLevel="0" collapsed="false">
      <c r="A201" s="34" t="n">
        <v>43398</v>
      </c>
      <c r="B201" s="35" t="n">
        <v>0.111111111111111</v>
      </c>
      <c r="C201" s="36" t="n">
        <v>98817</v>
      </c>
      <c r="D201" s="36" t="s">
        <v>16</v>
      </c>
      <c r="E201" s="36" t="n">
        <v>22160</v>
      </c>
      <c r="F201" s="36" t="n">
        <v>13020</v>
      </c>
      <c r="G201" s="37" t="n">
        <v>9140</v>
      </c>
      <c r="H201" s="36" t="s">
        <v>58</v>
      </c>
      <c r="I201" s="36" t="s">
        <v>59</v>
      </c>
      <c r="J201" s="0" t="s">
        <v>60</v>
      </c>
    </row>
    <row r="202" customFormat="false" ht="15" hidden="false" customHeight="false" outlineLevel="0" collapsed="false">
      <c r="A202" s="34" t="n">
        <v>43398</v>
      </c>
      <c r="B202" s="35" t="n">
        <v>0.255555555555556</v>
      </c>
      <c r="C202" s="36" t="n">
        <v>98826</v>
      </c>
      <c r="D202" s="36" t="s">
        <v>12</v>
      </c>
      <c r="E202" s="36" t="n">
        <v>4080</v>
      </c>
      <c r="F202" s="36" t="n">
        <v>3540</v>
      </c>
      <c r="G202" s="37" t="n">
        <v>540</v>
      </c>
      <c r="H202" s="36" t="s">
        <v>58</v>
      </c>
      <c r="I202" s="36" t="s">
        <v>59</v>
      </c>
      <c r="J202" s="0" t="s">
        <v>60</v>
      </c>
    </row>
    <row r="203" customFormat="false" ht="15" hidden="false" customHeight="false" outlineLevel="0" collapsed="false">
      <c r="A203" s="34" t="n">
        <v>43398</v>
      </c>
      <c r="B203" s="35" t="n">
        <v>0.257638888888889</v>
      </c>
      <c r="C203" s="36" t="n">
        <v>98827</v>
      </c>
      <c r="D203" s="36" t="s">
        <v>18</v>
      </c>
      <c r="E203" s="36" t="n">
        <v>27020</v>
      </c>
      <c r="F203" s="36" t="n">
        <v>15780</v>
      </c>
      <c r="G203" s="37" t="n">
        <v>11240</v>
      </c>
      <c r="H203" s="36" t="s">
        <v>58</v>
      </c>
      <c r="I203" s="36" t="s">
        <v>59</v>
      </c>
      <c r="J203" s="0" t="s">
        <v>60</v>
      </c>
    </row>
    <row r="204" customFormat="false" ht="15" hidden="false" customHeight="false" outlineLevel="0" collapsed="false">
      <c r="A204" s="34" t="n">
        <v>43398</v>
      </c>
      <c r="B204" s="35" t="n">
        <v>0.34375</v>
      </c>
      <c r="C204" s="36" t="n">
        <v>98837</v>
      </c>
      <c r="D204" s="36" t="s">
        <v>20</v>
      </c>
      <c r="E204" s="36" t="n">
        <v>26740</v>
      </c>
      <c r="F204" s="36" t="n">
        <v>15400</v>
      </c>
      <c r="G204" s="37" t="n">
        <v>11340</v>
      </c>
      <c r="H204" s="36" t="s">
        <v>58</v>
      </c>
      <c r="I204" s="36" t="s">
        <v>65</v>
      </c>
      <c r="J204" s="0" t="s">
        <v>60</v>
      </c>
    </row>
    <row r="205" customFormat="false" ht="15" hidden="false" customHeight="false" outlineLevel="0" collapsed="false">
      <c r="A205" s="34" t="n">
        <v>43398</v>
      </c>
      <c r="B205" s="35" t="n">
        <v>0.373611111111111</v>
      </c>
      <c r="C205" s="36" t="n">
        <v>98842</v>
      </c>
      <c r="D205" s="36" t="s">
        <v>14</v>
      </c>
      <c r="E205" s="36" t="n">
        <v>3780</v>
      </c>
      <c r="F205" s="36" t="n">
        <v>2840</v>
      </c>
      <c r="G205" s="37" t="n">
        <v>940</v>
      </c>
      <c r="H205" s="36" t="s">
        <v>58</v>
      </c>
      <c r="I205" s="36" t="s">
        <v>62</v>
      </c>
      <c r="J205" s="0" t="s">
        <v>60</v>
      </c>
    </row>
    <row r="206" customFormat="false" ht="15" hidden="false" customHeight="false" outlineLevel="0" collapsed="false">
      <c r="A206" s="34" t="n">
        <v>43398</v>
      </c>
      <c r="B206" s="35" t="n">
        <v>0.472222222222222</v>
      </c>
      <c r="C206" s="36" t="n">
        <v>98849</v>
      </c>
      <c r="D206" s="36" t="s">
        <v>22</v>
      </c>
      <c r="E206" s="36" t="n">
        <v>2720</v>
      </c>
      <c r="F206" s="36" t="n">
        <v>2380</v>
      </c>
      <c r="G206" s="37" t="n">
        <v>340</v>
      </c>
      <c r="H206" s="36" t="s">
        <v>58</v>
      </c>
      <c r="I206" s="36" t="s">
        <v>59</v>
      </c>
      <c r="J206" s="0" t="s">
        <v>60</v>
      </c>
    </row>
    <row r="207" customFormat="false" ht="15" hidden="false" customHeight="false" outlineLevel="0" collapsed="false">
      <c r="A207" s="34" t="n">
        <v>43398</v>
      </c>
      <c r="B207" s="35" t="n">
        <v>0.507638888888889</v>
      </c>
      <c r="C207" s="36" t="n">
        <v>98857</v>
      </c>
      <c r="D207" s="36" t="s">
        <v>20</v>
      </c>
      <c r="E207" s="36" t="n">
        <v>26500</v>
      </c>
      <c r="F207" s="36" t="n">
        <v>15400</v>
      </c>
      <c r="G207" s="37" t="n">
        <v>11100</v>
      </c>
      <c r="H207" s="36" t="s">
        <v>58</v>
      </c>
      <c r="I207" s="36" t="s">
        <v>65</v>
      </c>
      <c r="J207" s="0" t="s">
        <v>60</v>
      </c>
    </row>
    <row r="208" customFormat="false" ht="15" hidden="false" customHeight="false" outlineLevel="0" collapsed="false">
      <c r="A208" s="34" t="n">
        <v>43399</v>
      </c>
      <c r="B208" s="35" t="n">
        <v>0.447916666666667</v>
      </c>
      <c r="C208" s="36" t="n">
        <v>98875</v>
      </c>
      <c r="D208" s="36" t="s">
        <v>22</v>
      </c>
      <c r="E208" s="36" t="n">
        <v>2660</v>
      </c>
      <c r="F208" s="36" t="n">
        <v>2300</v>
      </c>
      <c r="G208" s="37" t="n">
        <v>360</v>
      </c>
      <c r="H208" s="36" t="s">
        <v>58</v>
      </c>
      <c r="I208" s="36" t="s">
        <v>59</v>
      </c>
      <c r="J208" s="0" t="s">
        <v>60</v>
      </c>
    </row>
    <row r="209" customFormat="false" ht="15" hidden="false" customHeight="false" outlineLevel="0" collapsed="false">
      <c r="A209" s="34" t="n">
        <v>43399</v>
      </c>
      <c r="B209" s="35" t="n">
        <v>0.454166666666667</v>
      </c>
      <c r="C209" s="36" t="n">
        <v>98876</v>
      </c>
      <c r="D209" s="36" t="s">
        <v>16</v>
      </c>
      <c r="E209" s="36" t="n">
        <v>18140</v>
      </c>
      <c r="F209" s="36" t="n">
        <v>12980</v>
      </c>
      <c r="G209" s="37" t="n">
        <v>5160</v>
      </c>
      <c r="H209" s="36" t="s">
        <v>58</v>
      </c>
      <c r="I209" s="36" t="s">
        <v>59</v>
      </c>
      <c r="J209" s="0" t="s">
        <v>60</v>
      </c>
    </row>
    <row r="210" customFormat="false" ht="15" hidden="false" customHeight="false" outlineLevel="0" collapsed="false">
      <c r="A210" s="34" t="n">
        <v>43399</v>
      </c>
      <c r="B210" s="35" t="n">
        <v>0.465972222222222</v>
      </c>
      <c r="C210" s="36" t="n">
        <v>98885</v>
      </c>
      <c r="D210" s="36" t="s">
        <v>12</v>
      </c>
      <c r="E210" s="36" t="n">
        <v>4380</v>
      </c>
      <c r="F210" s="36" t="n">
        <v>3500</v>
      </c>
      <c r="G210" s="37" t="n">
        <v>880</v>
      </c>
      <c r="H210" s="36" t="s">
        <v>58</v>
      </c>
      <c r="I210" s="36" t="s">
        <v>59</v>
      </c>
      <c r="J210" s="0" t="s">
        <v>60</v>
      </c>
    </row>
    <row r="211" customFormat="false" ht="15" hidden="false" customHeight="false" outlineLevel="0" collapsed="false">
      <c r="A211" s="34" t="n">
        <v>43399</v>
      </c>
      <c r="B211" s="35" t="n">
        <v>0.479166666666667</v>
      </c>
      <c r="C211" s="36" t="n">
        <v>98890</v>
      </c>
      <c r="D211" s="36" t="s">
        <v>16</v>
      </c>
      <c r="E211" s="36" t="n">
        <v>17000</v>
      </c>
      <c r="F211" s="36" t="n">
        <v>12880</v>
      </c>
      <c r="G211" s="37" t="n">
        <v>4120</v>
      </c>
      <c r="H211" s="36" t="s">
        <v>58</v>
      </c>
      <c r="I211" s="36" t="s">
        <v>59</v>
      </c>
      <c r="J211" s="0" t="s">
        <v>60</v>
      </c>
    </row>
    <row r="212" customFormat="false" ht="15" hidden="false" customHeight="false" outlineLevel="0" collapsed="false">
      <c r="A212" s="34" t="n">
        <v>43399</v>
      </c>
      <c r="B212" s="35" t="n">
        <v>0.48125</v>
      </c>
      <c r="C212" s="36" t="n">
        <v>98893</v>
      </c>
      <c r="D212" s="36" t="s">
        <v>18</v>
      </c>
      <c r="E212" s="36" t="n">
        <v>24300</v>
      </c>
      <c r="F212" s="36" t="n">
        <v>15800</v>
      </c>
      <c r="G212" s="37" t="n">
        <v>8500</v>
      </c>
      <c r="H212" s="36" t="s">
        <v>58</v>
      </c>
      <c r="I212" s="36" t="s">
        <v>59</v>
      </c>
      <c r="J212" s="0" t="s">
        <v>60</v>
      </c>
    </row>
    <row r="213" customFormat="false" ht="15" hidden="false" customHeight="false" outlineLevel="0" collapsed="false">
      <c r="A213" s="34" t="n">
        <v>43399</v>
      </c>
      <c r="B213" s="35" t="n">
        <v>0.4875</v>
      </c>
      <c r="C213" s="36" t="n">
        <v>98901</v>
      </c>
      <c r="D213" s="36" t="s">
        <v>14</v>
      </c>
      <c r="E213" s="36" t="n">
        <v>3680</v>
      </c>
      <c r="F213" s="36" t="n">
        <v>2900</v>
      </c>
      <c r="G213" s="37" t="n">
        <v>780</v>
      </c>
      <c r="H213" s="36" t="s">
        <v>58</v>
      </c>
      <c r="I213" s="38" t="s">
        <v>62</v>
      </c>
      <c r="J213" s="0" t="s">
        <v>60</v>
      </c>
    </row>
    <row r="214" customFormat="false" ht="15" hidden="false" customHeight="false" outlineLevel="0" collapsed="false">
      <c r="A214" s="34" t="n">
        <v>43400</v>
      </c>
      <c r="B214" s="35" t="n">
        <v>0.0875</v>
      </c>
      <c r="C214" s="36" t="n">
        <v>98922</v>
      </c>
      <c r="D214" s="36" t="s">
        <v>16</v>
      </c>
      <c r="E214" s="36" t="n">
        <v>20660</v>
      </c>
      <c r="F214" s="36" t="n">
        <v>12980</v>
      </c>
      <c r="G214" s="37" t="n">
        <v>7680</v>
      </c>
      <c r="H214" s="36" t="s">
        <v>58</v>
      </c>
      <c r="I214" s="36" t="s">
        <v>59</v>
      </c>
      <c r="J214" s="0" t="s">
        <v>60</v>
      </c>
    </row>
    <row r="215" customFormat="false" ht="15" hidden="false" customHeight="false" outlineLevel="0" collapsed="false">
      <c r="A215" s="34" t="n">
        <v>43400</v>
      </c>
      <c r="B215" s="35" t="n">
        <v>0.164583333333333</v>
      </c>
      <c r="C215" s="36" t="n">
        <v>98928</v>
      </c>
      <c r="D215" s="36" t="s">
        <v>16</v>
      </c>
      <c r="E215" s="36" t="n">
        <v>16520</v>
      </c>
      <c r="F215" s="36" t="n">
        <v>12760</v>
      </c>
      <c r="G215" s="37" t="n">
        <v>3760</v>
      </c>
      <c r="H215" s="36" t="s">
        <v>58</v>
      </c>
      <c r="I215" s="36" t="s">
        <v>59</v>
      </c>
      <c r="J215" s="0" t="s">
        <v>60</v>
      </c>
    </row>
    <row r="216" customFormat="false" ht="15" hidden="false" customHeight="false" outlineLevel="0" collapsed="false">
      <c r="A216" s="34" t="n">
        <v>43400</v>
      </c>
      <c r="B216" s="35" t="n">
        <v>0.248611111111111</v>
      </c>
      <c r="C216" s="36" t="n">
        <v>98932</v>
      </c>
      <c r="D216" s="36" t="s">
        <v>12</v>
      </c>
      <c r="E216" s="36" t="n">
        <v>4380</v>
      </c>
      <c r="F216" s="36" t="n">
        <v>3500</v>
      </c>
      <c r="G216" s="37" t="n">
        <v>880</v>
      </c>
      <c r="H216" s="36" t="s">
        <v>58</v>
      </c>
      <c r="I216" s="36" t="s">
        <v>59</v>
      </c>
      <c r="J216" s="0" t="s">
        <v>60</v>
      </c>
    </row>
    <row r="217" customFormat="false" ht="15" hidden="false" customHeight="false" outlineLevel="0" collapsed="false">
      <c r="A217" s="34" t="n">
        <v>43400</v>
      </c>
      <c r="B217" s="35" t="n">
        <v>0.255555555555556</v>
      </c>
      <c r="C217" s="36" t="n">
        <v>98934</v>
      </c>
      <c r="D217" s="36" t="s">
        <v>18</v>
      </c>
      <c r="E217" s="36" t="n">
        <v>26900</v>
      </c>
      <c r="F217" s="36" t="n">
        <v>15860</v>
      </c>
      <c r="G217" s="37" t="n">
        <v>11040</v>
      </c>
      <c r="H217" s="36" t="s">
        <v>58</v>
      </c>
      <c r="I217" s="36" t="s">
        <v>59</v>
      </c>
      <c r="J217" s="0" t="s">
        <v>60</v>
      </c>
    </row>
    <row r="218" customFormat="false" ht="15" hidden="false" customHeight="false" outlineLevel="0" collapsed="false">
      <c r="A218" s="34" t="n">
        <v>43400</v>
      </c>
      <c r="B218" s="35" t="n">
        <v>0.346527777777778</v>
      </c>
      <c r="C218" s="36" t="n">
        <v>98941</v>
      </c>
      <c r="D218" s="36" t="s">
        <v>14</v>
      </c>
      <c r="E218" s="36" t="n">
        <v>3660</v>
      </c>
      <c r="F218" s="36" t="n">
        <v>2880</v>
      </c>
      <c r="G218" s="37" t="n">
        <v>780</v>
      </c>
      <c r="H218" s="36" t="s">
        <v>58</v>
      </c>
      <c r="I218" s="36" t="s">
        <v>62</v>
      </c>
      <c r="J218" s="0" t="s">
        <v>60</v>
      </c>
    </row>
    <row r="219" customFormat="false" ht="15" hidden="false" customHeight="false" outlineLevel="0" collapsed="false">
      <c r="A219" s="34" t="n">
        <v>43400</v>
      </c>
      <c r="B219" s="35" t="n">
        <v>0.463888888888889</v>
      </c>
      <c r="C219" s="36" t="n">
        <v>98945</v>
      </c>
      <c r="D219" s="36" t="s">
        <v>22</v>
      </c>
      <c r="E219" s="36" t="n">
        <v>2560</v>
      </c>
      <c r="F219" s="36" t="n">
        <v>2380</v>
      </c>
      <c r="G219" s="37" t="n">
        <v>180</v>
      </c>
      <c r="H219" s="36" t="s">
        <v>58</v>
      </c>
      <c r="I219" s="36" t="s">
        <v>59</v>
      </c>
      <c r="J219" s="0" t="s">
        <v>60</v>
      </c>
    </row>
    <row r="220" customFormat="false" ht="15" hidden="false" customHeight="false" outlineLevel="0" collapsed="false">
      <c r="A220" s="34" t="n">
        <v>43401</v>
      </c>
      <c r="B220" s="35" t="n">
        <v>0.0881944444444444</v>
      </c>
      <c r="C220" s="36" t="n">
        <v>98949</v>
      </c>
      <c r="D220" s="36" t="s">
        <v>16</v>
      </c>
      <c r="E220" s="36" t="n">
        <v>19720</v>
      </c>
      <c r="F220" s="36" t="n">
        <v>12880</v>
      </c>
      <c r="G220" s="37" t="n">
        <v>6840</v>
      </c>
      <c r="H220" s="36" t="s">
        <v>58</v>
      </c>
      <c r="I220" s="36" t="s">
        <v>59</v>
      </c>
      <c r="J220" s="0" t="s">
        <v>60</v>
      </c>
    </row>
    <row r="221" customFormat="false" ht="15" hidden="false" customHeight="false" outlineLevel="0" collapsed="false">
      <c r="A221" s="34" t="n">
        <v>43401</v>
      </c>
      <c r="B221" s="35" t="n">
        <v>0.134027777777778</v>
      </c>
      <c r="C221" s="36" t="n">
        <v>98956</v>
      </c>
      <c r="D221" s="36" t="s">
        <v>12</v>
      </c>
      <c r="E221" s="36" t="n">
        <v>4300</v>
      </c>
      <c r="F221" s="36" t="n">
        <v>3560</v>
      </c>
      <c r="G221" s="37" t="n">
        <v>740</v>
      </c>
      <c r="H221" s="36" t="s">
        <v>58</v>
      </c>
      <c r="I221" s="36" t="s">
        <v>59</v>
      </c>
      <c r="J221" s="0" t="s">
        <v>60</v>
      </c>
    </row>
    <row r="222" customFormat="false" ht="15" hidden="false" customHeight="false" outlineLevel="0" collapsed="false">
      <c r="A222" s="34" t="n">
        <v>43401</v>
      </c>
      <c r="B222" s="35" t="n">
        <v>0.181944444444444</v>
      </c>
      <c r="C222" s="36" t="n">
        <v>98957</v>
      </c>
      <c r="D222" s="36" t="s">
        <v>16</v>
      </c>
      <c r="E222" s="36" t="n">
        <v>15300</v>
      </c>
      <c r="F222" s="36" t="n">
        <v>12820</v>
      </c>
      <c r="G222" s="37" t="n">
        <v>2480</v>
      </c>
      <c r="H222" s="36" t="s">
        <v>58</v>
      </c>
      <c r="I222" s="36" t="s">
        <v>59</v>
      </c>
      <c r="J222" s="0" t="s">
        <v>60</v>
      </c>
    </row>
    <row r="223" customFormat="false" ht="15" hidden="false" customHeight="false" outlineLevel="0" collapsed="false">
      <c r="A223" s="34" t="n">
        <v>43401</v>
      </c>
      <c r="B223" s="35" t="n">
        <v>0.452083333333333</v>
      </c>
      <c r="C223" s="36" t="n">
        <v>98964</v>
      </c>
      <c r="D223" s="36" t="s">
        <v>22</v>
      </c>
      <c r="E223" s="36" t="n">
        <v>2640</v>
      </c>
      <c r="F223" s="36" t="n">
        <v>2300</v>
      </c>
      <c r="G223" s="37" t="n">
        <v>340</v>
      </c>
      <c r="H223" s="36" t="s">
        <v>58</v>
      </c>
      <c r="I223" s="36" t="s">
        <v>59</v>
      </c>
      <c r="J223" s="0" t="s">
        <v>60</v>
      </c>
    </row>
    <row r="224" customFormat="false" ht="15" hidden="false" customHeight="false" outlineLevel="0" collapsed="false">
      <c r="A224" s="34" t="n">
        <v>43402</v>
      </c>
      <c r="B224" s="35" t="n">
        <v>0.472916666666667</v>
      </c>
      <c r="C224" s="36" t="n">
        <v>79223</v>
      </c>
      <c r="D224" s="36" t="s">
        <v>18</v>
      </c>
      <c r="E224" s="36" t="n">
        <v>21040</v>
      </c>
      <c r="F224" s="36" t="n">
        <v>16060</v>
      </c>
      <c r="G224" s="37" t="n">
        <v>4980</v>
      </c>
      <c r="H224" s="36" t="s">
        <v>58</v>
      </c>
      <c r="I224" s="36" t="s">
        <v>61</v>
      </c>
      <c r="J224" s="0" t="s">
        <v>60</v>
      </c>
    </row>
    <row r="225" customFormat="false" ht="15" hidden="false" customHeight="false" outlineLevel="0" collapsed="false">
      <c r="A225" s="34" t="n">
        <v>43402</v>
      </c>
      <c r="B225" s="35" t="n">
        <v>0.0638888888888889</v>
      </c>
      <c r="C225" s="36" t="n">
        <v>98965</v>
      </c>
      <c r="D225" s="36" t="s">
        <v>16</v>
      </c>
      <c r="E225" s="36" t="n">
        <v>18920</v>
      </c>
      <c r="F225" s="36" t="n">
        <v>13080</v>
      </c>
      <c r="G225" s="37" t="n">
        <v>5840</v>
      </c>
      <c r="H225" s="36" t="s">
        <v>58</v>
      </c>
      <c r="I225" s="36" t="s">
        <v>59</v>
      </c>
      <c r="J225" s="0" t="s">
        <v>60</v>
      </c>
    </row>
    <row r="226" customFormat="false" ht="15" hidden="false" customHeight="false" outlineLevel="0" collapsed="false">
      <c r="A226" s="34" t="n">
        <v>43402</v>
      </c>
      <c r="B226" s="35" t="n">
        <v>0.109722222222222</v>
      </c>
      <c r="C226" s="36" t="n">
        <v>98968</v>
      </c>
      <c r="D226" s="36" t="s">
        <v>18</v>
      </c>
      <c r="E226" s="36" t="n">
        <v>26660</v>
      </c>
      <c r="F226" s="36" t="n">
        <v>15780</v>
      </c>
      <c r="G226" s="37" t="n">
        <v>10880</v>
      </c>
      <c r="H226" s="36" t="s">
        <v>58</v>
      </c>
      <c r="I226" s="36" t="s">
        <v>59</v>
      </c>
      <c r="J226" s="0" t="s">
        <v>60</v>
      </c>
    </row>
    <row r="227" customFormat="false" ht="15" hidden="false" customHeight="false" outlineLevel="0" collapsed="false">
      <c r="A227" s="34" t="n">
        <v>43402</v>
      </c>
      <c r="B227" s="35" t="n">
        <v>0.144444444444444</v>
      </c>
      <c r="C227" s="36" t="n">
        <v>98971</v>
      </c>
      <c r="D227" s="36" t="s">
        <v>16</v>
      </c>
      <c r="E227" s="36" t="n">
        <v>16580</v>
      </c>
      <c r="F227" s="36" t="n">
        <v>13040</v>
      </c>
      <c r="G227" s="37" t="n">
        <v>3540</v>
      </c>
      <c r="H227" s="36" t="s">
        <v>58</v>
      </c>
      <c r="I227" s="36" t="s">
        <v>59</v>
      </c>
      <c r="J227" s="0" t="s">
        <v>60</v>
      </c>
    </row>
    <row r="228" customFormat="false" ht="15" hidden="false" customHeight="false" outlineLevel="0" collapsed="false">
      <c r="A228" s="34" t="n">
        <v>43402</v>
      </c>
      <c r="B228" s="35" t="n">
        <v>0.240277777777778</v>
      </c>
      <c r="C228" s="36" t="n">
        <v>98977</v>
      </c>
      <c r="D228" s="36" t="s">
        <v>12</v>
      </c>
      <c r="E228" s="36" t="n">
        <v>4300</v>
      </c>
      <c r="F228" s="36" t="n">
        <v>3480</v>
      </c>
      <c r="G228" s="37" t="n">
        <v>820</v>
      </c>
      <c r="H228" s="36" t="s">
        <v>58</v>
      </c>
      <c r="I228" s="36" t="s">
        <v>59</v>
      </c>
      <c r="J228" s="0" t="s">
        <v>60</v>
      </c>
    </row>
    <row r="229" customFormat="false" ht="15" hidden="false" customHeight="false" outlineLevel="0" collapsed="false">
      <c r="A229" s="34" t="n">
        <v>43402</v>
      </c>
      <c r="B229" s="35" t="n">
        <v>0.271527777777778</v>
      </c>
      <c r="C229" s="36" t="n">
        <v>98981</v>
      </c>
      <c r="D229" s="36" t="s">
        <v>18</v>
      </c>
      <c r="E229" s="36" t="n">
        <v>23520</v>
      </c>
      <c r="F229" s="36" t="n">
        <v>15880</v>
      </c>
      <c r="G229" s="37" t="n">
        <v>7640</v>
      </c>
      <c r="H229" s="36" t="s">
        <v>58</v>
      </c>
      <c r="I229" s="36" t="s">
        <v>59</v>
      </c>
      <c r="J229" s="0" t="s">
        <v>60</v>
      </c>
    </row>
    <row r="230" customFormat="false" ht="15" hidden="false" customHeight="false" outlineLevel="0" collapsed="false">
      <c r="A230" s="34" t="n">
        <v>43402</v>
      </c>
      <c r="B230" s="35" t="n">
        <v>0.438888888888889</v>
      </c>
      <c r="C230" s="36" t="n">
        <v>98996</v>
      </c>
      <c r="D230" s="36" t="s">
        <v>14</v>
      </c>
      <c r="E230" s="36" t="n">
        <v>3580</v>
      </c>
      <c r="F230" s="36" t="n">
        <v>2740</v>
      </c>
      <c r="G230" s="37" t="n">
        <v>840</v>
      </c>
      <c r="H230" s="36" t="s">
        <v>58</v>
      </c>
      <c r="I230" s="36" t="s">
        <v>62</v>
      </c>
      <c r="J230" s="0" t="s">
        <v>60</v>
      </c>
    </row>
    <row r="231" customFormat="false" ht="15" hidden="false" customHeight="false" outlineLevel="0" collapsed="false">
      <c r="A231" s="34" t="n">
        <v>43402</v>
      </c>
      <c r="B231" s="35" t="n">
        <v>0.454861111111111</v>
      </c>
      <c r="C231" s="36" t="n">
        <v>98999</v>
      </c>
      <c r="D231" s="36" t="s">
        <v>22</v>
      </c>
      <c r="E231" s="36" t="n">
        <v>2580</v>
      </c>
      <c r="F231" s="36" t="n">
        <v>2300</v>
      </c>
      <c r="G231" s="37" t="n">
        <v>280</v>
      </c>
      <c r="H231" s="36" t="s">
        <v>58</v>
      </c>
      <c r="I231" s="36" t="s">
        <v>59</v>
      </c>
      <c r="J231" s="0" t="s">
        <v>60</v>
      </c>
    </row>
    <row r="232" customFormat="false" ht="15" hidden="false" customHeight="false" outlineLevel="0" collapsed="false">
      <c r="A232" s="39" t="n">
        <v>43403</v>
      </c>
      <c r="B232" s="35" t="n">
        <v>0.481944444444444</v>
      </c>
      <c r="C232" s="40" t="n">
        <v>37439</v>
      </c>
      <c r="D232" s="40" t="s">
        <v>18</v>
      </c>
      <c r="E232" s="40" t="n">
        <v>19900</v>
      </c>
      <c r="F232" s="40" t="n">
        <v>15960</v>
      </c>
      <c r="G232" s="41" t="n">
        <v>3940</v>
      </c>
      <c r="H232" s="36" t="s">
        <v>58</v>
      </c>
      <c r="I232" s="36" t="s">
        <v>63</v>
      </c>
      <c r="J232" s="0" t="s">
        <v>60</v>
      </c>
    </row>
    <row r="233" customFormat="false" ht="15" hidden="false" customHeight="false" outlineLevel="0" collapsed="false">
      <c r="A233" s="39" t="n">
        <v>43403</v>
      </c>
      <c r="B233" s="35" t="n">
        <v>0.0881944444444444</v>
      </c>
      <c r="C233" s="40" t="n">
        <v>99024</v>
      </c>
      <c r="D233" s="40" t="s">
        <v>16</v>
      </c>
      <c r="E233" s="40" t="n">
        <v>17080</v>
      </c>
      <c r="F233" s="40" t="n">
        <v>13100</v>
      </c>
      <c r="G233" s="41" t="n">
        <v>3980</v>
      </c>
      <c r="H233" s="36" t="s">
        <v>58</v>
      </c>
      <c r="I233" s="36" t="s">
        <v>59</v>
      </c>
      <c r="J233" s="0" t="s">
        <v>60</v>
      </c>
    </row>
    <row r="234" customFormat="false" ht="15" hidden="false" customHeight="false" outlineLevel="0" collapsed="false">
      <c r="A234" s="39" t="n">
        <v>43403</v>
      </c>
      <c r="B234" s="35" t="n">
        <v>0.182638888888889</v>
      </c>
      <c r="C234" s="38" t="n">
        <v>99032</v>
      </c>
      <c r="D234" s="38" t="s">
        <v>16</v>
      </c>
      <c r="E234" s="38" t="n">
        <v>15940</v>
      </c>
      <c r="F234" s="38" t="n">
        <v>13100</v>
      </c>
      <c r="G234" s="42" t="n">
        <v>2840</v>
      </c>
      <c r="H234" s="36" t="s">
        <v>58</v>
      </c>
      <c r="I234" s="36" t="s">
        <v>59</v>
      </c>
      <c r="J234" s="0" t="s">
        <v>60</v>
      </c>
    </row>
    <row r="235" customFormat="false" ht="15" hidden="false" customHeight="false" outlineLevel="0" collapsed="false">
      <c r="A235" s="39" t="n">
        <v>43403</v>
      </c>
      <c r="B235" s="35" t="n">
        <v>0.219444444444444</v>
      </c>
      <c r="C235" s="36" t="n">
        <v>99034</v>
      </c>
      <c r="D235" s="36" t="s">
        <v>12</v>
      </c>
      <c r="E235" s="36" t="n">
        <v>4200</v>
      </c>
      <c r="F235" s="36" t="n">
        <v>3480</v>
      </c>
      <c r="G235" s="37" t="n">
        <v>720</v>
      </c>
      <c r="H235" s="36" t="s">
        <v>58</v>
      </c>
      <c r="I235" s="36" t="s">
        <v>59</v>
      </c>
      <c r="J235" s="0" t="s">
        <v>60</v>
      </c>
    </row>
    <row r="236" customFormat="false" ht="15" hidden="false" customHeight="false" outlineLevel="0" collapsed="false">
      <c r="A236" s="43" t="n">
        <v>43403</v>
      </c>
      <c r="B236" s="35" t="n">
        <v>0.252777777777778</v>
      </c>
      <c r="C236" s="36" t="n">
        <v>99037</v>
      </c>
      <c r="D236" s="36" t="s">
        <v>18</v>
      </c>
      <c r="E236" s="36" t="n">
        <v>25860</v>
      </c>
      <c r="F236" s="36" t="n">
        <v>15920</v>
      </c>
      <c r="G236" s="37" t="n">
        <v>9940</v>
      </c>
      <c r="H236" s="36" t="s">
        <v>58</v>
      </c>
      <c r="I236" s="36" t="s">
        <v>59</v>
      </c>
      <c r="J236" s="0" t="s">
        <v>60</v>
      </c>
    </row>
    <row r="237" customFormat="false" ht="15" hidden="false" customHeight="false" outlineLevel="0" collapsed="false">
      <c r="A237" s="34" t="n">
        <v>43403</v>
      </c>
      <c r="B237" s="35" t="n">
        <v>0.447916666666667</v>
      </c>
      <c r="C237" s="36" t="n">
        <v>99052</v>
      </c>
      <c r="D237" s="36" t="s">
        <v>22</v>
      </c>
      <c r="E237" s="36" t="n">
        <v>2700</v>
      </c>
      <c r="F237" s="36" t="n">
        <v>2440</v>
      </c>
      <c r="G237" s="37" t="n">
        <v>260</v>
      </c>
      <c r="H237" s="36" t="s">
        <v>58</v>
      </c>
      <c r="I237" s="36" t="s">
        <v>59</v>
      </c>
      <c r="J237" s="0" t="s">
        <v>60</v>
      </c>
    </row>
    <row r="238" customFormat="false" ht="15" hidden="false" customHeight="false" outlineLevel="0" collapsed="false">
      <c r="A238" s="34" t="n">
        <v>43403</v>
      </c>
      <c r="B238" s="35" t="n">
        <v>0.463194444444444</v>
      </c>
      <c r="C238" s="36" t="n">
        <v>99053</v>
      </c>
      <c r="D238" s="36" t="s">
        <v>14</v>
      </c>
      <c r="E238" s="36" t="n">
        <v>3300</v>
      </c>
      <c r="F238" s="36" t="n">
        <v>2720</v>
      </c>
      <c r="G238" s="37" t="n">
        <v>580</v>
      </c>
      <c r="H238" s="36" t="s">
        <v>58</v>
      </c>
      <c r="I238" s="36" t="s">
        <v>62</v>
      </c>
      <c r="J238" s="0" t="s">
        <v>60</v>
      </c>
    </row>
    <row r="239" customFormat="false" ht="15" hidden="false" customHeight="false" outlineLevel="0" collapsed="false">
      <c r="A239" s="34" t="n">
        <v>43404</v>
      </c>
      <c r="B239" s="35" t="n">
        <v>0.156944444444444</v>
      </c>
      <c r="C239" s="36" t="n">
        <v>99084</v>
      </c>
      <c r="D239" s="36" t="s">
        <v>16</v>
      </c>
      <c r="E239" s="36" t="n">
        <v>20680</v>
      </c>
      <c r="F239" s="36" t="n">
        <v>13080</v>
      </c>
      <c r="G239" s="37" t="n">
        <v>7600</v>
      </c>
      <c r="H239" s="36" t="s">
        <v>58</v>
      </c>
      <c r="I239" s="36" t="s">
        <v>59</v>
      </c>
      <c r="J239" s="0" t="s">
        <v>60</v>
      </c>
    </row>
    <row r="240" customFormat="false" ht="15" hidden="false" customHeight="false" outlineLevel="0" collapsed="false">
      <c r="A240" s="34" t="n">
        <v>43404</v>
      </c>
      <c r="B240" s="35" t="n">
        <v>0.220833333333333</v>
      </c>
      <c r="C240" s="36" t="n">
        <v>99086</v>
      </c>
      <c r="D240" s="36" t="s">
        <v>18</v>
      </c>
      <c r="E240" s="36" t="n">
        <v>26040</v>
      </c>
      <c r="F240" s="36" t="n">
        <v>15900</v>
      </c>
      <c r="G240" s="37" t="n">
        <v>10140</v>
      </c>
      <c r="H240" s="36" t="s">
        <v>58</v>
      </c>
      <c r="I240" s="36" t="s">
        <v>59</v>
      </c>
      <c r="J240" s="0" t="s">
        <v>60</v>
      </c>
    </row>
    <row r="241" customFormat="false" ht="15" hidden="false" customHeight="false" outlineLevel="0" collapsed="false">
      <c r="A241" s="34" t="n">
        <v>43404</v>
      </c>
      <c r="B241" s="35" t="n">
        <v>0.247916666666667</v>
      </c>
      <c r="C241" s="36" t="n">
        <v>99087</v>
      </c>
      <c r="D241" s="36" t="s">
        <v>12</v>
      </c>
      <c r="E241" s="36" t="n">
        <v>4260</v>
      </c>
      <c r="F241" s="36" t="n">
        <v>3600</v>
      </c>
      <c r="G241" s="37" t="n">
        <v>660</v>
      </c>
      <c r="H241" s="36" t="s">
        <v>58</v>
      </c>
      <c r="I241" s="36" t="s">
        <v>59</v>
      </c>
      <c r="J241" s="0" t="s">
        <v>60</v>
      </c>
    </row>
    <row r="242" customFormat="false" ht="15" hidden="false" customHeight="false" outlineLevel="0" collapsed="false">
      <c r="A242" s="34" t="n">
        <v>43404</v>
      </c>
      <c r="B242" s="35" t="n">
        <v>0.272916666666667</v>
      </c>
      <c r="C242" s="36" t="n">
        <v>99090</v>
      </c>
      <c r="D242" s="36" t="s">
        <v>18</v>
      </c>
      <c r="E242" s="36" t="n">
        <v>17400</v>
      </c>
      <c r="F242" s="36" t="n">
        <v>15860</v>
      </c>
      <c r="G242" s="37" t="n">
        <v>1540</v>
      </c>
      <c r="H242" s="36" t="s">
        <v>58</v>
      </c>
      <c r="I242" s="36" t="s">
        <v>59</v>
      </c>
      <c r="J242" s="0" t="s">
        <v>60</v>
      </c>
    </row>
    <row r="243" customFormat="false" ht="15" hidden="false" customHeight="false" outlineLevel="0" collapsed="false">
      <c r="A243" s="34" t="n">
        <v>43404</v>
      </c>
      <c r="B243" s="35" t="n">
        <v>0.314583333333333</v>
      </c>
      <c r="C243" s="36" t="n">
        <v>99093</v>
      </c>
      <c r="D243" s="36" t="s">
        <v>22</v>
      </c>
      <c r="E243" s="36" t="n">
        <v>2700</v>
      </c>
      <c r="F243" s="36" t="n">
        <v>2380</v>
      </c>
      <c r="G243" s="37" t="n">
        <v>320</v>
      </c>
      <c r="H243" s="36" t="s">
        <v>58</v>
      </c>
      <c r="I243" s="36" t="s">
        <v>59</v>
      </c>
      <c r="J243" s="0" t="s">
        <v>60</v>
      </c>
    </row>
    <row r="244" customFormat="false" ht="15" hidden="false" customHeight="false" outlineLevel="0" collapsed="false">
      <c r="A244" s="43" t="n">
        <v>43404</v>
      </c>
      <c r="B244" s="35" t="n">
        <v>0.448611111111111</v>
      </c>
      <c r="C244" s="38" t="n">
        <v>99104</v>
      </c>
      <c r="D244" s="38" t="s">
        <v>22</v>
      </c>
      <c r="E244" s="38" t="n">
        <v>2620</v>
      </c>
      <c r="F244" s="38" t="n">
        <v>2380</v>
      </c>
      <c r="G244" s="42" t="n">
        <v>240</v>
      </c>
      <c r="H244" s="36" t="s">
        <v>58</v>
      </c>
      <c r="I244" s="36" t="s">
        <v>59</v>
      </c>
      <c r="J244" s="0" t="s">
        <v>60</v>
      </c>
    </row>
  </sheetData>
  <autoFilter ref="A1:J244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36" activeCellId="0" sqref="B36:G36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44" t="s">
        <v>51</v>
      </c>
      <c r="B1" s="45" t="s">
        <v>66</v>
      </c>
    </row>
    <row r="3" customFormat="false" ht="12.8" hidden="false" customHeight="false" outlineLevel="0" collapsed="false">
      <c r="A3" s="46" t="s">
        <v>67</v>
      </c>
      <c r="B3" s="47" t="s">
        <v>56</v>
      </c>
      <c r="C3" s="48"/>
      <c r="D3" s="48"/>
      <c r="E3" s="48"/>
      <c r="F3" s="48"/>
      <c r="G3" s="48"/>
      <c r="H3" s="49"/>
    </row>
    <row r="4" customFormat="false" ht="12.8" hidden="false" customHeight="false" outlineLevel="0" collapsed="false">
      <c r="A4" s="50" t="s">
        <v>1</v>
      </c>
      <c r="B4" s="51" t="s">
        <v>65</v>
      </c>
      <c r="C4" s="52" t="s">
        <v>64</v>
      </c>
      <c r="D4" s="52" t="s">
        <v>59</v>
      </c>
      <c r="E4" s="52" t="s">
        <v>63</v>
      </c>
      <c r="F4" s="52" t="s">
        <v>61</v>
      </c>
      <c r="G4" s="52" t="s">
        <v>62</v>
      </c>
      <c r="H4" s="53" t="s">
        <v>68</v>
      </c>
    </row>
    <row r="5" customFormat="false" ht="12.8" hidden="false" customHeight="false" outlineLevel="0" collapsed="false">
      <c r="A5" s="54" t="n">
        <v>43374</v>
      </c>
      <c r="B5" s="55"/>
      <c r="C5" s="56"/>
      <c r="D5" s="56" t="n">
        <v>32060</v>
      </c>
      <c r="E5" s="56"/>
      <c r="F5" s="56"/>
      <c r="G5" s="57"/>
      <c r="H5" s="58" t="n">
        <v>32060</v>
      </c>
    </row>
    <row r="6" customFormat="false" ht="12.8" hidden="false" customHeight="false" outlineLevel="0" collapsed="false">
      <c r="A6" s="59" t="n">
        <v>43375</v>
      </c>
      <c r="B6" s="60"/>
      <c r="C6" s="61"/>
      <c r="D6" s="61" t="n">
        <v>24100</v>
      </c>
      <c r="E6" s="61"/>
      <c r="F6" s="61" t="n">
        <v>1960</v>
      </c>
      <c r="G6" s="62" t="n">
        <v>340</v>
      </c>
      <c r="H6" s="63" t="n">
        <v>26400</v>
      </c>
    </row>
    <row r="7" customFormat="false" ht="12.8" hidden="false" customHeight="false" outlineLevel="0" collapsed="false">
      <c r="A7" s="59" t="n">
        <v>43376</v>
      </c>
      <c r="B7" s="60"/>
      <c r="C7" s="61"/>
      <c r="D7" s="61" t="n">
        <v>24980</v>
      </c>
      <c r="E7" s="61" t="n">
        <v>1400</v>
      </c>
      <c r="F7" s="61"/>
      <c r="G7" s="62" t="n">
        <v>900</v>
      </c>
      <c r="H7" s="63" t="n">
        <v>27280</v>
      </c>
    </row>
    <row r="8" customFormat="false" ht="12.8" hidden="false" customHeight="false" outlineLevel="0" collapsed="false">
      <c r="A8" s="59" t="n">
        <v>43377</v>
      </c>
      <c r="B8" s="60"/>
      <c r="C8" s="61" t="n">
        <v>3980</v>
      </c>
      <c r="D8" s="61" t="n">
        <v>22800</v>
      </c>
      <c r="E8" s="61"/>
      <c r="F8" s="61"/>
      <c r="G8" s="62" t="n">
        <v>620</v>
      </c>
      <c r="H8" s="63" t="n">
        <v>27400</v>
      </c>
    </row>
    <row r="9" customFormat="false" ht="12.8" hidden="false" customHeight="false" outlineLevel="0" collapsed="false">
      <c r="A9" s="59" t="n">
        <v>43378</v>
      </c>
      <c r="B9" s="60"/>
      <c r="C9" s="61" t="n">
        <v>4520</v>
      </c>
      <c r="D9" s="61" t="n">
        <v>26880</v>
      </c>
      <c r="E9" s="61"/>
      <c r="F9" s="61"/>
      <c r="G9" s="62" t="n">
        <v>640</v>
      </c>
      <c r="H9" s="63" t="n">
        <v>32040</v>
      </c>
    </row>
    <row r="10" customFormat="false" ht="12.8" hidden="false" customHeight="false" outlineLevel="0" collapsed="false">
      <c r="A10" s="59" t="n">
        <v>43379</v>
      </c>
      <c r="B10" s="60"/>
      <c r="C10" s="61"/>
      <c r="D10" s="61" t="n">
        <v>25620</v>
      </c>
      <c r="E10" s="61"/>
      <c r="F10" s="61"/>
      <c r="G10" s="62" t="n">
        <v>5700</v>
      </c>
      <c r="H10" s="63" t="n">
        <v>31320</v>
      </c>
    </row>
    <row r="11" customFormat="false" ht="12.8" hidden="false" customHeight="false" outlineLevel="0" collapsed="false">
      <c r="A11" s="59" t="n">
        <v>43380</v>
      </c>
      <c r="B11" s="60"/>
      <c r="C11" s="61"/>
      <c r="D11" s="61" t="n">
        <v>25280</v>
      </c>
      <c r="E11" s="61"/>
      <c r="F11" s="61"/>
      <c r="G11" s="62"/>
      <c r="H11" s="63" t="n">
        <v>25280</v>
      </c>
    </row>
    <row r="12" customFormat="false" ht="12.8" hidden="false" customHeight="false" outlineLevel="0" collapsed="false">
      <c r="A12" s="59" t="n">
        <v>43381</v>
      </c>
      <c r="B12" s="60"/>
      <c r="C12" s="61"/>
      <c r="D12" s="61" t="n">
        <v>28050</v>
      </c>
      <c r="E12" s="61"/>
      <c r="F12" s="61" t="n">
        <v>740</v>
      </c>
      <c r="G12" s="62" t="n">
        <v>820</v>
      </c>
      <c r="H12" s="63" t="n">
        <v>29610</v>
      </c>
    </row>
    <row r="13" customFormat="false" ht="12.8" hidden="false" customHeight="false" outlineLevel="0" collapsed="false">
      <c r="A13" s="59" t="n">
        <v>43382</v>
      </c>
      <c r="B13" s="60"/>
      <c r="C13" s="61"/>
      <c r="D13" s="61" t="n">
        <v>24180</v>
      </c>
      <c r="E13" s="61"/>
      <c r="F13" s="61"/>
      <c r="G13" s="62" t="n">
        <v>860</v>
      </c>
      <c r="H13" s="63" t="n">
        <v>25040</v>
      </c>
    </row>
    <row r="14" customFormat="false" ht="12.8" hidden="false" customHeight="false" outlineLevel="0" collapsed="false">
      <c r="A14" s="59" t="n">
        <v>43383</v>
      </c>
      <c r="B14" s="60"/>
      <c r="C14" s="61"/>
      <c r="D14" s="61" t="n">
        <v>24220</v>
      </c>
      <c r="E14" s="61"/>
      <c r="F14" s="61"/>
      <c r="G14" s="62"/>
      <c r="H14" s="63" t="n">
        <v>24220</v>
      </c>
    </row>
    <row r="15" customFormat="false" ht="12.8" hidden="false" customHeight="false" outlineLevel="0" collapsed="false">
      <c r="A15" s="59" t="n">
        <v>43384</v>
      </c>
      <c r="B15" s="60"/>
      <c r="C15" s="61"/>
      <c r="D15" s="61" t="n">
        <v>22220</v>
      </c>
      <c r="E15" s="61"/>
      <c r="F15" s="61"/>
      <c r="G15" s="62" t="n">
        <v>420</v>
      </c>
      <c r="H15" s="63" t="n">
        <v>22640</v>
      </c>
    </row>
    <row r="16" customFormat="false" ht="12.8" hidden="false" customHeight="false" outlineLevel="0" collapsed="false">
      <c r="A16" s="59" t="n">
        <v>43385</v>
      </c>
      <c r="B16" s="60"/>
      <c r="C16" s="61"/>
      <c r="D16" s="61" t="n">
        <v>26100</v>
      </c>
      <c r="E16" s="61"/>
      <c r="F16" s="61"/>
      <c r="G16" s="62"/>
      <c r="H16" s="63" t="n">
        <v>26100</v>
      </c>
    </row>
    <row r="17" customFormat="false" ht="12.8" hidden="false" customHeight="false" outlineLevel="0" collapsed="false">
      <c r="A17" s="59" t="n">
        <v>43386</v>
      </c>
      <c r="B17" s="60"/>
      <c r="C17" s="61"/>
      <c r="D17" s="61" t="n">
        <v>33680</v>
      </c>
      <c r="E17" s="61"/>
      <c r="F17" s="61"/>
      <c r="G17" s="62" t="n">
        <v>720</v>
      </c>
      <c r="H17" s="63" t="n">
        <v>34400</v>
      </c>
    </row>
    <row r="18" customFormat="false" ht="12.8" hidden="false" customHeight="false" outlineLevel="0" collapsed="false">
      <c r="A18" s="59" t="n">
        <v>43387</v>
      </c>
      <c r="B18" s="60"/>
      <c r="C18" s="61"/>
      <c r="D18" s="61" t="n">
        <v>33020</v>
      </c>
      <c r="E18" s="61"/>
      <c r="F18" s="61"/>
      <c r="G18" s="62"/>
      <c r="H18" s="63" t="n">
        <v>33020</v>
      </c>
    </row>
    <row r="19" customFormat="false" ht="12.8" hidden="false" customHeight="false" outlineLevel="0" collapsed="false">
      <c r="A19" s="59" t="n">
        <v>43388</v>
      </c>
      <c r="B19" s="60"/>
      <c r="C19" s="61" t="n">
        <v>10280</v>
      </c>
      <c r="D19" s="61" t="n">
        <v>32320</v>
      </c>
      <c r="E19" s="61"/>
      <c r="F19" s="61"/>
      <c r="G19" s="62" t="n">
        <v>520</v>
      </c>
      <c r="H19" s="63" t="n">
        <v>43120</v>
      </c>
    </row>
    <row r="20" customFormat="false" ht="12.8" hidden="false" customHeight="false" outlineLevel="0" collapsed="false">
      <c r="A20" s="59" t="n">
        <v>43389</v>
      </c>
      <c r="B20" s="60"/>
      <c r="C20" s="61"/>
      <c r="D20" s="61" t="n">
        <v>21940</v>
      </c>
      <c r="E20" s="61"/>
      <c r="F20" s="61"/>
      <c r="G20" s="62" t="n">
        <v>480</v>
      </c>
      <c r="H20" s="63" t="n">
        <v>22420</v>
      </c>
    </row>
    <row r="21" customFormat="false" ht="12.8" hidden="false" customHeight="false" outlineLevel="0" collapsed="false">
      <c r="A21" s="59" t="n">
        <v>43390</v>
      </c>
      <c r="B21" s="60"/>
      <c r="C21" s="61"/>
      <c r="D21" s="61" t="n">
        <v>16940</v>
      </c>
      <c r="E21" s="61"/>
      <c r="F21" s="61"/>
      <c r="G21" s="62" t="n">
        <v>820</v>
      </c>
      <c r="H21" s="63" t="n">
        <v>17760</v>
      </c>
    </row>
    <row r="22" customFormat="false" ht="12.8" hidden="false" customHeight="false" outlineLevel="0" collapsed="false">
      <c r="A22" s="59" t="n">
        <v>43391</v>
      </c>
      <c r="B22" s="60"/>
      <c r="C22" s="61"/>
      <c r="D22" s="61" t="n">
        <v>14320</v>
      </c>
      <c r="E22" s="61"/>
      <c r="F22" s="61" t="n">
        <v>1560</v>
      </c>
      <c r="G22" s="62" t="n">
        <v>640</v>
      </c>
      <c r="H22" s="63" t="n">
        <v>16520</v>
      </c>
    </row>
    <row r="23" customFormat="false" ht="12.8" hidden="false" customHeight="false" outlineLevel="0" collapsed="false">
      <c r="A23" s="59" t="n">
        <v>43392</v>
      </c>
      <c r="B23" s="60"/>
      <c r="C23" s="61"/>
      <c r="D23" s="61" t="n">
        <v>5340</v>
      </c>
      <c r="E23" s="61"/>
      <c r="F23" s="61"/>
      <c r="G23" s="62" t="n">
        <v>280</v>
      </c>
      <c r="H23" s="63" t="n">
        <v>5620</v>
      </c>
    </row>
    <row r="24" customFormat="false" ht="12.8" hidden="false" customHeight="false" outlineLevel="0" collapsed="false">
      <c r="A24" s="59" t="n">
        <v>43393</v>
      </c>
      <c r="B24" s="60"/>
      <c r="C24" s="61"/>
      <c r="D24" s="61" t="n">
        <v>32520</v>
      </c>
      <c r="E24" s="61"/>
      <c r="F24" s="61"/>
      <c r="G24" s="62" t="n">
        <v>540</v>
      </c>
      <c r="H24" s="63" t="n">
        <v>33060</v>
      </c>
    </row>
    <row r="25" customFormat="false" ht="12.8" hidden="false" customHeight="false" outlineLevel="0" collapsed="false">
      <c r="A25" s="59" t="n">
        <v>43394</v>
      </c>
      <c r="B25" s="60"/>
      <c r="C25" s="61"/>
      <c r="D25" s="61" t="n">
        <v>30020</v>
      </c>
      <c r="E25" s="61"/>
      <c r="F25" s="61"/>
      <c r="G25" s="62" t="n">
        <v>980</v>
      </c>
      <c r="H25" s="63" t="n">
        <v>31000</v>
      </c>
    </row>
    <row r="26" customFormat="false" ht="12.8" hidden="false" customHeight="false" outlineLevel="0" collapsed="false">
      <c r="A26" s="59" t="n">
        <v>43395</v>
      </c>
      <c r="B26" s="60"/>
      <c r="C26" s="61"/>
      <c r="D26" s="61" t="n">
        <v>25720</v>
      </c>
      <c r="E26" s="61"/>
      <c r="F26" s="61"/>
      <c r="G26" s="62"/>
      <c r="H26" s="63" t="n">
        <v>25720</v>
      </c>
    </row>
    <row r="27" customFormat="false" ht="12.8" hidden="false" customHeight="false" outlineLevel="0" collapsed="false">
      <c r="A27" s="59" t="n">
        <v>43396</v>
      </c>
      <c r="B27" s="60" t="n">
        <v>9960</v>
      </c>
      <c r="C27" s="61"/>
      <c r="D27" s="61" t="n">
        <v>19870</v>
      </c>
      <c r="E27" s="61"/>
      <c r="F27" s="61"/>
      <c r="G27" s="62"/>
      <c r="H27" s="63" t="n">
        <v>29830</v>
      </c>
    </row>
    <row r="28" customFormat="false" ht="12.8" hidden="false" customHeight="false" outlineLevel="0" collapsed="false">
      <c r="A28" s="59" t="n">
        <v>43397</v>
      </c>
      <c r="B28" s="60"/>
      <c r="C28" s="61"/>
      <c r="D28" s="61" t="n">
        <v>22480</v>
      </c>
      <c r="E28" s="61"/>
      <c r="F28" s="61" t="n">
        <v>4060</v>
      </c>
      <c r="G28" s="62" t="n">
        <v>1400</v>
      </c>
      <c r="H28" s="63" t="n">
        <v>27940</v>
      </c>
    </row>
    <row r="29" customFormat="false" ht="12.8" hidden="false" customHeight="false" outlineLevel="0" collapsed="false">
      <c r="A29" s="59" t="n">
        <v>43398</v>
      </c>
      <c r="B29" s="60" t="n">
        <v>22440</v>
      </c>
      <c r="C29" s="61"/>
      <c r="D29" s="61" t="n">
        <v>21260</v>
      </c>
      <c r="E29" s="61"/>
      <c r="F29" s="61"/>
      <c r="G29" s="62" t="n">
        <v>940</v>
      </c>
      <c r="H29" s="63" t="n">
        <v>44640</v>
      </c>
    </row>
    <row r="30" customFormat="false" ht="12.8" hidden="false" customHeight="false" outlineLevel="0" collapsed="false">
      <c r="A30" s="59" t="n">
        <v>43399</v>
      </c>
      <c r="B30" s="60"/>
      <c r="C30" s="61"/>
      <c r="D30" s="61" t="n">
        <v>19020</v>
      </c>
      <c r="E30" s="61"/>
      <c r="F30" s="61"/>
      <c r="G30" s="62" t="n">
        <v>780</v>
      </c>
      <c r="H30" s="63" t="n">
        <v>19800</v>
      </c>
    </row>
    <row r="31" customFormat="false" ht="12.8" hidden="false" customHeight="false" outlineLevel="0" collapsed="false">
      <c r="A31" s="59" t="n">
        <v>43400</v>
      </c>
      <c r="B31" s="60"/>
      <c r="C31" s="61"/>
      <c r="D31" s="61" t="n">
        <v>23540</v>
      </c>
      <c r="E31" s="61"/>
      <c r="F31" s="61"/>
      <c r="G31" s="62" t="n">
        <v>780</v>
      </c>
      <c r="H31" s="63" t="n">
        <v>24320</v>
      </c>
    </row>
    <row r="32" customFormat="false" ht="12.8" hidden="false" customHeight="false" outlineLevel="0" collapsed="false">
      <c r="A32" s="59" t="n">
        <v>43401</v>
      </c>
      <c r="B32" s="60"/>
      <c r="C32" s="61"/>
      <c r="D32" s="61" t="n">
        <v>10400</v>
      </c>
      <c r="E32" s="61"/>
      <c r="F32" s="61"/>
      <c r="G32" s="62"/>
      <c r="H32" s="63" t="n">
        <v>10400</v>
      </c>
    </row>
    <row r="33" customFormat="false" ht="12.8" hidden="false" customHeight="false" outlineLevel="0" collapsed="false">
      <c r="A33" s="59" t="n">
        <v>43402</v>
      </c>
      <c r="B33" s="60"/>
      <c r="C33" s="61"/>
      <c r="D33" s="61" t="n">
        <v>29000</v>
      </c>
      <c r="E33" s="61"/>
      <c r="F33" s="61" t="n">
        <v>4980</v>
      </c>
      <c r="G33" s="62" t="n">
        <v>840</v>
      </c>
      <c r="H33" s="63" t="n">
        <v>34820</v>
      </c>
    </row>
    <row r="34" customFormat="false" ht="12.8" hidden="false" customHeight="false" outlineLevel="0" collapsed="false">
      <c r="A34" s="59" t="n">
        <v>43403</v>
      </c>
      <c r="B34" s="60"/>
      <c r="C34" s="61"/>
      <c r="D34" s="61" t="n">
        <v>17740</v>
      </c>
      <c r="E34" s="61" t="n">
        <v>3940</v>
      </c>
      <c r="F34" s="61"/>
      <c r="G34" s="62" t="n">
        <v>580</v>
      </c>
      <c r="H34" s="63" t="n">
        <v>22260</v>
      </c>
    </row>
    <row r="35" customFormat="false" ht="12.8" hidden="false" customHeight="false" outlineLevel="0" collapsed="false">
      <c r="A35" s="59" t="n">
        <v>43404</v>
      </c>
      <c r="B35" s="64"/>
      <c r="C35" s="65"/>
      <c r="D35" s="65" t="n">
        <v>20500</v>
      </c>
      <c r="E35" s="65"/>
      <c r="F35" s="65"/>
      <c r="G35" s="66"/>
      <c r="H35" s="67" t="n">
        <v>20500</v>
      </c>
    </row>
    <row r="36" customFormat="false" ht="12.8" hidden="false" customHeight="false" outlineLevel="0" collapsed="false">
      <c r="A36" s="68" t="s">
        <v>68</v>
      </c>
      <c r="B36" s="69" t="n">
        <v>32400</v>
      </c>
      <c r="C36" s="70" t="n">
        <v>18780</v>
      </c>
      <c r="D36" s="70" t="n">
        <v>736120</v>
      </c>
      <c r="E36" s="70" t="n">
        <v>5340</v>
      </c>
      <c r="F36" s="70" t="n">
        <v>13300</v>
      </c>
      <c r="G36" s="71" t="n">
        <v>20600</v>
      </c>
      <c r="H36" s="72" t="n">
        <v>826540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B36:G36 A3"/>
    </sheetView>
  </sheetViews>
  <sheetFormatPr defaultRowHeight="15" zeroHeight="false" outlineLevelRow="0" outlineLevelCol="0"/>
  <cols>
    <col collapsed="false" customWidth="true" hidden="false" outlineLevel="0" max="1" min="1" style="0" width="17.57"/>
    <col collapsed="false" customWidth="true" hidden="false" outlineLevel="0" max="2" min="2" style="0" width="22.43"/>
    <col collapsed="false" customWidth="true" hidden="false" outlineLevel="0" max="3" min="3" style="0" width="7"/>
    <col collapsed="false" customWidth="true" hidden="false" outlineLevel="0" max="4" min="4" style="0" width="8.14"/>
    <col collapsed="false" customWidth="true" hidden="false" outlineLevel="0" max="5" min="5" style="0" width="8"/>
    <col collapsed="false" customWidth="true" hidden="false" outlineLevel="0" max="6" min="6" style="0" width="6"/>
    <col collapsed="false" customWidth="true" hidden="false" outlineLevel="0" max="7" min="7" style="0" width="11"/>
    <col collapsed="false" customWidth="true" hidden="false" outlineLevel="0" max="8" min="8" style="0" width="10.86"/>
    <col collapsed="false" customWidth="true" hidden="false" outlineLevel="0" max="9" min="9" style="0" width="15.11"/>
    <col collapsed="false" customWidth="true" hidden="false" outlineLevel="0" max="92" min="10" style="0" width="5"/>
    <col collapsed="false" customWidth="true" hidden="false" outlineLevel="0" max="304" min="93" style="0" width="6"/>
    <col collapsed="false" customWidth="true" hidden="false" outlineLevel="0" max="305" min="305" style="0" width="12.57"/>
    <col collapsed="false" customWidth="true" hidden="false" outlineLevel="0" max="1025" min="306" style="0" width="10.61"/>
  </cols>
  <sheetData>
    <row r="1" customFormat="false" ht="15" hidden="false" customHeight="false" outlineLevel="0" collapsed="false">
      <c r="A1" s="46" t="s">
        <v>67</v>
      </c>
      <c r="B1" s="47" t="s">
        <v>56</v>
      </c>
      <c r="C1" s="48"/>
      <c r="D1" s="48"/>
      <c r="E1" s="48"/>
      <c r="F1" s="48"/>
      <c r="G1" s="48"/>
      <c r="H1" s="48"/>
      <c r="I1" s="49"/>
    </row>
    <row r="2" customFormat="false" ht="15" hidden="false" customHeight="false" outlineLevel="0" collapsed="false">
      <c r="A2" s="50" t="s">
        <v>51</v>
      </c>
      <c r="B2" s="51" t="s">
        <v>65</v>
      </c>
      <c r="C2" s="52" t="s">
        <v>64</v>
      </c>
      <c r="D2" s="52" t="s">
        <v>59</v>
      </c>
      <c r="E2" s="52" t="s">
        <v>63</v>
      </c>
      <c r="F2" s="52" t="s">
        <v>61</v>
      </c>
      <c r="G2" s="52" t="s">
        <v>62</v>
      </c>
      <c r="H2" s="52" t="s">
        <v>69</v>
      </c>
      <c r="I2" s="53" t="s">
        <v>68</v>
      </c>
    </row>
    <row r="3" customFormat="false" ht="15" hidden="false" customHeight="false" outlineLevel="0" collapsed="false">
      <c r="A3" s="73" t="s">
        <v>20</v>
      </c>
      <c r="B3" s="55" t="n">
        <v>32400</v>
      </c>
      <c r="C3" s="56" t="n">
        <v>18780</v>
      </c>
      <c r="D3" s="56" t="n">
        <v>2240</v>
      </c>
      <c r="E3" s="56"/>
      <c r="F3" s="56" t="n">
        <v>4060</v>
      </c>
      <c r="G3" s="56" t="n">
        <v>5220</v>
      </c>
      <c r="H3" s="57"/>
      <c r="I3" s="58" t="n">
        <v>62700</v>
      </c>
    </row>
    <row r="4" customFormat="false" ht="15" hidden="false" customHeight="false" outlineLevel="0" collapsed="false">
      <c r="A4" s="74" t="s">
        <v>18</v>
      </c>
      <c r="B4" s="60"/>
      <c r="C4" s="61"/>
      <c r="D4" s="61" t="n">
        <v>289000</v>
      </c>
      <c r="E4" s="61" t="n">
        <v>5340</v>
      </c>
      <c r="F4" s="61" t="n">
        <v>4980</v>
      </c>
      <c r="G4" s="61"/>
      <c r="H4" s="62"/>
      <c r="I4" s="63" t="n">
        <v>299320</v>
      </c>
    </row>
    <row r="5" customFormat="false" ht="15" hidden="false" customHeight="false" outlineLevel="0" collapsed="false">
      <c r="A5" s="74" t="s">
        <v>19</v>
      </c>
      <c r="B5" s="60"/>
      <c r="C5" s="61"/>
      <c r="D5" s="61" t="n">
        <v>49080</v>
      </c>
      <c r="E5" s="61"/>
      <c r="F5" s="61" t="n">
        <v>3520</v>
      </c>
      <c r="G5" s="61"/>
      <c r="H5" s="62"/>
      <c r="I5" s="63" t="n">
        <v>52600</v>
      </c>
    </row>
    <row r="6" customFormat="false" ht="15" hidden="false" customHeight="false" outlineLevel="0" collapsed="false">
      <c r="A6" s="74" t="s">
        <v>22</v>
      </c>
      <c r="B6" s="60"/>
      <c r="C6" s="61"/>
      <c r="D6" s="61" t="n">
        <v>9360</v>
      </c>
      <c r="E6" s="61"/>
      <c r="F6" s="61"/>
      <c r="G6" s="61" t="n">
        <v>480</v>
      </c>
      <c r="H6" s="62"/>
      <c r="I6" s="63" t="n">
        <v>9840</v>
      </c>
    </row>
    <row r="7" customFormat="false" ht="15" hidden="false" customHeight="false" outlineLevel="0" collapsed="false">
      <c r="A7" s="74" t="s">
        <v>14</v>
      </c>
      <c r="B7" s="60"/>
      <c r="C7" s="61"/>
      <c r="D7" s="61" t="n">
        <v>2340</v>
      </c>
      <c r="E7" s="61"/>
      <c r="F7" s="61"/>
      <c r="G7" s="61" t="n">
        <v>14900</v>
      </c>
      <c r="H7" s="62"/>
      <c r="I7" s="63" t="n">
        <v>17240</v>
      </c>
    </row>
    <row r="8" customFormat="false" ht="15" hidden="false" customHeight="false" outlineLevel="0" collapsed="false">
      <c r="A8" s="74" t="s">
        <v>16</v>
      </c>
      <c r="B8" s="60"/>
      <c r="C8" s="61"/>
      <c r="D8" s="61" t="n">
        <v>359290</v>
      </c>
      <c r="E8" s="61"/>
      <c r="F8" s="61"/>
      <c r="G8" s="61"/>
      <c r="H8" s="62"/>
      <c r="I8" s="63" t="n">
        <v>359290</v>
      </c>
    </row>
    <row r="9" customFormat="false" ht="15" hidden="false" customHeight="false" outlineLevel="0" collapsed="false">
      <c r="A9" s="74" t="s">
        <v>12</v>
      </c>
      <c r="B9" s="60"/>
      <c r="C9" s="61"/>
      <c r="D9" s="61" t="n">
        <v>24810</v>
      </c>
      <c r="E9" s="61"/>
      <c r="F9" s="61"/>
      <c r="G9" s="61"/>
      <c r="H9" s="62"/>
      <c r="I9" s="63" t="n">
        <v>24810</v>
      </c>
    </row>
    <row r="10" customFormat="false" ht="15" hidden="false" customHeight="false" outlineLevel="0" collapsed="false">
      <c r="A10" s="74" t="s">
        <v>35</v>
      </c>
      <c r="B10" s="60"/>
      <c r="C10" s="61"/>
      <c r="D10" s="61"/>
      <c r="E10" s="61"/>
      <c r="F10" s="61" t="n">
        <v>740</v>
      </c>
      <c r="G10" s="61"/>
      <c r="H10" s="62"/>
      <c r="I10" s="63" t="n">
        <v>740</v>
      </c>
    </row>
    <row r="11" customFormat="false" ht="15" hidden="false" customHeight="false" outlineLevel="0" collapsed="false">
      <c r="A11" s="74" t="s">
        <v>69</v>
      </c>
      <c r="B11" s="64"/>
      <c r="C11" s="65"/>
      <c r="D11" s="65"/>
      <c r="E11" s="65"/>
      <c r="F11" s="65"/>
      <c r="G11" s="65"/>
      <c r="H11" s="66"/>
      <c r="I11" s="67"/>
    </row>
    <row r="12" customFormat="false" ht="15" hidden="false" customHeight="false" outlineLevel="0" collapsed="false">
      <c r="A12" s="75" t="s">
        <v>68</v>
      </c>
      <c r="B12" s="69" t="n">
        <v>32400</v>
      </c>
      <c r="C12" s="70" t="n">
        <v>18780</v>
      </c>
      <c r="D12" s="70" t="n">
        <v>736120</v>
      </c>
      <c r="E12" s="70" t="n">
        <v>5340</v>
      </c>
      <c r="F12" s="70" t="n">
        <v>13300</v>
      </c>
      <c r="G12" s="70" t="n">
        <v>20600</v>
      </c>
      <c r="H12" s="71"/>
      <c r="I12" s="72" t="n">
        <v>826540</v>
      </c>
    </row>
    <row r="17" customFormat="false" ht="15" hidden="false" customHeight="false" outlineLevel="0" collapsed="false">
      <c r="A17" s="46" t="s">
        <v>70</v>
      </c>
      <c r="B17" s="47" t="s">
        <v>56</v>
      </c>
      <c r="C17" s="48"/>
      <c r="D17" s="48"/>
      <c r="E17" s="48"/>
      <c r="F17" s="48"/>
      <c r="G17" s="48"/>
      <c r="H17" s="48"/>
      <c r="I17" s="49"/>
    </row>
    <row r="18" customFormat="false" ht="15" hidden="false" customHeight="false" outlineLevel="0" collapsed="false">
      <c r="A18" s="50" t="s">
        <v>51</v>
      </c>
      <c r="B18" s="51" t="s">
        <v>65</v>
      </c>
      <c r="C18" s="52" t="s">
        <v>64</v>
      </c>
      <c r="D18" s="52" t="s">
        <v>59</v>
      </c>
      <c r="E18" s="52" t="s">
        <v>63</v>
      </c>
      <c r="F18" s="52" t="s">
        <v>61</v>
      </c>
      <c r="G18" s="52" t="s">
        <v>62</v>
      </c>
      <c r="H18" s="52" t="s">
        <v>69</v>
      </c>
      <c r="I18" s="53" t="s">
        <v>68</v>
      </c>
    </row>
    <row r="19" customFormat="false" ht="15" hidden="false" customHeight="false" outlineLevel="0" collapsed="false">
      <c r="A19" s="73" t="s">
        <v>20</v>
      </c>
      <c r="B19" s="55" t="n">
        <v>3</v>
      </c>
      <c r="C19" s="56" t="n">
        <v>4</v>
      </c>
      <c r="D19" s="56" t="n">
        <v>1</v>
      </c>
      <c r="E19" s="56"/>
      <c r="F19" s="56" t="n">
        <v>1</v>
      </c>
      <c r="G19" s="56" t="n">
        <v>1</v>
      </c>
      <c r="H19" s="57"/>
      <c r="I19" s="58" t="n">
        <v>10</v>
      </c>
    </row>
    <row r="20" customFormat="false" ht="15" hidden="false" customHeight="false" outlineLevel="0" collapsed="false">
      <c r="A20" s="74" t="s">
        <v>18</v>
      </c>
      <c r="B20" s="60"/>
      <c r="C20" s="61"/>
      <c r="D20" s="61" t="n">
        <v>44</v>
      </c>
      <c r="E20" s="61" t="n">
        <v>2</v>
      </c>
      <c r="F20" s="61" t="n">
        <v>1</v>
      </c>
      <c r="G20" s="61"/>
      <c r="H20" s="62"/>
      <c r="I20" s="63" t="n">
        <v>47</v>
      </c>
    </row>
    <row r="21" customFormat="false" ht="15" hidden="false" customHeight="false" outlineLevel="0" collapsed="false">
      <c r="A21" s="74" t="s">
        <v>19</v>
      </c>
      <c r="B21" s="60"/>
      <c r="C21" s="61"/>
      <c r="D21" s="61" t="n">
        <v>10</v>
      </c>
      <c r="E21" s="61"/>
      <c r="F21" s="61" t="n">
        <v>2</v>
      </c>
      <c r="G21" s="61"/>
      <c r="H21" s="62"/>
      <c r="I21" s="63" t="n">
        <v>12</v>
      </c>
    </row>
    <row r="22" customFormat="false" ht="15" hidden="false" customHeight="false" outlineLevel="0" collapsed="false">
      <c r="A22" s="74" t="s">
        <v>22</v>
      </c>
      <c r="B22" s="60"/>
      <c r="C22" s="61"/>
      <c r="D22" s="61" t="n">
        <v>31</v>
      </c>
      <c r="E22" s="61"/>
      <c r="F22" s="61"/>
      <c r="G22" s="61" t="n">
        <v>2</v>
      </c>
      <c r="H22" s="62"/>
      <c r="I22" s="63" t="n">
        <v>33</v>
      </c>
    </row>
    <row r="23" customFormat="false" ht="15" hidden="false" customHeight="false" outlineLevel="0" collapsed="false">
      <c r="A23" s="74" t="s">
        <v>14</v>
      </c>
      <c r="B23" s="60"/>
      <c r="C23" s="61"/>
      <c r="D23" s="61" t="n">
        <v>12</v>
      </c>
      <c r="E23" s="61"/>
      <c r="F23" s="61"/>
      <c r="G23" s="61" t="n">
        <v>23</v>
      </c>
      <c r="H23" s="62"/>
      <c r="I23" s="63" t="n">
        <v>35</v>
      </c>
    </row>
    <row r="24" customFormat="false" ht="15" hidden="false" customHeight="false" outlineLevel="0" collapsed="false">
      <c r="A24" s="74" t="s">
        <v>16</v>
      </c>
      <c r="B24" s="60"/>
      <c r="C24" s="61"/>
      <c r="D24" s="61" t="n">
        <v>73</v>
      </c>
      <c r="E24" s="61"/>
      <c r="F24" s="61"/>
      <c r="G24" s="61"/>
      <c r="H24" s="62"/>
      <c r="I24" s="63" t="n">
        <v>73</v>
      </c>
    </row>
    <row r="25" customFormat="false" ht="15" hidden="false" customHeight="false" outlineLevel="0" collapsed="false">
      <c r="A25" s="74" t="s">
        <v>12</v>
      </c>
      <c r="B25" s="60"/>
      <c r="C25" s="61"/>
      <c r="D25" s="61" t="n">
        <v>32</v>
      </c>
      <c r="E25" s="61"/>
      <c r="F25" s="61"/>
      <c r="G25" s="61"/>
      <c r="H25" s="62"/>
      <c r="I25" s="63" t="n">
        <v>32</v>
      </c>
    </row>
    <row r="26" customFormat="false" ht="15" hidden="false" customHeight="false" outlineLevel="0" collapsed="false">
      <c r="A26" s="74" t="s">
        <v>35</v>
      </c>
      <c r="B26" s="60"/>
      <c r="C26" s="61"/>
      <c r="D26" s="61"/>
      <c r="E26" s="61"/>
      <c r="F26" s="61" t="n">
        <v>1</v>
      </c>
      <c r="G26" s="61"/>
      <c r="H26" s="62"/>
      <c r="I26" s="63" t="n">
        <v>1</v>
      </c>
    </row>
    <row r="27" customFormat="false" ht="15" hidden="false" customHeight="false" outlineLevel="0" collapsed="false">
      <c r="A27" s="74" t="s">
        <v>69</v>
      </c>
      <c r="B27" s="64"/>
      <c r="C27" s="65"/>
      <c r="D27" s="65"/>
      <c r="E27" s="65"/>
      <c r="F27" s="65"/>
      <c r="G27" s="65"/>
      <c r="H27" s="66"/>
      <c r="I27" s="67"/>
    </row>
    <row r="28" customFormat="false" ht="15" hidden="false" customHeight="false" outlineLevel="0" collapsed="false">
      <c r="A28" s="75" t="s">
        <v>68</v>
      </c>
      <c r="B28" s="69" t="n">
        <v>3</v>
      </c>
      <c r="C28" s="70" t="n">
        <v>4</v>
      </c>
      <c r="D28" s="70" t="n">
        <v>203</v>
      </c>
      <c r="E28" s="70" t="n">
        <v>2</v>
      </c>
      <c r="F28" s="70" t="n">
        <v>5</v>
      </c>
      <c r="G28" s="70" t="n">
        <v>26</v>
      </c>
      <c r="H28" s="71"/>
      <c r="I28" s="72" t="n">
        <v>243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36:G36 A1"/>
    </sheetView>
  </sheetViews>
  <sheetFormatPr defaultRowHeight="13.5" zeroHeight="false" outlineLevelRow="0" outlineLevelCol="0"/>
  <cols>
    <col collapsed="false" customWidth="true" hidden="false" outlineLevel="0" max="1" min="1" style="76" width="7.86"/>
    <col collapsed="false" customWidth="true" hidden="false" outlineLevel="0" max="2" min="2" style="76" width="10.72"/>
    <col collapsed="false" customWidth="true" hidden="false" outlineLevel="0" max="3" min="3" style="76" width="33"/>
    <col collapsed="false" customWidth="false" hidden="false" outlineLevel="0" max="4" min="4" style="76" width="11.43"/>
    <col collapsed="false" customWidth="true" hidden="false" outlineLevel="0" max="5" min="5" style="76" width="10.72"/>
    <col collapsed="false" customWidth="true" hidden="false" outlineLevel="0" max="6" min="6" style="76" width="9"/>
    <col collapsed="false" customWidth="true" hidden="false" outlineLevel="0" max="7" min="7" style="76" width="5.86"/>
    <col collapsed="false" customWidth="true" hidden="false" outlineLevel="0" max="8" min="8" style="76" width="8.85"/>
    <col collapsed="false" customWidth="true" hidden="false" outlineLevel="0" max="9" min="9" style="76" width="12.87"/>
    <col collapsed="false" customWidth="true" hidden="false" outlineLevel="0" max="10" min="10" style="76" width="38.14"/>
    <col collapsed="false" customWidth="false" hidden="false" outlineLevel="0" max="1025" min="11" style="76" width="11.43"/>
  </cols>
  <sheetData>
    <row r="1" s="78" customFormat="true" ht="13.5" hidden="false" customHeight="false" outlineLevel="0" collapsed="false">
      <c r="A1" s="77" t="s">
        <v>71</v>
      </c>
      <c r="B1" s="77" t="s">
        <v>51</v>
      </c>
      <c r="C1" s="77" t="s">
        <v>72</v>
      </c>
      <c r="E1" s="79" t="s">
        <v>73</v>
      </c>
      <c r="F1" s="79" t="s">
        <v>74</v>
      </c>
      <c r="G1" s="79" t="s">
        <v>75</v>
      </c>
      <c r="H1" s="79" t="s">
        <v>76</v>
      </c>
      <c r="I1" s="77" t="s">
        <v>77</v>
      </c>
      <c r="J1" s="77" t="s">
        <v>78</v>
      </c>
    </row>
    <row r="2" s="78" customFormat="true" ht="13.5" hidden="false" customHeight="false" outlineLevel="0" collapsed="false">
      <c r="A2" s="80" t="n">
        <v>3628</v>
      </c>
      <c r="B2" s="76" t="s">
        <v>45</v>
      </c>
      <c r="C2" s="76" t="s">
        <v>79</v>
      </c>
      <c r="D2" s="76"/>
      <c r="E2" s="76"/>
      <c r="F2" s="76"/>
      <c r="G2" s="76"/>
      <c r="H2" s="76"/>
      <c r="I2" s="76"/>
      <c r="J2" s="76"/>
    </row>
    <row r="3" s="78" customFormat="true" ht="13.5" hidden="false" customHeight="false" outlineLevel="0" collapsed="false">
      <c r="A3" s="80" t="s">
        <v>80</v>
      </c>
      <c r="B3" s="80" t="s">
        <v>81</v>
      </c>
      <c r="C3" s="81" t="s">
        <v>82</v>
      </c>
      <c r="E3" s="82" t="n">
        <v>35299</v>
      </c>
      <c r="F3" s="83" t="s">
        <v>83</v>
      </c>
      <c r="G3" s="83" t="s">
        <v>84</v>
      </c>
      <c r="H3" s="83" t="s">
        <v>85</v>
      </c>
      <c r="I3" s="81" t="s">
        <v>86</v>
      </c>
      <c r="J3" s="80" t="s">
        <v>87</v>
      </c>
    </row>
    <row r="4" s="78" customFormat="true" ht="13.5" hidden="false" customHeight="false" outlineLevel="0" collapsed="false">
      <c r="A4" s="80" t="s">
        <v>88</v>
      </c>
      <c r="B4" s="80" t="s">
        <v>89</v>
      </c>
      <c r="C4" s="81" t="s">
        <v>90</v>
      </c>
      <c r="E4" s="82" t="n">
        <v>35282</v>
      </c>
      <c r="F4" s="83" t="s">
        <v>83</v>
      </c>
      <c r="G4" s="83" t="s">
        <v>84</v>
      </c>
      <c r="H4" s="83" t="s">
        <v>91</v>
      </c>
      <c r="I4" s="81" t="s">
        <v>92</v>
      </c>
      <c r="J4" s="80" t="s">
        <v>93</v>
      </c>
    </row>
    <row r="5" s="78" customFormat="true" ht="13.5" hidden="false" customHeight="false" outlineLevel="0" collapsed="false">
      <c r="A5" s="80" t="s">
        <v>94</v>
      </c>
      <c r="B5" s="80" t="s">
        <v>95</v>
      </c>
      <c r="C5" s="81" t="s">
        <v>96</v>
      </c>
      <c r="E5" s="82" t="n">
        <v>36526</v>
      </c>
      <c r="F5" s="83" t="s">
        <v>83</v>
      </c>
      <c r="G5" s="83" t="s">
        <v>84</v>
      </c>
      <c r="H5" s="83" t="s">
        <v>97</v>
      </c>
      <c r="I5" s="81" t="s">
        <v>86</v>
      </c>
      <c r="J5" s="80" t="s">
        <v>87</v>
      </c>
    </row>
    <row r="6" s="78" customFormat="true" ht="13.5" hidden="false" customHeight="false" outlineLevel="0" collapsed="false">
      <c r="A6" s="80" t="s">
        <v>98</v>
      </c>
      <c r="B6" s="80" t="s">
        <v>99</v>
      </c>
      <c r="C6" s="81" t="s">
        <v>100</v>
      </c>
      <c r="E6" s="82" t="n">
        <v>36272</v>
      </c>
      <c r="F6" s="83" t="s">
        <v>83</v>
      </c>
      <c r="G6" s="83" t="s">
        <v>84</v>
      </c>
      <c r="H6" s="83" t="s">
        <v>101</v>
      </c>
      <c r="I6" s="81" t="s">
        <v>86</v>
      </c>
      <c r="J6" s="80" t="s">
        <v>87</v>
      </c>
    </row>
    <row r="7" s="78" customFormat="true" ht="13.5" hidden="false" customHeight="false" outlineLevel="0" collapsed="false">
      <c r="A7" s="80" t="s">
        <v>102</v>
      </c>
      <c r="B7" s="80" t="s">
        <v>103</v>
      </c>
      <c r="C7" s="81" t="s">
        <v>104</v>
      </c>
      <c r="E7" s="82" t="n">
        <v>36711</v>
      </c>
      <c r="F7" s="83" t="s">
        <v>83</v>
      </c>
      <c r="G7" s="83" t="s">
        <v>84</v>
      </c>
      <c r="H7" s="83" t="s">
        <v>105</v>
      </c>
      <c r="I7" s="81" t="s">
        <v>92</v>
      </c>
      <c r="J7" s="80" t="s">
        <v>93</v>
      </c>
    </row>
    <row r="8" s="78" customFormat="true" ht="13.5" hidden="false" customHeight="false" outlineLevel="0" collapsed="false">
      <c r="A8" s="80" t="s">
        <v>106</v>
      </c>
      <c r="B8" s="80" t="s">
        <v>107</v>
      </c>
      <c r="C8" s="81" t="s">
        <v>108</v>
      </c>
      <c r="E8" s="82" t="n">
        <v>36963</v>
      </c>
      <c r="F8" s="83" t="s">
        <v>83</v>
      </c>
      <c r="G8" s="83" t="s">
        <v>84</v>
      </c>
      <c r="H8" s="83" t="s">
        <v>109</v>
      </c>
      <c r="I8" s="81" t="s">
        <v>86</v>
      </c>
      <c r="J8" s="80" t="s">
        <v>87</v>
      </c>
    </row>
    <row r="9" s="78" customFormat="true" ht="13.5" hidden="false" customHeight="false" outlineLevel="0" collapsed="false">
      <c r="A9" s="80" t="s">
        <v>110</v>
      </c>
      <c r="B9" s="80" t="s">
        <v>111</v>
      </c>
      <c r="C9" s="81" t="s">
        <v>112</v>
      </c>
      <c r="E9" s="82" t="n">
        <v>37127</v>
      </c>
      <c r="F9" s="83" t="s">
        <v>83</v>
      </c>
      <c r="G9" s="83" t="s">
        <v>84</v>
      </c>
      <c r="H9" s="83" t="s">
        <v>113</v>
      </c>
      <c r="I9" s="81" t="s">
        <v>86</v>
      </c>
      <c r="J9" s="80" t="s">
        <v>87</v>
      </c>
    </row>
    <row r="10" s="78" customFormat="true" ht="13.5" hidden="false" customHeight="false" outlineLevel="0" collapsed="false">
      <c r="A10" s="80" t="s">
        <v>114</v>
      </c>
      <c r="B10" s="80" t="s">
        <v>115</v>
      </c>
      <c r="C10" s="81" t="s">
        <v>116</v>
      </c>
      <c r="E10" s="82" t="n">
        <v>37193</v>
      </c>
      <c r="F10" s="83" t="s">
        <v>83</v>
      </c>
      <c r="G10" s="83" t="s">
        <v>84</v>
      </c>
      <c r="H10" s="83" t="s">
        <v>117</v>
      </c>
      <c r="I10" s="81" t="s">
        <v>86</v>
      </c>
      <c r="J10" s="80" t="s">
        <v>87</v>
      </c>
    </row>
    <row r="11" s="78" customFormat="true" ht="13.5" hidden="false" customHeight="false" outlineLevel="0" collapsed="false">
      <c r="A11" s="80" t="s">
        <v>118</v>
      </c>
      <c r="B11" s="80" t="s">
        <v>119</v>
      </c>
      <c r="C11" s="81" t="s">
        <v>116</v>
      </c>
      <c r="E11" s="82" t="n">
        <v>37460</v>
      </c>
      <c r="F11" s="83" t="s">
        <v>83</v>
      </c>
      <c r="G11" s="83" t="s">
        <v>84</v>
      </c>
      <c r="H11" s="83" t="s">
        <v>120</v>
      </c>
      <c r="I11" s="81" t="s">
        <v>86</v>
      </c>
      <c r="J11" s="80" t="s">
        <v>87</v>
      </c>
    </row>
    <row r="12" s="78" customFormat="true" ht="13.5" hidden="false" customHeight="false" outlineLevel="0" collapsed="false">
      <c r="A12" s="80" t="s">
        <v>121</v>
      </c>
      <c r="B12" s="80" t="s">
        <v>122</v>
      </c>
      <c r="C12" s="81" t="s">
        <v>123</v>
      </c>
      <c r="E12" s="82" t="n">
        <v>38203</v>
      </c>
      <c r="F12" s="83" t="s">
        <v>83</v>
      </c>
      <c r="G12" s="83" t="s">
        <v>84</v>
      </c>
      <c r="H12" s="83" t="s">
        <v>124</v>
      </c>
      <c r="I12" s="81" t="s">
        <v>86</v>
      </c>
      <c r="J12" s="80" t="s">
        <v>87</v>
      </c>
    </row>
    <row r="13" s="78" customFormat="true" ht="13.5" hidden="false" customHeight="false" outlineLevel="0" collapsed="false">
      <c r="A13" s="80" t="s">
        <v>125</v>
      </c>
      <c r="B13" s="80" t="s">
        <v>126</v>
      </c>
      <c r="C13" s="81" t="s">
        <v>127</v>
      </c>
      <c r="E13" s="82" t="n">
        <v>38533</v>
      </c>
      <c r="F13" s="83" t="s">
        <v>83</v>
      </c>
      <c r="G13" s="83" t="s">
        <v>84</v>
      </c>
      <c r="H13" s="83" t="s">
        <v>128</v>
      </c>
      <c r="I13" s="81" t="s">
        <v>86</v>
      </c>
      <c r="J13" s="80" t="s">
        <v>87</v>
      </c>
    </row>
    <row r="14" s="78" customFormat="true" ht="13.5" hidden="false" customHeight="false" outlineLevel="0" collapsed="false">
      <c r="A14" s="80" t="s">
        <v>129</v>
      </c>
      <c r="B14" s="80" t="s">
        <v>130</v>
      </c>
      <c r="C14" s="81" t="s">
        <v>131</v>
      </c>
      <c r="E14" s="82" t="n">
        <v>38538</v>
      </c>
      <c r="F14" s="83" t="s">
        <v>83</v>
      </c>
      <c r="G14" s="83" t="s">
        <v>84</v>
      </c>
      <c r="H14" s="83" t="s">
        <v>132</v>
      </c>
      <c r="I14" s="81" t="s">
        <v>86</v>
      </c>
      <c r="J14" s="80" t="s">
        <v>87</v>
      </c>
    </row>
    <row r="15" s="78" customFormat="true" ht="13.5" hidden="false" customHeight="false" outlineLevel="0" collapsed="false">
      <c r="A15" s="80" t="s">
        <v>133</v>
      </c>
      <c r="B15" s="80" t="s">
        <v>134</v>
      </c>
      <c r="C15" s="81" t="s">
        <v>135</v>
      </c>
      <c r="E15" s="82" t="n">
        <v>38555</v>
      </c>
      <c r="F15" s="83" t="s">
        <v>83</v>
      </c>
      <c r="G15" s="83" t="s">
        <v>84</v>
      </c>
      <c r="H15" s="83" t="s">
        <v>136</v>
      </c>
      <c r="I15" s="81" t="s">
        <v>86</v>
      </c>
      <c r="J15" s="80" t="s">
        <v>87</v>
      </c>
    </row>
    <row r="16" s="78" customFormat="true" ht="13.5" hidden="false" customHeight="false" outlineLevel="0" collapsed="false">
      <c r="A16" s="80" t="s">
        <v>137</v>
      </c>
      <c r="B16" s="80" t="s">
        <v>138</v>
      </c>
      <c r="C16" s="81" t="s">
        <v>139</v>
      </c>
      <c r="E16" s="82" t="n">
        <v>38650</v>
      </c>
      <c r="F16" s="83" t="s">
        <v>83</v>
      </c>
      <c r="G16" s="83" t="s">
        <v>84</v>
      </c>
      <c r="H16" s="83" t="s">
        <v>140</v>
      </c>
      <c r="I16" s="81" t="s">
        <v>86</v>
      </c>
      <c r="J16" s="80" t="s">
        <v>87</v>
      </c>
    </row>
    <row r="17" s="78" customFormat="true" ht="13.5" hidden="false" customHeight="false" outlineLevel="0" collapsed="false">
      <c r="A17" s="80" t="s">
        <v>141</v>
      </c>
      <c r="B17" s="80" t="s">
        <v>142</v>
      </c>
      <c r="C17" s="81" t="s">
        <v>143</v>
      </c>
      <c r="E17" s="82" t="n">
        <v>38632</v>
      </c>
      <c r="F17" s="83" t="s">
        <v>83</v>
      </c>
      <c r="G17" s="83" t="s">
        <v>84</v>
      </c>
      <c r="H17" s="83" t="s">
        <v>144</v>
      </c>
      <c r="I17" s="81" t="s">
        <v>86</v>
      </c>
      <c r="J17" s="80" t="s">
        <v>87</v>
      </c>
    </row>
    <row r="18" s="78" customFormat="true" ht="13.5" hidden="false" customHeight="false" outlineLevel="0" collapsed="false">
      <c r="A18" s="80" t="s">
        <v>145</v>
      </c>
      <c r="B18" s="80" t="s">
        <v>146</v>
      </c>
      <c r="C18" s="81" t="s">
        <v>147</v>
      </c>
      <c r="E18" s="82" t="n">
        <v>38702</v>
      </c>
      <c r="F18" s="83" t="s">
        <v>83</v>
      </c>
      <c r="G18" s="83" t="s">
        <v>84</v>
      </c>
      <c r="H18" s="83" t="s">
        <v>148</v>
      </c>
      <c r="I18" s="81" t="s">
        <v>86</v>
      </c>
      <c r="J18" s="80" t="s">
        <v>87</v>
      </c>
    </row>
    <row r="19" s="78" customFormat="true" ht="13.5" hidden="false" customHeight="false" outlineLevel="0" collapsed="false">
      <c r="A19" s="80" t="s">
        <v>149</v>
      </c>
      <c r="B19" s="80" t="s">
        <v>150</v>
      </c>
      <c r="C19" s="81" t="s">
        <v>151</v>
      </c>
      <c r="E19" s="82" t="n">
        <v>38727</v>
      </c>
      <c r="F19" s="83" t="s">
        <v>83</v>
      </c>
      <c r="G19" s="83" t="s">
        <v>84</v>
      </c>
      <c r="H19" s="83" t="s">
        <v>152</v>
      </c>
      <c r="I19" s="81" t="s">
        <v>86</v>
      </c>
      <c r="J19" s="80" t="s">
        <v>87</v>
      </c>
    </row>
    <row r="20" s="78" customFormat="true" ht="13.5" hidden="false" customHeight="false" outlineLevel="0" collapsed="false">
      <c r="A20" s="80" t="s">
        <v>153</v>
      </c>
      <c r="B20" s="80" t="s">
        <v>154</v>
      </c>
      <c r="C20" s="81" t="s">
        <v>155</v>
      </c>
      <c r="E20" s="82" t="n">
        <v>38915</v>
      </c>
      <c r="F20" s="83" t="s">
        <v>83</v>
      </c>
      <c r="G20" s="83" t="s">
        <v>84</v>
      </c>
      <c r="H20" s="83" t="s">
        <v>156</v>
      </c>
      <c r="I20" s="81" t="s">
        <v>92</v>
      </c>
      <c r="J20" s="80" t="s">
        <v>93</v>
      </c>
    </row>
    <row r="21" s="78" customFormat="true" ht="13.5" hidden="false" customHeight="false" outlineLevel="0" collapsed="false">
      <c r="A21" s="80" t="s">
        <v>157</v>
      </c>
      <c r="B21" s="80" t="s">
        <v>158</v>
      </c>
      <c r="C21" s="81" t="s">
        <v>159</v>
      </c>
      <c r="E21" s="82" t="n">
        <v>37533</v>
      </c>
      <c r="F21" s="83" t="s">
        <v>83</v>
      </c>
      <c r="G21" s="83" t="s">
        <v>84</v>
      </c>
      <c r="H21" s="83" t="s">
        <v>160</v>
      </c>
      <c r="I21" s="81" t="s">
        <v>86</v>
      </c>
      <c r="J21" s="80" t="s">
        <v>87</v>
      </c>
    </row>
    <row r="22" s="78" customFormat="true" ht="13.5" hidden="false" customHeight="false" outlineLevel="0" collapsed="false">
      <c r="A22" s="80" t="s">
        <v>161</v>
      </c>
      <c r="B22" s="80" t="s">
        <v>162</v>
      </c>
      <c r="C22" s="81" t="s">
        <v>163</v>
      </c>
      <c r="E22" s="82" t="n">
        <v>36563</v>
      </c>
      <c r="F22" s="83" t="s">
        <v>83</v>
      </c>
      <c r="G22" s="83" t="s">
        <v>84</v>
      </c>
      <c r="H22" s="83" t="s">
        <v>164</v>
      </c>
      <c r="I22" s="81" t="s">
        <v>92</v>
      </c>
      <c r="J22" s="80" t="s">
        <v>93</v>
      </c>
    </row>
    <row r="23" s="78" customFormat="true" ht="13.5" hidden="false" customHeight="false" outlineLevel="0" collapsed="false">
      <c r="A23" s="80" t="s">
        <v>165</v>
      </c>
      <c r="B23" s="80" t="s">
        <v>166</v>
      </c>
      <c r="C23" s="81" t="s">
        <v>167</v>
      </c>
      <c r="E23" s="82" t="n">
        <v>42880</v>
      </c>
      <c r="F23" s="83" t="s">
        <v>83</v>
      </c>
      <c r="G23" s="83" t="s">
        <v>84</v>
      </c>
      <c r="H23" s="83" t="s">
        <v>168</v>
      </c>
      <c r="I23" s="81" t="s">
        <v>92</v>
      </c>
      <c r="J23" s="80" t="s">
        <v>93</v>
      </c>
    </row>
    <row r="24" s="78" customFormat="true" ht="13.5" hidden="false" customHeight="false" outlineLevel="0" collapsed="false">
      <c r="A24" s="80" t="s">
        <v>169</v>
      </c>
      <c r="B24" s="80" t="s">
        <v>170</v>
      </c>
      <c r="C24" s="81" t="s">
        <v>171</v>
      </c>
      <c r="E24" s="82" t="n">
        <v>42880</v>
      </c>
      <c r="F24" s="83" t="s">
        <v>83</v>
      </c>
      <c r="G24" s="83" t="s">
        <v>84</v>
      </c>
      <c r="H24" s="83" t="s">
        <v>172</v>
      </c>
      <c r="I24" s="81" t="s">
        <v>86</v>
      </c>
      <c r="J24" s="80" t="s">
        <v>87</v>
      </c>
    </row>
    <row r="25" s="78" customFormat="true" ht="13.5" hidden="false" customHeight="false" outlineLevel="0" collapsed="false">
      <c r="A25" s="80" t="s">
        <v>173</v>
      </c>
      <c r="B25" s="80" t="s">
        <v>174</v>
      </c>
      <c r="C25" s="81" t="s">
        <v>175</v>
      </c>
      <c r="E25" s="82" t="n">
        <v>42880</v>
      </c>
      <c r="F25" s="83" t="s">
        <v>83</v>
      </c>
      <c r="G25" s="83" t="s">
        <v>84</v>
      </c>
      <c r="H25" s="83" t="s">
        <v>176</v>
      </c>
      <c r="I25" s="81" t="s">
        <v>86</v>
      </c>
      <c r="J25" s="80" t="s">
        <v>87</v>
      </c>
    </row>
    <row r="26" s="78" customFormat="true" ht="13.5" hidden="false" customHeight="false" outlineLevel="0" collapsed="false">
      <c r="A26" s="80" t="s">
        <v>177</v>
      </c>
      <c r="B26" s="80" t="s">
        <v>178</v>
      </c>
      <c r="C26" s="81" t="s">
        <v>179</v>
      </c>
      <c r="E26" s="82" t="n">
        <v>42723</v>
      </c>
      <c r="F26" s="83" t="s">
        <v>83</v>
      </c>
      <c r="G26" s="83" t="s">
        <v>84</v>
      </c>
      <c r="H26" s="83" t="s">
        <v>180</v>
      </c>
      <c r="I26" s="81" t="s">
        <v>92</v>
      </c>
      <c r="J26" s="80" t="s">
        <v>93</v>
      </c>
    </row>
    <row r="27" s="78" customFormat="true" ht="13.5" hidden="false" customHeight="false" outlineLevel="0" collapsed="false">
      <c r="A27" s="80" t="s">
        <v>181</v>
      </c>
      <c r="B27" s="80" t="s">
        <v>35</v>
      </c>
      <c r="C27" s="81" t="s">
        <v>182</v>
      </c>
      <c r="E27" s="82" t="n">
        <v>42892</v>
      </c>
      <c r="F27" s="83" t="s">
        <v>83</v>
      </c>
      <c r="G27" s="83" t="s">
        <v>84</v>
      </c>
      <c r="H27" s="83" t="s">
        <v>183</v>
      </c>
      <c r="I27" s="81" t="s">
        <v>92</v>
      </c>
      <c r="J27" s="80" t="s">
        <v>93</v>
      </c>
    </row>
    <row r="28" s="78" customFormat="true" ht="13.5" hidden="false" customHeight="false" outlineLevel="0" collapsed="false">
      <c r="A28" s="80" t="s">
        <v>184</v>
      </c>
      <c r="B28" s="80" t="s">
        <v>185</v>
      </c>
      <c r="C28" s="81" t="s">
        <v>186</v>
      </c>
      <c r="E28" s="82" t="n">
        <v>42894</v>
      </c>
      <c r="F28" s="83" t="s">
        <v>83</v>
      </c>
      <c r="G28" s="83" t="s">
        <v>84</v>
      </c>
      <c r="H28" s="83" t="s">
        <v>187</v>
      </c>
      <c r="I28" s="81" t="s">
        <v>86</v>
      </c>
      <c r="J28" s="80" t="s">
        <v>87</v>
      </c>
    </row>
    <row r="29" s="78" customFormat="true" ht="13.5" hidden="false" customHeight="false" outlineLevel="0" collapsed="false">
      <c r="A29" s="80" t="s">
        <v>188</v>
      </c>
      <c r="B29" s="80" t="s">
        <v>189</v>
      </c>
      <c r="C29" s="81" t="s">
        <v>186</v>
      </c>
      <c r="E29" s="82" t="n">
        <v>42894</v>
      </c>
      <c r="F29" s="83" t="s">
        <v>83</v>
      </c>
      <c r="G29" s="83" t="s">
        <v>84</v>
      </c>
      <c r="H29" s="83" t="s">
        <v>190</v>
      </c>
      <c r="I29" s="81" t="s">
        <v>86</v>
      </c>
      <c r="J29" s="80" t="s">
        <v>87</v>
      </c>
    </row>
    <row r="30" s="78" customFormat="true" ht="13.5" hidden="false" customHeight="false" outlineLevel="0" collapsed="false">
      <c r="A30" s="80" t="s">
        <v>191</v>
      </c>
      <c r="B30" s="80" t="s">
        <v>192</v>
      </c>
      <c r="C30" s="81" t="s">
        <v>186</v>
      </c>
      <c r="E30" s="82" t="n">
        <v>42894</v>
      </c>
      <c r="F30" s="83" t="s">
        <v>83</v>
      </c>
      <c r="G30" s="83" t="s">
        <v>84</v>
      </c>
      <c r="H30" s="83" t="s">
        <v>193</v>
      </c>
      <c r="I30" s="81" t="s">
        <v>86</v>
      </c>
      <c r="J30" s="80" t="s">
        <v>87</v>
      </c>
    </row>
    <row r="31" s="78" customFormat="true" ht="13.5" hidden="false" customHeight="false" outlineLevel="0" collapsed="false">
      <c r="A31" s="80" t="s">
        <v>194</v>
      </c>
      <c r="B31" s="80" t="s">
        <v>195</v>
      </c>
      <c r="C31" s="81" t="s">
        <v>196</v>
      </c>
      <c r="E31" s="82" t="n">
        <v>42894</v>
      </c>
      <c r="F31" s="83" t="s">
        <v>83</v>
      </c>
      <c r="G31" s="83" t="s">
        <v>84</v>
      </c>
      <c r="H31" s="83" t="s">
        <v>197</v>
      </c>
      <c r="I31" s="81" t="s">
        <v>86</v>
      </c>
      <c r="J31" s="80" t="s">
        <v>87</v>
      </c>
    </row>
    <row r="32" s="78" customFormat="true" ht="13.5" hidden="false" customHeight="false" outlineLevel="0" collapsed="false">
      <c r="A32" s="80" t="s">
        <v>198</v>
      </c>
      <c r="B32" s="80" t="s">
        <v>199</v>
      </c>
      <c r="C32" s="81" t="s">
        <v>196</v>
      </c>
      <c r="E32" s="82" t="n">
        <v>42894</v>
      </c>
      <c r="F32" s="83" t="s">
        <v>83</v>
      </c>
      <c r="G32" s="83" t="s">
        <v>84</v>
      </c>
      <c r="H32" s="83" t="s">
        <v>200</v>
      </c>
      <c r="I32" s="81" t="s">
        <v>86</v>
      </c>
      <c r="J32" s="80" t="s">
        <v>87</v>
      </c>
    </row>
    <row r="33" s="78" customFormat="true" ht="13.5" hidden="false" customHeight="false" outlineLevel="0" collapsed="false">
      <c r="A33" s="80" t="s">
        <v>201</v>
      </c>
      <c r="B33" s="80" t="s">
        <v>202</v>
      </c>
      <c r="C33" s="81" t="s">
        <v>196</v>
      </c>
      <c r="E33" s="82" t="n">
        <v>42894</v>
      </c>
      <c r="F33" s="83" t="s">
        <v>83</v>
      </c>
      <c r="G33" s="83" t="s">
        <v>84</v>
      </c>
      <c r="H33" s="83" t="s">
        <v>203</v>
      </c>
      <c r="I33" s="81" t="s">
        <v>86</v>
      </c>
      <c r="J33" s="80" t="s">
        <v>87</v>
      </c>
    </row>
    <row r="34" s="78" customFormat="true" ht="13.5" hidden="false" customHeight="false" outlineLevel="0" collapsed="false">
      <c r="A34" s="80" t="s">
        <v>204</v>
      </c>
      <c r="B34" s="80" t="s">
        <v>205</v>
      </c>
      <c r="C34" s="81" t="s">
        <v>196</v>
      </c>
      <c r="E34" s="82" t="n">
        <v>42894</v>
      </c>
      <c r="F34" s="83" t="s">
        <v>83</v>
      </c>
      <c r="G34" s="83" t="s">
        <v>84</v>
      </c>
      <c r="H34" s="83" t="s">
        <v>206</v>
      </c>
      <c r="I34" s="81" t="s">
        <v>86</v>
      </c>
      <c r="J34" s="80" t="s">
        <v>87</v>
      </c>
    </row>
    <row r="35" s="78" customFormat="true" ht="13.5" hidden="false" customHeight="false" outlineLevel="0" collapsed="false">
      <c r="A35" s="80" t="s">
        <v>207</v>
      </c>
      <c r="B35" s="80" t="s">
        <v>208</v>
      </c>
      <c r="C35" s="81" t="s">
        <v>196</v>
      </c>
      <c r="E35" s="82" t="n">
        <v>42894</v>
      </c>
      <c r="F35" s="83" t="s">
        <v>83</v>
      </c>
      <c r="G35" s="83" t="s">
        <v>84</v>
      </c>
      <c r="H35" s="83" t="s">
        <v>209</v>
      </c>
      <c r="I35" s="81" t="s">
        <v>86</v>
      </c>
      <c r="J35" s="80" t="s">
        <v>87</v>
      </c>
    </row>
    <row r="36" s="78" customFormat="true" ht="13.5" hidden="false" customHeight="false" outlineLevel="0" collapsed="false">
      <c r="A36" s="80" t="s">
        <v>210</v>
      </c>
      <c r="B36" s="80" t="s">
        <v>211</v>
      </c>
      <c r="C36" s="81" t="s">
        <v>212</v>
      </c>
      <c r="E36" s="82" t="n">
        <v>42886</v>
      </c>
      <c r="F36" s="83" t="s">
        <v>83</v>
      </c>
      <c r="G36" s="83" t="s">
        <v>84</v>
      </c>
      <c r="H36" s="83" t="s">
        <v>213</v>
      </c>
      <c r="I36" s="81" t="s">
        <v>86</v>
      </c>
      <c r="J36" s="80" t="s">
        <v>87</v>
      </c>
    </row>
    <row r="37" s="78" customFormat="true" ht="13.5" hidden="false" customHeight="false" outlineLevel="0" collapsed="false">
      <c r="A37" s="80" t="s">
        <v>214</v>
      </c>
      <c r="B37" s="80" t="s">
        <v>215</v>
      </c>
      <c r="C37" s="81" t="s">
        <v>212</v>
      </c>
      <c r="E37" s="82" t="n">
        <v>42886</v>
      </c>
      <c r="F37" s="83" t="s">
        <v>83</v>
      </c>
      <c r="G37" s="83" t="s">
        <v>84</v>
      </c>
      <c r="H37" s="83" t="s">
        <v>216</v>
      </c>
      <c r="I37" s="81" t="s">
        <v>86</v>
      </c>
      <c r="J37" s="80" t="s">
        <v>87</v>
      </c>
    </row>
    <row r="38" s="78" customFormat="true" ht="13.5" hidden="false" customHeight="false" outlineLevel="0" collapsed="false">
      <c r="A38" s="80" t="s">
        <v>217</v>
      </c>
      <c r="B38" s="80" t="s">
        <v>218</v>
      </c>
      <c r="C38" s="81" t="s">
        <v>212</v>
      </c>
      <c r="E38" s="82" t="n">
        <v>42886</v>
      </c>
      <c r="F38" s="83" t="s">
        <v>83</v>
      </c>
      <c r="G38" s="83" t="s">
        <v>84</v>
      </c>
      <c r="H38" s="83" t="s">
        <v>219</v>
      </c>
      <c r="I38" s="81" t="s">
        <v>86</v>
      </c>
      <c r="J38" s="80" t="s">
        <v>87</v>
      </c>
    </row>
    <row r="39" s="78" customFormat="true" ht="13.5" hidden="false" customHeight="false" outlineLevel="0" collapsed="false">
      <c r="A39" s="80" t="s">
        <v>220</v>
      </c>
      <c r="B39" s="80" t="s">
        <v>221</v>
      </c>
      <c r="C39" s="81" t="s">
        <v>222</v>
      </c>
      <c r="E39" s="82" t="n">
        <v>42898</v>
      </c>
      <c r="F39" s="83" t="s">
        <v>83</v>
      </c>
      <c r="G39" s="83" t="s">
        <v>84</v>
      </c>
      <c r="H39" s="83" t="s">
        <v>223</v>
      </c>
      <c r="I39" s="81" t="s">
        <v>86</v>
      </c>
      <c r="J39" s="80" t="s">
        <v>87</v>
      </c>
    </row>
    <row r="40" s="78" customFormat="true" ht="13.5" hidden="false" customHeight="false" outlineLevel="0" collapsed="false">
      <c r="A40" s="80" t="s">
        <v>224</v>
      </c>
      <c r="B40" s="80" t="s">
        <v>14</v>
      </c>
      <c r="C40" s="81" t="s">
        <v>225</v>
      </c>
      <c r="E40" s="82" t="n">
        <v>42900</v>
      </c>
      <c r="F40" s="83" t="s">
        <v>83</v>
      </c>
      <c r="G40" s="83" t="s">
        <v>84</v>
      </c>
      <c r="H40" s="83" t="s">
        <v>226</v>
      </c>
      <c r="I40" s="81" t="s">
        <v>86</v>
      </c>
      <c r="J40" s="80" t="s">
        <v>87</v>
      </c>
    </row>
    <row r="41" s="78" customFormat="true" ht="13.5" hidden="false" customHeight="false" outlineLevel="0" collapsed="false">
      <c r="A41" s="80" t="s">
        <v>227</v>
      </c>
      <c r="B41" s="80" t="s">
        <v>12</v>
      </c>
      <c r="C41" s="81" t="s">
        <v>228</v>
      </c>
      <c r="E41" s="82" t="n">
        <v>42901</v>
      </c>
      <c r="F41" s="83" t="s">
        <v>83</v>
      </c>
      <c r="G41" s="83" t="s">
        <v>84</v>
      </c>
      <c r="H41" s="83" t="s">
        <v>229</v>
      </c>
      <c r="I41" s="81" t="s">
        <v>92</v>
      </c>
      <c r="J41" s="80" t="s">
        <v>93</v>
      </c>
    </row>
    <row r="42" s="78" customFormat="true" ht="13.5" hidden="false" customHeight="false" outlineLevel="0" collapsed="false">
      <c r="A42" s="80" t="s">
        <v>230</v>
      </c>
      <c r="B42" s="80" t="s">
        <v>231</v>
      </c>
      <c r="C42" s="81" t="s">
        <v>232</v>
      </c>
      <c r="E42" s="82" t="n">
        <v>42902</v>
      </c>
      <c r="F42" s="83" t="s">
        <v>83</v>
      </c>
      <c r="G42" s="83" t="s">
        <v>84</v>
      </c>
      <c r="H42" s="83" t="s">
        <v>233</v>
      </c>
      <c r="I42" s="81" t="s">
        <v>86</v>
      </c>
      <c r="J42" s="80" t="s">
        <v>87</v>
      </c>
    </row>
    <row r="43" s="78" customFormat="true" ht="13.5" hidden="false" customHeight="false" outlineLevel="0" collapsed="false">
      <c r="A43" s="80" t="s">
        <v>234</v>
      </c>
      <c r="B43" s="80" t="s">
        <v>235</v>
      </c>
      <c r="C43" s="81" t="s">
        <v>232</v>
      </c>
      <c r="E43" s="82" t="n">
        <v>42902</v>
      </c>
      <c r="F43" s="83" t="s">
        <v>83</v>
      </c>
      <c r="G43" s="83" t="s">
        <v>84</v>
      </c>
      <c r="H43" s="83" t="s">
        <v>236</v>
      </c>
      <c r="I43" s="81" t="s">
        <v>86</v>
      </c>
      <c r="J43" s="80" t="s">
        <v>87</v>
      </c>
    </row>
    <row r="44" s="78" customFormat="true" ht="13.5" hidden="false" customHeight="false" outlineLevel="0" collapsed="false">
      <c r="A44" s="80" t="s">
        <v>237</v>
      </c>
      <c r="B44" s="80" t="s">
        <v>238</v>
      </c>
      <c r="C44" s="81" t="s">
        <v>232</v>
      </c>
      <c r="E44" s="82" t="n">
        <v>42902</v>
      </c>
      <c r="F44" s="83" t="s">
        <v>83</v>
      </c>
      <c r="G44" s="83" t="s">
        <v>84</v>
      </c>
      <c r="H44" s="83" t="s">
        <v>239</v>
      </c>
      <c r="I44" s="81" t="s">
        <v>86</v>
      </c>
      <c r="J44" s="80" t="s">
        <v>87</v>
      </c>
    </row>
    <row r="45" s="78" customFormat="true" ht="13.5" hidden="false" customHeight="false" outlineLevel="0" collapsed="false">
      <c r="A45" s="80" t="s">
        <v>240</v>
      </c>
      <c r="B45" s="80" t="s">
        <v>241</v>
      </c>
      <c r="C45" s="81" t="s">
        <v>242</v>
      </c>
      <c r="E45" s="82" t="n">
        <v>42907</v>
      </c>
      <c r="F45" s="83" t="s">
        <v>83</v>
      </c>
      <c r="G45" s="83" t="s">
        <v>84</v>
      </c>
      <c r="H45" s="83" t="s">
        <v>243</v>
      </c>
      <c r="I45" s="81" t="s">
        <v>86</v>
      </c>
      <c r="J45" s="80" t="s">
        <v>87</v>
      </c>
    </row>
    <row r="46" s="78" customFormat="true" ht="13.5" hidden="false" customHeight="false" outlineLevel="0" collapsed="false">
      <c r="A46" s="80" t="s">
        <v>244</v>
      </c>
      <c r="B46" s="80" t="s">
        <v>245</v>
      </c>
      <c r="C46" s="81" t="s">
        <v>179</v>
      </c>
      <c r="E46" s="82" t="n">
        <v>42723</v>
      </c>
      <c r="F46" s="83" t="s">
        <v>83</v>
      </c>
      <c r="G46" s="83" t="s">
        <v>84</v>
      </c>
      <c r="H46" s="83" t="s">
        <v>246</v>
      </c>
      <c r="I46" s="81" t="s">
        <v>86</v>
      </c>
      <c r="J46" s="80" t="s">
        <v>87</v>
      </c>
    </row>
    <row r="47" s="78" customFormat="true" ht="13.5" hidden="false" customHeight="false" outlineLevel="0" collapsed="false">
      <c r="A47" s="84" t="s">
        <v>247</v>
      </c>
      <c r="B47" s="80" t="s">
        <v>22</v>
      </c>
      <c r="C47" s="81" t="s">
        <v>248</v>
      </c>
      <c r="E47" s="82" t="n">
        <v>42913</v>
      </c>
      <c r="F47" s="83" t="s">
        <v>83</v>
      </c>
      <c r="G47" s="83" t="s">
        <v>84</v>
      </c>
      <c r="H47" s="83" t="s">
        <v>249</v>
      </c>
      <c r="I47" s="81" t="s">
        <v>86</v>
      </c>
      <c r="J47" s="80" t="s">
        <v>87</v>
      </c>
    </row>
    <row r="48" s="78" customFormat="true" ht="13.5" hidden="false" customHeight="false" outlineLevel="0" collapsed="false">
      <c r="A48" s="84" t="s">
        <v>250</v>
      </c>
      <c r="B48" s="80" t="s">
        <v>16</v>
      </c>
      <c r="C48" s="81" t="s">
        <v>251</v>
      </c>
      <c r="E48" s="82" t="n">
        <v>42933</v>
      </c>
      <c r="F48" s="83" t="s">
        <v>83</v>
      </c>
      <c r="G48" s="83" t="s">
        <v>84</v>
      </c>
      <c r="H48" s="83" t="s">
        <v>252</v>
      </c>
      <c r="I48" s="81" t="s">
        <v>92</v>
      </c>
      <c r="J48" s="80" t="s">
        <v>93</v>
      </c>
    </row>
    <row r="49" s="78" customFormat="true" ht="13.5" hidden="false" customHeight="false" outlineLevel="0" collapsed="false">
      <c r="A49" s="80" t="s">
        <v>253</v>
      </c>
      <c r="B49" s="80" t="s">
        <v>254</v>
      </c>
      <c r="C49" s="81" t="s">
        <v>151</v>
      </c>
      <c r="E49" s="82" t="n">
        <v>42937</v>
      </c>
      <c r="F49" s="83" t="s">
        <v>83</v>
      </c>
      <c r="G49" s="83" t="s">
        <v>84</v>
      </c>
      <c r="H49" s="83" t="s">
        <v>255</v>
      </c>
      <c r="I49" s="81" t="s">
        <v>86</v>
      </c>
      <c r="J49" s="80" t="s">
        <v>87</v>
      </c>
    </row>
    <row r="50" s="78" customFormat="true" ht="13.5" hidden="false" customHeight="false" outlineLevel="0" collapsed="false">
      <c r="A50" s="84" t="s">
        <v>256</v>
      </c>
      <c r="B50" s="80" t="s">
        <v>18</v>
      </c>
      <c r="C50" s="81" t="s">
        <v>257</v>
      </c>
      <c r="E50" s="82" t="n">
        <v>42940</v>
      </c>
      <c r="F50" s="83" t="s">
        <v>83</v>
      </c>
      <c r="G50" s="83" t="s">
        <v>84</v>
      </c>
      <c r="H50" s="83" t="s">
        <v>258</v>
      </c>
      <c r="I50" s="81" t="s">
        <v>92</v>
      </c>
      <c r="J50" s="80" t="s">
        <v>93</v>
      </c>
    </row>
    <row r="51" s="78" customFormat="true" ht="13.5" hidden="false" customHeight="false" outlineLevel="0" collapsed="false">
      <c r="A51" s="84" t="s">
        <v>259</v>
      </c>
      <c r="B51" s="80" t="s">
        <v>19</v>
      </c>
      <c r="C51" s="81" t="s">
        <v>257</v>
      </c>
      <c r="E51" s="82" t="n">
        <v>42940</v>
      </c>
      <c r="F51" s="83" t="s">
        <v>83</v>
      </c>
      <c r="G51" s="83" t="s">
        <v>84</v>
      </c>
      <c r="H51" s="83" t="s">
        <v>260</v>
      </c>
      <c r="I51" s="81" t="s">
        <v>92</v>
      </c>
      <c r="J51" s="80" t="s">
        <v>93</v>
      </c>
    </row>
    <row r="52" s="78" customFormat="true" ht="13.5" hidden="false" customHeight="false" outlineLevel="0" collapsed="false">
      <c r="A52" s="80" t="s">
        <v>261</v>
      </c>
      <c r="B52" s="80" t="s">
        <v>262</v>
      </c>
      <c r="C52" s="81" t="s">
        <v>263</v>
      </c>
      <c r="E52" s="82" t="n">
        <v>39343</v>
      </c>
      <c r="F52" s="83" t="s">
        <v>83</v>
      </c>
      <c r="G52" s="83" t="s">
        <v>84</v>
      </c>
      <c r="H52" s="83" t="s">
        <v>264</v>
      </c>
      <c r="I52" s="81" t="s">
        <v>265</v>
      </c>
      <c r="J52" s="80" t="s">
        <v>266</v>
      </c>
    </row>
    <row r="53" s="78" customFormat="true" ht="13.5" hidden="false" customHeight="false" outlineLevel="0" collapsed="false">
      <c r="A53" s="80" t="s">
        <v>267</v>
      </c>
      <c r="B53" s="80" t="s">
        <v>268</v>
      </c>
      <c r="C53" s="81" t="s">
        <v>263</v>
      </c>
      <c r="E53" s="82" t="n">
        <v>39343</v>
      </c>
      <c r="F53" s="83" t="s">
        <v>83</v>
      </c>
      <c r="G53" s="83" t="s">
        <v>84</v>
      </c>
      <c r="H53" s="83" t="s">
        <v>269</v>
      </c>
      <c r="I53" s="81" t="s">
        <v>265</v>
      </c>
      <c r="J53" s="80" t="s">
        <v>266</v>
      </c>
    </row>
    <row r="54" customFormat="false" ht="13.5" hidden="false" customHeight="false" outlineLevel="0" collapsed="false">
      <c r="A54" s="80" t="s">
        <v>270</v>
      </c>
      <c r="B54" s="80" t="s">
        <v>271</v>
      </c>
      <c r="C54" s="81" t="s">
        <v>272</v>
      </c>
      <c r="D54" s="78"/>
      <c r="E54" s="82" t="n">
        <v>39594</v>
      </c>
      <c r="F54" s="83" t="s">
        <v>83</v>
      </c>
      <c r="G54" s="83" t="s">
        <v>84</v>
      </c>
      <c r="H54" s="83" t="s">
        <v>273</v>
      </c>
      <c r="I54" s="81" t="s">
        <v>265</v>
      </c>
      <c r="J54" s="80" t="s">
        <v>266</v>
      </c>
    </row>
  </sheetData>
  <autoFilter ref="A1:J54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32" activeCellId="1" sqref="B36:G36 H32"/>
    </sheetView>
  </sheetViews>
  <sheetFormatPr defaultRowHeight="13.8" zeroHeight="false" outlineLevelRow="0" outlineLevelCol="0"/>
  <cols>
    <col collapsed="false" customWidth="true" hidden="false" outlineLevel="0" max="1" min="1" style="0" width="10.5"/>
    <col collapsed="false" customWidth="true" hidden="false" outlineLevel="0" max="2" min="2" style="0" width="14.74"/>
    <col collapsed="false" customWidth="true" hidden="false" outlineLevel="0" max="1025" min="3" style="0" width="10.5"/>
  </cols>
  <sheetData>
    <row r="1" customFormat="false" ht="13.8" hidden="false" customHeight="false" outlineLevel="0" collapsed="false">
      <c r="B1" s="85" t="s">
        <v>59</v>
      </c>
      <c r="C1" s="0" t="s">
        <v>274</v>
      </c>
      <c r="D1" s="0" t="s">
        <v>275</v>
      </c>
    </row>
    <row r="3" customFormat="false" ht="13.8" hidden="false" customHeight="false" outlineLevel="0" collapsed="false">
      <c r="A3" s="33" t="n">
        <v>109</v>
      </c>
      <c r="B3" s="33" t="s">
        <v>20</v>
      </c>
      <c r="C3" s="0" t="n">
        <v>2240</v>
      </c>
      <c r="D3" s="0" t="n">
        <v>2240</v>
      </c>
    </row>
    <row r="4" customFormat="false" ht="13.8" hidden="false" customHeight="false" outlineLevel="0" collapsed="false">
      <c r="A4" s="0" t="n">
        <v>320</v>
      </c>
      <c r="B4" s="0" t="s">
        <v>18</v>
      </c>
      <c r="C4" s="0" t="n">
        <v>289000</v>
      </c>
      <c r="D4" s="0" t="n">
        <v>289000</v>
      </c>
    </row>
    <row r="5" customFormat="false" ht="13.8" hidden="false" customHeight="false" outlineLevel="0" collapsed="false">
      <c r="A5" s="0" t="n">
        <v>321</v>
      </c>
      <c r="B5" s="0" t="s">
        <v>19</v>
      </c>
      <c r="C5" s="0" t="n">
        <v>49080</v>
      </c>
      <c r="D5" s="0" t="n">
        <v>49080</v>
      </c>
    </row>
    <row r="6" customFormat="false" ht="13.8" hidden="false" customHeight="false" outlineLevel="0" collapsed="false">
      <c r="A6" s="0" t="n">
        <v>316</v>
      </c>
      <c r="B6" s="0" t="s">
        <v>22</v>
      </c>
      <c r="C6" s="0" t="n">
        <v>9360</v>
      </c>
      <c r="D6" s="0" t="n">
        <v>9360</v>
      </c>
    </row>
    <row r="7" customFormat="false" ht="13.8" hidden="false" customHeight="false" outlineLevel="0" collapsed="false">
      <c r="A7" s="0" t="n">
        <v>196</v>
      </c>
      <c r="B7" s="0" t="s">
        <v>276</v>
      </c>
      <c r="C7" s="86"/>
      <c r="D7" s="86"/>
    </row>
    <row r="8" customFormat="false" ht="13.8" hidden="false" customHeight="false" outlineLevel="0" collapsed="false">
      <c r="A8" s="0" t="n">
        <v>309</v>
      </c>
      <c r="B8" s="0" t="s">
        <v>14</v>
      </c>
      <c r="C8" s="0" t="n">
        <v>2340</v>
      </c>
      <c r="D8" s="0" t="n">
        <v>2340</v>
      </c>
    </row>
    <row r="9" customFormat="false" ht="13.8" hidden="false" customHeight="false" outlineLevel="0" collapsed="false">
      <c r="A9" s="0" t="n">
        <v>104</v>
      </c>
      <c r="B9" s="0" t="s">
        <v>107</v>
      </c>
      <c r="C9" s="86"/>
      <c r="D9" s="86"/>
    </row>
    <row r="10" customFormat="false" ht="13.8" hidden="false" customHeight="false" outlineLevel="0" collapsed="false">
      <c r="A10" s="0" t="n">
        <v>318</v>
      </c>
      <c r="B10" s="0" t="s">
        <v>16</v>
      </c>
      <c r="C10" s="0" t="n">
        <v>359290</v>
      </c>
      <c r="D10" s="0" t="n">
        <v>359290</v>
      </c>
    </row>
    <row r="11" customFormat="false" ht="13.8" hidden="false" customHeight="false" outlineLevel="0" collapsed="false">
      <c r="A11" s="0" t="n">
        <v>170</v>
      </c>
      <c r="B11" s="0" t="s">
        <v>154</v>
      </c>
      <c r="C11" s="86"/>
    </row>
    <row r="12" customFormat="false" ht="13.8" hidden="false" customHeight="false" outlineLevel="0" collapsed="false">
      <c r="A12" s="0" t="n">
        <v>310</v>
      </c>
      <c r="B12" s="0" t="s">
        <v>12</v>
      </c>
      <c r="C12" s="0" t="n">
        <v>24810</v>
      </c>
      <c r="D12" s="0" t="n">
        <v>24810</v>
      </c>
    </row>
    <row r="13" customFormat="false" ht="13.8" hidden="false" customHeight="false" outlineLevel="0" collapsed="false">
      <c r="C13" s="86"/>
      <c r="D13" s="86"/>
    </row>
    <row r="14" customFormat="false" ht="13.8" hidden="false" customHeight="false" outlineLevel="0" collapsed="false">
      <c r="B14" s="85" t="s">
        <v>277</v>
      </c>
      <c r="C14" s="86"/>
      <c r="D14" s="86"/>
    </row>
    <row r="15" customFormat="false" ht="13.8" hidden="false" customHeight="false" outlineLevel="0" collapsed="false">
      <c r="A15" s="33" t="n">
        <v>109</v>
      </c>
      <c r="B15" s="33" t="s">
        <v>20</v>
      </c>
      <c r="C15" s="0" t="n">
        <v>5220</v>
      </c>
      <c r="D15" s="0" t="n">
        <v>5220</v>
      </c>
    </row>
    <row r="16" customFormat="false" ht="13.8" hidden="false" customHeight="false" outlineLevel="0" collapsed="false">
      <c r="A16" s="33" t="n">
        <v>309</v>
      </c>
      <c r="B16" s="87" t="s">
        <v>14</v>
      </c>
      <c r="C16" s="0" t="n">
        <v>14900</v>
      </c>
      <c r="D16" s="0" t="n">
        <v>14900</v>
      </c>
    </row>
    <row r="17" customFormat="false" ht="13.8" hidden="false" customHeight="false" outlineLevel="0" collapsed="false">
      <c r="A17" s="0" t="n">
        <v>316</v>
      </c>
      <c r="B17" s="0" t="s">
        <v>22</v>
      </c>
      <c r="C17" s="0" t="n">
        <v>480</v>
      </c>
      <c r="D17" s="0" t="n">
        <v>480</v>
      </c>
    </row>
    <row r="18" customFormat="false" ht="13.8" hidden="false" customHeight="false" outlineLevel="0" collapsed="false">
      <c r="C18" s="86"/>
    </row>
    <row r="19" customFormat="false" ht="13.8" hidden="false" customHeight="false" outlineLevel="0" collapsed="false">
      <c r="B19" s="85" t="s">
        <v>278</v>
      </c>
      <c r="C19" s="86"/>
      <c r="D19" s="86"/>
    </row>
    <row r="20" customFormat="false" ht="13.8" hidden="false" customHeight="false" outlineLevel="0" collapsed="false">
      <c r="B20" s="85" t="s">
        <v>279</v>
      </c>
      <c r="C20" s="86"/>
      <c r="D20" s="86"/>
      <c r="I20" s="0" t="n">
        <v>0</v>
      </c>
    </row>
    <row r="21" customFormat="false" ht="13.8" hidden="false" customHeight="false" outlineLevel="0" collapsed="false">
      <c r="A21" s="0" t="n">
        <v>109</v>
      </c>
      <c r="B21" s="0" t="s">
        <v>20</v>
      </c>
      <c r="C21" s="0" t="n">
        <v>4060</v>
      </c>
      <c r="D21" s="0" t="n">
        <v>4060</v>
      </c>
    </row>
    <row r="22" customFormat="false" ht="13.8" hidden="false" customHeight="false" outlineLevel="0" collapsed="false">
      <c r="A22" s="0" t="n">
        <v>320</v>
      </c>
      <c r="B22" s="0" t="s">
        <v>18</v>
      </c>
      <c r="C22" s="0" t="n">
        <v>4980</v>
      </c>
      <c r="D22" s="0" t="n">
        <v>4980</v>
      </c>
    </row>
    <row r="23" customFormat="false" ht="13.8" hidden="false" customHeight="false" outlineLevel="0" collapsed="false">
      <c r="A23" s="0" t="n">
        <v>321</v>
      </c>
      <c r="B23" s="0" t="s">
        <v>19</v>
      </c>
      <c r="C23" s="0" t="n">
        <v>3520</v>
      </c>
      <c r="D23" s="0" t="n">
        <v>3520</v>
      </c>
    </row>
    <row r="24" customFormat="false" ht="13.8" hidden="false" customHeight="false" outlineLevel="0" collapsed="false">
      <c r="A24" s="0" t="n">
        <v>296</v>
      </c>
      <c r="B24" s="87" t="s">
        <v>35</v>
      </c>
      <c r="C24" s="0" t="n">
        <v>740</v>
      </c>
      <c r="D24" s="0" t="n">
        <v>740</v>
      </c>
    </row>
    <row r="25" customFormat="false" ht="13.8" hidden="false" customHeight="false" outlineLevel="0" collapsed="false">
      <c r="B25" s="85" t="s">
        <v>280</v>
      </c>
      <c r="C25" s="86"/>
      <c r="D25" s="86"/>
    </row>
    <row r="26" customFormat="false" ht="13.8" hidden="false" customHeight="false" outlineLevel="0" collapsed="false">
      <c r="A26" s="0" t="n">
        <v>109</v>
      </c>
      <c r="B26" s="0" t="s">
        <v>20</v>
      </c>
      <c r="C26" s="86"/>
      <c r="D26" s="86"/>
    </row>
    <row r="27" customFormat="false" ht="13.8" hidden="false" customHeight="false" outlineLevel="0" collapsed="false">
      <c r="A27" s="0" t="n">
        <v>320</v>
      </c>
      <c r="B27" s="0" t="s">
        <v>18</v>
      </c>
      <c r="C27" s="0" t="n">
        <v>5340</v>
      </c>
      <c r="D27" s="0" t="n">
        <v>5340</v>
      </c>
    </row>
    <row r="28" customFormat="false" ht="13.8" hidden="false" customHeight="false" outlineLevel="0" collapsed="false">
      <c r="A28" s="0" t="n">
        <v>321</v>
      </c>
      <c r="B28" s="0" t="s">
        <v>19</v>
      </c>
      <c r="C28" s="86"/>
      <c r="D28" s="86"/>
    </row>
    <row r="29" customFormat="false" ht="13.8" hidden="false" customHeight="false" outlineLevel="0" collapsed="false">
      <c r="C29" s="86"/>
      <c r="D29" s="86"/>
    </row>
    <row r="30" customFormat="false" ht="13.8" hidden="false" customHeight="false" outlineLevel="0" collapsed="false">
      <c r="B30" s="85" t="s">
        <v>281</v>
      </c>
      <c r="C30" s="86"/>
      <c r="D30" s="86"/>
    </row>
    <row r="31" customFormat="false" ht="13.8" hidden="false" customHeight="false" outlineLevel="0" collapsed="false">
      <c r="A31" s="0" t="n">
        <v>109</v>
      </c>
      <c r="B31" s="87" t="s">
        <v>20</v>
      </c>
      <c r="C31" s="0" t="n">
        <v>32400</v>
      </c>
      <c r="D31" s="88" t="n">
        <v>32400</v>
      </c>
    </row>
    <row r="32" customFormat="false" ht="13.8" hidden="false" customHeight="false" outlineLevel="0" collapsed="false">
      <c r="B32" s="85" t="s">
        <v>64</v>
      </c>
      <c r="C32" s="86"/>
      <c r="D32" s="86"/>
    </row>
    <row r="33" customFormat="false" ht="13.8" hidden="false" customHeight="false" outlineLevel="0" collapsed="false">
      <c r="A33" s="0" t="n">
        <v>104</v>
      </c>
      <c r="B33" s="0" t="s">
        <v>107</v>
      </c>
      <c r="C33" s="86"/>
      <c r="D33" s="86"/>
    </row>
    <row r="34" customFormat="false" ht="13.8" hidden="false" customHeight="false" outlineLevel="0" collapsed="false">
      <c r="A34" s="0" t="n">
        <v>109</v>
      </c>
      <c r="B34" s="0" t="s">
        <v>20</v>
      </c>
      <c r="C34" s="0" t="n">
        <v>18780</v>
      </c>
      <c r="D34" s="88" t="n">
        <v>18780</v>
      </c>
    </row>
    <row r="35" customFormat="false" ht="13.8" hidden="false" customHeight="false" outlineLevel="0" collapsed="false">
      <c r="C35" s="86" t="n">
        <f aca="false">SUM(C3:C34)</f>
        <v>826540</v>
      </c>
      <c r="D35" s="86" t="n">
        <f aca="false">SUM(D3:D34)</f>
        <v>826540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LibreOffice/5.4.7.2$Windows_X86_64 LibreOffice_project/c838ef25c16710f8838b1faec480ebba495259d0</Application>
  <Company>www.intercambiosvirtuales.org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2017-02-16T17:29:25Z</dcterms:created>
  <dc:creator>usuario</dc:creator>
  <dc:description/>
  <dc:language>es-ES</dc:language>
  <cp:lastModifiedBy>JORGE AZUARA ROCA</cp:lastModifiedBy>
  <cp:lastPrinted>2018-10-02T06:45:41Z</cp:lastPrinted>
  <dcterms:modified xsi:type="dcterms:W3CDTF">2019-03-27T12:16:42Z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www.intercambiosvirtuales.org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