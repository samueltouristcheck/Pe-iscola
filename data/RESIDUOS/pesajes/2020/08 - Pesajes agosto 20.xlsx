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_2" sheetId="4" state="visible" r:id="rId5"/>
  </sheets>
  <definedNames>
    <definedName function="false" hidden="true" localSheetId="0" name="_xlnm._FilterDatabase" vbProcedure="false">Hoja1!$A$1:$J$403</definedName>
  </definedName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<sst xmlns="http://schemas.openxmlformats.org/spreadsheetml/2006/main" count="1799" uniqueCount="65">
  <si>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</si>
  <si>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</si>
  <si>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</si>
  <si>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</si>
  <si>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</si>
  <si>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</si>
  <si>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</si>
  <si>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</si>
  <si>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</si>
  <si>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</si>
  <si>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6120JZX</t>
  </si>
  <si>
    <t xml:space="preserve">PEÑISCOLA </t>
  </si>
  <si>
    <t xml:space="preserve">VOL</t>
  </si>
  <si>
    <t xml:space="preserve">X</t>
  </si>
  <si>
    <t xml:space="preserve">1730KBZ</t>
  </si>
  <si>
    <t xml:space="preserve">RSU</t>
  </si>
  <si>
    <t xml:space="preserve">3686KBG</t>
  </si>
  <si>
    <t xml:space="preserve">1821KBZ</t>
  </si>
  <si>
    <t xml:space="preserve">7542KBV</t>
  </si>
  <si>
    <t xml:space="preserve">7809JZX</t>
  </si>
  <si>
    <t xml:space="preserve">SEL.PAP</t>
  </si>
  <si>
    <t xml:space="preserve">TETMA</t>
  </si>
  <si>
    <t xml:space="preserve">SEL.ENV</t>
  </si>
  <si>
    <t xml:space="preserve">7957JZS</t>
  </si>
  <si>
    <t xml:space="preserve">1076KSZ</t>
  </si>
  <si>
    <t xml:space="preserve">PODA</t>
  </si>
  <si>
    <t xml:space="preserve">5313GBZ</t>
  </si>
  <si>
    <t xml:space="preserve">9594FRV</t>
  </si>
  <si>
    <t xml:space="preserve">0315BGK</t>
  </si>
  <si>
    <t xml:space="preserve">LIMP.PLAYA</t>
  </si>
  <si>
    <t xml:space="preserve">2828CZW</t>
  </si>
  <si>
    <t xml:space="preserve">NO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</si>
  <si>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</si>
  <si>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</si>
  <si>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</si>
  <si>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</si>
  <si>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</si>
  <si>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</si>
  <si>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</si>
  <si>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</si>
  <si>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</si>
  <si>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</si>
  <si>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REVISADO</t>
  </si>
  <si>
    <t xml:space="preserve">MULTILIFT GRUA</t>
  </si>
  <si>
    <t xml:space="preserve">Volquete Jardineria</t>
  </si>
  <si>
    <t xml:space="preserve">Recolector 22 _ 1</t>
  </si>
  <si>
    <t xml:space="preserve">2-3-4-5</t>
  </si>
  <si>
    <t xml:space="preserve">Dia/Noche</t>
  </si>
  <si>
    <t xml:space="preserve">Recolector 22 _ 2</t>
  </si>
  <si>
    <t xml:space="preserve">volquete 4x4 LV</t>
  </si>
  <si>
    <t xml:space="preserve">Recolector 17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</si>
  <si>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</si>
  <si>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</si>
  <si>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</si>
  <si>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</si>
  <si>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Día/Noche</t>
  </si>
  <si>
    <t xml:space="preserve">VOLUMINOSOS</t>
  </si>
  <si>
    <t xml:space="preserve">N.º OPERARIOS</t>
  </si>
  <si>
    <t xml:space="preserve">FRECUENCIA</t>
  </si>
  <si>
    <t xml:space="preserve">volquete</t>
  </si>
  <si>
    <t xml:space="preserve">PAPEL</t>
  </si>
  <si>
    <t xml:space="preserve">ENVASES</t>
  </si>
  <si>
    <t xml:space="preserve">Camión FOBESA </t>
  </si>
  <si>
    <t xml:space="preserve">5936GJY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</si>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</sst>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E181E"/>
      <name val="Calibri"/>
      <family val="2"/>
      <charset val="1"/>
    </font>
    <font>
      <sz val="11"/>
      <name val="Frutiger 45 Light"/>
      <family val="2"/>
      <charset val="1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D9D9D9"/>
        <bgColor rgb="FFDDDDDD"/>
      </patternFill>
    </fill>
    <fill>
      <patternFill patternType="solid">
        <fgColor rgb="FFFFF200"/>
        <bgColor rgb="FFFFFF00"/>
      </patternFill>
    </fill>
    <fill>
      <patternFill patternType="solid">
        <fgColor rgb="FFB2B2B2"/>
        <bgColor rgb="FF969696"/>
      </patternFill>
    </fill>
    <fill>
      <patternFill patternType="solid">
        <fgColor rgb="FFFFF685"/>
        <bgColor rgb="FFFFF9AE"/>
      </patternFill>
    </fill>
    <fill>
      <patternFill patternType="solid">
        <fgColor rgb="FFFFF9AE"/>
        <bgColor rgb="FFFFF685"/>
      </patternFill>
    </fill>
    <fill>
      <patternFill patternType="solid">
        <fgColor rgb="FFFCD3C1"/>
        <bgColor rgb="FFDDDDDD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40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4" fontId="0" fillId="8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9" fillId="7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5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9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CE181E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68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02">
  <cacheSource type="worksheet">
    <worksheetSource ref="A1:J403" sheet="Hoja1"/>
  </cacheSource>
  <cacheFields count="10">
    <cacheField name="Fecha" numFmtId="0">
      <sharedItems count="31" containsMixedTypes="0" containsSemiMixedTypes="0" containsString="0" containsNumber="1">
        <n v="44044"/>
        <n v="44045"/>
        <n v="44046"/>
        <n v="44047"/>
        <n v="44048"/>
        <n v="44049"/>
        <n v="44050"/>
        <n v="44051"/>
        <n v="44052"/>
        <n v="44053"/>
        <n v="44054"/>
        <n v="44055"/>
        <n v="44056"/>
        <n v="44057"/>
        <n v="44058"/>
        <n v="44059"/>
        <n v="44060"/>
        <n v="44061"/>
        <n v="44062"/>
        <n v="44063"/>
        <n v="44064"/>
        <n v="44065"/>
        <n v="44066"/>
        <n v="44067"/>
        <n v="44068"/>
        <n v="44069"/>
        <n v="44070"/>
        <n v="44071"/>
        <n v="44072"/>
        <n v="44073"/>
        <n v="44074"/>
      </sharedItems>
    </cacheField>
    <cacheField name="Fecha / hora" numFmtId="0">
      <sharedItems count="292" containsMixedTypes="1" containsSemiMixedTypes="1" containsString="0" containsNumber="1">
        <n v="0.0534722222222222"/>
        <n v="0.0569444444444444"/>
        <n v="0.0590277777777778"/>
        <n v="0.0645833333333333"/>
        <n v="0.0666666666666667"/>
        <n v="0.06875"/>
        <n v="0.0694444444444444"/>
        <n v="0.0701388888888889"/>
        <n v="0.0715277777777778"/>
        <n v="0.0756944444444444"/>
        <n v="0.0784722222222222"/>
        <n v="0.0791666666666667"/>
        <n v="0.0805555555555556"/>
        <n v="0.08125"/>
        <n v="0.0826388888888889"/>
        <n v="0.0833333333333333"/>
        <n v="0.0840277777777778"/>
        <n v="0.0847222222222222"/>
        <n v="0.0861111111111111"/>
        <n v="0.0881944444444444"/>
        <n v="0.0888888888888889"/>
        <n v="0.0902777777777778"/>
        <n v="0.0965277777777778"/>
        <n v="0.0972222222222222"/>
        <n v="0.100694444444444"/>
        <n v="0.103472222222222"/>
        <n v="0.104861111111111"/>
        <n v="0.111111111111111"/>
        <n v="0.115972222222222"/>
        <n v="0.116666666666667"/>
        <n v="0.122222222222222"/>
        <n v="0.129861111111111"/>
        <n v="0.131944444444444"/>
        <n v="0.134722222222222"/>
        <n v="0.136805555555556"/>
        <n v="0.144444444444444"/>
        <n v="0.151388888888889"/>
        <n v="0.152083333333333"/>
        <n v="0.154166666666667"/>
        <n v="0.15625"/>
        <n v="0.158333333333333"/>
        <n v="0.159027777777778"/>
        <n v="0.159722222222222"/>
        <n v="0.161111111111111"/>
        <n v="0.161805555555556"/>
        <n v="0.165277777777778"/>
        <n v="0.167361111111111"/>
        <n v="0.170833333333333"/>
        <n v="0.171527777777778"/>
        <n v="0.172222222222222"/>
        <n v="0.173611111111111"/>
        <n v="0.176388888888889"/>
        <n v="0.177083333333333"/>
        <n v="0.179166666666667"/>
        <n v="0.184722222222222"/>
        <n v="0.1875"/>
        <n v="0.189583333333333"/>
        <n v="0.190972222222222"/>
        <n v="0.195138888888889"/>
        <n v="0.195833333333333"/>
        <n v="0.196527777777778"/>
        <n v="0.197916666666667"/>
        <n v="0.202777777777778"/>
        <n v="0.204166666666667"/>
        <n v="0.204861111111111"/>
        <n v="0.209027777777778"/>
        <n v="0.209722222222222"/>
        <n v="0.213194444444444"/>
        <n v="0.213888888888889"/>
        <n v="0.219444444444444"/>
        <n v="0.220833333333333"/>
        <n v="0.221527777777778"/>
        <n v="0.231944444444444"/>
        <n v="0.232638888888889"/>
        <n v="0.233333333333333"/>
        <n v="0.236805555555556"/>
        <n v="0.238194444444444"/>
        <n v="0.242361111111111"/>
        <n v="0.243055555555556"/>
        <n v="0.248611111111111"/>
        <n v="0.250694444444444"/>
        <n v="0.252083333333333"/>
        <n v="0.252777777777778"/>
        <n v="0.253472222222222"/>
        <n v="0.254166666666667"/>
        <n v="0.254861111111111"/>
        <n v="0.255555555555556"/>
        <n v="0.25625"/>
        <n v="0.256944444444444"/>
        <n v="0.257638888888889"/>
        <n v="0.258333333333333"/>
        <n v="0.259027777777778"/>
        <n v="0.259722222222222"/>
        <n v="0.260416666666667"/>
        <n v="0.261111111111111"/>
        <n v="0.261805555555556"/>
        <n v="0.2625"/>
        <n v="0.263194444444444"/>
        <n v="0.263888888888889"/>
        <n v="0.265277777777778"/>
        <n v="0.265972222222222"/>
        <n v="0.266666666666667"/>
        <n v="0.267361111111111"/>
        <n v="0.268055555555556"/>
        <n v="0.26875"/>
        <n v="0.269444444444444"/>
        <n v="0.270138888888889"/>
        <n v="0.270833333333333"/>
        <n v="0.271527777777778"/>
        <n v="0.272222222222222"/>
        <n v="0.274305555555555"/>
        <n v="0.275"/>
        <n v="0.275694444444444"/>
        <n v="0.276388888888889"/>
        <n v="0.278472222222222"/>
        <n v="0.279166666666667"/>
        <n v="0.279861111111111"/>
        <n v="0.28125"/>
        <n v="0.281944444444444"/>
        <n v="0.282638888888889"/>
        <n v="0.283333333333333"/>
        <n v="0.284027777777778"/>
        <n v="0.286805555555556"/>
        <n v="0.2875"/>
        <n v="0.288194444444444"/>
        <n v="0.288888888888889"/>
        <n v="0.290277777777778"/>
        <n v="0.291666666666667"/>
        <n v="0.294444444444444"/>
        <n v="0.297222222222222"/>
        <n v="0.297916666666667"/>
        <n v="0.302083333333333"/>
        <n v="0.307638888888889"/>
        <n v="0.308333333333333"/>
        <n v="0.310416666666667"/>
        <n v="0.311805555555556"/>
        <n v="0.313194444444444"/>
        <n v="0.315277777777778"/>
        <n v="0.317361111111111"/>
        <n v="0.318055555555556"/>
        <n v="0.321527777777778"/>
        <n v="0.325"/>
        <n v="0.327777777777778"/>
        <n v="0.334027777777778"/>
        <n v="0.335416666666667"/>
        <n v="0.336111111111111"/>
        <n v="0.338194444444444"/>
        <n v="0.338888888888889"/>
        <n v="0.339583333333333"/>
        <n v="0.340972222222222"/>
        <n v="0.345138888888889"/>
        <n v="0.347222222222222"/>
        <n v="0.349305555555556"/>
        <n v="0.353472222222222"/>
        <n v="0.354166666666667"/>
        <n v="0.354861111111111"/>
        <n v="0.35625"/>
        <n v="0.357638888888889"/>
        <n v="0.359722222222222"/>
        <n v="0.364583333333333"/>
        <n v="0.367361111111111"/>
        <n v="0.368055555555556"/>
        <n v="0.370833333333333"/>
        <n v="0.377777777777778"/>
        <n v="0.378472222222222"/>
        <n v="0.381944444444444"/>
        <n v="0.384027777777778"/>
        <n v="0.384722222222222"/>
        <n v="0.388194444444444"/>
        <n v="0.389583333333333"/>
        <n v="0.390277777777778"/>
        <n v="0.408333333333333"/>
        <n v="0.421527777777778"/>
        <n v="0.439583333333333"/>
        <n v="0.441666666666667"/>
        <n v="0.442361111111111"/>
        <n v="0.444444444444444"/>
        <n v="0.445138888888889"/>
        <n v="0.445833333333333"/>
        <n v="0.446527777777778"/>
        <n v="0.447222222222222"/>
        <n v="0.447916666666667"/>
        <n v="0.448611111111111"/>
        <n v="0.449305555555556"/>
        <n v="0.45"/>
        <n v="0.451388888888889"/>
        <n v="0.452083333333333"/>
        <n v="0.453472222222222"/>
        <n v="0.454166666666667"/>
        <n v="0.456944444444444"/>
        <n v="0.459027777777778"/>
        <n v="0.461111111111111"/>
        <n v="0.463194444444444"/>
        <n v="0.463888888888889"/>
        <n v="0.465277777777778"/>
        <n v="0.466666666666667"/>
        <n v="0.467361111111111"/>
        <n v="0.46875"/>
        <n v="0.470138888888889"/>
        <n v="0.470833333333333"/>
        <n v="0.472222222222222"/>
        <n v="0.474305555555556"/>
        <n v="0.475694444444444"/>
        <n v="0.476388888888889"/>
        <n v="0.477083333333333"/>
        <n v="0.479166666666667"/>
        <n v="0.48125"/>
        <n v="0.481944444444444"/>
        <n v="0.484027777777778"/>
        <n v="0.484722222222222"/>
        <n v="0.486805555555556"/>
        <n v="0.489583333333333"/>
        <n v="0.490972222222222"/>
        <n v="0.492361111111111"/>
        <n v="0.49375"/>
        <n v="0.495138888888889"/>
        <n v="0.495833333333333"/>
        <n v="0.496527777777778"/>
        <n v="0.498611111111111"/>
        <n v="0.499305555555555"/>
        <n v="0.5"/>
        <n v="0.500694444444445"/>
        <n v="0.502777777777778"/>
        <n v="0.503472222222222"/>
        <n v="0.505555555555556"/>
        <n v="0.50625"/>
        <n v="0.510416666666667"/>
        <n v="0.511111111111111"/>
        <n v="0.5125"/>
        <n v="0.513194444444444"/>
        <n v="0.515277777777778"/>
        <n v="0.515972222222222"/>
        <n v="0.53125"/>
        <n v="0.536805555555556"/>
        <n v="0.541666666666667"/>
        <n v="0.547222222222222"/>
        <n v="0.547916666666667"/>
        <n v="0.667361111111111"/>
        <n v="0.668055555555556"/>
        <n v="0.669444444444444"/>
        <n v="0.670138888888889"/>
        <n v="0.670833333333333"/>
        <n v="0.671527777777778"/>
        <n v="0.672222222222222"/>
        <n v="0.672916666666667"/>
        <n v="0.673611111111111"/>
        <n v="0.676388888888889"/>
        <n v="0.677777777777778"/>
        <n v="0.678472222222222"/>
        <n v="0.68125"/>
        <n v="0.681944444444445"/>
        <n v="0.682638888888889"/>
        <n v="0.683333333333333"/>
        <n v="0.684027777777778"/>
        <n v="0.685416666666667"/>
        <n v="0.686111111111111"/>
        <n v="0.688888888888889"/>
        <n v="0.695138888888889"/>
        <n v="0.729861111111111"/>
        <n v="0.85"/>
        <n v="0.851388888888889"/>
        <n v="0.85625"/>
        <n v="0.857638888888889"/>
        <n v="0.858333333333333"/>
        <n v="0.859027777777778"/>
        <n v="0.860416666666667"/>
        <n v="0.861111111111111"/>
        <n v="0.861805555555556"/>
        <n v="0.863194444444444"/>
        <n v="0.863888888888889"/>
        <n v="0.864583333333333"/>
        <n v="0.865277777777778"/>
        <n v="0.865972222222222"/>
        <n v="0.866666666666667"/>
        <n v="0.869444444444444"/>
        <n v="0.870138888888889"/>
        <n v="0.870833333333333"/>
        <n v="0.871527777777778"/>
        <n v="0.872222222222222"/>
        <n v="0.872916666666667"/>
        <n v="0.873611111111111"/>
        <n v="0.874305555555556"/>
        <n v="0.875"/>
        <n v="0.877083333333333"/>
        <n v="0.877777777777778"/>
        <n v="0.878472222222222"/>
        <n v="0.879166666666667"/>
        <n v="0.880555555555556"/>
        <n v="0.883333333333333"/>
        <n v="0.888194444444444"/>
        <n v="0.906944444444444"/>
        <m/>
      </sharedItems>
    </cacheField>
    <cacheField name="Ticket" numFmtId="0">
      <sharedItems count="400" containsMixedTypes="1" containsSemiMixedTypes="1" containsString="1" containsNumber="1">
        <n v="659"/>
        <n v="668"/>
        <n v="689"/>
        <n v="706"/>
        <n v="716"/>
        <n v="726"/>
        <n v="10551"/>
        <n v="10601"/>
        <n v="105064"/>
        <n v="105177"/>
        <n v="105312"/>
        <n v="105413"/>
        <n v="105619"/>
        <n v="105789"/>
        <n v="105853"/>
        <n v="105916"/>
        <n v="105974"/>
        <n v="106051"/>
        <n v="106118"/>
        <n v="127514"/>
        <n v="127515"/>
        <n v="127523"/>
        <n v="127530"/>
        <n v="127532"/>
        <n v="127541"/>
        <n v="127543"/>
        <n v="127544"/>
        <n v="127547"/>
        <n v="127548"/>
        <n v="127549"/>
        <n v="127551"/>
        <n v="127559"/>
        <n v="127561"/>
        <n v="127562"/>
        <n v="127569"/>
        <n v="127570"/>
        <n v="127573"/>
        <n v="127574"/>
        <n v="127575"/>
        <n v="127576"/>
        <n v="127578"/>
        <n v="127585"/>
        <n v="127589"/>
        <n v="127590"/>
        <n v="127593"/>
        <n v="127602"/>
        <n v="127615"/>
        <n v="127624"/>
        <n v="127625"/>
        <n v="127641"/>
        <n v="127648"/>
        <n v="127649"/>
        <n v="127650"/>
        <n v="127654"/>
        <n v="127663"/>
        <n v="127668"/>
        <n v="127669"/>
        <n v="127681"/>
        <n v="127686"/>
        <n v="127694"/>
        <n v="127695"/>
        <n v="127718"/>
        <n v="127727"/>
        <n v="127728"/>
        <n v="127733"/>
        <n v="127741"/>
        <n v="127742"/>
        <n v="127748"/>
        <n v="127752"/>
        <n v="127753"/>
        <n v="127754"/>
        <n v="127766"/>
        <n v="127768"/>
        <n v="127778"/>
        <n v="127783"/>
        <n v="127801"/>
        <n v="127808"/>
        <n v="127809"/>
        <n v="127820"/>
        <n v="127821"/>
        <n v="127826"/>
        <n v="127829"/>
        <n v="127830"/>
        <n v="127836"/>
        <n v="127855"/>
        <n v="127880"/>
        <n v="127889"/>
        <n v="127890"/>
        <n v="127895"/>
        <n v="127901"/>
        <n v="127902"/>
        <n v="127905"/>
        <n v="127909"/>
        <n v="127911"/>
        <n v="127912"/>
        <n v="127916"/>
        <n v="127922"/>
        <n v="127926"/>
        <n v="127929"/>
        <n v="127935"/>
        <n v="127939"/>
        <n v="127941"/>
        <n v="127950"/>
        <n v="127964"/>
        <n v="127970"/>
        <n v="127972"/>
        <n v="127975"/>
        <n v="127983"/>
        <n v="127991"/>
        <n v="127992"/>
        <n v="127996"/>
        <n v="127999"/>
        <n v="128000"/>
        <n v="128001"/>
        <n v="128003"/>
        <n v="128004"/>
        <n v="128005"/>
        <n v="128006"/>
        <n v="128008"/>
        <n v="128017"/>
        <n v="128019"/>
        <n v="128022"/>
        <n v="128023"/>
        <n v="128024"/>
        <n v="128029"/>
        <n v="128030"/>
        <n v="128031"/>
        <n v="128032"/>
        <n v="128033"/>
        <n v="128034"/>
        <n v="128036"/>
        <n v="128044"/>
        <n v="128046"/>
        <n v="128047"/>
        <n v="128052"/>
        <n v="128055"/>
        <n v="128065"/>
        <n v="128079"/>
        <n v="128084"/>
        <n v="128094"/>
        <n v="128104"/>
        <n v="128114"/>
        <n v="128115"/>
        <n v="128117"/>
        <n v="128118"/>
        <n v="128130"/>
        <n v="128132"/>
        <n v="128134"/>
        <n v="128135"/>
        <n v="128142"/>
        <n v="128150"/>
        <n v="128162"/>
        <n v="128167"/>
        <n v="128183"/>
        <n v="128194"/>
        <n v="128196"/>
        <n v="128201"/>
        <n v="128206"/>
        <n v="128209"/>
        <n v="128211"/>
        <n v="128212"/>
        <n v="128223"/>
        <n v="128231"/>
        <n v="128239"/>
        <n v="128246"/>
        <n v="128268"/>
        <n v="128275"/>
        <n v="128277"/>
        <n v="128281"/>
        <n v="128288"/>
        <n v="128289"/>
        <n v="128293"/>
        <n v="128296"/>
        <n v="128297"/>
        <n v="128322"/>
        <n v="128326"/>
        <n v="128348"/>
        <n v="128355"/>
        <n v="128361"/>
        <n v="128362"/>
        <n v="128365"/>
        <n v="128369"/>
        <n v="128373"/>
        <n v="128378"/>
        <n v="128380"/>
        <n v="128381"/>
        <n v="128383"/>
        <n v="128389"/>
        <n v="128391"/>
        <n v="128393"/>
        <n v="128397"/>
        <n v="128405"/>
        <n v="128410"/>
        <n v="128419"/>
        <n v="128437"/>
        <n v="128449"/>
        <n v="128451"/>
        <n v="128455"/>
        <n v="128456"/>
        <n v="128463"/>
        <n v="128465"/>
        <n v="128473"/>
        <n v="128474"/>
        <n v="128475"/>
        <n v="128480"/>
        <n v="128482"/>
        <n v="128483"/>
        <n v="128484"/>
        <n v="128485"/>
        <n v="128486"/>
        <n v="128488"/>
        <n v="128493"/>
        <n v="128496"/>
        <n v="128501"/>
        <n v="128503"/>
        <n v="128506"/>
        <n v="128510"/>
        <n v="128511"/>
        <n v="128512"/>
        <n v="128513"/>
        <n v="128514"/>
        <n v="128517"/>
        <n v="128523"/>
        <n v="128532"/>
        <n v="128534"/>
        <n v="128536"/>
        <n v="128546"/>
        <n v="128554"/>
        <n v="128557"/>
        <n v="128567"/>
        <n v="128583"/>
        <n v="128590"/>
        <n v="128591"/>
        <n v="128593"/>
        <n v="128594"/>
        <n v="128607"/>
        <n v="128608"/>
        <n v="128610"/>
        <n v="128622"/>
        <n v="128637"/>
        <n v="128640"/>
        <n v="128648"/>
        <n v="128666"/>
        <n v="128674"/>
        <n v="128675"/>
        <n v="128682"/>
        <n v="128690"/>
        <n v="128691"/>
        <n v="128698"/>
        <n v="128700"/>
        <n v="128712"/>
        <n v="128723"/>
        <n v="128725"/>
        <n v="128743"/>
        <n v="128751"/>
        <n v="128752"/>
        <n v="128760"/>
        <n v="128764"/>
        <n v="128765"/>
        <n v="128772"/>
        <n v="128773"/>
        <n v="128775"/>
        <n v="128788"/>
        <n v="128796"/>
        <n v="128812"/>
        <n v="128821"/>
        <n v="128831"/>
        <n v="128832"/>
        <n v="128836"/>
        <n v="128841"/>
        <n v="128843"/>
        <n v="128847"/>
        <n v="128849"/>
        <n v="128853"/>
        <n v="128864"/>
        <n v="128865"/>
        <n v="128868"/>
        <n v="128883"/>
        <n v="128885"/>
        <n v="128887"/>
        <n v="128890"/>
        <n v="128909"/>
        <n v="128920"/>
        <n v="128921"/>
        <n v="128923"/>
        <n v="128925"/>
        <n v="128934"/>
        <n v="128937"/>
        <n v="128944"/>
        <n v="128945"/>
        <n v="128949"/>
        <n v="128952"/>
        <n v="128957"/>
        <n v="128958"/>
        <n v="128959"/>
        <n v="128960"/>
        <n v="128968"/>
        <n v="128970"/>
        <n v="128972"/>
        <n v="128973"/>
        <n v="128975"/>
        <n v="128980"/>
        <n v="128982"/>
        <n v="128983"/>
        <n v="128984"/>
        <n v="128985"/>
        <n v="128988"/>
        <n v="128993"/>
        <n v="128998"/>
        <n v="128999"/>
        <n v="129004"/>
        <n v="129006"/>
        <n v="129010"/>
        <n v="129012"/>
        <n v="129028"/>
        <n v="129031"/>
        <n v="129046"/>
        <n v="129056"/>
        <n v="129057"/>
        <n v="129059"/>
        <n v="129068"/>
        <n v="129069"/>
        <n v="129073"/>
        <n v="129077"/>
        <n v="129089"/>
        <n v="129093"/>
        <n v="129110"/>
        <n v="129123"/>
        <n v="129139"/>
        <n v="129151"/>
        <n v="129152"/>
        <n v="129155"/>
        <n v="129162"/>
        <n v="129169"/>
        <n v="129170"/>
        <n v="129176"/>
        <n v="129180"/>
        <n v="129183"/>
        <n v="129192"/>
        <n v="129194"/>
        <n v="129198"/>
        <n v="129202"/>
        <n v="129208"/>
        <n v="129226"/>
        <n v="129237"/>
        <n v="129238"/>
        <n v="129240"/>
        <n v="129249"/>
        <n v="129253"/>
        <n v="129255"/>
        <n v="129260"/>
        <n v="129282"/>
        <n v="129286"/>
        <n v="129294"/>
        <n v="129307"/>
        <n v="129311"/>
        <n v="129317"/>
        <n v="129319"/>
        <n v="129327"/>
        <n v="129330"/>
        <n v="129350"/>
        <n v="129353"/>
        <n v="129368"/>
        <n v="129370"/>
        <n v="129371"/>
        <n v="129373"/>
        <n v="129376"/>
        <n v="129391"/>
        <n v="129393"/>
        <n v="129396"/>
        <n v="129398"/>
        <n v="129399"/>
        <n v="129400"/>
        <n v="129401"/>
        <n v="129402"/>
        <n v="129404"/>
        <n v="129410"/>
        <n v="129414"/>
        <n v="129415"/>
        <n v="129416"/>
        <n v="129421"/>
        <n v="129423"/>
        <n v="129425"/>
        <n v="129426"/>
        <n v="129427"/>
        <n v="129428"/>
        <n v="129429"/>
        <n v="129433"/>
        <n v="129436"/>
        <n v="129438"/>
        <n v="129442"/>
        <n v="129443"/>
        <n v="129454"/>
        <n v="129462"/>
        <n v="129470"/>
        <n v="129473"/>
        <n v="129478"/>
        <n v="129481"/>
        <n v="129482"/>
        <s v="TETMA"/>
      </sharedItems>
    </cacheField>
    <cacheField name="Matrícula" numFmtId="0">
      <sharedItems count="12" containsMixedTypes="0" containsSemiMixedTypes="0" containsString="1" containsNumber="0">
        <s v="0315BGK"/>
        <s v="1076KSZ"/>
        <s v="1730KBZ"/>
        <s v="1821KBZ"/>
        <s v="2828CZW"/>
        <s v="3686KBG"/>
        <s v="5313GBZ"/>
        <s v="6120JZX"/>
        <s v="7542KBV"/>
        <s v="7809JZX"/>
        <s v="7957JZS"/>
        <s v="9594FRV"/>
      </sharedItems>
    </cacheField>
    <cacheField name="Peso total" numFmtId="0">
      <sharedItems count="266" containsMixedTypes="0" containsSemiMixedTypes="0" containsString="0" containsNumber="1">
        <n v="2460"/>
        <n v="2480"/>
        <n v="2540"/>
        <n v="2560"/>
        <n v="2580"/>
        <n v="2600"/>
        <n v="2620"/>
        <n v="2640"/>
        <n v="2660"/>
        <n v="2680"/>
        <n v="2700"/>
        <n v="2720"/>
        <n v="2740"/>
        <n v="2760"/>
        <n v="2780"/>
        <n v="2800"/>
        <n v="2860"/>
        <n v="2920"/>
        <n v="2960"/>
        <n v="2980"/>
        <n v="3000"/>
        <n v="3040"/>
        <n v="306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400"/>
        <n v="3420"/>
        <n v="3440"/>
        <n v="3460"/>
        <n v="3480"/>
        <n v="3500"/>
        <n v="3560"/>
        <n v="3600"/>
        <n v="3620"/>
        <n v="3720"/>
        <n v="3760"/>
        <n v="3800"/>
        <n v="4240"/>
        <n v="4280"/>
        <n v="4300"/>
        <n v="4340"/>
        <n v="4380"/>
        <n v="4400"/>
        <n v="4440"/>
        <n v="4460"/>
        <n v="4480"/>
        <n v="4500"/>
        <n v="4520"/>
        <n v="4540"/>
        <n v="4560"/>
        <n v="4620"/>
        <n v="4640"/>
        <n v="4660"/>
        <n v="4680"/>
        <n v="4700"/>
        <n v="4720"/>
        <n v="4760"/>
        <n v="4780"/>
        <n v="4800"/>
        <n v="4820"/>
        <n v="4880"/>
        <n v="4900"/>
        <n v="4920"/>
        <n v="4960"/>
        <n v="4980"/>
        <n v="5000"/>
        <n v="5040"/>
        <n v="5080"/>
        <n v="5100"/>
        <n v="5240"/>
        <n v="6360"/>
        <n v="6380"/>
        <n v="6480"/>
        <n v="6700"/>
        <n v="6720"/>
        <n v="6980"/>
        <n v="13640"/>
        <n v="13660"/>
        <n v="14000"/>
        <n v="14140"/>
        <n v="14220"/>
        <n v="14300"/>
        <n v="14360"/>
        <n v="14420"/>
        <n v="14460"/>
        <n v="14480"/>
        <n v="14500"/>
        <n v="14540"/>
        <n v="14560"/>
        <n v="14580"/>
        <n v="14600"/>
        <n v="14640"/>
        <n v="14760"/>
        <n v="14780"/>
        <n v="14800"/>
        <n v="14820"/>
        <n v="14860"/>
        <n v="14880"/>
        <n v="14960"/>
        <n v="15120"/>
        <n v="15160"/>
        <n v="15180"/>
        <n v="15260"/>
        <n v="15420"/>
        <n v="15640"/>
        <n v="15880"/>
        <n v="15900"/>
        <n v="16180"/>
        <n v="16560"/>
        <n v="16780"/>
        <n v="16820"/>
        <n v="16860"/>
        <n v="17240"/>
        <n v="17320"/>
        <n v="17340"/>
        <n v="17420"/>
        <n v="17460"/>
        <n v="17560"/>
        <n v="17600"/>
        <n v="17620"/>
        <n v="17680"/>
        <n v="17700"/>
        <n v="17720"/>
        <n v="17800"/>
        <n v="17980"/>
        <n v="18040"/>
        <n v="18060"/>
        <n v="18160"/>
        <n v="18220"/>
        <n v="18280"/>
        <n v="18340"/>
        <n v="18420"/>
        <n v="18540"/>
        <n v="18560"/>
        <n v="18580"/>
        <n v="18640"/>
        <n v="18840"/>
        <n v="18900"/>
        <n v="18940"/>
        <n v="18960"/>
        <n v="18980"/>
        <n v="19080"/>
        <n v="19100"/>
        <n v="19120"/>
        <n v="19200"/>
        <n v="19220"/>
        <n v="19280"/>
        <n v="19480"/>
        <n v="19860"/>
        <n v="19880"/>
        <n v="20380"/>
        <n v="20400"/>
        <n v="20520"/>
        <n v="20580"/>
        <n v="20720"/>
        <n v="20820"/>
        <n v="21120"/>
        <n v="21140"/>
        <n v="21160"/>
        <n v="21280"/>
        <n v="21340"/>
        <n v="21380"/>
        <n v="21660"/>
        <n v="21680"/>
        <n v="21700"/>
        <n v="21740"/>
        <n v="21760"/>
        <n v="21820"/>
        <n v="21860"/>
        <n v="21880"/>
        <n v="21920"/>
        <n v="21940"/>
        <n v="22040"/>
        <n v="22080"/>
        <n v="22140"/>
        <n v="22160"/>
        <n v="22200"/>
        <n v="22220"/>
        <n v="22240"/>
        <n v="22300"/>
        <n v="22320"/>
        <n v="22460"/>
        <n v="22540"/>
        <n v="22560"/>
        <n v="22600"/>
        <n v="22620"/>
        <n v="22660"/>
        <n v="22760"/>
        <n v="22780"/>
        <n v="22840"/>
        <n v="22940"/>
        <n v="22980"/>
        <n v="23080"/>
        <n v="23140"/>
        <n v="23180"/>
        <n v="23220"/>
        <n v="23360"/>
        <n v="23400"/>
        <n v="23420"/>
        <n v="23500"/>
        <n v="23560"/>
        <n v="23580"/>
        <n v="23640"/>
        <n v="23960"/>
        <n v="24080"/>
        <n v="24160"/>
        <n v="24260"/>
        <n v="24320"/>
        <n v="24360"/>
        <n v="24380"/>
        <n v="24460"/>
        <n v="24480"/>
        <n v="24680"/>
        <n v="24800"/>
        <n v="24960"/>
        <n v="24980"/>
        <n v="25060"/>
        <n v="25100"/>
        <n v="25160"/>
        <n v="25240"/>
        <n v="25260"/>
        <n v="25320"/>
        <n v="25360"/>
        <n v="25400"/>
        <n v="25420"/>
        <n v="25440"/>
        <n v="25580"/>
        <n v="25640"/>
        <n v="25660"/>
        <n v="25680"/>
        <n v="25700"/>
        <n v="25800"/>
        <n v="25880"/>
        <n v="25920"/>
        <n v="25940"/>
        <n v="25980"/>
        <n v="26040"/>
        <n v="26080"/>
        <n v="26140"/>
        <n v="26160"/>
        <n v="26440"/>
        <n v="26840"/>
        <n v="26880"/>
        <n v="26940"/>
        <n v="27140"/>
        <n v="27280"/>
        <n v="27420"/>
        <n v="27440"/>
        <n v="27620"/>
        <n v="27640"/>
        <n v="27880"/>
        <n v="28080"/>
        <n v="28100"/>
        <n v="28120"/>
      </sharedItems>
    </cacheField>
    <cacheField name="Tara" numFmtId="0">
      <sharedItems count="93" containsMixedTypes="0" containsSemiMixedTypes="0" containsString="0" containsNumber="1">
        <n v="2320"/>
        <n v="2340"/>
        <n v="2380"/>
        <n v="2400"/>
        <n v="2420"/>
        <n v="2440"/>
        <n v="2460"/>
        <n v="2480"/>
        <n v="2500"/>
        <n v="2520"/>
        <n v="2640"/>
        <n v="2680"/>
        <n v="2700"/>
        <n v="2720"/>
        <n v="2740"/>
        <n v="2760"/>
        <n v="2780"/>
        <n v="2800"/>
        <n v="2820"/>
        <n v="2840"/>
        <n v="2860"/>
        <n v="2880"/>
        <n v="2900"/>
        <n v="2920"/>
        <n v="2940"/>
        <n v="2960"/>
        <n v="3020"/>
        <n v="3200"/>
        <n v="3560"/>
        <n v="3580"/>
        <n v="3600"/>
        <n v="3640"/>
        <n v="3660"/>
        <n v="3680"/>
        <n v="3700"/>
        <n v="3720"/>
        <n v="3740"/>
        <n v="5540"/>
        <n v="5600"/>
        <n v="5620"/>
        <n v="5640"/>
        <n v="12380"/>
        <n v="12440"/>
        <n v="12480"/>
        <n v="12700"/>
        <n v="12720"/>
        <n v="1274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80"/>
        <n v="13380"/>
        <n v="13400"/>
        <n v="1530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40"/>
        <n v="16180"/>
        <n v="16200"/>
        <n v="16220"/>
        <n v="16240"/>
        <n v="16260"/>
        <n v="16280"/>
        <n v="16300"/>
      </sharedItems>
    </cacheField>
    <cacheField name="Carga" numFmtId="0">
      <sharedItems count="225" containsMixedTypes="0" containsSemiMixedTypes="0" containsString="0" containsNumber="1"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80"/>
        <n v="600"/>
        <n v="620"/>
        <n v="640"/>
        <n v="660"/>
        <n v="680"/>
        <n v="700"/>
        <n v="740"/>
        <n v="760"/>
        <n v="780"/>
        <n v="800"/>
        <n v="820"/>
        <n v="840"/>
        <n v="860"/>
        <n v="880"/>
        <n v="920"/>
        <n v="980"/>
        <n v="1000"/>
        <n v="1020"/>
        <n v="1040"/>
        <n v="1060"/>
        <n v="1100"/>
        <n v="1120"/>
        <n v="1140"/>
        <n v="1160"/>
        <n v="1180"/>
        <n v="1200"/>
        <n v="1220"/>
        <n v="1240"/>
        <n v="1260"/>
        <n v="1300"/>
        <n v="1340"/>
        <n v="1360"/>
        <n v="1380"/>
        <n v="1400"/>
        <n v="1420"/>
        <n v="1440"/>
        <n v="1460"/>
        <n v="1520"/>
        <n v="1560"/>
        <n v="1580"/>
        <n v="1600"/>
        <n v="1620"/>
        <n v="1640"/>
        <n v="1680"/>
        <n v="1700"/>
        <n v="1720"/>
        <n v="1740"/>
        <n v="1760"/>
        <n v="1800"/>
        <n v="1840"/>
        <n v="1860"/>
        <n v="1940"/>
        <n v="1980"/>
        <n v="2020"/>
        <n v="2040"/>
        <n v="2060"/>
        <n v="2080"/>
        <n v="2140"/>
        <n v="2160"/>
        <n v="2200"/>
        <n v="2280"/>
        <n v="2320"/>
        <n v="2340"/>
        <n v="2360"/>
        <n v="2560"/>
        <n v="2700"/>
        <n v="2720"/>
        <n v="2840"/>
        <n v="3040"/>
        <n v="3100"/>
        <n v="3200"/>
        <n v="3220"/>
        <n v="3280"/>
        <n v="3300"/>
        <n v="3340"/>
        <n v="3380"/>
        <n v="3460"/>
        <n v="3760"/>
        <n v="3940"/>
        <n v="4160"/>
        <n v="4300"/>
        <n v="4440"/>
        <n v="4520"/>
        <n v="4760"/>
        <n v="4800"/>
        <n v="4820"/>
        <n v="4860"/>
        <n v="5160"/>
        <n v="5200"/>
        <n v="5340"/>
        <n v="5400"/>
        <n v="5440"/>
        <n v="5520"/>
        <n v="5580"/>
        <n v="5700"/>
        <n v="5740"/>
        <n v="5780"/>
        <n v="5800"/>
        <n v="5880"/>
        <n v="5960"/>
        <n v="5980"/>
        <n v="6020"/>
        <n v="6120"/>
        <n v="6220"/>
        <n v="6240"/>
        <n v="6280"/>
        <n v="6320"/>
        <n v="6340"/>
        <n v="6360"/>
        <n v="6400"/>
        <n v="6480"/>
        <n v="6500"/>
        <n v="6520"/>
        <n v="6540"/>
        <n v="6580"/>
        <n v="6620"/>
        <n v="6700"/>
        <n v="6880"/>
        <n v="6920"/>
        <n v="7000"/>
        <n v="7020"/>
        <n v="7040"/>
        <n v="7200"/>
        <n v="7280"/>
        <n v="7300"/>
        <n v="7320"/>
        <n v="7520"/>
        <n v="7600"/>
        <n v="7740"/>
        <n v="7760"/>
        <n v="7780"/>
        <n v="8080"/>
        <n v="8100"/>
        <n v="8120"/>
        <n v="8140"/>
        <n v="8200"/>
        <n v="8300"/>
        <n v="8320"/>
        <n v="8380"/>
        <n v="8440"/>
        <n v="8660"/>
        <n v="8720"/>
        <n v="8760"/>
        <n v="8800"/>
        <n v="8880"/>
        <n v="8920"/>
        <n v="8980"/>
        <n v="9020"/>
        <n v="9060"/>
        <n v="9100"/>
        <n v="9140"/>
        <n v="9160"/>
        <n v="9180"/>
        <n v="9240"/>
        <n v="9320"/>
        <n v="9340"/>
        <n v="9380"/>
        <n v="9440"/>
        <n v="9460"/>
        <n v="9500"/>
        <n v="9560"/>
        <n v="9640"/>
        <n v="9660"/>
        <n v="9680"/>
        <n v="9700"/>
        <n v="9720"/>
        <n v="9740"/>
        <n v="9760"/>
        <n v="9780"/>
        <n v="9800"/>
        <n v="9820"/>
        <n v="9900"/>
        <n v="9940"/>
        <n v="9980"/>
        <n v="10020"/>
        <n v="10040"/>
        <n v="10100"/>
        <n v="10120"/>
        <n v="10200"/>
        <n v="10220"/>
        <n v="10280"/>
        <n v="10320"/>
        <n v="10480"/>
        <n v="10580"/>
        <n v="10740"/>
        <n v="10800"/>
        <n v="10840"/>
        <n v="10900"/>
        <n v="11000"/>
        <n v="11100"/>
        <n v="11200"/>
        <n v="11220"/>
        <n v="11240"/>
        <n v="11340"/>
        <n v="11600"/>
        <n v="11620"/>
        <n v="11660"/>
        <n v="11800"/>
        <n v="12020"/>
        <n v="12240"/>
        <n v="122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  <cacheField name="Revisado" numFmtId="0">
      <sharedItems count="1" containsMixedTypes="0" containsSemiMixedTypes="0" containsString="0" containsNumber="0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402">
  <cacheSource type="worksheet">
    <worksheetSource ref="A1:I403" sheet="Hoja1"/>
  </cacheSource>
  <cacheFields count="9">
    <cacheField name="Fecha" numFmtId="0">
      <sharedItems count="31" containsMixedTypes="0" containsSemiMixedTypes="0" containsString="0" containsNumber="1">
        <n v="44044"/>
        <n v="44045"/>
        <n v="44046"/>
        <n v="44047"/>
        <n v="44048"/>
        <n v="44049"/>
        <n v="44050"/>
        <n v="44051"/>
        <n v="44052"/>
        <n v="44053"/>
        <n v="44054"/>
        <n v="44055"/>
        <n v="44056"/>
        <n v="44057"/>
        <n v="44058"/>
        <n v="44059"/>
        <n v="44060"/>
        <n v="44061"/>
        <n v="44062"/>
        <n v="44063"/>
        <n v="44064"/>
        <n v="44065"/>
        <n v="44066"/>
        <n v="44067"/>
        <n v="44068"/>
        <n v="44069"/>
        <n v="44070"/>
        <n v="44071"/>
        <n v="44072"/>
        <n v="44073"/>
        <n v="44074"/>
      </sharedItems>
    </cacheField>
    <cacheField name="Fecha / hora" numFmtId="0">
      <sharedItems count="292" containsMixedTypes="1" containsSemiMixedTypes="1" containsString="0" containsNumber="1">
        <n v="0.0534722222222222"/>
        <n v="0.0569444444444444"/>
        <n v="0.0590277777777778"/>
        <n v="0.0645833333333333"/>
        <n v="0.0666666666666667"/>
        <n v="0.06875"/>
        <n v="0.0694444444444444"/>
        <n v="0.0701388888888889"/>
        <n v="0.0715277777777778"/>
        <n v="0.0756944444444444"/>
        <n v="0.0784722222222222"/>
        <n v="0.0791666666666667"/>
        <n v="0.0805555555555556"/>
        <n v="0.08125"/>
        <n v="0.0826388888888889"/>
        <n v="0.0833333333333333"/>
        <n v="0.0840277777777778"/>
        <n v="0.0847222222222222"/>
        <n v="0.0861111111111111"/>
        <n v="0.0881944444444444"/>
        <n v="0.0888888888888889"/>
        <n v="0.0902777777777778"/>
        <n v="0.0965277777777778"/>
        <n v="0.0972222222222222"/>
        <n v="0.100694444444444"/>
        <n v="0.103472222222222"/>
        <n v="0.104861111111111"/>
        <n v="0.111111111111111"/>
        <n v="0.115972222222222"/>
        <n v="0.116666666666667"/>
        <n v="0.122222222222222"/>
        <n v="0.129861111111111"/>
        <n v="0.131944444444444"/>
        <n v="0.134722222222222"/>
        <n v="0.136805555555556"/>
        <n v="0.144444444444444"/>
        <n v="0.151388888888889"/>
        <n v="0.152083333333333"/>
        <n v="0.154166666666667"/>
        <n v="0.15625"/>
        <n v="0.158333333333333"/>
        <n v="0.159027777777778"/>
        <n v="0.159722222222222"/>
        <n v="0.161111111111111"/>
        <n v="0.161805555555556"/>
        <n v="0.165277777777778"/>
        <n v="0.167361111111111"/>
        <n v="0.170833333333333"/>
        <n v="0.171527777777778"/>
        <n v="0.172222222222222"/>
        <n v="0.173611111111111"/>
        <n v="0.176388888888889"/>
        <n v="0.177083333333333"/>
        <n v="0.179166666666667"/>
        <n v="0.184722222222222"/>
        <n v="0.1875"/>
        <n v="0.189583333333333"/>
        <n v="0.190972222222222"/>
        <n v="0.195138888888889"/>
        <n v="0.195833333333333"/>
        <n v="0.196527777777778"/>
        <n v="0.197916666666667"/>
        <n v="0.202777777777778"/>
        <n v="0.204166666666667"/>
        <n v="0.204861111111111"/>
        <n v="0.209027777777778"/>
        <n v="0.209722222222222"/>
        <n v="0.213194444444444"/>
        <n v="0.213888888888889"/>
        <n v="0.219444444444444"/>
        <n v="0.220833333333333"/>
        <n v="0.221527777777778"/>
        <n v="0.231944444444444"/>
        <n v="0.232638888888889"/>
        <n v="0.233333333333333"/>
        <n v="0.236805555555556"/>
        <n v="0.238194444444444"/>
        <n v="0.242361111111111"/>
        <n v="0.243055555555556"/>
        <n v="0.248611111111111"/>
        <n v="0.250694444444444"/>
        <n v="0.252083333333333"/>
        <n v="0.252777777777778"/>
        <n v="0.253472222222222"/>
        <n v="0.254166666666667"/>
        <n v="0.254861111111111"/>
        <n v="0.255555555555556"/>
        <n v="0.25625"/>
        <n v="0.256944444444444"/>
        <n v="0.257638888888889"/>
        <n v="0.258333333333333"/>
        <n v="0.259027777777778"/>
        <n v="0.259722222222222"/>
        <n v="0.260416666666667"/>
        <n v="0.261111111111111"/>
        <n v="0.261805555555556"/>
        <n v="0.2625"/>
        <n v="0.263194444444444"/>
        <n v="0.263888888888889"/>
        <n v="0.265277777777778"/>
        <n v="0.265972222222222"/>
        <n v="0.266666666666667"/>
        <n v="0.267361111111111"/>
        <n v="0.268055555555556"/>
        <n v="0.26875"/>
        <n v="0.269444444444444"/>
        <n v="0.270138888888889"/>
        <n v="0.270833333333333"/>
        <n v="0.271527777777778"/>
        <n v="0.272222222222222"/>
        <n v="0.274305555555555"/>
        <n v="0.275"/>
        <n v="0.275694444444444"/>
        <n v="0.276388888888889"/>
        <n v="0.278472222222222"/>
        <n v="0.279166666666667"/>
        <n v="0.279861111111111"/>
        <n v="0.28125"/>
        <n v="0.281944444444444"/>
        <n v="0.282638888888889"/>
        <n v="0.283333333333333"/>
        <n v="0.284027777777778"/>
        <n v="0.286805555555556"/>
        <n v="0.2875"/>
        <n v="0.288194444444444"/>
        <n v="0.288888888888889"/>
        <n v="0.290277777777778"/>
        <n v="0.291666666666667"/>
        <n v="0.294444444444444"/>
        <n v="0.297222222222222"/>
        <n v="0.297916666666667"/>
        <n v="0.302083333333333"/>
        <n v="0.307638888888889"/>
        <n v="0.308333333333333"/>
        <n v="0.310416666666667"/>
        <n v="0.311805555555556"/>
        <n v="0.313194444444444"/>
        <n v="0.315277777777778"/>
        <n v="0.317361111111111"/>
        <n v="0.318055555555556"/>
        <n v="0.321527777777778"/>
        <n v="0.325"/>
        <n v="0.327777777777778"/>
        <n v="0.334027777777778"/>
        <n v="0.335416666666667"/>
        <n v="0.336111111111111"/>
        <n v="0.338194444444444"/>
        <n v="0.338888888888889"/>
        <n v="0.339583333333333"/>
        <n v="0.340972222222222"/>
        <n v="0.345138888888889"/>
        <n v="0.347222222222222"/>
        <n v="0.349305555555556"/>
        <n v="0.353472222222222"/>
        <n v="0.354166666666667"/>
        <n v="0.354861111111111"/>
        <n v="0.35625"/>
        <n v="0.357638888888889"/>
        <n v="0.359722222222222"/>
        <n v="0.364583333333333"/>
        <n v="0.367361111111111"/>
        <n v="0.368055555555556"/>
        <n v="0.370833333333333"/>
        <n v="0.377777777777778"/>
        <n v="0.378472222222222"/>
        <n v="0.381944444444444"/>
        <n v="0.384027777777778"/>
        <n v="0.384722222222222"/>
        <n v="0.388194444444444"/>
        <n v="0.389583333333333"/>
        <n v="0.390277777777778"/>
        <n v="0.408333333333333"/>
        <n v="0.421527777777778"/>
        <n v="0.439583333333333"/>
        <n v="0.441666666666667"/>
        <n v="0.442361111111111"/>
        <n v="0.444444444444444"/>
        <n v="0.445138888888889"/>
        <n v="0.445833333333333"/>
        <n v="0.446527777777778"/>
        <n v="0.447222222222222"/>
        <n v="0.447916666666667"/>
        <n v="0.448611111111111"/>
        <n v="0.449305555555556"/>
        <n v="0.45"/>
        <n v="0.451388888888889"/>
        <n v="0.452083333333333"/>
        <n v="0.453472222222222"/>
        <n v="0.454166666666667"/>
        <n v="0.456944444444444"/>
        <n v="0.459027777777778"/>
        <n v="0.461111111111111"/>
        <n v="0.463194444444444"/>
        <n v="0.463888888888889"/>
        <n v="0.465277777777778"/>
        <n v="0.466666666666667"/>
        <n v="0.467361111111111"/>
        <n v="0.46875"/>
        <n v="0.470138888888889"/>
        <n v="0.470833333333333"/>
        <n v="0.472222222222222"/>
        <n v="0.474305555555556"/>
        <n v="0.475694444444444"/>
        <n v="0.476388888888889"/>
        <n v="0.477083333333333"/>
        <n v="0.479166666666667"/>
        <n v="0.48125"/>
        <n v="0.481944444444444"/>
        <n v="0.484027777777778"/>
        <n v="0.484722222222222"/>
        <n v="0.486805555555556"/>
        <n v="0.489583333333333"/>
        <n v="0.490972222222222"/>
        <n v="0.492361111111111"/>
        <n v="0.49375"/>
        <n v="0.495138888888889"/>
        <n v="0.495833333333333"/>
        <n v="0.496527777777778"/>
        <n v="0.498611111111111"/>
        <n v="0.499305555555555"/>
        <n v="0.5"/>
        <n v="0.500694444444445"/>
        <n v="0.502777777777778"/>
        <n v="0.503472222222222"/>
        <n v="0.505555555555556"/>
        <n v="0.50625"/>
        <n v="0.510416666666667"/>
        <n v="0.511111111111111"/>
        <n v="0.5125"/>
        <n v="0.513194444444444"/>
        <n v="0.515277777777778"/>
        <n v="0.515972222222222"/>
        <n v="0.53125"/>
        <n v="0.536805555555556"/>
        <n v="0.541666666666667"/>
        <n v="0.547222222222222"/>
        <n v="0.547916666666667"/>
        <n v="0.667361111111111"/>
        <n v="0.668055555555556"/>
        <n v="0.669444444444444"/>
        <n v="0.670138888888889"/>
        <n v="0.670833333333333"/>
        <n v="0.671527777777778"/>
        <n v="0.672222222222222"/>
        <n v="0.672916666666667"/>
        <n v="0.673611111111111"/>
        <n v="0.676388888888889"/>
        <n v="0.677777777777778"/>
        <n v="0.678472222222222"/>
        <n v="0.68125"/>
        <n v="0.681944444444445"/>
        <n v="0.682638888888889"/>
        <n v="0.683333333333333"/>
        <n v="0.684027777777778"/>
        <n v="0.685416666666667"/>
        <n v="0.686111111111111"/>
        <n v="0.688888888888889"/>
        <n v="0.695138888888889"/>
        <n v="0.729861111111111"/>
        <n v="0.85"/>
        <n v="0.851388888888889"/>
        <n v="0.85625"/>
        <n v="0.857638888888889"/>
        <n v="0.858333333333333"/>
        <n v="0.859027777777778"/>
        <n v="0.860416666666667"/>
        <n v="0.861111111111111"/>
        <n v="0.861805555555556"/>
        <n v="0.863194444444444"/>
        <n v="0.863888888888889"/>
        <n v="0.864583333333333"/>
        <n v="0.865277777777778"/>
        <n v="0.865972222222222"/>
        <n v="0.866666666666667"/>
        <n v="0.869444444444444"/>
        <n v="0.870138888888889"/>
        <n v="0.870833333333333"/>
        <n v="0.871527777777778"/>
        <n v="0.872222222222222"/>
        <n v="0.872916666666667"/>
        <n v="0.873611111111111"/>
        <n v="0.874305555555556"/>
        <n v="0.875"/>
        <n v="0.877083333333333"/>
        <n v="0.877777777777778"/>
        <n v="0.878472222222222"/>
        <n v="0.879166666666667"/>
        <n v="0.880555555555556"/>
        <n v="0.883333333333333"/>
        <n v="0.888194444444444"/>
        <n v="0.906944444444444"/>
        <m/>
      </sharedItems>
    </cacheField>
    <cacheField name="Ticket" numFmtId="0">
      <sharedItems count="400" containsMixedTypes="1" containsSemiMixedTypes="1" containsString="1" containsNumber="1">
        <n v="659"/>
        <n v="668"/>
        <n v="689"/>
        <n v="706"/>
        <n v="716"/>
        <n v="726"/>
        <n v="10551"/>
        <n v="10601"/>
        <n v="105064"/>
        <n v="105177"/>
        <n v="105312"/>
        <n v="105413"/>
        <n v="105619"/>
        <n v="105789"/>
        <n v="105853"/>
        <n v="105916"/>
        <n v="105974"/>
        <n v="106051"/>
        <n v="106118"/>
        <n v="127514"/>
        <n v="127515"/>
        <n v="127523"/>
        <n v="127530"/>
        <n v="127532"/>
        <n v="127541"/>
        <n v="127543"/>
        <n v="127544"/>
        <n v="127547"/>
        <n v="127548"/>
        <n v="127549"/>
        <n v="127551"/>
        <n v="127559"/>
        <n v="127561"/>
        <n v="127562"/>
        <n v="127569"/>
        <n v="127570"/>
        <n v="127573"/>
        <n v="127574"/>
        <n v="127575"/>
        <n v="127576"/>
        <n v="127578"/>
        <n v="127585"/>
        <n v="127589"/>
        <n v="127590"/>
        <n v="127593"/>
        <n v="127602"/>
        <n v="127615"/>
        <n v="127624"/>
        <n v="127625"/>
        <n v="127641"/>
        <n v="127648"/>
        <n v="127649"/>
        <n v="127650"/>
        <n v="127654"/>
        <n v="127663"/>
        <n v="127668"/>
        <n v="127669"/>
        <n v="127681"/>
        <n v="127686"/>
        <n v="127694"/>
        <n v="127695"/>
        <n v="127718"/>
        <n v="127727"/>
        <n v="127728"/>
        <n v="127733"/>
        <n v="127741"/>
        <n v="127742"/>
        <n v="127748"/>
        <n v="127752"/>
        <n v="127753"/>
        <n v="127754"/>
        <n v="127766"/>
        <n v="127768"/>
        <n v="127778"/>
        <n v="127783"/>
        <n v="127801"/>
        <n v="127808"/>
        <n v="127809"/>
        <n v="127820"/>
        <n v="127821"/>
        <n v="127826"/>
        <n v="127829"/>
        <n v="127830"/>
        <n v="127836"/>
        <n v="127855"/>
        <n v="127880"/>
        <n v="127889"/>
        <n v="127890"/>
        <n v="127895"/>
        <n v="127901"/>
        <n v="127902"/>
        <n v="127905"/>
        <n v="127909"/>
        <n v="127911"/>
        <n v="127912"/>
        <n v="127916"/>
        <n v="127922"/>
        <n v="127926"/>
        <n v="127929"/>
        <n v="127935"/>
        <n v="127939"/>
        <n v="127941"/>
        <n v="127950"/>
        <n v="127964"/>
        <n v="127970"/>
        <n v="127972"/>
        <n v="127975"/>
        <n v="127983"/>
        <n v="127991"/>
        <n v="127992"/>
        <n v="127996"/>
        <n v="127999"/>
        <n v="128000"/>
        <n v="128001"/>
        <n v="128003"/>
        <n v="128004"/>
        <n v="128005"/>
        <n v="128006"/>
        <n v="128008"/>
        <n v="128017"/>
        <n v="128019"/>
        <n v="128022"/>
        <n v="128023"/>
        <n v="128024"/>
        <n v="128029"/>
        <n v="128030"/>
        <n v="128031"/>
        <n v="128032"/>
        <n v="128033"/>
        <n v="128034"/>
        <n v="128036"/>
        <n v="128044"/>
        <n v="128046"/>
        <n v="128047"/>
        <n v="128052"/>
        <n v="128055"/>
        <n v="128065"/>
        <n v="128079"/>
        <n v="128084"/>
        <n v="128094"/>
        <n v="128104"/>
        <n v="128114"/>
        <n v="128115"/>
        <n v="128117"/>
        <n v="128118"/>
        <n v="128130"/>
        <n v="128132"/>
        <n v="128134"/>
        <n v="128135"/>
        <n v="128142"/>
        <n v="128150"/>
        <n v="128162"/>
        <n v="128167"/>
        <n v="128183"/>
        <n v="128194"/>
        <n v="128196"/>
        <n v="128201"/>
        <n v="128206"/>
        <n v="128209"/>
        <n v="128211"/>
        <n v="128212"/>
        <n v="128223"/>
        <n v="128231"/>
        <n v="128239"/>
        <n v="128246"/>
        <n v="128268"/>
        <n v="128275"/>
        <n v="128277"/>
        <n v="128281"/>
        <n v="128288"/>
        <n v="128289"/>
        <n v="128293"/>
        <n v="128296"/>
        <n v="128297"/>
        <n v="128322"/>
        <n v="128326"/>
        <n v="128348"/>
        <n v="128355"/>
        <n v="128361"/>
        <n v="128362"/>
        <n v="128365"/>
        <n v="128369"/>
        <n v="128373"/>
        <n v="128378"/>
        <n v="128380"/>
        <n v="128381"/>
        <n v="128383"/>
        <n v="128389"/>
        <n v="128391"/>
        <n v="128393"/>
        <n v="128397"/>
        <n v="128405"/>
        <n v="128410"/>
        <n v="128419"/>
        <n v="128437"/>
        <n v="128449"/>
        <n v="128451"/>
        <n v="128455"/>
        <n v="128456"/>
        <n v="128463"/>
        <n v="128465"/>
        <n v="128473"/>
        <n v="128474"/>
        <n v="128475"/>
        <n v="128480"/>
        <n v="128482"/>
        <n v="128483"/>
        <n v="128484"/>
        <n v="128485"/>
        <n v="128486"/>
        <n v="128488"/>
        <n v="128493"/>
        <n v="128496"/>
        <n v="128501"/>
        <n v="128503"/>
        <n v="128506"/>
        <n v="128510"/>
        <n v="128511"/>
        <n v="128512"/>
        <n v="128513"/>
        <n v="128514"/>
        <n v="128517"/>
        <n v="128523"/>
        <n v="128532"/>
        <n v="128534"/>
        <n v="128536"/>
        <n v="128546"/>
        <n v="128554"/>
        <n v="128557"/>
        <n v="128567"/>
        <n v="128583"/>
        <n v="128590"/>
        <n v="128591"/>
        <n v="128593"/>
        <n v="128594"/>
        <n v="128607"/>
        <n v="128608"/>
        <n v="128610"/>
        <n v="128622"/>
        <n v="128637"/>
        <n v="128640"/>
        <n v="128648"/>
        <n v="128666"/>
        <n v="128674"/>
        <n v="128675"/>
        <n v="128682"/>
        <n v="128690"/>
        <n v="128691"/>
        <n v="128698"/>
        <n v="128700"/>
        <n v="128712"/>
        <n v="128723"/>
        <n v="128725"/>
        <n v="128743"/>
        <n v="128751"/>
        <n v="128752"/>
        <n v="128760"/>
        <n v="128764"/>
        <n v="128765"/>
        <n v="128772"/>
        <n v="128773"/>
        <n v="128775"/>
        <n v="128788"/>
        <n v="128796"/>
        <n v="128812"/>
        <n v="128821"/>
        <n v="128831"/>
        <n v="128832"/>
        <n v="128836"/>
        <n v="128841"/>
        <n v="128843"/>
        <n v="128847"/>
        <n v="128849"/>
        <n v="128853"/>
        <n v="128864"/>
        <n v="128865"/>
        <n v="128868"/>
        <n v="128883"/>
        <n v="128885"/>
        <n v="128887"/>
        <n v="128890"/>
        <n v="128909"/>
        <n v="128920"/>
        <n v="128921"/>
        <n v="128923"/>
        <n v="128925"/>
        <n v="128934"/>
        <n v="128937"/>
        <n v="128944"/>
        <n v="128945"/>
        <n v="128949"/>
        <n v="128952"/>
        <n v="128957"/>
        <n v="128958"/>
        <n v="128959"/>
        <n v="128960"/>
        <n v="128968"/>
        <n v="128970"/>
        <n v="128972"/>
        <n v="128973"/>
        <n v="128975"/>
        <n v="128980"/>
        <n v="128982"/>
        <n v="128983"/>
        <n v="128984"/>
        <n v="128985"/>
        <n v="128988"/>
        <n v="128993"/>
        <n v="128998"/>
        <n v="128999"/>
        <n v="129004"/>
        <n v="129006"/>
        <n v="129010"/>
        <n v="129012"/>
        <n v="129028"/>
        <n v="129031"/>
        <n v="129046"/>
        <n v="129056"/>
        <n v="129057"/>
        <n v="129059"/>
        <n v="129068"/>
        <n v="129069"/>
        <n v="129073"/>
        <n v="129077"/>
        <n v="129089"/>
        <n v="129093"/>
        <n v="129110"/>
        <n v="129123"/>
        <n v="129139"/>
        <n v="129151"/>
        <n v="129152"/>
        <n v="129155"/>
        <n v="129162"/>
        <n v="129169"/>
        <n v="129170"/>
        <n v="129176"/>
        <n v="129180"/>
        <n v="129183"/>
        <n v="129192"/>
        <n v="129194"/>
        <n v="129198"/>
        <n v="129202"/>
        <n v="129208"/>
        <n v="129226"/>
        <n v="129237"/>
        <n v="129238"/>
        <n v="129240"/>
        <n v="129249"/>
        <n v="129253"/>
        <n v="129255"/>
        <n v="129260"/>
        <n v="129282"/>
        <n v="129286"/>
        <n v="129294"/>
        <n v="129307"/>
        <n v="129311"/>
        <n v="129317"/>
        <n v="129319"/>
        <n v="129327"/>
        <n v="129330"/>
        <n v="129350"/>
        <n v="129353"/>
        <n v="129368"/>
        <n v="129370"/>
        <n v="129371"/>
        <n v="129373"/>
        <n v="129376"/>
        <n v="129391"/>
        <n v="129393"/>
        <n v="129396"/>
        <n v="129398"/>
        <n v="129399"/>
        <n v="129400"/>
        <n v="129401"/>
        <n v="129402"/>
        <n v="129404"/>
        <n v="129410"/>
        <n v="129414"/>
        <n v="129415"/>
        <n v="129416"/>
        <n v="129421"/>
        <n v="129423"/>
        <n v="129425"/>
        <n v="129426"/>
        <n v="129427"/>
        <n v="129428"/>
        <n v="129429"/>
        <n v="129433"/>
        <n v="129436"/>
        <n v="129438"/>
        <n v="129442"/>
        <n v="129443"/>
        <n v="129454"/>
        <n v="129462"/>
        <n v="129470"/>
        <n v="129473"/>
        <n v="129478"/>
        <n v="129481"/>
        <n v="129482"/>
        <s v="TETMA"/>
      </sharedItems>
    </cacheField>
    <cacheField name="Matrícula" numFmtId="0">
      <sharedItems count="12" containsMixedTypes="0" containsSemiMixedTypes="0" containsString="1" containsNumber="0">
        <s v="0315BGK"/>
        <s v="1076KSZ"/>
        <s v="1730KBZ"/>
        <s v="1821KBZ"/>
        <s v="2828CZW"/>
        <s v="3686KBG"/>
        <s v="5313GBZ"/>
        <s v="6120JZX"/>
        <s v="7542KBV"/>
        <s v="7809JZX"/>
        <s v="7957JZS"/>
        <s v="9594FRV"/>
      </sharedItems>
    </cacheField>
    <cacheField name="Peso total" numFmtId="0">
      <sharedItems count="266" containsMixedTypes="0" containsSemiMixedTypes="0" containsString="0" containsNumber="1">
        <n v="2460"/>
        <n v="2480"/>
        <n v="2540"/>
        <n v="2560"/>
        <n v="2580"/>
        <n v="2600"/>
        <n v="2620"/>
        <n v="2640"/>
        <n v="2660"/>
        <n v="2680"/>
        <n v="2700"/>
        <n v="2720"/>
        <n v="2740"/>
        <n v="2760"/>
        <n v="2780"/>
        <n v="2800"/>
        <n v="2860"/>
        <n v="2920"/>
        <n v="2960"/>
        <n v="2980"/>
        <n v="3000"/>
        <n v="3040"/>
        <n v="306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60"/>
        <n v="3400"/>
        <n v="3420"/>
        <n v="3440"/>
        <n v="3460"/>
        <n v="3480"/>
        <n v="3500"/>
        <n v="3560"/>
        <n v="3600"/>
        <n v="3620"/>
        <n v="3720"/>
        <n v="3760"/>
        <n v="3800"/>
        <n v="4240"/>
        <n v="4280"/>
        <n v="4300"/>
        <n v="4340"/>
        <n v="4380"/>
        <n v="4400"/>
        <n v="4440"/>
        <n v="4460"/>
        <n v="4480"/>
        <n v="4500"/>
        <n v="4520"/>
        <n v="4540"/>
        <n v="4560"/>
        <n v="4620"/>
        <n v="4640"/>
        <n v="4660"/>
        <n v="4680"/>
        <n v="4700"/>
        <n v="4720"/>
        <n v="4760"/>
        <n v="4780"/>
        <n v="4800"/>
        <n v="4820"/>
        <n v="4880"/>
        <n v="4900"/>
        <n v="4920"/>
        <n v="4960"/>
        <n v="4980"/>
        <n v="5000"/>
        <n v="5040"/>
        <n v="5080"/>
        <n v="5100"/>
        <n v="5240"/>
        <n v="6360"/>
        <n v="6380"/>
        <n v="6480"/>
        <n v="6700"/>
        <n v="6720"/>
        <n v="6980"/>
        <n v="13640"/>
        <n v="13660"/>
        <n v="14000"/>
        <n v="14140"/>
        <n v="14220"/>
        <n v="14300"/>
        <n v="14360"/>
        <n v="14420"/>
        <n v="14460"/>
        <n v="14480"/>
        <n v="14500"/>
        <n v="14540"/>
        <n v="14560"/>
        <n v="14580"/>
        <n v="14600"/>
        <n v="14640"/>
        <n v="14760"/>
        <n v="14780"/>
        <n v="14800"/>
        <n v="14820"/>
        <n v="14860"/>
        <n v="14880"/>
        <n v="14960"/>
        <n v="15120"/>
        <n v="15160"/>
        <n v="15180"/>
        <n v="15260"/>
        <n v="15420"/>
        <n v="15640"/>
        <n v="15880"/>
        <n v="15900"/>
        <n v="16180"/>
        <n v="16560"/>
        <n v="16780"/>
        <n v="16820"/>
        <n v="16860"/>
        <n v="17240"/>
        <n v="17320"/>
        <n v="17340"/>
        <n v="17420"/>
        <n v="17460"/>
        <n v="17560"/>
        <n v="17600"/>
        <n v="17620"/>
        <n v="17680"/>
        <n v="17700"/>
        <n v="17720"/>
        <n v="17800"/>
        <n v="17980"/>
        <n v="18040"/>
        <n v="18060"/>
        <n v="18160"/>
        <n v="18220"/>
        <n v="18280"/>
        <n v="18340"/>
        <n v="18420"/>
        <n v="18540"/>
        <n v="18560"/>
        <n v="18580"/>
        <n v="18640"/>
        <n v="18840"/>
        <n v="18900"/>
        <n v="18940"/>
        <n v="18960"/>
        <n v="18980"/>
        <n v="19080"/>
        <n v="19100"/>
        <n v="19120"/>
        <n v="19200"/>
        <n v="19220"/>
        <n v="19280"/>
        <n v="19480"/>
        <n v="19860"/>
        <n v="19880"/>
        <n v="20380"/>
        <n v="20400"/>
        <n v="20520"/>
        <n v="20580"/>
        <n v="20720"/>
        <n v="20820"/>
        <n v="21120"/>
        <n v="21140"/>
        <n v="21160"/>
        <n v="21280"/>
        <n v="21340"/>
        <n v="21380"/>
        <n v="21660"/>
        <n v="21680"/>
        <n v="21700"/>
        <n v="21740"/>
        <n v="21760"/>
        <n v="21820"/>
        <n v="21860"/>
        <n v="21880"/>
        <n v="21920"/>
        <n v="21940"/>
        <n v="22040"/>
        <n v="22080"/>
        <n v="22140"/>
        <n v="22160"/>
        <n v="22200"/>
        <n v="22220"/>
        <n v="22240"/>
        <n v="22300"/>
        <n v="22320"/>
        <n v="22460"/>
        <n v="22540"/>
        <n v="22560"/>
        <n v="22600"/>
        <n v="22620"/>
        <n v="22660"/>
        <n v="22760"/>
        <n v="22780"/>
        <n v="22840"/>
        <n v="22940"/>
        <n v="22980"/>
        <n v="23080"/>
        <n v="23140"/>
        <n v="23180"/>
        <n v="23220"/>
        <n v="23360"/>
        <n v="23400"/>
        <n v="23420"/>
        <n v="23500"/>
        <n v="23560"/>
        <n v="23580"/>
        <n v="23640"/>
        <n v="23960"/>
        <n v="24080"/>
        <n v="24160"/>
        <n v="24260"/>
        <n v="24320"/>
        <n v="24360"/>
        <n v="24380"/>
        <n v="24460"/>
        <n v="24480"/>
        <n v="24680"/>
        <n v="24800"/>
        <n v="24960"/>
        <n v="24980"/>
        <n v="25060"/>
        <n v="25100"/>
        <n v="25160"/>
        <n v="25240"/>
        <n v="25260"/>
        <n v="25320"/>
        <n v="25360"/>
        <n v="25400"/>
        <n v="25420"/>
        <n v="25440"/>
        <n v="25580"/>
        <n v="25640"/>
        <n v="25660"/>
        <n v="25680"/>
        <n v="25700"/>
        <n v="25800"/>
        <n v="25880"/>
        <n v="25920"/>
        <n v="25940"/>
        <n v="25980"/>
        <n v="26040"/>
        <n v="26080"/>
        <n v="26140"/>
        <n v="26160"/>
        <n v="26440"/>
        <n v="26840"/>
        <n v="26880"/>
        <n v="26940"/>
        <n v="27140"/>
        <n v="27280"/>
        <n v="27420"/>
        <n v="27440"/>
        <n v="27620"/>
        <n v="27640"/>
        <n v="27880"/>
        <n v="28080"/>
        <n v="28100"/>
        <n v="28120"/>
      </sharedItems>
    </cacheField>
    <cacheField name="Tara" numFmtId="0">
      <sharedItems count="93" containsMixedTypes="0" containsSemiMixedTypes="0" containsString="0" containsNumber="1">
        <n v="2320"/>
        <n v="2340"/>
        <n v="2380"/>
        <n v="2400"/>
        <n v="2420"/>
        <n v="2440"/>
        <n v="2460"/>
        <n v="2480"/>
        <n v="2500"/>
        <n v="2520"/>
        <n v="2640"/>
        <n v="2680"/>
        <n v="2700"/>
        <n v="2720"/>
        <n v="2740"/>
        <n v="2760"/>
        <n v="2780"/>
        <n v="2800"/>
        <n v="2820"/>
        <n v="2840"/>
        <n v="2860"/>
        <n v="2880"/>
        <n v="2900"/>
        <n v="2920"/>
        <n v="2940"/>
        <n v="2960"/>
        <n v="3020"/>
        <n v="3200"/>
        <n v="3560"/>
        <n v="3580"/>
        <n v="3600"/>
        <n v="3640"/>
        <n v="3660"/>
        <n v="3680"/>
        <n v="3700"/>
        <n v="3720"/>
        <n v="3740"/>
        <n v="5540"/>
        <n v="5600"/>
        <n v="5620"/>
        <n v="5640"/>
        <n v="12380"/>
        <n v="12440"/>
        <n v="12480"/>
        <n v="12700"/>
        <n v="12720"/>
        <n v="1274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80"/>
        <n v="13380"/>
        <n v="13400"/>
        <n v="1530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n v="16140"/>
        <n v="16180"/>
        <n v="16200"/>
        <n v="16220"/>
        <n v="16240"/>
        <n v="16260"/>
        <n v="16280"/>
        <n v="16300"/>
      </sharedItems>
    </cacheField>
    <cacheField name="Carga" numFmtId="0">
      <sharedItems count="225" containsMixedTypes="0" containsSemiMixedTypes="0" containsString="0" containsNumber="1"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80"/>
        <n v="600"/>
        <n v="620"/>
        <n v="640"/>
        <n v="660"/>
        <n v="680"/>
        <n v="700"/>
        <n v="740"/>
        <n v="760"/>
        <n v="780"/>
        <n v="800"/>
        <n v="820"/>
        <n v="840"/>
        <n v="860"/>
        <n v="880"/>
        <n v="920"/>
        <n v="980"/>
        <n v="1000"/>
        <n v="1020"/>
        <n v="1040"/>
        <n v="1060"/>
        <n v="1100"/>
        <n v="1120"/>
        <n v="1140"/>
        <n v="1160"/>
        <n v="1180"/>
        <n v="1200"/>
        <n v="1220"/>
        <n v="1240"/>
        <n v="1260"/>
        <n v="1300"/>
        <n v="1340"/>
        <n v="1360"/>
        <n v="1380"/>
        <n v="1400"/>
        <n v="1420"/>
        <n v="1440"/>
        <n v="1460"/>
        <n v="1520"/>
        <n v="1560"/>
        <n v="1580"/>
        <n v="1600"/>
        <n v="1620"/>
        <n v="1640"/>
        <n v="1680"/>
        <n v="1700"/>
        <n v="1720"/>
        <n v="1740"/>
        <n v="1760"/>
        <n v="1800"/>
        <n v="1840"/>
        <n v="1860"/>
        <n v="1940"/>
        <n v="1980"/>
        <n v="2020"/>
        <n v="2040"/>
        <n v="2060"/>
        <n v="2080"/>
        <n v="2140"/>
        <n v="2160"/>
        <n v="2200"/>
        <n v="2280"/>
        <n v="2320"/>
        <n v="2340"/>
        <n v="2360"/>
        <n v="2560"/>
        <n v="2700"/>
        <n v="2720"/>
        <n v="2840"/>
        <n v="3040"/>
        <n v="3100"/>
        <n v="3200"/>
        <n v="3220"/>
        <n v="3280"/>
        <n v="3300"/>
        <n v="3340"/>
        <n v="3380"/>
        <n v="3460"/>
        <n v="3760"/>
        <n v="3940"/>
        <n v="4160"/>
        <n v="4300"/>
        <n v="4440"/>
        <n v="4520"/>
        <n v="4760"/>
        <n v="4800"/>
        <n v="4820"/>
        <n v="4860"/>
        <n v="5160"/>
        <n v="5200"/>
        <n v="5340"/>
        <n v="5400"/>
        <n v="5440"/>
        <n v="5520"/>
        <n v="5580"/>
        <n v="5700"/>
        <n v="5740"/>
        <n v="5780"/>
        <n v="5800"/>
        <n v="5880"/>
        <n v="5960"/>
        <n v="5980"/>
        <n v="6020"/>
        <n v="6120"/>
        <n v="6220"/>
        <n v="6240"/>
        <n v="6280"/>
        <n v="6320"/>
        <n v="6340"/>
        <n v="6360"/>
        <n v="6400"/>
        <n v="6480"/>
        <n v="6500"/>
        <n v="6520"/>
        <n v="6540"/>
        <n v="6580"/>
        <n v="6620"/>
        <n v="6700"/>
        <n v="6880"/>
        <n v="6920"/>
        <n v="7000"/>
        <n v="7020"/>
        <n v="7040"/>
        <n v="7200"/>
        <n v="7280"/>
        <n v="7300"/>
        <n v="7320"/>
        <n v="7520"/>
        <n v="7600"/>
        <n v="7740"/>
        <n v="7760"/>
        <n v="7780"/>
        <n v="8080"/>
        <n v="8100"/>
        <n v="8120"/>
        <n v="8140"/>
        <n v="8200"/>
        <n v="8300"/>
        <n v="8320"/>
        <n v="8380"/>
        <n v="8440"/>
        <n v="8660"/>
        <n v="8720"/>
        <n v="8760"/>
        <n v="8800"/>
        <n v="8880"/>
        <n v="8920"/>
        <n v="8980"/>
        <n v="9020"/>
        <n v="9060"/>
        <n v="9100"/>
        <n v="9140"/>
        <n v="9160"/>
        <n v="9180"/>
        <n v="9240"/>
        <n v="9320"/>
        <n v="9340"/>
        <n v="9380"/>
        <n v="9440"/>
        <n v="9460"/>
        <n v="9500"/>
        <n v="9560"/>
        <n v="9640"/>
        <n v="9660"/>
        <n v="9680"/>
        <n v="9700"/>
        <n v="9720"/>
        <n v="9740"/>
        <n v="9760"/>
        <n v="9780"/>
        <n v="9800"/>
        <n v="9820"/>
        <n v="9900"/>
        <n v="9940"/>
        <n v="9980"/>
        <n v="10020"/>
        <n v="10040"/>
        <n v="10100"/>
        <n v="10120"/>
        <n v="10200"/>
        <n v="10220"/>
        <n v="10280"/>
        <n v="10320"/>
        <n v="10480"/>
        <n v="10580"/>
        <n v="10740"/>
        <n v="10800"/>
        <n v="10840"/>
        <n v="10900"/>
        <n v="11000"/>
        <n v="11100"/>
        <n v="11200"/>
        <n v="11220"/>
        <n v="11240"/>
        <n v="11340"/>
        <n v="11600"/>
        <n v="11620"/>
        <n v="11660"/>
        <n v="11800"/>
        <n v="12020"/>
        <n v="12240"/>
        <n v="1226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2">
  <r>
    <x v="0"/>
    <x v="202"/>
    <x v="26"/>
    <x v="7"/>
    <x v="25"/>
    <x v="14"/>
    <x v="15"/>
    <x v="0"/>
    <x v="5"/>
    <x v="0"/>
  </r>
  <r>
    <x v="0"/>
    <x v="280"/>
    <x v="29"/>
    <x v="2"/>
    <x v="232"/>
    <x v="72"/>
    <x v="180"/>
    <x v="0"/>
    <x v="2"/>
    <x v="0"/>
  </r>
  <r>
    <x v="0"/>
    <x v="276"/>
    <x v="28"/>
    <x v="5"/>
    <x v="9"/>
    <x v="3"/>
    <x v="9"/>
    <x v="0"/>
    <x v="2"/>
    <x v="0"/>
  </r>
  <r>
    <x v="0"/>
    <x v="166"/>
    <x v="24"/>
    <x v="7"/>
    <x v="24"/>
    <x v="14"/>
    <x v="14"/>
    <x v="0"/>
    <x v="5"/>
    <x v="0"/>
  </r>
  <r>
    <x v="0"/>
    <x v="22"/>
    <x v="20"/>
    <x v="3"/>
    <x v="191"/>
    <x v="81"/>
    <x v="128"/>
    <x v="0"/>
    <x v="2"/>
    <x v="0"/>
  </r>
  <r>
    <x v="0"/>
    <x v="174"/>
    <x v="25"/>
    <x v="5"/>
    <x v="12"/>
    <x v="4"/>
    <x v="11"/>
    <x v="0"/>
    <x v="2"/>
    <x v="0"/>
  </r>
  <r>
    <x v="0"/>
    <x v="254"/>
    <x v="27"/>
    <x v="8"/>
    <x v="103"/>
    <x v="51"/>
    <x v="72"/>
    <x v="0"/>
    <x v="2"/>
    <x v="0"/>
  </r>
  <r>
    <x v="0"/>
    <x v="72"/>
    <x v="22"/>
    <x v="9"/>
    <x v="78"/>
    <x v="33"/>
    <x v="55"/>
    <x v="0"/>
    <x v="2"/>
    <x v="0"/>
  </r>
  <r>
    <x v="0"/>
    <x v="83"/>
    <x v="23"/>
    <x v="2"/>
    <x v="256"/>
    <x v="74"/>
    <x v="215"/>
    <x v="0"/>
    <x v="2"/>
    <x v="0"/>
  </r>
  <r>
    <x v="0"/>
    <x v="13"/>
    <x v="19"/>
    <x v="8"/>
    <x v="174"/>
    <x v="59"/>
    <x v="164"/>
    <x v="0"/>
    <x v="2"/>
    <x v="0"/>
  </r>
  <r>
    <x v="0"/>
    <x v="69"/>
    <x v="21"/>
    <x v="8"/>
    <x v="120"/>
    <x v="49"/>
    <x v="101"/>
    <x v="0"/>
    <x v="2"/>
    <x v="0"/>
  </r>
  <r>
    <x v="0"/>
    <x v="158"/>
    <x v="8"/>
    <x v="3"/>
    <x v="122"/>
    <x v="76"/>
    <x v="36"/>
    <x v="0"/>
    <x v="4"/>
    <x v="0"/>
  </r>
  <r>
    <x v="1"/>
    <x v="264"/>
    <x v="39"/>
    <x v="5"/>
    <x v="8"/>
    <x v="3"/>
    <x v="8"/>
    <x v="0"/>
    <x v="2"/>
    <x v="0"/>
  </r>
  <r>
    <x v="1"/>
    <x v="262"/>
    <x v="38"/>
    <x v="2"/>
    <x v="221"/>
    <x v="78"/>
    <x v="162"/>
    <x v="0"/>
    <x v="2"/>
    <x v="0"/>
  </r>
  <r>
    <x v="1"/>
    <x v="239"/>
    <x v="37"/>
    <x v="8"/>
    <x v="91"/>
    <x v="48"/>
    <x v="55"/>
    <x v="0"/>
    <x v="2"/>
    <x v="0"/>
  </r>
  <r>
    <x v="1"/>
    <x v="56"/>
    <x v="31"/>
    <x v="2"/>
    <x v="261"/>
    <x v="80"/>
    <x v="218"/>
    <x v="0"/>
    <x v="2"/>
    <x v="0"/>
  </r>
  <r>
    <x v="1"/>
    <x v="130"/>
    <x v="34"/>
    <x v="2"/>
    <x v="190"/>
    <x v="79"/>
    <x v="127"/>
    <x v="0"/>
    <x v="2"/>
    <x v="0"/>
  </r>
  <r>
    <x v="1"/>
    <x v="75"/>
    <x v="32"/>
    <x v="9"/>
    <x v="72"/>
    <x v="33"/>
    <x v="49"/>
    <x v="0"/>
    <x v="2"/>
    <x v="0"/>
  </r>
  <r>
    <x v="1"/>
    <x v="76"/>
    <x v="33"/>
    <x v="8"/>
    <x v="143"/>
    <x v="54"/>
    <x v="116"/>
    <x v="0"/>
    <x v="2"/>
    <x v="0"/>
  </r>
  <r>
    <x v="1"/>
    <x v="4"/>
    <x v="30"/>
    <x v="8"/>
    <x v="180"/>
    <x v="53"/>
    <x v="170"/>
    <x v="0"/>
    <x v="2"/>
    <x v="0"/>
  </r>
  <r>
    <x v="1"/>
    <x v="137"/>
    <x v="35"/>
    <x v="7"/>
    <x v="28"/>
    <x v="15"/>
    <x v="17"/>
    <x v="0"/>
    <x v="5"/>
    <x v="0"/>
  </r>
  <r>
    <x v="1"/>
    <x v="178"/>
    <x v="36"/>
    <x v="7"/>
    <x v="37"/>
    <x v="15"/>
    <x v="26"/>
    <x v="0"/>
    <x v="2"/>
    <x v="0"/>
  </r>
  <r>
    <x v="2"/>
    <x v="90"/>
    <x v="42"/>
    <x v="9"/>
    <x v="80"/>
    <x v="32"/>
    <x v="59"/>
    <x v="0"/>
    <x v="2"/>
    <x v="0"/>
  </r>
  <r>
    <x v="2"/>
    <x v="92"/>
    <x v="43"/>
    <x v="8"/>
    <x v="121"/>
    <x v="51"/>
    <x v="102"/>
    <x v="0"/>
    <x v="2"/>
    <x v="0"/>
  </r>
  <r>
    <x v="2"/>
    <x v="20"/>
    <x v="40"/>
    <x v="8"/>
    <x v="169"/>
    <x v="50"/>
    <x v="161"/>
    <x v="0"/>
    <x v="2"/>
    <x v="0"/>
  </r>
  <r>
    <x v="2"/>
    <x v="55"/>
    <x v="41"/>
    <x v="2"/>
    <x v="259"/>
    <x v="83"/>
    <x v="217"/>
    <x v="0"/>
    <x v="2"/>
    <x v="0"/>
  </r>
  <r>
    <x v="2"/>
    <x v="106"/>
    <x v="44"/>
    <x v="2"/>
    <x v="165"/>
    <x v="81"/>
    <x v="106"/>
    <x v="0"/>
    <x v="2"/>
    <x v="0"/>
  </r>
  <r>
    <x v="2"/>
    <x v="291"/>
    <x v="399"/>
    <x v="3"/>
    <x v="152"/>
    <x v="66"/>
    <x v="95"/>
    <x v="0"/>
    <x v="3"/>
    <x v="0"/>
  </r>
  <r>
    <x v="2"/>
    <x v="251"/>
    <x v="49"/>
    <x v="8"/>
    <x v="98"/>
    <x v="52"/>
    <x v="66"/>
    <x v="0"/>
    <x v="2"/>
    <x v="0"/>
  </r>
  <r>
    <x v="2"/>
    <x v="268"/>
    <x v="50"/>
    <x v="5"/>
    <x v="7"/>
    <x v="5"/>
    <x v="5"/>
    <x v="0"/>
    <x v="2"/>
    <x v="0"/>
  </r>
  <r>
    <x v="2"/>
    <x v="148"/>
    <x v="45"/>
    <x v="7"/>
    <x v="26"/>
    <x v="21"/>
    <x v="9"/>
    <x v="0"/>
    <x v="2"/>
    <x v="0"/>
  </r>
  <r>
    <x v="2"/>
    <x v="221"/>
    <x v="48"/>
    <x v="7"/>
    <x v="36"/>
    <x v="21"/>
    <x v="19"/>
    <x v="0"/>
    <x v="5"/>
    <x v="0"/>
  </r>
  <r>
    <x v="2"/>
    <x v="179"/>
    <x v="46"/>
    <x v="7"/>
    <x v="36"/>
    <x v="21"/>
    <x v="19"/>
    <x v="0"/>
    <x v="5"/>
    <x v="0"/>
  </r>
  <r>
    <x v="2"/>
    <x v="212"/>
    <x v="47"/>
    <x v="5"/>
    <x v="16"/>
    <x v="9"/>
    <x v="12"/>
    <x v="0"/>
    <x v="2"/>
    <x v="0"/>
  </r>
  <r>
    <x v="2"/>
    <x v="284"/>
    <x v="51"/>
    <x v="2"/>
    <x v="223"/>
    <x v="66"/>
    <x v="165"/>
    <x v="0"/>
    <x v="2"/>
    <x v="0"/>
  </r>
  <r>
    <x v="3"/>
    <x v="9"/>
    <x v="52"/>
    <x v="3"/>
    <x v="167"/>
    <x v="76"/>
    <x v="110"/>
    <x v="0"/>
    <x v="2"/>
    <x v="0"/>
  </r>
  <r>
    <x v="3"/>
    <x v="103"/>
    <x v="55"/>
    <x v="9"/>
    <x v="72"/>
    <x v="35"/>
    <x v="47"/>
    <x v="0"/>
    <x v="2"/>
    <x v="0"/>
  </r>
  <r>
    <x v="3"/>
    <x v="64"/>
    <x v="54"/>
    <x v="8"/>
    <x v="117"/>
    <x v="51"/>
    <x v="92"/>
    <x v="0"/>
    <x v="2"/>
    <x v="0"/>
  </r>
  <r>
    <x v="3"/>
    <x v="26"/>
    <x v="53"/>
    <x v="8"/>
    <x v="184"/>
    <x v="53"/>
    <x v="175"/>
    <x v="0"/>
    <x v="2"/>
    <x v="0"/>
  </r>
  <r>
    <x v="3"/>
    <x v="105"/>
    <x v="56"/>
    <x v="2"/>
    <x v="255"/>
    <x v="70"/>
    <x v="213"/>
    <x v="0"/>
    <x v="2"/>
    <x v="0"/>
  </r>
  <r>
    <x v="3"/>
    <x v="249"/>
    <x v="61"/>
    <x v="8"/>
    <x v="108"/>
    <x v="49"/>
    <x v="79"/>
    <x v="0"/>
    <x v="2"/>
    <x v="0"/>
  </r>
  <r>
    <x v="3"/>
    <x v="165"/>
    <x v="58"/>
    <x v="7"/>
    <x v="33"/>
    <x v="17"/>
    <x v="20"/>
    <x v="0"/>
    <x v="5"/>
    <x v="0"/>
  </r>
  <r>
    <x v="3"/>
    <x v="175"/>
    <x v="59"/>
    <x v="5"/>
    <x v="11"/>
    <x v="6"/>
    <x v="8"/>
    <x v="0"/>
    <x v="2"/>
    <x v="0"/>
  </r>
  <r>
    <x v="3"/>
    <x v="186"/>
    <x v="60"/>
    <x v="10"/>
    <x v="82"/>
    <x v="37"/>
    <x v="34"/>
    <x v="0"/>
    <x v="5"/>
    <x v="0"/>
  </r>
  <r>
    <x v="3"/>
    <x v="150"/>
    <x v="57"/>
    <x v="5"/>
    <x v="11"/>
    <x v="3"/>
    <x v="11"/>
    <x v="0"/>
    <x v="2"/>
    <x v="0"/>
  </r>
  <r>
    <x v="3"/>
    <x v="277"/>
    <x v="63"/>
    <x v="5"/>
    <x v="3"/>
    <x v="4"/>
    <x v="2"/>
    <x v="0"/>
    <x v="2"/>
    <x v="0"/>
  </r>
  <r>
    <x v="3"/>
    <x v="271"/>
    <x v="62"/>
    <x v="3"/>
    <x v="217"/>
    <x v="81"/>
    <x v="156"/>
    <x v="0"/>
    <x v="2"/>
    <x v="0"/>
  </r>
  <r>
    <x v="3"/>
    <x v="206"/>
    <x v="9"/>
    <x v="3"/>
    <x v="136"/>
    <x v="73"/>
    <x v="80"/>
    <x v="0"/>
    <x v="4"/>
    <x v="0"/>
  </r>
  <r>
    <x v="4"/>
    <x v="57"/>
    <x v="65"/>
    <x v="8"/>
    <x v="119"/>
    <x v="49"/>
    <x v="99"/>
    <x v="0"/>
    <x v="2"/>
    <x v="0"/>
  </r>
  <r>
    <x v="4"/>
    <x v="25"/>
    <x v="64"/>
    <x v="8"/>
    <x v="176"/>
    <x v="50"/>
    <x v="168"/>
    <x v="0"/>
    <x v="2"/>
    <x v="0"/>
  </r>
  <r>
    <x v="4"/>
    <x v="62"/>
    <x v="66"/>
    <x v="2"/>
    <x v="256"/>
    <x v="73"/>
    <x v="216"/>
    <x v="0"/>
    <x v="2"/>
    <x v="0"/>
  </r>
  <r>
    <x v="4"/>
    <x v="122"/>
    <x v="68"/>
    <x v="2"/>
    <x v="171"/>
    <x v="72"/>
    <x v="114"/>
    <x v="0"/>
    <x v="2"/>
    <x v="0"/>
  </r>
  <r>
    <x v="4"/>
    <x v="91"/>
    <x v="67"/>
    <x v="9"/>
    <x v="74"/>
    <x v="36"/>
    <x v="48"/>
    <x v="0"/>
    <x v="2"/>
    <x v="0"/>
  </r>
  <r>
    <x v="4"/>
    <x v="194"/>
    <x v="73"/>
    <x v="5"/>
    <x v="11"/>
    <x v="3"/>
    <x v="11"/>
    <x v="0"/>
    <x v="2"/>
    <x v="0"/>
  </r>
  <r>
    <x v="4"/>
    <x v="164"/>
    <x v="71"/>
    <x v="7"/>
    <x v="40"/>
    <x v="18"/>
    <x v="26"/>
    <x v="0"/>
    <x v="5"/>
    <x v="0"/>
  </r>
  <r>
    <x v="4"/>
    <x v="132"/>
    <x v="70"/>
    <x v="7"/>
    <x v="43"/>
    <x v="22"/>
    <x v="27"/>
    <x v="0"/>
    <x v="5"/>
    <x v="0"/>
  </r>
  <r>
    <x v="4"/>
    <x v="252"/>
    <x v="75"/>
    <x v="8"/>
    <x v="109"/>
    <x v="46"/>
    <x v="81"/>
    <x v="0"/>
    <x v="2"/>
    <x v="0"/>
  </r>
  <r>
    <x v="4"/>
    <x v="167"/>
    <x v="72"/>
    <x v="1"/>
    <x v="24"/>
    <x v="13"/>
    <x v="15"/>
    <x v="0"/>
    <x v="1"/>
    <x v="0"/>
  </r>
  <r>
    <x v="4"/>
    <x v="284"/>
    <x v="77"/>
    <x v="5"/>
    <x v="4"/>
    <x v="3"/>
    <x v="4"/>
    <x v="0"/>
    <x v="2"/>
    <x v="0"/>
  </r>
  <r>
    <x v="4"/>
    <x v="211"/>
    <x v="74"/>
    <x v="7"/>
    <x v="38"/>
    <x v="22"/>
    <x v="21"/>
    <x v="0"/>
    <x v="5"/>
    <x v="0"/>
  </r>
  <r>
    <x v="4"/>
    <x v="261"/>
    <x v="76"/>
    <x v="2"/>
    <x v="214"/>
    <x v="71"/>
    <x v="154"/>
    <x v="0"/>
    <x v="2"/>
    <x v="0"/>
  </r>
  <r>
    <x v="5"/>
    <x v="115"/>
    <x v="82"/>
    <x v="2"/>
    <x v="196"/>
    <x v="79"/>
    <x v="138"/>
    <x v="0"/>
    <x v="2"/>
    <x v="0"/>
  </r>
  <r>
    <x v="5"/>
    <x v="48"/>
    <x v="79"/>
    <x v="2"/>
    <x v="243"/>
    <x v="80"/>
    <x v="191"/>
    <x v="0"/>
    <x v="2"/>
    <x v="0"/>
  </r>
  <r>
    <x v="5"/>
    <x v="102"/>
    <x v="80"/>
    <x v="9"/>
    <x v="75"/>
    <x v="28"/>
    <x v="57"/>
    <x v="0"/>
    <x v="2"/>
    <x v="0"/>
  </r>
  <r>
    <x v="5"/>
    <x v="135"/>
    <x v="83"/>
    <x v="10"/>
    <x v="84"/>
    <x v="40"/>
    <x v="35"/>
    <x v="0"/>
    <x v="5"/>
    <x v="0"/>
  </r>
  <r>
    <x v="5"/>
    <x v="36"/>
    <x v="78"/>
    <x v="6"/>
    <x v="164"/>
    <x v="42"/>
    <x v="155"/>
    <x v="0"/>
    <x v="2"/>
    <x v="0"/>
  </r>
  <r>
    <x v="5"/>
    <x v="113"/>
    <x v="81"/>
    <x v="6"/>
    <x v="124"/>
    <x v="43"/>
    <x v="107"/>
    <x v="0"/>
    <x v="2"/>
    <x v="0"/>
  </r>
  <r>
    <x v="5"/>
    <x v="205"/>
    <x v="10"/>
    <x v="3"/>
    <x v="128"/>
    <x v="78"/>
    <x v="60"/>
    <x v="0"/>
    <x v="4"/>
    <x v="0"/>
  </r>
  <r>
    <x v="5"/>
    <x v="193"/>
    <x v="84"/>
    <x v="5"/>
    <x v="14"/>
    <x v="3"/>
    <x v="14"/>
    <x v="0"/>
    <x v="2"/>
    <x v="0"/>
  </r>
  <r>
    <x v="5"/>
    <x v="286"/>
    <x v="86"/>
    <x v="2"/>
    <x v="227"/>
    <x v="78"/>
    <x v="170"/>
    <x v="0"/>
    <x v="2"/>
    <x v="0"/>
  </r>
  <r>
    <x v="5"/>
    <x v="287"/>
    <x v="87"/>
    <x v="5"/>
    <x v="6"/>
    <x v="3"/>
    <x v="6"/>
    <x v="0"/>
    <x v="2"/>
    <x v="0"/>
  </r>
  <r>
    <x v="5"/>
    <x v="256"/>
    <x v="85"/>
    <x v="6"/>
    <x v="92"/>
    <x v="41"/>
    <x v="73"/>
    <x v="0"/>
    <x v="2"/>
    <x v="0"/>
  </r>
  <r>
    <x v="6"/>
    <x v="118"/>
    <x v="93"/>
    <x v="9"/>
    <x v="77"/>
    <x v="34"/>
    <x v="53"/>
    <x v="0"/>
    <x v="2"/>
    <x v="0"/>
  </r>
  <r>
    <x v="6"/>
    <x v="67"/>
    <x v="90"/>
    <x v="11"/>
    <x v="123"/>
    <x v="44"/>
    <x v="103"/>
    <x v="0"/>
    <x v="2"/>
    <x v="0"/>
  </r>
  <r>
    <x v="6"/>
    <x v="27"/>
    <x v="88"/>
    <x v="11"/>
    <x v="181"/>
    <x v="46"/>
    <x v="174"/>
    <x v="0"/>
    <x v="2"/>
    <x v="0"/>
  </r>
  <r>
    <x v="6"/>
    <x v="58"/>
    <x v="89"/>
    <x v="2"/>
    <x v="234"/>
    <x v="84"/>
    <x v="177"/>
    <x v="0"/>
    <x v="2"/>
    <x v="0"/>
  </r>
  <r>
    <x v="6"/>
    <x v="121"/>
    <x v="94"/>
    <x v="2"/>
    <x v="185"/>
    <x v="83"/>
    <x v="124"/>
    <x v="0"/>
    <x v="2"/>
    <x v="0"/>
  </r>
  <r>
    <x v="6"/>
    <x v="278"/>
    <x v="104"/>
    <x v="5"/>
    <x v="7"/>
    <x v="4"/>
    <x v="6"/>
    <x v="0"/>
    <x v="2"/>
    <x v="0"/>
  </r>
  <r>
    <x v="6"/>
    <x v="257"/>
    <x v="103"/>
    <x v="8"/>
    <x v="115"/>
    <x v="45"/>
    <x v="89"/>
    <x v="0"/>
    <x v="2"/>
    <x v="0"/>
  </r>
  <r>
    <x v="6"/>
    <x v="285"/>
    <x v="105"/>
    <x v="3"/>
    <x v="237"/>
    <x v="81"/>
    <x v="180"/>
    <x v="0"/>
    <x v="2"/>
    <x v="0"/>
  </r>
  <r>
    <x v="6"/>
    <x v="199"/>
    <x v="101"/>
    <x v="7"/>
    <x v="27"/>
    <x v="17"/>
    <x v="14"/>
    <x v="0"/>
    <x v="5"/>
    <x v="0"/>
  </r>
  <r>
    <x v="6"/>
    <x v="176"/>
    <x v="99"/>
    <x v="5"/>
    <x v="14"/>
    <x v="6"/>
    <x v="11"/>
    <x v="0"/>
    <x v="2"/>
    <x v="0"/>
  </r>
  <r>
    <x v="6"/>
    <x v="141"/>
    <x v="96"/>
    <x v="0"/>
    <x v="250"/>
    <x v="64"/>
    <x v="210"/>
    <x v="0"/>
    <x v="0"/>
    <x v="0"/>
  </r>
  <r>
    <x v="6"/>
    <x v="110"/>
    <x v="92"/>
    <x v="0"/>
    <x v="226"/>
    <x v="64"/>
    <x v="186"/>
    <x v="0"/>
    <x v="0"/>
    <x v="0"/>
  </r>
  <r>
    <x v="6"/>
    <x v="131"/>
    <x v="95"/>
    <x v="0"/>
    <x v="238"/>
    <x v="64"/>
    <x v="204"/>
    <x v="0"/>
    <x v="0"/>
    <x v="0"/>
  </r>
  <r>
    <x v="6"/>
    <x v="77"/>
    <x v="91"/>
    <x v="0"/>
    <x v="196"/>
    <x v="64"/>
    <x v="148"/>
    <x v="0"/>
    <x v="0"/>
    <x v="0"/>
  </r>
  <r>
    <x v="6"/>
    <x v="169"/>
    <x v="98"/>
    <x v="0"/>
    <x v="131"/>
    <x v="75"/>
    <x v="67"/>
    <x v="0"/>
    <x v="5"/>
    <x v="0"/>
  </r>
  <r>
    <x v="6"/>
    <x v="158"/>
    <x v="97"/>
    <x v="7"/>
    <x v="34"/>
    <x v="20"/>
    <x v="18"/>
    <x v="0"/>
    <x v="5"/>
    <x v="0"/>
  </r>
  <r>
    <x v="6"/>
    <x v="223"/>
    <x v="0"/>
    <x v="3"/>
    <x v="155"/>
    <x v="70"/>
    <x v="96"/>
    <x v="0"/>
    <x v="3"/>
    <x v="0"/>
  </r>
  <r>
    <x v="7"/>
    <x v="214"/>
    <x v="114"/>
    <x v="1"/>
    <x v="36"/>
    <x v="12"/>
    <x v="27"/>
    <x v="0"/>
    <x v="1"/>
    <x v="0"/>
  </r>
  <r>
    <x v="7"/>
    <x v="187"/>
    <x v="113"/>
    <x v="7"/>
    <x v="36"/>
    <x v="22"/>
    <x v="18"/>
    <x v="0"/>
    <x v="5"/>
    <x v="0"/>
  </r>
  <r>
    <x v="7"/>
    <x v="181"/>
    <x v="111"/>
    <x v="5"/>
    <x v="10"/>
    <x v="8"/>
    <x v="5"/>
    <x v="0"/>
    <x v="2"/>
    <x v="0"/>
  </r>
  <r>
    <x v="7"/>
    <x v="263"/>
    <x v="116"/>
    <x v="2"/>
    <x v="246"/>
    <x v="76"/>
    <x v="197"/>
    <x v="0"/>
    <x v="2"/>
    <x v="0"/>
  </r>
  <r>
    <x v="7"/>
    <x v="266"/>
    <x v="117"/>
    <x v="5"/>
    <x v="9"/>
    <x v="3"/>
    <x v="9"/>
    <x v="0"/>
    <x v="2"/>
    <x v="0"/>
  </r>
  <r>
    <x v="7"/>
    <x v="51"/>
    <x v="107"/>
    <x v="2"/>
    <x v="247"/>
    <x v="75"/>
    <x v="199"/>
    <x v="0"/>
    <x v="2"/>
    <x v="0"/>
  </r>
  <r>
    <x v="7"/>
    <x v="122"/>
    <x v="110"/>
    <x v="2"/>
    <x v="207"/>
    <x v="74"/>
    <x v="148"/>
    <x v="0"/>
    <x v="2"/>
    <x v="0"/>
  </r>
  <r>
    <x v="7"/>
    <x v="109"/>
    <x v="109"/>
    <x v="8"/>
    <x v="158"/>
    <x v="49"/>
    <x v="134"/>
    <x v="0"/>
    <x v="2"/>
    <x v="0"/>
  </r>
  <r>
    <x v="7"/>
    <x v="107"/>
    <x v="108"/>
    <x v="9"/>
    <x v="79"/>
    <x v="31"/>
    <x v="59"/>
    <x v="0"/>
    <x v="2"/>
    <x v="0"/>
  </r>
  <r>
    <x v="7"/>
    <x v="5"/>
    <x v="106"/>
    <x v="8"/>
    <x v="168"/>
    <x v="58"/>
    <x v="158"/>
    <x v="0"/>
    <x v="2"/>
    <x v="0"/>
  </r>
  <r>
    <x v="7"/>
    <x v="184"/>
    <x v="112"/>
    <x v="10"/>
    <x v="83"/>
    <x v="39"/>
    <x v="31"/>
    <x v="0"/>
    <x v="5"/>
    <x v="0"/>
  </r>
  <r>
    <x v="7"/>
    <x v="238"/>
    <x v="115"/>
    <x v="8"/>
    <x v="99"/>
    <x v="50"/>
    <x v="69"/>
    <x v="0"/>
    <x v="2"/>
    <x v="0"/>
  </r>
  <r>
    <x v="7"/>
    <x v="159"/>
    <x v="11"/>
    <x v="3"/>
    <x v="127"/>
    <x v="79"/>
    <x v="57"/>
    <x v="0"/>
    <x v="4"/>
    <x v="0"/>
  </r>
  <r>
    <x v="8"/>
    <x v="262"/>
    <x v="129"/>
    <x v="5"/>
    <x v="7"/>
    <x v="4"/>
    <x v="6"/>
    <x v="0"/>
    <x v="2"/>
    <x v="0"/>
  </r>
  <r>
    <x v="8"/>
    <x v="237"/>
    <x v="127"/>
    <x v="8"/>
    <x v="93"/>
    <x v="51"/>
    <x v="60"/>
    <x v="0"/>
    <x v="2"/>
    <x v="0"/>
  </r>
  <r>
    <x v="8"/>
    <x v="217"/>
    <x v="126"/>
    <x v="5"/>
    <x v="5"/>
    <x v="3"/>
    <x v="5"/>
    <x v="0"/>
    <x v="2"/>
    <x v="0"/>
  </r>
  <r>
    <x v="8"/>
    <x v="260"/>
    <x v="128"/>
    <x v="2"/>
    <x v="231"/>
    <x v="67"/>
    <x v="182"/>
    <x v="0"/>
    <x v="2"/>
    <x v="0"/>
  </r>
  <r>
    <x v="8"/>
    <x v="2"/>
    <x v="118"/>
    <x v="8"/>
    <x v="170"/>
    <x v="57"/>
    <x v="159"/>
    <x v="0"/>
    <x v="2"/>
    <x v="0"/>
  </r>
  <r>
    <x v="8"/>
    <x v="199"/>
    <x v="125"/>
    <x v="7"/>
    <x v="32"/>
    <x v="17"/>
    <x v="19"/>
    <x v="0"/>
    <x v="2"/>
    <x v="0"/>
  </r>
  <r>
    <x v="8"/>
    <x v="149"/>
    <x v="124"/>
    <x v="7"/>
    <x v="29"/>
    <x v="14"/>
    <x v="19"/>
    <x v="0"/>
    <x v="5"/>
    <x v="0"/>
  </r>
  <r>
    <x v="8"/>
    <x v="70"/>
    <x v="120"/>
    <x v="9"/>
    <x v="69"/>
    <x v="29"/>
    <x v="49"/>
    <x v="0"/>
    <x v="2"/>
    <x v="0"/>
  </r>
  <r>
    <x v="8"/>
    <x v="95"/>
    <x v="122"/>
    <x v="9"/>
    <x v="58"/>
    <x v="32"/>
    <x v="35"/>
    <x v="0"/>
    <x v="2"/>
    <x v="0"/>
  </r>
  <r>
    <x v="8"/>
    <x v="99"/>
    <x v="123"/>
    <x v="8"/>
    <x v="160"/>
    <x v="50"/>
    <x v="145"/>
    <x v="0"/>
    <x v="2"/>
    <x v="0"/>
  </r>
  <r>
    <x v="8"/>
    <x v="38"/>
    <x v="119"/>
    <x v="2"/>
    <x v="254"/>
    <x v="77"/>
    <x v="211"/>
    <x v="0"/>
    <x v="2"/>
    <x v="0"/>
  </r>
  <r>
    <x v="8"/>
    <x v="87"/>
    <x v="121"/>
    <x v="2"/>
    <x v="216"/>
    <x v="76"/>
    <x v="157"/>
    <x v="0"/>
    <x v="2"/>
    <x v="0"/>
  </r>
  <r>
    <x v="9"/>
    <x v="54"/>
    <x v="132"/>
    <x v="2"/>
    <x v="260"/>
    <x v="76"/>
    <x v="220"/>
    <x v="0"/>
    <x v="2"/>
    <x v="0"/>
  </r>
  <r>
    <x v="9"/>
    <x v="1"/>
    <x v="130"/>
    <x v="8"/>
    <x v="166"/>
    <x v="58"/>
    <x v="152"/>
    <x v="0"/>
    <x v="2"/>
    <x v="0"/>
  </r>
  <r>
    <x v="9"/>
    <x v="114"/>
    <x v="135"/>
    <x v="2"/>
    <x v="163"/>
    <x v="76"/>
    <x v="105"/>
    <x v="0"/>
    <x v="2"/>
    <x v="0"/>
  </r>
  <r>
    <x v="9"/>
    <x v="43"/>
    <x v="131"/>
    <x v="8"/>
    <x v="147"/>
    <x v="51"/>
    <x v="121"/>
    <x v="0"/>
    <x v="2"/>
    <x v="0"/>
  </r>
  <r>
    <x v="9"/>
    <x v="71"/>
    <x v="133"/>
    <x v="9"/>
    <x v="61"/>
    <x v="28"/>
    <x v="40"/>
    <x v="0"/>
    <x v="2"/>
    <x v="0"/>
  </r>
  <r>
    <x v="9"/>
    <x v="94"/>
    <x v="134"/>
    <x v="9"/>
    <x v="54"/>
    <x v="35"/>
    <x v="28"/>
    <x v="0"/>
    <x v="2"/>
    <x v="0"/>
  </r>
  <r>
    <x v="9"/>
    <x v="276"/>
    <x v="142"/>
    <x v="5"/>
    <x v="8"/>
    <x v="4"/>
    <x v="7"/>
    <x v="0"/>
    <x v="2"/>
    <x v="0"/>
  </r>
  <r>
    <x v="9"/>
    <x v="274"/>
    <x v="141"/>
    <x v="3"/>
    <x v="252"/>
    <x v="76"/>
    <x v="206"/>
    <x v="0"/>
    <x v="2"/>
    <x v="0"/>
  </r>
  <r>
    <x v="9"/>
    <x v="180"/>
    <x v="137"/>
    <x v="5"/>
    <x v="13"/>
    <x v="7"/>
    <x v="9"/>
    <x v="0"/>
    <x v="2"/>
    <x v="0"/>
  </r>
  <r>
    <x v="9"/>
    <x v="148"/>
    <x v="136"/>
    <x v="7"/>
    <x v="35"/>
    <x v="23"/>
    <x v="16"/>
    <x v="0"/>
    <x v="5"/>
    <x v="0"/>
  </r>
  <r>
    <x v="9"/>
    <x v="205"/>
    <x v="138"/>
    <x v="7"/>
    <x v="32"/>
    <x v="23"/>
    <x v="13"/>
    <x v="0"/>
    <x v="5"/>
    <x v="0"/>
  </r>
  <r>
    <x v="9"/>
    <x v="248"/>
    <x v="140"/>
    <x v="8"/>
    <x v="107"/>
    <x v="49"/>
    <x v="77"/>
    <x v="0"/>
    <x v="2"/>
    <x v="0"/>
  </r>
  <r>
    <x v="9"/>
    <x v="235"/>
    <x v="139"/>
    <x v="1"/>
    <x v="21"/>
    <x v="12"/>
    <x v="12"/>
    <x v="0"/>
    <x v="1"/>
    <x v="0"/>
  </r>
  <r>
    <x v="9"/>
    <x v="228"/>
    <x v="1"/>
    <x v="3"/>
    <x v="145"/>
    <x v="70"/>
    <x v="90"/>
    <x v="0"/>
    <x v="3"/>
    <x v="0"/>
  </r>
  <r>
    <x v="10"/>
    <x v="107"/>
    <x v="147"/>
    <x v="9"/>
    <x v="50"/>
    <x v="32"/>
    <x v="25"/>
    <x v="0"/>
    <x v="2"/>
    <x v="0"/>
  </r>
  <r>
    <x v="10"/>
    <x v="73"/>
    <x v="145"/>
    <x v="9"/>
    <x v="62"/>
    <x v="28"/>
    <x v="43"/>
    <x v="0"/>
    <x v="2"/>
    <x v="0"/>
  </r>
  <r>
    <x v="10"/>
    <x v="110"/>
    <x v="148"/>
    <x v="8"/>
    <x v="159"/>
    <x v="48"/>
    <x v="140"/>
    <x v="0"/>
    <x v="2"/>
    <x v="0"/>
  </r>
  <r>
    <x v="10"/>
    <x v="100"/>
    <x v="146"/>
    <x v="2"/>
    <x v="260"/>
    <x v="76"/>
    <x v="220"/>
    <x v="0"/>
    <x v="2"/>
    <x v="0"/>
  </r>
  <r>
    <x v="10"/>
    <x v="7"/>
    <x v="143"/>
    <x v="8"/>
    <x v="171"/>
    <x v="57"/>
    <x v="161"/>
    <x v="0"/>
    <x v="2"/>
    <x v="0"/>
  </r>
  <r>
    <x v="10"/>
    <x v="17"/>
    <x v="144"/>
    <x v="3"/>
    <x v="214"/>
    <x v="84"/>
    <x v="150"/>
    <x v="0"/>
    <x v="2"/>
    <x v="0"/>
  </r>
  <r>
    <x v="10"/>
    <x v="200"/>
    <x v="6"/>
    <x v="3"/>
    <x v="143"/>
    <x v="81"/>
    <x v="87"/>
    <x v="0"/>
    <x v="4"/>
    <x v="0"/>
  </r>
  <r>
    <x v="10"/>
    <x v="228"/>
    <x v="152"/>
    <x v="5"/>
    <x v="9"/>
    <x v="0"/>
    <x v="13"/>
    <x v="0"/>
    <x v="2"/>
    <x v="0"/>
  </r>
  <r>
    <x v="10"/>
    <x v="278"/>
    <x v="155"/>
    <x v="5"/>
    <x v="10"/>
    <x v="4"/>
    <x v="9"/>
    <x v="0"/>
    <x v="2"/>
    <x v="0"/>
  </r>
  <r>
    <x v="10"/>
    <x v="265"/>
    <x v="154"/>
    <x v="3"/>
    <x v="225"/>
    <x v="80"/>
    <x v="166"/>
    <x v="0"/>
    <x v="2"/>
    <x v="0"/>
  </r>
  <r>
    <x v="10"/>
    <x v="135"/>
    <x v="149"/>
    <x v="7"/>
    <x v="38"/>
    <x v="19"/>
    <x v="23"/>
    <x v="0"/>
    <x v="5"/>
    <x v="0"/>
  </r>
  <r>
    <x v="10"/>
    <x v="160"/>
    <x v="150"/>
    <x v="7"/>
    <x v="32"/>
    <x v="19"/>
    <x v="17"/>
    <x v="0"/>
    <x v="5"/>
    <x v="0"/>
  </r>
  <r>
    <x v="10"/>
    <x v="207"/>
    <x v="151"/>
    <x v="7"/>
    <x v="38"/>
    <x v="24"/>
    <x v="19"/>
    <x v="0"/>
    <x v="5"/>
    <x v="0"/>
  </r>
  <r>
    <x v="10"/>
    <x v="244"/>
    <x v="153"/>
    <x v="8"/>
    <x v="102"/>
    <x v="52"/>
    <x v="70"/>
    <x v="0"/>
    <x v="2"/>
    <x v="0"/>
  </r>
  <r>
    <x v="11"/>
    <x v="31"/>
    <x v="157"/>
    <x v="9"/>
    <x v="62"/>
    <x v="29"/>
    <x v="42"/>
    <x v="0"/>
    <x v="2"/>
    <x v="0"/>
  </r>
  <r>
    <x v="11"/>
    <x v="95"/>
    <x v="160"/>
    <x v="8"/>
    <x v="133"/>
    <x v="53"/>
    <x v="109"/>
    <x v="0"/>
    <x v="2"/>
    <x v="0"/>
  </r>
  <r>
    <x v="11"/>
    <x v="93"/>
    <x v="159"/>
    <x v="9"/>
    <x v="53"/>
    <x v="31"/>
    <x v="30"/>
    <x v="0"/>
    <x v="2"/>
    <x v="0"/>
  </r>
  <r>
    <x v="11"/>
    <x v="10"/>
    <x v="156"/>
    <x v="8"/>
    <x v="183"/>
    <x v="53"/>
    <x v="172"/>
    <x v="0"/>
    <x v="2"/>
    <x v="0"/>
  </r>
  <r>
    <x v="11"/>
    <x v="65"/>
    <x v="158"/>
    <x v="2"/>
    <x v="265"/>
    <x v="71"/>
    <x v="224"/>
    <x v="0"/>
    <x v="2"/>
    <x v="0"/>
  </r>
  <r>
    <x v="11"/>
    <x v="138"/>
    <x v="161"/>
    <x v="7"/>
    <x v="31"/>
    <x v="22"/>
    <x v="13"/>
    <x v="0"/>
    <x v="5"/>
    <x v="0"/>
  </r>
  <r>
    <x v="11"/>
    <x v="163"/>
    <x v="162"/>
    <x v="7"/>
    <x v="26"/>
    <x v="17"/>
    <x v="13"/>
    <x v="0"/>
    <x v="5"/>
    <x v="0"/>
  </r>
  <r>
    <x v="11"/>
    <x v="215"/>
    <x v="164"/>
    <x v="7"/>
    <x v="22"/>
    <x v="15"/>
    <x v="10"/>
    <x v="0"/>
    <x v="5"/>
    <x v="0"/>
  </r>
  <r>
    <x v="11"/>
    <x v="181"/>
    <x v="163"/>
    <x v="5"/>
    <x v="9"/>
    <x v="4"/>
    <x v="8"/>
    <x v="0"/>
    <x v="2"/>
    <x v="0"/>
  </r>
  <r>
    <x v="11"/>
    <x v="265"/>
    <x v="166"/>
    <x v="3"/>
    <x v="251"/>
    <x v="84"/>
    <x v="199"/>
    <x v="0"/>
    <x v="2"/>
    <x v="0"/>
  </r>
  <r>
    <x v="11"/>
    <x v="286"/>
    <x v="167"/>
    <x v="5"/>
    <x v="9"/>
    <x v="4"/>
    <x v="8"/>
    <x v="0"/>
    <x v="2"/>
    <x v="0"/>
  </r>
  <r>
    <x v="11"/>
    <x v="257"/>
    <x v="165"/>
    <x v="8"/>
    <x v="118"/>
    <x v="49"/>
    <x v="93"/>
    <x v="0"/>
    <x v="2"/>
    <x v="0"/>
  </r>
  <r>
    <x v="12"/>
    <x v="194"/>
    <x v="12"/>
    <x v="3"/>
    <x v="134"/>
    <x v="82"/>
    <x v="66"/>
    <x v="0"/>
    <x v="4"/>
    <x v="0"/>
  </r>
  <r>
    <x v="12"/>
    <x v="37"/>
    <x v="170"/>
    <x v="8"/>
    <x v="130"/>
    <x v="49"/>
    <x v="108"/>
    <x v="0"/>
    <x v="2"/>
    <x v="0"/>
  </r>
  <r>
    <x v="12"/>
    <x v="67"/>
    <x v="171"/>
    <x v="9"/>
    <x v="68"/>
    <x v="32"/>
    <x v="44"/>
    <x v="0"/>
    <x v="2"/>
    <x v="0"/>
  </r>
  <r>
    <x v="12"/>
    <x v="96"/>
    <x v="173"/>
    <x v="9"/>
    <x v="52"/>
    <x v="36"/>
    <x v="24"/>
    <x v="0"/>
    <x v="2"/>
    <x v="0"/>
  </r>
  <r>
    <x v="12"/>
    <x v="94"/>
    <x v="172"/>
    <x v="2"/>
    <x v="193"/>
    <x v="74"/>
    <x v="137"/>
    <x v="0"/>
    <x v="2"/>
    <x v="0"/>
  </r>
  <r>
    <x v="12"/>
    <x v="34"/>
    <x v="169"/>
    <x v="2"/>
    <x v="256"/>
    <x v="75"/>
    <x v="214"/>
    <x v="0"/>
    <x v="2"/>
    <x v="0"/>
  </r>
  <r>
    <x v="12"/>
    <x v="3"/>
    <x v="168"/>
    <x v="8"/>
    <x v="178"/>
    <x v="57"/>
    <x v="167"/>
    <x v="0"/>
    <x v="2"/>
    <x v="0"/>
  </r>
  <r>
    <x v="12"/>
    <x v="198"/>
    <x v="175"/>
    <x v="5"/>
    <x v="5"/>
    <x v="3"/>
    <x v="5"/>
    <x v="0"/>
    <x v="2"/>
    <x v="0"/>
  </r>
  <r>
    <x v="12"/>
    <x v="182"/>
    <x v="174"/>
    <x v="7"/>
    <x v="31"/>
    <x v="20"/>
    <x v="15"/>
    <x v="0"/>
    <x v="2"/>
    <x v="0"/>
  </r>
  <r>
    <x v="12"/>
    <x v="283"/>
    <x v="179"/>
    <x v="5"/>
    <x v="1"/>
    <x v="2"/>
    <x v="0"/>
    <x v="0"/>
    <x v="2"/>
    <x v="0"/>
  </r>
  <r>
    <x v="12"/>
    <x v="241"/>
    <x v="176"/>
    <x v="8"/>
    <x v="106"/>
    <x v="52"/>
    <x v="75"/>
    <x v="0"/>
    <x v="2"/>
    <x v="0"/>
  </r>
  <r>
    <x v="12"/>
    <x v="258"/>
    <x v="177"/>
    <x v="5"/>
    <x v="5"/>
    <x v="3"/>
    <x v="5"/>
    <x v="0"/>
    <x v="2"/>
    <x v="0"/>
  </r>
  <r>
    <x v="12"/>
    <x v="278"/>
    <x v="178"/>
    <x v="3"/>
    <x v="244"/>
    <x v="81"/>
    <x v="194"/>
    <x v="0"/>
    <x v="2"/>
    <x v="0"/>
  </r>
  <r>
    <x v="13"/>
    <x v="89"/>
    <x v="183"/>
    <x v="9"/>
    <x v="54"/>
    <x v="31"/>
    <x v="31"/>
    <x v="0"/>
    <x v="2"/>
    <x v="0"/>
  </r>
  <r>
    <x v="13"/>
    <x v="33"/>
    <x v="181"/>
    <x v="9"/>
    <x v="63"/>
    <x v="29"/>
    <x v="43"/>
    <x v="0"/>
    <x v="2"/>
    <x v="0"/>
  </r>
  <r>
    <x v="13"/>
    <x v="140"/>
    <x v="188"/>
    <x v="2"/>
    <x v="201"/>
    <x v="70"/>
    <x v="143"/>
    <x v="0"/>
    <x v="2"/>
    <x v="0"/>
  </r>
  <r>
    <x v="13"/>
    <x v="66"/>
    <x v="182"/>
    <x v="2"/>
    <x v="264"/>
    <x v="71"/>
    <x v="223"/>
    <x v="0"/>
    <x v="2"/>
    <x v="0"/>
  </r>
  <r>
    <x v="13"/>
    <x v="171"/>
    <x v="191"/>
    <x v="0"/>
    <x v="132"/>
    <x v="75"/>
    <x v="70"/>
    <x v="0"/>
    <x v="5"/>
    <x v="0"/>
  </r>
  <r>
    <x v="13"/>
    <x v="124"/>
    <x v="186"/>
    <x v="0"/>
    <x v="215"/>
    <x v="64"/>
    <x v="164"/>
    <x v="0"/>
    <x v="0"/>
    <x v="0"/>
  </r>
  <r>
    <x v="13"/>
    <x v="93"/>
    <x v="184"/>
    <x v="8"/>
    <x v="161"/>
    <x v="52"/>
    <x v="144"/>
    <x v="0"/>
    <x v="2"/>
    <x v="0"/>
  </r>
  <r>
    <x v="13"/>
    <x v="16"/>
    <x v="180"/>
    <x v="8"/>
    <x v="181"/>
    <x v="52"/>
    <x v="171"/>
    <x v="0"/>
    <x v="2"/>
    <x v="0"/>
  </r>
  <r>
    <x v="13"/>
    <x v="96"/>
    <x v="185"/>
    <x v="0"/>
    <x v="179"/>
    <x v="64"/>
    <x v="136"/>
    <x v="0"/>
    <x v="0"/>
    <x v="0"/>
  </r>
  <r>
    <x v="13"/>
    <x v="134"/>
    <x v="187"/>
    <x v="0"/>
    <x v="222"/>
    <x v="64"/>
    <x v="175"/>
    <x v="0"/>
    <x v="0"/>
    <x v="0"/>
  </r>
  <r>
    <x v="13"/>
    <x v="144"/>
    <x v="189"/>
    <x v="0"/>
    <x v="228"/>
    <x v="64"/>
    <x v="191"/>
    <x v="0"/>
    <x v="0"/>
    <x v="0"/>
  </r>
  <r>
    <x v="6"/>
    <x v="233"/>
    <x v="102"/>
    <x v="1"/>
    <x v="48"/>
    <x v="12"/>
    <x v="44"/>
    <x v="0"/>
    <x v="1"/>
    <x v="0"/>
  </r>
  <r>
    <x v="6"/>
    <x v="190"/>
    <x v="100"/>
    <x v="1"/>
    <x v="45"/>
    <x v="10"/>
    <x v="39"/>
    <x v="0"/>
    <x v="1"/>
    <x v="0"/>
  </r>
  <r>
    <x v="13"/>
    <x v="287"/>
    <x v="196"/>
    <x v="5"/>
    <x v="6"/>
    <x v="4"/>
    <x v="5"/>
    <x v="0"/>
    <x v="2"/>
    <x v="0"/>
  </r>
  <r>
    <x v="13"/>
    <x v="274"/>
    <x v="195"/>
    <x v="3"/>
    <x v="244"/>
    <x v="85"/>
    <x v="190"/>
    <x v="0"/>
    <x v="2"/>
    <x v="0"/>
  </r>
  <r>
    <x v="13"/>
    <x v="251"/>
    <x v="194"/>
    <x v="8"/>
    <x v="110"/>
    <x v="49"/>
    <x v="82"/>
    <x v="0"/>
    <x v="2"/>
    <x v="0"/>
  </r>
  <r>
    <x v="13"/>
    <x v="188"/>
    <x v="192"/>
    <x v="5"/>
    <x v="10"/>
    <x v="3"/>
    <x v="10"/>
    <x v="0"/>
    <x v="2"/>
    <x v="0"/>
  </r>
  <r>
    <x v="13"/>
    <x v="156"/>
    <x v="190"/>
    <x v="7"/>
    <x v="36"/>
    <x v="20"/>
    <x v="20"/>
    <x v="0"/>
    <x v="5"/>
    <x v="0"/>
  </r>
  <r>
    <x v="13"/>
    <x v="213"/>
    <x v="193"/>
    <x v="7"/>
    <x v="40"/>
    <x v="23"/>
    <x v="22"/>
    <x v="0"/>
    <x v="5"/>
    <x v="0"/>
  </r>
  <r>
    <x v="13"/>
    <x v="197"/>
    <x v="399"/>
    <x v="3"/>
    <x v="154"/>
    <x v="66"/>
    <x v="98"/>
    <x v="0"/>
    <x v="3"/>
    <x v="0"/>
  </r>
  <r>
    <x v="14"/>
    <x v="289"/>
    <x v="209"/>
    <x v="3"/>
    <x v="262"/>
    <x v="88"/>
    <x v="220"/>
    <x v="0"/>
    <x v="2"/>
    <x v="0"/>
  </r>
  <r>
    <x v="14"/>
    <x v="274"/>
    <x v="208"/>
    <x v="5"/>
    <x v="9"/>
    <x v="4"/>
    <x v="8"/>
    <x v="0"/>
    <x v="2"/>
    <x v="0"/>
  </r>
  <r>
    <x v="14"/>
    <x v="14"/>
    <x v="198"/>
    <x v="8"/>
    <x v="191"/>
    <x v="51"/>
    <x v="182"/>
    <x v="0"/>
    <x v="2"/>
    <x v="0"/>
  </r>
  <r>
    <x v="14"/>
    <x v="94"/>
    <x v="201"/>
    <x v="8"/>
    <x v="145"/>
    <x v="50"/>
    <x v="119"/>
    <x v="0"/>
    <x v="2"/>
    <x v="0"/>
  </r>
  <r>
    <x v="14"/>
    <x v="96"/>
    <x v="202"/>
    <x v="9"/>
    <x v="59"/>
    <x v="32"/>
    <x v="36"/>
    <x v="0"/>
    <x v="2"/>
    <x v="0"/>
  </r>
  <r>
    <x v="14"/>
    <x v="35"/>
    <x v="199"/>
    <x v="9"/>
    <x v="64"/>
    <x v="30"/>
    <x v="43"/>
    <x v="0"/>
    <x v="2"/>
    <x v="0"/>
  </r>
  <r>
    <x v="14"/>
    <x v="184"/>
    <x v="205"/>
    <x v="5"/>
    <x v="9"/>
    <x v="9"/>
    <x v="3"/>
    <x v="0"/>
    <x v="2"/>
    <x v="0"/>
  </r>
  <r>
    <x v="14"/>
    <x v="108"/>
    <x v="203"/>
    <x v="2"/>
    <x v="152"/>
    <x v="75"/>
    <x v="92"/>
    <x v="0"/>
    <x v="2"/>
    <x v="0"/>
  </r>
  <r>
    <x v="14"/>
    <x v="41"/>
    <x v="200"/>
    <x v="2"/>
    <x v="250"/>
    <x v="80"/>
    <x v="200"/>
    <x v="0"/>
    <x v="2"/>
    <x v="0"/>
  </r>
  <r>
    <x v="14"/>
    <x v="192"/>
    <x v="206"/>
    <x v="7"/>
    <x v="30"/>
    <x v="17"/>
    <x v="17"/>
    <x v="0"/>
    <x v="2"/>
    <x v="0"/>
  </r>
  <r>
    <x v="14"/>
    <x v="146"/>
    <x v="204"/>
    <x v="7"/>
    <x v="20"/>
    <x v="14"/>
    <x v="8"/>
    <x v="0"/>
    <x v="2"/>
    <x v="0"/>
  </r>
  <r>
    <x v="14"/>
    <x v="13"/>
    <x v="197"/>
    <x v="3"/>
    <x v="189"/>
    <x v="87"/>
    <x v="125"/>
    <x v="0"/>
    <x v="2"/>
    <x v="0"/>
  </r>
  <r>
    <x v="14"/>
    <x v="253"/>
    <x v="207"/>
    <x v="8"/>
    <x v="113"/>
    <x v="51"/>
    <x v="86"/>
    <x v="0"/>
    <x v="2"/>
    <x v="0"/>
  </r>
  <r>
    <x v="15"/>
    <x v="281"/>
    <x v="220"/>
    <x v="3"/>
    <x v="247"/>
    <x v="92"/>
    <x v="187"/>
    <x v="0"/>
    <x v="2"/>
    <x v="0"/>
  </r>
  <r>
    <x v="15"/>
    <x v="270"/>
    <x v="219"/>
    <x v="5"/>
    <x v="10"/>
    <x v="4"/>
    <x v="9"/>
    <x v="0"/>
    <x v="2"/>
    <x v="0"/>
  </r>
  <r>
    <x v="15"/>
    <x v="210"/>
    <x v="217"/>
    <x v="7"/>
    <x v="37"/>
    <x v="23"/>
    <x v="19"/>
    <x v="0"/>
    <x v="2"/>
    <x v="0"/>
  </r>
  <r>
    <x v="15"/>
    <x v="136"/>
    <x v="215"/>
    <x v="7"/>
    <x v="26"/>
    <x v="20"/>
    <x v="10"/>
    <x v="0"/>
    <x v="5"/>
    <x v="0"/>
  </r>
  <r>
    <x v="15"/>
    <x v="116"/>
    <x v="213"/>
    <x v="9"/>
    <x v="81"/>
    <x v="35"/>
    <x v="61"/>
    <x v="0"/>
    <x v="2"/>
    <x v="0"/>
  </r>
  <r>
    <x v="15"/>
    <x v="45"/>
    <x v="211"/>
    <x v="3"/>
    <x v="242"/>
    <x v="87"/>
    <x v="183"/>
    <x v="0"/>
    <x v="2"/>
    <x v="0"/>
  </r>
  <r>
    <x v="15"/>
    <x v="119"/>
    <x v="214"/>
    <x v="3"/>
    <x v="241"/>
    <x v="84"/>
    <x v="184"/>
    <x v="0"/>
    <x v="2"/>
    <x v="0"/>
  </r>
  <r>
    <x v="15"/>
    <x v="181"/>
    <x v="216"/>
    <x v="5"/>
    <x v="5"/>
    <x v="3"/>
    <x v="5"/>
    <x v="0"/>
    <x v="2"/>
    <x v="0"/>
  </r>
  <r>
    <x v="15"/>
    <x v="251"/>
    <x v="218"/>
    <x v="8"/>
    <x v="112"/>
    <x v="51"/>
    <x v="85"/>
    <x v="0"/>
    <x v="2"/>
    <x v="0"/>
  </r>
  <r>
    <x v="15"/>
    <x v="9"/>
    <x v="210"/>
    <x v="8"/>
    <x v="206"/>
    <x v="52"/>
    <x v="205"/>
    <x v="0"/>
    <x v="2"/>
    <x v="0"/>
  </r>
  <r>
    <x v="15"/>
    <x v="61"/>
    <x v="212"/>
    <x v="8"/>
    <x v="153"/>
    <x v="51"/>
    <x v="128"/>
    <x v="0"/>
    <x v="2"/>
    <x v="0"/>
  </r>
  <r>
    <x v="16"/>
    <x v="84"/>
    <x v="223"/>
    <x v="8"/>
    <x v="149"/>
    <x v="56"/>
    <x v="123"/>
    <x v="0"/>
    <x v="2"/>
    <x v="0"/>
  </r>
  <r>
    <x v="16"/>
    <x v="88"/>
    <x v="224"/>
    <x v="9"/>
    <x v="70"/>
    <x v="29"/>
    <x v="50"/>
    <x v="0"/>
    <x v="2"/>
    <x v="0"/>
  </r>
  <r>
    <x v="16"/>
    <x v="44"/>
    <x v="222"/>
    <x v="2"/>
    <x v="240"/>
    <x v="72"/>
    <x v="192"/>
    <x v="0"/>
    <x v="2"/>
    <x v="0"/>
  </r>
  <r>
    <x v="16"/>
    <x v="125"/>
    <x v="225"/>
    <x v="2"/>
    <x v="229"/>
    <x v="71"/>
    <x v="177"/>
    <x v="0"/>
    <x v="2"/>
    <x v="0"/>
  </r>
  <r>
    <x v="16"/>
    <x v="219"/>
    <x v="2"/>
    <x v="3"/>
    <x v="150"/>
    <x v="83"/>
    <x v="91"/>
    <x v="0"/>
    <x v="3"/>
    <x v="0"/>
  </r>
  <r>
    <x v="16"/>
    <x v="186"/>
    <x v="227"/>
    <x v="5"/>
    <x v="12"/>
    <x v="8"/>
    <x v="7"/>
    <x v="0"/>
    <x v="2"/>
    <x v="0"/>
  </r>
  <r>
    <x v="16"/>
    <x v="15"/>
    <x v="221"/>
    <x v="8"/>
    <x v="204"/>
    <x v="52"/>
    <x v="203"/>
    <x v="0"/>
    <x v="2"/>
    <x v="0"/>
  </r>
  <r>
    <x v="16"/>
    <x v="269"/>
    <x v="231"/>
    <x v="5"/>
    <x v="6"/>
    <x v="3"/>
    <x v="6"/>
    <x v="0"/>
    <x v="2"/>
    <x v="0"/>
  </r>
  <r>
    <x v="16"/>
    <x v="227"/>
    <x v="229"/>
    <x v="7"/>
    <x v="39"/>
    <x v="25"/>
    <x v="19"/>
    <x v="0"/>
    <x v="5"/>
    <x v="0"/>
  </r>
  <r>
    <x v="16"/>
    <x v="189"/>
    <x v="228"/>
    <x v="7"/>
    <x v="34"/>
    <x v="21"/>
    <x v="17"/>
    <x v="0"/>
    <x v="5"/>
    <x v="0"/>
  </r>
  <r>
    <x v="16"/>
    <x v="153"/>
    <x v="226"/>
    <x v="7"/>
    <x v="34"/>
    <x v="21"/>
    <x v="17"/>
    <x v="0"/>
    <x v="5"/>
    <x v="0"/>
  </r>
  <r>
    <x v="16"/>
    <x v="250"/>
    <x v="230"/>
    <x v="8"/>
    <x v="100"/>
    <x v="49"/>
    <x v="71"/>
    <x v="0"/>
    <x v="2"/>
    <x v="0"/>
  </r>
  <r>
    <x v="16"/>
    <x v="278"/>
    <x v="232"/>
    <x v="3"/>
    <x v="233"/>
    <x v="90"/>
    <x v="172"/>
    <x v="0"/>
    <x v="2"/>
    <x v="0"/>
  </r>
  <r>
    <x v="17"/>
    <x v="17"/>
    <x v="233"/>
    <x v="3"/>
    <x v="175"/>
    <x v="89"/>
    <x v="115"/>
    <x v="0"/>
    <x v="2"/>
    <x v="0"/>
  </r>
  <r>
    <x v="17"/>
    <x v="82"/>
    <x v="236"/>
    <x v="9"/>
    <x v="66"/>
    <x v="29"/>
    <x v="45"/>
    <x v="0"/>
    <x v="2"/>
    <x v="0"/>
  </r>
  <r>
    <x v="17"/>
    <x v="19"/>
    <x v="234"/>
    <x v="8"/>
    <x v="188"/>
    <x v="50"/>
    <x v="180"/>
    <x v="0"/>
    <x v="2"/>
    <x v="0"/>
  </r>
  <r>
    <x v="17"/>
    <x v="80"/>
    <x v="235"/>
    <x v="8"/>
    <x v="137"/>
    <x v="53"/>
    <x v="111"/>
    <x v="0"/>
    <x v="2"/>
    <x v="0"/>
  </r>
  <r>
    <x v="17"/>
    <x v="97"/>
    <x v="237"/>
    <x v="2"/>
    <x v="261"/>
    <x v="70"/>
    <x v="221"/>
    <x v="0"/>
    <x v="2"/>
    <x v="0"/>
  </r>
  <r>
    <x v="17"/>
    <x v="222"/>
    <x v="241"/>
    <x v="7"/>
    <x v="44"/>
    <x v="23"/>
    <x v="28"/>
    <x v="0"/>
    <x v="5"/>
    <x v="0"/>
  </r>
  <r>
    <x v="17"/>
    <x v="174"/>
    <x v="239"/>
    <x v="7"/>
    <x v="34"/>
    <x v="23"/>
    <x v="15"/>
    <x v="0"/>
    <x v="5"/>
    <x v="0"/>
  </r>
  <r>
    <x v="17"/>
    <x v="141"/>
    <x v="238"/>
    <x v="7"/>
    <x v="36"/>
    <x v="23"/>
    <x v="17"/>
    <x v="0"/>
    <x v="5"/>
    <x v="0"/>
  </r>
  <r>
    <x v="17"/>
    <x v="183"/>
    <x v="240"/>
    <x v="5"/>
    <x v="12"/>
    <x v="3"/>
    <x v="12"/>
    <x v="0"/>
    <x v="2"/>
    <x v="0"/>
  </r>
  <r>
    <x v="17"/>
    <x v="269"/>
    <x v="243"/>
    <x v="3"/>
    <x v="224"/>
    <x v="89"/>
    <x v="163"/>
    <x v="0"/>
    <x v="2"/>
    <x v="0"/>
  </r>
  <r>
    <x v="17"/>
    <x v="271"/>
    <x v="244"/>
    <x v="5"/>
    <x v="5"/>
    <x v="2"/>
    <x v="6"/>
    <x v="0"/>
    <x v="2"/>
    <x v="0"/>
  </r>
  <r>
    <x v="17"/>
    <x v="245"/>
    <x v="242"/>
    <x v="8"/>
    <x v="97"/>
    <x v="52"/>
    <x v="65"/>
    <x v="0"/>
    <x v="2"/>
    <x v="0"/>
  </r>
  <r>
    <x v="17"/>
    <x v="177"/>
    <x v="13"/>
    <x v="3"/>
    <x v="159"/>
    <x v="86"/>
    <x v="97"/>
    <x v="0"/>
    <x v="4"/>
    <x v="0"/>
  </r>
  <r>
    <x v="18"/>
    <x v="49"/>
    <x v="246"/>
    <x v="2"/>
    <x v="235"/>
    <x v="66"/>
    <x v="185"/>
    <x v="0"/>
    <x v="2"/>
    <x v="0"/>
  </r>
  <r>
    <x v="18"/>
    <x v="111"/>
    <x v="248"/>
    <x v="9"/>
    <x v="73"/>
    <x v="34"/>
    <x v="49"/>
    <x v="0"/>
    <x v="2"/>
    <x v="0"/>
  </r>
  <r>
    <x v="18"/>
    <x v="117"/>
    <x v="249"/>
    <x v="2"/>
    <x v="198"/>
    <x v="65"/>
    <x v="142"/>
    <x v="0"/>
    <x v="2"/>
    <x v="0"/>
  </r>
  <r>
    <x v="18"/>
    <x v="63"/>
    <x v="247"/>
    <x v="8"/>
    <x v="138"/>
    <x v="52"/>
    <x v="112"/>
    <x v="0"/>
    <x v="2"/>
    <x v="0"/>
  </r>
  <r>
    <x v="18"/>
    <x v="21"/>
    <x v="245"/>
    <x v="8"/>
    <x v="205"/>
    <x v="52"/>
    <x v="204"/>
    <x v="0"/>
    <x v="2"/>
    <x v="0"/>
  </r>
  <r>
    <x v="18"/>
    <x v="275"/>
    <x v="254"/>
    <x v="3"/>
    <x v="230"/>
    <x v="86"/>
    <x v="170"/>
    <x v="0"/>
    <x v="2"/>
    <x v="0"/>
  </r>
  <r>
    <x v="18"/>
    <x v="255"/>
    <x v="253"/>
    <x v="8"/>
    <x v="116"/>
    <x v="49"/>
    <x v="91"/>
    <x v="0"/>
    <x v="2"/>
    <x v="0"/>
  </r>
  <r>
    <x v="18"/>
    <x v="277"/>
    <x v="255"/>
    <x v="5"/>
    <x v="13"/>
    <x v="4"/>
    <x v="12"/>
    <x v="0"/>
    <x v="2"/>
    <x v="0"/>
  </r>
  <r>
    <x v="18"/>
    <x v="152"/>
    <x v="250"/>
    <x v="7"/>
    <x v="31"/>
    <x v="20"/>
    <x v="15"/>
    <x v="0"/>
    <x v="5"/>
    <x v="0"/>
  </r>
  <r>
    <x v="18"/>
    <x v="218"/>
    <x v="252"/>
    <x v="7"/>
    <x v="39"/>
    <x v="19"/>
    <x v="24"/>
    <x v="0"/>
    <x v="5"/>
    <x v="0"/>
  </r>
  <r>
    <x v="18"/>
    <x v="205"/>
    <x v="251"/>
    <x v="5"/>
    <x v="15"/>
    <x v="8"/>
    <x v="10"/>
    <x v="0"/>
    <x v="2"/>
    <x v="0"/>
  </r>
  <r>
    <x v="19"/>
    <x v="101"/>
    <x v="260"/>
    <x v="8"/>
    <x v="142"/>
    <x v="47"/>
    <x v="117"/>
    <x v="0"/>
    <x v="2"/>
    <x v="0"/>
  </r>
  <r>
    <x v="19"/>
    <x v="105"/>
    <x v="261"/>
    <x v="2"/>
    <x v="211"/>
    <x v="73"/>
    <x v="151"/>
    <x v="0"/>
    <x v="2"/>
    <x v="0"/>
  </r>
  <r>
    <x v="19"/>
    <x v="46"/>
    <x v="258"/>
    <x v="2"/>
    <x v="227"/>
    <x v="74"/>
    <x v="172"/>
    <x v="0"/>
    <x v="2"/>
    <x v="0"/>
  </r>
  <r>
    <x v="19"/>
    <x v="98"/>
    <x v="259"/>
    <x v="9"/>
    <x v="55"/>
    <x v="31"/>
    <x v="33"/>
    <x v="0"/>
    <x v="2"/>
    <x v="0"/>
  </r>
  <r>
    <x v="19"/>
    <x v="42"/>
    <x v="257"/>
    <x v="9"/>
    <x v="57"/>
    <x v="28"/>
    <x v="38"/>
    <x v="0"/>
    <x v="2"/>
    <x v="0"/>
  </r>
  <r>
    <x v="19"/>
    <x v="28"/>
    <x v="256"/>
    <x v="8"/>
    <x v="195"/>
    <x v="49"/>
    <x v="191"/>
    <x v="0"/>
    <x v="2"/>
    <x v="0"/>
  </r>
  <r>
    <x v="19"/>
    <x v="182"/>
    <x v="14"/>
    <x v="3"/>
    <x v="135"/>
    <x v="84"/>
    <x v="67"/>
    <x v="0"/>
    <x v="4"/>
    <x v="0"/>
  </r>
  <r>
    <x v="19"/>
    <x v="179"/>
    <x v="263"/>
    <x v="5"/>
    <x v="12"/>
    <x v="8"/>
    <x v="7"/>
    <x v="0"/>
    <x v="2"/>
    <x v="0"/>
  </r>
  <r>
    <x v="19"/>
    <x v="234"/>
    <x v="264"/>
    <x v="1"/>
    <x v="19"/>
    <x v="16"/>
    <x v="5"/>
    <x v="0"/>
    <x v="1"/>
    <x v="0"/>
  </r>
  <r>
    <x v="19"/>
    <x v="240"/>
    <x v="265"/>
    <x v="8"/>
    <x v="95"/>
    <x v="51"/>
    <x v="63"/>
    <x v="0"/>
    <x v="2"/>
    <x v="0"/>
  </r>
  <r>
    <x v="19"/>
    <x v="270"/>
    <x v="266"/>
    <x v="3"/>
    <x v="233"/>
    <x v="88"/>
    <x v="173"/>
    <x v="0"/>
    <x v="2"/>
    <x v="0"/>
  </r>
  <r>
    <x v="19"/>
    <x v="279"/>
    <x v="267"/>
    <x v="5"/>
    <x v="6"/>
    <x v="2"/>
    <x v="7"/>
    <x v="0"/>
    <x v="2"/>
    <x v="0"/>
  </r>
  <r>
    <x v="20"/>
    <x v="89"/>
    <x v="271"/>
    <x v="9"/>
    <x v="60"/>
    <x v="32"/>
    <x v="37"/>
    <x v="0"/>
    <x v="2"/>
    <x v="0"/>
  </r>
  <r>
    <x v="20"/>
    <x v="94"/>
    <x v="272"/>
    <x v="8"/>
    <x v="156"/>
    <x v="51"/>
    <x v="132"/>
    <x v="0"/>
    <x v="2"/>
    <x v="0"/>
  </r>
  <r>
    <x v="20"/>
    <x v="18"/>
    <x v="268"/>
    <x v="8"/>
    <x v="200"/>
    <x v="51"/>
    <x v="196"/>
    <x v="0"/>
    <x v="2"/>
    <x v="0"/>
  </r>
  <r>
    <x v="20"/>
    <x v="30"/>
    <x v="269"/>
    <x v="9"/>
    <x v="56"/>
    <x v="30"/>
    <x v="36"/>
    <x v="0"/>
    <x v="2"/>
    <x v="0"/>
  </r>
  <r>
    <x v="20"/>
    <x v="39"/>
    <x v="270"/>
    <x v="2"/>
    <x v="248"/>
    <x v="70"/>
    <x v="202"/>
    <x v="0"/>
    <x v="2"/>
    <x v="0"/>
  </r>
  <r>
    <x v="20"/>
    <x v="109"/>
    <x v="273"/>
    <x v="2"/>
    <x v="213"/>
    <x v="69"/>
    <x v="153"/>
    <x v="0"/>
    <x v="2"/>
    <x v="0"/>
  </r>
  <r>
    <x v="19"/>
    <x v="161"/>
    <x v="262"/>
    <x v="10"/>
    <x v="86"/>
    <x v="39"/>
    <x v="44"/>
    <x v="0"/>
    <x v="5"/>
    <x v="0"/>
  </r>
  <r>
    <x v="20"/>
    <x v="162"/>
    <x v="276"/>
    <x v="5"/>
    <x v="15"/>
    <x v="2"/>
    <x v="16"/>
    <x v="0"/>
    <x v="2"/>
    <x v="0"/>
  </r>
  <r>
    <x v="20"/>
    <x v="204"/>
    <x v="278"/>
    <x v="5"/>
    <x v="4"/>
    <x v="2"/>
    <x v="5"/>
    <x v="0"/>
    <x v="2"/>
    <x v="0"/>
  </r>
  <r>
    <x v="20"/>
    <x v="280"/>
    <x v="283"/>
    <x v="5"/>
    <x v="6"/>
    <x v="3"/>
    <x v="6"/>
    <x v="0"/>
    <x v="2"/>
    <x v="0"/>
  </r>
  <r>
    <x v="20"/>
    <x v="261"/>
    <x v="282"/>
    <x v="3"/>
    <x v="230"/>
    <x v="89"/>
    <x v="169"/>
    <x v="0"/>
    <x v="2"/>
    <x v="0"/>
  </r>
  <r>
    <x v="20"/>
    <x v="245"/>
    <x v="281"/>
    <x v="8"/>
    <x v="98"/>
    <x v="49"/>
    <x v="68"/>
    <x v="0"/>
    <x v="2"/>
    <x v="0"/>
  </r>
  <r>
    <x v="20"/>
    <x v="157"/>
    <x v="275"/>
    <x v="10"/>
    <x v="85"/>
    <x v="38"/>
    <x v="44"/>
    <x v="0"/>
    <x v="5"/>
    <x v="0"/>
  </r>
  <r>
    <x v="20"/>
    <x v="208"/>
    <x v="279"/>
    <x v="10"/>
    <x v="87"/>
    <x v="38"/>
    <x v="56"/>
    <x v="0"/>
    <x v="5"/>
    <x v="0"/>
  </r>
  <r>
    <x v="20"/>
    <x v="224"/>
    <x v="280"/>
    <x v="7"/>
    <x v="26"/>
    <x v="19"/>
    <x v="11"/>
    <x v="0"/>
    <x v="5"/>
    <x v="0"/>
  </r>
  <r>
    <x v="20"/>
    <x v="156"/>
    <x v="274"/>
    <x v="7"/>
    <x v="34"/>
    <x v="20"/>
    <x v="18"/>
    <x v="0"/>
    <x v="5"/>
    <x v="0"/>
  </r>
  <r>
    <x v="20"/>
    <x v="190"/>
    <x v="277"/>
    <x v="7"/>
    <x v="24"/>
    <x v="16"/>
    <x v="12"/>
    <x v="0"/>
    <x v="5"/>
    <x v="0"/>
  </r>
  <r>
    <x v="20"/>
    <x v="223"/>
    <x v="399"/>
    <x v="3"/>
    <x v="157"/>
    <x v="66"/>
    <x v="100"/>
    <x v="0"/>
    <x v="3"/>
    <x v="0"/>
  </r>
  <r>
    <x v="21"/>
    <x v="182"/>
    <x v="15"/>
    <x v="3"/>
    <x v="130"/>
    <x v="86"/>
    <x v="58"/>
    <x v="0"/>
    <x v="4"/>
    <x v="0"/>
  </r>
  <r>
    <x v="21"/>
    <x v="153"/>
    <x v="290"/>
    <x v="5"/>
    <x v="10"/>
    <x v="4"/>
    <x v="9"/>
    <x v="0"/>
    <x v="2"/>
    <x v="0"/>
  </r>
  <r>
    <x v="21"/>
    <x v="272"/>
    <x v="294"/>
    <x v="3"/>
    <x v="254"/>
    <x v="85"/>
    <x v="208"/>
    <x v="0"/>
    <x v="2"/>
    <x v="0"/>
  </r>
  <r>
    <x v="21"/>
    <x v="112"/>
    <x v="288"/>
    <x v="2"/>
    <x v="258"/>
    <x v="68"/>
    <x v="219"/>
    <x v="0"/>
    <x v="2"/>
    <x v="0"/>
  </r>
  <r>
    <x v="21"/>
    <x v="243"/>
    <x v="292"/>
    <x v="8"/>
    <x v="96"/>
    <x v="52"/>
    <x v="64"/>
    <x v="0"/>
    <x v="2"/>
    <x v="0"/>
  </r>
  <r>
    <x v="21"/>
    <x v="174"/>
    <x v="291"/>
    <x v="7"/>
    <x v="34"/>
    <x v="18"/>
    <x v="20"/>
    <x v="0"/>
    <x v="2"/>
    <x v="0"/>
  </r>
  <r>
    <x v="21"/>
    <x v="5"/>
    <x v="284"/>
    <x v="8"/>
    <x v="197"/>
    <x v="55"/>
    <x v="188"/>
    <x v="0"/>
    <x v="2"/>
    <x v="0"/>
  </r>
  <r>
    <x v="21"/>
    <x v="267"/>
    <x v="293"/>
    <x v="5"/>
    <x v="11"/>
    <x v="4"/>
    <x v="10"/>
    <x v="0"/>
    <x v="2"/>
    <x v="0"/>
  </r>
  <r>
    <x v="21"/>
    <x v="52"/>
    <x v="286"/>
    <x v="8"/>
    <x v="155"/>
    <x v="48"/>
    <x v="131"/>
    <x v="0"/>
    <x v="2"/>
    <x v="0"/>
  </r>
  <r>
    <x v="21"/>
    <x v="19"/>
    <x v="285"/>
    <x v="3"/>
    <x v="194"/>
    <x v="88"/>
    <x v="130"/>
    <x v="0"/>
    <x v="2"/>
    <x v="0"/>
  </r>
  <r>
    <x v="21"/>
    <x v="120"/>
    <x v="289"/>
    <x v="9"/>
    <x v="55"/>
    <x v="34"/>
    <x v="30"/>
    <x v="0"/>
    <x v="2"/>
    <x v="0"/>
  </r>
  <r>
    <x v="21"/>
    <x v="78"/>
    <x v="287"/>
    <x v="9"/>
    <x v="65"/>
    <x v="28"/>
    <x v="45"/>
    <x v="0"/>
    <x v="2"/>
    <x v="0"/>
  </r>
  <r>
    <x v="22"/>
    <x v="92"/>
    <x v="300"/>
    <x v="2"/>
    <x v="219"/>
    <x v="79"/>
    <x v="160"/>
    <x v="0"/>
    <x v="2"/>
    <x v="0"/>
  </r>
  <r>
    <x v="22"/>
    <x v="142"/>
    <x v="301"/>
    <x v="5"/>
    <x v="11"/>
    <x v="3"/>
    <x v="11"/>
    <x v="0"/>
    <x v="2"/>
    <x v="0"/>
  </r>
  <r>
    <x v="22"/>
    <x v="270"/>
    <x v="304"/>
    <x v="3"/>
    <x v="257"/>
    <x v="91"/>
    <x v="212"/>
    <x v="0"/>
    <x v="2"/>
    <x v="0"/>
  </r>
  <r>
    <x v="22"/>
    <x v="272"/>
    <x v="305"/>
    <x v="5"/>
    <x v="10"/>
    <x v="4"/>
    <x v="9"/>
    <x v="0"/>
    <x v="2"/>
    <x v="0"/>
  </r>
  <r>
    <x v="22"/>
    <x v="174"/>
    <x v="302"/>
    <x v="5"/>
    <x v="4"/>
    <x v="3"/>
    <x v="4"/>
    <x v="0"/>
    <x v="2"/>
    <x v="0"/>
  </r>
  <r>
    <x v="22"/>
    <x v="40"/>
    <x v="297"/>
    <x v="2"/>
    <x v="249"/>
    <x v="81"/>
    <x v="198"/>
    <x v="0"/>
    <x v="2"/>
    <x v="0"/>
  </r>
  <r>
    <x v="22"/>
    <x v="242"/>
    <x v="303"/>
    <x v="8"/>
    <x v="105"/>
    <x v="49"/>
    <x v="76"/>
    <x v="0"/>
    <x v="2"/>
    <x v="0"/>
  </r>
  <r>
    <x v="23"/>
    <x v="86"/>
    <x v="310"/>
    <x v="9"/>
    <x v="49"/>
    <x v="31"/>
    <x v="24"/>
    <x v="0"/>
    <x v="2"/>
    <x v="0"/>
  </r>
  <r>
    <x v="23"/>
    <x v="29"/>
    <x v="307"/>
    <x v="9"/>
    <x v="61"/>
    <x v="29"/>
    <x v="39"/>
    <x v="0"/>
    <x v="2"/>
    <x v="0"/>
  </r>
  <r>
    <x v="23"/>
    <x v="123"/>
    <x v="311"/>
    <x v="2"/>
    <x v="172"/>
    <x v="78"/>
    <x v="113"/>
    <x v="0"/>
    <x v="2"/>
    <x v="0"/>
  </r>
  <r>
    <x v="23"/>
    <x v="60"/>
    <x v="308"/>
    <x v="2"/>
    <x v="263"/>
    <x v="81"/>
    <x v="222"/>
    <x v="0"/>
    <x v="2"/>
    <x v="0"/>
  </r>
  <r>
    <x v="23"/>
    <x v="66"/>
    <x v="309"/>
    <x v="8"/>
    <x v="140"/>
    <x v="50"/>
    <x v="114"/>
    <x v="0"/>
    <x v="2"/>
    <x v="0"/>
  </r>
  <r>
    <x v="23"/>
    <x v="6"/>
    <x v="306"/>
    <x v="8"/>
    <x v="186"/>
    <x v="50"/>
    <x v="178"/>
    <x v="0"/>
    <x v="2"/>
    <x v="0"/>
  </r>
  <r>
    <x v="23"/>
    <x v="282"/>
    <x v="318"/>
    <x v="5"/>
    <x v="5"/>
    <x v="3"/>
    <x v="5"/>
    <x v="0"/>
    <x v="2"/>
    <x v="0"/>
  </r>
  <r>
    <x v="23"/>
    <x v="278"/>
    <x v="317"/>
    <x v="2"/>
    <x v="222"/>
    <x v="82"/>
    <x v="162"/>
    <x v="0"/>
    <x v="2"/>
    <x v="0"/>
  </r>
  <r>
    <x v="23"/>
    <x v="217"/>
    <x v="315"/>
    <x v="7"/>
    <x v="30"/>
    <x v="19"/>
    <x v="15"/>
    <x v="0"/>
    <x v="5"/>
    <x v="0"/>
  </r>
  <r>
    <x v="23"/>
    <x v="147"/>
    <x v="312"/>
    <x v="7"/>
    <x v="31"/>
    <x v="20"/>
    <x v="15"/>
    <x v="0"/>
    <x v="5"/>
    <x v="0"/>
  </r>
  <r>
    <x v="23"/>
    <x v="253"/>
    <x v="316"/>
    <x v="8"/>
    <x v="98"/>
    <x v="52"/>
    <x v="66"/>
    <x v="0"/>
    <x v="2"/>
    <x v="0"/>
  </r>
  <r>
    <x v="23"/>
    <x v="155"/>
    <x v="313"/>
    <x v="5"/>
    <x v="11"/>
    <x v="2"/>
    <x v="12"/>
    <x v="0"/>
    <x v="2"/>
    <x v="0"/>
  </r>
  <r>
    <x v="23"/>
    <x v="209"/>
    <x v="314"/>
    <x v="5"/>
    <x v="3"/>
    <x v="3"/>
    <x v="3"/>
    <x v="0"/>
    <x v="2"/>
    <x v="0"/>
  </r>
  <r>
    <x v="24"/>
    <x v="9"/>
    <x v="319"/>
    <x v="8"/>
    <x v="177"/>
    <x v="60"/>
    <x v="165"/>
    <x v="0"/>
    <x v="2"/>
    <x v="0"/>
  </r>
  <r>
    <x v="23"/>
    <x v="225"/>
    <x v="3"/>
    <x v="2"/>
    <x v="144"/>
    <x v="69"/>
    <x v="90"/>
    <x v="0"/>
    <x v="3"/>
    <x v="0"/>
  </r>
  <r>
    <x v="24"/>
    <x v="50"/>
    <x v="321"/>
    <x v="8"/>
    <x v="145"/>
    <x v="52"/>
    <x v="118"/>
    <x v="0"/>
    <x v="2"/>
    <x v="0"/>
  </r>
  <r>
    <x v="24"/>
    <x v="79"/>
    <x v="322"/>
    <x v="9"/>
    <x v="78"/>
    <x v="34"/>
    <x v="54"/>
    <x v="0"/>
    <x v="2"/>
    <x v="0"/>
  </r>
  <r>
    <x v="24"/>
    <x v="47"/>
    <x v="320"/>
    <x v="2"/>
    <x v="238"/>
    <x v="82"/>
    <x v="183"/>
    <x v="0"/>
    <x v="2"/>
    <x v="0"/>
  </r>
  <r>
    <x v="24"/>
    <x v="119"/>
    <x v="323"/>
    <x v="2"/>
    <x v="192"/>
    <x v="80"/>
    <x v="129"/>
    <x v="0"/>
    <x v="2"/>
    <x v="0"/>
  </r>
  <r>
    <x v="22"/>
    <x v="19"/>
    <x v="295"/>
    <x v="8"/>
    <x v="210"/>
    <x v="51"/>
    <x v="207"/>
    <x v="0"/>
    <x v="2"/>
    <x v="0"/>
  </r>
  <r>
    <x v="22"/>
    <x v="81"/>
    <x v="298"/>
    <x v="8"/>
    <x v="162"/>
    <x v="52"/>
    <x v="150"/>
    <x v="0"/>
    <x v="2"/>
    <x v="0"/>
  </r>
  <r>
    <x v="22"/>
    <x v="81"/>
    <x v="296"/>
    <x v="9"/>
    <x v="71"/>
    <x v="29"/>
    <x v="51"/>
    <x v="0"/>
    <x v="2"/>
    <x v="0"/>
  </r>
  <r>
    <x v="22"/>
    <x v="145"/>
    <x v="299"/>
    <x v="9"/>
    <x v="51"/>
    <x v="32"/>
    <x v="26"/>
    <x v="0"/>
    <x v="2"/>
    <x v="0"/>
  </r>
  <r>
    <x v="24"/>
    <x v="270"/>
    <x v="330"/>
    <x v="5"/>
    <x v="6"/>
    <x v="4"/>
    <x v="5"/>
    <x v="0"/>
    <x v="2"/>
    <x v="0"/>
  </r>
  <r>
    <x v="24"/>
    <x v="267"/>
    <x v="329"/>
    <x v="3"/>
    <x v="212"/>
    <x v="89"/>
    <x v="149"/>
    <x v="0"/>
    <x v="2"/>
    <x v="0"/>
  </r>
  <r>
    <x v="24"/>
    <x v="195"/>
    <x v="326"/>
    <x v="5"/>
    <x v="3"/>
    <x v="3"/>
    <x v="3"/>
    <x v="0"/>
    <x v="2"/>
    <x v="0"/>
  </r>
  <r>
    <x v="24"/>
    <x v="151"/>
    <x v="324"/>
    <x v="5"/>
    <x v="7"/>
    <x v="3"/>
    <x v="7"/>
    <x v="0"/>
    <x v="2"/>
    <x v="0"/>
  </r>
  <r>
    <x v="24"/>
    <x v="245"/>
    <x v="328"/>
    <x v="8"/>
    <x v="101"/>
    <x v="50"/>
    <x v="71"/>
    <x v="0"/>
    <x v="2"/>
    <x v="0"/>
  </r>
  <r>
    <x v="24"/>
    <x v="229"/>
    <x v="327"/>
    <x v="7"/>
    <x v="33"/>
    <x v="17"/>
    <x v="20"/>
    <x v="0"/>
    <x v="5"/>
    <x v="0"/>
  </r>
  <r>
    <x v="24"/>
    <x v="157"/>
    <x v="325"/>
    <x v="7"/>
    <x v="23"/>
    <x v="18"/>
    <x v="9"/>
    <x v="0"/>
    <x v="5"/>
    <x v="0"/>
  </r>
  <r>
    <x v="24"/>
    <x v="204"/>
    <x v="16"/>
    <x v="2"/>
    <x v="139"/>
    <x v="76"/>
    <x v="83"/>
    <x v="0"/>
    <x v="4"/>
    <x v="0"/>
  </r>
  <r>
    <x v="25"/>
    <x v="172"/>
    <x v="339"/>
    <x v="4"/>
    <x v="115"/>
    <x v="62"/>
    <x v="78"/>
    <x v="0"/>
    <x v="5"/>
    <x v="0"/>
  </r>
  <r>
    <x v="25"/>
    <x v="168"/>
    <x v="338"/>
    <x v="4"/>
    <x v="104"/>
    <x v="61"/>
    <x v="67"/>
    <x v="0"/>
    <x v="5"/>
    <x v="0"/>
  </r>
  <r>
    <x v="25"/>
    <x v="196"/>
    <x v="7"/>
    <x v="4"/>
    <x v="114"/>
    <x v="63"/>
    <x v="74"/>
    <x v="0"/>
    <x v="4"/>
    <x v="0"/>
  </r>
  <r>
    <x v="25"/>
    <x v="220"/>
    <x v="342"/>
    <x v="7"/>
    <x v="27"/>
    <x v="20"/>
    <x v="11"/>
    <x v="0"/>
    <x v="5"/>
    <x v="0"/>
  </r>
  <r>
    <x v="25"/>
    <x v="176"/>
    <x v="340"/>
    <x v="7"/>
    <x v="41"/>
    <x v="21"/>
    <x v="24"/>
    <x v="0"/>
    <x v="5"/>
    <x v="0"/>
  </r>
  <r>
    <x v="25"/>
    <x v="201"/>
    <x v="341"/>
    <x v="5"/>
    <x v="5"/>
    <x v="3"/>
    <x v="5"/>
    <x v="0"/>
    <x v="2"/>
    <x v="0"/>
  </r>
  <r>
    <x v="25"/>
    <x v="143"/>
    <x v="337"/>
    <x v="5"/>
    <x v="5"/>
    <x v="3"/>
    <x v="5"/>
    <x v="0"/>
    <x v="2"/>
    <x v="0"/>
  </r>
  <r>
    <x v="25"/>
    <x v="133"/>
    <x v="336"/>
    <x v="7"/>
    <x v="36"/>
    <x v="20"/>
    <x v="20"/>
    <x v="0"/>
    <x v="5"/>
    <x v="0"/>
  </r>
  <r>
    <x v="25"/>
    <x v="127"/>
    <x v="335"/>
    <x v="2"/>
    <x v="202"/>
    <x v="74"/>
    <x v="144"/>
    <x v="0"/>
    <x v="2"/>
    <x v="0"/>
  </r>
  <r>
    <x v="25"/>
    <x v="53"/>
    <x v="332"/>
    <x v="2"/>
    <x v="229"/>
    <x v="74"/>
    <x v="176"/>
    <x v="0"/>
    <x v="2"/>
    <x v="0"/>
  </r>
  <r>
    <x v="25"/>
    <x v="87"/>
    <x v="334"/>
    <x v="8"/>
    <x v="151"/>
    <x v="51"/>
    <x v="126"/>
    <x v="0"/>
    <x v="2"/>
    <x v="0"/>
  </r>
  <r>
    <x v="25"/>
    <x v="85"/>
    <x v="333"/>
    <x v="9"/>
    <x v="67"/>
    <x v="33"/>
    <x v="42"/>
    <x v="0"/>
    <x v="2"/>
    <x v="0"/>
  </r>
  <r>
    <x v="25"/>
    <x v="253"/>
    <x v="343"/>
    <x v="8"/>
    <x v="94"/>
    <x v="46"/>
    <x v="65"/>
    <x v="0"/>
    <x v="2"/>
    <x v="0"/>
  </r>
  <r>
    <x v="25"/>
    <x v="283"/>
    <x v="344"/>
    <x v="3"/>
    <x v="218"/>
    <x v="86"/>
    <x v="155"/>
    <x v="0"/>
    <x v="2"/>
    <x v="0"/>
  </r>
  <r>
    <x v="25"/>
    <x v="12"/>
    <x v="331"/>
    <x v="8"/>
    <x v="187"/>
    <x v="50"/>
    <x v="179"/>
    <x v="0"/>
    <x v="2"/>
    <x v="0"/>
  </r>
  <r>
    <x v="25"/>
    <x v="288"/>
    <x v="345"/>
    <x v="5"/>
    <x v="6"/>
    <x v="4"/>
    <x v="5"/>
    <x v="0"/>
    <x v="2"/>
    <x v="0"/>
  </r>
  <r>
    <x v="26"/>
    <x v="74"/>
    <x v="348"/>
    <x v="8"/>
    <x v="141"/>
    <x v="53"/>
    <x v="114"/>
    <x v="0"/>
    <x v="2"/>
    <x v="0"/>
  </r>
  <r>
    <x v="26"/>
    <x v="8"/>
    <x v="346"/>
    <x v="8"/>
    <x v="182"/>
    <x v="52"/>
    <x v="172"/>
    <x v="0"/>
    <x v="2"/>
    <x v="0"/>
  </r>
  <r>
    <x v="26"/>
    <x v="46"/>
    <x v="347"/>
    <x v="2"/>
    <x v="208"/>
    <x v="82"/>
    <x v="147"/>
    <x v="0"/>
    <x v="2"/>
    <x v="0"/>
  </r>
  <r>
    <x v="26"/>
    <x v="123"/>
    <x v="350"/>
    <x v="2"/>
    <x v="193"/>
    <x v="81"/>
    <x v="133"/>
    <x v="0"/>
    <x v="2"/>
    <x v="0"/>
  </r>
  <r>
    <x v="26"/>
    <x v="85"/>
    <x v="349"/>
    <x v="9"/>
    <x v="65"/>
    <x v="32"/>
    <x v="41"/>
    <x v="0"/>
    <x v="2"/>
    <x v="0"/>
  </r>
  <r>
    <x v="26"/>
    <x v="237"/>
    <x v="353"/>
    <x v="6"/>
    <x v="90"/>
    <x v="42"/>
    <x v="62"/>
    <x v="0"/>
    <x v="2"/>
    <x v="0"/>
  </r>
  <r>
    <x v="26"/>
    <x v="223"/>
    <x v="351"/>
    <x v="7"/>
    <x v="39"/>
    <x v="18"/>
    <x v="25"/>
    <x v="0"/>
    <x v="5"/>
    <x v="0"/>
  </r>
  <r>
    <x v="26"/>
    <x v="290"/>
    <x v="354"/>
    <x v="3"/>
    <x v="188"/>
    <x v="88"/>
    <x v="124"/>
    <x v="0"/>
    <x v="2"/>
    <x v="0"/>
  </r>
  <r>
    <x v="26"/>
    <x v="232"/>
    <x v="352"/>
    <x v="1"/>
    <x v="17"/>
    <x v="12"/>
    <x v="6"/>
    <x v="0"/>
    <x v="1"/>
    <x v="0"/>
  </r>
  <r>
    <x v="26"/>
    <x v="185"/>
    <x v="17"/>
    <x v="3"/>
    <x v="129"/>
    <x v="84"/>
    <x v="59"/>
    <x v="0"/>
    <x v="4"/>
    <x v="0"/>
  </r>
  <r>
    <x v="27"/>
    <x v="68"/>
    <x v="357"/>
    <x v="8"/>
    <x v="129"/>
    <x v="49"/>
    <x v="107"/>
    <x v="0"/>
    <x v="2"/>
    <x v="0"/>
  </r>
  <r>
    <x v="27"/>
    <x v="122"/>
    <x v="358"/>
    <x v="9"/>
    <x v="76"/>
    <x v="35"/>
    <x v="52"/>
    <x v="0"/>
    <x v="2"/>
    <x v="0"/>
  </r>
  <r>
    <x v="27"/>
    <x v="27"/>
    <x v="355"/>
    <x v="8"/>
    <x v="209"/>
    <x v="50"/>
    <x v="207"/>
    <x v="0"/>
    <x v="2"/>
    <x v="0"/>
  </r>
  <r>
    <x v="27"/>
    <x v="59"/>
    <x v="356"/>
    <x v="2"/>
    <x v="253"/>
    <x v="80"/>
    <x v="209"/>
    <x v="0"/>
    <x v="2"/>
    <x v="0"/>
  </r>
  <r>
    <x v="27"/>
    <x v="129"/>
    <x v="359"/>
    <x v="2"/>
    <x v="207"/>
    <x v="79"/>
    <x v="146"/>
    <x v="0"/>
    <x v="2"/>
    <x v="0"/>
  </r>
  <r>
    <x v="27"/>
    <x v="194"/>
    <x v="4"/>
    <x v="3"/>
    <x v="157"/>
    <x v="79"/>
    <x v="94"/>
    <x v="0"/>
    <x v="3"/>
    <x v="0"/>
  </r>
  <r>
    <x v="27"/>
    <x v="274"/>
    <x v="364"/>
    <x v="5"/>
    <x v="4"/>
    <x v="3"/>
    <x v="4"/>
    <x v="0"/>
    <x v="2"/>
    <x v="0"/>
  </r>
  <r>
    <x v="27"/>
    <x v="263"/>
    <x v="363"/>
    <x v="3"/>
    <x v="219"/>
    <x v="87"/>
    <x v="157"/>
    <x v="0"/>
    <x v="2"/>
    <x v="0"/>
  </r>
  <r>
    <x v="27"/>
    <x v="216"/>
    <x v="361"/>
    <x v="7"/>
    <x v="28"/>
    <x v="20"/>
    <x v="12"/>
    <x v="0"/>
    <x v="5"/>
    <x v="0"/>
  </r>
  <r>
    <x v="27"/>
    <x v="191"/>
    <x v="360"/>
    <x v="5"/>
    <x v="10"/>
    <x v="7"/>
    <x v="6"/>
    <x v="0"/>
    <x v="2"/>
    <x v="0"/>
  </r>
  <r>
    <x v="27"/>
    <x v="247"/>
    <x v="362"/>
    <x v="8"/>
    <x v="111"/>
    <x v="51"/>
    <x v="84"/>
    <x v="0"/>
    <x v="2"/>
    <x v="0"/>
  </r>
  <r>
    <x v="28"/>
    <x v="181"/>
    <x v="18"/>
    <x v="3"/>
    <x v="126"/>
    <x v="85"/>
    <x v="49"/>
    <x v="0"/>
    <x v="4"/>
    <x v="0"/>
  </r>
  <r>
    <x v="28"/>
    <x v="269"/>
    <x v="373"/>
    <x v="3"/>
    <x v="239"/>
    <x v="87"/>
    <x v="181"/>
    <x v="0"/>
    <x v="2"/>
    <x v="0"/>
  </r>
  <r>
    <x v="28"/>
    <x v="273"/>
    <x v="374"/>
    <x v="5"/>
    <x v="9"/>
    <x v="5"/>
    <x v="7"/>
    <x v="0"/>
    <x v="2"/>
    <x v="0"/>
  </r>
  <r>
    <x v="28"/>
    <x v="23"/>
    <x v="366"/>
    <x v="8"/>
    <x v="203"/>
    <x v="52"/>
    <x v="201"/>
    <x v="0"/>
    <x v="2"/>
    <x v="0"/>
  </r>
  <r>
    <x v="28"/>
    <x v="104"/>
    <x v="368"/>
    <x v="8"/>
    <x v="148"/>
    <x v="57"/>
    <x v="122"/>
    <x v="0"/>
    <x v="2"/>
    <x v="0"/>
  </r>
  <r>
    <x v="28"/>
    <x v="98"/>
    <x v="367"/>
    <x v="9"/>
    <x v="67"/>
    <x v="29"/>
    <x v="46"/>
    <x v="0"/>
    <x v="2"/>
    <x v="0"/>
  </r>
  <r>
    <x v="28"/>
    <x v="203"/>
    <x v="371"/>
    <x v="7"/>
    <x v="41"/>
    <x v="21"/>
    <x v="24"/>
    <x v="0"/>
    <x v="5"/>
    <x v="0"/>
  </r>
  <r>
    <x v="28"/>
    <x v="244"/>
    <x v="372"/>
    <x v="8"/>
    <x v="89"/>
    <x v="49"/>
    <x v="36"/>
    <x v="0"/>
    <x v="2"/>
    <x v="0"/>
  </r>
  <r>
    <x v="28"/>
    <x v="195"/>
    <x v="370"/>
    <x v="5"/>
    <x v="0"/>
    <x v="1"/>
    <x v="1"/>
    <x v="0"/>
    <x v="2"/>
    <x v="0"/>
  </r>
  <r>
    <x v="28"/>
    <x v="139"/>
    <x v="369"/>
    <x v="7"/>
    <x v="33"/>
    <x v="22"/>
    <x v="15"/>
    <x v="0"/>
    <x v="2"/>
    <x v="0"/>
  </r>
  <r>
    <x v="28"/>
    <x v="11"/>
    <x v="365"/>
    <x v="3"/>
    <x v="173"/>
    <x v="86"/>
    <x v="112"/>
    <x v="0"/>
    <x v="2"/>
    <x v="0"/>
  </r>
  <r>
    <x v="29"/>
    <x v="261"/>
    <x v="386"/>
    <x v="3"/>
    <x v="220"/>
    <x v="89"/>
    <x v="157"/>
    <x v="0"/>
    <x v="2"/>
    <x v="0"/>
  </r>
  <r>
    <x v="29"/>
    <x v="259"/>
    <x v="385"/>
    <x v="5"/>
    <x v="8"/>
    <x v="4"/>
    <x v="7"/>
    <x v="0"/>
    <x v="2"/>
    <x v="0"/>
  </r>
  <r>
    <x v="29"/>
    <x v="126"/>
    <x v="380"/>
    <x v="7"/>
    <x v="35"/>
    <x v="27"/>
    <x v="2"/>
    <x v="0"/>
    <x v="5"/>
    <x v="0"/>
  </r>
  <r>
    <x v="29"/>
    <x v="128"/>
    <x v="381"/>
    <x v="7"/>
    <x v="28"/>
    <x v="21"/>
    <x v="11"/>
    <x v="0"/>
    <x v="2"/>
    <x v="0"/>
  </r>
  <r>
    <x v="29"/>
    <x v="0"/>
    <x v="375"/>
    <x v="8"/>
    <x v="196"/>
    <x v="49"/>
    <x v="193"/>
    <x v="0"/>
    <x v="2"/>
    <x v="0"/>
  </r>
  <r>
    <x v="29"/>
    <x v="170"/>
    <x v="382"/>
    <x v="7"/>
    <x v="33"/>
    <x v="21"/>
    <x v="16"/>
    <x v="0"/>
    <x v="2"/>
    <x v="0"/>
  </r>
  <r>
    <x v="29"/>
    <x v="246"/>
    <x v="384"/>
    <x v="8"/>
    <x v="88"/>
    <x v="52"/>
    <x v="32"/>
    <x v="0"/>
    <x v="2"/>
    <x v="0"/>
  </r>
  <r>
    <x v="29"/>
    <x v="32"/>
    <x v="376"/>
    <x v="3"/>
    <x v="245"/>
    <x v="87"/>
    <x v="189"/>
    <x v="0"/>
    <x v="2"/>
    <x v="0"/>
  </r>
  <r>
    <x v="29"/>
    <x v="79"/>
    <x v="379"/>
    <x v="3"/>
    <x v="204"/>
    <x v="87"/>
    <x v="141"/>
    <x v="0"/>
    <x v="2"/>
    <x v="0"/>
  </r>
  <r>
    <x v="29"/>
    <x v="62"/>
    <x v="377"/>
    <x v="8"/>
    <x v="145"/>
    <x v="48"/>
    <x v="120"/>
    <x v="0"/>
    <x v="2"/>
    <x v="0"/>
  </r>
  <r>
    <x v="29"/>
    <x v="230"/>
    <x v="383"/>
    <x v="7"/>
    <x v="46"/>
    <x v="26"/>
    <x v="29"/>
    <x v="0"/>
    <x v="5"/>
    <x v="0"/>
  </r>
  <r>
    <x v="29"/>
    <x v="63"/>
    <x v="378"/>
    <x v="9"/>
    <x v="72"/>
    <x v="31"/>
    <x v="51"/>
    <x v="0"/>
    <x v="2"/>
    <x v="0"/>
  </r>
  <r>
    <x v="30"/>
    <x v="24"/>
    <x v="387"/>
    <x v="8"/>
    <x v="199"/>
    <x v="52"/>
    <x v="195"/>
    <x v="0"/>
    <x v="2"/>
    <x v="0"/>
  </r>
  <r>
    <x v="30"/>
    <x v="59"/>
    <x v="389"/>
    <x v="8"/>
    <x v="125"/>
    <x v="60"/>
    <x v="104"/>
    <x v="0"/>
    <x v="2"/>
    <x v="0"/>
  </r>
  <r>
    <x v="30"/>
    <x v="104"/>
    <x v="391"/>
    <x v="9"/>
    <x v="68"/>
    <x v="34"/>
    <x v="43"/>
    <x v="0"/>
    <x v="2"/>
    <x v="0"/>
  </r>
  <r>
    <x v="30"/>
    <x v="43"/>
    <x v="388"/>
    <x v="3"/>
    <x v="236"/>
    <x v="89"/>
    <x v="176"/>
    <x v="0"/>
    <x v="2"/>
    <x v="0"/>
  </r>
  <r>
    <x v="30"/>
    <x v="91"/>
    <x v="390"/>
    <x v="3"/>
    <x v="201"/>
    <x v="88"/>
    <x v="139"/>
    <x v="0"/>
    <x v="2"/>
    <x v="0"/>
  </r>
  <r>
    <x v="30"/>
    <x v="231"/>
    <x v="5"/>
    <x v="3"/>
    <x v="146"/>
    <x v="79"/>
    <x v="88"/>
    <x v="0"/>
    <x v="3"/>
    <x v="0"/>
  </r>
  <r>
    <x v="30"/>
    <x v="280"/>
    <x v="398"/>
    <x v="5"/>
    <x v="2"/>
    <x v="3"/>
    <x v="2"/>
    <x v="0"/>
    <x v="2"/>
    <x v="0"/>
  </r>
  <r>
    <x v="30"/>
    <x v="260"/>
    <x v="397"/>
    <x v="3"/>
    <x v="200"/>
    <x v="91"/>
    <x v="135"/>
    <x v="0"/>
    <x v="2"/>
    <x v="0"/>
  </r>
  <r>
    <x v="30"/>
    <x v="226"/>
    <x v="394"/>
    <x v="7"/>
    <x v="47"/>
    <x v="21"/>
    <x v="37"/>
    <x v="0"/>
    <x v="5"/>
    <x v="0"/>
  </r>
  <r>
    <x v="30"/>
    <x v="154"/>
    <x v="392"/>
    <x v="7"/>
    <x v="42"/>
    <x v="21"/>
    <x v="25"/>
    <x v="0"/>
    <x v="5"/>
    <x v="0"/>
  </r>
  <r>
    <x v="30"/>
    <x v="173"/>
    <x v="393"/>
    <x v="7"/>
    <x v="40"/>
    <x v="21"/>
    <x v="23"/>
    <x v="0"/>
    <x v="5"/>
    <x v="0"/>
  </r>
  <r>
    <x v="30"/>
    <x v="243"/>
    <x v="396"/>
    <x v="8"/>
    <x v="106"/>
    <x v="50"/>
    <x v="76"/>
    <x v="0"/>
    <x v="2"/>
    <x v="0"/>
  </r>
  <r>
    <x v="30"/>
    <x v="236"/>
    <x v="395"/>
    <x v="1"/>
    <x v="18"/>
    <x v="11"/>
    <x v="9"/>
    <x v="0"/>
    <x v="1"/>
    <x v="0"/>
  </r>
  <r>
    <x v="30"/>
    <x v="291"/>
    <x v="69"/>
    <x v="7"/>
    <x v="43"/>
    <x v="22"/>
    <x v="27"/>
    <x v="0"/>
    <x v="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2">
  <r>
    <x v="0"/>
    <x v="202"/>
    <x v="26"/>
    <x v="7"/>
    <x v="25"/>
    <x v="14"/>
    <x v="15"/>
    <x v="0"/>
    <x v="5"/>
  </r>
  <r>
    <x v="0"/>
    <x v="280"/>
    <x v="29"/>
    <x v="2"/>
    <x v="232"/>
    <x v="72"/>
    <x v="180"/>
    <x v="0"/>
    <x v="2"/>
  </r>
  <r>
    <x v="0"/>
    <x v="276"/>
    <x v="28"/>
    <x v="5"/>
    <x v="9"/>
    <x v="3"/>
    <x v="9"/>
    <x v="0"/>
    <x v="2"/>
  </r>
  <r>
    <x v="0"/>
    <x v="166"/>
    <x v="24"/>
    <x v="7"/>
    <x v="24"/>
    <x v="14"/>
    <x v="14"/>
    <x v="0"/>
    <x v="5"/>
  </r>
  <r>
    <x v="0"/>
    <x v="22"/>
    <x v="20"/>
    <x v="3"/>
    <x v="191"/>
    <x v="81"/>
    <x v="128"/>
    <x v="0"/>
    <x v="2"/>
  </r>
  <r>
    <x v="0"/>
    <x v="174"/>
    <x v="25"/>
    <x v="5"/>
    <x v="12"/>
    <x v="4"/>
    <x v="11"/>
    <x v="0"/>
    <x v="2"/>
  </r>
  <r>
    <x v="0"/>
    <x v="254"/>
    <x v="27"/>
    <x v="8"/>
    <x v="103"/>
    <x v="51"/>
    <x v="72"/>
    <x v="0"/>
    <x v="2"/>
  </r>
  <r>
    <x v="0"/>
    <x v="72"/>
    <x v="22"/>
    <x v="9"/>
    <x v="78"/>
    <x v="33"/>
    <x v="55"/>
    <x v="0"/>
    <x v="2"/>
  </r>
  <r>
    <x v="0"/>
    <x v="83"/>
    <x v="23"/>
    <x v="2"/>
    <x v="256"/>
    <x v="74"/>
    <x v="215"/>
    <x v="0"/>
    <x v="2"/>
  </r>
  <r>
    <x v="0"/>
    <x v="13"/>
    <x v="19"/>
    <x v="8"/>
    <x v="174"/>
    <x v="59"/>
    <x v="164"/>
    <x v="0"/>
    <x v="2"/>
  </r>
  <r>
    <x v="0"/>
    <x v="69"/>
    <x v="21"/>
    <x v="8"/>
    <x v="120"/>
    <x v="49"/>
    <x v="101"/>
    <x v="0"/>
    <x v="2"/>
  </r>
  <r>
    <x v="0"/>
    <x v="158"/>
    <x v="8"/>
    <x v="3"/>
    <x v="122"/>
    <x v="76"/>
    <x v="36"/>
    <x v="0"/>
    <x v="4"/>
  </r>
  <r>
    <x v="1"/>
    <x v="264"/>
    <x v="39"/>
    <x v="5"/>
    <x v="8"/>
    <x v="3"/>
    <x v="8"/>
    <x v="0"/>
    <x v="2"/>
  </r>
  <r>
    <x v="1"/>
    <x v="262"/>
    <x v="38"/>
    <x v="2"/>
    <x v="221"/>
    <x v="78"/>
    <x v="162"/>
    <x v="0"/>
    <x v="2"/>
  </r>
  <r>
    <x v="1"/>
    <x v="239"/>
    <x v="37"/>
    <x v="8"/>
    <x v="91"/>
    <x v="48"/>
    <x v="55"/>
    <x v="0"/>
    <x v="2"/>
  </r>
  <r>
    <x v="1"/>
    <x v="56"/>
    <x v="31"/>
    <x v="2"/>
    <x v="261"/>
    <x v="80"/>
    <x v="218"/>
    <x v="0"/>
    <x v="2"/>
  </r>
  <r>
    <x v="1"/>
    <x v="130"/>
    <x v="34"/>
    <x v="2"/>
    <x v="190"/>
    <x v="79"/>
    <x v="127"/>
    <x v="0"/>
    <x v="2"/>
  </r>
  <r>
    <x v="1"/>
    <x v="75"/>
    <x v="32"/>
    <x v="9"/>
    <x v="72"/>
    <x v="33"/>
    <x v="49"/>
    <x v="0"/>
    <x v="2"/>
  </r>
  <r>
    <x v="1"/>
    <x v="76"/>
    <x v="33"/>
    <x v="8"/>
    <x v="143"/>
    <x v="54"/>
    <x v="116"/>
    <x v="0"/>
    <x v="2"/>
  </r>
  <r>
    <x v="1"/>
    <x v="4"/>
    <x v="30"/>
    <x v="8"/>
    <x v="180"/>
    <x v="53"/>
    <x v="170"/>
    <x v="0"/>
    <x v="2"/>
  </r>
  <r>
    <x v="1"/>
    <x v="137"/>
    <x v="35"/>
    <x v="7"/>
    <x v="28"/>
    <x v="15"/>
    <x v="17"/>
    <x v="0"/>
    <x v="5"/>
  </r>
  <r>
    <x v="1"/>
    <x v="178"/>
    <x v="36"/>
    <x v="7"/>
    <x v="37"/>
    <x v="15"/>
    <x v="26"/>
    <x v="0"/>
    <x v="2"/>
  </r>
  <r>
    <x v="2"/>
    <x v="90"/>
    <x v="42"/>
    <x v="9"/>
    <x v="80"/>
    <x v="32"/>
    <x v="59"/>
    <x v="0"/>
    <x v="2"/>
  </r>
  <r>
    <x v="2"/>
    <x v="92"/>
    <x v="43"/>
    <x v="8"/>
    <x v="121"/>
    <x v="51"/>
    <x v="102"/>
    <x v="0"/>
    <x v="2"/>
  </r>
  <r>
    <x v="2"/>
    <x v="20"/>
    <x v="40"/>
    <x v="8"/>
    <x v="169"/>
    <x v="50"/>
    <x v="161"/>
    <x v="0"/>
    <x v="2"/>
  </r>
  <r>
    <x v="2"/>
    <x v="55"/>
    <x v="41"/>
    <x v="2"/>
    <x v="259"/>
    <x v="83"/>
    <x v="217"/>
    <x v="0"/>
    <x v="2"/>
  </r>
  <r>
    <x v="2"/>
    <x v="106"/>
    <x v="44"/>
    <x v="2"/>
    <x v="165"/>
    <x v="81"/>
    <x v="106"/>
    <x v="0"/>
    <x v="2"/>
  </r>
  <r>
    <x v="2"/>
    <x v="291"/>
    <x v="399"/>
    <x v="3"/>
    <x v="152"/>
    <x v="66"/>
    <x v="95"/>
    <x v="0"/>
    <x v="3"/>
  </r>
  <r>
    <x v="2"/>
    <x v="251"/>
    <x v="49"/>
    <x v="8"/>
    <x v="98"/>
    <x v="52"/>
    <x v="66"/>
    <x v="0"/>
    <x v="2"/>
  </r>
  <r>
    <x v="2"/>
    <x v="268"/>
    <x v="50"/>
    <x v="5"/>
    <x v="7"/>
    <x v="5"/>
    <x v="5"/>
    <x v="0"/>
    <x v="2"/>
  </r>
  <r>
    <x v="2"/>
    <x v="148"/>
    <x v="45"/>
    <x v="7"/>
    <x v="26"/>
    <x v="21"/>
    <x v="9"/>
    <x v="0"/>
    <x v="2"/>
  </r>
  <r>
    <x v="2"/>
    <x v="221"/>
    <x v="48"/>
    <x v="7"/>
    <x v="36"/>
    <x v="21"/>
    <x v="19"/>
    <x v="0"/>
    <x v="5"/>
  </r>
  <r>
    <x v="2"/>
    <x v="179"/>
    <x v="46"/>
    <x v="7"/>
    <x v="36"/>
    <x v="21"/>
    <x v="19"/>
    <x v="0"/>
    <x v="5"/>
  </r>
  <r>
    <x v="2"/>
    <x v="212"/>
    <x v="47"/>
    <x v="5"/>
    <x v="16"/>
    <x v="9"/>
    <x v="12"/>
    <x v="0"/>
    <x v="2"/>
  </r>
  <r>
    <x v="2"/>
    <x v="284"/>
    <x v="51"/>
    <x v="2"/>
    <x v="223"/>
    <x v="66"/>
    <x v="165"/>
    <x v="0"/>
    <x v="2"/>
  </r>
  <r>
    <x v="3"/>
    <x v="9"/>
    <x v="52"/>
    <x v="3"/>
    <x v="167"/>
    <x v="76"/>
    <x v="110"/>
    <x v="0"/>
    <x v="2"/>
  </r>
  <r>
    <x v="3"/>
    <x v="103"/>
    <x v="55"/>
    <x v="9"/>
    <x v="72"/>
    <x v="35"/>
    <x v="47"/>
    <x v="0"/>
    <x v="2"/>
  </r>
  <r>
    <x v="3"/>
    <x v="64"/>
    <x v="54"/>
    <x v="8"/>
    <x v="117"/>
    <x v="51"/>
    <x v="92"/>
    <x v="0"/>
    <x v="2"/>
  </r>
  <r>
    <x v="3"/>
    <x v="26"/>
    <x v="53"/>
    <x v="8"/>
    <x v="184"/>
    <x v="53"/>
    <x v="175"/>
    <x v="0"/>
    <x v="2"/>
  </r>
  <r>
    <x v="3"/>
    <x v="105"/>
    <x v="56"/>
    <x v="2"/>
    <x v="255"/>
    <x v="70"/>
    <x v="213"/>
    <x v="0"/>
    <x v="2"/>
  </r>
  <r>
    <x v="3"/>
    <x v="249"/>
    <x v="61"/>
    <x v="8"/>
    <x v="108"/>
    <x v="49"/>
    <x v="79"/>
    <x v="0"/>
    <x v="2"/>
  </r>
  <r>
    <x v="3"/>
    <x v="165"/>
    <x v="58"/>
    <x v="7"/>
    <x v="33"/>
    <x v="17"/>
    <x v="20"/>
    <x v="0"/>
    <x v="5"/>
  </r>
  <r>
    <x v="3"/>
    <x v="175"/>
    <x v="59"/>
    <x v="5"/>
    <x v="11"/>
    <x v="6"/>
    <x v="8"/>
    <x v="0"/>
    <x v="2"/>
  </r>
  <r>
    <x v="3"/>
    <x v="186"/>
    <x v="60"/>
    <x v="10"/>
    <x v="82"/>
    <x v="37"/>
    <x v="34"/>
    <x v="0"/>
    <x v="5"/>
  </r>
  <r>
    <x v="3"/>
    <x v="150"/>
    <x v="57"/>
    <x v="5"/>
    <x v="11"/>
    <x v="3"/>
    <x v="11"/>
    <x v="0"/>
    <x v="2"/>
  </r>
  <r>
    <x v="3"/>
    <x v="277"/>
    <x v="63"/>
    <x v="5"/>
    <x v="3"/>
    <x v="4"/>
    <x v="2"/>
    <x v="0"/>
    <x v="2"/>
  </r>
  <r>
    <x v="3"/>
    <x v="271"/>
    <x v="62"/>
    <x v="3"/>
    <x v="217"/>
    <x v="81"/>
    <x v="156"/>
    <x v="0"/>
    <x v="2"/>
  </r>
  <r>
    <x v="3"/>
    <x v="206"/>
    <x v="9"/>
    <x v="3"/>
    <x v="136"/>
    <x v="73"/>
    <x v="80"/>
    <x v="0"/>
    <x v="4"/>
  </r>
  <r>
    <x v="4"/>
    <x v="57"/>
    <x v="65"/>
    <x v="8"/>
    <x v="119"/>
    <x v="49"/>
    <x v="99"/>
    <x v="0"/>
    <x v="2"/>
  </r>
  <r>
    <x v="4"/>
    <x v="25"/>
    <x v="64"/>
    <x v="8"/>
    <x v="176"/>
    <x v="50"/>
    <x v="168"/>
    <x v="0"/>
    <x v="2"/>
  </r>
  <r>
    <x v="4"/>
    <x v="62"/>
    <x v="66"/>
    <x v="2"/>
    <x v="256"/>
    <x v="73"/>
    <x v="216"/>
    <x v="0"/>
    <x v="2"/>
  </r>
  <r>
    <x v="4"/>
    <x v="122"/>
    <x v="68"/>
    <x v="2"/>
    <x v="171"/>
    <x v="72"/>
    <x v="114"/>
    <x v="0"/>
    <x v="2"/>
  </r>
  <r>
    <x v="4"/>
    <x v="91"/>
    <x v="67"/>
    <x v="9"/>
    <x v="74"/>
    <x v="36"/>
    <x v="48"/>
    <x v="0"/>
    <x v="2"/>
  </r>
  <r>
    <x v="4"/>
    <x v="194"/>
    <x v="73"/>
    <x v="5"/>
    <x v="11"/>
    <x v="3"/>
    <x v="11"/>
    <x v="0"/>
    <x v="2"/>
  </r>
  <r>
    <x v="4"/>
    <x v="164"/>
    <x v="71"/>
    <x v="7"/>
    <x v="40"/>
    <x v="18"/>
    <x v="26"/>
    <x v="0"/>
    <x v="5"/>
  </r>
  <r>
    <x v="4"/>
    <x v="132"/>
    <x v="70"/>
    <x v="7"/>
    <x v="43"/>
    <x v="22"/>
    <x v="27"/>
    <x v="0"/>
    <x v="5"/>
  </r>
  <r>
    <x v="4"/>
    <x v="252"/>
    <x v="75"/>
    <x v="8"/>
    <x v="109"/>
    <x v="46"/>
    <x v="81"/>
    <x v="0"/>
    <x v="2"/>
  </r>
  <r>
    <x v="4"/>
    <x v="167"/>
    <x v="72"/>
    <x v="1"/>
    <x v="24"/>
    <x v="13"/>
    <x v="15"/>
    <x v="0"/>
    <x v="1"/>
  </r>
  <r>
    <x v="4"/>
    <x v="284"/>
    <x v="77"/>
    <x v="5"/>
    <x v="4"/>
    <x v="3"/>
    <x v="4"/>
    <x v="0"/>
    <x v="2"/>
  </r>
  <r>
    <x v="4"/>
    <x v="211"/>
    <x v="74"/>
    <x v="7"/>
    <x v="38"/>
    <x v="22"/>
    <x v="21"/>
    <x v="0"/>
    <x v="5"/>
  </r>
  <r>
    <x v="4"/>
    <x v="261"/>
    <x v="76"/>
    <x v="2"/>
    <x v="214"/>
    <x v="71"/>
    <x v="154"/>
    <x v="0"/>
    <x v="2"/>
  </r>
  <r>
    <x v="5"/>
    <x v="115"/>
    <x v="82"/>
    <x v="2"/>
    <x v="196"/>
    <x v="79"/>
    <x v="138"/>
    <x v="0"/>
    <x v="2"/>
  </r>
  <r>
    <x v="5"/>
    <x v="48"/>
    <x v="79"/>
    <x v="2"/>
    <x v="243"/>
    <x v="80"/>
    <x v="191"/>
    <x v="0"/>
    <x v="2"/>
  </r>
  <r>
    <x v="5"/>
    <x v="102"/>
    <x v="80"/>
    <x v="9"/>
    <x v="75"/>
    <x v="28"/>
    <x v="57"/>
    <x v="0"/>
    <x v="2"/>
  </r>
  <r>
    <x v="5"/>
    <x v="135"/>
    <x v="83"/>
    <x v="10"/>
    <x v="84"/>
    <x v="40"/>
    <x v="35"/>
    <x v="0"/>
    <x v="5"/>
  </r>
  <r>
    <x v="5"/>
    <x v="36"/>
    <x v="78"/>
    <x v="6"/>
    <x v="164"/>
    <x v="42"/>
    <x v="155"/>
    <x v="0"/>
    <x v="2"/>
  </r>
  <r>
    <x v="5"/>
    <x v="113"/>
    <x v="81"/>
    <x v="6"/>
    <x v="124"/>
    <x v="43"/>
    <x v="107"/>
    <x v="0"/>
    <x v="2"/>
  </r>
  <r>
    <x v="5"/>
    <x v="205"/>
    <x v="10"/>
    <x v="3"/>
    <x v="128"/>
    <x v="78"/>
    <x v="60"/>
    <x v="0"/>
    <x v="4"/>
  </r>
  <r>
    <x v="5"/>
    <x v="193"/>
    <x v="84"/>
    <x v="5"/>
    <x v="14"/>
    <x v="3"/>
    <x v="14"/>
    <x v="0"/>
    <x v="2"/>
  </r>
  <r>
    <x v="5"/>
    <x v="286"/>
    <x v="86"/>
    <x v="2"/>
    <x v="227"/>
    <x v="78"/>
    <x v="170"/>
    <x v="0"/>
    <x v="2"/>
  </r>
  <r>
    <x v="5"/>
    <x v="287"/>
    <x v="87"/>
    <x v="5"/>
    <x v="6"/>
    <x v="3"/>
    <x v="6"/>
    <x v="0"/>
    <x v="2"/>
  </r>
  <r>
    <x v="5"/>
    <x v="256"/>
    <x v="85"/>
    <x v="6"/>
    <x v="92"/>
    <x v="41"/>
    <x v="73"/>
    <x v="0"/>
    <x v="2"/>
  </r>
  <r>
    <x v="6"/>
    <x v="118"/>
    <x v="93"/>
    <x v="9"/>
    <x v="77"/>
    <x v="34"/>
    <x v="53"/>
    <x v="0"/>
    <x v="2"/>
  </r>
  <r>
    <x v="6"/>
    <x v="67"/>
    <x v="90"/>
    <x v="11"/>
    <x v="123"/>
    <x v="44"/>
    <x v="103"/>
    <x v="0"/>
    <x v="2"/>
  </r>
  <r>
    <x v="6"/>
    <x v="27"/>
    <x v="88"/>
    <x v="11"/>
    <x v="181"/>
    <x v="46"/>
    <x v="174"/>
    <x v="0"/>
    <x v="2"/>
  </r>
  <r>
    <x v="6"/>
    <x v="58"/>
    <x v="89"/>
    <x v="2"/>
    <x v="234"/>
    <x v="84"/>
    <x v="177"/>
    <x v="0"/>
    <x v="2"/>
  </r>
  <r>
    <x v="6"/>
    <x v="121"/>
    <x v="94"/>
    <x v="2"/>
    <x v="185"/>
    <x v="83"/>
    <x v="124"/>
    <x v="0"/>
    <x v="2"/>
  </r>
  <r>
    <x v="6"/>
    <x v="278"/>
    <x v="104"/>
    <x v="5"/>
    <x v="7"/>
    <x v="4"/>
    <x v="6"/>
    <x v="0"/>
    <x v="2"/>
  </r>
  <r>
    <x v="6"/>
    <x v="257"/>
    <x v="103"/>
    <x v="8"/>
    <x v="115"/>
    <x v="45"/>
    <x v="89"/>
    <x v="0"/>
    <x v="2"/>
  </r>
  <r>
    <x v="6"/>
    <x v="285"/>
    <x v="105"/>
    <x v="3"/>
    <x v="237"/>
    <x v="81"/>
    <x v="180"/>
    <x v="0"/>
    <x v="2"/>
  </r>
  <r>
    <x v="6"/>
    <x v="199"/>
    <x v="101"/>
    <x v="7"/>
    <x v="27"/>
    <x v="17"/>
    <x v="14"/>
    <x v="0"/>
    <x v="5"/>
  </r>
  <r>
    <x v="6"/>
    <x v="176"/>
    <x v="99"/>
    <x v="5"/>
    <x v="14"/>
    <x v="6"/>
    <x v="11"/>
    <x v="0"/>
    <x v="2"/>
  </r>
  <r>
    <x v="6"/>
    <x v="141"/>
    <x v="96"/>
    <x v="0"/>
    <x v="250"/>
    <x v="64"/>
    <x v="210"/>
    <x v="0"/>
    <x v="0"/>
  </r>
  <r>
    <x v="6"/>
    <x v="110"/>
    <x v="92"/>
    <x v="0"/>
    <x v="226"/>
    <x v="64"/>
    <x v="186"/>
    <x v="0"/>
    <x v="0"/>
  </r>
  <r>
    <x v="6"/>
    <x v="131"/>
    <x v="95"/>
    <x v="0"/>
    <x v="238"/>
    <x v="64"/>
    <x v="204"/>
    <x v="0"/>
    <x v="0"/>
  </r>
  <r>
    <x v="6"/>
    <x v="77"/>
    <x v="91"/>
    <x v="0"/>
    <x v="196"/>
    <x v="64"/>
    <x v="148"/>
    <x v="0"/>
    <x v="0"/>
  </r>
  <r>
    <x v="6"/>
    <x v="169"/>
    <x v="98"/>
    <x v="0"/>
    <x v="131"/>
    <x v="75"/>
    <x v="67"/>
    <x v="0"/>
    <x v="5"/>
  </r>
  <r>
    <x v="6"/>
    <x v="158"/>
    <x v="97"/>
    <x v="7"/>
    <x v="34"/>
    <x v="20"/>
    <x v="18"/>
    <x v="0"/>
    <x v="5"/>
  </r>
  <r>
    <x v="6"/>
    <x v="223"/>
    <x v="0"/>
    <x v="3"/>
    <x v="155"/>
    <x v="70"/>
    <x v="96"/>
    <x v="0"/>
    <x v="3"/>
  </r>
  <r>
    <x v="7"/>
    <x v="214"/>
    <x v="114"/>
    <x v="1"/>
    <x v="36"/>
    <x v="12"/>
    <x v="27"/>
    <x v="0"/>
    <x v="1"/>
  </r>
  <r>
    <x v="7"/>
    <x v="187"/>
    <x v="113"/>
    <x v="7"/>
    <x v="36"/>
    <x v="22"/>
    <x v="18"/>
    <x v="0"/>
    <x v="5"/>
  </r>
  <r>
    <x v="7"/>
    <x v="181"/>
    <x v="111"/>
    <x v="5"/>
    <x v="10"/>
    <x v="8"/>
    <x v="5"/>
    <x v="0"/>
    <x v="2"/>
  </r>
  <r>
    <x v="7"/>
    <x v="263"/>
    <x v="116"/>
    <x v="2"/>
    <x v="246"/>
    <x v="76"/>
    <x v="197"/>
    <x v="0"/>
    <x v="2"/>
  </r>
  <r>
    <x v="7"/>
    <x v="266"/>
    <x v="117"/>
    <x v="5"/>
    <x v="9"/>
    <x v="3"/>
    <x v="9"/>
    <x v="0"/>
    <x v="2"/>
  </r>
  <r>
    <x v="7"/>
    <x v="51"/>
    <x v="107"/>
    <x v="2"/>
    <x v="247"/>
    <x v="75"/>
    <x v="199"/>
    <x v="0"/>
    <x v="2"/>
  </r>
  <r>
    <x v="7"/>
    <x v="122"/>
    <x v="110"/>
    <x v="2"/>
    <x v="207"/>
    <x v="74"/>
    <x v="148"/>
    <x v="0"/>
    <x v="2"/>
  </r>
  <r>
    <x v="7"/>
    <x v="109"/>
    <x v="109"/>
    <x v="8"/>
    <x v="158"/>
    <x v="49"/>
    <x v="134"/>
    <x v="0"/>
    <x v="2"/>
  </r>
  <r>
    <x v="7"/>
    <x v="107"/>
    <x v="108"/>
    <x v="9"/>
    <x v="79"/>
    <x v="31"/>
    <x v="59"/>
    <x v="0"/>
    <x v="2"/>
  </r>
  <r>
    <x v="7"/>
    <x v="5"/>
    <x v="106"/>
    <x v="8"/>
    <x v="168"/>
    <x v="58"/>
    <x v="158"/>
    <x v="0"/>
    <x v="2"/>
  </r>
  <r>
    <x v="7"/>
    <x v="184"/>
    <x v="112"/>
    <x v="10"/>
    <x v="83"/>
    <x v="39"/>
    <x v="31"/>
    <x v="0"/>
    <x v="5"/>
  </r>
  <r>
    <x v="7"/>
    <x v="238"/>
    <x v="115"/>
    <x v="8"/>
    <x v="99"/>
    <x v="50"/>
    <x v="69"/>
    <x v="0"/>
    <x v="2"/>
  </r>
  <r>
    <x v="7"/>
    <x v="159"/>
    <x v="11"/>
    <x v="3"/>
    <x v="127"/>
    <x v="79"/>
    <x v="57"/>
    <x v="0"/>
    <x v="4"/>
  </r>
  <r>
    <x v="8"/>
    <x v="262"/>
    <x v="129"/>
    <x v="5"/>
    <x v="7"/>
    <x v="4"/>
    <x v="6"/>
    <x v="0"/>
    <x v="2"/>
  </r>
  <r>
    <x v="8"/>
    <x v="237"/>
    <x v="127"/>
    <x v="8"/>
    <x v="93"/>
    <x v="51"/>
    <x v="60"/>
    <x v="0"/>
    <x v="2"/>
  </r>
  <r>
    <x v="8"/>
    <x v="217"/>
    <x v="126"/>
    <x v="5"/>
    <x v="5"/>
    <x v="3"/>
    <x v="5"/>
    <x v="0"/>
    <x v="2"/>
  </r>
  <r>
    <x v="8"/>
    <x v="260"/>
    <x v="128"/>
    <x v="2"/>
    <x v="231"/>
    <x v="67"/>
    <x v="182"/>
    <x v="0"/>
    <x v="2"/>
  </r>
  <r>
    <x v="8"/>
    <x v="2"/>
    <x v="118"/>
    <x v="8"/>
    <x v="170"/>
    <x v="57"/>
    <x v="159"/>
    <x v="0"/>
    <x v="2"/>
  </r>
  <r>
    <x v="8"/>
    <x v="199"/>
    <x v="125"/>
    <x v="7"/>
    <x v="32"/>
    <x v="17"/>
    <x v="19"/>
    <x v="0"/>
    <x v="2"/>
  </r>
  <r>
    <x v="8"/>
    <x v="149"/>
    <x v="124"/>
    <x v="7"/>
    <x v="29"/>
    <x v="14"/>
    <x v="19"/>
    <x v="0"/>
    <x v="5"/>
  </r>
  <r>
    <x v="8"/>
    <x v="70"/>
    <x v="120"/>
    <x v="9"/>
    <x v="69"/>
    <x v="29"/>
    <x v="49"/>
    <x v="0"/>
    <x v="2"/>
  </r>
  <r>
    <x v="8"/>
    <x v="95"/>
    <x v="122"/>
    <x v="9"/>
    <x v="58"/>
    <x v="32"/>
    <x v="35"/>
    <x v="0"/>
    <x v="2"/>
  </r>
  <r>
    <x v="8"/>
    <x v="99"/>
    <x v="123"/>
    <x v="8"/>
    <x v="160"/>
    <x v="50"/>
    <x v="145"/>
    <x v="0"/>
    <x v="2"/>
  </r>
  <r>
    <x v="8"/>
    <x v="38"/>
    <x v="119"/>
    <x v="2"/>
    <x v="254"/>
    <x v="77"/>
    <x v="211"/>
    <x v="0"/>
    <x v="2"/>
  </r>
  <r>
    <x v="8"/>
    <x v="87"/>
    <x v="121"/>
    <x v="2"/>
    <x v="216"/>
    <x v="76"/>
    <x v="157"/>
    <x v="0"/>
    <x v="2"/>
  </r>
  <r>
    <x v="9"/>
    <x v="54"/>
    <x v="132"/>
    <x v="2"/>
    <x v="260"/>
    <x v="76"/>
    <x v="220"/>
    <x v="0"/>
    <x v="2"/>
  </r>
  <r>
    <x v="9"/>
    <x v="1"/>
    <x v="130"/>
    <x v="8"/>
    <x v="166"/>
    <x v="58"/>
    <x v="152"/>
    <x v="0"/>
    <x v="2"/>
  </r>
  <r>
    <x v="9"/>
    <x v="114"/>
    <x v="135"/>
    <x v="2"/>
    <x v="163"/>
    <x v="76"/>
    <x v="105"/>
    <x v="0"/>
    <x v="2"/>
  </r>
  <r>
    <x v="9"/>
    <x v="43"/>
    <x v="131"/>
    <x v="8"/>
    <x v="147"/>
    <x v="51"/>
    <x v="121"/>
    <x v="0"/>
    <x v="2"/>
  </r>
  <r>
    <x v="9"/>
    <x v="71"/>
    <x v="133"/>
    <x v="9"/>
    <x v="61"/>
    <x v="28"/>
    <x v="40"/>
    <x v="0"/>
    <x v="2"/>
  </r>
  <r>
    <x v="9"/>
    <x v="94"/>
    <x v="134"/>
    <x v="9"/>
    <x v="54"/>
    <x v="35"/>
    <x v="28"/>
    <x v="0"/>
    <x v="2"/>
  </r>
  <r>
    <x v="9"/>
    <x v="276"/>
    <x v="142"/>
    <x v="5"/>
    <x v="8"/>
    <x v="4"/>
    <x v="7"/>
    <x v="0"/>
    <x v="2"/>
  </r>
  <r>
    <x v="9"/>
    <x v="274"/>
    <x v="141"/>
    <x v="3"/>
    <x v="252"/>
    <x v="76"/>
    <x v="206"/>
    <x v="0"/>
    <x v="2"/>
  </r>
  <r>
    <x v="9"/>
    <x v="180"/>
    <x v="137"/>
    <x v="5"/>
    <x v="13"/>
    <x v="7"/>
    <x v="9"/>
    <x v="0"/>
    <x v="2"/>
  </r>
  <r>
    <x v="9"/>
    <x v="148"/>
    <x v="136"/>
    <x v="7"/>
    <x v="35"/>
    <x v="23"/>
    <x v="16"/>
    <x v="0"/>
    <x v="5"/>
  </r>
  <r>
    <x v="9"/>
    <x v="205"/>
    <x v="138"/>
    <x v="7"/>
    <x v="32"/>
    <x v="23"/>
    <x v="13"/>
    <x v="0"/>
    <x v="5"/>
  </r>
  <r>
    <x v="9"/>
    <x v="248"/>
    <x v="140"/>
    <x v="8"/>
    <x v="107"/>
    <x v="49"/>
    <x v="77"/>
    <x v="0"/>
    <x v="2"/>
  </r>
  <r>
    <x v="9"/>
    <x v="235"/>
    <x v="139"/>
    <x v="1"/>
    <x v="21"/>
    <x v="12"/>
    <x v="12"/>
    <x v="0"/>
    <x v="1"/>
  </r>
  <r>
    <x v="9"/>
    <x v="228"/>
    <x v="1"/>
    <x v="3"/>
    <x v="145"/>
    <x v="70"/>
    <x v="90"/>
    <x v="0"/>
    <x v="3"/>
  </r>
  <r>
    <x v="10"/>
    <x v="107"/>
    <x v="147"/>
    <x v="9"/>
    <x v="50"/>
    <x v="32"/>
    <x v="25"/>
    <x v="0"/>
    <x v="2"/>
  </r>
  <r>
    <x v="10"/>
    <x v="73"/>
    <x v="145"/>
    <x v="9"/>
    <x v="62"/>
    <x v="28"/>
    <x v="43"/>
    <x v="0"/>
    <x v="2"/>
  </r>
  <r>
    <x v="10"/>
    <x v="110"/>
    <x v="148"/>
    <x v="8"/>
    <x v="159"/>
    <x v="48"/>
    <x v="140"/>
    <x v="0"/>
    <x v="2"/>
  </r>
  <r>
    <x v="10"/>
    <x v="100"/>
    <x v="146"/>
    <x v="2"/>
    <x v="260"/>
    <x v="76"/>
    <x v="220"/>
    <x v="0"/>
    <x v="2"/>
  </r>
  <r>
    <x v="10"/>
    <x v="7"/>
    <x v="143"/>
    <x v="8"/>
    <x v="171"/>
    <x v="57"/>
    <x v="161"/>
    <x v="0"/>
    <x v="2"/>
  </r>
  <r>
    <x v="10"/>
    <x v="17"/>
    <x v="144"/>
    <x v="3"/>
    <x v="214"/>
    <x v="84"/>
    <x v="150"/>
    <x v="0"/>
    <x v="2"/>
  </r>
  <r>
    <x v="10"/>
    <x v="200"/>
    <x v="6"/>
    <x v="3"/>
    <x v="143"/>
    <x v="81"/>
    <x v="87"/>
    <x v="0"/>
    <x v="4"/>
  </r>
  <r>
    <x v="10"/>
    <x v="228"/>
    <x v="152"/>
    <x v="5"/>
    <x v="9"/>
    <x v="0"/>
    <x v="13"/>
    <x v="0"/>
    <x v="2"/>
  </r>
  <r>
    <x v="10"/>
    <x v="278"/>
    <x v="155"/>
    <x v="5"/>
    <x v="10"/>
    <x v="4"/>
    <x v="9"/>
    <x v="0"/>
    <x v="2"/>
  </r>
  <r>
    <x v="10"/>
    <x v="265"/>
    <x v="154"/>
    <x v="3"/>
    <x v="225"/>
    <x v="80"/>
    <x v="166"/>
    <x v="0"/>
    <x v="2"/>
  </r>
  <r>
    <x v="10"/>
    <x v="135"/>
    <x v="149"/>
    <x v="7"/>
    <x v="38"/>
    <x v="19"/>
    <x v="23"/>
    <x v="0"/>
    <x v="5"/>
  </r>
  <r>
    <x v="10"/>
    <x v="160"/>
    <x v="150"/>
    <x v="7"/>
    <x v="32"/>
    <x v="19"/>
    <x v="17"/>
    <x v="0"/>
    <x v="5"/>
  </r>
  <r>
    <x v="10"/>
    <x v="207"/>
    <x v="151"/>
    <x v="7"/>
    <x v="38"/>
    <x v="24"/>
    <x v="19"/>
    <x v="0"/>
    <x v="5"/>
  </r>
  <r>
    <x v="10"/>
    <x v="244"/>
    <x v="153"/>
    <x v="8"/>
    <x v="102"/>
    <x v="52"/>
    <x v="70"/>
    <x v="0"/>
    <x v="2"/>
  </r>
  <r>
    <x v="11"/>
    <x v="31"/>
    <x v="157"/>
    <x v="9"/>
    <x v="62"/>
    <x v="29"/>
    <x v="42"/>
    <x v="0"/>
    <x v="2"/>
  </r>
  <r>
    <x v="11"/>
    <x v="95"/>
    <x v="160"/>
    <x v="8"/>
    <x v="133"/>
    <x v="53"/>
    <x v="109"/>
    <x v="0"/>
    <x v="2"/>
  </r>
  <r>
    <x v="11"/>
    <x v="93"/>
    <x v="159"/>
    <x v="9"/>
    <x v="53"/>
    <x v="31"/>
    <x v="30"/>
    <x v="0"/>
    <x v="2"/>
  </r>
  <r>
    <x v="11"/>
    <x v="10"/>
    <x v="156"/>
    <x v="8"/>
    <x v="183"/>
    <x v="53"/>
    <x v="172"/>
    <x v="0"/>
    <x v="2"/>
  </r>
  <r>
    <x v="11"/>
    <x v="65"/>
    <x v="158"/>
    <x v="2"/>
    <x v="265"/>
    <x v="71"/>
    <x v="224"/>
    <x v="0"/>
    <x v="2"/>
  </r>
  <r>
    <x v="11"/>
    <x v="138"/>
    <x v="161"/>
    <x v="7"/>
    <x v="31"/>
    <x v="22"/>
    <x v="13"/>
    <x v="0"/>
    <x v="5"/>
  </r>
  <r>
    <x v="11"/>
    <x v="163"/>
    <x v="162"/>
    <x v="7"/>
    <x v="26"/>
    <x v="17"/>
    <x v="13"/>
    <x v="0"/>
    <x v="5"/>
  </r>
  <r>
    <x v="11"/>
    <x v="215"/>
    <x v="164"/>
    <x v="7"/>
    <x v="22"/>
    <x v="15"/>
    <x v="10"/>
    <x v="0"/>
    <x v="5"/>
  </r>
  <r>
    <x v="11"/>
    <x v="181"/>
    <x v="163"/>
    <x v="5"/>
    <x v="9"/>
    <x v="4"/>
    <x v="8"/>
    <x v="0"/>
    <x v="2"/>
  </r>
  <r>
    <x v="11"/>
    <x v="265"/>
    <x v="166"/>
    <x v="3"/>
    <x v="251"/>
    <x v="84"/>
    <x v="199"/>
    <x v="0"/>
    <x v="2"/>
  </r>
  <r>
    <x v="11"/>
    <x v="286"/>
    <x v="167"/>
    <x v="5"/>
    <x v="9"/>
    <x v="4"/>
    <x v="8"/>
    <x v="0"/>
    <x v="2"/>
  </r>
  <r>
    <x v="11"/>
    <x v="257"/>
    <x v="165"/>
    <x v="8"/>
    <x v="118"/>
    <x v="49"/>
    <x v="93"/>
    <x v="0"/>
    <x v="2"/>
  </r>
  <r>
    <x v="12"/>
    <x v="194"/>
    <x v="12"/>
    <x v="3"/>
    <x v="134"/>
    <x v="82"/>
    <x v="66"/>
    <x v="0"/>
    <x v="4"/>
  </r>
  <r>
    <x v="12"/>
    <x v="37"/>
    <x v="170"/>
    <x v="8"/>
    <x v="130"/>
    <x v="49"/>
    <x v="108"/>
    <x v="0"/>
    <x v="2"/>
  </r>
  <r>
    <x v="12"/>
    <x v="67"/>
    <x v="171"/>
    <x v="9"/>
    <x v="68"/>
    <x v="32"/>
    <x v="44"/>
    <x v="0"/>
    <x v="2"/>
  </r>
  <r>
    <x v="12"/>
    <x v="96"/>
    <x v="173"/>
    <x v="9"/>
    <x v="52"/>
    <x v="36"/>
    <x v="24"/>
    <x v="0"/>
    <x v="2"/>
  </r>
  <r>
    <x v="12"/>
    <x v="94"/>
    <x v="172"/>
    <x v="2"/>
    <x v="193"/>
    <x v="74"/>
    <x v="137"/>
    <x v="0"/>
    <x v="2"/>
  </r>
  <r>
    <x v="12"/>
    <x v="34"/>
    <x v="169"/>
    <x v="2"/>
    <x v="256"/>
    <x v="75"/>
    <x v="214"/>
    <x v="0"/>
    <x v="2"/>
  </r>
  <r>
    <x v="12"/>
    <x v="3"/>
    <x v="168"/>
    <x v="8"/>
    <x v="178"/>
    <x v="57"/>
    <x v="167"/>
    <x v="0"/>
    <x v="2"/>
  </r>
  <r>
    <x v="12"/>
    <x v="198"/>
    <x v="175"/>
    <x v="5"/>
    <x v="5"/>
    <x v="3"/>
    <x v="5"/>
    <x v="0"/>
    <x v="2"/>
  </r>
  <r>
    <x v="12"/>
    <x v="182"/>
    <x v="174"/>
    <x v="7"/>
    <x v="31"/>
    <x v="20"/>
    <x v="15"/>
    <x v="0"/>
    <x v="2"/>
  </r>
  <r>
    <x v="12"/>
    <x v="283"/>
    <x v="179"/>
    <x v="5"/>
    <x v="1"/>
    <x v="2"/>
    <x v="0"/>
    <x v="0"/>
    <x v="2"/>
  </r>
  <r>
    <x v="12"/>
    <x v="241"/>
    <x v="176"/>
    <x v="8"/>
    <x v="106"/>
    <x v="52"/>
    <x v="75"/>
    <x v="0"/>
    <x v="2"/>
  </r>
  <r>
    <x v="12"/>
    <x v="258"/>
    <x v="177"/>
    <x v="5"/>
    <x v="5"/>
    <x v="3"/>
    <x v="5"/>
    <x v="0"/>
    <x v="2"/>
  </r>
  <r>
    <x v="12"/>
    <x v="278"/>
    <x v="178"/>
    <x v="3"/>
    <x v="244"/>
    <x v="81"/>
    <x v="194"/>
    <x v="0"/>
    <x v="2"/>
  </r>
  <r>
    <x v="13"/>
    <x v="89"/>
    <x v="183"/>
    <x v="9"/>
    <x v="54"/>
    <x v="31"/>
    <x v="31"/>
    <x v="0"/>
    <x v="2"/>
  </r>
  <r>
    <x v="13"/>
    <x v="33"/>
    <x v="181"/>
    <x v="9"/>
    <x v="63"/>
    <x v="29"/>
    <x v="43"/>
    <x v="0"/>
    <x v="2"/>
  </r>
  <r>
    <x v="13"/>
    <x v="140"/>
    <x v="188"/>
    <x v="2"/>
    <x v="201"/>
    <x v="70"/>
    <x v="143"/>
    <x v="0"/>
    <x v="2"/>
  </r>
  <r>
    <x v="13"/>
    <x v="66"/>
    <x v="182"/>
    <x v="2"/>
    <x v="264"/>
    <x v="71"/>
    <x v="223"/>
    <x v="0"/>
    <x v="2"/>
  </r>
  <r>
    <x v="13"/>
    <x v="171"/>
    <x v="191"/>
    <x v="0"/>
    <x v="132"/>
    <x v="75"/>
    <x v="70"/>
    <x v="0"/>
    <x v="5"/>
  </r>
  <r>
    <x v="13"/>
    <x v="124"/>
    <x v="186"/>
    <x v="0"/>
    <x v="215"/>
    <x v="64"/>
    <x v="164"/>
    <x v="0"/>
    <x v="0"/>
  </r>
  <r>
    <x v="13"/>
    <x v="93"/>
    <x v="184"/>
    <x v="8"/>
    <x v="161"/>
    <x v="52"/>
    <x v="144"/>
    <x v="0"/>
    <x v="2"/>
  </r>
  <r>
    <x v="13"/>
    <x v="16"/>
    <x v="180"/>
    <x v="8"/>
    <x v="181"/>
    <x v="52"/>
    <x v="171"/>
    <x v="0"/>
    <x v="2"/>
  </r>
  <r>
    <x v="13"/>
    <x v="96"/>
    <x v="185"/>
    <x v="0"/>
    <x v="179"/>
    <x v="64"/>
    <x v="136"/>
    <x v="0"/>
    <x v="0"/>
  </r>
  <r>
    <x v="13"/>
    <x v="134"/>
    <x v="187"/>
    <x v="0"/>
    <x v="222"/>
    <x v="64"/>
    <x v="175"/>
    <x v="0"/>
    <x v="0"/>
  </r>
  <r>
    <x v="13"/>
    <x v="144"/>
    <x v="189"/>
    <x v="0"/>
    <x v="228"/>
    <x v="64"/>
    <x v="191"/>
    <x v="0"/>
    <x v="0"/>
  </r>
  <r>
    <x v="6"/>
    <x v="233"/>
    <x v="102"/>
    <x v="1"/>
    <x v="48"/>
    <x v="12"/>
    <x v="44"/>
    <x v="0"/>
    <x v="1"/>
  </r>
  <r>
    <x v="6"/>
    <x v="190"/>
    <x v="100"/>
    <x v="1"/>
    <x v="45"/>
    <x v="10"/>
    <x v="39"/>
    <x v="0"/>
    <x v="1"/>
  </r>
  <r>
    <x v="13"/>
    <x v="287"/>
    <x v="196"/>
    <x v="5"/>
    <x v="6"/>
    <x v="4"/>
    <x v="5"/>
    <x v="0"/>
    <x v="2"/>
  </r>
  <r>
    <x v="13"/>
    <x v="274"/>
    <x v="195"/>
    <x v="3"/>
    <x v="244"/>
    <x v="85"/>
    <x v="190"/>
    <x v="0"/>
    <x v="2"/>
  </r>
  <r>
    <x v="13"/>
    <x v="251"/>
    <x v="194"/>
    <x v="8"/>
    <x v="110"/>
    <x v="49"/>
    <x v="82"/>
    <x v="0"/>
    <x v="2"/>
  </r>
  <r>
    <x v="13"/>
    <x v="188"/>
    <x v="192"/>
    <x v="5"/>
    <x v="10"/>
    <x v="3"/>
    <x v="10"/>
    <x v="0"/>
    <x v="2"/>
  </r>
  <r>
    <x v="13"/>
    <x v="156"/>
    <x v="190"/>
    <x v="7"/>
    <x v="36"/>
    <x v="20"/>
    <x v="20"/>
    <x v="0"/>
    <x v="5"/>
  </r>
  <r>
    <x v="13"/>
    <x v="213"/>
    <x v="193"/>
    <x v="7"/>
    <x v="40"/>
    <x v="23"/>
    <x v="22"/>
    <x v="0"/>
    <x v="5"/>
  </r>
  <r>
    <x v="13"/>
    <x v="197"/>
    <x v="399"/>
    <x v="3"/>
    <x v="154"/>
    <x v="66"/>
    <x v="98"/>
    <x v="0"/>
    <x v="3"/>
  </r>
  <r>
    <x v="14"/>
    <x v="289"/>
    <x v="209"/>
    <x v="3"/>
    <x v="262"/>
    <x v="88"/>
    <x v="220"/>
    <x v="0"/>
    <x v="2"/>
  </r>
  <r>
    <x v="14"/>
    <x v="274"/>
    <x v="208"/>
    <x v="5"/>
    <x v="9"/>
    <x v="4"/>
    <x v="8"/>
    <x v="0"/>
    <x v="2"/>
  </r>
  <r>
    <x v="14"/>
    <x v="14"/>
    <x v="198"/>
    <x v="8"/>
    <x v="191"/>
    <x v="51"/>
    <x v="182"/>
    <x v="0"/>
    <x v="2"/>
  </r>
  <r>
    <x v="14"/>
    <x v="94"/>
    <x v="201"/>
    <x v="8"/>
    <x v="145"/>
    <x v="50"/>
    <x v="119"/>
    <x v="0"/>
    <x v="2"/>
  </r>
  <r>
    <x v="14"/>
    <x v="96"/>
    <x v="202"/>
    <x v="9"/>
    <x v="59"/>
    <x v="32"/>
    <x v="36"/>
    <x v="0"/>
    <x v="2"/>
  </r>
  <r>
    <x v="14"/>
    <x v="35"/>
    <x v="199"/>
    <x v="9"/>
    <x v="64"/>
    <x v="30"/>
    <x v="43"/>
    <x v="0"/>
    <x v="2"/>
  </r>
  <r>
    <x v="14"/>
    <x v="184"/>
    <x v="205"/>
    <x v="5"/>
    <x v="9"/>
    <x v="9"/>
    <x v="3"/>
    <x v="0"/>
    <x v="2"/>
  </r>
  <r>
    <x v="14"/>
    <x v="108"/>
    <x v="203"/>
    <x v="2"/>
    <x v="152"/>
    <x v="75"/>
    <x v="92"/>
    <x v="0"/>
    <x v="2"/>
  </r>
  <r>
    <x v="14"/>
    <x v="41"/>
    <x v="200"/>
    <x v="2"/>
    <x v="250"/>
    <x v="80"/>
    <x v="200"/>
    <x v="0"/>
    <x v="2"/>
  </r>
  <r>
    <x v="14"/>
    <x v="192"/>
    <x v="206"/>
    <x v="7"/>
    <x v="30"/>
    <x v="17"/>
    <x v="17"/>
    <x v="0"/>
    <x v="2"/>
  </r>
  <r>
    <x v="14"/>
    <x v="146"/>
    <x v="204"/>
    <x v="7"/>
    <x v="20"/>
    <x v="14"/>
    <x v="8"/>
    <x v="0"/>
    <x v="2"/>
  </r>
  <r>
    <x v="14"/>
    <x v="13"/>
    <x v="197"/>
    <x v="3"/>
    <x v="189"/>
    <x v="87"/>
    <x v="125"/>
    <x v="0"/>
    <x v="2"/>
  </r>
  <r>
    <x v="14"/>
    <x v="253"/>
    <x v="207"/>
    <x v="8"/>
    <x v="113"/>
    <x v="51"/>
    <x v="86"/>
    <x v="0"/>
    <x v="2"/>
  </r>
  <r>
    <x v="15"/>
    <x v="281"/>
    <x v="220"/>
    <x v="3"/>
    <x v="247"/>
    <x v="92"/>
    <x v="187"/>
    <x v="0"/>
    <x v="2"/>
  </r>
  <r>
    <x v="15"/>
    <x v="270"/>
    <x v="219"/>
    <x v="5"/>
    <x v="10"/>
    <x v="4"/>
    <x v="9"/>
    <x v="0"/>
    <x v="2"/>
  </r>
  <r>
    <x v="15"/>
    <x v="210"/>
    <x v="217"/>
    <x v="7"/>
    <x v="37"/>
    <x v="23"/>
    <x v="19"/>
    <x v="0"/>
    <x v="2"/>
  </r>
  <r>
    <x v="15"/>
    <x v="136"/>
    <x v="215"/>
    <x v="7"/>
    <x v="26"/>
    <x v="20"/>
    <x v="10"/>
    <x v="0"/>
    <x v="5"/>
  </r>
  <r>
    <x v="15"/>
    <x v="116"/>
    <x v="213"/>
    <x v="9"/>
    <x v="81"/>
    <x v="35"/>
    <x v="61"/>
    <x v="0"/>
    <x v="2"/>
  </r>
  <r>
    <x v="15"/>
    <x v="45"/>
    <x v="211"/>
    <x v="3"/>
    <x v="242"/>
    <x v="87"/>
    <x v="183"/>
    <x v="0"/>
    <x v="2"/>
  </r>
  <r>
    <x v="15"/>
    <x v="119"/>
    <x v="214"/>
    <x v="3"/>
    <x v="241"/>
    <x v="84"/>
    <x v="184"/>
    <x v="0"/>
    <x v="2"/>
  </r>
  <r>
    <x v="15"/>
    <x v="181"/>
    <x v="216"/>
    <x v="5"/>
    <x v="5"/>
    <x v="3"/>
    <x v="5"/>
    <x v="0"/>
    <x v="2"/>
  </r>
  <r>
    <x v="15"/>
    <x v="251"/>
    <x v="218"/>
    <x v="8"/>
    <x v="112"/>
    <x v="51"/>
    <x v="85"/>
    <x v="0"/>
    <x v="2"/>
  </r>
  <r>
    <x v="15"/>
    <x v="9"/>
    <x v="210"/>
    <x v="8"/>
    <x v="206"/>
    <x v="52"/>
    <x v="205"/>
    <x v="0"/>
    <x v="2"/>
  </r>
  <r>
    <x v="15"/>
    <x v="61"/>
    <x v="212"/>
    <x v="8"/>
    <x v="153"/>
    <x v="51"/>
    <x v="128"/>
    <x v="0"/>
    <x v="2"/>
  </r>
  <r>
    <x v="16"/>
    <x v="84"/>
    <x v="223"/>
    <x v="8"/>
    <x v="149"/>
    <x v="56"/>
    <x v="123"/>
    <x v="0"/>
    <x v="2"/>
  </r>
  <r>
    <x v="16"/>
    <x v="88"/>
    <x v="224"/>
    <x v="9"/>
    <x v="70"/>
    <x v="29"/>
    <x v="50"/>
    <x v="0"/>
    <x v="2"/>
  </r>
  <r>
    <x v="16"/>
    <x v="44"/>
    <x v="222"/>
    <x v="2"/>
    <x v="240"/>
    <x v="72"/>
    <x v="192"/>
    <x v="0"/>
    <x v="2"/>
  </r>
  <r>
    <x v="16"/>
    <x v="125"/>
    <x v="225"/>
    <x v="2"/>
    <x v="229"/>
    <x v="71"/>
    <x v="177"/>
    <x v="0"/>
    <x v="2"/>
  </r>
  <r>
    <x v="16"/>
    <x v="219"/>
    <x v="2"/>
    <x v="3"/>
    <x v="150"/>
    <x v="83"/>
    <x v="91"/>
    <x v="0"/>
    <x v="3"/>
  </r>
  <r>
    <x v="16"/>
    <x v="186"/>
    <x v="227"/>
    <x v="5"/>
    <x v="12"/>
    <x v="8"/>
    <x v="7"/>
    <x v="0"/>
    <x v="2"/>
  </r>
  <r>
    <x v="16"/>
    <x v="15"/>
    <x v="221"/>
    <x v="8"/>
    <x v="204"/>
    <x v="52"/>
    <x v="203"/>
    <x v="0"/>
    <x v="2"/>
  </r>
  <r>
    <x v="16"/>
    <x v="269"/>
    <x v="231"/>
    <x v="5"/>
    <x v="6"/>
    <x v="3"/>
    <x v="6"/>
    <x v="0"/>
    <x v="2"/>
  </r>
  <r>
    <x v="16"/>
    <x v="227"/>
    <x v="229"/>
    <x v="7"/>
    <x v="39"/>
    <x v="25"/>
    <x v="19"/>
    <x v="0"/>
    <x v="5"/>
  </r>
  <r>
    <x v="16"/>
    <x v="189"/>
    <x v="228"/>
    <x v="7"/>
    <x v="34"/>
    <x v="21"/>
    <x v="17"/>
    <x v="0"/>
    <x v="5"/>
  </r>
  <r>
    <x v="16"/>
    <x v="153"/>
    <x v="226"/>
    <x v="7"/>
    <x v="34"/>
    <x v="21"/>
    <x v="17"/>
    <x v="0"/>
    <x v="5"/>
  </r>
  <r>
    <x v="16"/>
    <x v="250"/>
    <x v="230"/>
    <x v="8"/>
    <x v="100"/>
    <x v="49"/>
    <x v="71"/>
    <x v="0"/>
    <x v="2"/>
  </r>
  <r>
    <x v="16"/>
    <x v="278"/>
    <x v="232"/>
    <x v="3"/>
    <x v="233"/>
    <x v="90"/>
    <x v="172"/>
    <x v="0"/>
    <x v="2"/>
  </r>
  <r>
    <x v="17"/>
    <x v="17"/>
    <x v="233"/>
    <x v="3"/>
    <x v="175"/>
    <x v="89"/>
    <x v="115"/>
    <x v="0"/>
    <x v="2"/>
  </r>
  <r>
    <x v="17"/>
    <x v="82"/>
    <x v="236"/>
    <x v="9"/>
    <x v="66"/>
    <x v="29"/>
    <x v="45"/>
    <x v="0"/>
    <x v="2"/>
  </r>
  <r>
    <x v="17"/>
    <x v="19"/>
    <x v="234"/>
    <x v="8"/>
    <x v="188"/>
    <x v="50"/>
    <x v="180"/>
    <x v="0"/>
    <x v="2"/>
  </r>
  <r>
    <x v="17"/>
    <x v="80"/>
    <x v="235"/>
    <x v="8"/>
    <x v="137"/>
    <x v="53"/>
    <x v="111"/>
    <x v="0"/>
    <x v="2"/>
  </r>
  <r>
    <x v="17"/>
    <x v="97"/>
    <x v="237"/>
    <x v="2"/>
    <x v="261"/>
    <x v="70"/>
    <x v="221"/>
    <x v="0"/>
    <x v="2"/>
  </r>
  <r>
    <x v="17"/>
    <x v="222"/>
    <x v="241"/>
    <x v="7"/>
    <x v="44"/>
    <x v="23"/>
    <x v="28"/>
    <x v="0"/>
    <x v="5"/>
  </r>
  <r>
    <x v="17"/>
    <x v="174"/>
    <x v="239"/>
    <x v="7"/>
    <x v="34"/>
    <x v="23"/>
    <x v="15"/>
    <x v="0"/>
    <x v="5"/>
  </r>
  <r>
    <x v="17"/>
    <x v="141"/>
    <x v="238"/>
    <x v="7"/>
    <x v="36"/>
    <x v="23"/>
    <x v="17"/>
    <x v="0"/>
    <x v="5"/>
  </r>
  <r>
    <x v="17"/>
    <x v="183"/>
    <x v="240"/>
    <x v="5"/>
    <x v="12"/>
    <x v="3"/>
    <x v="12"/>
    <x v="0"/>
    <x v="2"/>
  </r>
  <r>
    <x v="17"/>
    <x v="269"/>
    <x v="243"/>
    <x v="3"/>
    <x v="224"/>
    <x v="89"/>
    <x v="163"/>
    <x v="0"/>
    <x v="2"/>
  </r>
  <r>
    <x v="17"/>
    <x v="271"/>
    <x v="244"/>
    <x v="5"/>
    <x v="5"/>
    <x v="2"/>
    <x v="6"/>
    <x v="0"/>
    <x v="2"/>
  </r>
  <r>
    <x v="17"/>
    <x v="245"/>
    <x v="242"/>
    <x v="8"/>
    <x v="97"/>
    <x v="52"/>
    <x v="65"/>
    <x v="0"/>
    <x v="2"/>
  </r>
  <r>
    <x v="17"/>
    <x v="177"/>
    <x v="13"/>
    <x v="3"/>
    <x v="159"/>
    <x v="86"/>
    <x v="97"/>
    <x v="0"/>
    <x v="4"/>
  </r>
  <r>
    <x v="18"/>
    <x v="49"/>
    <x v="246"/>
    <x v="2"/>
    <x v="235"/>
    <x v="66"/>
    <x v="185"/>
    <x v="0"/>
    <x v="2"/>
  </r>
  <r>
    <x v="18"/>
    <x v="111"/>
    <x v="248"/>
    <x v="9"/>
    <x v="73"/>
    <x v="34"/>
    <x v="49"/>
    <x v="0"/>
    <x v="2"/>
  </r>
  <r>
    <x v="18"/>
    <x v="117"/>
    <x v="249"/>
    <x v="2"/>
    <x v="198"/>
    <x v="65"/>
    <x v="142"/>
    <x v="0"/>
    <x v="2"/>
  </r>
  <r>
    <x v="18"/>
    <x v="63"/>
    <x v="247"/>
    <x v="8"/>
    <x v="138"/>
    <x v="52"/>
    <x v="112"/>
    <x v="0"/>
    <x v="2"/>
  </r>
  <r>
    <x v="18"/>
    <x v="21"/>
    <x v="245"/>
    <x v="8"/>
    <x v="205"/>
    <x v="52"/>
    <x v="204"/>
    <x v="0"/>
    <x v="2"/>
  </r>
  <r>
    <x v="18"/>
    <x v="275"/>
    <x v="254"/>
    <x v="3"/>
    <x v="230"/>
    <x v="86"/>
    <x v="170"/>
    <x v="0"/>
    <x v="2"/>
  </r>
  <r>
    <x v="18"/>
    <x v="255"/>
    <x v="253"/>
    <x v="8"/>
    <x v="116"/>
    <x v="49"/>
    <x v="91"/>
    <x v="0"/>
    <x v="2"/>
  </r>
  <r>
    <x v="18"/>
    <x v="277"/>
    <x v="255"/>
    <x v="5"/>
    <x v="13"/>
    <x v="4"/>
    <x v="12"/>
    <x v="0"/>
    <x v="2"/>
  </r>
  <r>
    <x v="18"/>
    <x v="152"/>
    <x v="250"/>
    <x v="7"/>
    <x v="31"/>
    <x v="20"/>
    <x v="15"/>
    <x v="0"/>
    <x v="5"/>
  </r>
  <r>
    <x v="18"/>
    <x v="218"/>
    <x v="252"/>
    <x v="7"/>
    <x v="39"/>
    <x v="19"/>
    <x v="24"/>
    <x v="0"/>
    <x v="5"/>
  </r>
  <r>
    <x v="18"/>
    <x v="205"/>
    <x v="251"/>
    <x v="5"/>
    <x v="15"/>
    <x v="8"/>
    <x v="10"/>
    <x v="0"/>
    <x v="2"/>
  </r>
  <r>
    <x v="19"/>
    <x v="101"/>
    <x v="260"/>
    <x v="8"/>
    <x v="142"/>
    <x v="47"/>
    <x v="117"/>
    <x v="0"/>
    <x v="2"/>
  </r>
  <r>
    <x v="19"/>
    <x v="105"/>
    <x v="261"/>
    <x v="2"/>
    <x v="211"/>
    <x v="73"/>
    <x v="151"/>
    <x v="0"/>
    <x v="2"/>
  </r>
  <r>
    <x v="19"/>
    <x v="46"/>
    <x v="258"/>
    <x v="2"/>
    <x v="227"/>
    <x v="74"/>
    <x v="172"/>
    <x v="0"/>
    <x v="2"/>
  </r>
  <r>
    <x v="19"/>
    <x v="98"/>
    <x v="259"/>
    <x v="9"/>
    <x v="55"/>
    <x v="31"/>
    <x v="33"/>
    <x v="0"/>
    <x v="2"/>
  </r>
  <r>
    <x v="19"/>
    <x v="42"/>
    <x v="257"/>
    <x v="9"/>
    <x v="57"/>
    <x v="28"/>
    <x v="38"/>
    <x v="0"/>
    <x v="2"/>
  </r>
  <r>
    <x v="19"/>
    <x v="28"/>
    <x v="256"/>
    <x v="8"/>
    <x v="195"/>
    <x v="49"/>
    <x v="191"/>
    <x v="0"/>
    <x v="2"/>
  </r>
  <r>
    <x v="19"/>
    <x v="182"/>
    <x v="14"/>
    <x v="3"/>
    <x v="135"/>
    <x v="84"/>
    <x v="67"/>
    <x v="0"/>
    <x v="4"/>
  </r>
  <r>
    <x v="19"/>
    <x v="179"/>
    <x v="263"/>
    <x v="5"/>
    <x v="12"/>
    <x v="8"/>
    <x v="7"/>
    <x v="0"/>
    <x v="2"/>
  </r>
  <r>
    <x v="19"/>
    <x v="234"/>
    <x v="264"/>
    <x v="1"/>
    <x v="19"/>
    <x v="16"/>
    <x v="5"/>
    <x v="0"/>
    <x v="1"/>
  </r>
  <r>
    <x v="19"/>
    <x v="240"/>
    <x v="265"/>
    <x v="8"/>
    <x v="95"/>
    <x v="51"/>
    <x v="63"/>
    <x v="0"/>
    <x v="2"/>
  </r>
  <r>
    <x v="19"/>
    <x v="270"/>
    <x v="266"/>
    <x v="3"/>
    <x v="233"/>
    <x v="88"/>
    <x v="173"/>
    <x v="0"/>
    <x v="2"/>
  </r>
  <r>
    <x v="19"/>
    <x v="279"/>
    <x v="267"/>
    <x v="5"/>
    <x v="6"/>
    <x v="2"/>
    <x v="7"/>
    <x v="0"/>
    <x v="2"/>
  </r>
  <r>
    <x v="20"/>
    <x v="89"/>
    <x v="271"/>
    <x v="9"/>
    <x v="60"/>
    <x v="32"/>
    <x v="37"/>
    <x v="0"/>
    <x v="2"/>
  </r>
  <r>
    <x v="20"/>
    <x v="94"/>
    <x v="272"/>
    <x v="8"/>
    <x v="156"/>
    <x v="51"/>
    <x v="132"/>
    <x v="0"/>
    <x v="2"/>
  </r>
  <r>
    <x v="20"/>
    <x v="18"/>
    <x v="268"/>
    <x v="8"/>
    <x v="200"/>
    <x v="51"/>
    <x v="196"/>
    <x v="0"/>
    <x v="2"/>
  </r>
  <r>
    <x v="20"/>
    <x v="30"/>
    <x v="269"/>
    <x v="9"/>
    <x v="56"/>
    <x v="30"/>
    <x v="36"/>
    <x v="0"/>
    <x v="2"/>
  </r>
  <r>
    <x v="20"/>
    <x v="39"/>
    <x v="270"/>
    <x v="2"/>
    <x v="248"/>
    <x v="70"/>
    <x v="202"/>
    <x v="0"/>
    <x v="2"/>
  </r>
  <r>
    <x v="20"/>
    <x v="109"/>
    <x v="273"/>
    <x v="2"/>
    <x v="213"/>
    <x v="69"/>
    <x v="153"/>
    <x v="0"/>
    <x v="2"/>
  </r>
  <r>
    <x v="19"/>
    <x v="161"/>
    <x v="262"/>
    <x v="10"/>
    <x v="86"/>
    <x v="39"/>
    <x v="44"/>
    <x v="0"/>
    <x v="5"/>
  </r>
  <r>
    <x v="20"/>
    <x v="162"/>
    <x v="276"/>
    <x v="5"/>
    <x v="15"/>
    <x v="2"/>
    <x v="16"/>
    <x v="0"/>
    <x v="2"/>
  </r>
  <r>
    <x v="20"/>
    <x v="204"/>
    <x v="278"/>
    <x v="5"/>
    <x v="4"/>
    <x v="2"/>
    <x v="5"/>
    <x v="0"/>
    <x v="2"/>
  </r>
  <r>
    <x v="20"/>
    <x v="280"/>
    <x v="283"/>
    <x v="5"/>
    <x v="6"/>
    <x v="3"/>
    <x v="6"/>
    <x v="0"/>
    <x v="2"/>
  </r>
  <r>
    <x v="20"/>
    <x v="261"/>
    <x v="282"/>
    <x v="3"/>
    <x v="230"/>
    <x v="89"/>
    <x v="169"/>
    <x v="0"/>
    <x v="2"/>
  </r>
  <r>
    <x v="20"/>
    <x v="245"/>
    <x v="281"/>
    <x v="8"/>
    <x v="98"/>
    <x v="49"/>
    <x v="68"/>
    <x v="0"/>
    <x v="2"/>
  </r>
  <r>
    <x v="20"/>
    <x v="157"/>
    <x v="275"/>
    <x v="10"/>
    <x v="85"/>
    <x v="38"/>
    <x v="44"/>
    <x v="0"/>
    <x v="5"/>
  </r>
  <r>
    <x v="20"/>
    <x v="208"/>
    <x v="279"/>
    <x v="10"/>
    <x v="87"/>
    <x v="38"/>
    <x v="56"/>
    <x v="0"/>
    <x v="5"/>
  </r>
  <r>
    <x v="20"/>
    <x v="224"/>
    <x v="280"/>
    <x v="7"/>
    <x v="26"/>
    <x v="19"/>
    <x v="11"/>
    <x v="0"/>
    <x v="5"/>
  </r>
  <r>
    <x v="20"/>
    <x v="156"/>
    <x v="274"/>
    <x v="7"/>
    <x v="34"/>
    <x v="20"/>
    <x v="18"/>
    <x v="0"/>
    <x v="5"/>
  </r>
  <r>
    <x v="20"/>
    <x v="190"/>
    <x v="277"/>
    <x v="7"/>
    <x v="24"/>
    <x v="16"/>
    <x v="12"/>
    <x v="0"/>
    <x v="5"/>
  </r>
  <r>
    <x v="20"/>
    <x v="223"/>
    <x v="399"/>
    <x v="3"/>
    <x v="157"/>
    <x v="66"/>
    <x v="100"/>
    <x v="0"/>
    <x v="3"/>
  </r>
  <r>
    <x v="21"/>
    <x v="182"/>
    <x v="15"/>
    <x v="3"/>
    <x v="130"/>
    <x v="86"/>
    <x v="58"/>
    <x v="0"/>
    <x v="4"/>
  </r>
  <r>
    <x v="21"/>
    <x v="153"/>
    <x v="290"/>
    <x v="5"/>
    <x v="10"/>
    <x v="4"/>
    <x v="9"/>
    <x v="0"/>
    <x v="2"/>
  </r>
  <r>
    <x v="21"/>
    <x v="272"/>
    <x v="294"/>
    <x v="3"/>
    <x v="254"/>
    <x v="85"/>
    <x v="208"/>
    <x v="0"/>
    <x v="2"/>
  </r>
  <r>
    <x v="21"/>
    <x v="112"/>
    <x v="288"/>
    <x v="2"/>
    <x v="258"/>
    <x v="68"/>
    <x v="219"/>
    <x v="0"/>
    <x v="2"/>
  </r>
  <r>
    <x v="21"/>
    <x v="243"/>
    <x v="292"/>
    <x v="8"/>
    <x v="96"/>
    <x v="52"/>
    <x v="64"/>
    <x v="0"/>
    <x v="2"/>
  </r>
  <r>
    <x v="21"/>
    <x v="174"/>
    <x v="291"/>
    <x v="7"/>
    <x v="34"/>
    <x v="18"/>
    <x v="20"/>
    <x v="0"/>
    <x v="2"/>
  </r>
  <r>
    <x v="21"/>
    <x v="5"/>
    <x v="284"/>
    <x v="8"/>
    <x v="197"/>
    <x v="55"/>
    <x v="188"/>
    <x v="0"/>
    <x v="2"/>
  </r>
  <r>
    <x v="21"/>
    <x v="267"/>
    <x v="293"/>
    <x v="5"/>
    <x v="11"/>
    <x v="4"/>
    <x v="10"/>
    <x v="0"/>
    <x v="2"/>
  </r>
  <r>
    <x v="21"/>
    <x v="52"/>
    <x v="286"/>
    <x v="8"/>
    <x v="155"/>
    <x v="48"/>
    <x v="131"/>
    <x v="0"/>
    <x v="2"/>
  </r>
  <r>
    <x v="21"/>
    <x v="19"/>
    <x v="285"/>
    <x v="3"/>
    <x v="194"/>
    <x v="88"/>
    <x v="130"/>
    <x v="0"/>
    <x v="2"/>
  </r>
  <r>
    <x v="21"/>
    <x v="120"/>
    <x v="289"/>
    <x v="9"/>
    <x v="55"/>
    <x v="34"/>
    <x v="30"/>
    <x v="0"/>
    <x v="2"/>
  </r>
  <r>
    <x v="21"/>
    <x v="78"/>
    <x v="287"/>
    <x v="9"/>
    <x v="65"/>
    <x v="28"/>
    <x v="45"/>
    <x v="0"/>
    <x v="2"/>
  </r>
  <r>
    <x v="22"/>
    <x v="92"/>
    <x v="300"/>
    <x v="2"/>
    <x v="219"/>
    <x v="79"/>
    <x v="160"/>
    <x v="0"/>
    <x v="2"/>
  </r>
  <r>
    <x v="22"/>
    <x v="142"/>
    <x v="301"/>
    <x v="5"/>
    <x v="11"/>
    <x v="3"/>
    <x v="11"/>
    <x v="0"/>
    <x v="2"/>
  </r>
  <r>
    <x v="22"/>
    <x v="270"/>
    <x v="304"/>
    <x v="3"/>
    <x v="257"/>
    <x v="91"/>
    <x v="212"/>
    <x v="0"/>
    <x v="2"/>
  </r>
  <r>
    <x v="22"/>
    <x v="272"/>
    <x v="305"/>
    <x v="5"/>
    <x v="10"/>
    <x v="4"/>
    <x v="9"/>
    <x v="0"/>
    <x v="2"/>
  </r>
  <r>
    <x v="22"/>
    <x v="174"/>
    <x v="302"/>
    <x v="5"/>
    <x v="4"/>
    <x v="3"/>
    <x v="4"/>
    <x v="0"/>
    <x v="2"/>
  </r>
  <r>
    <x v="22"/>
    <x v="40"/>
    <x v="297"/>
    <x v="2"/>
    <x v="249"/>
    <x v="81"/>
    <x v="198"/>
    <x v="0"/>
    <x v="2"/>
  </r>
  <r>
    <x v="22"/>
    <x v="242"/>
    <x v="303"/>
    <x v="8"/>
    <x v="105"/>
    <x v="49"/>
    <x v="76"/>
    <x v="0"/>
    <x v="2"/>
  </r>
  <r>
    <x v="23"/>
    <x v="86"/>
    <x v="310"/>
    <x v="9"/>
    <x v="49"/>
    <x v="31"/>
    <x v="24"/>
    <x v="0"/>
    <x v="2"/>
  </r>
  <r>
    <x v="23"/>
    <x v="29"/>
    <x v="307"/>
    <x v="9"/>
    <x v="61"/>
    <x v="29"/>
    <x v="39"/>
    <x v="0"/>
    <x v="2"/>
  </r>
  <r>
    <x v="23"/>
    <x v="123"/>
    <x v="311"/>
    <x v="2"/>
    <x v="172"/>
    <x v="78"/>
    <x v="113"/>
    <x v="0"/>
    <x v="2"/>
  </r>
  <r>
    <x v="23"/>
    <x v="60"/>
    <x v="308"/>
    <x v="2"/>
    <x v="263"/>
    <x v="81"/>
    <x v="222"/>
    <x v="0"/>
    <x v="2"/>
  </r>
  <r>
    <x v="23"/>
    <x v="66"/>
    <x v="309"/>
    <x v="8"/>
    <x v="140"/>
    <x v="50"/>
    <x v="114"/>
    <x v="0"/>
    <x v="2"/>
  </r>
  <r>
    <x v="23"/>
    <x v="6"/>
    <x v="306"/>
    <x v="8"/>
    <x v="186"/>
    <x v="50"/>
    <x v="178"/>
    <x v="0"/>
    <x v="2"/>
  </r>
  <r>
    <x v="23"/>
    <x v="282"/>
    <x v="318"/>
    <x v="5"/>
    <x v="5"/>
    <x v="3"/>
    <x v="5"/>
    <x v="0"/>
    <x v="2"/>
  </r>
  <r>
    <x v="23"/>
    <x v="278"/>
    <x v="317"/>
    <x v="2"/>
    <x v="222"/>
    <x v="82"/>
    <x v="162"/>
    <x v="0"/>
    <x v="2"/>
  </r>
  <r>
    <x v="23"/>
    <x v="217"/>
    <x v="315"/>
    <x v="7"/>
    <x v="30"/>
    <x v="19"/>
    <x v="15"/>
    <x v="0"/>
    <x v="5"/>
  </r>
  <r>
    <x v="23"/>
    <x v="147"/>
    <x v="312"/>
    <x v="7"/>
    <x v="31"/>
    <x v="20"/>
    <x v="15"/>
    <x v="0"/>
    <x v="5"/>
  </r>
  <r>
    <x v="23"/>
    <x v="253"/>
    <x v="316"/>
    <x v="8"/>
    <x v="98"/>
    <x v="52"/>
    <x v="66"/>
    <x v="0"/>
    <x v="2"/>
  </r>
  <r>
    <x v="23"/>
    <x v="155"/>
    <x v="313"/>
    <x v="5"/>
    <x v="11"/>
    <x v="2"/>
    <x v="12"/>
    <x v="0"/>
    <x v="2"/>
  </r>
  <r>
    <x v="23"/>
    <x v="209"/>
    <x v="314"/>
    <x v="5"/>
    <x v="3"/>
    <x v="3"/>
    <x v="3"/>
    <x v="0"/>
    <x v="2"/>
  </r>
  <r>
    <x v="24"/>
    <x v="9"/>
    <x v="319"/>
    <x v="8"/>
    <x v="177"/>
    <x v="60"/>
    <x v="165"/>
    <x v="0"/>
    <x v="2"/>
  </r>
  <r>
    <x v="23"/>
    <x v="225"/>
    <x v="3"/>
    <x v="2"/>
    <x v="144"/>
    <x v="69"/>
    <x v="90"/>
    <x v="0"/>
    <x v="3"/>
  </r>
  <r>
    <x v="24"/>
    <x v="50"/>
    <x v="321"/>
    <x v="8"/>
    <x v="145"/>
    <x v="52"/>
    <x v="118"/>
    <x v="0"/>
    <x v="2"/>
  </r>
  <r>
    <x v="24"/>
    <x v="79"/>
    <x v="322"/>
    <x v="9"/>
    <x v="78"/>
    <x v="34"/>
    <x v="54"/>
    <x v="0"/>
    <x v="2"/>
  </r>
  <r>
    <x v="24"/>
    <x v="47"/>
    <x v="320"/>
    <x v="2"/>
    <x v="238"/>
    <x v="82"/>
    <x v="183"/>
    <x v="0"/>
    <x v="2"/>
  </r>
  <r>
    <x v="24"/>
    <x v="119"/>
    <x v="323"/>
    <x v="2"/>
    <x v="192"/>
    <x v="80"/>
    <x v="129"/>
    <x v="0"/>
    <x v="2"/>
  </r>
  <r>
    <x v="22"/>
    <x v="19"/>
    <x v="295"/>
    <x v="8"/>
    <x v="210"/>
    <x v="51"/>
    <x v="207"/>
    <x v="0"/>
    <x v="2"/>
  </r>
  <r>
    <x v="22"/>
    <x v="81"/>
    <x v="298"/>
    <x v="8"/>
    <x v="162"/>
    <x v="52"/>
    <x v="150"/>
    <x v="0"/>
    <x v="2"/>
  </r>
  <r>
    <x v="22"/>
    <x v="81"/>
    <x v="296"/>
    <x v="9"/>
    <x v="71"/>
    <x v="29"/>
    <x v="51"/>
    <x v="0"/>
    <x v="2"/>
  </r>
  <r>
    <x v="22"/>
    <x v="145"/>
    <x v="299"/>
    <x v="9"/>
    <x v="51"/>
    <x v="32"/>
    <x v="26"/>
    <x v="0"/>
    <x v="2"/>
  </r>
  <r>
    <x v="24"/>
    <x v="270"/>
    <x v="330"/>
    <x v="5"/>
    <x v="6"/>
    <x v="4"/>
    <x v="5"/>
    <x v="0"/>
    <x v="2"/>
  </r>
  <r>
    <x v="24"/>
    <x v="267"/>
    <x v="329"/>
    <x v="3"/>
    <x v="212"/>
    <x v="89"/>
    <x v="149"/>
    <x v="0"/>
    <x v="2"/>
  </r>
  <r>
    <x v="24"/>
    <x v="195"/>
    <x v="326"/>
    <x v="5"/>
    <x v="3"/>
    <x v="3"/>
    <x v="3"/>
    <x v="0"/>
    <x v="2"/>
  </r>
  <r>
    <x v="24"/>
    <x v="151"/>
    <x v="324"/>
    <x v="5"/>
    <x v="7"/>
    <x v="3"/>
    <x v="7"/>
    <x v="0"/>
    <x v="2"/>
  </r>
  <r>
    <x v="24"/>
    <x v="245"/>
    <x v="328"/>
    <x v="8"/>
    <x v="101"/>
    <x v="50"/>
    <x v="71"/>
    <x v="0"/>
    <x v="2"/>
  </r>
  <r>
    <x v="24"/>
    <x v="229"/>
    <x v="327"/>
    <x v="7"/>
    <x v="33"/>
    <x v="17"/>
    <x v="20"/>
    <x v="0"/>
    <x v="5"/>
  </r>
  <r>
    <x v="24"/>
    <x v="157"/>
    <x v="325"/>
    <x v="7"/>
    <x v="23"/>
    <x v="18"/>
    <x v="9"/>
    <x v="0"/>
    <x v="5"/>
  </r>
  <r>
    <x v="24"/>
    <x v="204"/>
    <x v="16"/>
    <x v="2"/>
    <x v="139"/>
    <x v="76"/>
    <x v="83"/>
    <x v="0"/>
    <x v="4"/>
  </r>
  <r>
    <x v="25"/>
    <x v="172"/>
    <x v="339"/>
    <x v="4"/>
    <x v="115"/>
    <x v="62"/>
    <x v="78"/>
    <x v="0"/>
    <x v="5"/>
  </r>
  <r>
    <x v="25"/>
    <x v="168"/>
    <x v="338"/>
    <x v="4"/>
    <x v="104"/>
    <x v="61"/>
    <x v="67"/>
    <x v="0"/>
    <x v="5"/>
  </r>
  <r>
    <x v="25"/>
    <x v="196"/>
    <x v="7"/>
    <x v="4"/>
    <x v="114"/>
    <x v="63"/>
    <x v="74"/>
    <x v="0"/>
    <x v="4"/>
  </r>
  <r>
    <x v="25"/>
    <x v="220"/>
    <x v="342"/>
    <x v="7"/>
    <x v="27"/>
    <x v="20"/>
    <x v="11"/>
    <x v="0"/>
    <x v="5"/>
  </r>
  <r>
    <x v="25"/>
    <x v="176"/>
    <x v="340"/>
    <x v="7"/>
    <x v="41"/>
    <x v="21"/>
    <x v="24"/>
    <x v="0"/>
    <x v="5"/>
  </r>
  <r>
    <x v="25"/>
    <x v="201"/>
    <x v="341"/>
    <x v="5"/>
    <x v="5"/>
    <x v="3"/>
    <x v="5"/>
    <x v="0"/>
    <x v="2"/>
  </r>
  <r>
    <x v="25"/>
    <x v="143"/>
    <x v="337"/>
    <x v="5"/>
    <x v="5"/>
    <x v="3"/>
    <x v="5"/>
    <x v="0"/>
    <x v="2"/>
  </r>
  <r>
    <x v="25"/>
    <x v="133"/>
    <x v="336"/>
    <x v="7"/>
    <x v="36"/>
    <x v="20"/>
    <x v="20"/>
    <x v="0"/>
    <x v="5"/>
  </r>
  <r>
    <x v="25"/>
    <x v="127"/>
    <x v="335"/>
    <x v="2"/>
    <x v="202"/>
    <x v="74"/>
    <x v="144"/>
    <x v="0"/>
    <x v="2"/>
  </r>
  <r>
    <x v="25"/>
    <x v="53"/>
    <x v="332"/>
    <x v="2"/>
    <x v="229"/>
    <x v="74"/>
    <x v="176"/>
    <x v="0"/>
    <x v="2"/>
  </r>
  <r>
    <x v="25"/>
    <x v="87"/>
    <x v="334"/>
    <x v="8"/>
    <x v="151"/>
    <x v="51"/>
    <x v="126"/>
    <x v="0"/>
    <x v="2"/>
  </r>
  <r>
    <x v="25"/>
    <x v="85"/>
    <x v="333"/>
    <x v="9"/>
    <x v="67"/>
    <x v="33"/>
    <x v="42"/>
    <x v="0"/>
    <x v="2"/>
  </r>
  <r>
    <x v="25"/>
    <x v="253"/>
    <x v="343"/>
    <x v="8"/>
    <x v="94"/>
    <x v="46"/>
    <x v="65"/>
    <x v="0"/>
    <x v="2"/>
  </r>
  <r>
    <x v="25"/>
    <x v="283"/>
    <x v="344"/>
    <x v="3"/>
    <x v="218"/>
    <x v="86"/>
    <x v="155"/>
    <x v="0"/>
    <x v="2"/>
  </r>
  <r>
    <x v="25"/>
    <x v="12"/>
    <x v="331"/>
    <x v="8"/>
    <x v="187"/>
    <x v="50"/>
    <x v="179"/>
    <x v="0"/>
    <x v="2"/>
  </r>
  <r>
    <x v="25"/>
    <x v="288"/>
    <x v="345"/>
    <x v="5"/>
    <x v="6"/>
    <x v="4"/>
    <x v="5"/>
    <x v="0"/>
    <x v="2"/>
  </r>
  <r>
    <x v="26"/>
    <x v="74"/>
    <x v="348"/>
    <x v="8"/>
    <x v="141"/>
    <x v="53"/>
    <x v="114"/>
    <x v="0"/>
    <x v="2"/>
  </r>
  <r>
    <x v="26"/>
    <x v="8"/>
    <x v="346"/>
    <x v="8"/>
    <x v="182"/>
    <x v="52"/>
    <x v="172"/>
    <x v="0"/>
    <x v="2"/>
  </r>
  <r>
    <x v="26"/>
    <x v="46"/>
    <x v="347"/>
    <x v="2"/>
    <x v="208"/>
    <x v="82"/>
    <x v="147"/>
    <x v="0"/>
    <x v="2"/>
  </r>
  <r>
    <x v="26"/>
    <x v="123"/>
    <x v="350"/>
    <x v="2"/>
    <x v="193"/>
    <x v="81"/>
    <x v="133"/>
    <x v="0"/>
    <x v="2"/>
  </r>
  <r>
    <x v="26"/>
    <x v="85"/>
    <x v="349"/>
    <x v="9"/>
    <x v="65"/>
    <x v="32"/>
    <x v="41"/>
    <x v="0"/>
    <x v="2"/>
  </r>
  <r>
    <x v="26"/>
    <x v="237"/>
    <x v="353"/>
    <x v="6"/>
    <x v="90"/>
    <x v="42"/>
    <x v="62"/>
    <x v="0"/>
    <x v="2"/>
  </r>
  <r>
    <x v="26"/>
    <x v="223"/>
    <x v="351"/>
    <x v="7"/>
    <x v="39"/>
    <x v="18"/>
    <x v="25"/>
    <x v="0"/>
    <x v="5"/>
  </r>
  <r>
    <x v="26"/>
    <x v="290"/>
    <x v="354"/>
    <x v="3"/>
    <x v="188"/>
    <x v="88"/>
    <x v="124"/>
    <x v="0"/>
    <x v="2"/>
  </r>
  <r>
    <x v="26"/>
    <x v="232"/>
    <x v="352"/>
    <x v="1"/>
    <x v="17"/>
    <x v="12"/>
    <x v="6"/>
    <x v="0"/>
    <x v="1"/>
  </r>
  <r>
    <x v="26"/>
    <x v="185"/>
    <x v="17"/>
    <x v="3"/>
    <x v="129"/>
    <x v="84"/>
    <x v="59"/>
    <x v="0"/>
    <x v="4"/>
  </r>
  <r>
    <x v="27"/>
    <x v="68"/>
    <x v="357"/>
    <x v="8"/>
    <x v="129"/>
    <x v="49"/>
    <x v="107"/>
    <x v="0"/>
    <x v="2"/>
  </r>
  <r>
    <x v="27"/>
    <x v="122"/>
    <x v="358"/>
    <x v="9"/>
    <x v="76"/>
    <x v="35"/>
    <x v="52"/>
    <x v="0"/>
    <x v="2"/>
  </r>
  <r>
    <x v="27"/>
    <x v="27"/>
    <x v="355"/>
    <x v="8"/>
    <x v="209"/>
    <x v="50"/>
    <x v="207"/>
    <x v="0"/>
    <x v="2"/>
  </r>
  <r>
    <x v="27"/>
    <x v="59"/>
    <x v="356"/>
    <x v="2"/>
    <x v="253"/>
    <x v="80"/>
    <x v="209"/>
    <x v="0"/>
    <x v="2"/>
  </r>
  <r>
    <x v="27"/>
    <x v="129"/>
    <x v="359"/>
    <x v="2"/>
    <x v="207"/>
    <x v="79"/>
    <x v="146"/>
    <x v="0"/>
    <x v="2"/>
  </r>
  <r>
    <x v="27"/>
    <x v="194"/>
    <x v="4"/>
    <x v="3"/>
    <x v="157"/>
    <x v="79"/>
    <x v="94"/>
    <x v="0"/>
    <x v="3"/>
  </r>
  <r>
    <x v="27"/>
    <x v="274"/>
    <x v="364"/>
    <x v="5"/>
    <x v="4"/>
    <x v="3"/>
    <x v="4"/>
    <x v="0"/>
    <x v="2"/>
  </r>
  <r>
    <x v="27"/>
    <x v="263"/>
    <x v="363"/>
    <x v="3"/>
    <x v="219"/>
    <x v="87"/>
    <x v="157"/>
    <x v="0"/>
    <x v="2"/>
  </r>
  <r>
    <x v="27"/>
    <x v="216"/>
    <x v="361"/>
    <x v="7"/>
    <x v="28"/>
    <x v="20"/>
    <x v="12"/>
    <x v="0"/>
    <x v="5"/>
  </r>
  <r>
    <x v="27"/>
    <x v="191"/>
    <x v="360"/>
    <x v="5"/>
    <x v="10"/>
    <x v="7"/>
    <x v="6"/>
    <x v="0"/>
    <x v="2"/>
  </r>
  <r>
    <x v="27"/>
    <x v="247"/>
    <x v="362"/>
    <x v="8"/>
    <x v="111"/>
    <x v="51"/>
    <x v="84"/>
    <x v="0"/>
    <x v="2"/>
  </r>
  <r>
    <x v="28"/>
    <x v="181"/>
    <x v="18"/>
    <x v="3"/>
    <x v="126"/>
    <x v="85"/>
    <x v="49"/>
    <x v="0"/>
    <x v="4"/>
  </r>
  <r>
    <x v="28"/>
    <x v="269"/>
    <x v="373"/>
    <x v="3"/>
    <x v="239"/>
    <x v="87"/>
    <x v="181"/>
    <x v="0"/>
    <x v="2"/>
  </r>
  <r>
    <x v="28"/>
    <x v="273"/>
    <x v="374"/>
    <x v="5"/>
    <x v="9"/>
    <x v="5"/>
    <x v="7"/>
    <x v="0"/>
    <x v="2"/>
  </r>
  <r>
    <x v="28"/>
    <x v="23"/>
    <x v="366"/>
    <x v="8"/>
    <x v="203"/>
    <x v="52"/>
    <x v="201"/>
    <x v="0"/>
    <x v="2"/>
  </r>
  <r>
    <x v="28"/>
    <x v="104"/>
    <x v="368"/>
    <x v="8"/>
    <x v="148"/>
    <x v="57"/>
    <x v="122"/>
    <x v="0"/>
    <x v="2"/>
  </r>
  <r>
    <x v="28"/>
    <x v="98"/>
    <x v="367"/>
    <x v="9"/>
    <x v="67"/>
    <x v="29"/>
    <x v="46"/>
    <x v="0"/>
    <x v="2"/>
  </r>
  <r>
    <x v="28"/>
    <x v="203"/>
    <x v="371"/>
    <x v="7"/>
    <x v="41"/>
    <x v="21"/>
    <x v="24"/>
    <x v="0"/>
    <x v="5"/>
  </r>
  <r>
    <x v="28"/>
    <x v="244"/>
    <x v="372"/>
    <x v="8"/>
    <x v="89"/>
    <x v="49"/>
    <x v="36"/>
    <x v="0"/>
    <x v="2"/>
  </r>
  <r>
    <x v="28"/>
    <x v="195"/>
    <x v="370"/>
    <x v="5"/>
    <x v="0"/>
    <x v="1"/>
    <x v="1"/>
    <x v="0"/>
    <x v="2"/>
  </r>
  <r>
    <x v="28"/>
    <x v="139"/>
    <x v="369"/>
    <x v="7"/>
    <x v="33"/>
    <x v="22"/>
    <x v="15"/>
    <x v="0"/>
    <x v="2"/>
  </r>
  <r>
    <x v="28"/>
    <x v="11"/>
    <x v="365"/>
    <x v="3"/>
    <x v="173"/>
    <x v="86"/>
    <x v="112"/>
    <x v="0"/>
    <x v="2"/>
  </r>
  <r>
    <x v="29"/>
    <x v="261"/>
    <x v="386"/>
    <x v="3"/>
    <x v="220"/>
    <x v="89"/>
    <x v="157"/>
    <x v="0"/>
    <x v="2"/>
  </r>
  <r>
    <x v="29"/>
    <x v="259"/>
    <x v="385"/>
    <x v="5"/>
    <x v="8"/>
    <x v="4"/>
    <x v="7"/>
    <x v="0"/>
    <x v="2"/>
  </r>
  <r>
    <x v="29"/>
    <x v="126"/>
    <x v="380"/>
    <x v="7"/>
    <x v="35"/>
    <x v="27"/>
    <x v="2"/>
    <x v="0"/>
    <x v="5"/>
  </r>
  <r>
    <x v="29"/>
    <x v="128"/>
    <x v="381"/>
    <x v="7"/>
    <x v="28"/>
    <x v="21"/>
    <x v="11"/>
    <x v="0"/>
    <x v="2"/>
  </r>
  <r>
    <x v="29"/>
    <x v="0"/>
    <x v="375"/>
    <x v="8"/>
    <x v="196"/>
    <x v="49"/>
    <x v="193"/>
    <x v="0"/>
    <x v="2"/>
  </r>
  <r>
    <x v="29"/>
    <x v="170"/>
    <x v="382"/>
    <x v="7"/>
    <x v="33"/>
    <x v="21"/>
    <x v="16"/>
    <x v="0"/>
    <x v="2"/>
  </r>
  <r>
    <x v="29"/>
    <x v="246"/>
    <x v="384"/>
    <x v="8"/>
    <x v="88"/>
    <x v="52"/>
    <x v="32"/>
    <x v="0"/>
    <x v="2"/>
  </r>
  <r>
    <x v="29"/>
    <x v="32"/>
    <x v="376"/>
    <x v="3"/>
    <x v="245"/>
    <x v="87"/>
    <x v="189"/>
    <x v="0"/>
    <x v="2"/>
  </r>
  <r>
    <x v="29"/>
    <x v="79"/>
    <x v="379"/>
    <x v="3"/>
    <x v="204"/>
    <x v="87"/>
    <x v="141"/>
    <x v="0"/>
    <x v="2"/>
  </r>
  <r>
    <x v="29"/>
    <x v="62"/>
    <x v="377"/>
    <x v="8"/>
    <x v="145"/>
    <x v="48"/>
    <x v="120"/>
    <x v="0"/>
    <x v="2"/>
  </r>
  <r>
    <x v="29"/>
    <x v="230"/>
    <x v="383"/>
    <x v="7"/>
    <x v="46"/>
    <x v="26"/>
    <x v="29"/>
    <x v="0"/>
    <x v="5"/>
  </r>
  <r>
    <x v="29"/>
    <x v="63"/>
    <x v="378"/>
    <x v="9"/>
    <x v="72"/>
    <x v="31"/>
    <x v="51"/>
    <x v="0"/>
    <x v="2"/>
  </r>
  <r>
    <x v="30"/>
    <x v="24"/>
    <x v="387"/>
    <x v="8"/>
    <x v="199"/>
    <x v="52"/>
    <x v="195"/>
    <x v="0"/>
    <x v="2"/>
  </r>
  <r>
    <x v="30"/>
    <x v="59"/>
    <x v="389"/>
    <x v="8"/>
    <x v="125"/>
    <x v="60"/>
    <x v="104"/>
    <x v="0"/>
    <x v="2"/>
  </r>
  <r>
    <x v="30"/>
    <x v="104"/>
    <x v="391"/>
    <x v="9"/>
    <x v="68"/>
    <x v="34"/>
    <x v="43"/>
    <x v="0"/>
    <x v="2"/>
  </r>
  <r>
    <x v="30"/>
    <x v="43"/>
    <x v="388"/>
    <x v="3"/>
    <x v="236"/>
    <x v="89"/>
    <x v="176"/>
    <x v="0"/>
    <x v="2"/>
  </r>
  <r>
    <x v="30"/>
    <x v="91"/>
    <x v="390"/>
    <x v="3"/>
    <x v="201"/>
    <x v="88"/>
    <x v="139"/>
    <x v="0"/>
    <x v="2"/>
  </r>
  <r>
    <x v="30"/>
    <x v="231"/>
    <x v="5"/>
    <x v="3"/>
    <x v="146"/>
    <x v="79"/>
    <x v="88"/>
    <x v="0"/>
    <x v="3"/>
  </r>
  <r>
    <x v="30"/>
    <x v="280"/>
    <x v="398"/>
    <x v="5"/>
    <x v="2"/>
    <x v="3"/>
    <x v="2"/>
    <x v="0"/>
    <x v="2"/>
  </r>
  <r>
    <x v="30"/>
    <x v="260"/>
    <x v="397"/>
    <x v="3"/>
    <x v="200"/>
    <x v="91"/>
    <x v="135"/>
    <x v="0"/>
    <x v="2"/>
  </r>
  <r>
    <x v="30"/>
    <x v="226"/>
    <x v="394"/>
    <x v="7"/>
    <x v="47"/>
    <x v="21"/>
    <x v="37"/>
    <x v="0"/>
    <x v="5"/>
  </r>
  <r>
    <x v="30"/>
    <x v="154"/>
    <x v="392"/>
    <x v="7"/>
    <x v="42"/>
    <x v="21"/>
    <x v="25"/>
    <x v="0"/>
    <x v="5"/>
  </r>
  <r>
    <x v="30"/>
    <x v="173"/>
    <x v="393"/>
    <x v="7"/>
    <x v="40"/>
    <x v="21"/>
    <x v="23"/>
    <x v="0"/>
    <x v="5"/>
  </r>
  <r>
    <x v="30"/>
    <x v="243"/>
    <x v="396"/>
    <x v="8"/>
    <x v="106"/>
    <x v="50"/>
    <x v="76"/>
    <x v="0"/>
    <x v="2"/>
  </r>
  <r>
    <x v="30"/>
    <x v="236"/>
    <x v="395"/>
    <x v="1"/>
    <x v="18"/>
    <x v="11"/>
    <x v="9"/>
    <x v="0"/>
    <x v="1"/>
  </r>
  <r>
    <x v="30"/>
    <x v="291"/>
    <x v="69"/>
    <x v="7"/>
    <x v="43"/>
    <x v="22"/>
    <x v="27"/>
    <x v="0"/>
    <x v="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7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useAutoFormatting="0" itemPrintTitles="1" indent="0" outline="1" outlineData="1">
  <location ref="A3:N36" firstHeaderRow="1" firstDataRow="2" firstDataCol="1" rowPageCount="1" colPageCount="1"/>
  <pivotFields count="9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K403"/>
  <sheetViews>
    <sheetView showFormulas="false" showGridLines="true" showRowColHeaders="true" showZeros="true" rightToLeft="false" tabSelected="false" showOutlineSymbols="true" defaultGridColor="true" view="normal" topLeftCell="A341" colorId="64" zoomScale="100" zoomScaleNormal="100" zoomScalePageLayoutView="100" workbookViewId="0">
      <selection pane="topLeft" activeCell="A351" activeCellId="0" sqref="A351"/>
    </sheetView>
  </sheetViews>
  <sheetFormatPr defaultRowHeight="13.8" zeroHeight="false" outlineLevelRow="0" outlineLevelCol="0"/>
  <cols>
    <col collapsed="false" customWidth="true" hidden="false" outlineLevel="0" max="6" min="1" style="0" width="10.61"/>
    <col collapsed="false" customWidth="true" hidden="false" outlineLevel="0" max="7" min="7" style="1" width="10.61"/>
    <col collapsed="false" customWidth="true" hidden="false" outlineLevel="0" max="1025" min="8" style="0" width="10.6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 t="s">
        <v>9</v>
      </c>
    </row>
    <row r="2" customFormat="false" ht="13.8" hidden="true" customHeight="false" outlineLevel="0" collapsed="false">
      <c r="A2" s="7" t="n">
        <v>44044</v>
      </c>
      <c r="B2" s="8" t="n">
        <v>0.475694444444444</v>
      </c>
      <c r="C2" s="9" t="n">
        <v>127544</v>
      </c>
      <c r="D2" s="9" t="s">
        <v>10</v>
      </c>
      <c r="E2" s="9" t="n">
        <v>3140</v>
      </c>
      <c r="F2" s="9" t="n">
        <v>2740</v>
      </c>
      <c r="G2" s="10" t="n">
        <v>400</v>
      </c>
      <c r="H2" s="9" t="s">
        <v>11</v>
      </c>
      <c r="I2" s="9" t="s">
        <v>12</v>
      </c>
      <c r="J2" s="0" t="s">
        <v>13</v>
      </c>
    </row>
    <row r="3" customFormat="false" ht="13.8" hidden="true" customHeight="false" outlineLevel="0" collapsed="false">
      <c r="A3" s="7" t="n">
        <v>44044</v>
      </c>
      <c r="B3" s="8" t="n">
        <v>0.873611111111111</v>
      </c>
      <c r="C3" s="9" t="n">
        <v>127549</v>
      </c>
      <c r="D3" s="9" t="s">
        <v>14</v>
      </c>
      <c r="E3" s="9" t="n">
        <v>25260</v>
      </c>
      <c r="F3" s="9" t="n">
        <v>15880</v>
      </c>
      <c r="G3" s="10" t="n">
        <v>9380</v>
      </c>
      <c r="H3" s="9" t="s">
        <v>11</v>
      </c>
      <c r="I3" s="9" t="s">
        <v>15</v>
      </c>
      <c r="J3" s="0" t="s">
        <v>13</v>
      </c>
    </row>
    <row r="4" customFormat="false" ht="13.8" hidden="true" customHeight="false" outlineLevel="0" collapsed="false">
      <c r="A4" s="7" t="n">
        <v>44044</v>
      </c>
      <c r="B4" s="8" t="n">
        <v>0.870833333333333</v>
      </c>
      <c r="C4" s="9" t="n">
        <v>127548</v>
      </c>
      <c r="D4" s="9" t="s">
        <v>16</v>
      </c>
      <c r="E4" s="9" t="n">
        <v>2680</v>
      </c>
      <c r="F4" s="9" t="n">
        <v>2400</v>
      </c>
      <c r="G4" s="10" t="n">
        <v>280</v>
      </c>
      <c r="H4" s="9" t="s">
        <v>11</v>
      </c>
      <c r="I4" s="9" t="s">
        <v>15</v>
      </c>
      <c r="J4" s="0" t="s">
        <v>13</v>
      </c>
    </row>
    <row r="5" customFormat="false" ht="13.8" hidden="true" customHeight="false" outlineLevel="0" collapsed="false">
      <c r="A5" s="7" t="n">
        <v>44044</v>
      </c>
      <c r="B5" s="8" t="n">
        <v>0.384027777777778</v>
      </c>
      <c r="C5" s="9" t="n">
        <v>127541</v>
      </c>
      <c r="D5" s="9" t="s">
        <v>10</v>
      </c>
      <c r="E5" s="9" t="n">
        <v>3120</v>
      </c>
      <c r="F5" s="9" t="n">
        <v>2740</v>
      </c>
      <c r="G5" s="10" t="n">
        <v>380</v>
      </c>
      <c r="H5" s="9" t="s">
        <v>11</v>
      </c>
      <c r="I5" s="9" t="s">
        <v>12</v>
      </c>
      <c r="J5" s="0" t="s">
        <v>13</v>
      </c>
    </row>
    <row r="6" customFormat="false" ht="13.8" hidden="true" customHeight="false" outlineLevel="0" collapsed="false">
      <c r="A6" s="7" t="n">
        <v>44044</v>
      </c>
      <c r="B6" s="8" t="n">
        <v>0.0965277777777778</v>
      </c>
      <c r="C6" s="9" t="n">
        <v>127515</v>
      </c>
      <c r="D6" s="9" t="s">
        <v>17</v>
      </c>
      <c r="E6" s="9" t="n">
        <v>22300</v>
      </c>
      <c r="F6" s="9" t="n">
        <v>16060</v>
      </c>
      <c r="G6" s="10" t="n">
        <v>6240</v>
      </c>
      <c r="H6" s="9" t="s">
        <v>11</v>
      </c>
      <c r="I6" s="9" t="s">
        <v>15</v>
      </c>
      <c r="J6" s="0" t="s">
        <v>13</v>
      </c>
    </row>
    <row r="7" customFormat="false" ht="13.8" hidden="true" customHeight="false" outlineLevel="0" collapsed="false">
      <c r="A7" s="7" t="n">
        <v>44044</v>
      </c>
      <c r="B7" s="8" t="n">
        <v>0.441666666666667</v>
      </c>
      <c r="C7" s="9" t="n">
        <v>127543</v>
      </c>
      <c r="D7" s="9" t="s">
        <v>16</v>
      </c>
      <c r="E7" s="9" t="n">
        <v>2740</v>
      </c>
      <c r="F7" s="9" t="n">
        <v>2420</v>
      </c>
      <c r="G7" s="10" t="n">
        <v>320</v>
      </c>
      <c r="H7" s="9" t="s">
        <v>11</v>
      </c>
      <c r="I7" s="9" t="s">
        <v>15</v>
      </c>
      <c r="J7" s="0" t="s">
        <v>13</v>
      </c>
    </row>
    <row r="8" customFormat="false" ht="13.8" hidden="true" customHeight="false" outlineLevel="0" collapsed="false">
      <c r="A8" s="7" t="n">
        <v>44044</v>
      </c>
      <c r="B8" s="8" t="n">
        <v>0.685416666666667</v>
      </c>
      <c r="C8" s="9" t="n">
        <v>127547</v>
      </c>
      <c r="D8" s="9" t="s">
        <v>18</v>
      </c>
      <c r="E8" s="9" t="n">
        <v>14640</v>
      </c>
      <c r="F8" s="9" t="n">
        <v>12840</v>
      </c>
      <c r="G8" s="10" t="n">
        <v>1800</v>
      </c>
      <c r="H8" s="9" t="s">
        <v>11</v>
      </c>
      <c r="I8" s="9" t="s">
        <v>15</v>
      </c>
      <c r="J8" s="0" t="s">
        <v>13</v>
      </c>
    </row>
    <row r="9" customFormat="false" ht="13.8" hidden="true" customHeight="false" outlineLevel="0" collapsed="false">
      <c r="A9" s="7" t="n">
        <v>44044</v>
      </c>
      <c r="B9" s="8" t="n">
        <v>0.231944444444444</v>
      </c>
      <c r="C9" s="9" t="n">
        <v>127530</v>
      </c>
      <c r="D9" s="9" t="s">
        <v>19</v>
      </c>
      <c r="E9" s="9" t="n">
        <v>5040</v>
      </c>
      <c r="F9" s="9" t="n">
        <v>3680</v>
      </c>
      <c r="G9" s="10" t="n">
        <v>1360</v>
      </c>
      <c r="H9" s="9" t="s">
        <v>11</v>
      </c>
      <c r="I9" s="9" t="s">
        <v>15</v>
      </c>
      <c r="J9" s="0" t="s">
        <v>13</v>
      </c>
    </row>
    <row r="10" customFormat="false" ht="13.8" hidden="true" customHeight="false" outlineLevel="0" collapsed="false">
      <c r="A10" s="7" t="n">
        <v>44044</v>
      </c>
      <c r="B10" s="8" t="n">
        <v>0.253472222222222</v>
      </c>
      <c r="C10" s="9" t="n">
        <v>127532</v>
      </c>
      <c r="D10" s="9" t="s">
        <v>14</v>
      </c>
      <c r="E10" s="9" t="n">
        <v>27140</v>
      </c>
      <c r="F10" s="9" t="n">
        <v>15920</v>
      </c>
      <c r="G10" s="10" t="n">
        <v>11220</v>
      </c>
      <c r="H10" s="9" t="s">
        <v>11</v>
      </c>
      <c r="I10" s="9" t="s">
        <v>15</v>
      </c>
      <c r="J10" s="0" t="s">
        <v>13</v>
      </c>
    </row>
    <row r="11" customFormat="false" ht="13.8" hidden="true" customHeight="false" outlineLevel="0" collapsed="false">
      <c r="A11" s="7" t="n">
        <v>44044</v>
      </c>
      <c r="B11" s="8" t="n">
        <v>0.08125</v>
      </c>
      <c r="C11" s="9" t="n">
        <v>127514</v>
      </c>
      <c r="D11" s="9" t="s">
        <v>18</v>
      </c>
      <c r="E11" s="9" t="n">
        <v>21660</v>
      </c>
      <c r="F11" s="9" t="n">
        <v>13000</v>
      </c>
      <c r="G11" s="10" t="n">
        <v>8660</v>
      </c>
      <c r="H11" s="9" t="s">
        <v>11</v>
      </c>
      <c r="I11" s="9" t="s">
        <v>15</v>
      </c>
      <c r="J11" s="0" t="s">
        <v>13</v>
      </c>
    </row>
    <row r="12" customFormat="false" ht="13.8" hidden="true" customHeight="false" outlineLevel="0" collapsed="false">
      <c r="A12" s="7" t="n">
        <v>44044</v>
      </c>
      <c r="B12" s="8" t="n">
        <v>0.219444444444444</v>
      </c>
      <c r="C12" s="9" t="n">
        <v>127523</v>
      </c>
      <c r="D12" s="9" t="s">
        <v>18</v>
      </c>
      <c r="E12" s="9" t="n">
        <v>16560</v>
      </c>
      <c r="F12" s="9" t="n">
        <v>12800</v>
      </c>
      <c r="G12" s="10" t="n">
        <v>3760</v>
      </c>
      <c r="H12" s="9" t="s">
        <v>11</v>
      </c>
      <c r="I12" s="9" t="s">
        <v>15</v>
      </c>
      <c r="J12" s="0" t="s">
        <v>13</v>
      </c>
    </row>
    <row r="13" customFormat="false" ht="13.8" hidden="true" customHeight="false" outlineLevel="0" collapsed="false">
      <c r="A13" s="7" t="n">
        <v>44044</v>
      </c>
      <c r="B13" s="8" t="n">
        <v>0.359722222222222</v>
      </c>
      <c r="C13" s="11" t="n">
        <v>105064</v>
      </c>
      <c r="D13" s="9" t="s">
        <v>17</v>
      </c>
      <c r="E13" s="9" t="n">
        <v>16820</v>
      </c>
      <c r="F13" s="9" t="n">
        <v>15960</v>
      </c>
      <c r="G13" s="10" t="n">
        <v>860</v>
      </c>
      <c r="H13" s="9" t="s">
        <v>11</v>
      </c>
      <c r="I13" s="9" t="s">
        <v>20</v>
      </c>
      <c r="J13" s="0" t="s">
        <v>13</v>
      </c>
    </row>
    <row r="14" customFormat="false" ht="13.8" hidden="true" customHeight="false" outlineLevel="0" collapsed="false">
      <c r="A14" s="7" t="n">
        <v>44045</v>
      </c>
      <c r="B14" s="8" t="n">
        <v>0.859027777777778</v>
      </c>
      <c r="C14" s="9" t="n">
        <v>127576</v>
      </c>
      <c r="D14" s="9" t="s">
        <v>16</v>
      </c>
      <c r="E14" s="9" t="n">
        <v>2660</v>
      </c>
      <c r="F14" s="9" t="n">
        <v>2400</v>
      </c>
      <c r="G14" s="10" t="n">
        <v>260</v>
      </c>
      <c r="H14" s="9" t="s">
        <v>11</v>
      </c>
      <c r="I14" s="9" t="s">
        <v>15</v>
      </c>
      <c r="J14" s="0" t="s">
        <v>13</v>
      </c>
    </row>
    <row r="15" customFormat="false" ht="13.8" hidden="true" customHeight="false" outlineLevel="0" collapsed="false">
      <c r="A15" s="7" t="n">
        <v>44045</v>
      </c>
      <c r="B15" s="8" t="n">
        <v>0.857638888888889</v>
      </c>
      <c r="C15" s="9" t="n">
        <v>127575</v>
      </c>
      <c r="D15" s="9" t="s">
        <v>14</v>
      </c>
      <c r="E15" s="9" t="n">
        <v>24380</v>
      </c>
      <c r="F15" s="9" t="n">
        <v>16000</v>
      </c>
      <c r="G15" s="10" t="n">
        <v>8380</v>
      </c>
      <c r="H15" s="9" t="s">
        <v>11</v>
      </c>
      <c r="I15" s="9" t="s">
        <v>15</v>
      </c>
      <c r="J15" s="0" t="s">
        <v>13</v>
      </c>
    </row>
    <row r="16" customFormat="false" ht="13.8" hidden="true" customHeight="false" outlineLevel="0" collapsed="false">
      <c r="A16" s="7" t="n">
        <v>44045</v>
      </c>
      <c r="B16" s="8" t="n">
        <v>0.669444444444444</v>
      </c>
      <c r="C16" s="9" t="n">
        <v>127574</v>
      </c>
      <c r="D16" s="9" t="s">
        <v>18</v>
      </c>
      <c r="E16" s="9" t="n">
        <v>14140</v>
      </c>
      <c r="F16" s="9" t="n">
        <v>12780</v>
      </c>
      <c r="G16" s="10" t="n">
        <v>1360</v>
      </c>
      <c r="H16" s="9" t="s">
        <v>11</v>
      </c>
      <c r="I16" s="9" t="s">
        <v>15</v>
      </c>
      <c r="J16" s="0" t="s">
        <v>13</v>
      </c>
    </row>
    <row r="17" customFormat="false" ht="13.8" hidden="true" customHeight="false" outlineLevel="0" collapsed="false">
      <c r="A17" s="7" t="n">
        <v>44045</v>
      </c>
      <c r="B17" s="8" t="n">
        <v>0.189583333333333</v>
      </c>
      <c r="C17" s="9" t="n">
        <v>127559</v>
      </c>
      <c r="D17" s="9" t="s">
        <v>14</v>
      </c>
      <c r="E17" s="9" t="n">
        <v>27640</v>
      </c>
      <c r="F17" s="9" t="n">
        <v>16040</v>
      </c>
      <c r="G17" s="10" t="n">
        <v>11600</v>
      </c>
      <c r="H17" s="9" t="s">
        <v>11</v>
      </c>
      <c r="I17" s="9" t="s">
        <v>15</v>
      </c>
      <c r="J17" s="0" t="s">
        <v>13</v>
      </c>
    </row>
    <row r="18" customFormat="false" ht="13.8" hidden="true" customHeight="false" outlineLevel="0" collapsed="false">
      <c r="A18" s="7" t="n">
        <v>44045</v>
      </c>
      <c r="B18" s="8" t="n">
        <v>0.297916666666667</v>
      </c>
      <c r="C18" s="9" t="n">
        <v>127569</v>
      </c>
      <c r="D18" s="9" t="s">
        <v>14</v>
      </c>
      <c r="E18" s="9" t="n">
        <v>22240</v>
      </c>
      <c r="F18" s="9" t="n">
        <v>16020</v>
      </c>
      <c r="G18" s="10" t="n">
        <v>6220</v>
      </c>
      <c r="H18" s="9" t="s">
        <v>11</v>
      </c>
      <c r="I18" s="9" t="s">
        <v>15</v>
      </c>
      <c r="J18" s="0" t="s">
        <v>13</v>
      </c>
    </row>
    <row r="19" customFormat="false" ht="13.8" hidden="true" customHeight="false" outlineLevel="0" collapsed="false">
      <c r="A19" s="7" t="n">
        <v>44045</v>
      </c>
      <c r="B19" s="8" t="n">
        <v>0.236805555555556</v>
      </c>
      <c r="C19" s="9" t="n">
        <v>127561</v>
      </c>
      <c r="D19" s="9" t="s">
        <v>19</v>
      </c>
      <c r="E19" s="9" t="n">
        <v>4880</v>
      </c>
      <c r="F19" s="9" t="n">
        <v>3680</v>
      </c>
      <c r="G19" s="10" t="n">
        <v>1200</v>
      </c>
      <c r="H19" s="9" t="s">
        <v>11</v>
      </c>
      <c r="I19" s="9" t="s">
        <v>15</v>
      </c>
      <c r="J19" s="0" t="s">
        <v>13</v>
      </c>
    </row>
    <row r="20" customFormat="false" ht="13.8" hidden="true" customHeight="false" outlineLevel="0" collapsed="false">
      <c r="A20" s="7" t="n">
        <v>44045</v>
      </c>
      <c r="B20" s="8" t="n">
        <v>0.238194444444444</v>
      </c>
      <c r="C20" s="9" t="n">
        <v>127562</v>
      </c>
      <c r="D20" s="9" t="s">
        <v>18</v>
      </c>
      <c r="E20" s="9" t="n">
        <v>18420</v>
      </c>
      <c r="F20" s="9" t="n">
        <v>12900</v>
      </c>
      <c r="G20" s="10" t="n">
        <v>5520</v>
      </c>
      <c r="H20" s="9" t="s">
        <v>11</v>
      </c>
      <c r="I20" s="9" t="s">
        <v>15</v>
      </c>
      <c r="J20" s="0" t="s">
        <v>13</v>
      </c>
    </row>
    <row r="21" customFormat="false" ht="13.8" hidden="true" customHeight="false" outlineLevel="0" collapsed="false">
      <c r="A21" s="7" t="n">
        <v>44045</v>
      </c>
      <c r="B21" s="8" t="n">
        <v>0.0666666666666667</v>
      </c>
      <c r="C21" s="9" t="n">
        <v>127551</v>
      </c>
      <c r="D21" s="9" t="s">
        <v>18</v>
      </c>
      <c r="E21" s="9" t="n">
        <v>21860</v>
      </c>
      <c r="F21" s="9" t="n">
        <v>12880</v>
      </c>
      <c r="G21" s="10" t="n">
        <v>8980</v>
      </c>
      <c r="H21" s="9" t="s">
        <v>11</v>
      </c>
      <c r="I21" s="9" t="s">
        <v>15</v>
      </c>
      <c r="J21" s="0" t="s">
        <v>13</v>
      </c>
    </row>
    <row r="22" customFormat="false" ht="13.8" hidden="true" customHeight="false" outlineLevel="0" collapsed="false">
      <c r="A22" s="7" t="n">
        <v>44045</v>
      </c>
      <c r="B22" s="8" t="n">
        <v>0.315277777777778</v>
      </c>
      <c r="C22" s="9" t="n">
        <v>127570</v>
      </c>
      <c r="D22" s="9" t="s">
        <v>10</v>
      </c>
      <c r="E22" s="9" t="n">
        <v>3200</v>
      </c>
      <c r="F22" s="9" t="n">
        <v>2760</v>
      </c>
      <c r="G22" s="10" t="n">
        <v>440</v>
      </c>
      <c r="H22" s="9" t="s">
        <v>11</v>
      </c>
      <c r="I22" s="9" t="s">
        <v>12</v>
      </c>
      <c r="J22" s="0" t="s">
        <v>13</v>
      </c>
    </row>
    <row r="23" customFormat="false" ht="13.8" hidden="true" customHeight="false" outlineLevel="0" collapsed="false">
      <c r="A23" s="7" t="n">
        <v>44045</v>
      </c>
      <c r="B23" s="8" t="n">
        <v>0.445833333333333</v>
      </c>
      <c r="C23" s="9" t="n">
        <v>127573</v>
      </c>
      <c r="D23" s="9" t="s">
        <v>10</v>
      </c>
      <c r="E23" s="9" t="n">
        <v>3400</v>
      </c>
      <c r="F23" s="9" t="n">
        <v>2760</v>
      </c>
      <c r="G23" s="10" t="n">
        <v>640</v>
      </c>
      <c r="H23" s="9" t="s">
        <v>11</v>
      </c>
      <c r="I23" s="9" t="s">
        <v>15</v>
      </c>
      <c r="J23" s="0" t="s">
        <v>13</v>
      </c>
    </row>
    <row r="24" customFormat="false" ht="13.8" hidden="true" customHeight="false" outlineLevel="0" collapsed="false">
      <c r="A24" s="7" t="n">
        <v>44046</v>
      </c>
      <c r="B24" s="8" t="n">
        <v>0.258333333333333</v>
      </c>
      <c r="C24" s="9" t="n">
        <v>127589</v>
      </c>
      <c r="D24" s="9" t="s">
        <v>19</v>
      </c>
      <c r="E24" s="9" t="n">
        <v>5100</v>
      </c>
      <c r="F24" s="9" t="n">
        <v>3660</v>
      </c>
      <c r="G24" s="10" t="n">
        <v>1440</v>
      </c>
      <c r="H24" s="9" t="s">
        <v>11</v>
      </c>
      <c r="I24" s="9" t="s">
        <v>15</v>
      </c>
      <c r="J24" s="0" t="s">
        <v>13</v>
      </c>
    </row>
    <row r="25" customFormat="false" ht="13.8" hidden="true" customHeight="false" outlineLevel="0" collapsed="false">
      <c r="A25" s="7" t="n">
        <v>44046</v>
      </c>
      <c r="B25" s="8" t="n">
        <v>0.259722222222222</v>
      </c>
      <c r="C25" s="9" t="n">
        <v>127590</v>
      </c>
      <c r="D25" s="9" t="s">
        <v>18</v>
      </c>
      <c r="E25" s="9" t="n">
        <v>16780</v>
      </c>
      <c r="F25" s="9" t="n">
        <v>12840</v>
      </c>
      <c r="G25" s="10" t="n">
        <v>3940</v>
      </c>
      <c r="H25" s="9" t="s">
        <v>11</v>
      </c>
      <c r="I25" s="9" t="s">
        <v>15</v>
      </c>
      <c r="J25" s="0" t="s">
        <v>13</v>
      </c>
    </row>
    <row r="26" customFormat="false" ht="13.8" hidden="true" customHeight="false" outlineLevel="0" collapsed="false">
      <c r="A26" s="7" t="n">
        <v>44046</v>
      </c>
      <c r="B26" s="8" t="n">
        <v>0.0888888888888889</v>
      </c>
      <c r="C26" s="9" t="n">
        <v>127578</v>
      </c>
      <c r="D26" s="9" t="s">
        <v>18</v>
      </c>
      <c r="E26" s="9" t="n">
        <v>21140</v>
      </c>
      <c r="F26" s="9" t="n">
        <v>12820</v>
      </c>
      <c r="G26" s="10" t="n">
        <v>8320</v>
      </c>
      <c r="H26" s="9" t="s">
        <v>11</v>
      </c>
      <c r="I26" s="9" t="s">
        <v>15</v>
      </c>
      <c r="J26" s="0" t="s">
        <v>13</v>
      </c>
    </row>
    <row r="27" customFormat="false" ht="13.8" hidden="true" customHeight="false" outlineLevel="0" collapsed="false">
      <c r="A27" s="7" t="n">
        <v>44046</v>
      </c>
      <c r="B27" s="8" t="n">
        <v>0.1875</v>
      </c>
      <c r="C27" s="9" t="n">
        <v>127585</v>
      </c>
      <c r="D27" s="9" t="s">
        <v>14</v>
      </c>
      <c r="E27" s="9" t="n">
        <v>27440</v>
      </c>
      <c r="F27" s="9" t="n">
        <v>16100</v>
      </c>
      <c r="G27" s="10" t="n">
        <v>11340</v>
      </c>
      <c r="H27" s="9" t="s">
        <v>11</v>
      </c>
      <c r="I27" s="9" t="s">
        <v>15</v>
      </c>
      <c r="J27" s="0" t="s">
        <v>13</v>
      </c>
    </row>
    <row r="28" customFormat="false" ht="13.8" hidden="true" customHeight="false" outlineLevel="0" collapsed="false">
      <c r="A28" s="7" t="n">
        <v>44046</v>
      </c>
      <c r="B28" s="8" t="n">
        <v>0.270138888888889</v>
      </c>
      <c r="C28" s="9" t="n">
        <v>127593</v>
      </c>
      <c r="D28" s="9" t="s">
        <v>14</v>
      </c>
      <c r="E28" s="9" t="n">
        <v>20580</v>
      </c>
      <c r="F28" s="9" t="n">
        <v>16060</v>
      </c>
      <c r="G28" s="10" t="n">
        <v>4520</v>
      </c>
      <c r="H28" s="9" t="s">
        <v>11</v>
      </c>
      <c r="I28" s="9" t="s">
        <v>15</v>
      </c>
      <c r="J28" s="0" t="s">
        <v>13</v>
      </c>
    </row>
    <row r="29" customFormat="false" ht="13.8" hidden="true" customHeight="false" outlineLevel="0" collapsed="false">
      <c r="A29" s="7" t="n">
        <v>44046</v>
      </c>
      <c r="B29" s="8"/>
      <c r="C29" s="11" t="s">
        <v>21</v>
      </c>
      <c r="D29" s="9" t="s">
        <v>17</v>
      </c>
      <c r="E29" s="9" t="n">
        <v>18980</v>
      </c>
      <c r="F29" s="9" t="n">
        <v>15760</v>
      </c>
      <c r="G29" s="10" t="n">
        <v>3220</v>
      </c>
      <c r="H29" s="9" t="s">
        <v>11</v>
      </c>
      <c r="I29" s="9" t="s">
        <v>22</v>
      </c>
      <c r="J29" s="0" t="s">
        <v>13</v>
      </c>
    </row>
    <row r="30" customFormat="false" ht="13.8" hidden="true" customHeight="false" outlineLevel="0" collapsed="false">
      <c r="A30" s="7" t="n">
        <v>44046</v>
      </c>
      <c r="B30" s="8" t="n">
        <v>0.682638888888889</v>
      </c>
      <c r="C30" s="9" t="n">
        <v>127641</v>
      </c>
      <c r="D30" s="9" t="s">
        <v>18</v>
      </c>
      <c r="E30" s="9" t="n">
        <v>14500</v>
      </c>
      <c r="F30" s="9" t="n">
        <v>12860</v>
      </c>
      <c r="G30" s="10" t="n">
        <v>1640</v>
      </c>
      <c r="H30" s="9" t="s">
        <v>11</v>
      </c>
      <c r="I30" s="9" t="s">
        <v>15</v>
      </c>
      <c r="J30" s="0" t="s">
        <v>13</v>
      </c>
    </row>
    <row r="31" customFormat="false" ht="13.8" hidden="true" customHeight="false" outlineLevel="0" collapsed="false">
      <c r="A31" s="7" t="n">
        <v>44046</v>
      </c>
      <c r="B31" s="8" t="n">
        <v>0.863194444444444</v>
      </c>
      <c r="C31" s="9" t="n">
        <v>127648</v>
      </c>
      <c r="D31" s="9" t="s">
        <v>16</v>
      </c>
      <c r="E31" s="9" t="n">
        <v>2640</v>
      </c>
      <c r="F31" s="9" t="n">
        <v>2440</v>
      </c>
      <c r="G31" s="10" t="n">
        <v>200</v>
      </c>
      <c r="H31" s="9" t="s">
        <v>11</v>
      </c>
      <c r="I31" s="9" t="s">
        <v>15</v>
      </c>
      <c r="J31" s="0" t="s">
        <v>13</v>
      </c>
    </row>
    <row r="32" customFormat="false" ht="13.8" hidden="true" customHeight="false" outlineLevel="0" collapsed="false">
      <c r="A32" s="7" t="n">
        <v>44046</v>
      </c>
      <c r="B32" s="8" t="n">
        <v>0.339583333333333</v>
      </c>
      <c r="C32" s="9" t="n">
        <v>127602</v>
      </c>
      <c r="D32" s="9" t="s">
        <v>10</v>
      </c>
      <c r="E32" s="9" t="n">
        <v>3160</v>
      </c>
      <c r="F32" s="9" t="n">
        <v>2880</v>
      </c>
      <c r="G32" s="10" t="n">
        <v>280</v>
      </c>
      <c r="H32" s="9" t="s">
        <v>11</v>
      </c>
      <c r="I32" s="9" t="s">
        <v>15</v>
      </c>
      <c r="J32" s="0" t="s">
        <v>13</v>
      </c>
    </row>
    <row r="33" customFormat="false" ht="13.8" hidden="true" customHeight="false" outlineLevel="0" collapsed="false">
      <c r="A33" s="7" t="n">
        <v>44046</v>
      </c>
      <c r="B33" s="8" t="n">
        <v>0.500694444444445</v>
      </c>
      <c r="C33" s="9" t="n">
        <v>127625</v>
      </c>
      <c r="D33" s="9" t="s">
        <v>10</v>
      </c>
      <c r="E33" s="9" t="n">
        <v>3360</v>
      </c>
      <c r="F33" s="9" t="n">
        <v>2880</v>
      </c>
      <c r="G33" s="10" t="n">
        <v>480</v>
      </c>
      <c r="H33" s="9" t="s">
        <v>11</v>
      </c>
      <c r="I33" s="9" t="s">
        <v>12</v>
      </c>
      <c r="J33" s="0" t="s">
        <v>13</v>
      </c>
    </row>
    <row r="34" customFormat="false" ht="13.8" hidden="true" customHeight="false" outlineLevel="0" collapsed="false">
      <c r="A34" s="7" t="n">
        <v>44046</v>
      </c>
      <c r="B34" s="8" t="n">
        <v>0.446527777777778</v>
      </c>
      <c r="C34" s="9" t="n">
        <v>127615</v>
      </c>
      <c r="D34" s="9" t="s">
        <v>10</v>
      </c>
      <c r="E34" s="9" t="n">
        <v>3360</v>
      </c>
      <c r="F34" s="9" t="n">
        <v>2880</v>
      </c>
      <c r="G34" s="10" t="n">
        <v>480</v>
      </c>
      <c r="H34" s="9" t="s">
        <v>11</v>
      </c>
      <c r="I34" s="9" t="s">
        <v>12</v>
      </c>
      <c r="J34" s="0" t="s">
        <v>13</v>
      </c>
    </row>
    <row r="35" customFormat="false" ht="13.8" hidden="true" customHeight="false" outlineLevel="0" collapsed="false">
      <c r="A35" s="7" t="n">
        <v>44046</v>
      </c>
      <c r="B35" s="8" t="n">
        <v>0.490972222222222</v>
      </c>
      <c r="C35" s="9" t="n">
        <v>127624</v>
      </c>
      <c r="D35" s="9" t="s">
        <v>16</v>
      </c>
      <c r="E35" s="9" t="n">
        <v>2860</v>
      </c>
      <c r="F35" s="9" t="n">
        <v>2520</v>
      </c>
      <c r="G35" s="10" t="n">
        <v>340</v>
      </c>
      <c r="H35" s="9" t="s">
        <v>11</v>
      </c>
      <c r="I35" s="9" t="s">
        <v>15</v>
      </c>
      <c r="J35" s="0" t="s">
        <v>13</v>
      </c>
    </row>
    <row r="36" customFormat="false" ht="13.8" hidden="true" customHeight="false" outlineLevel="0" collapsed="false">
      <c r="A36" s="7" t="n">
        <v>44046</v>
      </c>
      <c r="B36" s="8" t="n">
        <v>0.877777777777778</v>
      </c>
      <c r="C36" s="9" t="n">
        <v>127649</v>
      </c>
      <c r="D36" s="9" t="s">
        <v>14</v>
      </c>
      <c r="E36" s="9" t="n">
        <v>24480</v>
      </c>
      <c r="F36" s="9" t="n">
        <v>15760</v>
      </c>
      <c r="G36" s="10" t="n">
        <v>8720</v>
      </c>
      <c r="H36" s="9" t="s">
        <v>11</v>
      </c>
      <c r="I36" s="9" t="s">
        <v>15</v>
      </c>
      <c r="J36" s="0" t="s">
        <v>13</v>
      </c>
    </row>
    <row r="37" customFormat="false" ht="13.8" hidden="true" customHeight="false" outlineLevel="0" collapsed="false">
      <c r="A37" s="7" t="n">
        <v>44047</v>
      </c>
      <c r="B37" s="8" t="n">
        <v>0.0756944444444444</v>
      </c>
      <c r="C37" s="9" t="n">
        <v>127650</v>
      </c>
      <c r="D37" s="9" t="s">
        <v>17</v>
      </c>
      <c r="E37" s="9" t="n">
        <v>20820</v>
      </c>
      <c r="F37" s="9" t="n">
        <v>15960</v>
      </c>
      <c r="G37" s="10" t="n">
        <v>4860</v>
      </c>
      <c r="H37" s="9" t="s">
        <v>11</v>
      </c>
      <c r="I37" s="9" t="s">
        <v>15</v>
      </c>
      <c r="J37" s="0" t="s">
        <v>13</v>
      </c>
    </row>
    <row r="38" customFormat="false" ht="13.8" hidden="true" customHeight="false" outlineLevel="0" collapsed="false">
      <c r="A38" s="7" t="n">
        <v>44047</v>
      </c>
      <c r="B38" s="8" t="n">
        <v>0.268055555555556</v>
      </c>
      <c r="C38" s="9" t="n">
        <v>127668</v>
      </c>
      <c r="D38" s="9" t="s">
        <v>19</v>
      </c>
      <c r="E38" s="9" t="n">
        <v>4880</v>
      </c>
      <c r="F38" s="9" t="n">
        <v>3720</v>
      </c>
      <c r="G38" s="10" t="n">
        <v>1160</v>
      </c>
      <c r="H38" s="9" t="s">
        <v>11</v>
      </c>
      <c r="I38" s="9" t="s">
        <v>15</v>
      </c>
      <c r="J38" s="0" t="s">
        <v>13</v>
      </c>
    </row>
    <row r="39" customFormat="false" ht="13.8" hidden="true" customHeight="false" outlineLevel="0" collapsed="false">
      <c r="A39" s="7" t="n">
        <v>44047</v>
      </c>
      <c r="B39" s="8" t="n">
        <v>0.204861111111111</v>
      </c>
      <c r="C39" s="9" t="n">
        <v>127663</v>
      </c>
      <c r="D39" s="9" t="s">
        <v>18</v>
      </c>
      <c r="E39" s="9" t="n">
        <v>15880</v>
      </c>
      <c r="F39" s="9" t="n">
        <v>12840</v>
      </c>
      <c r="G39" s="10" t="n">
        <v>3040</v>
      </c>
      <c r="H39" s="9" t="s">
        <v>11</v>
      </c>
      <c r="I39" s="9" t="s">
        <v>15</v>
      </c>
      <c r="J39" s="0" t="s">
        <v>13</v>
      </c>
    </row>
    <row r="40" customFormat="false" ht="13.8" hidden="true" customHeight="false" outlineLevel="0" collapsed="false">
      <c r="A40" s="7" t="n">
        <v>44047</v>
      </c>
      <c r="B40" s="8" t="n">
        <v>0.104861111111111</v>
      </c>
      <c r="C40" s="9" t="n">
        <v>127654</v>
      </c>
      <c r="D40" s="9" t="s">
        <v>18</v>
      </c>
      <c r="E40" s="9" t="n">
        <v>22040</v>
      </c>
      <c r="F40" s="9" t="n">
        <v>12880</v>
      </c>
      <c r="G40" s="10" t="n">
        <v>9160</v>
      </c>
      <c r="H40" s="9" t="s">
        <v>11</v>
      </c>
      <c r="I40" s="9" t="s">
        <v>15</v>
      </c>
      <c r="J40" s="0" t="s">
        <v>13</v>
      </c>
    </row>
    <row r="41" customFormat="false" ht="13.8" hidden="true" customHeight="false" outlineLevel="0" collapsed="false">
      <c r="A41" s="7" t="n">
        <v>44047</v>
      </c>
      <c r="B41" s="8" t="n">
        <v>0.269444444444444</v>
      </c>
      <c r="C41" s="9" t="n">
        <v>127669</v>
      </c>
      <c r="D41" s="9" t="s">
        <v>14</v>
      </c>
      <c r="E41" s="9" t="n">
        <v>26940</v>
      </c>
      <c r="F41" s="9" t="n">
        <v>15840</v>
      </c>
      <c r="G41" s="10" t="n">
        <v>11100</v>
      </c>
      <c r="H41" s="9" t="s">
        <v>11</v>
      </c>
      <c r="I41" s="9" t="s">
        <v>15</v>
      </c>
      <c r="J41" s="0" t="s">
        <v>13</v>
      </c>
    </row>
    <row r="42" customFormat="false" ht="13.8" hidden="true" customHeight="false" outlineLevel="0" collapsed="false">
      <c r="A42" s="7" t="n">
        <v>44047</v>
      </c>
      <c r="B42" s="8" t="n">
        <v>0.68125</v>
      </c>
      <c r="C42" s="9" t="n">
        <v>127718</v>
      </c>
      <c r="D42" s="9" t="s">
        <v>18</v>
      </c>
      <c r="E42" s="9" t="n">
        <v>14860</v>
      </c>
      <c r="F42" s="9" t="n">
        <v>12800</v>
      </c>
      <c r="G42" s="10" t="n">
        <v>2060</v>
      </c>
      <c r="H42" s="9" t="s">
        <v>11</v>
      </c>
      <c r="I42" s="9" t="s">
        <v>15</v>
      </c>
      <c r="J42" s="0" t="s">
        <v>13</v>
      </c>
    </row>
    <row r="43" customFormat="false" ht="13.8" hidden="true" customHeight="false" outlineLevel="0" collapsed="false">
      <c r="A43" s="7" t="n">
        <v>44047</v>
      </c>
      <c r="B43" s="8" t="n">
        <v>0.381944444444444</v>
      </c>
      <c r="C43" s="9" t="n">
        <v>127686</v>
      </c>
      <c r="D43" s="9" t="s">
        <v>10</v>
      </c>
      <c r="E43" s="9" t="n">
        <v>3300</v>
      </c>
      <c r="F43" s="9" t="n">
        <v>2800</v>
      </c>
      <c r="G43" s="10" t="n">
        <v>500</v>
      </c>
      <c r="H43" s="9" t="s">
        <v>11</v>
      </c>
      <c r="I43" s="9" t="s">
        <v>12</v>
      </c>
      <c r="J43" s="0" t="s">
        <v>13</v>
      </c>
    </row>
    <row r="44" customFormat="false" ht="13.8" hidden="true" customHeight="false" outlineLevel="0" collapsed="false">
      <c r="A44" s="7" t="n">
        <v>44047</v>
      </c>
      <c r="B44" s="8" t="n">
        <v>0.442361111111111</v>
      </c>
      <c r="C44" s="9" t="n">
        <v>127694</v>
      </c>
      <c r="D44" s="9" t="s">
        <v>16</v>
      </c>
      <c r="E44" s="9" t="n">
        <v>2720</v>
      </c>
      <c r="F44" s="9" t="n">
        <v>2460</v>
      </c>
      <c r="G44" s="10" t="n">
        <v>260</v>
      </c>
      <c r="H44" s="9" t="s">
        <v>11</v>
      </c>
      <c r="I44" s="9" t="s">
        <v>15</v>
      </c>
      <c r="J44" s="0" t="s">
        <v>13</v>
      </c>
    </row>
    <row r="45" customFormat="false" ht="13.8" hidden="true" customHeight="false" outlineLevel="0" collapsed="false">
      <c r="A45" s="7" t="n">
        <v>44047</v>
      </c>
      <c r="B45" s="8" t="n">
        <v>0.452083333333333</v>
      </c>
      <c r="C45" s="9" t="n">
        <v>127695</v>
      </c>
      <c r="D45" s="9" t="s">
        <v>23</v>
      </c>
      <c r="E45" s="9" t="n">
        <v>6360</v>
      </c>
      <c r="F45" s="9" t="n">
        <v>5540</v>
      </c>
      <c r="G45" s="10" t="n">
        <v>820</v>
      </c>
      <c r="H45" s="9" t="s">
        <v>11</v>
      </c>
      <c r="I45" s="9" t="s">
        <v>12</v>
      </c>
      <c r="J45" s="0" t="s">
        <v>13</v>
      </c>
    </row>
    <row r="46" customFormat="false" ht="13.8" hidden="true" customHeight="false" outlineLevel="0" collapsed="false">
      <c r="A46" s="7" t="n">
        <v>44047</v>
      </c>
      <c r="B46" s="8" t="n">
        <v>0.345138888888889</v>
      </c>
      <c r="C46" s="9" t="n">
        <v>127681</v>
      </c>
      <c r="D46" s="9" t="s">
        <v>16</v>
      </c>
      <c r="E46" s="9" t="n">
        <v>2720</v>
      </c>
      <c r="F46" s="9" t="n">
        <v>2400</v>
      </c>
      <c r="G46" s="10" t="n">
        <v>320</v>
      </c>
      <c r="H46" s="9" t="s">
        <v>11</v>
      </c>
      <c r="I46" s="9" t="s">
        <v>15</v>
      </c>
      <c r="J46" s="0" t="s">
        <v>13</v>
      </c>
    </row>
    <row r="47" customFormat="false" ht="13.8" hidden="true" customHeight="false" outlineLevel="0" collapsed="false">
      <c r="A47" s="7" t="n">
        <v>44047</v>
      </c>
      <c r="B47" s="8" t="n">
        <v>0.871527777777778</v>
      </c>
      <c r="C47" s="9" t="n">
        <v>127728</v>
      </c>
      <c r="D47" s="9" t="s">
        <v>16</v>
      </c>
      <c r="E47" s="9" t="n">
        <v>2560</v>
      </c>
      <c r="F47" s="9" t="n">
        <v>2420</v>
      </c>
      <c r="G47" s="10" t="n">
        <v>140</v>
      </c>
      <c r="H47" s="9" t="s">
        <v>11</v>
      </c>
      <c r="I47" s="9" t="s">
        <v>15</v>
      </c>
      <c r="J47" s="0" t="s">
        <v>13</v>
      </c>
    </row>
    <row r="48" customFormat="false" ht="13.8" hidden="true" customHeight="false" outlineLevel="0" collapsed="false">
      <c r="A48" s="7" t="n">
        <v>44047</v>
      </c>
      <c r="B48" s="8" t="n">
        <v>0.865277777777778</v>
      </c>
      <c r="C48" s="9" t="n">
        <v>127727</v>
      </c>
      <c r="D48" s="9" t="s">
        <v>17</v>
      </c>
      <c r="E48" s="9" t="n">
        <v>24160</v>
      </c>
      <c r="F48" s="9" t="n">
        <v>16060</v>
      </c>
      <c r="G48" s="10" t="n">
        <v>8100</v>
      </c>
      <c r="H48" s="9" t="s">
        <v>11</v>
      </c>
      <c r="I48" s="9" t="s">
        <v>15</v>
      </c>
      <c r="J48" s="0" t="s">
        <v>13</v>
      </c>
    </row>
    <row r="49" customFormat="false" ht="13.8" hidden="true" customHeight="false" outlineLevel="0" collapsed="false">
      <c r="A49" s="7" t="n">
        <v>44047</v>
      </c>
      <c r="B49" s="8" t="n">
        <v>0.48125</v>
      </c>
      <c r="C49" s="9" t="n">
        <v>105177</v>
      </c>
      <c r="D49" s="9" t="s">
        <v>17</v>
      </c>
      <c r="E49" s="9" t="n">
        <v>17980</v>
      </c>
      <c r="F49" s="9" t="n">
        <v>15900</v>
      </c>
      <c r="G49" s="10" t="n">
        <v>2080</v>
      </c>
      <c r="H49" s="9" t="s">
        <v>11</v>
      </c>
      <c r="I49" s="9" t="s">
        <v>20</v>
      </c>
      <c r="J49" s="0" t="s">
        <v>13</v>
      </c>
    </row>
    <row r="50" customFormat="false" ht="13.8" hidden="true" customHeight="false" outlineLevel="0" collapsed="false">
      <c r="A50" s="7" t="n">
        <v>44048</v>
      </c>
      <c r="B50" s="8" t="n">
        <v>0.190972222222222</v>
      </c>
      <c r="C50" s="9" t="n">
        <v>127741</v>
      </c>
      <c r="D50" s="9" t="s">
        <v>18</v>
      </c>
      <c r="E50" s="9" t="n">
        <v>16180</v>
      </c>
      <c r="F50" s="9" t="n">
        <v>12800</v>
      </c>
      <c r="G50" s="10" t="n">
        <v>3380</v>
      </c>
      <c r="H50" s="9" t="s">
        <v>11</v>
      </c>
      <c r="I50" s="9" t="s">
        <v>15</v>
      </c>
      <c r="J50" s="0" t="s">
        <v>13</v>
      </c>
    </row>
    <row r="51" customFormat="false" ht="13.8" hidden="true" customHeight="false" outlineLevel="0" collapsed="false">
      <c r="A51" s="7" t="n">
        <v>44048</v>
      </c>
      <c r="B51" s="8" t="n">
        <v>0.103472222222222</v>
      </c>
      <c r="C51" s="9" t="n">
        <v>127733</v>
      </c>
      <c r="D51" s="9" t="s">
        <v>18</v>
      </c>
      <c r="E51" s="9" t="n">
        <v>21700</v>
      </c>
      <c r="F51" s="9" t="n">
        <v>12820</v>
      </c>
      <c r="G51" s="10" t="n">
        <v>8880</v>
      </c>
      <c r="H51" s="9" t="s">
        <v>11</v>
      </c>
      <c r="I51" s="9" t="s">
        <v>15</v>
      </c>
      <c r="J51" s="0" t="s">
        <v>13</v>
      </c>
    </row>
    <row r="52" customFormat="false" ht="13.8" hidden="true" customHeight="false" outlineLevel="0" collapsed="false">
      <c r="A52" s="7" t="n">
        <v>44048</v>
      </c>
      <c r="B52" s="8" t="n">
        <v>0.202777777777778</v>
      </c>
      <c r="C52" s="9" t="n">
        <v>127742</v>
      </c>
      <c r="D52" s="9" t="s">
        <v>14</v>
      </c>
      <c r="E52" s="9" t="n">
        <v>27140</v>
      </c>
      <c r="F52" s="9" t="n">
        <v>15900</v>
      </c>
      <c r="G52" s="10" t="n">
        <v>11240</v>
      </c>
      <c r="H52" s="9" t="s">
        <v>11</v>
      </c>
      <c r="I52" s="9" t="s">
        <v>15</v>
      </c>
      <c r="J52" s="0" t="s">
        <v>13</v>
      </c>
    </row>
    <row r="53" customFormat="false" ht="13.8" hidden="true" customHeight="false" outlineLevel="0" collapsed="false">
      <c r="A53" s="7" t="n">
        <v>44048</v>
      </c>
      <c r="B53" s="8" t="n">
        <v>0.286805555555556</v>
      </c>
      <c r="C53" s="9" t="n">
        <v>127752</v>
      </c>
      <c r="D53" s="9" t="s">
        <v>14</v>
      </c>
      <c r="E53" s="9" t="n">
        <v>21280</v>
      </c>
      <c r="F53" s="9" t="n">
        <v>15880</v>
      </c>
      <c r="G53" s="10" t="n">
        <v>5400</v>
      </c>
      <c r="H53" s="9" t="s">
        <v>11</v>
      </c>
      <c r="I53" s="9" t="s">
        <v>15</v>
      </c>
      <c r="J53" s="0" t="s">
        <v>13</v>
      </c>
    </row>
    <row r="54" customFormat="false" ht="13.8" hidden="true" customHeight="false" outlineLevel="0" collapsed="false">
      <c r="A54" s="7" t="n">
        <v>44048</v>
      </c>
      <c r="B54" s="8" t="n">
        <v>0.259027777777778</v>
      </c>
      <c r="C54" s="9" t="n">
        <v>127748</v>
      </c>
      <c r="D54" s="9" t="s">
        <v>19</v>
      </c>
      <c r="E54" s="9" t="n">
        <v>4920</v>
      </c>
      <c r="F54" s="9" t="n">
        <v>3740</v>
      </c>
      <c r="G54" s="10" t="n">
        <v>1180</v>
      </c>
      <c r="H54" s="9" t="s">
        <v>11</v>
      </c>
      <c r="I54" s="9" t="s">
        <v>15</v>
      </c>
      <c r="J54" s="0" t="s">
        <v>13</v>
      </c>
    </row>
    <row r="55" customFormat="false" ht="13.8" hidden="true" customHeight="false" outlineLevel="0" collapsed="false">
      <c r="A55" s="7" t="n">
        <v>44048</v>
      </c>
      <c r="B55" s="8" t="n">
        <v>0.465277777777778</v>
      </c>
      <c r="C55" s="9" t="n">
        <v>127778</v>
      </c>
      <c r="D55" s="9" t="s">
        <v>16</v>
      </c>
      <c r="E55" s="9" t="n">
        <v>2720</v>
      </c>
      <c r="F55" s="9" t="n">
        <v>2400</v>
      </c>
      <c r="G55" s="10" t="n">
        <v>320</v>
      </c>
      <c r="H55" s="9" t="s">
        <v>11</v>
      </c>
      <c r="I55" s="9" t="s">
        <v>15</v>
      </c>
      <c r="J55" s="0" t="s">
        <v>13</v>
      </c>
    </row>
    <row r="56" customFormat="false" ht="13.8" hidden="true" customHeight="false" outlineLevel="0" collapsed="false">
      <c r="A56" s="7" t="n">
        <v>44048</v>
      </c>
      <c r="B56" s="8" t="n">
        <v>0.378472222222222</v>
      </c>
      <c r="C56" s="9" t="n">
        <v>127766</v>
      </c>
      <c r="D56" s="9" t="s">
        <v>10</v>
      </c>
      <c r="E56" s="9" t="n">
        <v>3460</v>
      </c>
      <c r="F56" s="9" t="n">
        <v>2820</v>
      </c>
      <c r="G56" s="10" t="n">
        <v>640</v>
      </c>
      <c r="H56" s="9" t="s">
        <v>11</v>
      </c>
      <c r="I56" s="9" t="s">
        <v>12</v>
      </c>
      <c r="J56" s="0" t="s">
        <v>13</v>
      </c>
    </row>
    <row r="57" customFormat="false" ht="13.8" hidden="true" customHeight="false" outlineLevel="0" collapsed="false">
      <c r="A57" s="7" t="n">
        <v>44048</v>
      </c>
      <c r="B57" s="8" t="n">
        <v>0.307638888888889</v>
      </c>
      <c r="C57" s="9" t="n">
        <v>127754</v>
      </c>
      <c r="D57" s="9" t="s">
        <v>10</v>
      </c>
      <c r="E57" s="9" t="n">
        <v>3560</v>
      </c>
      <c r="F57" s="9" t="n">
        <v>2900</v>
      </c>
      <c r="G57" s="10" t="n">
        <v>660</v>
      </c>
      <c r="H57" s="9" t="s">
        <v>11</v>
      </c>
      <c r="I57" s="9" t="s">
        <v>12</v>
      </c>
      <c r="J57" s="0" t="s">
        <v>13</v>
      </c>
    </row>
    <row r="58" customFormat="false" ht="13.8" hidden="true" customHeight="false" outlineLevel="0" collapsed="false">
      <c r="A58" s="7" t="n">
        <v>44048</v>
      </c>
      <c r="B58" s="8" t="n">
        <v>0.683333333333333</v>
      </c>
      <c r="C58" s="9" t="n">
        <v>127801</v>
      </c>
      <c r="D58" s="9" t="s">
        <v>18</v>
      </c>
      <c r="E58" s="9" t="n">
        <v>14880</v>
      </c>
      <c r="F58" s="9" t="n">
        <v>12740</v>
      </c>
      <c r="G58" s="10" t="n">
        <v>2140</v>
      </c>
      <c r="H58" s="9" t="s">
        <v>11</v>
      </c>
      <c r="I58" s="9" t="s">
        <v>15</v>
      </c>
      <c r="J58" s="0" t="s">
        <v>13</v>
      </c>
    </row>
    <row r="59" customFormat="false" ht="13.8" hidden="true" customHeight="false" outlineLevel="0" collapsed="false">
      <c r="A59" s="7" t="n">
        <v>44048</v>
      </c>
      <c r="B59" s="8" t="n">
        <v>0.384722222222222</v>
      </c>
      <c r="C59" s="9" t="n">
        <v>127768</v>
      </c>
      <c r="D59" s="9" t="s">
        <v>24</v>
      </c>
      <c r="E59" s="9" t="n">
        <v>3120</v>
      </c>
      <c r="F59" s="9" t="n">
        <v>2720</v>
      </c>
      <c r="G59" s="10" t="n">
        <v>400</v>
      </c>
      <c r="H59" s="9" t="s">
        <v>11</v>
      </c>
      <c r="I59" s="9" t="s">
        <v>25</v>
      </c>
      <c r="J59" s="0" t="s">
        <v>13</v>
      </c>
    </row>
    <row r="60" customFormat="false" ht="13.8" hidden="true" customHeight="false" outlineLevel="0" collapsed="false">
      <c r="A60" s="7" t="n">
        <v>44048</v>
      </c>
      <c r="B60" s="8" t="n">
        <v>0.877777777777778</v>
      </c>
      <c r="C60" s="9" t="n">
        <v>127809</v>
      </c>
      <c r="D60" s="9" t="s">
        <v>16</v>
      </c>
      <c r="E60" s="9" t="n">
        <v>2580</v>
      </c>
      <c r="F60" s="9" t="n">
        <v>2400</v>
      </c>
      <c r="G60" s="10" t="n">
        <v>180</v>
      </c>
      <c r="H60" s="9" t="s">
        <v>11</v>
      </c>
      <c r="I60" s="9" t="s">
        <v>15</v>
      </c>
      <c r="J60" s="0" t="s">
        <v>13</v>
      </c>
    </row>
    <row r="61" customFormat="false" ht="13.8" hidden="true" customHeight="false" outlineLevel="0" collapsed="false">
      <c r="A61" s="7" t="n">
        <v>44048</v>
      </c>
      <c r="B61" s="8" t="n">
        <v>0.489583333333333</v>
      </c>
      <c r="C61" s="9" t="n">
        <v>127783</v>
      </c>
      <c r="D61" s="9" t="s">
        <v>10</v>
      </c>
      <c r="E61" s="9" t="n">
        <v>3420</v>
      </c>
      <c r="F61" s="9" t="n">
        <v>2900</v>
      </c>
      <c r="G61" s="10" t="n">
        <v>520</v>
      </c>
      <c r="H61" s="9" t="s">
        <v>11</v>
      </c>
      <c r="I61" s="9" t="s">
        <v>12</v>
      </c>
      <c r="J61" s="0" t="s">
        <v>13</v>
      </c>
    </row>
    <row r="62" customFormat="false" ht="13.8" hidden="true" customHeight="false" outlineLevel="0" collapsed="false">
      <c r="A62" s="7" t="n">
        <v>44048</v>
      </c>
      <c r="B62" s="8" t="n">
        <v>0.85625</v>
      </c>
      <c r="C62" s="11" t="n">
        <v>127808</v>
      </c>
      <c r="D62" s="9" t="s">
        <v>14</v>
      </c>
      <c r="E62" s="9" t="n">
        <v>23640</v>
      </c>
      <c r="F62" s="9" t="n">
        <v>15860</v>
      </c>
      <c r="G62" s="10" t="n">
        <v>7780</v>
      </c>
      <c r="H62" s="9" t="s">
        <v>11</v>
      </c>
      <c r="I62" s="9" t="s">
        <v>15</v>
      </c>
      <c r="J62" s="0" t="s">
        <v>13</v>
      </c>
    </row>
    <row r="63" customFormat="false" ht="13.8" hidden="true" customHeight="false" outlineLevel="0" collapsed="false">
      <c r="A63" s="7" t="n">
        <v>44049</v>
      </c>
      <c r="B63" s="8" t="n">
        <v>0.279166666666667</v>
      </c>
      <c r="C63" s="9" t="n">
        <v>127830</v>
      </c>
      <c r="D63" s="9" t="s">
        <v>14</v>
      </c>
      <c r="E63" s="9" t="n">
        <v>22600</v>
      </c>
      <c r="F63" s="9" t="n">
        <v>16020</v>
      </c>
      <c r="G63" s="10" t="n">
        <v>6580</v>
      </c>
      <c r="H63" s="9" t="s">
        <v>11</v>
      </c>
      <c r="I63" s="9" t="s">
        <v>15</v>
      </c>
      <c r="J63" s="0" t="s">
        <v>13</v>
      </c>
    </row>
    <row r="64" customFormat="false" ht="13.8" hidden="true" customHeight="false" outlineLevel="0" collapsed="false">
      <c r="A64" s="7" t="n">
        <v>44049</v>
      </c>
      <c r="B64" s="8" t="n">
        <v>0.171527777777778</v>
      </c>
      <c r="C64" s="9" t="n">
        <v>127821</v>
      </c>
      <c r="D64" s="9" t="s">
        <v>14</v>
      </c>
      <c r="E64" s="9" t="n">
        <v>25800</v>
      </c>
      <c r="F64" s="9" t="n">
        <v>16040</v>
      </c>
      <c r="G64" s="10" t="n">
        <v>9760</v>
      </c>
      <c r="H64" s="9" t="s">
        <v>11</v>
      </c>
      <c r="I64" s="9" t="s">
        <v>15</v>
      </c>
      <c r="J64" s="0" t="s">
        <v>13</v>
      </c>
    </row>
    <row r="65" customFormat="false" ht="13.8" hidden="true" customHeight="false" outlineLevel="0" collapsed="false">
      <c r="A65" s="7" t="n">
        <v>44049</v>
      </c>
      <c r="B65" s="8" t="n">
        <v>0.267361111111111</v>
      </c>
      <c r="C65" s="9" t="n">
        <v>127826</v>
      </c>
      <c r="D65" s="9" t="s">
        <v>19</v>
      </c>
      <c r="E65" s="9" t="n">
        <v>4960</v>
      </c>
      <c r="F65" s="9" t="n">
        <v>3560</v>
      </c>
      <c r="G65" s="10" t="n">
        <v>1400</v>
      </c>
      <c r="H65" s="9" t="s">
        <v>11</v>
      </c>
      <c r="I65" s="9" t="s">
        <v>15</v>
      </c>
      <c r="J65" s="0" t="s">
        <v>13</v>
      </c>
    </row>
    <row r="66" customFormat="false" ht="13.8" hidden="true" customHeight="false" outlineLevel="0" collapsed="false">
      <c r="A66" s="7" t="n">
        <v>44049</v>
      </c>
      <c r="B66" s="8" t="n">
        <v>0.311805555555556</v>
      </c>
      <c r="C66" s="9" t="n">
        <v>127836</v>
      </c>
      <c r="D66" s="9" t="s">
        <v>23</v>
      </c>
      <c r="E66" s="9" t="n">
        <v>6480</v>
      </c>
      <c r="F66" s="9" t="n">
        <v>5640</v>
      </c>
      <c r="G66" s="10" t="n">
        <v>840</v>
      </c>
      <c r="H66" s="9" t="s">
        <v>11</v>
      </c>
      <c r="I66" s="9" t="s">
        <v>12</v>
      </c>
      <c r="J66" s="0" t="s">
        <v>13</v>
      </c>
    </row>
    <row r="67" customFormat="false" ht="13.8" hidden="true" customHeight="false" outlineLevel="0" collapsed="false">
      <c r="A67" s="7" t="n">
        <v>44049</v>
      </c>
      <c r="B67" s="8" t="n">
        <v>0.151388888888889</v>
      </c>
      <c r="C67" s="9" t="n">
        <v>127820</v>
      </c>
      <c r="D67" s="9" t="s">
        <v>26</v>
      </c>
      <c r="E67" s="9" t="n">
        <v>20520</v>
      </c>
      <c r="F67" s="9" t="n">
        <v>12440</v>
      </c>
      <c r="G67" s="10" t="n">
        <v>8080</v>
      </c>
      <c r="H67" s="9" t="s">
        <v>11</v>
      </c>
      <c r="I67" s="9" t="s">
        <v>15</v>
      </c>
      <c r="J67" s="0" t="s">
        <v>13</v>
      </c>
    </row>
    <row r="68" customFormat="false" ht="13.8" hidden="true" customHeight="false" outlineLevel="0" collapsed="false">
      <c r="A68" s="7" t="n">
        <v>44049</v>
      </c>
      <c r="B68" s="8" t="n">
        <v>0.276388888888889</v>
      </c>
      <c r="C68" s="9" t="n">
        <v>127829</v>
      </c>
      <c r="D68" s="9" t="s">
        <v>26</v>
      </c>
      <c r="E68" s="9" t="n">
        <v>17240</v>
      </c>
      <c r="F68" s="9" t="n">
        <v>12480</v>
      </c>
      <c r="G68" s="10" t="n">
        <v>4760</v>
      </c>
      <c r="H68" s="9" t="s">
        <v>11</v>
      </c>
      <c r="I68" s="9" t="s">
        <v>15</v>
      </c>
      <c r="J68" s="0" t="s">
        <v>13</v>
      </c>
    </row>
    <row r="69" customFormat="false" ht="13.8" hidden="true" customHeight="false" outlineLevel="0" collapsed="false">
      <c r="A69" s="7" t="n">
        <v>44049</v>
      </c>
      <c r="B69" s="8" t="n">
        <v>0.479166666666667</v>
      </c>
      <c r="C69" s="9" t="n">
        <v>105312</v>
      </c>
      <c r="D69" s="9" t="s">
        <v>17</v>
      </c>
      <c r="E69" s="9" t="n">
        <v>17460</v>
      </c>
      <c r="F69" s="9" t="n">
        <v>16000</v>
      </c>
      <c r="G69" s="10" t="n">
        <v>1460</v>
      </c>
      <c r="H69" s="9" t="s">
        <v>11</v>
      </c>
      <c r="I69" s="9" t="s">
        <v>20</v>
      </c>
      <c r="J69" s="0" t="s">
        <v>13</v>
      </c>
    </row>
    <row r="70" customFormat="false" ht="13.8" hidden="true" customHeight="false" outlineLevel="0" collapsed="false">
      <c r="A70" s="7" t="n">
        <v>44049</v>
      </c>
      <c r="B70" s="8" t="n">
        <v>0.463888888888889</v>
      </c>
      <c r="C70" s="9" t="n">
        <v>127855</v>
      </c>
      <c r="D70" s="9" t="s">
        <v>16</v>
      </c>
      <c r="E70" s="9" t="n">
        <v>2780</v>
      </c>
      <c r="F70" s="9" t="n">
        <v>2400</v>
      </c>
      <c r="G70" s="10" t="n">
        <v>380</v>
      </c>
      <c r="H70" s="9" t="s">
        <v>11</v>
      </c>
      <c r="I70" s="9" t="s">
        <v>15</v>
      </c>
      <c r="J70" s="0" t="s">
        <v>13</v>
      </c>
    </row>
    <row r="71" customFormat="false" ht="13.8" hidden="true" customHeight="false" outlineLevel="0" collapsed="false">
      <c r="A71" s="7" t="n">
        <v>44049</v>
      </c>
      <c r="B71" s="8" t="n">
        <v>0.879166666666667</v>
      </c>
      <c r="C71" s="9" t="n">
        <v>127889</v>
      </c>
      <c r="D71" s="9" t="s">
        <v>14</v>
      </c>
      <c r="E71" s="9" t="n">
        <v>24980</v>
      </c>
      <c r="F71" s="9" t="n">
        <v>16000</v>
      </c>
      <c r="G71" s="10" t="n">
        <v>8980</v>
      </c>
      <c r="H71" s="9" t="s">
        <v>11</v>
      </c>
      <c r="I71" s="9" t="s">
        <v>15</v>
      </c>
      <c r="J71" s="0" t="s">
        <v>13</v>
      </c>
    </row>
    <row r="72" customFormat="false" ht="13.8" hidden="true" customHeight="false" outlineLevel="0" collapsed="false">
      <c r="A72" s="7" t="n">
        <v>44049</v>
      </c>
      <c r="B72" s="8" t="n">
        <v>0.880555555555556</v>
      </c>
      <c r="C72" s="9" t="n">
        <v>127890</v>
      </c>
      <c r="D72" s="9" t="s">
        <v>16</v>
      </c>
      <c r="E72" s="9" t="n">
        <v>2620</v>
      </c>
      <c r="F72" s="9" t="n">
        <v>2400</v>
      </c>
      <c r="G72" s="10" t="n">
        <v>220</v>
      </c>
      <c r="H72" s="9" t="s">
        <v>11</v>
      </c>
      <c r="I72" s="9" t="s">
        <v>15</v>
      </c>
      <c r="J72" s="0" t="s">
        <v>13</v>
      </c>
    </row>
    <row r="73" customFormat="false" ht="13.8" hidden="true" customHeight="false" outlineLevel="0" collapsed="false">
      <c r="A73" s="7" t="n">
        <v>44049</v>
      </c>
      <c r="B73" s="8" t="n">
        <v>0.688888888888889</v>
      </c>
      <c r="C73" s="9" t="n">
        <v>127880</v>
      </c>
      <c r="D73" s="9" t="s">
        <v>26</v>
      </c>
      <c r="E73" s="9" t="n">
        <v>14220</v>
      </c>
      <c r="F73" s="9" t="n">
        <v>12380</v>
      </c>
      <c r="G73" s="10" t="n">
        <v>1840</v>
      </c>
      <c r="H73" s="9" t="s">
        <v>11</v>
      </c>
      <c r="I73" s="9" t="s">
        <v>15</v>
      </c>
      <c r="J73" s="0" t="s">
        <v>13</v>
      </c>
    </row>
    <row r="74" customFormat="false" ht="13.8" hidden="true" customHeight="false" outlineLevel="0" collapsed="false">
      <c r="A74" s="7" t="n">
        <v>44050</v>
      </c>
      <c r="B74" s="8" t="n">
        <v>0.281944444444444</v>
      </c>
      <c r="C74" s="9" t="n">
        <v>127911</v>
      </c>
      <c r="D74" s="9" t="s">
        <v>19</v>
      </c>
      <c r="E74" s="9" t="n">
        <v>5000</v>
      </c>
      <c r="F74" s="9" t="n">
        <v>3700</v>
      </c>
      <c r="G74" s="10" t="n">
        <v>1300</v>
      </c>
      <c r="H74" s="9" t="s">
        <v>11</v>
      </c>
      <c r="I74" s="9" t="s">
        <v>15</v>
      </c>
      <c r="J74" s="0" t="s">
        <v>13</v>
      </c>
    </row>
    <row r="75" customFormat="false" ht="13.8" hidden="true" customHeight="false" outlineLevel="0" collapsed="false">
      <c r="A75" s="7" t="n">
        <v>44050</v>
      </c>
      <c r="B75" s="8" t="n">
        <v>0.213194444444444</v>
      </c>
      <c r="C75" s="9" t="n">
        <v>127902</v>
      </c>
      <c r="D75" s="9" t="s">
        <v>27</v>
      </c>
      <c r="E75" s="9" t="n">
        <v>16860</v>
      </c>
      <c r="F75" s="9" t="n">
        <v>12700</v>
      </c>
      <c r="G75" s="10" t="n">
        <v>4160</v>
      </c>
      <c r="H75" s="9" t="s">
        <v>11</v>
      </c>
      <c r="I75" s="9" t="s">
        <v>15</v>
      </c>
      <c r="J75" s="0" t="s">
        <v>13</v>
      </c>
    </row>
    <row r="76" customFormat="false" ht="13.8" hidden="true" customHeight="false" outlineLevel="0" collapsed="false">
      <c r="A76" s="7" t="n">
        <v>44050</v>
      </c>
      <c r="B76" s="8" t="n">
        <v>0.111111111111111</v>
      </c>
      <c r="C76" s="9" t="n">
        <v>127895</v>
      </c>
      <c r="D76" s="9" t="s">
        <v>27</v>
      </c>
      <c r="E76" s="9" t="n">
        <v>21880</v>
      </c>
      <c r="F76" s="9" t="n">
        <v>12740</v>
      </c>
      <c r="G76" s="10" t="n">
        <v>9140</v>
      </c>
      <c r="H76" s="9" t="s">
        <v>11</v>
      </c>
      <c r="I76" s="9" t="s">
        <v>15</v>
      </c>
      <c r="J76" s="0" t="s">
        <v>13</v>
      </c>
    </row>
    <row r="77" customFormat="false" ht="13.8" hidden="true" customHeight="false" outlineLevel="0" collapsed="false">
      <c r="A77" s="7" t="n">
        <v>44050</v>
      </c>
      <c r="B77" s="8" t="n">
        <v>0.195138888888889</v>
      </c>
      <c r="C77" s="9" t="n">
        <v>127901</v>
      </c>
      <c r="D77" s="9" t="s">
        <v>14</v>
      </c>
      <c r="E77" s="9" t="n">
        <v>25360</v>
      </c>
      <c r="F77" s="9" t="n">
        <v>16120</v>
      </c>
      <c r="G77" s="10" t="n">
        <v>9240</v>
      </c>
      <c r="H77" s="9" t="s">
        <v>11</v>
      </c>
      <c r="I77" s="9" t="s">
        <v>15</v>
      </c>
      <c r="J77" s="0" t="s">
        <v>13</v>
      </c>
    </row>
    <row r="78" customFormat="false" ht="13.8" hidden="true" customHeight="false" outlineLevel="0" collapsed="false">
      <c r="A78" s="7" t="n">
        <v>44050</v>
      </c>
      <c r="B78" s="8" t="n">
        <v>0.284027777777778</v>
      </c>
      <c r="C78" s="9" t="n">
        <v>127912</v>
      </c>
      <c r="D78" s="9" t="s">
        <v>14</v>
      </c>
      <c r="E78" s="9" t="n">
        <v>22080</v>
      </c>
      <c r="F78" s="9" t="n">
        <v>16100</v>
      </c>
      <c r="G78" s="10" t="n">
        <v>5980</v>
      </c>
      <c r="H78" s="9" t="s">
        <v>11</v>
      </c>
      <c r="I78" s="9" t="s">
        <v>15</v>
      </c>
      <c r="J78" s="0" t="s">
        <v>13</v>
      </c>
    </row>
    <row r="79" customFormat="false" ht="13.8" hidden="true" customHeight="false" outlineLevel="0" collapsed="false">
      <c r="A79" s="7" t="n">
        <v>44050</v>
      </c>
      <c r="B79" s="8" t="n">
        <v>0.872222222222222</v>
      </c>
      <c r="C79" s="9" t="n">
        <v>127970</v>
      </c>
      <c r="D79" s="9" t="s">
        <v>16</v>
      </c>
      <c r="E79" s="9" t="n">
        <v>2640</v>
      </c>
      <c r="F79" s="9" t="n">
        <v>2420</v>
      </c>
      <c r="G79" s="10" t="n">
        <v>220</v>
      </c>
      <c r="H79" s="9" t="s">
        <v>11</v>
      </c>
      <c r="I79" s="9" t="s">
        <v>15</v>
      </c>
      <c r="J79" s="0" t="s">
        <v>13</v>
      </c>
    </row>
    <row r="80" customFormat="false" ht="13.8" hidden="true" customHeight="false" outlineLevel="0" collapsed="false">
      <c r="A80" s="7" t="n">
        <v>44050</v>
      </c>
      <c r="B80" s="8" t="n">
        <v>0.695138888888889</v>
      </c>
      <c r="C80" s="9" t="n">
        <v>127964</v>
      </c>
      <c r="D80" s="9" t="s">
        <v>18</v>
      </c>
      <c r="E80" s="9" t="n">
        <v>15420</v>
      </c>
      <c r="F80" s="9" t="n">
        <v>12720</v>
      </c>
      <c r="G80" s="10" t="n">
        <v>2700</v>
      </c>
      <c r="H80" s="9" t="s">
        <v>11</v>
      </c>
      <c r="I80" s="9" t="s">
        <v>15</v>
      </c>
      <c r="J80" s="0" t="s">
        <v>13</v>
      </c>
    </row>
    <row r="81" customFormat="false" ht="13.8" hidden="true" customHeight="false" outlineLevel="0" collapsed="false">
      <c r="A81" s="7" t="n">
        <v>44050</v>
      </c>
      <c r="B81" s="8" t="n">
        <v>0.878472222222222</v>
      </c>
      <c r="C81" s="9" t="n">
        <v>127972</v>
      </c>
      <c r="D81" s="9" t="s">
        <v>17</v>
      </c>
      <c r="E81" s="9" t="n">
        <v>25440</v>
      </c>
      <c r="F81" s="9" t="n">
        <v>16060</v>
      </c>
      <c r="G81" s="10" t="n">
        <v>9380</v>
      </c>
      <c r="H81" s="9" t="s">
        <v>11</v>
      </c>
      <c r="I81" s="9" t="s">
        <v>15</v>
      </c>
      <c r="J81" s="0" t="s">
        <v>13</v>
      </c>
    </row>
    <row r="82" customFormat="false" ht="13.8" hidden="true" customHeight="false" outlineLevel="0" collapsed="false">
      <c r="A82" s="7" t="n">
        <v>44050</v>
      </c>
      <c r="B82" s="8" t="n">
        <v>0.470833333333333</v>
      </c>
      <c r="C82" s="9" t="n">
        <v>127941</v>
      </c>
      <c r="D82" s="9" t="s">
        <v>10</v>
      </c>
      <c r="E82" s="9" t="n">
        <v>3180</v>
      </c>
      <c r="F82" s="9" t="n">
        <v>2800</v>
      </c>
      <c r="G82" s="10" t="n">
        <v>380</v>
      </c>
      <c r="H82" s="9" t="s">
        <v>11</v>
      </c>
      <c r="I82" s="9" t="s">
        <v>12</v>
      </c>
      <c r="J82" s="0" t="s">
        <v>13</v>
      </c>
    </row>
    <row r="83" customFormat="false" ht="13.8" hidden="true" customHeight="false" outlineLevel="0" collapsed="false">
      <c r="A83" s="7" t="n">
        <v>44050</v>
      </c>
      <c r="B83" s="8" t="n">
        <v>0.444444444444444</v>
      </c>
      <c r="C83" s="9" t="n">
        <v>127935</v>
      </c>
      <c r="D83" s="9" t="s">
        <v>16</v>
      </c>
      <c r="E83" s="9" t="n">
        <v>2780</v>
      </c>
      <c r="F83" s="9" t="n">
        <v>2460</v>
      </c>
      <c r="G83" s="10" t="n">
        <v>320</v>
      </c>
      <c r="H83" s="9" t="s">
        <v>11</v>
      </c>
      <c r="I83" s="9" t="s">
        <v>15</v>
      </c>
      <c r="J83" s="0" t="s">
        <v>13</v>
      </c>
    </row>
    <row r="84" customFormat="false" ht="13.8" hidden="true" customHeight="false" outlineLevel="0" collapsed="false">
      <c r="A84" s="7" t="n">
        <v>44050</v>
      </c>
      <c r="B84" s="8" t="n">
        <v>0.325</v>
      </c>
      <c r="C84" s="9" t="n">
        <v>127922</v>
      </c>
      <c r="D84" s="9" t="s">
        <v>28</v>
      </c>
      <c r="E84" s="9" t="n">
        <v>26140</v>
      </c>
      <c r="F84" s="9" t="n">
        <v>15300</v>
      </c>
      <c r="G84" s="10" t="n">
        <v>10840</v>
      </c>
      <c r="H84" s="9" t="s">
        <v>11</v>
      </c>
      <c r="I84" s="9" t="s">
        <v>29</v>
      </c>
      <c r="J84" s="0" t="s">
        <v>13</v>
      </c>
    </row>
    <row r="85" customFormat="false" ht="13.8" hidden="true" customHeight="false" outlineLevel="0" collapsed="false">
      <c r="A85" s="7" t="n">
        <v>44050</v>
      </c>
      <c r="B85" s="8" t="n">
        <v>0.274305555555555</v>
      </c>
      <c r="C85" s="9" t="n">
        <v>127909</v>
      </c>
      <c r="D85" s="9" t="s">
        <v>28</v>
      </c>
      <c r="E85" s="9" t="n">
        <v>24960</v>
      </c>
      <c r="F85" s="9" t="n">
        <v>15300</v>
      </c>
      <c r="G85" s="10" t="n">
        <v>9660</v>
      </c>
      <c r="H85" s="9" t="s">
        <v>11</v>
      </c>
      <c r="I85" s="9" t="s">
        <v>29</v>
      </c>
      <c r="J85" s="0" t="s">
        <v>13</v>
      </c>
    </row>
    <row r="86" customFormat="false" ht="13.8" hidden="true" customHeight="false" outlineLevel="0" collapsed="false">
      <c r="A86" s="7" t="n">
        <v>44050</v>
      </c>
      <c r="B86" s="8" t="n">
        <v>0.302083333333333</v>
      </c>
      <c r="C86" s="9" t="n">
        <v>127916</v>
      </c>
      <c r="D86" s="9" t="s">
        <v>28</v>
      </c>
      <c r="E86" s="9" t="n">
        <v>25580</v>
      </c>
      <c r="F86" s="9" t="n">
        <v>15300</v>
      </c>
      <c r="G86" s="10" t="n">
        <v>10280</v>
      </c>
      <c r="H86" s="9" t="s">
        <v>11</v>
      </c>
      <c r="I86" s="9" t="s">
        <v>29</v>
      </c>
      <c r="J86" s="0" t="s">
        <v>13</v>
      </c>
    </row>
    <row r="87" customFormat="false" ht="13.8" hidden="true" customHeight="false" outlineLevel="0" collapsed="false">
      <c r="A87" s="7" t="n">
        <v>44050</v>
      </c>
      <c r="B87" s="8" t="n">
        <v>0.242361111111111</v>
      </c>
      <c r="C87" s="9" t="n">
        <v>127905</v>
      </c>
      <c r="D87" s="9" t="s">
        <v>28</v>
      </c>
      <c r="E87" s="9" t="n">
        <v>22600</v>
      </c>
      <c r="F87" s="9" t="n">
        <v>15300</v>
      </c>
      <c r="G87" s="10" t="n">
        <v>7300</v>
      </c>
      <c r="H87" s="9" t="s">
        <v>11</v>
      </c>
      <c r="I87" s="9" t="s">
        <v>29</v>
      </c>
      <c r="J87" s="0" t="s">
        <v>13</v>
      </c>
    </row>
    <row r="88" customFormat="false" ht="13.8" hidden="true" customHeight="false" outlineLevel="0" collapsed="false">
      <c r="A88" s="7" t="n">
        <v>44050</v>
      </c>
      <c r="B88" s="8" t="n">
        <v>0.389583333333333</v>
      </c>
      <c r="C88" s="9" t="n">
        <v>127929</v>
      </c>
      <c r="D88" s="9" t="s">
        <v>28</v>
      </c>
      <c r="E88" s="9" t="n">
        <v>17620</v>
      </c>
      <c r="F88" s="9" t="n">
        <v>15940</v>
      </c>
      <c r="G88" s="10" t="n">
        <v>1680</v>
      </c>
      <c r="H88" s="9" t="s">
        <v>11</v>
      </c>
      <c r="I88" s="9" t="s">
        <v>12</v>
      </c>
      <c r="J88" s="0" t="s">
        <v>13</v>
      </c>
    </row>
    <row r="89" customFormat="false" ht="13.8" hidden="true" customHeight="false" outlineLevel="0" collapsed="false">
      <c r="A89" s="7" t="n">
        <v>44050</v>
      </c>
      <c r="B89" s="8" t="n">
        <v>0.359722222222222</v>
      </c>
      <c r="C89" s="9" t="n">
        <v>127926</v>
      </c>
      <c r="D89" s="9" t="s">
        <v>10</v>
      </c>
      <c r="E89" s="9" t="n">
        <v>3320</v>
      </c>
      <c r="F89" s="9" t="n">
        <v>2860</v>
      </c>
      <c r="G89" s="10" t="n">
        <v>460</v>
      </c>
      <c r="H89" s="9" t="s">
        <v>11</v>
      </c>
      <c r="I89" s="9" t="s">
        <v>12</v>
      </c>
      <c r="J89" s="0" t="s">
        <v>13</v>
      </c>
    </row>
    <row r="90" customFormat="false" ht="13.8" hidden="true" customHeight="false" outlineLevel="0" collapsed="false">
      <c r="A90" s="7" t="n">
        <v>44050</v>
      </c>
      <c r="B90" s="8" t="n">
        <v>0.503472222222222</v>
      </c>
      <c r="C90" s="9" t="n">
        <v>659</v>
      </c>
      <c r="D90" s="9" t="s">
        <v>17</v>
      </c>
      <c r="E90" s="9" t="n">
        <v>19120</v>
      </c>
      <c r="F90" s="9" t="n">
        <v>15840</v>
      </c>
      <c r="G90" s="10" t="n">
        <v>3280</v>
      </c>
      <c r="H90" s="9" t="s">
        <v>11</v>
      </c>
      <c r="I90" s="9" t="s">
        <v>22</v>
      </c>
      <c r="J90" s="0" t="s">
        <v>13</v>
      </c>
    </row>
    <row r="91" customFormat="false" ht="13.8" hidden="true" customHeight="false" outlineLevel="0" collapsed="false">
      <c r="A91" s="7" t="n">
        <v>44051</v>
      </c>
      <c r="B91" s="8" t="n">
        <v>0.49375</v>
      </c>
      <c r="C91" s="9" t="n">
        <v>128003</v>
      </c>
      <c r="D91" s="9" t="s">
        <v>24</v>
      </c>
      <c r="E91" s="9" t="n">
        <v>3360</v>
      </c>
      <c r="F91" s="9" t="n">
        <v>2700</v>
      </c>
      <c r="G91" s="10" t="n">
        <v>660</v>
      </c>
      <c r="H91" s="9" t="s">
        <v>11</v>
      </c>
      <c r="I91" s="9" t="s">
        <v>25</v>
      </c>
      <c r="J91" s="0" t="s">
        <v>13</v>
      </c>
    </row>
    <row r="92" customFormat="false" ht="13.8" hidden="true" customHeight="false" outlineLevel="0" collapsed="false">
      <c r="A92" s="7" t="n">
        <v>44051</v>
      </c>
      <c r="B92" s="8" t="n">
        <v>0.453472222222222</v>
      </c>
      <c r="C92" s="9" t="n">
        <v>128001</v>
      </c>
      <c r="D92" s="9" t="s">
        <v>10</v>
      </c>
      <c r="E92" s="9" t="n">
        <v>3360</v>
      </c>
      <c r="F92" s="9" t="n">
        <v>2900</v>
      </c>
      <c r="G92" s="10" t="n">
        <v>460</v>
      </c>
      <c r="H92" s="9" t="s">
        <v>11</v>
      </c>
      <c r="I92" s="9" t="s">
        <v>12</v>
      </c>
      <c r="J92" s="0" t="s">
        <v>13</v>
      </c>
    </row>
    <row r="93" customFormat="false" ht="13.8" hidden="true" customHeight="false" outlineLevel="0" collapsed="false">
      <c r="A93" s="7" t="n">
        <v>44051</v>
      </c>
      <c r="B93" s="8" t="n">
        <v>0.447916666666667</v>
      </c>
      <c r="C93" s="9" t="n">
        <v>127999</v>
      </c>
      <c r="D93" s="9" t="s">
        <v>16</v>
      </c>
      <c r="E93" s="9" t="n">
        <v>2700</v>
      </c>
      <c r="F93" s="9" t="n">
        <v>2500</v>
      </c>
      <c r="G93" s="10" t="n">
        <v>200</v>
      </c>
      <c r="H93" s="9" t="s">
        <v>11</v>
      </c>
      <c r="I93" s="9" t="s">
        <v>15</v>
      </c>
      <c r="J93" s="0" t="s">
        <v>13</v>
      </c>
    </row>
    <row r="94" customFormat="false" ht="13.8" hidden="true" customHeight="false" outlineLevel="0" collapsed="false">
      <c r="A94" s="7" t="n">
        <v>44051</v>
      </c>
      <c r="B94" s="8" t="n">
        <v>0.858333333333333</v>
      </c>
      <c r="C94" s="9" t="n">
        <v>128005</v>
      </c>
      <c r="D94" s="9" t="s">
        <v>14</v>
      </c>
      <c r="E94" s="9" t="n">
        <v>25940</v>
      </c>
      <c r="F94" s="9" t="n">
        <v>15960</v>
      </c>
      <c r="G94" s="10" t="n">
        <v>9980</v>
      </c>
      <c r="H94" s="9" t="s">
        <v>11</v>
      </c>
      <c r="I94" s="9" t="s">
        <v>15</v>
      </c>
      <c r="J94" s="0" t="s">
        <v>13</v>
      </c>
    </row>
    <row r="95" customFormat="false" ht="13.8" hidden="true" customHeight="false" outlineLevel="0" collapsed="false">
      <c r="A95" s="7" t="n">
        <v>44051</v>
      </c>
      <c r="B95" s="8" t="n">
        <v>0.861111111111111</v>
      </c>
      <c r="C95" s="9" t="n">
        <v>128006</v>
      </c>
      <c r="D95" s="9" t="s">
        <v>16</v>
      </c>
      <c r="E95" s="9" t="n">
        <v>2680</v>
      </c>
      <c r="F95" s="9" t="n">
        <v>2400</v>
      </c>
      <c r="G95" s="10" t="n">
        <v>280</v>
      </c>
      <c r="H95" s="9" t="s">
        <v>11</v>
      </c>
      <c r="I95" s="9" t="s">
        <v>15</v>
      </c>
      <c r="J95" s="0" t="s">
        <v>13</v>
      </c>
    </row>
    <row r="96" customFormat="false" ht="13.8" hidden="true" customHeight="false" outlineLevel="0" collapsed="false">
      <c r="A96" s="7" t="n">
        <v>44051</v>
      </c>
      <c r="B96" s="8" t="n">
        <v>0.176388888888889</v>
      </c>
      <c r="C96" s="9" t="n">
        <v>127983</v>
      </c>
      <c r="D96" s="9" t="s">
        <v>14</v>
      </c>
      <c r="E96" s="9" t="n">
        <v>25980</v>
      </c>
      <c r="F96" s="9" t="n">
        <v>15940</v>
      </c>
      <c r="G96" s="10" t="n">
        <v>10040</v>
      </c>
      <c r="H96" s="9" t="s">
        <v>11</v>
      </c>
      <c r="I96" s="9" t="s">
        <v>15</v>
      </c>
      <c r="J96" s="0" t="s">
        <v>13</v>
      </c>
    </row>
    <row r="97" customFormat="false" ht="13.8" hidden="true" customHeight="false" outlineLevel="0" collapsed="false">
      <c r="A97" s="7" t="n">
        <v>44051</v>
      </c>
      <c r="B97" s="8" t="n">
        <v>0.286805555555556</v>
      </c>
      <c r="C97" s="9" t="n">
        <v>127996</v>
      </c>
      <c r="D97" s="9" t="s">
        <v>14</v>
      </c>
      <c r="E97" s="9" t="n">
        <v>23220</v>
      </c>
      <c r="F97" s="9" t="n">
        <v>15920</v>
      </c>
      <c r="G97" s="10" t="n">
        <v>7300</v>
      </c>
      <c r="H97" s="9" t="s">
        <v>11</v>
      </c>
      <c r="I97" s="9" t="s">
        <v>15</v>
      </c>
      <c r="J97" s="0" t="s">
        <v>13</v>
      </c>
    </row>
    <row r="98" customFormat="false" ht="13.8" hidden="true" customHeight="false" outlineLevel="0" collapsed="false">
      <c r="A98" s="7" t="n">
        <v>44051</v>
      </c>
      <c r="B98" s="8" t="n">
        <v>0.272222222222222</v>
      </c>
      <c r="C98" s="9" t="n">
        <v>127992</v>
      </c>
      <c r="D98" s="9" t="s">
        <v>18</v>
      </c>
      <c r="E98" s="9" t="n">
        <v>19280</v>
      </c>
      <c r="F98" s="9" t="n">
        <v>12800</v>
      </c>
      <c r="G98" s="10" t="n">
        <v>6480</v>
      </c>
      <c r="H98" s="9" t="s">
        <v>11</v>
      </c>
      <c r="I98" s="9" t="s">
        <v>15</v>
      </c>
      <c r="J98" s="0" t="s">
        <v>13</v>
      </c>
    </row>
    <row r="99" customFormat="false" ht="13.8" hidden="true" customHeight="false" outlineLevel="0" collapsed="false">
      <c r="A99" s="7" t="n">
        <v>44051</v>
      </c>
      <c r="B99" s="8" t="n">
        <v>0.270833333333333</v>
      </c>
      <c r="C99" s="9" t="n">
        <v>127991</v>
      </c>
      <c r="D99" s="9" t="s">
        <v>19</v>
      </c>
      <c r="E99" s="9" t="n">
        <v>5080</v>
      </c>
      <c r="F99" s="9" t="n">
        <v>3640</v>
      </c>
      <c r="G99" s="10" t="n">
        <v>1440</v>
      </c>
      <c r="H99" s="9" t="s">
        <v>11</v>
      </c>
      <c r="I99" s="9" t="s">
        <v>15</v>
      </c>
      <c r="J99" s="0" t="s">
        <v>13</v>
      </c>
    </row>
    <row r="100" customFormat="false" ht="13.8" hidden="true" customHeight="false" outlineLevel="0" collapsed="false">
      <c r="A100" s="7" t="n">
        <v>44051</v>
      </c>
      <c r="B100" s="8" t="n">
        <v>0.06875</v>
      </c>
      <c r="C100" s="9" t="n">
        <v>127975</v>
      </c>
      <c r="D100" s="9" t="s">
        <v>18</v>
      </c>
      <c r="E100" s="9" t="n">
        <v>21120</v>
      </c>
      <c r="F100" s="9" t="n">
        <v>12980</v>
      </c>
      <c r="G100" s="10" t="n">
        <v>8140</v>
      </c>
      <c r="H100" s="9" t="s">
        <v>11</v>
      </c>
      <c r="I100" s="9" t="s">
        <v>15</v>
      </c>
      <c r="J100" s="0" t="s">
        <v>13</v>
      </c>
    </row>
    <row r="101" customFormat="false" ht="13.8" hidden="true" customHeight="false" outlineLevel="0" collapsed="false">
      <c r="A101" s="7" t="n">
        <v>44051</v>
      </c>
      <c r="B101" s="8" t="n">
        <v>0.45</v>
      </c>
      <c r="C101" s="9" t="n">
        <v>128000</v>
      </c>
      <c r="D101" s="9" t="s">
        <v>23</v>
      </c>
      <c r="E101" s="9" t="n">
        <v>6380</v>
      </c>
      <c r="F101" s="9" t="n">
        <v>5620</v>
      </c>
      <c r="G101" s="10" t="n">
        <v>760</v>
      </c>
      <c r="H101" s="9" t="s">
        <v>11</v>
      </c>
      <c r="I101" s="9" t="s">
        <v>12</v>
      </c>
      <c r="J101" s="0" t="s">
        <v>13</v>
      </c>
    </row>
    <row r="102" customFormat="false" ht="13.8" hidden="true" customHeight="false" outlineLevel="0" collapsed="false">
      <c r="A102" s="7" t="n">
        <v>44051</v>
      </c>
      <c r="B102" s="8" t="n">
        <v>0.668055555555556</v>
      </c>
      <c r="C102" s="9" t="n">
        <v>128004</v>
      </c>
      <c r="D102" s="9" t="s">
        <v>18</v>
      </c>
      <c r="E102" s="9" t="n">
        <v>14540</v>
      </c>
      <c r="F102" s="9" t="n">
        <v>12820</v>
      </c>
      <c r="G102" s="10" t="n">
        <v>1720</v>
      </c>
      <c r="H102" s="9" t="s">
        <v>11</v>
      </c>
      <c r="I102" s="9" t="s">
        <v>15</v>
      </c>
      <c r="J102" s="0" t="s">
        <v>13</v>
      </c>
    </row>
    <row r="103" customFormat="false" ht="13.8" hidden="true" customHeight="false" outlineLevel="0" collapsed="false">
      <c r="A103" s="7" t="n">
        <v>44051</v>
      </c>
      <c r="B103" s="8" t="n">
        <v>0.364583333333333</v>
      </c>
      <c r="C103" s="9" t="n">
        <v>105413</v>
      </c>
      <c r="D103" s="9" t="s">
        <v>17</v>
      </c>
      <c r="E103" s="9" t="n">
        <v>17420</v>
      </c>
      <c r="F103" s="9" t="n">
        <v>16020</v>
      </c>
      <c r="G103" s="10" t="n">
        <v>1400</v>
      </c>
      <c r="H103" s="9" t="s">
        <v>11</v>
      </c>
      <c r="I103" s="9" t="s">
        <v>20</v>
      </c>
      <c r="J103" s="0" t="s">
        <v>13</v>
      </c>
    </row>
    <row r="104" customFormat="false" ht="13.8" hidden="true" customHeight="false" outlineLevel="0" collapsed="false">
      <c r="A104" s="7" t="n">
        <v>44052</v>
      </c>
      <c r="B104" s="8" t="n">
        <v>0.857638888888889</v>
      </c>
      <c r="C104" s="9" t="n">
        <v>128034</v>
      </c>
      <c r="D104" s="9" t="s">
        <v>16</v>
      </c>
      <c r="E104" s="9" t="n">
        <v>2640</v>
      </c>
      <c r="F104" s="9" t="n">
        <v>2420</v>
      </c>
      <c r="G104" s="10" t="n">
        <v>220</v>
      </c>
      <c r="H104" s="9" t="s">
        <v>11</v>
      </c>
      <c r="I104" s="9" t="s">
        <v>15</v>
      </c>
      <c r="J104" s="0" t="s">
        <v>13</v>
      </c>
    </row>
    <row r="105" customFormat="false" ht="13.8" hidden="true" customHeight="false" outlineLevel="0" collapsed="false">
      <c r="A105" s="7" t="n">
        <v>44052</v>
      </c>
      <c r="B105" s="8" t="n">
        <v>0.667361111111111</v>
      </c>
      <c r="C105" s="9" t="n">
        <v>128032</v>
      </c>
      <c r="D105" s="9" t="s">
        <v>18</v>
      </c>
      <c r="E105" s="9" t="n">
        <v>14300</v>
      </c>
      <c r="F105" s="9" t="n">
        <v>12840</v>
      </c>
      <c r="G105" s="10" t="n">
        <v>1460</v>
      </c>
      <c r="H105" s="9" t="s">
        <v>11</v>
      </c>
      <c r="I105" s="9" t="s">
        <v>15</v>
      </c>
      <c r="J105" s="0" t="s">
        <v>13</v>
      </c>
    </row>
    <row r="106" customFormat="false" ht="13.8" hidden="true" customHeight="false" outlineLevel="0" collapsed="false">
      <c r="A106" s="7" t="n">
        <v>44052</v>
      </c>
      <c r="B106" s="8" t="n">
        <v>0.496527777777778</v>
      </c>
      <c r="C106" s="9" t="n">
        <v>128031</v>
      </c>
      <c r="D106" s="9" t="s">
        <v>16</v>
      </c>
      <c r="E106" s="9" t="n">
        <v>2600</v>
      </c>
      <c r="F106" s="9" t="n">
        <v>2400</v>
      </c>
      <c r="G106" s="10" t="n">
        <v>200</v>
      </c>
      <c r="H106" s="9" t="s">
        <v>11</v>
      </c>
      <c r="I106" s="9" t="s">
        <v>15</v>
      </c>
      <c r="J106" s="0" t="s">
        <v>13</v>
      </c>
    </row>
    <row r="107" customFormat="false" ht="13.8" hidden="true" customHeight="false" outlineLevel="0" collapsed="false">
      <c r="A107" s="7" t="n">
        <v>44052</v>
      </c>
      <c r="B107" s="8" t="n">
        <v>0.851388888888889</v>
      </c>
      <c r="C107" s="9" t="n">
        <v>128033</v>
      </c>
      <c r="D107" s="9" t="s">
        <v>14</v>
      </c>
      <c r="E107" s="9" t="n">
        <v>25240</v>
      </c>
      <c r="F107" s="9" t="n">
        <v>15780</v>
      </c>
      <c r="G107" s="10" t="n">
        <v>9460</v>
      </c>
      <c r="H107" s="9" t="s">
        <v>11</v>
      </c>
      <c r="I107" s="9" t="s">
        <v>15</v>
      </c>
      <c r="J107" s="0" t="s">
        <v>13</v>
      </c>
    </row>
    <row r="108" customFormat="false" ht="13.8" hidden="true" customHeight="false" outlineLevel="0" collapsed="false">
      <c r="A108" s="7" t="n">
        <v>44052</v>
      </c>
      <c r="B108" s="8" t="n">
        <v>0.0590277777777778</v>
      </c>
      <c r="C108" s="9" t="n">
        <v>128008</v>
      </c>
      <c r="D108" s="9" t="s">
        <v>18</v>
      </c>
      <c r="E108" s="9" t="n">
        <v>21160</v>
      </c>
      <c r="F108" s="9" t="n">
        <v>12960</v>
      </c>
      <c r="G108" s="10" t="n">
        <v>8200</v>
      </c>
      <c r="H108" s="9" t="s">
        <v>11</v>
      </c>
      <c r="I108" s="9" t="s">
        <v>15</v>
      </c>
      <c r="J108" s="0" t="s">
        <v>13</v>
      </c>
    </row>
    <row r="109" customFormat="false" ht="13.8" hidden="true" customHeight="false" outlineLevel="0" collapsed="false">
      <c r="A109" s="7" t="n">
        <v>44052</v>
      </c>
      <c r="B109" s="8" t="n">
        <v>0.470833333333333</v>
      </c>
      <c r="C109" s="9" t="n">
        <v>128030</v>
      </c>
      <c r="D109" s="9" t="s">
        <v>10</v>
      </c>
      <c r="E109" s="9" t="n">
        <v>3280</v>
      </c>
      <c r="F109" s="9" t="n">
        <v>2800</v>
      </c>
      <c r="G109" s="10" t="n">
        <v>480</v>
      </c>
      <c r="H109" s="9" t="s">
        <v>11</v>
      </c>
      <c r="I109" s="9" t="s">
        <v>15</v>
      </c>
      <c r="J109" s="0" t="s">
        <v>13</v>
      </c>
    </row>
    <row r="110" customFormat="false" ht="13.8" hidden="true" customHeight="false" outlineLevel="0" collapsed="false">
      <c r="A110" s="7" t="n">
        <v>44052</v>
      </c>
      <c r="B110" s="8" t="n">
        <v>0.340972222222222</v>
      </c>
      <c r="C110" s="9" t="n">
        <v>128029</v>
      </c>
      <c r="D110" s="9" t="s">
        <v>10</v>
      </c>
      <c r="E110" s="9" t="n">
        <v>3220</v>
      </c>
      <c r="F110" s="9" t="n">
        <v>2740</v>
      </c>
      <c r="G110" s="10" t="n">
        <v>480</v>
      </c>
      <c r="H110" s="9" t="s">
        <v>11</v>
      </c>
      <c r="I110" s="9" t="s">
        <v>12</v>
      </c>
      <c r="J110" s="0" t="s">
        <v>13</v>
      </c>
    </row>
    <row r="111" customFormat="false" ht="13.8" hidden="true" customHeight="false" outlineLevel="0" collapsed="false">
      <c r="A111" s="7" t="n">
        <v>44052</v>
      </c>
      <c r="B111" s="8" t="n">
        <v>0.220833333333333</v>
      </c>
      <c r="C111" s="9" t="n">
        <v>128019</v>
      </c>
      <c r="D111" s="9" t="s">
        <v>19</v>
      </c>
      <c r="E111" s="9" t="n">
        <v>4780</v>
      </c>
      <c r="F111" s="9" t="n">
        <v>3580</v>
      </c>
      <c r="G111" s="10" t="n">
        <v>1200</v>
      </c>
      <c r="H111" s="9" t="s">
        <v>11</v>
      </c>
      <c r="I111" s="9" t="s">
        <v>15</v>
      </c>
      <c r="J111" s="0" t="s">
        <v>13</v>
      </c>
    </row>
    <row r="112" customFormat="false" ht="13.8" hidden="true" customHeight="false" outlineLevel="0" collapsed="false">
      <c r="A112" s="7" t="n">
        <v>44052</v>
      </c>
      <c r="B112" s="8" t="n">
        <v>0.261805555555556</v>
      </c>
      <c r="C112" s="9" t="n">
        <v>128023</v>
      </c>
      <c r="D112" s="9" t="s">
        <v>19</v>
      </c>
      <c r="E112" s="9" t="n">
        <v>4500</v>
      </c>
      <c r="F112" s="9" t="n">
        <v>3660</v>
      </c>
      <c r="G112" s="10" t="n">
        <v>840</v>
      </c>
      <c r="H112" s="9" t="s">
        <v>11</v>
      </c>
      <c r="I112" s="9" t="s">
        <v>15</v>
      </c>
      <c r="J112" s="0" t="s">
        <v>13</v>
      </c>
    </row>
    <row r="113" customFormat="false" ht="13.8" hidden="true" customHeight="false" outlineLevel="0" collapsed="false">
      <c r="A113" s="7" t="n">
        <v>44052</v>
      </c>
      <c r="B113" s="8" t="n">
        <v>0.265277777777778</v>
      </c>
      <c r="C113" s="9" t="n">
        <v>128024</v>
      </c>
      <c r="D113" s="9" t="s">
        <v>18</v>
      </c>
      <c r="E113" s="9" t="n">
        <v>19860</v>
      </c>
      <c r="F113" s="9" t="n">
        <v>12820</v>
      </c>
      <c r="G113" s="10" t="n">
        <v>7040</v>
      </c>
      <c r="H113" s="9" t="s">
        <v>11</v>
      </c>
      <c r="I113" s="9" t="s">
        <v>15</v>
      </c>
      <c r="J113" s="0" t="s">
        <v>13</v>
      </c>
    </row>
    <row r="114" customFormat="false" ht="13.8" hidden="true" customHeight="false" outlineLevel="0" collapsed="false">
      <c r="A114" s="7" t="n">
        <v>44052</v>
      </c>
      <c r="B114" s="8" t="n">
        <v>0.154166666666667</v>
      </c>
      <c r="C114" s="9" t="n">
        <v>128017</v>
      </c>
      <c r="D114" s="9" t="s">
        <v>14</v>
      </c>
      <c r="E114" s="9" t="n">
        <v>26880</v>
      </c>
      <c r="F114" s="9" t="n">
        <v>15980</v>
      </c>
      <c r="G114" s="10" t="n">
        <v>10900</v>
      </c>
      <c r="H114" s="9" t="s">
        <v>11</v>
      </c>
      <c r="I114" s="9" t="s">
        <v>15</v>
      </c>
      <c r="J114" s="0" t="s">
        <v>13</v>
      </c>
    </row>
    <row r="115" s="15" customFormat="true" ht="13.8" hidden="true" customHeight="false" outlineLevel="0" collapsed="false">
      <c r="A115" s="12" t="n">
        <v>44052</v>
      </c>
      <c r="B115" s="13" t="n">
        <v>0.25625</v>
      </c>
      <c r="C115" s="14" t="n">
        <v>128022</v>
      </c>
      <c r="D115" s="14" t="s">
        <v>14</v>
      </c>
      <c r="E115" s="14" t="n">
        <v>24080</v>
      </c>
      <c r="F115" s="14" t="n">
        <v>15960</v>
      </c>
      <c r="G115" s="14" t="n">
        <v>8120</v>
      </c>
      <c r="H115" s="14" t="s">
        <v>11</v>
      </c>
      <c r="I115" s="14" t="s">
        <v>15</v>
      </c>
      <c r="J115" s="15" t="s">
        <v>13</v>
      </c>
    </row>
    <row r="116" customFormat="false" ht="13.8" hidden="true" customHeight="false" outlineLevel="0" collapsed="false">
      <c r="A116" s="7" t="n">
        <v>44053</v>
      </c>
      <c r="B116" s="8" t="n">
        <v>0.184722222222222</v>
      </c>
      <c r="C116" s="9" t="n">
        <v>128046</v>
      </c>
      <c r="D116" s="9" t="s">
        <v>14</v>
      </c>
      <c r="E116" s="9" t="n">
        <v>27620</v>
      </c>
      <c r="F116" s="9" t="n">
        <v>15960</v>
      </c>
      <c r="G116" s="10" t="n">
        <v>11660</v>
      </c>
      <c r="H116" s="9" t="s">
        <v>11</v>
      </c>
      <c r="I116" s="9" t="s">
        <v>15</v>
      </c>
      <c r="J116" s="0" t="s">
        <v>13</v>
      </c>
    </row>
    <row r="117" customFormat="false" ht="13.8" hidden="true" customHeight="false" outlineLevel="0" collapsed="false">
      <c r="A117" s="7" t="n">
        <v>44053</v>
      </c>
      <c r="B117" s="8" t="n">
        <v>0.0569444444444444</v>
      </c>
      <c r="C117" s="9" t="n">
        <v>128036</v>
      </c>
      <c r="D117" s="9" t="s">
        <v>18</v>
      </c>
      <c r="E117" s="9" t="n">
        <v>20720</v>
      </c>
      <c r="F117" s="9" t="n">
        <v>12980</v>
      </c>
      <c r="G117" s="10" t="n">
        <v>7740</v>
      </c>
      <c r="H117" s="9" t="s">
        <v>11</v>
      </c>
      <c r="I117" s="9" t="s">
        <v>15</v>
      </c>
      <c r="J117" s="0" t="s">
        <v>13</v>
      </c>
    </row>
    <row r="118" customFormat="false" ht="13.8" hidden="true" customHeight="false" outlineLevel="0" collapsed="false">
      <c r="A118" s="7" t="n">
        <v>44053</v>
      </c>
      <c r="B118" s="8" t="n">
        <v>0.278472222222222</v>
      </c>
      <c r="C118" s="9" t="n">
        <v>128055</v>
      </c>
      <c r="D118" s="9" t="s">
        <v>14</v>
      </c>
      <c r="E118" s="9" t="n">
        <v>20400</v>
      </c>
      <c r="F118" s="9" t="n">
        <v>15960</v>
      </c>
      <c r="G118" s="10" t="n">
        <v>4440</v>
      </c>
      <c r="H118" s="9" t="s">
        <v>11</v>
      </c>
      <c r="I118" s="9" t="s">
        <v>15</v>
      </c>
      <c r="J118" s="0" t="s">
        <v>13</v>
      </c>
    </row>
    <row r="119" customFormat="false" ht="13.8" hidden="true" customHeight="false" outlineLevel="0" collapsed="false">
      <c r="A119" s="7" t="n">
        <v>44053</v>
      </c>
      <c r="B119" s="8" t="n">
        <v>0.161111111111111</v>
      </c>
      <c r="C119" s="9" t="n">
        <v>128044</v>
      </c>
      <c r="D119" s="9" t="s">
        <v>18</v>
      </c>
      <c r="E119" s="9" t="n">
        <v>18640</v>
      </c>
      <c r="F119" s="9" t="n">
        <v>12840</v>
      </c>
      <c r="G119" s="10" t="n">
        <v>5800</v>
      </c>
      <c r="H119" s="9" t="s">
        <v>11</v>
      </c>
      <c r="I119" s="9" t="s">
        <v>15</v>
      </c>
      <c r="J119" s="0" t="s">
        <v>13</v>
      </c>
    </row>
    <row r="120" customFormat="false" ht="13.8" hidden="true" customHeight="false" outlineLevel="0" collapsed="false">
      <c r="A120" s="7" t="n">
        <v>44053</v>
      </c>
      <c r="B120" s="8" t="n">
        <v>0.221527777777778</v>
      </c>
      <c r="C120" s="9" t="n">
        <v>128047</v>
      </c>
      <c r="D120" s="9" t="s">
        <v>19</v>
      </c>
      <c r="E120" s="9" t="n">
        <v>4560</v>
      </c>
      <c r="F120" s="9" t="n">
        <v>3560</v>
      </c>
      <c r="G120" s="10" t="n">
        <v>1000</v>
      </c>
      <c r="H120" s="9" t="s">
        <v>11</v>
      </c>
      <c r="I120" s="9" t="s">
        <v>15</v>
      </c>
      <c r="J120" s="0" t="s">
        <v>13</v>
      </c>
    </row>
    <row r="121" customFormat="false" ht="13.8" hidden="true" customHeight="false" outlineLevel="0" collapsed="false">
      <c r="A121" s="7" t="n">
        <v>44053</v>
      </c>
      <c r="B121" s="8" t="n">
        <v>0.261111111111111</v>
      </c>
      <c r="C121" s="9" t="n">
        <v>128052</v>
      </c>
      <c r="D121" s="9" t="s">
        <v>19</v>
      </c>
      <c r="E121" s="9" t="n">
        <v>4400</v>
      </c>
      <c r="F121" s="9" t="n">
        <v>3720</v>
      </c>
      <c r="G121" s="10" t="n">
        <v>680</v>
      </c>
      <c r="H121" s="9" t="s">
        <v>11</v>
      </c>
      <c r="I121" s="9" t="s">
        <v>15</v>
      </c>
      <c r="J121" s="0" t="s">
        <v>13</v>
      </c>
    </row>
    <row r="122" customFormat="false" ht="13.8" hidden="true" customHeight="false" outlineLevel="0" collapsed="false">
      <c r="A122" s="7" t="n">
        <v>44053</v>
      </c>
      <c r="B122" s="8" t="n">
        <v>0.870833333333333</v>
      </c>
      <c r="C122" s="9" t="n">
        <v>128115</v>
      </c>
      <c r="D122" s="9" t="s">
        <v>16</v>
      </c>
      <c r="E122" s="9" t="n">
        <v>2660</v>
      </c>
      <c r="F122" s="9" t="n">
        <v>2420</v>
      </c>
      <c r="G122" s="10" t="n">
        <v>240</v>
      </c>
      <c r="H122" s="9" t="s">
        <v>11</v>
      </c>
      <c r="I122" s="9" t="s">
        <v>15</v>
      </c>
      <c r="J122" s="0" t="s">
        <v>13</v>
      </c>
    </row>
    <row r="123" customFormat="false" ht="13.8" hidden="true" customHeight="false" outlineLevel="0" collapsed="false">
      <c r="A123" s="7" t="n">
        <v>44053</v>
      </c>
      <c r="B123" s="8" t="n">
        <v>0.869444444444444</v>
      </c>
      <c r="C123" s="9" t="n">
        <v>128114</v>
      </c>
      <c r="D123" s="9" t="s">
        <v>17</v>
      </c>
      <c r="E123" s="9" t="n">
        <v>26440</v>
      </c>
      <c r="F123" s="9" t="n">
        <v>15960</v>
      </c>
      <c r="G123" s="10" t="n">
        <v>10480</v>
      </c>
      <c r="H123" s="9" t="s">
        <v>11</v>
      </c>
      <c r="I123" s="9" t="s">
        <v>15</v>
      </c>
      <c r="J123" s="0" t="s">
        <v>13</v>
      </c>
    </row>
    <row r="124" customFormat="false" ht="13.8" hidden="true" customHeight="false" outlineLevel="0" collapsed="false">
      <c r="A124" s="7" t="n">
        <v>44053</v>
      </c>
      <c r="B124" s="8" t="n">
        <v>0.447222222222222</v>
      </c>
      <c r="C124" s="9" t="n">
        <v>128079</v>
      </c>
      <c r="D124" s="9" t="s">
        <v>16</v>
      </c>
      <c r="E124" s="9" t="n">
        <v>2760</v>
      </c>
      <c r="F124" s="9" t="n">
        <v>2480</v>
      </c>
      <c r="G124" s="10" t="n">
        <v>280</v>
      </c>
      <c r="H124" s="9" t="s">
        <v>11</v>
      </c>
      <c r="I124" s="9" t="s">
        <v>15</v>
      </c>
      <c r="J124" s="0" t="s">
        <v>13</v>
      </c>
    </row>
    <row r="125" customFormat="false" ht="13.8" hidden="true" customHeight="false" outlineLevel="0" collapsed="false">
      <c r="A125" s="7" t="n">
        <v>44053</v>
      </c>
      <c r="B125" s="8" t="n">
        <v>0.339583333333333</v>
      </c>
      <c r="C125" s="9" t="n">
        <v>128065</v>
      </c>
      <c r="D125" s="9" t="s">
        <v>10</v>
      </c>
      <c r="E125" s="9" t="n">
        <v>3340</v>
      </c>
      <c r="F125" s="9" t="n">
        <v>2920</v>
      </c>
      <c r="G125" s="10" t="n">
        <v>420</v>
      </c>
      <c r="H125" s="9" t="s">
        <v>11</v>
      </c>
      <c r="I125" s="9" t="s">
        <v>12</v>
      </c>
      <c r="J125" s="0" t="s">
        <v>13</v>
      </c>
    </row>
    <row r="126" customFormat="false" ht="13.8" hidden="true" customHeight="false" outlineLevel="0" collapsed="false">
      <c r="A126" s="7" t="n">
        <v>44053</v>
      </c>
      <c r="B126" s="8" t="n">
        <v>0.479166666666667</v>
      </c>
      <c r="C126" s="9" t="n">
        <v>128084</v>
      </c>
      <c r="D126" s="9" t="s">
        <v>10</v>
      </c>
      <c r="E126" s="9" t="n">
        <v>3280</v>
      </c>
      <c r="F126" s="9" t="n">
        <v>2920</v>
      </c>
      <c r="G126" s="10" t="n">
        <v>360</v>
      </c>
      <c r="H126" s="9" t="s">
        <v>11</v>
      </c>
      <c r="I126" s="9" t="s">
        <v>12</v>
      </c>
      <c r="J126" s="0" t="s">
        <v>13</v>
      </c>
    </row>
    <row r="127" customFormat="false" ht="13.8" hidden="true" customHeight="false" outlineLevel="0" collapsed="false">
      <c r="A127" s="7" t="n">
        <v>44053</v>
      </c>
      <c r="B127" s="8" t="n">
        <v>0.678472222222222</v>
      </c>
      <c r="C127" s="9" t="n">
        <v>128104</v>
      </c>
      <c r="D127" s="9" t="s">
        <v>18</v>
      </c>
      <c r="E127" s="9" t="n">
        <v>14820</v>
      </c>
      <c r="F127" s="9" t="n">
        <v>12800</v>
      </c>
      <c r="G127" s="10" t="n">
        <v>2020</v>
      </c>
      <c r="H127" s="9" t="s">
        <v>11</v>
      </c>
      <c r="I127" s="9" t="s">
        <v>15</v>
      </c>
      <c r="J127" s="0" t="s">
        <v>13</v>
      </c>
    </row>
    <row r="128" s="15" customFormat="true" ht="13.8" hidden="true" customHeight="false" outlineLevel="0" collapsed="false">
      <c r="A128" s="12" t="n">
        <v>44053</v>
      </c>
      <c r="B128" s="13" t="n">
        <v>0.547222222222222</v>
      </c>
      <c r="C128" s="14" t="n">
        <v>128094</v>
      </c>
      <c r="D128" s="14" t="s">
        <v>24</v>
      </c>
      <c r="E128" s="14" t="n">
        <v>3040</v>
      </c>
      <c r="F128" s="14" t="n">
        <v>2700</v>
      </c>
      <c r="G128" s="14" t="n">
        <v>340</v>
      </c>
      <c r="H128" s="14" t="s">
        <v>11</v>
      </c>
      <c r="I128" s="14" t="s">
        <v>25</v>
      </c>
      <c r="J128" s="15" t="s">
        <v>13</v>
      </c>
    </row>
    <row r="129" customFormat="false" ht="13.8" hidden="true" customHeight="false" outlineLevel="0" collapsed="false">
      <c r="A129" s="7" t="n">
        <v>44053</v>
      </c>
      <c r="B129" s="8" t="n">
        <v>0.5125</v>
      </c>
      <c r="C129" s="9" t="n">
        <v>668</v>
      </c>
      <c r="D129" s="9" t="s">
        <v>17</v>
      </c>
      <c r="E129" s="9" t="n">
        <v>18560</v>
      </c>
      <c r="F129" s="9" t="n">
        <v>15840</v>
      </c>
      <c r="G129" s="10" t="n">
        <v>2720</v>
      </c>
      <c r="H129" s="9" t="s">
        <v>11</v>
      </c>
      <c r="I129" s="9" t="s">
        <v>22</v>
      </c>
      <c r="J129" s="0" t="s">
        <v>13</v>
      </c>
    </row>
    <row r="130" customFormat="false" ht="13.8" hidden="true" customHeight="false" outlineLevel="0" collapsed="false">
      <c r="A130" s="7" t="n">
        <v>44054</v>
      </c>
      <c r="B130" s="8" t="n">
        <v>0.270833333333333</v>
      </c>
      <c r="C130" s="9" t="n">
        <v>128134</v>
      </c>
      <c r="D130" s="9" t="s">
        <v>19</v>
      </c>
      <c r="E130" s="9" t="n">
        <v>4280</v>
      </c>
      <c r="F130" s="9" t="n">
        <v>3660</v>
      </c>
      <c r="G130" s="10" t="n">
        <v>620</v>
      </c>
      <c r="H130" s="9" t="s">
        <v>11</v>
      </c>
      <c r="I130" s="9" t="s">
        <v>15</v>
      </c>
      <c r="J130" s="0" t="s">
        <v>13</v>
      </c>
    </row>
    <row r="131" customFormat="false" ht="13.8" hidden="true" customHeight="false" outlineLevel="0" collapsed="false">
      <c r="A131" s="7" t="n">
        <v>44054</v>
      </c>
      <c r="B131" s="8" t="n">
        <v>0.232638888888889</v>
      </c>
      <c r="C131" s="9" t="n">
        <v>128130</v>
      </c>
      <c r="D131" s="9" t="s">
        <v>19</v>
      </c>
      <c r="E131" s="9" t="n">
        <v>4620</v>
      </c>
      <c r="F131" s="9" t="n">
        <v>3560</v>
      </c>
      <c r="G131" s="10" t="n">
        <v>1060</v>
      </c>
      <c r="H131" s="9" t="s">
        <v>11</v>
      </c>
      <c r="I131" s="9" t="s">
        <v>15</v>
      </c>
      <c r="J131" s="0" t="s">
        <v>13</v>
      </c>
    </row>
    <row r="132" customFormat="false" ht="13.8" hidden="true" customHeight="false" outlineLevel="0" collapsed="false">
      <c r="A132" s="7" t="n">
        <v>44054</v>
      </c>
      <c r="B132" s="8" t="n">
        <v>0.274305555555555</v>
      </c>
      <c r="C132" s="9" t="n">
        <v>128135</v>
      </c>
      <c r="D132" s="9" t="s">
        <v>18</v>
      </c>
      <c r="E132" s="9" t="n">
        <v>19480</v>
      </c>
      <c r="F132" s="9" t="n">
        <v>12780</v>
      </c>
      <c r="G132" s="10" t="n">
        <v>6700</v>
      </c>
      <c r="H132" s="9" t="s">
        <v>11</v>
      </c>
      <c r="I132" s="9" t="s">
        <v>15</v>
      </c>
      <c r="J132" s="0" t="s">
        <v>13</v>
      </c>
    </row>
    <row r="133" customFormat="false" ht="13.8" hidden="true" customHeight="false" outlineLevel="0" collapsed="false">
      <c r="A133" s="7" t="n">
        <v>44054</v>
      </c>
      <c r="B133" s="8" t="n">
        <v>0.265972222222222</v>
      </c>
      <c r="C133" s="9" t="n">
        <v>128132</v>
      </c>
      <c r="D133" s="9" t="s">
        <v>14</v>
      </c>
      <c r="E133" s="9" t="n">
        <v>27620</v>
      </c>
      <c r="F133" s="9" t="n">
        <v>15960</v>
      </c>
      <c r="G133" s="10" t="n">
        <v>11660</v>
      </c>
      <c r="H133" s="9" t="s">
        <v>11</v>
      </c>
      <c r="I133" s="9" t="s">
        <v>15</v>
      </c>
      <c r="J133" s="0" t="s">
        <v>13</v>
      </c>
    </row>
    <row r="134" customFormat="false" ht="13.8" hidden="true" customHeight="false" outlineLevel="0" collapsed="false">
      <c r="A134" s="7" t="n">
        <v>44054</v>
      </c>
      <c r="B134" s="8" t="n">
        <v>0.0701388888888889</v>
      </c>
      <c r="C134" s="9" t="n">
        <v>128117</v>
      </c>
      <c r="D134" s="9" t="s">
        <v>18</v>
      </c>
      <c r="E134" s="9" t="n">
        <v>21280</v>
      </c>
      <c r="F134" s="9" t="n">
        <v>12960</v>
      </c>
      <c r="G134" s="10" t="n">
        <v>8320</v>
      </c>
      <c r="H134" s="9" t="s">
        <v>11</v>
      </c>
      <c r="I134" s="9" t="s">
        <v>15</v>
      </c>
      <c r="J134" s="0" t="s">
        <v>13</v>
      </c>
    </row>
    <row r="135" customFormat="false" ht="13.8" hidden="true" customHeight="false" outlineLevel="0" collapsed="false">
      <c r="A135" s="7" t="n">
        <v>44054</v>
      </c>
      <c r="B135" s="8" t="n">
        <v>0.0847222222222222</v>
      </c>
      <c r="C135" s="9" t="n">
        <v>128118</v>
      </c>
      <c r="D135" s="9" t="s">
        <v>17</v>
      </c>
      <c r="E135" s="9" t="n">
        <v>23640</v>
      </c>
      <c r="F135" s="9" t="n">
        <v>16120</v>
      </c>
      <c r="G135" s="10" t="n">
        <v>7520</v>
      </c>
      <c r="H135" s="9" t="s">
        <v>11</v>
      </c>
      <c r="I135" s="9" t="s">
        <v>15</v>
      </c>
      <c r="J135" s="0" t="s">
        <v>13</v>
      </c>
    </row>
    <row r="136" customFormat="false" ht="13.8" hidden="true" customHeight="false" outlineLevel="0" collapsed="false">
      <c r="A136" s="7" t="n">
        <v>44054</v>
      </c>
      <c r="B136" s="8" t="n">
        <v>0.472222222222222</v>
      </c>
      <c r="C136" s="9" t="n">
        <v>10551</v>
      </c>
      <c r="D136" s="9" t="s">
        <v>17</v>
      </c>
      <c r="E136" s="9" t="n">
        <v>18420</v>
      </c>
      <c r="F136" s="9" t="n">
        <v>16060</v>
      </c>
      <c r="G136" s="10" t="n">
        <v>2360</v>
      </c>
      <c r="H136" s="9" t="s">
        <v>11</v>
      </c>
      <c r="I136" s="9" t="s">
        <v>20</v>
      </c>
      <c r="J136" s="0" t="s">
        <v>13</v>
      </c>
    </row>
    <row r="137" customFormat="false" ht="13.8" hidden="true" customHeight="false" outlineLevel="0" collapsed="false">
      <c r="A137" s="7" t="n">
        <v>44054</v>
      </c>
      <c r="B137" s="8" t="n">
        <v>0.5125</v>
      </c>
      <c r="C137" s="9" t="n">
        <v>128167</v>
      </c>
      <c r="D137" s="9" t="s">
        <v>16</v>
      </c>
      <c r="E137" s="9" t="n">
        <v>2680</v>
      </c>
      <c r="F137" s="9" t="n">
        <v>2320</v>
      </c>
      <c r="G137" s="10" t="n">
        <v>360</v>
      </c>
      <c r="H137" s="9" t="s">
        <v>11</v>
      </c>
      <c r="I137" s="9" t="s">
        <v>15</v>
      </c>
      <c r="J137" s="0" t="s">
        <v>13</v>
      </c>
    </row>
    <row r="138" customFormat="false" ht="13.8" hidden="true" customHeight="false" outlineLevel="0" collapsed="false">
      <c r="A138" s="7" t="n">
        <v>44054</v>
      </c>
      <c r="B138" s="8" t="n">
        <v>0.872222222222222</v>
      </c>
      <c r="C138" s="9" t="n">
        <v>128196</v>
      </c>
      <c r="D138" s="9" t="s">
        <v>16</v>
      </c>
      <c r="E138" s="9" t="n">
        <v>2700</v>
      </c>
      <c r="F138" s="9" t="n">
        <v>2420</v>
      </c>
      <c r="G138" s="10" t="n">
        <v>280</v>
      </c>
      <c r="H138" s="9" t="s">
        <v>11</v>
      </c>
      <c r="I138" s="9" t="s">
        <v>15</v>
      </c>
      <c r="J138" s="0" t="s">
        <v>13</v>
      </c>
    </row>
    <row r="139" customFormat="false" ht="13.8" hidden="true" customHeight="false" outlineLevel="0" collapsed="false">
      <c r="A139" s="7" t="n">
        <v>44054</v>
      </c>
      <c r="B139" s="8" t="n">
        <v>0.860416666666667</v>
      </c>
      <c r="C139" s="9" t="n">
        <v>128194</v>
      </c>
      <c r="D139" s="9" t="s">
        <v>17</v>
      </c>
      <c r="E139" s="9" t="n">
        <v>24800</v>
      </c>
      <c r="F139" s="9" t="n">
        <v>16040</v>
      </c>
      <c r="G139" s="10" t="n">
        <v>8760</v>
      </c>
      <c r="H139" s="9" t="s">
        <v>11</v>
      </c>
      <c r="I139" s="9" t="s">
        <v>15</v>
      </c>
      <c r="J139" s="0" t="s">
        <v>13</v>
      </c>
    </row>
    <row r="140" customFormat="false" ht="13.8" hidden="true" customHeight="false" outlineLevel="0" collapsed="false">
      <c r="A140" s="7" t="n">
        <v>44054</v>
      </c>
      <c r="B140" s="8" t="n">
        <v>0.311805555555556</v>
      </c>
      <c r="C140" s="9" t="n">
        <v>128142</v>
      </c>
      <c r="D140" s="9" t="s">
        <v>10</v>
      </c>
      <c r="E140" s="9" t="n">
        <v>3420</v>
      </c>
      <c r="F140" s="9" t="n">
        <v>2840</v>
      </c>
      <c r="G140" s="10" t="n">
        <v>580</v>
      </c>
      <c r="H140" s="9" t="s">
        <v>11</v>
      </c>
      <c r="I140" s="9" t="s">
        <v>12</v>
      </c>
      <c r="J140" s="0" t="s">
        <v>13</v>
      </c>
    </row>
    <row r="141" customFormat="false" ht="13.8" hidden="true" customHeight="false" outlineLevel="0" collapsed="false">
      <c r="A141" s="7" t="n">
        <v>44054</v>
      </c>
      <c r="B141" s="8" t="n">
        <v>0.367361111111111</v>
      </c>
      <c r="C141" s="9" t="n">
        <v>128150</v>
      </c>
      <c r="D141" s="9" t="s">
        <v>10</v>
      </c>
      <c r="E141" s="9" t="n">
        <v>3280</v>
      </c>
      <c r="F141" s="9" t="n">
        <v>2840</v>
      </c>
      <c r="G141" s="10" t="n">
        <v>440</v>
      </c>
      <c r="H141" s="9" t="s">
        <v>11</v>
      </c>
      <c r="I141" s="9" t="s">
        <v>12</v>
      </c>
      <c r="J141" s="0" t="s">
        <v>13</v>
      </c>
    </row>
    <row r="142" customFormat="false" ht="13.8" hidden="true" customHeight="false" outlineLevel="0" collapsed="false">
      <c r="A142" s="7" t="n">
        <v>44054</v>
      </c>
      <c r="B142" s="8" t="n">
        <v>0.481944444444444</v>
      </c>
      <c r="C142" s="9" t="n">
        <v>128162</v>
      </c>
      <c r="D142" s="9" t="s">
        <v>10</v>
      </c>
      <c r="E142" s="9" t="n">
        <v>3420</v>
      </c>
      <c r="F142" s="9" t="n">
        <v>2940</v>
      </c>
      <c r="G142" s="10" t="n">
        <v>480</v>
      </c>
      <c r="H142" s="9" t="s">
        <v>11</v>
      </c>
      <c r="I142" s="9" t="s">
        <v>12</v>
      </c>
      <c r="J142" s="0" t="s">
        <v>13</v>
      </c>
    </row>
    <row r="143" s="15" customFormat="true" ht="13.8" hidden="true" customHeight="false" outlineLevel="0" collapsed="false">
      <c r="A143" s="12" t="n">
        <v>44054</v>
      </c>
      <c r="B143" s="13" t="n">
        <v>0.672916666666667</v>
      </c>
      <c r="C143" s="14" t="n">
        <v>128183</v>
      </c>
      <c r="D143" s="14" t="s">
        <v>18</v>
      </c>
      <c r="E143" s="14" t="n">
        <v>14600</v>
      </c>
      <c r="F143" s="14" t="n">
        <v>12860</v>
      </c>
      <c r="G143" s="14" t="n">
        <v>1740</v>
      </c>
      <c r="H143" s="14" t="s">
        <v>11</v>
      </c>
      <c r="I143" s="14" t="s">
        <v>15</v>
      </c>
      <c r="J143" s="15" t="s">
        <v>13</v>
      </c>
    </row>
    <row r="144" customFormat="false" ht="13.8" hidden="true" customHeight="false" outlineLevel="0" collapsed="false">
      <c r="A144" s="7" t="n">
        <v>44055</v>
      </c>
      <c r="B144" s="8" t="n">
        <v>0.129861111111111</v>
      </c>
      <c r="C144" s="9" t="n">
        <v>128206</v>
      </c>
      <c r="D144" s="9" t="s">
        <v>19</v>
      </c>
      <c r="E144" s="9" t="n">
        <v>4620</v>
      </c>
      <c r="F144" s="9" t="n">
        <v>3580</v>
      </c>
      <c r="G144" s="10" t="n">
        <v>1040</v>
      </c>
      <c r="H144" s="9" t="s">
        <v>11</v>
      </c>
      <c r="I144" s="9" t="s">
        <v>15</v>
      </c>
      <c r="J144" s="0" t="s">
        <v>13</v>
      </c>
    </row>
    <row r="145" customFormat="false" ht="13.8" hidden="true" customHeight="false" outlineLevel="0" collapsed="false">
      <c r="A145" s="7" t="n">
        <v>44055</v>
      </c>
      <c r="B145" s="8" t="n">
        <v>0.261805555555556</v>
      </c>
      <c r="C145" s="9" t="n">
        <v>128212</v>
      </c>
      <c r="D145" s="9" t="s">
        <v>18</v>
      </c>
      <c r="E145" s="9" t="n">
        <v>17700</v>
      </c>
      <c r="F145" s="9" t="n">
        <v>12880</v>
      </c>
      <c r="G145" s="10" t="n">
        <v>4820</v>
      </c>
      <c r="H145" s="9" t="s">
        <v>11</v>
      </c>
      <c r="I145" s="9" t="s">
        <v>15</v>
      </c>
      <c r="J145" s="0" t="s">
        <v>13</v>
      </c>
    </row>
    <row r="146" customFormat="false" ht="13.8" hidden="true" customHeight="false" outlineLevel="0" collapsed="false">
      <c r="A146" s="7" t="n">
        <v>44055</v>
      </c>
      <c r="B146" s="8" t="n">
        <v>0.260416666666667</v>
      </c>
      <c r="C146" s="9" t="n">
        <v>128211</v>
      </c>
      <c r="D146" s="9" t="s">
        <v>19</v>
      </c>
      <c r="E146" s="9" t="n">
        <v>4380</v>
      </c>
      <c r="F146" s="9" t="n">
        <v>3640</v>
      </c>
      <c r="G146" s="10" t="n">
        <v>740</v>
      </c>
      <c r="H146" s="9" t="s">
        <v>11</v>
      </c>
      <c r="I146" s="9" t="s">
        <v>15</v>
      </c>
      <c r="J146" s="0" t="s">
        <v>13</v>
      </c>
    </row>
    <row r="147" customFormat="false" ht="13.8" hidden="true" customHeight="false" outlineLevel="0" collapsed="false">
      <c r="A147" s="7" t="n">
        <v>44055</v>
      </c>
      <c r="B147" s="8" t="n">
        <v>0.0784722222222222</v>
      </c>
      <c r="C147" s="9" t="n">
        <v>128201</v>
      </c>
      <c r="D147" s="9" t="s">
        <v>18</v>
      </c>
      <c r="E147" s="9" t="n">
        <v>21940</v>
      </c>
      <c r="F147" s="9" t="n">
        <v>12880</v>
      </c>
      <c r="G147" s="10" t="n">
        <v>9060</v>
      </c>
      <c r="H147" s="9" t="s">
        <v>11</v>
      </c>
      <c r="I147" s="9" t="s">
        <v>15</v>
      </c>
      <c r="J147" s="0" t="s">
        <v>13</v>
      </c>
    </row>
    <row r="148" customFormat="false" ht="13.8" hidden="true" customHeight="false" outlineLevel="0" collapsed="false">
      <c r="A148" s="7" t="n">
        <v>44055</v>
      </c>
      <c r="B148" s="8" t="n">
        <v>0.209027777777778</v>
      </c>
      <c r="C148" s="9" t="n">
        <v>128209</v>
      </c>
      <c r="D148" s="9" t="s">
        <v>14</v>
      </c>
      <c r="E148" s="9" t="n">
        <v>28120</v>
      </c>
      <c r="F148" s="9" t="n">
        <v>15860</v>
      </c>
      <c r="G148" s="10" t="n">
        <v>12260</v>
      </c>
      <c r="H148" s="9" t="s">
        <v>11</v>
      </c>
      <c r="I148" s="9" t="s">
        <v>15</v>
      </c>
      <c r="J148" s="0" t="s">
        <v>13</v>
      </c>
    </row>
    <row r="149" customFormat="false" ht="13.8" hidden="true" customHeight="false" outlineLevel="0" collapsed="false">
      <c r="A149" s="7" t="n">
        <v>44055</v>
      </c>
      <c r="B149" s="8" t="n">
        <v>0.317361111111111</v>
      </c>
      <c r="C149" s="9" t="n">
        <v>128223</v>
      </c>
      <c r="D149" s="9" t="s">
        <v>10</v>
      </c>
      <c r="E149" s="9" t="n">
        <v>3260</v>
      </c>
      <c r="F149" s="9" t="n">
        <v>2900</v>
      </c>
      <c r="G149" s="10" t="n">
        <v>360</v>
      </c>
      <c r="H149" s="9" t="s">
        <v>11</v>
      </c>
      <c r="I149" s="9" t="s">
        <v>12</v>
      </c>
      <c r="J149" s="0" t="s">
        <v>13</v>
      </c>
    </row>
    <row r="150" customFormat="false" ht="13.8" hidden="true" customHeight="false" outlineLevel="0" collapsed="false">
      <c r="A150" s="7" t="n">
        <v>44055</v>
      </c>
      <c r="B150" s="8" t="n">
        <v>0.377777777777778</v>
      </c>
      <c r="C150" s="9" t="n">
        <v>128231</v>
      </c>
      <c r="D150" s="9" t="s">
        <v>10</v>
      </c>
      <c r="E150" s="9" t="n">
        <v>3160</v>
      </c>
      <c r="F150" s="9" t="n">
        <v>2800</v>
      </c>
      <c r="G150" s="10" t="n">
        <v>360</v>
      </c>
      <c r="H150" s="9" t="s">
        <v>11</v>
      </c>
      <c r="I150" s="9" t="s">
        <v>12</v>
      </c>
      <c r="J150" s="0" t="s">
        <v>13</v>
      </c>
    </row>
    <row r="151" customFormat="false" ht="13.8" hidden="true" customHeight="false" outlineLevel="0" collapsed="false">
      <c r="A151" s="7" t="n">
        <v>44055</v>
      </c>
      <c r="B151" s="8" t="n">
        <v>0.495138888888889</v>
      </c>
      <c r="C151" s="9" t="n">
        <v>128246</v>
      </c>
      <c r="D151" s="9" t="s">
        <v>10</v>
      </c>
      <c r="E151" s="9" t="n">
        <v>3060</v>
      </c>
      <c r="F151" s="9" t="n">
        <v>2760</v>
      </c>
      <c r="G151" s="10" t="n">
        <v>300</v>
      </c>
      <c r="H151" s="9" t="s">
        <v>11</v>
      </c>
      <c r="I151" s="9" t="s">
        <v>12</v>
      </c>
      <c r="J151" s="0" t="s">
        <v>13</v>
      </c>
    </row>
    <row r="152" customFormat="false" ht="13.8" hidden="true" customHeight="false" outlineLevel="0" collapsed="false">
      <c r="A152" s="7" t="n">
        <v>44055</v>
      </c>
      <c r="B152" s="8" t="n">
        <v>0.447916666666667</v>
      </c>
      <c r="C152" s="9" t="n">
        <v>128239</v>
      </c>
      <c r="D152" s="9" t="s">
        <v>16</v>
      </c>
      <c r="E152" s="9" t="n">
        <v>2680</v>
      </c>
      <c r="F152" s="9" t="n">
        <v>2420</v>
      </c>
      <c r="G152" s="10" t="n">
        <v>260</v>
      </c>
      <c r="H152" s="9" t="s">
        <v>11</v>
      </c>
      <c r="I152" s="9" t="s">
        <v>15</v>
      </c>
      <c r="J152" s="0" t="s">
        <v>13</v>
      </c>
    </row>
    <row r="153" customFormat="false" ht="13.8" hidden="true" customHeight="false" outlineLevel="0" collapsed="false">
      <c r="A153" s="7" t="n">
        <v>44055</v>
      </c>
      <c r="B153" s="8" t="n">
        <v>0.860416666666667</v>
      </c>
      <c r="C153" s="9" t="n">
        <v>128275</v>
      </c>
      <c r="D153" s="9" t="s">
        <v>17</v>
      </c>
      <c r="E153" s="9" t="n">
        <v>26160</v>
      </c>
      <c r="F153" s="9" t="n">
        <v>16120</v>
      </c>
      <c r="G153" s="10" t="n">
        <v>10040</v>
      </c>
      <c r="H153" s="9" t="s">
        <v>11</v>
      </c>
      <c r="I153" s="9" t="s">
        <v>15</v>
      </c>
      <c r="J153" s="0" t="s">
        <v>13</v>
      </c>
    </row>
    <row r="154" customFormat="false" ht="13.8" hidden="true" customHeight="false" outlineLevel="0" collapsed="false">
      <c r="A154" s="7" t="n">
        <v>44055</v>
      </c>
      <c r="B154" s="8" t="n">
        <v>0.879166666666667</v>
      </c>
      <c r="C154" s="9" t="n">
        <v>128277</v>
      </c>
      <c r="D154" s="9" t="s">
        <v>16</v>
      </c>
      <c r="E154" s="9" t="n">
        <v>2680</v>
      </c>
      <c r="F154" s="9" t="n">
        <v>2420</v>
      </c>
      <c r="G154" s="10" t="n">
        <v>260</v>
      </c>
      <c r="H154" s="9" t="s">
        <v>11</v>
      </c>
      <c r="I154" s="9" t="s">
        <v>15</v>
      </c>
      <c r="J154" s="0" t="s">
        <v>13</v>
      </c>
    </row>
    <row r="155" s="15" customFormat="true" ht="13.8" hidden="true" customHeight="false" outlineLevel="0" collapsed="false">
      <c r="A155" s="12" t="n">
        <v>44055</v>
      </c>
      <c r="B155" s="13" t="n">
        <v>0.695138888888889</v>
      </c>
      <c r="C155" s="14" t="n">
        <v>128268</v>
      </c>
      <c r="D155" s="14" t="s">
        <v>18</v>
      </c>
      <c r="E155" s="14" t="n">
        <v>15900</v>
      </c>
      <c r="F155" s="14" t="n">
        <v>12800</v>
      </c>
      <c r="G155" s="14" t="n">
        <v>3100</v>
      </c>
      <c r="H155" s="14" t="s">
        <v>11</v>
      </c>
      <c r="I155" s="14" t="s">
        <v>15</v>
      </c>
      <c r="J155" s="15" t="s">
        <v>13</v>
      </c>
    </row>
    <row r="156" customFormat="false" ht="13.8" hidden="true" customHeight="false" outlineLevel="0" collapsed="false">
      <c r="A156" s="7" t="n">
        <v>44056</v>
      </c>
      <c r="B156" s="8" t="n">
        <v>0.465277777777778</v>
      </c>
      <c r="C156" s="9" t="n">
        <v>105619</v>
      </c>
      <c r="D156" s="9" t="s">
        <v>17</v>
      </c>
      <c r="E156" s="9" t="n">
        <v>17720</v>
      </c>
      <c r="F156" s="9" t="n">
        <v>16080</v>
      </c>
      <c r="G156" s="10" t="n">
        <v>1640</v>
      </c>
      <c r="H156" s="9" t="s">
        <v>11</v>
      </c>
      <c r="I156" s="9" t="s">
        <v>20</v>
      </c>
      <c r="J156" s="0" t="s">
        <v>13</v>
      </c>
    </row>
    <row r="157" customFormat="false" ht="13.8" hidden="true" customHeight="false" outlineLevel="0" collapsed="false">
      <c r="A157" s="7" t="n">
        <v>44056</v>
      </c>
      <c r="B157" s="8" t="n">
        <v>0.152083333333333</v>
      </c>
      <c r="C157" s="9" t="n">
        <v>128289</v>
      </c>
      <c r="D157" s="9" t="s">
        <v>18</v>
      </c>
      <c r="E157" s="9" t="n">
        <v>17600</v>
      </c>
      <c r="F157" s="9" t="n">
        <v>12800</v>
      </c>
      <c r="G157" s="10" t="n">
        <v>4800</v>
      </c>
      <c r="H157" s="9" t="s">
        <v>11</v>
      </c>
      <c r="I157" s="9" t="s">
        <v>15</v>
      </c>
      <c r="J157" s="0" t="s">
        <v>13</v>
      </c>
    </row>
    <row r="158" customFormat="false" ht="13.8" hidden="true" customHeight="false" outlineLevel="0" collapsed="false">
      <c r="A158" s="7" t="n">
        <v>44056</v>
      </c>
      <c r="B158" s="8" t="n">
        <v>0.213194444444444</v>
      </c>
      <c r="C158" s="9" t="n">
        <v>128293</v>
      </c>
      <c r="D158" s="9" t="s">
        <v>19</v>
      </c>
      <c r="E158" s="9" t="n">
        <v>4760</v>
      </c>
      <c r="F158" s="9" t="n">
        <v>3660</v>
      </c>
      <c r="G158" s="10" t="n">
        <v>1100</v>
      </c>
      <c r="H158" s="9" t="s">
        <v>11</v>
      </c>
      <c r="I158" s="9" t="s">
        <v>15</v>
      </c>
      <c r="J158" s="0" t="s">
        <v>13</v>
      </c>
    </row>
    <row r="159" customFormat="false" ht="13.8" hidden="true" customHeight="false" outlineLevel="0" collapsed="false">
      <c r="A159" s="7" t="n">
        <v>44056</v>
      </c>
      <c r="B159" s="8" t="n">
        <v>0.2625</v>
      </c>
      <c r="C159" s="9" t="n">
        <v>128297</v>
      </c>
      <c r="D159" s="9" t="s">
        <v>19</v>
      </c>
      <c r="E159" s="9" t="n">
        <v>4340</v>
      </c>
      <c r="F159" s="9" t="n">
        <v>3740</v>
      </c>
      <c r="G159" s="10" t="n">
        <v>600</v>
      </c>
      <c r="H159" s="9" t="s">
        <v>11</v>
      </c>
      <c r="I159" s="9" t="s">
        <v>15</v>
      </c>
      <c r="J159" s="0" t="s">
        <v>13</v>
      </c>
    </row>
    <row r="160" customFormat="false" ht="13.8" hidden="true" customHeight="false" outlineLevel="0" collapsed="false">
      <c r="A160" s="7" t="n">
        <v>44056</v>
      </c>
      <c r="B160" s="8" t="n">
        <v>0.261111111111111</v>
      </c>
      <c r="C160" s="9" t="n">
        <v>128296</v>
      </c>
      <c r="D160" s="9" t="s">
        <v>14</v>
      </c>
      <c r="E160" s="9" t="n">
        <v>22460</v>
      </c>
      <c r="F160" s="9" t="n">
        <v>15920</v>
      </c>
      <c r="G160" s="10" t="n">
        <v>6540</v>
      </c>
      <c r="H160" s="9" t="s">
        <v>11</v>
      </c>
      <c r="I160" s="9" t="s">
        <v>15</v>
      </c>
      <c r="J160" s="0" t="s">
        <v>13</v>
      </c>
    </row>
    <row r="161" customFormat="false" ht="13.8" hidden="true" customHeight="false" outlineLevel="0" collapsed="false">
      <c r="A161" s="7" t="n">
        <v>44056</v>
      </c>
      <c r="B161" s="8" t="n">
        <v>0.136805555555556</v>
      </c>
      <c r="C161" s="9" t="n">
        <v>128288</v>
      </c>
      <c r="D161" s="9" t="s">
        <v>14</v>
      </c>
      <c r="E161" s="9" t="n">
        <v>27140</v>
      </c>
      <c r="F161" s="9" t="n">
        <v>15940</v>
      </c>
      <c r="G161" s="10" t="n">
        <v>11200</v>
      </c>
      <c r="H161" s="9" t="s">
        <v>11</v>
      </c>
      <c r="I161" s="9" t="s">
        <v>15</v>
      </c>
      <c r="J161" s="0" t="s">
        <v>13</v>
      </c>
    </row>
    <row r="162" customFormat="false" ht="13.8" hidden="true" customHeight="false" outlineLevel="0" collapsed="false">
      <c r="A162" s="7" t="n">
        <v>44056</v>
      </c>
      <c r="B162" s="8" t="n">
        <v>0.0645833333333333</v>
      </c>
      <c r="C162" s="9" t="n">
        <v>128281</v>
      </c>
      <c r="D162" s="9" t="s">
        <v>18</v>
      </c>
      <c r="E162" s="9" t="n">
        <v>21760</v>
      </c>
      <c r="F162" s="9" t="n">
        <v>12960</v>
      </c>
      <c r="G162" s="10" t="n">
        <v>8800</v>
      </c>
      <c r="H162" s="9" t="s">
        <v>11</v>
      </c>
      <c r="I162" s="9" t="s">
        <v>15</v>
      </c>
      <c r="J162" s="0" t="s">
        <v>13</v>
      </c>
    </row>
    <row r="163" customFormat="false" ht="13.8" hidden="true" customHeight="false" outlineLevel="0" collapsed="false">
      <c r="A163" s="7" t="n">
        <v>44056</v>
      </c>
      <c r="B163" s="8" t="n">
        <v>0.470138888888889</v>
      </c>
      <c r="C163" s="9" t="n">
        <v>128326</v>
      </c>
      <c r="D163" s="9" t="s">
        <v>16</v>
      </c>
      <c r="E163" s="9" t="n">
        <v>2600</v>
      </c>
      <c r="F163" s="9" t="n">
        <v>2400</v>
      </c>
      <c r="G163" s="10" t="n">
        <v>200</v>
      </c>
      <c r="H163" s="9" t="s">
        <v>11</v>
      </c>
      <c r="I163" s="9" t="s">
        <v>15</v>
      </c>
      <c r="J163" s="0" t="s">
        <v>13</v>
      </c>
    </row>
    <row r="164" customFormat="false" ht="13.8" hidden="true" customHeight="false" outlineLevel="0" collapsed="false">
      <c r="A164" s="7" t="n">
        <v>44056</v>
      </c>
      <c r="B164" s="8" t="n">
        <v>0.448611111111111</v>
      </c>
      <c r="C164" s="9" t="n">
        <v>128322</v>
      </c>
      <c r="D164" s="9" t="s">
        <v>10</v>
      </c>
      <c r="E164" s="9" t="n">
        <v>3260</v>
      </c>
      <c r="F164" s="9" t="n">
        <v>2860</v>
      </c>
      <c r="G164" s="10" t="n">
        <v>400</v>
      </c>
      <c r="H164" s="9" t="s">
        <v>11</v>
      </c>
      <c r="I164" s="9" t="s">
        <v>15</v>
      </c>
      <c r="J164" s="0" t="s">
        <v>13</v>
      </c>
    </row>
    <row r="165" customFormat="false" ht="13.8" hidden="true" customHeight="false" outlineLevel="0" collapsed="false">
      <c r="A165" s="7" t="n">
        <v>44056</v>
      </c>
      <c r="B165" s="8" t="n">
        <v>0.877083333333333</v>
      </c>
      <c r="C165" s="9" t="n">
        <v>128362</v>
      </c>
      <c r="D165" s="9" t="s">
        <v>16</v>
      </c>
      <c r="E165" s="9" t="n">
        <v>2480</v>
      </c>
      <c r="F165" s="9" t="n">
        <v>2380</v>
      </c>
      <c r="G165" s="10" t="n">
        <v>100</v>
      </c>
      <c r="H165" s="9" t="s">
        <v>11</v>
      </c>
      <c r="I165" s="9" t="s">
        <v>15</v>
      </c>
      <c r="J165" s="0" t="s">
        <v>13</v>
      </c>
    </row>
    <row r="166" customFormat="false" ht="13.8" hidden="true" customHeight="false" outlineLevel="0" collapsed="false">
      <c r="A166" s="7" t="n">
        <v>44056</v>
      </c>
      <c r="B166" s="8" t="n">
        <v>0.670833333333333</v>
      </c>
      <c r="C166" s="9" t="n">
        <v>128348</v>
      </c>
      <c r="D166" s="9" t="s">
        <v>18</v>
      </c>
      <c r="E166" s="9" t="n">
        <v>14800</v>
      </c>
      <c r="F166" s="9" t="n">
        <v>12860</v>
      </c>
      <c r="G166" s="10" t="n">
        <v>1940</v>
      </c>
      <c r="H166" s="9" t="s">
        <v>11</v>
      </c>
      <c r="I166" s="9" t="s">
        <v>15</v>
      </c>
      <c r="J166" s="0" t="s">
        <v>13</v>
      </c>
    </row>
    <row r="167" customFormat="false" ht="13.8" hidden="true" customHeight="false" outlineLevel="0" collapsed="false">
      <c r="A167" s="7" t="n">
        <v>44056</v>
      </c>
      <c r="B167" s="8" t="n">
        <v>0.729861111111111</v>
      </c>
      <c r="C167" s="9" t="n">
        <v>128355</v>
      </c>
      <c r="D167" s="9" t="s">
        <v>16</v>
      </c>
      <c r="E167" s="9" t="n">
        <v>2600</v>
      </c>
      <c r="F167" s="9" t="n">
        <v>2400</v>
      </c>
      <c r="G167" s="10" t="n">
        <v>200</v>
      </c>
      <c r="H167" s="9" t="s">
        <v>11</v>
      </c>
      <c r="I167" s="9" t="s">
        <v>15</v>
      </c>
      <c r="J167" s="0" t="s">
        <v>13</v>
      </c>
    </row>
    <row r="168" s="15" customFormat="true" ht="13.8" hidden="true" customHeight="false" outlineLevel="0" collapsed="false">
      <c r="A168" s="12" t="n">
        <v>44056</v>
      </c>
      <c r="B168" s="13" t="n">
        <v>0.872222222222222</v>
      </c>
      <c r="C168" s="14" t="n">
        <v>128361</v>
      </c>
      <c r="D168" s="14" t="s">
        <v>17</v>
      </c>
      <c r="E168" s="14" t="n">
        <v>25880</v>
      </c>
      <c r="F168" s="14" t="n">
        <v>16060</v>
      </c>
      <c r="G168" s="14" t="n">
        <v>9820</v>
      </c>
      <c r="H168" s="14" t="s">
        <v>11</v>
      </c>
      <c r="I168" s="14" t="s">
        <v>15</v>
      </c>
      <c r="J168" s="15" t="s">
        <v>13</v>
      </c>
    </row>
    <row r="169" customFormat="false" ht="13.8" hidden="true" customHeight="false" outlineLevel="0" collapsed="false">
      <c r="A169" s="7" t="n">
        <v>44057</v>
      </c>
      <c r="B169" s="8" t="n">
        <v>0.257638888888889</v>
      </c>
      <c r="C169" s="9" t="n">
        <v>128378</v>
      </c>
      <c r="D169" s="9" t="s">
        <v>19</v>
      </c>
      <c r="E169" s="9" t="n">
        <v>4400</v>
      </c>
      <c r="F169" s="9" t="n">
        <v>3640</v>
      </c>
      <c r="G169" s="10" t="n">
        <v>760</v>
      </c>
      <c r="H169" s="9" t="s">
        <v>11</v>
      </c>
      <c r="I169" s="9" t="s">
        <v>15</v>
      </c>
      <c r="J169" s="0" t="s">
        <v>13</v>
      </c>
    </row>
    <row r="170" customFormat="false" ht="13.8" hidden="true" customHeight="false" outlineLevel="0" collapsed="false">
      <c r="A170" s="7" t="n">
        <v>44057</v>
      </c>
      <c r="B170" s="8" t="n">
        <v>0.134722222222222</v>
      </c>
      <c r="C170" s="9" t="n">
        <v>128369</v>
      </c>
      <c r="D170" s="9" t="s">
        <v>19</v>
      </c>
      <c r="E170" s="9" t="n">
        <v>4640</v>
      </c>
      <c r="F170" s="9" t="n">
        <v>3580</v>
      </c>
      <c r="G170" s="10" t="n">
        <v>1060</v>
      </c>
      <c r="H170" s="9" t="s">
        <v>11</v>
      </c>
      <c r="I170" s="9" t="s">
        <v>15</v>
      </c>
      <c r="J170" s="0" t="s">
        <v>13</v>
      </c>
    </row>
    <row r="171" customFormat="false" ht="13.8" hidden="true" customHeight="false" outlineLevel="0" collapsed="false">
      <c r="A171" s="7" t="n">
        <v>44057</v>
      </c>
      <c r="B171" s="8" t="n">
        <v>0.321527777777778</v>
      </c>
      <c r="C171" s="9" t="n">
        <v>128391</v>
      </c>
      <c r="D171" s="9" t="s">
        <v>14</v>
      </c>
      <c r="E171" s="9" t="n">
        <v>22840</v>
      </c>
      <c r="F171" s="9" t="n">
        <v>15840</v>
      </c>
      <c r="G171" s="10" t="n">
        <v>7000</v>
      </c>
      <c r="H171" s="9" t="s">
        <v>11</v>
      </c>
      <c r="I171" s="9" t="s">
        <v>15</v>
      </c>
      <c r="J171" s="0" t="s">
        <v>13</v>
      </c>
    </row>
    <row r="172" customFormat="false" ht="13.8" hidden="true" customHeight="false" outlineLevel="0" collapsed="false">
      <c r="A172" s="7" t="n">
        <v>44057</v>
      </c>
      <c r="B172" s="8" t="n">
        <v>0.209722222222222</v>
      </c>
      <c r="C172" s="9" t="n">
        <v>128373</v>
      </c>
      <c r="D172" s="9" t="s">
        <v>14</v>
      </c>
      <c r="E172" s="9" t="n">
        <v>28100</v>
      </c>
      <c r="F172" s="9" t="n">
        <v>15860</v>
      </c>
      <c r="G172" s="10" t="n">
        <v>12240</v>
      </c>
      <c r="H172" s="9" t="s">
        <v>11</v>
      </c>
      <c r="I172" s="9" t="s">
        <v>15</v>
      </c>
      <c r="J172" s="0" t="s">
        <v>13</v>
      </c>
    </row>
    <row r="173" customFormat="false" ht="13.8" hidden="true" customHeight="false" outlineLevel="0" collapsed="false">
      <c r="A173" s="7" t="n">
        <v>44057</v>
      </c>
      <c r="B173" s="8" t="n">
        <v>0.408333333333333</v>
      </c>
      <c r="C173" s="9" t="n">
        <v>128405</v>
      </c>
      <c r="D173" s="9" t="s">
        <v>28</v>
      </c>
      <c r="E173" s="9" t="n">
        <v>17680</v>
      </c>
      <c r="F173" s="9" t="n">
        <v>15940</v>
      </c>
      <c r="G173" s="10" t="n">
        <v>1740</v>
      </c>
      <c r="H173" s="9" t="s">
        <v>11</v>
      </c>
      <c r="I173" s="9" t="s">
        <v>12</v>
      </c>
      <c r="J173" s="0" t="s">
        <v>13</v>
      </c>
    </row>
    <row r="174" customFormat="false" ht="13.8" hidden="true" customHeight="false" outlineLevel="0" collapsed="false">
      <c r="A174" s="7" t="n">
        <v>44057</v>
      </c>
      <c r="B174" s="8" t="n">
        <v>0.288194444444444</v>
      </c>
      <c r="C174" s="9" t="n">
        <v>128383</v>
      </c>
      <c r="D174" s="9" t="s">
        <v>28</v>
      </c>
      <c r="E174" s="9" t="n">
        <v>23960</v>
      </c>
      <c r="F174" s="9" t="n">
        <v>15300</v>
      </c>
      <c r="G174" s="10" t="n">
        <v>8660</v>
      </c>
      <c r="H174" s="9" t="s">
        <v>11</v>
      </c>
      <c r="I174" s="9" t="s">
        <v>29</v>
      </c>
      <c r="J174" s="0" t="s">
        <v>13</v>
      </c>
    </row>
    <row r="175" customFormat="false" ht="13.8" hidden="true" customHeight="false" outlineLevel="0" collapsed="false">
      <c r="A175" s="7" t="n">
        <v>44057</v>
      </c>
      <c r="B175" s="8" t="n">
        <v>0.260416666666667</v>
      </c>
      <c r="C175" s="9" t="n">
        <v>128380</v>
      </c>
      <c r="D175" s="9" t="s">
        <v>18</v>
      </c>
      <c r="E175" s="9" t="n">
        <v>19880</v>
      </c>
      <c r="F175" s="9" t="n">
        <v>12860</v>
      </c>
      <c r="G175" s="10" t="n">
        <v>7020</v>
      </c>
      <c r="H175" s="9" t="s">
        <v>11</v>
      </c>
      <c r="I175" s="9" t="s">
        <v>15</v>
      </c>
      <c r="J175" s="0" t="s">
        <v>13</v>
      </c>
    </row>
    <row r="176" customFormat="false" ht="13.8" hidden="true" customHeight="false" outlineLevel="0" collapsed="false">
      <c r="A176" s="7" t="n">
        <v>44057</v>
      </c>
      <c r="B176" s="8" t="n">
        <v>0.0840277777777778</v>
      </c>
      <c r="C176" s="9" t="n">
        <v>128365</v>
      </c>
      <c r="D176" s="9" t="s">
        <v>18</v>
      </c>
      <c r="E176" s="9" t="n">
        <v>21880</v>
      </c>
      <c r="F176" s="9" t="n">
        <v>12860</v>
      </c>
      <c r="G176" s="10" t="n">
        <v>9020</v>
      </c>
      <c r="H176" s="9" t="s">
        <v>11</v>
      </c>
      <c r="I176" s="9" t="s">
        <v>15</v>
      </c>
      <c r="J176" s="0" t="s">
        <v>13</v>
      </c>
    </row>
    <row r="177" customFormat="false" ht="13.8" hidden="true" customHeight="false" outlineLevel="0" collapsed="false">
      <c r="A177" s="7" t="n">
        <v>44057</v>
      </c>
      <c r="B177" s="8" t="n">
        <v>0.2625</v>
      </c>
      <c r="C177" s="9" t="n">
        <v>128381</v>
      </c>
      <c r="D177" s="9" t="s">
        <v>28</v>
      </c>
      <c r="E177" s="9" t="n">
        <v>21820</v>
      </c>
      <c r="F177" s="9" t="n">
        <v>15300</v>
      </c>
      <c r="G177" s="10" t="n">
        <v>6520</v>
      </c>
      <c r="H177" s="9" t="s">
        <v>11</v>
      </c>
      <c r="I177" s="9" t="s">
        <v>29</v>
      </c>
      <c r="J177" s="0" t="s">
        <v>13</v>
      </c>
    </row>
    <row r="178" customFormat="false" ht="13.8" hidden="true" customHeight="false" outlineLevel="0" collapsed="false">
      <c r="A178" s="7" t="n">
        <v>44057</v>
      </c>
      <c r="B178" s="8" t="n">
        <v>0.310416666666667</v>
      </c>
      <c r="C178" s="9" t="n">
        <v>128389</v>
      </c>
      <c r="D178" s="9" t="s">
        <v>28</v>
      </c>
      <c r="E178" s="9" t="n">
        <v>24460</v>
      </c>
      <c r="F178" s="9" t="n">
        <v>15300</v>
      </c>
      <c r="G178" s="10" t="n">
        <v>9160</v>
      </c>
      <c r="H178" s="9" t="s">
        <v>11</v>
      </c>
      <c r="I178" s="9" t="s">
        <v>29</v>
      </c>
      <c r="J178" s="0" t="s">
        <v>13</v>
      </c>
    </row>
    <row r="179" customFormat="false" ht="13.8" hidden="true" customHeight="false" outlineLevel="0" collapsed="false">
      <c r="A179" s="7" t="n">
        <v>44057</v>
      </c>
      <c r="B179" s="8" t="n">
        <v>0.335416666666667</v>
      </c>
      <c r="C179" s="9" t="n">
        <v>128393</v>
      </c>
      <c r="D179" s="9" t="s">
        <v>28</v>
      </c>
      <c r="E179" s="9" t="n">
        <v>25060</v>
      </c>
      <c r="F179" s="9" t="n">
        <v>15300</v>
      </c>
      <c r="G179" s="10" t="n">
        <v>9760</v>
      </c>
      <c r="H179" s="9" t="s">
        <v>11</v>
      </c>
      <c r="I179" s="9" t="s">
        <v>29</v>
      </c>
      <c r="J179" s="0" t="s">
        <v>13</v>
      </c>
    </row>
    <row r="180" customFormat="false" ht="13.8" hidden="true" customHeight="false" outlineLevel="0" collapsed="false">
      <c r="A180" s="7" t="n">
        <v>44050</v>
      </c>
      <c r="B180" s="8" t="n">
        <v>0.536805555555556</v>
      </c>
      <c r="C180" s="9" t="n">
        <v>127950</v>
      </c>
      <c r="D180" s="9" t="s">
        <v>24</v>
      </c>
      <c r="E180" s="9" t="n">
        <v>3800</v>
      </c>
      <c r="F180" s="9" t="n">
        <v>2700</v>
      </c>
      <c r="G180" s="10" t="n">
        <v>1100</v>
      </c>
      <c r="H180" s="9" t="s">
        <v>11</v>
      </c>
      <c r="I180" s="9" t="s">
        <v>25</v>
      </c>
      <c r="J180" s="0" t="s">
        <v>13</v>
      </c>
    </row>
    <row r="181" customFormat="false" ht="13.8" hidden="true" customHeight="false" outlineLevel="0" collapsed="false">
      <c r="A181" s="7" t="n">
        <v>44050</v>
      </c>
      <c r="B181" s="8" t="n">
        <v>0.459027777777778</v>
      </c>
      <c r="C181" s="9" t="n">
        <v>127939</v>
      </c>
      <c r="D181" s="9" t="s">
        <v>24</v>
      </c>
      <c r="E181" s="9" t="n">
        <v>3620</v>
      </c>
      <c r="F181" s="9" t="n">
        <v>2640</v>
      </c>
      <c r="G181" s="10" t="n">
        <v>980</v>
      </c>
      <c r="H181" s="9" t="s">
        <v>11</v>
      </c>
      <c r="I181" s="9" t="s">
        <v>25</v>
      </c>
      <c r="J181" s="0" t="s">
        <v>13</v>
      </c>
    </row>
    <row r="182" customFormat="false" ht="13.8" hidden="true" customHeight="false" outlineLevel="0" collapsed="false">
      <c r="A182" s="7" t="n">
        <v>44057</v>
      </c>
      <c r="B182" s="8" t="n">
        <v>0.880555555555556</v>
      </c>
      <c r="C182" s="9" t="n">
        <v>128451</v>
      </c>
      <c r="D182" s="9" t="s">
        <v>16</v>
      </c>
      <c r="E182" s="9" t="n">
        <v>2620</v>
      </c>
      <c r="F182" s="9" t="n">
        <v>2420</v>
      </c>
      <c r="G182" s="10" t="n">
        <v>200</v>
      </c>
      <c r="H182" s="9" t="s">
        <v>11</v>
      </c>
      <c r="I182" s="9" t="s">
        <v>15</v>
      </c>
      <c r="J182" s="0" t="s">
        <v>13</v>
      </c>
    </row>
    <row r="183" customFormat="false" ht="13.8" hidden="true" customHeight="false" outlineLevel="0" collapsed="false">
      <c r="A183" s="7" t="n">
        <v>44057</v>
      </c>
      <c r="B183" s="8" t="n">
        <v>0.869444444444444</v>
      </c>
      <c r="C183" s="9" t="n">
        <v>128449</v>
      </c>
      <c r="D183" s="9" t="s">
        <v>17</v>
      </c>
      <c r="E183" s="9" t="n">
        <v>25880</v>
      </c>
      <c r="F183" s="9" t="n">
        <v>16140</v>
      </c>
      <c r="G183" s="10" t="n">
        <v>9740</v>
      </c>
      <c r="H183" s="9" t="s">
        <v>11</v>
      </c>
      <c r="I183" s="9" t="s">
        <v>15</v>
      </c>
      <c r="J183" s="0" t="s">
        <v>13</v>
      </c>
    </row>
    <row r="184" customFormat="false" ht="13.8" hidden="true" customHeight="false" outlineLevel="0" collapsed="false">
      <c r="A184" s="7" t="n">
        <v>44057</v>
      </c>
      <c r="B184" s="8" t="n">
        <v>0.682638888888889</v>
      </c>
      <c r="C184" s="9" t="n">
        <v>128437</v>
      </c>
      <c r="D184" s="9" t="s">
        <v>18</v>
      </c>
      <c r="E184" s="9" t="n">
        <v>14960</v>
      </c>
      <c r="F184" s="9" t="n">
        <v>12800</v>
      </c>
      <c r="G184" s="10" t="n">
        <v>2160</v>
      </c>
      <c r="H184" s="9" t="s">
        <v>11</v>
      </c>
      <c r="I184" s="9" t="s">
        <v>15</v>
      </c>
      <c r="J184" s="0" t="s">
        <v>13</v>
      </c>
    </row>
    <row r="185" customFormat="false" ht="13.8" hidden="true" customHeight="false" outlineLevel="0" collapsed="false">
      <c r="A185" s="7" t="n">
        <v>44057</v>
      </c>
      <c r="B185" s="8" t="n">
        <v>0.454166666666667</v>
      </c>
      <c r="C185" s="9" t="n">
        <v>128410</v>
      </c>
      <c r="D185" s="9" t="s">
        <v>16</v>
      </c>
      <c r="E185" s="9" t="n">
        <v>2700</v>
      </c>
      <c r="F185" s="9" t="n">
        <v>2400</v>
      </c>
      <c r="G185" s="10" t="n">
        <v>300</v>
      </c>
      <c r="H185" s="9" t="s">
        <v>11</v>
      </c>
      <c r="I185" s="9" t="s">
        <v>15</v>
      </c>
      <c r="J185" s="0" t="s">
        <v>13</v>
      </c>
    </row>
    <row r="186" customFormat="false" ht="13.8" hidden="true" customHeight="false" outlineLevel="0" collapsed="false">
      <c r="A186" s="7" t="n">
        <v>44057</v>
      </c>
      <c r="B186" s="8" t="n">
        <v>0.35625</v>
      </c>
      <c r="C186" s="9" t="n">
        <v>128397</v>
      </c>
      <c r="D186" s="9" t="s">
        <v>10</v>
      </c>
      <c r="E186" s="9" t="n">
        <v>3360</v>
      </c>
      <c r="F186" s="9" t="n">
        <v>2860</v>
      </c>
      <c r="G186" s="10" t="n">
        <v>500</v>
      </c>
      <c r="H186" s="9" t="s">
        <v>11</v>
      </c>
      <c r="I186" s="9" t="s">
        <v>12</v>
      </c>
      <c r="J186" s="0" t="s">
        <v>13</v>
      </c>
    </row>
    <row r="187" s="15" customFormat="true" ht="13.8" hidden="true" customHeight="false" outlineLevel="0" collapsed="false">
      <c r="A187" s="12" t="n">
        <v>44057</v>
      </c>
      <c r="B187" s="13" t="n">
        <v>0.492361111111111</v>
      </c>
      <c r="C187" s="14" t="n">
        <v>128419</v>
      </c>
      <c r="D187" s="14" t="s">
        <v>10</v>
      </c>
      <c r="E187" s="14" t="n">
        <v>3460</v>
      </c>
      <c r="F187" s="14" t="n">
        <v>2920</v>
      </c>
      <c r="G187" s="14" t="n">
        <v>540</v>
      </c>
      <c r="H187" s="14" t="s">
        <v>11</v>
      </c>
      <c r="I187" s="14" t="s">
        <v>12</v>
      </c>
      <c r="J187" s="15" t="s">
        <v>13</v>
      </c>
    </row>
    <row r="188" customFormat="false" ht="13.8" hidden="true" customHeight="false" outlineLevel="0" collapsed="false">
      <c r="A188" s="7" t="n">
        <v>44057</v>
      </c>
      <c r="B188" s="8" t="n">
        <v>0.46875</v>
      </c>
      <c r="C188" s="11" t="s">
        <v>21</v>
      </c>
      <c r="D188" s="9" t="s">
        <v>17</v>
      </c>
      <c r="E188" s="9" t="n">
        <v>19100</v>
      </c>
      <c r="F188" s="9" t="n">
        <v>15760</v>
      </c>
      <c r="G188" s="10" t="n">
        <v>3340</v>
      </c>
      <c r="H188" s="9" t="s">
        <v>11</v>
      </c>
      <c r="I188" s="9" t="s">
        <v>22</v>
      </c>
      <c r="J188" s="0" t="s">
        <v>13</v>
      </c>
    </row>
    <row r="189" customFormat="false" ht="13.8" hidden="true" customHeight="false" outlineLevel="0" collapsed="false">
      <c r="A189" s="7" t="n">
        <v>44058</v>
      </c>
      <c r="B189" s="8" t="n">
        <v>0.888194444444444</v>
      </c>
      <c r="C189" s="9" t="n">
        <v>128486</v>
      </c>
      <c r="D189" s="9" t="s">
        <v>17</v>
      </c>
      <c r="E189" s="9" t="n">
        <v>27880</v>
      </c>
      <c r="F189" s="9" t="n">
        <v>16220</v>
      </c>
      <c r="G189" s="10" t="n">
        <v>11660</v>
      </c>
      <c r="H189" s="9" t="s">
        <v>11</v>
      </c>
      <c r="I189" s="7" t="s">
        <v>15</v>
      </c>
      <c r="J189" s="0" t="s">
        <v>13</v>
      </c>
    </row>
    <row r="190" customFormat="false" ht="13.8" hidden="true" customHeight="false" outlineLevel="0" collapsed="false">
      <c r="A190" s="7" t="n">
        <v>44058</v>
      </c>
      <c r="B190" s="8" t="n">
        <v>0.869444444444444</v>
      </c>
      <c r="C190" s="9" t="n">
        <v>128485</v>
      </c>
      <c r="D190" s="9" t="s">
        <v>16</v>
      </c>
      <c r="E190" s="9" t="n">
        <v>2680</v>
      </c>
      <c r="F190" s="9" t="n">
        <v>2420</v>
      </c>
      <c r="G190" s="10" t="n">
        <v>260</v>
      </c>
      <c r="H190" s="9" t="s">
        <v>11</v>
      </c>
      <c r="I190" s="9" t="s">
        <v>15</v>
      </c>
      <c r="J190" s="0" t="s">
        <v>13</v>
      </c>
    </row>
    <row r="191" customFormat="false" ht="13.8" hidden="true" customHeight="false" outlineLevel="0" collapsed="false">
      <c r="A191" s="7" t="n">
        <v>44058</v>
      </c>
      <c r="B191" s="8" t="n">
        <v>0.0826388888888889</v>
      </c>
      <c r="C191" s="9" t="n">
        <v>128456</v>
      </c>
      <c r="D191" s="9" t="s">
        <v>18</v>
      </c>
      <c r="E191" s="9" t="n">
        <v>22300</v>
      </c>
      <c r="F191" s="9" t="n">
        <v>12840</v>
      </c>
      <c r="G191" s="10" t="n">
        <v>9460</v>
      </c>
      <c r="H191" s="9" t="s">
        <v>11</v>
      </c>
      <c r="I191" s="9" t="s">
        <v>15</v>
      </c>
      <c r="J191" s="0" t="s">
        <v>13</v>
      </c>
    </row>
    <row r="192" customFormat="false" ht="13.8" hidden="true" customHeight="false" outlineLevel="0" collapsed="false">
      <c r="A192" s="7" t="n">
        <v>44058</v>
      </c>
      <c r="B192" s="8" t="n">
        <v>0.261111111111111</v>
      </c>
      <c r="C192" s="9" t="n">
        <v>128473</v>
      </c>
      <c r="D192" s="9" t="s">
        <v>18</v>
      </c>
      <c r="E192" s="9" t="n">
        <v>18560</v>
      </c>
      <c r="F192" s="9" t="n">
        <v>12820</v>
      </c>
      <c r="G192" s="10" t="n">
        <v>5740</v>
      </c>
      <c r="H192" s="9" t="s">
        <v>11</v>
      </c>
      <c r="I192" s="9" t="s">
        <v>15</v>
      </c>
      <c r="J192" s="0" t="s">
        <v>13</v>
      </c>
    </row>
    <row r="193" customFormat="false" ht="13.8" hidden="true" customHeight="false" outlineLevel="0" collapsed="false">
      <c r="A193" s="7" t="n">
        <v>44058</v>
      </c>
      <c r="B193" s="8" t="n">
        <v>0.2625</v>
      </c>
      <c r="C193" s="9" t="n">
        <v>128474</v>
      </c>
      <c r="D193" s="9" t="s">
        <v>19</v>
      </c>
      <c r="E193" s="9" t="n">
        <v>4520</v>
      </c>
      <c r="F193" s="9" t="n">
        <v>3660</v>
      </c>
      <c r="G193" s="10" t="n">
        <v>860</v>
      </c>
      <c r="H193" s="9" t="s">
        <v>11</v>
      </c>
      <c r="I193" s="9" t="s">
        <v>15</v>
      </c>
      <c r="J193" s="0" t="s">
        <v>13</v>
      </c>
    </row>
    <row r="194" customFormat="false" ht="13.8" hidden="true" customHeight="false" outlineLevel="0" collapsed="false">
      <c r="A194" s="7" t="n">
        <v>44058</v>
      </c>
      <c r="B194" s="8" t="n">
        <v>0.144444444444444</v>
      </c>
      <c r="C194" s="9" t="n">
        <v>128463</v>
      </c>
      <c r="D194" s="9" t="s">
        <v>19</v>
      </c>
      <c r="E194" s="9" t="n">
        <v>4660</v>
      </c>
      <c r="F194" s="9" t="n">
        <v>3600</v>
      </c>
      <c r="G194" s="10" t="n">
        <v>1060</v>
      </c>
      <c r="H194" s="9" t="s">
        <v>11</v>
      </c>
      <c r="I194" s="9" t="s">
        <v>15</v>
      </c>
      <c r="J194" s="0" t="s">
        <v>13</v>
      </c>
    </row>
    <row r="195" customFormat="false" ht="13.8" hidden="true" customHeight="false" outlineLevel="0" collapsed="false">
      <c r="A195" s="7" t="n">
        <v>44058</v>
      </c>
      <c r="B195" s="8" t="n">
        <v>0.45</v>
      </c>
      <c r="C195" s="9" t="n">
        <v>128482</v>
      </c>
      <c r="D195" s="9" t="s">
        <v>16</v>
      </c>
      <c r="E195" s="9" t="n">
        <v>2680</v>
      </c>
      <c r="F195" s="9" t="n">
        <v>2520</v>
      </c>
      <c r="G195" s="10" t="n">
        <v>160</v>
      </c>
      <c r="H195" s="9" t="s">
        <v>11</v>
      </c>
      <c r="I195" s="9" t="s">
        <v>15</v>
      </c>
      <c r="J195" s="0" t="s">
        <v>13</v>
      </c>
    </row>
    <row r="196" customFormat="false" ht="13.8" hidden="true" customHeight="false" outlineLevel="0" collapsed="false">
      <c r="A196" s="7" t="n">
        <v>44058</v>
      </c>
      <c r="B196" s="8" t="n">
        <v>0.271527777777778</v>
      </c>
      <c r="C196" s="9" t="n">
        <v>128475</v>
      </c>
      <c r="D196" s="9" t="s">
        <v>14</v>
      </c>
      <c r="E196" s="9" t="n">
        <v>18980</v>
      </c>
      <c r="F196" s="9" t="n">
        <v>15940</v>
      </c>
      <c r="G196" s="10" t="n">
        <v>3040</v>
      </c>
      <c r="H196" s="9" t="s">
        <v>11</v>
      </c>
      <c r="I196" s="9" t="s">
        <v>15</v>
      </c>
      <c r="J196" s="0" t="s">
        <v>13</v>
      </c>
    </row>
    <row r="197" customFormat="false" ht="13.8" hidden="true" customHeight="false" outlineLevel="0" collapsed="false">
      <c r="A197" s="7" t="n">
        <v>44058</v>
      </c>
      <c r="B197" s="8" t="n">
        <v>0.159027777777778</v>
      </c>
      <c r="C197" s="9" t="n">
        <v>128465</v>
      </c>
      <c r="D197" s="9" t="s">
        <v>14</v>
      </c>
      <c r="E197" s="9" t="n">
        <v>26140</v>
      </c>
      <c r="F197" s="9" t="n">
        <v>16040</v>
      </c>
      <c r="G197" s="10" t="n">
        <v>10100</v>
      </c>
      <c r="H197" s="9" t="s">
        <v>11</v>
      </c>
      <c r="I197" s="9" t="s">
        <v>15</v>
      </c>
      <c r="J197" s="0" t="s">
        <v>13</v>
      </c>
    </row>
    <row r="198" customFormat="false" ht="13.8" hidden="true" customHeight="false" outlineLevel="0" collapsed="false">
      <c r="A198" s="7" t="n">
        <v>44058</v>
      </c>
      <c r="B198" s="8" t="n">
        <v>0.463194444444444</v>
      </c>
      <c r="C198" s="9" t="n">
        <v>128483</v>
      </c>
      <c r="D198" s="9" t="s">
        <v>10</v>
      </c>
      <c r="E198" s="9" t="n">
        <v>3240</v>
      </c>
      <c r="F198" s="9" t="n">
        <v>2800</v>
      </c>
      <c r="G198" s="10" t="n">
        <v>440</v>
      </c>
      <c r="H198" s="9" t="s">
        <v>11</v>
      </c>
      <c r="I198" s="9" t="s">
        <v>15</v>
      </c>
      <c r="J198" s="0" t="s">
        <v>13</v>
      </c>
    </row>
    <row r="199" customFormat="false" ht="13.8" hidden="true" customHeight="false" outlineLevel="0" collapsed="false">
      <c r="A199" s="7" t="n">
        <v>44058</v>
      </c>
      <c r="B199" s="8" t="n">
        <v>0.338194444444444</v>
      </c>
      <c r="C199" s="9" t="n">
        <v>128480</v>
      </c>
      <c r="D199" s="9" t="s">
        <v>10</v>
      </c>
      <c r="E199" s="9" t="n">
        <v>3000</v>
      </c>
      <c r="F199" s="9" t="n">
        <v>2740</v>
      </c>
      <c r="G199" s="10" t="n">
        <v>260</v>
      </c>
      <c r="H199" s="9" t="s">
        <v>11</v>
      </c>
      <c r="I199" s="9" t="s">
        <v>15</v>
      </c>
      <c r="J199" s="0" t="s">
        <v>13</v>
      </c>
    </row>
    <row r="200" customFormat="false" ht="13.8" hidden="true" customHeight="false" outlineLevel="0" collapsed="false">
      <c r="A200" s="7" t="n">
        <v>44058</v>
      </c>
      <c r="B200" s="8" t="n">
        <v>0.08125</v>
      </c>
      <c r="C200" s="9" t="n">
        <v>128455</v>
      </c>
      <c r="D200" s="9" t="s">
        <v>17</v>
      </c>
      <c r="E200" s="9" t="n">
        <v>22220</v>
      </c>
      <c r="F200" s="9" t="n">
        <v>16200</v>
      </c>
      <c r="G200" s="10" t="n">
        <v>6020</v>
      </c>
      <c r="H200" s="9" t="s">
        <v>11</v>
      </c>
      <c r="I200" s="9" t="s">
        <v>15</v>
      </c>
      <c r="J200" s="0" t="s">
        <v>13</v>
      </c>
    </row>
    <row r="201" customFormat="false" ht="13.8" hidden="true" customHeight="false" outlineLevel="0" collapsed="false">
      <c r="A201" s="7" t="n">
        <v>44058</v>
      </c>
      <c r="B201" s="8" t="n">
        <v>0.684027777777778</v>
      </c>
      <c r="C201" s="9" t="n">
        <v>128484</v>
      </c>
      <c r="D201" s="9" t="s">
        <v>18</v>
      </c>
      <c r="E201" s="9" t="n">
        <v>15180</v>
      </c>
      <c r="F201" s="9" t="n">
        <v>12840</v>
      </c>
      <c r="G201" s="10" t="n">
        <v>2340</v>
      </c>
      <c r="H201" s="9" t="s">
        <v>11</v>
      </c>
      <c r="I201" s="9" t="s">
        <v>15</v>
      </c>
      <c r="J201" s="0" t="s">
        <v>13</v>
      </c>
    </row>
    <row r="202" customFormat="false" ht="13.8" hidden="true" customHeight="false" outlineLevel="0" collapsed="false">
      <c r="A202" s="7" t="n">
        <v>44059</v>
      </c>
      <c r="B202" s="8" t="n">
        <v>0.874305555555556</v>
      </c>
      <c r="C202" s="9" t="n">
        <v>128514</v>
      </c>
      <c r="D202" s="9" t="s">
        <v>17</v>
      </c>
      <c r="E202" s="9" t="n">
        <v>25980</v>
      </c>
      <c r="F202" s="9" t="n">
        <v>16300</v>
      </c>
      <c r="G202" s="10" t="n">
        <v>9680</v>
      </c>
      <c r="H202" s="9" t="s">
        <v>11</v>
      </c>
      <c r="I202" s="9" t="s">
        <v>15</v>
      </c>
      <c r="J202" s="0" t="s">
        <v>13</v>
      </c>
    </row>
    <row r="203" customFormat="false" ht="13.8" hidden="true" customHeight="false" outlineLevel="0" collapsed="false">
      <c r="A203" s="7" t="n">
        <v>44059</v>
      </c>
      <c r="B203" s="8" t="n">
        <v>0.864583333333333</v>
      </c>
      <c r="C203" s="9" t="n">
        <v>128513</v>
      </c>
      <c r="D203" s="9" t="s">
        <v>16</v>
      </c>
      <c r="E203" s="9" t="n">
        <v>2700</v>
      </c>
      <c r="F203" s="9" t="n">
        <v>2420</v>
      </c>
      <c r="G203" s="10" t="n">
        <v>280</v>
      </c>
      <c r="H203" s="9" t="s">
        <v>11</v>
      </c>
      <c r="I203" s="9" t="s">
        <v>15</v>
      </c>
      <c r="J203" s="0" t="s">
        <v>13</v>
      </c>
    </row>
    <row r="204" customFormat="false" ht="13.8" hidden="true" customHeight="false" outlineLevel="0" collapsed="false">
      <c r="A204" s="7" t="n">
        <v>44059</v>
      </c>
      <c r="B204" s="8" t="n">
        <v>0.486805555555556</v>
      </c>
      <c r="C204" s="9" t="n">
        <v>128511</v>
      </c>
      <c r="D204" s="9" t="s">
        <v>10</v>
      </c>
      <c r="E204" s="9" t="n">
        <v>3400</v>
      </c>
      <c r="F204" s="9" t="n">
        <v>2920</v>
      </c>
      <c r="G204" s="10" t="n">
        <v>480</v>
      </c>
      <c r="H204" s="9" t="s">
        <v>11</v>
      </c>
      <c r="I204" s="9" t="s">
        <v>15</v>
      </c>
      <c r="J204" s="0" t="s">
        <v>13</v>
      </c>
    </row>
    <row r="205" customFormat="false" ht="13.8" hidden="true" customHeight="false" outlineLevel="0" collapsed="false">
      <c r="A205" s="7" t="n">
        <v>44059</v>
      </c>
      <c r="B205" s="8" t="n">
        <v>0.313194444444444</v>
      </c>
      <c r="C205" s="9" t="n">
        <v>128506</v>
      </c>
      <c r="D205" s="9" t="s">
        <v>10</v>
      </c>
      <c r="E205" s="9" t="n">
        <v>3160</v>
      </c>
      <c r="F205" s="9" t="n">
        <v>2860</v>
      </c>
      <c r="G205" s="10" t="n">
        <v>300</v>
      </c>
      <c r="H205" s="9" t="s">
        <v>11</v>
      </c>
      <c r="I205" s="9" t="s">
        <v>12</v>
      </c>
      <c r="J205" s="0" t="s">
        <v>13</v>
      </c>
    </row>
    <row r="206" customFormat="false" ht="13.8" hidden="true" customHeight="false" outlineLevel="0" collapsed="false">
      <c r="A206" s="7" t="n">
        <v>44059</v>
      </c>
      <c r="B206" s="8" t="n">
        <v>0.279861111111111</v>
      </c>
      <c r="C206" s="9" t="n">
        <v>128501</v>
      </c>
      <c r="D206" s="9" t="s">
        <v>19</v>
      </c>
      <c r="E206" s="9" t="n">
        <v>5240</v>
      </c>
      <c r="F206" s="9" t="n">
        <v>3720</v>
      </c>
      <c r="G206" s="10" t="n">
        <v>1520</v>
      </c>
      <c r="H206" s="9" t="s">
        <v>11</v>
      </c>
      <c r="I206" s="9" t="s">
        <v>15</v>
      </c>
      <c r="J206" s="0" t="s">
        <v>13</v>
      </c>
    </row>
    <row r="207" customFormat="false" ht="13.8" hidden="true" customHeight="false" outlineLevel="0" collapsed="false">
      <c r="A207" s="7" t="n">
        <v>44059</v>
      </c>
      <c r="B207" s="8" t="n">
        <v>0.165277777777778</v>
      </c>
      <c r="C207" s="9" t="n">
        <v>128493</v>
      </c>
      <c r="D207" s="9" t="s">
        <v>17</v>
      </c>
      <c r="E207" s="9" t="n">
        <v>25700</v>
      </c>
      <c r="F207" s="9" t="n">
        <v>16200</v>
      </c>
      <c r="G207" s="10" t="n">
        <v>9500</v>
      </c>
      <c r="H207" s="9" t="s">
        <v>11</v>
      </c>
      <c r="I207" s="9" t="s">
        <v>15</v>
      </c>
      <c r="J207" s="0" t="s">
        <v>13</v>
      </c>
    </row>
    <row r="208" customFormat="false" ht="13.8" hidden="true" customHeight="false" outlineLevel="0" collapsed="false">
      <c r="A208" s="7" t="n">
        <v>44059</v>
      </c>
      <c r="B208" s="8" t="n">
        <v>0.282638888888889</v>
      </c>
      <c r="C208" s="9" t="n">
        <v>128503</v>
      </c>
      <c r="D208" s="9" t="s">
        <v>17</v>
      </c>
      <c r="E208" s="9" t="n">
        <v>25680</v>
      </c>
      <c r="F208" s="9" t="n">
        <v>16120</v>
      </c>
      <c r="G208" s="10" t="n">
        <v>9560</v>
      </c>
      <c r="H208" s="9" t="s">
        <v>11</v>
      </c>
      <c r="I208" s="9" t="s">
        <v>15</v>
      </c>
      <c r="J208" s="0" t="s">
        <v>13</v>
      </c>
    </row>
    <row r="209" customFormat="false" ht="13.8" hidden="true" customHeight="false" outlineLevel="0" collapsed="false">
      <c r="A209" s="7" t="n">
        <v>44059</v>
      </c>
      <c r="B209" s="8" t="n">
        <v>0.447916666666667</v>
      </c>
      <c r="C209" s="9" t="n">
        <v>128510</v>
      </c>
      <c r="D209" s="9" t="s">
        <v>16</v>
      </c>
      <c r="E209" s="9" t="n">
        <v>2600</v>
      </c>
      <c r="F209" s="9" t="n">
        <v>2400</v>
      </c>
      <c r="G209" s="10" t="n">
        <v>200</v>
      </c>
      <c r="H209" s="9" t="s">
        <v>11</v>
      </c>
      <c r="I209" s="9" t="s">
        <v>15</v>
      </c>
      <c r="J209" s="0" t="s">
        <v>13</v>
      </c>
    </row>
    <row r="210" customFormat="false" ht="13.8" hidden="true" customHeight="false" outlineLevel="0" collapsed="false">
      <c r="A210" s="7" t="n">
        <v>44059</v>
      </c>
      <c r="B210" s="8" t="n">
        <v>0.682638888888889</v>
      </c>
      <c r="C210" s="9" t="n">
        <v>128512</v>
      </c>
      <c r="D210" s="9" t="s">
        <v>18</v>
      </c>
      <c r="E210" s="9" t="n">
        <v>15160</v>
      </c>
      <c r="F210" s="9" t="n">
        <v>12840</v>
      </c>
      <c r="G210" s="10" t="n">
        <v>2320</v>
      </c>
      <c r="H210" s="9" t="s">
        <v>11</v>
      </c>
      <c r="I210" s="9" t="s">
        <v>15</v>
      </c>
      <c r="J210" s="0" t="s">
        <v>13</v>
      </c>
    </row>
    <row r="211" customFormat="false" ht="13.8" hidden="true" customHeight="false" outlineLevel="0" collapsed="false">
      <c r="A211" s="7" t="n">
        <v>44059</v>
      </c>
      <c r="B211" s="8" t="n">
        <v>0.0756944444444444</v>
      </c>
      <c r="C211" s="9" t="n">
        <v>128488</v>
      </c>
      <c r="D211" s="9" t="s">
        <v>18</v>
      </c>
      <c r="E211" s="9" t="n">
        <v>23180</v>
      </c>
      <c r="F211" s="9" t="n">
        <v>12860</v>
      </c>
      <c r="G211" s="10" t="n">
        <v>10320</v>
      </c>
      <c r="H211" s="9" t="s">
        <v>11</v>
      </c>
      <c r="I211" s="9" t="s">
        <v>15</v>
      </c>
      <c r="J211" s="0" t="s">
        <v>13</v>
      </c>
    </row>
    <row r="212" s="15" customFormat="true" ht="13.8" hidden="true" customHeight="false" outlineLevel="0" collapsed="false">
      <c r="A212" s="12" t="n">
        <v>44059</v>
      </c>
      <c r="B212" s="13" t="n">
        <v>0.197916666666667</v>
      </c>
      <c r="C212" s="14" t="n">
        <v>128496</v>
      </c>
      <c r="D212" s="14" t="s">
        <v>18</v>
      </c>
      <c r="E212" s="14" t="n">
        <v>19080</v>
      </c>
      <c r="F212" s="14" t="n">
        <v>12840</v>
      </c>
      <c r="G212" s="14" t="n">
        <v>6240</v>
      </c>
      <c r="H212" s="14" t="s">
        <v>11</v>
      </c>
      <c r="I212" s="14" t="s">
        <v>15</v>
      </c>
      <c r="J212" s="15" t="s">
        <v>13</v>
      </c>
    </row>
    <row r="213" customFormat="false" ht="13.8" hidden="true" customHeight="false" outlineLevel="0" collapsed="false">
      <c r="A213" s="7" t="n">
        <v>44060</v>
      </c>
      <c r="B213" s="8" t="n">
        <v>0.254166666666667</v>
      </c>
      <c r="C213" s="9" t="n">
        <v>128532</v>
      </c>
      <c r="D213" s="9" t="s">
        <v>18</v>
      </c>
      <c r="E213" s="9" t="n">
        <v>18900</v>
      </c>
      <c r="F213" s="9" t="n">
        <v>12940</v>
      </c>
      <c r="G213" s="10" t="n">
        <v>5960</v>
      </c>
      <c r="H213" s="9" t="s">
        <v>11</v>
      </c>
      <c r="I213" s="9" t="s">
        <v>15</v>
      </c>
      <c r="J213" s="0" t="s">
        <v>13</v>
      </c>
    </row>
    <row r="214" customFormat="false" ht="13.8" hidden="true" customHeight="false" outlineLevel="0" collapsed="false">
      <c r="A214" s="7" t="n">
        <v>44060</v>
      </c>
      <c r="B214" s="8" t="n">
        <v>0.256944444444444</v>
      </c>
      <c r="C214" s="9" t="n">
        <v>128534</v>
      </c>
      <c r="D214" s="9" t="s">
        <v>19</v>
      </c>
      <c r="E214" s="9" t="n">
        <v>4800</v>
      </c>
      <c r="F214" s="9" t="n">
        <v>3580</v>
      </c>
      <c r="G214" s="10" t="n">
        <v>1220</v>
      </c>
      <c r="H214" s="9" t="s">
        <v>11</v>
      </c>
      <c r="I214" s="9" t="s">
        <v>15</v>
      </c>
      <c r="J214" s="0" t="s">
        <v>13</v>
      </c>
    </row>
    <row r="215" customFormat="false" ht="13.8" hidden="true" customHeight="false" outlineLevel="0" collapsed="false">
      <c r="A215" s="7" t="n">
        <v>44060</v>
      </c>
      <c r="B215" s="8" t="n">
        <v>0.161805555555556</v>
      </c>
      <c r="C215" s="9" t="n">
        <v>128523</v>
      </c>
      <c r="D215" s="9" t="s">
        <v>14</v>
      </c>
      <c r="E215" s="9" t="n">
        <v>25660</v>
      </c>
      <c r="F215" s="9" t="n">
        <v>15880</v>
      </c>
      <c r="G215" s="10" t="n">
        <v>9780</v>
      </c>
      <c r="H215" s="9" t="s">
        <v>11</v>
      </c>
      <c r="I215" s="9" t="s">
        <v>15</v>
      </c>
      <c r="J215" s="0" t="s">
        <v>13</v>
      </c>
    </row>
    <row r="216" customFormat="false" ht="13.8" hidden="true" customHeight="false" outlineLevel="0" collapsed="false">
      <c r="A216" s="7" t="n">
        <v>44060</v>
      </c>
      <c r="B216" s="8" t="n">
        <v>0.288888888888889</v>
      </c>
      <c r="C216" s="9" t="n">
        <v>128536</v>
      </c>
      <c r="D216" s="9" t="s">
        <v>14</v>
      </c>
      <c r="E216" s="9" t="n">
        <v>25100</v>
      </c>
      <c r="F216" s="9" t="n">
        <v>15860</v>
      </c>
      <c r="G216" s="10" t="n">
        <v>9240</v>
      </c>
      <c r="H216" s="9" t="s">
        <v>11</v>
      </c>
      <c r="I216" s="9" t="s">
        <v>15</v>
      </c>
      <c r="J216" s="0" t="s">
        <v>13</v>
      </c>
    </row>
    <row r="217" customFormat="false" ht="13.8" hidden="true" customHeight="false" outlineLevel="0" collapsed="false">
      <c r="A217" s="7" t="n">
        <v>44060</v>
      </c>
      <c r="B217" s="8" t="n">
        <v>0.499305555555555</v>
      </c>
      <c r="C217" s="9" t="n">
        <v>689</v>
      </c>
      <c r="D217" s="9" t="s">
        <v>17</v>
      </c>
      <c r="E217" s="9" t="n">
        <v>18940</v>
      </c>
      <c r="F217" s="9" t="n">
        <v>16100</v>
      </c>
      <c r="G217" s="10" t="n">
        <v>2840</v>
      </c>
      <c r="H217" s="9" t="s">
        <v>11</v>
      </c>
      <c r="I217" s="9" t="s">
        <v>22</v>
      </c>
      <c r="J217" s="0" t="s">
        <v>13</v>
      </c>
    </row>
    <row r="218" customFormat="false" ht="13.8" hidden="true" customHeight="false" outlineLevel="0" collapsed="false">
      <c r="A218" s="7" t="n">
        <v>44060</v>
      </c>
      <c r="B218" s="8" t="n">
        <v>0.452083333333333</v>
      </c>
      <c r="C218" s="9" t="n">
        <v>128554</v>
      </c>
      <c r="D218" s="9" t="s">
        <v>16</v>
      </c>
      <c r="E218" s="9" t="n">
        <v>2740</v>
      </c>
      <c r="F218" s="9" t="n">
        <v>2500</v>
      </c>
      <c r="G218" s="10" t="n">
        <v>240</v>
      </c>
      <c r="H218" s="9" t="s">
        <v>11</v>
      </c>
      <c r="I218" s="9" t="s">
        <v>15</v>
      </c>
      <c r="J218" s="0" t="s">
        <v>13</v>
      </c>
    </row>
    <row r="219" customFormat="false" ht="13.8" hidden="true" customHeight="false" outlineLevel="0" collapsed="false">
      <c r="A219" s="7" t="n">
        <v>44060</v>
      </c>
      <c r="B219" s="8" t="n">
        <v>0.0833333333333333</v>
      </c>
      <c r="C219" s="9" t="n">
        <v>128517</v>
      </c>
      <c r="D219" s="9" t="s">
        <v>18</v>
      </c>
      <c r="E219" s="9" t="n">
        <v>23080</v>
      </c>
      <c r="F219" s="9" t="n">
        <v>12860</v>
      </c>
      <c r="G219" s="10" t="n">
        <v>10220</v>
      </c>
      <c r="H219" s="9" t="s">
        <v>11</v>
      </c>
      <c r="I219" s="9" t="s">
        <v>15</v>
      </c>
      <c r="J219" s="0" t="s">
        <v>13</v>
      </c>
    </row>
    <row r="220" customFormat="false" ht="13.8" hidden="true" customHeight="false" outlineLevel="0" collapsed="false">
      <c r="A220" s="7" t="n">
        <v>44060</v>
      </c>
      <c r="B220" s="8" t="n">
        <v>0.863888888888889</v>
      </c>
      <c r="C220" s="9" t="n">
        <v>128590</v>
      </c>
      <c r="D220" s="9" t="s">
        <v>16</v>
      </c>
      <c r="E220" s="9" t="n">
        <v>2620</v>
      </c>
      <c r="F220" s="9" t="n">
        <v>2400</v>
      </c>
      <c r="G220" s="10" t="n">
        <v>220</v>
      </c>
      <c r="H220" s="9" t="s">
        <v>11</v>
      </c>
      <c r="I220" s="9" t="s">
        <v>15</v>
      </c>
      <c r="J220" s="0" t="s">
        <v>13</v>
      </c>
    </row>
    <row r="221" customFormat="false" ht="13.8" hidden="true" customHeight="false" outlineLevel="0" collapsed="false">
      <c r="A221" s="7" t="n">
        <v>44060</v>
      </c>
      <c r="B221" s="8" t="n">
        <v>0.511111111111111</v>
      </c>
      <c r="C221" s="9" t="n">
        <v>128567</v>
      </c>
      <c r="D221" s="9" t="s">
        <v>10</v>
      </c>
      <c r="E221" s="9" t="n">
        <v>3440</v>
      </c>
      <c r="F221" s="9" t="n">
        <v>2960</v>
      </c>
      <c r="G221" s="10" t="n">
        <v>480</v>
      </c>
      <c r="H221" s="9" t="s">
        <v>11</v>
      </c>
      <c r="I221" s="9" t="s">
        <v>12</v>
      </c>
      <c r="J221" s="0" t="s">
        <v>13</v>
      </c>
    </row>
    <row r="222" customFormat="false" ht="13.8" hidden="true" customHeight="false" outlineLevel="0" collapsed="false">
      <c r="A222" s="7" t="n">
        <v>44060</v>
      </c>
      <c r="B222" s="8" t="n">
        <v>0.456944444444444</v>
      </c>
      <c r="C222" s="9" t="n">
        <v>128557</v>
      </c>
      <c r="D222" s="9" t="s">
        <v>10</v>
      </c>
      <c r="E222" s="9" t="n">
        <v>3320</v>
      </c>
      <c r="F222" s="9" t="n">
        <v>2880</v>
      </c>
      <c r="G222" s="10" t="n">
        <v>440</v>
      </c>
      <c r="H222" s="9" t="s">
        <v>11</v>
      </c>
      <c r="I222" s="9" t="s">
        <v>12</v>
      </c>
      <c r="J222" s="0" t="s">
        <v>13</v>
      </c>
    </row>
    <row r="223" customFormat="false" ht="13.8" hidden="true" customHeight="false" outlineLevel="0" collapsed="false">
      <c r="A223" s="7" t="n">
        <v>44060</v>
      </c>
      <c r="B223" s="8" t="n">
        <v>0.353472222222222</v>
      </c>
      <c r="C223" s="9" t="n">
        <v>128546</v>
      </c>
      <c r="D223" s="9" t="s">
        <v>10</v>
      </c>
      <c r="E223" s="9" t="n">
        <v>3320</v>
      </c>
      <c r="F223" s="9" t="n">
        <v>2880</v>
      </c>
      <c r="G223" s="10" t="n">
        <v>440</v>
      </c>
      <c r="H223" s="9" t="s">
        <v>11</v>
      </c>
      <c r="I223" s="9" t="s">
        <v>12</v>
      </c>
      <c r="J223" s="0" t="s">
        <v>13</v>
      </c>
    </row>
    <row r="224" customFormat="false" ht="13.8" hidden="true" customHeight="false" outlineLevel="0" collapsed="false">
      <c r="A224" s="7" t="n">
        <v>44060</v>
      </c>
      <c r="B224" s="8" t="n">
        <v>0.681944444444445</v>
      </c>
      <c r="C224" s="9" t="n">
        <v>128583</v>
      </c>
      <c r="D224" s="9" t="s">
        <v>18</v>
      </c>
      <c r="E224" s="9" t="n">
        <v>14560</v>
      </c>
      <c r="F224" s="9" t="n">
        <v>12800</v>
      </c>
      <c r="G224" s="10" t="n">
        <v>1760</v>
      </c>
      <c r="H224" s="9" t="s">
        <v>11</v>
      </c>
      <c r="I224" s="9" t="s">
        <v>15</v>
      </c>
      <c r="J224" s="0" t="s">
        <v>13</v>
      </c>
    </row>
    <row r="225" s="15" customFormat="true" ht="13.8" hidden="true" customHeight="false" outlineLevel="0" collapsed="false">
      <c r="A225" s="12" t="n">
        <v>44060</v>
      </c>
      <c r="B225" s="13" t="n">
        <v>0.872222222222222</v>
      </c>
      <c r="C225" s="14" t="n">
        <v>128591</v>
      </c>
      <c r="D225" s="14" t="s">
        <v>17</v>
      </c>
      <c r="E225" s="14" t="n">
        <v>25320</v>
      </c>
      <c r="F225" s="14" t="n">
        <v>16260</v>
      </c>
      <c r="G225" s="14" t="n">
        <v>9060</v>
      </c>
      <c r="H225" s="14" t="s">
        <v>11</v>
      </c>
      <c r="I225" s="14" t="s">
        <v>15</v>
      </c>
      <c r="J225" s="15" t="s">
        <v>13</v>
      </c>
    </row>
    <row r="226" customFormat="false" ht="13.8" hidden="true" customHeight="false" outlineLevel="0" collapsed="false">
      <c r="A226" s="7" t="n">
        <v>44061</v>
      </c>
      <c r="B226" s="8" t="n">
        <v>0.0847222222222222</v>
      </c>
      <c r="C226" s="9" t="n">
        <v>128593</v>
      </c>
      <c r="D226" s="9" t="s">
        <v>17</v>
      </c>
      <c r="E226" s="9" t="n">
        <v>21680</v>
      </c>
      <c r="F226" s="9" t="n">
        <v>16240</v>
      </c>
      <c r="G226" s="10" t="n">
        <v>5440</v>
      </c>
      <c r="H226" s="9" t="s">
        <v>11</v>
      </c>
      <c r="I226" s="9" t="s">
        <v>15</v>
      </c>
      <c r="J226" s="0" t="s">
        <v>13</v>
      </c>
    </row>
    <row r="227" customFormat="false" ht="13.8" hidden="true" customHeight="false" outlineLevel="0" collapsed="false">
      <c r="A227" s="7" t="n">
        <v>44061</v>
      </c>
      <c r="B227" s="8" t="n">
        <v>0.252777777777778</v>
      </c>
      <c r="C227" s="9" t="n">
        <v>128608</v>
      </c>
      <c r="D227" s="9" t="s">
        <v>19</v>
      </c>
      <c r="E227" s="9" t="n">
        <v>4700</v>
      </c>
      <c r="F227" s="9" t="n">
        <v>3580</v>
      </c>
      <c r="G227" s="10" t="n">
        <v>1120</v>
      </c>
      <c r="H227" s="9" t="s">
        <v>11</v>
      </c>
      <c r="I227" s="9" t="s">
        <v>15</v>
      </c>
      <c r="J227" s="0" t="s">
        <v>13</v>
      </c>
    </row>
    <row r="228" customFormat="false" ht="13.8" hidden="true" customHeight="false" outlineLevel="0" collapsed="false">
      <c r="A228" s="7" t="n">
        <v>44061</v>
      </c>
      <c r="B228" s="8" t="n">
        <v>0.0881944444444444</v>
      </c>
      <c r="C228" s="9" t="n">
        <v>128594</v>
      </c>
      <c r="D228" s="9" t="s">
        <v>18</v>
      </c>
      <c r="E228" s="9" t="n">
        <v>22200</v>
      </c>
      <c r="F228" s="9" t="n">
        <v>12820</v>
      </c>
      <c r="G228" s="10" t="n">
        <v>9380</v>
      </c>
      <c r="H228" s="9" t="s">
        <v>11</v>
      </c>
      <c r="I228" s="9" t="s">
        <v>15</v>
      </c>
      <c r="J228" s="0" t="s">
        <v>13</v>
      </c>
    </row>
    <row r="229" customFormat="false" ht="13.8" hidden="true" customHeight="false" outlineLevel="0" collapsed="false">
      <c r="A229" s="7" t="n">
        <v>44061</v>
      </c>
      <c r="B229" s="8" t="n">
        <v>0.250694444444444</v>
      </c>
      <c r="C229" s="9" t="n">
        <v>128607</v>
      </c>
      <c r="D229" s="9" t="s">
        <v>18</v>
      </c>
      <c r="E229" s="9" t="n">
        <v>18040</v>
      </c>
      <c r="F229" s="9" t="n">
        <v>12880</v>
      </c>
      <c r="G229" s="10" t="n">
        <v>5160</v>
      </c>
      <c r="H229" s="9" t="s">
        <v>11</v>
      </c>
      <c r="I229" s="9" t="s">
        <v>15</v>
      </c>
      <c r="J229" s="0" t="s">
        <v>13</v>
      </c>
    </row>
    <row r="230" customFormat="false" ht="13.8" hidden="true" customHeight="false" outlineLevel="0" collapsed="false">
      <c r="A230" s="7" t="n">
        <v>44061</v>
      </c>
      <c r="B230" s="8" t="n">
        <v>0.263194444444444</v>
      </c>
      <c r="C230" s="9" t="n">
        <v>128610</v>
      </c>
      <c r="D230" s="9" t="s">
        <v>14</v>
      </c>
      <c r="E230" s="9" t="n">
        <v>27640</v>
      </c>
      <c r="F230" s="9" t="n">
        <v>15840</v>
      </c>
      <c r="G230" s="10" t="n">
        <v>11800</v>
      </c>
      <c r="H230" s="9" t="s">
        <v>11</v>
      </c>
      <c r="I230" s="9" t="s">
        <v>15</v>
      </c>
      <c r="J230" s="0" t="s">
        <v>13</v>
      </c>
    </row>
    <row r="231" customFormat="false" ht="13.8" hidden="true" customHeight="false" outlineLevel="0" collapsed="false">
      <c r="A231" s="7" t="n">
        <v>44061</v>
      </c>
      <c r="B231" s="8" t="n">
        <v>0.502777777777778</v>
      </c>
      <c r="C231" s="9" t="n">
        <v>128648</v>
      </c>
      <c r="D231" s="9" t="s">
        <v>10</v>
      </c>
      <c r="E231" s="9" t="n">
        <v>3600</v>
      </c>
      <c r="F231" s="9" t="n">
        <v>2920</v>
      </c>
      <c r="G231" s="10" t="n">
        <v>680</v>
      </c>
      <c r="H231" s="9" t="s">
        <v>11</v>
      </c>
      <c r="I231" s="9" t="s">
        <v>12</v>
      </c>
      <c r="J231" s="0" t="s">
        <v>13</v>
      </c>
    </row>
    <row r="232" customFormat="false" ht="13.8" hidden="true" customHeight="false" outlineLevel="0" collapsed="false">
      <c r="A232" s="7" t="n">
        <v>44061</v>
      </c>
      <c r="B232" s="8" t="n">
        <v>0.441666666666667</v>
      </c>
      <c r="C232" s="9" t="n">
        <v>128637</v>
      </c>
      <c r="D232" s="9" t="s">
        <v>10</v>
      </c>
      <c r="E232" s="9" t="n">
        <v>3320</v>
      </c>
      <c r="F232" s="9" t="n">
        <v>2920</v>
      </c>
      <c r="G232" s="10" t="n">
        <v>400</v>
      </c>
      <c r="H232" s="9" t="s">
        <v>11</v>
      </c>
      <c r="I232" s="9" t="s">
        <v>12</v>
      </c>
      <c r="J232" s="0" t="s">
        <v>13</v>
      </c>
    </row>
    <row r="233" customFormat="false" ht="13.8" hidden="true" customHeight="false" outlineLevel="0" collapsed="false">
      <c r="A233" s="7" t="n">
        <v>44061</v>
      </c>
      <c r="B233" s="8" t="n">
        <v>0.325</v>
      </c>
      <c r="C233" s="9" t="n">
        <v>128622</v>
      </c>
      <c r="D233" s="9" t="s">
        <v>10</v>
      </c>
      <c r="E233" s="9" t="n">
        <v>3360</v>
      </c>
      <c r="F233" s="9" t="n">
        <v>2920</v>
      </c>
      <c r="G233" s="10" t="n">
        <v>440</v>
      </c>
      <c r="H233" s="9" t="s">
        <v>11</v>
      </c>
      <c r="I233" s="9" t="s">
        <v>12</v>
      </c>
      <c r="J233" s="0" t="s">
        <v>13</v>
      </c>
    </row>
    <row r="234" customFormat="false" ht="13.8" hidden="true" customHeight="false" outlineLevel="0" collapsed="false">
      <c r="A234" s="7" t="n">
        <v>44061</v>
      </c>
      <c r="B234" s="8" t="n">
        <v>0.449305555555556</v>
      </c>
      <c r="C234" s="9" t="n">
        <v>128640</v>
      </c>
      <c r="D234" s="9" t="s">
        <v>16</v>
      </c>
      <c r="E234" s="9" t="n">
        <v>2740</v>
      </c>
      <c r="F234" s="9" t="n">
        <v>2400</v>
      </c>
      <c r="G234" s="10" t="n">
        <v>340</v>
      </c>
      <c r="H234" s="9" t="s">
        <v>11</v>
      </c>
      <c r="I234" s="9" t="s">
        <v>15</v>
      </c>
      <c r="J234" s="0" t="s">
        <v>13</v>
      </c>
    </row>
    <row r="235" customFormat="false" ht="13.8" hidden="true" customHeight="false" outlineLevel="0" collapsed="false">
      <c r="A235" s="7" t="n">
        <v>44061</v>
      </c>
      <c r="B235" s="8" t="n">
        <v>0.863888888888889</v>
      </c>
      <c r="C235" s="9" t="n">
        <v>128674</v>
      </c>
      <c r="D235" s="9" t="s">
        <v>17</v>
      </c>
      <c r="E235" s="9" t="n">
        <v>24680</v>
      </c>
      <c r="F235" s="9" t="n">
        <v>16240</v>
      </c>
      <c r="G235" s="10" t="n">
        <v>8440</v>
      </c>
      <c r="H235" s="9" t="s">
        <v>11</v>
      </c>
      <c r="I235" s="9" t="s">
        <v>15</v>
      </c>
      <c r="J235" s="0" t="s">
        <v>13</v>
      </c>
    </row>
    <row r="236" customFormat="false" ht="13.8" hidden="true" customHeight="false" outlineLevel="0" collapsed="false">
      <c r="A236" s="7" t="n">
        <v>44061</v>
      </c>
      <c r="B236" s="8" t="n">
        <v>0.865277777777778</v>
      </c>
      <c r="C236" s="9" t="n">
        <v>128675</v>
      </c>
      <c r="D236" s="9" t="s">
        <v>16</v>
      </c>
      <c r="E236" s="9" t="n">
        <v>2600</v>
      </c>
      <c r="F236" s="9" t="n">
        <v>2380</v>
      </c>
      <c r="G236" s="10" t="n">
        <v>220</v>
      </c>
      <c r="H236" s="9" t="s">
        <v>11</v>
      </c>
      <c r="I236" s="9" t="s">
        <v>15</v>
      </c>
      <c r="J236" s="0" t="s">
        <v>13</v>
      </c>
    </row>
    <row r="237" s="15" customFormat="true" ht="13.8" hidden="true" customHeight="false" outlineLevel="0" collapsed="false">
      <c r="A237" s="12" t="n">
        <v>44061</v>
      </c>
      <c r="B237" s="13" t="n">
        <v>0.673611111111111</v>
      </c>
      <c r="C237" s="14" t="n">
        <v>128666</v>
      </c>
      <c r="D237" s="14" t="s">
        <v>18</v>
      </c>
      <c r="E237" s="14" t="n">
        <v>14480</v>
      </c>
      <c r="F237" s="14" t="n">
        <v>12860</v>
      </c>
      <c r="G237" s="14" t="n">
        <v>1620</v>
      </c>
      <c r="H237" s="14" t="s">
        <v>11</v>
      </c>
      <c r="I237" s="14" t="s">
        <v>15</v>
      </c>
      <c r="J237" s="15" t="s">
        <v>13</v>
      </c>
    </row>
    <row r="238" customFormat="false" ht="13.8" hidden="true" customHeight="false" outlineLevel="0" collapsed="false">
      <c r="A238" s="7" t="n">
        <v>44061</v>
      </c>
      <c r="B238" s="8" t="n">
        <v>0.445138888888889</v>
      </c>
      <c r="C238" s="9" t="n">
        <v>105789</v>
      </c>
      <c r="D238" s="9" t="s">
        <v>17</v>
      </c>
      <c r="E238" s="9" t="n">
        <v>19480</v>
      </c>
      <c r="F238" s="9" t="n">
        <v>16180</v>
      </c>
      <c r="G238" s="10" t="n">
        <v>3300</v>
      </c>
      <c r="H238" s="9" t="s">
        <v>11</v>
      </c>
      <c r="I238" s="9" t="s">
        <v>20</v>
      </c>
      <c r="J238" s="0" t="s">
        <v>13</v>
      </c>
    </row>
    <row r="239" customFormat="false" ht="13.8" hidden="true" customHeight="false" outlineLevel="0" collapsed="false">
      <c r="A239" s="7" t="n">
        <v>44062</v>
      </c>
      <c r="B239" s="8" t="n">
        <v>0.172222222222222</v>
      </c>
      <c r="C239" s="9" t="n">
        <v>128690</v>
      </c>
      <c r="D239" s="9" t="s">
        <v>14</v>
      </c>
      <c r="E239" s="9" t="n">
        <v>25400</v>
      </c>
      <c r="F239" s="9" t="n">
        <v>15760</v>
      </c>
      <c r="G239" s="10" t="n">
        <v>9640</v>
      </c>
      <c r="H239" s="9" t="s">
        <v>11</v>
      </c>
      <c r="I239" s="9" t="s">
        <v>15</v>
      </c>
      <c r="J239" s="0" t="s">
        <v>13</v>
      </c>
    </row>
    <row r="240" customFormat="false" ht="13.8" hidden="true" customHeight="false" outlineLevel="0" collapsed="false">
      <c r="A240" s="7" t="n">
        <v>44062</v>
      </c>
      <c r="B240" s="8" t="n">
        <v>0.275</v>
      </c>
      <c r="C240" s="9" t="n">
        <v>128698</v>
      </c>
      <c r="D240" s="9" t="s">
        <v>19</v>
      </c>
      <c r="E240" s="9" t="n">
        <v>4900</v>
      </c>
      <c r="F240" s="9" t="n">
        <v>3700</v>
      </c>
      <c r="G240" s="10" t="n">
        <v>1200</v>
      </c>
      <c r="H240" s="9" t="s">
        <v>11</v>
      </c>
      <c r="I240" s="9" t="s">
        <v>15</v>
      </c>
      <c r="J240" s="0" t="s">
        <v>13</v>
      </c>
    </row>
    <row r="241" customFormat="false" ht="13.8" hidden="true" customHeight="false" outlineLevel="0" collapsed="false">
      <c r="A241" s="7" t="n">
        <v>44062</v>
      </c>
      <c r="B241" s="8" t="n">
        <v>0.28125</v>
      </c>
      <c r="C241" s="9" t="n">
        <v>128700</v>
      </c>
      <c r="D241" s="9" t="s">
        <v>14</v>
      </c>
      <c r="E241" s="9" t="n">
        <v>22660</v>
      </c>
      <c r="F241" s="9" t="n">
        <v>15740</v>
      </c>
      <c r="G241" s="10" t="n">
        <v>6920</v>
      </c>
      <c r="H241" s="9" t="s">
        <v>11</v>
      </c>
      <c r="I241" s="9" t="s">
        <v>15</v>
      </c>
      <c r="J241" s="0" t="s">
        <v>13</v>
      </c>
    </row>
    <row r="242" customFormat="false" ht="13.8" hidden="true" customHeight="false" outlineLevel="0" collapsed="false">
      <c r="A242" s="7" t="n">
        <v>44062</v>
      </c>
      <c r="B242" s="8" t="n">
        <v>0.204166666666667</v>
      </c>
      <c r="C242" s="9" t="n">
        <v>128691</v>
      </c>
      <c r="D242" s="9" t="s">
        <v>18</v>
      </c>
      <c r="E242" s="9" t="n">
        <v>18060</v>
      </c>
      <c r="F242" s="9" t="n">
        <v>12860</v>
      </c>
      <c r="G242" s="10" t="n">
        <v>5200</v>
      </c>
      <c r="H242" s="9" t="s">
        <v>11</v>
      </c>
      <c r="I242" s="9" t="s">
        <v>15</v>
      </c>
      <c r="J242" s="0" t="s">
        <v>13</v>
      </c>
    </row>
    <row r="243" customFormat="false" ht="13.8" hidden="true" customHeight="false" outlineLevel="0" collapsed="false">
      <c r="A243" s="7" t="n">
        <v>44062</v>
      </c>
      <c r="B243" s="8" t="n">
        <v>0.0902777777777778</v>
      </c>
      <c r="C243" s="9" t="n">
        <v>128682</v>
      </c>
      <c r="D243" s="9" t="s">
        <v>18</v>
      </c>
      <c r="E243" s="9" t="n">
        <v>23140</v>
      </c>
      <c r="F243" s="9" t="n">
        <v>12860</v>
      </c>
      <c r="G243" s="10" t="n">
        <v>10280</v>
      </c>
      <c r="H243" s="9" t="s">
        <v>11</v>
      </c>
      <c r="I243" s="9" t="s">
        <v>15</v>
      </c>
      <c r="J243" s="0" t="s">
        <v>13</v>
      </c>
    </row>
    <row r="244" customFormat="false" ht="13.8" hidden="true" customHeight="false" outlineLevel="0" collapsed="false">
      <c r="A244" s="7" t="n">
        <v>44062</v>
      </c>
      <c r="B244" s="8" t="n">
        <v>0.870138888888889</v>
      </c>
      <c r="C244" s="9" t="n">
        <v>128751</v>
      </c>
      <c r="D244" s="9" t="s">
        <v>17</v>
      </c>
      <c r="E244" s="9" t="n">
        <v>25160</v>
      </c>
      <c r="F244" s="9" t="n">
        <v>16180</v>
      </c>
      <c r="G244" s="10" t="n">
        <v>8980</v>
      </c>
      <c r="H244" s="9" t="s">
        <v>11</v>
      </c>
      <c r="I244" s="9" t="s">
        <v>15</v>
      </c>
      <c r="J244" s="0" t="s">
        <v>13</v>
      </c>
    </row>
    <row r="245" customFormat="false" ht="13.8" hidden="true" customHeight="false" outlineLevel="0" collapsed="false">
      <c r="A245" s="7" t="n">
        <v>44062</v>
      </c>
      <c r="B245" s="8" t="n">
        <v>0.686111111111111</v>
      </c>
      <c r="C245" s="9" t="n">
        <v>128743</v>
      </c>
      <c r="D245" s="9" t="s">
        <v>18</v>
      </c>
      <c r="E245" s="9" t="n">
        <v>15640</v>
      </c>
      <c r="F245" s="9" t="n">
        <v>12800</v>
      </c>
      <c r="G245" s="10" t="n">
        <v>2840</v>
      </c>
      <c r="H245" s="9" t="s">
        <v>11</v>
      </c>
      <c r="I245" s="9" t="s">
        <v>15</v>
      </c>
      <c r="J245" s="0" t="s">
        <v>13</v>
      </c>
    </row>
    <row r="246" customFormat="false" ht="13.8" hidden="true" customHeight="false" outlineLevel="0" collapsed="false">
      <c r="A246" s="7" t="n">
        <v>44062</v>
      </c>
      <c r="B246" s="8" t="n">
        <v>0.871527777777778</v>
      </c>
      <c r="C246" s="9" t="n">
        <v>128752</v>
      </c>
      <c r="D246" s="9" t="s">
        <v>16</v>
      </c>
      <c r="E246" s="9" t="n">
        <v>2760</v>
      </c>
      <c r="F246" s="9" t="n">
        <v>2420</v>
      </c>
      <c r="G246" s="10" t="n">
        <v>340</v>
      </c>
      <c r="H246" s="9" t="s">
        <v>11</v>
      </c>
      <c r="I246" s="9" t="s">
        <v>15</v>
      </c>
      <c r="J246" s="0" t="s">
        <v>13</v>
      </c>
    </row>
    <row r="247" customFormat="false" ht="13.8" hidden="true" customHeight="false" outlineLevel="0" collapsed="false">
      <c r="A247" s="7" t="n">
        <v>44062</v>
      </c>
      <c r="B247" s="8" t="n">
        <v>0.349305555555556</v>
      </c>
      <c r="C247" s="9" t="n">
        <v>128712</v>
      </c>
      <c r="D247" s="9" t="s">
        <v>10</v>
      </c>
      <c r="E247" s="9" t="n">
        <v>3260</v>
      </c>
      <c r="F247" s="9" t="n">
        <v>2860</v>
      </c>
      <c r="G247" s="10" t="n">
        <v>400</v>
      </c>
      <c r="H247" s="9" t="s">
        <v>11</v>
      </c>
      <c r="I247" s="9" t="s">
        <v>12</v>
      </c>
      <c r="J247" s="0" t="s">
        <v>13</v>
      </c>
    </row>
    <row r="248" customFormat="false" ht="13.8" hidden="true" customHeight="false" outlineLevel="0" collapsed="false">
      <c r="A248" s="7" t="n">
        <v>44062</v>
      </c>
      <c r="B248" s="8" t="n">
        <v>0.498611111111111</v>
      </c>
      <c r="C248" s="9" t="n">
        <v>128725</v>
      </c>
      <c r="D248" s="9" t="s">
        <v>10</v>
      </c>
      <c r="E248" s="9" t="n">
        <v>3440</v>
      </c>
      <c r="F248" s="9" t="n">
        <v>2840</v>
      </c>
      <c r="G248" s="10" t="n">
        <v>600</v>
      </c>
      <c r="H248" s="9" t="s">
        <v>11</v>
      </c>
      <c r="I248" s="9" t="s">
        <v>12</v>
      </c>
      <c r="J248" s="0" t="s">
        <v>13</v>
      </c>
    </row>
    <row r="249" customFormat="false" ht="13.8" hidden="true" customHeight="false" outlineLevel="0" collapsed="false">
      <c r="A249" s="7" t="n">
        <v>44062</v>
      </c>
      <c r="B249" s="8" t="n">
        <v>0.479166666666667</v>
      </c>
      <c r="C249" s="9" t="n">
        <v>128723</v>
      </c>
      <c r="D249" s="9" t="s">
        <v>16</v>
      </c>
      <c r="E249" s="9" t="n">
        <v>2800</v>
      </c>
      <c r="F249" s="9" t="n">
        <v>2500</v>
      </c>
      <c r="G249" s="10" t="n">
        <v>300</v>
      </c>
      <c r="H249" s="9" t="s">
        <v>11</v>
      </c>
      <c r="I249" s="9" t="s">
        <v>15</v>
      </c>
      <c r="J249" s="0" t="s">
        <v>13</v>
      </c>
    </row>
    <row r="250" customFormat="false" ht="13.8" hidden="true" customHeight="false" outlineLevel="0" collapsed="false">
      <c r="A250" s="7" t="n">
        <v>44063</v>
      </c>
      <c r="B250" s="8" t="n">
        <v>0.266666666666667</v>
      </c>
      <c r="C250" s="9" t="n">
        <v>128773</v>
      </c>
      <c r="D250" s="9" t="s">
        <v>18</v>
      </c>
      <c r="E250" s="9" t="n">
        <v>18340</v>
      </c>
      <c r="F250" s="9" t="n">
        <v>12760</v>
      </c>
      <c r="G250" s="10" t="n">
        <v>5580</v>
      </c>
      <c r="H250" s="9" t="s">
        <v>11</v>
      </c>
      <c r="I250" s="9" t="s">
        <v>15</v>
      </c>
      <c r="J250" s="0" t="s">
        <v>13</v>
      </c>
    </row>
    <row r="251" customFormat="false" ht="13.8" hidden="true" customHeight="false" outlineLevel="0" collapsed="false">
      <c r="A251" s="7" t="n">
        <v>44063</v>
      </c>
      <c r="B251" s="8" t="n">
        <v>0.269444444444444</v>
      </c>
      <c r="C251" s="9" t="n">
        <v>128775</v>
      </c>
      <c r="D251" s="9" t="s">
        <v>14</v>
      </c>
      <c r="E251" s="9" t="n">
        <v>23500</v>
      </c>
      <c r="F251" s="9" t="n">
        <v>15900</v>
      </c>
      <c r="G251" s="10" t="n">
        <v>7600</v>
      </c>
      <c r="H251" s="9" t="s">
        <v>11</v>
      </c>
      <c r="I251" s="9" t="s">
        <v>15</v>
      </c>
      <c r="J251" s="0" t="s">
        <v>13</v>
      </c>
    </row>
    <row r="252" customFormat="false" ht="13.8" hidden="true" customHeight="false" outlineLevel="0" collapsed="false">
      <c r="A252" s="7" t="n">
        <v>44063</v>
      </c>
      <c r="B252" s="8" t="n">
        <v>0.167361111111111</v>
      </c>
      <c r="C252" s="9" t="n">
        <v>128765</v>
      </c>
      <c r="D252" s="9" t="s">
        <v>14</v>
      </c>
      <c r="E252" s="9" t="n">
        <v>24980</v>
      </c>
      <c r="F252" s="9" t="n">
        <v>15920</v>
      </c>
      <c r="G252" s="10" t="n">
        <v>9060</v>
      </c>
      <c r="H252" s="9" t="s">
        <v>11</v>
      </c>
      <c r="I252" s="9" t="s">
        <v>15</v>
      </c>
      <c r="J252" s="0" t="s">
        <v>13</v>
      </c>
    </row>
    <row r="253" customFormat="false" ht="13.8" hidden="true" customHeight="false" outlineLevel="0" collapsed="false">
      <c r="A253" s="7" t="n">
        <v>44063</v>
      </c>
      <c r="B253" s="8" t="n">
        <v>0.263888888888889</v>
      </c>
      <c r="C253" s="9" t="n">
        <v>128772</v>
      </c>
      <c r="D253" s="9" t="s">
        <v>19</v>
      </c>
      <c r="E253" s="9" t="n">
        <v>4440</v>
      </c>
      <c r="F253" s="9" t="n">
        <v>3640</v>
      </c>
      <c r="G253" s="10" t="n">
        <v>800</v>
      </c>
      <c r="H253" s="9" t="s">
        <v>11</v>
      </c>
      <c r="I253" s="9" t="s">
        <v>15</v>
      </c>
      <c r="J253" s="0" t="s">
        <v>13</v>
      </c>
    </row>
    <row r="254" customFormat="false" ht="13.8" hidden="true" customHeight="false" outlineLevel="0" collapsed="false">
      <c r="A254" s="7" t="n">
        <v>44063</v>
      </c>
      <c r="B254" s="8" t="n">
        <v>0.159722222222222</v>
      </c>
      <c r="C254" s="9" t="n">
        <v>128764</v>
      </c>
      <c r="D254" s="9" t="s">
        <v>19</v>
      </c>
      <c r="E254" s="9" t="n">
        <v>4480</v>
      </c>
      <c r="F254" s="9" t="n">
        <v>3560</v>
      </c>
      <c r="G254" s="10" t="n">
        <v>920</v>
      </c>
      <c r="H254" s="9" t="s">
        <v>11</v>
      </c>
      <c r="I254" s="9" t="s">
        <v>15</v>
      </c>
      <c r="J254" s="0" t="s">
        <v>13</v>
      </c>
    </row>
    <row r="255" customFormat="false" ht="13.8" hidden="true" customHeight="false" outlineLevel="0" collapsed="false">
      <c r="A255" s="7" t="n">
        <v>44063</v>
      </c>
      <c r="B255" s="8" t="n">
        <v>0.115972222222222</v>
      </c>
      <c r="C255" s="9" t="n">
        <v>128760</v>
      </c>
      <c r="D255" s="9" t="s">
        <v>18</v>
      </c>
      <c r="E255" s="9" t="n">
        <v>22560</v>
      </c>
      <c r="F255" s="9" t="n">
        <v>12800</v>
      </c>
      <c r="G255" s="10" t="n">
        <v>9760</v>
      </c>
      <c r="H255" s="9" t="s">
        <v>11</v>
      </c>
      <c r="I255" s="9" t="s">
        <v>15</v>
      </c>
      <c r="J255" s="0" t="s">
        <v>13</v>
      </c>
    </row>
    <row r="256" customFormat="false" ht="13.8" hidden="true" customHeight="false" outlineLevel="0" collapsed="false">
      <c r="A256" s="7" t="n">
        <v>44063</v>
      </c>
      <c r="B256" s="8" t="n">
        <v>0.448611111111111</v>
      </c>
      <c r="C256" s="9" t="n">
        <v>105853</v>
      </c>
      <c r="D256" s="9" t="s">
        <v>17</v>
      </c>
      <c r="E256" s="9" t="n">
        <v>17800</v>
      </c>
      <c r="F256" s="9" t="n">
        <v>16120</v>
      </c>
      <c r="G256" s="9" t="n">
        <v>1680</v>
      </c>
      <c r="H256" s="9" t="s">
        <v>11</v>
      </c>
      <c r="I256" s="9" t="s">
        <v>20</v>
      </c>
      <c r="J256" s="0" t="s">
        <v>13</v>
      </c>
    </row>
    <row r="257" customFormat="false" ht="13.8" hidden="true" customHeight="false" outlineLevel="0" collapsed="false">
      <c r="A257" s="7" t="n">
        <v>44063</v>
      </c>
      <c r="B257" s="8" t="n">
        <v>0.446527777777778</v>
      </c>
      <c r="C257" s="9" t="n">
        <v>128796</v>
      </c>
      <c r="D257" s="9" t="s">
        <v>16</v>
      </c>
      <c r="E257" s="9" t="n">
        <v>2740</v>
      </c>
      <c r="F257" s="9" t="n">
        <v>2500</v>
      </c>
      <c r="G257" s="9" t="n">
        <v>240</v>
      </c>
      <c r="H257" s="9" t="s">
        <v>11</v>
      </c>
      <c r="I257" s="9" t="s">
        <v>15</v>
      </c>
      <c r="J257" s="0" t="s">
        <v>13</v>
      </c>
    </row>
    <row r="258" customFormat="false" ht="13.8" hidden="true" customHeight="false" outlineLevel="0" collapsed="false">
      <c r="A258" s="7" t="n">
        <v>44063</v>
      </c>
      <c r="B258" s="8" t="n">
        <v>0.541666666666667</v>
      </c>
      <c r="C258" s="9" t="n">
        <v>128812</v>
      </c>
      <c r="D258" s="9" t="s">
        <v>24</v>
      </c>
      <c r="E258" s="9" t="n">
        <v>2980</v>
      </c>
      <c r="F258" s="9" t="n">
        <v>2780</v>
      </c>
      <c r="G258" s="9" t="n">
        <v>200</v>
      </c>
      <c r="H258" s="9" t="s">
        <v>11</v>
      </c>
      <c r="I258" s="9" t="s">
        <v>25</v>
      </c>
      <c r="J258" s="0" t="s">
        <v>13</v>
      </c>
    </row>
    <row r="259" customFormat="false" ht="13.8" hidden="true" customHeight="false" outlineLevel="0" collapsed="false">
      <c r="A259" s="7" t="n">
        <v>44063</v>
      </c>
      <c r="B259" s="8" t="n">
        <v>0.670138888888889</v>
      </c>
      <c r="C259" s="9" t="n">
        <v>128821</v>
      </c>
      <c r="D259" s="9" t="s">
        <v>18</v>
      </c>
      <c r="E259" s="9" t="n">
        <v>14420</v>
      </c>
      <c r="F259" s="9" t="n">
        <v>12840</v>
      </c>
      <c r="G259" s="9" t="n">
        <v>1580</v>
      </c>
      <c r="H259" s="9" t="s">
        <v>11</v>
      </c>
      <c r="I259" s="9" t="s">
        <v>15</v>
      </c>
      <c r="J259" s="0" t="s">
        <v>13</v>
      </c>
    </row>
    <row r="260" customFormat="false" ht="13.8" hidden="true" customHeight="false" outlineLevel="0" collapsed="false">
      <c r="A260" s="7" t="n">
        <v>44063</v>
      </c>
      <c r="B260" s="8" t="n">
        <v>0.864583333333333</v>
      </c>
      <c r="C260" s="9" t="n">
        <v>128831</v>
      </c>
      <c r="D260" s="9" t="s">
        <v>17</v>
      </c>
      <c r="E260" s="9" t="n">
        <v>25320</v>
      </c>
      <c r="F260" s="9" t="n">
        <v>16220</v>
      </c>
      <c r="G260" s="9" t="n">
        <v>9100</v>
      </c>
      <c r="H260" s="9" t="s">
        <v>11</v>
      </c>
      <c r="I260" s="9" t="s">
        <v>15</v>
      </c>
      <c r="J260" s="0" t="s">
        <v>13</v>
      </c>
    </row>
    <row r="261" s="15" customFormat="true" ht="13.8" hidden="true" customHeight="false" outlineLevel="0" collapsed="false">
      <c r="A261" s="12" t="n">
        <v>44063</v>
      </c>
      <c r="B261" s="13" t="n">
        <v>0.872916666666667</v>
      </c>
      <c r="C261" s="14" t="n">
        <v>128832</v>
      </c>
      <c r="D261" s="14" t="s">
        <v>16</v>
      </c>
      <c r="E261" s="14" t="n">
        <v>2620</v>
      </c>
      <c r="F261" s="14" t="n">
        <v>2380</v>
      </c>
      <c r="G261" s="14" t="n">
        <v>240</v>
      </c>
      <c r="H261" s="14" t="s">
        <v>11</v>
      </c>
      <c r="I261" s="14" t="s">
        <v>15</v>
      </c>
      <c r="J261" s="15" t="s">
        <v>13</v>
      </c>
    </row>
    <row r="262" customFormat="false" ht="13.8" hidden="true" customHeight="false" outlineLevel="0" collapsed="false">
      <c r="A262" s="7" t="n">
        <v>44064</v>
      </c>
      <c r="B262" s="8" t="n">
        <v>0.257638888888889</v>
      </c>
      <c r="C262" s="9" t="n">
        <v>128847</v>
      </c>
      <c r="D262" s="9" t="s">
        <v>19</v>
      </c>
      <c r="E262" s="9" t="n">
        <v>4540</v>
      </c>
      <c r="F262" s="9" t="n">
        <v>3660</v>
      </c>
      <c r="G262" s="9" t="n">
        <v>880</v>
      </c>
      <c r="H262" s="9" t="s">
        <v>11</v>
      </c>
      <c r="I262" s="9" t="s">
        <v>15</v>
      </c>
      <c r="J262" s="0" t="s">
        <v>13</v>
      </c>
    </row>
    <row r="263" customFormat="false" ht="13.8" hidden="true" customHeight="false" outlineLevel="0" collapsed="false">
      <c r="A263" s="7" t="n">
        <v>44064</v>
      </c>
      <c r="B263" s="8" t="n">
        <v>0.261111111111111</v>
      </c>
      <c r="C263" s="9" t="n">
        <v>128849</v>
      </c>
      <c r="D263" s="9" t="s">
        <v>18</v>
      </c>
      <c r="E263" s="9" t="n">
        <v>19200</v>
      </c>
      <c r="F263" s="9" t="n">
        <v>12840</v>
      </c>
      <c r="G263" s="9" t="n">
        <v>6360</v>
      </c>
      <c r="H263" s="9" t="s">
        <v>11</v>
      </c>
      <c r="I263" s="9" t="s">
        <v>15</v>
      </c>
      <c r="J263" s="0" t="s">
        <v>13</v>
      </c>
    </row>
    <row r="264" customFormat="false" ht="13.8" hidden="true" customHeight="false" outlineLevel="0" collapsed="false">
      <c r="A264" s="7" t="n">
        <v>44064</v>
      </c>
      <c r="B264" s="8" t="n">
        <v>0.0861111111111111</v>
      </c>
      <c r="C264" s="9" t="n">
        <v>128836</v>
      </c>
      <c r="D264" s="9" t="s">
        <v>18</v>
      </c>
      <c r="E264" s="9" t="n">
        <v>22780</v>
      </c>
      <c r="F264" s="9" t="n">
        <v>12840</v>
      </c>
      <c r="G264" s="9" t="n">
        <v>9940</v>
      </c>
      <c r="H264" s="9" t="s">
        <v>11</v>
      </c>
      <c r="I264" s="9" t="s">
        <v>15</v>
      </c>
      <c r="J264" s="0" t="s">
        <v>13</v>
      </c>
    </row>
    <row r="265" customFormat="false" ht="13.8" hidden="true" customHeight="false" outlineLevel="0" collapsed="false">
      <c r="A265" s="7" t="n">
        <v>44064</v>
      </c>
      <c r="B265" s="8" t="n">
        <v>0.122222222222222</v>
      </c>
      <c r="C265" s="9" t="n">
        <v>128841</v>
      </c>
      <c r="D265" s="9" t="s">
        <v>19</v>
      </c>
      <c r="E265" s="9" t="n">
        <v>4460</v>
      </c>
      <c r="F265" s="9" t="n">
        <v>3600</v>
      </c>
      <c r="G265" s="9" t="n">
        <v>860</v>
      </c>
      <c r="H265" s="9" t="s">
        <v>11</v>
      </c>
      <c r="I265" s="9" t="s">
        <v>15</v>
      </c>
      <c r="J265" s="0" t="s">
        <v>13</v>
      </c>
    </row>
    <row r="266" customFormat="false" ht="13.8" hidden="true" customHeight="false" outlineLevel="0" collapsed="false">
      <c r="A266" s="7" t="n">
        <v>44064</v>
      </c>
      <c r="B266" s="8" t="n">
        <v>0.15625</v>
      </c>
      <c r="C266" s="9" t="n">
        <v>128843</v>
      </c>
      <c r="D266" s="9" t="s">
        <v>14</v>
      </c>
      <c r="E266" s="9" t="n">
        <v>26040</v>
      </c>
      <c r="F266" s="9" t="n">
        <v>15840</v>
      </c>
      <c r="G266" s="9" t="n">
        <v>10200</v>
      </c>
      <c r="H266" s="9" t="s">
        <v>11</v>
      </c>
      <c r="I266" s="9" t="s">
        <v>15</v>
      </c>
      <c r="J266" s="0" t="s">
        <v>13</v>
      </c>
    </row>
    <row r="267" customFormat="false" ht="13.8" hidden="true" customHeight="false" outlineLevel="0" collapsed="false">
      <c r="A267" s="7" t="n">
        <v>44064</v>
      </c>
      <c r="B267" s="8" t="n">
        <v>0.272222222222222</v>
      </c>
      <c r="C267" s="9" t="n">
        <v>128853</v>
      </c>
      <c r="D267" s="9" t="s">
        <v>14</v>
      </c>
      <c r="E267" s="9" t="n">
        <v>23580</v>
      </c>
      <c r="F267" s="9" t="n">
        <v>15820</v>
      </c>
      <c r="G267" s="9" t="n">
        <v>7760</v>
      </c>
      <c r="H267" s="9" t="s">
        <v>11</v>
      </c>
      <c r="I267" s="9" t="s">
        <v>15</v>
      </c>
      <c r="J267" s="0" t="s">
        <v>13</v>
      </c>
    </row>
    <row r="268" customFormat="false" ht="13.8" hidden="true" customHeight="false" outlineLevel="0" collapsed="false">
      <c r="A268" s="7" t="n">
        <v>44063</v>
      </c>
      <c r="B268" s="8" t="n">
        <v>0.368055555555556</v>
      </c>
      <c r="C268" s="9" t="n">
        <v>128788</v>
      </c>
      <c r="D268" s="9" t="s">
        <v>23</v>
      </c>
      <c r="E268" s="9" t="n">
        <v>6720</v>
      </c>
      <c r="F268" s="9" t="n">
        <v>5620</v>
      </c>
      <c r="G268" s="9" t="n">
        <v>1100</v>
      </c>
      <c r="H268" s="9" t="s">
        <v>11</v>
      </c>
      <c r="I268" s="9" t="s">
        <v>12</v>
      </c>
      <c r="J268" s="0" t="s">
        <v>13</v>
      </c>
    </row>
    <row r="269" customFormat="false" ht="13.8" hidden="true" customHeight="false" outlineLevel="0" collapsed="false">
      <c r="A269" s="7" t="n">
        <v>44064</v>
      </c>
      <c r="B269" s="8" t="n">
        <v>0.370833333333333</v>
      </c>
      <c r="C269" s="9" t="n">
        <v>128868</v>
      </c>
      <c r="D269" s="9" t="s">
        <v>16</v>
      </c>
      <c r="E269" s="9" t="n">
        <v>2800</v>
      </c>
      <c r="F269" s="9" t="n">
        <v>2380</v>
      </c>
      <c r="G269" s="9" t="n">
        <v>420</v>
      </c>
      <c r="H269" s="9" t="s">
        <v>11</v>
      </c>
      <c r="I269" s="9" t="s">
        <v>15</v>
      </c>
      <c r="J269" s="0" t="s">
        <v>13</v>
      </c>
    </row>
    <row r="270" customFormat="false" ht="13.8" hidden="true" customHeight="false" outlineLevel="0" collapsed="false">
      <c r="A270" s="7" t="n">
        <v>44064</v>
      </c>
      <c r="B270" s="8" t="n">
        <v>0.477083333333333</v>
      </c>
      <c r="C270" s="9" t="n">
        <v>128885</v>
      </c>
      <c r="D270" s="9" t="s">
        <v>16</v>
      </c>
      <c r="E270" s="9" t="n">
        <v>2580</v>
      </c>
      <c r="F270" s="9" t="n">
        <v>2380</v>
      </c>
      <c r="G270" s="9" t="n">
        <v>200</v>
      </c>
      <c r="H270" s="9" t="s">
        <v>11</v>
      </c>
      <c r="I270" s="9" t="s">
        <v>15</v>
      </c>
      <c r="J270" s="0" t="s">
        <v>13</v>
      </c>
    </row>
    <row r="271" customFormat="false" ht="13.8" hidden="true" customHeight="false" outlineLevel="0" collapsed="false">
      <c r="A271" s="7" t="n">
        <v>44064</v>
      </c>
      <c r="B271" s="8" t="n">
        <v>0.873611111111111</v>
      </c>
      <c r="C271" s="9" t="n">
        <v>128921</v>
      </c>
      <c r="D271" s="9" t="s">
        <v>16</v>
      </c>
      <c r="E271" s="9" t="n">
        <v>2620</v>
      </c>
      <c r="F271" s="9" t="n">
        <v>2400</v>
      </c>
      <c r="G271" s="9" t="n">
        <v>220</v>
      </c>
      <c r="H271" s="9" t="s">
        <v>11</v>
      </c>
      <c r="I271" s="9" t="s">
        <v>15</v>
      </c>
      <c r="J271" s="0" t="s">
        <v>13</v>
      </c>
    </row>
    <row r="272" customFormat="false" ht="13.8" hidden="true" customHeight="false" outlineLevel="0" collapsed="false">
      <c r="A272" s="7" t="n">
        <v>44064</v>
      </c>
      <c r="B272" s="8" t="n">
        <v>0.85625</v>
      </c>
      <c r="C272" s="9" t="n">
        <v>128920</v>
      </c>
      <c r="D272" s="9" t="s">
        <v>17</v>
      </c>
      <c r="E272" s="9" t="n">
        <v>25160</v>
      </c>
      <c r="F272" s="9" t="n">
        <v>16240</v>
      </c>
      <c r="G272" s="9" t="n">
        <v>8920</v>
      </c>
      <c r="H272" s="9" t="s">
        <v>11</v>
      </c>
      <c r="I272" s="9" t="s">
        <v>15</v>
      </c>
      <c r="J272" s="0" t="s">
        <v>13</v>
      </c>
    </row>
    <row r="273" customFormat="false" ht="13.8" hidden="true" customHeight="false" outlineLevel="0" collapsed="false">
      <c r="A273" s="7" t="n">
        <v>44064</v>
      </c>
      <c r="B273" s="8" t="n">
        <v>0.673611111111111</v>
      </c>
      <c r="C273" s="9" t="n">
        <v>128909</v>
      </c>
      <c r="D273" s="9" t="s">
        <v>18</v>
      </c>
      <c r="E273" s="9" t="n">
        <v>14500</v>
      </c>
      <c r="F273" s="9" t="n">
        <v>12800</v>
      </c>
      <c r="G273" s="9" t="n">
        <v>1700</v>
      </c>
      <c r="H273" s="9" t="s">
        <v>11</v>
      </c>
      <c r="I273" s="9" t="s">
        <v>15</v>
      </c>
      <c r="J273" s="0" t="s">
        <v>13</v>
      </c>
    </row>
    <row r="274" customFormat="false" ht="13.8" hidden="true" customHeight="false" outlineLevel="0" collapsed="false">
      <c r="A274" s="7" t="n">
        <v>44064</v>
      </c>
      <c r="B274" s="8" t="n">
        <v>0.357638888888889</v>
      </c>
      <c r="C274" s="9" t="n">
        <v>128865</v>
      </c>
      <c r="D274" s="9" t="s">
        <v>23</v>
      </c>
      <c r="E274" s="9" t="n">
        <v>6700</v>
      </c>
      <c r="F274" s="9" t="n">
        <v>5600</v>
      </c>
      <c r="G274" s="9" t="n">
        <v>1100</v>
      </c>
      <c r="H274" s="9" t="s">
        <v>11</v>
      </c>
      <c r="I274" s="9" t="s">
        <v>12</v>
      </c>
      <c r="J274" s="0" t="s">
        <v>13</v>
      </c>
    </row>
    <row r="275" customFormat="false" ht="13.8" hidden="true" customHeight="false" outlineLevel="0" collapsed="false">
      <c r="A275" s="7" t="n">
        <v>44064</v>
      </c>
      <c r="B275" s="8" t="n">
        <v>0.484027777777778</v>
      </c>
      <c r="C275" s="9" t="n">
        <v>128887</v>
      </c>
      <c r="D275" s="9" t="s">
        <v>23</v>
      </c>
      <c r="E275" s="9" t="n">
        <v>6980</v>
      </c>
      <c r="F275" s="9" t="n">
        <v>5600</v>
      </c>
      <c r="G275" s="9" t="n">
        <v>1380</v>
      </c>
      <c r="H275" s="9" t="s">
        <v>11</v>
      </c>
      <c r="I275" s="9" t="s">
        <v>12</v>
      </c>
      <c r="J275" s="0" t="s">
        <v>13</v>
      </c>
    </row>
    <row r="276" customFormat="false" ht="13.8" hidden="true" customHeight="false" outlineLevel="0" collapsed="false">
      <c r="A276" s="7" t="n">
        <v>44064</v>
      </c>
      <c r="B276" s="8" t="n">
        <v>0.505555555555556</v>
      </c>
      <c r="C276" s="9" t="n">
        <v>128890</v>
      </c>
      <c r="D276" s="9" t="s">
        <v>10</v>
      </c>
      <c r="E276" s="9" t="n">
        <v>3160</v>
      </c>
      <c r="F276" s="9" t="n">
        <v>2840</v>
      </c>
      <c r="G276" s="9" t="n">
        <v>320</v>
      </c>
      <c r="H276" s="9" t="s">
        <v>11</v>
      </c>
      <c r="I276" s="9" t="s">
        <v>12</v>
      </c>
      <c r="J276" s="0" t="s">
        <v>13</v>
      </c>
    </row>
    <row r="277" customFormat="false" ht="13.8" hidden="true" customHeight="false" outlineLevel="0" collapsed="false">
      <c r="A277" s="7" t="n">
        <v>44064</v>
      </c>
      <c r="B277" s="8" t="n">
        <v>0.35625</v>
      </c>
      <c r="C277" s="9" t="n">
        <v>128864</v>
      </c>
      <c r="D277" s="9" t="s">
        <v>10</v>
      </c>
      <c r="E277" s="9" t="n">
        <v>3320</v>
      </c>
      <c r="F277" s="9" t="n">
        <v>2860</v>
      </c>
      <c r="G277" s="9" t="n">
        <v>460</v>
      </c>
      <c r="H277" s="9" t="s">
        <v>11</v>
      </c>
      <c r="I277" s="9" t="s">
        <v>12</v>
      </c>
      <c r="J277" s="0" t="s">
        <v>13</v>
      </c>
    </row>
    <row r="278" s="15" customFormat="true" ht="13.8" hidden="true" customHeight="false" outlineLevel="0" collapsed="false">
      <c r="A278" s="12" t="n">
        <v>44064</v>
      </c>
      <c r="B278" s="13" t="n">
        <v>0.459027777777778</v>
      </c>
      <c r="C278" s="14" t="n">
        <v>128883</v>
      </c>
      <c r="D278" s="14" t="s">
        <v>10</v>
      </c>
      <c r="E278" s="14" t="n">
        <v>3120</v>
      </c>
      <c r="F278" s="14" t="n">
        <v>2780</v>
      </c>
      <c r="G278" s="14" t="n">
        <v>340</v>
      </c>
      <c r="H278" s="14" t="s">
        <v>11</v>
      </c>
      <c r="I278" s="14" t="s">
        <v>12</v>
      </c>
      <c r="J278" s="15" t="s">
        <v>13</v>
      </c>
    </row>
    <row r="279" customFormat="false" ht="13.8" hidden="true" customHeight="false" outlineLevel="0" collapsed="false">
      <c r="A279" s="7" t="n">
        <v>44064</v>
      </c>
      <c r="B279" s="8" t="n">
        <v>0.503472222222222</v>
      </c>
      <c r="C279" s="11" t="s">
        <v>21</v>
      </c>
      <c r="D279" s="9" t="s">
        <v>17</v>
      </c>
      <c r="E279" s="9" t="n">
        <v>19220</v>
      </c>
      <c r="F279" s="9" t="n">
        <v>15760</v>
      </c>
      <c r="G279" s="9" t="n">
        <v>3460</v>
      </c>
      <c r="H279" s="9" t="s">
        <v>11</v>
      </c>
      <c r="I279" s="9" t="s">
        <v>22</v>
      </c>
      <c r="J279" s="0" t="s">
        <v>13</v>
      </c>
    </row>
    <row r="280" customFormat="false" ht="13.8" hidden="true" customHeight="false" outlineLevel="0" collapsed="false">
      <c r="A280" s="7" t="n">
        <v>44065</v>
      </c>
      <c r="B280" s="8" t="n">
        <v>0.448611111111111</v>
      </c>
      <c r="C280" s="9" t="n">
        <v>105916</v>
      </c>
      <c r="D280" s="9" t="s">
        <v>17</v>
      </c>
      <c r="E280" s="9" t="n">
        <v>17600</v>
      </c>
      <c r="F280" s="9" t="n">
        <v>16180</v>
      </c>
      <c r="G280" s="9" t="n">
        <v>1420</v>
      </c>
      <c r="H280" s="9" t="s">
        <v>11</v>
      </c>
      <c r="I280" s="9" t="s">
        <v>20</v>
      </c>
      <c r="J280" s="0" t="s">
        <v>13</v>
      </c>
    </row>
    <row r="281" customFormat="false" ht="13.8" hidden="true" customHeight="false" outlineLevel="0" collapsed="false">
      <c r="A281" s="7" t="n">
        <v>44065</v>
      </c>
      <c r="B281" s="8" t="n">
        <v>0.353472222222222</v>
      </c>
      <c r="C281" s="9" t="n">
        <v>128949</v>
      </c>
      <c r="D281" s="9" t="s">
        <v>16</v>
      </c>
      <c r="E281" s="9" t="n">
        <v>2700</v>
      </c>
      <c r="F281" s="9" t="n">
        <v>2420</v>
      </c>
      <c r="G281" s="9" t="n">
        <v>280</v>
      </c>
      <c r="H281" s="9" t="s">
        <v>11</v>
      </c>
      <c r="I281" s="9" t="s">
        <v>15</v>
      </c>
      <c r="J281" s="0" t="s">
        <v>13</v>
      </c>
    </row>
    <row r="282" customFormat="false" ht="13.8" hidden="true" customHeight="false" outlineLevel="0" collapsed="false">
      <c r="A282" s="7" t="n">
        <v>44065</v>
      </c>
      <c r="B282" s="8" t="n">
        <v>0.865972222222222</v>
      </c>
      <c r="C282" s="9" t="n">
        <v>128959</v>
      </c>
      <c r="D282" s="9" t="s">
        <v>17</v>
      </c>
      <c r="E282" s="9" t="n">
        <v>26880</v>
      </c>
      <c r="F282" s="9" t="n">
        <v>16140</v>
      </c>
      <c r="G282" s="9" t="n">
        <v>10740</v>
      </c>
      <c r="H282" s="9" t="s">
        <v>11</v>
      </c>
      <c r="I282" s="9" t="s">
        <v>15</v>
      </c>
      <c r="J282" s="0" t="s">
        <v>13</v>
      </c>
    </row>
    <row r="283" customFormat="false" ht="13.8" hidden="true" customHeight="false" outlineLevel="0" collapsed="false">
      <c r="A283" s="7" t="n">
        <v>44065</v>
      </c>
      <c r="B283" s="8" t="n">
        <v>0.275694444444444</v>
      </c>
      <c r="C283" s="9" t="n">
        <v>128944</v>
      </c>
      <c r="D283" s="9" t="s">
        <v>14</v>
      </c>
      <c r="E283" s="9" t="n">
        <v>27420</v>
      </c>
      <c r="F283" s="9" t="n">
        <v>15800</v>
      </c>
      <c r="G283" s="9" t="n">
        <v>11620</v>
      </c>
      <c r="H283" s="9" t="s">
        <v>11</v>
      </c>
      <c r="I283" s="9" t="s">
        <v>15</v>
      </c>
      <c r="J283" s="0" t="s">
        <v>13</v>
      </c>
    </row>
    <row r="284" customFormat="false" ht="13.8" hidden="true" customHeight="false" outlineLevel="0" collapsed="false">
      <c r="A284" s="7" t="n">
        <v>44065</v>
      </c>
      <c r="B284" s="8" t="n">
        <v>0.672222222222222</v>
      </c>
      <c r="C284" s="9" t="n">
        <v>128957</v>
      </c>
      <c r="D284" s="9" t="s">
        <v>18</v>
      </c>
      <c r="E284" s="9" t="n">
        <v>14460</v>
      </c>
      <c r="F284" s="9" t="n">
        <v>12860</v>
      </c>
      <c r="G284" s="9" t="n">
        <v>1600</v>
      </c>
      <c r="H284" s="9" t="s">
        <v>11</v>
      </c>
      <c r="I284" s="9" t="s">
        <v>15</v>
      </c>
      <c r="J284" s="0" t="s">
        <v>13</v>
      </c>
    </row>
    <row r="285" customFormat="false" ht="13.8" hidden="true" customHeight="false" outlineLevel="0" collapsed="false">
      <c r="A285" s="7" t="n">
        <v>44065</v>
      </c>
      <c r="B285" s="8" t="n">
        <v>0.441666666666667</v>
      </c>
      <c r="C285" s="9" t="n">
        <v>128952</v>
      </c>
      <c r="D285" s="9" t="s">
        <v>10</v>
      </c>
      <c r="E285" s="9" t="n">
        <v>3320</v>
      </c>
      <c r="F285" s="9" t="n">
        <v>2820</v>
      </c>
      <c r="G285" s="9" t="n">
        <v>500</v>
      </c>
      <c r="H285" s="9" t="s">
        <v>11</v>
      </c>
      <c r="I285" s="9" t="s">
        <v>15</v>
      </c>
      <c r="J285" s="0" t="s">
        <v>13</v>
      </c>
    </row>
    <row r="286" customFormat="false" ht="13.8" hidden="true" customHeight="false" outlineLevel="0" collapsed="false">
      <c r="A286" s="7" t="n">
        <v>44065</v>
      </c>
      <c r="B286" s="8" t="n">
        <v>0.06875</v>
      </c>
      <c r="C286" s="9" t="n">
        <v>128923</v>
      </c>
      <c r="D286" s="9" t="s">
        <v>18</v>
      </c>
      <c r="E286" s="9" t="n">
        <v>22620</v>
      </c>
      <c r="F286" s="9" t="n">
        <v>12920</v>
      </c>
      <c r="G286" s="9" t="n">
        <v>9700</v>
      </c>
      <c r="H286" s="9" t="s">
        <v>11</v>
      </c>
      <c r="I286" s="9" t="s">
        <v>15</v>
      </c>
      <c r="J286" s="0" t="s">
        <v>13</v>
      </c>
    </row>
    <row r="287" customFormat="false" ht="13.8" hidden="true" customHeight="false" outlineLevel="0" collapsed="false">
      <c r="A287" s="7" t="n">
        <v>44065</v>
      </c>
      <c r="B287" s="8" t="n">
        <v>0.861805555555556</v>
      </c>
      <c r="C287" s="9" t="n">
        <v>128958</v>
      </c>
      <c r="D287" s="9" t="s">
        <v>16</v>
      </c>
      <c r="E287" s="9" t="n">
        <v>2720</v>
      </c>
      <c r="F287" s="9" t="n">
        <v>2420</v>
      </c>
      <c r="G287" s="9" t="n">
        <v>300</v>
      </c>
      <c r="H287" s="9" t="s">
        <v>11</v>
      </c>
      <c r="I287" s="9" t="s">
        <v>15</v>
      </c>
      <c r="J287" s="0" t="s">
        <v>13</v>
      </c>
    </row>
    <row r="288" customFormat="false" ht="13.8" hidden="true" customHeight="false" outlineLevel="0" collapsed="false">
      <c r="A288" s="7" t="n">
        <v>44065</v>
      </c>
      <c r="B288" s="8" t="n">
        <v>0.177083333333333</v>
      </c>
      <c r="C288" s="9" t="n">
        <v>128934</v>
      </c>
      <c r="D288" s="9" t="s">
        <v>18</v>
      </c>
      <c r="E288" s="9" t="n">
        <v>19120</v>
      </c>
      <c r="F288" s="9" t="n">
        <v>12780</v>
      </c>
      <c r="G288" s="9" t="n">
        <v>6340</v>
      </c>
      <c r="H288" s="9" t="s">
        <v>11</v>
      </c>
      <c r="I288" s="9" t="s">
        <v>15</v>
      </c>
      <c r="J288" s="0" t="s">
        <v>13</v>
      </c>
    </row>
    <row r="289" customFormat="false" ht="13.8" hidden="true" customHeight="false" outlineLevel="0" collapsed="false">
      <c r="A289" s="7" t="n">
        <v>44065</v>
      </c>
      <c r="B289" s="8" t="n">
        <v>0.0881944444444444</v>
      </c>
      <c r="C289" s="9" t="n">
        <v>128925</v>
      </c>
      <c r="D289" s="9" t="s">
        <v>17</v>
      </c>
      <c r="E289" s="9" t="n">
        <v>22540</v>
      </c>
      <c r="F289" s="9" t="n">
        <v>16220</v>
      </c>
      <c r="G289" s="9" t="n">
        <v>6320</v>
      </c>
      <c r="H289" s="9" t="s">
        <v>11</v>
      </c>
      <c r="I289" s="9" t="s">
        <v>15</v>
      </c>
      <c r="J289" s="0" t="s">
        <v>13</v>
      </c>
    </row>
    <row r="290" customFormat="false" ht="13.8" hidden="true" customHeight="false" outlineLevel="0" collapsed="false">
      <c r="A290" s="7" t="n">
        <v>44065</v>
      </c>
      <c r="B290" s="8" t="n">
        <v>0.283333333333333</v>
      </c>
      <c r="C290" s="9" t="n">
        <v>128945</v>
      </c>
      <c r="D290" s="9" t="s">
        <v>19</v>
      </c>
      <c r="E290" s="9" t="n">
        <v>4440</v>
      </c>
      <c r="F290" s="9" t="n">
        <v>3700</v>
      </c>
      <c r="G290" s="9" t="n">
        <v>740</v>
      </c>
      <c r="H290" s="9" t="s">
        <v>11</v>
      </c>
      <c r="I290" s="9" t="s">
        <v>15</v>
      </c>
      <c r="J290" s="0" t="s">
        <v>13</v>
      </c>
    </row>
    <row r="291" s="15" customFormat="true" ht="13.8" hidden="true" customHeight="false" outlineLevel="0" collapsed="false">
      <c r="A291" s="12" t="n">
        <v>44065</v>
      </c>
      <c r="B291" s="13" t="n">
        <v>0.243055555555556</v>
      </c>
      <c r="C291" s="14" t="n">
        <v>128937</v>
      </c>
      <c r="D291" s="14" t="s">
        <v>19</v>
      </c>
      <c r="E291" s="14" t="n">
        <v>4680</v>
      </c>
      <c r="F291" s="14" t="n">
        <v>3560</v>
      </c>
      <c r="G291" s="14" t="n">
        <v>1120</v>
      </c>
      <c r="H291" s="14" t="s">
        <v>11</v>
      </c>
      <c r="I291" s="14" t="s">
        <v>15</v>
      </c>
      <c r="J291" s="15" t="s">
        <v>13</v>
      </c>
    </row>
    <row r="292" customFormat="false" ht="13.8" hidden="true" customHeight="false" outlineLevel="0" collapsed="false">
      <c r="A292" s="7" t="n">
        <v>44066</v>
      </c>
      <c r="B292" s="8" t="n">
        <v>0.259722222222222</v>
      </c>
      <c r="C292" s="9" t="n">
        <v>128975</v>
      </c>
      <c r="D292" s="9" t="s">
        <v>14</v>
      </c>
      <c r="E292" s="9" t="n">
        <v>24320</v>
      </c>
      <c r="F292" s="9" t="n">
        <v>16020</v>
      </c>
      <c r="G292" s="9" t="n">
        <v>8300</v>
      </c>
      <c r="H292" s="9" t="s">
        <v>11</v>
      </c>
      <c r="I292" s="9" t="s">
        <v>15</v>
      </c>
      <c r="J292" s="0" t="s">
        <v>13</v>
      </c>
    </row>
    <row r="293" customFormat="false" ht="13.8" hidden="true" customHeight="false" outlineLevel="0" collapsed="false">
      <c r="A293" s="7" t="n">
        <v>44066</v>
      </c>
      <c r="B293" s="8" t="n">
        <v>0.327777777777778</v>
      </c>
      <c r="C293" s="9" t="n">
        <v>128980</v>
      </c>
      <c r="D293" s="9" t="s">
        <v>16</v>
      </c>
      <c r="E293" s="9" t="n">
        <v>2720</v>
      </c>
      <c r="F293" s="9" t="n">
        <v>2400</v>
      </c>
      <c r="G293" s="9" t="n">
        <v>320</v>
      </c>
      <c r="H293" s="9" t="s">
        <v>11</v>
      </c>
      <c r="I293" s="9" t="s">
        <v>15</v>
      </c>
      <c r="J293" s="0" t="s">
        <v>13</v>
      </c>
    </row>
    <row r="294" customFormat="false" ht="13.8" hidden="true" customHeight="false" outlineLevel="0" collapsed="false">
      <c r="A294" s="7" t="n">
        <v>44066</v>
      </c>
      <c r="B294" s="8" t="n">
        <v>0.864583333333333</v>
      </c>
      <c r="C294" s="9" t="n">
        <v>128984</v>
      </c>
      <c r="D294" s="9" t="s">
        <v>17</v>
      </c>
      <c r="E294" s="9" t="n">
        <v>27280</v>
      </c>
      <c r="F294" s="9" t="n">
        <v>16280</v>
      </c>
      <c r="G294" s="9" t="n">
        <v>11000</v>
      </c>
      <c r="H294" s="9" t="s">
        <v>11</v>
      </c>
      <c r="I294" s="9" t="s">
        <v>15</v>
      </c>
      <c r="J294" s="0" t="s">
        <v>13</v>
      </c>
    </row>
    <row r="295" customFormat="false" ht="13.8" hidden="true" customHeight="false" outlineLevel="0" collapsed="false">
      <c r="A295" s="7" t="n">
        <v>44066</v>
      </c>
      <c r="B295" s="8" t="n">
        <v>0.865972222222222</v>
      </c>
      <c r="C295" s="9" t="n">
        <v>128985</v>
      </c>
      <c r="D295" s="9" t="s">
        <v>16</v>
      </c>
      <c r="E295" s="9" t="n">
        <v>2700</v>
      </c>
      <c r="F295" s="9" t="n">
        <v>2420</v>
      </c>
      <c r="G295" s="9" t="n">
        <v>280</v>
      </c>
      <c r="H295" s="9" t="s">
        <v>11</v>
      </c>
      <c r="I295" s="9" t="s">
        <v>15</v>
      </c>
      <c r="J295" s="0" t="s">
        <v>13</v>
      </c>
    </row>
    <row r="296" customFormat="false" ht="13.8" hidden="true" customHeight="false" outlineLevel="0" collapsed="false">
      <c r="A296" s="7" t="n">
        <v>44066</v>
      </c>
      <c r="B296" s="8" t="n">
        <v>0.441666666666667</v>
      </c>
      <c r="C296" s="9" t="n">
        <v>128982</v>
      </c>
      <c r="D296" s="9" t="s">
        <v>16</v>
      </c>
      <c r="E296" s="9" t="n">
        <v>2580</v>
      </c>
      <c r="F296" s="9" t="n">
        <v>2400</v>
      </c>
      <c r="G296" s="9" t="n">
        <v>180</v>
      </c>
      <c r="H296" s="9" t="s">
        <v>11</v>
      </c>
      <c r="I296" s="9" t="s">
        <v>15</v>
      </c>
      <c r="J296" s="0" t="s">
        <v>13</v>
      </c>
    </row>
    <row r="297" customFormat="false" ht="13.8" hidden="true" customHeight="false" outlineLevel="0" collapsed="false">
      <c r="A297" s="7" t="n">
        <v>44066</v>
      </c>
      <c r="B297" s="8" t="n">
        <v>0.158333333333333</v>
      </c>
      <c r="C297" s="9" t="n">
        <v>128970</v>
      </c>
      <c r="D297" s="9" t="s">
        <v>14</v>
      </c>
      <c r="E297" s="9" t="n">
        <v>26080</v>
      </c>
      <c r="F297" s="9" t="n">
        <v>16060</v>
      </c>
      <c r="G297" s="9" t="n">
        <v>10020</v>
      </c>
      <c r="H297" s="9" t="s">
        <v>11</v>
      </c>
      <c r="I297" s="9" t="s">
        <v>15</v>
      </c>
      <c r="J297" s="0" t="s">
        <v>13</v>
      </c>
    </row>
    <row r="298" s="15" customFormat="true" ht="13.8" hidden="true" customHeight="false" outlineLevel="0" collapsed="false">
      <c r="A298" s="12" t="n">
        <v>44066</v>
      </c>
      <c r="B298" s="13" t="n">
        <v>0.671527777777778</v>
      </c>
      <c r="C298" s="14" t="n">
        <v>128983</v>
      </c>
      <c r="D298" s="14" t="s">
        <v>18</v>
      </c>
      <c r="E298" s="14" t="n">
        <v>14780</v>
      </c>
      <c r="F298" s="14" t="n">
        <v>12800</v>
      </c>
      <c r="G298" s="14" t="n">
        <v>1980</v>
      </c>
      <c r="H298" s="14" t="s">
        <v>11</v>
      </c>
      <c r="I298" s="14" t="s">
        <v>15</v>
      </c>
      <c r="J298" s="15" t="s">
        <v>13</v>
      </c>
    </row>
    <row r="299" customFormat="false" ht="13.8" hidden="true" customHeight="false" outlineLevel="0" collapsed="false">
      <c r="A299" s="7" t="n">
        <v>44067</v>
      </c>
      <c r="B299" s="8" t="n">
        <v>0.255555555555556</v>
      </c>
      <c r="C299" s="9" t="n">
        <v>129004</v>
      </c>
      <c r="D299" s="9" t="s">
        <v>19</v>
      </c>
      <c r="E299" s="9" t="n">
        <v>4240</v>
      </c>
      <c r="F299" s="9" t="n">
        <v>3640</v>
      </c>
      <c r="G299" s="16" t="n">
        <v>600</v>
      </c>
      <c r="H299" s="9" t="s">
        <v>11</v>
      </c>
      <c r="I299" s="9" t="s">
        <v>15</v>
      </c>
      <c r="J299" s="0" t="s">
        <v>13</v>
      </c>
    </row>
    <row r="300" customFormat="false" ht="13.8" hidden="true" customHeight="false" outlineLevel="0" collapsed="false">
      <c r="A300" s="7" t="n">
        <v>44067</v>
      </c>
      <c r="B300" s="8" t="n">
        <v>0.116666666666667</v>
      </c>
      <c r="C300" s="9" t="n">
        <v>128993</v>
      </c>
      <c r="D300" s="9" t="s">
        <v>19</v>
      </c>
      <c r="E300" s="9" t="n">
        <v>4560</v>
      </c>
      <c r="F300" s="9" t="n">
        <v>3580</v>
      </c>
      <c r="G300" s="16" t="n">
        <v>980</v>
      </c>
      <c r="H300" s="9" t="s">
        <v>11</v>
      </c>
      <c r="I300" s="9" t="s">
        <v>15</v>
      </c>
      <c r="J300" s="0" t="s">
        <v>13</v>
      </c>
    </row>
    <row r="301" customFormat="false" ht="13.8" hidden="true" customHeight="false" outlineLevel="0" collapsed="false">
      <c r="A301" s="7" t="n">
        <v>44067</v>
      </c>
      <c r="B301" s="8" t="n">
        <v>0.2875</v>
      </c>
      <c r="C301" s="9" t="n">
        <v>129006</v>
      </c>
      <c r="D301" s="9" t="s">
        <v>14</v>
      </c>
      <c r="E301" s="9" t="n">
        <v>21340</v>
      </c>
      <c r="F301" s="9" t="n">
        <v>16000</v>
      </c>
      <c r="G301" s="16" t="n">
        <v>5340</v>
      </c>
      <c r="H301" s="9" t="s">
        <v>11</v>
      </c>
      <c r="I301" s="9" t="s">
        <v>15</v>
      </c>
      <c r="J301" s="0" t="s">
        <v>13</v>
      </c>
    </row>
    <row r="302" customFormat="false" ht="13.8" hidden="true" customHeight="false" outlineLevel="0" collapsed="false">
      <c r="A302" s="7" t="n">
        <v>44067</v>
      </c>
      <c r="B302" s="8" t="n">
        <v>0.196527777777778</v>
      </c>
      <c r="C302" s="9" t="n">
        <v>128998</v>
      </c>
      <c r="D302" s="9" t="s">
        <v>14</v>
      </c>
      <c r="E302" s="9" t="n">
        <v>28080</v>
      </c>
      <c r="F302" s="9" t="n">
        <v>16060</v>
      </c>
      <c r="G302" s="16" t="n">
        <v>12020</v>
      </c>
      <c r="H302" s="9" t="s">
        <v>11</v>
      </c>
      <c r="I302" s="9" t="s">
        <v>15</v>
      </c>
      <c r="J302" s="0" t="s">
        <v>13</v>
      </c>
    </row>
    <row r="303" customFormat="false" ht="13.8" hidden="true" customHeight="false" outlineLevel="0" collapsed="false">
      <c r="A303" s="7" t="n">
        <v>44067</v>
      </c>
      <c r="B303" s="8" t="n">
        <v>0.209722222222222</v>
      </c>
      <c r="C303" s="9" t="n">
        <v>128999</v>
      </c>
      <c r="D303" s="9" t="s">
        <v>18</v>
      </c>
      <c r="E303" s="9" t="n">
        <v>18220</v>
      </c>
      <c r="F303" s="9" t="n">
        <v>12820</v>
      </c>
      <c r="G303" s="16" t="n">
        <v>5400</v>
      </c>
      <c r="H303" s="9" t="s">
        <v>11</v>
      </c>
      <c r="I303" s="9" t="s">
        <v>15</v>
      </c>
      <c r="J303" s="0" t="s">
        <v>13</v>
      </c>
    </row>
    <row r="304" customFormat="false" ht="13.8" hidden="true" customHeight="false" outlineLevel="0" collapsed="false">
      <c r="A304" s="7" t="n">
        <v>44067</v>
      </c>
      <c r="B304" s="8" t="n">
        <v>0.0694444444444444</v>
      </c>
      <c r="C304" s="9" t="n">
        <v>128988</v>
      </c>
      <c r="D304" s="9" t="s">
        <v>18</v>
      </c>
      <c r="E304" s="9" t="n">
        <v>22140</v>
      </c>
      <c r="F304" s="9" t="n">
        <v>12820</v>
      </c>
      <c r="G304" s="16" t="n">
        <v>9320</v>
      </c>
      <c r="H304" s="9" t="s">
        <v>11</v>
      </c>
      <c r="I304" s="9" t="s">
        <v>15</v>
      </c>
      <c r="J304" s="0" t="s">
        <v>13</v>
      </c>
    </row>
    <row r="305" customFormat="false" ht="13.8" hidden="true" customHeight="false" outlineLevel="0" collapsed="false">
      <c r="A305" s="7" t="n">
        <v>44067</v>
      </c>
      <c r="B305" s="8" t="n">
        <v>0.875</v>
      </c>
      <c r="C305" s="9" t="n">
        <v>129057</v>
      </c>
      <c r="D305" s="9" t="s">
        <v>16</v>
      </c>
      <c r="E305" s="9" t="n">
        <v>2600</v>
      </c>
      <c r="F305" s="9" t="n">
        <v>2400</v>
      </c>
      <c r="G305" s="16" t="n">
        <v>200</v>
      </c>
      <c r="H305" s="9" t="s">
        <v>11</v>
      </c>
      <c r="I305" s="9" t="s">
        <v>15</v>
      </c>
      <c r="J305" s="0" t="s">
        <v>13</v>
      </c>
    </row>
    <row r="306" customFormat="false" ht="13.8" hidden="true" customHeight="false" outlineLevel="0" collapsed="false">
      <c r="A306" s="7" t="n">
        <v>44067</v>
      </c>
      <c r="B306" s="8" t="n">
        <v>0.872222222222222</v>
      </c>
      <c r="C306" s="9" t="n">
        <v>129056</v>
      </c>
      <c r="D306" s="9" t="s">
        <v>14</v>
      </c>
      <c r="E306" s="9" t="n">
        <v>24460</v>
      </c>
      <c r="F306" s="9" t="n">
        <v>16080</v>
      </c>
      <c r="G306" s="16" t="n">
        <v>8380</v>
      </c>
      <c r="H306" s="9" t="s">
        <v>11</v>
      </c>
      <c r="I306" s="9" t="s">
        <v>15</v>
      </c>
      <c r="J306" s="0" t="s">
        <v>13</v>
      </c>
    </row>
    <row r="307" customFormat="false" ht="13.8" hidden="true" customHeight="false" outlineLevel="0" collapsed="false">
      <c r="A307" s="7" t="n">
        <v>44067</v>
      </c>
      <c r="B307" s="8" t="n">
        <v>0.496527777777778</v>
      </c>
      <c r="C307" s="9" t="n">
        <v>129031</v>
      </c>
      <c r="D307" s="9" t="s">
        <v>10</v>
      </c>
      <c r="E307" s="9" t="n">
        <v>3240</v>
      </c>
      <c r="F307" s="9" t="n">
        <v>2840</v>
      </c>
      <c r="G307" s="16" t="n">
        <v>400</v>
      </c>
      <c r="H307" s="9" t="s">
        <v>11</v>
      </c>
      <c r="I307" s="9" t="s">
        <v>12</v>
      </c>
      <c r="J307" s="0" t="s">
        <v>13</v>
      </c>
    </row>
    <row r="308" customFormat="false" ht="13.8" hidden="true" customHeight="false" outlineLevel="0" collapsed="false">
      <c r="A308" s="7" t="n">
        <v>44067</v>
      </c>
      <c r="B308" s="8" t="n">
        <v>0.338888888888889</v>
      </c>
      <c r="C308" s="9" t="n">
        <v>129010</v>
      </c>
      <c r="D308" s="9" t="s">
        <v>10</v>
      </c>
      <c r="E308" s="9" t="n">
        <v>3260</v>
      </c>
      <c r="F308" s="9" t="n">
        <v>2860</v>
      </c>
      <c r="G308" s="16" t="n">
        <v>400</v>
      </c>
      <c r="H308" s="9" t="s">
        <v>11</v>
      </c>
      <c r="I308" s="9" t="s">
        <v>12</v>
      </c>
      <c r="J308" s="0" t="s">
        <v>13</v>
      </c>
    </row>
    <row r="309" customFormat="false" ht="13.8" hidden="true" customHeight="false" outlineLevel="0" collapsed="false">
      <c r="A309" s="7" t="n">
        <v>44067</v>
      </c>
      <c r="B309" s="8" t="n">
        <v>0.684027777777778</v>
      </c>
      <c r="C309" s="9" t="n">
        <v>129046</v>
      </c>
      <c r="D309" s="9" t="s">
        <v>18</v>
      </c>
      <c r="E309" s="9" t="n">
        <v>14500</v>
      </c>
      <c r="F309" s="9" t="n">
        <v>12860</v>
      </c>
      <c r="G309" s="16" t="n">
        <v>1640</v>
      </c>
      <c r="H309" s="9" t="s">
        <v>11</v>
      </c>
      <c r="I309" s="9" t="s">
        <v>15</v>
      </c>
      <c r="J309" s="0" t="s">
        <v>13</v>
      </c>
    </row>
    <row r="310" customFormat="false" ht="13.8" hidden="true" customHeight="false" outlineLevel="0" collapsed="false">
      <c r="A310" s="7" t="n">
        <v>44067</v>
      </c>
      <c r="B310" s="8" t="n">
        <v>0.354861111111111</v>
      </c>
      <c r="C310" s="9" t="n">
        <v>129012</v>
      </c>
      <c r="D310" s="9" t="s">
        <v>16</v>
      </c>
      <c r="E310" s="9" t="n">
        <v>2720</v>
      </c>
      <c r="F310" s="9" t="n">
        <v>2380</v>
      </c>
      <c r="G310" s="16" t="n">
        <v>340</v>
      </c>
      <c r="H310" s="9" t="s">
        <v>11</v>
      </c>
      <c r="I310" s="9" t="s">
        <v>15</v>
      </c>
      <c r="J310" s="0" t="s">
        <v>13</v>
      </c>
    </row>
    <row r="311" s="15" customFormat="true" ht="13.8" hidden="true" customHeight="false" outlineLevel="0" collapsed="false">
      <c r="A311" s="12" t="n">
        <v>44067</v>
      </c>
      <c r="B311" s="13" t="n">
        <v>0.484722222222222</v>
      </c>
      <c r="C311" s="14" t="n">
        <v>129028</v>
      </c>
      <c r="D311" s="14" t="s">
        <v>16</v>
      </c>
      <c r="E311" s="14" t="n">
        <v>2560</v>
      </c>
      <c r="F311" s="14" t="n">
        <v>2400</v>
      </c>
      <c r="G311" s="16" t="n">
        <v>160</v>
      </c>
      <c r="H311" s="14" t="s">
        <v>11</v>
      </c>
      <c r="I311" s="14" t="s">
        <v>15</v>
      </c>
      <c r="J311" s="15" t="s">
        <v>13</v>
      </c>
    </row>
    <row r="312" customFormat="false" ht="13.8" hidden="true" customHeight="false" outlineLevel="0" collapsed="false">
      <c r="A312" s="7" t="n">
        <v>44068</v>
      </c>
      <c r="B312" s="8" t="n">
        <v>0.0756944444444444</v>
      </c>
      <c r="C312" s="9" t="n">
        <v>129059</v>
      </c>
      <c r="D312" s="9" t="s">
        <v>18</v>
      </c>
      <c r="E312" s="9" t="n">
        <v>21740</v>
      </c>
      <c r="F312" s="9" t="n">
        <v>13020</v>
      </c>
      <c r="G312" s="16" t="n">
        <v>8720</v>
      </c>
      <c r="H312" s="9" t="s">
        <v>11</v>
      </c>
      <c r="I312" s="9" t="s">
        <v>15</v>
      </c>
      <c r="J312" s="0" t="s">
        <v>13</v>
      </c>
    </row>
    <row r="313" customFormat="false" ht="13.8" hidden="true" customHeight="false" outlineLevel="0" collapsed="false">
      <c r="A313" s="7" t="n">
        <v>44067</v>
      </c>
      <c r="B313" s="8" t="n">
        <v>0.50625</v>
      </c>
      <c r="C313" s="9" t="n">
        <v>706</v>
      </c>
      <c r="D313" s="9" t="s">
        <v>14</v>
      </c>
      <c r="E313" s="9" t="n">
        <v>18540</v>
      </c>
      <c r="F313" s="9" t="n">
        <v>15820</v>
      </c>
      <c r="G313" s="9" t="n">
        <v>2720</v>
      </c>
      <c r="H313" s="9" t="s">
        <v>11</v>
      </c>
      <c r="I313" s="9" t="s">
        <v>22</v>
      </c>
      <c r="J313" s="0" t="s">
        <v>13</v>
      </c>
    </row>
    <row r="314" customFormat="false" ht="13.8" hidden="true" customHeight="false" outlineLevel="0" collapsed="false">
      <c r="A314" s="7" t="n">
        <v>44068</v>
      </c>
      <c r="B314" s="8" t="n">
        <v>0.173611111111111</v>
      </c>
      <c r="C314" s="9" t="n">
        <v>129069</v>
      </c>
      <c r="D314" s="9" t="s">
        <v>18</v>
      </c>
      <c r="E314" s="9" t="n">
        <v>18560</v>
      </c>
      <c r="F314" s="9" t="n">
        <v>12860</v>
      </c>
      <c r="G314" s="16" t="n">
        <v>5700</v>
      </c>
      <c r="H314" s="9" t="s">
        <v>11</v>
      </c>
      <c r="I314" s="9" t="s">
        <v>15</v>
      </c>
      <c r="J314" s="0" t="s">
        <v>13</v>
      </c>
    </row>
    <row r="315" customFormat="false" ht="13.8" hidden="true" customHeight="false" outlineLevel="0" collapsed="false">
      <c r="A315" s="7" t="n">
        <v>44068</v>
      </c>
      <c r="B315" s="8" t="n">
        <v>0.248611111111111</v>
      </c>
      <c r="C315" s="9" t="n">
        <v>129073</v>
      </c>
      <c r="D315" s="9" t="s">
        <v>19</v>
      </c>
      <c r="E315" s="9" t="n">
        <v>5040</v>
      </c>
      <c r="F315" s="9" t="n">
        <v>3700</v>
      </c>
      <c r="G315" s="16" t="n">
        <v>1340</v>
      </c>
      <c r="H315" s="9" t="s">
        <v>11</v>
      </c>
      <c r="I315" s="9" t="s">
        <v>15</v>
      </c>
      <c r="J315" s="0" t="s">
        <v>13</v>
      </c>
    </row>
    <row r="316" customFormat="false" ht="13.8" hidden="true" customHeight="false" outlineLevel="0" collapsed="false">
      <c r="A316" s="7" t="n">
        <v>44068</v>
      </c>
      <c r="B316" s="8" t="n">
        <v>0.170833333333333</v>
      </c>
      <c r="C316" s="9" t="n">
        <v>129068</v>
      </c>
      <c r="D316" s="9" t="s">
        <v>14</v>
      </c>
      <c r="E316" s="9" t="n">
        <v>25580</v>
      </c>
      <c r="F316" s="9" t="n">
        <v>16080</v>
      </c>
      <c r="G316" s="16" t="n">
        <v>9500</v>
      </c>
      <c r="H316" s="9" t="s">
        <v>11</v>
      </c>
      <c r="I316" s="9" t="s">
        <v>15</v>
      </c>
      <c r="J316" s="0" t="s">
        <v>13</v>
      </c>
    </row>
    <row r="317" customFormat="false" ht="13.8" hidden="true" customHeight="false" outlineLevel="0" collapsed="false">
      <c r="A317" s="7" t="n">
        <v>44068</v>
      </c>
      <c r="B317" s="8" t="n">
        <v>0.282638888888889</v>
      </c>
      <c r="C317" s="9" t="n">
        <v>129077</v>
      </c>
      <c r="D317" s="9" t="s">
        <v>14</v>
      </c>
      <c r="E317" s="9" t="n">
        <v>22320</v>
      </c>
      <c r="F317" s="9" t="n">
        <v>16040</v>
      </c>
      <c r="G317" s="16" t="n">
        <v>6280</v>
      </c>
      <c r="H317" s="9" t="s">
        <v>11</v>
      </c>
      <c r="I317" s="9" t="s">
        <v>15</v>
      </c>
      <c r="J317" s="0" t="s">
        <v>13</v>
      </c>
    </row>
    <row r="318" customFormat="false" ht="13.8" hidden="true" customHeight="false" outlineLevel="0" collapsed="false">
      <c r="A318" s="7" t="n">
        <v>44066</v>
      </c>
      <c r="B318" s="8" t="n">
        <v>0.0881944444444444</v>
      </c>
      <c r="C318" s="9" t="n">
        <v>128960</v>
      </c>
      <c r="D318" s="9" t="s">
        <v>18</v>
      </c>
      <c r="E318" s="9" t="n">
        <v>23420</v>
      </c>
      <c r="F318" s="9" t="n">
        <v>12840</v>
      </c>
      <c r="G318" s="16" t="n">
        <v>10580</v>
      </c>
      <c r="H318" s="9" t="s">
        <v>11</v>
      </c>
      <c r="I318" s="9" t="s">
        <v>15</v>
      </c>
      <c r="J318" s="0" t="s">
        <v>13</v>
      </c>
    </row>
    <row r="319" customFormat="false" ht="13.8" hidden="true" customHeight="false" outlineLevel="0" collapsed="false">
      <c r="A319" s="7" t="n">
        <v>44066</v>
      </c>
      <c r="B319" s="8" t="n">
        <v>0.252083333333333</v>
      </c>
      <c r="C319" s="9" t="n">
        <v>128972</v>
      </c>
      <c r="D319" s="9" t="s">
        <v>18</v>
      </c>
      <c r="E319" s="9" t="n">
        <v>20380</v>
      </c>
      <c r="F319" s="9" t="n">
        <v>12860</v>
      </c>
      <c r="G319" s="16" t="n">
        <v>7520</v>
      </c>
      <c r="H319" s="9" t="s">
        <v>11</v>
      </c>
      <c r="I319" s="9" t="s">
        <v>15</v>
      </c>
      <c r="J319" s="0" t="s">
        <v>13</v>
      </c>
    </row>
    <row r="320" customFormat="false" ht="13.8" hidden="true" customHeight="false" outlineLevel="0" collapsed="false">
      <c r="A320" s="7" t="n">
        <v>44066</v>
      </c>
      <c r="B320" s="8" t="n">
        <v>0.252083333333333</v>
      </c>
      <c r="C320" s="9" t="n">
        <v>128968</v>
      </c>
      <c r="D320" s="9" t="s">
        <v>19</v>
      </c>
      <c r="E320" s="9" t="n">
        <v>4820</v>
      </c>
      <c r="F320" s="9" t="n">
        <v>3580</v>
      </c>
      <c r="G320" s="16" t="n">
        <v>1240</v>
      </c>
      <c r="H320" s="9" t="s">
        <v>11</v>
      </c>
      <c r="I320" s="9" t="s">
        <v>15</v>
      </c>
      <c r="J320" s="0" t="s">
        <v>13</v>
      </c>
    </row>
    <row r="321" customFormat="false" ht="13.8" hidden="true" customHeight="false" outlineLevel="0" collapsed="false">
      <c r="A321" s="7" t="n">
        <v>44066</v>
      </c>
      <c r="B321" s="8" t="n">
        <v>0.336111111111111</v>
      </c>
      <c r="C321" s="9" t="n">
        <v>128973</v>
      </c>
      <c r="D321" s="9" t="s">
        <v>19</v>
      </c>
      <c r="E321" s="9" t="n">
        <v>4300</v>
      </c>
      <c r="F321" s="9" t="n">
        <v>3660</v>
      </c>
      <c r="G321" s="16" t="n">
        <v>640</v>
      </c>
      <c r="H321" s="9" t="s">
        <v>11</v>
      </c>
      <c r="I321" s="9" t="s">
        <v>15</v>
      </c>
      <c r="J321" s="0" t="s">
        <v>13</v>
      </c>
    </row>
    <row r="322" customFormat="false" ht="13.8" hidden="true" customHeight="false" outlineLevel="0" collapsed="false">
      <c r="A322" s="7" t="n">
        <v>44068</v>
      </c>
      <c r="B322" s="8" t="n">
        <v>0.864583333333333</v>
      </c>
      <c r="C322" s="9" t="n">
        <v>129152</v>
      </c>
      <c r="D322" s="9" t="s">
        <v>16</v>
      </c>
      <c r="E322" s="9" t="n">
        <v>2620</v>
      </c>
      <c r="F322" s="9" t="n">
        <v>2420</v>
      </c>
      <c r="G322" s="16" t="n">
        <v>200</v>
      </c>
      <c r="H322" s="9" t="s">
        <v>11</v>
      </c>
      <c r="I322" s="9" t="s">
        <v>15</v>
      </c>
      <c r="J322" s="0" t="s">
        <v>13</v>
      </c>
    </row>
    <row r="323" customFormat="false" ht="13.8" hidden="true" customHeight="false" outlineLevel="0" collapsed="false">
      <c r="A323" s="7" t="n">
        <v>44068</v>
      </c>
      <c r="B323" s="8" t="n">
        <v>0.861805555555556</v>
      </c>
      <c r="C323" s="9" t="n">
        <v>129151</v>
      </c>
      <c r="D323" s="9" t="s">
        <v>17</v>
      </c>
      <c r="E323" s="9" t="n">
        <v>23560</v>
      </c>
      <c r="F323" s="9" t="n">
        <v>16240</v>
      </c>
      <c r="G323" s="16" t="n">
        <v>7320</v>
      </c>
      <c r="H323" s="9" t="s">
        <v>11</v>
      </c>
      <c r="I323" s="9" t="s">
        <v>15</v>
      </c>
      <c r="J323" s="0" t="s">
        <v>13</v>
      </c>
    </row>
    <row r="324" customFormat="false" ht="13.8" hidden="true" customHeight="false" outlineLevel="0" collapsed="false">
      <c r="A324" s="7" t="n">
        <v>44068</v>
      </c>
      <c r="B324" s="8" t="n">
        <v>0.466666666666667</v>
      </c>
      <c r="C324" s="9" t="n">
        <v>129110</v>
      </c>
      <c r="D324" s="9" t="s">
        <v>16</v>
      </c>
      <c r="E324" s="9" t="n">
        <v>2560</v>
      </c>
      <c r="F324" s="9" t="n">
        <v>2400</v>
      </c>
      <c r="G324" s="16" t="n">
        <v>160</v>
      </c>
      <c r="H324" s="9" t="s">
        <v>11</v>
      </c>
      <c r="I324" s="9" t="s">
        <v>15</v>
      </c>
      <c r="J324" s="0" t="s">
        <v>13</v>
      </c>
    </row>
    <row r="325" customFormat="false" ht="13.8" hidden="true" customHeight="false" outlineLevel="0" collapsed="false">
      <c r="A325" s="7" t="n">
        <v>44068</v>
      </c>
      <c r="B325" s="8" t="n">
        <v>0.347222222222222</v>
      </c>
      <c r="C325" s="9" t="n">
        <v>129089</v>
      </c>
      <c r="D325" s="9" t="s">
        <v>16</v>
      </c>
      <c r="E325" s="9" t="n">
        <v>2640</v>
      </c>
      <c r="F325" s="9" t="n">
        <v>2400</v>
      </c>
      <c r="G325" s="16" t="n">
        <v>240</v>
      </c>
      <c r="H325" s="9" t="s">
        <v>11</v>
      </c>
      <c r="I325" s="9" t="s">
        <v>15</v>
      </c>
      <c r="J325" s="0" t="s">
        <v>13</v>
      </c>
    </row>
    <row r="326" customFormat="false" ht="13.8" hidden="true" customHeight="false" outlineLevel="0" collapsed="false">
      <c r="A326" s="7" t="n">
        <v>44068</v>
      </c>
      <c r="B326" s="8" t="n">
        <v>0.673611111111111</v>
      </c>
      <c r="C326" s="9" t="n">
        <v>129139</v>
      </c>
      <c r="D326" s="9" t="s">
        <v>18</v>
      </c>
      <c r="E326" s="9" t="n">
        <v>14580</v>
      </c>
      <c r="F326" s="9" t="n">
        <v>12820</v>
      </c>
      <c r="G326" s="16" t="n">
        <v>1760</v>
      </c>
      <c r="H326" s="9" t="s">
        <v>11</v>
      </c>
      <c r="I326" s="9" t="s">
        <v>15</v>
      </c>
      <c r="J326" s="0" t="s">
        <v>13</v>
      </c>
    </row>
    <row r="327" customFormat="false" ht="13.8" hidden="true" customHeight="false" outlineLevel="0" collapsed="false">
      <c r="A327" s="7" t="n">
        <v>44068</v>
      </c>
      <c r="B327" s="8" t="n">
        <v>0.513194444444444</v>
      </c>
      <c r="C327" s="9" t="n">
        <v>129123</v>
      </c>
      <c r="D327" s="9" t="s">
        <v>10</v>
      </c>
      <c r="E327" s="9" t="n">
        <v>3300</v>
      </c>
      <c r="F327" s="9" t="n">
        <v>2800</v>
      </c>
      <c r="G327" s="16" t="n">
        <v>500</v>
      </c>
      <c r="H327" s="9" t="s">
        <v>11</v>
      </c>
      <c r="I327" s="9" t="s">
        <v>12</v>
      </c>
      <c r="J327" s="0" t="s">
        <v>13</v>
      </c>
    </row>
    <row r="328" s="15" customFormat="true" ht="13.8" hidden="true" customHeight="false" outlineLevel="0" collapsed="false">
      <c r="A328" s="12" t="n">
        <v>44068</v>
      </c>
      <c r="B328" s="13" t="n">
        <v>0.357638888888889</v>
      </c>
      <c r="C328" s="14" t="n">
        <v>129093</v>
      </c>
      <c r="D328" s="14" t="s">
        <v>10</v>
      </c>
      <c r="E328" s="14" t="n">
        <v>3100</v>
      </c>
      <c r="F328" s="14" t="n">
        <v>2820</v>
      </c>
      <c r="G328" s="16" t="n">
        <v>280</v>
      </c>
      <c r="H328" s="14" t="s">
        <v>11</v>
      </c>
      <c r="I328" s="14" t="s">
        <v>12</v>
      </c>
      <c r="J328" s="15" t="s">
        <v>13</v>
      </c>
    </row>
    <row r="329" customFormat="false" ht="13.8" hidden="true" customHeight="false" outlineLevel="0" collapsed="false">
      <c r="A329" s="7" t="n">
        <v>44068</v>
      </c>
      <c r="B329" s="8" t="n">
        <v>0.477083333333333</v>
      </c>
      <c r="C329" s="9" t="n">
        <v>105974</v>
      </c>
      <c r="D329" s="9" t="s">
        <v>14</v>
      </c>
      <c r="E329" s="9" t="n">
        <v>18160</v>
      </c>
      <c r="F329" s="9" t="n">
        <v>15960</v>
      </c>
      <c r="G329" s="9" t="n">
        <v>2200</v>
      </c>
      <c r="H329" s="9" t="s">
        <v>11</v>
      </c>
      <c r="I329" s="9" t="s">
        <v>20</v>
      </c>
      <c r="J329" s="0" t="s">
        <v>13</v>
      </c>
    </row>
    <row r="330" customFormat="false" ht="13.8" hidden="false" customHeight="false" outlineLevel="0" collapsed="false">
      <c r="A330" s="7" t="n">
        <v>44069</v>
      </c>
      <c r="B330" s="8" t="n">
        <v>0.421527777777778</v>
      </c>
      <c r="C330" s="9" t="n">
        <v>129194</v>
      </c>
      <c r="D330" s="9" t="s">
        <v>30</v>
      </c>
      <c r="E330" s="9" t="n">
        <v>15420</v>
      </c>
      <c r="F330" s="9" t="n">
        <v>13380</v>
      </c>
      <c r="G330" s="17" t="n">
        <v>2040</v>
      </c>
      <c r="H330" s="9" t="s">
        <v>11</v>
      </c>
      <c r="I330" s="9" t="s">
        <v>12</v>
      </c>
      <c r="J330" s="0" t="s">
        <v>13</v>
      </c>
    </row>
    <row r="331" customFormat="false" ht="13.8" hidden="false" customHeight="false" outlineLevel="0" collapsed="false">
      <c r="A331" s="7" t="n">
        <v>44069</v>
      </c>
      <c r="B331" s="8" t="n">
        <v>0.388194444444444</v>
      </c>
      <c r="C331" s="9" t="n">
        <v>129192</v>
      </c>
      <c r="D331" s="9" t="s">
        <v>30</v>
      </c>
      <c r="E331" s="9" t="n">
        <v>14760</v>
      </c>
      <c r="F331" s="9" t="n">
        <v>13080</v>
      </c>
      <c r="G331" s="17" t="n">
        <v>1680</v>
      </c>
      <c r="H331" s="9" t="s">
        <v>11</v>
      </c>
      <c r="I331" s="9" t="s">
        <v>12</v>
      </c>
      <c r="J331" s="0" t="s">
        <v>13</v>
      </c>
    </row>
    <row r="332" customFormat="false" ht="13.8" hidden="true" customHeight="false" outlineLevel="0" collapsed="false">
      <c r="A332" s="7" t="n">
        <v>44069</v>
      </c>
      <c r="B332" s="8" t="n">
        <v>0.467361111111111</v>
      </c>
      <c r="C332" s="9" t="n">
        <v>10601</v>
      </c>
      <c r="D332" s="9" t="s">
        <v>30</v>
      </c>
      <c r="E332" s="9" t="n">
        <v>15260</v>
      </c>
      <c r="F332" s="9" t="n">
        <v>13400</v>
      </c>
      <c r="G332" s="9" t="n">
        <v>1860</v>
      </c>
      <c r="H332" s="9" t="s">
        <v>11</v>
      </c>
      <c r="I332" s="9" t="s">
        <v>20</v>
      </c>
      <c r="J332" s="0" t="s">
        <v>13</v>
      </c>
    </row>
    <row r="333" customFormat="false" ht="13.8" hidden="false" customHeight="false" outlineLevel="0" collapsed="false">
      <c r="A333" s="7" t="n">
        <v>44069</v>
      </c>
      <c r="B333" s="8" t="n">
        <v>0.5</v>
      </c>
      <c r="C333" s="9" t="n">
        <v>129208</v>
      </c>
      <c r="D333" s="9" t="s">
        <v>10</v>
      </c>
      <c r="E333" s="9" t="n">
        <v>3180</v>
      </c>
      <c r="F333" s="9" t="n">
        <v>2860</v>
      </c>
      <c r="G333" s="17" t="n">
        <v>320</v>
      </c>
      <c r="H333" s="9" t="s">
        <v>11</v>
      </c>
      <c r="I333" s="9" t="s">
        <v>12</v>
      </c>
      <c r="J333" s="0" t="s">
        <v>13</v>
      </c>
    </row>
    <row r="334" customFormat="false" ht="13.8" hidden="false" customHeight="false" outlineLevel="0" collapsed="false">
      <c r="A334" s="7" t="n">
        <v>44069</v>
      </c>
      <c r="B334" s="8" t="n">
        <v>0.444444444444444</v>
      </c>
      <c r="C334" s="9" t="n">
        <v>129198</v>
      </c>
      <c r="D334" s="9" t="s">
        <v>10</v>
      </c>
      <c r="E334" s="9" t="n">
        <v>3480</v>
      </c>
      <c r="F334" s="9" t="n">
        <v>2880</v>
      </c>
      <c r="G334" s="17" t="n">
        <v>600</v>
      </c>
      <c r="H334" s="9" t="s">
        <v>11</v>
      </c>
      <c r="I334" s="9" t="s">
        <v>12</v>
      </c>
      <c r="J334" s="0" t="s">
        <v>13</v>
      </c>
    </row>
    <row r="335" customFormat="false" ht="13.8" hidden="false" customHeight="false" outlineLevel="0" collapsed="false">
      <c r="A335" s="7" t="n">
        <v>44069</v>
      </c>
      <c r="B335" s="8" t="n">
        <v>0.474305555555556</v>
      </c>
      <c r="C335" s="9" t="n">
        <v>129202</v>
      </c>
      <c r="D335" s="9" t="s">
        <v>16</v>
      </c>
      <c r="E335" s="9" t="n">
        <v>2600</v>
      </c>
      <c r="F335" s="9" t="n">
        <v>2400</v>
      </c>
      <c r="G335" s="17" t="n">
        <v>200</v>
      </c>
      <c r="H335" s="9" t="s">
        <v>11</v>
      </c>
      <c r="I335" s="9" t="s">
        <v>15</v>
      </c>
      <c r="J335" s="0" t="s">
        <v>13</v>
      </c>
    </row>
    <row r="336" customFormat="false" ht="13.8" hidden="false" customHeight="false" outlineLevel="0" collapsed="false">
      <c r="A336" s="7" t="n">
        <v>44069</v>
      </c>
      <c r="B336" s="8" t="n">
        <v>0.334027777777778</v>
      </c>
      <c r="C336" s="9" t="n">
        <v>129183</v>
      </c>
      <c r="D336" s="9" t="s">
        <v>16</v>
      </c>
      <c r="E336" s="9" t="n">
        <v>2600</v>
      </c>
      <c r="F336" s="9" t="n">
        <v>2400</v>
      </c>
      <c r="G336" s="17" t="n">
        <v>200</v>
      </c>
      <c r="H336" s="9" t="s">
        <v>11</v>
      </c>
      <c r="I336" s="9" t="s">
        <v>15</v>
      </c>
      <c r="J336" s="0" t="s">
        <v>13</v>
      </c>
    </row>
    <row r="337" customFormat="false" ht="13.8" hidden="false" customHeight="false" outlineLevel="0" collapsed="false">
      <c r="A337" s="7" t="n">
        <v>44069</v>
      </c>
      <c r="B337" s="8" t="n">
        <v>0.308333333333333</v>
      </c>
      <c r="C337" s="9" t="n">
        <v>129180</v>
      </c>
      <c r="D337" s="9" t="s">
        <v>10</v>
      </c>
      <c r="E337" s="9" t="n">
        <v>3360</v>
      </c>
      <c r="F337" s="9" t="n">
        <v>2860</v>
      </c>
      <c r="G337" s="17" t="n">
        <v>500</v>
      </c>
      <c r="H337" s="9" t="s">
        <v>11</v>
      </c>
      <c r="I337" s="9" t="s">
        <v>12</v>
      </c>
      <c r="J337" s="0" t="s">
        <v>13</v>
      </c>
    </row>
    <row r="338" customFormat="false" ht="13.8" hidden="false" customHeight="false" outlineLevel="0" collapsed="false">
      <c r="A338" s="7" t="n">
        <v>44069</v>
      </c>
      <c r="B338" s="8" t="n">
        <v>0.291666666666667</v>
      </c>
      <c r="C338" s="9" t="n">
        <v>129176</v>
      </c>
      <c r="D338" s="9" t="s">
        <v>14</v>
      </c>
      <c r="E338" s="9" t="n">
        <v>22940</v>
      </c>
      <c r="F338" s="9" t="n">
        <v>15920</v>
      </c>
      <c r="G338" s="17" t="n">
        <v>7020</v>
      </c>
      <c r="H338" s="9" t="s">
        <v>11</v>
      </c>
      <c r="I338" s="9" t="s">
        <v>15</v>
      </c>
      <c r="J338" s="0" t="s">
        <v>13</v>
      </c>
    </row>
    <row r="339" customFormat="false" ht="13.8" hidden="false" customHeight="false" outlineLevel="0" collapsed="false">
      <c r="A339" s="7" t="n">
        <v>44069</v>
      </c>
      <c r="B339" s="8" t="n">
        <v>0.179166666666667</v>
      </c>
      <c r="C339" s="9" t="n">
        <v>129162</v>
      </c>
      <c r="D339" s="9" t="s">
        <v>14</v>
      </c>
      <c r="E339" s="9" t="n">
        <v>25100</v>
      </c>
      <c r="F339" s="9" t="n">
        <v>15920</v>
      </c>
      <c r="G339" s="17" t="n">
        <v>9180</v>
      </c>
      <c r="H339" s="9" t="s">
        <v>11</v>
      </c>
      <c r="I339" s="9" t="s">
        <v>15</v>
      </c>
      <c r="J339" s="0" t="s">
        <v>13</v>
      </c>
    </row>
    <row r="340" customFormat="false" ht="13.8" hidden="false" customHeight="false" outlineLevel="0" collapsed="false">
      <c r="A340" s="7" t="n">
        <v>44069</v>
      </c>
      <c r="B340" s="8" t="n">
        <v>0.25625</v>
      </c>
      <c r="C340" s="9" t="n">
        <v>129170</v>
      </c>
      <c r="D340" s="9" t="s">
        <v>18</v>
      </c>
      <c r="E340" s="9" t="n">
        <v>18960</v>
      </c>
      <c r="F340" s="9" t="n">
        <v>12840</v>
      </c>
      <c r="G340" s="17" t="n">
        <v>6120</v>
      </c>
      <c r="H340" s="9" t="s">
        <v>11</v>
      </c>
      <c r="I340" s="9" t="s">
        <v>15</v>
      </c>
      <c r="J340" s="0" t="s">
        <v>13</v>
      </c>
    </row>
    <row r="341" customFormat="false" ht="13.8" hidden="false" customHeight="false" outlineLevel="0" collapsed="false">
      <c r="A341" s="7" t="n">
        <v>44069</v>
      </c>
      <c r="B341" s="8" t="n">
        <v>0.254861111111111</v>
      </c>
      <c r="C341" s="9" t="n">
        <v>129169</v>
      </c>
      <c r="D341" s="9" t="s">
        <v>19</v>
      </c>
      <c r="E341" s="9" t="n">
        <v>4720</v>
      </c>
      <c r="F341" s="9" t="n">
        <v>3680</v>
      </c>
      <c r="G341" s="17" t="n">
        <v>1040</v>
      </c>
      <c r="H341" s="9" t="s">
        <v>11</v>
      </c>
      <c r="I341" s="9" t="s">
        <v>15</v>
      </c>
      <c r="J341" s="0" t="s">
        <v>13</v>
      </c>
    </row>
    <row r="342" customFormat="false" ht="13.8" hidden="false" customHeight="false" outlineLevel="0" collapsed="false">
      <c r="A342" s="7" t="n">
        <v>44069</v>
      </c>
      <c r="B342" s="8" t="n">
        <v>0.684027777777778</v>
      </c>
      <c r="C342" s="9" t="n">
        <v>129226</v>
      </c>
      <c r="D342" s="9" t="s">
        <v>18</v>
      </c>
      <c r="E342" s="9" t="n">
        <v>14360</v>
      </c>
      <c r="F342" s="9" t="n">
        <v>12740</v>
      </c>
      <c r="G342" s="17" t="n">
        <v>1620</v>
      </c>
      <c r="H342" s="9" t="s">
        <v>11</v>
      </c>
      <c r="I342" s="9" t="s">
        <v>15</v>
      </c>
      <c r="J342" s="0" t="s">
        <v>13</v>
      </c>
    </row>
    <row r="343" customFormat="false" ht="13.8" hidden="false" customHeight="false" outlineLevel="0" collapsed="false">
      <c r="A343" s="7" t="n">
        <v>44069</v>
      </c>
      <c r="B343" s="8" t="n">
        <v>0.877083333333333</v>
      </c>
      <c r="C343" s="9" t="n">
        <v>129237</v>
      </c>
      <c r="D343" s="9" t="s">
        <v>17</v>
      </c>
      <c r="E343" s="9" t="n">
        <v>24260</v>
      </c>
      <c r="F343" s="9" t="n">
        <v>16180</v>
      </c>
      <c r="G343" s="17" t="n">
        <v>8080</v>
      </c>
      <c r="H343" s="9" t="s">
        <v>11</v>
      </c>
      <c r="I343" s="9" t="s">
        <v>15</v>
      </c>
      <c r="J343" s="0" t="s">
        <v>13</v>
      </c>
    </row>
    <row r="344" customFormat="false" ht="13.8" hidden="false" customHeight="false" outlineLevel="0" collapsed="false">
      <c r="A344" s="7" t="n">
        <v>44069</v>
      </c>
      <c r="B344" s="8" t="n">
        <v>0.0805555555555556</v>
      </c>
      <c r="C344" s="9" t="n">
        <v>129155</v>
      </c>
      <c r="D344" s="9" t="s">
        <v>18</v>
      </c>
      <c r="E344" s="9" t="n">
        <v>22160</v>
      </c>
      <c r="F344" s="9" t="n">
        <v>12820</v>
      </c>
      <c r="G344" s="17" t="n">
        <v>9340</v>
      </c>
      <c r="H344" s="9" t="s">
        <v>11</v>
      </c>
      <c r="I344" s="9" t="s">
        <v>15</v>
      </c>
      <c r="J344" s="0" t="s">
        <v>13</v>
      </c>
    </row>
    <row r="345" s="21" customFormat="true" ht="13.8" hidden="false" customHeight="false" outlineLevel="0" collapsed="false">
      <c r="A345" s="18" t="n">
        <v>44069</v>
      </c>
      <c r="B345" s="19" t="n">
        <v>0.883333333333333</v>
      </c>
      <c r="C345" s="20" t="n">
        <v>129238</v>
      </c>
      <c r="D345" s="20" t="s">
        <v>16</v>
      </c>
      <c r="E345" s="20" t="n">
        <v>2620</v>
      </c>
      <c r="F345" s="20" t="n">
        <v>2420</v>
      </c>
      <c r="G345" s="17" t="n">
        <v>200</v>
      </c>
      <c r="H345" s="20" t="s">
        <v>11</v>
      </c>
      <c r="I345" s="20" t="s">
        <v>15</v>
      </c>
      <c r="J345" s="21" t="s">
        <v>13</v>
      </c>
    </row>
    <row r="346" customFormat="false" ht="13.8" hidden="false" customHeight="false" outlineLevel="0" collapsed="false">
      <c r="A346" s="7" t="n">
        <v>44070</v>
      </c>
      <c r="B346" s="8" t="n">
        <v>0.233333333333333</v>
      </c>
      <c r="C346" s="9" t="n">
        <v>129253</v>
      </c>
      <c r="D346" s="9" t="s">
        <v>18</v>
      </c>
      <c r="E346" s="9" t="n">
        <v>18280</v>
      </c>
      <c r="F346" s="9" t="n">
        <v>12880</v>
      </c>
      <c r="G346" s="17" t="n">
        <v>5400</v>
      </c>
      <c r="H346" s="9" t="s">
        <v>11</v>
      </c>
      <c r="I346" s="9" t="s">
        <v>15</v>
      </c>
      <c r="J346" s="0" t="s">
        <v>13</v>
      </c>
    </row>
    <row r="347" customFormat="false" ht="13.8" hidden="false" customHeight="false" outlineLevel="0" collapsed="false">
      <c r="A347" s="7" t="n">
        <v>44070</v>
      </c>
      <c r="B347" s="8" t="n">
        <v>0.0715277777777778</v>
      </c>
      <c r="C347" s="9" t="n">
        <v>129240</v>
      </c>
      <c r="D347" s="9" t="s">
        <v>18</v>
      </c>
      <c r="E347" s="9" t="n">
        <v>21920</v>
      </c>
      <c r="F347" s="9" t="n">
        <v>12860</v>
      </c>
      <c r="G347" s="17" t="n">
        <v>9060</v>
      </c>
      <c r="H347" s="9" t="s">
        <v>11</v>
      </c>
      <c r="I347" s="9" t="s">
        <v>15</v>
      </c>
      <c r="J347" s="0" t="s">
        <v>13</v>
      </c>
    </row>
    <row r="348" customFormat="false" ht="13.8" hidden="false" customHeight="false" outlineLevel="0" collapsed="false">
      <c r="A348" s="7" t="n">
        <v>44070</v>
      </c>
      <c r="B348" s="8" t="n">
        <v>0.167361111111111</v>
      </c>
      <c r="C348" s="9" t="n">
        <v>129249</v>
      </c>
      <c r="D348" s="9" t="s">
        <v>14</v>
      </c>
      <c r="E348" s="9" t="n">
        <v>23360</v>
      </c>
      <c r="F348" s="9" t="n">
        <v>16080</v>
      </c>
      <c r="G348" s="17" t="n">
        <v>7280</v>
      </c>
      <c r="H348" s="9" t="s">
        <v>11</v>
      </c>
      <c r="I348" s="9" t="s">
        <v>15</v>
      </c>
      <c r="J348" s="0" t="s">
        <v>13</v>
      </c>
    </row>
    <row r="349" customFormat="false" ht="13.8" hidden="false" customHeight="false" outlineLevel="0" collapsed="false">
      <c r="A349" s="7" t="n">
        <v>44070</v>
      </c>
      <c r="B349" s="8" t="n">
        <v>0.2875</v>
      </c>
      <c r="C349" s="9" t="n">
        <v>129260</v>
      </c>
      <c r="D349" s="9" t="s">
        <v>14</v>
      </c>
      <c r="E349" s="9" t="n">
        <v>22460</v>
      </c>
      <c r="F349" s="9" t="n">
        <v>16060</v>
      </c>
      <c r="G349" s="17" t="n">
        <v>6400</v>
      </c>
      <c r="H349" s="9" t="s">
        <v>11</v>
      </c>
      <c r="I349" s="9" t="s">
        <v>15</v>
      </c>
      <c r="J349" s="0" t="s">
        <v>13</v>
      </c>
    </row>
    <row r="350" customFormat="false" ht="13.8" hidden="false" customHeight="false" outlineLevel="0" collapsed="false">
      <c r="A350" s="7" t="n">
        <v>44070</v>
      </c>
      <c r="B350" s="8" t="n">
        <v>0.254861111111111</v>
      </c>
      <c r="C350" s="9" t="n">
        <v>129255</v>
      </c>
      <c r="D350" s="9" t="s">
        <v>19</v>
      </c>
      <c r="E350" s="9" t="n">
        <v>4680</v>
      </c>
      <c r="F350" s="9" t="n">
        <v>3660</v>
      </c>
      <c r="G350" s="17" t="n">
        <v>1020</v>
      </c>
      <c r="H350" s="9" t="s">
        <v>11</v>
      </c>
      <c r="I350" s="9" t="s">
        <v>15</v>
      </c>
      <c r="J350" s="0" t="s">
        <v>13</v>
      </c>
    </row>
    <row r="351" customFormat="false" ht="13.8" hidden="false" customHeight="false" outlineLevel="0" collapsed="false">
      <c r="A351" s="7" t="n">
        <v>44070</v>
      </c>
      <c r="B351" s="8" t="n">
        <v>0.667361111111111</v>
      </c>
      <c r="C351" s="9" t="n">
        <v>129294</v>
      </c>
      <c r="D351" s="9" t="s">
        <v>26</v>
      </c>
      <c r="E351" s="9" t="n">
        <v>14000</v>
      </c>
      <c r="F351" s="9" t="n">
        <v>12440</v>
      </c>
      <c r="G351" s="17" t="n">
        <v>1560</v>
      </c>
      <c r="H351" s="9" t="s">
        <v>11</v>
      </c>
      <c r="I351" s="9" t="s">
        <v>15</v>
      </c>
      <c r="K351" s="0" t="s">
        <v>31</v>
      </c>
    </row>
    <row r="352" customFormat="false" ht="13.8" hidden="false" customHeight="false" outlineLevel="0" collapsed="false">
      <c r="A352" s="7" t="n">
        <v>44070</v>
      </c>
      <c r="B352" s="8" t="n">
        <v>0.503472222222222</v>
      </c>
      <c r="C352" s="9" t="n">
        <v>129282</v>
      </c>
      <c r="D352" s="9" t="s">
        <v>10</v>
      </c>
      <c r="E352" s="9" t="n">
        <v>3440</v>
      </c>
      <c r="F352" s="9" t="n">
        <v>2820</v>
      </c>
      <c r="G352" s="17" t="n">
        <v>620</v>
      </c>
      <c r="H352" s="9" t="s">
        <v>11</v>
      </c>
      <c r="I352" s="9" t="s">
        <v>12</v>
      </c>
      <c r="J352" s="0" t="s">
        <v>13</v>
      </c>
    </row>
    <row r="353" customFormat="false" ht="13.8" hidden="false" customHeight="false" outlineLevel="0" collapsed="false">
      <c r="A353" s="7" t="n">
        <v>44070</v>
      </c>
      <c r="B353" s="8" t="n">
        <v>0.906944444444444</v>
      </c>
      <c r="C353" s="9" t="n">
        <v>129307</v>
      </c>
      <c r="D353" s="9" t="s">
        <v>17</v>
      </c>
      <c r="E353" s="9" t="n">
        <v>22200</v>
      </c>
      <c r="F353" s="9" t="n">
        <v>16220</v>
      </c>
      <c r="G353" s="17" t="n">
        <v>5980</v>
      </c>
      <c r="H353" s="9" t="s">
        <v>11</v>
      </c>
      <c r="I353" s="9" t="s">
        <v>15</v>
      </c>
      <c r="J353" s="0" t="s">
        <v>13</v>
      </c>
    </row>
    <row r="354" s="21" customFormat="true" ht="13.8" hidden="false" customHeight="false" outlineLevel="0" collapsed="false">
      <c r="A354" s="18" t="n">
        <v>44070</v>
      </c>
      <c r="B354" s="19" t="n">
        <v>0.53125</v>
      </c>
      <c r="C354" s="20" t="n">
        <v>129286</v>
      </c>
      <c r="D354" s="20" t="s">
        <v>24</v>
      </c>
      <c r="E354" s="20" t="n">
        <v>2920</v>
      </c>
      <c r="F354" s="20" t="n">
        <v>2700</v>
      </c>
      <c r="G354" s="17" t="n">
        <v>220</v>
      </c>
      <c r="H354" s="20" t="s">
        <v>11</v>
      </c>
      <c r="I354" s="20" t="s">
        <v>25</v>
      </c>
      <c r="J354" s="21" t="s">
        <v>13</v>
      </c>
    </row>
    <row r="355" customFormat="false" ht="13.8" hidden="true" customHeight="false" outlineLevel="0" collapsed="false">
      <c r="A355" s="7" t="n">
        <v>44070</v>
      </c>
      <c r="B355" s="8" t="n">
        <v>0.451388888888889</v>
      </c>
      <c r="C355" s="9" t="n">
        <v>106051</v>
      </c>
      <c r="D355" s="9" t="s">
        <v>17</v>
      </c>
      <c r="E355" s="9" t="n">
        <v>17560</v>
      </c>
      <c r="F355" s="9" t="n">
        <v>16120</v>
      </c>
      <c r="G355" s="9" t="n">
        <v>1440</v>
      </c>
      <c r="H355" s="9" t="s">
        <v>11</v>
      </c>
      <c r="I355" s="9" t="s">
        <v>20</v>
      </c>
      <c r="J355" s="0" t="s">
        <v>13</v>
      </c>
    </row>
    <row r="356" customFormat="false" ht="13.8" hidden="false" customHeight="false" outlineLevel="0" collapsed="false">
      <c r="A356" s="7" t="n">
        <v>44071</v>
      </c>
      <c r="B356" s="8" t="n">
        <v>0.213888888888889</v>
      </c>
      <c r="C356" s="9" t="n">
        <v>129319</v>
      </c>
      <c r="D356" s="9" t="s">
        <v>18</v>
      </c>
      <c r="E356" s="9" t="n">
        <v>17560</v>
      </c>
      <c r="F356" s="9" t="n">
        <v>12800</v>
      </c>
      <c r="G356" s="17" t="n">
        <v>4760</v>
      </c>
      <c r="H356" s="9" t="s">
        <v>11</v>
      </c>
      <c r="I356" s="9" t="s">
        <v>15</v>
      </c>
      <c r="J356" s="0" t="s">
        <v>13</v>
      </c>
    </row>
    <row r="357" customFormat="false" ht="13.8" hidden="false" customHeight="false" outlineLevel="0" collapsed="false">
      <c r="A357" s="7" t="n">
        <v>44071</v>
      </c>
      <c r="B357" s="8" t="n">
        <v>0.286805555555556</v>
      </c>
      <c r="C357" s="9" t="n">
        <v>129327</v>
      </c>
      <c r="D357" s="9" t="s">
        <v>19</v>
      </c>
      <c r="E357" s="9" t="n">
        <v>4980</v>
      </c>
      <c r="F357" s="9" t="n">
        <v>3720</v>
      </c>
      <c r="G357" s="17" t="n">
        <v>1260</v>
      </c>
      <c r="H357" s="9" t="s">
        <v>11</v>
      </c>
      <c r="I357" s="9" t="s">
        <v>15</v>
      </c>
      <c r="J357" s="0" t="s">
        <v>13</v>
      </c>
    </row>
    <row r="358" customFormat="false" ht="13.8" hidden="false" customHeight="false" outlineLevel="0" collapsed="false">
      <c r="A358" s="7" t="n">
        <v>44071</v>
      </c>
      <c r="B358" s="8" t="n">
        <v>0.111111111111111</v>
      </c>
      <c r="C358" s="9" t="n">
        <v>129311</v>
      </c>
      <c r="D358" s="9" t="s">
        <v>18</v>
      </c>
      <c r="E358" s="9" t="n">
        <v>23400</v>
      </c>
      <c r="F358" s="9" t="n">
        <v>12820</v>
      </c>
      <c r="G358" s="17" t="n">
        <v>10580</v>
      </c>
      <c r="H358" s="9" t="s">
        <v>11</v>
      </c>
      <c r="I358" s="9" t="s">
        <v>15</v>
      </c>
      <c r="J358" s="0" t="s">
        <v>13</v>
      </c>
    </row>
    <row r="359" customFormat="false" ht="13.8" hidden="false" customHeight="false" outlineLevel="0" collapsed="false">
      <c r="A359" s="7" t="n">
        <v>44071</v>
      </c>
      <c r="B359" s="8" t="n">
        <v>0.195833333333333</v>
      </c>
      <c r="C359" s="9" t="n">
        <v>129317</v>
      </c>
      <c r="D359" s="9" t="s">
        <v>14</v>
      </c>
      <c r="E359" s="9" t="n">
        <v>26840</v>
      </c>
      <c r="F359" s="9" t="n">
        <v>16040</v>
      </c>
      <c r="G359" s="17" t="n">
        <v>10800</v>
      </c>
      <c r="H359" s="9" t="s">
        <v>11</v>
      </c>
      <c r="I359" s="9" t="s">
        <v>15</v>
      </c>
      <c r="J359" s="0" t="s">
        <v>13</v>
      </c>
    </row>
    <row r="360" customFormat="false" ht="13.8" hidden="false" customHeight="false" outlineLevel="0" collapsed="false">
      <c r="A360" s="7" t="n">
        <v>44071</v>
      </c>
      <c r="B360" s="8" t="n">
        <v>0.297222222222222</v>
      </c>
      <c r="C360" s="9" t="n">
        <v>129330</v>
      </c>
      <c r="D360" s="9" t="s">
        <v>14</v>
      </c>
      <c r="E360" s="9" t="n">
        <v>23220</v>
      </c>
      <c r="F360" s="9" t="n">
        <v>16020</v>
      </c>
      <c r="G360" s="17" t="n">
        <v>7200</v>
      </c>
      <c r="H360" s="9" t="s">
        <v>11</v>
      </c>
      <c r="I360" s="9" t="s">
        <v>15</v>
      </c>
      <c r="J360" s="0" t="s">
        <v>13</v>
      </c>
    </row>
    <row r="361" customFormat="false" ht="13.8" hidden="true" customHeight="false" outlineLevel="0" collapsed="false">
      <c r="A361" s="7" t="n">
        <v>44071</v>
      </c>
      <c r="B361" s="8" t="n">
        <v>0.465277777777778</v>
      </c>
      <c r="C361" s="9" t="n">
        <v>716</v>
      </c>
      <c r="D361" s="9" t="s">
        <v>17</v>
      </c>
      <c r="E361" s="9" t="n">
        <v>19220</v>
      </c>
      <c r="F361" s="9" t="n">
        <v>16020</v>
      </c>
      <c r="G361" s="9" t="n">
        <v>3200</v>
      </c>
      <c r="H361" s="9" t="s">
        <v>11</v>
      </c>
      <c r="I361" s="9" t="s">
        <v>22</v>
      </c>
      <c r="J361" s="0" t="s">
        <v>13</v>
      </c>
    </row>
    <row r="362" customFormat="false" ht="13.8" hidden="false" customHeight="false" outlineLevel="0" collapsed="false">
      <c r="A362" s="7" t="n">
        <v>44071</v>
      </c>
      <c r="B362" s="8" t="n">
        <v>0.869444444444444</v>
      </c>
      <c r="C362" s="9" t="n">
        <v>129371</v>
      </c>
      <c r="D362" s="9" t="s">
        <v>16</v>
      </c>
      <c r="E362" s="9" t="n">
        <v>2580</v>
      </c>
      <c r="F362" s="9" t="n">
        <v>2400</v>
      </c>
      <c r="G362" s="17" t="n">
        <v>180</v>
      </c>
      <c r="H362" s="9" t="s">
        <v>11</v>
      </c>
      <c r="I362" s="9" t="s">
        <v>15</v>
      </c>
      <c r="J362" s="0" t="s">
        <v>13</v>
      </c>
    </row>
    <row r="363" customFormat="false" ht="13.8" hidden="false" customHeight="false" outlineLevel="0" collapsed="false">
      <c r="A363" s="7" t="n">
        <v>44071</v>
      </c>
      <c r="B363" s="8" t="n">
        <v>0.858333333333333</v>
      </c>
      <c r="C363" s="9" t="n">
        <v>129370</v>
      </c>
      <c r="D363" s="9" t="s">
        <v>17</v>
      </c>
      <c r="E363" s="9" t="n">
        <v>24320</v>
      </c>
      <c r="F363" s="9" t="n">
        <v>16200</v>
      </c>
      <c r="G363" s="17" t="n">
        <v>8120</v>
      </c>
      <c r="H363" s="9" t="s">
        <v>11</v>
      </c>
      <c r="I363" s="9" t="s">
        <v>15</v>
      </c>
      <c r="J363" s="0" t="s">
        <v>13</v>
      </c>
    </row>
    <row r="364" customFormat="false" ht="13.8" hidden="false" customHeight="false" outlineLevel="0" collapsed="false">
      <c r="A364" s="7" t="n">
        <v>44071</v>
      </c>
      <c r="B364" s="8" t="n">
        <v>0.495833333333333</v>
      </c>
      <c r="C364" s="9" t="n">
        <v>129353</v>
      </c>
      <c r="D364" s="9" t="s">
        <v>10</v>
      </c>
      <c r="E364" s="9" t="n">
        <v>3200</v>
      </c>
      <c r="F364" s="9" t="n">
        <v>2860</v>
      </c>
      <c r="G364" s="17" t="n">
        <v>340</v>
      </c>
      <c r="H364" s="9" t="s">
        <v>11</v>
      </c>
      <c r="I364" s="9" t="s">
        <v>12</v>
      </c>
      <c r="J364" s="0" t="s">
        <v>13</v>
      </c>
    </row>
    <row r="365" customFormat="false" ht="13.8" hidden="false" customHeight="false" outlineLevel="0" collapsed="false">
      <c r="A365" s="7" t="n">
        <v>44071</v>
      </c>
      <c r="B365" s="8" t="n">
        <v>0.461111111111111</v>
      </c>
      <c r="C365" s="9" t="n">
        <v>129350</v>
      </c>
      <c r="D365" s="9" t="s">
        <v>16</v>
      </c>
      <c r="E365" s="9" t="n">
        <v>2700</v>
      </c>
      <c r="F365" s="9" t="n">
        <v>2480</v>
      </c>
      <c r="G365" s="17" t="n">
        <v>220</v>
      </c>
      <c r="H365" s="9" t="s">
        <v>11</v>
      </c>
      <c r="I365" s="9" t="s">
        <v>15</v>
      </c>
      <c r="J365" s="0" t="s">
        <v>13</v>
      </c>
    </row>
    <row r="366" s="21" customFormat="true" ht="13.8" hidden="false" customHeight="false" outlineLevel="0" collapsed="false">
      <c r="A366" s="18" t="n">
        <v>44071</v>
      </c>
      <c r="B366" s="19" t="n">
        <v>0.677777777777778</v>
      </c>
      <c r="C366" s="20" t="n">
        <v>129368</v>
      </c>
      <c r="D366" s="20" t="s">
        <v>18</v>
      </c>
      <c r="E366" s="20" t="n">
        <v>15120</v>
      </c>
      <c r="F366" s="20" t="n">
        <v>12840</v>
      </c>
      <c r="G366" s="17" t="n">
        <v>2280</v>
      </c>
      <c r="H366" s="20" t="s">
        <v>11</v>
      </c>
      <c r="I366" s="20" t="s">
        <v>15</v>
      </c>
      <c r="J366" s="21" t="s">
        <v>13</v>
      </c>
    </row>
    <row r="367" customFormat="false" ht="13.8" hidden="true" customHeight="false" outlineLevel="0" collapsed="false">
      <c r="A367" s="7" t="n">
        <v>44072</v>
      </c>
      <c r="B367" s="8" t="n">
        <v>0.447916666666667</v>
      </c>
      <c r="C367" s="9" t="n">
        <v>106118</v>
      </c>
      <c r="D367" s="9" t="s">
        <v>17</v>
      </c>
      <c r="E367" s="9" t="n">
        <v>17340</v>
      </c>
      <c r="F367" s="9" t="n">
        <v>16140</v>
      </c>
      <c r="G367" s="9" t="n">
        <v>1200</v>
      </c>
      <c r="H367" s="9" t="s">
        <v>11</v>
      </c>
      <c r="I367" s="9" t="s">
        <v>20</v>
      </c>
      <c r="J367" s="0" t="s">
        <v>13</v>
      </c>
    </row>
    <row r="368" customFormat="false" ht="13.8" hidden="false" customHeight="false" outlineLevel="0" collapsed="false">
      <c r="A368" s="7" t="n">
        <v>44072</v>
      </c>
      <c r="B368" s="8" t="n">
        <v>0.863888888888889</v>
      </c>
      <c r="C368" s="9" t="n">
        <v>129401</v>
      </c>
      <c r="D368" s="9" t="s">
        <v>17</v>
      </c>
      <c r="E368" s="9" t="n">
        <v>25640</v>
      </c>
      <c r="F368" s="9" t="n">
        <v>16200</v>
      </c>
      <c r="G368" s="17" t="n">
        <v>9440</v>
      </c>
      <c r="H368" s="9" t="s">
        <v>11</v>
      </c>
      <c r="I368" s="9" t="s">
        <v>15</v>
      </c>
      <c r="J368" s="0" t="s">
        <v>13</v>
      </c>
    </row>
    <row r="369" customFormat="false" ht="13.8" hidden="false" customHeight="false" outlineLevel="0" collapsed="false">
      <c r="A369" s="7" t="n">
        <v>44072</v>
      </c>
      <c r="B369" s="8" t="n">
        <v>0.866666666666667</v>
      </c>
      <c r="C369" s="9" t="n">
        <v>129402</v>
      </c>
      <c r="D369" s="9" t="s">
        <v>16</v>
      </c>
      <c r="E369" s="9" t="n">
        <v>2680</v>
      </c>
      <c r="F369" s="9" t="n">
        <v>2440</v>
      </c>
      <c r="G369" s="17" t="n">
        <v>240</v>
      </c>
      <c r="H369" s="9" t="s">
        <v>11</v>
      </c>
      <c r="I369" s="9" t="s">
        <v>15</v>
      </c>
      <c r="J369" s="0" t="s">
        <v>13</v>
      </c>
    </row>
    <row r="370" customFormat="false" ht="13.8" hidden="false" customHeight="false" outlineLevel="0" collapsed="false">
      <c r="A370" s="7" t="n">
        <v>44072</v>
      </c>
      <c r="B370" s="8" t="n">
        <v>0.0972222222222222</v>
      </c>
      <c r="C370" s="9" t="n">
        <v>129376</v>
      </c>
      <c r="D370" s="9" t="s">
        <v>18</v>
      </c>
      <c r="E370" s="9" t="n">
        <v>22980</v>
      </c>
      <c r="F370" s="9" t="n">
        <v>12860</v>
      </c>
      <c r="G370" s="17" t="n">
        <v>10120</v>
      </c>
      <c r="H370" s="9" t="s">
        <v>11</v>
      </c>
      <c r="I370" s="9" t="s">
        <v>15</v>
      </c>
      <c r="J370" s="0" t="s">
        <v>13</v>
      </c>
    </row>
    <row r="371" customFormat="false" ht="13.8" hidden="false" customHeight="false" outlineLevel="0" collapsed="false">
      <c r="A371" s="7" t="n">
        <v>44072</v>
      </c>
      <c r="B371" s="8" t="n">
        <v>0.26875</v>
      </c>
      <c r="C371" s="9" t="n">
        <v>129393</v>
      </c>
      <c r="D371" s="9" t="s">
        <v>18</v>
      </c>
      <c r="E371" s="9" t="n">
        <v>18840</v>
      </c>
      <c r="F371" s="9" t="n">
        <v>12960</v>
      </c>
      <c r="G371" s="17" t="n">
        <v>5880</v>
      </c>
      <c r="H371" s="9" t="s">
        <v>11</v>
      </c>
      <c r="I371" s="9" t="s">
        <v>15</v>
      </c>
      <c r="J371" s="0" t="s">
        <v>13</v>
      </c>
    </row>
    <row r="372" customFormat="false" ht="13.8" hidden="false" customHeight="false" outlineLevel="0" collapsed="false">
      <c r="A372" s="7" t="n">
        <v>44072</v>
      </c>
      <c r="B372" s="8" t="n">
        <v>0.263888888888889</v>
      </c>
      <c r="C372" s="9" t="n">
        <v>129391</v>
      </c>
      <c r="D372" s="9" t="s">
        <v>19</v>
      </c>
      <c r="E372" s="9" t="n">
        <v>4720</v>
      </c>
      <c r="F372" s="9" t="n">
        <v>3580</v>
      </c>
      <c r="G372" s="17" t="n">
        <v>1140</v>
      </c>
      <c r="H372" s="9" t="s">
        <v>11</v>
      </c>
      <c r="I372" s="9" t="s">
        <v>15</v>
      </c>
      <c r="J372" s="0" t="s">
        <v>13</v>
      </c>
    </row>
    <row r="373" customFormat="false" ht="13.8" hidden="false" customHeight="false" outlineLevel="0" collapsed="false">
      <c r="A373" s="7" t="n">
        <v>44072</v>
      </c>
      <c r="B373" s="8" t="n">
        <v>0.476388888888889</v>
      </c>
      <c r="C373" s="9" t="n">
        <v>129399</v>
      </c>
      <c r="D373" s="9" t="s">
        <v>10</v>
      </c>
      <c r="E373" s="9" t="n">
        <v>3480</v>
      </c>
      <c r="F373" s="9" t="n">
        <v>2880</v>
      </c>
      <c r="G373" s="17" t="n">
        <v>600</v>
      </c>
      <c r="H373" s="9" t="s">
        <v>11</v>
      </c>
      <c r="I373" s="9" t="s">
        <v>12</v>
      </c>
      <c r="J373" s="0" t="s">
        <v>13</v>
      </c>
    </row>
    <row r="374" customFormat="false" ht="13.8" hidden="false" customHeight="false" outlineLevel="0" collapsed="false">
      <c r="A374" s="7" t="n">
        <v>44072</v>
      </c>
      <c r="B374" s="8" t="n">
        <v>0.672916666666667</v>
      </c>
      <c r="C374" s="9" t="n">
        <v>129400</v>
      </c>
      <c r="D374" s="9" t="s">
        <v>18</v>
      </c>
      <c r="E374" s="9" t="n">
        <v>13660</v>
      </c>
      <c r="F374" s="9" t="n">
        <v>12800</v>
      </c>
      <c r="G374" s="17" t="n">
        <v>860</v>
      </c>
      <c r="H374" s="9" t="s">
        <v>11</v>
      </c>
      <c r="I374" s="9" t="s">
        <v>15</v>
      </c>
      <c r="J374" s="0" t="s">
        <v>13</v>
      </c>
    </row>
    <row r="375" customFormat="false" ht="13.8" hidden="false" customHeight="false" outlineLevel="0" collapsed="false">
      <c r="A375" s="7" t="n">
        <v>44072</v>
      </c>
      <c r="B375" s="8" t="n">
        <v>0.466666666666667</v>
      </c>
      <c r="C375" s="9" t="n">
        <v>129398</v>
      </c>
      <c r="D375" s="9" t="s">
        <v>16</v>
      </c>
      <c r="E375" s="9" t="n">
        <v>2460</v>
      </c>
      <c r="F375" s="9" t="n">
        <v>2340</v>
      </c>
      <c r="G375" s="17" t="n">
        <v>120</v>
      </c>
      <c r="H375" s="9" t="s">
        <v>11</v>
      </c>
      <c r="I375" s="9" t="s">
        <v>15</v>
      </c>
      <c r="J375" s="0" t="s">
        <v>13</v>
      </c>
    </row>
    <row r="376" customFormat="false" ht="13.8" hidden="false" customHeight="false" outlineLevel="0" collapsed="false">
      <c r="A376" s="7" t="n">
        <v>44072</v>
      </c>
      <c r="B376" s="8" t="n">
        <v>0.318055555555556</v>
      </c>
      <c r="C376" s="9" t="n">
        <v>129396</v>
      </c>
      <c r="D376" s="9" t="s">
        <v>10</v>
      </c>
      <c r="E376" s="9" t="n">
        <v>3300</v>
      </c>
      <c r="F376" s="9" t="n">
        <v>2900</v>
      </c>
      <c r="G376" s="17" t="n">
        <v>400</v>
      </c>
      <c r="H376" s="9" t="s">
        <v>11</v>
      </c>
      <c r="I376" s="9" t="s">
        <v>15</v>
      </c>
      <c r="J376" s="0" t="s">
        <v>13</v>
      </c>
    </row>
    <row r="377" s="21" customFormat="true" ht="13.8" hidden="false" customHeight="false" outlineLevel="0" collapsed="false">
      <c r="A377" s="18" t="n">
        <v>44072</v>
      </c>
      <c r="B377" s="19" t="n">
        <v>0.0791666666666667</v>
      </c>
      <c r="C377" s="20" t="n">
        <v>129373</v>
      </c>
      <c r="D377" s="20" t="s">
        <v>17</v>
      </c>
      <c r="E377" s="20" t="n">
        <v>21380</v>
      </c>
      <c r="F377" s="20" t="n">
        <v>16180</v>
      </c>
      <c r="G377" s="17" t="n">
        <v>5200</v>
      </c>
      <c r="H377" s="20" t="s">
        <v>11</v>
      </c>
      <c r="I377" s="20" t="s">
        <v>15</v>
      </c>
      <c r="J377" s="21" t="s">
        <v>13</v>
      </c>
    </row>
    <row r="378" customFormat="false" ht="13.8" hidden="false" customHeight="false" outlineLevel="0" collapsed="false">
      <c r="A378" s="7" t="n">
        <v>44073</v>
      </c>
      <c r="B378" s="8" t="n">
        <v>0.85625</v>
      </c>
      <c r="C378" s="9" t="n">
        <v>129429</v>
      </c>
      <c r="D378" s="9" t="s">
        <v>17</v>
      </c>
      <c r="E378" s="9" t="n">
        <v>24360</v>
      </c>
      <c r="F378" s="9" t="n">
        <v>16240</v>
      </c>
      <c r="G378" s="17" t="n">
        <v>8120</v>
      </c>
      <c r="H378" s="9" t="s">
        <v>11</v>
      </c>
      <c r="I378" s="9" t="s">
        <v>15</v>
      </c>
      <c r="J378" s="0" t="s">
        <v>13</v>
      </c>
    </row>
    <row r="379" customFormat="false" ht="13.8" hidden="false" customHeight="false" outlineLevel="0" collapsed="false">
      <c r="A379" s="7" t="n">
        <v>44073</v>
      </c>
      <c r="B379" s="8" t="n">
        <v>0.85</v>
      </c>
      <c r="C379" s="9" t="n">
        <v>129428</v>
      </c>
      <c r="D379" s="9" t="s">
        <v>16</v>
      </c>
      <c r="E379" s="9" t="n">
        <v>2660</v>
      </c>
      <c r="F379" s="9" t="n">
        <v>2420</v>
      </c>
      <c r="G379" s="17" t="n">
        <v>240</v>
      </c>
      <c r="H379" s="9" t="s">
        <v>11</v>
      </c>
      <c r="I379" s="9" t="s">
        <v>15</v>
      </c>
      <c r="J379" s="0" t="s">
        <v>13</v>
      </c>
    </row>
    <row r="380" customFormat="false" ht="13.8" hidden="false" customHeight="false" outlineLevel="0" collapsed="false">
      <c r="A380" s="7" t="n">
        <v>44073</v>
      </c>
      <c r="B380" s="8" t="n">
        <v>0.290277777777778</v>
      </c>
      <c r="C380" s="9" t="n">
        <v>129421</v>
      </c>
      <c r="D380" s="9" t="s">
        <v>10</v>
      </c>
      <c r="E380" s="9" t="n">
        <v>3340</v>
      </c>
      <c r="F380" s="9" t="n">
        <v>3200</v>
      </c>
      <c r="G380" s="17" t="n">
        <v>140</v>
      </c>
      <c r="H380" s="9" t="s">
        <v>11</v>
      </c>
      <c r="I380" s="9" t="s">
        <v>12</v>
      </c>
      <c r="J380" s="0" t="s">
        <v>13</v>
      </c>
    </row>
    <row r="381" customFormat="false" ht="13.8" hidden="false" customHeight="false" outlineLevel="0" collapsed="false">
      <c r="A381" s="7" t="n">
        <v>44073</v>
      </c>
      <c r="B381" s="8" t="n">
        <v>0.294444444444444</v>
      </c>
      <c r="C381" s="9" t="n">
        <v>129423</v>
      </c>
      <c r="D381" s="9" t="s">
        <v>10</v>
      </c>
      <c r="E381" s="9" t="n">
        <v>3200</v>
      </c>
      <c r="F381" s="9" t="n">
        <v>2880</v>
      </c>
      <c r="G381" s="17" t="n">
        <v>320</v>
      </c>
      <c r="H381" s="9" t="s">
        <v>11</v>
      </c>
      <c r="I381" s="9" t="s">
        <v>15</v>
      </c>
      <c r="J381" s="0" t="s">
        <v>13</v>
      </c>
    </row>
    <row r="382" customFormat="false" ht="13.8" hidden="false" customHeight="false" outlineLevel="0" collapsed="false">
      <c r="A382" s="7" t="n">
        <v>44073</v>
      </c>
      <c r="B382" s="8" t="n">
        <v>0.0534722222222222</v>
      </c>
      <c r="C382" s="9" t="n">
        <v>129404</v>
      </c>
      <c r="D382" s="9" t="s">
        <v>18</v>
      </c>
      <c r="E382" s="9" t="n">
        <v>22600</v>
      </c>
      <c r="F382" s="9" t="n">
        <v>12800</v>
      </c>
      <c r="G382" s="17" t="n">
        <v>9800</v>
      </c>
      <c r="H382" s="9" t="s">
        <v>11</v>
      </c>
      <c r="I382" s="9" t="s">
        <v>15</v>
      </c>
      <c r="J382" s="0" t="s">
        <v>13</v>
      </c>
    </row>
    <row r="383" customFormat="false" ht="13.8" hidden="false" customHeight="false" outlineLevel="0" collapsed="false">
      <c r="A383" s="7" t="n">
        <v>44073</v>
      </c>
      <c r="B383" s="8" t="n">
        <v>0.390277777777778</v>
      </c>
      <c r="C383" s="9" t="n">
        <v>129425</v>
      </c>
      <c r="D383" s="9" t="s">
        <v>10</v>
      </c>
      <c r="E383" s="9" t="n">
        <v>3300</v>
      </c>
      <c r="F383" s="9" t="n">
        <v>2880</v>
      </c>
      <c r="G383" s="17" t="n">
        <v>420</v>
      </c>
      <c r="H383" s="9" t="s">
        <v>11</v>
      </c>
      <c r="I383" s="9" t="s">
        <v>15</v>
      </c>
      <c r="J383" s="0" t="s">
        <v>13</v>
      </c>
    </row>
    <row r="384" customFormat="false" ht="13.8" hidden="false" customHeight="false" outlineLevel="0" collapsed="false">
      <c r="A384" s="7" t="n">
        <v>44073</v>
      </c>
      <c r="B384" s="8" t="n">
        <v>0.676388888888889</v>
      </c>
      <c r="C384" s="9" t="n">
        <v>129427</v>
      </c>
      <c r="D384" s="9" t="s">
        <v>18</v>
      </c>
      <c r="E384" s="9" t="n">
        <v>13640</v>
      </c>
      <c r="F384" s="9" t="n">
        <v>12860</v>
      </c>
      <c r="G384" s="17" t="n">
        <v>780</v>
      </c>
      <c r="H384" s="9" t="s">
        <v>11</v>
      </c>
      <c r="I384" s="9" t="s">
        <v>15</v>
      </c>
      <c r="J384" s="0" t="s">
        <v>13</v>
      </c>
    </row>
    <row r="385" customFormat="false" ht="13.8" hidden="false" customHeight="false" outlineLevel="0" collapsed="false">
      <c r="A385" s="7" t="n">
        <v>44073</v>
      </c>
      <c r="B385" s="8" t="n">
        <v>0.131944444444444</v>
      </c>
      <c r="C385" s="9" t="n">
        <v>129410</v>
      </c>
      <c r="D385" s="9" t="s">
        <v>17</v>
      </c>
      <c r="E385" s="9" t="n">
        <v>25920</v>
      </c>
      <c r="F385" s="9" t="n">
        <v>16200</v>
      </c>
      <c r="G385" s="17" t="n">
        <v>9720</v>
      </c>
      <c r="H385" s="9" t="s">
        <v>11</v>
      </c>
      <c r="I385" s="9" t="s">
        <v>15</v>
      </c>
      <c r="J385" s="0" t="s">
        <v>13</v>
      </c>
    </row>
    <row r="386" customFormat="false" ht="13.8" hidden="false" customHeight="false" outlineLevel="0" collapsed="false">
      <c r="A386" s="7" t="n">
        <v>44073</v>
      </c>
      <c r="B386" s="8" t="n">
        <v>0.248611111111111</v>
      </c>
      <c r="C386" s="9" t="n">
        <v>129416</v>
      </c>
      <c r="D386" s="9" t="s">
        <v>17</v>
      </c>
      <c r="E386" s="9" t="n">
        <v>23080</v>
      </c>
      <c r="F386" s="9" t="n">
        <v>16200</v>
      </c>
      <c r="G386" s="17" t="n">
        <v>6880</v>
      </c>
      <c r="H386" s="9" t="s">
        <v>11</v>
      </c>
      <c r="I386" s="9" t="s">
        <v>15</v>
      </c>
      <c r="J386" s="0" t="s">
        <v>13</v>
      </c>
    </row>
    <row r="387" customFormat="false" ht="13.8" hidden="false" customHeight="false" outlineLevel="0" collapsed="false">
      <c r="A387" s="7" t="n">
        <v>44073</v>
      </c>
      <c r="B387" s="8" t="n">
        <v>0.202777777777778</v>
      </c>
      <c r="C387" s="9" t="n">
        <v>129414</v>
      </c>
      <c r="D387" s="9" t="s">
        <v>18</v>
      </c>
      <c r="E387" s="9" t="n">
        <v>18560</v>
      </c>
      <c r="F387" s="9" t="n">
        <v>12780</v>
      </c>
      <c r="G387" s="17" t="n">
        <v>5780</v>
      </c>
      <c r="H387" s="9" t="s">
        <v>11</v>
      </c>
      <c r="I387" s="9" t="s">
        <v>15</v>
      </c>
      <c r="J387" s="0" t="s">
        <v>13</v>
      </c>
    </row>
    <row r="388" customFormat="false" ht="13.8" hidden="false" customHeight="false" outlineLevel="0" collapsed="false">
      <c r="A388" s="7" t="n">
        <v>44073</v>
      </c>
      <c r="B388" s="8" t="n">
        <v>0.515277777777778</v>
      </c>
      <c r="C388" s="9" t="n">
        <v>129426</v>
      </c>
      <c r="D388" s="9" t="s">
        <v>10</v>
      </c>
      <c r="E388" s="9" t="n">
        <v>3720</v>
      </c>
      <c r="F388" s="9" t="n">
        <v>3020</v>
      </c>
      <c r="G388" s="17" t="n">
        <v>700</v>
      </c>
      <c r="H388" s="9" t="s">
        <v>11</v>
      </c>
      <c r="I388" s="9" t="s">
        <v>12</v>
      </c>
      <c r="J388" s="0" t="s">
        <v>13</v>
      </c>
    </row>
    <row r="389" s="21" customFormat="true" ht="13.8" hidden="false" customHeight="false" outlineLevel="0" collapsed="false">
      <c r="A389" s="18" t="n">
        <v>44073</v>
      </c>
      <c r="B389" s="19" t="n">
        <v>0.204166666666667</v>
      </c>
      <c r="C389" s="20" t="n">
        <v>129415</v>
      </c>
      <c r="D389" s="20" t="s">
        <v>19</v>
      </c>
      <c r="E389" s="20" t="n">
        <v>4880</v>
      </c>
      <c r="F389" s="20" t="n">
        <v>3640</v>
      </c>
      <c r="G389" s="17" t="n">
        <v>1240</v>
      </c>
      <c r="H389" s="20" t="s">
        <v>11</v>
      </c>
      <c r="I389" s="20" t="s">
        <v>15</v>
      </c>
      <c r="J389" s="21" t="s">
        <v>13</v>
      </c>
    </row>
    <row r="390" customFormat="false" ht="13.8" hidden="false" customHeight="false" outlineLevel="0" collapsed="false">
      <c r="A390" s="7" t="n">
        <v>44074</v>
      </c>
      <c r="B390" s="8" t="n">
        <v>0.100694444444444</v>
      </c>
      <c r="C390" s="9" t="n">
        <v>129433</v>
      </c>
      <c r="D390" s="9" t="s">
        <v>18</v>
      </c>
      <c r="E390" s="9" t="n">
        <v>22760</v>
      </c>
      <c r="F390" s="9" t="n">
        <v>12860</v>
      </c>
      <c r="G390" s="17" t="n">
        <v>9900</v>
      </c>
      <c r="H390" s="9" t="s">
        <v>11</v>
      </c>
      <c r="I390" s="9" t="s">
        <v>15</v>
      </c>
      <c r="J390" s="0" t="s">
        <v>13</v>
      </c>
    </row>
    <row r="391" customFormat="false" ht="13.8" hidden="false" customHeight="false" outlineLevel="0" collapsed="false">
      <c r="A391" s="7" t="n">
        <v>44074</v>
      </c>
      <c r="B391" s="8" t="n">
        <v>0.195833333333333</v>
      </c>
      <c r="C391" s="9" t="n">
        <v>129438</v>
      </c>
      <c r="D391" s="9" t="s">
        <v>18</v>
      </c>
      <c r="E391" s="9" t="n">
        <v>17320</v>
      </c>
      <c r="F391" s="9" t="n">
        <v>13020</v>
      </c>
      <c r="G391" s="17" t="n">
        <v>4300</v>
      </c>
      <c r="H391" s="9" t="s">
        <v>11</v>
      </c>
      <c r="I391" s="9" t="s">
        <v>15</v>
      </c>
      <c r="J391" s="0" t="s">
        <v>13</v>
      </c>
    </row>
    <row r="392" customFormat="false" ht="13.8" hidden="false" customHeight="false" outlineLevel="0" collapsed="false">
      <c r="A392" s="7" t="n">
        <v>44074</v>
      </c>
      <c r="B392" s="8" t="n">
        <v>0.26875</v>
      </c>
      <c r="C392" s="9" t="n">
        <v>129443</v>
      </c>
      <c r="D392" s="9" t="s">
        <v>19</v>
      </c>
      <c r="E392" s="9" t="n">
        <v>4760</v>
      </c>
      <c r="F392" s="9" t="n">
        <v>3700</v>
      </c>
      <c r="G392" s="17" t="n">
        <v>1060</v>
      </c>
      <c r="H392" s="9" t="s">
        <v>11</v>
      </c>
      <c r="I392" s="9" t="s">
        <v>15</v>
      </c>
      <c r="J392" s="0" t="s">
        <v>13</v>
      </c>
    </row>
    <row r="393" customFormat="false" ht="13.8" hidden="false" customHeight="false" outlineLevel="0" collapsed="false">
      <c r="A393" s="7" t="n">
        <v>44074</v>
      </c>
      <c r="B393" s="8" t="n">
        <v>0.161111111111111</v>
      </c>
      <c r="C393" s="9" t="n">
        <v>129436</v>
      </c>
      <c r="D393" s="9" t="s">
        <v>17</v>
      </c>
      <c r="E393" s="9" t="n">
        <v>25420</v>
      </c>
      <c r="F393" s="9" t="n">
        <v>16240</v>
      </c>
      <c r="G393" s="17" t="n">
        <v>9180</v>
      </c>
      <c r="H393" s="9" t="s">
        <v>11</v>
      </c>
      <c r="I393" s="9" t="s">
        <v>15</v>
      </c>
      <c r="J393" s="0" t="s">
        <v>13</v>
      </c>
    </row>
    <row r="394" customFormat="false" ht="13.8" hidden="false" customHeight="false" outlineLevel="0" collapsed="false">
      <c r="A394" s="7" t="n">
        <v>44074</v>
      </c>
      <c r="B394" s="8" t="n">
        <v>0.259027777777778</v>
      </c>
      <c r="C394" s="9" t="n">
        <v>129442</v>
      </c>
      <c r="D394" s="9" t="s">
        <v>17</v>
      </c>
      <c r="E394" s="9" t="n">
        <v>22840</v>
      </c>
      <c r="F394" s="9" t="n">
        <v>16220</v>
      </c>
      <c r="G394" s="17" t="n">
        <v>6620</v>
      </c>
      <c r="H394" s="9" t="s">
        <v>11</v>
      </c>
      <c r="I394" s="9" t="s">
        <v>15</v>
      </c>
      <c r="J394" s="0" t="s">
        <v>13</v>
      </c>
    </row>
    <row r="395" customFormat="false" ht="13.8" hidden="true" customHeight="false" outlineLevel="0" collapsed="false">
      <c r="A395" s="7" t="n">
        <v>44074</v>
      </c>
      <c r="B395" s="8" t="n">
        <v>0.515972222222222</v>
      </c>
      <c r="C395" s="9" t="n">
        <v>726</v>
      </c>
      <c r="D395" s="9" t="s">
        <v>17</v>
      </c>
      <c r="E395" s="9" t="n">
        <v>18580</v>
      </c>
      <c r="F395" s="9" t="n">
        <v>16020</v>
      </c>
      <c r="G395" s="9" t="n">
        <v>2560</v>
      </c>
      <c r="H395" s="9" t="s">
        <v>11</v>
      </c>
      <c r="I395" s="9" t="s">
        <v>22</v>
      </c>
      <c r="J395" s="0" t="s">
        <v>13</v>
      </c>
    </row>
    <row r="396" customFormat="false" ht="13.8" hidden="false" customHeight="false" outlineLevel="0" collapsed="false">
      <c r="A396" s="7" t="n">
        <v>44074</v>
      </c>
      <c r="B396" s="8" t="n">
        <v>0.873611111111111</v>
      </c>
      <c r="C396" s="9" t="n">
        <v>129482</v>
      </c>
      <c r="D396" s="9" t="s">
        <v>16</v>
      </c>
      <c r="E396" s="9" t="n">
        <v>2540</v>
      </c>
      <c r="F396" s="9" t="n">
        <v>2400</v>
      </c>
      <c r="G396" s="17" t="n">
        <v>140</v>
      </c>
      <c r="H396" s="9" t="s">
        <v>11</v>
      </c>
      <c r="I396" s="9" t="s">
        <v>15</v>
      </c>
      <c r="J396" s="0" t="s">
        <v>13</v>
      </c>
    </row>
    <row r="397" customFormat="false" ht="13.8" hidden="false" customHeight="false" outlineLevel="0" collapsed="false">
      <c r="A397" s="7" t="n">
        <v>44074</v>
      </c>
      <c r="B397" s="8" t="n">
        <v>0.851388888888889</v>
      </c>
      <c r="C397" s="9" t="n">
        <v>129481</v>
      </c>
      <c r="D397" s="9" t="s">
        <v>17</v>
      </c>
      <c r="E397" s="9" t="n">
        <v>22780</v>
      </c>
      <c r="F397" s="9" t="n">
        <v>16280</v>
      </c>
      <c r="G397" s="17" t="n">
        <v>6500</v>
      </c>
      <c r="H397" s="9" t="s">
        <v>11</v>
      </c>
      <c r="I397" s="9" t="s">
        <v>15</v>
      </c>
      <c r="J397" s="0" t="s">
        <v>13</v>
      </c>
    </row>
    <row r="398" customFormat="false" ht="13.8" hidden="false" customHeight="false" outlineLevel="0" collapsed="false">
      <c r="A398" s="7" t="n">
        <v>44074</v>
      </c>
      <c r="B398" s="8" t="n">
        <v>0.510416666666667</v>
      </c>
      <c r="C398" s="9" t="n">
        <v>129470</v>
      </c>
      <c r="D398" s="9" t="s">
        <v>10</v>
      </c>
      <c r="E398" s="9" t="n">
        <v>3760</v>
      </c>
      <c r="F398" s="9" t="n">
        <v>2880</v>
      </c>
      <c r="G398" s="17" t="n">
        <v>880</v>
      </c>
      <c r="H398" s="9" t="s">
        <v>11</v>
      </c>
      <c r="I398" s="9" t="s">
        <v>12</v>
      </c>
      <c r="J398" s="0" t="s">
        <v>13</v>
      </c>
    </row>
    <row r="399" customFormat="false" ht="13.8" hidden="false" customHeight="false" outlineLevel="0" collapsed="false">
      <c r="A399" s="7" t="n">
        <v>44074</v>
      </c>
      <c r="B399" s="8" t="n">
        <v>0.354166666666667</v>
      </c>
      <c r="C399" s="9" t="n">
        <v>129454</v>
      </c>
      <c r="D399" s="9" t="s">
        <v>10</v>
      </c>
      <c r="E399" s="9" t="n">
        <v>3500</v>
      </c>
      <c r="F399" s="9" t="n">
        <v>2880</v>
      </c>
      <c r="G399" s="17" t="n">
        <v>620</v>
      </c>
      <c r="H399" s="9" t="s">
        <v>11</v>
      </c>
      <c r="I399" s="9" t="s">
        <v>12</v>
      </c>
      <c r="J399" s="0" t="s">
        <v>13</v>
      </c>
    </row>
    <row r="400" customFormat="false" ht="13.8" hidden="false" customHeight="false" outlineLevel="0" collapsed="false">
      <c r="A400" s="7" t="n">
        <v>44074</v>
      </c>
      <c r="B400" s="8" t="n">
        <v>0.439583333333333</v>
      </c>
      <c r="C400" s="9" t="n">
        <v>129462</v>
      </c>
      <c r="D400" s="9" t="s">
        <v>10</v>
      </c>
      <c r="E400" s="9" t="n">
        <v>3460</v>
      </c>
      <c r="F400" s="9" t="n">
        <v>2880</v>
      </c>
      <c r="G400" s="17" t="n">
        <v>580</v>
      </c>
      <c r="H400" s="9" t="s">
        <v>11</v>
      </c>
      <c r="I400" s="9" t="s">
        <v>12</v>
      </c>
      <c r="J400" s="0" t="s">
        <v>13</v>
      </c>
    </row>
    <row r="401" customFormat="false" ht="13.8" hidden="false" customHeight="false" outlineLevel="0" collapsed="false">
      <c r="A401" s="7" t="n">
        <v>44074</v>
      </c>
      <c r="B401" s="8" t="n">
        <v>0.672222222222222</v>
      </c>
      <c r="C401" s="9" t="n">
        <v>129478</v>
      </c>
      <c r="D401" s="9" t="s">
        <v>18</v>
      </c>
      <c r="E401" s="9" t="n">
        <v>14800</v>
      </c>
      <c r="F401" s="9" t="n">
        <v>12820</v>
      </c>
      <c r="G401" s="17" t="n">
        <v>1980</v>
      </c>
      <c r="H401" s="9" t="s">
        <v>11</v>
      </c>
      <c r="I401" s="9" t="s">
        <v>15</v>
      </c>
      <c r="J401" s="0" t="s">
        <v>13</v>
      </c>
    </row>
    <row r="402" customFormat="false" ht="13.8" hidden="false" customHeight="false" outlineLevel="0" collapsed="false">
      <c r="A402" s="7" t="n">
        <v>44074</v>
      </c>
      <c r="B402" s="8" t="n">
        <v>0.547916666666667</v>
      </c>
      <c r="C402" s="9" t="n">
        <v>129473</v>
      </c>
      <c r="D402" s="9" t="s">
        <v>24</v>
      </c>
      <c r="E402" s="9" t="n">
        <v>2960</v>
      </c>
      <c r="F402" s="9" t="n">
        <v>2680</v>
      </c>
      <c r="G402" s="17" t="n">
        <v>280</v>
      </c>
      <c r="H402" s="9" t="s">
        <v>11</v>
      </c>
      <c r="I402" s="9" t="s">
        <v>25</v>
      </c>
      <c r="J402" s="0" t="s">
        <v>13</v>
      </c>
    </row>
    <row r="403" customFormat="false" ht="13.8" hidden="false" customHeight="false" outlineLevel="0" collapsed="false">
      <c r="A403" s="7" t="n">
        <v>44074</v>
      </c>
      <c r="B403" s="9"/>
      <c r="C403" s="9" t="n">
        <v>127753</v>
      </c>
      <c r="D403" s="9" t="s">
        <v>10</v>
      </c>
      <c r="E403" s="9" t="n">
        <v>3560</v>
      </c>
      <c r="F403" s="9" t="n">
        <v>2900</v>
      </c>
      <c r="G403" s="17" t="n">
        <v>660</v>
      </c>
      <c r="H403" s="9" t="s">
        <v>11</v>
      </c>
      <c r="I403" s="9" t="s">
        <v>12</v>
      </c>
      <c r="J403" s="0" t="s">
        <v>13</v>
      </c>
    </row>
  </sheetData>
  <autoFilter ref="A1:J403">
    <filterColumn colId="9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" min="1" style="0" width="15.93"/>
    <col collapsed="false" customWidth="false" hidden="false" outlineLevel="0" max="2" min="2" style="0" width="11.45"/>
    <col collapsed="false" customWidth="true" hidden="false" outlineLevel="0" max="7" min="3" style="0" width="10.5"/>
    <col collapsed="false" customWidth="true" hidden="false" outlineLevel="0" max="8" min="8" style="0" width="15.93"/>
    <col collapsed="false" customWidth="true" hidden="false" outlineLevel="0" max="1025" min="9" style="0" width="10.5"/>
  </cols>
  <sheetData>
    <row r="1" customFormat="false" ht="12.8" hidden="false" customHeight="false" outlineLevel="0" collapsed="false">
      <c r="A1" s="22" t="s">
        <v>0</v>
      </c>
      <c r="B1" s="23" t="s">
        <v>32</v>
      </c>
    </row>
    <row r="3" customFormat="false" ht="12.8" hidden="false" customHeight="false" outlineLevel="0" collapsed="false">
      <c r="A3" s="24" t="s">
        <v>33</v>
      </c>
      <c r="B3" s="25" t="s">
        <v>8</v>
      </c>
      <c r="C3" s="26"/>
      <c r="D3" s="26"/>
      <c r="E3" s="26"/>
      <c r="F3" s="26"/>
      <c r="G3" s="26"/>
      <c r="H3" s="27"/>
    </row>
    <row r="4" customFormat="false" ht="12.8" hidden="false" customHeight="false" outlineLevel="0" collapsed="false">
      <c r="A4" s="28" t="s">
        <v>3</v>
      </c>
      <c r="B4" s="29" t="s">
        <v>29</v>
      </c>
      <c r="C4" s="30" t="s">
        <v>25</v>
      </c>
      <c r="D4" s="30" t="s">
        <v>15</v>
      </c>
      <c r="E4" s="30" t="s">
        <v>22</v>
      </c>
      <c r="F4" s="30" t="s">
        <v>20</v>
      </c>
      <c r="G4" s="30" t="s">
        <v>12</v>
      </c>
      <c r="H4" s="31" t="s">
        <v>34</v>
      </c>
    </row>
    <row r="5" customFormat="false" ht="12.8" hidden="false" customHeight="false" outlineLevel="0" collapsed="false">
      <c r="A5" s="32" t="s">
        <v>28</v>
      </c>
      <c r="B5" s="33" t="n">
        <v>72180</v>
      </c>
      <c r="C5" s="34"/>
      <c r="D5" s="34"/>
      <c r="E5" s="34"/>
      <c r="F5" s="34"/>
      <c r="G5" s="35" t="n">
        <v>3420</v>
      </c>
      <c r="H5" s="36" t="n">
        <v>75600</v>
      </c>
    </row>
    <row r="6" customFormat="false" ht="12.8" hidden="false" customHeight="false" outlineLevel="0" collapsed="false">
      <c r="A6" s="37" t="s">
        <v>24</v>
      </c>
      <c r="B6" s="38"/>
      <c r="C6" s="39" t="n">
        <v>4180</v>
      </c>
      <c r="D6" s="39"/>
      <c r="E6" s="39"/>
      <c r="F6" s="39"/>
      <c r="G6" s="40"/>
      <c r="H6" s="41" t="n">
        <v>4180</v>
      </c>
    </row>
    <row r="7" customFormat="false" ht="12.8" hidden="false" customHeight="false" outlineLevel="0" collapsed="false">
      <c r="A7" s="37" t="s">
        <v>14</v>
      </c>
      <c r="B7" s="38"/>
      <c r="C7" s="39"/>
      <c r="D7" s="39" t="n">
        <v>494720</v>
      </c>
      <c r="E7" s="39" t="n">
        <v>2720</v>
      </c>
      <c r="F7" s="39" t="n">
        <v>2200</v>
      </c>
      <c r="G7" s="40"/>
      <c r="H7" s="41" t="n">
        <v>499640</v>
      </c>
    </row>
    <row r="8" customFormat="false" ht="12.8" hidden="false" customHeight="false" outlineLevel="0" collapsed="false">
      <c r="A8" s="37" t="s">
        <v>17</v>
      </c>
      <c r="B8" s="38"/>
      <c r="C8" s="39"/>
      <c r="D8" s="39" t="n">
        <v>300520</v>
      </c>
      <c r="E8" s="39" t="n">
        <v>24620</v>
      </c>
      <c r="F8" s="39" t="n">
        <v>18840</v>
      </c>
      <c r="G8" s="40"/>
      <c r="H8" s="41" t="n">
        <v>343980</v>
      </c>
    </row>
    <row r="9" customFormat="false" ht="12.8" hidden="false" customHeight="false" outlineLevel="0" collapsed="false">
      <c r="A9" s="37" t="s">
        <v>30</v>
      </c>
      <c r="B9" s="38"/>
      <c r="C9" s="39"/>
      <c r="D9" s="39"/>
      <c r="E9" s="39"/>
      <c r="F9" s="39" t="n">
        <v>1860</v>
      </c>
      <c r="G9" s="40" t="n">
        <v>3720</v>
      </c>
      <c r="H9" s="41" t="n">
        <v>5580</v>
      </c>
    </row>
    <row r="10" customFormat="false" ht="12.8" hidden="false" customHeight="false" outlineLevel="0" collapsed="false">
      <c r="A10" s="37" t="s">
        <v>16</v>
      </c>
      <c r="B10" s="38"/>
      <c r="C10" s="39"/>
      <c r="D10" s="39" t="n">
        <v>15620</v>
      </c>
      <c r="E10" s="39"/>
      <c r="F10" s="39"/>
      <c r="G10" s="40"/>
      <c r="H10" s="41" t="n">
        <v>15620</v>
      </c>
    </row>
    <row r="11" customFormat="false" ht="12.8" hidden="false" customHeight="false" outlineLevel="0" collapsed="false">
      <c r="A11" s="37" t="s">
        <v>26</v>
      </c>
      <c r="B11" s="38"/>
      <c r="C11" s="39"/>
      <c r="D11" s="39" t="n">
        <v>16240</v>
      </c>
      <c r="E11" s="39"/>
      <c r="F11" s="39"/>
      <c r="G11" s="40"/>
      <c r="H11" s="41" t="n">
        <v>16240</v>
      </c>
    </row>
    <row r="12" customFormat="false" ht="12.8" hidden="false" customHeight="false" outlineLevel="0" collapsed="false">
      <c r="A12" s="37" t="s">
        <v>10</v>
      </c>
      <c r="B12" s="38"/>
      <c r="C12" s="39"/>
      <c r="D12" s="39" t="n">
        <v>4620</v>
      </c>
      <c r="E12" s="39"/>
      <c r="F12" s="39"/>
      <c r="G12" s="40" t="n">
        <v>24060</v>
      </c>
      <c r="H12" s="41" t="n">
        <v>28680</v>
      </c>
    </row>
    <row r="13" customFormat="false" ht="12.8" hidden="false" customHeight="false" outlineLevel="0" collapsed="false">
      <c r="A13" s="37" t="s">
        <v>18</v>
      </c>
      <c r="B13" s="38"/>
      <c r="C13" s="39"/>
      <c r="D13" s="39" t="n">
        <v>484000</v>
      </c>
      <c r="E13" s="39"/>
      <c r="F13" s="39"/>
      <c r="G13" s="40"/>
      <c r="H13" s="41" t="n">
        <v>484000</v>
      </c>
    </row>
    <row r="14" customFormat="false" ht="12.8" hidden="false" customHeight="false" outlineLevel="0" collapsed="false">
      <c r="A14" s="37" t="s">
        <v>19</v>
      </c>
      <c r="B14" s="38"/>
      <c r="C14" s="39"/>
      <c r="D14" s="39" t="n">
        <v>45040</v>
      </c>
      <c r="E14" s="39"/>
      <c r="F14" s="39"/>
      <c r="G14" s="40"/>
      <c r="H14" s="41" t="n">
        <v>45040</v>
      </c>
    </row>
    <row r="15" customFormat="false" ht="12.8" hidden="false" customHeight="false" outlineLevel="0" collapsed="false">
      <c r="A15" s="37" t="s">
        <v>23</v>
      </c>
      <c r="B15" s="38"/>
      <c r="C15" s="39"/>
      <c r="D15" s="39"/>
      <c r="E15" s="39"/>
      <c r="F15" s="39"/>
      <c r="G15" s="40" t="n">
        <v>6000</v>
      </c>
      <c r="H15" s="41" t="n">
        <v>6000</v>
      </c>
    </row>
    <row r="16" customFormat="false" ht="12.8" hidden="false" customHeight="false" outlineLevel="0" collapsed="false">
      <c r="A16" s="37" t="s">
        <v>27</v>
      </c>
      <c r="B16" s="42"/>
      <c r="C16" s="43"/>
      <c r="D16" s="43" t="n">
        <v>13300</v>
      </c>
      <c r="E16" s="43"/>
      <c r="F16" s="43"/>
      <c r="G16" s="44"/>
      <c r="H16" s="45" t="n">
        <v>13300</v>
      </c>
    </row>
    <row r="17" customFormat="false" ht="12.8" hidden="false" customHeight="false" outlineLevel="0" collapsed="false">
      <c r="A17" s="46" t="s">
        <v>34</v>
      </c>
      <c r="B17" s="47" t="n">
        <v>72180</v>
      </c>
      <c r="C17" s="48" t="n">
        <v>4180</v>
      </c>
      <c r="D17" s="48" t="n">
        <v>1374060</v>
      </c>
      <c r="E17" s="48" t="n">
        <v>27340</v>
      </c>
      <c r="F17" s="48" t="n">
        <v>22900</v>
      </c>
      <c r="G17" s="49" t="n">
        <v>37200</v>
      </c>
      <c r="H17" s="50" t="n">
        <v>1537860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2" activeCellId="0" sqref="F42"/>
    </sheetView>
  </sheetViews>
  <sheetFormatPr defaultRowHeight="12.8" zeroHeight="false" outlineLevelRow="0" outlineLevelCol="0"/>
  <cols>
    <col collapsed="false" customWidth="true" hidden="false" outlineLevel="0" max="1" min="1" style="0" width="16.95"/>
    <col collapsed="false" customWidth="true" hidden="false" outlineLevel="0" max="1025" min="2" style="0" width="10.5"/>
  </cols>
  <sheetData>
    <row r="1" customFormat="false" ht="12.8" hidden="false" customHeight="false" outlineLevel="0" collapsed="false">
      <c r="A1" s="22" t="s">
        <v>8</v>
      </c>
      <c r="B1" s="23" t="s">
        <v>32</v>
      </c>
    </row>
    <row r="3" customFormat="false" ht="12.8" hidden="false" customHeight="false" outlineLevel="0" collapsed="false">
      <c r="A3" s="24" t="s">
        <v>33</v>
      </c>
      <c r="B3" s="25" t="s">
        <v>3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</row>
    <row r="4" customFormat="false" ht="12.8" hidden="false" customHeight="false" outlineLevel="0" collapsed="false">
      <c r="A4" s="28" t="s">
        <v>0</v>
      </c>
      <c r="B4" s="29" t="s">
        <v>28</v>
      </c>
      <c r="C4" s="30" t="s">
        <v>24</v>
      </c>
      <c r="D4" s="30" t="s">
        <v>14</v>
      </c>
      <c r="E4" s="30" t="s">
        <v>17</v>
      </c>
      <c r="F4" s="30" t="s">
        <v>30</v>
      </c>
      <c r="G4" s="30" t="s">
        <v>16</v>
      </c>
      <c r="H4" s="30" t="s">
        <v>26</v>
      </c>
      <c r="I4" s="30" t="s">
        <v>10</v>
      </c>
      <c r="J4" s="30" t="s">
        <v>18</v>
      </c>
      <c r="K4" s="30" t="s">
        <v>19</v>
      </c>
      <c r="L4" s="30" t="s">
        <v>23</v>
      </c>
      <c r="M4" s="30" t="s">
        <v>27</v>
      </c>
      <c r="N4" s="31" t="s">
        <v>34</v>
      </c>
    </row>
    <row r="5" customFormat="false" ht="12.8" hidden="false" customHeight="false" outlineLevel="0" collapsed="false">
      <c r="A5" s="51" t="n">
        <v>44044</v>
      </c>
      <c r="B5" s="33"/>
      <c r="C5" s="34"/>
      <c r="D5" s="34" t="n">
        <v>20600</v>
      </c>
      <c r="E5" s="34" t="n">
        <v>7100</v>
      </c>
      <c r="F5" s="34"/>
      <c r="G5" s="34" t="n">
        <v>600</v>
      </c>
      <c r="H5" s="34"/>
      <c r="I5" s="34" t="n">
        <v>780</v>
      </c>
      <c r="J5" s="34" t="n">
        <v>14220</v>
      </c>
      <c r="K5" s="34" t="n">
        <v>1360</v>
      </c>
      <c r="L5" s="34"/>
      <c r="M5" s="35"/>
      <c r="N5" s="36" t="n">
        <v>44660</v>
      </c>
    </row>
    <row r="6" customFormat="false" ht="12.8" hidden="false" customHeight="false" outlineLevel="0" collapsed="false">
      <c r="A6" s="52" t="n">
        <v>44045</v>
      </c>
      <c r="B6" s="38"/>
      <c r="C6" s="39"/>
      <c r="D6" s="39" t="n">
        <v>26200</v>
      </c>
      <c r="E6" s="39"/>
      <c r="F6" s="39"/>
      <c r="G6" s="39" t="n">
        <v>260</v>
      </c>
      <c r="H6" s="39"/>
      <c r="I6" s="39" t="n">
        <v>1080</v>
      </c>
      <c r="J6" s="39" t="n">
        <v>15860</v>
      </c>
      <c r="K6" s="39" t="n">
        <v>1200</v>
      </c>
      <c r="L6" s="39"/>
      <c r="M6" s="40"/>
      <c r="N6" s="41" t="n">
        <v>44600</v>
      </c>
    </row>
    <row r="7" customFormat="false" ht="12.8" hidden="false" customHeight="false" outlineLevel="0" collapsed="false">
      <c r="A7" s="52" t="n">
        <v>44046</v>
      </c>
      <c r="B7" s="38"/>
      <c r="C7" s="39"/>
      <c r="D7" s="39" t="n">
        <v>24580</v>
      </c>
      <c r="E7" s="39" t="n">
        <v>3220</v>
      </c>
      <c r="F7" s="39"/>
      <c r="G7" s="39" t="n">
        <v>540</v>
      </c>
      <c r="H7" s="39"/>
      <c r="I7" s="39" t="n">
        <v>1240</v>
      </c>
      <c r="J7" s="39" t="n">
        <v>13900</v>
      </c>
      <c r="K7" s="39" t="n">
        <v>1440</v>
      </c>
      <c r="L7" s="39"/>
      <c r="M7" s="40"/>
      <c r="N7" s="41" t="n">
        <v>44920</v>
      </c>
    </row>
    <row r="8" customFormat="false" ht="12.8" hidden="false" customHeight="false" outlineLevel="0" collapsed="false">
      <c r="A8" s="52" t="n">
        <v>44047</v>
      </c>
      <c r="B8" s="38"/>
      <c r="C8" s="39"/>
      <c r="D8" s="39" t="n">
        <v>11100</v>
      </c>
      <c r="E8" s="39" t="n">
        <v>15040</v>
      </c>
      <c r="F8" s="39"/>
      <c r="G8" s="39" t="n">
        <v>720</v>
      </c>
      <c r="H8" s="39"/>
      <c r="I8" s="39" t="n">
        <v>500</v>
      </c>
      <c r="J8" s="39" t="n">
        <v>14260</v>
      </c>
      <c r="K8" s="39" t="n">
        <v>1160</v>
      </c>
      <c r="L8" s="39" t="n">
        <v>820</v>
      </c>
      <c r="M8" s="40"/>
      <c r="N8" s="41" t="n">
        <v>43600</v>
      </c>
    </row>
    <row r="9" customFormat="false" ht="12.8" hidden="false" customHeight="false" outlineLevel="0" collapsed="false">
      <c r="A9" s="52" t="n">
        <v>44048</v>
      </c>
      <c r="B9" s="38"/>
      <c r="C9" s="39" t="n">
        <v>400</v>
      </c>
      <c r="D9" s="39" t="n">
        <v>24420</v>
      </c>
      <c r="E9" s="39"/>
      <c r="F9" s="39"/>
      <c r="G9" s="39" t="n">
        <v>500</v>
      </c>
      <c r="H9" s="39"/>
      <c r="I9" s="39" t="n">
        <v>1820</v>
      </c>
      <c r="J9" s="39" t="n">
        <v>14400</v>
      </c>
      <c r="K9" s="39" t="n">
        <v>1180</v>
      </c>
      <c r="L9" s="39"/>
      <c r="M9" s="40"/>
      <c r="N9" s="41" t="n">
        <v>42720</v>
      </c>
    </row>
    <row r="10" customFormat="false" ht="12.8" hidden="false" customHeight="false" outlineLevel="0" collapsed="false">
      <c r="A10" s="52" t="n">
        <v>44049</v>
      </c>
      <c r="B10" s="38"/>
      <c r="C10" s="39"/>
      <c r="D10" s="39" t="n">
        <v>25320</v>
      </c>
      <c r="E10" s="39" t="n">
        <v>1460</v>
      </c>
      <c r="F10" s="39"/>
      <c r="G10" s="39" t="n">
        <v>600</v>
      </c>
      <c r="H10" s="39" t="n">
        <v>14680</v>
      </c>
      <c r="I10" s="39"/>
      <c r="J10" s="39"/>
      <c r="K10" s="39" t="n">
        <v>1400</v>
      </c>
      <c r="L10" s="39" t="n">
        <v>840</v>
      </c>
      <c r="M10" s="40"/>
      <c r="N10" s="41" t="n">
        <v>44300</v>
      </c>
    </row>
    <row r="11" customFormat="false" ht="12.8" hidden="false" customHeight="false" outlineLevel="0" collapsed="false">
      <c r="A11" s="52" t="n">
        <v>44050</v>
      </c>
      <c r="B11" s="38" t="n">
        <v>39760</v>
      </c>
      <c r="C11" s="39" t="n">
        <v>2080</v>
      </c>
      <c r="D11" s="39" t="n">
        <v>15220</v>
      </c>
      <c r="E11" s="39" t="n">
        <v>12660</v>
      </c>
      <c r="F11" s="39"/>
      <c r="G11" s="39" t="n">
        <v>540</v>
      </c>
      <c r="H11" s="39"/>
      <c r="I11" s="39" t="n">
        <v>840</v>
      </c>
      <c r="J11" s="39" t="n">
        <v>2700</v>
      </c>
      <c r="K11" s="39" t="n">
        <v>1300</v>
      </c>
      <c r="L11" s="39"/>
      <c r="M11" s="40" t="n">
        <v>13300</v>
      </c>
      <c r="N11" s="41" t="n">
        <v>88400</v>
      </c>
    </row>
    <row r="12" customFormat="false" ht="12.8" hidden="false" customHeight="false" outlineLevel="0" collapsed="false">
      <c r="A12" s="52" t="n">
        <v>44051</v>
      </c>
      <c r="B12" s="38"/>
      <c r="C12" s="39" t="n">
        <v>660</v>
      </c>
      <c r="D12" s="39" t="n">
        <v>27320</v>
      </c>
      <c r="E12" s="39" t="n">
        <v>1400</v>
      </c>
      <c r="F12" s="39"/>
      <c r="G12" s="39" t="n">
        <v>480</v>
      </c>
      <c r="H12" s="39"/>
      <c r="I12" s="39" t="n">
        <v>460</v>
      </c>
      <c r="J12" s="39" t="n">
        <v>16340</v>
      </c>
      <c r="K12" s="39" t="n">
        <v>1440</v>
      </c>
      <c r="L12" s="39" t="n">
        <v>760</v>
      </c>
      <c r="M12" s="40"/>
      <c r="N12" s="41" t="n">
        <v>48860</v>
      </c>
    </row>
    <row r="13" customFormat="false" ht="12.8" hidden="false" customHeight="false" outlineLevel="0" collapsed="false">
      <c r="A13" s="52" t="n">
        <v>44052</v>
      </c>
      <c r="B13" s="38"/>
      <c r="C13" s="39"/>
      <c r="D13" s="39" t="n">
        <v>28480</v>
      </c>
      <c r="E13" s="39"/>
      <c r="F13" s="39"/>
      <c r="G13" s="39" t="n">
        <v>420</v>
      </c>
      <c r="H13" s="39"/>
      <c r="I13" s="39" t="n">
        <v>960</v>
      </c>
      <c r="J13" s="39" t="n">
        <v>16700</v>
      </c>
      <c r="K13" s="39" t="n">
        <v>2040</v>
      </c>
      <c r="L13" s="39"/>
      <c r="M13" s="40"/>
      <c r="N13" s="41" t="n">
        <v>48600</v>
      </c>
    </row>
    <row r="14" customFormat="false" ht="12.8" hidden="false" customHeight="false" outlineLevel="0" collapsed="false">
      <c r="A14" s="52" t="n">
        <v>44053</v>
      </c>
      <c r="B14" s="38"/>
      <c r="C14" s="39" t="n">
        <v>340</v>
      </c>
      <c r="D14" s="39" t="n">
        <v>16100</v>
      </c>
      <c r="E14" s="39" t="n">
        <v>13200</v>
      </c>
      <c r="F14" s="39"/>
      <c r="G14" s="39" t="n">
        <v>520</v>
      </c>
      <c r="H14" s="39"/>
      <c r="I14" s="39" t="n">
        <v>780</v>
      </c>
      <c r="J14" s="39" t="n">
        <v>15560</v>
      </c>
      <c r="K14" s="39" t="n">
        <v>1680</v>
      </c>
      <c r="L14" s="39"/>
      <c r="M14" s="40"/>
      <c r="N14" s="41" t="n">
        <v>48180</v>
      </c>
    </row>
    <row r="15" customFormat="false" ht="12.8" hidden="false" customHeight="false" outlineLevel="0" collapsed="false">
      <c r="A15" s="52" t="n">
        <v>44054</v>
      </c>
      <c r="B15" s="38"/>
      <c r="C15" s="39"/>
      <c r="D15" s="39" t="n">
        <v>11660</v>
      </c>
      <c r="E15" s="39" t="n">
        <v>18640</v>
      </c>
      <c r="F15" s="39"/>
      <c r="G15" s="39" t="n">
        <v>640</v>
      </c>
      <c r="H15" s="39"/>
      <c r="I15" s="39" t="n">
        <v>1500</v>
      </c>
      <c r="J15" s="39" t="n">
        <v>16760</v>
      </c>
      <c r="K15" s="39" t="n">
        <v>1680</v>
      </c>
      <c r="L15" s="39"/>
      <c r="M15" s="40"/>
      <c r="N15" s="41" t="n">
        <v>50880</v>
      </c>
    </row>
    <row r="16" customFormat="false" ht="12.8" hidden="false" customHeight="false" outlineLevel="0" collapsed="false">
      <c r="A16" s="52" t="n">
        <v>44055</v>
      </c>
      <c r="B16" s="38"/>
      <c r="C16" s="39"/>
      <c r="D16" s="39" t="n">
        <v>12260</v>
      </c>
      <c r="E16" s="39" t="n">
        <v>10040</v>
      </c>
      <c r="F16" s="39"/>
      <c r="G16" s="39" t="n">
        <v>520</v>
      </c>
      <c r="H16" s="39"/>
      <c r="I16" s="39" t="n">
        <v>1020</v>
      </c>
      <c r="J16" s="39" t="n">
        <v>16980</v>
      </c>
      <c r="K16" s="39" t="n">
        <v>1780</v>
      </c>
      <c r="L16" s="39"/>
      <c r="M16" s="40"/>
      <c r="N16" s="41" t="n">
        <v>42600</v>
      </c>
    </row>
    <row r="17" customFormat="false" ht="12.8" hidden="false" customHeight="false" outlineLevel="0" collapsed="false">
      <c r="A17" s="52" t="n">
        <v>44056</v>
      </c>
      <c r="B17" s="38"/>
      <c r="C17" s="39"/>
      <c r="D17" s="39" t="n">
        <v>17740</v>
      </c>
      <c r="E17" s="39" t="n">
        <v>11460</v>
      </c>
      <c r="F17" s="39"/>
      <c r="G17" s="39" t="n">
        <v>500</v>
      </c>
      <c r="H17" s="39"/>
      <c r="I17" s="39" t="n">
        <v>400</v>
      </c>
      <c r="J17" s="39" t="n">
        <v>15540</v>
      </c>
      <c r="K17" s="39" t="n">
        <v>1700</v>
      </c>
      <c r="L17" s="39"/>
      <c r="M17" s="40"/>
      <c r="N17" s="41" t="n">
        <v>47340</v>
      </c>
    </row>
    <row r="18" customFormat="false" ht="12.8" hidden="false" customHeight="false" outlineLevel="0" collapsed="false">
      <c r="A18" s="52" t="n">
        <v>44057</v>
      </c>
      <c r="B18" s="38" t="n">
        <v>35840</v>
      </c>
      <c r="C18" s="39"/>
      <c r="D18" s="39" t="n">
        <v>19240</v>
      </c>
      <c r="E18" s="39" t="n">
        <v>13080</v>
      </c>
      <c r="F18" s="39"/>
      <c r="G18" s="39" t="n">
        <v>500</v>
      </c>
      <c r="H18" s="39"/>
      <c r="I18" s="39" t="n">
        <v>1040</v>
      </c>
      <c r="J18" s="39" t="n">
        <v>18200</v>
      </c>
      <c r="K18" s="39" t="n">
        <v>1820</v>
      </c>
      <c r="L18" s="39"/>
      <c r="M18" s="40"/>
      <c r="N18" s="41" t="n">
        <v>89720</v>
      </c>
    </row>
    <row r="19" customFormat="false" ht="12.8" hidden="false" customHeight="false" outlineLevel="0" collapsed="false">
      <c r="A19" s="52" t="n">
        <v>44058</v>
      </c>
      <c r="B19" s="38"/>
      <c r="C19" s="39"/>
      <c r="D19" s="39" t="n">
        <v>13140</v>
      </c>
      <c r="E19" s="39" t="n">
        <v>17680</v>
      </c>
      <c r="F19" s="39"/>
      <c r="G19" s="39" t="n">
        <v>420</v>
      </c>
      <c r="H19" s="39"/>
      <c r="I19" s="39" t="n">
        <v>700</v>
      </c>
      <c r="J19" s="39" t="n">
        <v>17540</v>
      </c>
      <c r="K19" s="39" t="n">
        <v>1920</v>
      </c>
      <c r="L19" s="39"/>
      <c r="M19" s="40"/>
      <c r="N19" s="41" t="n">
        <v>51400</v>
      </c>
    </row>
    <row r="20" customFormat="false" ht="12.8" hidden="false" customHeight="false" outlineLevel="0" collapsed="false">
      <c r="A20" s="52" t="n">
        <v>44059</v>
      </c>
      <c r="B20" s="38"/>
      <c r="C20" s="39"/>
      <c r="D20" s="39"/>
      <c r="E20" s="39" t="n">
        <v>28740</v>
      </c>
      <c r="F20" s="39"/>
      <c r="G20" s="39" t="n">
        <v>480</v>
      </c>
      <c r="H20" s="39"/>
      <c r="I20" s="39" t="n">
        <v>780</v>
      </c>
      <c r="J20" s="39" t="n">
        <v>18880</v>
      </c>
      <c r="K20" s="39" t="n">
        <v>1520</v>
      </c>
      <c r="L20" s="39"/>
      <c r="M20" s="40"/>
      <c r="N20" s="41" t="n">
        <v>50400</v>
      </c>
    </row>
    <row r="21" customFormat="false" ht="12.8" hidden="false" customHeight="false" outlineLevel="0" collapsed="false">
      <c r="A21" s="52" t="n">
        <v>44060</v>
      </c>
      <c r="B21" s="38"/>
      <c r="C21" s="39"/>
      <c r="D21" s="39" t="n">
        <v>19020</v>
      </c>
      <c r="E21" s="39" t="n">
        <v>11900</v>
      </c>
      <c r="F21" s="39"/>
      <c r="G21" s="39" t="n">
        <v>460</v>
      </c>
      <c r="H21" s="39"/>
      <c r="I21" s="39" t="n">
        <v>1360</v>
      </c>
      <c r="J21" s="39" t="n">
        <v>17940</v>
      </c>
      <c r="K21" s="39" t="n">
        <v>1220</v>
      </c>
      <c r="L21" s="39"/>
      <c r="M21" s="40"/>
      <c r="N21" s="41" t="n">
        <v>51900</v>
      </c>
    </row>
    <row r="22" customFormat="false" ht="12.8" hidden="false" customHeight="false" outlineLevel="0" collapsed="false">
      <c r="A22" s="52" t="n">
        <v>44061</v>
      </c>
      <c r="B22" s="38"/>
      <c r="C22" s="39"/>
      <c r="D22" s="39" t="n">
        <v>11800</v>
      </c>
      <c r="E22" s="39" t="n">
        <v>17180</v>
      </c>
      <c r="F22" s="39"/>
      <c r="G22" s="39" t="n">
        <v>560</v>
      </c>
      <c r="H22" s="39"/>
      <c r="I22" s="39" t="n">
        <v>1520</v>
      </c>
      <c r="J22" s="39" t="n">
        <v>16160</v>
      </c>
      <c r="K22" s="39" t="n">
        <v>1120</v>
      </c>
      <c r="L22" s="39"/>
      <c r="M22" s="40"/>
      <c r="N22" s="41" t="n">
        <v>48340</v>
      </c>
    </row>
    <row r="23" customFormat="false" ht="12.8" hidden="false" customHeight="false" outlineLevel="0" collapsed="false">
      <c r="A23" s="52" t="n">
        <v>44062</v>
      </c>
      <c r="B23" s="38"/>
      <c r="C23" s="39"/>
      <c r="D23" s="39" t="n">
        <v>16560</v>
      </c>
      <c r="E23" s="39" t="n">
        <v>8980</v>
      </c>
      <c r="F23" s="39"/>
      <c r="G23" s="39" t="n">
        <v>640</v>
      </c>
      <c r="H23" s="39"/>
      <c r="I23" s="39" t="n">
        <v>1000</v>
      </c>
      <c r="J23" s="39" t="n">
        <v>18320</v>
      </c>
      <c r="K23" s="39" t="n">
        <v>1200</v>
      </c>
      <c r="L23" s="39"/>
      <c r="M23" s="40"/>
      <c r="N23" s="41" t="n">
        <v>46700</v>
      </c>
    </row>
    <row r="24" customFormat="false" ht="12.8" hidden="false" customHeight="false" outlineLevel="0" collapsed="false">
      <c r="A24" s="52" t="n">
        <v>44063</v>
      </c>
      <c r="B24" s="38"/>
      <c r="C24" s="39" t="n">
        <v>200</v>
      </c>
      <c r="D24" s="39" t="n">
        <v>16660</v>
      </c>
      <c r="E24" s="39" t="n">
        <v>10780</v>
      </c>
      <c r="F24" s="39"/>
      <c r="G24" s="39" t="n">
        <v>480</v>
      </c>
      <c r="H24" s="39"/>
      <c r="I24" s="39"/>
      <c r="J24" s="39" t="n">
        <v>16920</v>
      </c>
      <c r="K24" s="39" t="n">
        <v>1720</v>
      </c>
      <c r="L24" s="39" t="n">
        <v>1100</v>
      </c>
      <c r="M24" s="40"/>
      <c r="N24" s="41" t="n">
        <v>47860</v>
      </c>
    </row>
    <row r="25" customFormat="false" ht="12.8" hidden="false" customHeight="false" outlineLevel="0" collapsed="false">
      <c r="A25" s="52" t="n">
        <v>44064</v>
      </c>
      <c r="B25" s="38"/>
      <c r="C25" s="39"/>
      <c r="D25" s="39" t="n">
        <v>17960</v>
      </c>
      <c r="E25" s="39" t="n">
        <v>12380</v>
      </c>
      <c r="F25" s="39"/>
      <c r="G25" s="39" t="n">
        <v>840</v>
      </c>
      <c r="H25" s="39"/>
      <c r="I25" s="39" t="n">
        <v>1120</v>
      </c>
      <c r="J25" s="39" t="n">
        <v>18000</v>
      </c>
      <c r="K25" s="39" t="n">
        <v>1740</v>
      </c>
      <c r="L25" s="39" t="n">
        <v>2480</v>
      </c>
      <c r="M25" s="40"/>
      <c r="N25" s="41" t="n">
        <v>54520</v>
      </c>
    </row>
    <row r="26" customFormat="false" ht="12.8" hidden="false" customHeight="false" outlineLevel="0" collapsed="false">
      <c r="A26" s="52" t="n">
        <v>44065</v>
      </c>
      <c r="B26" s="38"/>
      <c r="C26" s="39"/>
      <c r="D26" s="39" t="n">
        <v>11620</v>
      </c>
      <c r="E26" s="39" t="n">
        <v>18480</v>
      </c>
      <c r="F26" s="39"/>
      <c r="G26" s="39" t="n">
        <v>580</v>
      </c>
      <c r="H26" s="39"/>
      <c r="I26" s="39" t="n">
        <v>500</v>
      </c>
      <c r="J26" s="39" t="n">
        <v>17640</v>
      </c>
      <c r="K26" s="39" t="n">
        <v>1860</v>
      </c>
      <c r="L26" s="39"/>
      <c r="M26" s="40"/>
      <c r="N26" s="41" t="n">
        <v>50680</v>
      </c>
    </row>
    <row r="27" customFormat="false" ht="12.8" hidden="false" customHeight="false" outlineLevel="0" collapsed="false">
      <c r="A27" s="52" t="n">
        <v>44066</v>
      </c>
      <c r="B27" s="38"/>
      <c r="C27" s="39"/>
      <c r="D27" s="39" t="n">
        <v>18320</v>
      </c>
      <c r="E27" s="39" t="n">
        <v>11000</v>
      </c>
      <c r="F27" s="39"/>
      <c r="G27" s="39" t="n">
        <v>780</v>
      </c>
      <c r="H27" s="39"/>
      <c r="I27" s="39"/>
      <c r="J27" s="39" t="n">
        <v>20080</v>
      </c>
      <c r="K27" s="39" t="n">
        <v>1880</v>
      </c>
      <c r="L27" s="39"/>
      <c r="M27" s="40"/>
      <c r="N27" s="41" t="n">
        <v>52060</v>
      </c>
    </row>
    <row r="28" customFormat="false" ht="12.8" hidden="false" customHeight="false" outlineLevel="0" collapsed="false">
      <c r="A28" s="52" t="n">
        <v>44067</v>
      </c>
      <c r="B28" s="38"/>
      <c r="C28" s="39"/>
      <c r="D28" s="39" t="n">
        <v>28460</v>
      </c>
      <c r="E28" s="39"/>
      <c r="F28" s="39"/>
      <c r="G28" s="39" t="n">
        <v>700</v>
      </c>
      <c r="H28" s="39"/>
      <c r="I28" s="39" t="n">
        <v>800</v>
      </c>
      <c r="J28" s="39" t="n">
        <v>16360</v>
      </c>
      <c r="K28" s="39" t="n">
        <v>1580</v>
      </c>
      <c r="L28" s="39"/>
      <c r="M28" s="40"/>
      <c r="N28" s="41" t="n">
        <v>47900</v>
      </c>
    </row>
    <row r="29" customFormat="false" ht="12.8" hidden="false" customHeight="false" outlineLevel="0" collapsed="false">
      <c r="A29" s="52" t="n">
        <v>44068</v>
      </c>
      <c r="B29" s="38"/>
      <c r="C29" s="39"/>
      <c r="D29" s="39" t="n">
        <v>17980</v>
      </c>
      <c r="E29" s="39" t="n">
        <v>7320</v>
      </c>
      <c r="F29" s="39"/>
      <c r="G29" s="39" t="n">
        <v>600</v>
      </c>
      <c r="H29" s="39"/>
      <c r="I29" s="39" t="n">
        <v>780</v>
      </c>
      <c r="J29" s="39" t="n">
        <v>16180</v>
      </c>
      <c r="K29" s="39" t="n">
        <v>1340</v>
      </c>
      <c r="L29" s="39"/>
      <c r="M29" s="40"/>
      <c r="N29" s="41" t="n">
        <v>44200</v>
      </c>
    </row>
    <row r="30" customFormat="false" ht="12.8" hidden="false" customHeight="false" outlineLevel="0" collapsed="false">
      <c r="A30" s="52" t="n">
        <v>44069</v>
      </c>
      <c r="B30" s="38"/>
      <c r="C30" s="39"/>
      <c r="D30" s="39" t="n">
        <v>16200</v>
      </c>
      <c r="E30" s="39" t="n">
        <v>8080</v>
      </c>
      <c r="F30" s="39" t="n">
        <v>5580</v>
      </c>
      <c r="G30" s="39" t="n">
        <v>600</v>
      </c>
      <c r="H30" s="39"/>
      <c r="I30" s="39" t="n">
        <v>1420</v>
      </c>
      <c r="J30" s="39" t="n">
        <v>17080</v>
      </c>
      <c r="K30" s="39" t="n">
        <v>1040</v>
      </c>
      <c r="L30" s="39"/>
      <c r="M30" s="40"/>
      <c r="N30" s="41" t="n">
        <v>50000</v>
      </c>
    </row>
    <row r="31" customFormat="false" ht="12.8" hidden="false" customHeight="false" outlineLevel="0" collapsed="false">
      <c r="A31" s="52" t="n">
        <v>44070</v>
      </c>
      <c r="B31" s="38"/>
      <c r="C31" s="39" t="n">
        <v>220</v>
      </c>
      <c r="D31" s="39" t="n">
        <v>13680</v>
      </c>
      <c r="E31" s="39" t="n">
        <v>7420</v>
      </c>
      <c r="F31" s="39"/>
      <c r="G31" s="39"/>
      <c r="H31" s="39" t="n">
        <v>1560</v>
      </c>
      <c r="I31" s="39" t="n">
        <v>620</v>
      </c>
      <c r="J31" s="39" t="n">
        <v>14460</v>
      </c>
      <c r="K31" s="39" t="n">
        <v>1020</v>
      </c>
      <c r="L31" s="39"/>
      <c r="M31" s="40"/>
      <c r="N31" s="41" t="n">
        <v>38980</v>
      </c>
    </row>
    <row r="32" customFormat="false" ht="12.8" hidden="false" customHeight="false" outlineLevel="0" collapsed="false">
      <c r="A32" s="52" t="n">
        <v>44071</v>
      </c>
      <c r="B32" s="38"/>
      <c r="C32" s="39"/>
      <c r="D32" s="39" t="n">
        <v>18000</v>
      </c>
      <c r="E32" s="39" t="n">
        <v>11320</v>
      </c>
      <c r="F32" s="39"/>
      <c r="G32" s="39" t="n">
        <v>400</v>
      </c>
      <c r="H32" s="39"/>
      <c r="I32" s="39" t="n">
        <v>340</v>
      </c>
      <c r="J32" s="39" t="n">
        <v>17620</v>
      </c>
      <c r="K32" s="39" t="n">
        <v>1260</v>
      </c>
      <c r="L32" s="39"/>
      <c r="M32" s="40"/>
      <c r="N32" s="41" t="n">
        <v>48940</v>
      </c>
    </row>
    <row r="33" customFormat="false" ht="12.8" hidden="false" customHeight="false" outlineLevel="0" collapsed="false">
      <c r="A33" s="52" t="n">
        <v>44072</v>
      </c>
      <c r="B33" s="38"/>
      <c r="C33" s="39"/>
      <c r="D33" s="39"/>
      <c r="E33" s="39" t="n">
        <v>15840</v>
      </c>
      <c r="F33" s="39"/>
      <c r="G33" s="39" t="n">
        <v>360</v>
      </c>
      <c r="H33" s="39"/>
      <c r="I33" s="39" t="n">
        <v>1000</v>
      </c>
      <c r="J33" s="39" t="n">
        <v>16860</v>
      </c>
      <c r="K33" s="39" t="n">
        <v>1140</v>
      </c>
      <c r="L33" s="39"/>
      <c r="M33" s="40"/>
      <c r="N33" s="41" t="n">
        <v>35200</v>
      </c>
    </row>
    <row r="34" customFormat="false" ht="12.8" hidden="false" customHeight="false" outlineLevel="0" collapsed="false">
      <c r="A34" s="52" t="n">
        <v>44073</v>
      </c>
      <c r="B34" s="38"/>
      <c r="C34" s="39"/>
      <c r="D34" s="39"/>
      <c r="E34" s="39" t="n">
        <v>24720</v>
      </c>
      <c r="F34" s="39"/>
      <c r="G34" s="39" t="n">
        <v>240</v>
      </c>
      <c r="H34" s="39"/>
      <c r="I34" s="39" t="n">
        <v>1580</v>
      </c>
      <c r="J34" s="39" t="n">
        <v>16360</v>
      </c>
      <c r="K34" s="39" t="n">
        <v>1240</v>
      </c>
      <c r="L34" s="39"/>
      <c r="M34" s="40"/>
      <c r="N34" s="41" t="n">
        <v>44140</v>
      </c>
    </row>
    <row r="35" customFormat="false" ht="12.8" hidden="false" customHeight="false" outlineLevel="0" collapsed="false">
      <c r="A35" s="52" t="n">
        <v>44074</v>
      </c>
      <c r="B35" s="42"/>
      <c r="C35" s="43" t="n">
        <v>280</v>
      </c>
      <c r="D35" s="43"/>
      <c r="E35" s="43" t="n">
        <v>24860</v>
      </c>
      <c r="F35" s="43"/>
      <c r="G35" s="43" t="n">
        <v>140</v>
      </c>
      <c r="H35" s="43"/>
      <c r="I35" s="43" t="n">
        <v>2740</v>
      </c>
      <c r="J35" s="43" t="n">
        <v>16180</v>
      </c>
      <c r="K35" s="43" t="n">
        <v>1060</v>
      </c>
      <c r="L35" s="43"/>
      <c r="M35" s="44"/>
      <c r="N35" s="45" t="n">
        <v>45260</v>
      </c>
    </row>
    <row r="36" customFormat="false" ht="12.8" hidden="false" customHeight="false" outlineLevel="0" collapsed="false">
      <c r="A36" s="53" t="s">
        <v>34</v>
      </c>
      <c r="B36" s="47" t="n">
        <v>75600</v>
      </c>
      <c r="C36" s="48" t="n">
        <v>4180</v>
      </c>
      <c r="D36" s="48" t="n">
        <v>499640</v>
      </c>
      <c r="E36" s="48" t="n">
        <v>343980</v>
      </c>
      <c r="F36" s="48" t="n">
        <v>5580</v>
      </c>
      <c r="G36" s="48" t="n">
        <v>15620</v>
      </c>
      <c r="H36" s="48" t="n">
        <v>16240</v>
      </c>
      <c r="I36" s="48" t="n">
        <v>28680</v>
      </c>
      <c r="J36" s="48" t="n">
        <v>484000</v>
      </c>
      <c r="K36" s="48" t="n">
        <v>45040</v>
      </c>
      <c r="L36" s="48" t="n">
        <v>6000</v>
      </c>
      <c r="M36" s="49" t="n">
        <v>13300</v>
      </c>
      <c r="N36" s="50" t="n">
        <v>1537860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I14" activeCellId="0" sqref="I14"/>
    </sheetView>
  </sheetViews>
  <sheetFormatPr defaultRowHeight="13.8" zeroHeight="false" outlineLevelRow="0" outlineLevelCol="0"/>
  <cols>
    <col collapsed="false" customWidth="true" hidden="false" outlineLevel="0" max="1" min="1" style="54" width="15.1"/>
    <col collapsed="false" customWidth="true" hidden="false" outlineLevel="0" max="2" min="2" style="0" width="15.86"/>
    <col collapsed="false" customWidth="true" hidden="false" outlineLevel="0" max="3" min="3" style="0" width="15.1"/>
    <col collapsed="false" customWidth="true" hidden="false" outlineLevel="0" max="4" min="4" style="54" width="13.81"/>
    <col collapsed="false" customWidth="true" hidden="false" outlineLevel="0" max="7" min="5" style="0" width="10.47"/>
    <col collapsed="false" customWidth="true" hidden="false" outlineLevel="0" max="8" min="8" style="0" width="15.1"/>
    <col collapsed="false" customWidth="true" hidden="false" outlineLevel="0" max="9" min="9" style="0" width="14.37"/>
    <col collapsed="false" customWidth="true" hidden="false" outlineLevel="0" max="11" min="10" style="0" width="10.47"/>
    <col collapsed="false" customWidth="true" hidden="false" outlineLevel="0" max="12" min="12" style="0" width="11.05"/>
    <col collapsed="false" customWidth="true" hidden="false" outlineLevel="0" max="13" min="13" style="0" width="17.39"/>
    <col collapsed="false" customWidth="true" hidden="false" outlineLevel="0" max="14" min="14" style="0" width="9.61"/>
    <col collapsed="false" customWidth="true" hidden="false" outlineLevel="0" max="1025" min="15" style="0" width="10.47"/>
  </cols>
  <sheetData>
    <row r="1" customFormat="false" ht="13.8" hidden="false" customHeight="false" outlineLevel="0" collapsed="false">
      <c r="A1" s="0" t="n">
        <v>1</v>
      </c>
      <c r="B1" s="54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</row>
    <row r="2" customFormat="false" ht="13.8" hidden="false" customHeight="false" outlineLevel="0" collapsed="false">
      <c r="A2" s="55" t="s">
        <v>3</v>
      </c>
      <c r="B2" s="56" t="s">
        <v>35</v>
      </c>
      <c r="C2" s="57" t="s">
        <v>25</v>
      </c>
      <c r="D2" s="57" t="s">
        <v>15</v>
      </c>
      <c r="E2" s="57" t="s">
        <v>22</v>
      </c>
      <c r="F2" s="57" t="s">
        <v>20</v>
      </c>
      <c r="G2" s="57" t="s">
        <v>12</v>
      </c>
      <c r="H2" s="58" t="s">
        <v>34</v>
      </c>
    </row>
    <row r="3" customFormat="false" ht="13.8" hidden="false" customHeight="false" outlineLevel="0" collapsed="false">
      <c r="A3" s="59" t="s">
        <v>28</v>
      </c>
      <c r="B3" s="59" t="n">
        <v>72180</v>
      </c>
      <c r="C3" s="59"/>
      <c r="D3" s="59"/>
      <c r="E3" s="59"/>
      <c r="F3" s="59"/>
      <c r="G3" s="59" t="n">
        <v>3420</v>
      </c>
      <c r="H3" s="60" t="n">
        <f aca="false">SUM(B3:G3)</f>
        <v>75600</v>
      </c>
    </row>
    <row r="4" customFormat="false" ht="13.8" hidden="false" customHeight="false" outlineLevel="0" collapsed="false">
      <c r="A4" s="59" t="s">
        <v>24</v>
      </c>
      <c r="B4" s="59"/>
      <c r="C4" s="59" t="n">
        <v>4180</v>
      </c>
      <c r="D4" s="59"/>
      <c r="E4" s="59"/>
      <c r="F4" s="59"/>
      <c r="G4" s="59"/>
      <c r="H4" s="60" t="n">
        <f aca="false">SUM(B4:G4)</f>
        <v>4180</v>
      </c>
    </row>
    <row r="5" customFormat="false" ht="13.8" hidden="false" customHeight="false" outlineLevel="0" collapsed="false">
      <c r="A5" s="59" t="s">
        <v>14</v>
      </c>
      <c r="B5" s="59"/>
      <c r="C5" s="59"/>
      <c r="D5" s="59" t="n">
        <v>494720</v>
      </c>
      <c r="E5" s="59" t="n">
        <v>2720</v>
      </c>
      <c r="F5" s="59" t="n">
        <v>2200</v>
      </c>
      <c r="G5" s="59"/>
      <c r="H5" s="60" t="n">
        <f aca="false">SUM(B5:G5)</f>
        <v>499640</v>
      </c>
    </row>
    <row r="6" customFormat="false" ht="13.8" hidden="false" customHeight="false" outlineLevel="0" collapsed="false">
      <c r="A6" s="59" t="s">
        <v>17</v>
      </c>
      <c r="B6" s="59"/>
      <c r="C6" s="59"/>
      <c r="D6" s="59" t="n">
        <v>300520</v>
      </c>
      <c r="E6" s="59" t="n">
        <v>24620</v>
      </c>
      <c r="F6" s="59" t="n">
        <v>18840</v>
      </c>
      <c r="G6" s="59"/>
      <c r="H6" s="60" t="n">
        <f aca="false">SUM(B6:G6)</f>
        <v>343980</v>
      </c>
    </row>
    <row r="7" customFormat="false" ht="13.8" hidden="false" customHeight="false" outlineLevel="0" collapsed="false">
      <c r="A7" s="59" t="s">
        <v>30</v>
      </c>
      <c r="B7" s="59"/>
      <c r="C7" s="59"/>
      <c r="D7" s="59"/>
      <c r="E7" s="59"/>
      <c r="F7" s="59" t="n">
        <v>1860</v>
      </c>
      <c r="G7" s="59" t="n">
        <v>3720</v>
      </c>
      <c r="H7" s="60" t="n">
        <f aca="false">SUM(B7:G7)</f>
        <v>5580</v>
      </c>
    </row>
    <row r="8" customFormat="false" ht="13.8" hidden="false" customHeight="false" outlineLevel="0" collapsed="false">
      <c r="A8" s="59" t="s">
        <v>16</v>
      </c>
      <c r="B8" s="59"/>
      <c r="C8" s="59"/>
      <c r="D8" s="59" t="n">
        <v>15620</v>
      </c>
      <c r="E8" s="59"/>
      <c r="F8" s="59"/>
      <c r="G8" s="59"/>
      <c r="H8" s="60" t="n">
        <f aca="false">SUM(B8:G8)</f>
        <v>15620</v>
      </c>
    </row>
    <row r="9" customFormat="false" ht="13.8" hidden="false" customHeight="false" outlineLevel="0" collapsed="false">
      <c r="A9" s="59" t="s">
        <v>26</v>
      </c>
      <c r="B9" s="59"/>
      <c r="C9" s="59"/>
      <c r="D9" s="59" t="n">
        <v>16240</v>
      </c>
      <c r="E9" s="59"/>
      <c r="F9" s="59"/>
      <c r="G9" s="59"/>
      <c r="H9" s="60" t="n">
        <f aca="false">SUM(B9:G9)</f>
        <v>16240</v>
      </c>
    </row>
    <row r="10" customFormat="false" ht="13.8" hidden="false" customHeight="false" outlineLevel="0" collapsed="false">
      <c r="A10" s="59" t="s">
        <v>10</v>
      </c>
      <c r="B10" s="59"/>
      <c r="C10" s="59"/>
      <c r="D10" s="59" t="n">
        <v>4620</v>
      </c>
      <c r="E10" s="59"/>
      <c r="F10" s="59"/>
      <c r="G10" s="59" t="n">
        <v>24060</v>
      </c>
      <c r="H10" s="60" t="n">
        <f aca="false">SUM(B10:G10)</f>
        <v>28680</v>
      </c>
    </row>
    <row r="11" customFormat="false" ht="13.8" hidden="false" customHeight="false" outlineLevel="0" collapsed="false">
      <c r="A11" s="59" t="s">
        <v>18</v>
      </c>
      <c r="B11" s="59"/>
      <c r="C11" s="59"/>
      <c r="D11" s="59" t="n">
        <v>484000</v>
      </c>
      <c r="E11" s="59"/>
      <c r="F11" s="59"/>
      <c r="G11" s="59"/>
      <c r="H11" s="60" t="n">
        <f aca="false">SUM(B11:G11)</f>
        <v>484000</v>
      </c>
    </row>
    <row r="12" customFormat="false" ht="13.8" hidden="false" customHeight="false" outlineLevel="0" collapsed="false">
      <c r="A12" s="59" t="s">
        <v>19</v>
      </c>
      <c r="B12" s="59"/>
      <c r="C12" s="59"/>
      <c r="D12" s="59" t="n">
        <v>45040</v>
      </c>
      <c r="E12" s="59"/>
      <c r="F12" s="59"/>
      <c r="G12" s="59"/>
      <c r="H12" s="60" t="n">
        <f aca="false">SUM(B12:G12)</f>
        <v>45040</v>
      </c>
    </row>
    <row r="13" customFormat="false" ht="13.8" hidden="false" customHeight="false" outlineLevel="0" collapsed="false">
      <c r="A13" s="59" t="s">
        <v>23</v>
      </c>
      <c r="B13" s="59"/>
      <c r="C13" s="59"/>
      <c r="D13" s="59"/>
      <c r="E13" s="59"/>
      <c r="F13" s="59"/>
      <c r="G13" s="59" t="n">
        <v>6000</v>
      </c>
      <c r="H13" s="60" t="n">
        <f aca="false">SUM(B13:G13)</f>
        <v>6000</v>
      </c>
    </row>
    <row r="14" customFormat="false" ht="13.8" hidden="false" customHeight="false" outlineLevel="0" collapsed="false">
      <c r="A14" s="59" t="s">
        <v>27</v>
      </c>
      <c r="B14" s="59"/>
      <c r="C14" s="59"/>
      <c r="D14" s="59" t="n">
        <v>13300</v>
      </c>
      <c r="E14" s="59"/>
      <c r="F14" s="59"/>
      <c r="G14" s="59"/>
      <c r="H14" s="60" t="n">
        <f aca="false">SUM(B14:G14)</f>
        <v>13300</v>
      </c>
    </row>
    <row r="15" customFormat="false" ht="13.8" hidden="false" customHeight="false" outlineLevel="0" collapsed="false">
      <c r="A15" s="61" t="s">
        <v>34</v>
      </c>
      <c r="B15" s="62" t="n">
        <f aca="false">SUM(B3:B14)</f>
        <v>72180</v>
      </c>
      <c r="C15" s="62" t="n">
        <f aca="false">SUM(C3:C14)</f>
        <v>4180</v>
      </c>
      <c r="D15" s="62" t="n">
        <f aca="false">SUM(D3:D14)</f>
        <v>1374060</v>
      </c>
      <c r="E15" s="62" t="n">
        <f aca="false">SUM(E3:E14)</f>
        <v>27340</v>
      </c>
      <c r="F15" s="62" t="n">
        <f aca="false">SUM(F3:F14)</f>
        <v>22900</v>
      </c>
      <c r="G15" s="62" t="n">
        <f aca="false">SUM(G3:G14)</f>
        <v>37200</v>
      </c>
      <c r="H15" s="63" t="n">
        <f aca="false">SUM(B15:G15)</f>
        <v>1537860</v>
      </c>
    </row>
    <row r="16" customFormat="false" ht="13.8" hidden="false" customHeight="false" outlineLevel="0" collapsed="false">
      <c r="A16" s="61"/>
      <c r="B16" s="62"/>
      <c r="C16" s="62"/>
      <c r="D16" s="62"/>
      <c r="E16" s="62"/>
      <c r="F16" s="62"/>
      <c r="G16" s="62"/>
      <c r="H16" s="63"/>
    </row>
    <row r="17" customFormat="false" ht="13.8" hidden="false" customHeight="false" outlineLevel="0" collapsed="false">
      <c r="C17" s="64"/>
      <c r="D17" s="64"/>
      <c r="E17" s="64"/>
      <c r="F17" s="64"/>
      <c r="G17" s="64"/>
      <c r="H17" s="64"/>
    </row>
    <row r="18" customFormat="false" ht="13.8" hidden="false" customHeight="false" outlineLevel="0" collapsed="false">
      <c r="C18" s="64"/>
      <c r="D18" s="64"/>
      <c r="E18" s="64"/>
      <c r="F18" s="64"/>
      <c r="G18" s="64"/>
      <c r="H18" s="64"/>
    </row>
    <row r="19" customFormat="false" ht="13.8" hidden="false" customHeight="false" outlineLevel="0" collapsed="false">
      <c r="C19" s="64"/>
      <c r="D19" s="64"/>
      <c r="E19" s="64"/>
      <c r="F19" s="64"/>
      <c r="G19" s="64"/>
      <c r="H19" s="64"/>
    </row>
    <row r="20" customFormat="false" ht="13.8" hidden="false" customHeight="false" outlineLevel="0" collapsed="false">
      <c r="C20" s="64"/>
      <c r="D20" s="64"/>
      <c r="E20" s="64"/>
      <c r="F20" s="64"/>
      <c r="G20" s="64"/>
      <c r="H20" s="64"/>
    </row>
    <row r="21" customFormat="false" ht="13.8" hidden="false" customHeight="false" outlineLevel="0" collapsed="false">
      <c r="A21" s="0"/>
      <c r="D21" s="0"/>
    </row>
    <row r="22" customFormat="false" ht="13.8" hidden="false" customHeight="false" outlineLevel="0" collapsed="false">
      <c r="A22" s="64" t="s">
        <v>15</v>
      </c>
      <c r="B22" s="64"/>
      <c r="C22" s="64"/>
      <c r="D22" s="64"/>
      <c r="E22" s="64"/>
      <c r="F22" s="64"/>
      <c r="G22" s="64"/>
      <c r="H22" s="64"/>
    </row>
    <row r="23" customFormat="false" ht="13.8" hidden="false" customHeight="false" outlineLevel="0" collapsed="false">
      <c r="A23" s="54" t="s">
        <v>36</v>
      </c>
      <c r="B23" s="0" t="s">
        <v>37</v>
      </c>
      <c r="C23" s="65" t="s">
        <v>38</v>
      </c>
      <c r="D23" s="66" t="s">
        <v>39</v>
      </c>
      <c r="E23" s="65" t="s">
        <v>40</v>
      </c>
      <c r="F23" s="67" t="s">
        <v>41</v>
      </c>
      <c r="G23" s="65" t="s">
        <v>42</v>
      </c>
      <c r="H23" s="65"/>
    </row>
    <row r="24" customFormat="false" ht="13.8" hidden="false" customHeight="false" outlineLevel="0" collapsed="false">
      <c r="A24" s="68" t="n">
        <v>109</v>
      </c>
      <c r="B24" s="69" t="s">
        <v>43</v>
      </c>
      <c r="C24" s="70" t="s">
        <v>28</v>
      </c>
      <c r="D24" s="71"/>
      <c r="E24" s="70"/>
      <c r="F24" s="72"/>
      <c r="G24" s="73" t="n">
        <f aca="false">VLOOKUP(C24,$A$2:$G$15,4,FALSE())</f>
        <v>0</v>
      </c>
      <c r="H24" s="74" t="str">
        <f aca="false">IF(G24-F24&gt;0,"Revisar","Bien")</f>
        <v>Bien</v>
      </c>
    </row>
    <row r="25" customFormat="false" ht="13.8" hidden="false" customHeight="false" outlineLevel="0" collapsed="false">
      <c r="A25" s="75" t="n">
        <v>333</v>
      </c>
      <c r="B25" s="76" t="s">
        <v>44</v>
      </c>
      <c r="C25" s="77" t="s">
        <v>24</v>
      </c>
      <c r="D25" s="66"/>
      <c r="E25" s="65"/>
      <c r="F25" s="67"/>
      <c r="G25" s="78" t="n">
        <f aca="false">VLOOKUP(C25,$A$2:$G$15,4,FALSE())</f>
        <v>0</v>
      </c>
      <c r="H25" s="79" t="str">
        <f aca="false">IF(G25-F25&gt;0,"Revisar","Bien")</f>
        <v>Bien</v>
      </c>
    </row>
    <row r="26" customFormat="false" ht="13.8" hidden="false" customHeight="false" outlineLevel="0" collapsed="false">
      <c r="A26" s="80" t="n">
        <v>320</v>
      </c>
      <c r="B26" s="81" t="s">
        <v>45</v>
      </c>
      <c r="C26" s="65" t="s">
        <v>14</v>
      </c>
      <c r="D26" s="66" t="s">
        <v>46</v>
      </c>
      <c r="E26" s="65" t="s">
        <v>47</v>
      </c>
      <c r="F26" s="67" t="n">
        <v>494720</v>
      </c>
      <c r="G26" s="78" t="n">
        <f aca="false">VLOOKUP(C26,$A$2:$G$15,4,FALSE())</f>
        <v>494720</v>
      </c>
      <c r="H26" s="79" t="str">
        <f aca="false">IF(G26-F26&gt;0,"Revisar","Bien")</f>
        <v>Bien</v>
      </c>
    </row>
    <row r="27" customFormat="false" ht="13.8" hidden="false" customHeight="false" outlineLevel="0" collapsed="false">
      <c r="A27" s="80" t="n">
        <v>321</v>
      </c>
      <c r="B27" s="81" t="s">
        <v>48</v>
      </c>
      <c r="C27" s="65" t="s">
        <v>17</v>
      </c>
      <c r="D27" s="66" t="s">
        <v>46</v>
      </c>
      <c r="E27" s="65" t="s">
        <v>47</v>
      </c>
      <c r="F27" s="67" t="n">
        <v>300520</v>
      </c>
      <c r="G27" s="78" t="n">
        <f aca="false">VLOOKUP(C27,$A$2:$G$15,4,FALSE())</f>
        <v>300520</v>
      </c>
      <c r="H27" s="79" t="str">
        <f aca="false">IF(G27-F27&gt;0,"Revisar","Bien")</f>
        <v>Bien</v>
      </c>
    </row>
    <row r="28" customFormat="false" ht="13.8" hidden="false" customHeight="false" outlineLevel="0" collapsed="false">
      <c r="A28" s="75" t="n">
        <v>316</v>
      </c>
      <c r="B28" s="0" t="s">
        <v>49</v>
      </c>
      <c r="C28" s="65" t="s">
        <v>16</v>
      </c>
      <c r="D28" s="66" t="s">
        <v>46</v>
      </c>
      <c r="E28" s="65" t="s">
        <v>47</v>
      </c>
      <c r="F28" s="67" t="n">
        <v>15620</v>
      </c>
      <c r="G28" s="78" t="n">
        <f aca="false">VLOOKUP(C28,$A$2:$G$15,4,FALSE())</f>
        <v>15620</v>
      </c>
      <c r="H28" s="79" t="str">
        <f aca="false">IF(G28-F28&gt;0,"Revisar","Bien")</f>
        <v>Bien</v>
      </c>
    </row>
    <row r="29" customFormat="false" ht="13.8" hidden="false" customHeight="false" outlineLevel="0" collapsed="false">
      <c r="A29" s="80" t="n">
        <v>196</v>
      </c>
      <c r="B29" s="81" t="s">
        <v>50</v>
      </c>
      <c r="C29" s="65" t="s">
        <v>26</v>
      </c>
      <c r="D29" s="66" t="s">
        <v>46</v>
      </c>
      <c r="E29" s="65" t="s">
        <v>47</v>
      </c>
      <c r="F29" s="67" t="n">
        <v>16240</v>
      </c>
      <c r="G29" s="78" t="n">
        <f aca="false">VLOOKUP(C29,$A$2:$G$15,4,FALSE())</f>
        <v>16240</v>
      </c>
      <c r="H29" s="79" t="str">
        <f aca="false">IF(G29-F29&gt;0,"Revisar","Bien")</f>
        <v>Bien</v>
      </c>
      <c r="I29" s="0" t="s">
        <v>51</v>
      </c>
    </row>
    <row r="30" customFormat="false" ht="13.8" hidden="false" customHeight="false" outlineLevel="0" collapsed="false">
      <c r="A30" s="75" t="n">
        <v>309</v>
      </c>
      <c r="B30" s="0" t="s">
        <v>52</v>
      </c>
      <c r="C30" s="65" t="s">
        <v>10</v>
      </c>
      <c r="D30" s="66" t="s">
        <v>46</v>
      </c>
      <c r="E30" s="65" t="s">
        <v>47</v>
      </c>
      <c r="F30" s="82" t="n">
        <v>4620</v>
      </c>
      <c r="G30" s="78" t="n">
        <f aca="false">VLOOKUP(C30,$A$2:$G$15,4,FALSE())</f>
        <v>4620</v>
      </c>
      <c r="H30" s="79" t="str">
        <f aca="false">IF(G30-F30&gt;0,"Revisar","Bien")</f>
        <v>Bien</v>
      </c>
      <c r="L30" s="83"/>
      <c r="M30" s="84"/>
      <c r="N30" s="76"/>
    </row>
    <row r="31" customFormat="false" ht="13.8" hidden="false" customHeight="false" outlineLevel="0" collapsed="false">
      <c r="A31" s="75" t="n">
        <v>318</v>
      </c>
      <c r="B31" s="81" t="s">
        <v>50</v>
      </c>
      <c r="C31" s="65" t="s">
        <v>18</v>
      </c>
      <c r="D31" s="66" t="s">
        <v>46</v>
      </c>
      <c r="E31" s="65" t="s">
        <v>47</v>
      </c>
      <c r="F31" s="82" t="n">
        <v>484000</v>
      </c>
      <c r="G31" s="78" t="n">
        <f aca="false">VLOOKUP(C31,$A$2:$G$15,4,FALSE())</f>
        <v>484000</v>
      </c>
      <c r="H31" s="79" t="str">
        <f aca="false">IF(G31-F31&gt;0,"Revisar","Bien")</f>
        <v>Bien</v>
      </c>
      <c r="L31" s="83"/>
      <c r="M31" s="76"/>
      <c r="N31" s="76"/>
    </row>
    <row r="32" customFormat="false" ht="13.8" hidden="false" customHeight="false" outlineLevel="0" collapsed="false">
      <c r="A32" s="85" t="n">
        <v>310</v>
      </c>
      <c r="B32" s="86" t="s">
        <v>53</v>
      </c>
      <c r="C32" s="87" t="s">
        <v>19</v>
      </c>
      <c r="D32" s="88" t="n">
        <v>1</v>
      </c>
      <c r="E32" s="87" t="s">
        <v>54</v>
      </c>
      <c r="F32" s="89" t="n">
        <v>45040</v>
      </c>
      <c r="G32" s="90" t="n">
        <f aca="false">VLOOKUP(C32,$A$2:$G$15,4,FALSE())</f>
        <v>45040</v>
      </c>
      <c r="H32" s="91" t="str">
        <f aca="false">IF(G32-F32&gt;0,"Revisar","Bien")</f>
        <v>Bien</v>
      </c>
      <c r="N32" s="81"/>
    </row>
    <row r="33" customFormat="false" ht="13.8" hidden="false" customHeight="false" outlineLevel="0" collapsed="false">
      <c r="A33" s="85"/>
      <c r="B33" s="92" t="s">
        <v>50</v>
      </c>
      <c r="C33" s="93" t="s">
        <v>27</v>
      </c>
      <c r="D33" s="88" t="s">
        <v>46</v>
      </c>
      <c r="E33" s="87" t="s">
        <v>55</v>
      </c>
      <c r="F33" s="89" t="n">
        <v>13300</v>
      </c>
      <c r="G33" s="90"/>
      <c r="H33" s="91"/>
      <c r="I33" s="0" t="s">
        <v>51</v>
      </c>
      <c r="N33" s="81"/>
    </row>
    <row r="34" customFormat="false" ht="13.8" hidden="false" customHeight="false" outlineLevel="0" collapsed="false">
      <c r="C34" s="65"/>
      <c r="D34" s="66"/>
      <c r="E34" s="65"/>
      <c r="F34" s="94" t="n">
        <f aca="false">SUM(F24:F32)</f>
        <v>1360760</v>
      </c>
      <c r="G34" s="95" t="n">
        <f aca="false">SUM(G24:G32)</f>
        <v>1360760</v>
      </c>
      <c r="H34" s="65"/>
      <c r="L34" s="83"/>
      <c r="N34" s="65"/>
    </row>
    <row r="35" customFormat="false" ht="13.8" hidden="false" customHeight="false" outlineLevel="0" collapsed="false">
      <c r="A35" s="64" t="s">
        <v>56</v>
      </c>
      <c r="B35" s="64"/>
      <c r="C35" s="64"/>
      <c r="D35" s="64"/>
      <c r="E35" s="64"/>
      <c r="F35" s="64"/>
      <c r="G35" s="64"/>
      <c r="H35" s="64"/>
      <c r="L35" s="83"/>
      <c r="N35" s="65"/>
    </row>
    <row r="36" customFormat="false" ht="13.8" hidden="false" customHeight="false" outlineLevel="0" collapsed="false">
      <c r="C36" s="65" t="s">
        <v>38</v>
      </c>
      <c r="D36" s="66" t="s">
        <v>57</v>
      </c>
      <c r="E36" s="65" t="s">
        <v>58</v>
      </c>
      <c r="F36" s="82" t="s">
        <v>41</v>
      </c>
      <c r="G36" s="65" t="s">
        <v>42</v>
      </c>
      <c r="H36" s="65"/>
    </row>
    <row r="37" customFormat="false" ht="13.8" hidden="false" customHeight="false" outlineLevel="0" collapsed="false">
      <c r="A37" s="68" t="n">
        <v>109</v>
      </c>
      <c r="B37" s="69" t="s">
        <v>43</v>
      </c>
      <c r="C37" s="70" t="s">
        <v>28</v>
      </c>
      <c r="D37" s="71" t="n">
        <v>2</v>
      </c>
      <c r="E37" s="70" t="n">
        <v>2</v>
      </c>
      <c r="F37" s="70" t="n">
        <v>3420</v>
      </c>
      <c r="G37" s="73" t="n">
        <f aca="false">VLOOKUP(C37,$A$2:$G$15,7,FALSE())</f>
        <v>3420</v>
      </c>
      <c r="H37" s="74" t="str">
        <f aca="false">IF(G37-F37&gt;0,"Revisar","Bien")</f>
        <v>Bien</v>
      </c>
    </row>
    <row r="38" customFormat="false" ht="13.8" hidden="false" customHeight="false" outlineLevel="0" collapsed="false">
      <c r="A38" s="75" t="n">
        <v>333</v>
      </c>
      <c r="B38" s="0" t="s">
        <v>44</v>
      </c>
      <c r="C38" s="65" t="s">
        <v>24</v>
      </c>
      <c r="D38" s="66"/>
      <c r="E38" s="65"/>
      <c r="F38" s="65"/>
      <c r="G38" s="78" t="n">
        <f aca="false">VLOOKUP(C38,$A$2:$G$15,7,FALSE())</f>
        <v>0</v>
      </c>
      <c r="H38" s="79" t="str">
        <f aca="false">IF(G38-F38&gt;0,"Revisar","Bien")</f>
        <v>Bien</v>
      </c>
    </row>
    <row r="39" customFormat="false" ht="13.8" hidden="false" customHeight="false" outlineLevel="0" collapsed="false">
      <c r="A39" s="75" t="n">
        <v>316</v>
      </c>
      <c r="B39" s="76" t="s">
        <v>49</v>
      </c>
      <c r="C39" s="76" t="s">
        <v>16</v>
      </c>
      <c r="D39" s="66"/>
      <c r="E39" s="65"/>
      <c r="F39" s="65"/>
      <c r="G39" s="78" t="n">
        <f aca="false">VLOOKUP(C39,$A$2:$G$15,7,FALSE())</f>
        <v>0</v>
      </c>
      <c r="H39" s="79" t="str">
        <f aca="false">IF(G39-F39&gt;0,"Revisar","Bien")</f>
        <v>Bien</v>
      </c>
    </row>
    <row r="40" customFormat="false" ht="13.8" hidden="false" customHeight="false" outlineLevel="0" collapsed="false">
      <c r="A40" s="75" t="n">
        <v>309</v>
      </c>
      <c r="B40" s="0" t="s">
        <v>52</v>
      </c>
      <c r="C40" s="65" t="s">
        <v>10</v>
      </c>
      <c r="D40" s="66" t="n">
        <v>2</v>
      </c>
      <c r="E40" s="65" t="n">
        <v>51</v>
      </c>
      <c r="F40" s="65" t="n">
        <v>24060</v>
      </c>
      <c r="G40" s="78" t="n">
        <f aca="false">VLOOKUP(C40,$A$2:$G$15,7,FALSE())</f>
        <v>24060</v>
      </c>
      <c r="H40" s="79" t="str">
        <f aca="false">IF(G40-F40&gt;0,"Revisar","Bien")</f>
        <v>Bien</v>
      </c>
    </row>
    <row r="41" customFormat="false" ht="13.8" hidden="false" customHeight="false" outlineLevel="0" collapsed="false">
      <c r="A41" s="85" t="n">
        <v>296</v>
      </c>
      <c r="B41" s="87" t="s">
        <v>59</v>
      </c>
      <c r="C41" s="87" t="s">
        <v>23</v>
      </c>
      <c r="D41" s="88" t="n">
        <v>2</v>
      </c>
      <c r="E41" s="87" t="n">
        <v>6</v>
      </c>
      <c r="F41" s="87" t="n">
        <v>6000</v>
      </c>
      <c r="G41" s="90" t="n">
        <f aca="false">VLOOKUP(C41,$A$2:$G$15,7,FALSE())</f>
        <v>6000</v>
      </c>
      <c r="H41" s="91" t="str">
        <f aca="false">IF(G41-F41&gt;0,"Revisar","Bien")</f>
        <v>Bien</v>
      </c>
    </row>
    <row r="42" customFormat="false" ht="13.8" hidden="false" customHeight="false" outlineLevel="0" collapsed="false">
      <c r="A42" s="85"/>
      <c r="B42" s="87"/>
      <c r="C42" s="93" t="s">
        <v>30</v>
      </c>
      <c r="D42" s="88" t="n">
        <v>2</v>
      </c>
      <c r="E42" s="87" t="n">
        <v>2</v>
      </c>
      <c r="F42" s="87" t="n">
        <v>3420</v>
      </c>
      <c r="G42" s="90"/>
      <c r="H42" s="91"/>
    </row>
    <row r="43" customFormat="false" ht="13.8" hidden="false" customHeight="false" outlineLevel="0" collapsed="false">
      <c r="A43" s="0"/>
      <c r="D43" s="66"/>
      <c r="E43" s="65"/>
      <c r="F43" s="94" t="n">
        <f aca="false">SUM(F37:F41)</f>
        <v>33480</v>
      </c>
      <c r="G43" s="95" t="n">
        <f aca="false">SUM(G37:G41)</f>
        <v>33480</v>
      </c>
      <c r="H43" s="65"/>
    </row>
    <row r="44" customFormat="false" ht="13.8" hidden="false" customHeight="false" outlineLevel="0" collapsed="false">
      <c r="C44" s="65"/>
      <c r="D44" s="66"/>
      <c r="E44" s="65"/>
      <c r="F44" s="82"/>
      <c r="G44" s="95"/>
      <c r="H44" s="65"/>
    </row>
    <row r="45" customFormat="false" ht="13.8" hidden="false" customHeight="false" outlineLevel="0" collapsed="false">
      <c r="A45" s="64" t="s">
        <v>60</v>
      </c>
      <c r="B45" s="64"/>
      <c r="C45" s="64"/>
      <c r="D45" s="64"/>
      <c r="E45" s="64"/>
      <c r="F45" s="64"/>
      <c r="G45" s="64"/>
      <c r="H45" s="64"/>
    </row>
    <row r="46" customFormat="false" ht="13.8" hidden="false" customHeight="false" outlineLevel="0" collapsed="false">
      <c r="C46" s="65" t="s">
        <v>38</v>
      </c>
      <c r="D46" s="66" t="s">
        <v>58</v>
      </c>
      <c r="E46" s="65" t="s">
        <v>41</v>
      </c>
      <c r="F46" s="82" t="s">
        <v>42</v>
      </c>
      <c r="G46" s="65"/>
      <c r="H46" s="65"/>
    </row>
    <row r="47" customFormat="false" ht="13.8" hidden="false" customHeight="false" outlineLevel="0" collapsed="false">
      <c r="A47" s="68" t="n">
        <v>109</v>
      </c>
      <c r="B47" s="69" t="s">
        <v>43</v>
      </c>
      <c r="C47" s="70" t="s">
        <v>28</v>
      </c>
      <c r="D47" s="71"/>
      <c r="E47" s="70"/>
      <c r="F47" s="96" t="n">
        <f aca="false">VLOOKUP(C47,$A$2:$G$15,6,FALSE())</f>
        <v>0</v>
      </c>
      <c r="G47" s="74" t="str">
        <f aca="false">IF(F47-E47&gt;0,"Revisar","Bien")</f>
        <v>Bien</v>
      </c>
      <c r="H47" s="65"/>
    </row>
    <row r="48" customFormat="false" ht="14.9" hidden="false" customHeight="false" outlineLevel="0" collapsed="false">
      <c r="A48" s="80" t="n">
        <v>321</v>
      </c>
      <c r="B48" s="81" t="s">
        <v>48</v>
      </c>
      <c r="C48" s="65" t="s">
        <v>17</v>
      </c>
      <c r="D48" s="66" t="n">
        <v>11</v>
      </c>
      <c r="E48" s="65" t="n">
        <v>18840</v>
      </c>
      <c r="F48" s="97" t="n">
        <f aca="false">VLOOKUP(C48,$A$2:$G$15,6,FALSE())</f>
        <v>18840</v>
      </c>
      <c r="G48" s="79" t="str">
        <f aca="false">IF(F48-E48&gt;0,"Revisar","Bien")</f>
        <v>Bien</v>
      </c>
      <c r="H48" s="65"/>
    </row>
    <row r="49" customFormat="false" ht="13.8" hidden="false" customHeight="false" outlineLevel="0" collapsed="false">
      <c r="A49" s="75" t="n">
        <v>296</v>
      </c>
      <c r="B49" s="0" t="s">
        <v>59</v>
      </c>
      <c r="C49" s="65" t="s">
        <v>23</v>
      </c>
      <c r="D49" s="66"/>
      <c r="E49" s="65"/>
      <c r="F49" s="97" t="n">
        <f aca="false">VLOOKUP(C49,$A$2:$G$15,6,FALSE())</f>
        <v>0</v>
      </c>
      <c r="G49" s="79" t="str">
        <f aca="false">IF(F49-E49&gt;0,"Revisar","Bien")</f>
        <v>Bien</v>
      </c>
      <c r="H49" s="65"/>
    </row>
    <row r="50" customFormat="false" ht="14.9" hidden="false" customHeight="false" outlineLevel="0" collapsed="false">
      <c r="A50" s="80" t="n">
        <v>320</v>
      </c>
      <c r="B50" s="81" t="s">
        <v>45</v>
      </c>
      <c r="C50" s="65" t="s">
        <v>14</v>
      </c>
      <c r="D50" s="66" t="n">
        <v>1</v>
      </c>
      <c r="E50" s="82" t="n">
        <v>2200</v>
      </c>
      <c r="F50" s="97" t="n">
        <f aca="false">VLOOKUP(C50,$A$2:$G$15,6,FALSE())</f>
        <v>2200</v>
      </c>
      <c r="G50" s="79" t="str">
        <f aca="false">IF(F50-E50&gt;0,"Revisar","Bien")</f>
        <v>Bien</v>
      </c>
      <c r="H50" s="65"/>
    </row>
    <row r="51" customFormat="false" ht="13.8" hidden="false" customHeight="false" outlineLevel="0" collapsed="false">
      <c r="A51" s="98"/>
      <c r="B51" s="87"/>
      <c r="C51" s="92" t="s">
        <v>30</v>
      </c>
      <c r="D51" s="88" t="n">
        <v>1</v>
      </c>
      <c r="E51" s="89" t="n">
        <v>1860</v>
      </c>
      <c r="F51" s="99" t="n">
        <f aca="false">VLOOKUP(C51,$A$2:$G$15,6,FALSE())</f>
        <v>1860</v>
      </c>
      <c r="G51" s="91" t="str">
        <f aca="false">IF(F51-E51&gt;0,"Revisar","Bien")</f>
        <v>Bien</v>
      </c>
      <c r="H51" s="65"/>
    </row>
    <row r="52" customFormat="false" ht="13.8" hidden="false" customHeight="false" outlineLevel="0" collapsed="false">
      <c r="C52" s="65"/>
      <c r="D52" s="66"/>
      <c r="E52" s="100" t="n">
        <f aca="false">SUM(E47:E51)</f>
        <v>22900</v>
      </c>
      <c r="F52" s="95" t="n">
        <f aca="false">SUM(F47:F50)</f>
        <v>21040</v>
      </c>
      <c r="G52" s="65"/>
      <c r="H52" s="65"/>
    </row>
    <row r="53" customFormat="false" ht="13.8" hidden="false" customHeight="false" outlineLevel="0" collapsed="false">
      <c r="A53" s="64" t="s">
        <v>61</v>
      </c>
      <c r="B53" s="64"/>
      <c r="C53" s="64"/>
      <c r="D53" s="64"/>
      <c r="E53" s="64"/>
      <c r="F53" s="64"/>
      <c r="G53" s="64"/>
      <c r="H53" s="65"/>
    </row>
    <row r="54" customFormat="false" ht="13.8" hidden="false" customHeight="false" outlineLevel="0" collapsed="false">
      <c r="C54" s="65" t="s">
        <v>38</v>
      </c>
      <c r="D54" s="66" t="s">
        <v>58</v>
      </c>
      <c r="E54" s="65" t="s">
        <v>41</v>
      </c>
      <c r="F54" s="82" t="s">
        <v>42</v>
      </c>
      <c r="G54" s="65"/>
      <c r="H54" s="65"/>
    </row>
    <row r="55" customFormat="false" ht="14.9" hidden="false" customHeight="false" outlineLevel="0" collapsed="false">
      <c r="A55" s="101" t="n">
        <v>320</v>
      </c>
      <c r="B55" s="102" t="s">
        <v>45</v>
      </c>
      <c r="C55" s="70" t="s">
        <v>14</v>
      </c>
      <c r="D55" s="71" t="n">
        <v>1</v>
      </c>
      <c r="E55" s="103" t="n">
        <v>2720</v>
      </c>
      <c r="F55" s="73" t="n">
        <f aca="false">VLOOKUP(C55,$A$2:$G$15,5,FALSE())</f>
        <v>2720</v>
      </c>
      <c r="G55" s="74" t="str">
        <f aca="false">IF(F55-E55&gt;0,"Revisar","Bien")</f>
        <v>Bien</v>
      </c>
      <c r="H55" s="65"/>
    </row>
    <row r="56" customFormat="false" ht="14.9" hidden="false" customHeight="false" outlineLevel="0" collapsed="false">
      <c r="A56" s="98" t="n">
        <v>321</v>
      </c>
      <c r="B56" s="86" t="s">
        <v>48</v>
      </c>
      <c r="C56" s="87" t="s">
        <v>17</v>
      </c>
      <c r="D56" s="88" t="n">
        <v>8</v>
      </c>
      <c r="E56" s="89" t="n">
        <v>24620</v>
      </c>
      <c r="F56" s="90" t="n">
        <f aca="false">VLOOKUP(C56,$A$2:$G$15,5,FALSE())</f>
        <v>24620</v>
      </c>
      <c r="G56" s="91" t="str">
        <f aca="false">IF(F56-E56&gt;0,"Revisar","Bien")</f>
        <v>Bien</v>
      </c>
      <c r="H56" s="65"/>
    </row>
    <row r="57" customFormat="false" ht="13.8" hidden="false" customHeight="false" outlineLevel="0" collapsed="false">
      <c r="C57" s="65"/>
      <c r="D57" s="66"/>
      <c r="E57" s="100" t="n">
        <f aca="false">SUM(E55:E56)</f>
        <v>27340</v>
      </c>
      <c r="F57" s="95" t="n">
        <f aca="false">SUM(F55:F56)</f>
        <v>27340</v>
      </c>
      <c r="G57" s="65"/>
      <c r="H57" s="65"/>
    </row>
    <row r="58" customFormat="false" ht="13.8" hidden="false" customHeight="false" outlineLevel="0" collapsed="false">
      <c r="A58" s="64" t="s">
        <v>25</v>
      </c>
      <c r="B58" s="64"/>
      <c r="C58" s="64"/>
      <c r="D58" s="64"/>
      <c r="E58" s="64"/>
      <c r="F58" s="64"/>
      <c r="G58" s="64"/>
      <c r="H58" s="65"/>
    </row>
    <row r="59" customFormat="false" ht="13.8" hidden="false" customHeight="false" outlineLevel="0" collapsed="false">
      <c r="C59" s="65" t="s">
        <v>38</v>
      </c>
      <c r="D59" s="66" t="s">
        <v>58</v>
      </c>
      <c r="E59" s="65" t="s">
        <v>41</v>
      </c>
      <c r="F59" s="82" t="s">
        <v>42</v>
      </c>
      <c r="G59" s="65"/>
      <c r="H59" s="65"/>
    </row>
    <row r="60" customFormat="false" ht="15.8" hidden="false" customHeight="false" outlineLevel="0" collapsed="false">
      <c r="A60" s="68" t="n">
        <v>109</v>
      </c>
      <c r="B60" s="69" t="s">
        <v>43</v>
      </c>
      <c r="C60" s="70" t="s">
        <v>28</v>
      </c>
      <c r="D60" s="104"/>
      <c r="E60" s="105"/>
      <c r="F60" s="73" t="n">
        <f aca="false">IF(D60&lt;&gt;0,VLOOKUP(C60,$A$2:$G$15,3,FALSE()),0)</f>
        <v>0</v>
      </c>
      <c r="G60" s="74" t="str">
        <f aca="false">IF(F60-E60&gt;0,"Revisar","Bien")</f>
        <v>Bien</v>
      </c>
      <c r="H60" s="65"/>
    </row>
    <row r="61" customFormat="false" ht="13.8" hidden="false" customHeight="false" outlineLevel="0" collapsed="false">
      <c r="A61" s="75" t="n">
        <v>333</v>
      </c>
      <c r="B61" s="76" t="s">
        <v>44</v>
      </c>
      <c r="C61" s="76" t="s">
        <v>24</v>
      </c>
      <c r="D61" s="106" t="n">
        <v>8</v>
      </c>
      <c r="E61" s="76" t="n">
        <v>4180</v>
      </c>
      <c r="F61" s="78" t="n">
        <f aca="false">IF(D61&lt;&gt;0,VLOOKUP(C61,$A$2:$G$15,3,FALSE()),0)</f>
        <v>4180</v>
      </c>
      <c r="G61" s="79" t="str">
        <f aca="false">IF(F61-E61&gt;0,"Revisar","Bien")</f>
        <v>Bien</v>
      </c>
      <c r="H61" s="65"/>
    </row>
    <row r="62" customFormat="false" ht="16.85" hidden="false" customHeight="false" outlineLevel="0" collapsed="false">
      <c r="A62" s="107"/>
      <c r="B62" s="0" t="s">
        <v>62</v>
      </c>
      <c r="C62" s="81" t="s">
        <v>63</v>
      </c>
      <c r="D62" s="0"/>
      <c r="F62" s="78" t="n">
        <f aca="false">IF(D62&lt;&gt;0,VLOOKUP(C62,$A$2:$G$15,3,FALSE()),0)</f>
        <v>0</v>
      </c>
      <c r="G62" s="79" t="str">
        <f aca="false">IF(F62-E62&gt;0,"Revisar","Bien")</f>
        <v>Bien</v>
      </c>
      <c r="H62" s="65"/>
    </row>
    <row r="63" customFormat="false" ht="15.8" hidden="false" customHeight="false" outlineLevel="0" collapsed="false">
      <c r="A63" s="75" t="n">
        <v>316</v>
      </c>
      <c r="B63" s="0" t="s">
        <v>49</v>
      </c>
      <c r="C63" s="65" t="s">
        <v>16</v>
      </c>
      <c r="D63" s="0"/>
      <c r="F63" s="78" t="n">
        <f aca="false">IF(D63&lt;&gt;0,VLOOKUP(C63,$A$2:$G$15,3,FALSE()),0)</f>
        <v>0</v>
      </c>
      <c r="G63" s="79" t="str">
        <f aca="false">IF(F63-E63&gt;0,"Revisar","Bien")</f>
        <v>Bien</v>
      </c>
      <c r="H63" s="65"/>
    </row>
    <row r="64" customFormat="false" ht="13.8" hidden="false" customHeight="false" outlineLevel="0" collapsed="false">
      <c r="A64" s="75" t="n">
        <v>309</v>
      </c>
      <c r="B64" s="0" t="s">
        <v>52</v>
      </c>
      <c r="C64" s="65" t="s">
        <v>10</v>
      </c>
      <c r="D64" s="66"/>
      <c r="E64" s="65"/>
      <c r="F64" s="78" t="n">
        <f aca="false">IF(D64&lt;&gt;0,VLOOKUP(C64,$A$2:$G$15,3,FALSE()),0)</f>
        <v>0</v>
      </c>
      <c r="G64" s="79" t="str">
        <f aca="false">IF(F64-E64&gt;0,"Revisar","Bien")</f>
        <v>Bien</v>
      </c>
      <c r="H64" s="65"/>
    </row>
    <row r="65" customFormat="false" ht="15.8" hidden="false" customHeight="false" outlineLevel="0" collapsed="false">
      <c r="A65" s="85" t="n">
        <v>296</v>
      </c>
      <c r="B65" s="87" t="s">
        <v>59</v>
      </c>
      <c r="C65" s="87" t="s">
        <v>23</v>
      </c>
      <c r="D65" s="88"/>
      <c r="E65" s="87"/>
      <c r="F65" s="90" t="n">
        <f aca="false">IF(D65&lt;&gt;0,VLOOKUP(C65,$A$2:$G$15,3,FALSE()),0)</f>
        <v>0</v>
      </c>
      <c r="G65" s="91" t="str">
        <f aca="false">IF(F65-E65&gt;0,"Revisar","Bien")</f>
        <v>Bien</v>
      </c>
      <c r="H65" s="65"/>
    </row>
    <row r="66" customFormat="false" ht="13.8" hidden="false" customHeight="false" outlineLevel="0" collapsed="false">
      <c r="C66" s="65"/>
      <c r="D66" s="66"/>
      <c r="E66" s="100" t="n">
        <f aca="false">SUM(E60:E65)</f>
        <v>4180</v>
      </c>
      <c r="F66" s="95" t="n">
        <f aca="false">SUM(F60:F65)</f>
        <v>4180</v>
      </c>
      <c r="G66" s="65"/>
      <c r="H66" s="65"/>
    </row>
    <row r="67" customFormat="false" ht="13.8" hidden="false" customHeight="false" outlineLevel="0" collapsed="false">
      <c r="A67" s="64" t="s">
        <v>64</v>
      </c>
      <c r="B67" s="64"/>
      <c r="C67" s="64"/>
      <c r="D67" s="64"/>
      <c r="E67" s="64"/>
      <c r="F67" s="64"/>
      <c r="G67" s="64"/>
      <c r="H67" s="65"/>
    </row>
    <row r="68" customFormat="false" ht="13.8" hidden="false" customHeight="false" outlineLevel="0" collapsed="false">
      <c r="C68" s="65" t="s">
        <v>38</v>
      </c>
      <c r="D68" s="66" t="s">
        <v>58</v>
      </c>
      <c r="E68" s="65" t="s">
        <v>41</v>
      </c>
      <c r="F68" s="82" t="s">
        <v>42</v>
      </c>
      <c r="G68" s="65"/>
      <c r="H68" s="65"/>
    </row>
    <row r="69" customFormat="false" ht="13.8" hidden="false" customHeight="false" outlineLevel="0" collapsed="false">
      <c r="A69" s="68" t="n">
        <v>109</v>
      </c>
      <c r="B69" s="69" t="s">
        <v>43</v>
      </c>
      <c r="C69" s="70" t="s">
        <v>28</v>
      </c>
      <c r="D69" s="71" t="n">
        <v>8</v>
      </c>
      <c r="E69" s="103" t="n">
        <v>72180</v>
      </c>
      <c r="F69" s="73" t="n">
        <f aca="false">VLOOKUP(C69,$A$2:$H$15,2,FALSE())</f>
        <v>72180</v>
      </c>
      <c r="G69" s="74" t="str">
        <f aca="false">IF(F69-E69&gt;0,"Revisar","Bien")</f>
        <v>Bien</v>
      </c>
      <c r="H69" s="65"/>
    </row>
    <row r="70" customFormat="false" ht="13.8" hidden="false" customHeight="false" outlineLevel="0" collapsed="false">
      <c r="A70" s="75" t="n">
        <v>309</v>
      </c>
      <c r="B70" s="0" t="s">
        <v>52</v>
      </c>
      <c r="C70" s="65" t="s">
        <v>10</v>
      </c>
      <c r="D70" s="66"/>
      <c r="E70" s="82"/>
      <c r="F70" s="78" t="n">
        <f aca="false">VLOOKUP(C70,$A$2:$H$15,2,FALSE())</f>
        <v>0</v>
      </c>
      <c r="G70" s="79" t="str">
        <f aca="false">IF(F70-E70&gt;0,"Revisar","Bien")</f>
        <v>Bien</v>
      </c>
      <c r="H70" s="65"/>
    </row>
    <row r="71" customFormat="false" ht="13.8" hidden="false" customHeight="false" outlineLevel="0" collapsed="false">
      <c r="A71" s="85" t="n">
        <v>296</v>
      </c>
      <c r="B71" s="87" t="s">
        <v>59</v>
      </c>
      <c r="C71" s="87" t="s">
        <v>23</v>
      </c>
      <c r="D71" s="88"/>
      <c r="E71" s="89"/>
      <c r="F71" s="90" t="n">
        <f aca="false">VLOOKUP(C71,$A$2:$H$15,2,FALSE())</f>
        <v>0</v>
      </c>
      <c r="G71" s="91" t="str">
        <f aca="false">IF(F71-E71&gt;0,"Revisar","Bien")</f>
        <v>Bien</v>
      </c>
      <c r="H71" s="65"/>
    </row>
    <row r="72" customFormat="false" ht="13.8" hidden="false" customHeight="false" outlineLevel="0" collapsed="false">
      <c r="C72" s="65"/>
      <c r="D72" s="66"/>
      <c r="E72" s="100" t="n">
        <f aca="false">SUM(E69:E71)</f>
        <v>72180</v>
      </c>
      <c r="F72" s="95" t="n">
        <f aca="false">SUM(F69:F69)</f>
        <v>72180</v>
      </c>
      <c r="G72" s="65"/>
      <c r="H72" s="65"/>
    </row>
  </sheetData>
  <mergeCells count="6">
    <mergeCell ref="A22:H22"/>
    <mergeCell ref="A35:H35"/>
    <mergeCell ref="A45:H45"/>
    <mergeCell ref="A53:G53"/>
    <mergeCell ref="A58:G58"/>
    <mergeCell ref="A67:G6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2020-09-03T11:20:43Z</dcterms:created>
  <dc:creator>usuario</dc:creator>
  <dc:description/>
  <dc:language>es-ES</dc:language>
  <cp:lastModifiedBy>JORGE AZUARA ROCA</cp:lastModifiedBy>
  <dcterms:modified xsi:type="dcterms:W3CDTF">2020-09-14T13:59:14Z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