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eñiscola\Residuos\PESAJES\2023\"/>
    </mc:Choice>
  </mc:AlternateContent>
  <xr:revisionPtr revIDLastSave="0" documentId="8_{830E7A14-8CD5-4820-9AFC-F6EFAB22D5C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  <sheet name="Tabla dinámica_Hoja1_1" sheetId="2" r:id="rId2"/>
    <sheet name="certificacion_2_2_2" sheetId="3" r:id="rId3"/>
  </sheets>
  <definedNames>
    <definedName name="_xlnm._FilterDatabase" localSheetId="0" hidden="1">Hoja1!$A$1:$J$456</definedName>
  </definedNames>
  <calcPr calcId="191029"/>
  <pivotCaches>
    <pivotCache cacheId="1" r:id="rId4"/>
  </pivotCaches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9" i="3" l="1"/>
  <c r="F78" i="3"/>
  <c r="G78" i="3" s="1"/>
  <c r="F77" i="3"/>
  <c r="G77" i="3" s="1"/>
  <c r="F76" i="3"/>
  <c r="F79" i="3" s="1"/>
  <c r="I79" i="3" s="1"/>
  <c r="E73" i="3"/>
  <c r="G72" i="3"/>
  <c r="F72" i="3"/>
  <c r="F71" i="3"/>
  <c r="G71" i="3" s="1"/>
  <c r="G70" i="3"/>
  <c r="F70" i="3"/>
  <c r="F69" i="3"/>
  <c r="G69" i="3" s="1"/>
  <c r="G68" i="3"/>
  <c r="F68" i="3"/>
  <c r="F67" i="3"/>
  <c r="F73" i="3" s="1"/>
  <c r="I73" i="3" s="1"/>
  <c r="E64" i="3"/>
  <c r="F63" i="3"/>
  <c r="G63" i="3" s="1"/>
  <c r="F62" i="3"/>
  <c r="G62" i="3" s="1"/>
  <c r="F61" i="3"/>
  <c r="G61" i="3" s="1"/>
  <c r="F60" i="3"/>
  <c r="G60" i="3" s="1"/>
  <c r="F59" i="3"/>
  <c r="F64" i="3" s="1"/>
  <c r="I64" i="3" s="1"/>
  <c r="E56" i="3"/>
  <c r="G55" i="3"/>
  <c r="F55" i="3"/>
  <c r="G54" i="3"/>
  <c r="F54" i="3"/>
  <c r="G53" i="3"/>
  <c r="F53" i="3"/>
  <c r="F52" i="3"/>
  <c r="G52" i="3" s="1"/>
  <c r="G51" i="3"/>
  <c r="F51" i="3"/>
  <c r="F56" i="3" s="1"/>
  <c r="I56" i="3" s="1"/>
  <c r="G50" i="3"/>
  <c r="F50" i="3"/>
  <c r="F46" i="3"/>
  <c r="G45" i="3"/>
  <c r="H45" i="3" s="1"/>
  <c r="G44" i="3"/>
  <c r="H44" i="3" s="1"/>
  <c r="G43" i="3"/>
  <c r="H43" i="3" s="1"/>
  <c r="G41" i="3"/>
  <c r="H41" i="3" s="1"/>
  <c r="G40" i="3"/>
  <c r="H40" i="3" s="1"/>
  <c r="G39" i="3"/>
  <c r="H39" i="3" s="1"/>
  <c r="A36" i="3"/>
  <c r="G42" i="3" s="1"/>
  <c r="H42" i="3" s="1"/>
  <c r="F35" i="3"/>
  <c r="D19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G35" i="3" s="1"/>
  <c r="G16" i="3"/>
  <c r="F16" i="3"/>
  <c r="E16" i="3"/>
  <c r="C16" i="3"/>
  <c r="B16" i="3"/>
  <c r="G15" i="3"/>
  <c r="F15" i="3"/>
  <c r="E15" i="3"/>
  <c r="D15" i="3"/>
  <c r="C15" i="3"/>
  <c r="B15" i="3"/>
  <c r="H15" i="3" s="1"/>
  <c r="H14" i="3"/>
  <c r="H13" i="3"/>
  <c r="H12" i="3"/>
  <c r="H11" i="3"/>
  <c r="H10" i="3"/>
  <c r="H9" i="3"/>
  <c r="H8" i="3"/>
  <c r="H7" i="3"/>
  <c r="H6" i="3"/>
  <c r="H5" i="3"/>
  <c r="H4" i="3"/>
  <c r="H3" i="3"/>
  <c r="I35" i="3" l="1"/>
  <c r="H24" i="3"/>
  <c r="G76" i="3"/>
  <c r="D16" i="3"/>
  <c r="H16" i="3" s="1"/>
  <c r="G38" i="3"/>
  <c r="G67" i="3"/>
  <c r="G59" i="3"/>
  <c r="G46" i="3" l="1"/>
  <c r="H38" i="3"/>
  <c r="I46" i="3" l="1"/>
  <c r="E19" i="3"/>
  <c r="F19" i="3" s="1"/>
</calcChain>
</file>

<file path=xl/sharedStrings.xml><?xml version="1.0" encoding="utf-8"?>
<sst xmlns="http://schemas.openxmlformats.org/spreadsheetml/2006/main" count="2005" uniqueCount="67">
  <si>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</si>
  <si>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</si>
  <si>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</si>
  <si>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</si>
  <si>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</si>
  <si>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</si>
  <si>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</si>
  <si>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</si>
  <si>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</si>
  <si>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Revisión</t>
  </si>
  <si>
    <t>7542KBV</t>
  </si>
  <si>
    <t>PEÑISCOLA</t>
  </si>
  <si>
    <t>RSU</t>
  </si>
  <si>
    <t>x</t>
  </si>
  <si>
    <t>5313GBZ</t>
  </si>
  <si>
    <t>7809JZX</t>
  </si>
  <si>
    <t>1821KBZ</t>
  </si>
  <si>
    <t>1076KSZ</t>
  </si>
  <si>
    <t>6120JZX</t>
  </si>
  <si>
    <t>1730KBZ</t>
  </si>
  <si>
    <t>0315BGK</t>
  </si>
  <si>
    <t>7957JZS</t>
  </si>
  <si>
    <t>VOL</t>
  </si>
  <si>
    <t>SEL.PAP</t>
  </si>
  <si>
    <t>3686KBG</t>
  </si>
  <si>
    <t>PODA</t>
  </si>
  <si>
    <t>SEL.ENV</t>
  </si>
  <si>
    <t>1730kBZ</t>
  </si>
  <si>
    <t xml:space="preserve">BARREDURIA </t>
  </si>
  <si>
    <t>- todo -</t>
  </si>
  <si>
    <t>Suma - Carga</t>
  </si>
  <si>
    <t>Total Resultado</t>
  </si>
  <si>
    <t>LIMP. PLAYA</t>
  </si>
  <si>
    <t>VOLUMINOSOS</t>
  </si>
  <si>
    <t>sustituye 0315BGK</t>
  </si>
  <si>
    <t>Certificado</t>
  </si>
  <si>
    <t>CERTIFICADO</t>
  </si>
  <si>
    <t>REVISADO</t>
  </si>
  <si>
    <t>DIFERENCIA</t>
  </si>
  <si>
    <t>TOTAL CERTIFICACIÓN</t>
  </si>
  <si>
    <t>N.º vehículo</t>
  </si>
  <si>
    <t>Tipo</t>
  </si>
  <si>
    <t>MATRICULA</t>
  </si>
  <si>
    <t>RUTA</t>
  </si>
  <si>
    <t>HORARIO</t>
  </si>
  <si>
    <t>CARGA</t>
  </si>
  <si>
    <t>MULTILIFT GRÚA</t>
  </si>
  <si>
    <t>2-3-4-5</t>
  </si>
  <si>
    <t>Día</t>
  </si>
  <si>
    <t>Volquete Jardinería</t>
  </si>
  <si>
    <t>Día/Noche</t>
  </si>
  <si>
    <t>Recolector 22 _ 1</t>
  </si>
  <si>
    <t>Recolector 22 _ 2</t>
  </si>
  <si>
    <t>volquete 4x4 LV</t>
  </si>
  <si>
    <t>Recolector 17</t>
  </si>
  <si>
    <t>Sustituya a 318</t>
  </si>
  <si>
    <t>volquete doble LV</t>
  </si>
  <si>
    <t>Recolector 5</t>
  </si>
  <si>
    <t>Noche</t>
  </si>
  <si>
    <t>volquete</t>
  </si>
  <si>
    <t>8500BYJ</t>
  </si>
  <si>
    <t>Sustituya a 109</t>
  </si>
  <si>
    <t>N.º OPERARIOS</t>
  </si>
  <si>
    <t>FRECUENCIA</t>
  </si>
  <si>
    <t>2828CZW</t>
  </si>
  <si>
    <t>Camión FOBESA</t>
  </si>
  <si>
    <t>5936GJY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</si>
</sst>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"/>
  </numFmts>
  <fonts count="12">
    <font>
      <sz val="11"/>
      <color rgb="FF000000"/>
      <name val="Lato"/>
      <family val="2"/>
      <charset val="1"/>
    </font>
    <font>
      <b/>
      <sz val="11"/>
      <color rgb="FF000000"/>
      <name val="Lato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1"/>
      <color rgb="FF000000"/>
      <name val="Frutiger 45 Light"/>
      <family val="2"/>
    </font>
    <font>
      <b/>
      <sz val="11"/>
      <color rgb="FFCE181E"/>
      <name val="Arial"/>
      <family val="2"/>
    </font>
    <font>
      <sz val="11"/>
      <color rgb="FF000000"/>
      <name val="Lato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8">
    <xf numFmtId="0" fontId="0" fillId="0" borderId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5" fillId="0" borderId="0" applyBorder="0" applyProtection="0"/>
  </cellStyleXfs>
  <cellXfs count="163">
    <xf numFmtId="0" fontId="0" fillId="0" borderId="0" xfId="0"/>
    <xf numFmtId="0" fontId="5" fillId="0" borderId="0" xfId="7" applyBorder="1" applyAlignment="1">
      <alignment horizontal="center" vertical="center"/>
    </xf>
    <xf numFmtId="0" fontId="7" fillId="0" borderId="0" xfId="7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3" fillId="0" borderId="0" xfId="0" applyNumberFormat="1" applyFont="1" applyAlignment="1">
      <alignment horizontal="right"/>
    </xf>
    <xf numFmtId="0" fontId="11" fillId="0" borderId="0" xfId="1"/>
    <xf numFmtId="0" fontId="0" fillId="0" borderId="1" xfId="0" applyBorder="1"/>
    <xf numFmtId="0" fontId="11" fillId="0" borderId="2" xfId="2" applyBorder="1"/>
    <xf numFmtId="0" fontId="11" fillId="0" borderId="3" xfId="1" applyBorder="1"/>
    <xf numFmtId="0" fontId="11" fillId="0" borderId="4" xfId="2" applyBorder="1"/>
    <xf numFmtId="0" fontId="11" fillId="0" borderId="5" xfId="2" applyBorder="1"/>
    <xf numFmtId="0" fontId="11" fillId="0" borderId="6" xfId="1" applyBorder="1"/>
    <xf numFmtId="0" fontId="11" fillId="0" borderId="7" xfId="4" applyBorder="1">
      <alignment horizontal="left"/>
    </xf>
    <xf numFmtId="0" fontId="11" fillId="0" borderId="8" xfId="4" applyBorder="1">
      <alignment horizontal="left"/>
    </xf>
    <xf numFmtId="0" fontId="1" fillId="0" borderId="9" xfId="5" applyBorder="1">
      <alignment horizontal="left"/>
    </xf>
    <xf numFmtId="0" fontId="11" fillId="0" borderId="10" xfId="4" applyBorder="1">
      <alignment horizontal="left"/>
    </xf>
    <xf numFmtId="3" fontId="11" fillId="0" borderId="11" xfId="3" applyNumberFormat="1" applyBorder="1"/>
    <xf numFmtId="0" fontId="11" fillId="0" borderId="12" xfId="3" applyBorder="1"/>
    <xf numFmtId="3" fontId="11" fillId="0" borderId="12" xfId="3" applyNumberFormat="1" applyBorder="1"/>
    <xf numFmtId="3" fontId="11" fillId="0" borderId="13" xfId="3" applyNumberFormat="1" applyBorder="1"/>
    <xf numFmtId="3" fontId="1" fillId="0" borderId="14" xfId="6" applyNumberFormat="1" applyBorder="1"/>
    <xf numFmtId="0" fontId="11" fillId="0" borderId="15" xfId="4" applyBorder="1">
      <alignment horizontal="left"/>
    </xf>
    <xf numFmtId="0" fontId="11" fillId="0" borderId="16" xfId="3" applyBorder="1"/>
    <xf numFmtId="3" fontId="11" fillId="0" borderId="0" xfId="3" applyNumberFormat="1"/>
    <xf numFmtId="0" fontId="11" fillId="0" borderId="0" xfId="3"/>
    <xf numFmtId="0" fontId="11" fillId="0" borderId="17" xfId="3" applyBorder="1"/>
    <xf numFmtId="3" fontId="1" fillId="0" borderId="18" xfId="6" applyNumberFormat="1" applyBorder="1"/>
    <xf numFmtId="0" fontId="11" fillId="0" borderId="7" xfId="3" applyBorder="1"/>
    <xf numFmtId="3" fontId="11" fillId="0" borderId="8" xfId="3" applyNumberFormat="1" applyBorder="1"/>
    <xf numFmtId="0" fontId="11" fillId="0" borderId="8" xfId="3" applyBorder="1"/>
    <xf numFmtId="3" fontId="11" fillId="0" borderId="19" xfId="3" applyNumberFormat="1" applyBorder="1"/>
    <xf numFmtId="3" fontId="1" fillId="0" borderId="20" xfId="6" applyNumberFormat="1" applyBorder="1"/>
    <xf numFmtId="0" fontId="1" fillId="0" borderId="21" xfId="5" applyBorder="1">
      <alignment horizontal="left"/>
    </xf>
    <xf numFmtId="3" fontId="1" fillId="0" borderId="22" xfId="6" applyNumberFormat="1" applyBorder="1"/>
    <xf numFmtId="3" fontId="1" fillId="0" borderId="23" xfId="6" applyNumberFormat="1" applyBorder="1"/>
    <xf numFmtId="3" fontId="1" fillId="0" borderId="24" xfId="6" applyNumberFormat="1" applyBorder="1"/>
    <xf numFmtId="3" fontId="1" fillId="0" borderId="25" xfId="6" applyNumberFormat="1" applyBorder="1"/>
    <xf numFmtId="0" fontId="5" fillId="0" borderId="0" xfId="7" applyAlignment="1">
      <alignment horizontal="center"/>
    </xf>
    <xf numFmtId="0" fontId="5" fillId="0" borderId="0" xfId="7"/>
    <xf numFmtId="0" fontId="6" fillId="0" borderId="1" xfId="7" applyFont="1" applyBorder="1" applyProtection="1"/>
    <xf numFmtId="0" fontId="6" fillId="0" borderId="26" xfId="7" applyFont="1" applyBorder="1" applyAlignment="1" applyProtection="1">
      <alignment horizontal="center"/>
    </xf>
    <xf numFmtId="0" fontId="6" fillId="0" borderId="27" xfId="7" applyFont="1" applyBorder="1" applyProtection="1"/>
    <xf numFmtId="0" fontId="5" fillId="0" borderId="1" xfId="7" applyBorder="1" applyProtection="1"/>
    <xf numFmtId="0" fontId="6" fillId="0" borderId="10" xfId="0" applyFont="1" applyBorder="1"/>
    <xf numFmtId="38" fontId="0" fillId="0" borderId="11" xfId="0" applyNumberFormat="1" applyBorder="1"/>
    <xf numFmtId="38" fontId="0" fillId="0" borderId="12" xfId="0" applyNumberFormat="1" applyBorder="1"/>
    <xf numFmtId="38" fontId="0" fillId="0" borderId="13" xfId="0" applyNumberFormat="1" applyBorder="1"/>
    <xf numFmtId="3" fontId="5" fillId="0" borderId="28" xfId="7" applyNumberFormat="1" applyBorder="1"/>
    <xf numFmtId="0" fontId="6" fillId="0" borderId="15" xfId="0" applyFont="1" applyBorder="1"/>
    <xf numFmtId="38" fontId="0" fillId="0" borderId="16" xfId="0" applyNumberFormat="1" applyBorder="1"/>
    <xf numFmtId="38" fontId="0" fillId="0" borderId="0" xfId="0" applyNumberFormat="1"/>
    <xf numFmtId="38" fontId="0" fillId="0" borderId="17" xfId="0" applyNumberFormat="1" applyBorder="1"/>
    <xf numFmtId="38" fontId="0" fillId="0" borderId="7" xfId="0" applyNumberFormat="1" applyBorder="1"/>
    <xf numFmtId="38" fontId="0" fillId="0" borderId="8" xfId="0" applyNumberFormat="1" applyBorder="1"/>
    <xf numFmtId="38" fontId="0" fillId="0" borderId="19" xfId="0" applyNumberFormat="1" applyBorder="1"/>
    <xf numFmtId="0" fontId="6" fillId="0" borderId="1" xfId="7" applyFont="1" applyBorder="1"/>
    <xf numFmtId="38" fontId="5" fillId="0" borderId="27" xfId="7" applyNumberFormat="1" applyBorder="1" applyAlignment="1">
      <alignment horizontal="center"/>
    </xf>
    <xf numFmtId="3" fontId="5" fillId="0" borderId="1" xfId="7" applyNumberFormat="1" applyBorder="1"/>
    <xf numFmtId="0" fontId="5" fillId="2" borderId="1" xfId="7" applyFill="1" applyBorder="1" applyProtection="1"/>
    <xf numFmtId="38" fontId="5" fillId="2" borderId="27" xfId="7" applyNumberFormat="1" applyFill="1" applyBorder="1" applyAlignment="1">
      <alignment horizontal="center"/>
    </xf>
    <xf numFmtId="3" fontId="5" fillId="2" borderId="1" xfId="7" applyNumberFormat="1" applyFill="1" applyBorder="1"/>
    <xf numFmtId="0" fontId="5" fillId="0" borderId="0" xfId="7" applyBorder="1" applyAlignment="1">
      <alignment horizontal="center" vertical="center"/>
    </xf>
    <xf numFmtId="38" fontId="5" fillId="0" borderId="0" xfId="7" applyNumberFormat="1" applyBorder="1" applyAlignment="1">
      <alignment horizontal="center" vertical="center"/>
    </xf>
    <xf numFmtId="3" fontId="5" fillId="0" borderId="0" xfId="7" applyNumberFormat="1" applyBorder="1" applyAlignment="1">
      <alignment horizontal="center" vertical="center"/>
    </xf>
    <xf numFmtId="0" fontId="6" fillId="0" borderId="0" xfId="7" applyFont="1"/>
    <xf numFmtId="0" fontId="6" fillId="0" borderId="0" xfId="7" applyFont="1" applyAlignment="1">
      <alignment horizontal="center"/>
    </xf>
    <xf numFmtId="38" fontId="6" fillId="0" borderId="0" xfId="7" applyNumberFormat="1" applyFont="1"/>
    <xf numFmtId="0" fontId="5" fillId="0" borderId="29" xfId="7" applyBorder="1" applyAlignment="1">
      <alignment horizontal="center"/>
    </xf>
    <xf numFmtId="0" fontId="6" fillId="0" borderId="29" xfId="7" applyFont="1" applyBorder="1"/>
    <xf numFmtId="0" fontId="6" fillId="0" borderId="29" xfId="7" applyFont="1" applyBorder="1" applyAlignment="1">
      <alignment horizontal="center"/>
    </xf>
    <xf numFmtId="38" fontId="6" fillId="0" borderId="29" xfId="7" applyNumberFormat="1" applyFont="1" applyBorder="1"/>
    <xf numFmtId="3" fontId="5" fillId="3" borderId="29" xfId="7" applyNumberFormat="1" applyFill="1" applyBorder="1"/>
    <xf numFmtId="0" fontId="8" fillId="3" borderId="28" xfId="7" applyFont="1" applyFill="1" applyBorder="1" applyAlignment="1">
      <alignment horizontal="center"/>
    </xf>
    <xf numFmtId="0" fontId="5" fillId="0" borderId="0" xfId="7" applyBorder="1" applyAlignment="1">
      <alignment horizontal="center"/>
    </xf>
    <xf numFmtId="0" fontId="6" fillId="0" borderId="0" xfId="7" applyFont="1" applyBorder="1"/>
    <xf numFmtId="0" fontId="6" fillId="0" borderId="0" xfId="7" applyFont="1" applyBorder="1" applyProtection="1"/>
    <xf numFmtId="3" fontId="5" fillId="3" borderId="0" xfId="7" applyNumberFormat="1" applyFill="1" applyBorder="1"/>
    <xf numFmtId="0" fontId="8" fillId="3" borderId="30" xfId="7" applyFont="1" applyFill="1" applyBorder="1" applyAlignment="1">
      <alignment horizontal="center"/>
    </xf>
    <xf numFmtId="0" fontId="9" fillId="0" borderId="0" xfId="7" applyFont="1" applyBorder="1" applyAlignment="1">
      <alignment horizontal="center" wrapText="1"/>
    </xf>
    <xf numFmtId="0" fontId="9" fillId="0" borderId="0" xfId="7" applyFont="1" applyBorder="1" applyAlignment="1">
      <alignment horizontal="justify" wrapText="1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7" applyFont="1" applyBorder="1" applyAlignment="1">
      <alignment horizontal="center"/>
    </xf>
    <xf numFmtId="38" fontId="5" fillId="0" borderId="0" xfId="7" applyNumberFormat="1" applyBorder="1"/>
    <xf numFmtId="0" fontId="5" fillId="0" borderId="31" xfId="7" applyBorder="1" applyAlignment="1">
      <alignment horizontal="center"/>
    </xf>
    <xf numFmtId="0" fontId="6" fillId="4" borderId="31" xfId="7" applyFont="1" applyFill="1" applyBorder="1"/>
    <xf numFmtId="0" fontId="6" fillId="0" borderId="31" xfId="7" applyFont="1" applyBorder="1" applyAlignment="1">
      <alignment horizontal="center"/>
    </xf>
    <xf numFmtId="0" fontId="6" fillId="0" borderId="31" xfId="7" applyFont="1" applyBorder="1"/>
    <xf numFmtId="38" fontId="5" fillId="0" borderId="31" xfId="7" applyNumberFormat="1" applyBorder="1"/>
    <xf numFmtId="3" fontId="5" fillId="3" borderId="31" xfId="7" applyNumberFormat="1" applyFill="1" applyBorder="1"/>
    <xf numFmtId="0" fontId="8" fillId="3" borderId="32" xfId="7" applyFont="1" applyFill="1" applyBorder="1" applyAlignment="1">
      <alignment horizontal="center"/>
    </xf>
    <xf numFmtId="38" fontId="5" fillId="0" borderId="0" xfId="7" applyNumberFormat="1"/>
    <xf numFmtId="3" fontId="5" fillId="0" borderId="0" xfId="7" applyNumberFormat="1"/>
    <xf numFmtId="0" fontId="10" fillId="0" borderId="0" xfId="7" applyFont="1" applyAlignment="1">
      <alignment horizontal="center"/>
    </xf>
    <xf numFmtId="38" fontId="6" fillId="0" borderId="29" xfId="7" applyNumberFormat="1" applyFont="1" applyBorder="1" applyAlignment="1">
      <alignment horizontal="center"/>
    </xf>
    <xf numFmtId="38" fontId="5" fillId="3" borderId="29" xfId="7" applyNumberFormat="1" applyFill="1" applyBorder="1"/>
    <xf numFmtId="0" fontId="8" fillId="3" borderId="33" xfId="7" applyFont="1" applyFill="1" applyBorder="1" applyAlignment="1">
      <alignment horizontal="center"/>
    </xf>
    <xf numFmtId="38" fontId="6" fillId="0" borderId="0" xfId="7" applyNumberFormat="1" applyFont="1" applyAlignment="1">
      <alignment horizontal="center"/>
    </xf>
    <xf numFmtId="38" fontId="5" fillId="3" borderId="0" xfId="7" applyNumberFormat="1" applyFill="1" applyBorder="1"/>
    <xf numFmtId="0" fontId="8" fillId="3" borderId="34" xfId="7" applyFont="1" applyFill="1" applyBorder="1" applyAlignment="1">
      <alignment horizontal="center"/>
    </xf>
    <xf numFmtId="38" fontId="6" fillId="0" borderId="0" xfId="7" applyNumberFormat="1" applyFont="1" applyBorder="1" applyAlignment="1">
      <alignment horizontal="center"/>
    </xf>
    <xf numFmtId="38" fontId="6" fillId="0" borderId="0" xfId="7" applyNumberFormat="1" applyFont="1" applyBorder="1"/>
    <xf numFmtId="0" fontId="6" fillId="4" borderId="0" xfId="7" applyFont="1" applyFill="1" applyBorder="1"/>
    <xf numFmtId="0" fontId="5" fillId="0" borderId="31" xfId="7" applyBorder="1"/>
    <xf numFmtId="0" fontId="9" fillId="0" borderId="31" xfId="7" applyFont="1" applyBorder="1" applyAlignment="1">
      <alignment horizontal="justify" wrapText="1"/>
    </xf>
    <xf numFmtId="38" fontId="6" fillId="0" borderId="31" xfId="7" applyNumberFormat="1" applyFont="1" applyBorder="1" applyAlignment="1">
      <alignment horizontal="center"/>
    </xf>
    <xf numFmtId="38" fontId="6" fillId="0" borderId="31" xfId="7" applyNumberFormat="1" applyFont="1" applyBorder="1"/>
    <xf numFmtId="38" fontId="5" fillId="3" borderId="31" xfId="7" applyNumberFormat="1" applyFill="1" applyBorder="1"/>
    <xf numFmtId="0" fontId="8" fillId="3" borderId="35" xfId="7" applyFont="1" applyFill="1" applyBorder="1" applyAlignment="1">
      <alignment horizontal="center"/>
    </xf>
    <xf numFmtId="0" fontId="6" fillId="0" borderId="36" xfId="7" applyFont="1" applyBorder="1"/>
    <xf numFmtId="0" fontId="6" fillId="0" borderId="37" xfId="7" applyFont="1" applyBorder="1" applyAlignment="1">
      <alignment horizontal="center"/>
    </xf>
    <xf numFmtId="0" fontId="6" fillId="0" borderId="37" xfId="7" applyFont="1" applyBorder="1"/>
    <xf numFmtId="38" fontId="5" fillId="0" borderId="38" xfId="7" applyNumberFormat="1" applyBorder="1"/>
    <xf numFmtId="0" fontId="5" fillId="0" borderId="33" xfId="7" applyBorder="1" applyAlignment="1">
      <alignment horizontal="center"/>
    </xf>
    <xf numFmtId="0" fontId="6" fillId="0" borderId="39" xfId="7" applyFont="1" applyBorder="1"/>
    <xf numFmtId="3" fontId="6" fillId="0" borderId="29" xfId="7" applyNumberFormat="1" applyFont="1" applyBorder="1" applyAlignment="1">
      <alignment horizontal="center"/>
    </xf>
    <xf numFmtId="3" fontId="6" fillId="0" borderId="29" xfId="7" applyNumberFormat="1" applyFont="1" applyBorder="1"/>
    <xf numFmtId="3" fontId="5" fillId="3" borderId="40" xfId="7" applyNumberFormat="1" applyFill="1" applyBorder="1"/>
    <xf numFmtId="0" fontId="9" fillId="0" borderId="34" xfId="7" applyFont="1" applyBorder="1" applyAlignment="1">
      <alignment horizontal="center" wrapText="1"/>
    </xf>
    <xf numFmtId="0" fontId="9" fillId="0" borderId="41" xfId="7" applyFont="1" applyBorder="1" applyAlignment="1">
      <alignment horizontal="justify" wrapText="1"/>
    </xf>
    <xf numFmtId="3" fontId="6" fillId="0" borderId="0" xfId="7" applyNumberFormat="1" applyFont="1" applyAlignment="1">
      <alignment horizontal="center"/>
    </xf>
    <xf numFmtId="3" fontId="6" fillId="0" borderId="0" xfId="7" applyNumberFormat="1" applyFont="1"/>
    <xf numFmtId="3" fontId="5" fillId="3" borderId="42" xfId="7" applyNumberFormat="1" applyFill="1" applyBorder="1"/>
    <xf numFmtId="0" fontId="5" fillId="0" borderId="34" xfId="7" applyBorder="1" applyAlignment="1">
      <alignment horizontal="center"/>
    </xf>
    <xf numFmtId="0" fontId="5" fillId="0" borderId="41" xfId="7" applyBorder="1"/>
    <xf numFmtId="0" fontId="6" fillId="0" borderId="41" xfId="7" applyFont="1" applyBorder="1"/>
    <xf numFmtId="0" fontId="9" fillId="4" borderId="0" xfId="7" applyFont="1" applyFill="1" applyBorder="1" applyAlignment="1">
      <alignment horizontal="justify" wrapText="1"/>
    </xf>
    <xf numFmtId="3" fontId="6" fillId="0" borderId="0" xfId="7" applyNumberFormat="1" applyFont="1" applyBorder="1" applyAlignment="1">
      <alignment horizontal="center"/>
    </xf>
    <xf numFmtId="3" fontId="5" fillId="0" borderId="0" xfId="7" applyNumberFormat="1" applyBorder="1"/>
    <xf numFmtId="0" fontId="9" fillId="0" borderId="35" xfId="7" applyFont="1" applyBorder="1" applyAlignment="1">
      <alignment horizontal="center" wrapText="1"/>
    </xf>
    <xf numFmtId="0" fontId="6" fillId="4" borderId="43" xfId="7" applyFont="1" applyFill="1" applyBorder="1"/>
    <xf numFmtId="3" fontId="6" fillId="0" borderId="31" xfId="7" applyNumberFormat="1" applyFont="1" applyBorder="1" applyAlignment="1">
      <alignment horizontal="center"/>
    </xf>
    <xf numFmtId="3" fontId="5" fillId="0" borderId="31" xfId="7" applyNumberFormat="1" applyBorder="1"/>
    <xf numFmtId="3" fontId="5" fillId="3" borderId="44" xfId="7" applyNumberFormat="1" applyFill="1" applyBorder="1"/>
    <xf numFmtId="0" fontId="5" fillId="0" borderId="11" xfId="7" applyBorder="1" applyAlignment="1">
      <alignment horizontal="center"/>
    </xf>
    <xf numFmtId="0" fontId="6" fillId="0" borderId="12" xfId="7" applyFont="1" applyBorder="1"/>
    <xf numFmtId="3" fontId="6" fillId="0" borderId="12" xfId="7" applyNumberFormat="1" applyFont="1" applyBorder="1" applyAlignment="1">
      <alignment horizontal="center"/>
    </xf>
    <xf numFmtId="3" fontId="5" fillId="0" borderId="12" xfId="7" applyNumberFormat="1" applyBorder="1"/>
    <xf numFmtId="3" fontId="5" fillId="3" borderId="12" xfId="7" applyNumberFormat="1" applyFill="1" applyBorder="1"/>
    <xf numFmtId="0" fontId="9" fillId="0" borderId="16" xfId="7" applyFont="1" applyBorder="1" applyAlignment="1">
      <alignment horizontal="center" wrapText="1"/>
    </xf>
    <xf numFmtId="0" fontId="5" fillId="0" borderId="16" xfId="7" applyBorder="1" applyAlignment="1">
      <alignment horizontal="center"/>
    </xf>
    <xf numFmtId="0" fontId="9" fillId="0" borderId="7" xfId="7" applyFont="1" applyBorder="1" applyAlignment="1">
      <alignment horizontal="center" wrapText="1"/>
    </xf>
    <xf numFmtId="0" fontId="6" fillId="0" borderId="8" xfId="7" applyFont="1" applyBorder="1"/>
    <xf numFmtId="0" fontId="9" fillId="4" borderId="8" xfId="7" applyFont="1" applyFill="1" applyBorder="1" applyAlignment="1">
      <alignment horizontal="justify" wrapText="1"/>
    </xf>
    <xf numFmtId="3" fontId="6" fillId="0" borderId="8" xfId="7" applyNumberFormat="1" applyFont="1" applyBorder="1" applyAlignment="1">
      <alignment horizontal="center"/>
    </xf>
    <xf numFmtId="3" fontId="5" fillId="0" borderId="8" xfId="7" applyNumberFormat="1" applyBorder="1"/>
    <xf numFmtId="3" fontId="5" fillId="3" borderId="8" xfId="7" applyNumberFormat="1" applyFill="1" applyBorder="1"/>
    <xf numFmtId="3" fontId="5" fillId="0" borderId="12" xfId="7" applyNumberFormat="1" applyBorder="1" applyAlignment="1">
      <alignment horizontal="center"/>
    </xf>
    <xf numFmtId="3" fontId="6" fillId="0" borderId="0" xfId="7" applyNumberFormat="1" applyFont="1" applyBorder="1"/>
    <xf numFmtId="0" fontId="5" fillId="0" borderId="16" xfId="7" applyBorder="1"/>
    <xf numFmtId="0" fontId="5" fillId="0" borderId="7" xfId="7" applyBorder="1" applyAlignment="1">
      <alignment horizontal="center"/>
    </xf>
    <xf numFmtId="3" fontId="6" fillId="0" borderId="8" xfId="7" applyNumberFormat="1" applyFont="1" applyBorder="1"/>
    <xf numFmtId="20" fontId="3" fillId="0" borderId="0" xfId="0" applyNumberFormat="1" applyFont="1" applyAlignment="1">
      <alignment horizontal="right"/>
    </xf>
  </cellXfs>
  <cellStyles count="8">
    <cellStyle name="Campo de la tabla dinámica" xfId="1" xr:uid="{00000000-0005-0000-0000-000006000000}"/>
    <cellStyle name="Categoría de la tabla dinámica" xfId="4" xr:uid="{00000000-0005-0000-0000-000009000000}"/>
    <cellStyle name="Esquina de la tabla dinámica" xfId="2" xr:uid="{00000000-0005-0000-0000-000007000000}"/>
    <cellStyle name="Excel Built-in Explanatory Text" xfId="7" xr:uid="{00000000-0005-0000-0000-00000C000000}"/>
    <cellStyle name="Normal" xfId="0" builtinId="0"/>
    <cellStyle name="Resultado de la tabla dinámica" xfId="6" xr:uid="{00000000-0005-0000-0000-00000B000000}"/>
    <cellStyle name="Título de la tabla dinámica" xfId="5" xr:uid="{00000000-0005-0000-0000-00000A000000}"/>
    <cellStyle name="Valor de la tabla dinámica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55" xr:uid="{00000000-000A-0000-FFFF-FFFF01000000}">
  <cacheSource type="worksheet">
    <worksheetSource ref="A1:J456" sheet="Hoja1"/>
  </cacheSource>
  <cacheFields count="10">
    <cacheField name="Fecha" numFmtId="0">
      <sharedItems containsSemiMixedTypes="0" containsNonDate="0" containsDate="1" containsString="0" minDate="2023-08-01T00:00:00" maxDate="2023-08-31T00:00:00" count="31"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</sharedItems>
    </cacheField>
    <cacheField name="Fecha / hora" numFmtId="0">
      <sharedItems containsMixedTypes="1" containsNumber="1" minValue="1.52777777777778E-2" maxValue="0.999305555555556" count="302">
        <n v="1.52777777777778E-2"/>
        <n v="1.7361111111111101E-2"/>
        <n v="1.8055555555555599E-2"/>
        <n v="1.8749999999999999E-2"/>
        <n v="2.29166666666667E-2"/>
        <n v="2.7777777777777801E-2"/>
        <n v="2.9861111111111099E-2"/>
        <n v="3.1944444444444497E-2"/>
        <n v="3.4027777777777803E-2"/>
        <n v="4.0972222222222202E-2"/>
        <n v="4.1666666666666699E-2"/>
        <n v="4.2361111111111099E-2"/>
        <n v="4.3749999999999997E-2"/>
        <n v="4.4444444444444398E-2"/>
        <n v="4.65277777777778E-2"/>
        <n v="4.7916666666666698E-2"/>
        <n v="4.8611111111111098E-2"/>
        <n v="0.05"/>
        <n v="5.1388888888888901E-2"/>
        <n v="5.2083333333333301E-2"/>
        <n v="5.3472222222222199E-2"/>
        <n v="5.4861111111111097E-2"/>
        <n v="5.5555555555555601E-2"/>
        <n v="5.6944444444444402E-2"/>
        <n v="5.7638888888888899E-2"/>
        <n v="6.18055555555556E-2"/>
        <n v="6.25E-2"/>
        <n v="6.7361111111111094E-2"/>
        <n v="6.9444444444444406E-2"/>
        <n v="7.6388888888888895E-2"/>
        <n v="0.100694444444444"/>
        <n v="0.101388888888889"/>
        <n v="0.10763888888888901"/>
        <n v="0.108333333333333"/>
        <n v="0.109027777777778"/>
        <n v="0.110416666666667"/>
        <n v="0.113194444444444"/>
        <n v="0.115972222222222"/>
        <n v="0.116666666666667"/>
        <n v="0.11874999999999999"/>
        <n v="0.121527777777778"/>
        <n v="0.122222222222222"/>
        <n v="0.12291666666666699"/>
        <n v="0.12638888888888899"/>
        <n v="0.12708333333333299"/>
        <n v="0.12777777777777799"/>
        <n v="0.12847222222222199"/>
        <n v="0.13055555555555601"/>
        <n v="0.13125000000000001"/>
        <n v="0.133333333333333"/>
        <n v="0.13472222222222199"/>
        <n v="0.13611111111111099"/>
        <n v="0.13750000000000001"/>
        <n v="0.139583333333333"/>
        <n v="0.140277777777778"/>
        <n v="0.140972222222222"/>
        <n v="0.147222222222222"/>
        <n v="0.149305555555556"/>
        <n v="0.15"/>
        <n v="0.15347222222222201"/>
        <n v="0.15416666666666701"/>
        <n v="0.15486111111111101"/>
        <n v="0.15763888888888899"/>
        <n v="0.15833333333333299"/>
        <n v="0.15902777777777799"/>
        <n v="0.16041666666666701"/>
        <n v="0.16180555555555601"/>
        <n v="0.16250000000000001"/>
        <n v="0.163888888888889"/>
        <n v="0.16666666666666699"/>
        <n v="0.16736111111111099"/>
        <n v="0.16805555555555601"/>
        <n v="0.16875000000000001"/>
        <n v="0.16944444444444401"/>
        <n v="0.171527777777778"/>
        <n v="0.17361111111111099"/>
        <n v="0.178472222222222"/>
        <n v="0.18263888888888899"/>
        <n v="0.18402777777777801"/>
        <n v="0.18472222222222201"/>
        <n v="0.188194444444444"/>
        <n v="0.18888888888888899"/>
        <n v="0.19861111111111099"/>
        <n v="0.20763888888888901"/>
        <n v="0.20833333333333301"/>
        <n v="0.20902777777777801"/>
        <n v="0.209722222222222"/>
        <n v="0.210416666666667"/>
        <n v="0.211111111111111"/>
        <n v="0.211805555555556"/>
        <n v="0.21249999999999999"/>
        <n v="0.21319444444444399"/>
        <n v="0.21388888888888899"/>
        <n v="0.21458333333333299"/>
        <n v="0.21527777777777801"/>
        <n v="0.21597222222222201"/>
        <n v="0.21666666666666701"/>
        <n v="0.21736111111111101"/>
        <n v="0.218055555555556"/>
        <n v="0.21875"/>
        <n v="0.219444444444444"/>
        <n v="0.22013888888888899"/>
        <n v="0.22083333333333299"/>
        <n v="0.22222222222222199"/>
        <n v="0.22291666666666701"/>
        <n v="0.22361111111111101"/>
        <n v="0.22500000000000001"/>
        <n v="0.225694444444444"/>
        <n v="0.226388888888889"/>
        <n v="0.227777777777778"/>
        <n v="0.22847222222222199"/>
        <n v="0.22916666666666699"/>
        <n v="0.22986111111111099"/>
        <n v="0.23055555555555601"/>
        <n v="0.23194444444444401"/>
        <n v="0.23263888888888901"/>
        <n v="0.234027777777778"/>
        <n v="0.23611111111111099"/>
        <n v="0.23680555555555599"/>
        <n v="0.23749999999999999"/>
        <n v="0.23819444444444399"/>
        <n v="0.23958333333333301"/>
        <n v="0.24027777777777801"/>
        <n v="0.241666666666667"/>
        <n v="0.242361111111111"/>
        <n v="0.243055555555556"/>
        <n v="0.24374999999999999"/>
        <n v="0.24444444444444399"/>
        <n v="0.24513888888888899"/>
        <n v="0.24652777777777801"/>
        <n v="0.24791666666666701"/>
        <n v="0.24861111111111101"/>
        <n v="0.25"/>
        <n v="0.25624999999999998"/>
        <n v="0.26874999999999999"/>
        <n v="0.27222222222222198"/>
        <n v="0.27569444444444402"/>
        <n v="0.28472222222222199"/>
        <n v="0.28888888888888897"/>
        <n v="0.29166666666666702"/>
        <n v="0.295833333333333"/>
        <n v="0.29930555555555599"/>
        <n v="0.30347222222222198"/>
        <n v="0.30625000000000002"/>
        <n v="0.30763888888888902"/>
        <n v="0.30902777777777801"/>
        <n v="0.32083333333333303"/>
        <n v="0.32222222222222202"/>
        <n v="0.32569444444444401"/>
        <n v="0.327777777777778"/>
        <n v="0.33680555555555602"/>
        <n v="0.33958333333333302"/>
        <n v="0.343055555555556"/>
        <n v="0.34513888888888899"/>
        <n v="0.35"/>
        <n v="0.35069444444444398"/>
        <n v="0.35138888888888897"/>
        <n v="0.36180555555555599"/>
        <n v="0.36388888888888898"/>
        <n v="0.36458333333333298"/>
        <n v="0.37291666666666701"/>
        <n v="0.37361111111111101"/>
        <n v="0.375"/>
        <n v="0.38541666666666702"/>
        <n v="0.390277777777778"/>
        <n v="0.40208333333333302"/>
        <n v="0.41736111111111102"/>
        <n v="0.42430555555555599"/>
        <n v="0.42569444444444399"/>
        <n v="0.42777777777777798"/>
        <n v="0.42847222222222198"/>
        <n v="0.42986111111111103"/>
        <n v="0.43055555555555602"/>
        <n v="0.43333333333333302"/>
        <n v="0.43541666666666701"/>
        <n v="0.436805555555556"/>
        <n v="0.4375"/>
        <n v="0.438194444444445"/>
        <n v="0.43888888888888899"/>
        <n v="0.43958333333333299"/>
        <n v="0.44097222222222199"/>
        <n v="0.44166666666666698"/>
        <n v="0.44305555555555598"/>
        <n v="0.44374999999999998"/>
        <n v="0.44444444444444398"/>
        <n v="0.44513888888888897"/>
        <n v="0.44583333333333303"/>
        <n v="0.44652777777777802"/>
        <n v="0.44722222222222202"/>
        <n v="0.44791666666666702"/>
        <n v="0.44861111111111102"/>
        <n v="0.44930555555555601"/>
        <n v="0.45"/>
        <n v="0.45069444444444401"/>
        <n v="0.452083333333333"/>
        <n v="0.452777777777778"/>
        <n v="0.453472222222222"/>
        <n v="0.454166666666667"/>
        <n v="0.45486111111111099"/>
        <n v="0.45694444444444399"/>
        <n v="0.45833333333333298"/>
        <n v="0.46111111111111103"/>
        <n v="0.46250000000000002"/>
        <n v="0.46388888888888902"/>
        <n v="0.46597222222222201"/>
        <n v="0.46875"/>
        <n v="0.469444444444445"/>
        <n v="0.47013888888888899"/>
        <n v="0.47083333333333299"/>
        <n v="0.47152777777777799"/>
        <n v="0.47222222222222199"/>
        <n v="0.47291666666666698"/>
        <n v="0.47430555555555598"/>
        <n v="0.47499999999999998"/>
        <n v="0.47638888888888897"/>
        <n v="0.47708333333333303"/>
        <n v="0.47847222222222202"/>
        <n v="0.47916666666666702"/>
        <n v="0.48055555555555601"/>
        <n v="0.48194444444444401"/>
        <n v="0.483333333333333"/>
        <n v="0.484027777777778"/>
        <n v="0.48611111111111099"/>
        <n v="0.49375000000000002"/>
        <n v="0.49652777777777801"/>
        <n v="0.49722222222222201"/>
        <n v="0.49861111111111101"/>
        <n v="0.499305555555556"/>
        <n v="0.50138888888888899"/>
        <n v="0.51388888888888895"/>
        <n v="0.51597222222222205"/>
        <n v="0.51666666666666705"/>
        <n v="0.52569444444444502"/>
        <n v="0.52708333333333302"/>
        <n v="0.52777777777777801"/>
        <n v="0.58680555555555602"/>
        <n v="0.63263888888888897"/>
        <n v="0.69374999999999998"/>
        <n v="0.69513888888888897"/>
        <n v="0.69583333333333297"/>
        <n v="0.69652777777777797"/>
        <n v="0.69930555555555596"/>
        <n v="0.70069444444444395"/>
        <n v="0.70138888888888895"/>
        <n v="0.70277777777777795"/>
        <n v="0.70416666666666705"/>
        <n v="0.70486111111111105"/>
        <n v="0.70555555555555605"/>
        <n v="0.70694444444444404"/>
        <n v="0.70763888888888904"/>
        <n v="0.70833333333333304"/>
        <n v="0.70972222222222203"/>
        <n v="0.71041666666666703"/>
        <n v="0.71388888888888902"/>
        <n v="0.72430555555555598"/>
        <n v="0.72708333333333297"/>
        <n v="0.73194444444444395"/>
        <n v="0.73333333333333295"/>
        <n v="0.77013888888888904"/>
        <n v="0.77083333333333304"/>
        <n v="0.77986111111111101"/>
        <n v="0.79791666666666705"/>
        <n v="0.79930555555555605"/>
        <n v="0.80347222222222203"/>
        <n v="0.86666666666666703"/>
        <n v="0.86875000000000002"/>
        <n v="0.87013888888888902"/>
        <n v="0.87083333333333302"/>
        <n v="0.87152777777777801"/>
        <n v="0.874305555555556"/>
        <n v="0.875694444444444"/>
        <n v="0.87638888888888899"/>
        <n v="0.87708333333333299"/>
        <n v="0.87777777777777799"/>
        <n v="0.87847222222222199"/>
        <n v="0.87916666666666698"/>
        <n v="0.87986111111111098"/>
        <n v="0.88055555555555598"/>
        <n v="0.88124999999999998"/>
        <n v="0.88263888888888897"/>
        <n v="0.88333333333333297"/>
        <n v="0.88472222222222197"/>
        <n v="0.88611111111111096"/>
        <n v="0.88680555555555596"/>
        <n v="0.88749999999999996"/>
        <n v="0.88958333333333295"/>
        <n v="0.89097222222222205"/>
        <n v="0.89166666666666705"/>
        <n v="0.89305555555555605"/>
        <n v="0.89375000000000004"/>
        <n v="0.89444444444444404"/>
        <n v="0.89583333333333304"/>
        <n v="0.90138888888888902"/>
        <n v="0.90416666666666701"/>
        <n v="0.90486111111111101"/>
        <n v="0.91041666666666698"/>
        <n v="0.91458333333333297"/>
        <n v="0.91666666666666696"/>
        <n v="0.92291666666666705"/>
        <n v="0.97847222222222197"/>
        <n v="0.999305555555556"/>
        <s v="11.28"/>
      </sharedItems>
    </cacheField>
    <cacheField name="Ticket" numFmtId="0">
      <sharedItems containsSemiMixedTypes="0" containsString="0" containsNumber="1" containsInteger="1" minValue="1" maxValue="283360" count="454">
        <n v="1"/>
        <n v="4596"/>
        <n v="4602"/>
        <n v="4619"/>
        <n v="4628"/>
        <n v="4651"/>
        <n v="4667"/>
        <n v="4681"/>
        <n v="19640"/>
        <n v="21360"/>
        <n v="26340"/>
        <n v="26344"/>
        <n v="26349"/>
        <n v="26352"/>
        <n v="26356"/>
        <n v="26359"/>
        <n v="26367"/>
        <n v="26383"/>
        <n v="26403"/>
        <n v="26412"/>
        <n v="26413"/>
        <n v="26415"/>
        <n v="26417"/>
        <n v="26421"/>
        <n v="26422"/>
        <n v="26426"/>
        <n v="26430"/>
        <n v="26443"/>
        <n v="26445"/>
        <n v="26454"/>
        <n v="26463"/>
        <n v="26479"/>
        <n v="26489"/>
        <n v="26490"/>
        <n v="26494"/>
        <n v="26499"/>
        <n v="26502"/>
        <n v="26506"/>
        <n v="26508"/>
        <n v="26515"/>
        <n v="26516"/>
        <n v="26540"/>
        <n v="26546"/>
        <n v="26568"/>
        <n v="26579"/>
        <n v="26580"/>
        <n v="26582"/>
        <n v="26583"/>
        <n v="26587"/>
        <n v="26588"/>
        <n v="26591"/>
        <n v="26596"/>
        <n v="26600"/>
        <n v="26601"/>
        <n v="26604"/>
        <n v="26623"/>
        <n v="26626"/>
        <n v="26633"/>
        <n v="26634"/>
        <n v="26650"/>
        <n v="26652"/>
        <n v="26653"/>
        <n v="26654"/>
        <n v="26658"/>
        <n v="26663"/>
        <n v="26669"/>
        <n v="26672"/>
        <n v="26673"/>
        <n v="26674"/>
        <n v="26675"/>
        <n v="26697"/>
        <n v="26699"/>
        <n v="26701"/>
        <n v="26707"/>
        <n v="26710"/>
        <n v="26711"/>
        <n v="26713"/>
        <n v="26715"/>
        <n v="26719"/>
        <n v="26724"/>
        <n v="26725"/>
        <n v="26732"/>
        <n v="26733"/>
        <n v="26737"/>
        <n v="26738"/>
        <n v="26739"/>
        <n v="26740"/>
        <n v="26745"/>
        <n v="26748"/>
        <n v="26752"/>
        <n v="26753"/>
        <n v="26758"/>
        <n v="26760"/>
        <n v="26774"/>
        <n v="26784"/>
        <n v="26788"/>
        <n v="26799"/>
        <n v="26803"/>
        <n v="26804"/>
        <n v="26810"/>
        <n v="26812"/>
        <n v="26818"/>
        <n v="26821"/>
        <n v="26827"/>
        <n v="26832"/>
        <n v="26857"/>
        <n v="26876"/>
        <n v="26884"/>
        <n v="26885"/>
        <n v="26887"/>
        <n v="26893"/>
        <n v="26894"/>
        <n v="26895"/>
        <n v="26897"/>
        <n v="26899"/>
        <n v="26914"/>
        <n v="26917"/>
        <n v="26922"/>
        <n v="26929"/>
        <n v="26947"/>
        <n v="26953"/>
        <n v="26955"/>
        <n v="26958"/>
        <n v="26963"/>
        <n v="26964"/>
        <n v="26967"/>
        <n v="26971"/>
        <n v="26972"/>
        <n v="26994"/>
        <n v="27000"/>
        <n v="27001"/>
        <n v="27004"/>
        <n v="27009"/>
        <n v="27020"/>
        <n v="27026"/>
        <n v="27027"/>
        <n v="27029"/>
        <n v="27031"/>
        <n v="27036"/>
        <n v="27040"/>
        <n v="27042"/>
        <n v="27045"/>
        <n v="27046"/>
        <n v="27047"/>
        <n v="27065"/>
        <n v="27070"/>
        <n v="27075"/>
        <n v="27087"/>
        <n v="27089"/>
        <n v="27093"/>
        <n v="27095"/>
        <n v="27098"/>
        <n v="27105"/>
        <n v="27110"/>
        <n v="27111"/>
        <n v="27112"/>
        <n v="27113"/>
        <n v="27115"/>
        <n v="27123"/>
        <n v="27134"/>
        <n v="27137"/>
        <n v="27138"/>
        <n v="27140"/>
        <n v="27145"/>
        <n v="27147"/>
        <n v="27149"/>
        <n v="27150"/>
        <n v="27153"/>
        <n v="27159"/>
        <n v="27160"/>
        <n v="27165"/>
        <n v="27166"/>
        <n v="27167"/>
        <n v="27170"/>
        <n v="27177"/>
        <n v="27178"/>
        <n v="27179"/>
        <n v="27181"/>
        <n v="27184"/>
        <n v="27185"/>
        <n v="27188"/>
        <n v="27190"/>
        <n v="27193"/>
        <n v="27196"/>
        <n v="27199"/>
        <n v="27201"/>
        <n v="27202"/>
        <n v="27205"/>
        <n v="27221"/>
        <n v="27229"/>
        <n v="27232"/>
        <n v="27240"/>
        <n v="27241"/>
        <n v="27243"/>
        <n v="27244"/>
        <n v="27247"/>
        <n v="27251"/>
        <n v="27253"/>
        <n v="27254"/>
        <n v="27261"/>
        <n v="27263"/>
        <n v="27267"/>
        <n v="27269"/>
        <n v="27280"/>
        <n v="27283"/>
        <n v="27284"/>
        <n v="27286"/>
        <n v="27298"/>
        <n v="27305"/>
        <n v="27306"/>
        <n v="27309"/>
        <n v="27314"/>
        <n v="27316"/>
        <n v="27318"/>
        <n v="27319"/>
        <n v="27323"/>
        <n v="27338"/>
        <n v="27344"/>
        <n v="27349"/>
        <n v="27351"/>
        <n v="27353"/>
        <n v="27366"/>
        <n v="27368"/>
        <n v="27372"/>
        <n v="27374"/>
        <n v="27376"/>
        <n v="27382"/>
        <n v="27383"/>
        <n v="27384"/>
        <n v="27390"/>
        <n v="27393"/>
        <n v="27405"/>
        <n v="27417"/>
        <n v="27432"/>
        <n v="27439"/>
        <n v="27440"/>
        <n v="27443"/>
        <n v="27445"/>
        <n v="27449"/>
        <n v="27450"/>
        <n v="27454"/>
        <n v="27456"/>
        <n v="27457"/>
        <n v="27458"/>
        <n v="27469"/>
        <n v="27484"/>
        <n v="27485"/>
        <n v="27491"/>
        <n v="27503"/>
        <n v="27509"/>
        <n v="27510"/>
        <n v="27513"/>
        <n v="27515"/>
        <n v="27518"/>
        <n v="27521"/>
        <n v="27522"/>
        <n v="27527"/>
        <n v="27528"/>
        <n v="27530"/>
        <n v="27531"/>
        <n v="27535"/>
        <n v="27548"/>
        <n v="27550"/>
        <n v="27554"/>
        <n v="27559"/>
        <n v="27560"/>
        <n v="27562"/>
        <n v="27563"/>
        <n v="27564"/>
        <n v="27565"/>
        <n v="27574"/>
        <n v="27577"/>
        <n v="27578"/>
        <n v="27579"/>
        <n v="27580"/>
        <n v="27584"/>
        <n v="27591"/>
        <n v="27592"/>
        <n v="27593"/>
        <n v="27595"/>
        <n v="27596"/>
        <n v="27599"/>
        <n v="27604"/>
        <n v="27608"/>
        <n v="27610"/>
        <n v="27612"/>
        <n v="27614"/>
        <n v="27617"/>
        <n v="27622"/>
        <n v="27639"/>
        <n v="27640"/>
        <n v="27652"/>
        <n v="27655"/>
        <n v="27656"/>
        <n v="27658"/>
        <n v="27660"/>
        <n v="27664"/>
        <n v="27670"/>
        <n v="27673"/>
        <n v="27676"/>
        <n v="27678"/>
        <n v="27684"/>
        <n v="27696"/>
        <n v="27701"/>
        <n v="27702"/>
        <n v="27717"/>
        <n v="27726"/>
        <n v="27727"/>
        <n v="27730"/>
        <n v="27735"/>
        <n v="27737"/>
        <n v="27738"/>
        <n v="27740"/>
        <n v="27744"/>
        <n v="27757"/>
        <n v="27769"/>
        <n v="27794"/>
        <n v="27797"/>
        <n v="27803"/>
        <n v="27804"/>
        <n v="27805"/>
        <n v="27807"/>
        <n v="27813"/>
        <n v="27815"/>
        <n v="27820"/>
        <n v="27824"/>
        <n v="27828"/>
        <n v="27837"/>
        <n v="27844"/>
        <n v="27854"/>
        <n v="27861"/>
        <n v="27872"/>
        <n v="27880"/>
        <n v="27882"/>
        <n v="27884"/>
        <n v="27886"/>
        <n v="27891"/>
        <n v="27894"/>
        <n v="27898"/>
        <n v="27900"/>
        <n v="27902"/>
        <n v="27905"/>
        <n v="27906"/>
        <n v="27926"/>
        <n v="27932"/>
        <n v="27937"/>
        <n v="27949"/>
        <n v="27954"/>
        <n v="27958"/>
        <n v="27959"/>
        <n v="27961"/>
        <n v="27963"/>
        <n v="27967"/>
        <n v="27971"/>
        <n v="27973"/>
        <n v="27978"/>
        <n v="27979"/>
        <n v="27980"/>
        <n v="27983"/>
        <n v="27992"/>
        <n v="28000"/>
        <n v="28002"/>
        <n v="28009"/>
        <n v="28010"/>
        <n v="28013"/>
        <n v="28014"/>
        <n v="28016"/>
        <n v="28024"/>
        <n v="28026"/>
        <n v="28030"/>
        <n v="28031"/>
        <n v="28035"/>
        <n v="28037"/>
        <n v="28041"/>
        <n v="28042"/>
        <n v="28043"/>
        <n v="28044"/>
        <n v="28046"/>
        <n v="28047"/>
        <n v="28050"/>
        <n v="28058"/>
        <n v="28060"/>
        <n v="28061"/>
        <n v="28062"/>
        <n v="28065"/>
        <n v="28087"/>
        <n v="28095"/>
        <n v="28097"/>
        <n v="28115"/>
        <n v="28120"/>
        <n v="28121"/>
        <n v="28123"/>
        <n v="28125"/>
        <n v="28137"/>
        <n v="28138"/>
        <n v="28139"/>
        <n v="28144"/>
        <n v="28145"/>
        <n v="28152"/>
        <n v="28156"/>
        <n v="28157"/>
        <n v="28158"/>
        <n v="28160"/>
        <n v="28162"/>
        <n v="28167"/>
        <n v="28173"/>
        <n v="28175"/>
        <n v="28176"/>
        <n v="28196"/>
        <n v="28201"/>
        <n v="28203"/>
        <n v="28207"/>
        <n v="28210"/>
        <n v="28213"/>
        <n v="28216"/>
        <n v="28218"/>
        <n v="28219"/>
        <n v="28220"/>
        <n v="28225"/>
        <n v="28229"/>
        <n v="28234"/>
        <n v="28236"/>
        <n v="28238"/>
        <n v="28244"/>
        <n v="28245"/>
        <n v="28249"/>
        <n v="28250"/>
        <n v="28254"/>
        <n v="28257"/>
        <n v="28270"/>
        <n v="28276"/>
        <n v="28277"/>
        <n v="28281"/>
        <n v="28285"/>
        <n v="28289"/>
        <n v="28291"/>
        <n v="28296"/>
        <n v="28302"/>
        <n v="28318"/>
        <n v="28319"/>
        <n v="28329"/>
        <n v="28331"/>
        <n v="28338"/>
        <n v="160570"/>
        <n v="160705"/>
        <n v="160965"/>
        <n v="161129"/>
        <n v="161339"/>
        <n v="161496"/>
        <n v="161593"/>
        <n v="161647"/>
        <n v="161739"/>
        <n v="161879"/>
        <n v="283360"/>
      </sharedItems>
    </cacheField>
    <cacheField name="Matrícula" numFmtId="0">
      <sharedItems count="1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400" maxValue="31580" count="326">
        <n v="2400"/>
        <n v="2540"/>
        <n v="2580"/>
        <n v="2600"/>
        <n v="2620"/>
        <n v="2660"/>
        <n v="2700"/>
        <n v="2740"/>
        <n v="2780"/>
        <n v="2800"/>
        <n v="2860"/>
        <n v="2900"/>
        <n v="2960"/>
        <n v="2980"/>
        <n v="300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300"/>
        <n v="3320"/>
        <n v="3340"/>
        <n v="3360"/>
        <n v="3380"/>
        <n v="3400"/>
        <n v="3420"/>
        <n v="3440"/>
        <n v="3460"/>
        <n v="3480"/>
        <n v="3500"/>
        <n v="3520"/>
        <n v="3560"/>
        <n v="3600"/>
        <n v="3720"/>
        <n v="3820"/>
        <n v="3840"/>
        <n v="3860"/>
        <n v="3940"/>
        <n v="4000"/>
        <n v="4020"/>
        <n v="4040"/>
        <n v="4100"/>
        <n v="4160"/>
        <n v="4180"/>
        <n v="4280"/>
        <n v="4300"/>
        <n v="4320"/>
        <n v="4340"/>
        <n v="4360"/>
        <n v="4400"/>
        <n v="4420"/>
        <n v="4440"/>
        <n v="4460"/>
        <n v="4480"/>
        <n v="4520"/>
        <n v="4560"/>
        <n v="4580"/>
        <n v="4620"/>
        <n v="4640"/>
        <n v="4660"/>
        <n v="4680"/>
        <n v="4760"/>
        <n v="4780"/>
        <n v="4800"/>
        <n v="4820"/>
        <n v="4840"/>
        <n v="4860"/>
        <n v="4880"/>
        <n v="4920"/>
        <n v="4940"/>
        <n v="4960"/>
        <n v="5940"/>
        <n v="5960"/>
        <n v="6100"/>
        <n v="6140"/>
        <n v="6160"/>
        <n v="6240"/>
        <n v="6320"/>
        <n v="6380"/>
        <n v="6440"/>
        <n v="6460"/>
        <n v="6480"/>
        <n v="6500"/>
        <n v="6540"/>
        <n v="6580"/>
        <n v="6600"/>
        <n v="6640"/>
        <n v="6840"/>
        <n v="6960"/>
        <n v="6980"/>
        <n v="7100"/>
        <n v="7460"/>
        <n v="13340"/>
        <n v="13680"/>
        <n v="13740"/>
        <n v="13960"/>
        <n v="14020"/>
        <n v="14080"/>
        <n v="14480"/>
        <n v="14540"/>
        <n v="14960"/>
        <n v="15040"/>
        <n v="15300"/>
        <n v="15440"/>
        <n v="15480"/>
        <n v="15540"/>
        <n v="15600"/>
        <n v="15700"/>
        <n v="15800"/>
        <n v="15860"/>
        <n v="15880"/>
        <n v="15960"/>
        <n v="16080"/>
        <n v="16100"/>
        <n v="16120"/>
        <n v="16140"/>
        <n v="16160"/>
        <n v="16200"/>
        <n v="16260"/>
        <n v="16280"/>
        <n v="16300"/>
        <n v="16320"/>
        <n v="16360"/>
        <n v="16400"/>
        <n v="16420"/>
        <n v="16480"/>
        <n v="16500"/>
        <n v="16540"/>
        <n v="16560"/>
        <n v="16680"/>
        <n v="16760"/>
        <n v="16820"/>
        <n v="16860"/>
        <n v="17100"/>
        <n v="17120"/>
        <n v="17180"/>
        <n v="17360"/>
        <n v="17460"/>
        <n v="17520"/>
        <n v="17560"/>
        <n v="17660"/>
        <n v="17800"/>
        <n v="17820"/>
        <n v="17840"/>
        <n v="17860"/>
        <n v="17940"/>
        <n v="18000"/>
        <n v="18080"/>
        <n v="18100"/>
        <n v="18140"/>
        <n v="18180"/>
        <n v="18420"/>
        <n v="18500"/>
        <n v="18560"/>
        <n v="18620"/>
        <n v="18660"/>
        <n v="18680"/>
        <n v="18860"/>
        <n v="18880"/>
        <n v="18960"/>
        <n v="18980"/>
        <n v="19000"/>
        <n v="19140"/>
        <n v="19180"/>
        <n v="19280"/>
        <n v="19380"/>
        <n v="19420"/>
        <n v="19520"/>
        <n v="19540"/>
        <n v="19580"/>
        <n v="19640"/>
        <n v="19660"/>
        <n v="19700"/>
        <n v="19740"/>
        <n v="19780"/>
        <n v="19880"/>
        <n v="20180"/>
        <n v="20300"/>
        <n v="20540"/>
        <n v="20620"/>
        <n v="20680"/>
        <n v="20740"/>
        <n v="20900"/>
        <n v="20940"/>
        <n v="21000"/>
        <n v="21020"/>
        <n v="21080"/>
        <n v="21100"/>
        <n v="21140"/>
        <n v="21160"/>
        <n v="21180"/>
        <n v="21200"/>
        <n v="21260"/>
        <n v="21360"/>
        <n v="21460"/>
        <n v="21500"/>
        <n v="21520"/>
        <n v="21560"/>
        <n v="21620"/>
        <n v="21680"/>
        <n v="21720"/>
        <n v="21740"/>
        <n v="21820"/>
        <n v="21840"/>
        <n v="21880"/>
        <n v="21900"/>
        <n v="21940"/>
        <n v="22020"/>
        <n v="22040"/>
        <n v="22060"/>
        <n v="22100"/>
        <n v="22220"/>
        <n v="22240"/>
        <n v="22260"/>
        <n v="22300"/>
        <n v="22340"/>
        <n v="22380"/>
        <n v="22400"/>
        <n v="22440"/>
        <n v="22480"/>
        <n v="22500"/>
        <n v="22520"/>
        <n v="22600"/>
        <n v="22720"/>
        <n v="22760"/>
        <n v="22800"/>
        <n v="22820"/>
        <n v="22880"/>
        <n v="22900"/>
        <n v="22920"/>
        <n v="23000"/>
        <n v="23180"/>
        <n v="23260"/>
        <n v="23360"/>
        <n v="23400"/>
        <n v="23440"/>
        <n v="23600"/>
        <n v="23700"/>
        <n v="23720"/>
        <n v="23740"/>
        <n v="23760"/>
        <n v="23800"/>
        <n v="23860"/>
        <n v="23880"/>
        <n v="23960"/>
        <n v="24080"/>
        <n v="24160"/>
        <n v="24220"/>
        <n v="24380"/>
        <n v="24400"/>
        <n v="24420"/>
        <n v="24440"/>
        <n v="24640"/>
        <n v="24660"/>
        <n v="24820"/>
        <n v="24860"/>
        <n v="24900"/>
        <n v="24940"/>
        <n v="25240"/>
        <n v="25340"/>
        <n v="25400"/>
        <n v="25420"/>
        <n v="25440"/>
        <n v="25520"/>
        <n v="25600"/>
        <n v="25660"/>
        <n v="25680"/>
        <n v="25740"/>
        <n v="25800"/>
        <n v="25820"/>
        <n v="25860"/>
        <n v="25960"/>
        <n v="26080"/>
        <n v="26140"/>
        <n v="26180"/>
        <n v="26260"/>
        <n v="26300"/>
        <n v="26320"/>
        <n v="26360"/>
        <n v="26380"/>
        <n v="26500"/>
        <n v="26580"/>
        <n v="26600"/>
        <n v="26660"/>
        <n v="26680"/>
        <n v="26720"/>
        <n v="26740"/>
        <n v="26860"/>
        <n v="26920"/>
        <n v="27040"/>
        <n v="27060"/>
        <n v="27140"/>
        <n v="27400"/>
        <n v="27420"/>
        <n v="27500"/>
        <n v="27560"/>
        <n v="27680"/>
        <n v="27720"/>
        <n v="27840"/>
        <n v="27860"/>
        <n v="27880"/>
        <n v="27920"/>
        <n v="28040"/>
        <n v="28460"/>
        <n v="30320"/>
        <n v="30500"/>
        <n v="30540"/>
        <n v="30600"/>
        <n v="30620"/>
        <n v="30720"/>
        <n v="30840"/>
        <n v="30960"/>
        <n v="31100"/>
        <n v="31200"/>
        <n v="31220"/>
        <n v="31380"/>
        <n v="31580"/>
      </sharedItems>
    </cacheField>
    <cacheField name="Tara" numFmtId="0">
      <sharedItems containsSemiMixedTypes="0" containsNonDate="0" containsDate="1" containsString="0" minDate="1906-02-17T00:00:00" maxDate="1945-06-12T00:00:00" count="104">
        <d v="1906-02-17T00:00:00"/>
        <d v="1906-04-18T00:00:00"/>
        <d v="1906-05-08T00:00:00"/>
        <d v="1906-05-28T00:00:00"/>
        <d v="1906-07-07T00:00:00"/>
        <d v="1906-07-27T00:00:00"/>
        <d v="1906-08-16T00:00:00"/>
        <d v="1906-09-05T00:00:00"/>
        <d v="1906-11-04T00:00:00"/>
        <d v="1907-02-12T00:00:00"/>
        <d v="1907-03-04T00:00:00"/>
        <d v="1907-04-13T00:00:00"/>
        <d v="1907-05-03T00:00:00"/>
        <d v="1907-05-23T00:00:00"/>
        <d v="1907-06-12T00:00:00"/>
        <d v="1907-07-02T00:00:00"/>
        <d v="1907-07-22T00:00:00"/>
        <d v="1907-08-11T00:00:00"/>
        <d v="1907-08-31T00:00:00"/>
        <d v="1907-09-20T00:00:00"/>
        <d v="1907-10-10T00:00:00"/>
        <d v="1907-10-30T00:00:00"/>
        <d v="1907-11-19T00:00:00"/>
        <d v="1907-12-09T00:00:00"/>
        <d v="1908-01-18T00:00:00"/>
        <d v="1908-08-25T00:00:00"/>
        <d v="1909-09-29T00:00:00"/>
        <d v="1909-10-19T00:00:00"/>
        <d v="1909-11-08T00:00:00"/>
        <d v="1909-12-18T00:00:00"/>
        <d v="1910-01-07T00:00:00"/>
        <d v="1910-01-27T00:00:00"/>
        <d v="1910-02-16T00:00:00"/>
        <d v="1910-04-17T00:00:00"/>
        <d v="1910-05-07T00:00:00"/>
        <d v="1914-12-12T00:00:00"/>
        <d v="1915-01-01T00:00:00"/>
        <d v="1915-01-21T00:00:00"/>
        <d v="1915-02-10T00:00:00"/>
        <d v="1915-03-02T00:00:00"/>
        <d v="1915-03-22T00:00:00"/>
        <d v="1915-06-10T00:00:00"/>
        <d v="1933-12-12T00:00:00"/>
        <d v="1934-01-01T00:00:00"/>
        <d v="1934-01-21T00:00:00"/>
        <d v="1934-02-10T00:00:00"/>
        <d v="1934-03-02T00:00:00"/>
        <d v="1934-03-22T00:00:00"/>
        <d v="1934-04-11T00:00:00"/>
        <d v="1934-05-21T00:00:00"/>
        <d v="1935-09-13T00:00:00"/>
        <d v="1935-10-23T00:00:00"/>
        <d v="1935-11-12T00:00:00"/>
        <d v="1935-12-02T00:00:00"/>
        <d v="1935-12-22T00:00:00"/>
        <d v="1936-01-11T00:00:00"/>
        <d v="1936-01-31T00:00:00"/>
        <d v="1936-02-20T00:00:00"/>
        <d v="1936-03-11T00:00:00"/>
        <d v="1936-03-31T00:00:00"/>
        <d v="1936-04-20T00:00:00"/>
        <d v="1936-05-10T00:00:00"/>
        <d v="1936-05-30T00:00:00"/>
        <d v="1936-06-19T00:00:00"/>
        <d v="1936-07-09T00:00:00"/>
        <d v="1936-07-29T00:00:00"/>
        <d v="1936-08-18T00:00:00"/>
        <d v="1936-09-07T00:00:00"/>
        <d v="1936-09-27T00:00:00"/>
        <d v="1936-10-17T00:00:00"/>
        <d v="1936-11-06T00:00:00"/>
        <d v="1937-01-25T00:00:00"/>
        <d v="1941-11-20T00:00:00"/>
        <d v="1942-12-25T00:00:00"/>
        <d v="1943-02-03T00:00:00"/>
        <d v="1943-02-23T00:00:00"/>
        <d v="1943-03-15T00:00:00"/>
        <d v="1943-04-04T00:00:00"/>
        <d v="1943-04-24T00:00:00"/>
        <d v="1943-05-14T00:00:00"/>
        <d v="1943-06-03T00:00:00"/>
        <d v="1943-06-23T00:00:00"/>
        <d v="1943-07-13T00:00:00"/>
        <d v="1943-08-02T00:00:00"/>
        <d v="1943-08-22T00:00:00"/>
        <d v="1943-09-11T00:00:00"/>
        <d v="1943-10-01T00:00:00"/>
        <d v="1943-10-21T00:00:00"/>
        <d v="1943-11-10T00:00:00"/>
        <d v="1943-11-30T00:00:00"/>
        <d v="1943-12-20T00:00:00"/>
        <d v="1944-01-09T00:00:00"/>
        <d v="1944-01-29T00:00:00"/>
        <d v="1944-02-18T00:00:00"/>
        <d v="1944-03-09T00:00:00"/>
        <d v="1944-03-29T00:00:00"/>
        <d v="1944-04-18T00:00:00"/>
        <d v="1944-05-08T00:00:00"/>
        <d v="1944-05-28T00:00:00"/>
        <d v="1944-06-17T00:00:00"/>
        <d v="1944-07-07T00:00:00"/>
        <d v="1944-07-27T00:00:00"/>
        <d v="1944-09-05T00:00:00"/>
        <d v="1945-06-12T00:00:00"/>
      </sharedItems>
    </cacheField>
    <cacheField name="Carga" numFmtId="0">
      <sharedItems containsSemiMixedTypes="0" containsString="0" containsNumber="1" containsInteger="1" minValue="80" maxValue="16280" count="256">
        <n v="80"/>
        <n v="10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60"/>
        <n v="780"/>
        <n v="800"/>
        <n v="820"/>
        <n v="840"/>
        <n v="860"/>
        <n v="880"/>
        <n v="900"/>
        <n v="920"/>
        <n v="940"/>
        <n v="960"/>
        <n v="980"/>
        <n v="1000"/>
        <n v="1020"/>
        <n v="1040"/>
        <n v="1060"/>
        <n v="1100"/>
        <n v="1160"/>
        <n v="1200"/>
        <n v="1220"/>
        <n v="1240"/>
        <n v="1260"/>
        <n v="1280"/>
        <n v="1300"/>
        <n v="1320"/>
        <n v="1340"/>
        <n v="1360"/>
        <n v="1420"/>
        <n v="1460"/>
        <n v="1480"/>
        <n v="1500"/>
        <n v="1520"/>
        <n v="1540"/>
        <n v="1620"/>
        <n v="1700"/>
        <n v="1740"/>
        <n v="1780"/>
        <n v="1800"/>
        <n v="1880"/>
        <n v="1980"/>
        <n v="2060"/>
        <n v="2080"/>
        <n v="2120"/>
        <n v="2160"/>
        <n v="2300"/>
        <n v="2400"/>
        <n v="2460"/>
        <n v="2520"/>
        <n v="2540"/>
        <n v="2580"/>
        <n v="2600"/>
        <n v="2720"/>
        <n v="2740"/>
        <n v="2760"/>
        <n v="2820"/>
        <n v="2840"/>
        <n v="2860"/>
        <n v="2960"/>
        <n v="2980"/>
        <n v="3000"/>
        <n v="3020"/>
        <n v="3060"/>
        <n v="3080"/>
        <n v="3100"/>
        <n v="3160"/>
        <n v="3200"/>
        <n v="3220"/>
        <n v="3240"/>
        <n v="3260"/>
        <n v="3320"/>
        <n v="3360"/>
        <n v="3380"/>
        <n v="3400"/>
        <n v="3420"/>
        <n v="3500"/>
        <n v="3520"/>
        <n v="3560"/>
        <n v="3640"/>
        <n v="3660"/>
        <n v="3680"/>
        <n v="3700"/>
        <n v="3720"/>
        <n v="3780"/>
        <n v="3820"/>
        <n v="3880"/>
        <n v="3900"/>
        <n v="4000"/>
        <n v="4020"/>
        <n v="4100"/>
        <n v="4180"/>
        <n v="4300"/>
        <n v="4340"/>
        <n v="4360"/>
        <n v="4560"/>
        <n v="4600"/>
        <n v="4680"/>
        <n v="5220"/>
        <n v="5420"/>
        <n v="5580"/>
        <n v="6300"/>
        <n v="6420"/>
        <n v="6440"/>
        <n v="6480"/>
        <n v="6640"/>
        <n v="6660"/>
        <n v="6700"/>
        <n v="7000"/>
        <n v="7040"/>
        <n v="7100"/>
        <n v="7180"/>
        <n v="7260"/>
        <n v="7340"/>
        <n v="7480"/>
        <n v="7540"/>
        <n v="7560"/>
        <n v="7580"/>
        <n v="7660"/>
        <n v="7680"/>
        <n v="7760"/>
        <n v="7780"/>
        <n v="7800"/>
        <n v="7840"/>
        <n v="7860"/>
        <n v="7880"/>
        <n v="7900"/>
        <n v="7920"/>
        <n v="7960"/>
        <n v="8020"/>
        <n v="8060"/>
        <n v="8100"/>
        <n v="8120"/>
        <n v="8220"/>
        <n v="8280"/>
        <n v="8300"/>
        <n v="8340"/>
        <n v="8400"/>
        <n v="8420"/>
        <n v="8460"/>
        <n v="8500"/>
        <n v="8560"/>
        <n v="8580"/>
        <n v="8600"/>
        <n v="8640"/>
        <n v="8680"/>
        <n v="8720"/>
        <n v="8760"/>
        <n v="8800"/>
        <n v="8840"/>
        <n v="8880"/>
        <n v="8900"/>
        <n v="8940"/>
        <n v="8980"/>
        <n v="9040"/>
        <n v="9080"/>
        <n v="9100"/>
        <n v="9120"/>
        <n v="9140"/>
        <n v="9180"/>
        <n v="9200"/>
        <n v="9220"/>
        <n v="9240"/>
        <n v="9300"/>
        <n v="9340"/>
        <n v="9360"/>
        <n v="9420"/>
        <n v="9500"/>
        <n v="9520"/>
        <n v="9580"/>
        <n v="9600"/>
        <n v="9640"/>
        <n v="9700"/>
        <n v="9740"/>
        <n v="9760"/>
        <n v="9800"/>
        <n v="9860"/>
        <n v="9880"/>
        <n v="10160"/>
        <n v="10200"/>
        <n v="10220"/>
        <n v="10260"/>
        <n v="10280"/>
        <n v="10320"/>
        <n v="10360"/>
        <n v="10420"/>
        <n v="10500"/>
        <n v="10520"/>
        <n v="10540"/>
        <n v="10640"/>
        <n v="10720"/>
        <n v="10800"/>
        <n v="10880"/>
        <n v="10900"/>
        <n v="10960"/>
        <n v="11040"/>
        <n v="11100"/>
        <n v="11120"/>
        <n v="11160"/>
        <n v="11220"/>
        <n v="11420"/>
        <n v="11440"/>
        <n v="11540"/>
        <n v="11660"/>
        <n v="11720"/>
        <n v="11740"/>
        <n v="11780"/>
        <n v="11840"/>
        <n v="11900"/>
        <n v="11920"/>
        <n v="11960"/>
        <n v="12560"/>
        <n v="15020"/>
        <n v="15200"/>
        <n v="15240"/>
        <n v="15300"/>
        <n v="15320"/>
        <n v="15420"/>
        <n v="15540"/>
        <n v="15660"/>
        <n v="15800"/>
        <n v="15900"/>
        <n v="15920"/>
        <n v="16080"/>
        <n v="16280"/>
      </sharedItems>
    </cacheField>
    <cacheField name="Población" numFmtId="0">
      <sharedItems count="1">
        <s v="PEÑISCOLA"/>
      </sharedItems>
    </cacheField>
    <cacheField name="Residuo" numFmtId="0">
      <sharedItems count="6">
        <s v="BARREDURIA "/>
        <s v="PODA"/>
        <s v="RSU"/>
        <s v="SEL.ENV"/>
        <s v="SEL.PAP"/>
        <s v="VOL"/>
      </sharedItems>
    </cacheField>
    <cacheField name="Revisión" numFmtId="0">
      <sharedItems count="1"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5">
  <r>
    <x v="0"/>
    <x v="125"/>
    <x v="15"/>
    <x v="7"/>
    <x v="194"/>
    <x v="58"/>
    <x v="153"/>
    <x v="0"/>
    <x v="2"/>
    <x v="0"/>
  </r>
  <r>
    <x v="0"/>
    <x v="23"/>
    <x v="10"/>
    <x v="7"/>
    <x v="195"/>
    <x v="58"/>
    <x v="155"/>
    <x v="0"/>
    <x v="2"/>
    <x v="0"/>
  </r>
  <r>
    <x v="0"/>
    <x v="112"/>
    <x v="14"/>
    <x v="5"/>
    <x v="113"/>
    <x v="43"/>
    <x v="94"/>
    <x v="0"/>
    <x v="2"/>
    <x v="0"/>
  </r>
  <r>
    <x v="0"/>
    <x v="35"/>
    <x v="11"/>
    <x v="8"/>
    <x v="68"/>
    <x v="28"/>
    <x v="48"/>
    <x v="0"/>
    <x v="2"/>
    <x v="0"/>
  </r>
  <r>
    <x v="0"/>
    <x v="64"/>
    <x v="12"/>
    <x v="3"/>
    <x v="287"/>
    <x v="95"/>
    <x v="210"/>
    <x v="0"/>
    <x v="2"/>
    <x v="0"/>
  </r>
  <r>
    <x v="0"/>
    <x v="253"/>
    <x v="18"/>
    <x v="7"/>
    <x v="130"/>
    <x v="59"/>
    <x v="95"/>
    <x v="0"/>
    <x v="2"/>
    <x v="0"/>
  </r>
  <r>
    <x v="0"/>
    <x v="279"/>
    <x v="20"/>
    <x v="1"/>
    <x v="27"/>
    <x v="13"/>
    <x v="23"/>
    <x v="0"/>
    <x v="2"/>
    <x v="0"/>
  </r>
  <r>
    <x v="0"/>
    <x v="185"/>
    <x v="17"/>
    <x v="6"/>
    <x v="30"/>
    <x v="16"/>
    <x v="24"/>
    <x v="0"/>
    <x v="2"/>
    <x v="0"/>
  </r>
  <r>
    <x v="0"/>
    <x v="275"/>
    <x v="19"/>
    <x v="3"/>
    <x v="236"/>
    <x v="96"/>
    <x v="138"/>
    <x v="0"/>
    <x v="2"/>
    <x v="0"/>
  </r>
  <r>
    <x v="0"/>
    <x v="83"/>
    <x v="13"/>
    <x v="8"/>
    <x v="52"/>
    <x v="31"/>
    <x v="20"/>
    <x v="0"/>
    <x v="2"/>
    <x v="0"/>
  </r>
  <r>
    <x v="1"/>
    <x v="86"/>
    <x v="25"/>
    <x v="8"/>
    <x v="64"/>
    <x v="31"/>
    <x v="39"/>
    <x v="0"/>
    <x v="2"/>
    <x v="0"/>
  </r>
  <r>
    <x v="1"/>
    <x v="30"/>
    <x v="22"/>
    <x v="8"/>
    <x v="65"/>
    <x v="27"/>
    <x v="45"/>
    <x v="0"/>
    <x v="2"/>
    <x v="0"/>
  </r>
  <r>
    <x v="1"/>
    <x v="70"/>
    <x v="24"/>
    <x v="3"/>
    <x v="291"/>
    <x v="96"/>
    <x v="216"/>
    <x v="0"/>
    <x v="2"/>
    <x v="0"/>
  </r>
  <r>
    <x v="1"/>
    <x v="7"/>
    <x v="21"/>
    <x v="7"/>
    <x v="203"/>
    <x v="67"/>
    <x v="161"/>
    <x v="0"/>
    <x v="2"/>
    <x v="0"/>
  </r>
  <r>
    <x v="1"/>
    <x v="55"/>
    <x v="23"/>
    <x v="7"/>
    <x v="207"/>
    <x v="57"/>
    <x v="169"/>
    <x v="0"/>
    <x v="2"/>
    <x v="0"/>
  </r>
  <r>
    <x v="1"/>
    <x v="129"/>
    <x v="26"/>
    <x v="7"/>
    <x v="111"/>
    <x v="56"/>
    <x v="75"/>
    <x v="0"/>
    <x v="2"/>
    <x v="0"/>
  </r>
  <r>
    <x v="1"/>
    <x v="159"/>
    <x v="28"/>
    <x v="6"/>
    <x v="33"/>
    <x v="22"/>
    <x v="21"/>
    <x v="0"/>
    <x v="2"/>
    <x v="0"/>
  </r>
  <r>
    <x v="1"/>
    <x v="154"/>
    <x v="27"/>
    <x v="3"/>
    <x v="234"/>
    <x v="102"/>
    <x v="135"/>
    <x v="0"/>
    <x v="2"/>
    <x v="0"/>
  </r>
  <r>
    <x v="1"/>
    <x v="264"/>
    <x v="32"/>
    <x v="2"/>
    <x v="238"/>
    <x v="81"/>
    <x v="140"/>
    <x v="0"/>
    <x v="2"/>
    <x v="0"/>
  </r>
  <r>
    <x v="1"/>
    <x v="237"/>
    <x v="31"/>
    <x v="7"/>
    <x v="120"/>
    <x v="54"/>
    <x v="87"/>
    <x v="0"/>
    <x v="2"/>
    <x v="0"/>
  </r>
  <r>
    <x v="1"/>
    <x v="276"/>
    <x v="33"/>
    <x v="1"/>
    <x v="15"/>
    <x v="12"/>
    <x v="12"/>
    <x v="0"/>
    <x v="2"/>
    <x v="0"/>
  </r>
  <r>
    <x v="2"/>
    <x v="69"/>
    <x v="36"/>
    <x v="2"/>
    <x v="311"/>
    <x v="91"/>
    <x v="241"/>
    <x v="0"/>
    <x v="2"/>
    <x v="0"/>
  </r>
  <r>
    <x v="2"/>
    <x v="28"/>
    <x v="34"/>
    <x v="7"/>
    <x v="228"/>
    <x v="56"/>
    <x v="194"/>
    <x v="0"/>
    <x v="2"/>
    <x v="0"/>
  </r>
  <r>
    <x v="2"/>
    <x v="107"/>
    <x v="38"/>
    <x v="7"/>
    <x v="244"/>
    <x v="56"/>
    <x v="212"/>
    <x v="0"/>
    <x v="2"/>
    <x v="0"/>
  </r>
  <r>
    <x v="2"/>
    <x v="52"/>
    <x v="35"/>
    <x v="8"/>
    <x v="77"/>
    <x v="28"/>
    <x v="57"/>
    <x v="0"/>
    <x v="2"/>
    <x v="0"/>
  </r>
  <r>
    <x v="2"/>
    <x v="96"/>
    <x v="37"/>
    <x v="8"/>
    <x v="61"/>
    <x v="34"/>
    <x v="29"/>
    <x v="0"/>
    <x v="2"/>
    <x v="0"/>
  </r>
  <r>
    <x v="2"/>
    <x v="133"/>
    <x v="39"/>
    <x v="0"/>
    <x v="169"/>
    <x v="94"/>
    <x v="88"/>
    <x v="0"/>
    <x v="2"/>
    <x v="0"/>
  </r>
  <r>
    <x v="2"/>
    <x v="172"/>
    <x v="41"/>
    <x v="6"/>
    <x v="41"/>
    <x v="21"/>
    <x v="32"/>
    <x v="0"/>
    <x v="2"/>
    <x v="0"/>
  </r>
  <r>
    <x v="2"/>
    <x v="209"/>
    <x v="42"/>
    <x v="9"/>
    <x v="85"/>
    <x v="36"/>
    <x v="33"/>
    <x v="0"/>
    <x v="5"/>
    <x v="0"/>
  </r>
  <r>
    <x v="2"/>
    <x v="221"/>
    <x v="444"/>
    <x v="2"/>
    <x v="148"/>
    <x v="80"/>
    <x v="67"/>
    <x v="0"/>
    <x v="4"/>
    <x v="0"/>
  </r>
  <r>
    <x v="2"/>
    <x v="279"/>
    <x v="44"/>
    <x v="1"/>
    <x v="23"/>
    <x v="16"/>
    <x v="16"/>
    <x v="0"/>
    <x v="2"/>
    <x v="0"/>
  </r>
  <r>
    <x v="2"/>
    <x v="283"/>
    <x v="45"/>
    <x v="3"/>
    <x v="256"/>
    <x v="95"/>
    <x v="161"/>
    <x v="0"/>
    <x v="2"/>
    <x v="0"/>
  </r>
  <r>
    <x v="2"/>
    <x v="246"/>
    <x v="43"/>
    <x v="7"/>
    <x v="122"/>
    <x v="59"/>
    <x v="89"/>
    <x v="0"/>
    <x v="2"/>
    <x v="0"/>
  </r>
  <r>
    <x v="3"/>
    <x v="95"/>
    <x v="51"/>
    <x v="1"/>
    <x v="35"/>
    <x v="19"/>
    <x v="26"/>
    <x v="0"/>
    <x v="2"/>
    <x v="0"/>
  </r>
  <r>
    <x v="3"/>
    <x v="5"/>
    <x v="46"/>
    <x v="5"/>
    <x v="108"/>
    <x v="49"/>
    <x v="72"/>
    <x v="0"/>
    <x v="2"/>
    <x v="0"/>
  </r>
  <r>
    <x v="3"/>
    <x v="31"/>
    <x v="49"/>
    <x v="1"/>
    <x v="18"/>
    <x v="14"/>
    <x v="13"/>
    <x v="0"/>
    <x v="2"/>
    <x v="0"/>
  </r>
  <r>
    <x v="3"/>
    <x v="118"/>
    <x v="53"/>
    <x v="3"/>
    <x v="270"/>
    <x v="90"/>
    <x v="196"/>
    <x v="0"/>
    <x v="2"/>
    <x v="0"/>
  </r>
  <r>
    <x v="3"/>
    <x v="13"/>
    <x v="47"/>
    <x v="7"/>
    <x v="218"/>
    <x v="70"/>
    <x v="174"/>
    <x v="0"/>
    <x v="2"/>
    <x v="0"/>
  </r>
  <r>
    <x v="3"/>
    <x v="125"/>
    <x v="54"/>
    <x v="7"/>
    <x v="153"/>
    <x v="103"/>
    <x v="54"/>
    <x v="0"/>
    <x v="2"/>
    <x v="0"/>
  </r>
  <r>
    <x v="3"/>
    <x v="32"/>
    <x v="48"/>
    <x v="6"/>
    <x v="42"/>
    <x v="21"/>
    <x v="38"/>
    <x v="0"/>
    <x v="2"/>
    <x v="0"/>
  </r>
  <r>
    <x v="3"/>
    <x v="49"/>
    <x v="50"/>
    <x v="7"/>
    <x v="200"/>
    <x v="71"/>
    <x v="149"/>
    <x v="0"/>
    <x v="2"/>
    <x v="0"/>
  </r>
  <r>
    <x v="3"/>
    <x v="115"/>
    <x v="52"/>
    <x v="2"/>
    <x v="287"/>
    <x v="84"/>
    <x v="216"/>
    <x v="0"/>
    <x v="2"/>
    <x v="0"/>
  </r>
  <r>
    <x v="3"/>
    <x v="298"/>
    <x v="62"/>
    <x v="3"/>
    <x v="278"/>
    <x v="96"/>
    <x v="202"/>
    <x v="0"/>
    <x v="2"/>
    <x v="0"/>
  </r>
  <r>
    <x v="3"/>
    <x v="171"/>
    <x v="55"/>
    <x v="8"/>
    <x v="50"/>
    <x v="26"/>
    <x v="22"/>
    <x v="0"/>
    <x v="2"/>
    <x v="0"/>
  </r>
  <r>
    <x v="3"/>
    <x v="263"/>
    <x v="60"/>
    <x v="1"/>
    <x v="19"/>
    <x v="12"/>
    <x v="16"/>
    <x v="0"/>
    <x v="2"/>
    <x v="0"/>
  </r>
  <r>
    <x v="3"/>
    <x v="288"/>
    <x v="61"/>
    <x v="1"/>
    <x v="14"/>
    <x v="16"/>
    <x v="7"/>
    <x v="0"/>
    <x v="2"/>
    <x v="0"/>
  </r>
  <r>
    <x v="3"/>
    <x v="226"/>
    <x v="57"/>
    <x v="0"/>
    <x v="182"/>
    <x v="85"/>
    <x v="115"/>
    <x v="0"/>
    <x v="2"/>
    <x v="0"/>
  </r>
  <r>
    <x v="3"/>
    <x v="249"/>
    <x v="59"/>
    <x v="7"/>
    <x v="128"/>
    <x v="58"/>
    <x v="94"/>
    <x v="0"/>
    <x v="2"/>
    <x v="0"/>
  </r>
  <r>
    <x v="3"/>
    <x v="186"/>
    <x v="56"/>
    <x v="4"/>
    <x v="3"/>
    <x v="5"/>
    <x v="5"/>
    <x v="0"/>
    <x v="2"/>
    <x v="0"/>
  </r>
  <r>
    <x v="3"/>
    <x v="225"/>
    <x v="58"/>
    <x v="1"/>
    <x v="19"/>
    <x v="18"/>
    <x v="10"/>
    <x v="0"/>
    <x v="1"/>
    <x v="0"/>
  </r>
  <r>
    <x v="3"/>
    <x v="218"/>
    <x v="1"/>
    <x v="3"/>
    <x v="178"/>
    <x v="75"/>
    <x v="116"/>
    <x v="0"/>
    <x v="3"/>
    <x v="0"/>
  </r>
  <r>
    <x v="4"/>
    <x v="102"/>
    <x v="66"/>
    <x v="8"/>
    <x v="57"/>
    <x v="27"/>
    <x v="34"/>
    <x v="0"/>
    <x v="2"/>
    <x v="0"/>
  </r>
  <r>
    <x v="4"/>
    <x v="102"/>
    <x v="67"/>
    <x v="1"/>
    <x v="22"/>
    <x v="18"/>
    <x v="13"/>
    <x v="0"/>
    <x v="2"/>
    <x v="0"/>
  </r>
  <r>
    <x v="4"/>
    <x v="213"/>
    <x v="71"/>
    <x v="1"/>
    <x v="22"/>
    <x v="11"/>
    <x v="20"/>
    <x v="0"/>
    <x v="2"/>
    <x v="0"/>
  </r>
  <r>
    <x v="4"/>
    <x v="289"/>
    <x v="75"/>
    <x v="2"/>
    <x v="292"/>
    <x v="80"/>
    <x v="222"/>
    <x v="0"/>
    <x v="2"/>
    <x v="0"/>
  </r>
  <r>
    <x v="4"/>
    <x v="277"/>
    <x v="74"/>
    <x v="1"/>
    <x v="21"/>
    <x v="15"/>
    <x v="15"/>
    <x v="0"/>
    <x v="2"/>
    <x v="0"/>
  </r>
  <r>
    <x v="4"/>
    <x v="222"/>
    <x v="72"/>
    <x v="9"/>
    <x v="90"/>
    <x v="39"/>
    <x v="42"/>
    <x v="0"/>
    <x v="5"/>
    <x v="0"/>
  </r>
  <r>
    <x v="4"/>
    <x v="247"/>
    <x v="73"/>
    <x v="7"/>
    <x v="138"/>
    <x v="61"/>
    <x v="105"/>
    <x v="0"/>
    <x v="2"/>
    <x v="0"/>
  </r>
  <r>
    <x v="4"/>
    <x v="122"/>
    <x v="69"/>
    <x v="2"/>
    <x v="303"/>
    <x v="79"/>
    <x v="234"/>
    <x v="0"/>
    <x v="2"/>
    <x v="0"/>
  </r>
  <r>
    <x v="4"/>
    <x v="52"/>
    <x v="64"/>
    <x v="8"/>
    <x v="69"/>
    <x v="27"/>
    <x v="49"/>
    <x v="0"/>
    <x v="2"/>
    <x v="0"/>
  </r>
  <r>
    <x v="4"/>
    <x v="81"/>
    <x v="65"/>
    <x v="7"/>
    <x v="239"/>
    <x v="57"/>
    <x v="206"/>
    <x v="0"/>
    <x v="2"/>
    <x v="0"/>
  </r>
  <r>
    <x v="4"/>
    <x v="17"/>
    <x v="63"/>
    <x v="7"/>
    <x v="205"/>
    <x v="67"/>
    <x v="163"/>
    <x v="0"/>
    <x v="2"/>
    <x v="0"/>
  </r>
  <r>
    <x v="4"/>
    <x v="114"/>
    <x v="68"/>
    <x v="3"/>
    <x v="271"/>
    <x v="94"/>
    <x v="194"/>
    <x v="0"/>
    <x v="2"/>
    <x v="0"/>
  </r>
  <r>
    <x v="4"/>
    <x v="201"/>
    <x v="70"/>
    <x v="3"/>
    <x v="150"/>
    <x v="90"/>
    <x v="68"/>
    <x v="0"/>
    <x v="2"/>
    <x v="0"/>
  </r>
  <r>
    <x v="5"/>
    <x v="245"/>
    <x v="0"/>
    <x v="7"/>
    <x v="133"/>
    <x v="57"/>
    <x v="99"/>
    <x v="0"/>
    <x v="2"/>
    <x v="0"/>
  </r>
  <r>
    <x v="5"/>
    <x v="291"/>
    <x v="86"/>
    <x v="2"/>
    <x v="291"/>
    <x v="85"/>
    <x v="220"/>
    <x v="0"/>
    <x v="2"/>
    <x v="0"/>
  </r>
  <r>
    <x v="5"/>
    <x v="210"/>
    <x v="84"/>
    <x v="1"/>
    <x v="30"/>
    <x v="13"/>
    <x v="27"/>
    <x v="0"/>
    <x v="2"/>
    <x v="0"/>
  </r>
  <r>
    <x v="5"/>
    <x v="79"/>
    <x v="79"/>
    <x v="7"/>
    <x v="245"/>
    <x v="59"/>
    <x v="215"/>
    <x v="0"/>
    <x v="2"/>
    <x v="0"/>
  </r>
  <r>
    <x v="5"/>
    <x v="3"/>
    <x v="76"/>
    <x v="5"/>
    <x v="106"/>
    <x v="45"/>
    <x v="66"/>
    <x v="0"/>
    <x v="2"/>
    <x v="0"/>
  </r>
  <r>
    <x v="5"/>
    <x v="38"/>
    <x v="78"/>
    <x v="8"/>
    <x v="74"/>
    <x v="27"/>
    <x v="54"/>
    <x v="0"/>
    <x v="2"/>
    <x v="0"/>
  </r>
  <r>
    <x v="5"/>
    <x v="84"/>
    <x v="80"/>
    <x v="8"/>
    <x v="69"/>
    <x v="30"/>
    <x v="46"/>
    <x v="0"/>
    <x v="2"/>
    <x v="0"/>
  </r>
  <r>
    <x v="5"/>
    <x v="123"/>
    <x v="81"/>
    <x v="2"/>
    <x v="307"/>
    <x v="84"/>
    <x v="239"/>
    <x v="0"/>
    <x v="2"/>
    <x v="0"/>
  </r>
  <r>
    <x v="5"/>
    <x v="288"/>
    <x v="85"/>
    <x v="1"/>
    <x v="24"/>
    <x v="16"/>
    <x v="17"/>
    <x v="0"/>
    <x v="2"/>
    <x v="0"/>
  </r>
  <r>
    <x v="5"/>
    <x v="131"/>
    <x v="82"/>
    <x v="3"/>
    <x v="274"/>
    <x v="95"/>
    <x v="198"/>
    <x v="0"/>
    <x v="2"/>
    <x v="0"/>
  </r>
  <r>
    <x v="5"/>
    <x v="26"/>
    <x v="77"/>
    <x v="7"/>
    <x v="240"/>
    <x v="68"/>
    <x v="205"/>
    <x v="0"/>
    <x v="2"/>
    <x v="0"/>
  </r>
  <r>
    <x v="6"/>
    <x v="78"/>
    <x v="89"/>
    <x v="7"/>
    <x v="225"/>
    <x v="55"/>
    <x v="192"/>
    <x v="0"/>
    <x v="2"/>
    <x v="0"/>
  </r>
  <r>
    <x v="6"/>
    <x v="34"/>
    <x v="88"/>
    <x v="8"/>
    <x v="76"/>
    <x v="28"/>
    <x v="55"/>
    <x v="0"/>
    <x v="2"/>
    <x v="0"/>
  </r>
  <r>
    <x v="6"/>
    <x v="114"/>
    <x v="92"/>
    <x v="3"/>
    <x v="273"/>
    <x v="96"/>
    <x v="197"/>
    <x v="0"/>
    <x v="2"/>
    <x v="0"/>
  </r>
  <r>
    <x v="6"/>
    <x v="19"/>
    <x v="87"/>
    <x v="7"/>
    <x v="213"/>
    <x v="66"/>
    <x v="171"/>
    <x v="0"/>
    <x v="2"/>
    <x v="0"/>
  </r>
  <r>
    <x v="6"/>
    <x v="84"/>
    <x v="90"/>
    <x v="8"/>
    <x v="55"/>
    <x v="32"/>
    <x v="26"/>
    <x v="0"/>
    <x v="2"/>
    <x v="0"/>
  </r>
  <r>
    <x v="6"/>
    <x v="113"/>
    <x v="91"/>
    <x v="2"/>
    <x v="299"/>
    <x v="84"/>
    <x v="228"/>
    <x v="0"/>
    <x v="2"/>
    <x v="0"/>
  </r>
  <r>
    <x v="6"/>
    <x v="187"/>
    <x v="94"/>
    <x v="0"/>
    <x v="161"/>
    <x v="89"/>
    <x v="79"/>
    <x v="0"/>
    <x v="2"/>
    <x v="0"/>
  </r>
  <r>
    <x v="6"/>
    <x v="214"/>
    <x v="95"/>
    <x v="1"/>
    <x v="23"/>
    <x v="12"/>
    <x v="20"/>
    <x v="0"/>
    <x v="2"/>
    <x v="0"/>
  </r>
  <r>
    <x v="6"/>
    <x v="180"/>
    <x v="2"/>
    <x v="3"/>
    <x v="173"/>
    <x v="75"/>
    <x v="108"/>
    <x v="0"/>
    <x v="3"/>
    <x v="0"/>
  </r>
  <r>
    <x v="6"/>
    <x v="286"/>
    <x v="98"/>
    <x v="2"/>
    <x v="259"/>
    <x v="74"/>
    <x v="176"/>
    <x v="0"/>
    <x v="2"/>
    <x v="0"/>
  </r>
  <r>
    <x v="6"/>
    <x v="155"/>
    <x v="93"/>
    <x v="9"/>
    <x v="92"/>
    <x v="37"/>
    <x v="47"/>
    <x v="0"/>
    <x v="5"/>
    <x v="0"/>
  </r>
  <r>
    <x v="6"/>
    <x v="256"/>
    <x v="96"/>
    <x v="7"/>
    <x v="139"/>
    <x v="57"/>
    <x v="109"/>
    <x v="0"/>
    <x v="2"/>
    <x v="0"/>
  </r>
  <r>
    <x v="6"/>
    <x v="281"/>
    <x v="97"/>
    <x v="1"/>
    <x v="27"/>
    <x v="15"/>
    <x v="21"/>
    <x v="0"/>
    <x v="2"/>
    <x v="0"/>
  </r>
  <r>
    <x v="7"/>
    <x v="24"/>
    <x v="9"/>
    <x v="7"/>
    <x v="202"/>
    <x v="67"/>
    <x v="159"/>
    <x v="0"/>
    <x v="2"/>
    <x v="0"/>
  </r>
  <r>
    <x v="7"/>
    <x v="115"/>
    <x v="102"/>
    <x v="5"/>
    <x v="120"/>
    <x v="45"/>
    <x v="107"/>
    <x v="0"/>
    <x v="2"/>
    <x v="0"/>
  </r>
  <r>
    <x v="7"/>
    <x v="89"/>
    <x v="101"/>
    <x v="1"/>
    <x v="31"/>
    <x v="23"/>
    <x v="18"/>
    <x v="0"/>
    <x v="2"/>
    <x v="0"/>
  </r>
  <r>
    <x v="7"/>
    <x v="41"/>
    <x v="99"/>
    <x v="8"/>
    <x v="77"/>
    <x v="27"/>
    <x v="58"/>
    <x v="0"/>
    <x v="2"/>
    <x v="0"/>
  </r>
  <r>
    <x v="7"/>
    <x v="131"/>
    <x v="103"/>
    <x v="7"/>
    <x v="243"/>
    <x v="57"/>
    <x v="210"/>
    <x v="0"/>
    <x v="2"/>
    <x v="0"/>
  </r>
  <r>
    <x v="7"/>
    <x v="61"/>
    <x v="100"/>
    <x v="2"/>
    <x v="298"/>
    <x v="81"/>
    <x v="229"/>
    <x v="0"/>
    <x v="2"/>
    <x v="0"/>
  </r>
  <r>
    <x v="7"/>
    <x v="250"/>
    <x v="106"/>
    <x v="7"/>
    <x v="127"/>
    <x v="55"/>
    <x v="96"/>
    <x v="0"/>
    <x v="2"/>
    <x v="0"/>
  </r>
  <r>
    <x v="7"/>
    <x v="211"/>
    <x v="105"/>
    <x v="1"/>
    <x v="21"/>
    <x v="13"/>
    <x v="17"/>
    <x v="0"/>
    <x v="2"/>
    <x v="0"/>
  </r>
  <r>
    <x v="7"/>
    <x v="289"/>
    <x v="108"/>
    <x v="3"/>
    <x v="264"/>
    <x v="94"/>
    <x v="177"/>
    <x v="0"/>
    <x v="2"/>
    <x v="0"/>
  </r>
  <r>
    <x v="7"/>
    <x v="137"/>
    <x v="104"/>
    <x v="2"/>
    <x v="255"/>
    <x v="80"/>
    <x v="166"/>
    <x v="0"/>
    <x v="2"/>
    <x v="0"/>
  </r>
  <r>
    <x v="7"/>
    <x v="278"/>
    <x v="107"/>
    <x v="1"/>
    <x v="36"/>
    <x v="10"/>
    <x v="37"/>
    <x v="0"/>
    <x v="2"/>
    <x v="0"/>
  </r>
  <r>
    <x v="7"/>
    <x v="218"/>
    <x v="445"/>
    <x v="2"/>
    <x v="158"/>
    <x v="79"/>
    <x v="77"/>
    <x v="0"/>
    <x v="4"/>
    <x v="0"/>
  </r>
  <r>
    <x v="8"/>
    <x v="18"/>
    <x v="109"/>
    <x v="7"/>
    <x v="206"/>
    <x v="64"/>
    <x v="164"/>
    <x v="0"/>
    <x v="2"/>
    <x v="0"/>
  </r>
  <r>
    <x v="8"/>
    <x v="60"/>
    <x v="111"/>
    <x v="7"/>
    <x v="217"/>
    <x v="55"/>
    <x v="181"/>
    <x v="0"/>
    <x v="2"/>
    <x v="0"/>
  </r>
  <r>
    <x v="8"/>
    <x v="132"/>
    <x v="114"/>
    <x v="7"/>
    <x v="129"/>
    <x v="54"/>
    <x v="97"/>
    <x v="0"/>
    <x v="2"/>
    <x v="0"/>
  </r>
  <r>
    <x v="8"/>
    <x v="50"/>
    <x v="110"/>
    <x v="8"/>
    <x v="76"/>
    <x v="28"/>
    <x v="55"/>
    <x v="0"/>
    <x v="2"/>
    <x v="0"/>
  </r>
  <r>
    <x v="8"/>
    <x v="92"/>
    <x v="113"/>
    <x v="8"/>
    <x v="58"/>
    <x v="30"/>
    <x v="32"/>
    <x v="0"/>
    <x v="2"/>
    <x v="0"/>
  </r>
  <r>
    <x v="8"/>
    <x v="71"/>
    <x v="112"/>
    <x v="2"/>
    <x v="296"/>
    <x v="78"/>
    <x v="226"/>
    <x v="0"/>
    <x v="2"/>
    <x v="0"/>
  </r>
  <r>
    <x v="8"/>
    <x v="162"/>
    <x v="116"/>
    <x v="8"/>
    <x v="47"/>
    <x v="26"/>
    <x v="17"/>
    <x v="0"/>
    <x v="2"/>
    <x v="0"/>
  </r>
  <r>
    <x v="8"/>
    <x v="156"/>
    <x v="115"/>
    <x v="9"/>
    <x v="98"/>
    <x v="38"/>
    <x v="61"/>
    <x v="0"/>
    <x v="5"/>
    <x v="0"/>
  </r>
  <r>
    <x v="8"/>
    <x v="209"/>
    <x v="118"/>
    <x v="9"/>
    <x v="88"/>
    <x v="37"/>
    <x v="42"/>
    <x v="0"/>
    <x v="5"/>
    <x v="0"/>
  </r>
  <r>
    <x v="8"/>
    <x v="250"/>
    <x v="119"/>
    <x v="7"/>
    <x v="123"/>
    <x v="52"/>
    <x v="93"/>
    <x v="0"/>
    <x v="2"/>
    <x v="0"/>
  </r>
  <r>
    <x v="8"/>
    <x v="166"/>
    <x v="117"/>
    <x v="2"/>
    <x v="262"/>
    <x v="84"/>
    <x v="177"/>
    <x v="0"/>
    <x v="2"/>
    <x v="0"/>
  </r>
  <r>
    <x v="8"/>
    <x v="280"/>
    <x v="121"/>
    <x v="1"/>
    <x v="17"/>
    <x v="11"/>
    <x v="15"/>
    <x v="0"/>
    <x v="2"/>
    <x v="0"/>
  </r>
  <r>
    <x v="8"/>
    <x v="266"/>
    <x v="120"/>
    <x v="3"/>
    <x v="246"/>
    <x v="93"/>
    <x v="148"/>
    <x v="0"/>
    <x v="2"/>
    <x v="0"/>
  </r>
  <r>
    <x v="9"/>
    <x v="73"/>
    <x v="124"/>
    <x v="2"/>
    <x v="291"/>
    <x v="91"/>
    <x v="218"/>
    <x v="0"/>
    <x v="2"/>
    <x v="0"/>
  </r>
  <r>
    <x v="9"/>
    <x v="77"/>
    <x v="125"/>
    <x v="7"/>
    <x v="233"/>
    <x v="59"/>
    <x v="199"/>
    <x v="0"/>
    <x v="2"/>
    <x v="0"/>
  </r>
  <r>
    <x v="9"/>
    <x v="204"/>
    <x v="131"/>
    <x v="6"/>
    <x v="40"/>
    <x v="20"/>
    <x v="31"/>
    <x v="0"/>
    <x v="2"/>
    <x v="0"/>
  </r>
  <r>
    <x v="9"/>
    <x v="105"/>
    <x v="126"/>
    <x v="8"/>
    <x v="63"/>
    <x v="26"/>
    <x v="43"/>
    <x v="0"/>
    <x v="2"/>
    <x v="0"/>
  </r>
  <r>
    <x v="9"/>
    <x v="54"/>
    <x v="123"/>
    <x v="8"/>
    <x v="73"/>
    <x v="27"/>
    <x v="53"/>
    <x v="0"/>
    <x v="2"/>
    <x v="0"/>
  </r>
  <r>
    <x v="9"/>
    <x v="113"/>
    <x v="127"/>
    <x v="7"/>
    <x v="135"/>
    <x v="60"/>
    <x v="100"/>
    <x v="0"/>
    <x v="2"/>
    <x v="0"/>
  </r>
  <r>
    <x v="9"/>
    <x v="29"/>
    <x v="122"/>
    <x v="7"/>
    <x v="220"/>
    <x v="59"/>
    <x v="184"/>
    <x v="0"/>
    <x v="2"/>
    <x v="0"/>
  </r>
  <r>
    <x v="9"/>
    <x v="182"/>
    <x v="130"/>
    <x v="4"/>
    <x v="0"/>
    <x v="0"/>
    <x v="3"/>
    <x v="0"/>
    <x v="2"/>
    <x v="0"/>
  </r>
  <r>
    <x v="9"/>
    <x v="202"/>
    <x v="446"/>
    <x v="3"/>
    <x v="154"/>
    <x v="94"/>
    <x v="70"/>
    <x v="0"/>
    <x v="4"/>
    <x v="0"/>
  </r>
  <r>
    <x v="9"/>
    <x v="297"/>
    <x v="135"/>
    <x v="3"/>
    <x v="265"/>
    <x v="96"/>
    <x v="177"/>
    <x v="0"/>
    <x v="2"/>
    <x v="0"/>
  </r>
  <r>
    <x v="9"/>
    <x v="174"/>
    <x v="129"/>
    <x v="1"/>
    <x v="34"/>
    <x v="13"/>
    <x v="31"/>
    <x v="0"/>
    <x v="1"/>
    <x v="0"/>
  </r>
  <r>
    <x v="9"/>
    <x v="257"/>
    <x v="133"/>
    <x v="7"/>
    <x v="142"/>
    <x v="58"/>
    <x v="117"/>
    <x v="0"/>
    <x v="2"/>
    <x v="0"/>
  </r>
  <r>
    <x v="9"/>
    <x v="282"/>
    <x v="134"/>
    <x v="1"/>
    <x v="27"/>
    <x v="16"/>
    <x v="20"/>
    <x v="0"/>
    <x v="2"/>
    <x v="0"/>
  </r>
  <r>
    <x v="9"/>
    <x v="234"/>
    <x v="132"/>
    <x v="1"/>
    <x v="38"/>
    <x v="13"/>
    <x v="35"/>
    <x v="0"/>
    <x v="1"/>
    <x v="0"/>
  </r>
  <r>
    <x v="9"/>
    <x v="164"/>
    <x v="128"/>
    <x v="2"/>
    <x v="264"/>
    <x v="83"/>
    <x v="183"/>
    <x v="0"/>
    <x v="2"/>
    <x v="0"/>
  </r>
  <r>
    <x v="10"/>
    <x v="93"/>
    <x v="140"/>
    <x v="1"/>
    <x v="19"/>
    <x v="9"/>
    <x v="20"/>
    <x v="0"/>
    <x v="2"/>
    <x v="0"/>
  </r>
  <r>
    <x v="10"/>
    <x v="4"/>
    <x v="136"/>
    <x v="5"/>
    <x v="107"/>
    <x v="43"/>
    <x v="73"/>
    <x v="0"/>
    <x v="2"/>
    <x v="0"/>
  </r>
  <r>
    <x v="10"/>
    <x v="113"/>
    <x v="143"/>
    <x v="2"/>
    <x v="310"/>
    <x v="91"/>
    <x v="238"/>
    <x v="0"/>
    <x v="2"/>
    <x v="0"/>
  </r>
  <r>
    <x v="10"/>
    <x v="25"/>
    <x v="137"/>
    <x v="7"/>
    <x v="225"/>
    <x v="56"/>
    <x v="191"/>
    <x v="0"/>
    <x v="2"/>
    <x v="0"/>
  </r>
  <r>
    <x v="10"/>
    <x v="81"/>
    <x v="139"/>
    <x v="7"/>
    <x v="224"/>
    <x v="54"/>
    <x v="191"/>
    <x v="0"/>
    <x v="2"/>
    <x v="0"/>
  </r>
  <r>
    <x v="10"/>
    <x v="99"/>
    <x v="141"/>
    <x v="8"/>
    <x v="56"/>
    <x v="28"/>
    <x v="32"/>
    <x v="0"/>
    <x v="2"/>
    <x v="0"/>
  </r>
  <r>
    <x v="10"/>
    <x v="48"/>
    <x v="138"/>
    <x v="8"/>
    <x v="77"/>
    <x v="28"/>
    <x v="57"/>
    <x v="0"/>
    <x v="2"/>
    <x v="0"/>
  </r>
  <r>
    <x v="10"/>
    <x v="103"/>
    <x v="142"/>
    <x v="3"/>
    <x v="280"/>
    <x v="95"/>
    <x v="206"/>
    <x v="0"/>
    <x v="2"/>
    <x v="0"/>
  </r>
  <r>
    <x v="10"/>
    <x v="233"/>
    <x v="146"/>
    <x v="1"/>
    <x v="37"/>
    <x v="13"/>
    <x v="34"/>
    <x v="0"/>
    <x v="1"/>
    <x v="0"/>
  </r>
  <r>
    <x v="10"/>
    <x v="217"/>
    <x v="145"/>
    <x v="0"/>
    <x v="164"/>
    <x v="91"/>
    <x v="82"/>
    <x v="0"/>
    <x v="2"/>
    <x v="0"/>
  </r>
  <r>
    <x v="10"/>
    <x v="177"/>
    <x v="144"/>
    <x v="6"/>
    <x v="33"/>
    <x v="19"/>
    <x v="24"/>
    <x v="0"/>
    <x v="2"/>
    <x v="0"/>
  </r>
  <r>
    <x v="10"/>
    <x v="175"/>
    <x v="3"/>
    <x v="2"/>
    <x v="181"/>
    <x v="73"/>
    <x v="119"/>
    <x v="0"/>
    <x v="3"/>
    <x v="0"/>
  </r>
  <r>
    <x v="10"/>
    <x v="292"/>
    <x v="150"/>
    <x v="2"/>
    <x v="299"/>
    <x v="85"/>
    <x v="227"/>
    <x v="0"/>
    <x v="2"/>
    <x v="0"/>
  </r>
  <r>
    <x v="10"/>
    <x v="252"/>
    <x v="147"/>
    <x v="7"/>
    <x v="167"/>
    <x v="62"/>
    <x v="131"/>
    <x v="0"/>
    <x v="2"/>
    <x v="0"/>
  </r>
  <r>
    <x v="10"/>
    <x v="261"/>
    <x v="148"/>
    <x v="1"/>
    <x v="18"/>
    <x v="11"/>
    <x v="16"/>
    <x v="0"/>
    <x v="2"/>
    <x v="0"/>
  </r>
  <r>
    <x v="10"/>
    <x v="284"/>
    <x v="149"/>
    <x v="1"/>
    <x v="11"/>
    <x v="15"/>
    <x v="3"/>
    <x v="0"/>
    <x v="2"/>
    <x v="0"/>
  </r>
  <r>
    <x v="11"/>
    <x v="215"/>
    <x v="162"/>
    <x v="9"/>
    <x v="80"/>
    <x v="40"/>
    <x v="14"/>
    <x v="0"/>
    <x v="5"/>
    <x v="0"/>
  </r>
  <r>
    <x v="11"/>
    <x v="294"/>
    <x v="166"/>
    <x v="2"/>
    <x v="304"/>
    <x v="78"/>
    <x v="236"/>
    <x v="0"/>
    <x v="2"/>
    <x v="0"/>
  </r>
  <r>
    <x v="11"/>
    <x v="262"/>
    <x v="164"/>
    <x v="1"/>
    <x v="22"/>
    <x v="10"/>
    <x v="22"/>
    <x v="0"/>
    <x v="2"/>
    <x v="0"/>
  </r>
  <r>
    <x v="11"/>
    <x v="281"/>
    <x v="165"/>
    <x v="1"/>
    <x v="14"/>
    <x v="14"/>
    <x v="9"/>
    <x v="0"/>
    <x v="2"/>
    <x v="0"/>
  </r>
  <r>
    <x v="11"/>
    <x v="203"/>
    <x v="160"/>
    <x v="6"/>
    <x v="34"/>
    <x v="22"/>
    <x v="22"/>
    <x v="0"/>
    <x v="2"/>
    <x v="0"/>
  </r>
  <r>
    <x v="11"/>
    <x v="252"/>
    <x v="163"/>
    <x v="7"/>
    <x v="144"/>
    <x v="61"/>
    <x v="118"/>
    <x v="0"/>
    <x v="2"/>
    <x v="0"/>
  </r>
  <r>
    <x v="11"/>
    <x v="203"/>
    <x v="161"/>
    <x v="1"/>
    <x v="22"/>
    <x v="15"/>
    <x v="16"/>
    <x v="0"/>
    <x v="2"/>
    <x v="0"/>
  </r>
  <r>
    <x v="11"/>
    <x v="111"/>
    <x v="156"/>
    <x v="3"/>
    <x v="251"/>
    <x v="96"/>
    <x v="150"/>
    <x v="0"/>
    <x v="2"/>
    <x v="0"/>
  </r>
  <r>
    <x v="11"/>
    <x v="95"/>
    <x v="154"/>
    <x v="6"/>
    <x v="45"/>
    <x v="19"/>
    <x v="47"/>
    <x v="0"/>
    <x v="2"/>
    <x v="0"/>
  </r>
  <r>
    <x v="11"/>
    <x v="104"/>
    <x v="155"/>
    <x v="2"/>
    <x v="302"/>
    <x v="87"/>
    <x v="231"/>
    <x v="0"/>
    <x v="2"/>
    <x v="0"/>
  </r>
  <r>
    <x v="11"/>
    <x v="139"/>
    <x v="158"/>
    <x v="9"/>
    <x v="84"/>
    <x v="40"/>
    <x v="25"/>
    <x v="0"/>
    <x v="5"/>
    <x v="0"/>
  </r>
  <r>
    <x v="11"/>
    <x v="192"/>
    <x v="159"/>
    <x v="3"/>
    <x v="157"/>
    <x v="93"/>
    <x v="72"/>
    <x v="0"/>
    <x v="2"/>
    <x v="0"/>
  </r>
  <r>
    <x v="11"/>
    <x v="66"/>
    <x v="152"/>
    <x v="7"/>
    <x v="219"/>
    <x v="57"/>
    <x v="182"/>
    <x v="0"/>
    <x v="2"/>
    <x v="0"/>
  </r>
  <r>
    <x v="11"/>
    <x v="119"/>
    <x v="157"/>
    <x v="7"/>
    <x v="163"/>
    <x v="57"/>
    <x v="130"/>
    <x v="0"/>
    <x v="2"/>
    <x v="0"/>
  </r>
  <r>
    <x v="11"/>
    <x v="21"/>
    <x v="151"/>
    <x v="7"/>
    <x v="211"/>
    <x v="58"/>
    <x v="174"/>
    <x v="0"/>
    <x v="2"/>
    <x v="0"/>
  </r>
  <r>
    <x v="11"/>
    <x v="94"/>
    <x v="153"/>
    <x v="1"/>
    <x v="36"/>
    <x v="10"/>
    <x v="37"/>
    <x v="0"/>
    <x v="2"/>
    <x v="0"/>
  </r>
  <r>
    <x v="12"/>
    <x v="173"/>
    <x v="174"/>
    <x v="4"/>
    <x v="4"/>
    <x v="6"/>
    <x v="5"/>
    <x v="0"/>
    <x v="2"/>
    <x v="0"/>
  </r>
  <r>
    <x v="12"/>
    <x v="219"/>
    <x v="176"/>
    <x v="1"/>
    <x v="16"/>
    <x v="12"/>
    <x v="13"/>
    <x v="0"/>
    <x v="2"/>
    <x v="0"/>
  </r>
  <r>
    <x v="12"/>
    <x v="245"/>
    <x v="177"/>
    <x v="7"/>
    <x v="136"/>
    <x v="58"/>
    <x v="102"/>
    <x v="0"/>
    <x v="2"/>
    <x v="0"/>
  </r>
  <r>
    <x v="12"/>
    <x v="185"/>
    <x v="175"/>
    <x v="6"/>
    <x v="34"/>
    <x v="22"/>
    <x v="22"/>
    <x v="0"/>
    <x v="2"/>
    <x v="0"/>
  </r>
  <r>
    <x v="12"/>
    <x v="299"/>
    <x v="180"/>
    <x v="5"/>
    <x v="103"/>
    <x v="42"/>
    <x v="58"/>
    <x v="0"/>
    <x v="2"/>
    <x v="0"/>
  </r>
  <r>
    <x v="12"/>
    <x v="90"/>
    <x v="170"/>
    <x v="8"/>
    <x v="59"/>
    <x v="27"/>
    <x v="37"/>
    <x v="0"/>
    <x v="2"/>
    <x v="0"/>
  </r>
  <r>
    <x v="12"/>
    <x v="48"/>
    <x v="168"/>
    <x v="8"/>
    <x v="76"/>
    <x v="28"/>
    <x v="55"/>
    <x v="0"/>
    <x v="2"/>
    <x v="0"/>
  </r>
  <r>
    <x v="12"/>
    <x v="124"/>
    <x v="173"/>
    <x v="3"/>
    <x v="301"/>
    <x v="96"/>
    <x v="230"/>
    <x v="0"/>
    <x v="2"/>
    <x v="0"/>
  </r>
  <r>
    <x v="12"/>
    <x v="56"/>
    <x v="169"/>
    <x v="2"/>
    <x v="308"/>
    <x v="91"/>
    <x v="237"/>
    <x v="0"/>
    <x v="2"/>
    <x v="0"/>
  </r>
  <r>
    <x v="12"/>
    <x v="94"/>
    <x v="171"/>
    <x v="1"/>
    <x v="17"/>
    <x v="12"/>
    <x v="14"/>
    <x v="0"/>
    <x v="2"/>
    <x v="0"/>
  </r>
  <r>
    <x v="12"/>
    <x v="285"/>
    <x v="178"/>
    <x v="1"/>
    <x v="27"/>
    <x v="12"/>
    <x v="24"/>
    <x v="0"/>
    <x v="2"/>
    <x v="0"/>
  </r>
  <r>
    <x v="12"/>
    <x v="296"/>
    <x v="179"/>
    <x v="3"/>
    <x v="281"/>
    <x v="98"/>
    <x v="207"/>
    <x v="0"/>
    <x v="2"/>
    <x v="0"/>
  </r>
  <r>
    <x v="12"/>
    <x v="108"/>
    <x v="172"/>
    <x v="7"/>
    <x v="109"/>
    <x v="51"/>
    <x v="71"/>
    <x v="0"/>
    <x v="2"/>
    <x v="0"/>
  </r>
  <r>
    <x v="12"/>
    <x v="16"/>
    <x v="167"/>
    <x v="7"/>
    <x v="209"/>
    <x v="55"/>
    <x v="172"/>
    <x v="0"/>
    <x v="2"/>
    <x v="0"/>
  </r>
  <r>
    <x v="12"/>
    <x v="66"/>
    <x v="285"/>
    <x v="7"/>
    <x v="237"/>
    <x v="55"/>
    <x v="204"/>
    <x v="0"/>
    <x v="2"/>
    <x v="0"/>
  </r>
  <r>
    <x v="13"/>
    <x v="39"/>
    <x v="182"/>
    <x v="8"/>
    <x v="75"/>
    <x v="27"/>
    <x v="55"/>
    <x v="0"/>
    <x v="2"/>
    <x v="0"/>
  </r>
  <r>
    <x v="13"/>
    <x v="91"/>
    <x v="185"/>
    <x v="1"/>
    <x v="18"/>
    <x v="13"/>
    <x v="14"/>
    <x v="0"/>
    <x v="2"/>
    <x v="0"/>
  </r>
  <r>
    <x v="13"/>
    <x v="113"/>
    <x v="187"/>
    <x v="3"/>
    <x v="306"/>
    <x v="101"/>
    <x v="232"/>
    <x v="0"/>
    <x v="2"/>
    <x v="0"/>
  </r>
  <r>
    <x v="13"/>
    <x v="92"/>
    <x v="186"/>
    <x v="8"/>
    <x v="48"/>
    <x v="27"/>
    <x v="17"/>
    <x v="0"/>
    <x v="2"/>
    <x v="0"/>
  </r>
  <r>
    <x v="13"/>
    <x v="72"/>
    <x v="183"/>
    <x v="2"/>
    <x v="300"/>
    <x v="88"/>
    <x v="228"/>
    <x v="0"/>
    <x v="2"/>
    <x v="0"/>
  </r>
  <r>
    <x v="13"/>
    <x v="16"/>
    <x v="181"/>
    <x v="7"/>
    <x v="207"/>
    <x v="57"/>
    <x v="169"/>
    <x v="0"/>
    <x v="2"/>
    <x v="0"/>
  </r>
  <r>
    <x v="13"/>
    <x v="78"/>
    <x v="184"/>
    <x v="7"/>
    <x v="233"/>
    <x v="55"/>
    <x v="201"/>
    <x v="0"/>
    <x v="2"/>
    <x v="0"/>
  </r>
  <r>
    <x v="13"/>
    <x v="293"/>
    <x v="194"/>
    <x v="3"/>
    <x v="276"/>
    <x v="99"/>
    <x v="198"/>
    <x v="0"/>
    <x v="2"/>
    <x v="0"/>
  </r>
  <r>
    <x v="13"/>
    <x v="255"/>
    <x v="191"/>
    <x v="7"/>
    <x v="100"/>
    <x v="25"/>
    <x v="123"/>
    <x v="0"/>
    <x v="2"/>
    <x v="0"/>
  </r>
  <r>
    <x v="13"/>
    <x v="258"/>
    <x v="192"/>
    <x v="4"/>
    <x v="8"/>
    <x v="1"/>
    <x v="19"/>
    <x v="0"/>
    <x v="2"/>
    <x v="0"/>
  </r>
  <r>
    <x v="13"/>
    <x v="286"/>
    <x v="193"/>
    <x v="4"/>
    <x v="1"/>
    <x v="4"/>
    <x v="3"/>
    <x v="0"/>
    <x v="2"/>
    <x v="0"/>
  </r>
  <r>
    <x v="13"/>
    <x v="160"/>
    <x v="188"/>
    <x v="9"/>
    <x v="94"/>
    <x v="39"/>
    <x v="48"/>
    <x v="0"/>
    <x v="5"/>
    <x v="0"/>
  </r>
  <r>
    <x v="13"/>
    <x v="220"/>
    <x v="190"/>
    <x v="9"/>
    <x v="82"/>
    <x v="38"/>
    <x v="24"/>
    <x v="0"/>
    <x v="5"/>
    <x v="0"/>
  </r>
  <r>
    <x v="13"/>
    <x v="196"/>
    <x v="189"/>
    <x v="6"/>
    <x v="29"/>
    <x v="21"/>
    <x v="18"/>
    <x v="0"/>
    <x v="2"/>
    <x v="0"/>
  </r>
  <r>
    <x v="13"/>
    <x v="167"/>
    <x v="4"/>
    <x v="3"/>
    <x v="175"/>
    <x v="75"/>
    <x v="111"/>
    <x v="0"/>
    <x v="3"/>
    <x v="0"/>
  </r>
  <r>
    <x v="14"/>
    <x v="45"/>
    <x v="197"/>
    <x v="7"/>
    <x v="187"/>
    <x v="65"/>
    <x v="142"/>
    <x v="0"/>
    <x v="2"/>
    <x v="0"/>
  </r>
  <r>
    <x v="14"/>
    <x v="12"/>
    <x v="195"/>
    <x v="7"/>
    <x v="197"/>
    <x v="66"/>
    <x v="151"/>
    <x v="0"/>
    <x v="2"/>
    <x v="0"/>
  </r>
  <r>
    <x v="14"/>
    <x v="120"/>
    <x v="201"/>
    <x v="7"/>
    <x v="183"/>
    <x v="54"/>
    <x v="136"/>
    <x v="0"/>
    <x v="2"/>
    <x v="0"/>
  </r>
  <r>
    <x v="14"/>
    <x v="287"/>
    <x v="208"/>
    <x v="3"/>
    <x v="288"/>
    <x v="98"/>
    <x v="209"/>
    <x v="0"/>
    <x v="2"/>
    <x v="0"/>
  </r>
  <r>
    <x v="14"/>
    <x v="174"/>
    <x v="204"/>
    <x v="3"/>
    <x v="160"/>
    <x v="93"/>
    <x v="77"/>
    <x v="0"/>
    <x v="2"/>
    <x v="0"/>
  </r>
  <r>
    <x v="14"/>
    <x v="163"/>
    <x v="203"/>
    <x v="0"/>
    <x v="169"/>
    <x v="94"/>
    <x v="88"/>
    <x v="0"/>
    <x v="2"/>
    <x v="0"/>
  </r>
  <r>
    <x v="14"/>
    <x v="184"/>
    <x v="206"/>
    <x v="6"/>
    <x v="35"/>
    <x v="20"/>
    <x v="25"/>
    <x v="0"/>
    <x v="2"/>
    <x v="0"/>
  </r>
  <r>
    <x v="14"/>
    <x v="181"/>
    <x v="205"/>
    <x v="4"/>
    <x v="4"/>
    <x v="4"/>
    <x v="7"/>
    <x v="0"/>
    <x v="2"/>
    <x v="0"/>
  </r>
  <r>
    <x v="14"/>
    <x v="125"/>
    <x v="202"/>
    <x v="3"/>
    <x v="268"/>
    <x v="97"/>
    <x v="189"/>
    <x v="0"/>
    <x v="2"/>
    <x v="0"/>
  </r>
  <r>
    <x v="14"/>
    <x v="82"/>
    <x v="199"/>
    <x v="6"/>
    <x v="28"/>
    <x v="17"/>
    <x v="21"/>
    <x v="0"/>
    <x v="2"/>
    <x v="0"/>
  </r>
  <r>
    <x v="14"/>
    <x v="251"/>
    <x v="207"/>
    <x v="7"/>
    <x v="117"/>
    <x v="57"/>
    <x v="83"/>
    <x v="0"/>
    <x v="2"/>
    <x v="0"/>
  </r>
  <r>
    <x v="14"/>
    <x v="290"/>
    <x v="209"/>
    <x v="1"/>
    <x v="21"/>
    <x v="9"/>
    <x v="22"/>
    <x v="0"/>
    <x v="2"/>
    <x v="0"/>
  </r>
  <r>
    <x v="14"/>
    <x v="70"/>
    <x v="198"/>
    <x v="2"/>
    <x v="306"/>
    <x v="87"/>
    <x v="235"/>
    <x v="0"/>
    <x v="2"/>
    <x v="0"/>
  </r>
  <r>
    <x v="14"/>
    <x v="86"/>
    <x v="200"/>
    <x v="8"/>
    <x v="64"/>
    <x v="34"/>
    <x v="34"/>
    <x v="0"/>
    <x v="2"/>
    <x v="0"/>
  </r>
  <r>
    <x v="14"/>
    <x v="39"/>
    <x v="196"/>
    <x v="8"/>
    <x v="72"/>
    <x v="28"/>
    <x v="51"/>
    <x v="0"/>
    <x v="2"/>
    <x v="0"/>
  </r>
  <r>
    <x v="15"/>
    <x v="96"/>
    <x v="213"/>
    <x v="6"/>
    <x v="46"/>
    <x v="20"/>
    <x v="49"/>
    <x v="0"/>
    <x v="2"/>
    <x v="0"/>
  </r>
  <r>
    <x v="15"/>
    <x v="68"/>
    <x v="212"/>
    <x v="2"/>
    <x v="295"/>
    <x v="79"/>
    <x v="224"/>
    <x v="0"/>
    <x v="2"/>
    <x v="0"/>
  </r>
  <r>
    <x v="15"/>
    <x v="10"/>
    <x v="210"/>
    <x v="7"/>
    <x v="231"/>
    <x v="70"/>
    <x v="189"/>
    <x v="0"/>
    <x v="2"/>
    <x v="0"/>
  </r>
  <r>
    <x v="15"/>
    <x v="43"/>
    <x v="211"/>
    <x v="7"/>
    <x v="193"/>
    <x v="69"/>
    <x v="147"/>
    <x v="0"/>
    <x v="2"/>
    <x v="0"/>
  </r>
  <r>
    <x v="15"/>
    <x v="117"/>
    <x v="215"/>
    <x v="7"/>
    <x v="177"/>
    <x v="59"/>
    <x v="132"/>
    <x v="0"/>
    <x v="2"/>
    <x v="0"/>
  </r>
  <r>
    <x v="15"/>
    <x v="94"/>
    <x v="214"/>
    <x v="1"/>
    <x v="22"/>
    <x v="9"/>
    <x v="23"/>
    <x v="0"/>
    <x v="2"/>
    <x v="0"/>
  </r>
  <r>
    <x v="15"/>
    <x v="283"/>
    <x v="224"/>
    <x v="4"/>
    <x v="1"/>
    <x v="2"/>
    <x v="6"/>
    <x v="0"/>
    <x v="2"/>
    <x v="0"/>
  </r>
  <r>
    <x v="15"/>
    <x v="206"/>
    <x v="219"/>
    <x v="2"/>
    <x v="250"/>
    <x v="76"/>
    <x v="160"/>
    <x v="0"/>
    <x v="2"/>
    <x v="0"/>
  </r>
  <r>
    <x v="15"/>
    <x v="157"/>
    <x v="216"/>
    <x v="9"/>
    <x v="91"/>
    <x v="38"/>
    <x v="44"/>
    <x v="0"/>
    <x v="5"/>
    <x v="0"/>
  </r>
  <r>
    <x v="15"/>
    <x v="206"/>
    <x v="218"/>
    <x v="9"/>
    <x v="86"/>
    <x v="37"/>
    <x v="36"/>
    <x v="0"/>
    <x v="5"/>
    <x v="0"/>
  </r>
  <r>
    <x v="15"/>
    <x v="192"/>
    <x v="217"/>
    <x v="4"/>
    <x v="7"/>
    <x v="6"/>
    <x v="11"/>
    <x v="0"/>
    <x v="2"/>
    <x v="0"/>
  </r>
  <r>
    <x v="15"/>
    <x v="228"/>
    <x v="220"/>
    <x v="6"/>
    <x v="28"/>
    <x v="22"/>
    <x v="16"/>
    <x v="0"/>
    <x v="2"/>
    <x v="0"/>
  </r>
  <r>
    <x v="15"/>
    <x v="262"/>
    <x v="222"/>
    <x v="4"/>
    <x v="8"/>
    <x v="2"/>
    <x v="18"/>
    <x v="0"/>
    <x v="2"/>
    <x v="0"/>
  </r>
  <r>
    <x v="15"/>
    <x v="274"/>
    <x v="223"/>
    <x v="3"/>
    <x v="272"/>
    <x v="98"/>
    <x v="194"/>
    <x v="0"/>
    <x v="2"/>
    <x v="0"/>
  </r>
  <r>
    <x v="15"/>
    <x v="245"/>
    <x v="221"/>
    <x v="7"/>
    <x v="132"/>
    <x v="54"/>
    <x v="101"/>
    <x v="0"/>
    <x v="2"/>
    <x v="0"/>
  </r>
  <r>
    <x v="16"/>
    <x v="169"/>
    <x v="447"/>
    <x v="3"/>
    <x v="147"/>
    <x v="95"/>
    <x v="59"/>
    <x v="0"/>
    <x v="4"/>
    <x v="0"/>
  </r>
  <r>
    <x v="16"/>
    <x v="44"/>
    <x v="226"/>
    <x v="7"/>
    <x v="188"/>
    <x v="54"/>
    <x v="145"/>
    <x v="0"/>
    <x v="2"/>
    <x v="0"/>
  </r>
  <r>
    <x v="16"/>
    <x v="8"/>
    <x v="225"/>
    <x v="7"/>
    <x v="198"/>
    <x v="63"/>
    <x v="154"/>
    <x v="0"/>
    <x v="2"/>
    <x v="0"/>
  </r>
  <r>
    <x v="16"/>
    <x v="51"/>
    <x v="227"/>
    <x v="8"/>
    <x v="76"/>
    <x v="27"/>
    <x v="56"/>
    <x v="0"/>
    <x v="2"/>
    <x v="0"/>
  </r>
  <r>
    <x v="16"/>
    <x v="100"/>
    <x v="229"/>
    <x v="8"/>
    <x v="65"/>
    <x v="33"/>
    <x v="36"/>
    <x v="0"/>
    <x v="2"/>
    <x v="0"/>
  </r>
  <r>
    <x v="16"/>
    <x v="62"/>
    <x v="228"/>
    <x v="2"/>
    <x v="294"/>
    <x v="75"/>
    <x v="225"/>
    <x v="0"/>
    <x v="2"/>
    <x v="0"/>
  </r>
  <r>
    <x v="16"/>
    <x v="152"/>
    <x v="231"/>
    <x v="3"/>
    <x v="261"/>
    <x v="96"/>
    <x v="170"/>
    <x v="0"/>
    <x v="2"/>
    <x v="0"/>
  </r>
  <r>
    <x v="16"/>
    <x v="207"/>
    <x v="232"/>
    <x v="6"/>
    <x v="40"/>
    <x v="22"/>
    <x v="29"/>
    <x v="0"/>
    <x v="2"/>
    <x v="0"/>
  </r>
  <r>
    <x v="16"/>
    <x v="118"/>
    <x v="230"/>
    <x v="7"/>
    <x v="151"/>
    <x v="54"/>
    <x v="128"/>
    <x v="0"/>
    <x v="2"/>
    <x v="0"/>
  </r>
  <r>
    <x v="16"/>
    <x v="289"/>
    <x v="235"/>
    <x v="3"/>
    <x v="267"/>
    <x v="97"/>
    <x v="185"/>
    <x v="0"/>
    <x v="2"/>
    <x v="0"/>
  </r>
  <r>
    <x v="16"/>
    <x v="284"/>
    <x v="234"/>
    <x v="1"/>
    <x v="30"/>
    <x v="13"/>
    <x v="27"/>
    <x v="0"/>
    <x v="2"/>
    <x v="0"/>
  </r>
  <r>
    <x v="16"/>
    <x v="244"/>
    <x v="233"/>
    <x v="7"/>
    <x v="138"/>
    <x v="56"/>
    <x v="107"/>
    <x v="0"/>
    <x v="2"/>
    <x v="0"/>
  </r>
  <r>
    <x v="17"/>
    <x v="42"/>
    <x v="238"/>
    <x v="8"/>
    <x v="74"/>
    <x v="27"/>
    <x v="54"/>
    <x v="0"/>
    <x v="2"/>
    <x v="0"/>
  </r>
  <r>
    <x v="17"/>
    <x v="87"/>
    <x v="240"/>
    <x v="8"/>
    <x v="68"/>
    <x v="33"/>
    <x v="40"/>
    <x v="0"/>
    <x v="2"/>
    <x v="0"/>
  </r>
  <r>
    <x v="17"/>
    <x v="101"/>
    <x v="241"/>
    <x v="1"/>
    <x v="15"/>
    <x v="12"/>
    <x v="12"/>
    <x v="0"/>
    <x v="2"/>
    <x v="0"/>
  </r>
  <r>
    <x v="17"/>
    <x v="110"/>
    <x v="243"/>
    <x v="5"/>
    <x v="112"/>
    <x v="46"/>
    <x v="90"/>
    <x v="0"/>
    <x v="2"/>
    <x v="0"/>
  </r>
  <r>
    <x v="17"/>
    <x v="68"/>
    <x v="239"/>
    <x v="3"/>
    <x v="275"/>
    <x v="96"/>
    <x v="198"/>
    <x v="0"/>
    <x v="2"/>
    <x v="0"/>
  </r>
  <r>
    <x v="17"/>
    <x v="106"/>
    <x v="242"/>
    <x v="7"/>
    <x v="160"/>
    <x v="57"/>
    <x v="129"/>
    <x v="0"/>
    <x v="2"/>
    <x v="0"/>
  </r>
  <r>
    <x v="17"/>
    <x v="6"/>
    <x v="236"/>
    <x v="7"/>
    <x v="227"/>
    <x v="67"/>
    <x v="185"/>
    <x v="0"/>
    <x v="2"/>
    <x v="0"/>
  </r>
  <r>
    <x v="17"/>
    <x v="36"/>
    <x v="237"/>
    <x v="7"/>
    <x v="196"/>
    <x v="57"/>
    <x v="157"/>
    <x v="0"/>
    <x v="2"/>
    <x v="0"/>
  </r>
  <r>
    <x v="17"/>
    <x v="279"/>
    <x v="249"/>
    <x v="1"/>
    <x v="27"/>
    <x v="12"/>
    <x v="24"/>
    <x v="0"/>
    <x v="2"/>
    <x v="0"/>
  </r>
  <r>
    <x v="17"/>
    <x v="295"/>
    <x v="250"/>
    <x v="2"/>
    <x v="185"/>
    <x v="78"/>
    <x v="125"/>
    <x v="0"/>
    <x v="2"/>
    <x v="0"/>
  </r>
  <r>
    <x v="17"/>
    <x v="250"/>
    <x v="248"/>
    <x v="7"/>
    <x v="140"/>
    <x v="53"/>
    <x v="113"/>
    <x v="0"/>
    <x v="2"/>
    <x v="0"/>
  </r>
  <r>
    <x v="18"/>
    <x v="300"/>
    <x v="251"/>
    <x v="3"/>
    <x v="180"/>
    <x v="95"/>
    <x v="107"/>
    <x v="0"/>
    <x v="2"/>
    <x v="0"/>
  </r>
  <r>
    <x v="17"/>
    <x v="194"/>
    <x v="246"/>
    <x v="4"/>
    <x v="6"/>
    <x v="5"/>
    <x v="10"/>
    <x v="0"/>
    <x v="2"/>
    <x v="0"/>
  </r>
  <r>
    <x v="17"/>
    <x v="192"/>
    <x v="245"/>
    <x v="6"/>
    <x v="39"/>
    <x v="21"/>
    <x v="28"/>
    <x v="0"/>
    <x v="2"/>
    <x v="0"/>
  </r>
  <r>
    <x v="17"/>
    <x v="230"/>
    <x v="247"/>
    <x v="1"/>
    <x v="13"/>
    <x v="17"/>
    <x v="5"/>
    <x v="0"/>
    <x v="1"/>
    <x v="0"/>
  </r>
  <r>
    <x v="18"/>
    <x v="103"/>
    <x v="257"/>
    <x v="1"/>
    <x v="21"/>
    <x v="14"/>
    <x v="16"/>
    <x v="0"/>
    <x v="2"/>
    <x v="0"/>
  </r>
  <r>
    <x v="18"/>
    <x v="69"/>
    <x v="254"/>
    <x v="2"/>
    <x v="312"/>
    <x v="82"/>
    <x v="242"/>
    <x v="0"/>
    <x v="2"/>
    <x v="0"/>
  </r>
  <r>
    <x v="18"/>
    <x v="22"/>
    <x v="252"/>
    <x v="7"/>
    <x v="230"/>
    <x v="64"/>
    <x v="190"/>
    <x v="0"/>
    <x v="2"/>
    <x v="0"/>
  </r>
  <r>
    <x v="18"/>
    <x v="134"/>
    <x v="260"/>
    <x v="0"/>
    <x v="165"/>
    <x v="94"/>
    <x v="81"/>
    <x v="0"/>
    <x v="2"/>
    <x v="0"/>
  </r>
  <r>
    <x v="18"/>
    <x v="120"/>
    <x v="259"/>
    <x v="2"/>
    <x v="176"/>
    <x v="81"/>
    <x v="110"/>
    <x v="0"/>
    <x v="2"/>
    <x v="0"/>
  </r>
  <r>
    <x v="18"/>
    <x v="272"/>
    <x v="267"/>
    <x v="1"/>
    <x v="23"/>
    <x v="10"/>
    <x v="23"/>
    <x v="0"/>
    <x v="2"/>
    <x v="0"/>
  </r>
  <r>
    <x v="18"/>
    <x v="178"/>
    <x v="261"/>
    <x v="6"/>
    <x v="28"/>
    <x v="21"/>
    <x v="17"/>
    <x v="0"/>
    <x v="2"/>
    <x v="0"/>
  </r>
  <r>
    <x v="18"/>
    <x v="271"/>
    <x v="266"/>
    <x v="2"/>
    <x v="282"/>
    <x v="84"/>
    <x v="210"/>
    <x v="0"/>
    <x v="2"/>
    <x v="0"/>
  </r>
  <r>
    <x v="18"/>
    <x v="238"/>
    <x v="264"/>
    <x v="7"/>
    <x v="131"/>
    <x v="57"/>
    <x v="97"/>
    <x v="0"/>
    <x v="2"/>
    <x v="0"/>
  </r>
  <r>
    <x v="18"/>
    <x v="260"/>
    <x v="265"/>
    <x v="3"/>
    <x v="289"/>
    <x v="98"/>
    <x v="213"/>
    <x v="0"/>
    <x v="2"/>
    <x v="0"/>
  </r>
  <r>
    <x v="18"/>
    <x v="48"/>
    <x v="253"/>
    <x v="8"/>
    <x v="79"/>
    <x v="28"/>
    <x v="59"/>
    <x v="0"/>
    <x v="2"/>
    <x v="0"/>
  </r>
  <r>
    <x v="18"/>
    <x v="100"/>
    <x v="256"/>
    <x v="8"/>
    <x v="60"/>
    <x v="28"/>
    <x v="37"/>
    <x v="0"/>
    <x v="2"/>
    <x v="0"/>
  </r>
  <r>
    <x v="18"/>
    <x v="192"/>
    <x v="262"/>
    <x v="2"/>
    <x v="155"/>
    <x v="79"/>
    <x v="76"/>
    <x v="0"/>
    <x v="2"/>
    <x v="0"/>
  </r>
  <r>
    <x v="18"/>
    <x v="119"/>
    <x v="258"/>
    <x v="7"/>
    <x v="141"/>
    <x v="56"/>
    <x v="112"/>
    <x v="0"/>
    <x v="2"/>
    <x v="0"/>
  </r>
  <r>
    <x v="18"/>
    <x v="74"/>
    <x v="255"/>
    <x v="7"/>
    <x v="221"/>
    <x v="53"/>
    <x v="188"/>
    <x v="0"/>
    <x v="2"/>
    <x v="0"/>
  </r>
  <r>
    <x v="18"/>
    <x v="227"/>
    <x v="263"/>
    <x v="0"/>
    <x v="156"/>
    <x v="87"/>
    <x v="74"/>
    <x v="0"/>
    <x v="2"/>
    <x v="0"/>
  </r>
  <r>
    <x v="19"/>
    <x v="98"/>
    <x v="272"/>
    <x v="1"/>
    <x v="32"/>
    <x v="18"/>
    <x v="24"/>
    <x v="0"/>
    <x v="2"/>
    <x v="0"/>
  </r>
  <r>
    <x v="19"/>
    <x v="3"/>
    <x v="268"/>
    <x v="5"/>
    <x v="104"/>
    <x v="45"/>
    <x v="63"/>
    <x v="0"/>
    <x v="2"/>
    <x v="0"/>
  </r>
  <r>
    <x v="19"/>
    <x v="121"/>
    <x v="275"/>
    <x v="3"/>
    <x v="264"/>
    <x v="98"/>
    <x v="175"/>
    <x v="0"/>
    <x v="2"/>
    <x v="0"/>
  </r>
  <r>
    <x v="19"/>
    <x v="192"/>
    <x v="276"/>
    <x v="4"/>
    <x v="9"/>
    <x v="8"/>
    <x v="10"/>
    <x v="0"/>
    <x v="2"/>
    <x v="0"/>
  </r>
  <r>
    <x v="19"/>
    <x v="193"/>
    <x v="277"/>
    <x v="6"/>
    <x v="29"/>
    <x v="20"/>
    <x v="19"/>
    <x v="0"/>
    <x v="2"/>
    <x v="0"/>
  </r>
  <r>
    <x v="19"/>
    <x v="239"/>
    <x v="278"/>
    <x v="7"/>
    <x v="126"/>
    <x v="54"/>
    <x v="94"/>
    <x v="0"/>
    <x v="2"/>
    <x v="0"/>
  </r>
  <r>
    <x v="19"/>
    <x v="60"/>
    <x v="270"/>
    <x v="7"/>
    <x v="223"/>
    <x v="57"/>
    <x v="187"/>
    <x v="0"/>
    <x v="2"/>
    <x v="0"/>
  </r>
  <r>
    <x v="19"/>
    <x v="110"/>
    <x v="274"/>
    <x v="2"/>
    <x v="310"/>
    <x v="87"/>
    <x v="240"/>
    <x v="0"/>
    <x v="2"/>
    <x v="0"/>
  </r>
  <r>
    <x v="19"/>
    <x v="92"/>
    <x v="271"/>
    <x v="7"/>
    <x v="145"/>
    <x v="56"/>
    <x v="122"/>
    <x v="0"/>
    <x v="2"/>
    <x v="0"/>
  </r>
  <r>
    <x v="19"/>
    <x v="10"/>
    <x v="269"/>
    <x v="7"/>
    <x v="226"/>
    <x v="63"/>
    <x v="186"/>
    <x v="0"/>
    <x v="2"/>
    <x v="0"/>
  </r>
  <r>
    <x v="19"/>
    <x v="281"/>
    <x v="280"/>
    <x v="1"/>
    <x v="23"/>
    <x v="12"/>
    <x v="20"/>
    <x v="0"/>
    <x v="2"/>
    <x v="0"/>
  </r>
  <r>
    <x v="19"/>
    <x v="269"/>
    <x v="279"/>
    <x v="3"/>
    <x v="279"/>
    <x v="92"/>
    <x v="205"/>
    <x v="0"/>
    <x v="2"/>
    <x v="0"/>
  </r>
  <r>
    <x v="19"/>
    <x v="99"/>
    <x v="273"/>
    <x v="6"/>
    <x v="51"/>
    <x v="24"/>
    <x v="52"/>
    <x v="0"/>
    <x v="2"/>
    <x v="0"/>
  </r>
  <r>
    <x v="20"/>
    <x v="85"/>
    <x v="283"/>
    <x v="8"/>
    <x v="58"/>
    <x v="31"/>
    <x v="31"/>
    <x v="0"/>
    <x v="2"/>
    <x v="0"/>
  </r>
  <r>
    <x v="20"/>
    <x v="109"/>
    <x v="284"/>
    <x v="3"/>
    <x v="293"/>
    <x v="94"/>
    <x v="219"/>
    <x v="0"/>
    <x v="2"/>
    <x v="0"/>
  </r>
  <r>
    <x v="20"/>
    <x v="131"/>
    <x v="287"/>
    <x v="7"/>
    <x v="222"/>
    <x v="53"/>
    <x v="189"/>
    <x v="0"/>
    <x v="2"/>
    <x v="0"/>
  </r>
  <r>
    <x v="20"/>
    <x v="16"/>
    <x v="281"/>
    <x v="7"/>
    <x v="208"/>
    <x v="64"/>
    <x v="167"/>
    <x v="0"/>
    <x v="2"/>
    <x v="0"/>
  </r>
  <r>
    <x v="20"/>
    <x v="37"/>
    <x v="282"/>
    <x v="8"/>
    <x v="70"/>
    <x v="28"/>
    <x v="50"/>
    <x v="0"/>
    <x v="2"/>
    <x v="0"/>
  </r>
  <r>
    <x v="20"/>
    <x v="127"/>
    <x v="286"/>
    <x v="2"/>
    <x v="286"/>
    <x v="82"/>
    <x v="216"/>
    <x v="0"/>
    <x v="2"/>
    <x v="0"/>
  </r>
  <r>
    <x v="17"/>
    <x v="212"/>
    <x v="8"/>
    <x v="3"/>
    <x v="179"/>
    <x v="75"/>
    <x v="117"/>
    <x v="0"/>
    <x v="3"/>
    <x v="0"/>
  </r>
  <r>
    <x v="20"/>
    <x v="141"/>
    <x v="288"/>
    <x v="9"/>
    <x v="97"/>
    <x v="37"/>
    <x v="61"/>
    <x v="0"/>
    <x v="5"/>
    <x v="0"/>
  </r>
  <r>
    <x v="20"/>
    <x v="185"/>
    <x v="289"/>
    <x v="9"/>
    <x v="97"/>
    <x v="36"/>
    <x v="62"/>
    <x v="0"/>
    <x v="5"/>
    <x v="0"/>
  </r>
  <r>
    <x v="20"/>
    <x v="194"/>
    <x v="290"/>
    <x v="6"/>
    <x v="30"/>
    <x v="19"/>
    <x v="21"/>
    <x v="0"/>
    <x v="2"/>
    <x v="0"/>
  </r>
  <r>
    <x v="20"/>
    <x v="172"/>
    <x v="5"/>
    <x v="3"/>
    <x v="170"/>
    <x v="75"/>
    <x v="100"/>
    <x v="0"/>
    <x v="3"/>
    <x v="0"/>
  </r>
  <r>
    <x v="20"/>
    <x v="281"/>
    <x v="293"/>
    <x v="1"/>
    <x v="17"/>
    <x v="13"/>
    <x v="13"/>
    <x v="0"/>
    <x v="2"/>
    <x v="0"/>
  </r>
  <r>
    <x v="20"/>
    <x v="283"/>
    <x v="292"/>
    <x v="3"/>
    <x v="263"/>
    <x v="90"/>
    <x v="178"/>
    <x v="0"/>
    <x v="2"/>
    <x v="0"/>
  </r>
  <r>
    <x v="20"/>
    <x v="253"/>
    <x v="291"/>
    <x v="7"/>
    <x v="137"/>
    <x v="56"/>
    <x v="104"/>
    <x v="0"/>
    <x v="2"/>
    <x v="0"/>
  </r>
  <r>
    <x v="21"/>
    <x v="90"/>
    <x v="298"/>
    <x v="8"/>
    <x v="54"/>
    <x v="30"/>
    <x v="27"/>
    <x v="0"/>
    <x v="2"/>
    <x v="0"/>
  </r>
  <r>
    <x v="21"/>
    <x v="40"/>
    <x v="296"/>
    <x v="8"/>
    <x v="71"/>
    <x v="27"/>
    <x v="51"/>
    <x v="0"/>
    <x v="2"/>
    <x v="0"/>
  </r>
  <r>
    <x v="21"/>
    <x v="2"/>
    <x v="294"/>
    <x v="5"/>
    <x v="101"/>
    <x v="44"/>
    <x v="40"/>
    <x v="0"/>
    <x v="2"/>
    <x v="0"/>
  </r>
  <r>
    <x v="21"/>
    <x v="80"/>
    <x v="297"/>
    <x v="7"/>
    <x v="243"/>
    <x v="56"/>
    <x v="211"/>
    <x v="0"/>
    <x v="2"/>
    <x v="0"/>
  </r>
  <r>
    <x v="21"/>
    <x v="20"/>
    <x v="295"/>
    <x v="7"/>
    <x v="213"/>
    <x v="66"/>
    <x v="171"/>
    <x v="0"/>
    <x v="2"/>
    <x v="0"/>
  </r>
  <r>
    <x v="21"/>
    <x v="112"/>
    <x v="299"/>
    <x v="2"/>
    <x v="283"/>
    <x v="80"/>
    <x v="214"/>
    <x v="0"/>
    <x v="2"/>
    <x v="0"/>
  </r>
  <r>
    <x v="21"/>
    <x v="115"/>
    <x v="300"/>
    <x v="3"/>
    <x v="257"/>
    <x v="89"/>
    <x v="167"/>
    <x v="0"/>
    <x v="2"/>
    <x v="0"/>
  </r>
  <r>
    <x v="21"/>
    <x v="142"/>
    <x v="301"/>
    <x v="9"/>
    <x v="87"/>
    <x v="35"/>
    <x v="41"/>
    <x v="0"/>
    <x v="5"/>
    <x v="0"/>
  </r>
  <r>
    <x v="21"/>
    <x v="201"/>
    <x v="304"/>
    <x v="9"/>
    <x v="81"/>
    <x v="35"/>
    <x v="20"/>
    <x v="0"/>
    <x v="1"/>
    <x v="0"/>
  </r>
  <r>
    <x v="21"/>
    <x v="195"/>
    <x v="303"/>
    <x v="6"/>
    <x v="31"/>
    <x v="19"/>
    <x v="22"/>
    <x v="0"/>
    <x v="2"/>
    <x v="0"/>
  </r>
  <r>
    <x v="21"/>
    <x v="184"/>
    <x v="302"/>
    <x v="4"/>
    <x v="4"/>
    <x v="6"/>
    <x v="5"/>
    <x v="0"/>
    <x v="2"/>
    <x v="0"/>
  </r>
  <r>
    <x v="21"/>
    <x v="205"/>
    <x v="448"/>
    <x v="3"/>
    <x v="159"/>
    <x v="88"/>
    <x v="76"/>
    <x v="0"/>
    <x v="4"/>
    <x v="0"/>
  </r>
  <r>
    <x v="21"/>
    <x v="279"/>
    <x v="307"/>
    <x v="3"/>
    <x v="260"/>
    <x v="92"/>
    <x v="167"/>
    <x v="0"/>
    <x v="2"/>
    <x v="0"/>
  </r>
  <r>
    <x v="21"/>
    <x v="270"/>
    <x v="306"/>
    <x v="1"/>
    <x v="23"/>
    <x v="12"/>
    <x v="20"/>
    <x v="0"/>
    <x v="2"/>
    <x v="0"/>
  </r>
  <r>
    <x v="21"/>
    <x v="244"/>
    <x v="305"/>
    <x v="7"/>
    <x v="121"/>
    <x v="52"/>
    <x v="91"/>
    <x v="0"/>
    <x v="2"/>
    <x v="0"/>
  </r>
  <r>
    <x v="22"/>
    <x v="58"/>
    <x v="310"/>
    <x v="2"/>
    <x v="269"/>
    <x v="73"/>
    <x v="203"/>
    <x v="0"/>
    <x v="2"/>
    <x v="0"/>
  </r>
  <r>
    <x v="22"/>
    <x v="123"/>
    <x v="313"/>
    <x v="7"/>
    <x v="114"/>
    <x v="51"/>
    <x v="79"/>
    <x v="0"/>
    <x v="2"/>
    <x v="0"/>
  </r>
  <r>
    <x v="22"/>
    <x v="53"/>
    <x v="309"/>
    <x v="8"/>
    <x v="76"/>
    <x v="28"/>
    <x v="55"/>
    <x v="0"/>
    <x v="2"/>
    <x v="0"/>
  </r>
  <r>
    <x v="22"/>
    <x v="98"/>
    <x v="312"/>
    <x v="8"/>
    <x v="62"/>
    <x v="33"/>
    <x v="31"/>
    <x v="0"/>
    <x v="2"/>
    <x v="0"/>
  </r>
  <r>
    <x v="22"/>
    <x v="15"/>
    <x v="308"/>
    <x v="7"/>
    <x v="204"/>
    <x v="52"/>
    <x v="168"/>
    <x v="0"/>
    <x v="2"/>
    <x v="0"/>
  </r>
  <r>
    <x v="22"/>
    <x v="57"/>
    <x v="311"/>
    <x v="7"/>
    <x v="214"/>
    <x v="52"/>
    <x v="179"/>
    <x v="0"/>
    <x v="2"/>
    <x v="0"/>
  </r>
  <r>
    <x v="22"/>
    <x v="241"/>
    <x v="316"/>
    <x v="7"/>
    <x v="119"/>
    <x v="50"/>
    <x v="88"/>
    <x v="0"/>
    <x v="2"/>
    <x v="0"/>
  </r>
  <r>
    <x v="22"/>
    <x v="279"/>
    <x v="319"/>
    <x v="1"/>
    <x v="15"/>
    <x v="9"/>
    <x v="16"/>
    <x v="0"/>
    <x v="2"/>
    <x v="0"/>
  </r>
  <r>
    <x v="22"/>
    <x v="270"/>
    <x v="318"/>
    <x v="3"/>
    <x v="253"/>
    <x v="90"/>
    <x v="157"/>
    <x v="0"/>
    <x v="2"/>
    <x v="0"/>
  </r>
  <r>
    <x v="22"/>
    <x v="254"/>
    <x v="317"/>
    <x v="2"/>
    <x v="248"/>
    <x v="80"/>
    <x v="156"/>
    <x v="0"/>
    <x v="2"/>
    <x v="0"/>
  </r>
  <r>
    <x v="22"/>
    <x v="168"/>
    <x v="315"/>
    <x v="9"/>
    <x v="96"/>
    <x v="39"/>
    <x v="56"/>
    <x v="0"/>
    <x v="5"/>
    <x v="0"/>
  </r>
  <r>
    <x v="22"/>
    <x v="153"/>
    <x v="314"/>
    <x v="6"/>
    <x v="30"/>
    <x v="21"/>
    <x v="19"/>
    <x v="0"/>
    <x v="2"/>
    <x v="0"/>
  </r>
  <r>
    <x v="23"/>
    <x v="89"/>
    <x v="324"/>
    <x v="1"/>
    <x v="27"/>
    <x v="19"/>
    <x v="17"/>
    <x v="0"/>
    <x v="2"/>
    <x v="0"/>
  </r>
  <r>
    <x v="23"/>
    <x v="87"/>
    <x v="322"/>
    <x v="6"/>
    <x v="49"/>
    <x v="24"/>
    <x v="49"/>
    <x v="0"/>
    <x v="2"/>
    <x v="0"/>
  </r>
  <r>
    <x v="23"/>
    <x v="14"/>
    <x v="321"/>
    <x v="7"/>
    <x v="192"/>
    <x v="55"/>
    <x v="152"/>
    <x v="0"/>
    <x v="2"/>
    <x v="0"/>
  </r>
  <r>
    <x v="23"/>
    <x v="61"/>
    <x v="322"/>
    <x v="7"/>
    <x v="230"/>
    <x v="56"/>
    <x v="195"/>
    <x v="0"/>
    <x v="2"/>
    <x v="0"/>
  </r>
  <r>
    <x v="23"/>
    <x v="66"/>
    <x v="323"/>
    <x v="2"/>
    <x v="290"/>
    <x v="80"/>
    <x v="221"/>
    <x v="0"/>
    <x v="2"/>
    <x v="0"/>
  </r>
  <r>
    <x v="23"/>
    <x v="125"/>
    <x v="325"/>
    <x v="7"/>
    <x v="125"/>
    <x v="54"/>
    <x v="93"/>
    <x v="0"/>
    <x v="2"/>
    <x v="0"/>
  </r>
  <r>
    <x v="23"/>
    <x v="240"/>
    <x v="331"/>
    <x v="7"/>
    <x v="118"/>
    <x v="52"/>
    <x v="86"/>
    <x v="0"/>
    <x v="2"/>
    <x v="0"/>
  </r>
  <r>
    <x v="23"/>
    <x v="232"/>
    <x v="330"/>
    <x v="1"/>
    <x v="10"/>
    <x v="17"/>
    <x v="0"/>
    <x v="0"/>
    <x v="1"/>
    <x v="0"/>
  </r>
  <r>
    <x v="23"/>
    <x v="267"/>
    <x v="332"/>
    <x v="3"/>
    <x v="258"/>
    <x v="92"/>
    <x v="166"/>
    <x v="0"/>
    <x v="2"/>
    <x v="0"/>
  </r>
  <r>
    <x v="23"/>
    <x v="132"/>
    <x v="326"/>
    <x v="0"/>
    <x v="162"/>
    <x v="95"/>
    <x v="78"/>
    <x v="0"/>
    <x v="2"/>
    <x v="0"/>
  </r>
  <r>
    <x v="23"/>
    <x v="144"/>
    <x v="327"/>
    <x v="0"/>
    <x v="174"/>
    <x v="102"/>
    <x v="94"/>
    <x v="0"/>
    <x v="5"/>
    <x v="0"/>
  </r>
  <r>
    <x v="23"/>
    <x v="158"/>
    <x v="328"/>
    <x v="2"/>
    <x v="249"/>
    <x v="79"/>
    <x v="158"/>
    <x v="0"/>
    <x v="2"/>
    <x v="0"/>
  </r>
  <r>
    <x v="23"/>
    <x v="197"/>
    <x v="329"/>
    <x v="6"/>
    <x v="31"/>
    <x v="20"/>
    <x v="21"/>
    <x v="0"/>
    <x v="2"/>
    <x v="0"/>
  </r>
  <r>
    <x v="23"/>
    <x v="279"/>
    <x v="333"/>
    <x v="1"/>
    <x v="20"/>
    <x v="12"/>
    <x v="17"/>
    <x v="0"/>
    <x v="2"/>
    <x v="0"/>
  </r>
  <r>
    <x v="23"/>
    <x v="198"/>
    <x v="449"/>
    <x v="3"/>
    <x v="146"/>
    <x v="89"/>
    <x v="60"/>
    <x v="0"/>
    <x v="4"/>
    <x v="0"/>
  </r>
  <r>
    <x v="24"/>
    <x v="68"/>
    <x v="337"/>
    <x v="7"/>
    <x v="215"/>
    <x v="52"/>
    <x v="180"/>
    <x v="0"/>
    <x v="2"/>
    <x v="0"/>
  </r>
  <r>
    <x v="24"/>
    <x v="124"/>
    <x v="341"/>
    <x v="7"/>
    <x v="115"/>
    <x v="51"/>
    <x v="80"/>
    <x v="0"/>
    <x v="2"/>
    <x v="0"/>
  </r>
  <r>
    <x v="24"/>
    <x v="42"/>
    <x v="336"/>
    <x v="8"/>
    <x v="78"/>
    <x v="27"/>
    <x v="59"/>
    <x v="0"/>
    <x v="2"/>
    <x v="0"/>
  </r>
  <r>
    <x v="24"/>
    <x v="95"/>
    <x v="339"/>
    <x v="8"/>
    <x v="54"/>
    <x v="31"/>
    <x v="26"/>
    <x v="0"/>
    <x v="2"/>
    <x v="0"/>
  </r>
  <r>
    <x v="24"/>
    <x v="1"/>
    <x v="334"/>
    <x v="5"/>
    <x v="105"/>
    <x v="42"/>
    <x v="66"/>
    <x v="0"/>
    <x v="2"/>
    <x v="0"/>
  </r>
  <r>
    <x v="24"/>
    <x v="112"/>
    <x v="340"/>
    <x v="3"/>
    <x v="229"/>
    <x v="90"/>
    <x v="134"/>
    <x v="0"/>
    <x v="2"/>
    <x v="0"/>
  </r>
  <r>
    <x v="24"/>
    <x v="129"/>
    <x v="342"/>
    <x v="2"/>
    <x v="295"/>
    <x v="80"/>
    <x v="223"/>
    <x v="0"/>
    <x v="2"/>
    <x v="0"/>
  </r>
  <r>
    <x v="24"/>
    <x v="21"/>
    <x v="335"/>
    <x v="7"/>
    <x v="199"/>
    <x v="51"/>
    <x v="162"/>
    <x v="0"/>
    <x v="2"/>
    <x v="0"/>
  </r>
  <r>
    <x v="24"/>
    <x v="90"/>
    <x v="338"/>
    <x v="1"/>
    <x v="29"/>
    <x v="17"/>
    <x v="22"/>
    <x v="0"/>
    <x v="2"/>
    <x v="0"/>
  </r>
  <r>
    <x v="24"/>
    <x v="223"/>
    <x v="450"/>
    <x v="0"/>
    <x v="149"/>
    <x v="85"/>
    <x v="67"/>
    <x v="0"/>
    <x v="4"/>
    <x v="0"/>
  </r>
  <r>
    <x v="24"/>
    <x v="184"/>
    <x v="6"/>
    <x v="3"/>
    <x v="168"/>
    <x v="75"/>
    <x v="98"/>
    <x v="0"/>
    <x v="3"/>
    <x v="0"/>
  </r>
  <r>
    <x v="24"/>
    <x v="273"/>
    <x v="348"/>
    <x v="2"/>
    <x v="235"/>
    <x v="78"/>
    <x v="139"/>
    <x v="0"/>
    <x v="2"/>
    <x v="0"/>
  </r>
  <r>
    <x v="24"/>
    <x v="238"/>
    <x v="346"/>
    <x v="7"/>
    <x v="119"/>
    <x v="55"/>
    <x v="84"/>
    <x v="0"/>
    <x v="2"/>
    <x v="0"/>
  </r>
  <r>
    <x v="24"/>
    <x v="210"/>
    <x v="344"/>
    <x v="9"/>
    <x v="95"/>
    <x v="41"/>
    <x v="45"/>
    <x v="0"/>
    <x v="5"/>
    <x v="0"/>
  </r>
  <r>
    <x v="24"/>
    <x v="191"/>
    <x v="343"/>
    <x v="6"/>
    <x v="28"/>
    <x v="20"/>
    <x v="18"/>
    <x v="0"/>
    <x v="2"/>
    <x v="0"/>
  </r>
  <r>
    <x v="24"/>
    <x v="259"/>
    <x v="347"/>
    <x v="1"/>
    <x v="17"/>
    <x v="9"/>
    <x v="18"/>
    <x v="0"/>
    <x v="2"/>
    <x v="0"/>
  </r>
  <r>
    <x v="24"/>
    <x v="275"/>
    <x v="349"/>
    <x v="1"/>
    <x v="12"/>
    <x v="12"/>
    <x v="9"/>
    <x v="0"/>
    <x v="2"/>
    <x v="0"/>
  </r>
  <r>
    <x v="24"/>
    <x v="231"/>
    <x v="345"/>
    <x v="1"/>
    <x v="22"/>
    <x v="18"/>
    <x v="13"/>
    <x v="0"/>
    <x v="1"/>
    <x v="0"/>
  </r>
  <r>
    <x v="25"/>
    <x v="179"/>
    <x v="360"/>
    <x v="6"/>
    <x v="29"/>
    <x v="19"/>
    <x v="20"/>
    <x v="0"/>
    <x v="2"/>
    <x v="0"/>
  </r>
  <r>
    <x v="25"/>
    <x v="124"/>
    <x v="358"/>
    <x v="7"/>
    <x v="134"/>
    <x v="53"/>
    <x v="103"/>
    <x v="0"/>
    <x v="2"/>
    <x v="0"/>
  </r>
  <r>
    <x v="25"/>
    <x v="16"/>
    <x v="351"/>
    <x v="7"/>
    <x v="210"/>
    <x v="55"/>
    <x v="173"/>
    <x v="0"/>
    <x v="2"/>
    <x v="0"/>
  </r>
  <r>
    <x v="25"/>
    <x v="63"/>
    <x v="353"/>
    <x v="7"/>
    <x v="232"/>
    <x v="54"/>
    <x v="200"/>
    <x v="0"/>
    <x v="2"/>
    <x v="0"/>
  </r>
  <r>
    <x v="25"/>
    <x v="242"/>
    <x v="363"/>
    <x v="7"/>
    <x v="140"/>
    <x v="52"/>
    <x v="114"/>
    <x v="0"/>
    <x v="2"/>
    <x v="0"/>
  </r>
  <r>
    <x v="25"/>
    <x v="269"/>
    <x v="364"/>
    <x v="3"/>
    <x v="277"/>
    <x v="97"/>
    <x v="201"/>
    <x v="0"/>
    <x v="2"/>
    <x v="0"/>
  </r>
  <r>
    <x v="25"/>
    <x v="112"/>
    <x v="357"/>
    <x v="3"/>
    <x v="242"/>
    <x v="92"/>
    <x v="143"/>
    <x v="0"/>
    <x v="2"/>
    <x v="0"/>
  </r>
  <r>
    <x v="25"/>
    <x v="42"/>
    <x v="352"/>
    <x v="8"/>
    <x v="71"/>
    <x v="27"/>
    <x v="51"/>
    <x v="0"/>
    <x v="2"/>
    <x v="0"/>
  </r>
  <r>
    <x v="25"/>
    <x v="97"/>
    <x v="356"/>
    <x v="8"/>
    <x v="57"/>
    <x v="30"/>
    <x v="30"/>
    <x v="0"/>
    <x v="2"/>
    <x v="0"/>
  </r>
  <r>
    <x v="25"/>
    <x v="2"/>
    <x v="350"/>
    <x v="5"/>
    <x v="102"/>
    <x v="42"/>
    <x v="55"/>
    <x v="0"/>
    <x v="2"/>
    <x v="0"/>
  </r>
  <r>
    <x v="25"/>
    <x v="235"/>
    <x v="362"/>
    <x v="4"/>
    <x v="3"/>
    <x v="3"/>
    <x v="8"/>
    <x v="0"/>
    <x v="2"/>
    <x v="0"/>
  </r>
  <r>
    <x v="25"/>
    <x v="193"/>
    <x v="361"/>
    <x v="3"/>
    <x v="148"/>
    <x v="89"/>
    <x v="64"/>
    <x v="0"/>
    <x v="2"/>
    <x v="0"/>
  </r>
  <r>
    <x v="25"/>
    <x v="65"/>
    <x v="354"/>
    <x v="2"/>
    <x v="309"/>
    <x v="89"/>
    <x v="238"/>
    <x v="0"/>
    <x v="2"/>
    <x v="0"/>
  </r>
  <r>
    <x v="25"/>
    <x v="275"/>
    <x v="365"/>
    <x v="1"/>
    <x v="24"/>
    <x v="13"/>
    <x v="20"/>
    <x v="0"/>
    <x v="2"/>
    <x v="0"/>
  </r>
  <r>
    <x v="25"/>
    <x v="94"/>
    <x v="355"/>
    <x v="1"/>
    <x v="25"/>
    <x v="18"/>
    <x v="16"/>
    <x v="0"/>
    <x v="2"/>
    <x v="0"/>
  </r>
  <r>
    <x v="25"/>
    <x v="146"/>
    <x v="359"/>
    <x v="4"/>
    <x v="5"/>
    <x v="1"/>
    <x v="13"/>
    <x v="0"/>
    <x v="2"/>
    <x v="0"/>
  </r>
  <r>
    <x v="26"/>
    <x v="130"/>
    <x v="372"/>
    <x v="2"/>
    <x v="297"/>
    <x v="88"/>
    <x v="224"/>
    <x v="0"/>
    <x v="2"/>
    <x v="0"/>
  </r>
  <r>
    <x v="26"/>
    <x v="237"/>
    <x v="376"/>
    <x v="7"/>
    <x v="147"/>
    <x v="56"/>
    <x v="124"/>
    <x v="0"/>
    <x v="2"/>
    <x v="0"/>
  </r>
  <r>
    <x v="26"/>
    <x v="85"/>
    <x v="370"/>
    <x v="8"/>
    <x v="43"/>
    <x v="29"/>
    <x v="4"/>
    <x v="0"/>
    <x v="2"/>
    <x v="0"/>
  </r>
  <r>
    <x v="26"/>
    <x v="44"/>
    <x v="367"/>
    <x v="8"/>
    <x v="66"/>
    <x v="26"/>
    <x v="48"/>
    <x v="0"/>
    <x v="2"/>
    <x v="0"/>
  </r>
  <r>
    <x v="26"/>
    <x v="126"/>
    <x v="371"/>
    <x v="3"/>
    <x v="254"/>
    <x v="97"/>
    <x v="156"/>
    <x v="0"/>
    <x v="2"/>
    <x v="0"/>
  </r>
  <r>
    <x v="26"/>
    <x v="267"/>
    <x v="377"/>
    <x v="2"/>
    <x v="171"/>
    <x v="83"/>
    <x v="99"/>
    <x v="0"/>
    <x v="2"/>
    <x v="0"/>
  </r>
  <r>
    <x v="26"/>
    <x v="271"/>
    <x v="378"/>
    <x v="1"/>
    <x v="27"/>
    <x v="12"/>
    <x v="24"/>
    <x v="0"/>
    <x v="2"/>
    <x v="0"/>
  </r>
  <r>
    <x v="26"/>
    <x v="59"/>
    <x v="368"/>
    <x v="7"/>
    <x v="236"/>
    <x v="53"/>
    <x v="205"/>
    <x v="0"/>
    <x v="2"/>
    <x v="0"/>
  </r>
  <r>
    <x v="26"/>
    <x v="11"/>
    <x v="366"/>
    <x v="7"/>
    <x v="216"/>
    <x v="64"/>
    <x v="176"/>
    <x v="0"/>
    <x v="2"/>
    <x v="0"/>
  </r>
  <r>
    <x v="26"/>
    <x v="188"/>
    <x v="374"/>
    <x v="6"/>
    <x v="23"/>
    <x v="21"/>
    <x v="11"/>
    <x v="0"/>
    <x v="2"/>
    <x v="0"/>
  </r>
  <r>
    <x v="26"/>
    <x v="84"/>
    <x v="369"/>
    <x v="1"/>
    <x v="26"/>
    <x v="19"/>
    <x v="16"/>
    <x v="0"/>
    <x v="2"/>
    <x v="0"/>
  </r>
  <r>
    <x v="26"/>
    <x v="198"/>
    <x v="375"/>
    <x v="1"/>
    <x v="14"/>
    <x v="12"/>
    <x v="11"/>
    <x v="0"/>
    <x v="2"/>
    <x v="0"/>
  </r>
  <r>
    <x v="27"/>
    <x v="116"/>
    <x v="384"/>
    <x v="3"/>
    <x v="305"/>
    <x v="94"/>
    <x v="233"/>
    <x v="0"/>
    <x v="2"/>
    <x v="0"/>
  </r>
  <r>
    <x v="27"/>
    <x v="89"/>
    <x v="383"/>
    <x v="6"/>
    <x v="44"/>
    <x v="24"/>
    <x v="40"/>
    <x v="0"/>
    <x v="2"/>
    <x v="0"/>
  </r>
  <r>
    <x v="27"/>
    <x v="63"/>
    <x v="380"/>
    <x v="7"/>
    <x v="221"/>
    <x v="57"/>
    <x v="185"/>
    <x v="0"/>
    <x v="2"/>
    <x v="0"/>
  </r>
  <r>
    <x v="27"/>
    <x v="17"/>
    <x v="379"/>
    <x v="7"/>
    <x v="212"/>
    <x v="68"/>
    <x v="169"/>
    <x v="0"/>
    <x v="2"/>
    <x v="0"/>
  </r>
  <r>
    <x v="27"/>
    <x v="88"/>
    <x v="382"/>
    <x v="2"/>
    <x v="289"/>
    <x v="85"/>
    <x v="219"/>
    <x v="0"/>
    <x v="2"/>
    <x v="0"/>
  </r>
  <r>
    <x v="27"/>
    <x v="189"/>
    <x v="7"/>
    <x v="3"/>
    <x v="172"/>
    <x v="75"/>
    <x v="106"/>
    <x v="0"/>
    <x v="3"/>
    <x v="0"/>
  </r>
  <r>
    <x v="27"/>
    <x v="193"/>
    <x v="387"/>
    <x v="6"/>
    <x v="27"/>
    <x v="20"/>
    <x v="16"/>
    <x v="0"/>
    <x v="2"/>
    <x v="0"/>
  </r>
  <r>
    <x v="27"/>
    <x v="165"/>
    <x v="385"/>
    <x v="9"/>
    <x v="99"/>
    <x v="40"/>
    <x v="65"/>
    <x v="0"/>
    <x v="5"/>
    <x v="0"/>
  </r>
  <r>
    <x v="27"/>
    <x v="188"/>
    <x v="386"/>
    <x v="4"/>
    <x v="2"/>
    <x v="6"/>
    <x v="3"/>
    <x v="0"/>
    <x v="2"/>
    <x v="0"/>
  </r>
  <r>
    <x v="27"/>
    <x v="87"/>
    <x v="381"/>
    <x v="1"/>
    <x v="31"/>
    <x v="13"/>
    <x v="28"/>
    <x v="0"/>
    <x v="2"/>
    <x v="0"/>
  </r>
  <r>
    <x v="27"/>
    <x v="280"/>
    <x v="389"/>
    <x v="3"/>
    <x v="247"/>
    <x v="95"/>
    <x v="147"/>
    <x v="0"/>
    <x v="2"/>
    <x v="0"/>
  </r>
  <r>
    <x v="27"/>
    <x v="280"/>
    <x v="390"/>
    <x v="1"/>
    <x v="26"/>
    <x v="13"/>
    <x v="22"/>
    <x v="0"/>
    <x v="2"/>
    <x v="0"/>
  </r>
  <r>
    <x v="27"/>
    <x v="248"/>
    <x v="388"/>
    <x v="7"/>
    <x v="143"/>
    <x v="52"/>
    <x v="120"/>
    <x v="0"/>
    <x v="2"/>
    <x v="0"/>
  </r>
  <r>
    <x v="28"/>
    <x v="85"/>
    <x v="393"/>
    <x v="1"/>
    <x v="18"/>
    <x v="14"/>
    <x v="13"/>
    <x v="0"/>
    <x v="2"/>
    <x v="0"/>
  </r>
  <r>
    <x v="28"/>
    <x v="86"/>
    <x v="394"/>
    <x v="8"/>
    <x v="75"/>
    <x v="32"/>
    <x v="50"/>
    <x v="0"/>
    <x v="2"/>
    <x v="0"/>
  </r>
  <r>
    <x v="28"/>
    <x v="122"/>
    <x v="397"/>
    <x v="2"/>
    <x v="285"/>
    <x v="77"/>
    <x v="217"/>
    <x v="0"/>
    <x v="2"/>
    <x v="0"/>
  </r>
  <r>
    <x v="28"/>
    <x v="101"/>
    <x v="395"/>
    <x v="7"/>
    <x v="217"/>
    <x v="52"/>
    <x v="183"/>
    <x v="0"/>
    <x v="2"/>
    <x v="0"/>
  </r>
  <r>
    <x v="28"/>
    <x v="27"/>
    <x v="392"/>
    <x v="7"/>
    <x v="218"/>
    <x v="62"/>
    <x v="178"/>
    <x v="0"/>
    <x v="2"/>
    <x v="0"/>
  </r>
  <r>
    <x v="28"/>
    <x v="117"/>
    <x v="396"/>
    <x v="3"/>
    <x v="190"/>
    <x v="94"/>
    <x v="127"/>
    <x v="0"/>
    <x v="2"/>
    <x v="0"/>
  </r>
  <r>
    <x v="28"/>
    <x v="0"/>
    <x v="391"/>
    <x v="5"/>
    <x v="105"/>
    <x v="48"/>
    <x v="63"/>
    <x v="0"/>
    <x v="2"/>
    <x v="0"/>
  </r>
  <r>
    <x v="28"/>
    <x v="170"/>
    <x v="405"/>
    <x v="9"/>
    <x v="83"/>
    <x v="36"/>
    <x v="28"/>
    <x v="0"/>
    <x v="5"/>
    <x v="0"/>
  </r>
  <r>
    <x v="28"/>
    <x v="183"/>
    <x v="407"/>
    <x v="6"/>
    <x v="30"/>
    <x v="19"/>
    <x v="21"/>
    <x v="0"/>
    <x v="2"/>
    <x v="0"/>
  </r>
  <r>
    <x v="28"/>
    <x v="181"/>
    <x v="406"/>
    <x v="4"/>
    <x v="1"/>
    <x v="5"/>
    <x v="2"/>
    <x v="0"/>
    <x v="2"/>
    <x v="0"/>
  </r>
  <r>
    <x v="28"/>
    <x v="148"/>
    <x v="401"/>
    <x v="0"/>
    <x v="315"/>
    <x v="72"/>
    <x v="245"/>
    <x v="0"/>
    <x v="0"/>
    <x v="0"/>
  </r>
  <r>
    <x v="28"/>
    <x v="140"/>
    <x v="398"/>
    <x v="0"/>
    <x v="318"/>
    <x v="72"/>
    <x v="248"/>
    <x v="0"/>
    <x v="0"/>
    <x v="0"/>
  </r>
  <r>
    <x v="28"/>
    <x v="145"/>
    <x v="399"/>
    <x v="0"/>
    <x v="316"/>
    <x v="72"/>
    <x v="246"/>
    <x v="0"/>
    <x v="0"/>
    <x v="0"/>
  </r>
  <r>
    <x v="28"/>
    <x v="147"/>
    <x v="400"/>
    <x v="0"/>
    <x v="315"/>
    <x v="72"/>
    <x v="245"/>
    <x v="0"/>
    <x v="0"/>
    <x v="0"/>
  </r>
  <r>
    <x v="28"/>
    <x v="150"/>
    <x v="402"/>
    <x v="0"/>
    <x v="314"/>
    <x v="72"/>
    <x v="244"/>
    <x v="0"/>
    <x v="0"/>
    <x v="0"/>
  </r>
  <r>
    <x v="28"/>
    <x v="161"/>
    <x v="404"/>
    <x v="0"/>
    <x v="313"/>
    <x v="72"/>
    <x v="243"/>
    <x v="0"/>
    <x v="0"/>
    <x v="0"/>
  </r>
  <r>
    <x v="28"/>
    <x v="216"/>
    <x v="451"/>
    <x v="3"/>
    <x v="152"/>
    <x v="90"/>
    <x v="69"/>
    <x v="0"/>
    <x v="4"/>
    <x v="0"/>
  </r>
  <r>
    <x v="28"/>
    <x v="243"/>
    <x v="408"/>
    <x v="7"/>
    <x v="124"/>
    <x v="54"/>
    <x v="92"/>
    <x v="0"/>
    <x v="2"/>
    <x v="0"/>
  </r>
  <r>
    <x v="28"/>
    <x v="268"/>
    <x v="409"/>
    <x v="1"/>
    <x v="25"/>
    <x v="13"/>
    <x v="21"/>
    <x v="0"/>
    <x v="2"/>
    <x v="0"/>
  </r>
  <r>
    <x v="28"/>
    <x v="279"/>
    <x v="410"/>
    <x v="3"/>
    <x v="241"/>
    <x v="95"/>
    <x v="141"/>
    <x v="0"/>
    <x v="2"/>
    <x v="0"/>
  </r>
  <r>
    <x v="28"/>
    <x v="156"/>
    <x v="403"/>
    <x v="0"/>
    <x v="317"/>
    <x v="72"/>
    <x v="247"/>
    <x v="0"/>
    <x v="0"/>
    <x v="0"/>
  </r>
  <r>
    <x v="29"/>
    <x v="11"/>
    <x v="411"/>
    <x v="7"/>
    <x v="191"/>
    <x v="64"/>
    <x v="147"/>
    <x v="0"/>
    <x v="2"/>
    <x v="0"/>
  </r>
  <r>
    <x v="29"/>
    <x v="47"/>
    <x v="413"/>
    <x v="7"/>
    <x v="189"/>
    <x v="64"/>
    <x v="144"/>
    <x v="0"/>
    <x v="2"/>
    <x v="0"/>
  </r>
  <r>
    <x v="29"/>
    <x v="100"/>
    <x v="417"/>
    <x v="7"/>
    <x v="119"/>
    <x v="54"/>
    <x v="85"/>
    <x v="0"/>
    <x v="2"/>
    <x v="0"/>
  </r>
  <r>
    <x v="29"/>
    <x v="89"/>
    <x v="415"/>
    <x v="8"/>
    <x v="60"/>
    <x v="31"/>
    <x v="33"/>
    <x v="0"/>
    <x v="2"/>
    <x v="0"/>
  </r>
  <r>
    <x v="29"/>
    <x v="33"/>
    <x v="412"/>
    <x v="8"/>
    <x v="72"/>
    <x v="28"/>
    <x v="51"/>
    <x v="0"/>
    <x v="2"/>
    <x v="0"/>
  </r>
  <r>
    <x v="29"/>
    <x v="88"/>
    <x v="416"/>
    <x v="1"/>
    <x v="17"/>
    <x v="17"/>
    <x v="9"/>
    <x v="0"/>
    <x v="2"/>
    <x v="0"/>
  </r>
  <r>
    <x v="29"/>
    <x v="76"/>
    <x v="414"/>
    <x v="2"/>
    <x v="284"/>
    <x v="75"/>
    <x v="217"/>
    <x v="0"/>
    <x v="2"/>
    <x v="0"/>
  </r>
  <r>
    <x v="29"/>
    <x v="200"/>
    <x v="426"/>
    <x v="0"/>
    <x v="318"/>
    <x v="72"/>
    <x v="248"/>
    <x v="0"/>
    <x v="0"/>
    <x v="0"/>
  </r>
  <r>
    <x v="29"/>
    <x v="136"/>
    <x v="418"/>
    <x v="0"/>
    <x v="325"/>
    <x v="72"/>
    <x v="255"/>
    <x v="0"/>
    <x v="0"/>
    <x v="0"/>
  </r>
  <r>
    <x v="29"/>
    <x v="138"/>
    <x v="419"/>
    <x v="0"/>
    <x v="324"/>
    <x v="72"/>
    <x v="254"/>
    <x v="0"/>
    <x v="0"/>
    <x v="0"/>
  </r>
  <r>
    <x v="29"/>
    <x v="143"/>
    <x v="420"/>
    <x v="0"/>
    <x v="322"/>
    <x v="72"/>
    <x v="252"/>
    <x v="0"/>
    <x v="0"/>
    <x v="0"/>
  </r>
  <r>
    <x v="29"/>
    <x v="190"/>
    <x v="424"/>
    <x v="0"/>
    <x v="319"/>
    <x v="72"/>
    <x v="249"/>
    <x v="0"/>
    <x v="0"/>
    <x v="0"/>
  </r>
  <r>
    <x v="29"/>
    <x v="176"/>
    <x v="423"/>
    <x v="0"/>
    <x v="320"/>
    <x v="72"/>
    <x v="250"/>
    <x v="0"/>
    <x v="0"/>
    <x v="0"/>
  </r>
  <r>
    <x v="29"/>
    <x v="151"/>
    <x v="422"/>
    <x v="0"/>
    <x v="323"/>
    <x v="72"/>
    <x v="253"/>
    <x v="0"/>
    <x v="0"/>
    <x v="0"/>
  </r>
  <r>
    <x v="29"/>
    <x v="149"/>
    <x v="421"/>
    <x v="0"/>
    <x v="321"/>
    <x v="72"/>
    <x v="251"/>
    <x v="0"/>
    <x v="0"/>
    <x v="0"/>
  </r>
  <r>
    <x v="29"/>
    <x v="211"/>
    <x v="427"/>
    <x v="9"/>
    <x v="93"/>
    <x v="39"/>
    <x v="47"/>
    <x v="0"/>
    <x v="5"/>
    <x v="0"/>
  </r>
  <r>
    <x v="29"/>
    <x v="192"/>
    <x v="425"/>
    <x v="6"/>
    <x v="34"/>
    <x v="21"/>
    <x v="23"/>
    <x v="0"/>
    <x v="2"/>
    <x v="0"/>
  </r>
  <r>
    <x v="29"/>
    <x v="277"/>
    <x v="431"/>
    <x v="1"/>
    <x v="12"/>
    <x v="9"/>
    <x v="13"/>
    <x v="0"/>
    <x v="2"/>
    <x v="0"/>
  </r>
  <r>
    <x v="29"/>
    <x v="243"/>
    <x v="429"/>
    <x v="5"/>
    <x v="110"/>
    <x v="47"/>
    <x v="81"/>
    <x v="0"/>
    <x v="2"/>
    <x v="0"/>
  </r>
  <r>
    <x v="29"/>
    <x v="265"/>
    <x v="430"/>
    <x v="3"/>
    <x v="252"/>
    <x v="93"/>
    <x v="151"/>
    <x v="0"/>
    <x v="2"/>
    <x v="0"/>
  </r>
  <r>
    <x v="29"/>
    <x v="229"/>
    <x v="428"/>
    <x v="2"/>
    <x v="184"/>
    <x v="76"/>
    <x v="121"/>
    <x v="0"/>
    <x v="2"/>
    <x v="0"/>
  </r>
  <r>
    <x v="30"/>
    <x v="75"/>
    <x v="435"/>
    <x v="7"/>
    <x v="239"/>
    <x v="53"/>
    <x v="208"/>
    <x v="0"/>
    <x v="2"/>
    <x v="0"/>
  </r>
  <r>
    <x v="30"/>
    <x v="67"/>
    <x v="434"/>
    <x v="2"/>
    <x v="266"/>
    <x v="73"/>
    <x v="193"/>
    <x v="0"/>
    <x v="2"/>
    <x v="0"/>
  </r>
  <r>
    <x v="30"/>
    <x v="9"/>
    <x v="432"/>
    <x v="7"/>
    <x v="201"/>
    <x v="62"/>
    <x v="159"/>
    <x v="0"/>
    <x v="2"/>
    <x v="0"/>
  </r>
  <r>
    <x v="30"/>
    <x v="89"/>
    <x v="436"/>
    <x v="8"/>
    <x v="53"/>
    <x v="33"/>
    <x v="21"/>
    <x v="0"/>
    <x v="2"/>
    <x v="0"/>
  </r>
  <r>
    <x v="30"/>
    <x v="46"/>
    <x v="433"/>
    <x v="8"/>
    <x v="67"/>
    <x v="27"/>
    <x v="48"/>
    <x v="0"/>
    <x v="2"/>
    <x v="0"/>
  </r>
  <r>
    <x v="30"/>
    <x v="241"/>
    <x v="441"/>
    <x v="7"/>
    <x v="116"/>
    <x v="56"/>
    <x v="80"/>
    <x v="0"/>
    <x v="2"/>
    <x v="0"/>
  </r>
  <r>
    <x v="30"/>
    <x v="128"/>
    <x v="437"/>
    <x v="0"/>
    <x v="166"/>
    <x v="93"/>
    <x v="85"/>
    <x v="0"/>
    <x v="2"/>
    <x v="0"/>
  </r>
  <r>
    <x v="30"/>
    <x v="212"/>
    <x v="439"/>
    <x v="9"/>
    <x v="89"/>
    <x v="36"/>
    <x v="44"/>
    <x v="0"/>
    <x v="5"/>
    <x v="0"/>
  </r>
  <r>
    <x v="30"/>
    <x v="236"/>
    <x v="440"/>
    <x v="2"/>
    <x v="186"/>
    <x v="74"/>
    <x v="126"/>
    <x v="0"/>
    <x v="2"/>
    <x v="0"/>
  </r>
  <r>
    <x v="30"/>
    <x v="270"/>
    <x v="453"/>
    <x v="3"/>
    <x v="246"/>
    <x v="95"/>
    <x v="146"/>
    <x v="0"/>
    <x v="2"/>
    <x v="0"/>
  </r>
  <r>
    <x v="30"/>
    <x v="199"/>
    <x v="438"/>
    <x v="6"/>
    <x v="29"/>
    <x v="21"/>
    <x v="18"/>
    <x v="0"/>
    <x v="2"/>
    <x v="0"/>
  </r>
  <r>
    <x v="30"/>
    <x v="279"/>
    <x v="442"/>
    <x v="1"/>
    <x v="23"/>
    <x v="13"/>
    <x v="19"/>
    <x v="0"/>
    <x v="2"/>
    <x v="0"/>
  </r>
  <r>
    <x v="30"/>
    <x v="208"/>
    <x v="452"/>
    <x v="3"/>
    <x v="146"/>
    <x v="92"/>
    <x v="59"/>
    <x v="0"/>
    <x v="4"/>
    <x v="0"/>
  </r>
  <r>
    <x v="0"/>
    <x v="301"/>
    <x v="443"/>
    <x v="3"/>
    <x v="179"/>
    <x v="100"/>
    <x v="104"/>
    <x v="0"/>
    <x v="4"/>
    <x v="0"/>
  </r>
  <r>
    <x v="0"/>
    <x v="137"/>
    <x v="16"/>
    <x v="3"/>
    <x v="238"/>
    <x v="100"/>
    <x v="137"/>
    <x v="0"/>
    <x v="2"/>
    <x v="0"/>
  </r>
  <r>
    <x v="1"/>
    <x v="200"/>
    <x v="29"/>
    <x v="9"/>
    <x v="92"/>
    <x v="40"/>
    <x v="44"/>
    <x v="0"/>
    <x v="5"/>
    <x v="0"/>
  </r>
  <r>
    <x v="1"/>
    <x v="224"/>
    <x v="30"/>
    <x v="6"/>
    <x v="28"/>
    <x v="22"/>
    <x v="16"/>
    <x v="0"/>
    <x v="2"/>
    <x v="0"/>
  </r>
  <r>
    <x v="2"/>
    <x v="135"/>
    <x v="40"/>
    <x v="2"/>
    <x v="226"/>
    <x v="86"/>
    <x v="133"/>
    <x v="0"/>
    <x v="2"/>
    <x v="0"/>
  </r>
  <r>
    <x v="5"/>
    <x v="189"/>
    <x v="83"/>
    <x v="4"/>
    <x v="6"/>
    <x v="7"/>
    <x v="8"/>
    <x v="0"/>
    <x v="2"/>
    <x v="0"/>
  </r>
  <r>
    <x v="17"/>
    <x v="144"/>
    <x v="244"/>
    <x v="3"/>
    <x v="259"/>
    <x v="94"/>
    <x v="165"/>
    <x v="0"/>
    <x v="2"/>
    <x v="0"/>
  </r>
  <r>
    <x v="22"/>
    <x v="191"/>
    <x v="320"/>
    <x v="4"/>
    <x v="3"/>
    <x v="5"/>
    <x v="5"/>
    <x v="0"/>
    <x v="2"/>
    <x v="0"/>
  </r>
  <r>
    <x v="26"/>
    <x v="181"/>
    <x v="373"/>
    <x v="4"/>
    <x v="3"/>
    <x v="8"/>
    <x v="1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aPilot1" cacheId="1" applyNumberFormats="0" applyBorderFormats="0" applyFontFormats="0" applyPatternFormats="0" applyAlignmentFormats="0" applyWidthHeightFormats="0" dataCaption="Values" itemPrintTitles="1" indent="0" compact="0" compactData="0">
  <location ref="A3:H15" firstHeaderRow="1" firstDataRow="2" firstDataCol="1" rowPageCount="1" colPageCount="1"/>
  <pivotFields count="10">
    <pivotField axis="axisPage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outline="0" showAll="0"/>
    <pivotField compact="0" showAll="0"/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56"/>
  <sheetViews>
    <sheetView tabSelected="1" zoomScaleNormal="100" workbookViewId="0">
      <selection activeCell="B448" sqref="B448"/>
    </sheetView>
  </sheetViews>
  <sheetFormatPr defaultColWidth="10.6640625" defaultRowHeight="18"/>
  <cols>
    <col min="9" max="9" width="12.5546875" customWidth="1"/>
  </cols>
  <sheetData>
    <row r="1" spans="1:10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7">
        <v>45139</v>
      </c>
      <c r="B2" s="8">
        <v>0.243055555555556</v>
      </c>
      <c r="C2" s="9">
        <v>26359</v>
      </c>
      <c r="D2" s="9" t="s">
        <v>10</v>
      </c>
      <c r="E2" s="9">
        <v>21020</v>
      </c>
      <c r="F2" s="9">
        <v>13220</v>
      </c>
      <c r="G2" s="9">
        <v>7800</v>
      </c>
      <c r="H2" s="9" t="s">
        <v>11</v>
      </c>
      <c r="I2" s="9" t="s">
        <v>12</v>
      </c>
      <c r="J2" t="s">
        <v>13</v>
      </c>
    </row>
    <row r="3" spans="1:10">
      <c r="A3" s="7">
        <v>45139</v>
      </c>
      <c r="B3" s="8">
        <v>5.6944444444444402E-2</v>
      </c>
      <c r="C3" s="9">
        <v>26340</v>
      </c>
      <c r="D3" s="9" t="s">
        <v>10</v>
      </c>
      <c r="E3" s="9">
        <v>21080</v>
      </c>
      <c r="F3" s="9">
        <v>13220</v>
      </c>
      <c r="G3" s="9">
        <v>7860</v>
      </c>
      <c r="H3" s="9" t="s">
        <v>11</v>
      </c>
      <c r="I3" s="9" t="s">
        <v>12</v>
      </c>
      <c r="J3" t="s">
        <v>13</v>
      </c>
    </row>
    <row r="4" spans="1:10">
      <c r="A4" s="7">
        <v>45139</v>
      </c>
      <c r="B4" s="8">
        <v>0.22986111111111099</v>
      </c>
      <c r="C4" s="9">
        <v>26356</v>
      </c>
      <c r="D4" s="9" t="s">
        <v>14</v>
      </c>
      <c r="E4" s="9">
        <v>15480</v>
      </c>
      <c r="F4" s="9">
        <v>12420</v>
      </c>
      <c r="G4" s="9">
        <v>3060</v>
      </c>
      <c r="H4" s="9" t="s">
        <v>11</v>
      </c>
      <c r="I4" s="9" t="s">
        <v>12</v>
      </c>
      <c r="J4" t="s">
        <v>13</v>
      </c>
    </row>
    <row r="5" spans="1:10">
      <c r="A5" s="7">
        <v>45139</v>
      </c>
      <c r="B5" s="8">
        <v>0.110416666666667</v>
      </c>
      <c r="C5" s="9">
        <v>26344</v>
      </c>
      <c r="D5" s="9" t="s">
        <v>15</v>
      </c>
      <c r="E5" s="9">
        <v>4660</v>
      </c>
      <c r="F5" s="9">
        <v>3600</v>
      </c>
      <c r="G5" s="9">
        <v>1060</v>
      </c>
      <c r="H5" s="9" t="s">
        <v>11</v>
      </c>
      <c r="I5" s="9" t="s">
        <v>12</v>
      </c>
      <c r="J5" t="s">
        <v>13</v>
      </c>
    </row>
    <row r="6" spans="1:10">
      <c r="A6" s="7">
        <v>45139</v>
      </c>
      <c r="B6" s="8">
        <v>0.15902777777777799</v>
      </c>
      <c r="C6" s="9">
        <v>26349</v>
      </c>
      <c r="D6" s="9" t="s">
        <v>16</v>
      </c>
      <c r="E6" s="9">
        <v>26360</v>
      </c>
      <c r="F6" s="9">
        <v>16160</v>
      </c>
      <c r="G6" s="9">
        <v>10200</v>
      </c>
      <c r="H6" s="9" t="s">
        <v>11</v>
      </c>
      <c r="I6" s="9" t="s">
        <v>12</v>
      </c>
      <c r="J6" t="s">
        <v>13</v>
      </c>
    </row>
    <row r="7" spans="1:10">
      <c r="A7" s="7">
        <v>45139</v>
      </c>
      <c r="B7" s="8">
        <v>0.71388888888888902</v>
      </c>
      <c r="C7" s="9">
        <v>26403</v>
      </c>
      <c r="D7" s="9" t="s">
        <v>10</v>
      </c>
      <c r="E7" s="9">
        <v>16320</v>
      </c>
      <c r="F7" s="9">
        <v>13240</v>
      </c>
      <c r="G7" s="9">
        <v>3080</v>
      </c>
      <c r="H7" s="9" t="s">
        <v>11</v>
      </c>
      <c r="I7" s="9" t="s">
        <v>12</v>
      </c>
      <c r="J7" t="s">
        <v>13</v>
      </c>
    </row>
    <row r="8" spans="1:10">
      <c r="A8" s="7">
        <v>45139</v>
      </c>
      <c r="B8" s="8">
        <v>0.88263888888888897</v>
      </c>
      <c r="C8" s="9">
        <v>26413</v>
      </c>
      <c r="D8" s="9" t="s">
        <v>17</v>
      </c>
      <c r="E8" s="9">
        <v>3260</v>
      </c>
      <c r="F8" s="9">
        <v>2700</v>
      </c>
      <c r="G8" s="9">
        <v>560</v>
      </c>
      <c r="H8" s="9" t="s">
        <v>11</v>
      </c>
      <c r="I8" s="9" t="s">
        <v>12</v>
      </c>
      <c r="J8" t="s">
        <v>13</v>
      </c>
    </row>
    <row r="9" spans="1:10">
      <c r="A9" s="7">
        <v>45139</v>
      </c>
      <c r="B9" s="8">
        <v>0.44513888888888897</v>
      </c>
      <c r="C9" s="9">
        <v>26383</v>
      </c>
      <c r="D9" s="9" t="s">
        <v>18</v>
      </c>
      <c r="E9" s="9">
        <v>3340</v>
      </c>
      <c r="F9" s="9">
        <v>2760</v>
      </c>
      <c r="G9" s="9">
        <v>580</v>
      </c>
      <c r="H9" s="9" t="s">
        <v>11</v>
      </c>
      <c r="I9" s="9" t="s">
        <v>12</v>
      </c>
      <c r="J9" t="s">
        <v>13</v>
      </c>
    </row>
    <row r="10" spans="1:10">
      <c r="A10" s="7">
        <v>45139</v>
      </c>
      <c r="B10" s="8">
        <v>0.87916666666666698</v>
      </c>
      <c r="C10" s="9">
        <v>26412</v>
      </c>
      <c r="D10" s="9" t="s">
        <v>16</v>
      </c>
      <c r="E10" s="9">
        <v>22880</v>
      </c>
      <c r="F10" s="9">
        <v>16180</v>
      </c>
      <c r="G10" s="9">
        <v>6700</v>
      </c>
      <c r="H10" s="9" t="s">
        <v>11</v>
      </c>
      <c r="I10" s="9" t="s">
        <v>12</v>
      </c>
      <c r="J10" t="s">
        <v>13</v>
      </c>
    </row>
    <row r="11" spans="1:10">
      <c r="A11" s="7">
        <v>45139</v>
      </c>
      <c r="B11" s="8">
        <v>0.20763888888888901</v>
      </c>
      <c r="C11" s="9">
        <v>26352</v>
      </c>
      <c r="D11" s="9" t="s">
        <v>15</v>
      </c>
      <c r="E11" s="9">
        <v>4180</v>
      </c>
      <c r="F11" s="9">
        <v>3680</v>
      </c>
      <c r="G11" s="9">
        <v>500</v>
      </c>
      <c r="H11" s="9" t="s">
        <v>11</v>
      </c>
      <c r="I11" s="9" t="s">
        <v>12</v>
      </c>
      <c r="J11" t="s">
        <v>13</v>
      </c>
    </row>
    <row r="12" spans="1:10" hidden="1">
      <c r="A12" s="7">
        <v>45140</v>
      </c>
      <c r="B12" s="8">
        <v>0.209722222222222</v>
      </c>
      <c r="C12" s="9">
        <v>26426</v>
      </c>
      <c r="D12" s="9" t="s">
        <v>15</v>
      </c>
      <c r="E12" s="9">
        <v>4560</v>
      </c>
      <c r="F12" s="9">
        <v>3680</v>
      </c>
      <c r="G12" s="9">
        <v>880</v>
      </c>
      <c r="H12" s="9" t="s">
        <v>11</v>
      </c>
      <c r="I12" s="9" t="s">
        <v>12</v>
      </c>
      <c r="J12" t="s">
        <v>13</v>
      </c>
    </row>
    <row r="13" spans="1:10" hidden="1">
      <c r="A13" s="7">
        <v>45140</v>
      </c>
      <c r="B13" s="8">
        <v>0.100694444444444</v>
      </c>
      <c r="C13" s="9">
        <v>26417</v>
      </c>
      <c r="D13" s="9" t="s">
        <v>15</v>
      </c>
      <c r="E13" s="9">
        <v>4580</v>
      </c>
      <c r="F13" s="9">
        <v>3580</v>
      </c>
      <c r="G13" s="9">
        <v>1000</v>
      </c>
      <c r="H13" s="9" t="s">
        <v>11</v>
      </c>
      <c r="I13" s="9" t="s">
        <v>12</v>
      </c>
      <c r="J13" t="s">
        <v>13</v>
      </c>
    </row>
    <row r="14" spans="1:10" hidden="1">
      <c r="A14" s="7">
        <v>45140</v>
      </c>
      <c r="B14" s="8">
        <v>0.16736111111111099</v>
      </c>
      <c r="C14" s="9">
        <v>26422</v>
      </c>
      <c r="D14" s="9" t="s">
        <v>16</v>
      </c>
      <c r="E14" s="9">
        <v>26600</v>
      </c>
      <c r="F14" s="9">
        <v>16180</v>
      </c>
      <c r="G14" s="9">
        <v>10420</v>
      </c>
      <c r="H14" s="9" t="s">
        <v>11</v>
      </c>
      <c r="I14" s="9" t="s">
        <v>12</v>
      </c>
      <c r="J14" t="s">
        <v>13</v>
      </c>
    </row>
    <row r="15" spans="1:10" hidden="1">
      <c r="A15" s="7">
        <v>45140</v>
      </c>
      <c r="B15" s="8">
        <v>3.1944444444444497E-2</v>
      </c>
      <c r="C15" s="9">
        <v>26415</v>
      </c>
      <c r="D15" s="9" t="s">
        <v>10</v>
      </c>
      <c r="E15" s="9">
        <v>21460</v>
      </c>
      <c r="F15" s="9">
        <v>13400</v>
      </c>
      <c r="G15" s="9">
        <v>8060</v>
      </c>
      <c r="H15" s="9" t="s">
        <v>11</v>
      </c>
      <c r="I15" s="9" t="s">
        <v>12</v>
      </c>
      <c r="J15" t="s">
        <v>13</v>
      </c>
    </row>
    <row r="16" spans="1:10" hidden="1">
      <c r="A16" s="7">
        <v>45140</v>
      </c>
      <c r="B16" s="8">
        <v>0.140972222222222</v>
      </c>
      <c r="C16" s="9">
        <v>26421</v>
      </c>
      <c r="D16" s="9" t="s">
        <v>10</v>
      </c>
      <c r="E16" s="9">
        <v>21620</v>
      </c>
      <c r="F16" s="9">
        <v>13200</v>
      </c>
      <c r="G16" s="9">
        <v>8420</v>
      </c>
      <c r="H16" s="9" t="s">
        <v>11</v>
      </c>
      <c r="I16" s="9" t="s">
        <v>12</v>
      </c>
      <c r="J16" t="s">
        <v>13</v>
      </c>
    </row>
    <row r="17" spans="1:10" hidden="1">
      <c r="A17" s="7">
        <v>45140</v>
      </c>
      <c r="B17" s="8">
        <v>0.24652777777777801</v>
      </c>
      <c r="C17" s="9">
        <v>26430</v>
      </c>
      <c r="D17" s="9" t="s">
        <v>10</v>
      </c>
      <c r="E17" s="9">
        <v>15300</v>
      </c>
      <c r="F17" s="9">
        <v>13180</v>
      </c>
      <c r="G17" s="10">
        <v>2120</v>
      </c>
      <c r="H17" s="9" t="s">
        <v>11</v>
      </c>
      <c r="I17" s="9" t="s">
        <v>12</v>
      </c>
      <c r="J17" t="s">
        <v>13</v>
      </c>
    </row>
    <row r="18" spans="1:10" hidden="1">
      <c r="A18" s="7">
        <v>45140</v>
      </c>
      <c r="B18" s="8">
        <v>0.36458333333333298</v>
      </c>
      <c r="C18" s="9">
        <v>26445</v>
      </c>
      <c r="D18" s="9" t="s">
        <v>18</v>
      </c>
      <c r="E18" s="9">
        <v>3400</v>
      </c>
      <c r="F18" s="9">
        <v>2880</v>
      </c>
      <c r="G18" s="10">
        <v>520</v>
      </c>
      <c r="H18" s="9" t="s">
        <v>11</v>
      </c>
      <c r="I18" s="9" t="s">
        <v>12</v>
      </c>
      <c r="J18" t="s">
        <v>13</v>
      </c>
    </row>
    <row r="19" spans="1:10" hidden="1">
      <c r="A19" s="7">
        <v>45140</v>
      </c>
      <c r="B19" s="8">
        <v>0.35</v>
      </c>
      <c r="C19" s="9">
        <v>26443</v>
      </c>
      <c r="D19" s="9" t="s">
        <v>16</v>
      </c>
      <c r="E19" s="9">
        <v>22800</v>
      </c>
      <c r="F19" s="9">
        <v>16320</v>
      </c>
      <c r="G19" s="10">
        <v>6480</v>
      </c>
      <c r="H19" s="9" t="s">
        <v>11</v>
      </c>
      <c r="I19" s="9" t="s">
        <v>12</v>
      </c>
      <c r="J19" t="s">
        <v>13</v>
      </c>
    </row>
    <row r="20" spans="1:10" hidden="1">
      <c r="A20" s="7">
        <v>45140</v>
      </c>
      <c r="B20" s="8">
        <v>0.86666666666666703</v>
      </c>
      <c r="C20" s="9">
        <v>26489</v>
      </c>
      <c r="D20" s="9" t="s">
        <v>19</v>
      </c>
      <c r="E20" s="9">
        <v>22920</v>
      </c>
      <c r="F20" s="9">
        <v>15880</v>
      </c>
      <c r="G20" s="10">
        <v>7040</v>
      </c>
      <c r="H20" s="9" t="s">
        <v>11</v>
      </c>
      <c r="I20" s="9" t="s">
        <v>12</v>
      </c>
      <c r="J20" t="s">
        <v>13</v>
      </c>
    </row>
    <row r="21" spans="1:10" hidden="1">
      <c r="A21" s="7">
        <v>45140</v>
      </c>
      <c r="B21" s="8">
        <v>0.69374999999999998</v>
      </c>
      <c r="C21" s="9">
        <v>26479</v>
      </c>
      <c r="D21" s="9" t="s">
        <v>10</v>
      </c>
      <c r="E21" s="9">
        <v>15960</v>
      </c>
      <c r="F21" s="9">
        <v>13140</v>
      </c>
      <c r="G21" s="10">
        <v>2820</v>
      </c>
      <c r="H21" s="9" t="s">
        <v>11</v>
      </c>
      <c r="I21" s="9" t="s">
        <v>12</v>
      </c>
      <c r="J21" t="s">
        <v>13</v>
      </c>
    </row>
    <row r="22" spans="1:10" hidden="1">
      <c r="A22" s="7">
        <v>45140</v>
      </c>
      <c r="B22" s="8">
        <v>0.87986111111111098</v>
      </c>
      <c r="C22" s="9">
        <v>26490</v>
      </c>
      <c r="D22" s="9" t="s">
        <v>17</v>
      </c>
      <c r="E22" s="9">
        <v>3020</v>
      </c>
      <c r="F22" s="9">
        <v>2680</v>
      </c>
      <c r="G22" s="10">
        <v>340</v>
      </c>
      <c r="H22" s="9" t="s">
        <v>11</v>
      </c>
      <c r="I22" s="9" t="s">
        <v>12</v>
      </c>
      <c r="J22" t="s">
        <v>13</v>
      </c>
    </row>
    <row r="23" spans="1:10" hidden="1">
      <c r="A23" s="7">
        <v>45141</v>
      </c>
      <c r="B23" s="8">
        <v>0.16666666666666699</v>
      </c>
      <c r="C23" s="9">
        <v>26502</v>
      </c>
      <c r="D23" s="9" t="s">
        <v>19</v>
      </c>
      <c r="E23" s="9">
        <v>28040</v>
      </c>
      <c r="F23" s="9">
        <v>16080</v>
      </c>
      <c r="G23" s="10">
        <v>11960</v>
      </c>
      <c r="H23" s="9" t="s">
        <v>11</v>
      </c>
      <c r="I23" s="9" t="s">
        <v>12</v>
      </c>
      <c r="J23" t="s">
        <v>13</v>
      </c>
    </row>
    <row r="24" spans="1:10" hidden="1">
      <c r="A24" s="7">
        <v>45141</v>
      </c>
      <c r="B24" s="8">
        <v>6.9444444444444406E-2</v>
      </c>
      <c r="C24" s="9">
        <v>26494</v>
      </c>
      <c r="D24" s="9" t="s">
        <v>10</v>
      </c>
      <c r="E24" s="9">
        <v>22480</v>
      </c>
      <c r="F24" s="9">
        <v>13180</v>
      </c>
      <c r="G24" s="10">
        <v>9300</v>
      </c>
      <c r="H24" s="9" t="s">
        <v>11</v>
      </c>
      <c r="I24" s="9" t="s">
        <v>12</v>
      </c>
      <c r="J24" t="s">
        <v>13</v>
      </c>
    </row>
    <row r="25" spans="1:10" hidden="1">
      <c r="A25" s="7">
        <v>45141</v>
      </c>
      <c r="B25" s="8">
        <v>0.225694444444444</v>
      </c>
      <c r="C25" s="9">
        <v>26508</v>
      </c>
      <c r="D25" s="9" t="s">
        <v>10</v>
      </c>
      <c r="E25" s="9">
        <v>23440</v>
      </c>
      <c r="F25" s="9">
        <v>13180</v>
      </c>
      <c r="G25" s="10">
        <v>10260</v>
      </c>
      <c r="H25" s="9" t="s">
        <v>11</v>
      </c>
      <c r="I25" s="9" t="s">
        <v>12</v>
      </c>
      <c r="J25" t="s">
        <v>13</v>
      </c>
    </row>
    <row r="26" spans="1:10" hidden="1">
      <c r="A26" s="7">
        <v>45141</v>
      </c>
      <c r="B26" s="8">
        <v>0.13750000000000001</v>
      </c>
      <c r="C26" s="9">
        <v>26499</v>
      </c>
      <c r="D26" s="9" t="s">
        <v>15</v>
      </c>
      <c r="E26" s="9">
        <v>4920</v>
      </c>
      <c r="F26" s="9">
        <v>3600</v>
      </c>
      <c r="G26" s="10">
        <v>1320</v>
      </c>
      <c r="H26" s="9" t="s">
        <v>11</v>
      </c>
      <c r="I26" s="9" t="s">
        <v>12</v>
      </c>
      <c r="J26" t="s">
        <v>13</v>
      </c>
    </row>
    <row r="27" spans="1:10" hidden="1">
      <c r="A27" s="7">
        <v>45141</v>
      </c>
      <c r="B27" s="8">
        <v>0.21666666666666701</v>
      </c>
      <c r="C27" s="9">
        <v>26506</v>
      </c>
      <c r="D27" s="9" t="s">
        <v>15</v>
      </c>
      <c r="E27" s="9">
        <v>4460</v>
      </c>
      <c r="F27" s="9">
        <v>3780</v>
      </c>
      <c r="G27" s="10">
        <v>680</v>
      </c>
      <c r="H27" s="9" t="s">
        <v>11</v>
      </c>
      <c r="I27" s="9" t="s">
        <v>12</v>
      </c>
      <c r="J27" t="s">
        <v>13</v>
      </c>
    </row>
    <row r="28" spans="1:10" hidden="1">
      <c r="A28" s="7">
        <v>45141</v>
      </c>
      <c r="B28" s="8">
        <v>0.25624999999999998</v>
      </c>
      <c r="C28" s="9">
        <v>26515</v>
      </c>
      <c r="D28" s="9" t="s">
        <v>20</v>
      </c>
      <c r="E28" s="9">
        <v>18980</v>
      </c>
      <c r="F28" s="9">
        <v>16140</v>
      </c>
      <c r="G28" s="10">
        <v>2840</v>
      </c>
      <c r="H28" s="9" t="s">
        <v>11</v>
      </c>
      <c r="I28" s="9" t="s">
        <v>12</v>
      </c>
      <c r="J28" t="s">
        <v>13</v>
      </c>
    </row>
    <row r="29" spans="1:10" hidden="1">
      <c r="A29" s="7">
        <v>45141</v>
      </c>
      <c r="B29" s="8">
        <v>0.43055555555555602</v>
      </c>
      <c r="C29" s="9">
        <v>26540</v>
      </c>
      <c r="D29" s="9" t="s">
        <v>18</v>
      </c>
      <c r="E29" s="9">
        <v>3600</v>
      </c>
      <c r="F29" s="9">
        <v>2860</v>
      </c>
      <c r="G29" s="10">
        <v>740</v>
      </c>
      <c r="H29" s="9" t="s">
        <v>11</v>
      </c>
      <c r="I29" s="9" t="s">
        <v>12</v>
      </c>
      <c r="J29" t="s">
        <v>13</v>
      </c>
    </row>
    <row r="30" spans="1:10" hidden="1">
      <c r="A30" s="7">
        <v>45141</v>
      </c>
      <c r="B30" s="8">
        <v>0.47152777777777799</v>
      </c>
      <c r="C30" s="9">
        <v>26546</v>
      </c>
      <c r="D30" s="9" t="s">
        <v>21</v>
      </c>
      <c r="E30" s="9">
        <v>6240</v>
      </c>
      <c r="F30" s="9">
        <v>5480</v>
      </c>
      <c r="G30" s="10">
        <v>760</v>
      </c>
      <c r="H30" s="9" t="s">
        <v>11</v>
      </c>
      <c r="I30" s="9" t="s">
        <v>22</v>
      </c>
      <c r="J30" t="s">
        <v>13</v>
      </c>
    </row>
    <row r="31" spans="1:10" hidden="1">
      <c r="A31" s="7">
        <v>45141</v>
      </c>
      <c r="B31" s="8">
        <v>0.484027777777778</v>
      </c>
      <c r="C31" s="9">
        <v>160705</v>
      </c>
      <c r="D31" s="9" t="s">
        <v>19</v>
      </c>
      <c r="E31" s="9">
        <v>17560</v>
      </c>
      <c r="F31" s="9">
        <v>15860</v>
      </c>
      <c r="G31" s="10">
        <v>1700</v>
      </c>
      <c r="H31" s="9" t="s">
        <v>11</v>
      </c>
      <c r="I31" s="9" t="s">
        <v>23</v>
      </c>
      <c r="J31" t="s">
        <v>13</v>
      </c>
    </row>
    <row r="32" spans="1:10" hidden="1">
      <c r="A32" s="7">
        <v>45141</v>
      </c>
      <c r="B32" s="8">
        <v>0.88263888888888897</v>
      </c>
      <c r="C32" s="9">
        <v>26579</v>
      </c>
      <c r="D32" s="9" t="s">
        <v>17</v>
      </c>
      <c r="E32" s="9">
        <v>3180</v>
      </c>
      <c r="F32" s="9">
        <v>2760</v>
      </c>
      <c r="G32" s="10">
        <v>420</v>
      </c>
      <c r="H32" s="9" t="s">
        <v>11</v>
      </c>
      <c r="I32" s="9" t="s">
        <v>12</v>
      </c>
      <c r="J32" t="s">
        <v>13</v>
      </c>
    </row>
    <row r="33" spans="1:10" hidden="1">
      <c r="A33" s="7">
        <v>45141</v>
      </c>
      <c r="B33" s="8">
        <v>0.88680555555555596</v>
      </c>
      <c r="C33" s="9">
        <v>26580</v>
      </c>
      <c r="D33" s="9" t="s">
        <v>16</v>
      </c>
      <c r="E33" s="9">
        <v>24220</v>
      </c>
      <c r="F33" s="9">
        <v>16160</v>
      </c>
      <c r="G33" s="10">
        <v>8060</v>
      </c>
      <c r="H33" s="9" t="s">
        <v>11</v>
      </c>
      <c r="I33" s="9" t="s">
        <v>12</v>
      </c>
      <c r="J33" t="s">
        <v>13</v>
      </c>
    </row>
    <row r="34" spans="1:10" hidden="1">
      <c r="A34" s="7">
        <v>45141</v>
      </c>
      <c r="B34" s="8">
        <v>0.70486111111111105</v>
      </c>
      <c r="C34" s="9">
        <v>26568</v>
      </c>
      <c r="D34" s="9" t="s">
        <v>10</v>
      </c>
      <c r="E34" s="9">
        <v>16100</v>
      </c>
      <c r="F34" s="9">
        <v>13240</v>
      </c>
      <c r="G34" s="10">
        <v>2860</v>
      </c>
      <c r="H34" s="9" t="s">
        <v>11</v>
      </c>
      <c r="I34" s="9" t="s">
        <v>12</v>
      </c>
      <c r="J34" t="s">
        <v>13</v>
      </c>
    </row>
    <row r="35" spans="1:10" hidden="1">
      <c r="A35" s="7">
        <v>45142</v>
      </c>
      <c r="B35" s="8">
        <v>0.21597222222222201</v>
      </c>
      <c r="C35" s="9">
        <v>26596</v>
      </c>
      <c r="D35" s="9" t="s">
        <v>17</v>
      </c>
      <c r="E35" s="9">
        <v>3440</v>
      </c>
      <c r="F35" s="9">
        <v>2820</v>
      </c>
      <c r="G35" s="10">
        <v>620</v>
      </c>
      <c r="H35" s="9" t="s">
        <v>11</v>
      </c>
      <c r="I35" s="9" t="s">
        <v>12</v>
      </c>
      <c r="J35" t="s">
        <v>13</v>
      </c>
    </row>
    <row r="36" spans="1:10" hidden="1">
      <c r="A36" s="7">
        <v>45142</v>
      </c>
      <c r="B36" s="8">
        <v>2.7777777777777801E-2</v>
      </c>
      <c r="C36" s="9">
        <v>26582</v>
      </c>
      <c r="D36" s="9" t="s">
        <v>14</v>
      </c>
      <c r="E36" s="9">
        <v>14540</v>
      </c>
      <c r="F36" s="9">
        <v>12560</v>
      </c>
      <c r="G36" s="10">
        <v>1980</v>
      </c>
      <c r="H36" s="9" t="s">
        <v>11</v>
      </c>
      <c r="I36" s="9" t="s">
        <v>12</v>
      </c>
      <c r="J36" t="s">
        <v>13</v>
      </c>
    </row>
    <row r="37" spans="1:10" hidden="1">
      <c r="A37" s="7">
        <v>45142</v>
      </c>
      <c r="B37" s="8">
        <v>0.101388888888889</v>
      </c>
      <c r="C37" s="9">
        <v>26588</v>
      </c>
      <c r="D37" s="9" t="s">
        <v>17</v>
      </c>
      <c r="E37" s="9">
        <v>3080</v>
      </c>
      <c r="F37" s="9">
        <v>2720</v>
      </c>
      <c r="G37" s="10">
        <v>360</v>
      </c>
      <c r="H37" s="9" t="s">
        <v>11</v>
      </c>
      <c r="I37" s="9" t="s">
        <v>12</v>
      </c>
      <c r="J37" t="s">
        <v>13</v>
      </c>
    </row>
    <row r="38" spans="1:10" hidden="1">
      <c r="A38" s="7">
        <v>45142</v>
      </c>
      <c r="B38" s="8">
        <v>0.23680555555555599</v>
      </c>
      <c r="C38" s="9">
        <v>26601</v>
      </c>
      <c r="D38" s="9" t="s">
        <v>16</v>
      </c>
      <c r="E38" s="9">
        <v>25420</v>
      </c>
      <c r="F38" s="9">
        <v>16060</v>
      </c>
      <c r="G38" s="10">
        <v>9360</v>
      </c>
      <c r="H38" s="9" t="s">
        <v>11</v>
      </c>
      <c r="I38" s="9" t="s">
        <v>12</v>
      </c>
      <c r="J38" t="s">
        <v>13</v>
      </c>
    </row>
    <row r="39" spans="1:10" hidden="1">
      <c r="A39" s="7">
        <v>45142</v>
      </c>
      <c r="B39" s="8">
        <v>4.4444444444444398E-2</v>
      </c>
      <c r="C39" s="9">
        <v>26583</v>
      </c>
      <c r="D39" s="9" t="s">
        <v>10</v>
      </c>
      <c r="E39" s="9">
        <v>22060</v>
      </c>
      <c r="F39" s="9">
        <v>13460</v>
      </c>
      <c r="G39" s="10">
        <v>8600</v>
      </c>
      <c r="H39" s="9" t="s">
        <v>11</v>
      </c>
      <c r="I39" s="9" t="s">
        <v>12</v>
      </c>
      <c r="J39" t="s">
        <v>13</v>
      </c>
    </row>
    <row r="40" spans="1:10" hidden="1">
      <c r="A40" s="7">
        <v>45142</v>
      </c>
      <c r="B40" s="8">
        <v>0.243055555555556</v>
      </c>
      <c r="C40" s="9">
        <v>26604</v>
      </c>
      <c r="D40" s="9" t="s">
        <v>10</v>
      </c>
      <c r="E40" s="9">
        <v>17860</v>
      </c>
      <c r="F40" s="9">
        <v>16600</v>
      </c>
      <c r="G40" s="10">
        <v>1260</v>
      </c>
      <c r="H40" s="9" t="s">
        <v>11</v>
      </c>
      <c r="I40" s="9" t="s">
        <v>12</v>
      </c>
      <c r="J40" t="s">
        <v>13</v>
      </c>
    </row>
    <row r="41" spans="1:10" hidden="1">
      <c r="A41" s="7">
        <v>45142</v>
      </c>
      <c r="B41" s="8">
        <v>0.10763888888888901</v>
      </c>
      <c r="C41" s="9">
        <v>26587</v>
      </c>
      <c r="D41" s="9" t="s">
        <v>18</v>
      </c>
      <c r="E41" s="9">
        <v>3720</v>
      </c>
      <c r="F41" s="9">
        <v>2860</v>
      </c>
      <c r="G41" s="10">
        <v>860</v>
      </c>
      <c r="H41" s="9" t="s">
        <v>11</v>
      </c>
      <c r="I41" s="9" t="s">
        <v>12</v>
      </c>
      <c r="J41" t="s">
        <v>13</v>
      </c>
    </row>
    <row r="42" spans="1:10" hidden="1">
      <c r="A42" s="7">
        <v>45142</v>
      </c>
      <c r="B42" s="8">
        <v>0.133333333333333</v>
      </c>
      <c r="C42" s="9">
        <v>26591</v>
      </c>
      <c r="D42" s="9" t="s">
        <v>10</v>
      </c>
      <c r="E42" s="9">
        <v>21200</v>
      </c>
      <c r="F42" s="9">
        <v>13540</v>
      </c>
      <c r="G42" s="10">
        <v>7660</v>
      </c>
      <c r="H42" s="9" t="s">
        <v>11</v>
      </c>
      <c r="I42" s="9" t="s">
        <v>12</v>
      </c>
      <c r="J42" t="s">
        <v>13</v>
      </c>
    </row>
    <row r="43" spans="1:10" hidden="1">
      <c r="A43" s="7">
        <v>45142</v>
      </c>
      <c r="B43" s="8">
        <v>0.23263888888888901</v>
      </c>
      <c r="C43" s="9">
        <v>26600</v>
      </c>
      <c r="D43" s="9" t="s">
        <v>19</v>
      </c>
      <c r="E43" s="9">
        <v>26360</v>
      </c>
      <c r="F43" s="9">
        <v>15940</v>
      </c>
      <c r="G43" s="10">
        <v>10420</v>
      </c>
      <c r="H43" s="9" t="s">
        <v>11</v>
      </c>
      <c r="I43" s="9" t="s">
        <v>12</v>
      </c>
      <c r="J43" t="s">
        <v>13</v>
      </c>
    </row>
    <row r="44" spans="1:10" hidden="1">
      <c r="A44" s="7">
        <v>45142</v>
      </c>
      <c r="B44" s="8">
        <v>0.92291666666666705</v>
      </c>
      <c r="C44" s="9">
        <v>26654</v>
      </c>
      <c r="D44" s="9" t="s">
        <v>16</v>
      </c>
      <c r="E44" s="9">
        <v>25820</v>
      </c>
      <c r="F44" s="9">
        <v>16180</v>
      </c>
      <c r="G44" s="10">
        <v>9640</v>
      </c>
      <c r="H44" s="9" t="s">
        <v>11</v>
      </c>
      <c r="I44" s="9" t="s">
        <v>12</v>
      </c>
      <c r="J44" t="s">
        <v>13</v>
      </c>
    </row>
    <row r="45" spans="1:10" hidden="1">
      <c r="A45" s="7">
        <v>45142</v>
      </c>
      <c r="B45" s="8">
        <v>0.42986111111111103</v>
      </c>
      <c r="C45" s="9">
        <v>26623</v>
      </c>
      <c r="D45" s="9" t="s">
        <v>15</v>
      </c>
      <c r="E45" s="9">
        <v>4100</v>
      </c>
      <c r="F45" s="9">
        <v>3560</v>
      </c>
      <c r="G45" s="10">
        <v>540</v>
      </c>
      <c r="H45" s="9" t="s">
        <v>11</v>
      </c>
      <c r="I45" s="9" t="s">
        <v>12</v>
      </c>
      <c r="J45" t="s">
        <v>13</v>
      </c>
    </row>
    <row r="46" spans="1:10" hidden="1">
      <c r="A46" s="7">
        <v>45142</v>
      </c>
      <c r="B46" s="8">
        <v>0.80347222222222203</v>
      </c>
      <c r="C46" s="9">
        <v>26652</v>
      </c>
      <c r="D46" s="9" t="s">
        <v>17</v>
      </c>
      <c r="E46" s="9">
        <v>3100</v>
      </c>
      <c r="F46" s="9">
        <v>2680</v>
      </c>
      <c r="G46" s="10">
        <v>420</v>
      </c>
      <c r="H46" s="9" t="s">
        <v>11</v>
      </c>
      <c r="I46" s="9" t="s">
        <v>12</v>
      </c>
      <c r="J46" t="s">
        <v>13</v>
      </c>
    </row>
    <row r="47" spans="1:10" hidden="1">
      <c r="A47" s="7">
        <v>45142</v>
      </c>
      <c r="B47" s="8">
        <v>0.89305555555555605</v>
      </c>
      <c r="C47" s="9">
        <v>26653</v>
      </c>
      <c r="D47" s="9" t="s">
        <v>17</v>
      </c>
      <c r="E47" s="9">
        <v>3000</v>
      </c>
      <c r="F47" s="9">
        <v>2760</v>
      </c>
      <c r="G47" s="10">
        <v>240</v>
      </c>
      <c r="H47" s="9" t="s">
        <v>11</v>
      </c>
      <c r="I47" s="9" t="s">
        <v>12</v>
      </c>
      <c r="J47" t="s">
        <v>13</v>
      </c>
    </row>
    <row r="48" spans="1:10" hidden="1">
      <c r="A48" s="7">
        <v>45142</v>
      </c>
      <c r="B48" s="8">
        <v>0.49861111111111101</v>
      </c>
      <c r="C48" s="9">
        <v>26633</v>
      </c>
      <c r="D48" s="9" t="s">
        <v>20</v>
      </c>
      <c r="E48" s="9">
        <v>19740</v>
      </c>
      <c r="F48" s="9">
        <v>15960</v>
      </c>
      <c r="G48" s="10">
        <v>3780</v>
      </c>
      <c r="H48" s="9" t="s">
        <v>11</v>
      </c>
      <c r="I48" s="9" t="s">
        <v>12</v>
      </c>
      <c r="J48" t="s">
        <v>13</v>
      </c>
    </row>
    <row r="49" spans="1:10" hidden="1">
      <c r="A49" s="7">
        <v>45142</v>
      </c>
      <c r="B49" s="8">
        <v>0.70763888888888904</v>
      </c>
      <c r="C49" s="9">
        <v>26650</v>
      </c>
      <c r="D49" s="9" t="s">
        <v>10</v>
      </c>
      <c r="E49" s="9">
        <v>16280</v>
      </c>
      <c r="F49" s="9">
        <v>13220</v>
      </c>
      <c r="G49" s="10">
        <v>3060</v>
      </c>
      <c r="H49" s="9" t="s">
        <v>11</v>
      </c>
      <c r="I49" s="9" t="s">
        <v>12</v>
      </c>
      <c r="J49" t="s">
        <v>13</v>
      </c>
    </row>
    <row r="50" spans="1:10" hidden="1">
      <c r="A50" s="7">
        <v>45142</v>
      </c>
      <c r="B50" s="8">
        <v>0.44583333333333303</v>
      </c>
      <c r="C50" s="9">
        <v>26626</v>
      </c>
      <c r="D50" s="9" t="s">
        <v>24</v>
      </c>
      <c r="E50" s="9">
        <v>2600</v>
      </c>
      <c r="F50" s="9">
        <v>2400</v>
      </c>
      <c r="G50" s="10">
        <v>200</v>
      </c>
      <c r="H50" s="9" t="s">
        <v>11</v>
      </c>
      <c r="I50" s="9" t="s">
        <v>12</v>
      </c>
      <c r="J50" t="s">
        <v>13</v>
      </c>
    </row>
    <row r="51" spans="1:10" hidden="1">
      <c r="A51" s="7">
        <v>45142</v>
      </c>
      <c r="B51" s="8">
        <v>0.49722222222222201</v>
      </c>
      <c r="C51" s="9">
        <v>26634</v>
      </c>
      <c r="D51" s="9" t="s">
        <v>17</v>
      </c>
      <c r="E51" s="9">
        <v>3100</v>
      </c>
      <c r="F51" s="9">
        <v>2800</v>
      </c>
      <c r="G51" s="10">
        <v>300</v>
      </c>
      <c r="H51" s="9" t="s">
        <v>11</v>
      </c>
      <c r="I51" s="9" t="s">
        <v>25</v>
      </c>
      <c r="J51" t="s">
        <v>13</v>
      </c>
    </row>
    <row r="52" spans="1:10" hidden="1">
      <c r="A52" s="7">
        <v>45142</v>
      </c>
      <c r="B52" s="8">
        <v>0.48055555555555601</v>
      </c>
      <c r="C52" s="9">
        <v>4596</v>
      </c>
      <c r="D52" s="9" t="s">
        <v>16</v>
      </c>
      <c r="E52" s="9">
        <v>19580</v>
      </c>
      <c r="F52" s="9">
        <v>15760</v>
      </c>
      <c r="G52" s="10">
        <v>3820</v>
      </c>
      <c r="H52" s="9" t="s">
        <v>11</v>
      </c>
      <c r="I52" s="9" t="s">
        <v>26</v>
      </c>
      <c r="J52" t="s">
        <v>13</v>
      </c>
    </row>
    <row r="53" spans="1:10" hidden="1">
      <c r="A53" s="7">
        <v>45143</v>
      </c>
      <c r="B53" s="8">
        <v>0.22083333333333299</v>
      </c>
      <c r="C53" s="9">
        <v>26672</v>
      </c>
      <c r="D53" s="9" t="s">
        <v>15</v>
      </c>
      <c r="E53" s="9">
        <v>4360</v>
      </c>
      <c r="F53" s="9">
        <v>3580</v>
      </c>
      <c r="G53" s="10">
        <v>780</v>
      </c>
      <c r="H53" s="9" t="s">
        <v>11</v>
      </c>
      <c r="I53" s="9" t="s">
        <v>12</v>
      </c>
      <c r="J53" t="s">
        <v>13</v>
      </c>
    </row>
    <row r="54" spans="1:10" hidden="1">
      <c r="A54" s="7">
        <v>45143</v>
      </c>
      <c r="B54" s="8">
        <v>0.22083333333333299</v>
      </c>
      <c r="C54" s="9">
        <v>26673</v>
      </c>
      <c r="D54" s="9" t="s">
        <v>17</v>
      </c>
      <c r="E54" s="9">
        <v>3160</v>
      </c>
      <c r="F54" s="9">
        <v>2800</v>
      </c>
      <c r="G54" s="10">
        <v>360</v>
      </c>
      <c r="H54" s="9" t="s">
        <v>11</v>
      </c>
      <c r="I54" s="9" t="s">
        <v>12</v>
      </c>
      <c r="J54" t="s">
        <v>13</v>
      </c>
    </row>
    <row r="55" spans="1:10" hidden="1">
      <c r="A55" s="7">
        <v>45143</v>
      </c>
      <c r="B55" s="8">
        <v>0.47499999999999998</v>
      </c>
      <c r="C55" s="9">
        <v>26699</v>
      </c>
      <c r="D55" s="9" t="s">
        <v>17</v>
      </c>
      <c r="E55" s="9">
        <v>3160</v>
      </c>
      <c r="F55" s="9">
        <v>2660</v>
      </c>
      <c r="G55" s="10">
        <v>500</v>
      </c>
      <c r="H55" s="9" t="s">
        <v>11</v>
      </c>
      <c r="I55" s="9" t="s">
        <v>12</v>
      </c>
      <c r="J55" t="s">
        <v>13</v>
      </c>
    </row>
    <row r="56" spans="1:10" hidden="1">
      <c r="A56" s="7">
        <v>45143</v>
      </c>
      <c r="B56" s="8">
        <v>0.89375000000000004</v>
      </c>
      <c r="C56" s="9">
        <v>26711</v>
      </c>
      <c r="D56" s="9" t="s">
        <v>19</v>
      </c>
      <c r="E56" s="9">
        <v>26660</v>
      </c>
      <c r="F56" s="9">
        <v>15860</v>
      </c>
      <c r="G56" s="10">
        <v>10800</v>
      </c>
      <c r="H56" s="9" t="s">
        <v>11</v>
      </c>
      <c r="I56" s="9" t="s">
        <v>12</v>
      </c>
      <c r="J56" t="s">
        <v>13</v>
      </c>
    </row>
    <row r="57" spans="1:10" hidden="1">
      <c r="A57" s="7">
        <v>45143</v>
      </c>
      <c r="B57" s="8">
        <v>0.88055555555555598</v>
      </c>
      <c r="C57" s="9">
        <v>26710</v>
      </c>
      <c r="D57" s="9" t="s">
        <v>17</v>
      </c>
      <c r="E57" s="9">
        <v>3140</v>
      </c>
      <c r="F57" s="9">
        <v>2740</v>
      </c>
      <c r="G57" s="10">
        <v>400</v>
      </c>
      <c r="H57" s="9" t="s">
        <v>11</v>
      </c>
      <c r="I57" s="9" t="s">
        <v>12</v>
      </c>
      <c r="J57" t="s">
        <v>13</v>
      </c>
    </row>
    <row r="58" spans="1:10" hidden="1">
      <c r="A58" s="7">
        <v>45143</v>
      </c>
      <c r="B58" s="8">
        <v>0.48611111111111099</v>
      </c>
      <c r="C58" s="9">
        <v>26701</v>
      </c>
      <c r="D58" s="9" t="s">
        <v>21</v>
      </c>
      <c r="E58" s="9">
        <v>6480</v>
      </c>
      <c r="F58" s="9">
        <v>5540</v>
      </c>
      <c r="G58" s="10">
        <v>940</v>
      </c>
      <c r="H58" s="9" t="s">
        <v>11</v>
      </c>
      <c r="I58" s="9" t="s">
        <v>22</v>
      </c>
      <c r="J58" t="s">
        <v>13</v>
      </c>
    </row>
    <row r="59" spans="1:10" hidden="1">
      <c r="A59" s="7">
        <v>45143</v>
      </c>
      <c r="B59" s="8">
        <v>0.70555555555555605</v>
      </c>
      <c r="C59" s="9">
        <v>26707</v>
      </c>
      <c r="D59" s="9" t="s">
        <v>10</v>
      </c>
      <c r="E59" s="9">
        <v>16680</v>
      </c>
      <c r="F59" s="9">
        <v>13280</v>
      </c>
      <c r="G59" s="10">
        <v>3400</v>
      </c>
      <c r="H59" s="9" t="s">
        <v>11</v>
      </c>
      <c r="I59" s="9" t="s">
        <v>12</v>
      </c>
      <c r="J59" t="s">
        <v>13</v>
      </c>
    </row>
    <row r="60" spans="1:10" hidden="1">
      <c r="A60" s="7">
        <v>45143</v>
      </c>
      <c r="B60" s="8">
        <v>0.24027777777777801</v>
      </c>
      <c r="C60" s="9">
        <v>26675</v>
      </c>
      <c r="D60" s="9" t="s">
        <v>19</v>
      </c>
      <c r="E60" s="9">
        <v>27500</v>
      </c>
      <c r="F60" s="9">
        <v>15840</v>
      </c>
      <c r="G60" s="10">
        <v>11660</v>
      </c>
      <c r="H60" s="9" t="s">
        <v>11</v>
      </c>
      <c r="I60" s="9" t="s">
        <v>12</v>
      </c>
      <c r="J60" t="s">
        <v>13</v>
      </c>
    </row>
    <row r="61" spans="1:10" hidden="1">
      <c r="A61" s="7">
        <v>45143</v>
      </c>
      <c r="B61" s="8">
        <v>0.13750000000000001</v>
      </c>
      <c r="C61" s="9">
        <v>26663</v>
      </c>
      <c r="D61" s="9" t="s">
        <v>15</v>
      </c>
      <c r="E61" s="9">
        <v>4680</v>
      </c>
      <c r="F61" s="9">
        <v>3580</v>
      </c>
      <c r="G61" s="10">
        <v>1100</v>
      </c>
      <c r="H61" s="9" t="s">
        <v>11</v>
      </c>
      <c r="I61" s="9" t="s">
        <v>12</v>
      </c>
      <c r="J61" t="s">
        <v>13</v>
      </c>
    </row>
    <row r="62" spans="1:10" hidden="1">
      <c r="A62" s="7">
        <v>45143</v>
      </c>
      <c r="B62" s="8">
        <v>0.18888888888888899</v>
      </c>
      <c r="C62" s="9">
        <v>26669</v>
      </c>
      <c r="D62" s="9" t="s">
        <v>10</v>
      </c>
      <c r="E62" s="9">
        <v>23000</v>
      </c>
      <c r="F62" s="9">
        <v>13200</v>
      </c>
      <c r="G62" s="10">
        <v>9800</v>
      </c>
      <c r="H62" s="9" t="s">
        <v>11</v>
      </c>
      <c r="I62" s="9" t="s">
        <v>12</v>
      </c>
      <c r="J62" t="s">
        <v>13</v>
      </c>
    </row>
    <row r="63" spans="1:10" hidden="1">
      <c r="A63" s="7">
        <v>45143</v>
      </c>
      <c r="B63" s="8">
        <v>0.05</v>
      </c>
      <c r="C63" s="9">
        <v>26658</v>
      </c>
      <c r="D63" s="9" t="s">
        <v>10</v>
      </c>
      <c r="E63" s="9">
        <v>21520</v>
      </c>
      <c r="F63" s="9">
        <v>13400</v>
      </c>
      <c r="G63" s="10">
        <v>8120</v>
      </c>
      <c r="H63" s="9" t="s">
        <v>11</v>
      </c>
      <c r="I63" s="9" t="s">
        <v>12</v>
      </c>
      <c r="J63" t="s">
        <v>13</v>
      </c>
    </row>
    <row r="64" spans="1:10" hidden="1">
      <c r="A64" s="7">
        <v>45143</v>
      </c>
      <c r="B64" s="8">
        <v>0.23194444444444401</v>
      </c>
      <c r="C64" s="9">
        <v>26674</v>
      </c>
      <c r="D64" s="9" t="s">
        <v>16</v>
      </c>
      <c r="E64" s="9">
        <v>25440</v>
      </c>
      <c r="F64" s="9">
        <v>16140</v>
      </c>
      <c r="G64" s="10">
        <v>9300</v>
      </c>
      <c r="H64" s="9" t="s">
        <v>11</v>
      </c>
      <c r="I64" s="9" t="s">
        <v>12</v>
      </c>
      <c r="J64" t="s">
        <v>13</v>
      </c>
    </row>
    <row r="65" spans="1:10" hidden="1">
      <c r="A65" s="7">
        <v>45143</v>
      </c>
      <c r="B65" s="8">
        <v>0.46111111111111103</v>
      </c>
      <c r="C65" s="9">
        <v>26697</v>
      </c>
      <c r="D65" s="9" t="s">
        <v>16</v>
      </c>
      <c r="E65" s="9">
        <v>17800</v>
      </c>
      <c r="F65" s="9">
        <v>16060</v>
      </c>
      <c r="G65" s="10">
        <v>1740</v>
      </c>
      <c r="H65" s="9" t="s">
        <v>11</v>
      </c>
      <c r="I65" s="9" t="s">
        <v>12</v>
      </c>
      <c r="J65" t="s">
        <v>13</v>
      </c>
    </row>
    <row r="66" spans="1:10" hidden="1">
      <c r="A66" s="7">
        <v>45144</v>
      </c>
      <c r="B66" s="8">
        <v>0.70416666666666705</v>
      </c>
      <c r="C66" s="9">
        <v>1</v>
      </c>
      <c r="D66" s="9" t="s">
        <v>10</v>
      </c>
      <c r="E66" s="9">
        <v>16420</v>
      </c>
      <c r="F66" s="9">
        <v>13200</v>
      </c>
      <c r="G66" s="10">
        <v>3220</v>
      </c>
      <c r="H66" s="9" t="s">
        <v>11</v>
      </c>
      <c r="I66" s="9" t="s">
        <v>12</v>
      </c>
      <c r="J66" t="s">
        <v>13</v>
      </c>
    </row>
    <row r="67" spans="1:10" hidden="1">
      <c r="A67" s="7">
        <v>45144</v>
      </c>
      <c r="B67" s="8">
        <v>0.89583333333333304</v>
      </c>
      <c r="C67" s="9">
        <v>26740</v>
      </c>
      <c r="D67" s="9" t="s">
        <v>19</v>
      </c>
      <c r="E67" s="9">
        <v>26600</v>
      </c>
      <c r="F67" s="9">
        <v>15960</v>
      </c>
      <c r="G67" s="10">
        <v>10640</v>
      </c>
      <c r="H67" s="9" t="s">
        <v>11</v>
      </c>
      <c r="I67" s="9" t="s">
        <v>12</v>
      </c>
      <c r="J67" t="s">
        <v>13</v>
      </c>
    </row>
    <row r="68" spans="1:10" hidden="1">
      <c r="A68" s="7">
        <v>45144</v>
      </c>
      <c r="B68" s="8">
        <v>0.47222222222222199</v>
      </c>
      <c r="C68" s="9">
        <v>26738</v>
      </c>
      <c r="D68" s="9" t="s">
        <v>17</v>
      </c>
      <c r="E68" s="9">
        <v>3340</v>
      </c>
      <c r="F68" s="9">
        <v>2700</v>
      </c>
      <c r="G68" s="10">
        <v>640</v>
      </c>
      <c r="H68" s="9" t="s">
        <v>11</v>
      </c>
      <c r="I68" s="9" t="s">
        <v>12</v>
      </c>
      <c r="J68" t="s">
        <v>13</v>
      </c>
    </row>
    <row r="69" spans="1:10" hidden="1">
      <c r="A69" s="7">
        <v>45144</v>
      </c>
      <c r="B69" s="8">
        <v>0.18472222222222201</v>
      </c>
      <c r="C69" s="9">
        <v>26724</v>
      </c>
      <c r="D69" s="9" t="s">
        <v>10</v>
      </c>
      <c r="E69" s="9">
        <v>23600</v>
      </c>
      <c r="F69" s="9">
        <v>13240</v>
      </c>
      <c r="G69" s="10">
        <v>10360</v>
      </c>
      <c r="H69" s="9" t="s">
        <v>11</v>
      </c>
      <c r="I69" s="9" t="s">
        <v>12</v>
      </c>
      <c r="J69" t="s">
        <v>13</v>
      </c>
    </row>
    <row r="70" spans="1:10" hidden="1">
      <c r="A70" s="7">
        <v>45144</v>
      </c>
      <c r="B70" s="8">
        <v>1.8749999999999999E-2</v>
      </c>
      <c r="C70" s="9">
        <v>26713</v>
      </c>
      <c r="D70" s="9" t="s">
        <v>14</v>
      </c>
      <c r="E70" s="9">
        <v>14080</v>
      </c>
      <c r="F70" s="9">
        <v>12460</v>
      </c>
      <c r="G70" s="10">
        <v>1620</v>
      </c>
      <c r="H70" s="9" t="s">
        <v>11</v>
      </c>
      <c r="I70" s="9" t="s">
        <v>12</v>
      </c>
      <c r="J70" t="s">
        <v>13</v>
      </c>
    </row>
    <row r="71" spans="1:10" hidden="1">
      <c r="A71" s="7">
        <v>45144</v>
      </c>
      <c r="B71" s="8">
        <v>0.116666666666667</v>
      </c>
      <c r="C71" s="9">
        <v>26719</v>
      </c>
      <c r="D71" s="9" t="s">
        <v>15</v>
      </c>
      <c r="E71" s="9">
        <v>4840</v>
      </c>
      <c r="F71" s="9">
        <v>3580</v>
      </c>
      <c r="G71" s="10">
        <v>1260</v>
      </c>
      <c r="H71" s="9" t="s">
        <v>11</v>
      </c>
      <c r="I71" s="9" t="s">
        <v>12</v>
      </c>
      <c r="J71" t="s">
        <v>13</v>
      </c>
    </row>
    <row r="72" spans="1:10" hidden="1">
      <c r="A72" s="7">
        <v>45144</v>
      </c>
      <c r="B72" s="8">
        <v>0.20833333333333301</v>
      </c>
      <c r="C72" s="9">
        <v>26725</v>
      </c>
      <c r="D72" s="9" t="s">
        <v>15</v>
      </c>
      <c r="E72" s="9">
        <v>4680</v>
      </c>
      <c r="F72" s="9">
        <v>3660</v>
      </c>
      <c r="G72" s="10">
        <v>1020</v>
      </c>
      <c r="H72" s="9" t="s">
        <v>11</v>
      </c>
      <c r="I72" s="9" t="s">
        <v>12</v>
      </c>
      <c r="J72" t="s">
        <v>13</v>
      </c>
    </row>
    <row r="73" spans="1:10" hidden="1">
      <c r="A73" s="7">
        <v>45144</v>
      </c>
      <c r="B73" s="8">
        <v>0.241666666666667</v>
      </c>
      <c r="C73" s="9">
        <v>26732</v>
      </c>
      <c r="D73" s="9" t="s">
        <v>19</v>
      </c>
      <c r="E73" s="9">
        <v>27840</v>
      </c>
      <c r="F73" s="9">
        <v>15940</v>
      </c>
      <c r="G73" s="10">
        <v>11900</v>
      </c>
      <c r="H73" s="9" t="s">
        <v>11</v>
      </c>
      <c r="I73" s="9" t="s">
        <v>12</v>
      </c>
      <c r="J73" t="s">
        <v>13</v>
      </c>
    </row>
    <row r="74" spans="1:10" hidden="1">
      <c r="A74" s="7">
        <v>45144</v>
      </c>
      <c r="B74" s="8">
        <v>0.89305555555555605</v>
      </c>
      <c r="C74" s="9">
        <v>26739</v>
      </c>
      <c r="D74" s="9" t="s">
        <v>17</v>
      </c>
      <c r="E74" s="9">
        <v>3200</v>
      </c>
      <c r="F74" s="9">
        <v>2760</v>
      </c>
      <c r="G74" s="10">
        <v>440</v>
      </c>
      <c r="H74" s="9" t="s">
        <v>11</v>
      </c>
      <c r="I74" s="9" t="s">
        <v>12</v>
      </c>
      <c r="J74" t="s">
        <v>13</v>
      </c>
    </row>
    <row r="75" spans="1:10" hidden="1">
      <c r="A75" s="7">
        <v>45144</v>
      </c>
      <c r="B75" s="8">
        <v>0.24861111111111101</v>
      </c>
      <c r="C75" s="9">
        <v>26733</v>
      </c>
      <c r="D75" s="9" t="s">
        <v>16</v>
      </c>
      <c r="E75" s="9">
        <v>25660</v>
      </c>
      <c r="F75" s="9">
        <v>16160</v>
      </c>
      <c r="G75" s="10">
        <v>9500</v>
      </c>
      <c r="H75" s="9" t="s">
        <v>11</v>
      </c>
      <c r="I75" s="9" t="s">
        <v>12</v>
      </c>
      <c r="J75" t="s">
        <v>13</v>
      </c>
    </row>
    <row r="76" spans="1:10" hidden="1">
      <c r="A76" s="7">
        <v>45144</v>
      </c>
      <c r="B76" s="8">
        <v>6.25E-2</v>
      </c>
      <c r="C76" s="9">
        <v>26715</v>
      </c>
      <c r="D76" s="9" t="s">
        <v>10</v>
      </c>
      <c r="E76" s="9">
        <v>23180</v>
      </c>
      <c r="F76" s="9">
        <v>13420</v>
      </c>
      <c r="G76" s="10">
        <v>9760</v>
      </c>
      <c r="H76" s="9" t="s">
        <v>11</v>
      </c>
      <c r="I76" s="9" t="s">
        <v>12</v>
      </c>
      <c r="J76" t="s">
        <v>13</v>
      </c>
    </row>
    <row r="77" spans="1:10" hidden="1">
      <c r="A77" s="7">
        <v>45145</v>
      </c>
      <c r="B77" s="8">
        <v>0.18402777777777801</v>
      </c>
      <c r="C77" s="9">
        <v>26752</v>
      </c>
      <c r="D77" s="9" t="s">
        <v>10</v>
      </c>
      <c r="E77" s="9">
        <v>22380</v>
      </c>
      <c r="F77" s="9">
        <v>13160</v>
      </c>
      <c r="G77" s="10">
        <v>9220</v>
      </c>
      <c r="H77" s="9" t="s">
        <v>11</v>
      </c>
      <c r="I77" s="9" t="s">
        <v>12</v>
      </c>
      <c r="J77" t="s">
        <v>13</v>
      </c>
    </row>
    <row r="78" spans="1:10" hidden="1">
      <c r="A78" s="7">
        <v>45145</v>
      </c>
      <c r="B78" s="8">
        <v>0.109027777777778</v>
      </c>
      <c r="C78" s="9">
        <v>26748</v>
      </c>
      <c r="D78" s="9" t="s">
        <v>15</v>
      </c>
      <c r="E78" s="9">
        <v>4880</v>
      </c>
      <c r="F78" s="9">
        <v>3600</v>
      </c>
      <c r="G78" s="10">
        <v>1280</v>
      </c>
      <c r="H78" s="9" t="s">
        <v>11</v>
      </c>
      <c r="I78" s="9" t="s">
        <v>12</v>
      </c>
      <c r="J78" t="s">
        <v>13</v>
      </c>
    </row>
    <row r="79" spans="1:10" hidden="1">
      <c r="A79" s="7">
        <v>45145</v>
      </c>
      <c r="B79" s="8">
        <v>0.23194444444444401</v>
      </c>
      <c r="C79" s="9">
        <v>26760</v>
      </c>
      <c r="D79" s="9" t="s">
        <v>16</v>
      </c>
      <c r="E79" s="9">
        <v>25600</v>
      </c>
      <c r="F79" s="9">
        <v>16180</v>
      </c>
      <c r="G79" s="10">
        <v>9420</v>
      </c>
      <c r="H79" s="9" t="s">
        <v>11</v>
      </c>
      <c r="I79" s="9" t="s">
        <v>12</v>
      </c>
      <c r="J79" t="s">
        <v>13</v>
      </c>
    </row>
    <row r="80" spans="1:10" hidden="1">
      <c r="A80" s="7">
        <v>45145</v>
      </c>
      <c r="B80" s="8">
        <v>5.2083333333333301E-2</v>
      </c>
      <c r="C80" s="9">
        <v>26745</v>
      </c>
      <c r="D80" s="9" t="s">
        <v>10</v>
      </c>
      <c r="E80" s="9">
        <v>21880</v>
      </c>
      <c r="F80" s="9">
        <v>13380</v>
      </c>
      <c r="G80" s="10">
        <v>8500</v>
      </c>
      <c r="H80" s="9" t="s">
        <v>11</v>
      </c>
      <c r="I80" s="9" t="s">
        <v>12</v>
      </c>
      <c r="J80" t="s">
        <v>13</v>
      </c>
    </row>
    <row r="81" spans="1:10" hidden="1">
      <c r="A81" s="7">
        <v>45145</v>
      </c>
      <c r="B81" s="8">
        <v>0.20833333333333301</v>
      </c>
      <c r="C81" s="9">
        <v>26753</v>
      </c>
      <c r="D81" s="9" t="s">
        <v>15</v>
      </c>
      <c r="E81" s="9">
        <v>4320</v>
      </c>
      <c r="F81" s="9">
        <v>3700</v>
      </c>
      <c r="G81" s="10">
        <v>620</v>
      </c>
      <c r="H81" s="9" t="s">
        <v>11</v>
      </c>
      <c r="I81" s="9" t="s">
        <v>12</v>
      </c>
      <c r="J81" t="s">
        <v>13</v>
      </c>
    </row>
    <row r="82" spans="1:10" hidden="1">
      <c r="A82" s="7">
        <v>45145</v>
      </c>
      <c r="B82" s="8">
        <v>0.23055555555555601</v>
      </c>
      <c r="C82" s="9">
        <v>26758</v>
      </c>
      <c r="D82" s="9" t="s">
        <v>19</v>
      </c>
      <c r="E82" s="9">
        <v>27060</v>
      </c>
      <c r="F82" s="9">
        <v>15940</v>
      </c>
      <c r="G82" s="10">
        <v>11120</v>
      </c>
      <c r="H82" s="9" t="s">
        <v>11</v>
      </c>
      <c r="I82" s="9" t="s">
        <v>12</v>
      </c>
      <c r="J82" t="s">
        <v>13</v>
      </c>
    </row>
    <row r="83" spans="1:10" hidden="1">
      <c r="A83" s="7">
        <v>45145</v>
      </c>
      <c r="B83" s="8">
        <v>0.44652777777777802</v>
      </c>
      <c r="C83" s="9">
        <v>26784</v>
      </c>
      <c r="D83" s="9" t="s">
        <v>20</v>
      </c>
      <c r="E83" s="9">
        <v>18500</v>
      </c>
      <c r="F83" s="9">
        <v>16040</v>
      </c>
      <c r="G83" s="10">
        <v>2460</v>
      </c>
      <c r="H83" s="9" t="s">
        <v>11</v>
      </c>
      <c r="I83" s="9" t="s">
        <v>12</v>
      </c>
      <c r="J83" t="s">
        <v>13</v>
      </c>
    </row>
    <row r="84" spans="1:10" hidden="1">
      <c r="A84" s="7">
        <v>45145</v>
      </c>
      <c r="B84" s="8">
        <v>0.47638888888888897</v>
      </c>
      <c r="C84" s="9">
        <v>26788</v>
      </c>
      <c r="D84" s="9" t="s">
        <v>17</v>
      </c>
      <c r="E84" s="9">
        <v>3180</v>
      </c>
      <c r="F84" s="9">
        <v>2680</v>
      </c>
      <c r="G84" s="10">
        <v>500</v>
      </c>
      <c r="H84" s="9" t="s">
        <v>11</v>
      </c>
      <c r="I84" s="9" t="s">
        <v>12</v>
      </c>
      <c r="J84" t="s">
        <v>13</v>
      </c>
    </row>
    <row r="85" spans="1:10" hidden="1">
      <c r="A85" s="7">
        <v>45145</v>
      </c>
      <c r="B85" s="8">
        <v>0.44097222222222199</v>
      </c>
      <c r="C85" s="9">
        <v>4602</v>
      </c>
      <c r="D85" s="9" t="s">
        <v>16</v>
      </c>
      <c r="E85" s="9">
        <v>19280</v>
      </c>
      <c r="F85" s="9">
        <v>15760</v>
      </c>
      <c r="G85" s="10">
        <v>3520</v>
      </c>
      <c r="H85" s="9" t="s">
        <v>11</v>
      </c>
      <c r="I85" s="9" t="s">
        <v>26</v>
      </c>
      <c r="J85" t="s">
        <v>13</v>
      </c>
    </row>
    <row r="86" spans="1:10" hidden="1">
      <c r="A86" s="7">
        <v>45145</v>
      </c>
      <c r="B86" s="8">
        <v>0.89097222222222205</v>
      </c>
      <c r="C86" s="9">
        <v>26804</v>
      </c>
      <c r="D86" s="9" t="s">
        <v>19</v>
      </c>
      <c r="E86" s="9">
        <v>24420</v>
      </c>
      <c r="F86" s="9">
        <v>15740</v>
      </c>
      <c r="G86" s="10">
        <v>8680</v>
      </c>
      <c r="H86" s="9" t="s">
        <v>11</v>
      </c>
      <c r="I86" s="9" t="s">
        <v>12</v>
      </c>
      <c r="J86" t="s">
        <v>13</v>
      </c>
    </row>
    <row r="87" spans="1:10" hidden="1">
      <c r="A87" s="7">
        <v>45145</v>
      </c>
      <c r="B87" s="8">
        <v>0.35069444444444398</v>
      </c>
      <c r="C87" s="9">
        <v>26774</v>
      </c>
      <c r="D87" s="9" t="s">
        <v>21</v>
      </c>
      <c r="E87" s="9">
        <v>6540</v>
      </c>
      <c r="F87" s="9">
        <v>5500</v>
      </c>
      <c r="G87" s="10">
        <v>1040</v>
      </c>
      <c r="H87" s="9" t="s">
        <v>11</v>
      </c>
      <c r="I87" s="9" t="s">
        <v>22</v>
      </c>
      <c r="J87" t="s">
        <v>13</v>
      </c>
    </row>
    <row r="88" spans="1:10" hidden="1">
      <c r="A88" s="7">
        <v>45145</v>
      </c>
      <c r="B88" s="8">
        <v>0.73194444444444395</v>
      </c>
      <c r="C88" s="9">
        <v>26799</v>
      </c>
      <c r="D88" s="9" t="s">
        <v>10</v>
      </c>
      <c r="E88" s="9">
        <v>16760</v>
      </c>
      <c r="F88" s="9">
        <v>13200</v>
      </c>
      <c r="G88" s="10">
        <v>3560</v>
      </c>
      <c r="H88" s="9" t="s">
        <v>11</v>
      </c>
      <c r="I88" s="9" t="s">
        <v>12</v>
      </c>
      <c r="J88" t="s">
        <v>13</v>
      </c>
    </row>
    <row r="89" spans="1:10" hidden="1">
      <c r="A89" s="7">
        <v>45145</v>
      </c>
      <c r="B89" s="8">
        <v>0.88472222222222197</v>
      </c>
      <c r="C89" s="9">
        <v>26803</v>
      </c>
      <c r="D89" s="9" t="s">
        <v>17</v>
      </c>
      <c r="E89" s="9">
        <v>3260</v>
      </c>
      <c r="F89" s="9">
        <v>2740</v>
      </c>
      <c r="G89" s="10">
        <v>520</v>
      </c>
      <c r="H89" s="9" t="s">
        <v>11</v>
      </c>
      <c r="I89" s="9" t="s">
        <v>12</v>
      </c>
      <c r="J89" t="s">
        <v>13</v>
      </c>
    </row>
    <row r="90" spans="1:10" hidden="1">
      <c r="A90" s="7">
        <v>45146</v>
      </c>
      <c r="B90" s="8">
        <v>5.7638888888888899E-2</v>
      </c>
      <c r="C90" s="9">
        <v>21360</v>
      </c>
      <c r="D90" s="9" t="s">
        <v>10</v>
      </c>
      <c r="E90" s="9">
        <v>21360</v>
      </c>
      <c r="F90" s="9">
        <v>13400</v>
      </c>
      <c r="G90" s="10">
        <v>7960</v>
      </c>
      <c r="H90" s="9" t="s">
        <v>11</v>
      </c>
      <c r="I90" s="9" t="s">
        <v>12</v>
      </c>
      <c r="J90" t="s">
        <v>13</v>
      </c>
    </row>
    <row r="91" spans="1:10" hidden="1">
      <c r="A91" s="7">
        <v>45146</v>
      </c>
      <c r="B91" s="8">
        <v>0.23263888888888901</v>
      </c>
      <c r="C91" s="9">
        <v>26821</v>
      </c>
      <c r="D91" s="9" t="s">
        <v>14</v>
      </c>
      <c r="E91" s="9">
        <v>15960</v>
      </c>
      <c r="F91" s="9">
        <v>12460</v>
      </c>
      <c r="G91" s="10">
        <v>3500</v>
      </c>
      <c r="H91" s="9" t="s">
        <v>11</v>
      </c>
      <c r="I91" s="9" t="s">
        <v>12</v>
      </c>
      <c r="J91" t="s">
        <v>13</v>
      </c>
    </row>
    <row r="92" spans="1:10" hidden="1">
      <c r="A92" s="7">
        <v>45146</v>
      </c>
      <c r="B92" s="8">
        <v>0.211805555555556</v>
      </c>
      <c r="C92" s="9">
        <v>26818</v>
      </c>
      <c r="D92" s="9" t="s">
        <v>17</v>
      </c>
      <c r="E92" s="9">
        <v>3360</v>
      </c>
      <c r="F92" s="9">
        <v>2900</v>
      </c>
      <c r="G92" s="10">
        <v>460</v>
      </c>
      <c r="H92" s="9" t="s">
        <v>11</v>
      </c>
      <c r="I92" s="9" t="s">
        <v>12</v>
      </c>
      <c r="J92" t="s">
        <v>13</v>
      </c>
    </row>
    <row r="93" spans="1:10" hidden="1">
      <c r="A93" s="7">
        <v>45146</v>
      </c>
      <c r="B93" s="8">
        <v>0.122222222222222</v>
      </c>
      <c r="C93" s="9">
        <v>26810</v>
      </c>
      <c r="D93" s="9" t="s">
        <v>15</v>
      </c>
      <c r="E93" s="9">
        <v>4920</v>
      </c>
      <c r="F93" s="9">
        <v>3580</v>
      </c>
      <c r="G93" s="10">
        <v>1340</v>
      </c>
      <c r="H93" s="9" t="s">
        <v>11</v>
      </c>
      <c r="I93" s="9" t="s">
        <v>12</v>
      </c>
      <c r="J93" t="s">
        <v>13</v>
      </c>
    </row>
    <row r="94" spans="1:10" hidden="1">
      <c r="A94" s="7">
        <v>45146</v>
      </c>
      <c r="B94" s="8">
        <v>0.24861111111111101</v>
      </c>
      <c r="C94" s="9">
        <v>26827</v>
      </c>
      <c r="D94" s="9" t="s">
        <v>10</v>
      </c>
      <c r="E94" s="9">
        <v>23400</v>
      </c>
      <c r="F94" s="9">
        <v>13200</v>
      </c>
      <c r="G94" s="10">
        <v>10200</v>
      </c>
      <c r="H94" s="9" t="s">
        <v>11</v>
      </c>
      <c r="I94" s="9" t="s">
        <v>12</v>
      </c>
      <c r="J94" t="s">
        <v>13</v>
      </c>
    </row>
    <row r="95" spans="1:10" hidden="1">
      <c r="A95" s="7">
        <v>45146</v>
      </c>
      <c r="B95" s="8">
        <v>0.15486111111111101</v>
      </c>
      <c r="C95" s="9">
        <v>26812</v>
      </c>
      <c r="D95" s="9" t="s">
        <v>19</v>
      </c>
      <c r="E95" s="9">
        <v>27040</v>
      </c>
      <c r="F95" s="9">
        <v>15880</v>
      </c>
      <c r="G95" s="10">
        <v>11160</v>
      </c>
      <c r="H95" s="9" t="s">
        <v>11</v>
      </c>
      <c r="I95" s="9" t="s">
        <v>12</v>
      </c>
      <c r="J95" t="s">
        <v>13</v>
      </c>
    </row>
    <row r="96" spans="1:10" hidden="1">
      <c r="A96" s="7">
        <v>45146</v>
      </c>
      <c r="B96" s="8">
        <v>0.70833333333333304</v>
      </c>
      <c r="C96" s="9">
        <v>26876</v>
      </c>
      <c r="D96" s="9" t="s">
        <v>10</v>
      </c>
      <c r="E96" s="9">
        <v>16260</v>
      </c>
      <c r="F96" s="9">
        <v>13160</v>
      </c>
      <c r="G96" s="10">
        <v>3100</v>
      </c>
      <c r="H96" s="9" t="s">
        <v>11</v>
      </c>
      <c r="I96" s="9" t="s">
        <v>12</v>
      </c>
      <c r="J96" t="s">
        <v>13</v>
      </c>
    </row>
    <row r="97" spans="1:10" hidden="1">
      <c r="A97" s="7">
        <v>45146</v>
      </c>
      <c r="B97" s="8">
        <v>0.47291666666666698</v>
      </c>
      <c r="C97" s="9">
        <v>26857</v>
      </c>
      <c r="D97" s="9" t="s">
        <v>17</v>
      </c>
      <c r="E97" s="9">
        <v>3140</v>
      </c>
      <c r="F97" s="9">
        <v>2700</v>
      </c>
      <c r="G97" s="10">
        <v>440</v>
      </c>
      <c r="H97" s="9" t="s">
        <v>11</v>
      </c>
      <c r="I97" s="9" t="s">
        <v>12</v>
      </c>
      <c r="J97" t="s">
        <v>13</v>
      </c>
    </row>
    <row r="98" spans="1:10" hidden="1">
      <c r="A98" s="7">
        <v>45146</v>
      </c>
      <c r="B98" s="8">
        <v>0.89375000000000004</v>
      </c>
      <c r="C98" s="9">
        <v>26885</v>
      </c>
      <c r="D98" s="9" t="s">
        <v>16</v>
      </c>
      <c r="E98" s="9">
        <v>24860</v>
      </c>
      <c r="F98" s="9">
        <v>16140</v>
      </c>
      <c r="G98" s="10">
        <v>8720</v>
      </c>
      <c r="H98" s="9" t="s">
        <v>11</v>
      </c>
      <c r="I98" s="9" t="s">
        <v>12</v>
      </c>
      <c r="J98" t="s">
        <v>13</v>
      </c>
    </row>
    <row r="99" spans="1:10" hidden="1">
      <c r="A99" s="7">
        <v>45146</v>
      </c>
      <c r="B99" s="8">
        <v>0.28472222222222199</v>
      </c>
      <c r="C99" s="9">
        <v>26832</v>
      </c>
      <c r="D99" s="9" t="s">
        <v>27</v>
      </c>
      <c r="E99" s="9">
        <v>24160</v>
      </c>
      <c r="F99" s="9">
        <v>15860</v>
      </c>
      <c r="G99" s="10">
        <v>8300</v>
      </c>
      <c r="H99" s="9" t="s">
        <v>11</v>
      </c>
      <c r="I99" s="7" t="s">
        <v>12</v>
      </c>
      <c r="J99" t="s">
        <v>13</v>
      </c>
    </row>
    <row r="100" spans="1:10" hidden="1">
      <c r="A100" s="7">
        <v>45146</v>
      </c>
      <c r="B100" s="8">
        <v>0.88124999999999998</v>
      </c>
      <c r="C100" s="9">
        <v>26884</v>
      </c>
      <c r="D100" s="9" t="s">
        <v>17</v>
      </c>
      <c r="E100" s="9">
        <v>3460</v>
      </c>
      <c r="F100" s="9">
        <v>2620</v>
      </c>
      <c r="G100" s="10">
        <v>840</v>
      </c>
      <c r="H100" s="9" t="s">
        <v>11</v>
      </c>
      <c r="I100" s="9" t="s">
        <v>12</v>
      </c>
      <c r="J100" t="s">
        <v>13</v>
      </c>
    </row>
    <row r="101" spans="1:10" hidden="1">
      <c r="A101" s="7">
        <v>45146</v>
      </c>
      <c r="B101" s="8">
        <v>0.48055555555555601</v>
      </c>
      <c r="C101" s="9">
        <v>160965</v>
      </c>
      <c r="D101" s="9" t="s">
        <v>19</v>
      </c>
      <c r="E101" s="9">
        <v>18140</v>
      </c>
      <c r="F101" s="9">
        <v>15840</v>
      </c>
      <c r="G101" s="10">
        <v>2300</v>
      </c>
      <c r="H101" s="9" t="s">
        <v>11</v>
      </c>
      <c r="I101" s="9" t="s">
        <v>23</v>
      </c>
      <c r="J101" t="s">
        <v>13</v>
      </c>
    </row>
    <row r="102" spans="1:10" hidden="1">
      <c r="A102" s="7">
        <v>45147</v>
      </c>
      <c r="B102" s="8">
        <v>5.1388888888888901E-2</v>
      </c>
      <c r="C102" s="9">
        <v>26887</v>
      </c>
      <c r="D102" s="9" t="s">
        <v>10</v>
      </c>
      <c r="E102" s="9">
        <v>21560</v>
      </c>
      <c r="F102" s="9">
        <v>13340</v>
      </c>
      <c r="G102" s="10">
        <v>8220</v>
      </c>
      <c r="H102" s="9" t="s">
        <v>11</v>
      </c>
      <c r="I102" s="9" t="s">
        <v>12</v>
      </c>
      <c r="J102" t="s">
        <v>13</v>
      </c>
    </row>
    <row r="103" spans="1:10" hidden="1">
      <c r="A103" s="7">
        <v>45147</v>
      </c>
      <c r="B103" s="8">
        <v>0.15416666666666701</v>
      </c>
      <c r="C103" s="9">
        <v>26894</v>
      </c>
      <c r="D103" s="9" t="s">
        <v>10</v>
      </c>
      <c r="E103" s="9">
        <v>22040</v>
      </c>
      <c r="F103" s="9">
        <v>13160</v>
      </c>
      <c r="G103" s="10">
        <v>8880</v>
      </c>
      <c r="H103" s="9" t="s">
        <v>11</v>
      </c>
      <c r="I103" s="9" t="s">
        <v>12</v>
      </c>
      <c r="J103" t="s">
        <v>13</v>
      </c>
    </row>
    <row r="104" spans="1:10" hidden="1">
      <c r="A104" s="7">
        <v>45147</v>
      </c>
      <c r="B104" s="8">
        <v>0.25</v>
      </c>
      <c r="C104" s="9">
        <v>26899</v>
      </c>
      <c r="D104" s="9" t="s">
        <v>10</v>
      </c>
      <c r="E104" s="9">
        <v>16300</v>
      </c>
      <c r="F104" s="9">
        <v>13140</v>
      </c>
      <c r="G104" s="10">
        <v>3160</v>
      </c>
      <c r="H104" s="9" t="s">
        <v>11</v>
      </c>
      <c r="I104" s="9" t="s">
        <v>12</v>
      </c>
      <c r="J104" t="s">
        <v>13</v>
      </c>
    </row>
    <row r="105" spans="1:10" hidden="1">
      <c r="A105" s="7">
        <v>45147</v>
      </c>
      <c r="B105" s="8">
        <v>0.13472222222222199</v>
      </c>
      <c r="C105" s="9">
        <v>26893</v>
      </c>
      <c r="D105" s="9" t="s">
        <v>15</v>
      </c>
      <c r="E105" s="9">
        <v>4880</v>
      </c>
      <c r="F105" s="9">
        <v>3600</v>
      </c>
      <c r="G105" s="10">
        <v>1280</v>
      </c>
      <c r="H105" s="9" t="s">
        <v>11</v>
      </c>
      <c r="I105" s="9" t="s">
        <v>12</v>
      </c>
      <c r="J105" t="s">
        <v>13</v>
      </c>
    </row>
    <row r="106" spans="1:10" hidden="1">
      <c r="A106" s="7">
        <v>45147</v>
      </c>
      <c r="B106" s="8">
        <v>0.21388888888888899</v>
      </c>
      <c r="C106" s="9">
        <v>26897</v>
      </c>
      <c r="D106" s="9" t="s">
        <v>15</v>
      </c>
      <c r="E106" s="9">
        <v>4400</v>
      </c>
      <c r="F106" s="9">
        <v>3660</v>
      </c>
      <c r="G106" s="10">
        <v>740</v>
      </c>
      <c r="H106" s="9" t="s">
        <v>11</v>
      </c>
      <c r="I106" s="9" t="s">
        <v>12</v>
      </c>
      <c r="J106" t="s">
        <v>13</v>
      </c>
    </row>
    <row r="107" spans="1:10" hidden="1">
      <c r="A107" s="7">
        <v>45147</v>
      </c>
      <c r="B107" s="8">
        <v>0.16805555555555601</v>
      </c>
      <c r="C107" s="9">
        <v>26895</v>
      </c>
      <c r="D107" s="9" t="s">
        <v>19</v>
      </c>
      <c r="E107" s="9">
        <v>26860</v>
      </c>
      <c r="F107" s="9">
        <v>15820</v>
      </c>
      <c r="G107" s="10">
        <v>11040</v>
      </c>
      <c r="H107" s="9" t="s">
        <v>11</v>
      </c>
      <c r="I107" s="9" t="s">
        <v>12</v>
      </c>
      <c r="J107" t="s">
        <v>13</v>
      </c>
    </row>
    <row r="108" spans="1:10" hidden="1">
      <c r="A108" s="7">
        <v>45147</v>
      </c>
      <c r="B108" s="8">
        <v>0.375</v>
      </c>
      <c r="C108" s="9">
        <v>26917</v>
      </c>
      <c r="D108" s="9" t="s">
        <v>15</v>
      </c>
      <c r="E108" s="9">
        <v>4000</v>
      </c>
      <c r="F108" s="9">
        <v>3560</v>
      </c>
      <c r="G108" s="10">
        <v>440</v>
      </c>
      <c r="H108" s="9" t="s">
        <v>11</v>
      </c>
      <c r="I108" s="9" t="s">
        <v>12</v>
      </c>
      <c r="J108" t="s">
        <v>13</v>
      </c>
    </row>
    <row r="109" spans="1:10" hidden="1">
      <c r="A109" s="7">
        <v>45147</v>
      </c>
      <c r="B109" s="8">
        <v>0.35138888888888897</v>
      </c>
      <c r="C109" s="9">
        <v>26914</v>
      </c>
      <c r="D109" s="9" t="s">
        <v>21</v>
      </c>
      <c r="E109" s="9">
        <v>6980</v>
      </c>
      <c r="F109" s="9">
        <v>5520</v>
      </c>
      <c r="G109" s="10">
        <v>1460</v>
      </c>
      <c r="H109" s="9" t="s">
        <v>11</v>
      </c>
      <c r="I109" s="9" t="s">
        <v>22</v>
      </c>
      <c r="J109" t="s">
        <v>13</v>
      </c>
    </row>
    <row r="110" spans="1:10" hidden="1">
      <c r="A110" s="7">
        <v>45147</v>
      </c>
      <c r="B110" s="8">
        <v>0.47152777777777799</v>
      </c>
      <c r="C110" s="9">
        <v>26929</v>
      </c>
      <c r="D110" s="9" t="s">
        <v>21</v>
      </c>
      <c r="E110" s="9">
        <v>6440</v>
      </c>
      <c r="F110" s="9">
        <v>5500</v>
      </c>
      <c r="G110" s="10">
        <v>940</v>
      </c>
      <c r="H110" s="9" t="s">
        <v>11</v>
      </c>
      <c r="I110" s="9" t="s">
        <v>22</v>
      </c>
      <c r="J110" t="s">
        <v>13</v>
      </c>
    </row>
    <row r="111" spans="1:10" hidden="1">
      <c r="A111" s="7">
        <v>45147</v>
      </c>
      <c r="B111" s="8">
        <v>0.70833333333333304</v>
      </c>
      <c r="C111" s="9">
        <v>26947</v>
      </c>
      <c r="D111" s="9" t="s">
        <v>10</v>
      </c>
      <c r="E111" s="9">
        <v>16120</v>
      </c>
      <c r="F111" s="9">
        <v>13100</v>
      </c>
      <c r="G111" s="10">
        <v>3020</v>
      </c>
      <c r="H111" s="9" t="s">
        <v>11</v>
      </c>
      <c r="I111" s="9" t="s">
        <v>12</v>
      </c>
      <c r="J111" t="s">
        <v>13</v>
      </c>
    </row>
    <row r="112" spans="1:10" hidden="1">
      <c r="A112" s="7">
        <v>45147</v>
      </c>
      <c r="B112" s="8">
        <v>0.41736111111111102</v>
      </c>
      <c r="C112" s="9">
        <v>26922</v>
      </c>
      <c r="D112" s="9" t="s">
        <v>19</v>
      </c>
      <c r="E112" s="9">
        <v>24660</v>
      </c>
      <c r="F112" s="9">
        <v>15940</v>
      </c>
      <c r="G112" s="10">
        <v>8720</v>
      </c>
      <c r="H112" s="9" t="s">
        <v>11</v>
      </c>
      <c r="I112" s="9" t="s">
        <v>12</v>
      </c>
      <c r="J112" t="s">
        <v>13</v>
      </c>
    </row>
    <row r="113" spans="1:10" hidden="1">
      <c r="A113" s="7">
        <v>45147</v>
      </c>
      <c r="B113" s="8">
        <v>0.88333333333333297</v>
      </c>
      <c r="C113" s="9">
        <v>26955</v>
      </c>
      <c r="D113" s="9" t="s">
        <v>17</v>
      </c>
      <c r="E113" s="9">
        <v>3060</v>
      </c>
      <c r="F113" s="9">
        <v>2660</v>
      </c>
      <c r="G113" s="10">
        <v>400</v>
      </c>
      <c r="H113" s="9" t="s">
        <v>11</v>
      </c>
      <c r="I113" s="9" t="s">
        <v>12</v>
      </c>
      <c r="J113" t="s">
        <v>13</v>
      </c>
    </row>
    <row r="114" spans="1:10" hidden="1">
      <c r="A114" s="7">
        <v>45147</v>
      </c>
      <c r="B114" s="8">
        <v>0.87013888888888902</v>
      </c>
      <c r="C114" s="9">
        <v>26953</v>
      </c>
      <c r="D114" s="9" t="s">
        <v>16</v>
      </c>
      <c r="E114" s="9">
        <v>23700</v>
      </c>
      <c r="F114" s="9">
        <v>16120</v>
      </c>
      <c r="G114" s="10">
        <v>7580</v>
      </c>
      <c r="H114" s="9" t="s">
        <v>11</v>
      </c>
      <c r="I114" s="9" t="s">
        <v>12</v>
      </c>
      <c r="J114" t="s">
        <v>13</v>
      </c>
    </row>
    <row r="115" spans="1:10" hidden="1">
      <c r="A115" s="7">
        <v>45148</v>
      </c>
      <c r="B115" s="8">
        <v>0.16944444444444401</v>
      </c>
      <c r="C115" s="9">
        <v>26964</v>
      </c>
      <c r="D115" s="9" t="s">
        <v>19</v>
      </c>
      <c r="E115" s="9">
        <v>26600</v>
      </c>
      <c r="F115" s="9">
        <v>16080</v>
      </c>
      <c r="G115" s="10">
        <v>10520</v>
      </c>
      <c r="H115" s="9" t="s">
        <v>11</v>
      </c>
      <c r="I115" s="9" t="s">
        <v>12</v>
      </c>
      <c r="J115" t="s">
        <v>13</v>
      </c>
    </row>
    <row r="116" spans="1:10" hidden="1">
      <c r="A116" s="7">
        <v>45148</v>
      </c>
      <c r="B116" s="8">
        <v>0.18263888888888899</v>
      </c>
      <c r="C116" s="9">
        <v>26967</v>
      </c>
      <c r="D116" s="9" t="s">
        <v>10</v>
      </c>
      <c r="E116" s="9">
        <v>22760</v>
      </c>
      <c r="F116" s="9">
        <v>13240</v>
      </c>
      <c r="G116" s="10">
        <v>9520</v>
      </c>
      <c r="H116" s="9" t="s">
        <v>11</v>
      </c>
      <c r="I116" s="9" t="s">
        <v>12</v>
      </c>
      <c r="J116" t="s">
        <v>13</v>
      </c>
    </row>
    <row r="117" spans="1:10" hidden="1">
      <c r="A117" s="7">
        <v>45148</v>
      </c>
      <c r="B117" s="8">
        <v>0.46597222222222201</v>
      </c>
      <c r="C117" s="9">
        <v>27004</v>
      </c>
      <c r="D117" s="9" t="s">
        <v>18</v>
      </c>
      <c r="E117" s="9">
        <v>3560</v>
      </c>
      <c r="F117" s="9">
        <v>2840</v>
      </c>
      <c r="G117" s="10">
        <v>720</v>
      </c>
      <c r="H117" s="9" t="s">
        <v>11</v>
      </c>
      <c r="I117" s="9" t="s">
        <v>12</v>
      </c>
      <c r="J117" t="s">
        <v>13</v>
      </c>
    </row>
    <row r="118" spans="1:10" hidden="1">
      <c r="A118" s="7">
        <v>45148</v>
      </c>
      <c r="B118" s="8">
        <v>0.22361111111111101</v>
      </c>
      <c r="C118" s="9">
        <v>26971</v>
      </c>
      <c r="D118" s="9" t="s">
        <v>15</v>
      </c>
      <c r="E118" s="9">
        <v>4520</v>
      </c>
      <c r="F118" s="9">
        <v>3560</v>
      </c>
      <c r="G118" s="10">
        <v>960</v>
      </c>
      <c r="H118" s="9" t="s">
        <v>11</v>
      </c>
      <c r="I118" s="9" t="s">
        <v>12</v>
      </c>
      <c r="J118" t="s">
        <v>13</v>
      </c>
    </row>
    <row r="119" spans="1:10" hidden="1">
      <c r="A119" s="7">
        <v>45148</v>
      </c>
      <c r="B119" s="8">
        <v>0.140277777777778</v>
      </c>
      <c r="C119" s="9">
        <v>26963</v>
      </c>
      <c r="D119" s="9" t="s">
        <v>15</v>
      </c>
      <c r="E119" s="9">
        <v>4820</v>
      </c>
      <c r="F119" s="9">
        <v>3580</v>
      </c>
      <c r="G119" s="10">
        <v>1240</v>
      </c>
      <c r="H119" s="9" t="s">
        <v>11</v>
      </c>
      <c r="I119" s="9" t="s">
        <v>12</v>
      </c>
      <c r="J119" t="s">
        <v>13</v>
      </c>
    </row>
    <row r="120" spans="1:10" hidden="1">
      <c r="A120" s="7">
        <v>45148</v>
      </c>
      <c r="B120" s="8">
        <v>0.23055555555555601</v>
      </c>
      <c r="C120" s="9">
        <v>26972</v>
      </c>
      <c r="D120" s="9" t="s">
        <v>10</v>
      </c>
      <c r="E120" s="9">
        <v>16500</v>
      </c>
      <c r="F120" s="9">
        <v>13260</v>
      </c>
      <c r="G120" s="10">
        <v>3240</v>
      </c>
      <c r="H120" s="9" t="s">
        <v>11</v>
      </c>
      <c r="I120" s="9" t="s">
        <v>12</v>
      </c>
      <c r="J120" t="s">
        <v>13</v>
      </c>
    </row>
    <row r="121" spans="1:10" hidden="1">
      <c r="A121" s="7">
        <v>45148</v>
      </c>
      <c r="B121" s="8">
        <v>7.6388888888888895E-2</v>
      </c>
      <c r="C121" s="9">
        <v>26958</v>
      </c>
      <c r="D121" s="9" t="s">
        <v>10</v>
      </c>
      <c r="E121" s="9">
        <v>22220</v>
      </c>
      <c r="F121" s="9">
        <v>13240</v>
      </c>
      <c r="G121" s="10">
        <v>8980</v>
      </c>
      <c r="H121" s="9" t="s">
        <v>11</v>
      </c>
      <c r="I121" s="9" t="s">
        <v>12</v>
      </c>
      <c r="J121" t="s">
        <v>13</v>
      </c>
    </row>
    <row r="122" spans="1:10" hidden="1">
      <c r="A122" s="7">
        <v>45148</v>
      </c>
      <c r="B122" s="8">
        <v>0.44305555555555598</v>
      </c>
      <c r="C122" s="9">
        <v>27001</v>
      </c>
      <c r="D122" s="9" t="s">
        <v>24</v>
      </c>
      <c r="E122" s="9">
        <v>2400</v>
      </c>
      <c r="F122" s="9">
        <v>2240</v>
      </c>
      <c r="G122" s="10">
        <v>160</v>
      </c>
      <c r="H122" s="9" t="s">
        <v>11</v>
      </c>
      <c r="I122" s="9" t="s">
        <v>12</v>
      </c>
      <c r="J122" t="s">
        <v>13</v>
      </c>
    </row>
    <row r="123" spans="1:10" hidden="1">
      <c r="A123" s="7">
        <v>45148</v>
      </c>
      <c r="B123" s="8">
        <v>0.46250000000000002</v>
      </c>
      <c r="C123" s="9">
        <v>161129</v>
      </c>
      <c r="D123" s="9" t="s">
        <v>16</v>
      </c>
      <c r="E123" s="9">
        <v>17940</v>
      </c>
      <c r="F123" s="9">
        <v>16140</v>
      </c>
      <c r="G123" s="10">
        <v>1800</v>
      </c>
      <c r="H123" s="9" t="s">
        <v>11</v>
      </c>
      <c r="I123" s="9" t="s">
        <v>23</v>
      </c>
      <c r="J123" t="s">
        <v>13</v>
      </c>
    </row>
    <row r="124" spans="1:10" hidden="1">
      <c r="A124" s="7">
        <v>45148</v>
      </c>
      <c r="B124" s="8">
        <v>0.91666666666666696</v>
      </c>
      <c r="C124" s="9">
        <v>27027</v>
      </c>
      <c r="D124" s="9" t="s">
        <v>16</v>
      </c>
      <c r="E124" s="9">
        <v>24900</v>
      </c>
      <c r="F124" s="9">
        <v>16180</v>
      </c>
      <c r="G124" s="10">
        <v>8720</v>
      </c>
      <c r="H124" s="9" t="s">
        <v>11</v>
      </c>
      <c r="I124" s="9" t="s">
        <v>12</v>
      </c>
      <c r="J124" t="s">
        <v>13</v>
      </c>
    </row>
    <row r="125" spans="1:10" hidden="1">
      <c r="A125" s="7">
        <v>45148</v>
      </c>
      <c r="B125" s="8">
        <v>0.43541666666666701</v>
      </c>
      <c r="C125" s="9">
        <v>27000</v>
      </c>
      <c r="D125" s="9" t="s">
        <v>17</v>
      </c>
      <c r="E125" s="9">
        <v>3420</v>
      </c>
      <c r="F125" s="9">
        <v>2700</v>
      </c>
      <c r="G125" s="10">
        <v>720</v>
      </c>
      <c r="H125" s="9" t="s">
        <v>11</v>
      </c>
      <c r="I125" s="9" t="s">
        <v>25</v>
      </c>
      <c r="J125" t="s">
        <v>13</v>
      </c>
    </row>
    <row r="126" spans="1:10" hidden="1">
      <c r="A126" s="7">
        <v>45148</v>
      </c>
      <c r="B126" s="8">
        <v>0.73333333333333295</v>
      </c>
      <c r="C126" s="9">
        <v>27020</v>
      </c>
      <c r="D126" s="9" t="s">
        <v>10</v>
      </c>
      <c r="E126" s="9">
        <v>17100</v>
      </c>
      <c r="F126" s="9">
        <v>13220</v>
      </c>
      <c r="G126" s="10">
        <v>3880</v>
      </c>
      <c r="H126" s="9" t="s">
        <v>11</v>
      </c>
      <c r="I126" s="9" t="s">
        <v>12</v>
      </c>
      <c r="J126" t="s">
        <v>13</v>
      </c>
    </row>
    <row r="127" spans="1:10" hidden="1">
      <c r="A127" s="7">
        <v>45148</v>
      </c>
      <c r="B127" s="8">
        <v>0.88611111111111096</v>
      </c>
      <c r="C127" s="9">
        <v>27026</v>
      </c>
      <c r="D127" s="9" t="s">
        <v>17</v>
      </c>
      <c r="E127" s="9">
        <v>3260</v>
      </c>
      <c r="F127" s="9">
        <v>2760</v>
      </c>
      <c r="G127" s="10">
        <v>500</v>
      </c>
      <c r="H127" s="9" t="s">
        <v>11</v>
      </c>
      <c r="I127" s="9" t="s">
        <v>12</v>
      </c>
      <c r="J127" t="s">
        <v>13</v>
      </c>
    </row>
    <row r="128" spans="1:10" hidden="1">
      <c r="A128" s="7">
        <v>45148</v>
      </c>
      <c r="B128" s="8">
        <v>0.52777777777777801</v>
      </c>
      <c r="C128" s="9">
        <v>27009</v>
      </c>
      <c r="D128" s="9" t="s">
        <v>17</v>
      </c>
      <c r="E128" s="9">
        <v>3500</v>
      </c>
      <c r="F128" s="9">
        <v>2700</v>
      </c>
      <c r="G128" s="10">
        <v>800</v>
      </c>
      <c r="H128" s="9" t="s">
        <v>11</v>
      </c>
      <c r="I128" s="9" t="s">
        <v>25</v>
      </c>
      <c r="J128" t="s">
        <v>13</v>
      </c>
    </row>
    <row r="129" spans="1:10" hidden="1">
      <c r="A129" s="7">
        <v>45148</v>
      </c>
      <c r="B129" s="8">
        <v>0.390277777777778</v>
      </c>
      <c r="C129" s="9">
        <v>26994</v>
      </c>
      <c r="D129" s="9" t="s">
        <v>19</v>
      </c>
      <c r="E129" s="9">
        <v>24860</v>
      </c>
      <c r="F129" s="9">
        <v>15920</v>
      </c>
      <c r="G129" s="10">
        <v>8940</v>
      </c>
      <c r="H129" s="9" t="s">
        <v>11</v>
      </c>
      <c r="I129" s="9" t="s">
        <v>12</v>
      </c>
      <c r="J129" t="s">
        <v>13</v>
      </c>
    </row>
    <row r="130" spans="1:10" hidden="1">
      <c r="A130" s="7">
        <v>45149</v>
      </c>
      <c r="B130" s="8">
        <v>0.21458333333333299</v>
      </c>
      <c r="C130" s="9">
        <v>27042</v>
      </c>
      <c r="D130" s="9" t="s">
        <v>17</v>
      </c>
      <c r="E130" s="9">
        <v>3100</v>
      </c>
      <c r="F130" s="9">
        <v>2600</v>
      </c>
      <c r="G130" s="10">
        <v>500</v>
      </c>
      <c r="H130" s="9" t="s">
        <v>11</v>
      </c>
      <c r="I130" s="9" t="s">
        <v>12</v>
      </c>
      <c r="J130" t="s">
        <v>13</v>
      </c>
    </row>
    <row r="131" spans="1:10" hidden="1">
      <c r="A131" s="7">
        <v>45149</v>
      </c>
      <c r="B131" s="8">
        <v>2.29166666666667E-2</v>
      </c>
      <c r="C131" s="9">
        <v>27029</v>
      </c>
      <c r="D131" s="9" t="s">
        <v>14</v>
      </c>
      <c r="E131" s="9">
        <v>14480</v>
      </c>
      <c r="F131" s="9">
        <v>12420</v>
      </c>
      <c r="G131" s="10">
        <v>2060</v>
      </c>
      <c r="H131" s="9" t="s">
        <v>11</v>
      </c>
      <c r="I131" s="9" t="s">
        <v>12</v>
      </c>
      <c r="J131" t="s">
        <v>13</v>
      </c>
    </row>
    <row r="132" spans="1:10" hidden="1">
      <c r="A132" s="7">
        <v>45149</v>
      </c>
      <c r="B132" s="8">
        <v>0.23055555555555601</v>
      </c>
      <c r="C132" s="9">
        <v>27047</v>
      </c>
      <c r="D132" s="9" t="s">
        <v>19</v>
      </c>
      <c r="E132" s="9">
        <v>27920</v>
      </c>
      <c r="F132" s="9">
        <v>16080</v>
      </c>
      <c r="G132" s="10">
        <v>11840</v>
      </c>
      <c r="H132" s="9" t="s">
        <v>11</v>
      </c>
      <c r="I132" s="9" t="s">
        <v>12</v>
      </c>
      <c r="J132" t="s">
        <v>13</v>
      </c>
    </row>
    <row r="133" spans="1:10" hidden="1">
      <c r="A133" s="7">
        <v>45149</v>
      </c>
      <c r="B133" s="8">
        <v>6.18055555555556E-2</v>
      </c>
      <c r="C133" s="9">
        <v>27031</v>
      </c>
      <c r="D133" s="9" t="s">
        <v>10</v>
      </c>
      <c r="E133" s="9">
        <v>22380</v>
      </c>
      <c r="F133" s="9">
        <v>13180</v>
      </c>
      <c r="G133" s="10">
        <v>9200</v>
      </c>
      <c r="H133" s="9" t="s">
        <v>11</v>
      </c>
      <c r="I133" s="9" t="s">
        <v>12</v>
      </c>
      <c r="J133" t="s">
        <v>13</v>
      </c>
    </row>
    <row r="134" spans="1:10" hidden="1">
      <c r="A134" s="7">
        <v>45149</v>
      </c>
      <c r="B134" s="8">
        <v>0.18888888888888899</v>
      </c>
      <c r="C134" s="9">
        <v>27040</v>
      </c>
      <c r="D134" s="9" t="s">
        <v>10</v>
      </c>
      <c r="E134" s="9">
        <v>22340</v>
      </c>
      <c r="F134" s="9">
        <v>13140</v>
      </c>
      <c r="G134" s="10">
        <v>9200</v>
      </c>
      <c r="H134" s="9" t="s">
        <v>11</v>
      </c>
      <c r="I134" s="9" t="s">
        <v>12</v>
      </c>
      <c r="J134" t="s">
        <v>13</v>
      </c>
    </row>
    <row r="135" spans="1:10" hidden="1">
      <c r="A135" s="7">
        <v>45149</v>
      </c>
      <c r="B135" s="8">
        <v>0.21875</v>
      </c>
      <c r="C135" s="9">
        <v>27045</v>
      </c>
      <c r="D135" s="9" t="s">
        <v>15</v>
      </c>
      <c r="E135" s="9">
        <v>4340</v>
      </c>
      <c r="F135" s="9">
        <v>3600</v>
      </c>
      <c r="G135" s="10">
        <v>740</v>
      </c>
      <c r="H135" s="9" t="s">
        <v>11</v>
      </c>
      <c r="I135" s="9" t="s">
        <v>12</v>
      </c>
      <c r="J135" t="s">
        <v>13</v>
      </c>
    </row>
    <row r="136" spans="1:10" hidden="1">
      <c r="A136" s="7">
        <v>45149</v>
      </c>
      <c r="B136" s="8">
        <v>0.13125000000000001</v>
      </c>
      <c r="C136" s="9">
        <v>27036</v>
      </c>
      <c r="D136" s="9" t="s">
        <v>15</v>
      </c>
      <c r="E136" s="9">
        <v>4920</v>
      </c>
      <c r="F136" s="9">
        <v>3600</v>
      </c>
      <c r="G136" s="10">
        <v>1320</v>
      </c>
      <c r="H136" s="9" t="s">
        <v>11</v>
      </c>
      <c r="I136" s="9" t="s">
        <v>12</v>
      </c>
      <c r="J136" t="s">
        <v>13</v>
      </c>
    </row>
    <row r="137" spans="1:10" hidden="1">
      <c r="A137" s="7">
        <v>45149</v>
      </c>
      <c r="B137" s="8">
        <v>0.22222222222222199</v>
      </c>
      <c r="C137" s="9">
        <v>27046</v>
      </c>
      <c r="D137" s="9" t="s">
        <v>16</v>
      </c>
      <c r="E137" s="9">
        <v>25960</v>
      </c>
      <c r="F137" s="9">
        <v>16160</v>
      </c>
      <c r="G137" s="10">
        <v>9800</v>
      </c>
      <c r="H137" s="9" t="s">
        <v>11</v>
      </c>
      <c r="I137" s="9" t="s">
        <v>12</v>
      </c>
      <c r="J137" t="s">
        <v>13</v>
      </c>
    </row>
    <row r="138" spans="1:10" hidden="1">
      <c r="A138" s="7">
        <v>45149</v>
      </c>
      <c r="B138" s="8">
        <v>0.52708333333333302</v>
      </c>
      <c r="C138" s="9">
        <v>27075</v>
      </c>
      <c r="D138" s="9" t="s">
        <v>17</v>
      </c>
      <c r="E138" s="9">
        <v>3480</v>
      </c>
      <c r="F138" s="9">
        <v>2700</v>
      </c>
      <c r="G138" s="10">
        <v>780</v>
      </c>
      <c r="H138" s="9" t="s">
        <v>11</v>
      </c>
      <c r="I138" s="9" t="s">
        <v>25</v>
      </c>
      <c r="J138" t="s">
        <v>13</v>
      </c>
    </row>
    <row r="139" spans="1:10" hidden="1">
      <c r="A139" s="7">
        <v>45149</v>
      </c>
      <c r="B139" s="8">
        <v>0.47916666666666702</v>
      </c>
      <c r="C139" s="9">
        <v>27070</v>
      </c>
      <c r="D139" s="9" t="s">
        <v>20</v>
      </c>
      <c r="E139" s="9">
        <v>18660</v>
      </c>
      <c r="F139" s="9">
        <v>16080</v>
      </c>
      <c r="G139" s="10">
        <v>2580</v>
      </c>
      <c r="H139" s="9" t="s">
        <v>11</v>
      </c>
      <c r="I139" s="9" t="s">
        <v>12</v>
      </c>
      <c r="J139" t="s">
        <v>13</v>
      </c>
    </row>
    <row r="140" spans="1:10" hidden="1">
      <c r="A140" s="7">
        <v>45149</v>
      </c>
      <c r="B140" s="8">
        <v>0.438194444444445</v>
      </c>
      <c r="C140" s="9">
        <v>27065</v>
      </c>
      <c r="D140" s="9" t="s">
        <v>18</v>
      </c>
      <c r="E140" s="9">
        <v>3400</v>
      </c>
      <c r="F140" s="9">
        <v>2820</v>
      </c>
      <c r="G140" s="10">
        <v>580</v>
      </c>
      <c r="H140" s="9" t="s">
        <v>11</v>
      </c>
      <c r="I140" s="9" t="s">
        <v>12</v>
      </c>
      <c r="J140" t="s">
        <v>13</v>
      </c>
    </row>
    <row r="141" spans="1:10" hidden="1">
      <c r="A141" s="7">
        <v>45149</v>
      </c>
      <c r="B141" s="8">
        <v>0.436805555555556</v>
      </c>
      <c r="C141" s="9">
        <v>4619</v>
      </c>
      <c r="D141" s="9" t="s">
        <v>19</v>
      </c>
      <c r="E141" s="9">
        <v>19700</v>
      </c>
      <c r="F141" s="9">
        <v>15700</v>
      </c>
      <c r="G141" s="10">
        <v>4000</v>
      </c>
      <c r="H141" s="9" t="s">
        <v>11</v>
      </c>
      <c r="I141" s="9" t="s">
        <v>26</v>
      </c>
      <c r="J141" t="s">
        <v>13</v>
      </c>
    </row>
    <row r="142" spans="1:10" hidden="1">
      <c r="A142" s="7">
        <v>45149</v>
      </c>
      <c r="B142" s="8">
        <v>0.90138888888888902</v>
      </c>
      <c r="C142" s="9">
        <v>27095</v>
      </c>
      <c r="D142" s="9" t="s">
        <v>19</v>
      </c>
      <c r="E142" s="9">
        <v>27060</v>
      </c>
      <c r="F142" s="9">
        <v>15960</v>
      </c>
      <c r="G142" s="10">
        <v>11100</v>
      </c>
      <c r="H142" s="9" t="s">
        <v>11</v>
      </c>
      <c r="I142" s="9" t="s">
        <v>12</v>
      </c>
      <c r="J142" t="s">
        <v>13</v>
      </c>
    </row>
    <row r="143" spans="1:10" hidden="1">
      <c r="A143" s="7">
        <v>45149</v>
      </c>
      <c r="B143" s="8">
        <v>0.71041666666666703</v>
      </c>
      <c r="C143" s="9">
        <v>27087</v>
      </c>
      <c r="D143" s="9" t="s">
        <v>10</v>
      </c>
      <c r="E143" s="9">
        <v>18880</v>
      </c>
      <c r="F143" s="9">
        <v>13300</v>
      </c>
      <c r="G143" s="10">
        <v>5580</v>
      </c>
      <c r="H143" s="9" t="s">
        <v>11</v>
      </c>
      <c r="I143" s="9" t="s">
        <v>12</v>
      </c>
      <c r="J143" t="s">
        <v>13</v>
      </c>
    </row>
    <row r="144" spans="1:10" hidden="1">
      <c r="A144" s="7">
        <v>45149</v>
      </c>
      <c r="B144" s="8">
        <v>0.79791666666666705</v>
      </c>
      <c r="C144" s="9">
        <v>27089</v>
      </c>
      <c r="D144" s="9" t="s">
        <v>17</v>
      </c>
      <c r="E144" s="9">
        <v>3080</v>
      </c>
      <c r="F144" s="9">
        <v>2660</v>
      </c>
      <c r="G144" s="10">
        <v>420</v>
      </c>
      <c r="H144" s="9" t="s">
        <v>11</v>
      </c>
      <c r="I144" s="9" t="s">
        <v>12</v>
      </c>
      <c r="J144" t="s">
        <v>13</v>
      </c>
    </row>
    <row r="145" spans="1:10" hidden="1">
      <c r="A145" s="7">
        <v>45149</v>
      </c>
      <c r="B145" s="8">
        <v>0.88749999999999996</v>
      </c>
      <c r="C145" s="9">
        <v>27093</v>
      </c>
      <c r="D145" s="9" t="s">
        <v>17</v>
      </c>
      <c r="E145" s="9">
        <v>2900</v>
      </c>
      <c r="F145" s="9">
        <v>2740</v>
      </c>
      <c r="G145" s="10">
        <v>160</v>
      </c>
      <c r="H145" s="9" t="s">
        <v>11</v>
      </c>
      <c r="I145" s="9" t="s">
        <v>12</v>
      </c>
      <c r="J145" t="s">
        <v>13</v>
      </c>
    </row>
    <row r="146" spans="1:10" hidden="1">
      <c r="A146" s="7">
        <v>45150</v>
      </c>
      <c r="B146" s="8">
        <v>0.47708333333333303</v>
      </c>
      <c r="C146" s="9">
        <v>27140</v>
      </c>
      <c r="D146" s="9" t="s">
        <v>21</v>
      </c>
      <c r="E146" s="9">
        <v>5940</v>
      </c>
      <c r="F146" s="9">
        <v>5560</v>
      </c>
      <c r="G146" s="10">
        <v>380</v>
      </c>
      <c r="H146" s="9" t="s">
        <v>11</v>
      </c>
      <c r="I146" s="9" t="s">
        <v>22</v>
      </c>
      <c r="J146" t="s">
        <v>13</v>
      </c>
    </row>
    <row r="147" spans="1:10" hidden="1">
      <c r="A147" s="7">
        <v>45150</v>
      </c>
      <c r="B147" s="8">
        <v>0.90486111111111101</v>
      </c>
      <c r="C147" s="9">
        <v>27150</v>
      </c>
      <c r="D147" s="9" t="s">
        <v>19</v>
      </c>
      <c r="E147" s="9">
        <v>27560</v>
      </c>
      <c r="F147" s="9">
        <v>15820</v>
      </c>
      <c r="G147" s="10">
        <v>11740</v>
      </c>
      <c r="H147" s="9" t="s">
        <v>11</v>
      </c>
      <c r="I147" s="9" t="s">
        <v>12</v>
      </c>
      <c r="J147" t="s">
        <v>13</v>
      </c>
    </row>
    <row r="148" spans="1:10" hidden="1">
      <c r="A148" s="7">
        <v>45150</v>
      </c>
      <c r="B148" s="8">
        <v>0.79930555555555605</v>
      </c>
      <c r="C148" s="9">
        <v>27147</v>
      </c>
      <c r="D148" s="9" t="s">
        <v>17</v>
      </c>
      <c r="E148" s="9">
        <v>3160</v>
      </c>
      <c r="F148" s="9">
        <v>2620</v>
      </c>
      <c r="G148" s="10">
        <v>540</v>
      </c>
      <c r="H148" s="9" t="s">
        <v>11</v>
      </c>
      <c r="I148" s="9" t="s">
        <v>12</v>
      </c>
      <c r="J148" t="s">
        <v>13</v>
      </c>
    </row>
    <row r="149" spans="1:10" hidden="1">
      <c r="A149" s="7">
        <v>45150</v>
      </c>
      <c r="B149" s="8">
        <v>0.88472222222222197</v>
      </c>
      <c r="C149" s="9">
        <v>27149</v>
      </c>
      <c r="D149" s="9" t="s">
        <v>17</v>
      </c>
      <c r="E149" s="9">
        <v>3000</v>
      </c>
      <c r="F149" s="9">
        <v>2720</v>
      </c>
      <c r="G149" s="10">
        <v>280</v>
      </c>
      <c r="H149" s="9" t="s">
        <v>11</v>
      </c>
      <c r="I149" s="9" t="s">
        <v>12</v>
      </c>
      <c r="J149" t="s">
        <v>13</v>
      </c>
    </row>
    <row r="150" spans="1:10" hidden="1">
      <c r="A150" s="7">
        <v>45150</v>
      </c>
      <c r="B150" s="8">
        <v>0.46388888888888902</v>
      </c>
      <c r="C150" s="9">
        <v>27137</v>
      </c>
      <c r="D150" s="9" t="s">
        <v>18</v>
      </c>
      <c r="E150" s="9">
        <v>3420</v>
      </c>
      <c r="F150" s="9">
        <v>2880</v>
      </c>
      <c r="G150" s="10">
        <v>540</v>
      </c>
      <c r="H150" s="9" t="s">
        <v>11</v>
      </c>
      <c r="I150" s="9" t="s">
        <v>12</v>
      </c>
      <c r="J150" t="s">
        <v>13</v>
      </c>
    </row>
    <row r="151" spans="1:10" hidden="1">
      <c r="A151" s="7">
        <v>45150</v>
      </c>
      <c r="B151" s="8">
        <v>0.71041666666666703</v>
      </c>
      <c r="C151" s="9">
        <v>27145</v>
      </c>
      <c r="D151" s="9" t="s">
        <v>10</v>
      </c>
      <c r="E151" s="9">
        <v>17180</v>
      </c>
      <c r="F151" s="9">
        <v>13280</v>
      </c>
      <c r="G151" s="10">
        <v>3900</v>
      </c>
      <c r="H151" s="9" t="s">
        <v>11</v>
      </c>
      <c r="I151" s="9" t="s">
        <v>12</v>
      </c>
      <c r="J151" t="s">
        <v>13</v>
      </c>
    </row>
    <row r="152" spans="1:10" hidden="1">
      <c r="A152" s="7">
        <v>45150</v>
      </c>
      <c r="B152" s="8">
        <v>0.46388888888888902</v>
      </c>
      <c r="C152" s="9">
        <v>27138</v>
      </c>
      <c r="D152" s="9" t="s">
        <v>17</v>
      </c>
      <c r="E152" s="9">
        <v>3160</v>
      </c>
      <c r="F152" s="9">
        <v>2740</v>
      </c>
      <c r="G152" s="10">
        <v>420</v>
      </c>
      <c r="H152" s="9" t="s">
        <v>11</v>
      </c>
      <c r="I152" s="9" t="s">
        <v>12</v>
      </c>
      <c r="J152" t="s">
        <v>13</v>
      </c>
    </row>
    <row r="153" spans="1:10" hidden="1">
      <c r="A153" s="7">
        <v>45150</v>
      </c>
      <c r="B153" s="8">
        <v>0.22916666666666699</v>
      </c>
      <c r="C153" s="9">
        <v>27113</v>
      </c>
      <c r="D153" s="9" t="s">
        <v>16</v>
      </c>
      <c r="E153" s="9">
        <v>23860</v>
      </c>
      <c r="F153" s="9">
        <v>16180</v>
      </c>
      <c r="G153" s="10">
        <v>7680</v>
      </c>
      <c r="H153" s="9" t="s">
        <v>11</v>
      </c>
      <c r="I153" s="9" t="s">
        <v>12</v>
      </c>
      <c r="J153" t="s">
        <v>13</v>
      </c>
    </row>
    <row r="154" spans="1:10" hidden="1">
      <c r="A154" s="7">
        <v>45150</v>
      </c>
      <c r="B154" s="8">
        <v>0.21597222222222201</v>
      </c>
      <c r="C154" s="9">
        <v>27111</v>
      </c>
      <c r="D154" s="9" t="s">
        <v>18</v>
      </c>
      <c r="E154" s="9">
        <v>3860</v>
      </c>
      <c r="F154" s="9">
        <v>2820</v>
      </c>
      <c r="G154" s="10">
        <v>1040</v>
      </c>
      <c r="H154" s="9" t="s">
        <v>11</v>
      </c>
      <c r="I154" s="9" t="s">
        <v>12</v>
      </c>
      <c r="J154" t="s">
        <v>13</v>
      </c>
    </row>
    <row r="155" spans="1:10" hidden="1">
      <c r="A155" s="7">
        <v>45150</v>
      </c>
      <c r="B155" s="8">
        <v>0.22291666666666701</v>
      </c>
      <c r="C155" s="9">
        <v>27112</v>
      </c>
      <c r="D155" s="9" t="s">
        <v>19</v>
      </c>
      <c r="E155" s="9">
        <v>27420</v>
      </c>
      <c r="F155" s="9">
        <v>16000</v>
      </c>
      <c r="G155" s="10">
        <v>11420</v>
      </c>
      <c r="H155" s="9" t="s">
        <v>11</v>
      </c>
      <c r="I155" s="9" t="s">
        <v>12</v>
      </c>
      <c r="J155" t="s">
        <v>13</v>
      </c>
    </row>
    <row r="156" spans="1:10" hidden="1">
      <c r="A156" s="7">
        <v>45150</v>
      </c>
      <c r="B156" s="8">
        <v>0.29166666666666702</v>
      </c>
      <c r="C156" s="9">
        <v>27123</v>
      </c>
      <c r="D156" s="9" t="s">
        <v>21</v>
      </c>
      <c r="E156" s="9">
        <v>6160</v>
      </c>
      <c r="F156" s="9">
        <v>5560</v>
      </c>
      <c r="G156" s="10">
        <v>600</v>
      </c>
      <c r="H156" s="9" t="s">
        <v>11</v>
      </c>
      <c r="I156" s="9" t="s">
        <v>22</v>
      </c>
      <c r="J156" t="s">
        <v>13</v>
      </c>
    </row>
    <row r="157" spans="1:10" hidden="1">
      <c r="A157" s="7">
        <v>45150</v>
      </c>
      <c r="B157" s="8">
        <v>0.45</v>
      </c>
      <c r="C157" s="9">
        <v>27134</v>
      </c>
      <c r="D157" s="9" t="s">
        <v>16</v>
      </c>
      <c r="E157" s="9">
        <v>18100</v>
      </c>
      <c r="F157" s="9">
        <v>16120</v>
      </c>
      <c r="G157" s="10">
        <v>1980</v>
      </c>
      <c r="H157" s="9" t="s">
        <v>11</v>
      </c>
      <c r="I157" s="9" t="s">
        <v>12</v>
      </c>
      <c r="J157" t="s">
        <v>13</v>
      </c>
    </row>
    <row r="158" spans="1:10" hidden="1">
      <c r="A158" s="7">
        <v>45150</v>
      </c>
      <c r="B158" s="8">
        <v>0.16180555555555601</v>
      </c>
      <c r="C158" s="9">
        <v>27105</v>
      </c>
      <c r="D158" s="9" t="s">
        <v>10</v>
      </c>
      <c r="E158" s="9">
        <v>22100</v>
      </c>
      <c r="F158" s="9">
        <v>13200</v>
      </c>
      <c r="G158" s="10">
        <v>8900</v>
      </c>
      <c r="H158" s="9" t="s">
        <v>11</v>
      </c>
      <c r="I158" s="9" t="s">
        <v>12</v>
      </c>
      <c r="J158" t="s">
        <v>13</v>
      </c>
    </row>
    <row r="159" spans="1:10" hidden="1">
      <c r="A159" s="7">
        <v>45150</v>
      </c>
      <c r="B159" s="8">
        <v>0.23749999999999999</v>
      </c>
      <c r="C159" s="9">
        <v>27115</v>
      </c>
      <c r="D159" s="9" t="s">
        <v>10</v>
      </c>
      <c r="E159" s="9">
        <v>18620</v>
      </c>
      <c r="F159" s="9">
        <v>13200</v>
      </c>
      <c r="G159" s="10">
        <v>5420</v>
      </c>
      <c r="H159" s="9" t="s">
        <v>11</v>
      </c>
      <c r="I159" s="9" t="s">
        <v>12</v>
      </c>
      <c r="J159" t="s">
        <v>13</v>
      </c>
    </row>
    <row r="160" spans="1:10" hidden="1">
      <c r="A160" s="7">
        <v>45150</v>
      </c>
      <c r="B160" s="8">
        <v>5.4861111111111097E-2</v>
      </c>
      <c r="C160" s="9">
        <v>27098</v>
      </c>
      <c r="D160" s="9" t="s">
        <v>10</v>
      </c>
      <c r="E160" s="9">
        <v>21820</v>
      </c>
      <c r="F160" s="9">
        <v>13220</v>
      </c>
      <c r="G160" s="10">
        <v>8600</v>
      </c>
      <c r="H160" s="9" t="s">
        <v>11</v>
      </c>
      <c r="I160" s="9" t="s">
        <v>12</v>
      </c>
      <c r="J160" t="s">
        <v>13</v>
      </c>
    </row>
    <row r="161" spans="1:10" hidden="1">
      <c r="A161" s="7">
        <v>45150</v>
      </c>
      <c r="B161" s="8">
        <v>0.21527777777777801</v>
      </c>
      <c r="C161" s="9">
        <v>27110</v>
      </c>
      <c r="D161" s="9" t="s">
        <v>17</v>
      </c>
      <c r="E161" s="9">
        <v>3460</v>
      </c>
      <c r="F161" s="9">
        <v>2620</v>
      </c>
      <c r="G161" s="10">
        <v>840</v>
      </c>
      <c r="H161" s="9" t="s">
        <v>11</v>
      </c>
      <c r="I161" s="9" t="s">
        <v>12</v>
      </c>
      <c r="J161" t="s">
        <v>13</v>
      </c>
    </row>
    <row r="162" spans="1:10" hidden="1">
      <c r="A162" s="7">
        <v>45151</v>
      </c>
      <c r="B162" s="8">
        <v>0.43333333333333302</v>
      </c>
      <c r="C162" s="9">
        <v>27177</v>
      </c>
      <c r="D162" s="9" t="s">
        <v>24</v>
      </c>
      <c r="E162" s="9">
        <v>2620</v>
      </c>
      <c r="F162" s="9">
        <v>2420</v>
      </c>
      <c r="G162" s="10">
        <v>200</v>
      </c>
      <c r="H162" s="9" t="s">
        <v>11</v>
      </c>
      <c r="I162" s="9" t="s">
        <v>12</v>
      </c>
      <c r="J162" t="s">
        <v>13</v>
      </c>
    </row>
    <row r="163" spans="1:10" hidden="1">
      <c r="A163" s="7">
        <v>45151</v>
      </c>
      <c r="B163" s="8">
        <v>0.48194444444444401</v>
      </c>
      <c r="C163" s="9">
        <v>27179</v>
      </c>
      <c r="D163" s="9" t="s">
        <v>17</v>
      </c>
      <c r="E163" s="9">
        <v>3040</v>
      </c>
      <c r="F163" s="9">
        <v>2680</v>
      </c>
      <c r="G163" s="10">
        <v>360</v>
      </c>
      <c r="H163" s="9" t="s">
        <v>11</v>
      </c>
      <c r="I163" s="9" t="s">
        <v>12</v>
      </c>
      <c r="J163" t="s">
        <v>13</v>
      </c>
    </row>
    <row r="164" spans="1:10" hidden="1">
      <c r="A164" s="7">
        <v>45151</v>
      </c>
      <c r="B164" s="8">
        <v>0.70416666666666705</v>
      </c>
      <c r="C164" s="9">
        <v>27181</v>
      </c>
      <c r="D164" s="9" t="s">
        <v>10</v>
      </c>
      <c r="E164" s="9">
        <v>16540</v>
      </c>
      <c r="F164" s="9">
        <v>13220</v>
      </c>
      <c r="G164" s="10">
        <v>3320</v>
      </c>
      <c r="H164" s="9" t="s">
        <v>11</v>
      </c>
      <c r="I164" s="9" t="s">
        <v>12</v>
      </c>
      <c r="J164" t="s">
        <v>13</v>
      </c>
    </row>
    <row r="165" spans="1:10" hidden="1">
      <c r="A165" s="7">
        <v>45151</v>
      </c>
      <c r="B165" s="8">
        <v>0.44513888888888897</v>
      </c>
      <c r="C165" s="9">
        <v>27178</v>
      </c>
      <c r="D165" s="9" t="s">
        <v>18</v>
      </c>
      <c r="E165" s="9">
        <v>3420</v>
      </c>
      <c r="F165" s="9">
        <v>2880</v>
      </c>
      <c r="G165" s="10">
        <v>540</v>
      </c>
      <c r="H165" s="9" t="s">
        <v>11</v>
      </c>
      <c r="I165" s="9" t="s">
        <v>12</v>
      </c>
      <c r="J165" t="s">
        <v>13</v>
      </c>
    </row>
    <row r="166" spans="1:10" hidden="1">
      <c r="A166" s="7">
        <v>45151</v>
      </c>
      <c r="B166" s="8">
        <v>0.97847222222222197</v>
      </c>
      <c r="C166" s="9">
        <v>27188</v>
      </c>
      <c r="D166" s="9" t="s">
        <v>14</v>
      </c>
      <c r="E166" s="9">
        <v>13740</v>
      </c>
      <c r="F166" s="9">
        <v>12400</v>
      </c>
      <c r="G166" s="10">
        <v>1340</v>
      </c>
      <c r="H166" s="9" t="s">
        <v>11</v>
      </c>
      <c r="I166" s="9" t="s">
        <v>12</v>
      </c>
      <c r="J166" t="s">
        <v>13</v>
      </c>
    </row>
    <row r="167" spans="1:10" hidden="1">
      <c r="A167" s="7">
        <v>45151</v>
      </c>
      <c r="B167" s="8">
        <v>0.21249999999999999</v>
      </c>
      <c r="C167" s="9">
        <v>27165</v>
      </c>
      <c r="D167" s="9" t="s">
        <v>15</v>
      </c>
      <c r="E167" s="9">
        <v>4420</v>
      </c>
      <c r="F167" s="9">
        <v>3580</v>
      </c>
      <c r="G167" s="10">
        <v>840</v>
      </c>
      <c r="H167" s="9" t="s">
        <v>11</v>
      </c>
      <c r="I167" s="7" t="s">
        <v>12</v>
      </c>
      <c r="J167" t="s">
        <v>13</v>
      </c>
    </row>
    <row r="168" spans="1:10" hidden="1">
      <c r="A168" s="7">
        <v>45151</v>
      </c>
      <c r="B168" s="8">
        <v>0.13125000000000001</v>
      </c>
      <c r="C168" s="9">
        <v>27159</v>
      </c>
      <c r="D168" s="9" t="s">
        <v>15</v>
      </c>
      <c r="E168" s="9">
        <v>4880</v>
      </c>
      <c r="F168" s="9">
        <v>3600</v>
      </c>
      <c r="G168" s="10">
        <v>1280</v>
      </c>
      <c r="H168" s="9" t="s">
        <v>11</v>
      </c>
      <c r="I168" s="9" t="s">
        <v>12</v>
      </c>
      <c r="J168" t="s">
        <v>13</v>
      </c>
    </row>
    <row r="169" spans="1:10" hidden="1">
      <c r="A169" s="7">
        <v>45151</v>
      </c>
      <c r="B169" s="8">
        <v>0.242361111111111</v>
      </c>
      <c r="C169" s="9">
        <v>27170</v>
      </c>
      <c r="D169" s="9" t="s">
        <v>16</v>
      </c>
      <c r="E169" s="9">
        <v>27400</v>
      </c>
      <c r="F169" s="9">
        <v>16180</v>
      </c>
      <c r="G169" s="10">
        <v>11220</v>
      </c>
      <c r="H169" s="9" t="s">
        <v>11</v>
      </c>
      <c r="I169" s="9" t="s">
        <v>12</v>
      </c>
      <c r="J169" t="s">
        <v>13</v>
      </c>
    </row>
    <row r="170" spans="1:10" hidden="1">
      <c r="A170" s="7">
        <v>45151</v>
      </c>
      <c r="B170" s="8">
        <v>0.147222222222222</v>
      </c>
      <c r="C170" s="9">
        <v>27160</v>
      </c>
      <c r="D170" s="9" t="s">
        <v>19</v>
      </c>
      <c r="E170" s="9">
        <v>27860</v>
      </c>
      <c r="F170" s="9">
        <v>16080</v>
      </c>
      <c r="G170" s="10">
        <v>11780</v>
      </c>
      <c r="H170" s="9" t="s">
        <v>11</v>
      </c>
      <c r="I170" s="9" t="s">
        <v>12</v>
      </c>
      <c r="J170" t="s">
        <v>13</v>
      </c>
    </row>
    <row r="171" spans="1:10" hidden="1">
      <c r="A171" s="7">
        <v>45151</v>
      </c>
      <c r="B171" s="8">
        <v>0.21527777777777801</v>
      </c>
      <c r="C171" s="9">
        <v>27166</v>
      </c>
      <c r="D171" s="9" t="s">
        <v>17</v>
      </c>
      <c r="E171" s="9">
        <v>3060</v>
      </c>
      <c r="F171" s="9">
        <v>2680</v>
      </c>
      <c r="G171" s="10">
        <v>380</v>
      </c>
      <c r="H171" s="9" t="s">
        <v>11</v>
      </c>
      <c r="I171" s="9" t="s">
        <v>12</v>
      </c>
      <c r="J171" t="s">
        <v>13</v>
      </c>
    </row>
    <row r="172" spans="1:10" hidden="1">
      <c r="A172" s="7">
        <v>45151</v>
      </c>
      <c r="B172" s="8">
        <v>0.88958333333333295</v>
      </c>
      <c r="C172" s="9">
        <v>27184</v>
      </c>
      <c r="D172" s="9" t="s">
        <v>17</v>
      </c>
      <c r="E172" s="9">
        <v>3260</v>
      </c>
      <c r="F172" s="9">
        <v>2680</v>
      </c>
      <c r="G172" s="10">
        <v>580</v>
      </c>
      <c r="H172" s="9" t="s">
        <v>11</v>
      </c>
      <c r="I172" s="9" t="s">
        <v>12</v>
      </c>
      <c r="J172" t="s">
        <v>13</v>
      </c>
    </row>
    <row r="173" spans="1:10" hidden="1">
      <c r="A173" s="7">
        <v>45151</v>
      </c>
      <c r="B173" s="8">
        <v>0.91458333333333297</v>
      </c>
      <c r="C173" s="9">
        <v>27185</v>
      </c>
      <c r="D173" s="9" t="s">
        <v>16</v>
      </c>
      <c r="E173" s="9">
        <v>26080</v>
      </c>
      <c r="F173" s="9">
        <v>16220</v>
      </c>
      <c r="G173" s="10">
        <v>9860</v>
      </c>
      <c r="H173" s="9" t="s">
        <v>11</v>
      </c>
      <c r="I173" s="9" t="s">
        <v>12</v>
      </c>
      <c r="J173" t="s">
        <v>13</v>
      </c>
    </row>
    <row r="174" spans="1:10" hidden="1">
      <c r="A174" s="7">
        <v>45151</v>
      </c>
      <c r="B174" s="8">
        <v>0.226388888888889</v>
      </c>
      <c r="C174" s="9">
        <v>27167</v>
      </c>
      <c r="D174" s="9" t="s">
        <v>10</v>
      </c>
      <c r="E174" s="9">
        <v>14960</v>
      </c>
      <c r="F174" s="9">
        <v>13080</v>
      </c>
      <c r="G174" s="10">
        <v>1880</v>
      </c>
      <c r="H174" s="9" t="s">
        <v>11</v>
      </c>
      <c r="I174" s="9" t="s">
        <v>12</v>
      </c>
      <c r="J174" t="s">
        <v>13</v>
      </c>
    </row>
    <row r="175" spans="1:10" hidden="1">
      <c r="A175" s="7">
        <v>45151</v>
      </c>
      <c r="B175" s="8">
        <v>4.8611111111111098E-2</v>
      </c>
      <c r="C175" s="9">
        <v>27153</v>
      </c>
      <c r="D175" s="9" t="s">
        <v>10</v>
      </c>
      <c r="E175" s="9">
        <v>21720</v>
      </c>
      <c r="F175" s="9">
        <v>13160</v>
      </c>
      <c r="G175" s="10">
        <v>8560</v>
      </c>
      <c r="H175" s="9" t="s">
        <v>11</v>
      </c>
      <c r="I175" s="9" t="s">
        <v>12</v>
      </c>
      <c r="J175" t="s">
        <v>13</v>
      </c>
    </row>
    <row r="176" spans="1:10" hidden="1">
      <c r="A176" s="7">
        <v>45151</v>
      </c>
      <c r="B176" s="8">
        <v>0.16180555555555601</v>
      </c>
      <c r="C176" s="9">
        <v>27612</v>
      </c>
      <c r="D176" s="9" t="s">
        <v>10</v>
      </c>
      <c r="E176" s="9">
        <v>22900</v>
      </c>
      <c r="F176" s="9">
        <v>13160</v>
      </c>
      <c r="G176" s="10">
        <v>9740</v>
      </c>
      <c r="H176" s="9" t="s">
        <v>11</v>
      </c>
      <c r="I176" s="9" t="s">
        <v>12</v>
      </c>
      <c r="J176" t="s">
        <v>13</v>
      </c>
    </row>
    <row r="177" spans="1:10" hidden="1">
      <c r="A177" s="7">
        <v>45152</v>
      </c>
      <c r="B177" s="8">
        <v>0.11874999999999999</v>
      </c>
      <c r="C177" s="9">
        <v>27193</v>
      </c>
      <c r="D177" s="9" t="s">
        <v>15</v>
      </c>
      <c r="E177" s="9">
        <v>4860</v>
      </c>
      <c r="F177" s="9">
        <v>3580</v>
      </c>
      <c r="G177" s="10">
        <v>1280</v>
      </c>
      <c r="H177" s="9" t="s">
        <v>11</v>
      </c>
      <c r="I177" s="9" t="s">
        <v>12</v>
      </c>
      <c r="J177" t="s">
        <v>13</v>
      </c>
    </row>
    <row r="178" spans="1:10" hidden="1">
      <c r="A178" s="7">
        <v>45152</v>
      </c>
      <c r="B178" s="8">
        <v>0.21319444444444399</v>
      </c>
      <c r="C178" s="9">
        <v>27201</v>
      </c>
      <c r="D178" s="9" t="s">
        <v>17</v>
      </c>
      <c r="E178" s="9">
        <v>3080</v>
      </c>
      <c r="F178" s="9">
        <v>2700</v>
      </c>
      <c r="G178" s="10">
        <v>380</v>
      </c>
      <c r="H178" s="9" t="s">
        <v>11</v>
      </c>
      <c r="I178" s="9" t="s">
        <v>12</v>
      </c>
      <c r="J178" t="s">
        <v>13</v>
      </c>
    </row>
    <row r="179" spans="1:10" hidden="1">
      <c r="A179" s="7">
        <v>45152</v>
      </c>
      <c r="B179" s="8">
        <v>0.23055555555555601</v>
      </c>
      <c r="C179" s="9">
        <v>27205</v>
      </c>
      <c r="D179" s="9" t="s">
        <v>16</v>
      </c>
      <c r="E179" s="9">
        <v>27720</v>
      </c>
      <c r="F179" s="9">
        <v>16280</v>
      </c>
      <c r="G179" s="10">
        <v>11440</v>
      </c>
      <c r="H179" s="9" t="s">
        <v>11</v>
      </c>
      <c r="I179" s="9" t="s">
        <v>12</v>
      </c>
      <c r="J179" t="s">
        <v>13</v>
      </c>
    </row>
    <row r="180" spans="1:10" hidden="1">
      <c r="A180" s="7">
        <v>45152</v>
      </c>
      <c r="B180" s="8">
        <v>0.21388888888888899</v>
      </c>
      <c r="C180" s="9">
        <v>27202</v>
      </c>
      <c r="D180" s="9" t="s">
        <v>15</v>
      </c>
      <c r="E180" s="9">
        <v>4020</v>
      </c>
      <c r="F180" s="9">
        <v>3580</v>
      </c>
      <c r="G180" s="10">
        <v>440</v>
      </c>
      <c r="H180" s="9" t="s">
        <v>11</v>
      </c>
      <c r="I180" s="9" t="s">
        <v>12</v>
      </c>
      <c r="J180" t="s">
        <v>13</v>
      </c>
    </row>
    <row r="181" spans="1:10" hidden="1">
      <c r="A181" s="7">
        <v>45152</v>
      </c>
      <c r="B181" s="8">
        <v>0.16875000000000001</v>
      </c>
      <c r="C181" s="9">
        <v>27196</v>
      </c>
      <c r="D181" s="9" t="s">
        <v>19</v>
      </c>
      <c r="E181" s="9">
        <v>27140</v>
      </c>
      <c r="F181" s="9">
        <v>16020</v>
      </c>
      <c r="G181" s="10">
        <v>11120</v>
      </c>
      <c r="H181" s="9" t="s">
        <v>11</v>
      </c>
      <c r="I181" s="9" t="s">
        <v>12</v>
      </c>
      <c r="J181" t="s">
        <v>13</v>
      </c>
    </row>
    <row r="182" spans="1:10" hidden="1">
      <c r="A182" s="7">
        <v>45152</v>
      </c>
      <c r="B182" s="8">
        <v>4.8611111111111098E-2</v>
      </c>
      <c r="C182" s="9">
        <v>27190</v>
      </c>
      <c r="D182" s="9" t="s">
        <v>10</v>
      </c>
      <c r="E182" s="9">
        <v>21620</v>
      </c>
      <c r="F182" s="9">
        <v>13200</v>
      </c>
      <c r="G182" s="10">
        <v>8420</v>
      </c>
      <c r="H182" s="9" t="s">
        <v>11</v>
      </c>
      <c r="I182" s="9" t="s">
        <v>12</v>
      </c>
      <c r="J182" t="s">
        <v>13</v>
      </c>
    </row>
    <row r="183" spans="1:10" hidden="1">
      <c r="A183" s="7">
        <v>45152</v>
      </c>
      <c r="B183" s="8">
        <v>0.18402777777777801</v>
      </c>
      <c r="C183" s="9">
        <v>27199</v>
      </c>
      <c r="D183" s="9" t="s">
        <v>10</v>
      </c>
      <c r="E183" s="9">
        <v>22760</v>
      </c>
      <c r="F183" s="9">
        <v>13160</v>
      </c>
      <c r="G183" s="10">
        <v>9600</v>
      </c>
      <c r="H183" s="9" t="s">
        <v>11</v>
      </c>
      <c r="I183" s="9" t="s">
        <v>12</v>
      </c>
      <c r="J183" t="s">
        <v>13</v>
      </c>
    </row>
    <row r="184" spans="1:10" hidden="1">
      <c r="A184" s="7">
        <v>45152</v>
      </c>
      <c r="B184" s="8">
        <v>0.90416666666666701</v>
      </c>
      <c r="C184" s="9">
        <v>27244</v>
      </c>
      <c r="D184" s="9" t="s">
        <v>16</v>
      </c>
      <c r="E184" s="9">
        <v>25740</v>
      </c>
      <c r="F184" s="9">
        <v>16240</v>
      </c>
      <c r="G184" s="10">
        <v>9500</v>
      </c>
      <c r="H184" s="9" t="s">
        <v>11</v>
      </c>
      <c r="I184" s="9" t="s">
        <v>12</v>
      </c>
      <c r="J184" t="s">
        <v>13</v>
      </c>
    </row>
    <row r="185" spans="1:10" hidden="1">
      <c r="A185" s="7">
        <v>45152</v>
      </c>
      <c r="B185" s="8">
        <v>0.72708333333333297</v>
      </c>
      <c r="C185" s="9">
        <v>27240</v>
      </c>
      <c r="D185" s="9" t="s">
        <v>10</v>
      </c>
      <c r="E185" s="9">
        <v>7460</v>
      </c>
      <c r="F185" s="9">
        <v>3160</v>
      </c>
      <c r="G185" s="10">
        <v>4300</v>
      </c>
      <c r="H185" s="9" t="s">
        <v>11</v>
      </c>
      <c r="I185" s="9" t="s">
        <v>12</v>
      </c>
      <c r="J185" t="s">
        <v>13</v>
      </c>
    </row>
    <row r="186" spans="1:10" hidden="1">
      <c r="A186" s="7">
        <v>45152</v>
      </c>
      <c r="B186" s="8">
        <v>0.77013888888888904</v>
      </c>
      <c r="C186" s="9">
        <v>27241</v>
      </c>
      <c r="D186" s="9" t="s">
        <v>24</v>
      </c>
      <c r="E186" s="9">
        <v>2780</v>
      </c>
      <c r="F186" s="9">
        <v>2300</v>
      </c>
      <c r="G186" s="10">
        <v>480</v>
      </c>
      <c r="H186" s="9" t="s">
        <v>11</v>
      </c>
      <c r="I186" s="7" t="s">
        <v>12</v>
      </c>
      <c r="J186" t="s">
        <v>13</v>
      </c>
    </row>
    <row r="187" spans="1:10" hidden="1">
      <c r="A187" s="7">
        <v>45152</v>
      </c>
      <c r="B187" s="8">
        <v>0.89097222222222205</v>
      </c>
      <c r="C187" s="9">
        <v>27243</v>
      </c>
      <c r="D187" s="9" t="s">
        <v>24</v>
      </c>
      <c r="E187" s="9">
        <v>2540</v>
      </c>
      <c r="F187" s="9">
        <v>2380</v>
      </c>
      <c r="G187" s="10">
        <v>160</v>
      </c>
      <c r="H187" s="9" t="s">
        <v>11</v>
      </c>
      <c r="I187" s="9" t="s">
        <v>12</v>
      </c>
      <c r="J187" t="s">
        <v>13</v>
      </c>
    </row>
    <row r="188" spans="1:10" hidden="1">
      <c r="A188" s="7">
        <v>45152</v>
      </c>
      <c r="B188" s="8">
        <v>0.37291666666666701</v>
      </c>
      <c r="C188" s="9">
        <v>27221</v>
      </c>
      <c r="D188" s="9" t="s">
        <v>21</v>
      </c>
      <c r="E188" s="9">
        <v>6600</v>
      </c>
      <c r="F188" s="7">
        <v>5540</v>
      </c>
      <c r="G188" s="10">
        <v>1060</v>
      </c>
      <c r="H188" s="9" t="s">
        <v>11</v>
      </c>
      <c r="I188" s="9" t="s">
        <v>22</v>
      </c>
      <c r="J188" t="s">
        <v>13</v>
      </c>
    </row>
    <row r="189" spans="1:10" hidden="1">
      <c r="A189" s="7">
        <v>45152</v>
      </c>
      <c r="B189" s="8">
        <v>0.483333333333333</v>
      </c>
      <c r="C189" s="9">
        <v>27232</v>
      </c>
      <c r="D189" s="9" t="s">
        <v>21</v>
      </c>
      <c r="E189" s="9">
        <v>6100</v>
      </c>
      <c r="F189" s="9">
        <v>5520</v>
      </c>
      <c r="G189" s="10">
        <v>580</v>
      </c>
      <c r="H189" s="9" t="s">
        <v>11</v>
      </c>
      <c r="I189" s="9" t="s">
        <v>22</v>
      </c>
      <c r="J189" t="s">
        <v>13</v>
      </c>
    </row>
    <row r="190" spans="1:10" hidden="1">
      <c r="A190" s="7">
        <v>45152</v>
      </c>
      <c r="B190" s="8">
        <v>0.453472222222222</v>
      </c>
      <c r="C190" s="9">
        <v>27229</v>
      </c>
      <c r="D190" s="9" t="s">
        <v>18</v>
      </c>
      <c r="E190" s="9">
        <v>3320</v>
      </c>
      <c r="F190" s="9">
        <v>2860</v>
      </c>
      <c r="G190" s="10">
        <v>460</v>
      </c>
      <c r="H190" s="9" t="s">
        <v>11</v>
      </c>
      <c r="I190" s="9" t="s">
        <v>12</v>
      </c>
      <c r="J190" t="s">
        <v>13</v>
      </c>
    </row>
    <row r="191" spans="1:10" hidden="1">
      <c r="A191" s="7">
        <v>45152</v>
      </c>
      <c r="B191" s="8">
        <v>0.42430555555555599</v>
      </c>
      <c r="C191" s="9">
        <v>4628</v>
      </c>
      <c r="D191" s="9" t="s">
        <v>16</v>
      </c>
      <c r="E191" s="9">
        <v>19420</v>
      </c>
      <c r="F191" s="9">
        <v>15760</v>
      </c>
      <c r="G191" s="10">
        <v>3660</v>
      </c>
      <c r="H191" s="9" t="s">
        <v>11</v>
      </c>
      <c r="I191" s="9" t="s">
        <v>26</v>
      </c>
      <c r="J191" t="s">
        <v>13</v>
      </c>
    </row>
    <row r="192" spans="1:10" hidden="1">
      <c r="A192" s="7">
        <v>45153</v>
      </c>
      <c r="B192" s="8">
        <v>0.12777777777777799</v>
      </c>
      <c r="C192" s="9">
        <v>27253</v>
      </c>
      <c r="D192" s="9" t="s">
        <v>10</v>
      </c>
      <c r="E192" s="9">
        <v>20540</v>
      </c>
      <c r="F192" s="9">
        <v>13360</v>
      </c>
      <c r="G192" s="10">
        <v>7180</v>
      </c>
      <c r="H192" s="9" t="s">
        <v>11</v>
      </c>
      <c r="I192" s="9" t="s">
        <v>12</v>
      </c>
      <c r="J192" t="s">
        <v>13</v>
      </c>
    </row>
    <row r="193" spans="1:10" hidden="1">
      <c r="A193" s="7">
        <v>45153</v>
      </c>
      <c r="B193" s="8">
        <v>4.3749999999999997E-2</v>
      </c>
      <c r="C193" s="9">
        <v>27247</v>
      </c>
      <c r="D193" s="9" t="s">
        <v>10</v>
      </c>
      <c r="E193" s="9">
        <v>21140</v>
      </c>
      <c r="F193" s="9">
        <v>13380</v>
      </c>
      <c r="G193" s="10">
        <v>7760</v>
      </c>
      <c r="H193" s="9" t="s">
        <v>11</v>
      </c>
      <c r="I193" s="9" t="s">
        <v>12</v>
      </c>
      <c r="J193" t="s">
        <v>13</v>
      </c>
    </row>
    <row r="194" spans="1:10" hidden="1">
      <c r="A194" s="7">
        <v>45153</v>
      </c>
      <c r="B194" s="8">
        <v>0.23819444444444399</v>
      </c>
      <c r="C194" s="9">
        <v>27267</v>
      </c>
      <c r="D194" s="9" t="s">
        <v>10</v>
      </c>
      <c r="E194" s="9">
        <v>19780</v>
      </c>
      <c r="F194" s="9">
        <v>13140</v>
      </c>
      <c r="G194" s="10">
        <v>6640</v>
      </c>
      <c r="H194" s="9" t="s">
        <v>11</v>
      </c>
      <c r="I194" s="9" t="s">
        <v>12</v>
      </c>
      <c r="J194" t="s">
        <v>13</v>
      </c>
    </row>
    <row r="195" spans="1:10" hidden="1">
      <c r="A195" s="7">
        <v>45153</v>
      </c>
      <c r="B195" s="8">
        <v>0.89166666666666705</v>
      </c>
      <c r="C195" s="9">
        <v>27305</v>
      </c>
      <c r="D195" s="9" t="s">
        <v>16</v>
      </c>
      <c r="E195" s="9">
        <v>26380</v>
      </c>
      <c r="F195" s="9">
        <v>16220</v>
      </c>
      <c r="G195" s="10">
        <v>10160</v>
      </c>
      <c r="H195" s="9" t="s">
        <v>11</v>
      </c>
      <c r="I195" s="9" t="s">
        <v>12</v>
      </c>
      <c r="J195" t="s">
        <v>13</v>
      </c>
    </row>
    <row r="196" spans="1:10" hidden="1">
      <c r="A196" s="7">
        <v>45153</v>
      </c>
      <c r="B196" s="8">
        <v>0.43541666666666701</v>
      </c>
      <c r="C196" s="9">
        <v>27283</v>
      </c>
      <c r="D196" s="9" t="s">
        <v>16</v>
      </c>
      <c r="E196" s="9">
        <v>18420</v>
      </c>
      <c r="F196" s="9">
        <v>16120</v>
      </c>
      <c r="G196" s="10">
        <v>2300</v>
      </c>
      <c r="H196" s="9" t="s">
        <v>11</v>
      </c>
      <c r="I196" s="9" t="s">
        <v>12</v>
      </c>
      <c r="J196" t="s">
        <v>13</v>
      </c>
    </row>
    <row r="197" spans="1:10" hidden="1">
      <c r="A197" s="7">
        <v>45153</v>
      </c>
      <c r="B197" s="8">
        <v>0.38541666666666702</v>
      </c>
      <c r="C197" s="9">
        <v>27280</v>
      </c>
      <c r="D197" s="9" t="s">
        <v>20</v>
      </c>
      <c r="E197" s="9">
        <v>18980</v>
      </c>
      <c r="F197" s="9">
        <v>16140</v>
      </c>
      <c r="G197" s="10">
        <v>2840</v>
      </c>
      <c r="H197" s="9" t="s">
        <v>11</v>
      </c>
      <c r="I197" s="9" t="s">
        <v>12</v>
      </c>
      <c r="J197" t="s">
        <v>13</v>
      </c>
    </row>
    <row r="198" spans="1:10" hidden="1">
      <c r="A198" s="7">
        <v>45153</v>
      </c>
      <c r="B198" s="8">
        <v>0.44444444444444398</v>
      </c>
      <c r="C198" s="9">
        <v>27286</v>
      </c>
      <c r="D198" s="9" t="s">
        <v>18</v>
      </c>
      <c r="E198" s="9">
        <v>3440</v>
      </c>
      <c r="F198" s="9">
        <v>2840</v>
      </c>
      <c r="G198" s="10">
        <v>600</v>
      </c>
      <c r="H198" s="9" t="s">
        <v>11</v>
      </c>
      <c r="I198" s="9" t="s">
        <v>12</v>
      </c>
      <c r="J198" t="s">
        <v>13</v>
      </c>
    </row>
    <row r="199" spans="1:10" hidden="1">
      <c r="A199" s="7">
        <v>45153</v>
      </c>
      <c r="B199" s="8">
        <v>0.44166666666666698</v>
      </c>
      <c r="C199" s="9">
        <v>27284</v>
      </c>
      <c r="D199" s="9" t="s">
        <v>24</v>
      </c>
      <c r="E199" s="9">
        <v>2620</v>
      </c>
      <c r="F199" s="9">
        <v>2380</v>
      </c>
      <c r="G199" s="10">
        <v>240</v>
      </c>
      <c r="H199" s="9" t="s">
        <v>11</v>
      </c>
      <c r="I199" s="9" t="s">
        <v>12</v>
      </c>
      <c r="J199" t="s">
        <v>13</v>
      </c>
    </row>
    <row r="200" spans="1:10" hidden="1">
      <c r="A200" s="7">
        <v>45153</v>
      </c>
      <c r="B200" s="8">
        <v>0.243055555555556</v>
      </c>
      <c r="C200" s="9">
        <v>27269</v>
      </c>
      <c r="D200" s="9" t="s">
        <v>16</v>
      </c>
      <c r="E200" s="9">
        <v>25340</v>
      </c>
      <c r="F200" s="9">
        <v>16200</v>
      </c>
      <c r="G200" s="10">
        <v>9140</v>
      </c>
      <c r="H200" s="9" t="s">
        <v>11</v>
      </c>
      <c r="I200" s="9" t="s">
        <v>12</v>
      </c>
      <c r="J200" t="s">
        <v>13</v>
      </c>
    </row>
    <row r="201" spans="1:10" hidden="1">
      <c r="A201" s="7">
        <v>45153</v>
      </c>
      <c r="B201" s="8">
        <v>0.19861111111111099</v>
      </c>
      <c r="C201" s="9">
        <v>27261</v>
      </c>
      <c r="D201" s="9" t="s">
        <v>18</v>
      </c>
      <c r="E201" s="9">
        <v>3300</v>
      </c>
      <c r="F201" s="9">
        <v>2780</v>
      </c>
      <c r="G201" s="10">
        <v>520</v>
      </c>
      <c r="H201" s="9" t="s">
        <v>11</v>
      </c>
      <c r="I201" s="9" t="s">
        <v>12</v>
      </c>
      <c r="J201" t="s">
        <v>13</v>
      </c>
    </row>
    <row r="202" spans="1:10" hidden="1">
      <c r="A202" s="7">
        <v>45153</v>
      </c>
      <c r="B202" s="8">
        <v>0.70972222222222203</v>
      </c>
      <c r="C202" s="9">
        <v>27298</v>
      </c>
      <c r="D202" s="9" t="s">
        <v>10</v>
      </c>
      <c r="E202" s="9">
        <v>15800</v>
      </c>
      <c r="F202" s="9">
        <v>13200</v>
      </c>
      <c r="G202" s="10">
        <v>2600</v>
      </c>
      <c r="H202" s="9" t="s">
        <v>11</v>
      </c>
      <c r="I202" s="7" t="s">
        <v>12</v>
      </c>
      <c r="J202" t="s">
        <v>13</v>
      </c>
    </row>
    <row r="203" spans="1:10" hidden="1">
      <c r="A203" s="7">
        <v>45153</v>
      </c>
      <c r="B203" s="8">
        <v>0.89444444444444404</v>
      </c>
      <c r="C203" s="9">
        <v>27306</v>
      </c>
      <c r="D203" s="9" t="s">
        <v>17</v>
      </c>
      <c r="E203" s="9">
        <v>3140</v>
      </c>
      <c r="F203" s="9">
        <v>2600</v>
      </c>
      <c r="G203" s="10">
        <v>540</v>
      </c>
      <c r="H203" s="9" t="s">
        <v>11</v>
      </c>
      <c r="I203" s="9" t="s">
        <v>12</v>
      </c>
      <c r="J203" t="s">
        <v>13</v>
      </c>
    </row>
    <row r="204" spans="1:10" hidden="1">
      <c r="A204" s="7">
        <v>45153</v>
      </c>
      <c r="B204" s="8">
        <v>0.16736111111111099</v>
      </c>
      <c r="C204" s="9">
        <v>27254</v>
      </c>
      <c r="D204" s="9" t="s">
        <v>19</v>
      </c>
      <c r="E204" s="9">
        <v>27720</v>
      </c>
      <c r="F204" s="9">
        <v>16000</v>
      </c>
      <c r="G204" s="10">
        <v>11720</v>
      </c>
      <c r="H204" s="9" t="s">
        <v>11</v>
      </c>
      <c r="I204" s="9" t="s">
        <v>12</v>
      </c>
      <c r="J204" t="s">
        <v>13</v>
      </c>
    </row>
    <row r="205" spans="1:10" hidden="1">
      <c r="A205" s="7">
        <v>45153</v>
      </c>
      <c r="B205" s="8">
        <v>0.209722222222222</v>
      </c>
      <c r="C205" s="9">
        <v>27263</v>
      </c>
      <c r="D205" s="9" t="s">
        <v>15</v>
      </c>
      <c r="E205" s="9">
        <v>4560</v>
      </c>
      <c r="F205" s="9">
        <v>3780</v>
      </c>
      <c r="G205" s="10">
        <v>780</v>
      </c>
      <c r="H205" s="9" t="s">
        <v>11</v>
      </c>
      <c r="I205" s="9" t="s">
        <v>12</v>
      </c>
      <c r="J205" t="s">
        <v>13</v>
      </c>
    </row>
    <row r="206" spans="1:10" hidden="1">
      <c r="A206" s="7">
        <v>45153</v>
      </c>
      <c r="B206" s="8">
        <v>0.11874999999999999</v>
      </c>
      <c r="C206" s="9">
        <v>27251</v>
      </c>
      <c r="D206" s="9" t="s">
        <v>15</v>
      </c>
      <c r="E206" s="9">
        <v>4800</v>
      </c>
      <c r="F206" s="9">
        <v>3600</v>
      </c>
      <c r="G206" s="10">
        <v>1200</v>
      </c>
      <c r="H206" s="9" t="s">
        <v>11</v>
      </c>
      <c r="I206" s="9" t="s">
        <v>12</v>
      </c>
      <c r="J206" t="s">
        <v>13</v>
      </c>
    </row>
    <row r="207" spans="1:10" hidden="1">
      <c r="A207" s="7">
        <v>45154</v>
      </c>
      <c r="B207" s="8">
        <v>0.21666666666666701</v>
      </c>
      <c r="C207" s="9">
        <v>27318</v>
      </c>
      <c r="D207" s="9" t="s">
        <v>18</v>
      </c>
      <c r="E207" s="9">
        <v>3940</v>
      </c>
      <c r="F207" s="9">
        <v>2840</v>
      </c>
      <c r="G207" s="10">
        <v>1100</v>
      </c>
      <c r="H207" s="9" t="s">
        <v>11</v>
      </c>
      <c r="I207" s="9" t="s">
        <v>12</v>
      </c>
      <c r="J207" t="s">
        <v>13</v>
      </c>
    </row>
    <row r="208" spans="1:10" hidden="1">
      <c r="A208" s="7">
        <v>45154</v>
      </c>
      <c r="B208" s="8">
        <v>0.163888888888889</v>
      </c>
      <c r="C208" s="9">
        <v>27316</v>
      </c>
      <c r="D208" s="9" t="s">
        <v>19</v>
      </c>
      <c r="E208" s="9">
        <v>26740</v>
      </c>
      <c r="F208" s="9">
        <v>15840</v>
      </c>
      <c r="G208" s="10">
        <v>10900</v>
      </c>
      <c r="H208" s="9" t="s">
        <v>11</v>
      </c>
      <c r="I208" s="9" t="s">
        <v>12</v>
      </c>
      <c r="J208" t="s">
        <v>13</v>
      </c>
    </row>
    <row r="209" spans="1:10" hidden="1">
      <c r="A209" s="7">
        <v>45154</v>
      </c>
      <c r="B209" s="8">
        <v>4.1666666666666699E-2</v>
      </c>
      <c r="C209" s="9">
        <v>27309</v>
      </c>
      <c r="D209" s="9" t="s">
        <v>10</v>
      </c>
      <c r="E209" s="9">
        <v>22600</v>
      </c>
      <c r="F209" s="9">
        <v>13460</v>
      </c>
      <c r="G209" s="10">
        <v>9140</v>
      </c>
      <c r="H209" s="9" t="s">
        <v>11</v>
      </c>
      <c r="I209" s="9" t="s">
        <v>12</v>
      </c>
      <c r="J209" t="s">
        <v>13</v>
      </c>
    </row>
    <row r="210" spans="1:10" hidden="1">
      <c r="A210" s="7">
        <v>45154</v>
      </c>
      <c r="B210" s="8">
        <v>0.12638888888888899</v>
      </c>
      <c r="C210" s="9">
        <v>27314</v>
      </c>
      <c r="D210" s="9" t="s">
        <v>10</v>
      </c>
      <c r="E210" s="9">
        <v>21000</v>
      </c>
      <c r="F210" s="9">
        <v>13440</v>
      </c>
      <c r="G210" s="10">
        <v>7560</v>
      </c>
      <c r="H210" s="9" t="s">
        <v>11</v>
      </c>
      <c r="I210" s="9" t="s">
        <v>12</v>
      </c>
      <c r="J210" t="s">
        <v>13</v>
      </c>
    </row>
    <row r="211" spans="1:10" hidden="1">
      <c r="A211" s="7">
        <v>45154</v>
      </c>
      <c r="B211" s="8">
        <v>0.23611111111111099</v>
      </c>
      <c r="C211" s="9">
        <v>27323</v>
      </c>
      <c r="D211" s="9" t="s">
        <v>10</v>
      </c>
      <c r="E211" s="9">
        <v>19540</v>
      </c>
      <c r="F211" s="9">
        <v>13240</v>
      </c>
      <c r="G211" s="10">
        <v>6300</v>
      </c>
      <c r="H211" s="9" t="s">
        <v>11</v>
      </c>
      <c r="I211" s="9" t="s">
        <v>12</v>
      </c>
      <c r="J211" t="s">
        <v>13</v>
      </c>
    </row>
    <row r="212" spans="1:10" hidden="1">
      <c r="A212" s="7">
        <v>45154</v>
      </c>
      <c r="B212" s="8">
        <v>0.21527777777777801</v>
      </c>
      <c r="C212" s="9">
        <v>27319</v>
      </c>
      <c r="D212" s="9" t="s">
        <v>17</v>
      </c>
      <c r="E212" s="9">
        <v>3160</v>
      </c>
      <c r="F212" s="9">
        <v>2600</v>
      </c>
      <c r="G212" s="10">
        <v>560</v>
      </c>
      <c r="H212" s="9" t="s">
        <v>11</v>
      </c>
      <c r="I212" s="9" t="s">
        <v>12</v>
      </c>
      <c r="J212" t="s">
        <v>13</v>
      </c>
    </row>
    <row r="213" spans="1:10" hidden="1">
      <c r="A213" s="7">
        <v>45154</v>
      </c>
      <c r="B213" s="8">
        <v>0.88680555555555596</v>
      </c>
      <c r="C213" s="9">
        <v>27374</v>
      </c>
      <c r="D213" s="9" t="s">
        <v>24</v>
      </c>
      <c r="E213" s="9">
        <v>2540</v>
      </c>
      <c r="F213" s="9">
        <v>2320</v>
      </c>
      <c r="G213" s="10">
        <v>220</v>
      </c>
      <c r="H213" s="9" t="s">
        <v>11</v>
      </c>
      <c r="I213" s="9" t="s">
        <v>12</v>
      </c>
      <c r="J213" t="s">
        <v>13</v>
      </c>
    </row>
    <row r="214" spans="1:10" hidden="1">
      <c r="A214" s="7">
        <v>45154</v>
      </c>
      <c r="B214" s="8">
        <v>0.469444444444445</v>
      </c>
      <c r="C214" s="9">
        <v>27351</v>
      </c>
      <c r="D214" s="9" t="s">
        <v>19</v>
      </c>
      <c r="E214" s="9">
        <v>23800</v>
      </c>
      <c r="F214" s="9">
        <v>15780</v>
      </c>
      <c r="G214" s="10">
        <v>8020</v>
      </c>
      <c r="H214" s="9" t="s">
        <v>11</v>
      </c>
      <c r="I214" s="9" t="s">
        <v>12</v>
      </c>
      <c r="J214" t="s">
        <v>13</v>
      </c>
    </row>
    <row r="215" spans="1:10" hidden="1">
      <c r="A215" s="7">
        <v>45154</v>
      </c>
      <c r="B215" s="8">
        <v>0.36180555555555599</v>
      </c>
      <c r="C215" s="9">
        <v>27338</v>
      </c>
      <c r="D215" s="9" t="s">
        <v>21</v>
      </c>
      <c r="E215" s="9">
        <v>6500</v>
      </c>
      <c r="F215" s="9">
        <v>5520</v>
      </c>
      <c r="G215" s="10">
        <v>980</v>
      </c>
      <c r="H215" s="9" t="s">
        <v>11</v>
      </c>
      <c r="I215" s="9" t="s">
        <v>22</v>
      </c>
      <c r="J215" t="s">
        <v>13</v>
      </c>
    </row>
    <row r="216" spans="1:10" hidden="1">
      <c r="A216" s="7">
        <v>45154</v>
      </c>
      <c r="B216" s="8">
        <v>0.469444444444445</v>
      </c>
      <c r="C216" s="9">
        <v>27349</v>
      </c>
      <c r="D216" s="9" t="s">
        <v>21</v>
      </c>
      <c r="E216" s="9">
        <v>6320</v>
      </c>
      <c r="F216" s="9">
        <v>5500</v>
      </c>
      <c r="G216" s="10">
        <v>820</v>
      </c>
      <c r="H216" s="9" t="s">
        <v>11</v>
      </c>
      <c r="I216" s="9" t="s">
        <v>22</v>
      </c>
      <c r="J216" t="s">
        <v>13</v>
      </c>
    </row>
    <row r="217" spans="1:10" hidden="1">
      <c r="A217" s="7">
        <v>45154</v>
      </c>
      <c r="B217" s="8">
        <v>0.45</v>
      </c>
      <c r="C217" s="9">
        <v>27344</v>
      </c>
      <c r="D217" s="9" t="s">
        <v>24</v>
      </c>
      <c r="E217" s="9">
        <v>2740</v>
      </c>
      <c r="F217" s="9">
        <v>2420</v>
      </c>
      <c r="G217" s="10">
        <v>320</v>
      </c>
      <c r="H217" s="9" t="s">
        <v>11</v>
      </c>
      <c r="I217" s="9" t="s">
        <v>12</v>
      </c>
      <c r="J217" t="s">
        <v>13</v>
      </c>
    </row>
    <row r="218" spans="1:10" hidden="1">
      <c r="A218" s="7">
        <v>45154</v>
      </c>
      <c r="B218" s="8">
        <v>0.50138888888888899</v>
      </c>
      <c r="C218" s="9">
        <v>27353</v>
      </c>
      <c r="D218" s="9" t="s">
        <v>18</v>
      </c>
      <c r="E218" s="9">
        <v>3300</v>
      </c>
      <c r="F218" s="9">
        <v>2880</v>
      </c>
      <c r="G218" s="10">
        <v>420</v>
      </c>
      <c r="H218" s="9" t="s">
        <v>11</v>
      </c>
      <c r="I218" s="9" t="s">
        <v>12</v>
      </c>
      <c r="J218" t="s">
        <v>13</v>
      </c>
    </row>
    <row r="219" spans="1:10" hidden="1">
      <c r="A219" s="7">
        <v>45154</v>
      </c>
      <c r="B219" s="8">
        <v>0.79930555555555605</v>
      </c>
      <c r="C219" s="9">
        <v>27368</v>
      </c>
      <c r="D219" s="9" t="s">
        <v>24</v>
      </c>
      <c r="E219" s="9">
        <v>2780</v>
      </c>
      <c r="F219" s="9">
        <v>2320</v>
      </c>
      <c r="G219" s="10">
        <v>460</v>
      </c>
      <c r="H219" s="9" t="s">
        <v>11</v>
      </c>
      <c r="I219" s="9" t="s">
        <v>12</v>
      </c>
      <c r="J219" t="s">
        <v>13</v>
      </c>
    </row>
    <row r="220" spans="1:10" hidden="1">
      <c r="A220" s="7">
        <v>45154</v>
      </c>
      <c r="B220" s="8">
        <v>0.87847222222222199</v>
      </c>
      <c r="C220" s="9">
        <v>27372</v>
      </c>
      <c r="D220" s="9" t="s">
        <v>16</v>
      </c>
      <c r="E220" s="9">
        <v>25520</v>
      </c>
      <c r="F220" s="9">
        <v>16220</v>
      </c>
      <c r="G220" s="10">
        <v>9300</v>
      </c>
      <c r="H220" s="9" t="s">
        <v>11</v>
      </c>
      <c r="I220" s="9" t="s">
        <v>12</v>
      </c>
      <c r="J220" t="s">
        <v>13</v>
      </c>
    </row>
    <row r="221" spans="1:10" hidden="1">
      <c r="A221" s="7">
        <v>45154</v>
      </c>
      <c r="B221" s="8">
        <v>0.70416666666666705</v>
      </c>
      <c r="C221" s="9">
        <v>27366</v>
      </c>
      <c r="D221" s="9" t="s">
        <v>10</v>
      </c>
      <c r="E221" s="9">
        <v>16400</v>
      </c>
      <c r="F221" s="9">
        <v>13140</v>
      </c>
      <c r="G221" s="10">
        <v>3260</v>
      </c>
      <c r="H221" s="9" t="s">
        <v>11</v>
      </c>
      <c r="I221" s="9" t="s">
        <v>12</v>
      </c>
      <c r="J221" t="s">
        <v>13</v>
      </c>
    </row>
    <row r="222" spans="1:10" hidden="1">
      <c r="A222" s="7">
        <v>45155</v>
      </c>
      <c r="B222" s="8">
        <v>0.42777777777777798</v>
      </c>
      <c r="C222" s="9">
        <v>161339</v>
      </c>
      <c r="D222" s="9" t="s">
        <v>16</v>
      </c>
      <c r="E222" s="9">
        <v>17520</v>
      </c>
      <c r="F222" s="9">
        <v>16160</v>
      </c>
      <c r="G222" s="10">
        <v>1360</v>
      </c>
      <c r="H222" s="9" t="s">
        <v>11</v>
      </c>
      <c r="I222" s="9" t="s">
        <v>23</v>
      </c>
      <c r="J222" t="s">
        <v>13</v>
      </c>
    </row>
    <row r="223" spans="1:10" hidden="1">
      <c r="A223" s="7">
        <v>45155</v>
      </c>
      <c r="B223" s="8">
        <v>0.12708333333333299</v>
      </c>
      <c r="C223" s="9">
        <v>27382</v>
      </c>
      <c r="D223" s="9" t="s">
        <v>10</v>
      </c>
      <c r="E223" s="9">
        <v>20620</v>
      </c>
      <c r="F223" s="9">
        <v>13140</v>
      </c>
      <c r="G223" s="10">
        <v>7480</v>
      </c>
      <c r="H223" s="9" t="s">
        <v>11</v>
      </c>
      <c r="I223" s="9" t="s">
        <v>12</v>
      </c>
      <c r="J223" t="s">
        <v>13</v>
      </c>
    </row>
    <row r="224" spans="1:10" hidden="1">
      <c r="A224" s="7">
        <v>45155</v>
      </c>
      <c r="B224" s="8">
        <v>3.4027777777777803E-2</v>
      </c>
      <c r="C224" s="9">
        <v>27376</v>
      </c>
      <c r="D224" s="9" t="s">
        <v>10</v>
      </c>
      <c r="E224" s="9">
        <v>21160</v>
      </c>
      <c r="F224" s="9">
        <v>13320</v>
      </c>
      <c r="G224" s="10">
        <v>7840</v>
      </c>
      <c r="H224" s="9" t="s">
        <v>11</v>
      </c>
      <c r="I224" s="9" t="s">
        <v>12</v>
      </c>
      <c r="J224" t="s">
        <v>13</v>
      </c>
    </row>
    <row r="225" spans="1:10" hidden="1">
      <c r="A225" s="7">
        <v>45155</v>
      </c>
      <c r="B225" s="8">
        <v>0.13611111111111099</v>
      </c>
      <c r="C225" s="9">
        <v>27383</v>
      </c>
      <c r="D225" s="9" t="s">
        <v>15</v>
      </c>
      <c r="E225" s="9">
        <v>4880</v>
      </c>
      <c r="F225" s="9">
        <v>3580</v>
      </c>
      <c r="G225" s="10">
        <v>1300</v>
      </c>
      <c r="H225" s="9" t="s">
        <v>11</v>
      </c>
      <c r="I225" s="9" t="s">
        <v>12</v>
      </c>
      <c r="J225" t="s">
        <v>13</v>
      </c>
    </row>
    <row r="226" spans="1:10" hidden="1">
      <c r="A226" s="7">
        <v>45155</v>
      </c>
      <c r="B226" s="8">
        <v>0.219444444444444</v>
      </c>
      <c r="C226" s="9">
        <v>27390</v>
      </c>
      <c r="D226" s="9" t="s">
        <v>15</v>
      </c>
      <c r="E226" s="9">
        <v>4580</v>
      </c>
      <c r="F226" s="9">
        <v>3760</v>
      </c>
      <c r="G226" s="10">
        <v>820</v>
      </c>
      <c r="H226" s="9" t="s">
        <v>11</v>
      </c>
      <c r="I226" s="9" t="s">
        <v>12</v>
      </c>
      <c r="J226" t="s">
        <v>13</v>
      </c>
    </row>
    <row r="227" spans="1:10" hidden="1">
      <c r="A227" s="11">
        <v>45155</v>
      </c>
      <c r="B227" s="12">
        <v>0.15763888888888899</v>
      </c>
      <c r="C227" s="13">
        <v>27384</v>
      </c>
      <c r="D227" s="13" t="s">
        <v>19</v>
      </c>
      <c r="E227" s="13">
        <v>26720</v>
      </c>
      <c r="F227" s="13">
        <v>15760</v>
      </c>
      <c r="G227" s="13">
        <v>10960</v>
      </c>
      <c r="H227" s="13" t="s">
        <v>11</v>
      </c>
      <c r="I227" s="13" t="s">
        <v>12</v>
      </c>
      <c r="J227" t="s">
        <v>13</v>
      </c>
    </row>
    <row r="228" spans="1:10" hidden="1">
      <c r="A228" s="7">
        <v>45155</v>
      </c>
      <c r="B228" s="8">
        <v>0.343055555555556</v>
      </c>
      <c r="C228" s="9">
        <v>27405</v>
      </c>
      <c r="D228" s="9" t="s">
        <v>16</v>
      </c>
      <c r="E228" s="9">
        <v>24640</v>
      </c>
      <c r="F228" s="9">
        <v>16180</v>
      </c>
      <c r="G228" s="10">
        <v>8460</v>
      </c>
      <c r="H228" s="9" t="s">
        <v>11</v>
      </c>
      <c r="I228" s="9" t="s">
        <v>12</v>
      </c>
      <c r="J228" t="s">
        <v>13</v>
      </c>
    </row>
    <row r="229" spans="1:10" hidden="1">
      <c r="A229" s="7">
        <v>45155</v>
      </c>
      <c r="B229" s="8">
        <v>0.47013888888888899</v>
      </c>
      <c r="C229" s="9">
        <v>27417</v>
      </c>
      <c r="D229" s="9" t="s">
        <v>18</v>
      </c>
      <c r="E229" s="9">
        <v>3560</v>
      </c>
      <c r="F229" s="9">
        <v>2880</v>
      </c>
      <c r="G229" s="10">
        <v>680</v>
      </c>
      <c r="H229" s="9" t="s">
        <v>11</v>
      </c>
      <c r="I229" s="9" t="s">
        <v>12</v>
      </c>
      <c r="J229" t="s">
        <v>13</v>
      </c>
    </row>
    <row r="230" spans="1:10" hidden="1">
      <c r="A230" s="7">
        <v>45155</v>
      </c>
      <c r="B230" s="8">
        <v>0.23680555555555599</v>
      </c>
      <c r="C230" s="9">
        <v>27393</v>
      </c>
      <c r="D230" s="9" t="s">
        <v>10</v>
      </c>
      <c r="E230" s="9">
        <v>17820</v>
      </c>
      <c r="F230" s="9">
        <v>13140</v>
      </c>
      <c r="G230" s="10">
        <v>4680</v>
      </c>
      <c r="H230" s="9" t="s">
        <v>11</v>
      </c>
      <c r="I230" s="9" t="s">
        <v>12</v>
      </c>
      <c r="J230" t="s">
        <v>13</v>
      </c>
    </row>
    <row r="231" spans="1:10" hidden="1">
      <c r="A231" s="7">
        <v>45155</v>
      </c>
      <c r="B231" s="8">
        <v>0.89375000000000004</v>
      </c>
      <c r="C231" s="9">
        <v>27440</v>
      </c>
      <c r="D231" s="9" t="s">
        <v>16</v>
      </c>
      <c r="E231" s="9">
        <v>25240</v>
      </c>
      <c r="F231" s="9">
        <v>16200</v>
      </c>
      <c r="G231" s="10">
        <v>9040</v>
      </c>
      <c r="H231" s="9" t="s">
        <v>11</v>
      </c>
      <c r="I231" s="9" t="s">
        <v>12</v>
      </c>
      <c r="J231" t="s">
        <v>13</v>
      </c>
    </row>
    <row r="232" spans="1:10" hidden="1">
      <c r="A232" s="7">
        <v>45155</v>
      </c>
      <c r="B232" s="8">
        <v>0.88749999999999996</v>
      </c>
      <c r="C232" s="9">
        <v>27439</v>
      </c>
      <c r="D232" s="9" t="s">
        <v>17</v>
      </c>
      <c r="E232" s="9">
        <v>3340</v>
      </c>
      <c r="F232" s="9">
        <v>2700</v>
      </c>
      <c r="G232" s="10">
        <v>640</v>
      </c>
      <c r="H232" s="9" t="s">
        <v>11</v>
      </c>
      <c r="I232" s="9" t="s">
        <v>12</v>
      </c>
      <c r="J232" t="s">
        <v>13</v>
      </c>
    </row>
    <row r="233" spans="1:10" hidden="1">
      <c r="A233" s="7">
        <v>45155</v>
      </c>
      <c r="B233" s="8">
        <v>0.70277777777777795</v>
      </c>
      <c r="C233" s="9">
        <v>27432</v>
      </c>
      <c r="D233" s="9" t="s">
        <v>10</v>
      </c>
      <c r="E233" s="9">
        <v>16680</v>
      </c>
      <c r="F233" s="9">
        <v>13180</v>
      </c>
      <c r="G233" s="10">
        <v>3500</v>
      </c>
      <c r="H233" s="9" t="s">
        <v>11</v>
      </c>
      <c r="I233" s="9" t="s">
        <v>12</v>
      </c>
      <c r="J233" t="s">
        <v>13</v>
      </c>
    </row>
    <row r="234" spans="1:10" hidden="1">
      <c r="A234" s="7">
        <v>45156</v>
      </c>
      <c r="B234" s="8">
        <v>0.12291666666666699</v>
      </c>
      <c r="C234" s="9">
        <v>27449</v>
      </c>
      <c r="D234" s="9" t="s">
        <v>15</v>
      </c>
      <c r="E234" s="9">
        <v>4840</v>
      </c>
      <c r="F234" s="9">
        <v>3580</v>
      </c>
      <c r="G234" s="10">
        <v>1260</v>
      </c>
      <c r="H234" s="9" t="s">
        <v>11</v>
      </c>
      <c r="I234" s="9" t="s">
        <v>12</v>
      </c>
      <c r="J234" t="s">
        <v>13</v>
      </c>
    </row>
    <row r="235" spans="1:10" hidden="1">
      <c r="A235" s="7">
        <v>45156</v>
      </c>
      <c r="B235" s="8">
        <v>0.210416666666667</v>
      </c>
      <c r="C235" s="9">
        <v>27454</v>
      </c>
      <c r="D235" s="9" t="s">
        <v>15</v>
      </c>
      <c r="E235" s="9">
        <v>4660</v>
      </c>
      <c r="F235" s="9">
        <v>3760</v>
      </c>
      <c r="G235" s="10">
        <v>900</v>
      </c>
      <c r="H235" s="9" t="s">
        <v>11</v>
      </c>
      <c r="I235" s="9" t="s">
        <v>12</v>
      </c>
      <c r="J235" t="s">
        <v>13</v>
      </c>
    </row>
    <row r="236" spans="1:10" hidden="1">
      <c r="A236" s="7">
        <v>45156</v>
      </c>
      <c r="B236" s="8">
        <v>0.22013888888888899</v>
      </c>
      <c r="C236" s="9">
        <v>27456</v>
      </c>
      <c r="D236" s="9" t="s">
        <v>17</v>
      </c>
      <c r="E236" s="9">
        <v>3020</v>
      </c>
      <c r="F236" s="9">
        <v>2680</v>
      </c>
      <c r="G236" s="10">
        <v>340</v>
      </c>
      <c r="H236" s="9" t="s">
        <v>11</v>
      </c>
      <c r="I236" s="9" t="s">
        <v>12</v>
      </c>
      <c r="J236" t="s">
        <v>13</v>
      </c>
    </row>
    <row r="237" spans="1:10" hidden="1">
      <c r="A237" s="7">
        <v>45156</v>
      </c>
      <c r="B237" s="8">
        <v>0.22847222222222199</v>
      </c>
      <c r="C237" s="9">
        <v>27458</v>
      </c>
      <c r="D237" s="9" t="s">
        <v>14</v>
      </c>
      <c r="E237" s="9">
        <v>15440</v>
      </c>
      <c r="F237" s="9">
        <v>12480</v>
      </c>
      <c r="G237" s="10">
        <v>2960</v>
      </c>
      <c r="H237" s="9" t="s">
        <v>11</v>
      </c>
      <c r="I237" s="9" t="s">
        <v>12</v>
      </c>
      <c r="J237" t="s">
        <v>13</v>
      </c>
    </row>
    <row r="238" spans="1:10" hidden="1">
      <c r="A238" s="7">
        <v>45156</v>
      </c>
      <c r="B238" s="8">
        <v>0.163888888888889</v>
      </c>
      <c r="C238" s="9">
        <v>27450</v>
      </c>
      <c r="D238" s="9" t="s">
        <v>16</v>
      </c>
      <c r="E238" s="9">
        <v>25680</v>
      </c>
      <c r="F238" s="9">
        <v>16180</v>
      </c>
      <c r="G238" s="10">
        <v>9500</v>
      </c>
      <c r="H238" s="9" t="s">
        <v>11</v>
      </c>
      <c r="I238" s="9" t="s">
        <v>12</v>
      </c>
      <c r="J238" t="s">
        <v>13</v>
      </c>
    </row>
    <row r="239" spans="1:10" hidden="1">
      <c r="A239" s="7">
        <v>45156</v>
      </c>
      <c r="B239" s="8">
        <v>0.22500000000000001</v>
      </c>
      <c r="C239" s="9">
        <v>27457</v>
      </c>
      <c r="D239" s="9" t="s">
        <v>10</v>
      </c>
      <c r="E239" s="9">
        <v>18420</v>
      </c>
      <c r="F239" s="9">
        <v>13200</v>
      </c>
      <c r="G239" s="10">
        <v>5220</v>
      </c>
      <c r="H239" s="9" t="s">
        <v>11</v>
      </c>
      <c r="I239" s="9" t="s">
        <v>12</v>
      </c>
      <c r="J239" t="s">
        <v>13</v>
      </c>
    </row>
    <row r="240" spans="1:10" hidden="1">
      <c r="A240" s="7">
        <v>45156</v>
      </c>
      <c r="B240" s="8">
        <v>2.9861111111111099E-2</v>
      </c>
      <c r="C240" s="9">
        <v>27443</v>
      </c>
      <c r="D240" s="9" t="s">
        <v>10</v>
      </c>
      <c r="E240" s="9">
        <v>22440</v>
      </c>
      <c r="F240" s="9">
        <v>13400</v>
      </c>
      <c r="G240" s="10">
        <v>9040</v>
      </c>
      <c r="H240" s="9" t="s">
        <v>11</v>
      </c>
      <c r="I240" s="9" t="s">
        <v>12</v>
      </c>
      <c r="J240" t="s">
        <v>13</v>
      </c>
    </row>
    <row r="241" spans="1:10" hidden="1">
      <c r="A241" s="7">
        <v>45156</v>
      </c>
      <c r="B241" s="8">
        <v>0.113194444444444</v>
      </c>
      <c r="C241" s="9">
        <v>27445</v>
      </c>
      <c r="D241" s="9" t="s">
        <v>10</v>
      </c>
      <c r="E241" s="9">
        <v>21100</v>
      </c>
      <c r="F241" s="9">
        <v>13200</v>
      </c>
      <c r="G241" s="10">
        <v>7900</v>
      </c>
      <c r="H241" s="9" t="s">
        <v>11</v>
      </c>
      <c r="I241" s="9" t="s">
        <v>12</v>
      </c>
      <c r="J241" t="s">
        <v>13</v>
      </c>
    </row>
    <row r="242" spans="1:10" hidden="1">
      <c r="A242" s="7">
        <v>45156</v>
      </c>
      <c r="B242" s="8">
        <v>0.88263888888888897</v>
      </c>
      <c r="C242" s="9">
        <v>27509</v>
      </c>
      <c r="D242" s="9" t="s">
        <v>17</v>
      </c>
      <c r="E242" s="9">
        <v>3260</v>
      </c>
      <c r="F242" s="9">
        <v>2680</v>
      </c>
      <c r="G242" s="10">
        <v>580</v>
      </c>
      <c r="H242" s="9" t="s">
        <v>11</v>
      </c>
      <c r="I242" s="9" t="s">
        <v>12</v>
      </c>
      <c r="J242" t="s">
        <v>13</v>
      </c>
    </row>
    <row r="243" spans="1:10" hidden="1">
      <c r="A243" s="7">
        <v>45156</v>
      </c>
      <c r="B243" s="8">
        <v>0.91041666666666698</v>
      </c>
      <c r="C243" s="9">
        <v>27510</v>
      </c>
      <c r="D243" s="9" t="s">
        <v>19</v>
      </c>
      <c r="E243" s="9">
        <v>20180</v>
      </c>
      <c r="F243" s="9">
        <v>15820</v>
      </c>
      <c r="G243" s="10">
        <v>4360</v>
      </c>
      <c r="H243" s="9" t="s">
        <v>11</v>
      </c>
      <c r="I243" s="9" t="s">
        <v>12</v>
      </c>
      <c r="J243" t="s">
        <v>13</v>
      </c>
    </row>
    <row r="244" spans="1:10" hidden="1">
      <c r="A244" s="7">
        <v>45156</v>
      </c>
      <c r="B244" s="8">
        <v>0.70833333333333304</v>
      </c>
      <c r="C244" s="9">
        <v>27503</v>
      </c>
      <c r="D244" s="9" t="s">
        <v>10</v>
      </c>
      <c r="E244" s="9">
        <v>16820</v>
      </c>
      <c r="F244" s="9">
        <v>13120</v>
      </c>
      <c r="G244" s="10">
        <v>3700</v>
      </c>
      <c r="H244" s="9" t="s">
        <v>11</v>
      </c>
      <c r="I244" s="9" t="s">
        <v>12</v>
      </c>
      <c r="J244" t="s">
        <v>13</v>
      </c>
    </row>
    <row r="245" spans="1:10" hidden="1">
      <c r="A245" s="7">
        <v>45157</v>
      </c>
      <c r="B245" s="8">
        <v>0.999305555555556</v>
      </c>
      <c r="C245" s="9">
        <v>27513</v>
      </c>
      <c r="D245" s="9" t="s">
        <v>16</v>
      </c>
      <c r="E245" s="9">
        <v>19660</v>
      </c>
      <c r="F245" s="9">
        <v>16160</v>
      </c>
      <c r="G245" s="10">
        <v>3500</v>
      </c>
      <c r="H245" s="9" t="s">
        <v>11</v>
      </c>
      <c r="I245" s="9" t="s">
        <v>12</v>
      </c>
      <c r="J245" t="s">
        <v>13</v>
      </c>
    </row>
    <row r="246" spans="1:10" hidden="1">
      <c r="A246" s="7">
        <v>45156</v>
      </c>
      <c r="B246" s="8">
        <v>0.452083333333333</v>
      </c>
      <c r="C246" s="9">
        <v>27485</v>
      </c>
      <c r="D246" s="9" t="s">
        <v>24</v>
      </c>
      <c r="E246" s="9">
        <v>2700</v>
      </c>
      <c r="F246" s="9">
        <v>2400</v>
      </c>
      <c r="G246" s="10">
        <v>300</v>
      </c>
      <c r="H246" s="9" t="s">
        <v>11</v>
      </c>
      <c r="I246" s="9" t="s">
        <v>12</v>
      </c>
      <c r="J246" t="s">
        <v>13</v>
      </c>
    </row>
    <row r="247" spans="1:10" hidden="1">
      <c r="A247" s="7">
        <v>45156</v>
      </c>
      <c r="B247" s="8">
        <v>0.45</v>
      </c>
      <c r="C247" s="9">
        <v>27484</v>
      </c>
      <c r="D247" s="9" t="s">
        <v>18</v>
      </c>
      <c r="E247" s="9">
        <v>3520</v>
      </c>
      <c r="F247" s="9">
        <v>2860</v>
      </c>
      <c r="G247" s="10">
        <v>660</v>
      </c>
      <c r="H247" s="9" t="s">
        <v>11</v>
      </c>
      <c r="I247" s="9" t="s">
        <v>12</v>
      </c>
      <c r="J247" t="s">
        <v>13</v>
      </c>
    </row>
    <row r="248" spans="1:10" hidden="1">
      <c r="A248" s="7">
        <v>45156</v>
      </c>
      <c r="B248" s="8">
        <v>0.51597222222222205</v>
      </c>
      <c r="C248" s="9">
        <v>27491</v>
      </c>
      <c r="D248" s="9" t="s">
        <v>17</v>
      </c>
      <c r="E248" s="9">
        <v>2980</v>
      </c>
      <c r="F248" s="9">
        <v>2780</v>
      </c>
      <c r="G248" s="10">
        <v>200</v>
      </c>
      <c r="H248" s="9" t="s">
        <v>11</v>
      </c>
      <c r="I248" s="9" t="s">
        <v>25</v>
      </c>
      <c r="J248" t="s">
        <v>13</v>
      </c>
    </row>
    <row r="249" spans="1:10" hidden="1">
      <c r="A249" s="7">
        <v>45157</v>
      </c>
      <c r="B249" s="8">
        <v>0.22222222222222199</v>
      </c>
      <c r="C249" s="9">
        <v>27528</v>
      </c>
      <c r="D249" s="9" t="s">
        <v>17</v>
      </c>
      <c r="E249" s="9">
        <v>3140</v>
      </c>
      <c r="F249" s="9">
        <v>2720</v>
      </c>
      <c r="G249" s="10">
        <v>420</v>
      </c>
      <c r="H249" s="9" t="s">
        <v>11</v>
      </c>
      <c r="I249" s="9" t="s">
        <v>12</v>
      </c>
      <c r="J249" t="s">
        <v>13</v>
      </c>
    </row>
    <row r="250" spans="1:10" hidden="1">
      <c r="A250" s="7">
        <v>45157</v>
      </c>
      <c r="B250" s="8">
        <v>0.16666666666666699</v>
      </c>
      <c r="C250" s="9">
        <v>27521</v>
      </c>
      <c r="D250" s="9" t="s">
        <v>19</v>
      </c>
      <c r="E250" s="9">
        <v>28460</v>
      </c>
      <c r="F250" s="9">
        <v>15900</v>
      </c>
      <c r="G250" s="10">
        <v>12560</v>
      </c>
      <c r="H250" s="9" t="s">
        <v>11</v>
      </c>
      <c r="I250" s="9" t="s">
        <v>12</v>
      </c>
      <c r="J250" t="s">
        <v>13</v>
      </c>
    </row>
    <row r="251" spans="1:10" hidden="1">
      <c r="A251" s="7">
        <v>45157</v>
      </c>
      <c r="B251" s="8">
        <v>5.5555555555555601E-2</v>
      </c>
      <c r="C251" s="9">
        <v>27515</v>
      </c>
      <c r="D251" s="9" t="s">
        <v>10</v>
      </c>
      <c r="E251" s="9">
        <v>22520</v>
      </c>
      <c r="F251" s="9">
        <v>13340</v>
      </c>
      <c r="G251" s="10">
        <v>9180</v>
      </c>
      <c r="H251" s="9" t="s">
        <v>11</v>
      </c>
      <c r="I251" s="9" t="s">
        <v>12</v>
      </c>
      <c r="J251" t="s">
        <v>13</v>
      </c>
    </row>
    <row r="252" spans="1:10" hidden="1">
      <c r="A252" s="7">
        <v>45157</v>
      </c>
      <c r="B252" s="8">
        <v>0.26874999999999999</v>
      </c>
      <c r="C252" s="9">
        <v>27535</v>
      </c>
      <c r="D252" s="9" t="s">
        <v>20</v>
      </c>
      <c r="E252" s="9">
        <v>18680</v>
      </c>
      <c r="F252" s="9">
        <v>16140</v>
      </c>
      <c r="G252" s="10">
        <v>2540</v>
      </c>
      <c r="H252" s="9" t="s">
        <v>11</v>
      </c>
      <c r="I252" s="9" t="s">
        <v>12</v>
      </c>
      <c r="J252" t="s">
        <v>13</v>
      </c>
    </row>
    <row r="253" spans="1:10" hidden="1">
      <c r="A253" s="7">
        <v>45157</v>
      </c>
      <c r="B253" s="8">
        <v>0.23819444444444399</v>
      </c>
      <c r="C253" s="9">
        <v>27531</v>
      </c>
      <c r="D253" s="9" t="s">
        <v>19</v>
      </c>
      <c r="E253" s="9">
        <v>19520</v>
      </c>
      <c r="F253" s="9">
        <v>15880</v>
      </c>
      <c r="G253" s="10">
        <v>3640</v>
      </c>
      <c r="H253" s="9" t="s">
        <v>11</v>
      </c>
      <c r="I253" s="9" t="s">
        <v>12</v>
      </c>
      <c r="J253" t="s">
        <v>13</v>
      </c>
    </row>
    <row r="254" spans="1:10" hidden="1">
      <c r="A254" s="7">
        <v>45157</v>
      </c>
      <c r="B254" s="8">
        <v>0.87708333333333299</v>
      </c>
      <c r="C254" s="9">
        <v>27563</v>
      </c>
      <c r="D254" s="9" t="s">
        <v>17</v>
      </c>
      <c r="E254" s="9">
        <v>3180</v>
      </c>
      <c r="F254" s="9">
        <v>2620</v>
      </c>
      <c r="G254" s="10">
        <v>560</v>
      </c>
      <c r="H254" s="9" t="s">
        <v>11</v>
      </c>
      <c r="I254" s="9" t="s">
        <v>12</v>
      </c>
      <c r="J254" t="s">
        <v>13</v>
      </c>
    </row>
    <row r="255" spans="1:10" hidden="1">
      <c r="A255" s="7">
        <v>45157</v>
      </c>
      <c r="B255" s="8">
        <v>0.43888888888888899</v>
      </c>
      <c r="C255" s="9">
        <v>27548</v>
      </c>
      <c r="D255" s="9" t="s">
        <v>18</v>
      </c>
      <c r="E255" s="9">
        <v>3300</v>
      </c>
      <c r="F255" s="9">
        <v>2860</v>
      </c>
      <c r="G255" s="10">
        <v>440</v>
      </c>
      <c r="H255" s="9" t="s">
        <v>11</v>
      </c>
      <c r="I255" s="9" t="s">
        <v>12</v>
      </c>
      <c r="J255" t="s">
        <v>13</v>
      </c>
    </row>
    <row r="256" spans="1:10" hidden="1">
      <c r="A256" s="7">
        <v>45157</v>
      </c>
      <c r="B256" s="8">
        <v>0.87638888888888899</v>
      </c>
      <c r="C256" s="9">
        <v>27562</v>
      </c>
      <c r="D256" s="9" t="s">
        <v>19</v>
      </c>
      <c r="E256" s="9">
        <v>26140</v>
      </c>
      <c r="F256" s="9">
        <v>15940</v>
      </c>
      <c r="G256" s="10">
        <v>10200</v>
      </c>
      <c r="H256" s="9" t="s">
        <v>11</v>
      </c>
      <c r="I256" s="9" t="s">
        <v>12</v>
      </c>
      <c r="J256" t="s">
        <v>13</v>
      </c>
    </row>
    <row r="257" spans="1:10" hidden="1">
      <c r="A257" s="7">
        <v>45157</v>
      </c>
      <c r="B257" s="8">
        <v>0.69513888888888897</v>
      </c>
      <c r="C257" s="9">
        <v>27559</v>
      </c>
      <c r="D257" s="9" t="s">
        <v>10</v>
      </c>
      <c r="E257" s="9">
        <v>16360</v>
      </c>
      <c r="F257" s="9">
        <v>13200</v>
      </c>
      <c r="G257" s="10">
        <v>3160</v>
      </c>
      <c r="H257" s="9" t="s">
        <v>11</v>
      </c>
      <c r="I257" s="9" t="s">
        <v>12</v>
      </c>
      <c r="J257" t="s">
        <v>13</v>
      </c>
    </row>
    <row r="258" spans="1:10" hidden="1">
      <c r="A258" s="7">
        <v>45157</v>
      </c>
      <c r="B258" s="8">
        <v>0.77986111111111101</v>
      </c>
      <c r="C258" s="9">
        <v>27560</v>
      </c>
      <c r="D258" s="9" t="s">
        <v>16</v>
      </c>
      <c r="E258" s="9">
        <v>26500</v>
      </c>
      <c r="F258" s="9">
        <v>16220</v>
      </c>
      <c r="G258" s="10">
        <v>10280</v>
      </c>
      <c r="H258" s="9" t="s">
        <v>11</v>
      </c>
      <c r="I258" s="9" t="s">
        <v>12</v>
      </c>
      <c r="J258" t="s">
        <v>13</v>
      </c>
    </row>
    <row r="259" spans="1:10" hidden="1">
      <c r="A259" s="7">
        <v>45157</v>
      </c>
      <c r="B259" s="8">
        <v>0.13125000000000001</v>
      </c>
      <c r="C259" s="9">
        <v>27518</v>
      </c>
      <c r="D259" s="9" t="s">
        <v>15</v>
      </c>
      <c r="E259" s="9">
        <v>4960</v>
      </c>
      <c r="F259" s="9">
        <v>3600</v>
      </c>
      <c r="G259" s="10">
        <v>1360</v>
      </c>
      <c r="H259" s="9" t="s">
        <v>11</v>
      </c>
      <c r="I259" s="9" t="s">
        <v>12</v>
      </c>
      <c r="J259" t="s">
        <v>13</v>
      </c>
    </row>
    <row r="260" spans="1:10" hidden="1">
      <c r="A260" s="7">
        <v>45157</v>
      </c>
      <c r="B260" s="8">
        <v>0.219444444444444</v>
      </c>
      <c r="C260" s="9">
        <v>27527</v>
      </c>
      <c r="D260" s="9" t="s">
        <v>15</v>
      </c>
      <c r="E260" s="9">
        <v>4440</v>
      </c>
      <c r="F260" s="9">
        <v>3600</v>
      </c>
      <c r="G260" s="10">
        <v>840</v>
      </c>
      <c r="H260" s="9" t="s">
        <v>11</v>
      </c>
      <c r="I260" s="9" t="s">
        <v>12</v>
      </c>
      <c r="J260" t="s">
        <v>13</v>
      </c>
    </row>
    <row r="261" spans="1:10" hidden="1">
      <c r="A261" s="7">
        <v>45157</v>
      </c>
      <c r="B261" s="8">
        <v>0.45</v>
      </c>
      <c r="C261" s="9">
        <v>27550</v>
      </c>
      <c r="D261" s="9" t="s">
        <v>19</v>
      </c>
      <c r="E261" s="9">
        <v>18000</v>
      </c>
      <c r="F261" s="9">
        <v>15840</v>
      </c>
      <c r="G261" s="10">
        <v>2160</v>
      </c>
      <c r="H261" s="9" t="s">
        <v>11</v>
      </c>
      <c r="I261" s="9" t="s">
        <v>12</v>
      </c>
      <c r="J261" t="s">
        <v>13</v>
      </c>
    </row>
    <row r="262" spans="1:10" hidden="1">
      <c r="A262" s="7">
        <v>45157</v>
      </c>
      <c r="B262" s="8">
        <v>0.23749999999999999</v>
      </c>
      <c r="C262" s="9">
        <v>27530</v>
      </c>
      <c r="D262" s="9" t="s">
        <v>10</v>
      </c>
      <c r="E262" s="9">
        <v>16860</v>
      </c>
      <c r="F262" s="9">
        <v>13180</v>
      </c>
      <c r="G262" s="10">
        <v>3680</v>
      </c>
      <c r="H262" s="9" t="s">
        <v>11</v>
      </c>
      <c r="I262" s="9" t="s">
        <v>12</v>
      </c>
      <c r="J262" t="s">
        <v>13</v>
      </c>
    </row>
    <row r="263" spans="1:10" hidden="1">
      <c r="A263" s="7">
        <v>45157</v>
      </c>
      <c r="B263" s="8">
        <v>0.171527777777778</v>
      </c>
      <c r="C263" s="9">
        <v>27522</v>
      </c>
      <c r="D263" s="9" t="s">
        <v>10</v>
      </c>
      <c r="E263" s="9">
        <v>22240</v>
      </c>
      <c r="F263" s="9">
        <v>13120</v>
      </c>
      <c r="G263" s="10">
        <v>9120</v>
      </c>
      <c r="H263" s="9" t="s">
        <v>11</v>
      </c>
      <c r="I263" s="9" t="s">
        <v>12</v>
      </c>
      <c r="J263" t="s">
        <v>13</v>
      </c>
    </row>
    <row r="264" spans="1:10" hidden="1">
      <c r="A264" s="7">
        <v>45157</v>
      </c>
      <c r="B264" s="8">
        <v>0.499305555555556</v>
      </c>
      <c r="C264" s="9">
        <v>27554</v>
      </c>
      <c r="D264" s="9" t="s">
        <v>20</v>
      </c>
      <c r="E264" s="9">
        <v>18080</v>
      </c>
      <c r="F264" s="9">
        <v>16000</v>
      </c>
      <c r="G264" s="10">
        <v>2080</v>
      </c>
      <c r="H264" s="9" t="s">
        <v>11</v>
      </c>
      <c r="I264" s="9" t="s">
        <v>12</v>
      </c>
      <c r="J264" t="s">
        <v>13</v>
      </c>
    </row>
    <row r="265" spans="1:10" hidden="1">
      <c r="A265" s="7">
        <v>45158</v>
      </c>
      <c r="B265" s="8">
        <v>0.218055555555556</v>
      </c>
      <c r="C265" s="9">
        <v>27578</v>
      </c>
      <c r="D265" s="9" t="s">
        <v>17</v>
      </c>
      <c r="E265" s="9">
        <v>3380</v>
      </c>
      <c r="F265" s="9">
        <v>2800</v>
      </c>
      <c r="G265" s="10">
        <v>580</v>
      </c>
      <c r="H265" s="9" t="s">
        <v>11</v>
      </c>
      <c r="I265" s="9" t="s">
        <v>12</v>
      </c>
      <c r="J265" t="s">
        <v>13</v>
      </c>
    </row>
    <row r="266" spans="1:10" hidden="1">
      <c r="A266" s="7">
        <v>45158</v>
      </c>
      <c r="B266" s="8">
        <v>1.8749999999999999E-2</v>
      </c>
      <c r="C266" s="9">
        <v>27564</v>
      </c>
      <c r="D266" s="9" t="s">
        <v>14</v>
      </c>
      <c r="E266" s="9">
        <v>13960</v>
      </c>
      <c r="F266" s="9">
        <v>12460</v>
      </c>
      <c r="G266" s="10">
        <v>1500</v>
      </c>
      <c r="H266" s="9" t="s">
        <v>11</v>
      </c>
      <c r="I266" s="9" t="s">
        <v>12</v>
      </c>
      <c r="J266" t="s">
        <v>13</v>
      </c>
    </row>
    <row r="267" spans="1:10" hidden="1">
      <c r="A267" s="7">
        <v>45158</v>
      </c>
      <c r="B267" s="8">
        <v>0.23958333333333301</v>
      </c>
      <c r="C267" s="9">
        <v>27584</v>
      </c>
      <c r="D267" s="9" t="s">
        <v>16</v>
      </c>
      <c r="E267" s="9">
        <v>24860</v>
      </c>
      <c r="F267" s="9">
        <v>16220</v>
      </c>
      <c r="G267" s="10">
        <v>8640</v>
      </c>
      <c r="H267" s="9" t="s">
        <v>11</v>
      </c>
      <c r="I267" s="9" t="s">
        <v>12</v>
      </c>
      <c r="J267" t="s">
        <v>13</v>
      </c>
    </row>
    <row r="268" spans="1:10" hidden="1">
      <c r="A268" s="7">
        <v>45158</v>
      </c>
      <c r="B268" s="8">
        <v>0.45</v>
      </c>
      <c r="C268" s="9">
        <v>27591</v>
      </c>
      <c r="D268" s="9" t="s">
        <v>24</v>
      </c>
      <c r="E268" s="9">
        <v>2800</v>
      </c>
      <c r="F268" s="9">
        <v>2500</v>
      </c>
      <c r="G268" s="10">
        <v>300</v>
      </c>
      <c r="H268" s="9" t="s">
        <v>11</v>
      </c>
      <c r="I268" s="9" t="s">
        <v>12</v>
      </c>
      <c r="J268" t="s">
        <v>13</v>
      </c>
    </row>
    <row r="269" spans="1:10" hidden="1">
      <c r="A269" s="7">
        <v>45158</v>
      </c>
      <c r="B269" s="8">
        <v>0.45069444444444401</v>
      </c>
      <c r="C269" s="9">
        <v>27592</v>
      </c>
      <c r="D269" s="9" t="s">
        <v>18</v>
      </c>
      <c r="E269" s="9">
        <v>3320</v>
      </c>
      <c r="F269" s="9">
        <v>2840</v>
      </c>
      <c r="G269" s="10">
        <v>480</v>
      </c>
      <c r="H269" s="9" t="s">
        <v>11</v>
      </c>
      <c r="I269" s="9" t="s">
        <v>12</v>
      </c>
      <c r="J269" t="s">
        <v>13</v>
      </c>
    </row>
    <row r="270" spans="1:10" hidden="1">
      <c r="A270" s="7">
        <v>45158</v>
      </c>
      <c r="B270" s="8">
        <v>0.69583333333333297</v>
      </c>
      <c r="C270" s="9">
        <v>27593</v>
      </c>
      <c r="D270" s="9" t="s">
        <v>10</v>
      </c>
      <c r="E270" s="9">
        <v>16200</v>
      </c>
      <c r="F270" s="9">
        <v>13140</v>
      </c>
      <c r="G270" s="10">
        <v>3060</v>
      </c>
      <c r="H270" s="9" t="s">
        <v>11</v>
      </c>
      <c r="I270" s="9" t="s">
        <v>12</v>
      </c>
      <c r="J270" t="s">
        <v>13</v>
      </c>
    </row>
    <row r="271" spans="1:10" hidden="1">
      <c r="A271" s="7">
        <v>45158</v>
      </c>
      <c r="B271" s="8">
        <v>0.15416666666666701</v>
      </c>
      <c r="C271" s="9">
        <v>27574</v>
      </c>
      <c r="D271" s="9" t="s">
        <v>10</v>
      </c>
      <c r="E271" s="9">
        <v>22300</v>
      </c>
      <c r="F271" s="9">
        <v>13200</v>
      </c>
      <c r="G271" s="10">
        <v>9100</v>
      </c>
      <c r="H271" s="9" t="s">
        <v>11</v>
      </c>
      <c r="I271" s="9" t="s">
        <v>12</v>
      </c>
      <c r="J271" t="s">
        <v>13</v>
      </c>
    </row>
    <row r="272" spans="1:10" hidden="1">
      <c r="A272" s="7">
        <v>45158</v>
      </c>
      <c r="B272" s="8">
        <v>0.22847222222222199</v>
      </c>
      <c r="C272" s="9">
        <v>27580</v>
      </c>
      <c r="D272" s="9" t="s">
        <v>19</v>
      </c>
      <c r="E272" s="9">
        <v>27920</v>
      </c>
      <c r="F272" s="9">
        <v>16000</v>
      </c>
      <c r="G272" s="10">
        <v>11920</v>
      </c>
      <c r="H272" s="9" t="s">
        <v>11</v>
      </c>
      <c r="I272" s="9" t="s">
        <v>12</v>
      </c>
      <c r="J272" t="s">
        <v>13</v>
      </c>
    </row>
    <row r="273" spans="1:10" hidden="1">
      <c r="A273" s="7">
        <v>45158</v>
      </c>
      <c r="B273" s="8">
        <v>0.21388888888888899</v>
      </c>
      <c r="C273" s="9">
        <v>27577</v>
      </c>
      <c r="D273" s="9" t="s">
        <v>10</v>
      </c>
      <c r="E273" s="9">
        <v>17360</v>
      </c>
      <c r="F273" s="9">
        <v>13180</v>
      </c>
      <c r="G273" s="10">
        <v>4180</v>
      </c>
      <c r="H273" s="9" t="s">
        <v>11</v>
      </c>
      <c r="I273" s="9" t="s">
        <v>12</v>
      </c>
      <c r="J273" t="s">
        <v>13</v>
      </c>
    </row>
    <row r="274" spans="1:10" hidden="1">
      <c r="A274" s="7">
        <v>45158</v>
      </c>
      <c r="B274" s="8">
        <v>4.1666666666666699E-2</v>
      </c>
      <c r="C274" s="9">
        <v>27565</v>
      </c>
      <c r="D274" s="9" t="s">
        <v>10</v>
      </c>
      <c r="E274" s="9">
        <v>22400</v>
      </c>
      <c r="F274" s="9">
        <v>13320</v>
      </c>
      <c r="G274" s="10">
        <v>9080</v>
      </c>
      <c r="H274" s="9" t="s">
        <v>11</v>
      </c>
      <c r="I274" s="9" t="s">
        <v>12</v>
      </c>
      <c r="J274" t="s">
        <v>13</v>
      </c>
    </row>
    <row r="275" spans="1:10" hidden="1">
      <c r="A275" s="7">
        <v>45158</v>
      </c>
      <c r="B275" s="8">
        <v>0.88472222222222197</v>
      </c>
      <c r="C275" s="9">
        <v>27596</v>
      </c>
      <c r="D275" s="9" t="s">
        <v>17</v>
      </c>
      <c r="E275" s="9">
        <v>3180</v>
      </c>
      <c r="F275" s="9">
        <v>2680</v>
      </c>
      <c r="G275" s="10">
        <v>500</v>
      </c>
      <c r="H275" s="9" t="s">
        <v>11</v>
      </c>
      <c r="I275" s="9" t="s">
        <v>12</v>
      </c>
      <c r="J275" t="s">
        <v>13</v>
      </c>
    </row>
    <row r="276" spans="1:10" hidden="1">
      <c r="A276" s="7">
        <v>45158</v>
      </c>
      <c r="B276" s="8">
        <v>0.874305555555556</v>
      </c>
      <c r="C276" s="9">
        <v>27595</v>
      </c>
      <c r="D276" s="9" t="s">
        <v>16</v>
      </c>
      <c r="E276" s="9">
        <v>25860</v>
      </c>
      <c r="F276" s="9">
        <v>16100</v>
      </c>
      <c r="G276" s="10">
        <v>9760</v>
      </c>
      <c r="H276" s="9" t="s">
        <v>11</v>
      </c>
      <c r="I276" s="9" t="s">
        <v>12</v>
      </c>
      <c r="J276" t="s">
        <v>13</v>
      </c>
    </row>
    <row r="277" spans="1:10" hidden="1">
      <c r="A277" s="7">
        <v>45158</v>
      </c>
      <c r="B277" s="8">
        <v>0.21875</v>
      </c>
      <c r="C277" s="9">
        <v>27579</v>
      </c>
      <c r="D277" s="9" t="s">
        <v>18</v>
      </c>
      <c r="E277" s="9">
        <v>4160</v>
      </c>
      <c r="F277" s="9">
        <v>2940</v>
      </c>
      <c r="G277" s="10">
        <v>1220</v>
      </c>
      <c r="H277" s="9" t="s">
        <v>11</v>
      </c>
      <c r="I277" s="9" t="s">
        <v>12</v>
      </c>
      <c r="J277" t="s">
        <v>13</v>
      </c>
    </row>
    <row r="278" spans="1:10" hidden="1">
      <c r="A278" s="7">
        <v>45159</v>
      </c>
      <c r="B278" s="8">
        <v>0.20902777777777801</v>
      </c>
      <c r="C278" s="9">
        <v>27608</v>
      </c>
      <c r="D278" s="9" t="s">
        <v>15</v>
      </c>
      <c r="E278" s="9">
        <v>4400</v>
      </c>
      <c r="F278" s="9">
        <v>3680</v>
      </c>
      <c r="G278" s="10">
        <v>720</v>
      </c>
      <c r="H278" s="9" t="s">
        <v>11</v>
      </c>
      <c r="I278" s="9" t="s">
        <v>12</v>
      </c>
      <c r="J278" t="s">
        <v>13</v>
      </c>
    </row>
    <row r="279" spans="1:10" hidden="1">
      <c r="A279" s="7">
        <v>45159</v>
      </c>
      <c r="B279" s="8">
        <v>0.227777777777778</v>
      </c>
      <c r="C279" s="9">
        <v>27610</v>
      </c>
      <c r="D279" s="9" t="s">
        <v>16</v>
      </c>
      <c r="E279" s="9">
        <v>26680</v>
      </c>
      <c r="F279" s="9">
        <v>16140</v>
      </c>
      <c r="G279" s="10">
        <v>10540</v>
      </c>
      <c r="H279" s="9" t="s">
        <v>11</v>
      </c>
      <c r="I279" s="9" t="s">
        <v>12</v>
      </c>
      <c r="J279" t="s">
        <v>13</v>
      </c>
    </row>
    <row r="280" spans="1:10" hidden="1">
      <c r="A280" s="7">
        <v>45159</v>
      </c>
      <c r="B280" s="8">
        <v>0.24861111111111101</v>
      </c>
      <c r="C280" s="9">
        <v>27617</v>
      </c>
      <c r="D280" s="9" t="s">
        <v>10</v>
      </c>
      <c r="E280" s="9">
        <v>22260</v>
      </c>
      <c r="F280" s="9">
        <v>13120</v>
      </c>
      <c r="G280" s="10">
        <v>9140</v>
      </c>
      <c r="H280" s="9" t="s">
        <v>11</v>
      </c>
      <c r="I280" s="9" t="s">
        <v>12</v>
      </c>
      <c r="J280" t="s">
        <v>13</v>
      </c>
    </row>
    <row r="281" spans="1:10" hidden="1">
      <c r="A281" s="7">
        <v>45159</v>
      </c>
      <c r="B281" s="8">
        <v>4.8611111111111098E-2</v>
      </c>
      <c r="C281" s="9">
        <v>27599</v>
      </c>
      <c r="D281" s="9" t="s">
        <v>10</v>
      </c>
      <c r="E281" s="9">
        <v>21680</v>
      </c>
      <c r="F281" s="9">
        <v>13340</v>
      </c>
      <c r="G281" s="10">
        <v>8340</v>
      </c>
      <c r="H281" s="9" t="s">
        <v>11</v>
      </c>
      <c r="I281" s="9" t="s">
        <v>12</v>
      </c>
      <c r="J281" t="s">
        <v>13</v>
      </c>
    </row>
    <row r="282" spans="1:10" hidden="1">
      <c r="A282" s="7">
        <v>45159</v>
      </c>
      <c r="B282" s="8">
        <v>0.115972222222222</v>
      </c>
      <c r="C282" s="9">
        <v>27604</v>
      </c>
      <c r="D282" s="9" t="s">
        <v>15</v>
      </c>
      <c r="E282" s="9">
        <v>4760</v>
      </c>
      <c r="F282" s="9">
        <v>3600</v>
      </c>
      <c r="G282" s="10">
        <v>1160</v>
      </c>
      <c r="H282" s="9" t="s">
        <v>11</v>
      </c>
      <c r="I282" s="9" t="s">
        <v>12</v>
      </c>
      <c r="J282" t="s">
        <v>13</v>
      </c>
    </row>
    <row r="283" spans="1:10" hidden="1">
      <c r="A283" s="7">
        <v>45159</v>
      </c>
      <c r="B283" s="8">
        <v>0.24444444444444399</v>
      </c>
      <c r="C283" s="9">
        <v>27614</v>
      </c>
      <c r="D283" s="9" t="s">
        <v>19</v>
      </c>
      <c r="E283" s="9">
        <v>26320</v>
      </c>
      <c r="F283" s="9">
        <v>15900</v>
      </c>
      <c r="G283" s="10">
        <v>10420</v>
      </c>
      <c r="H283" s="9" t="s">
        <v>11</v>
      </c>
      <c r="I283" s="9" t="s">
        <v>12</v>
      </c>
      <c r="J283" t="s">
        <v>13</v>
      </c>
    </row>
    <row r="284" spans="1:10" hidden="1">
      <c r="A284" s="7">
        <v>45156</v>
      </c>
      <c r="B284" s="8">
        <v>0.47430555555555598</v>
      </c>
      <c r="C284" s="9">
        <v>19640</v>
      </c>
      <c r="D284" s="9" t="s">
        <v>16</v>
      </c>
      <c r="E284" s="9">
        <v>19640</v>
      </c>
      <c r="F284" s="9">
        <v>15760</v>
      </c>
      <c r="G284" s="10">
        <v>3880</v>
      </c>
      <c r="H284" s="9" t="s">
        <v>11</v>
      </c>
      <c r="I284" s="9" t="s">
        <v>26</v>
      </c>
      <c r="J284" t="s">
        <v>13</v>
      </c>
    </row>
    <row r="285" spans="1:10" hidden="1">
      <c r="A285" s="7">
        <v>45159</v>
      </c>
      <c r="B285" s="8">
        <v>0.29930555555555599</v>
      </c>
      <c r="C285" s="9">
        <v>27622</v>
      </c>
      <c r="D285" s="9" t="s">
        <v>21</v>
      </c>
      <c r="E285" s="9">
        <v>6960</v>
      </c>
      <c r="F285" s="9">
        <v>5500</v>
      </c>
      <c r="G285" s="10">
        <v>1460</v>
      </c>
      <c r="H285" s="9" t="s">
        <v>11</v>
      </c>
      <c r="I285" s="9" t="s">
        <v>22</v>
      </c>
      <c r="J285" t="s">
        <v>13</v>
      </c>
    </row>
    <row r="286" spans="1:10" hidden="1">
      <c r="A286" s="7">
        <v>45159</v>
      </c>
      <c r="B286" s="8">
        <v>0.44513888888888897</v>
      </c>
      <c r="C286" s="9">
        <v>27639</v>
      </c>
      <c r="D286" s="9" t="s">
        <v>21</v>
      </c>
      <c r="E286" s="9">
        <v>6960</v>
      </c>
      <c r="F286" s="9">
        <v>5480</v>
      </c>
      <c r="G286" s="10">
        <v>1480</v>
      </c>
      <c r="H286" s="9" t="s">
        <v>11</v>
      </c>
      <c r="I286" s="9" t="s">
        <v>22</v>
      </c>
      <c r="J286" t="s">
        <v>13</v>
      </c>
    </row>
    <row r="287" spans="1:10" hidden="1">
      <c r="A287" s="7">
        <v>45159</v>
      </c>
      <c r="B287" s="8">
        <v>0.452083333333333</v>
      </c>
      <c r="C287" s="9">
        <v>27640</v>
      </c>
      <c r="D287" s="9" t="s">
        <v>18</v>
      </c>
      <c r="E287" s="9">
        <v>3340</v>
      </c>
      <c r="F287" s="9">
        <v>2820</v>
      </c>
      <c r="G287" s="10">
        <v>520</v>
      </c>
      <c r="H287" s="9" t="s">
        <v>11</v>
      </c>
      <c r="I287" s="9" t="s">
        <v>12</v>
      </c>
      <c r="J287" t="s">
        <v>13</v>
      </c>
    </row>
    <row r="288" spans="1:10" hidden="1">
      <c r="A288" s="7">
        <v>45159</v>
      </c>
      <c r="B288" s="8">
        <v>0.43055555555555602</v>
      </c>
      <c r="C288" s="9">
        <v>4651</v>
      </c>
      <c r="D288" s="9" t="s">
        <v>16</v>
      </c>
      <c r="E288" s="9">
        <v>19000</v>
      </c>
      <c r="F288" s="9">
        <v>15760</v>
      </c>
      <c r="G288" s="10">
        <v>3240</v>
      </c>
      <c r="H288" s="9" t="s">
        <v>11</v>
      </c>
      <c r="I288" s="9" t="s">
        <v>26</v>
      </c>
      <c r="J288" t="s">
        <v>13</v>
      </c>
    </row>
    <row r="289" spans="1:10" hidden="1">
      <c r="A289" s="7">
        <v>45159</v>
      </c>
      <c r="B289" s="8">
        <v>0.88472222222222197</v>
      </c>
      <c r="C289" s="9">
        <v>27656</v>
      </c>
      <c r="D289" s="9" t="s">
        <v>17</v>
      </c>
      <c r="E289" s="9">
        <v>3060</v>
      </c>
      <c r="F289" s="9">
        <v>2700</v>
      </c>
      <c r="G289" s="10">
        <v>360</v>
      </c>
      <c r="H289" s="9" t="s">
        <v>11</v>
      </c>
      <c r="I289" s="9" t="s">
        <v>12</v>
      </c>
      <c r="J289" t="s">
        <v>13</v>
      </c>
    </row>
    <row r="290" spans="1:10" hidden="1">
      <c r="A290" s="7">
        <v>45159</v>
      </c>
      <c r="B290" s="8">
        <v>0.88680555555555596</v>
      </c>
      <c r="C290" s="9">
        <v>27655</v>
      </c>
      <c r="D290" s="9" t="s">
        <v>16</v>
      </c>
      <c r="E290" s="9">
        <v>24820</v>
      </c>
      <c r="F290" s="9">
        <v>16060</v>
      </c>
      <c r="G290" s="10">
        <v>8760</v>
      </c>
      <c r="H290" s="9" t="s">
        <v>11</v>
      </c>
      <c r="I290" s="9" t="s">
        <v>12</v>
      </c>
      <c r="J290" t="s">
        <v>13</v>
      </c>
    </row>
    <row r="291" spans="1:10" hidden="1">
      <c r="A291" s="7">
        <v>45159</v>
      </c>
      <c r="B291" s="8">
        <v>0.71388888888888902</v>
      </c>
      <c r="C291" s="9">
        <v>27652</v>
      </c>
      <c r="D291" s="9" t="s">
        <v>10</v>
      </c>
      <c r="E291" s="9">
        <v>16560</v>
      </c>
      <c r="F291" s="9">
        <v>13180</v>
      </c>
      <c r="G291" s="10">
        <v>3380</v>
      </c>
      <c r="H291" s="9" t="s">
        <v>11</v>
      </c>
      <c r="I291" s="9" t="s">
        <v>12</v>
      </c>
      <c r="J291" t="s">
        <v>13</v>
      </c>
    </row>
    <row r="292" spans="1:10" hidden="1">
      <c r="A292" s="7">
        <v>45160</v>
      </c>
      <c r="B292" s="8">
        <v>0.21249999999999999</v>
      </c>
      <c r="C292" s="9">
        <v>27673</v>
      </c>
      <c r="D292" s="9" t="s">
        <v>15</v>
      </c>
      <c r="E292" s="9">
        <v>4300</v>
      </c>
      <c r="F292" s="9">
        <v>3660</v>
      </c>
      <c r="G292" s="10">
        <v>640</v>
      </c>
      <c r="H292" s="9" t="s">
        <v>11</v>
      </c>
      <c r="I292" s="9" t="s">
        <v>12</v>
      </c>
      <c r="J292" t="s">
        <v>13</v>
      </c>
    </row>
    <row r="293" spans="1:10" hidden="1">
      <c r="A293" s="7">
        <v>45160</v>
      </c>
      <c r="B293" s="8">
        <v>0.121527777777778</v>
      </c>
      <c r="C293" s="9">
        <v>27664</v>
      </c>
      <c r="D293" s="9" t="s">
        <v>15</v>
      </c>
      <c r="E293" s="9">
        <v>4780</v>
      </c>
      <c r="F293" s="9">
        <v>3580</v>
      </c>
      <c r="G293" s="10">
        <v>1200</v>
      </c>
      <c r="H293" s="9" t="s">
        <v>11</v>
      </c>
      <c r="I293" s="9" t="s">
        <v>12</v>
      </c>
      <c r="J293" t="s">
        <v>13</v>
      </c>
    </row>
    <row r="294" spans="1:10" hidden="1">
      <c r="A294" s="7">
        <v>45160</v>
      </c>
      <c r="B294" s="8">
        <v>1.8055555555555599E-2</v>
      </c>
      <c r="C294" s="9">
        <v>27658</v>
      </c>
      <c r="D294" s="9" t="s">
        <v>14</v>
      </c>
      <c r="E294" s="9">
        <v>13340</v>
      </c>
      <c r="F294" s="9">
        <v>12440</v>
      </c>
      <c r="G294" s="10">
        <v>900</v>
      </c>
      <c r="H294" s="9" t="s">
        <v>11</v>
      </c>
      <c r="I294" s="9" t="s">
        <v>12</v>
      </c>
      <c r="J294" t="s">
        <v>13</v>
      </c>
    </row>
    <row r="295" spans="1:10" hidden="1">
      <c r="A295" s="7">
        <v>45160</v>
      </c>
      <c r="B295" s="8">
        <v>0.188194444444444</v>
      </c>
      <c r="C295" s="9">
        <v>27670</v>
      </c>
      <c r="D295" s="9" t="s">
        <v>10</v>
      </c>
      <c r="E295" s="9">
        <v>23400</v>
      </c>
      <c r="F295" s="9">
        <v>13180</v>
      </c>
      <c r="G295" s="10">
        <v>10220</v>
      </c>
      <c r="H295" s="9" t="s">
        <v>11</v>
      </c>
      <c r="I295" s="9" t="s">
        <v>12</v>
      </c>
      <c r="J295" t="s">
        <v>13</v>
      </c>
    </row>
    <row r="296" spans="1:10" hidden="1">
      <c r="A296" s="7">
        <v>45160</v>
      </c>
      <c r="B296" s="8">
        <v>5.3472222222222199E-2</v>
      </c>
      <c r="C296" s="9">
        <v>27660</v>
      </c>
      <c r="D296" s="9" t="s">
        <v>10</v>
      </c>
      <c r="E296" s="9">
        <v>21880</v>
      </c>
      <c r="F296" s="9">
        <v>13380</v>
      </c>
      <c r="G296" s="10">
        <v>8500</v>
      </c>
      <c r="H296" s="9" t="s">
        <v>11</v>
      </c>
      <c r="I296" s="9" t="s">
        <v>12</v>
      </c>
      <c r="J296" t="s">
        <v>13</v>
      </c>
    </row>
    <row r="297" spans="1:10" hidden="1">
      <c r="A297" s="7">
        <v>45160</v>
      </c>
      <c r="B297" s="8">
        <v>0.22986111111111099</v>
      </c>
      <c r="C297" s="9">
        <v>27676</v>
      </c>
      <c r="D297" s="9" t="s">
        <v>19</v>
      </c>
      <c r="E297" s="9">
        <v>26180</v>
      </c>
      <c r="F297" s="9">
        <v>15860</v>
      </c>
      <c r="G297" s="10">
        <v>10320</v>
      </c>
      <c r="H297" s="9" t="s">
        <v>11</v>
      </c>
      <c r="I297" s="9" t="s">
        <v>12</v>
      </c>
      <c r="J297" t="s">
        <v>13</v>
      </c>
    </row>
    <row r="298" spans="1:10" hidden="1">
      <c r="A298" s="7">
        <v>45160</v>
      </c>
      <c r="B298" s="8">
        <v>0.23263888888888901</v>
      </c>
      <c r="C298" s="9">
        <v>27678</v>
      </c>
      <c r="D298" s="9" t="s">
        <v>16</v>
      </c>
      <c r="E298" s="9">
        <v>24380</v>
      </c>
      <c r="F298" s="9">
        <v>16040</v>
      </c>
      <c r="G298" s="10">
        <v>8340</v>
      </c>
      <c r="H298" s="9" t="s">
        <v>11</v>
      </c>
      <c r="I298" s="9" t="s">
        <v>12</v>
      </c>
      <c r="J298" t="s">
        <v>13</v>
      </c>
    </row>
    <row r="299" spans="1:10" hidden="1">
      <c r="A299" s="7">
        <v>45160</v>
      </c>
      <c r="B299" s="8">
        <v>0.30347222222222198</v>
      </c>
      <c r="C299" s="9">
        <v>27684</v>
      </c>
      <c r="D299" s="9" t="s">
        <v>21</v>
      </c>
      <c r="E299" s="9">
        <v>6380</v>
      </c>
      <c r="F299" s="9">
        <v>5460</v>
      </c>
      <c r="G299" s="10">
        <v>920</v>
      </c>
      <c r="H299" s="9" t="s">
        <v>11</v>
      </c>
      <c r="I299" s="9" t="s">
        <v>22</v>
      </c>
      <c r="J299" t="s">
        <v>13</v>
      </c>
    </row>
    <row r="300" spans="1:10" hidden="1">
      <c r="A300" s="7">
        <v>45160</v>
      </c>
      <c r="B300" s="8">
        <v>0.46111111111111103</v>
      </c>
      <c r="C300" s="9">
        <v>27702</v>
      </c>
      <c r="D300" s="9" t="s">
        <v>21</v>
      </c>
      <c r="E300" s="9">
        <v>5960</v>
      </c>
      <c r="F300" s="9">
        <v>5460</v>
      </c>
      <c r="G300" s="10">
        <v>500</v>
      </c>
      <c r="H300" s="9" t="s">
        <v>11</v>
      </c>
      <c r="I300" s="9" t="s">
        <v>25</v>
      </c>
      <c r="J300" t="s">
        <v>13</v>
      </c>
    </row>
    <row r="301" spans="1:10" hidden="1">
      <c r="A301" s="7">
        <v>45160</v>
      </c>
      <c r="B301" s="8">
        <v>0.452777777777778</v>
      </c>
      <c r="C301" s="9">
        <v>27701</v>
      </c>
      <c r="D301" s="9" t="s">
        <v>18</v>
      </c>
      <c r="E301" s="9">
        <v>3360</v>
      </c>
      <c r="F301" s="9">
        <v>2820</v>
      </c>
      <c r="G301" s="10">
        <v>540</v>
      </c>
      <c r="H301" s="9" t="s">
        <v>11</v>
      </c>
      <c r="I301" s="9" t="s">
        <v>12</v>
      </c>
      <c r="J301" t="s">
        <v>13</v>
      </c>
    </row>
    <row r="302" spans="1:10" hidden="1">
      <c r="A302" s="7">
        <v>45160</v>
      </c>
      <c r="B302" s="8">
        <v>0.44444444444444398</v>
      </c>
      <c r="C302" s="9">
        <v>27696</v>
      </c>
      <c r="D302" s="9" t="s">
        <v>24</v>
      </c>
      <c r="E302" s="9">
        <v>2620</v>
      </c>
      <c r="F302" s="9">
        <v>2420</v>
      </c>
      <c r="G302" s="10">
        <v>200</v>
      </c>
      <c r="H302" s="9" t="s">
        <v>11</v>
      </c>
      <c r="I302" s="9" t="s">
        <v>12</v>
      </c>
      <c r="J302" t="s">
        <v>13</v>
      </c>
    </row>
    <row r="303" spans="1:10" hidden="1">
      <c r="A303" s="7">
        <v>45160</v>
      </c>
      <c r="B303" s="8">
        <v>0.46875</v>
      </c>
      <c r="C303" s="9">
        <v>161496</v>
      </c>
      <c r="D303" s="9" t="s">
        <v>16</v>
      </c>
      <c r="E303" s="9">
        <v>18180</v>
      </c>
      <c r="F303" s="9">
        <v>16020</v>
      </c>
      <c r="G303" s="10">
        <v>2160</v>
      </c>
      <c r="H303" s="9" t="s">
        <v>11</v>
      </c>
      <c r="I303" s="9" t="s">
        <v>23</v>
      </c>
      <c r="J303" t="s">
        <v>13</v>
      </c>
    </row>
    <row r="304" spans="1:10" hidden="1">
      <c r="A304" s="7">
        <v>45160</v>
      </c>
      <c r="B304" s="8">
        <v>0.88263888888888897</v>
      </c>
      <c r="C304" s="9">
        <v>27727</v>
      </c>
      <c r="D304" s="9" t="s">
        <v>16</v>
      </c>
      <c r="E304" s="9">
        <v>24440</v>
      </c>
      <c r="F304" s="9">
        <v>16100</v>
      </c>
      <c r="G304" s="10">
        <v>8340</v>
      </c>
      <c r="H304" s="9" t="s">
        <v>11</v>
      </c>
      <c r="I304" s="9" t="s">
        <v>12</v>
      </c>
      <c r="J304" t="s">
        <v>13</v>
      </c>
    </row>
    <row r="305" spans="1:10" hidden="1">
      <c r="A305" s="7">
        <v>45160</v>
      </c>
      <c r="B305" s="8">
        <v>0.875694444444444</v>
      </c>
      <c r="C305" s="9">
        <v>27726</v>
      </c>
      <c r="D305" s="9" t="s">
        <v>17</v>
      </c>
      <c r="E305" s="9">
        <v>3180</v>
      </c>
      <c r="F305" s="9">
        <v>2680</v>
      </c>
      <c r="G305" s="10">
        <v>500</v>
      </c>
      <c r="H305" s="9" t="s">
        <v>11</v>
      </c>
      <c r="I305" s="9" t="s">
        <v>12</v>
      </c>
      <c r="J305" t="s">
        <v>13</v>
      </c>
    </row>
    <row r="306" spans="1:10" hidden="1">
      <c r="A306" s="7">
        <v>45160</v>
      </c>
      <c r="B306" s="8">
        <v>0.70277777777777795</v>
      </c>
      <c r="C306" s="9">
        <v>27717</v>
      </c>
      <c r="D306" s="9" t="s">
        <v>10</v>
      </c>
      <c r="E306" s="9">
        <v>16080</v>
      </c>
      <c r="F306" s="9">
        <v>13100</v>
      </c>
      <c r="G306" s="10">
        <v>2980</v>
      </c>
      <c r="H306" s="9" t="s">
        <v>11</v>
      </c>
      <c r="I306" s="9" t="s">
        <v>12</v>
      </c>
      <c r="J306" t="s">
        <v>13</v>
      </c>
    </row>
    <row r="307" spans="1:10" hidden="1">
      <c r="A307" s="7">
        <v>45161</v>
      </c>
      <c r="B307" s="8">
        <v>0.15</v>
      </c>
      <c r="C307" s="9">
        <v>27737</v>
      </c>
      <c r="D307" s="9" t="s">
        <v>19</v>
      </c>
      <c r="E307" s="9">
        <v>25400</v>
      </c>
      <c r="F307" s="9">
        <v>15700</v>
      </c>
      <c r="G307" s="10">
        <v>9700</v>
      </c>
      <c r="H307" s="9" t="s">
        <v>11</v>
      </c>
      <c r="I307" s="9" t="s">
        <v>12</v>
      </c>
      <c r="J307" t="s">
        <v>13</v>
      </c>
    </row>
    <row r="308" spans="1:10" hidden="1">
      <c r="A308" s="7">
        <v>45161</v>
      </c>
      <c r="B308" s="8">
        <v>0.241666666666667</v>
      </c>
      <c r="C308" s="9">
        <v>27744</v>
      </c>
      <c r="D308" s="9" t="s">
        <v>10</v>
      </c>
      <c r="E308" s="9">
        <v>15540</v>
      </c>
      <c r="F308" s="9">
        <v>13080</v>
      </c>
      <c r="G308" s="10">
        <v>2460</v>
      </c>
      <c r="H308" s="9" t="s">
        <v>11</v>
      </c>
      <c r="I308" s="9" t="s">
        <v>12</v>
      </c>
      <c r="J308" t="s">
        <v>13</v>
      </c>
    </row>
    <row r="309" spans="1:10" hidden="1">
      <c r="A309" s="7">
        <v>45161</v>
      </c>
      <c r="B309" s="8">
        <v>0.139583333333333</v>
      </c>
      <c r="C309" s="9">
        <v>27735</v>
      </c>
      <c r="D309" s="9" t="s">
        <v>15</v>
      </c>
      <c r="E309" s="9">
        <v>4880</v>
      </c>
      <c r="F309" s="9">
        <v>3600</v>
      </c>
      <c r="G309" s="10">
        <v>1280</v>
      </c>
      <c r="H309" s="9" t="s">
        <v>11</v>
      </c>
      <c r="I309" s="9" t="s">
        <v>12</v>
      </c>
      <c r="J309" t="s">
        <v>13</v>
      </c>
    </row>
    <row r="310" spans="1:10" hidden="1">
      <c r="A310" s="7">
        <v>45161</v>
      </c>
      <c r="B310" s="8">
        <v>0.218055555555556</v>
      </c>
      <c r="C310" s="9">
        <v>27740</v>
      </c>
      <c r="D310" s="9" t="s">
        <v>15</v>
      </c>
      <c r="E310" s="9">
        <v>4480</v>
      </c>
      <c r="F310" s="9">
        <v>3760</v>
      </c>
      <c r="G310" s="10">
        <v>720</v>
      </c>
      <c r="H310" s="9" t="s">
        <v>11</v>
      </c>
      <c r="I310" s="9" t="s">
        <v>12</v>
      </c>
      <c r="J310" t="s">
        <v>13</v>
      </c>
    </row>
    <row r="311" spans="1:10" hidden="1">
      <c r="A311" s="7">
        <v>45161</v>
      </c>
      <c r="B311" s="8">
        <v>4.7916666666666698E-2</v>
      </c>
      <c r="C311" s="9">
        <v>27730</v>
      </c>
      <c r="D311" s="9" t="s">
        <v>10</v>
      </c>
      <c r="E311" s="9">
        <v>21500</v>
      </c>
      <c r="F311" s="9">
        <v>13100</v>
      </c>
      <c r="G311" s="10">
        <v>8400</v>
      </c>
      <c r="H311" s="9" t="s">
        <v>11</v>
      </c>
      <c r="I311" s="9" t="s">
        <v>12</v>
      </c>
      <c r="J311" t="s">
        <v>13</v>
      </c>
    </row>
    <row r="312" spans="1:10" hidden="1">
      <c r="A312" s="7">
        <v>45161</v>
      </c>
      <c r="B312" s="8">
        <v>0.149305555555556</v>
      </c>
      <c r="C312" s="9">
        <v>27738</v>
      </c>
      <c r="D312" s="9" t="s">
        <v>10</v>
      </c>
      <c r="E312" s="9">
        <v>21900</v>
      </c>
      <c r="F312" s="9">
        <v>13100</v>
      </c>
      <c r="G312" s="10">
        <v>8800</v>
      </c>
      <c r="H312" s="9" t="s">
        <v>11</v>
      </c>
      <c r="I312" s="9" t="s">
        <v>12</v>
      </c>
      <c r="J312" t="s">
        <v>13</v>
      </c>
    </row>
    <row r="313" spans="1:10" hidden="1">
      <c r="A313" s="7">
        <v>45161</v>
      </c>
      <c r="B313" s="8">
        <v>0.69930555555555596</v>
      </c>
      <c r="C313" s="9">
        <v>27794</v>
      </c>
      <c r="D313" s="9" t="s">
        <v>10</v>
      </c>
      <c r="E313" s="9">
        <v>15880</v>
      </c>
      <c r="F313" s="9">
        <v>13040</v>
      </c>
      <c r="G313" s="10">
        <v>2840</v>
      </c>
      <c r="H313" s="9" t="s">
        <v>11</v>
      </c>
      <c r="I313" s="9" t="s">
        <v>12</v>
      </c>
      <c r="J313" t="s">
        <v>13</v>
      </c>
    </row>
    <row r="314" spans="1:10" hidden="1">
      <c r="A314" s="7">
        <v>45161</v>
      </c>
      <c r="B314" s="8">
        <v>0.88263888888888897</v>
      </c>
      <c r="C314" s="9">
        <v>27804</v>
      </c>
      <c r="D314" s="9" t="s">
        <v>17</v>
      </c>
      <c r="E314" s="9">
        <v>3020</v>
      </c>
      <c r="F314" s="9">
        <v>2600</v>
      </c>
      <c r="G314" s="10">
        <v>420</v>
      </c>
      <c r="H314" s="9" t="s">
        <v>11</v>
      </c>
      <c r="I314" s="9" t="s">
        <v>12</v>
      </c>
      <c r="J314" t="s">
        <v>13</v>
      </c>
    </row>
    <row r="315" spans="1:10" hidden="1">
      <c r="A315" s="7">
        <v>45161</v>
      </c>
      <c r="B315" s="8">
        <v>0.875694444444444</v>
      </c>
      <c r="C315" s="9">
        <v>27803</v>
      </c>
      <c r="D315" s="9" t="s">
        <v>16</v>
      </c>
      <c r="E315" s="9">
        <v>23960</v>
      </c>
      <c r="F315" s="9">
        <v>16060</v>
      </c>
      <c r="G315" s="10">
        <v>7900</v>
      </c>
      <c r="H315" s="9" t="s">
        <v>11</v>
      </c>
      <c r="I315" s="9" t="s">
        <v>12</v>
      </c>
      <c r="J315" t="s">
        <v>13</v>
      </c>
    </row>
    <row r="316" spans="1:10" hidden="1">
      <c r="A316" s="7">
        <v>45161</v>
      </c>
      <c r="B316" s="8">
        <v>0.72430555555555598</v>
      </c>
      <c r="C316" s="9">
        <v>27797</v>
      </c>
      <c r="D316" s="9" t="s">
        <v>19</v>
      </c>
      <c r="E316" s="9">
        <v>23740</v>
      </c>
      <c r="F316" s="9">
        <v>15860</v>
      </c>
      <c r="G316" s="10">
        <v>7880</v>
      </c>
      <c r="H316" s="9" t="s">
        <v>11</v>
      </c>
      <c r="I316" s="9" t="s">
        <v>12</v>
      </c>
      <c r="J316" t="s">
        <v>13</v>
      </c>
    </row>
    <row r="317" spans="1:10" hidden="1">
      <c r="A317" s="7">
        <v>45161</v>
      </c>
      <c r="B317" s="8">
        <v>0.42569444444444399</v>
      </c>
      <c r="C317" s="9">
        <v>27769</v>
      </c>
      <c r="D317" s="9" t="s">
        <v>21</v>
      </c>
      <c r="E317" s="9">
        <v>6840</v>
      </c>
      <c r="F317" s="9">
        <v>5540</v>
      </c>
      <c r="G317" s="10">
        <v>1300</v>
      </c>
      <c r="H317" s="9" t="s">
        <v>11</v>
      </c>
      <c r="I317" s="9" t="s">
        <v>22</v>
      </c>
      <c r="J317" t="s">
        <v>13</v>
      </c>
    </row>
    <row r="318" spans="1:10" hidden="1">
      <c r="A318" s="7">
        <v>45161</v>
      </c>
      <c r="B318" s="8">
        <v>0.34513888888888899</v>
      </c>
      <c r="C318" s="9">
        <v>27757</v>
      </c>
      <c r="D318" s="9" t="s">
        <v>18</v>
      </c>
      <c r="E318" s="9">
        <v>3340</v>
      </c>
      <c r="F318" s="9">
        <v>2860</v>
      </c>
      <c r="G318" s="10">
        <v>480</v>
      </c>
      <c r="H318" s="9" t="s">
        <v>11</v>
      </c>
      <c r="I318" s="9" t="s">
        <v>12</v>
      </c>
      <c r="J318" t="s">
        <v>13</v>
      </c>
    </row>
    <row r="319" spans="1:10" hidden="1">
      <c r="A319" s="7">
        <v>45162</v>
      </c>
      <c r="B319" s="8">
        <v>0.211805555555556</v>
      </c>
      <c r="C319" s="9">
        <v>27820</v>
      </c>
      <c r="D319" s="9" t="s">
        <v>17</v>
      </c>
      <c r="E319" s="9">
        <v>3260</v>
      </c>
      <c r="F319" s="9">
        <v>2820</v>
      </c>
      <c r="G319" s="10">
        <v>440</v>
      </c>
      <c r="H319" s="9" t="s">
        <v>11</v>
      </c>
      <c r="I319" s="9" t="s">
        <v>12</v>
      </c>
      <c r="J319" t="s">
        <v>13</v>
      </c>
    </row>
    <row r="320" spans="1:10" hidden="1">
      <c r="A320" s="7">
        <v>45162</v>
      </c>
      <c r="B320" s="8">
        <v>0.210416666666667</v>
      </c>
      <c r="C320" s="9">
        <v>27813</v>
      </c>
      <c r="D320" s="9" t="s">
        <v>18</v>
      </c>
      <c r="E320" s="9">
        <v>4040</v>
      </c>
      <c r="F320" s="9">
        <v>2940</v>
      </c>
      <c r="G320" s="10">
        <v>1100</v>
      </c>
      <c r="H320" s="9" t="s">
        <v>11</v>
      </c>
      <c r="I320" s="9" t="s">
        <v>12</v>
      </c>
      <c r="J320" t="s">
        <v>13</v>
      </c>
    </row>
    <row r="321" spans="1:10" hidden="1">
      <c r="A321" s="7">
        <v>45162</v>
      </c>
      <c r="B321" s="8">
        <v>4.65277777777778E-2</v>
      </c>
      <c r="C321" s="9">
        <v>27807</v>
      </c>
      <c r="D321" s="9" t="s">
        <v>10</v>
      </c>
      <c r="E321" s="9">
        <v>20940</v>
      </c>
      <c r="F321" s="9">
        <v>13160</v>
      </c>
      <c r="G321" s="10">
        <v>7780</v>
      </c>
      <c r="H321" s="9" t="s">
        <v>11</v>
      </c>
      <c r="I321" s="9" t="s">
        <v>12</v>
      </c>
      <c r="J321" t="s">
        <v>13</v>
      </c>
    </row>
    <row r="322" spans="1:10" hidden="1">
      <c r="A322" s="7">
        <v>45162</v>
      </c>
      <c r="B322" s="8">
        <v>0.15486111111111101</v>
      </c>
      <c r="C322" s="9">
        <v>27813</v>
      </c>
      <c r="D322" s="9" t="s">
        <v>10</v>
      </c>
      <c r="E322" s="9">
        <v>22520</v>
      </c>
      <c r="F322" s="9">
        <v>13180</v>
      </c>
      <c r="G322" s="10">
        <v>9340</v>
      </c>
      <c r="H322" s="9" t="s">
        <v>11</v>
      </c>
      <c r="I322" s="9" t="s">
        <v>12</v>
      </c>
      <c r="J322" t="s">
        <v>13</v>
      </c>
    </row>
    <row r="323" spans="1:10" hidden="1">
      <c r="A323" s="7">
        <v>45162</v>
      </c>
      <c r="B323" s="8">
        <v>0.16180555555555601</v>
      </c>
      <c r="C323" s="9">
        <v>27815</v>
      </c>
      <c r="D323" s="9" t="s">
        <v>19</v>
      </c>
      <c r="E323" s="9">
        <v>26580</v>
      </c>
      <c r="F323" s="9">
        <v>15860</v>
      </c>
      <c r="G323" s="10">
        <v>10720</v>
      </c>
      <c r="H323" s="9" t="s">
        <v>11</v>
      </c>
      <c r="I323" s="9" t="s">
        <v>12</v>
      </c>
      <c r="J323" t="s">
        <v>13</v>
      </c>
    </row>
    <row r="324" spans="1:10" hidden="1">
      <c r="A324" s="7">
        <v>45162</v>
      </c>
      <c r="B324" s="8">
        <v>0.243055555555556</v>
      </c>
      <c r="C324" s="9">
        <v>27824</v>
      </c>
      <c r="D324" s="9" t="s">
        <v>10</v>
      </c>
      <c r="E324" s="9">
        <v>16160</v>
      </c>
      <c r="F324" s="9">
        <v>13140</v>
      </c>
      <c r="G324" s="10">
        <v>3020</v>
      </c>
      <c r="H324" s="9" t="s">
        <v>11</v>
      </c>
      <c r="I324" s="9" t="s">
        <v>12</v>
      </c>
      <c r="J324" t="s">
        <v>13</v>
      </c>
    </row>
    <row r="325" spans="1:10" hidden="1">
      <c r="A325" s="7">
        <v>45162</v>
      </c>
      <c r="B325" s="8">
        <v>0.69652777777777797</v>
      </c>
      <c r="C325" s="9">
        <v>27872</v>
      </c>
      <c r="D325" s="9" t="s">
        <v>10</v>
      </c>
      <c r="E325" s="9">
        <v>15860</v>
      </c>
      <c r="F325" s="9">
        <v>13100</v>
      </c>
      <c r="G325" s="10">
        <v>2760</v>
      </c>
      <c r="H325" s="9" t="s">
        <v>11</v>
      </c>
      <c r="I325" s="9" t="s">
        <v>12</v>
      </c>
      <c r="J325" t="s">
        <v>13</v>
      </c>
    </row>
    <row r="326" spans="1:10" hidden="1">
      <c r="A326" s="7">
        <v>45162</v>
      </c>
      <c r="B326" s="8">
        <v>0.52569444444444502</v>
      </c>
      <c r="C326" s="9">
        <v>27861</v>
      </c>
      <c r="D326" s="9" t="s">
        <v>17</v>
      </c>
      <c r="E326" s="9">
        <v>2860</v>
      </c>
      <c r="F326" s="9">
        <v>2780</v>
      </c>
      <c r="G326" s="10">
        <v>80</v>
      </c>
      <c r="H326" s="9" t="s">
        <v>11</v>
      </c>
      <c r="I326" s="9" t="s">
        <v>25</v>
      </c>
      <c r="J326" t="s">
        <v>13</v>
      </c>
    </row>
    <row r="327" spans="1:10" hidden="1">
      <c r="A327" s="7">
        <v>45162</v>
      </c>
      <c r="B327" s="8">
        <v>0.87083333333333302</v>
      </c>
      <c r="C327" s="9">
        <v>27880</v>
      </c>
      <c r="D327" s="9" t="s">
        <v>16</v>
      </c>
      <c r="E327" s="9">
        <v>24400</v>
      </c>
      <c r="F327" s="9">
        <v>16100</v>
      </c>
      <c r="G327" s="10">
        <v>8300</v>
      </c>
      <c r="H327" s="9" t="s">
        <v>11</v>
      </c>
      <c r="I327" s="9" t="s">
        <v>12</v>
      </c>
      <c r="J327" t="s">
        <v>13</v>
      </c>
    </row>
    <row r="328" spans="1:10" hidden="1">
      <c r="A328" s="7">
        <v>45162</v>
      </c>
      <c r="B328" s="8">
        <v>0.25</v>
      </c>
      <c r="C328" s="9">
        <v>27828</v>
      </c>
      <c r="D328" s="9" t="s">
        <v>20</v>
      </c>
      <c r="E328" s="9">
        <v>18560</v>
      </c>
      <c r="F328" s="9">
        <v>16160</v>
      </c>
      <c r="G328" s="10">
        <v>2400</v>
      </c>
      <c r="H328" s="9" t="s">
        <v>11</v>
      </c>
      <c r="I328" s="9" t="s">
        <v>12</v>
      </c>
      <c r="J328" t="s">
        <v>13</v>
      </c>
    </row>
    <row r="329" spans="1:10" hidden="1">
      <c r="A329" s="7">
        <v>45162</v>
      </c>
      <c r="B329" s="8">
        <v>0.30763888888888902</v>
      </c>
      <c r="C329" s="9">
        <v>27837</v>
      </c>
      <c r="D329" s="9" t="s">
        <v>20</v>
      </c>
      <c r="E329" s="9">
        <v>19380</v>
      </c>
      <c r="F329" s="9">
        <v>16320</v>
      </c>
      <c r="G329" s="10">
        <v>3060</v>
      </c>
      <c r="H329" s="9" t="s">
        <v>11</v>
      </c>
      <c r="I329" s="9" t="s">
        <v>22</v>
      </c>
      <c r="J329" t="s">
        <v>13</v>
      </c>
    </row>
    <row r="330" spans="1:10" hidden="1">
      <c r="A330" s="7">
        <v>45162</v>
      </c>
      <c r="B330" s="8">
        <v>0.36388888888888898</v>
      </c>
      <c r="C330" s="9">
        <v>27844</v>
      </c>
      <c r="D330" s="9" t="s">
        <v>19</v>
      </c>
      <c r="E330" s="9">
        <v>23760</v>
      </c>
      <c r="F330" s="9">
        <v>15840</v>
      </c>
      <c r="G330" s="10">
        <v>7920</v>
      </c>
      <c r="H330" s="9" t="s">
        <v>11</v>
      </c>
      <c r="I330" s="9" t="s">
        <v>12</v>
      </c>
      <c r="J330" t="s">
        <v>13</v>
      </c>
    </row>
    <row r="331" spans="1:10" hidden="1">
      <c r="A331" s="7">
        <v>45162</v>
      </c>
      <c r="B331" s="8">
        <v>0.454166666666667</v>
      </c>
      <c r="C331" s="9">
        <v>27854</v>
      </c>
      <c r="D331" s="9" t="s">
        <v>18</v>
      </c>
      <c r="E331" s="9">
        <v>3360</v>
      </c>
      <c r="F331" s="9">
        <v>2840</v>
      </c>
      <c r="G331" s="10">
        <v>520</v>
      </c>
      <c r="H331" s="9" t="s">
        <v>11</v>
      </c>
      <c r="I331" s="9" t="s">
        <v>12</v>
      </c>
      <c r="J331" t="s">
        <v>13</v>
      </c>
    </row>
    <row r="332" spans="1:10" hidden="1">
      <c r="A332" s="7">
        <v>45162</v>
      </c>
      <c r="B332" s="8">
        <v>0.88263888888888897</v>
      </c>
      <c r="C332" s="9">
        <v>27882</v>
      </c>
      <c r="D332" s="9" t="s">
        <v>17</v>
      </c>
      <c r="E332" s="9">
        <v>3120</v>
      </c>
      <c r="F332" s="9">
        <v>2680</v>
      </c>
      <c r="G332" s="10">
        <v>440</v>
      </c>
      <c r="H332" s="9" t="s">
        <v>11</v>
      </c>
      <c r="I332" s="9" t="s">
        <v>12</v>
      </c>
      <c r="J332" t="s">
        <v>13</v>
      </c>
    </row>
    <row r="333" spans="1:10" hidden="1">
      <c r="A333" s="7">
        <v>45162</v>
      </c>
      <c r="B333" s="8">
        <v>0.45486111111111099</v>
      </c>
      <c r="C333" s="9">
        <v>161593</v>
      </c>
      <c r="D333" s="9" t="s">
        <v>16</v>
      </c>
      <c r="E333" s="9">
        <v>17460</v>
      </c>
      <c r="F333" s="9">
        <v>16040</v>
      </c>
      <c r="G333" s="10">
        <v>1420</v>
      </c>
      <c r="H333" s="9" t="s">
        <v>11</v>
      </c>
      <c r="I333" s="9" t="s">
        <v>23</v>
      </c>
      <c r="J333" t="s">
        <v>13</v>
      </c>
    </row>
    <row r="334" spans="1:10" hidden="1">
      <c r="A334" s="7">
        <v>45163</v>
      </c>
      <c r="B334" s="8">
        <v>0.163888888888889</v>
      </c>
      <c r="C334" s="9">
        <v>27894</v>
      </c>
      <c r="D334" s="9" t="s">
        <v>10</v>
      </c>
      <c r="E334" s="9">
        <v>21940</v>
      </c>
      <c r="F334" s="9">
        <v>13100</v>
      </c>
      <c r="G334" s="10">
        <v>8840</v>
      </c>
      <c r="H334" s="9" t="s">
        <v>11</v>
      </c>
      <c r="I334" s="9" t="s">
        <v>12</v>
      </c>
      <c r="J334" t="s">
        <v>13</v>
      </c>
    </row>
    <row r="335" spans="1:10" hidden="1">
      <c r="A335" s="7">
        <v>45163</v>
      </c>
      <c r="B335" s="8">
        <v>0.242361111111111</v>
      </c>
      <c r="C335" s="9">
        <v>27905</v>
      </c>
      <c r="D335" s="9" t="s">
        <v>10</v>
      </c>
      <c r="E335" s="9">
        <v>15600</v>
      </c>
      <c r="F335" s="9">
        <v>13080</v>
      </c>
      <c r="G335" s="10">
        <v>2520</v>
      </c>
      <c r="H335" s="9" t="s">
        <v>11</v>
      </c>
      <c r="I335" s="9" t="s">
        <v>12</v>
      </c>
      <c r="J335" t="s">
        <v>13</v>
      </c>
    </row>
    <row r="336" spans="1:10" hidden="1">
      <c r="A336" s="7">
        <v>45163</v>
      </c>
      <c r="B336" s="8">
        <v>0.12291666666666699</v>
      </c>
      <c r="C336" s="9">
        <v>27891</v>
      </c>
      <c r="D336" s="9" t="s">
        <v>15</v>
      </c>
      <c r="E336" s="9">
        <v>4940</v>
      </c>
      <c r="F336" s="9">
        <v>3580</v>
      </c>
      <c r="G336" s="10">
        <v>1360</v>
      </c>
      <c r="H336" s="9" t="s">
        <v>11</v>
      </c>
      <c r="I336" s="9" t="s">
        <v>12</v>
      </c>
      <c r="J336" t="s">
        <v>13</v>
      </c>
    </row>
    <row r="337" spans="1:10" hidden="1">
      <c r="A337" s="7">
        <v>45163</v>
      </c>
      <c r="B337" s="8">
        <v>0.21597222222222201</v>
      </c>
      <c r="C337" s="9">
        <v>27900</v>
      </c>
      <c r="D337" s="9" t="s">
        <v>15</v>
      </c>
      <c r="E337" s="9">
        <v>4300</v>
      </c>
      <c r="F337" s="9">
        <v>3680</v>
      </c>
      <c r="G337" s="10">
        <v>620</v>
      </c>
      <c r="H337" s="9" t="s">
        <v>11</v>
      </c>
      <c r="I337" s="9" t="s">
        <v>12</v>
      </c>
      <c r="J337" t="s">
        <v>13</v>
      </c>
    </row>
    <row r="338" spans="1:10" hidden="1">
      <c r="A338" s="7">
        <v>45163</v>
      </c>
      <c r="B338" s="8">
        <v>1.7361111111111101E-2</v>
      </c>
      <c r="C338" s="9">
        <v>27884</v>
      </c>
      <c r="D338" s="9" t="s">
        <v>14</v>
      </c>
      <c r="E338" s="9">
        <v>14020</v>
      </c>
      <c r="F338" s="9">
        <v>12400</v>
      </c>
      <c r="G338" s="10">
        <v>1620</v>
      </c>
      <c r="H338" s="9" t="s">
        <v>11</v>
      </c>
      <c r="I338" s="9" t="s">
        <v>12</v>
      </c>
      <c r="J338" t="s">
        <v>13</v>
      </c>
    </row>
    <row r="339" spans="1:10" hidden="1">
      <c r="A339" s="7">
        <v>45163</v>
      </c>
      <c r="B339" s="8">
        <v>0.22986111111111099</v>
      </c>
      <c r="C339" s="9">
        <v>27902</v>
      </c>
      <c r="D339" s="9" t="s">
        <v>16</v>
      </c>
      <c r="E339" s="9">
        <v>22500</v>
      </c>
      <c r="F339" s="9">
        <v>16060</v>
      </c>
      <c r="G339" s="10">
        <v>6440</v>
      </c>
      <c r="H339" s="9" t="s">
        <v>11</v>
      </c>
      <c r="I339" s="9" t="s">
        <v>12</v>
      </c>
      <c r="J339" t="s">
        <v>13</v>
      </c>
    </row>
    <row r="340" spans="1:10" hidden="1">
      <c r="A340" s="7">
        <v>45163</v>
      </c>
      <c r="B340" s="8">
        <v>0.24652777777777801</v>
      </c>
      <c r="C340" s="9">
        <v>27906</v>
      </c>
      <c r="D340" s="9" t="s">
        <v>19</v>
      </c>
      <c r="E340" s="9">
        <v>26740</v>
      </c>
      <c r="F340" s="9">
        <v>15860</v>
      </c>
      <c r="G340" s="10">
        <v>10880</v>
      </c>
      <c r="H340" s="9" t="s">
        <v>11</v>
      </c>
      <c r="I340" s="9" t="s">
        <v>12</v>
      </c>
      <c r="J340" t="s">
        <v>13</v>
      </c>
    </row>
    <row r="341" spans="1:10" hidden="1">
      <c r="A341" s="7">
        <v>45163</v>
      </c>
      <c r="B341" s="8">
        <v>5.4861111111111097E-2</v>
      </c>
      <c r="C341" s="9">
        <v>27886</v>
      </c>
      <c r="D341" s="9" t="s">
        <v>10</v>
      </c>
      <c r="E341" s="9">
        <v>21180</v>
      </c>
      <c r="F341" s="9">
        <v>13080</v>
      </c>
      <c r="G341" s="10">
        <v>8100</v>
      </c>
      <c r="H341" s="9" t="s">
        <v>11</v>
      </c>
      <c r="I341" s="9" t="s">
        <v>12</v>
      </c>
      <c r="J341" t="s">
        <v>13</v>
      </c>
    </row>
    <row r="342" spans="1:10" hidden="1">
      <c r="A342" s="7">
        <v>45163</v>
      </c>
      <c r="B342" s="8">
        <v>0.21249999999999999</v>
      </c>
      <c r="C342" s="9">
        <v>27898</v>
      </c>
      <c r="D342" s="9" t="s">
        <v>17</v>
      </c>
      <c r="E342" s="9">
        <v>3320</v>
      </c>
      <c r="F342" s="9">
        <v>2780</v>
      </c>
      <c r="G342" s="10">
        <v>540</v>
      </c>
      <c r="H342" s="9" t="s">
        <v>11</v>
      </c>
      <c r="I342" s="9" t="s">
        <v>12</v>
      </c>
      <c r="J342" t="s">
        <v>13</v>
      </c>
    </row>
    <row r="343" spans="1:10" hidden="1">
      <c r="A343" s="7">
        <v>45163</v>
      </c>
      <c r="B343" s="8">
        <v>0.49375000000000002</v>
      </c>
      <c r="C343" s="9">
        <v>161647</v>
      </c>
      <c r="D343" s="9" t="s">
        <v>20</v>
      </c>
      <c r="E343" s="9">
        <v>17660</v>
      </c>
      <c r="F343" s="9">
        <v>15960</v>
      </c>
      <c r="G343" s="10">
        <v>1700</v>
      </c>
      <c r="H343" s="9" t="s">
        <v>11</v>
      </c>
      <c r="I343" s="9" t="s">
        <v>23</v>
      </c>
      <c r="J343" t="s">
        <v>13</v>
      </c>
    </row>
    <row r="344" spans="1:10" hidden="1">
      <c r="A344" s="7">
        <v>45163</v>
      </c>
      <c r="B344" s="8">
        <v>0.44444444444444398</v>
      </c>
      <c r="C344" s="9">
        <v>4667</v>
      </c>
      <c r="D344" s="9" t="s">
        <v>16</v>
      </c>
      <c r="E344" s="9">
        <v>18960</v>
      </c>
      <c r="F344" s="9">
        <v>15760</v>
      </c>
      <c r="G344" s="10">
        <v>3200</v>
      </c>
      <c r="H344" s="9" t="s">
        <v>11</v>
      </c>
      <c r="I344" s="9" t="s">
        <v>26</v>
      </c>
      <c r="J344" t="s">
        <v>13</v>
      </c>
    </row>
    <row r="345" spans="1:10" hidden="1">
      <c r="A345" s="7">
        <v>45163</v>
      </c>
      <c r="B345" s="8">
        <v>0.87777777777777799</v>
      </c>
      <c r="C345" s="9">
        <v>27958</v>
      </c>
      <c r="D345" s="9" t="s">
        <v>19</v>
      </c>
      <c r="E345" s="9">
        <v>22820</v>
      </c>
      <c r="F345" s="9">
        <v>15820</v>
      </c>
      <c r="G345" s="10">
        <v>7000</v>
      </c>
      <c r="H345" s="9" t="s">
        <v>11</v>
      </c>
      <c r="I345" s="9" t="s">
        <v>12</v>
      </c>
      <c r="J345" t="s">
        <v>13</v>
      </c>
    </row>
    <row r="346" spans="1:10" hidden="1">
      <c r="A346" s="7">
        <v>45163</v>
      </c>
      <c r="B346" s="8">
        <v>0.69513888888888897</v>
      </c>
      <c r="C346" s="9">
        <v>27949</v>
      </c>
      <c r="D346" s="9" t="s">
        <v>10</v>
      </c>
      <c r="E346" s="9">
        <v>15880</v>
      </c>
      <c r="F346" s="9">
        <v>13160</v>
      </c>
      <c r="G346" s="10">
        <v>2720</v>
      </c>
      <c r="H346" s="9" t="s">
        <v>11</v>
      </c>
      <c r="I346" s="9" t="s">
        <v>12</v>
      </c>
      <c r="J346" t="s">
        <v>13</v>
      </c>
    </row>
    <row r="347" spans="1:10" hidden="1">
      <c r="A347" s="7">
        <v>45163</v>
      </c>
      <c r="B347" s="8">
        <v>0.47222222222222199</v>
      </c>
      <c r="C347" s="9">
        <v>27932</v>
      </c>
      <c r="D347" s="9" t="s">
        <v>21</v>
      </c>
      <c r="E347" s="9">
        <v>6640</v>
      </c>
      <c r="F347" s="9">
        <v>5640</v>
      </c>
      <c r="G347" s="10">
        <v>1000</v>
      </c>
      <c r="H347" s="9" t="s">
        <v>11</v>
      </c>
      <c r="I347" s="9" t="s">
        <v>22</v>
      </c>
      <c r="J347" t="s">
        <v>13</v>
      </c>
    </row>
    <row r="348" spans="1:10" hidden="1">
      <c r="A348" s="7">
        <v>45163</v>
      </c>
      <c r="B348" s="8">
        <v>0.44930555555555601</v>
      </c>
      <c r="C348" s="9">
        <v>27926</v>
      </c>
      <c r="D348" s="9" t="s">
        <v>18</v>
      </c>
      <c r="E348" s="9">
        <v>3300</v>
      </c>
      <c r="F348" s="9">
        <v>2840</v>
      </c>
      <c r="G348" s="10">
        <v>460</v>
      </c>
      <c r="H348" s="9" t="s">
        <v>11</v>
      </c>
      <c r="I348" s="9" t="s">
        <v>12</v>
      </c>
      <c r="J348" t="s">
        <v>13</v>
      </c>
    </row>
    <row r="349" spans="1:10" hidden="1">
      <c r="A349" s="7">
        <v>45163</v>
      </c>
      <c r="B349" s="8">
        <v>0.77083333333333304</v>
      </c>
      <c r="C349" s="9">
        <v>27954</v>
      </c>
      <c r="D349" s="9" t="s">
        <v>17</v>
      </c>
      <c r="E349" s="9">
        <v>3060</v>
      </c>
      <c r="F349" s="9">
        <v>2600</v>
      </c>
      <c r="G349" s="10">
        <v>460</v>
      </c>
      <c r="H349" s="9" t="s">
        <v>11</v>
      </c>
      <c r="I349" s="9" t="s">
        <v>12</v>
      </c>
      <c r="J349" t="s">
        <v>13</v>
      </c>
    </row>
    <row r="350" spans="1:10" hidden="1">
      <c r="A350" s="7">
        <v>45163</v>
      </c>
      <c r="B350" s="8">
        <v>0.87916666666666698</v>
      </c>
      <c r="C350" s="9">
        <v>27959</v>
      </c>
      <c r="D350" s="9" t="s">
        <v>17</v>
      </c>
      <c r="E350" s="9">
        <v>2960</v>
      </c>
      <c r="F350" s="9">
        <v>2680</v>
      </c>
      <c r="G350" s="10">
        <v>280</v>
      </c>
      <c r="H350" s="9" t="s">
        <v>11</v>
      </c>
      <c r="I350" s="9" t="s">
        <v>12</v>
      </c>
      <c r="J350" t="s">
        <v>13</v>
      </c>
    </row>
    <row r="351" spans="1:10" hidden="1">
      <c r="A351" s="7">
        <v>45163</v>
      </c>
      <c r="B351" s="8">
        <v>0.51666666666666705</v>
      </c>
      <c r="C351" s="9">
        <v>27937</v>
      </c>
      <c r="D351" s="9" t="s">
        <v>17</v>
      </c>
      <c r="E351" s="9">
        <v>3160</v>
      </c>
      <c r="F351" s="9">
        <v>2800</v>
      </c>
      <c r="G351" s="10">
        <v>360</v>
      </c>
      <c r="H351" s="9" t="s">
        <v>11</v>
      </c>
      <c r="I351" s="9" t="s">
        <v>25</v>
      </c>
      <c r="J351" t="s">
        <v>13</v>
      </c>
    </row>
    <row r="352" spans="1:10" hidden="1">
      <c r="A352" s="7">
        <v>45164</v>
      </c>
      <c r="B352" s="8">
        <v>0.43958333333333299</v>
      </c>
      <c r="C352" s="9">
        <v>28000</v>
      </c>
      <c r="D352" s="9" t="s">
        <v>18</v>
      </c>
      <c r="E352" s="9">
        <v>3320</v>
      </c>
      <c r="F352" s="9">
        <v>2820</v>
      </c>
      <c r="G352" s="10">
        <v>500</v>
      </c>
      <c r="H352" s="9" t="s">
        <v>11</v>
      </c>
      <c r="I352" s="9" t="s">
        <v>12</v>
      </c>
      <c r="J352" t="s">
        <v>13</v>
      </c>
    </row>
    <row r="353" spans="1:10" hidden="1">
      <c r="A353" s="7">
        <v>45164</v>
      </c>
      <c r="B353" s="8">
        <v>0.242361111111111</v>
      </c>
      <c r="C353" s="9">
        <v>27983</v>
      </c>
      <c r="D353" s="9" t="s">
        <v>10</v>
      </c>
      <c r="E353" s="9">
        <v>16480</v>
      </c>
      <c r="F353" s="9">
        <v>13120</v>
      </c>
      <c r="G353" s="10">
        <v>3360</v>
      </c>
      <c r="H353" s="9" t="s">
        <v>11</v>
      </c>
      <c r="I353" s="9" t="s">
        <v>12</v>
      </c>
      <c r="J353" t="s">
        <v>13</v>
      </c>
    </row>
    <row r="354" spans="1:10" hidden="1">
      <c r="A354" s="7">
        <v>45164</v>
      </c>
      <c r="B354" s="8">
        <v>4.8611111111111098E-2</v>
      </c>
      <c r="C354" s="9">
        <v>27963</v>
      </c>
      <c r="D354" s="9" t="s">
        <v>10</v>
      </c>
      <c r="E354" s="9">
        <v>21740</v>
      </c>
      <c r="F354" s="9">
        <v>13160</v>
      </c>
      <c r="G354" s="10">
        <v>8580</v>
      </c>
      <c r="H354" s="9" t="s">
        <v>11</v>
      </c>
      <c r="I354" s="9" t="s">
        <v>12</v>
      </c>
      <c r="J354" t="s">
        <v>13</v>
      </c>
    </row>
    <row r="355" spans="1:10" hidden="1">
      <c r="A355" s="7">
        <v>45164</v>
      </c>
      <c r="B355" s="8">
        <v>0.15833333333333299</v>
      </c>
      <c r="C355" s="9">
        <v>27971</v>
      </c>
      <c r="D355" s="9" t="s">
        <v>10</v>
      </c>
      <c r="E355" s="9">
        <v>22720</v>
      </c>
      <c r="F355" s="9">
        <v>13140</v>
      </c>
      <c r="G355" s="10">
        <v>9580</v>
      </c>
      <c r="H355" s="9" t="s">
        <v>11</v>
      </c>
      <c r="I355" s="9" t="s">
        <v>12</v>
      </c>
      <c r="J355" t="s">
        <v>13</v>
      </c>
    </row>
    <row r="356" spans="1:10" hidden="1">
      <c r="A356" s="7">
        <v>45164</v>
      </c>
      <c r="B356" s="8">
        <v>0.70069444444444395</v>
      </c>
      <c r="C356" s="9">
        <v>28010</v>
      </c>
      <c r="D356" s="9" t="s">
        <v>10</v>
      </c>
      <c r="E356" s="9">
        <v>16820</v>
      </c>
      <c r="F356" s="9">
        <v>13100</v>
      </c>
      <c r="G356" s="10">
        <v>3720</v>
      </c>
      <c r="H356" s="9" t="s">
        <v>11</v>
      </c>
      <c r="I356" s="9" t="s">
        <v>12</v>
      </c>
      <c r="J356" t="s">
        <v>13</v>
      </c>
    </row>
    <row r="357" spans="1:10" hidden="1">
      <c r="A357" s="7">
        <v>45164</v>
      </c>
      <c r="B357" s="8">
        <v>0.874305555555556</v>
      </c>
      <c r="C357" s="9">
        <v>28013</v>
      </c>
      <c r="D357" s="9" t="s">
        <v>16</v>
      </c>
      <c r="E357" s="9">
        <v>25800</v>
      </c>
      <c r="F357" s="9">
        <v>16200</v>
      </c>
      <c r="G357" s="10">
        <v>9600</v>
      </c>
      <c r="H357" s="9" t="s">
        <v>11</v>
      </c>
      <c r="I357" s="9" t="s">
        <v>12</v>
      </c>
      <c r="J357" t="s">
        <v>13</v>
      </c>
    </row>
    <row r="358" spans="1:10" hidden="1">
      <c r="A358" s="7">
        <v>45164</v>
      </c>
      <c r="B358" s="8">
        <v>0.22986111111111099</v>
      </c>
      <c r="C358" s="9">
        <v>27980</v>
      </c>
      <c r="D358" s="9" t="s">
        <v>16</v>
      </c>
      <c r="E358" s="9">
        <v>23360</v>
      </c>
      <c r="F358" s="9">
        <v>16100</v>
      </c>
      <c r="G358" s="10">
        <v>7260</v>
      </c>
      <c r="H358" s="9" t="s">
        <v>11</v>
      </c>
      <c r="I358" s="9" t="s">
        <v>12</v>
      </c>
      <c r="J358" t="s">
        <v>13</v>
      </c>
    </row>
    <row r="359" spans="1:10" hidden="1">
      <c r="A359" s="7">
        <v>45164</v>
      </c>
      <c r="B359" s="8">
        <v>0.12291666666666699</v>
      </c>
      <c r="C359" s="9">
        <v>27967</v>
      </c>
      <c r="D359" s="9" t="s">
        <v>15</v>
      </c>
      <c r="E359" s="9">
        <v>4780</v>
      </c>
      <c r="F359" s="9">
        <v>3580</v>
      </c>
      <c r="G359" s="10">
        <v>1200</v>
      </c>
      <c r="H359" s="9" t="s">
        <v>11</v>
      </c>
      <c r="I359" s="9" t="s">
        <v>12</v>
      </c>
      <c r="J359" t="s">
        <v>13</v>
      </c>
    </row>
    <row r="360" spans="1:10" hidden="1">
      <c r="A360" s="7">
        <v>45164</v>
      </c>
      <c r="B360" s="8">
        <v>0.21736111111111101</v>
      </c>
      <c r="C360" s="9">
        <v>27979</v>
      </c>
      <c r="D360" s="9" t="s">
        <v>15</v>
      </c>
      <c r="E360" s="9">
        <v>4360</v>
      </c>
      <c r="F360" s="9">
        <v>3660</v>
      </c>
      <c r="G360" s="10">
        <v>700</v>
      </c>
      <c r="H360" s="9" t="s">
        <v>11</v>
      </c>
      <c r="I360" s="9" t="s">
        <v>12</v>
      </c>
      <c r="J360" t="s">
        <v>13</v>
      </c>
    </row>
    <row r="361" spans="1:10" hidden="1">
      <c r="A361" s="7">
        <v>45164</v>
      </c>
      <c r="B361" s="8">
        <v>1.8055555555555599E-2</v>
      </c>
      <c r="C361" s="9">
        <v>27961</v>
      </c>
      <c r="D361" s="9" t="s">
        <v>14</v>
      </c>
      <c r="E361" s="9">
        <v>13680</v>
      </c>
      <c r="F361" s="9">
        <v>12400</v>
      </c>
      <c r="G361" s="10">
        <v>1280</v>
      </c>
      <c r="H361" s="9" t="s">
        <v>11</v>
      </c>
      <c r="I361" s="9" t="s">
        <v>12</v>
      </c>
      <c r="J361" t="s">
        <v>13</v>
      </c>
    </row>
    <row r="362" spans="1:10" hidden="1">
      <c r="A362" s="7">
        <v>45164</v>
      </c>
      <c r="B362" s="8">
        <v>0.58680555555555602</v>
      </c>
      <c r="C362" s="9">
        <v>28009</v>
      </c>
      <c r="D362" s="9" t="s">
        <v>24</v>
      </c>
      <c r="E362" s="9">
        <v>2600</v>
      </c>
      <c r="F362" s="9">
        <v>2340</v>
      </c>
      <c r="G362" s="10">
        <v>260</v>
      </c>
      <c r="H362" s="9" t="s">
        <v>11</v>
      </c>
      <c r="I362" s="9" t="s">
        <v>12</v>
      </c>
      <c r="J362" t="s">
        <v>13</v>
      </c>
    </row>
    <row r="363" spans="1:10" hidden="1">
      <c r="A363" s="7">
        <v>45164</v>
      </c>
      <c r="B363" s="8">
        <v>0.45069444444444401</v>
      </c>
      <c r="C363" s="9">
        <v>28002</v>
      </c>
      <c r="D363" s="9" t="s">
        <v>16</v>
      </c>
      <c r="E363" s="9">
        <v>17560</v>
      </c>
      <c r="F363" s="9">
        <v>16040</v>
      </c>
      <c r="G363" s="10">
        <v>1520</v>
      </c>
      <c r="H363" s="9" t="s">
        <v>11</v>
      </c>
      <c r="I363" s="9" t="s">
        <v>12</v>
      </c>
      <c r="J363" t="s">
        <v>13</v>
      </c>
    </row>
    <row r="364" spans="1:10" hidden="1">
      <c r="A364" s="7">
        <v>45164</v>
      </c>
      <c r="B364" s="8">
        <v>0.16041666666666701</v>
      </c>
      <c r="C364" s="9">
        <v>27973</v>
      </c>
      <c r="D364" s="9" t="s">
        <v>19</v>
      </c>
      <c r="E364" s="9">
        <v>27880</v>
      </c>
      <c r="F364" s="9">
        <v>16040</v>
      </c>
      <c r="G364" s="10">
        <v>11840</v>
      </c>
      <c r="H364" s="9" t="s">
        <v>11</v>
      </c>
      <c r="I364" s="9" t="s">
        <v>12</v>
      </c>
      <c r="J364" t="s">
        <v>13</v>
      </c>
    </row>
    <row r="365" spans="1:10" hidden="1">
      <c r="A365" s="7">
        <v>45164</v>
      </c>
      <c r="B365" s="8">
        <v>0.87916666666666698</v>
      </c>
      <c r="C365" s="9">
        <v>28014</v>
      </c>
      <c r="D365" s="9" t="s">
        <v>17</v>
      </c>
      <c r="E365" s="9">
        <v>3200</v>
      </c>
      <c r="F365" s="9">
        <v>2700</v>
      </c>
      <c r="G365" s="10">
        <v>500</v>
      </c>
      <c r="H365" s="9" t="s">
        <v>11</v>
      </c>
      <c r="I365" s="9" t="s">
        <v>12</v>
      </c>
      <c r="J365" t="s">
        <v>13</v>
      </c>
    </row>
    <row r="366" spans="1:10" hidden="1">
      <c r="A366" s="7">
        <v>45164</v>
      </c>
      <c r="B366" s="8">
        <v>0.21527777777777801</v>
      </c>
      <c r="C366" s="9">
        <v>27978</v>
      </c>
      <c r="D366" s="9" t="s">
        <v>17</v>
      </c>
      <c r="E366" s="9">
        <v>3220</v>
      </c>
      <c r="F366" s="9">
        <v>2800</v>
      </c>
      <c r="G366" s="10">
        <v>420</v>
      </c>
      <c r="H366" s="9" t="s">
        <v>11</v>
      </c>
      <c r="I366" s="9" t="s">
        <v>12</v>
      </c>
      <c r="J366" t="s">
        <v>13</v>
      </c>
    </row>
    <row r="367" spans="1:10" hidden="1">
      <c r="A367" s="7">
        <v>45164</v>
      </c>
      <c r="B367" s="8">
        <v>0.32083333333333303</v>
      </c>
      <c r="C367" s="9">
        <v>27992</v>
      </c>
      <c r="D367" s="9" t="s">
        <v>24</v>
      </c>
      <c r="E367" s="9">
        <v>2660</v>
      </c>
      <c r="F367" s="9">
        <v>2300</v>
      </c>
      <c r="G367" s="10">
        <v>360</v>
      </c>
      <c r="H367" s="9" t="s">
        <v>11</v>
      </c>
      <c r="I367" s="9" t="s">
        <v>12</v>
      </c>
      <c r="J367" t="s">
        <v>13</v>
      </c>
    </row>
    <row r="368" spans="1:10" hidden="1">
      <c r="A368" s="7">
        <v>45165</v>
      </c>
      <c r="B368" s="8">
        <v>0.24791666666666701</v>
      </c>
      <c r="C368" s="9">
        <v>28037</v>
      </c>
      <c r="D368" s="9" t="s">
        <v>19</v>
      </c>
      <c r="E368" s="9">
        <v>26920</v>
      </c>
      <c r="F368" s="9">
        <v>16020</v>
      </c>
      <c r="G368" s="10">
        <v>10900</v>
      </c>
      <c r="H368" s="9" t="s">
        <v>11</v>
      </c>
      <c r="I368" s="9" t="s">
        <v>12</v>
      </c>
      <c r="J368" t="s">
        <v>13</v>
      </c>
    </row>
    <row r="369" spans="1:10" hidden="1">
      <c r="A369" s="7">
        <v>45165</v>
      </c>
      <c r="B369" s="8">
        <v>0.69374999999999998</v>
      </c>
      <c r="C369" s="9">
        <v>28044</v>
      </c>
      <c r="D369" s="9" t="s">
        <v>10</v>
      </c>
      <c r="E369" s="9">
        <v>17520</v>
      </c>
      <c r="F369" s="9">
        <v>13180</v>
      </c>
      <c r="G369" s="10">
        <v>4340</v>
      </c>
      <c r="H369" s="9" t="s">
        <v>11</v>
      </c>
      <c r="I369" s="9" t="s">
        <v>12</v>
      </c>
      <c r="J369" t="s">
        <v>13</v>
      </c>
    </row>
    <row r="370" spans="1:10" hidden="1">
      <c r="A370" s="7">
        <v>45165</v>
      </c>
      <c r="B370" s="8">
        <v>0.20902777777777801</v>
      </c>
      <c r="C370" s="9">
        <v>28031</v>
      </c>
      <c r="D370" s="9" t="s">
        <v>15</v>
      </c>
      <c r="E370" s="9">
        <v>3820</v>
      </c>
      <c r="F370" s="9">
        <v>3640</v>
      </c>
      <c r="G370" s="10">
        <v>180</v>
      </c>
      <c r="H370" s="9" t="s">
        <v>11</v>
      </c>
      <c r="I370" s="9" t="s">
        <v>12</v>
      </c>
      <c r="J370" t="s">
        <v>13</v>
      </c>
    </row>
    <row r="371" spans="1:10" hidden="1">
      <c r="A371" s="7">
        <v>45165</v>
      </c>
      <c r="B371" s="8">
        <v>0.12708333333333299</v>
      </c>
      <c r="C371" s="9">
        <v>28024</v>
      </c>
      <c r="D371" s="9" t="s">
        <v>15</v>
      </c>
      <c r="E371" s="9">
        <v>4620</v>
      </c>
      <c r="F371" s="9">
        <v>3560</v>
      </c>
      <c r="G371" s="10">
        <v>1060</v>
      </c>
      <c r="H371" s="9" t="s">
        <v>11</v>
      </c>
      <c r="I371" s="9" t="s">
        <v>12</v>
      </c>
      <c r="J371" t="s">
        <v>13</v>
      </c>
    </row>
    <row r="372" spans="1:10" hidden="1">
      <c r="A372" s="7">
        <v>45165</v>
      </c>
      <c r="B372" s="8">
        <v>0.24374999999999999</v>
      </c>
      <c r="C372" s="9">
        <v>28035</v>
      </c>
      <c r="D372" s="9" t="s">
        <v>16</v>
      </c>
      <c r="E372" s="9">
        <v>24080</v>
      </c>
      <c r="F372" s="9">
        <v>16200</v>
      </c>
      <c r="G372" s="10">
        <v>7880</v>
      </c>
      <c r="H372" s="9" t="s">
        <v>11</v>
      </c>
      <c r="I372" s="9" t="s">
        <v>12</v>
      </c>
      <c r="J372" t="s">
        <v>13</v>
      </c>
    </row>
    <row r="373" spans="1:10" hidden="1">
      <c r="A373" s="7">
        <v>45165</v>
      </c>
      <c r="B373" s="8">
        <v>0.87083333333333302</v>
      </c>
      <c r="C373" s="9">
        <v>28046</v>
      </c>
      <c r="D373" s="9" t="s">
        <v>19</v>
      </c>
      <c r="E373" s="9">
        <v>19140</v>
      </c>
      <c r="F373" s="9">
        <v>15920</v>
      </c>
      <c r="G373" s="10">
        <v>3220</v>
      </c>
      <c r="H373" s="9" t="s">
        <v>11</v>
      </c>
      <c r="I373" s="9" t="s">
        <v>12</v>
      </c>
      <c r="J373" t="s">
        <v>13</v>
      </c>
    </row>
    <row r="374" spans="1:10" hidden="1">
      <c r="A374" s="7">
        <v>45165</v>
      </c>
      <c r="B374" s="8">
        <v>0.87638888888888899</v>
      </c>
      <c r="C374" s="9">
        <v>28047</v>
      </c>
      <c r="D374" s="9" t="s">
        <v>17</v>
      </c>
      <c r="E374" s="9">
        <v>3260</v>
      </c>
      <c r="F374" s="9">
        <v>2680</v>
      </c>
      <c r="G374" s="10">
        <v>580</v>
      </c>
      <c r="H374" s="9" t="s">
        <v>11</v>
      </c>
      <c r="I374" s="9" t="s">
        <v>12</v>
      </c>
      <c r="J374" t="s">
        <v>13</v>
      </c>
    </row>
    <row r="375" spans="1:10" hidden="1">
      <c r="A375" s="7">
        <v>45165</v>
      </c>
      <c r="B375" s="8">
        <v>0.15347222222222201</v>
      </c>
      <c r="C375" s="9">
        <v>28026</v>
      </c>
      <c r="D375" s="9" t="s">
        <v>10</v>
      </c>
      <c r="E375" s="9">
        <v>22880</v>
      </c>
      <c r="F375" s="9">
        <v>13120</v>
      </c>
      <c r="G375" s="10">
        <v>9760</v>
      </c>
      <c r="H375" s="9" t="s">
        <v>11</v>
      </c>
      <c r="I375" s="9" t="s">
        <v>12</v>
      </c>
      <c r="J375" t="s">
        <v>13</v>
      </c>
    </row>
    <row r="376" spans="1:10" hidden="1">
      <c r="A376" s="7">
        <v>45165</v>
      </c>
      <c r="B376" s="8">
        <v>4.2361111111111099E-2</v>
      </c>
      <c r="C376" s="9">
        <v>28016</v>
      </c>
      <c r="D376" s="9" t="s">
        <v>10</v>
      </c>
      <c r="E376" s="9">
        <v>22020</v>
      </c>
      <c r="F376" s="9">
        <v>13340</v>
      </c>
      <c r="G376" s="10">
        <v>8680</v>
      </c>
      <c r="H376" s="9" t="s">
        <v>11</v>
      </c>
      <c r="I376" s="9" t="s">
        <v>12</v>
      </c>
      <c r="J376" t="s">
        <v>13</v>
      </c>
    </row>
    <row r="377" spans="1:10" hidden="1">
      <c r="A377" s="7">
        <v>45165</v>
      </c>
      <c r="B377" s="8">
        <v>0.44722222222222202</v>
      </c>
      <c r="C377" s="9">
        <v>28042</v>
      </c>
      <c r="D377" s="9" t="s">
        <v>18</v>
      </c>
      <c r="E377" s="9">
        <v>3180</v>
      </c>
      <c r="F377" s="9">
        <v>2860</v>
      </c>
      <c r="G377" s="10">
        <v>320</v>
      </c>
      <c r="H377" s="9" t="s">
        <v>11</v>
      </c>
      <c r="I377" s="9" t="s">
        <v>12</v>
      </c>
      <c r="J377" t="s">
        <v>13</v>
      </c>
    </row>
    <row r="378" spans="1:10" hidden="1">
      <c r="A378" s="7">
        <v>45165</v>
      </c>
      <c r="B378" s="8">
        <v>0.20833333333333301</v>
      </c>
      <c r="C378" s="9">
        <v>28030</v>
      </c>
      <c r="D378" s="9" t="s">
        <v>17</v>
      </c>
      <c r="E378" s="9">
        <v>3240</v>
      </c>
      <c r="F378" s="9">
        <v>2820</v>
      </c>
      <c r="G378" s="10">
        <v>420</v>
      </c>
      <c r="H378" s="9" t="s">
        <v>11</v>
      </c>
      <c r="I378" s="9" t="s">
        <v>12</v>
      </c>
      <c r="J378" t="s">
        <v>13</v>
      </c>
    </row>
    <row r="379" spans="1:10" hidden="1">
      <c r="A379" s="7">
        <v>45165</v>
      </c>
      <c r="B379" s="8">
        <v>0.45486111111111099</v>
      </c>
      <c r="C379" s="9">
        <v>28043</v>
      </c>
      <c r="D379" s="9" t="s">
        <v>17</v>
      </c>
      <c r="E379" s="9">
        <v>3000</v>
      </c>
      <c r="F379" s="9">
        <v>2680</v>
      </c>
      <c r="G379" s="10">
        <v>320</v>
      </c>
      <c r="H379" s="9" t="s">
        <v>11</v>
      </c>
      <c r="I379" s="9" t="s">
        <v>12</v>
      </c>
      <c r="J379" t="s">
        <v>13</v>
      </c>
    </row>
    <row r="380" spans="1:10" hidden="1">
      <c r="A380" s="7">
        <v>45166</v>
      </c>
      <c r="B380" s="8">
        <v>0.234027777777778</v>
      </c>
      <c r="C380" s="9">
        <v>28065</v>
      </c>
      <c r="D380" s="9" t="s">
        <v>16</v>
      </c>
      <c r="E380" s="9">
        <v>27680</v>
      </c>
      <c r="F380" s="9">
        <v>16140</v>
      </c>
      <c r="G380" s="10">
        <v>11540</v>
      </c>
      <c r="H380" s="9" t="s">
        <v>11</v>
      </c>
      <c r="I380" s="9" t="s">
        <v>12</v>
      </c>
      <c r="J380" t="s">
        <v>13</v>
      </c>
    </row>
    <row r="381" spans="1:10" hidden="1">
      <c r="A381" s="7">
        <v>45166</v>
      </c>
      <c r="B381" s="8">
        <v>0.211805555555556</v>
      </c>
      <c r="C381" s="9">
        <v>28062</v>
      </c>
      <c r="D381" s="9" t="s">
        <v>18</v>
      </c>
      <c r="E381" s="9">
        <v>3840</v>
      </c>
      <c r="F381" s="9">
        <v>2940</v>
      </c>
      <c r="G381" s="10">
        <v>900</v>
      </c>
      <c r="H381" s="9" t="s">
        <v>11</v>
      </c>
      <c r="I381" s="9" t="s">
        <v>12</v>
      </c>
      <c r="J381" t="s">
        <v>13</v>
      </c>
    </row>
    <row r="382" spans="1:10" hidden="1">
      <c r="A382" s="7">
        <v>45166</v>
      </c>
      <c r="B382" s="8">
        <v>0.15833333333333299</v>
      </c>
      <c r="C382" s="9">
        <v>28058</v>
      </c>
      <c r="D382" s="9" t="s">
        <v>10</v>
      </c>
      <c r="E382" s="9">
        <v>22240</v>
      </c>
      <c r="F382" s="9">
        <v>13200</v>
      </c>
      <c r="G382" s="10">
        <v>9040</v>
      </c>
      <c r="H382" s="9" t="s">
        <v>11</v>
      </c>
      <c r="I382" s="9" t="s">
        <v>12</v>
      </c>
      <c r="J382" t="s">
        <v>13</v>
      </c>
    </row>
    <row r="383" spans="1:10" hidden="1">
      <c r="A383" s="7">
        <v>45166</v>
      </c>
      <c r="B383" s="8">
        <v>0.05</v>
      </c>
      <c r="C383" s="9">
        <v>28050</v>
      </c>
      <c r="D383" s="9" t="s">
        <v>10</v>
      </c>
      <c r="E383" s="9">
        <v>21840</v>
      </c>
      <c r="F383" s="9">
        <v>13420</v>
      </c>
      <c r="G383" s="10">
        <v>8420</v>
      </c>
      <c r="H383" s="9" t="s">
        <v>11</v>
      </c>
      <c r="I383" s="9" t="s">
        <v>12</v>
      </c>
      <c r="J383" t="s">
        <v>13</v>
      </c>
    </row>
    <row r="384" spans="1:10" hidden="1">
      <c r="A384" s="7">
        <v>45166</v>
      </c>
      <c r="B384" s="8">
        <v>0.211111111111111</v>
      </c>
      <c r="C384" s="9">
        <v>28061</v>
      </c>
      <c r="D384" s="9" t="s">
        <v>19</v>
      </c>
      <c r="E384" s="9">
        <v>26500</v>
      </c>
      <c r="F384" s="9">
        <v>15960</v>
      </c>
      <c r="G384" s="10">
        <v>10540</v>
      </c>
      <c r="H384" s="9" t="s">
        <v>11</v>
      </c>
      <c r="I384" s="9" t="s">
        <v>12</v>
      </c>
      <c r="J384" t="s">
        <v>13</v>
      </c>
    </row>
    <row r="385" spans="1:10" hidden="1">
      <c r="A385" s="7">
        <v>45166</v>
      </c>
      <c r="B385" s="8">
        <v>0.44791666666666702</v>
      </c>
      <c r="C385" s="9">
        <v>4681</v>
      </c>
      <c r="D385" s="9" t="s">
        <v>16</v>
      </c>
      <c r="E385" s="9">
        <v>19180</v>
      </c>
      <c r="F385" s="9">
        <v>15760</v>
      </c>
      <c r="G385" s="10">
        <v>3420</v>
      </c>
      <c r="H385" s="9" t="s">
        <v>11</v>
      </c>
      <c r="I385" s="9" t="s">
        <v>26</v>
      </c>
      <c r="J385" t="s">
        <v>13</v>
      </c>
    </row>
    <row r="386" spans="1:10" hidden="1">
      <c r="A386" s="7">
        <v>45166</v>
      </c>
      <c r="B386" s="8">
        <v>0.45069444444444401</v>
      </c>
      <c r="C386" s="9">
        <v>28097</v>
      </c>
      <c r="D386" s="9" t="s">
        <v>18</v>
      </c>
      <c r="E386" s="9">
        <v>3260</v>
      </c>
      <c r="F386" s="9">
        <v>2840</v>
      </c>
      <c r="G386" s="10">
        <v>420</v>
      </c>
      <c r="H386" s="9" t="s">
        <v>11</v>
      </c>
      <c r="I386" s="9" t="s">
        <v>12</v>
      </c>
      <c r="J386" t="s">
        <v>13</v>
      </c>
    </row>
    <row r="387" spans="1:10" hidden="1">
      <c r="A387" s="7">
        <v>45166</v>
      </c>
      <c r="B387" s="8">
        <v>0.40208333333333302</v>
      </c>
      <c r="C387" s="9">
        <v>28087</v>
      </c>
      <c r="D387" s="9" t="s">
        <v>21</v>
      </c>
      <c r="E387" s="9">
        <v>7100</v>
      </c>
      <c r="F387" s="9">
        <v>5560</v>
      </c>
      <c r="G387" s="10">
        <v>1540</v>
      </c>
      <c r="H387" s="9" t="s">
        <v>11</v>
      </c>
      <c r="I387" s="9" t="s">
        <v>22</v>
      </c>
      <c r="J387" t="s">
        <v>13</v>
      </c>
    </row>
    <row r="388" spans="1:10" hidden="1">
      <c r="A388" s="7">
        <v>45166</v>
      </c>
      <c r="B388" s="8">
        <v>0.44722222222222202</v>
      </c>
      <c r="C388" s="9">
        <v>28095</v>
      </c>
      <c r="D388" s="9" t="s">
        <v>24</v>
      </c>
      <c r="E388" s="9">
        <v>2580</v>
      </c>
      <c r="F388" s="9">
        <v>2420</v>
      </c>
      <c r="G388" s="10">
        <v>160</v>
      </c>
      <c r="H388" s="9" t="s">
        <v>11</v>
      </c>
      <c r="I388" s="9" t="s">
        <v>12</v>
      </c>
      <c r="J388" t="s">
        <v>13</v>
      </c>
    </row>
    <row r="389" spans="1:10" hidden="1">
      <c r="A389" s="7">
        <v>45166</v>
      </c>
      <c r="B389" s="8">
        <v>0.210416666666667</v>
      </c>
      <c r="C389" s="9">
        <v>28060</v>
      </c>
      <c r="D389" s="9" t="s">
        <v>17</v>
      </c>
      <c r="E389" s="9">
        <v>3360</v>
      </c>
      <c r="F389" s="9">
        <v>2700</v>
      </c>
      <c r="G389" s="10">
        <v>660</v>
      </c>
      <c r="H389" s="9" t="s">
        <v>11</v>
      </c>
      <c r="I389" s="9" t="s">
        <v>12</v>
      </c>
      <c r="J389" t="s">
        <v>13</v>
      </c>
    </row>
    <row r="390" spans="1:10" hidden="1">
      <c r="A390" s="7">
        <v>45166</v>
      </c>
      <c r="B390" s="8">
        <v>0.88333333333333297</v>
      </c>
      <c r="C390" s="9">
        <v>28120</v>
      </c>
      <c r="D390" s="9" t="s">
        <v>16</v>
      </c>
      <c r="E390" s="9">
        <v>23720</v>
      </c>
      <c r="F390" s="9">
        <v>16160</v>
      </c>
      <c r="G390" s="10">
        <v>7560</v>
      </c>
      <c r="H390" s="9" t="s">
        <v>11</v>
      </c>
      <c r="I390" s="9" t="s">
        <v>12</v>
      </c>
      <c r="J390" t="s">
        <v>13</v>
      </c>
    </row>
    <row r="391" spans="1:10" hidden="1">
      <c r="A391" s="7">
        <v>45166</v>
      </c>
      <c r="B391" s="8">
        <v>0.88333333333333297</v>
      </c>
      <c r="C391" s="9">
        <v>28121</v>
      </c>
      <c r="D391" s="9" t="s">
        <v>17</v>
      </c>
      <c r="E391" s="9">
        <v>3240</v>
      </c>
      <c r="F391" s="9">
        <v>2700</v>
      </c>
      <c r="G391" s="10">
        <v>540</v>
      </c>
      <c r="H391" s="9" t="s">
        <v>11</v>
      </c>
      <c r="I391" s="9" t="s">
        <v>12</v>
      </c>
      <c r="J391" t="s">
        <v>13</v>
      </c>
    </row>
    <row r="392" spans="1:10" hidden="1">
      <c r="A392" s="7">
        <v>45166</v>
      </c>
      <c r="B392" s="8">
        <v>0.70694444444444404</v>
      </c>
      <c r="C392" s="9">
        <v>28115</v>
      </c>
      <c r="D392" s="9" t="s">
        <v>10</v>
      </c>
      <c r="E392" s="9">
        <v>17120</v>
      </c>
      <c r="F392" s="9">
        <v>13100</v>
      </c>
      <c r="G392" s="10">
        <v>4020</v>
      </c>
      <c r="H392" s="9" t="s">
        <v>11</v>
      </c>
      <c r="I392" s="9" t="s">
        <v>12</v>
      </c>
      <c r="J392" t="s">
        <v>13</v>
      </c>
    </row>
    <row r="393" spans="1:10" hidden="1">
      <c r="A393" s="7">
        <v>45167</v>
      </c>
      <c r="B393" s="8">
        <v>0.20902777777777801</v>
      </c>
      <c r="C393" s="9">
        <v>28137</v>
      </c>
      <c r="D393" s="9" t="s">
        <v>17</v>
      </c>
      <c r="E393" s="9">
        <v>3080</v>
      </c>
      <c r="F393" s="9">
        <v>2720</v>
      </c>
      <c r="G393" s="10">
        <v>360</v>
      </c>
      <c r="H393" s="9" t="s">
        <v>11</v>
      </c>
      <c r="I393" s="9" t="s">
        <v>12</v>
      </c>
      <c r="J393" t="s">
        <v>13</v>
      </c>
    </row>
    <row r="394" spans="1:10" hidden="1">
      <c r="A394" s="7">
        <v>45167</v>
      </c>
      <c r="B394" s="8">
        <v>0.209722222222222</v>
      </c>
      <c r="C394" s="9">
        <v>28138</v>
      </c>
      <c r="D394" s="9" t="s">
        <v>15</v>
      </c>
      <c r="E394" s="9">
        <v>4860</v>
      </c>
      <c r="F394" s="9">
        <v>3700</v>
      </c>
      <c r="G394" s="10">
        <v>1160</v>
      </c>
      <c r="H394" s="9" t="s">
        <v>11</v>
      </c>
      <c r="I394" s="9" t="s">
        <v>12</v>
      </c>
      <c r="J394" t="s">
        <v>13</v>
      </c>
    </row>
    <row r="395" spans="1:10" hidden="1">
      <c r="A395" s="7">
        <v>45167</v>
      </c>
      <c r="B395" s="8">
        <v>0.24027777777777801</v>
      </c>
      <c r="C395" s="9">
        <v>28145</v>
      </c>
      <c r="D395" s="9" t="s">
        <v>19</v>
      </c>
      <c r="E395" s="9">
        <v>26300</v>
      </c>
      <c r="F395" s="9">
        <v>15800</v>
      </c>
      <c r="G395" s="10">
        <v>10500</v>
      </c>
      <c r="H395" s="9" t="s">
        <v>11</v>
      </c>
      <c r="I395" s="9" t="s">
        <v>12</v>
      </c>
      <c r="J395" t="s">
        <v>13</v>
      </c>
    </row>
    <row r="396" spans="1:10" hidden="1">
      <c r="A396" s="7">
        <v>45167</v>
      </c>
      <c r="B396" s="8">
        <v>0.22013888888888899</v>
      </c>
      <c r="C396" s="9">
        <v>28139</v>
      </c>
      <c r="D396" s="9" t="s">
        <v>10</v>
      </c>
      <c r="E396" s="9">
        <v>22040</v>
      </c>
      <c r="F396" s="9">
        <v>13100</v>
      </c>
      <c r="G396" s="10">
        <v>8940</v>
      </c>
      <c r="H396" s="9" t="s">
        <v>11</v>
      </c>
      <c r="I396" s="9" t="s">
        <v>12</v>
      </c>
      <c r="J396" t="s">
        <v>13</v>
      </c>
    </row>
    <row r="397" spans="1:10" hidden="1">
      <c r="A397" s="7">
        <v>45167</v>
      </c>
      <c r="B397" s="8">
        <v>6.7361111111111094E-2</v>
      </c>
      <c r="C397" s="9">
        <v>28125</v>
      </c>
      <c r="D397" s="9" t="s">
        <v>10</v>
      </c>
      <c r="E397" s="9">
        <v>22060</v>
      </c>
      <c r="F397" s="9">
        <v>13300</v>
      </c>
      <c r="G397" s="10">
        <v>8760</v>
      </c>
      <c r="H397" s="9" t="s">
        <v>11</v>
      </c>
      <c r="I397" s="9" t="s">
        <v>12</v>
      </c>
      <c r="J397" t="s">
        <v>13</v>
      </c>
    </row>
    <row r="398" spans="1:10" hidden="1">
      <c r="A398" s="7">
        <v>45167</v>
      </c>
      <c r="B398" s="8">
        <v>0.23611111111111099</v>
      </c>
      <c r="C398" s="9">
        <v>28144</v>
      </c>
      <c r="D398" s="9" t="s">
        <v>16</v>
      </c>
      <c r="E398" s="9">
        <v>20740</v>
      </c>
      <c r="F398" s="9">
        <v>16140</v>
      </c>
      <c r="G398" s="10">
        <v>4600</v>
      </c>
      <c r="H398" s="9" t="s">
        <v>11</v>
      </c>
      <c r="I398" s="9" t="s">
        <v>12</v>
      </c>
      <c r="J398" t="s">
        <v>13</v>
      </c>
    </row>
    <row r="399" spans="1:10" hidden="1">
      <c r="A399" s="7">
        <v>45167</v>
      </c>
      <c r="B399" s="8">
        <v>1.52777777777778E-2</v>
      </c>
      <c r="C399" s="9">
        <v>28123</v>
      </c>
      <c r="D399" s="9" t="s">
        <v>14</v>
      </c>
      <c r="E399" s="9">
        <v>14020</v>
      </c>
      <c r="F399" s="9">
        <v>12520</v>
      </c>
      <c r="G399" s="10">
        <v>1500</v>
      </c>
      <c r="H399" s="9" t="s">
        <v>11</v>
      </c>
      <c r="I399" s="9" t="s">
        <v>12</v>
      </c>
      <c r="J399" t="s">
        <v>13</v>
      </c>
    </row>
    <row r="400" spans="1:10" hidden="1">
      <c r="A400" s="7">
        <v>45167</v>
      </c>
      <c r="B400" s="8">
        <v>0.42847222222222198</v>
      </c>
      <c r="C400" s="9">
        <v>28173</v>
      </c>
      <c r="D400" s="9" t="s">
        <v>21</v>
      </c>
      <c r="E400" s="9">
        <v>6140</v>
      </c>
      <c r="F400" s="9">
        <v>5480</v>
      </c>
      <c r="G400" s="10">
        <v>660</v>
      </c>
      <c r="H400" s="9" t="s">
        <v>11</v>
      </c>
      <c r="I400" s="9" t="s">
        <v>22</v>
      </c>
      <c r="J400" t="s">
        <v>13</v>
      </c>
    </row>
    <row r="401" spans="1:10" hidden="1">
      <c r="A401" s="7">
        <v>45167</v>
      </c>
      <c r="B401" s="8">
        <v>0.44374999999999998</v>
      </c>
      <c r="C401" s="9">
        <v>28176</v>
      </c>
      <c r="D401" s="9" t="s">
        <v>18</v>
      </c>
      <c r="E401" s="9">
        <v>3340</v>
      </c>
      <c r="F401" s="9">
        <v>2820</v>
      </c>
      <c r="G401" s="10">
        <v>520</v>
      </c>
      <c r="H401" s="9" t="s">
        <v>11</v>
      </c>
      <c r="I401" s="9" t="s">
        <v>12</v>
      </c>
      <c r="J401" t="s">
        <v>13</v>
      </c>
    </row>
    <row r="402" spans="1:10" hidden="1">
      <c r="A402" s="7">
        <v>45167</v>
      </c>
      <c r="B402" s="8">
        <v>0.44166666666666698</v>
      </c>
      <c r="C402" s="9">
        <v>28175</v>
      </c>
      <c r="D402" s="9" t="s">
        <v>24</v>
      </c>
      <c r="E402" s="9">
        <v>2540</v>
      </c>
      <c r="F402" s="9">
        <v>2400</v>
      </c>
      <c r="G402" s="10">
        <v>140</v>
      </c>
      <c r="H402" s="9" t="s">
        <v>11</v>
      </c>
      <c r="I402" s="9" t="s">
        <v>12</v>
      </c>
      <c r="J402" t="s">
        <v>13</v>
      </c>
    </row>
    <row r="403" spans="1:10" hidden="1">
      <c r="A403" s="7">
        <v>45167</v>
      </c>
      <c r="B403" s="8">
        <v>0.32569444444444401</v>
      </c>
      <c r="C403" s="9">
        <v>28158</v>
      </c>
      <c r="D403" s="9" t="s">
        <v>20</v>
      </c>
      <c r="E403" s="9">
        <v>30540</v>
      </c>
      <c r="F403" s="9">
        <v>15300</v>
      </c>
      <c r="G403" s="10">
        <v>15240</v>
      </c>
      <c r="H403" s="9" t="s">
        <v>11</v>
      </c>
      <c r="I403" s="9" t="s">
        <v>28</v>
      </c>
      <c r="J403" t="s">
        <v>13</v>
      </c>
    </row>
    <row r="404" spans="1:10" hidden="1">
      <c r="A404" s="7">
        <v>45167</v>
      </c>
      <c r="B404" s="8">
        <v>0.295833333333333</v>
      </c>
      <c r="C404" s="9">
        <v>28152</v>
      </c>
      <c r="D404" s="9" t="s">
        <v>20</v>
      </c>
      <c r="E404" s="9">
        <v>30720</v>
      </c>
      <c r="F404" s="9">
        <v>15300</v>
      </c>
      <c r="G404" s="10">
        <v>15420</v>
      </c>
      <c r="H404" s="9" t="s">
        <v>11</v>
      </c>
      <c r="I404" s="9" t="s">
        <v>28</v>
      </c>
      <c r="J404" t="s">
        <v>13</v>
      </c>
    </row>
    <row r="405" spans="1:10" hidden="1">
      <c r="A405" s="7">
        <v>45167</v>
      </c>
      <c r="B405" s="8">
        <v>0.30902777777777801</v>
      </c>
      <c r="C405" s="9">
        <v>28156</v>
      </c>
      <c r="D405" s="9" t="s">
        <v>20</v>
      </c>
      <c r="E405" s="9">
        <v>30600</v>
      </c>
      <c r="F405" s="9">
        <v>15300</v>
      </c>
      <c r="G405" s="10">
        <v>15300</v>
      </c>
      <c r="H405" s="9" t="s">
        <v>11</v>
      </c>
      <c r="I405" s="9" t="s">
        <v>28</v>
      </c>
      <c r="J405" t="s">
        <v>13</v>
      </c>
    </row>
    <row r="406" spans="1:10" hidden="1">
      <c r="A406" s="7">
        <v>45167</v>
      </c>
      <c r="B406" s="8">
        <v>0.32222222222222202</v>
      </c>
      <c r="C406" s="9">
        <v>28157</v>
      </c>
      <c r="D406" s="9" t="s">
        <v>20</v>
      </c>
      <c r="E406" s="9">
        <v>30540</v>
      </c>
      <c r="F406" s="9">
        <v>15300</v>
      </c>
      <c r="G406" s="10">
        <v>15240</v>
      </c>
      <c r="H406" s="9" t="s">
        <v>11</v>
      </c>
      <c r="I406" s="9" t="s">
        <v>28</v>
      </c>
      <c r="J406" t="s">
        <v>13</v>
      </c>
    </row>
    <row r="407" spans="1:10" hidden="1">
      <c r="A407" s="7">
        <v>45167</v>
      </c>
      <c r="B407" s="8">
        <v>0.33680555555555602</v>
      </c>
      <c r="C407" s="9">
        <v>28160</v>
      </c>
      <c r="D407" s="9" t="s">
        <v>20</v>
      </c>
      <c r="E407" s="9">
        <v>30500</v>
      </c>
      <c r="F407" s="9">
        <v>15300</v>
      </c>
      <c r="G407" s="10">
        <v>15200</v>
      </c>
      <c r="H407" s="9" t="s">
        <v>11</v>
      </c>
      <c r="I407" s="9" t="s">
        <v>28</v>
      </c>
      <c r="J407" t="s">
        <v>13</v>
      </c>
    </row>
    <row r="408" spans="1:10" hidden="1">
      <c r="A408" s="7">
        <v>45167</v>
      </c>
      <c r="B408" s="8">
        <v>0.37361111111111101</v>
      </c>
      <c r="C408" s="9">
        <v>28167</v>
      </c>
      <c r="D408" s="9" t="s">
        <v>20</v>
      </c>
      <c r="E408" s="9">
        <v>30320</v>
      </c>
      <c r="F408" s="9">
        <v>15300</v>
      </c>
      <c r="G408" s="10">
        <v>15020</v>
      </c>
      <c r="H408" s="9" t="s">
        <v>11</v>
      </c>
      <c r="I408" s="9" t="s">
        <v>28</v>
      </c>
      <c r="J408" t="s">
        <v>13</v>
      </c>
    </row>
    <row r="409" spans="1:10" hidden="1">
      <c r="A409" s="7">
        <v>45167</v>
      </c>
      <c r="B409" s="8">
        <v>0.47847222222222202</v>
      </c>
      <c r="C409" s="9">
        <v>161739</v>
      </c>
      <c r="D409" s="9" t="s">
        <v>16</v>
      </c>
      <c r="E409" s="9">
        <v>17840</v>
      </c>
      <c r="F409" s="9">
        <v>16060</v>
      </c>
      <c r="G409" s="10">
        <v>1780</v>
      </c>
      <c r="H409" s="9" t="s">
        <v>11</v>
      </c>
      <c r="I409" s="9" t="s">
        <v>23</v>
      </c>
      <c r="J409" t="s">
        <v>13</v>
      </c>
    </row>
    <row r="410" spans="1:10" hidden="1">
      <c r="A410" s="7">
        <v>45167</v>
      </c>
      <c r="B410" s="8">
        <v>0.70138888888888895</v>
      </c>
      <c r="C410" s="9">
        <v>28196</v>
      </c>
      <c r="D410" s="9" t="s">
        <v>10</v>
      </c>
      <c r="E410" s="9">
        <v>16140</v>
      </c>
      <c r="F410" s="9">
        <v>13140</v>
      </c>
      <c r="G410" s="10">
        <v>3000</v>
      </c>
      <c r="H410" s="9" t="s">
        <v>11</v>
      </c>
      <c r="I410" s="9" t="s">
        <v>12</v>
      </c>
      <c r="J410" t="s">
        <v>13</v>
      </c>
    </row>
    <row r="411" spans="1:10" hidden="1">
      <c r="A411" s="7">
        <v>45167</v>
      </c>
      <c r="B411" s="8">
        <v>0.87152777777777801</v>
      </c>
      <c r="C411" s="9">
        <v>28201</v>
      </c>
      <c r="D411" s="9" t="s">
        <v>17</v>
      </c>
      <c r="E411" s="9">
        <v>3220</v>
      </c>
      <c r="F411" s="9">
        <v>2700</v>
      </c>
      <c r="G411" s="10">
        <v>520</v>
      </c>
      <c r="H411" s="9" t="s">
        <v>11</v>
      </c>
      <c r="I411" s="9" t="s">
        <v>12</v>
      </c>
      <c r="J411" t="s">
        <v>13</v>
      </c>
    </row>
    <row r="412" spans="1:10" hidden="1">
      <c r="A412" s="7">
        <v>45167</v>
      </c>
      <c r="B412" s="8">
        <v>0.88263888888888897</v>
      </c>
      <c r="C412" s="9">
        <v>28203</v>
      </c>
      <c r="D412" s="9" t="s">
        <v>16</v>
      </c>
      <c r="E412" s="9">
        <v>23260</v>
      </c>
      <c r="F412" s="9">
        <v>16160</v>
      </c>
      <c r="G412" s="10">
        <v>7100</v>
      </c>
      <c r="H412" s="9" t="s">
        <v>11</v>
      </c>
      <c r="I412" s="9" t="s">
        <v>12</v>
      </c>
      <c r="J412" t="s">
        <v>13</v>
      </c>
    </row>
    <row r="413" spans="1:10" hidden="1">
      <c r="A413" s="7">
        <v>45167</v>
      </c>
      <c r="B413" s="8">
        <v>0.35138888888888897</v>
      </c>
      <c r="C413" s="9">
        <v>28162</v>
      </c>
      <c r="D413" s="9" t="s">
        <v>20</v>
      </c>
      <c r="E413" s="9">
        <v>30620</v>
      </c>
      <c r="F413" s="9">
        <v>15300</v>
      </c>
      <c r="G413" s="10">
        <v>15320</v>
      </c>
      <c r="H413" s="9" t="s">
        <v>11</v>
      </c>
      <c r="I413" s="9" t="s">
        <v>28</v>
      </c>
      <c r="J413" t="s">
        <v>13</v>
      </c>
    </row>
    <row r="414" spans="1:10" hidden="1">
      <c r="A414" s="7">
        <v>45168</v>
      </c>
      <c r="B414" s="8">
        <v>4.2361111111111099E-2</v>
      </c>
      <c r="C414" s="9">
        <v>28207</v>
      </c>
      <c r="D414" s="9" t="s">
        <v>10</v>
      </c>
      <c r="E414" s="9">
        <v>20900</v>
      </c>
      <c r="F414" s="9">
        <v>13340</v>
      </c>
      <c r="G414" s="10">
        <v>7560</v>
      </c>
      <c r="H414" s="9" t="s">
        <v>11</v>
      </c>
      <c r="I414" s="9" t="s">
        <v>12</v>
      </c>
      <c r="J414" t="s">
        <v>13</v>
      </c>
    </row>
    <row r="415" spans="1:10" hidden="1">
      <c r="A415" s="7">
        <v>45168</v>
      </c>
      <c r="B415" s="8">
        <v>0.13055555555555601</v>
      </c>
      <c r="C415" s="9">
        <v>28213</v>
      </c>
      <c r="D415" s="9" t="s">
        <v>10</v>
      </c>
      <c r="E415" s="9">
        <v>20680</v>
      </c>
      <c r="F415" s="9">
        <v>13340</v>
      </c>
      <c r="G415" s="10">
        <v>7340</v>
      </c>
      <c r="H415" s="9" t="s">
        <v>11</v>
      </c>
      <c r="I415" s="9" t="s">
        <v>12</v>
      </c>
      <c r="J415" t="s">
        <v>13</v>
      </c>
    </row>
    <row r="416" spans="1:10" hidden="1">
      <c r="A416" s="7">
        <v>45168</v>
      </c>
      <c r="B416" s="8">
        <v>0.219444444444444</v>
      </c>
      <c r="C416" s="9">
        <v>28220</v>
      </c>
      <c r="D416" s="9" t="s">
        <v>10</v>
      </c>
      <c r="E416" s="9">
        <v>15880</v>
      </c>
      <c r="F416" s="9">
        <v>13140</v>
      </c>
      <c r="G416" s="10">
        <v>2740</v>
      </c>
      <c r="H416" s="9" t="s">
        <v>11</v>
      </c>
      <c r="I416" s="9" t="s">
        <v>12</v>
      </c>
      <c r="J416" t="s">
        <v>13</v>
      </c>
    </row>
    <row r="417" spans="1:10" hidden="1">
      <c r="A417" s="7">
        <v>45168</v>
      </c>
      <c r="B417" s="8">
        <v>0.211805555555556</v>
      </c>
      <c r="C417" s="9">
        <v>28218</v>
      </c>
      <c r="D417" s="9" t="s">
        <v>15</v>
      </c>
      <c r="E417" s="9">
        <v>4440</v>
      </c>
      <c r="F417" s="9">
        <v>3680</v>
      </c>
      <c r="G417" s="10">
        <v>760</v>
      </c>
      <c r="H417" s="9" t="s">
        <v>11</v>
      </c>
      <c r="I417" s="9" t="s">
        <v>12</v>
      </c>
      <c r="J417" t="s">
        <v>13</v>
      </c>
    </row>
    <row r="418" spans="1:10" hidden="1">
      <c r="A418" s="7">
        <v>45168</v>
      </c>
      <c r="B418" s="8">
        <v>0.108333333333333</v>
      </c>
      <c r="C418" s="9">
        <v>28210</v>
      </c>
      <c r="D418" s="9" t="s">
        <v>15</v>
      </c>
      <c r="E418" s="9">
        <v>4800</v>
      </c>
      <c r="F418" s="9">
        <v>3600</v>
      </c>
      <c r="G418" s="10">
        <v>1200</v>
      </c>
      <c r="H418" s="9" t="s">
        <v>11</v>
      </c>
      <c r="I418" s="9" t="s">
        <v>12</v>
      </c>
      <c r="J418" t="s">
        <v>13</v>
      </c>
    </row>
    <row r="419" spans="1:10" hidden="1">
      <c r="A419" s="7">
        <v>45168</v>
      </c>
      <c r="B419" s="8">
        <v>0.211111111111111</v>
      </c>
      <c r="C419" s="9">
        <v>28219</v>
      </c>
      <c r="D419" s="9" t="s">
        <v>17</v>
      </c>
      <c r="E419" s="9">
        <v>3060</v>
      </c>
      <c r="F419" s="9">
        <v>2780</v>
      </c>
      <c r="G419" s="10">
        <v>280</v>
      </c>
      <c r="H419" s="9" t="s">
        <v>11</v>
      </c>
      <c r="I419" s="9" t="s">
        <v>12</v>
      </c>
      <c r="J419" t="s">
        <v>13</v>
      </c>
    </row>
    <row r="420" spans="1:10" hidden="1">
      <c r="A420" s="7">
        <v>45168</v>
      </c>
      <c r="B420" s="8">
        <v>0.178472222222222</v>
      </c>
      <c r="C420" s="9">
        <v>28216</v>
      </c>
      <c r="D420" s="9" t="s">
        <v>19</v>
      </c>
      <c r="E420" s="9">
        <v>26260</v>
      </c>
      <c r="F420" s="9">
        <v>15760</v>
      </c>
      <c r="G420" s="10">
        <v>10500</v>
      </c>
      <c r="H420" s="9" t="s">
        <v>11</v>
      </c>
      <c r="I420" s="9" t="s">
        <v>12</v>
      </c>
      <c r="J420" t="s">
        <v>13</v>
      </c>
    </row>
    <row r="421" spans="1:10" hidden="1">
      <c r="A421" s="7">
        <v>45168</v>
      </c>
      <c r="B421" s="8">
        <v>0.45833333333333298</v>
      </c>
      <c r="C421" s="9">
        <v>28250</v>
      </c>
      <c r="D421" s="9" t="s">
        <v>20</v>
      </c>
      <c r="E421" s="9">
        <v>30720</v>
      </c>
      <c r="F421" s="9">
        <v>15300</v>
      </c>
      <c r="G421" s="10">
        <v>15420</v>
      </c>
      <c r="H421" s="9" t="s">
        <v>11</v>
      </c>
      <c r="I421" s="9" t="s">
        <v>28</v>
      </c>
      <c r="J421" t="s">
        <v>13</v>
      </c>
    </row>
    <row r="422" spans="1:10" hidden="1">
      <c r="A422" s="7">
        <v>45168</v>
      </c>
      <c r="B422" s="8">
        <v>0.27569444444444402</v>
      </c>
      <c r="C422" s="9">
        <v>28225</v>
      </c>
      <c r="D422" s="9" t="s">
        <v>20</v>
      </c>
      <c r="E422" s="9">
        <v>31580</v>
      </c>
      <c r="F422" s="9">
        <v>15300</v>
      </c>
      <c r="G422" s="10">
        <v>16280</v>
      </c>
      <c r="H422" s="9" t="s">
        <v>11</v>
      </c>
      <c r="I422" s="9" t="s">
        <v>28</v>
      </c>
      <c r="J422" t="s">
        <v>13</v>
      </c>
    </row>
    <row r="423" spans="1:10" hidden="1">
      <c r="A423" s="7">
        <v>45168</v>
      </c>
      <c r="B423" s="8">
        <v>0.28888888888888897</v>
      </c>
      <c r="C423" s="9">
        <v>28229</v>
      </c>
      <c r="D423" s="9" t="s">
        <v>20</v>
      </c>
      <c r="E423" s="9">
        <v>31380</v>
      </c>
      <c r="F423" s="9">
        <v>15300</v>
      </c>
      <c r="G423" s="10">
        <v>16080</v>
      </c>
      <c r="H423" s="9" t="s">
        <v>11</v>
      </c>
      <c r="I423" s="9" t="s">
        <v>28</v>
      </c>
      <c r="J423" t="s">
        <v>13</v>
      </c>
    </row>
    <row r="424" spans="1:10" hidden="1">
      <c r="A424" s="7">
        <v>45168</v>
      </c>
      <c r="B424" s="8">
        <v>0.30625000000000002</v>
      </c>
      <c r="C424" s="9">
        <v>28234</v>
      </c>
      <c r="D424" s="9" t="s">
        <v>20</v>
      </c>
      <c r="E424" s="9">
        <v>31200</v>
      </c>
      <c r="F424" s="9">
        <v>15300</v>
      </c>
      <c r="G424" s="10">
        <v>15900</v>
      </c>
      <c r="H424" s="9" t="s">
        <v>11</v>
      </c>
      <c r="I424" s="9" t="s">
        <v>28</v>
      </c>
      <c r="J424" t="s">
        <v>13</v>
      </c>
    </row>
    <row r="425" spans="1:10" hidden="1">
      <c r="A425" s="7">
        <v>45168</v>
      </c>
      <c r="B425" s="8">
        <v>0.44861111111111102</v>
      </c>
      <c r="C425" s="9">
        <v>28245</v>
      </c>
      <c r="D425" s="9" t="s">
        <v>20</v>
      </c>
      <c r="E425" s="9">
        <v>30840</v>
      </c>
      <c r="F425" s="9">
        <v>15300</v>
      </c>
      <c r="G425" s="10">
        <v>15540</v>
      </c>
      <c r="H425" s="9" t="s">
        <v>11</v>
      </c>
      <c r="I425" s="9" t="s">
        <v>28</v>
      </c>
      <c r="J425" t="s">
        <v>13</v>
      </c>
    </row>
    <row r="426" spans="1:10" hidden="1">
      <c r="A426" s="7">
        <v>45168</v>
      </c>
      <c r="B426" s="8">
        <v>0.4375</v>
      </c>
      <c r="C426" s="9">
        <v>28244</v>
      </c>
      <c r="D426" s="9" t="s">
        <v>20</v>
      </c>
      <c r="E426" s="9">
        <v>30960</v>
      </c>
      <c r="F426" s="9">
        <v>15300</v>
      </c>
      <c r="G426" s="10">
        <v>15660</v>
      </c>
      <c r="H426" s="9" t="s">
        <v>11</v>
      </c>
      <c r="I426" s="9" t="s">
        <v>28</v>
      </c>
      <c r="J426" t="s">
        <v>13</v>
      </c>
    </row>
    <row r="427" spans="1:10" hidden="1">
      <c r="A427" s="7">
        <v>45168</v>
      </c>
      <c r="B427" s="8">
        <v>0.33958333333333302</v>
      </c>
      <c r="C427" s="9">
        <v>28238</v>
      </c>
      <c r="D427" s="9" t="s">
        <v>20</v>
      </c>
      <c r="E427" s="9">
        <v>31220</v>
      </c>
      <c r="F427" s="9">
        <v>15300</v>
      </c>
      <c r="G427" s="10">
        <v>15920</v>
      </c>
      <c r="H427" s="9" t="s">
        <v>11</v>
      </c>
      <c r="I427" s="9" t="s">
        <v>28</v>
      </c>
      <c r="J427" t="s">
        <v>13</v>
      </c>
    </row>
    <row r="428" spans="1:10" hidden="1">
      <c r="A428" s="7">
        <v>45168</v>
      </c>
      <c r="B428" s="8">
        <v>0.327777777777778</v>
      </c>
      <c r="C428" s="9">
        <v>28236</v>
      </c>
      <c r="D428" s="9" t="s">
        <v>20</v>
      </c>
      <c r="E428" s="9">
        <v>31100</v>
      </c>
      <c r="F428" s="9">
        <v>15300</v>
      </c>
      <c r="G428" s="10">
        <v>15800</v>
      </c>
      <c r="H428" s="9" t="s">
        <v>11</v>
      </c>
      <c r="I428" s="9" t="s">
        <v>28</v>
      </c>
      <c r="J428" t="s">
        <v>13</v>
      </c>
    </row>
    <row r="429" spans="1:10" hidden="1">
      <c r="A429" s="7">
        <v>45168</v>
      </c>
      <c r="B429" s="8">
        <v>0.47291666666666698</v>
      </c>
      <c r="C429" s="9">
        <v>28254</v>
      </c>
      <c r="D429" s="9" t="s">
        <v>21</v>
      </c>
      <c r="E429" s="9">
        <v>6580</v>
      </c>
      <c r="F429" s="9">
        <v>5540</v>
      </c>
      <c r="G429" s="10">
        <v>1040</v>
      </c>
      <c r="H429" s="9" t="s">
        <v>11</v>
      </c>
      <c r="I429" s="9" t="s">
        <v>22</v>
      </c>
      <c r="J429" t="s">
        <v>13</v>
      </c>
    </row>
    <row r="430" spans="1:10" hidden="1">
      <c r="A430" s="7">
        <v>45168</v>
      </c>
      <c r="B430" s="8">
        <v>0.45</v>
      </c>
      <c r="C430" s="9">
        <v>28249</v>
      </c>
      <c r="D430" s="9" t="s">
        <v>18</v>
      </c>
      <c r="E430" s="9">
        <v>3420</v>
      </c>
      <c r="F430" s="9">
        <v>2860</v>
      </c>
      <c r="G430" s="10">
        <v>560</v>
      </c>
      <c r="H430" s="9" t="s">
        <v>11</v>
      </c>
      <c r="I430" s="9" t="s">
        <v>12</v>
      </c>
      <c r="J430" t="s">
        <v>13</v>
      </c>
    </row>
    <row r="431" spans="1:10" hidden="1">
      <c r="A431" s="7">
        <v>45168</v>
      </c>
      <c r="B431" s="8">
        <v>0.88055555555555598</v>
      </c>
      <c r="C431" s="9">
        <v>28277</v>
      </c>
      <c r="D431" s="9" t="s">
        <v>17</v>
      </c>
      <c r="E431" s="9">
        <v>2960</v>
      </c>
      <c r="F431" s="9">
        <v>2600</v>
      </c>
      <c r="G431" s="10">
        <v>360</v>
      </c>
      <c r="H431" s="9" t="s">
        <v>11</v>
      </c>
      <c r="I431" s="9" t="s">
        <v>12</v>
      </c>
      <c r="J431" t="s">
        <v>13</v>
      </c>
    </row>
    <row r="432" spans="1:10" hidden="1">
      <c r="A432" s="7">
        <v>45168</v>
      </c>
      <c r="B432" s="8">
        <v>0.70138888888888895</v>
      </c>
      <c r="C432" s="9">
        <v>28270</v>
      </c>
      <c r="D432" s="9" t="s">
        <v>14</v>
      </c>
      <c r="E432" s="9">
        <v>15040</v>
      </c>
      <c r="F432" s="9">
        <v>12500</v>
      </c>
      <c r="G432" s="10">
        <v>2540</v>
      </c>
      <c r="H432" s="9" t="s">
        <v>11</v>
      </c>
      <c r="I432" s="9" t="s">
        <v>12</v>
      </c>
      <c r="J432" t="s">
        <v>13</v>
      </c>
    </row>
    <row r="433" spans="1:10" hidden="1">
      <c r="A433" s="7">
        <v>45168</v>
      </c>
      <c r="B433" s="8">
        <v>0.86875000000000002</v>
      </c>
      <c r="C433" s="9">
        <v>28276</v>
      </c>
      <c r="D433" s="9" t="s">
        <v>16</v>
      </c>
      <c r="E433" s="9">
        <v>23880</v>
      </c>
      <c r="F433" s="9">
        <v>16120</v>
      </c>
      <c r="G433" s="10">
        <v>7760</v>
      </c>
      <c r="H433" s="9" t="s">
        <v>11</v>
      </c>
      <c r="I433" s="9" t="s">
        <v>12</v>
      </c>
      <c r="J433" t="s">
        <v>13</v>
      </c>
    </row>
    <row r="434" spans="1:10" hidden="1">
      <c r="A434" s="7">
        <v>45168</v>
      </c>
      <c r="B434" s="8">
        <v>0.51388888888888895</v>
      </c>
      <c r="C434" s="9">
        <v>28257</v>
      </c>
      <c r="D434" s="9" t="s">
        <v>19</v>
      </c>
      <c r="E434" s="9">
        <v>19880</v>
      </c>
      <c r="F434" s="9">
        <v>15780</v>
      </c>
      <c r="G434" s="10">
        <v>4100</v>
      </c>
      <c r="H434" s="9" t="s">
        <v>11</v>
      </c>
      <c r="I434" s="9" t="s">
        <v>12</v>
      </c>
      <c r="J434" t="s">
        <v>13</v>
      </c>
    </row>
    <row r="435" spans="1:10" hidden="1">
      <c r="A435" s="7">
        <v>45169</v>
      </c>
      <c r="B435" s="8">
        <v>0.17361111111111099</v>
      </c>
      <c r="C435" s="9">
        <v>28291</v>
      </c>
      <c r="D435" s="9" t="s">
        <v>10</v>
      </c>
      <c r="E435" s="9">
        <v>23000</v>
      </c>
      <c r="F435" s="9">
        <v>13120</v>
      </c>
      <c r="G435" s="10">
        <v>9880</v>
      </c>
      <c r="H435" s="9" t="s">
        <v>11</v>
      </c>
      <c r="I435" s="9" t="s">
        <v>12</v>
      </c>
      <c r="J435" t="s">
        <v>13</v>
      </c>
    </row>
    <row r="436" spans="1:10" hidden="1">
      <c r="A436" s="7">
        <v>45169</v>
      </c>
      <c r="B436" s="8">
        <v>0.16250000000000001</v>
      </c>
      <c r="C436" s="9">
        <v>28289</v>
      </c>
      <c r="D436" s="9" t="s">
        <v>19</v>
      </c>
      <c r="E436" s="9">
        <v>24940</v>
      </c>
      <c r="F436" s="9">
        <v>15700</v>
      </c>
      <c r="G436" s="10">
        <v>9240</v>
      </c>
      <c r="H436" s="9" t="s">
        <v>11</v>
      </c>
      <c r="I436" s="9" t="s">
        <v>12</v>
      </c>
      <c r="J436" t="s">
        <v>13</v>
      </c>
    </row>
    <row r="437" spans="1:10" hidden="1">
      <c r="A437" s="7">
        <v>45169</v>
      </c>
      <c r="B437" s="8">
        <v>4.0972222222222202E-2</v>
      </c>
      <c r="C437" s="9">
        <v>28281</v>
      </c>
      <c r="D437" s="9" t="s">
        <v>10</v>
      </c>
      <c r="E437" s="9">
        <v>21260</v>
      </c>
      <c r="F437" s="9">
        <v>13300</v>
      </c>
      <c r="G437" s="10">
        <v>7960</v>
      </c>
      <c r="H437" s="9" t="s">
        <v>11</v>
      </c>
      <c r="I437" s="9" t="s">
        <v>12</v>
      </c>
      <c r="J437" t="s">
        <v>13</v>
      </c>
    </row>
    <row r="438" spans="1:10" hidden="1">
      <c r="A438" s="7">
        <v>45169</v>
      </c>
      <c r="B438" s="8">
        <v>0.211805555555556</v>
      </c>
      <c r="C438" s="9">
        <v>28296</v>
      </c>
      <c r="D438" s="9" t="s">
        <v>15</v>
      </c>
      <c r="E438" s="9">
        <v>4280</v>
      </c>
      <c r="F438" s="9">
        <v>3760</v>
      </c>
      <c r="G438" s="10">
        <v>520</v>
      </c>
      <c r="H438" s="9" t="s">
        <v>11</v>
      </c>
      <c r="I438" s="9" t="s">
        <v>12</v>
      </c>
      <c r="J438" t="s">
        <v>13</v>
      </c>
    </row>
    <row r="439" spans="1:10" hidden="1">
      <c r="A439" s="7">
        <v>45169</v>
      </c>
      <c r="B439" s="8">
        <v>0.12847222222222199</v>
      </c>
      <c r="C439" s="9">
        <v>28285</v>
      </c>
      <c r="D439" s="9" t="s">
        <v>15</v>
      </c>
      <c r="E439" s="9">
        <v>4640</v>
      </c>
      <c r="F439" s="9">
        <v>3580</v>
      </c>
      <c r="G439" s="10">
        <v>1060</v>
      </c>
      <c r="H439" s="9" t="s">
        <v>11</v>
      </c>
      <c r="I439" s="9" t="s">
        <v>12</v>
      </c>
      <c r="J439" t="s">
        <v>13</v>
      </c>
    </row>
    <row r="440" spans="1:10" hidden="1">
      <c r="A440" s="7">
        <v>45169</v>
      </c>
      <c r="B440" s="8">
        <v>0.69930555555555596</v>
      </c>
      <c r="C440" s="9">
        <v>28331</v>
      </c>
      <c r="D440" s="9" t="s">
        <v>10</v>
      </c>
      <c r="E440" s="9">
        <v>15700</v>
      </c>
      <c r="F440" s="9">
        <v>13180</v>
      </c>
      <c r="G440" s="10">
        <v>2520</v>
      </c>
      <c r="H440" s="9" t="s">
        <v>11</v>
      </c>
      <c r="I440" s="9" t="s">
        <v>12</v>
      </c>
      <c r="J440" t="s">
        <v>13</v>
      </c>
    </row>
    <row r="441" spans="1:10" hidden="1">
      <c r="A441" s="7">
        <v>45169</v>
      </c>
      <c r="B441" s="8">
        <v>0.24513888888888899</v>
      </c>
      <c r="C441" s="9">
        <v>28302</v>
      </c>
      <c r="D441" s="9" t="s">
        <v>20</v>
      </c>
      <c r="E441" s="9">
        <v>18860</v>
      </c>
      <c r="F441" s="9">
        <v>16120</v>
      </c>
      <c r="G441" s="10">
        <v>2740</v>
      </c>
      <c r="H441" s="9" t="s">
        <v>11</v>
      </c>
      <c r="I441" s="9" t="s">
        <v>12</v>
      </c>
      <c r="J441" t="s">
        <v>13</v>
      </c>
    </row>
    <row r="442" spans="1:10" hidden="1">
      <c r="A442" s="7">
        <v>45169</v>
      </c>
      <c r="B442" s="8">
        <v>0.47430555555555598</v>
      </c>
      <c r="C442" s="9">
        <v>28319</v>
      </c>
      <c r="D442" s="9" t="s">
        <v>21</v>
      </c>
      <c r="E442" s="9">
        <v>6460</v>
      </c>
      <c r="F442" s="9">
        <v>5480</v>
      </c>
      <c r="G442" s="10">
        <v>980</v>
      </c>
      <c r="H442" s="9" t="s">
        <v>11</v>
      </c>
      <c r="I442" s="9" t="s">
        <v>22</v>
      </c>
      <c r="J442" t="s">
        <v>13</v>
      </c>
    </row>
    <row r="443" spans="1:10" hidden="1">
      <c r="A443" s="7">
        <v>45169</v>
      </c>
      <c r="B443" s="8">
        <v>0.63263888888888897</v>
      </c>
      <c r="C443" s="9">
        <v>28329</v>
      </c>
      <c r="D443" s="9" t="s">
        <v>19</v>
      </c>
      <c r="E443" s="9">
        <v>20300</v>
      </c>
      <c r="F443" s="9">
        <v>15740</v>
      </c>
      <c r="G443" s="10">
        <v>4560</v>
      </c>
      <c r="H443" s="9" t="s">
        <v>11</v>
      </c>
      <c r="I443" s="9" t="s">
        <v>12</v>
      </c>
      <c r="J443" t="s">
        <v>13</v>
      </c>
    </row>
    <row r="444" spans="1:10" hidden="1">
      <c r="A444" s="7">
        <v>45169</v>
      </c>
      <c r="B444" s="8">
        <v>0.875694444444444</v>
      </c>
      <c r="C444" s="9">
        <v>283360</v>
      </c>
      <c r="D444" s="9" t="s">
        <v>16</v>
      </c>
      <c r="E444" s="9">
        <v>23700</v>
      </c>
      <c r="F444" s="9">
        <v>16160</v>
      </c>
      <c r="G444" s="10">
        <v>7540</v>
      </c>
      <c r="H444" s="9" t="s">
        <v>11</v>
      </c>
      <c r="I444" s="9" t="s">
        <v>12</v>
      </c>
      <c r="J444" t="s">
        <v>13</v>
      </c>
    </row>
    <row r="445" spans="1:10" hidden="1">
      <c r="A445" s="7">
        <v>45169</v>
      </c>
      <c r="B445" s="8">
        <v>0.45694444444444399</v>
      </c>
      <c r="C445" s="9">
        <v>28318</v>
      </c>
      <c r="D445" s="9" t="s">
        <v>18</v>
      </c>
      <c r="E445" s="9">
        <v>3320</v>
      </c>
      <c r="F445" s="9">
        <v>2860</v>
      </c>
      <c r="G445" s="10">
        <v>460</v>
      </c>
      <c r="H445" s="9" t="s">
        <v>11</v>
      </c>
      <c r="I445" s="9" t="s">
        <v>12</v>
      </c>
      <c r="J445" t="s">
        <v>13</v>
      </c>
    </row>
    <row r="446" spans="1:10" hidden="1">
      <c r="A446" s="7">
        <v>45169</v>
      </c>
      <c r="B446" s="8">
        <v>0.88263888888888897</v>
      </c>
      <c r="C446" s="9">
        <v>28338</v>
      </c>
      <c r="D446" s="9" t="s">
        <v>17</v>
      </c>
      <c r="E446" s="9">
        <v>3180</v>
      </c>
      <c r="F446" s="9">
        <v>2700</v>
      </c>
      <c r="G446" s="10">
        <v>480</v>
      </c>
      <c r="H446" s="9" t="s">
        <v>11</v>
      </c>
      <c r="I446" s="9" t="s">
        <v>12</v>
      </c>
      <c r="J446" t="s">
        <v>13</v>
      </c>
    </row>
    <row r="447" spans="1:10" hidden="1">
      <c r="A447" s="7">
        <v>45169</v>
      </c>
      <c r="B447" s="8">
        <v>0.47083333333333299</v>
      </c>
      <c r="C447" s="9">
        <v>161879</v>
      </c>
      <c r="D447" s="9" t="s">
        <v>16</v>
      </c>
      <c r="E447" s="9">
        <v>17460</v>
      </c>
      <c r="F447" s="9">
        <v>16100</v>
      </c>
      <c r="G447" s="10">
        <v>1360</v>
      </c>
      <c r="H447" s="9" t="s">
        <v>11</v>
      </c>
      <c r="I447" s="9" t="s">
        <v>23</v>
      </c>
      <c r="J447" t="s">
        <v>13</v>
      </c>
    </row>
    <row r="448" spans="1:10">
      <c r="A448" s="14">
        <v>45139</v>
      </c>
      <c r="B448" s="162">
        <v>0.4777777777777778</v>
      </c>
      <c r="C448" s="9">
        <v>160570</v>
      </c>
      <c r="D448" s="9" t="s">
        <v>16</v>
      </c>
      <c r="E448" s="9">
        <v>19640</v>
      </c>
      <c r="F448" s="9">
        <v>16260</v>
      </c>
      <c r="G448" s="10">
        <v>3380</v>
      </c>
      <c r="H448" s="9" t="s">
        <v>11</v>
      </c>
      <c r="I448" s="9" t="s">
        <v>23</v>
      </c>
      <c r="J448" t="s">
        <v>13</v>
      </c>
    </row>
    <row r="449" spans="1:10">
      <c r="A449" s="7">
        <v>45139</v>
      </c>
      <c r="B449" s="8">
        <v>0.28472222222222199</v>
      </c>
      <c r="C449" s="9">
        <v>26367</v>
      </c>
      <c r="D449" s="9" t="s">
        <v>16</v>
      </c>
      <c r="E449" s="9">
        <v>22920</v>
      </c>
      <c r="F449" s="9">
        <v>16260</v>
      </c>
      <c r="G449" s="10">
        <v>6660</v>
      </c>
      <c r="H449" s="9" t="s">
        <v>11</v>
      </c>
      <c r="I449" s="9" t="s">
        <v>12</v>
      </c>
      <c r="J449" t="s">
        <v>13</v>
      </c>
    </row>
    <row r="450" spans="1:10" hidden="1">
      <c r="A450" s="7">
        <v>45140</v>
      </c>
      <c r="B450" s="8">
        <v>0.45833333333333298</v>
      </c>
      <c r="C450" s="9">
        <v>26454</v>
      </c>
      <c r="D450" s="9" t="s">
        <v>21</v>
      </c>
      <c r="E450" s="9">
        <v>6540</v>
      </c>
      <c r="F450" s="9">
        <v>5560</v>
      </c>
      <c r="G450" s="10">
        <v>980</v>
      </c>
      <c r="H450" s="9" t="s">
        <v>11</v>
      </c>
      <c r="I450" s="9" t="s">
        <v>22</v>
      </c>
      <c r="J450" t="s">
        <v>13</v>
      </c>
    </row>
    <row r="451" spans="1:10" hidden="1">
      <c r="A451" s="7">
        <v>45140</v>
      </c>
      <c r="B451" s="8">
        <v>0.49652777777777801</v>
      </c>
      <c r="C451" s="9">
        <v>26463</v>
      </c>
      <c r="D451" s="9" t="s">
        <v>18</v>
      </c>
      <c r="E451" s="9">
        <v>3300</v>
      </c>
      <c r="F451" s="9">
        <v>2880</v>
      </c>
      <c r="G451" s="10">
        <v>420</v>
      </c>
      <c r="H451" s="9" t="s">
        <v>11</v>
      </c>
      <c r="I451" s="9" t="s">
        <v>12</v>
      </c>
      <c r="J451" t="s">
        <v>13</v>
      </c>
    </row>
    <row r="452" spans="1:10" hidden="1">
      <c r="A452" s="7">
        <v>45141</v>
      </c>
      <c r="B452" s="8">
        <v>0.27222222222222198</v>
      </c>
      <c r="C452" s="9">
        <v>26516</v>
      </c>
      <c r="D452" s="9" t="s">
        <v>19</v>
      </c>
      <c r="E452" s="9">
        <v>22400</v>
      </c>
      <c r="F452" s="9">
        <v>15980</v>
      </c>
      <c r="G452" s="10">
        <v>6420</v>
      </c>
      <c r="H452" s="9" t="s">
        <v>11</v>
      </c>
      <c r="I452" s="9" t="s">
        <v>12</v>
      </c>
      <c r="J452" t="s">
        <v>13</v>
      </c>
    </row>
    <row r="453" spans="1:10" hidden="1">
      <c r="A453" s="7">
        <v>45144</v>
      </c>
      <c r="B453" s="8">
        <v>0.44791666666666702</v>
      </c>
      <c r="C453" s="9">
        <v>26737</v>
      </c>
      <c r="D453" s="9" t="s">
        <v>24</v>
      </c>
      <c r="E453" s="9">
        <v>2700</v>
      </c>
      <c r="F453" s="9">
        <v>2440</v>
      </c>
      <c r="G453" s="10">
        <v>260</v>
      </c>
      <c r="H453" s="9" t="s">
        <v>11</v>
      </c>
      <c r="I453" s="9" t="s">
        <v>12</v>
      </c>
      <c r="J453" t="s">
        <v>13</v>
      </c>
    </row>
    <row r="454" spans="1:10" hidden="1">
      <c r="A454" s="7">
        <v>45156</v>
      </c>
      <c r="B454" s="8">
        <v>0.30763888888888902</v>
      </c>
      <c r="C454" s="9">
        <v>27469</v>
      </c>
      <c r="D454" s="9" t="s">
        <v>16</v>
      </c>
      <c r="E454" s="9">
        <v>24420</v>
      </c>
      <c r="F454" s="9">
        <v>16140</v>
      </c>
      <c r="G454" s="10">
        <v>8280</v>
      </c>
      <c r="H454" s="9" t="s">
        <v>11</v>
      </c>
      <c r="I454" s="9" t="s">
        <v>12</v>
      </c>
      <c r="J454" t="s">
        <v>13</v>
      </c>
    </row>
    <row r="455" spans="1:10" hidden="1">
      <c r="A455" s="7">
        <v>45161</v>
      </c>
      <c r="B455" s="8">
        <v>0.44930555555555601</v>
      </c>
      <c r="C455" s="9">
        <v>27805</v>
      </c>
      <c r="D455" s="9" t="s">
        <v>24</v>
      </c>
      <c r="E455" s="9">
        <v>2600</v>
      </c>
      <c r="F455" s="9">
        <v>2400</v>
      </c>
      <c r="G455" s="10">
        <v>200</v>
      </c>
      <c r="H455" s="9" t="s">
        <v>11</v>
      </c>
      <c r="I455" s="9" t="s">
        <v>12</v>
      </c>
      <c r="J455" t="s">
        <v>13</v>
      </c>
    </row>
    <row r="456" spans="1:10" hidden="1">
      <c r="A456" s="7">
        <v>45165</v>
      </c>
      <c r="B456" s="8">
        <v>0.44166666666666698</v>
      </c>
      <c r="C456" s="9">
        <v>28041</v>
      </c>
      <c r="D456" s="9" t="s">
        <v>24</v>
      </c>
      <c r="E456" s="9">
        <v>2600</v>
      </c>
      <c r="F456" s="9">
        <v>2500</v>
      </c>
      <c r="G456" s="10">
        <v>100</v>
      </c>
      <c r="H456" s="9" t="s">
        <v>11</v>
      </c>
      <c r="I456" s="9" t="s">
        <v>12</v>
      </c>
      <c r="J456" t="s">
        <v>13</v>
      </c>
    </row>
  </sheetData>
  <autoFilter ref="A1:J456" xr:uid="{00000000-0009-0000-0000-000000000000}">
    <filterColumn colId="0">
      <filters>
        <dateGroupItem year="2023" month="8" day="1" dateTimeGrouping="day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="75" zoomScaleNormal="75" workbookViewId="0">
      <selection activeCell="A5" sqref="A5"/>
    </sheetView>
  </sheetViews>
  <sheetFormatPr defaultColWidth="10.44140625" defaultRowHeight="18"/>
  <cols>
    <col min="1" max="1" width="15.5546875" customWidth="1"/>
    <col min="2" max="2" width="13.77734375" customWidth="1"/>
    <col min="8" max="8" width="15.5546875" customWidth="1"/>
  </cols>
  <sheetData>
    <row r="1" spans="1:8">
      <c r="A1" s="15" t="s">
        <v>0</v>
      </c>
      <c r="B1" s="16" t="s">
        <v>29</v>
      </c>
    </row>
    <row r="3" spans="1:8">
      <c r="A3" s="17" t="s">
        <v>30</v>
      </c>
      <c r="B3" s="18" t="s">
        <v>8</v>
      </c>
      <c r="C3" s="19"/>
      <c r="D3" s="19"/>
      <c r="E3" s="19"/>
      <c r="F3" s="19"/>
      <c r="G3" s="19"/>
      <c r="H3" s="20"/>
    </row>
    <row r="4" spans="1:8">
      <c r="A4" s="21" t="s">
        <v>3</v>
      </c>
      <c r="B4" s="22" t="s">
        <v>28</v>
      </c>
      <c r="C4" s="23" t="s">
        <v>25</v>
      </c>
      <c r="D4" s="23" t="s">
        <v>12</v>
      </c>
      <c r="E4" s="23" t="s">
        <v>26</v>
      </c>
      <c r="F4" s="23" t="s">
        <v>23</v>
      </c>
      <c r="G4" s="23" t="s">
        <v>22</v>
      </c>
      <c r="H4" s="24" t="s">
        <v>31</v>
      </c>
    </row>
    <row r="5" spans="1:8">
      <c r="A5" s="25" t="s">
        <v>20</v>
      </c>
      <c r="B5" s="26">
        <v>233340</v>
      </c>
      <c r="C5" s="27"/>
      <c r="D5" s="28">
        <v>24260</v>
      </c>
      <c r="E5" s="27"/>
      <c r="F5" s="28">
        <v>1700</v>
      </c>
      <c r="G5" s="29">
        <v>3060</v>
      </c>
      <c r="H5" s="30">
        <v>262360</v>
      </c>
    </row>
    <row r="6" spans="1:8">
      <c r="A6" s="31" t="s">
        <v>17</v>
      </c>
      <c r="B6" s="32"/>
      <c r="C6" s="33">
        <v>3240</v>
      </c>
      <c r="D6" s="33">
        <v>27420</v>
      </c>
      <c r="E6" s="34"/>
      <c r="F6" s="34"/>
      <c r="G6" s="35"/>
      <c r="H6" s="36">
        <v>30660</v>
      </c>
    </row>
    <row r="7" spans="1:8">
      <c r="A7" s="31" t="s">
        <v>19</v>
      </c>
      <c r="B7" s="32"/>
      <c r="C7" s="34"/>
      <c r="D7" s="33">
        <v>465000</v>
      </c>
      <c r="E7" s="33">
        <v>4000</v>
      </c>
      <c r="F7" s="33">
        <v>4000</v>
      </c>
      <c r="G7" s="35"/>
      <c r="H7" s="36">
        <v>473000</v>
      </c>
    </row>
    <row r="8" spans="1:8">
      <c r="A8" s="31" t="s">
        <v>16</v>
      </c>
      <c r="B8" s="32"/>
      <c r="C8" s="34"/>
      <c r="D8" s="33">
        <v>413320</v>
      </c>
      <c r="E8" s="33">
        <v>24740</v>
      </c>
      <c r="F8" s="33">
        <v>13260</v>
      </c>
      <c r="G8" s="35"/>
      <c r="H8" s="36">
        <v>451320</v>
      </c>
    </row>
    <row r="9" spans="1:8">
      <c r="A9" s="31" t="s">
        <v>24</v>
      </c>
      <c r="B9" s="32"/>
      <c r="C9" s="34"/>
      <c r="D9" s="33">
        <v>4720</v>
      </c>
      <c r="E9" s="34"/>
      <c r="F9" s="34"/>
      <c r="G9" s="35"/>
      <c r="H9" s="36">
        <v>4720</v>
      </c>
    </row>
    <row r="10" spans="1:8">
      <c r="A10" s="31" t="s">
        <v>14</v>
      </c>
      <c r="B10" s="32"/>
      <c r="C10" s="34"/>
      <c r="D10" s="33">
        <v>25860</v>
      </c>
      <c r="E10" s="34"/>
      <c r="F10" s="34"/>
      <c r="G10" s="35"/>
      <c r="H10" s="36">
        <v>25860</v>
      </c>
    </row>
    <row r="11" spans="1:8">
      <c r="A11" s="31" t="s">
        <v>18</v>
      </c>
      <c r="B11" s="32"/>
      <c r="C11" s="34"/>
      <c r="D11" s="33">
        <v>20420</v>
      </c>
      <c r="E11" s="34"/>
      <c r="F11" s="34"/>
      <c r="G11" s="35"/>
      <c r="H11" s="36">
        <v>20420</v>
      </c>
    </row>
    <row r="12" spans="1:8">
      <c r="A12" s="31" t="s">
        <v>10</v>
      </c>
      <c r="B12" s="32"/>
      <c r="C12" s="34"/>
      <c r="D12" s="33">
        <v>704580</v>
      </c>
      <c r="E12" s="34"/>
      <c r="F12" s="34"/>
      <c r="G12" s="35"/>
      <c r="H12" s="36">
        <v>704580</v>
      </c>
    </row>
    <row r="13" spans="1:8">
      <c r="A13" s="31" t="s">
        <v>15</v>
      </c>
      <c r="B13" s="32"/>
      <c r="C13" s="34"/>
      <c r="D13" s="33">
        <v>47940</v>
      </c>
      <c r="E13" s="34"/>
      <c r="F13" s="34"/>
      <c r="G13" s="35"/>
      <c r="H13" s="36">
        <v>47940</v>
      </c>
    </row>
    <row r="14" spans="1:8">
      <c r="A14" s="31" t="s">
        <v>21</v>
      </c>
      <c r="B14" s="37"/>
      <c r="C14" s="38">
        <v>500</v>
      </c>
      <c r="D14" s="39"/>
      <c r="E14" s="39"/>
      <c r="F14" s="39"/>
      <c r="G14" s="40">
        <v>20920</v>
      </c>
      <c r="H14" s="41">
        <v>21420</v>
      </c>
    </row>
    <row r="15" spans="1:8">
      <c r="A15" s="42" t="s">
        <v>31</v>
      </c>
      <c r="B15" s="43">
        <v>233340</v>
      </c>
      <c r="C15" s="44">
        <v>3740</v>
      </c>
      <c r="D15" s="44">
        <v>1733520</v>
      </c>
      <c r="E15" s="44">
        <v>28740</v>
      </c>
      <c r="F15" s="44">
        <v>18960</v>
      </c>
      <c r="G15" s="45">
        <v>23980</v>
      </c>
      <c r="H15" s="46">
        <v>2042280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zoomScale="75" zoomScaleNormal="75" workbookViewId="0">
      <selection activeCell="D83" sqref="D83"/>
    </sheetView>
  </sheetViews>
  <sheetFormatPr defaultColWidth="10.44140625" defaultRowHeight="18"/>
  <cols>
    <col min="1" max="1" width="15.109375" style="47" customWidth="1"/>
    <col min="2" max="2" width="17.6640625" style="48" customWidth="1"/>
    <col min="3" max="3" width="10.6640625" style="48" customWidth="1"/>
    <col min="4" max="4" width="13.44140625" style="47" customWidth="1"/>
    <col min="5" max="6" width="11.21875" style="48" customWidth="1"/>
    <col min="7" max="7" width="13.44140625" style="48" customWidth="1"/>
    <col min="8" max="8" width="14.5546875" style="48" customWidth="1"/>
    <col min="9" max="9" width="15.88671875" style="48" customWidth="1"/>
    <col min="10" max="11" width="7.6640625" style="48" customWidth="1"/>
    <col min="12" max="12" width="8.21875" style="48" customWidth="1"/>
    <col min="13" max="13" width="12.77734375" style="48" customWidth="1"/>
    <col min="14" max="14" width="7.109375" style="48" customWidth="1"/>
    <col min="15" max="1024" width="7.6640625" customWidth="1"/>
  </cols>
  <sheetData>
    <row r="1" spans="1:9">
      <c r="A1" s="47">
        <v>1</v>
      </c>
      <c r="B1" s="47">
        <v>2</v>
      </c>
      <c r="C1" s="47">
        <v>3</v>
      </c>
      <c r="D1" s="47">
        <v>4</v>
      </c>
      <c r="E1" s="47">
        <v>5</v>
      </c>
      <c r="F1" s="47">
        <v>6</v>
      </c>
      <c r="G1" s="47">
        <v>7</v>
      </c>
    </row>
    <row r="2" spans="1:9">
      <c r="A2" s="49" t="s">
        <v>3</v>
      </c>
      <c r="B2" s="50" t="s">
        <v>32</v>
      </c>
      <c r="C2" s="51" t="s">
        <v>25</v>
      </c>
      <c r="D2" s="51" t="s">
        <v>12</v>
      </c>
      <c r="E2" s="51" t="s">
        <v>26</v>
      </c>
      <c r="F2" s="51" t="s">
        <v>23</v>
      </c>
      <c r="G2" s="51" t="s">
        <v>33</v>
      </c>
      <c r="H2" s="52" t="s">
        <v>31</v>
      </c>
    </row>
    <row r="3" spans="1:9">
      <c r="A3" s="53" t="s">
        <v>20</v>
      </c>
      <c r="B3" s="54">
        <v>233340</v>
      </c>
      <c r="C3" s="55"/>
      <c r="D3" s="55">
        <v>24260</v>
      </c>
      <c r="E3" s="55"/>
      <c r="F3" s="55">
        <v>1700</v>
      </c>
      <c r="G3" s="56">
        <v>3060</v>
      </c>
      <c r="H3" s="57">
        <f t="shared" ref="H3:H16" si="0">SUM(B3:G3)</f>
        <v>262360</v>
      </c>
    </row>
    <row r="4" spans="1:9">
      <c r="A4" s="58" t="s">
        <v>17</v>
      </c>
      <c r="B4" s="59"/>
      <c r="C4" s="60">
        <v>3240</v>
      </c>
      <c r="D4" s="60">
        <v>27420</v>
      </c>
      <c r="E4" s="60"/>
      <c r="F4" s="60"/>
      <c r="G4" s="61"/>
      <c r="H4" s="57">
        <f t="shared" si="0"/>
        <v>30660</v>
      </c>
    </row>
    <row r="5" spans="1:9">
      <c r="A5" s="58" t="s">
        <v>19</v>
      </c>
      <c r="B5" s="59"/>
      <c r="C5" s="60"/>
      <c r="D5" s="60">
        <v>465000</v>
      </c>
      <c r="E5" s="60">
        <v>4000</v>
      </c>
      <c r="F5" s="60">
        <v>4000</v>
      </c>
      <c r="G5" s="61"/>
      <c r="H5" s="57">
        <f t="shared" si="0"/>
        <v>473000</v>
      </c>
    </row>
    <row r="6" spans="1:9">
      <c r="A6" s="58" t="s">
        <v>16</v>
      </c>
      <c r="B6" s="59"/>
      <c r="C6" s="60"/>
      <c r="D6" s="60">
        <v>413320</v>
      </c>
      <c r="E6" s="60">
        <v>24740</v>
      </c>
      <c r="F6" s="60">
        <v>13260</v>
      </c>
      <c r="G6" s="61"/>
      <c r="H6" s="57">
        <f t="shared" si="0"/>
        <v>451320</v>
      </c>
    </row>
    <row r="7" spans="1:9">
      <c r="A7" s="58" t="s">
        <v>24</v>
      </c>
      <c r="B7" s="59"/>
      <c r="C7" s="60"/>
      <c r="D7" s="60">
        <v>4720</v>
      </c>
      <c r="E7" s="60"/>
      <c r="F7" s="60"/>
      <c r="G7" s="61"/>
      <c r="H7" s="57">
        <f t="shared" si="0"/>
        <v>4720</v>
      </c>
    </row>
    <row r="8" spans="1:9">
      <c r="A8" s="58" t="s">
        <v>14</v>
      </c>
      <c r="B8" s="59"/>
      <c r="C8" s="60"/>
      <c r="D8" s="60">
        <v>25860</v>
      </c>
      <c r="E8" s="60"/>
      <c r="F8" s="60"/>
      <c r="G8" s="61"/>
      <c r="H8" s="57">
        <f t="shared" si="0"/>
        <v>25860</v>
      </c>
    </row>
    <row r="9" spans="1:9">
      <c r="A9" s="58" t="s">
        <v>18</v>
      </c>
      <c r="B9" s="59"/>
      <c r="C9" s="60"/>
      <c r="D9" s="60">
        <v>20420</v>
      </c>
      <c r="E9" s="60"/>
      <c r="F9" s="60"/>
      <c r="G9" s="61"/>
      <c r="H9" s="57">
        <f t="shared" si="0"/>
        <v>20420</v>
      </c>
    </row>
    <row r="10" spans="1:9">
      <c r="A10" s="58" t="s">
        <v>10</v>
      </c>
      <c r="B10" s="59"/>
      <c r="C10" s="60"/>
      <c r="D10" s="60">
        <v>704580</v>
      </c>
      <c r="E10" s="60"/>
      <c r="F10" s="60"/>
      <c r="G10" s="61"/>
      <c r="H10" s="57">
        <f t="shared" si="0"/>
        <v>704580</v>
      </c>
    </row>
    <row r="11" spans="1:9">
      <c r="A11" s="58" t="s">
        <v>15</v>
      </c>
      <c r="B11" s="59"/>
      <c r="C11" s="60"/>
      <c r="D11" s="60">
        <v>47940</v>
      </c>
      <c r="E11" s="60"/>
      <c r="F11" s="60"/>
      <c r="G11" s="61"/>
      <c r="H11" s="57">
        <f t="shared" si="0"/>
        <v>47940</v>
      </c>
    </row>
    <row r="12" spans="1:9">
      <c r="A12" s="58" t="s">
        <v>21</v>
      </c>
      <c r="B12" s="59"/>
      <c r="C12" s="60">
        <v>500</v>
      </c>
      <c r="D12" s="60"/>
      <c r="E12" s="60"/>
      <c r="F12" s="60"/>
      <c r="G12" s="61">
        <v>20920</v>
      </c>
      <c r="H12" s="57">
        <f t="shared" si="0"/>
        <v>21420</v>
      </c>
    </row>
    <row r="13" spans="1:9">
      <c r="A13" s="58"/>
      <c r="B13" s="62"/>
      <c r="C13" s="63"/>
      <c r="D13" s="63"/>
      <c r="E13" s="63"/>
      <c r="F13" s="63"/>
      <c r="G13" s="64"/>
      <c r="H13" s="57">
        <f t="shared" si="0"/>
        <v>0</v>
      </c>
      <c r="I13" s="48" t="s">
        <v>34</v>
      </c>
    </row>
    <row r="14" spans="1:9">
      <c r="A14" s="48"/>
      <c r="B14" s="65"/>
      <c r="C14" s="65"/>
      <c r="D14" s="65"/>
      <c r="E14" s="65"/>
      <c r="F14" s="65"/>
      <c r="G14" s="65"/>
      <c r="H14" s="57">
        <f t="shared" si="0"/>
        <v>0</v>
      </c>
    </row>
    <row r="15" spans="1:9">
      <c r="A15" s="52" t="s">
        <v>31</v>
      </c>
      <c r="B15" s="66">
        <f t="shared" ref="B15:G15" si="1">SUM(B3:B14)</f>
        <v>233340</v>
      </c>
      <c r="C15" s="66">
        <f t="shared" si="1"/>
        <v>3740</v>
      </c>
      <c r="D15" s="66">
        <f t="shared" si="1"/>
        <v>1733520</v>
      </c>
      <c r="E15" s="66">
        <f t="shared" si="1"/>
        <v>28740</v>
      </c>
      <c r="F15" s="66">
        <f t="shared" si="1"/>
        <v>18960</v>
      </c>
      <c r="G15" s="66">
        <f t="shared" si="1"/>
        <v>23980</v>
      </c>
      <c r="H15" s="67">
        <f t="shared" si="0"/>
        <v>2042280</v>
      </c>
    </row>
    <row r="16" spans="1:9">
      <c r="A16" s="68" t="s">
        <v>35</v>
      </c>
      <c r="B16" s="69">
        <f>+E79</f>
        <v>233340</v>
      </c>
      <c r="C16" s="69">
        <f>+E73</f>
        <v>3740</v>
      </c>
      <c r="D16" s="69">
        <f>+F35</f>
        <v>1733520</v>
      </c>
      <c r="E16" s="69">
        <f>+E64</f>
        <v>28740</v>
      </c>
      <c r="F16" s="69">
        <f>+E56</f>
        <v>18960</v>
      </c>
      <c r="G16" s="69">
        <f>+F46</f>
        <v>23980</v>
      </c>
      <c r="H16" s="70">
        <f t="shared" si="0"/>
        <v>2042280</v>
      </c>
    </row>
    <row r="17" spans="1:14">
      <c r="C17" s="71"/>
      <c r="D17" s="71"/>
      <c r="E17" s="71"/>
      <c r="F17" s="71"/>
      <c r="G17" s="71"/>
      <c r="H17" s="71"/>
    </row>
    <row r="18" spans="1:14">
      <c r="C18" s="71"/>
      <c r="D18" s="71" t="s">
        <v>36</v>
      </c>
      <c r="E18" s="71" t="s">
        <v>37</v>
      </c>
      <c r="F18" s="71" t="s">
        <v>38</v>
      </c>
      <c r="G18" s="71"/>
      <c r="H18" s="71"/>
    </row>
    <row r="19" spans="1:14">
      <c r="A19" s="2" t="s">
        <v>39</v>
      </c>
      <c r="B19" s="2"/>
      <c r="C19" s="2"/>
      <c r="D19" s="72">
        <f>+F35+F46+E56+E64+E73+E79</f>
        <v>2042280</v>
      </c>
      <c r="E19" s="73">
        <f>+G35+G46+F56+F64+F73+F79</f>
        <v>2042280</v>
      </c>
      <c r="F19" s="72">
        <f>+E19-D19</f>
        <v>0</v>
      </c>
      <c r="G19" s="71"/>
      <c r="H19" s="71"/>
    </row>
    <row r="20" spans="1:14">
      <c r="C20" s="71"/>
      <c r="D20" s="71"/>
      <c r="E20" s="71"/>
      <c r="F20" s="71"/>
      <c r="G20" s="71"/>
      <c r="H20" s="71"/>
    </row>
    <row r="21" spans="1:14">
      <c r="A21" s="48"/>
      <c r="D21" s="48"/>
    </row>
    <row r="22" spans="1:14">
      <c r="A22" s="1" t="s">
        <v>12</v>
      </c>
      <c r="B22" s="1"/>
      <c r="C22" s="1"/>
      <c r="D22" s="1"/>
      <c r="E22" s="1"/>
      <c r="F22" s="1"/>
      <c r="G22" s="1"/>
      <c r="H22" s="1"/>
    </row>
    <row r="23" spans="1:14">
      <c r="A23" s="47" t="s">
        <v>40</v>
      </c>
      <c r="B23" s="48" t="s">
        <v>41</v>
      </c>
      <c r="C23" s="74" t="s">
        <v>42</v>
      </c>
      <c r="D23" s="75" t="s">
        <v>43</v>
      </c>
      <c r="E23" s="74" t="s">
        <v>44</v>
      </c>
      <c r="F23" s="76" t="s">
        <v>45</v>
      </c>
      <c r="G23" s="74" t="s">
        <v>37</v>
      </c>
      <c r="H23" s="74"/>
    </row>
    <row r="24" spans="1:14">
      <c r="A24" s="77">
        <v>109</v>
      </c>
      <c r="B24" s="78" t="s">
        <v>46</v>
      </c>
      <c r="C24" s="78" t="s">
        <v>20</v>
      </c>
      <c r="D24" s="79" t="s">
        <v>47</v>
      </c>
      <c r="E24" s="78" t="s">
        <v>48</v>
      </c>
      <c r="F24" s="80">
        <v>24260</v>
      </c>
      <c r="G24" s="81">
        <f t="shared" ref="G24:G34" si="2">IFERROR(INDEX($B$3:$G$14,MATCH(C24,$A$3:$A$14,0),MATCH($A$22,$B$2:$G$2,0)),0)</f>
        <v>24260</v>
      </c>
      <c r="H24" s="82" t="str">
        <f t="shared" ref="H24:H34" si="3">IF(G24=F24,"Bien",G24-F24)</f>
        <v>Bien</v>
      </c>
    </row>
    <row r="25" spans="1:14">
      <c r="A25" s="83">
        <v>333</v>
      </c>
      <c r="B25" s="84" t="s">
        <v>49</v>
      </c>
      <c r="C25" s="85" t="s">
        <v>17</v>
      </c>
      <c r="D25" s="79" t="s">
        <v>47</v>
      </c>
      <c r="E25" s="74" t="s">
        <v>50</v>
      </c>
      <c r="F25" s="76">
        <v>27420</v>
      </c>
      <c r="G25" s="86">
        <f t="shared" si="2"/>
        <v>27420</v>
      </c>
      <c r="H25" s="87" t="str">
        <f t="shared" si="3"/>
        <v>Bien</v>
      </c>
    </row>
    <row r="26" spans="1:14">
      <c r="A26" s="88">
        <v>320</v>
      </c>
      <c r="B26" s="89" t="s">
        <v>51</v>
      </c>
      <c r="C26" s="74" t="s">
        <v>19</v>
      </c>
      <c r="D26" s="79" t="s">
        <v>47</v>
      </c>
      <c r="E26" s="74" t="s">
        <v>50</v>
      </c>
      <c r="F26" s="76">
        <v>465000</v>
      </c>
      <c r="G26" s="86">
        <f t="shared" si="2"/>
        <v>465000</v>
      </c>
      <c r="H26" s="87" t="str">
        <f t="shared" si="3"/>
        <v>Bien</v>
      </c>
    </row>
    <row r="27" spans="1:14">
      <c r="A27" s="88">
        <v>321</v>
      </c>
      <c r="B27" s="89" t="s">
        <v>52</v>
      </c>
      <c r="C27" s="74" t="s">
        <v>16</v>
      </c>
      <c r="D27" s="79" t="s">
        <v>47</v>
      </c>
      <c r="E27" s="74" t="s">
        <v>50</v>
      </c>
      <c r="F27" s="76">
        <v>413320</v>
      </c>
      <c r="G27" s="86">
        <f t="shared" si="2"/>
        <v>413320</v>
      </c>
      <c r="H27" s="87" t="str">
        <f t="shared" si="3"/>
        <v>Bien</v>
      </c>
    </row>
    <row r="28" spans="1:14">
      <c r="A28" s="83">
        <v>316</v>
      </c>
      <c r="B28" s="48" t="s">
        <v>53</v>
      </c>
      <c r="C28" s="74" t="s">
        <v>24</v>
      </c>
      <c r="D28" s="79" t="s">
        <v>47</v>
      </c>
      <c r="E28" s="74" t="s">
        <v>50</v>
      </c>
      <c r="F28">
        <v>4720</v>
      </c>
      <c r="G28" s="86">
        <f t="shared" si="2"/>
        <v>4720</v>
      </c>
      <c r="H28" s="87" t="str">
        <f t="shared" si="3"/>
        <v>Bien</v>
      </c>
    </row>
    <row r="29" spans="1:14">
      <c r="A29" s="88">
        <v>196</v>
      </c>
      <c r="B29" s="89" t="s">
        <v>54</v>
      </c>
      <c r="C29" s="74" t="s">
        <v>14</v>
      </c>
      <c r="D29" s="79" t="s">
        <v>47</v>
      </c>
      <c r="E29" s="74" t="s">
        <v>50</v>
      </c>
      <c r="F29">
        <v>25860</v>
      </c>
      <c r="G29" s="86">
        <f t="shared" si="2"/>
        <v>25860</v>
      </c>
      <c r="H29" s="87" t="str">
        <f t="shared" si="3"/>
        <v>Bien</v>
      </c>
      <c r="I29" s="48" t="s">
        <v>55</v>
      </c>
    </row>
    <row r="30" spans="1:14">
      <c r="A30" s="83">
        <v>309</v>
      </c>
      <c r="B30" s="48" t="s">
        <v>56</v>
      </c>
      <c r="C30" s="74" t="s">
        <v>18</v>
      </c>
      <c r="D30" s="79" t="s">
        <v>47</v>
      </c>
      <c r="E30" s="74" t="s">
        <v>50</v>
      </c>
      <c r="F30">
        <v>20420</v>
      </c>
      <c r="G30" s="86">
        <f t="shared" si="2"/>
        <v>20420</v>
      </c>
      <c r="H30" s="87" t="str">
        <f t="shared" si="3"/>
        <v>Bien</v>
      </c>
      <c r="L30" s="90"/>
      <c r="M30" s="84"/>
      <c r="N30" s="91"/>
    </row>
    <row r="31" spans="1:14">
      <c r="A31" s="83">
        <v>318</v>
      </c>
      <c r="B31" s="89" t="s">
        <v>54</v>
      </c>
      <c r="C31" s="74" t="s">
        <v>10</v>
      </c>
      <c r="D31" s="79" t="s">
        <v>47</v>
      </c>
      <c r="E31" s="74" t="s">
        <v>50</v>
      </c>
      <c r="F31">
        <v>704580</v>
      </c>
      <c r="G31" s="86">
        <f t="shared" si="2"/>
        <v>704580</v>
      </c>
      <c r="H31" s="87" t="str">
        <f t="shared" si="3"/>
        <v>Bien</v>
      </c>
      <c r="L31" s="90"/>
      <c r="M31" s="84"/>
      <c r="N31" s="91"/>
    </row>
    <row r="32" spans="1:14">
      <c r="A32" s="83">
        <v>310</v>
      </c>
      <c r="B32" s="89" t="s">
        <v>57</v>
      </c>
      <c r="C32" s="84" t="s">
        <v>15</v>
      </c>
      <c r="D32" s="79">
        <v>1</v>
      </c>
      <c r="E32" s="74" t="s">
        <v>58</v>
      </c>
      <c r="F32">
        <v>47940</v>
      </c>
      <c r="G32" s="86">
        <f t="shared" si="2"/>
        <v>47940</v>
      </c>
      <c r="H32" s="87" t="str">
        <f t="shared" si="3"/>
        <v>Bien</v>
      </c>
      <c r="N32" s="89"/>
    </row>
    <row r="33" spans="1:14">
      <c r="A33" s="83">
        <v>296</v>
      </c>
      <c r="B33" s="84" t="s">
        <v>59</v>
      </c>
      <c r="C33" s="84" t="s">
        <v>21</v>
      </c>
      <c r="D33" s="92"/>
      <c r="E33" s="74"/>
      <c r="F33" s="93"/>
      <c r="G33" s="86">
        <f t="shared" si="2"/>
        <v>0</v>
      </c>
      <c r="H33" s="87" t="str">
        <f t="shared" si="3"/>
        <v>Bien</v>
      </c>
      <c r="N33" s="89"/>
    </row>
    <row r="34" spans="1:14">
      <c r="A34" s="94"/>
      <c r="B34" s="95" t="s">
        <v>46</v>
      </c>
      <c r="C34" s="95" t="s">
        <v>60</v>
      </c>
      <c r="D34" s="96"/>
      <c r="E34" s="97"/>
      <c r="F34" s="98"/>
      <c r="G34" s="99">
        <f t="shared" si="2"/>
        <v>0</v>
      </c>
      <c r="H34" s="100" t="str">
        <f t="shared" si="3"/>
        <v>Bien</v>
      </c>
      <c r="I34" s="48" t="s">
        <v>61</v>
      </c>
      <c r="N34" s="89"/>
    </row>
    <row r="35" spans="1:14">
      <c r="C35" s="74"/>
      <c r="D35" s="75"/>
      <c r="E35" s="74"/>
      <c r="F35" s="101">
        <f>SUM(F24:F34)</f>
        <v>1733520</v>
      </c>
      <c r="G35" s="102">
        <f>SUM(G24:G34)</f>
        <v>1733520</v>
      </c>
      <c r="H35" s="74"/>
      <c r="I35" s="103" t="str">
        <f>IF(G35=D15,"OK","Revisar")</f>
        <v>OK</v>
      </c>
      <c r="L35" s="90"/>
      <c r="N35" s="74"/>
    </row>
    <row r="36" spans="1:14">
      <c r="A36" s="1" t="str">
        <f>+G2</f>
        <v>VOLUMINOSOS</v>
      </c>
      <c r="B36" s="1"/>
      <c r="C36" s="1"/>
      <c r="D36" s="1"/>
      <c r="E36" s="1"/>
      <c r="F36" s="1"/>
      <c r="G36" s="1"/>
      <c r="H36" s="1"/>
      <c r="L36" s="90"/>
      <c r="N36" s="74"/>
    </row>
    <row r="37" spans="1:14">
      <c r="C37" s="74" t="s">
        <v>42</v>
      </c>
      <c r="D37" s="75" t="s">
        <v>62</v>
      </c>
      <c r="E37" s="74" t="s">
        <v>63</v>
      </c>
      <c r="F37" s="101" t="s">
        <v>45</v>
      </c>
      <c r="G37" s="74" t="s">
        <v>37</v>
      </c>
      <c r="H37" s="74"/>
    </row>
    <row r="38" spans="1:14">
      <c r="A38" s="77">
        <v>109</v>
      </c>
      <c r="B38" s="78" t="s">
        <v>46</v>
      </c>
      <c r="C38" s="78" t="s">
        <v>20</v>
      </c>
      <c r="D38" s="104">
        <v>2</v>
      </c>
      <c r="E38" s="80">
        <v>1</v>
      </c>
      <c r="F38" s="80">
        <v>3060</v>
      </c>
      <c r="G38" s="105">
        <f t="shared" ref="G38:G45" si="4">IFERROR(INDEX($B$3:$G$14,MATCH(C38,$A$3:$A$14,0),MATCH($A$36,$B$2:$G$2,0)),0)</f>
        <v>3060</v>
      </c>
      <c r="H38" s="106" t="str">
        <f t="shared" ref="H38:H45" si="5">IF(G38=F38,"Bien",G38-F38)</f>
        <v>Bien</v>
      </c>
    </row>
    <row r="39" spans="1:14">
      <c r="A39" s="83">
        <v>333</v>
      </c>
      <c r="B39" s="48" t="s">
        <v>49</v>
      </c>
      <c r="C39" s="74" t="s">
        <v>17</v>
      </c>
      <c r="D39" s="107"/>
      <c r="E39" s="76"/>
      <c r="F39" s="76"/>
      <c r="G39" s="108">
        <f t="shared" si="4"/>
        <v>0</v>
      </c>
      <c r="H39" s="109" t="str">
        <f t="shared" si="5"/>
        <v>Bien</v>
      </c>
    </row>
    <row r="40" spans="1:14">
      <c r="A40" s="83">
        <v>316</v>
      </c>
      <c r="B40" s="84" t="s">
        <v>53</v>
      </c>
      <c r="C40" s="84" t="s">
        <v>24</v>
      </c>
      <c r="D40" s="107"/>
      <c r="E40" s="76"/>
      <c r="F40" s="76"/>
      <c r="G40" s="108">
        <f t="shared" si="4"/>
        <v>0</v>
      </c>
      <c r="H40" s="109" t="str">
        <f t="shared" si="5"/>
        <v>Bien</v>
      </c>
    </row>
    <row r="41" spans="1:14">
      <c r="A41" s="83">
        <v>309</v>
      </c>
      <c r="B41" s="48" t="s">
        <v>56</v>
      </c>
      <c r="C41" s="74" t="s">
        <v>18</v>
      </c>
      <c r="D41" s="107"/>
      <c r="E41" s="76"/>
      <c r="F41" s="76"/>
      <c r="G41" s="108">
        <f t="shared" si="4"/>
        <v>0</v>
      </c>
      <c r="H41" s="109" t="str">
        <f t="shared" si="5"/>
        <v>Bien</v>
      </c>
    </row>
    <row r="42" spans="1:14">
      <c r="A42" s="83">
        <v>296</v>
      </c>
      <c r="B42" s="84" t="s">
        <v>59</v>
      </c>
      <c r="C42" s="84" t="s">
        <v>21</v>
      </c>
      <c r="D42" s="110">
        <v>2</v>
      </c>
      <c r="E42" s="111">
        <v>21</v>
      </c>
      <c r="F42" s="111">
        <v>20920</v>
      </c>
      <c r="G42" s="108">
        <f t="shared" si="4"/>
        <v>20920</v>
      </c>
      <c r="H42" s="109" t="str">
        <f t="shared" si="5"/>
        <v>Bien</v>
      </c>
    </row>
    <row r="43" spans="1:14">
      <c r="A43" s="83"/>
      <c r="B43" s="112" t="s">
        <v>46</v>
      </c>
      <c r="C43" s="112" t="s">
        <v>60</v>
      </c>
      <c r="D43" s="110"/>
      <c r="E43" s="111"/>
      <c r="F43" s="111"/>
      <c r="G43" s="108">
        <f t="shared" si="4"/>
        <v>0</v>
      </c>
      <c r="H43" s="109" t="str">
        <f t="shared" si="5"/>
        <v>Bien</v>
      </c>
    </row>
    <row r="44" spans="1:14">
      <c r="A44" s="83"/>
      <c r="B44" s="84"/>
      <c r="C44" s="112" t="s">
        <v>64</v>
      </c>
      <c r="D44" s="110"/>
      <c r="E44" s="111"/>
      <c r="F44" s="111"/>
      <c r="G44" s="108">
        <f t="shared" si="4"/>
        <v>0</v>
      </c>
      <c r="H44" s="109" t="str">
        <f t="shared" si="5"/>
        <v>Bien</v>
      </c>
    </row>
    <row r="45" spans="1:14">
      <c r="A45" s="94"/>
      <c r="B45" s="113" t="s">
        <v>65</v>
      </c>
      <c r="C45" s="114" t="s">
        <v>66</v>
      </c>
      <c r="D45" s="115"/>
      <c r="E45" s="116"/>
      <c r="F45" s="116"/>
      <c r="G45" s="117">
        <f t="shared" si="4"/>
        <v>0</v>
      </c>
      <c r="H45" s="118" t="str">
        <f t="shared" si="5"/>
        <v>Bien</v>
      </c>
    </row>
    <row r="46" spans="1:14">
      <c r="A46" s="48"/>
      <c r="D46" s="75"/>
      <c r="E46" s="74"/>
      <c r="F46" s="101">
        <f>SUM(F38:F45)</f>
        <v>23980</v>
      </c>
      <c r="G46" s="102">
        <f>SUM(G38:G45)</f>
        <v>23980</v>
      </c>
      <c r="H46" s="74"/>
      <c r="I46" s="103" t="str">
        <f>+IF(G46=G15,"OK","Revisar")</f>
        <v>OK</v>
      </c>
    </row>
    <row r="47" spans="1:14">
      <c r="C47" s="74"/>
      <c r="D47" s="75"/>
      <c r="E47" s="74"/>
      <c r="F47" s="101"/>
      <c r="G47" s="102"/>
      <c r="H47" s="74"/>
    </row>
    <row r="48" spans="1:14">
      <c r="A48" s="1" t="s">
        <v>23</v>
      </c>
      <c r="B48" s="1"/>
      <c r="C48" s="1"/>
      <c r="D48" s="1"/>
      <c r="E48" s="1"/>
      <c r="F48" s="1"/>
      <c r="G48" s="1"/>
      <c r="H48" s="1"/>
    </row>
    <row r="49" spans="1:9">
      <c r="C49" s="119" t="s">
        <v>42</v>
      </c>
      <c r="D49" s="120" t="s">
        <v>63</v>
      </c>
      <c r="E49" s="121" t="s">
        <v>45</v>
      </c>
      <c r="F49" s="122" t="s">
        <v>37</v>
      </c>
      <c r="G49" s="74"/>
      <c r="H49" s="74"/>
    </row>
    <row r="50" spans="1:9">
      <c r="A50" s="123">
        <v>109</v>
      </c>
      <c r="B50" s="124" t="s">
        <v>46</v>
      </c>
      <c r="C50" s="78" t="s">
        <v>20</v>
      </c>
      <c r="D50" s="125">
        <v>1</v>
      </c>
      <c r="E50" s="126">
        <v>1700</v>
      </c>
      <c r="F50" s="127">
        <f t="shared" ref="F50:F55" si="6">IFERROR(INDEX($B$3:$G$14,MATCH(C50,$A$3:$A$14,0),MATCH($A$48,$B$2:$G$2,0)),0)</f>
        <v>1700</v>
      </c>
      <c r="G50" s="106" t="str">
        <f t="shared" ref="G50:G55" si="7">IF(F50=E50,"Bien",F50-E50)</f>
        <v>Bien</v>
      </c>
      <c r="H50" s="74"/>
    </row>
    <row r="51" spans="1:9">
      <c r="A51" s="128">
        <v>320</v>
      </c>
      <c r="B51" s="129" t="s">
        <v>51</v>
      </c>
      <c r="C51" s="74" t="s">
        <v>19</v>
      </c>
      <c r="D51" s="130">
        <v>2</v>
      </c>
      <c r="E51" s="131">
        <v>4000</v>
      </c>
      <c r="F51" s="132">
        <f t="shared" si="6"/>
        <v>4000</v>
      </c>
      <c r="G51" s="109" t="str">
        <f t="shared" si="7"/>
        <v>Bien</v>
      </c>
      <c r="H51" s="74"/>
    </row>
    <row r="52" spans="1:9">
      <c r="A52" s="128">
        <v>321</v>
      </c>
      <c r="B52" s="129" t="s">
        <v>52</v>
      </c>
      <c r="C52" s="74" t="s">
        <v>16</v>
      </c>
      <c r="D52" s="130">
        <v>7</v>
      </c>
      <c r="E52" s="131">
        <v>13260</v>
      </c>
      <c r="F52" s="132">
        <f t="shared" si="6"/>
        <v>13260</v>
      </c>
      <c r="G52" s="109" t="str">
        <f t="shared" si="7"/>
        <v>Bien</v>
      </c>
      <c r="H52" s="74"/>
    </row>
    <row r="53" spans="1:9">
      <c r="A53" s="133">
        <v>296</v>
      </c>
      <c r="B53" s="134" t="s">
        <v>59</v>
      </c>
      <c r="C53" s="74" t="s">
        <v>21</v>
      </c>
      <c r="D53" s="130"/>
      <c r="E53" s="102"/>
      <c r="F53" s="132">
        <f t="shared" si="6"/>
        <v>0</v>
      </c>
      <c r="G53" s="109" t="str">
        <f t="shared" si="7"/>
        <v>Bien</v>
      </c>
      <c r="H53" s="74"/>
    </row>
    <row r="54" spans="1:9">
      <c r="A54" s="128"/>
      <c r="B54" s="135"/>
      <c r="C54" s="136" t="s">
        <v>64</v>
      </c>
      <c r="D54" s="137"/>
      <c r="E54" s="138"/>
      <c r="F54" s="132">
        <f t="shared" si="6"/>
        <v>0</v>
      </c>
      <c r="G54" s="109" t="str">
        <f t="shared" si="7"/>
        <v>Bien</v>
      </c>
      <c r="H54" s="74"/>
    </row>
    <row r="55" spans="1:9">
      <c r="A55" s="139"/>
      <c r="B55" s="140" t="s">
        <v>46</v>
      </c>
      <c r="C55" s="95" t="s">
        <v>60</v>
      </c>
      <c r="D55" s="141"/>
      <c r="E55" s="142"/>
      <c r="F55" s="143">
        <f t="shared" si="6"/>
        <v>0</v>
      </c>
      <c r="G55" s="118" t="str">
        <f t="shared" si="7"/>
        <v>Bien</v>
      </c>
      <c r="H55" s="74"/>
    </row>
    <row r="56" spans="1:9">
      <c r="C56" s="74"/>
      <c r="D56" s="130"/>
      <c r="E56" s="102">
        <f>SUM(E50:E55)</f>
        <v>18960</v>
      </c>
      <c r="F56" s="102">
        <f>SUM(F50:F55)</f>
        <v>18960</v>
      </c>
      <c r="G56" s="74"/>
      <c r="H56" s="74"/>
      <c r="I56" s="103" t="str">
        <f>+IF(F56=F15,"OK","Revisar")</f>
        <v>OK</v>
      </c>
    </row>
    <row r="57" spans="1:9">
      <c r="A57" s="1" t="s">
        <v>26</v>
      </c>
      <c r="B57" s="1"/>
      <c r="C57" s="1"/>
      <c r="D57" s="1"/>
      <c r="E57" s="1"/>
      <c r="F57" s="1"/>
      <c r="G57" s="1"/>
      <c r="H57" s="74"/>
    </row>
    <row r="58" spans="1:9">
      <c r="C58" s="74" t="s">
        <v>42</v>
      </c>
      <c r="D58" s="75" t="s">
        <v>63</v>
      </c>
      <c r="E58" s="74" t="s">
        <v>45</v>
      </c>
      <c r="F58" s="101" t="s">
        <v>37</v>
      </c>
      <c r="G58" s="74"/>
      <c r="H58" s="74"/>
    </row>
    <row r="59" spans="1:9">
      <c r="A59" s="144">
        <v>109</v>
      </c>
      <c r="B59" s="145" t="s">
        <v>46</v>
      </c>
      <c r="C59" s="145" t="s">
        <v>20</v>
      </c>
      <c r="D59" s="146"/>
      <c r="E59" s="147"/>
      <c r="F59" s="148">
        <f>IFERROR(INDEX($B$3:$G$14,MATCH(C59,$A$3:$A$14,0),MATCH($A$57,$B$2:$G$2,0)),0)</f>
        <v>0</v>
      </c>
      <c r="G59" s="82" t="str">
        <f>IF(F59=E59,"Bien",F59-E59)</f>
        <v>Bien</v>
      </c>
      <c r="H59" s="74"/>
    </row>
    <row r="60" spans="1:9">
      <c r="A60" s="149">
        <v>320</v>
      </c>
      <c r="B60" s="89" t="s">
        <v>51</v>
      </c>
      <c r="C60" s="74" t="s">
        <v>19</v>
      </c>
      <c r="D60" s="137">
        <v>1</v>
      </c>
      <c r="E60" s="138">
        <v>4000</v>
      </c>
      <c r="F60" s="86">
        <f>IFERROR(INDEX($B$3:$G$14,MATCH(C60,$A$3:$A$14,0),MATCH($A$57,$B$2:$G$2,0)),0)</f>
        <v>4000</v>
      </c>
      <c r="G60" s="87" t="str">
        <f>IF(F60=E60,"Bien",F60-E60)</f>
        <v>Bien</v>
      </c>
      <c r="H60" s="74"/>
    </row>
    <row r="61" spans="1:9">
      <c r="A61" s="149">
        <v>321</v>
      </c>
      <c r="B61" s="89" t="s">
        <v>52</v>
      </c>
      <c r="C61" s="74" t="s">
        <v>16</v>
      </c>
      <c r="D61" s="137">
        <v>7</v>
      </c>
      <c r="E61" s="138">
        <v>24740</v>
      </c>
      <c r="F61" s="86">
        <f>IFERROR(INDEX($B$3:$G$14,MATCH(C61,$A$3:$A$14,0),MATCH($A$57,$B$2:$G$2,0)),0)</f>
        <v>24740</v>
      </c>
      <c r="G61" s="87" t="str">
        <f>IF(F61=E61,"Bien",F61-E61)</f>
        <v>Bien</v>
      </c>
      <c r="H61" s="74"/>
    </row>
    <row r="62" spans="1:9">
      <c r="A62" s="150">
        <v>296</v>
      </c>
      <c r="B62" s="48" t="s">
        <v>59</v>
      </c>
      <c r="C62" s="74" t="s">
        <v>21</v>
      </c>
      <c r="D62" s="137"/>
      <c r="E62" s="138"/>
      <c r="F62" s="86">
        <f>IFERROR(INDEX($B$3:$G$14,MATCH(C62,$A$3:$A$14,0),MATCH($A$57,$B$2:$G$2,0)),0)</f>
        <v>0</v>
      </c>
      <c r="G62" s="87" t="str">
        <f>IF(F62=E62,"Bien",F62-E62)</f>
        <v>Bien</v>
      </c>
      <c r="H62" s="74"/>
    </row>
    <row r="63" spans="1:9">
      <c r="A63" s="151"/>
      <c r="B63" s="152"/>
      <c r="C63" s="153" t="s">
        <v>64</v>
      </c>
      <c r="D63" s="154"/>
      <c r="E63" s="155"/>
      <c r="F63" s="156">
        <f>IFERROR(INDEX($B$3:$G$14,MATCH(C63,$A$3:$A$14,0),MATCH($A$57,$B$2:$G$2,0)),0)</f>
        <v>0</v>
      </c>
      <c r="G63" s="100" t="str">
        <f>IF(F63=E63,"Bien",F63-E63)</f>
        <v>Bien</v>
      </c>
      <c r="H63" s="74"/>
    </row>
    <row r="64" spans="1:9">
      <c r="C64" s="74"/>
      <c r="D64" s="130"/>
      <c r="E64" s="102">
        <f>SUM(E59:E63)</f>
        <v>28740</v>
      </c>
      <c r="F64" s="102">
        <f>SUM(F59:F63)</f>
        <v>28740</v>
      </c>
      <c r="G64" s="74"/>
      <c r="H64" s="74"/>
      <c r="I64" s="103" t="str">
        <f>+IF(F64=E15,"OK","Revisar")</f>
        <v>OK</v>
      </c>
    </row>
    <row r="65" spans="1:9">
      <c r="A65" s="1" t="s">
        <v>25</v>
      </c>
      <c r="B65" s="1"/>
      <c r="C65" s="1"/>
      <c r="D65" s="1"/>
      <c r="E65" s="1"/>
      <c r="F65" s="1"/>
      <c r="G65" s="1"/>
      <c r="H65" s="74"/>
    </row>
    <row r="66" spans="1:9">
      <c r="C66" s="74" t="s">
        <v>42</v>
      </c>
      <c r="D66" s="75" t="s">
        <v>63</v>
      </c>
      <c r="E66" s="74" t="s">
        <v>45</v>
      </c>
      <c r="F66" s="101" t="s">
        <v>37</v>
      </c>
      <c r="G66" s="74"/>
      <c r="H66" s="74"/>
    </row>
    <row r="67" spans="1:9">
      <c r="A67" s="144">
        <v>109</v>
      </c>
      <c r="B67" s="145" t="s">
        <v>46</v>
      </c>
      <c r="C67" s="145" t="s">
        <v>20</v>
      </c>
      <c r="D67" s="157"/>
      <c r="E67" s="147"/>
      <c r="F67" s="148">
        <f t="shared" ref="F67:F72" si="8">IFERROR(INDEX($B$3:$G$14,MATCH(C67,$A$3:$A$14,0),MATCH($A$65,$B$2:$G$2,0)),0)</f>
        <v>0</v>
      </c>
      <c r="G67" s="82" t="str">
        <f t="shared" ref="G67:G72" si="9">IF(F67=E67,"Bien",F67-E67)</f>
        <v>Bien</v>
      </c>
      <c r="H67" s="74"/>
    </row>
    <row r="68" spans="1:9">
      <c r="A68" s="150">
        <v>333</v>
      </c>
      <c r="B68" s="84" t="s">
        <v>49</v>
      </c>
      <c r="C68" s="84" t="s">
        <v>17</v>
      </c>
      <c r="D68" s="137">
        <v>7</v>
      </c>
      <c r="E68" s="158">
        <v>3240</v>
      </c>
      <c r="F68" s="86">
        <f t="shared" si="8"/>
        <v>3240</v>
      </c>
      <c r="G68" s="87" t="str">
        <f t="shared" si="9"/>
        <v>Bien</v>
      </c>
      <c r="H68" s="74"/>
    </row>
    <row r="69" spans="1:9">
      <c r="A69" s="159"/>
      <c r="B69" s="48" t="s">
        <v>65</v>
      </c>
      <c r="C69" s="89" t="s">
        <v>66</v>
      </c>
      <c r="D69" s="102"/>
      <c r="E69" s="102"/>
      <c r="F69" s="86">
        <f t="shared" si="8"/>
        <v>0</v>
      </c>
      <c r="G69" s="87" t="str">
        <f t="shared" si="9"/>
        <v>Bien</v>
      </c>
      <c r="H69" s="74"/>
    </row>
    <row r="70" spans="1:9">
      <c r="A70" s="150">
        <v>316</v>
      </c>
      <c r="B70" s="48" t="s">
        <v>53</v>
      </c>
      <c r="C70" s="74" t="s">
        <v>24</v>
      </c>
      <c r="D70" s="102"/>
      <c r="E70" s="102"/>
      <c r="F70" s="86">
        <f t="shared" si="8"/>
        <v>0</v>
      </c>
      <c r="G70" s="87" t="str">
        <f t="shared" si="9"/>
        <v>Bien</v>
      </c>
      <c r="H70" s="74"/>
    </row>
    <row r="71" spans="1:9">
      <c r="A71" s="150">
        <v>309</v>
      </c>
      <c r="B71" s="48" t="s">
        <v>56</v>
      </c>
      <c r="C71" s="74" t="s">
        <v>18</v>
      </c>
      <c r="D71" s="130"/>
      <c r="E71" s="131"/>
      <c r="F71" s="86">
        <f t="shared" si="8"/>
        <v>0</v>
      </c>
      <c r="G71" s="87" t="str">
        <f t="shared" si="9"/>
        <v>Bien</v>
      </c>
      <c r="H71" s="74"/>
    </row>
    <row r="72" spans="1:9">
      <c r="A72" s="160">
        <v>296</v>
      </c>
      <c r="B72" s="152" t="s">
        <v>59</v>
      </c>
      <c r="C72" s="152" t="s">
        <v>21</v>
      </c>
      <c r="D72" s="154">
        <v>1</v>
      </c>
      <c r="E72" s="161">
        <v>500</v>
      </c>
      <c r="F72" s="156">
        <f t="shared" si="8"/>
        <v>500</v>
      </c>
      <c r="G72" s="100" t="str">
        <f t="shared" si="9"/>
        <v>Bien</v>
      </c>
      <c r="H72" s="74"/>
    </row>
    <row r="73" spans="1:9">
      <c r="C73" s="74"/>
      <c r="D73" s="130"/>
      <c r="E73" s="102">
        <f>SUM(E67:E72)</f>
        <v>3740</v>
      </c>
      <c r="F73" s="102">
        <f>SUM(F67:F72)</f>
        <v>3740</v>
      </c>
      <c r="G73" s="74"/>
      <c r="H73" s="74"/>
      <c r="I73" s="103" t="str">
        <f>+IF(F73=C15,"OK","Revisar")</f>
        <v>OK</v>
      </c>
    </row>
    <row r="74" spans="1:9">
      <c r="A74" s="1" t="s">
        <v>32</v>
      </c>
      <c r="B74" s="1"/>
      <c r="C74" s="1"/>
      <c r="D74" s="1"/>
      <c r="E74" s="1"/>
      <c r="F74" s="1"/>
      <c r="G74" s="1"/>
      <c r="H74" s="74"/>
    </row>
    <row r="75" spans="1:9">
      <c r="C75" s="74" t="s">
        <v>42</v>
      </c>
      <c r="D75" s="75" t="s">
        <v>63</v>
      </c>
      <c r="E75" s="74" t="s">
        <v>45</v>
      </c>
      <c r="F75" s="101" t="s">
        <v>37</v>
      </c>
      <c r="G75" s="74"/>
      <c r="H75" s="74"/>
    </row>
    <row r="76" spans="1:9">
      <c r="A76" s="144">
        <v>109</v>
      </c>
      <c r="B76" s="145" t="s">
        <v>46</v>
      </c>
      <c r="C76" s="145" t="s">
        <v>20</v>
      </c>
      <c r="D76" s="146">
        <v>15</v>
      </c>
      <c r="E76" s="147">
        <v>233340</v>
      </c>
      <c r="F76" s="148">
        <f>IFERROR(INDEX($B$3:$G$14,MATCH(C76,$A$3:$A$14,0),MATCH($A$74,$B$2:$G$2,0)),0)</f>
        <v>233340</v>
      </c>
      <c r="G76" s="82" t="str">
        <f>IF(F76=E76,"Bien",F76-E76)</f>
        <v>Bien</v>
      </c>
      <c r="H76" s="74"/>
    </row>
    <row r="77" spans="1:9">
      <c r="A77" s="150">
        <v>309</v>
      </c>
      <c r="B77" s="48" t="s">
        <v>56</v>
      </c>
      <c r="C77" s="74" t="s">
        <v>18</v>
      </c>
      <c r="D77" s="130"/>
      <c r="E77" s="102"/>
      <c r="F77" s="86">
        <f>IFERROR(INDEX($B$3:$G$14,MATCH(C77,$A$3:$A$14,0),MATCH($A$74,$B$2:$G$2,0)),0)</f>
        <v>0</v>
      </c>
      <c r="G77" s="87" t="str">
        <f>IF(F77=E77,"Bien",F77-E77)</f>
        <v>Bien</v>
      </c>
      <c r="H77" s="74"/>
    </row>
    <row r="78" spans="1:9">
      <c r="A78" s="160">
        <v>296</v>
      </c>
      <c r="B78" s="152" t="s">
        <v>59</v>
      </c>
      <c r="C78" s="152" t="s">
        <v>21</v>
      </c>
      <c r="D78" s="154"/>
      <c r="E78" s="155"/>
      <c r="F78" s="156">
        <f>IFERROR(INDEX($B$3:$G$14,MATCH(C78,$A$3:$A$14,0),MATCH($A$74,$B$2:$G$2,0)),0)</f>
        <v>0</v>
      </c>
      <c r="G78" s="100" t="str">
        <f>IF(F78=E78,"Bien",F78-E78)</f>
        <v>Bien</v>
      </c>
      <c r="H78" s="74"/>
    </row>
    <row r="79" spans="1:9">
      <c r="C79" s="74"/>
      <c r="D79" s="130"/>
      <c r="E79" s="102">
        <f>SUM(E76:E78)</f>
        <v>233340</v>
      </c>
      <c r="F79" s="102">
        <f>SUM(F76:F78)</f>
        <v>233340</v>
      </c>
      <c r="G79" s="74"/>
      <c r="H79" s="74"/>
      <c r="I79" s="103" t="str">
        <f>+IF(F79=B15,"OK","Revisar")</f>
        <v>OK</v>
      </c>
    </row>
  </sheetData>
  <mergeCells count="7">
    <mergeCell ref="A65:G65"/>
    <mergeCell ref="A74:G74"/>
    <mergeCell ref="A19:C19"/>
    <mergeCell ref="A22:H22"/>
    <mergeCell ref="A36:H36"/>
    <mergeCell ref="A48:H48"/>
    <mergeCell ref="A57:G5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Hoja1</vt:lpstr>
      <vt:lpstr>Tabla dinámica_Hoja1_1</vt:lpstr>
      <vt:lpstr>certificacion_2_2_2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Castell Marín</dc:creator>
  <dc:description/>
  <cp:lastModifiedBy>Clara Fons</cp:lastModifiedBy>
  <cp:revision>2</cp:revision>
  <dcterms:created xsi:type="dcterms:W3CDTF">2023-09-06T06:53:20Z</dcterms:created>
  <dcterms:modified xsi:type="dcterms:W3CDTF">2024-11-07T11:51:41Z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