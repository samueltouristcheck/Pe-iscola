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Hoja1!$A$1:$J$319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<sst xmlns="http://schemas.openxmlformats.org/spreadsheetml/2006/main" count="1452" uniqueCount="64">
  <si>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</si>
  <si>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</si>
  <si>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</si>
  <si>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</si>
  <si>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</si>
  <si>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</si>
  <si>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</si>
  <si>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</si>
  <si>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</si>
  <si>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Revisión</t>
  </si>
  <si>
    <t xml:space="preserve">1821KBZ</t>
  </si>
  <si>
    <t xml:space="preserve">PEÑISCOLA </t>
  </si>
  <si>
    <t xml:space="preserve">RSU</t>
  </si>
  <si>
    <t xml:space="preserve">x</t>
  </si>
  <si>
    <t xml:space="preserve">7542KBV</t>
  </si>
  <si>
    <t xml:space="preserve">1076KSZ</t>
  </si>
  <si>
    <t xml:space="preserve">7957JZS</t>
  </si>
  <si>
    <t xml:space="preserve">VOL</t>
  </si>
  <si>
    <t xml:space="preserve">6120JZX</t>
  </si>
  <si>
    <t xml:space="preserve">3686KBG</t>
  </si>
  <si>
    <t xml:space="preserve">SEL.PAP</t>
  </si>
  <si>
    <t xml:space="preserve">7809JZX</t>
  </si>
  <si>
    <t xml:space="preserve">PODA</t>
  </si>
  <si>
    <t xml:space="preserve">SEL.ENV</t>
  </si>
  <si>
    <t xml:space="preserve">5313GBZ</t>
  </si>
  <si>
    <t xml:space="preserve">0315BGK</t>
  </si>
  <si>
    <t xml:space="preserve">SEl.ENV</t>
  </si>
  <si>
    <t xml:space="preserve">1730KBZ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</si>
  <si>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</si>
  <si>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</si>
  <si>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</si>
  <si>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</si>
  <si>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</si>
  <si>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</si>
  <si>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</si>
  <si>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</si>
  <si>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</si>
  <si>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</si>
  <si>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</si>
  <si>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</si>
  <si>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</si>
  <si>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</si>
  <si>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</si>
  <si>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</si>
  <si>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</si>
  <si>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</si>
  <si>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Día/Noche</t>
  </si>
  <si>
    <t xml:space="preserve">Recolector 22 _ 1</t>
  </si>
  <si>
    <t xml:space="preserve">2-3-4-5</t>
  </si>
  <si>
    <t xml:space="preserve">Recolector 22 _ 2</t>
  </si>
  <si>
    <t xml:space="preserve">volquete 4x4 LV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</si>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</sst>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7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0"/>
      <charset val="1"/>
    </font>
    <font>
      <b val="true"/>
      <sz val="11"/>
      <name val="Calibri"/>
      <family val="2"/>
      <charset val="1"/>
    </font>
    <font>
      <sz val="11"/>
      <color rgb="FF000000"/>
      <name val="Frutiger 45 Light"/>
      <family val="2"/>
      <charset val="1"/>
    </font>
    <font>
      <b val="true"/>
      <sz val="11"/>
      <color rgb="FFCE18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9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1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2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2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2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2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2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2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7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0" borderId="28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6" fillId="0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2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6" fillId="2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2" borderId="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29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9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29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3" borderId="29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3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3" borderId="3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0" borderId="0" xfId="2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31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3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6" fillId="0" borderId="31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3" borderId="31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3" borderId="3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2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3" borderId="29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3" borderId="3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3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3" borderId="3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3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31" xfId="2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70" fontId="0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3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6" fillId="3" borderId="31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3" borderId="3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6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7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6" fillId="0" borderId="38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33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29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3" borderId="4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34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0" borderId="41" xfId="2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8" fontId="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3" borderId="42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34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4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0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41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4" borderId="0" xfId="2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9" fillId="0" borderId="35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4" borderId="43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31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3" borderId="44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11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2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3" borderId="12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6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6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7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8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4" borderId="8" xfId="20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8" fontId="0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8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3" borderId="8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6" fillId="0" borderId="12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6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7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8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dxfs count="12">
    <dxf>
      <font>
        <name val="Calibri"/>
        <charset val="1"/>
        <family val="2"/>
        <b val="1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b val="1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color rgb="FF000000"/>
      </font>
      <numFmt numFmtId="164" formatCode="#,##0.00\ ;[RED]\-#,##0.00\ "/>
    </dxf>
    <dxf>
      <font>
        <name val="Calibri"/>
        <charset val="1"/>
        <family val="2"/>
        <b val="0"/>
        <i val="0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19"/>
  <sheetViews>
    <sheetView showFormulas="false" showGridLines="true" showRowColHeaders="true" showZeros="true" rightToLeft="false" tabSelected="true" showOutlineSymbols="true" defaultGridColor="true" view="normal" topLeftCell="A119" colorId="64" zoomScale="100" zoomScaleNormal="100" zoomScalePageLayoutView="100" workbookViewId="0">
      <selection pane="topLeft" activeCell="J321" activeCellId="0" sqref="J321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5" t="n">
        <v>44713</v>
      </c>
      <c r="B2" s="6" t="n">
        <v>0.161111111111111</v>
      </c>
      <c r="C2" s="7" t="n">
        <v>5824</v>
      </c>
      <c r="D2" s="7" t="s">
        <v>10</v>
      </c>
      <c r="E2" s="7" t="n">
        <v>25080</v>
      </c>
      <c r="F2" s="7" t="n">
        <v>15840</v>
      </c>
      <c r="G2" s="8" t="n">
        <v>9240</v>
      </c>
      <c r="H2" s="7" t="s">
        <v>11</v>
      </c>
      <c r="I2" s="7" t="s">
        <v>12</v>
      </c>
      <c r="J2" s="0" t="s">
        <v>13</v>
      </c>
    </row>
    <row r="3" customFormat="false" ht="15" hidden="false" customHeight="false" outlineLevel="0" collapsed="false">
      <c r="A3" s="5" t="n">
        <v>44713</v>
      </c>
      <c r="B3" s="6" t="n">
        <v>0.259722222222222</v>
      </c>
      <c r="C3" s="7" t="n">
        <v>5833</v>
      </c>
      <c r="D3" s="7" t="s">
        <v>10</v>
      </c>
      <c r="E3" s="7" t="n">
        <v>19880</v>
      </c>
      <c r="F3" s="7" t="n">
        <v>15820</v>
      </c>
      <c r="G3" s="8" t="n">
        <v>4060</v>
      </c>
      <c r="H3" s="7" t="s">
        <v>11</v>
      </c>
      <c r="I3" s="7" t="s">
        <v>12</v>
      </c>
      <c r="J3" s="0" t="s">
        <v>13</v>
      </c>
    </row>
    <row r="4" customFormat="false" ht="15" hidden="false" customHeight="false" outlineLevel="0" collapsed="false">
      <c r="A4" s="5" t="n">
        <v>44713</v>
      </c>
      <c r="B4" s="6" t="n">
        <v>0.255555555555556</v>
      </c>
      <c r="C4" s="7" t="n">
        <v>5832</v>
      </c>
      <c r="D4" s="7" t="s">
        <v>14</v>
      </c>
      <c r="E4" s="7" t="n">
        <v>16920</v>
      </c>
      <c r="F4" s="7" t="n">
        <v>13020</v>
      </c>
      <c r="G4" s="8" t="n">
        <v>3900</v>
      </c>
      <c r="H4" s="7" t="s">
        <v>11</v>
      </c>
      <c r="I4" s="7" t="s">
        <v>12</v>
      </c>
      <c r="J4" s="0" t="s">
        <v>13</v>
      </c>
    </row>
    <row r="5" customFormat="false" ht="15" hidden="false" customHeight="false" outlineLevel="0" collapsed="false">
      <c r="A5" s="5" t="n">
        <v>44713</v>
      </c>
      <c r="B5" s="6" t="n">
        <v>0.127777777777778</v>
      </c>
      <c r="C5" s="7" t="n">
        <v>5822</v>
      </c>
      <c r="D5" s="7" t="s">
        <v>14</v>
      </c>
      <c r="E5" s="7" t="n">
        <v>20440</v>
      </c>
      <c r="F5" s="7" t="n">
        <v>12780</v>
      </c>
      <c r="G5" s="8" t="n">
        <v>7660</v>
      </c>
      <c r="H5" s="7" t="s">
        <v>11</v>
      </c>
      <c r="I5" s="7" t="s">
        <v>12</v>
      </c>
      <c r="J5" s="0" t="s">
        <v>13</v>
      </c>
    </row>
    <row r="6" customFormat="false" ht="15" hidden="false" customHeight="false" outlineLevel="0" collapsed="false">
      <c r="A6" s="5" t="n">
        <v>44713</v>
      </c>
      <c r="B6" s="6" t="n">
        <v>0.206944444444444</v>
      </c>
      <c r="C6" s="7" t="n">
        <v>5827</v>
      </c>
      <c r="D6" s="7" t="s">
        <v>15</v>
      </c>
      <c r="E6" s="7" t="n">
        <v>3540</v>
      </c>
      <c r="F6" s="7" t="n">
        <v>2800</v>
      </c>
      <c r="G6" s="8" t="n">
        <v>740</v>
      </c>
      <c r="H6" s="7" t="s">
        <v>11</v>
      </c>
      <c r="I6" s="7" t="s">
        <v>12</v>
      </c>
      <c r="J6" s="0" t="s">
        <v>13</v>
      </c>
    </row>
    <row r="7" customFormat="false" ht="15" hidden="false" customHeight="false" outlineLevel="0" collapsed="false">
      <c r="A7" s="5" t="n">
        <v>44713</v>
      </c>
      <c r="B7" s="6" t="n">
        <v>0.394444444444444</v>
      </c>
      <c r="C7" s="7" t="n">
        <v>5844</v>
      </c>
      <c r="D7" s="7" t="s">
        <v>16</v>
      </c>
      <c r="E7" s="7" t="n">
        <v>6160</v>
      </c>
      <c r="F7" s="7" t="n">
        <v>5540</v>
      </c>
      <c r="G7" s="8" t="n">
        <v>620</v>
      </c>
      <c r="H7" s="7" t="s">
        <v>11</v>
      </c>
      <c r="I7" s="7" t="s">
        <v>17</v>
      </c>
      <c r="J7" s="0" t="s">
        <v>13</v>
      </c>
    </row>
    <row r="8" customFormat="false" ht="15" hidden="false" customHeight="false" outlineLevel="0" collapsed="false">
      <c r="A8" s="5" t="n">
        <v>44713</v>
      </c>
      <c r="B8" s="6" t="n">
        <v>0.516666666666667</v>
      </c>
      <c r="C8" s="7" t="n">
        <v>5858</v>
      </c>
      <c r="D8" s="7" t="s">
        <v>16</v>
      </c>
      <c r="E8" s="7" t="n">
        <v>6540</v>
      </c>
      <c r="F8" s="7" t="n">
        <v>5520</v>
      </c>
      <c r="G8" s="8" t="n">
        <v>1020</v>
      </c>
      <c r="H8" s="7" t="s">
        <v>11</v>
      </c>
      <c r="I8" s="7" t="s">
        <v>17</v>
      </c>
      <c r="J8" s="0" t="s">
        <v>13</v>
      </c>
    </row>
    <row r="9" customFormat="false" ht="15" hidden="false" customHeight="false" outlineLevel="0" collapsed="false">
      <c r="A9" s="5" t="n">
        <v>44713</v>
      </c>
      <c r="B9" s="6" t="n">
        <v>0.513888888888889</v>
      </c>
      <c r="C9" s="7" t="n">
        <v>5857</v>
      </c>
      <c r="D9" s="7" t="s">
        <v>18</v>
      </c>
      <c r="E9" s="7" t="n">
        <v>3360</v>
      </c>
      <c r="F9" s="7" t="n">
        <v>2860</v>
      </c>
      <c r="G9" s="8" t="n">
        <v>500</v>
      </c>
      <c r="H9" s="7" t="s">
        <v>11</v>
      </c>
      <c r="I9" s="7" t="s">
        <v>17</v>
      </c>
      <c r="J9" s="0" t="s">
        <v>13</v>
      </c>
    </row>
    <row r="10" customFormat="false" ht="15" hidden="false" customHeight="false" outlineLevel="0" collapsed="false">
      <c r="A10" s="5" t="n">
        <v>44713</v>
      </c>
      <c r="B10" s="6" t="n">
        <v>0.352777777777778</v>
      </c>
      <c r="C10" s="7" t="n">
        <v>5842</v>
      </c>
      <c r="D10" s="7" t="s">
        <v>18</v>
      </c>
      <c r="E10" s="7" t="n">
        <v>3420</v>
      </c>
      <c r="F10" s="7" t="n">
        <v>2880</v>
      </c>
      <c r="G10" s="8" t="n">
        <v>540</v>
      </c>
      <c r="H10" s="7" t="s">
        <v>11</v>
      </c>
      <c r="I10" s="7" t="s">
        <v>17</v>
      </c>
      <c r="J10" s="0" t="s">
        <v>13</v>
      </c>
    </row>
    <row r="11" customFormat="false" ht="15" hidden="false" customHeight="false" outlineLevel="0" collapsed="false">
      <c r="A11" s="5" t="n">
        <v>44713</v>
      </c>
      <c r="B11" s="6" t="n">
        <v>0.479166666666667</v>
      </c>
      <c r="C11" s="7" t="n">
        <v>5851</v>
      </c>
      <c r="D11" s="7" t="s">
        <v>19</v>
      </c>
      <c r="E11" s="7" t="n">
        <v>2580</v>
      </c>
      <c r="F11" s="7" t="n">
        <v>2380</v>
      </c>
      <c r="G11" s="8" t="n">
        <v>200</v>
      </c>
      <c r="H11" s="7" t="s">
        <v>11</v>
      </c>
      <c r="I11" s="7" t="s">
        <v>12</v>
      </c>
      <c r="J11" s="0" t="s">
        <v>13</v>
      </c>
    </row>
    <row r="12" customFormat="false" ht="15" hidden="false" customHeight="false" outlineLevel="0" collapsed="false">
      <c r="A12" s="5" t="n">
        <v>44714</v>
      </c>
      <c r="B12" s="6" t="n">
        <v>0.247222222222222</v>
      </c>
      <c r="C12" s="7" t="n">
        <v>5890</v>
      </c>
      <c r="D12" s="7" t="s">
        <v>14</v>
      </c>
      <c r="E12" s="7" t="n">
        <v>15500</v>
      </c>
      <c r="F12" s="7" t="n">
        <v>12700</v>
      </c>
      <c r="G12" s="8" t="n">
        <v>2800</v>
      </c>
      <c r="H12" s="7" t="s">
        <v>11</v>
      </c>
      <c r="I12" s="7" t="s">
        <v>12</v>
      </c>
      <c r="J12" s="0" t="s">
        <v>13</v>
      </c>
    </row>
    <row r="13" customFormat="false" ht="15" hidden="false" customHeight="false" outlineLevel="0" collapsed="false">
      <c r="A13" s="5" t="n">
        <v>44714</v>
      </c>
      <c r="B13" s="6" t="n">
        <v>0.141666666666667</v>
      </c>
      <c r="C13" s="9" t="n">
        <v>5879</v>
      </c>
      <c r="D13" s="7" t="s">
        <v>14</v>
      </c>
      <c r="E13" s="7" t="n">
        <v>21420</v>
      </c>
      <c r="F13" s="7" t="n">
        <v>12780</v>
      </c>
      <c r="G13" s="8" t="n">
        <v>8640</v>
      </c>
      <c r="H13" s="7" t="s">
        <v>11</v>
      </c>
      <c r="I13" s="7" t="s">
        <v>12</v>
      </c>
      <c r="J13" s="0" t="s">
        <v>13</v>
      </c>
    </row>
    <row r="14" customFormat="false" ht="15" hidden="false" customHeight="false" outlineLevel="0" collapsed="false">
      <c r="A14" s="5" t="n">
        <v>44714</v>
      </c>
      <c r="B14" s="6" t="n">
        <v>0.125</v>
      </c>
      <c r="C14" s="7" t="n">
        <v>5877</v>
      </c>
      <c r="D14" s="7" t="s">
        <v>10</v>
      </c>
      <c r="E14" s="7" t="n">
        <v>25820</v>
      </c>
      <c r="F14" s="7" t="n">
        <v>15920</v>
      </c>
      <c r="G14" s="8" t="n">
        <v>9900</v>
      </c>
      <c r="H14" s="7" t="s">
        <v>11</v>
      </c>
      <c r="I14" s="7" t="s">
        <v>12</v>
      </c>
      <c r="J14" s="0" t="s">
        <v>13</v>
      </c>
    </row>
    <row r="15" customFormat="false" ht="15" hidden="false" customHeight="false" outlineLevel="0" collapsed="false">
      <c r="A15" s="5" t="n">
        <v>44714</v>
      </c>
      <c r="B15" s="6" t="n">
        <v>0.215972222222222</v>
      </c>
      <c r="C15" s="7" t="n">
        <v>5884</v>
      </c>
      <c r="D15" s="7" t="s">
        <v>15</v>
      </c>
      <c r="E15" s="7" t="n">
        <v>3240</v>
      </c>
      <c r="F15" s="7" t="n">
        <v>2880</v>
      </c>
      <c r="G15" s="8" t="n">
        <v>360</v>
      </c>
      <c r="H15" s="7" t="s">
        <v>11</v>
      </c>
      <c r="I15" s="7" t="s">
        <v>12</v>
      </c>
      <c r="J15" s="0" t="s">
        <v>13</v>
      </c>
    </row>
    <row r="16" customFormat="false" ht="15" hidden="false" customHeight="false" outlineLevel="0" collapsed="false">
      <c r="A16" s="5" t="n">
        <v>44714</v>
      </c>
      <c r="B16" s="6" t="n">
        <v>0.154861111111111</v>
      </c>
      <c r="C16" s="7" t="n">
        <v>5880</v>
      </c>
      <c r="D16" s="7" t="s">
        <v>15</v>
      </c>
      <c r="E16" s="7" t="n">
        <v>3240</v>
      </c>
      <c r="F16" s="7" t="n">
        <v>2700</v>
      </c>
      <c r="G16" s="8" t="n">
        <v>540</v>
      </c>
      <c r="H16" s="7" t="s">
        <v>11</v>
      </c>
      <c r="I16" s="7" t="s">
        <v>12</v>
      </c>
      <c r="J16" s="0" t="s">
        <v>13</v>
      </c>
    </row>
    <row r="17" customFormat="false" ht="15" hidden="false" customHeight="false" outlineLevel="0" collapsed="false">
      <c r="A17" s="5" t="n">
        <v>44714</v>
      </c>
      <c r="B17" s="6" t="n">
        <v>0.24375</v>
      </c>
      <c r="C17" s="7" t="n">
        <v>5889</v>
      </c>
      <c r="D17" s="7" t="s">
        <v>10</v>
      </c>
      <c r="E17" s="7" t="n">
        <v>20360</v>
      </c>
      <c r="F17" s="7" t="n">
        <v>15920</v>
      </c>
      <c r="G17" s="8" t="n">
        <v>4440</v>
      </c>
      <c r="H17" s="7" t="s">
        <v>11</v>
      </c>
      <c r="I17" s="7" t="s">
        <v>12</v>
      </c>
      <c r="J17" s="0" t="s">
        <v>13</v>
      </c>
    </row>
    <row r="18" customFormat="false" ht="15" hidden="false" customHeight="false" outlineLevel="0" collapsed="false">
      <c r="A18" s="5" t="n">
        <v>44714</v>
      </c>
      <c r="B18" s="6" t="n">
        <v>0.522916666666667</v>
      </c>
      <c r="C18" s="7" t="n">
        <v>5916</v>
      </c>
      <c r="D18" s="7" t="s">
        <v>16</v>
      </c>
      <c r="E18" s="7" t="n">
        <v>5860</v>
      </c>
      <c r="F18" s="7" t="n">
        <v>5600</v>
      </c>
      <c r="G18" s="8" t="n">
        <v>260</v>
      </c>
      <c r="H18" s="7" t="s">
        <v>11</v>
      </c>
      <c r="I18" s="7" t="s">
        <v>17</v>
      </c>
      <c r="J18" s="0" t="s">
        <v>13</v>
      </c>
    </row>
    <row r="19" customFormat="false" ht="15" hidden="false" customHeight="false" outlineLevel="0" collapsed="false">
      <c r="A19" s="5" t="n">
        <v>44714</v>
      </c>
      <c r="B19" s="6" t="n">
        <v>0.420833333333333</v>
      </c>
      <c r="C19" s="7" t="n">
        <v>5900</v>
      </c>
      <c r="D19" s="7" t="s">
        <v>16</v>
      </c>
      <c r="E19" s="7" t="n">
        <v>6380</v>
      </c>
      <c r="F19" s="7" t="n">
        <v>5600</v>
      </c>
      <c r="G19" s="8" t="n">
        <v>780</v>
      </c>
      <c r="H19" s="7" t="s">
        <v>11</v>
      </c>
      <c r="I19" s="7" t="s">
        <v>17</v>
      </c>
      <c r="J19" s="0" t="s">
        <v>13</v>
      </c>
    </row>
    <row r="20" customFormat="false" ht="15" hidden="false" customHeight="false" outlineLevel="0" collapsed="false">
      <c r="A20" s="5" t="n">
        <v>44714</v>
      </c>
      <c r="B20" s="6" t="n">
        <v>0.51875</v>
      </c>
      <c r="C20" s="7" t="n">
        <v>5914</v>
      </c>
      <c r="D20" s="7" t="s">
        <v>18</v>
      </c>
      <c r="E20" s="7" t="n">
        <v>3220</v>
      </c>
      <c r="F20" s="7" t="n">
        <v>2880</v>
      </c>
      <c r="G20" s="8" t="n">
        <v>340</v>
      </c>
      <c r="H20" s="7" t="s">
        <v>11</v>
      </c>
      <c r="I20" s="7" t="s">
        <v>12</v>
      </c>
      <c r="J20" s="0" t="s">
        <v>13</v>
      </c>
    </row>
    <row r="21" customFormat="false" ht="15" hidden="false" customHeight="false" outlineLevel="0" collapsed="false">
      <c r="A21" s="5" t="n">
        <v>44714</v>
      </c>
      <c r="B21" s="6" t="n">
        <v>0.44375</v>
      </c>
      <c r="C21" s="7" t="n">
        <v>5904</v>
      </c>
      <c r="D21" s="7" t="s">
        <v>19</v>
      </c>
      <c r="E21" s="7" t="n">
        <v>2620</v>
      </c>
      <c r="F21" s="7" t="n">
        <v>2380</v>
      </c>
      <c r="G21" s="8" t="n">
        <v>240</v>
      </c>
      <c r="H21" s="7" t="s">
        <v>11</v>
      </c>
      <c r="I21" s="7" t="s">
        <v>12</v>
      </c>
      <c r="J21" s="0" t="s">
        <v>13</v>
      </c>
    </row>
    <row r="22" customFormat="false" ht="15" hidden="false" customHeight="false" outlineLevel="0" collapsed="false">
      <c r="A22" s="5" t="n">
        <v>44714</v>
      </c>
      <c r="B22" s="6" t="n">
        <v>0.539583333333333</v>
      </c>
      <c r="C22" s="7" t="n">
        <v>140268</v>
      </c>
      <c r="D22" s="7" t="s">
        <v>10</v>
      </c>
      <c r="E22" s="7" t="n">
        <v>18560</v>
      </c>
      <c r="F22" s="7" t="n">
        <v>15740</v>
      </c>
      <c r="G22" s="8" t="n">
        <v>2820</v>
      </c>
      <c r="H22" s="7" t="s">
        <v>11</v>
      </c>
      <c r="I22" s="7" t="s">
        <v>20</v>
      </c>
      <c r="J22" s="0" t="s">
        <v>13</v>
      </c>
    </row>
    <row r="23" customFormat="false" ht="15" hidden="false" customHeight="false" outlineLevel="0" collapsed="false">
      <c r="A23" s="5" t="n">
        <v>44715</v>
      </c>
      <c r="B23" s="6" t="n">
        <v>0.248611111111111</v>
      </c>
      <c r="C23" s="7" t="n">
        <v>5941</v>
      </c>
      <c r="D23" s="7" t="s">
        <v>14</v>
      </c>
      <c r="E23" s="7" t="n">
        <v>15940</v>
      </c>
      <c r="F23" s="7" t="n">
        <v>12680</v>
      </c>
      <c r="G23" s="8" t="n">
        <v>3260</v>
      </c>
      <c r="H23" s="7" t="s">
        <v>11</v>
      </c>
      <c r="I23" s="7" t="s">
        <v>12</v>
      </c>
      <c r="J23" s="0" t="s">
        <v>13</v>
      </c>
    </row>
    <row r="24" customFormat="false" ht="15" hidden="false" customHeight="false" outlineLevel="0" collapsed="false">
      <c r="A24" s="5" t="n">
        <v>44715</v>
      </c>
      <c r="B24" s="6" t="n">
        <v>0.124305555555556</v>
      </c>
      <c r="C24" s="7" t="n">
        <v>5933</v>
      </c>
      <c r="D24" s="7" t="s">
        <v>14</v>
      </c>
      <c r="E24" s="7" t="n">
        <v>20980</v>
      </c>
      <c r="F24" s="7" t="n">
        <v>12720</v>
      </c>
      <c r="G24" s="8" t="n">
        <v>8260</v>
      </c>
      <c r="H24" s="7" t="s">
        <v>11</v>
      </c>
      <c r="I24" s="7" t="s">
        <v>12</v>
      </c>
      <c r="J24" s="0" t="s">
        <v>13</v>
      </c>
    </row>
    <row r="25" customFormat="false" ht="15" hidden="false" customHeight="false" outlineLevel="0" collapsed="false">
      <c r="A25" s="5" t="n">
        <v>44715</v>
      </c>
      <c r="B25" s="6" t="n">
        <v>0.2125</v>
      </c>
      <c r="C25" s="7" t="n">
        <v>5939</v>
      </c>
      <c r="D25" s="7" t="s">
        <v>21</v>
      </c>
      <c r="E25" s="7" t="n">
        <v>4600</v>
      </c>
      <c r="F25" s="7" t="n">
        <v>3780</v>
      </c>
      <c r="G25" s="8" t="n">
        <v>820</v>
      </c>
      <c r="H25" s="7" t="s">
        <v>11</v>
      </c>
      <c r="I25" s="7" t="s">
        <v>12</v>
      </c>
      <c r="J25" s="0" t="s">
        <v>13</v>
      </c>
    </row>
    <row r="26" customFormat="false" ht="15" hidden="false" customHeight="false" outlineLevel="0" collapsed="false">
      <c r="A26" s="5" t="n">
        <v>44715</v>
      </c>
      <c r="B26" s="6" t="n">
        <v>0.169444444444444</v>
      </c>
      <c r="C26" s="7" t="n">
        <v>5935</v>
      </c>
      <c r="D26" s="7" t="s">
        <v>10</v>
      </c>
      <c r="E26" s="7" t="n">
        <v>26340</v>
      </c>
      <c r="F26" s="7" t="n">
        <v>15940</v>
      </c>
      <c r="G26" s="8" t="n">
        <v>10400</v>
      </c>
      <c r="H26" s="7" t="s">
        <v>11</v>
      </c>
      <c r="I26" s="7" t="s">
        <v>12</v>
      </c>
      <c r="J26" s="0" t="s">
        <v>13</v>
      </c>
    </row>
    <row r="27" customFormat="false" ht="15" hidden="false" customHeight="false" outlineLevel="0" collapsed="false">
      <c r="A27" s="5" t="n">
        <v>44715</v>
      </c>
      <c r="B27" s="6" t="n">
        <v>0.253472222222222</v>
      </c>
      <c r="C27" s="7" t="n">
        <v>5943</v>
      </c>
      <c r="D27" s="7" t="s">
        <v>10</v>
      </c>
      <c r="E27" s="7" t="n">
        <v>19060</v>
      </c>
      <c r="F27" s="7" t="n">
        <v>15900</v>
      </c>
      <c r="G27" s="8" t="n">
        <v>3160</v>
      </c>
      <c r="H27" s="7" t="s">
        <v>11</v>
      </c>
      <c r="I27" s="7" t="s">
        <v>12</v>
      </c>
      <c r="J27" s="0" t="s">
        <v>13</v>
      </c>
    </row>
    <row r="28" customFormat="false" ht="15" hidden="false" customHeight="false" outlineLevel="0" collapsed="false">
      <c r="A28" s="5" t="n">
        <v>44715</v>
      </c>
      <c r="B28" s="6" t="n">
        <v>0.442361111111111</v>
      </c>
      <c r="C28" s="7" t="n">
        <v>5958</v>
      </c>
      <c r="D28" s="7" t="s">
        <v>15</v>
      </c>
      <c r="E28" s="7" t="n">
        <v>3460</v>
      </c>
      <c r="F28" s="7" t="n">
        <v>2720</v>
      </c>
      <c r="G28" s="8" t="n">
        <v>740</v>
      </c>
      <c r="H28" s="7" t="s">
        <v>11</v>
      </c>
      <c r="I28" s="7" t="s">
        <v>22</v>
      </c>
      <c r="J28" s="0" t="s">
        <v>13</v>
      </c>
    </row>
    <row r="29" customFormat="false" ht="15" hidden="false" customHeight="false" outlineLevel="0" collapsed="false">
      <c r="A29" s="5" t="n">
        <v>44715</v>
      </c>
      <c r="B29" s="6" t="n">
        <v>0.452083333333333</v>
      </c>
      <c r="C29" s="7" t="n">
        <v>5959</v>
      </c>
      <c r="D29" s="7" t="s">
        <v>18</v>
      </c>
      <c r="E29" s="7" t="n">
        <v>4080</v>
      </c>
      <c r="F29" s="7" t="n">
        <v>2880</v>
      </c>
      <c r="G29" s="8" t="n">
        <v>1200</v>
      </c>
      <c r="H29" s="7" t="s">
        <v>11</v>
      </c>
      <c r="I29" s="7" t="s">
        <v>12</v>
      </c>
      <c r="J29" s="0" t="s">
        <v>13</v>
      </c>
    </row>
    <row r="30" customFormat="false" ht="15" hidden="false" customHeight="false" outlineLevel="0" collapsed="false">
      <c r="A30" s="5" t="n">
        <v>44715</v>
      </c>
      <c r="B30" s="6" t="n">
        <v>0.526388888888889</v>
      </c>
      <c r="C30" s="7" t="n">
        <v>5969</v>
      </c>
      <c r="D30" s="7" t="s">
        <v>19</v>
      </c>
      <c r="E30" s="7" t="n">
        <v>2640</v>
      </c>
      <c r="F30" s="7" t="n">
        <v>2460</v>
      </c>
      <c r="G30" s="8" t="n">
        <v>180</v>
      </c>
      <c r="H30" s="7" t="s">
        <v>11</v>
      </c>
      <c r="I30" s="7" t="s">
        <v>12</v>
      </c>
      <c r="J30" s="0" t="s">
        <v>13</v>
      </c>
    </row>
    <row r="31" customFormat="false" ht="15" hidden="false" customHeight="false" outlineLevel="0" collapsed="false">
      <c r="A31" s="5" t="n">
        <v>44715</v>
      </c>
      <c r="B31" s="6" t="n">
        <v>0.557638888888889</v>
      </c>
      <c r="C31" s="7" t="n">
        <v>2946</v>
      </c>
      <c r="D31" s="7" t="s">
        <v>10</v>
      </c>
      <c r="E31" s="7" t="n">
        <v>18540</v>
      </c>
      <c r="F31" s="7" t="n">
        <v>15760</v>
      </c>
      <c r="G31" s="8" t="n">
        <v>2780</v>
      </c>
      <c r="H31" s="7" t="s">
        <v>11</v>
      </c>
      <c r="I31" s="7" t="s">
        <v>23</v>
      </c>
      <c r="J31" s="0" t="s">
        <v>13</v>
      </c>
    </row>
    <row r="32" customFormat="false" ht="15" hidden="false" customHeight="false" outlineLevel="0" collapsed="false">
      <c r="A32" s="5" t="n">
        <v>44716</v>
      </c>
      <c r="B32" s="6" t="n">
        <v>0.443055555555556</v>
      </c>
      <c r="C32" s="7" t="n">
        <v>6005</v>
      </c>
      <c r="D32" s="7" t="s">
        <v>15</v>
      </c>
      <c r="E32" s="7" t="n">
        <v>4480</v>
      </c>
      <c r="F32" s="7" t="n">
        <v>2700</v>
      </c>
      <c r="G32" s="8" t="n">
        <v>1780</v>
      </c>
      <c r="H32" s="5" t="s">
        <v>11</v>
      </c>
      <c r="I32" s="7" t="s">
        <v>12</v>
      </c>
      <c r="J32" s="0" t="s">
        <v>13</v>
      </c>
    </row>
    <row r="33" customFormat="false" ht="15" hidden="false" customHeight="false" outlineLevel="0" collapsed="false">
      <c r="A33" s="5" t="n">
        <v>44716</v>
      </c>
      <c r="B33" s="6" t="n">
        <v>0.253472222222222</v>
      </c>
      <c r="C33" s="7" t="n">
        <v>5994</v>
      </c>
      <c r="D33" s="7" t="s">
        <v>10</v>
      </c>
      <c r="E33" s="7" t="n">
        <v>24580</v>
      </c>
      <c r="F33" s="7" t="n">
        <v>15800</v>
      </c>
      <c r="G33" s="8" t="n">
        <v>8780</v>
      </c>
      <c r="H33" s="7" t="s">
        <v>11</v>
      </c>
      <c r="I33" s="7" t="s">
        <v>12</v>
      </c>
      <c r="J33" s="0" t="s">
        <v>13</v>
      </c>
    </row>
    <row r="34" customFormat="false" ht="15" hidden="false" customHeight="false" outlineLevel="0" collapsed="false">
      <c r="A34" s="5" t="n">
        <v>44716</v>
      </c>
      <c r="B34" s="6" t="n">
        <v>0.0861111111111111</v>
      </c>
      <c r="C34" s="7" t="n">
        <v>5979</v>
      </c>
      <c r="D34" s="7" t="s">
        <v>10</v>
      </c>
      <c r="E34" s="7" t="n">
        <v>21820</v>
      </c>
      <c r="F34" s="7" t="n">
        <v>15820</v>
      </c>
      <c r="G34" s="8" t="n">
        <v>6000</v>
      </c>
      <c r="H34" s="7" t="s">
        <v>11</v>
      </c>
      <c r="I34" s="7" t="s">
        <v>12</v>
      </c>
      <c r="J34" s="0" t="s">
        <v>13</v>
      </c>
    </row>
    <row r="35" customFormat="false" ht="15" hidden="false" customHeight="false" outlineLevel="0" collapsed="false">
      <c r="A35" s="5" t="n">
        <v>44716</v>
      </c>
      <c r="B35" s="6" t="n">
        <v>0.181944444444444</v>
      </c>
      <c r="C35" s="7" t="n">
        <v>5986</v>
      </c>
      <c r="D35" s="7" t="s">
        <v>14</v>
      </c>
      <c r="E35" s="7" t="n">
        <v>22760</v>
      </c>
      <c r="F35" s="7" t="n">
        <v>12640</v>
      </c>
      <c r="G35" s="8" t="n">
        <v>10120</v>
      </c>
      <c r="H35" s="7" t="s">
        <v>11</v>
      </c>
      <c r="I35" s="7" t="s">
        <v>12</v>
      </c>
      <c r="J35" s="0" t="s">
        <v>13</v>
      </c>
    </row>
    <row r="36" customFormat="false" ht="15" hidden="false" customHeight="false" outlineLevel="0" collapsed="false">
      <c r="A36" s="5" t="n">
        <v>44716</v>
      </c>
      <c r="B36" s="6" t="n">
        <v>0.265277777777778</v>
      </c>
      <c r="C36" s="7" t="n">
        <v>5996</v>
      </c>
      <c r="D36" s="7" t="s">
        <v>14</v>
      </c>
      <c r="E36" s="7" t="n">
        <v>17340</v>
      </c>
      <c r="F36" s="7" t="n">
        <v>12840</v>
      </c>
      <c r="G36" s="8" t="n">
        <v>4500</v>
      </c>
      <c r="H36" s="7" t="s">
        <v>11</v>
      </c>
      <c r="I36" s="7" t="s">
        <v>12</v>
      </c>
      <c r="J36" s="0" t="s">
        <v>13</v>
      </c>
    </row>
    <row r="37" customFormat="false" ht="15" hidden="false" customHeight="false" outlineLevel="0" collapsed="false">
      <c r="A37" s="5" t="n">
        <v>44717</v>
      </c>
      <c r="B37" s="6" t="n">
        <v>0.208333333333333</v>
      </c>
      <c r="C37" s="7" t="n">
        <v>6020</v>
      </c>
      <c r="D37" s="7" t="s">
        <v>21</v>
      </c>
      <c r="E37" s="7" t="n">
        <v>4360</v>
      </c>
      <c r="F37" s="7" t="n">
        <v>3780</v>
      </c>
      <c r="G37" s="8" t="n">
        <v>580</v>
      </c>
      <c r="H37" s="7" t="s">
        <v>11</v>
      </c>
      <c r="I37" s="7" t="s">
        <v>12</v>
      </c>
      <c r="J37" s="0" t="s">
        <v>13</v>
      </c>
    </row>
    <row r="38" customFormat="false" ht="15" hidden="false" customHeight="false" outlineLevel="0" collapsed="false">
      <c r="A38" s="5" t="n">
        <v>44717</v>
      </c>
      <c r="B38" s="6" t="n">
        <v>0.129861111111111</v>
      </c>
      <c r="C38" s="7" t="n">
        <v>6013</v>
      </c>
      <c r="D38" s="7" t="s">
        <v>21</v>
      </c>
      <c r="E38" s="7" t="n">
        <v>4680</v>
      </c>
      <c r="F38" s="7" t="n">
        <v>3580</v>
      </c>
      <c r="G38" s="8" t="n">
        <v>1100</v>
      </c>
      <c r="H38" s="7" t="s">
        <v>11</v>
      </c>
      <c r="I38" s="7" t="s">
        <v>12</v>
      </c>
      <c r="J38" s="0" t="s">
        <v>13</v>
      </c>
    </row>
    <row r="39" customFormat="false" ht="15" hidden="false" customHeight="false" outlineLevel="0" collapsed="false">
      <c r="A39" s="5" t="n">
        <v>44717</v>
      </c>
      <c r="B39" s="6" t="n">
        <v>0.0895833333333333</v>
      </c>
      <c r="C39" s="7" t="n">
        <v>6010</v>
      </c>
      <c r="D39" s="7" t="s">
        <v>14</v>
      </c>
      <c r="E39" s="7" t="n">
        <v>22020</v>
      </c>
      <c r="F39" s="7" t="n">
        <v>12760</v>
      </c>
      <c r="G39" s="8" t="n">
        <v>9260</v>
      </c>
      <c r="H39" s="7" t="s">
        <v>11</v>
      </c>
      <c r="I39" s="7" t="s">
        <v>12</v>
      </c>
      <c r="J39" s="0" t="s">
        <v>13</v>
      </c>
    </row>
    <row r="40" customFormat="false" ht="15" hidden="false" customHeight="false" outlineLevel="0" collapsed="false">
      <c r="A40" s="5" t="n">
        <v>44717</v>
      </c>
      <c r="B40" s="6" t="n">
        <v>0.493055555555556</v>
      </c>
      <c r="C40" s="7" t="n">
        <v>6027</v>
      </c>
      <c r="D40" s="7" t="s">
        <v>21</v>
      </c>
      <c r="E40" s="7" t="n">
        <v>4420</v>
      </c>
      <c r="F40" s="7" t="n">
        <v>3560</v>
      </c>
      <c r="G40" s="8" t="n">
        <v>860</v>
      </c>
      <c r="H40" s="7" t="s">
        <v>11</v>
      </c>
      <c r="I40" s="7" t="s">
        <v>12</v>
      </c>
      <c r="J40" s="0" t="s">
        <v>13</v>
      </c>
    </row>
    <row r="41" customFormat="false" ht="15" hidden="false" customHeight="false" outlineLevel="0" collapsed="false">
      <c r="A41" s="5" t="n">
        <v>44717</v>
      </c>
      <c r="B41" s="6" t="n">
        <v>0.249305555555556</v>
      </c>
      <c r="C41" s="7" t="n">
        <v>6023</v>
      </c>
      <c r="D41" s="7" t="s">
        <v>14</v>
      </c>
      <c r="E41" s="7" t="n">
        <v>21200</v>
      </c>
      <c r="F41" s="7" t="n">
        <v>12720</v>
      </c>
      <c r="G41" s="8" t="n">
        <v>8480</v>
      </c>
      <c r="H41" s="7" t="s">
        <v>11</v>
      </c>
      <c r="I41" s="7" t="s">
        <v>12</v>
      </c>
      <c r="J41" s="0" t="s">
        <v>13</v>
      </c>
    </row>
    <row r="42" customFormat="false" ht="15" hidden="false" customHeight="false" outlineLevel="0" collapsed="false">
      <c r="A42" s="5" t="n">
        <v>44717</v>
      </c>
      <c r="B42" s="6" t="n">
        <v>0.49375</v>
      </c>
      <c r="C42" s="7" t="n">
        <v>6028</v>
      </c>
      <c r="D42" s="7" t="s">
        <v>15</v>
      </c>
      <c r="E42" s="7" t="n">
        <v>3160</v>
      </c>
      <c r="F42" s="7" t="n">
        <v>2680</v>
      </c>
      <c r="G42" s="8" t="n">
        <v>480</v>
      </c>
      <c r="H42" s="7" t="s">
        <v>11</v>
      </c>
      <c r="I42" s="7" t="s">
        <v>12</v>
      </c>
      <c r="J42" s="0" t="s">
        <v>13</v>
      </c>
    </row>
    <row r="43" customFormat="false" ht="15" hidden="false" customHeight="false" outlineLevel="0" collapsed="false">
      <c r="A43" s="5" t="n">
        <v>44717</v>
      </c>
      <c r="B43" s="6" t="n">
        <v>0.246527777777778</v>
      </c>
      <c r="C43" s="7" t="n">
        <v>6022</v>
      </c>
      <c r="D43" s="7" t="s">
        <v>10</v>
      </c>
      <c r="E43" s="7" t="n">
        <v>22080</v>
      </c>
      <c r="F43" s="7" t="n">
        <v>15860</v>
      </c>
      <c r="G43" s="8" t="n">
        <v>6220</v>
      </c>
      <c r="H43" s="7" t="s">
        <v>11</v>
      </c>
      <c r="I43" s="7" t="s">
        <v>12</v>
      </c>
      <c r="J43" s="0" t="s">
        <v>13</v>
      </c>
    </row>
    <row r="44" customFormat="false" ht="15" hidden="false" customHeight="false" outlineLevel="0" collapsed="false">
      <c r="A44" s="5" t="n">
        <v>44717</v>
      </c>
      <c r="B44" s="6" t="n">
        <v>0.156944444444444</v>
      </c>
      <c r="C44" s="7" t="n">
        <v>6017</v>
      </c>
      <c r="D44" s="7" t="s">
        <v>10</v>
      </c>
      <c r="E44" s="7" t="n">
        <v>26020</v>
      </c>
      <c r="F44" s="7" t="n">
        <v>15880</v>
      </c>
      <c r="G44" s="8" t="n">
        <v>10140</v>
      </c>
      <c r="H44" s="7" t="s">
        <v>11</v>
      </c>
      <c r="I44" s="7" t="s">
        <v>12</v>
      </c>
      <c r="J44" s="0" t="s">
        <v>13</v>
      </c>
    </row>
    <row r="45" customFormat="false" ht="15" hidden="false" customHeight="false" outlineLevel="0" collapsed="false">
      <c r="A45" s="5" t="n">
        <v>44718</v>
      </c>
      <c r="B45" s="6" t="n">
        <v>0.0888888888888889</v>
      </c>
      <c r="C45" s="7" t="n">
        <v>6032</v>
      </c>
      <c r="D45" s="7" t="s">
        <v>10</v>
      </c>
      <c r="E45" s="7" t="n">
        <v>22840</v>
      </c>
      <c r="F45" s="7" t="n">
        <v>15880</v>
      </c>
      <c r="G45" s="8" t="n">
        <v>6960</v>
      </c>
      <c r="H45" s="7" t="s">
        <v>11</v>
      </c>
      <c r="I45" s="7" t="s">
        <v>12</v>
      </c>
      <c r="J45" s="0" t="s">
        <v>13</v>
      </c>
    </row>
    <row r="46" customFormat="false" ht="15" hidden="false" customHeight="false" outlineLevel="0" collapsed="false">
      <c r="A46" s="5" t="n">
        <v>44718</v>
      </c>
      <c r="B46" s="6" t="n">
        <v>0.238888888888889</v>
      </c>
      <c r="C46" s="7" t="n">
        <v>6045</v>
      </c>
      <c r="D46" s="7" t="s">
        <v>10</v>
      </c>
      <c r="E46" s="7" t="n">
        <v>24820</v>
      </c>
      <c r="F46" s="7" t="n">
        <v>15880</v>
      </c>
      <c r="G46" s="8" t="n">
        <v>8940</v>
      </c>
      <c r="H46" s="7" t="s">
        <v>11</v>
      </c>
      <c r="I46" s="7" t="s">
        <v>12</v>
      </c>
      <c r="J46" s="0" t="s">
        <v>13</v>
      </c>
    </row>
    <row r="47" customFormat="false" ht="15" hidden="false" customHeight="false" outlineLevel="0" collapsed="false">
      <c r="A47" s="5" t="n">
        <v>44718</v>
      </c>
      <c r="B47" s="6" t="n">
        <v>0.199305555555556</v>
      </c>
      <c r="C47" s="7" t="n">
        <v>6041</v>
      </c>
      <c r="D47" s="7" t="s">
        <v>15</v>
      </c>
      <c r="E47" s="7" t="n">
        <v>3860</v>
      </c>
      <c r="F47" s="7" t="n">
        <v>2900</v>
      </c>
      <c r="G47" s="8" t="n">
        <v>960</v>
      </c>
      <c r="H47" s="7" t="s">
        <v>11</v>
      </c>
      <c r="I47" s="7" t="s">
        <v>12</v>
      </c>
      <c r="J47" s="0" t="s">
        <v>13</v>
      </c>
    </row>
    <row r="48" customFormat="false" ht="15" hidden="false" customHeight="false" outlineLevel="0" collapsed="false">
      <c r="A48" s="5" t="n">
        <v>44718</v>
      </c>
      <c r="B48" s="6" t="n">
        <v>0.0979166666666667</v>
      </c>
      <c r="C48" s="7" t="n">
        <v>6033</v>
      </c>
      <c r="D48" s="7" t="s">
        <v>15</v>
      </c>
      <c r="E48" s="7" t="n">
        <v>3300</v>
      </c>
      <c r="F48" s="7" t="n">
        <v>2720</v>
      </c>
      <c r="G48" s="8" t="n">
        <v>580</v>
      </c>
      <c r="H48" s="7" t="s">
        <v>11</v>
      </c>
      <c r="I48" s="7" t="s">
        <v>12</v>
      </c>
      <c r="J48" s="0" t="s">
        <v>13</v>
      </c>
    </row>
    <row r="49" customFormat="false" ht="15" hidden="false" customHeight="false" outlineLevel="0" collapsed="false">
      <c r="A49" s="5" t="n">
        <v>44718</v>
      </c>
      <c r="B49" s="6" t="n">
        <v>0.0527777777777778</v>
      </c>
      <c r="C49" s="7" t="n">
        <v>6030</v>
      </c>
      <c r="D49" s="7" t="s">
        <v>14</v>
      </c>
      <c r="E49" s="7" t="n">
        <v>21680</v>
      </c>
      <c r="F49" s="7" t="n">
        <v>12680</v>
      </c>
      <c r="G49" s="8" t="n">
        <v>9000</v>
      </c>
      <c r="H49" s="7" t="s">
        <v>11</v>
      </c>
      <c r="I49" s="7" t="s">
        <v>12</v>
      </c>
      <c r="J49" s="0" t="s">
        <v>13</v>
      </c>
    </row>
    <row r="50" customFormat="false" ht="15" hidden="false" customHeight="false" outlineLevel="0" collapsed="false">
      <c r="A50" s="5" t="n">
        <v>44718</v>
      </c>
      <c r="B50" s="6" t="n">
        <v>0.2375</v>
      </c>
      <c r="C50" s="7" t="n">
        <v>6044</v>
      </c>
      <c r="D50" s="7" t="s">
        <v>14</v>
      </c>
      <c r="E50" s="7" t="n">
        <v>20780</v>
      </c>
      <c r="F50" s="7" t="n">
        <v>12720</v>
      </c>
      <c r="G50" s="8" t="n">
        <v>8060</v>
      </c>
      <c r="H50" s="7" t="s">
        <v>11</v>
      </c>
      <c r="I50" s="7" t="s">
        <v>12</v>
      </c>
      <c r="J50" s="0" t="s">
        <v>13</v>
      </c>
    </row>
    <row r="51" customFormat="false" ht="15" hidden="false" customHeight="false" outlineLevel="0" collapsed="false">
      <c r="A51" s="5" t="n">
        <v>44718</v>
      </c>
      <c r="B51" s="6" t="n">
        <v>0.496527777777778</v>
      </c>
      <c r="C51" s="7" t="n">
        <v>6071</v>
      </c>
      <c r="D51" s="7" t="s">
        <v>19</v>
      </c>
      <c r="E51" s="7" t="n">
        <v>2580</v>
      </c>
      <c r="F51" s="7" t="n">
        <v>2340</v>
      </c>
      <c r="G51" s="8" t="n">
        <v>240</v>
      </c>
      <c r="H51" s="7" t="s">
        <v>11</v>
      </c>
      <c r="I51" s="7" t="s">
        <v>12</v>
      </c>
      <c r="J51" s="0" t="s">
        <v>13</v>
      </c>
    </row>
    <row r="52" customFormat="false" ht="15" hidden="false" customHeight="false" outlineLevel="0" collapsed="false">
      <c r="A52" s="5" t="n">
        <v>44718</v>
      </c>
      <c r="B52" s="6" t="n">
        <v>0.431944444444444</v>
      </c>
      <c r="C52" s="7" t="n">
        <v>6061</v>
      </c>
      <c r="D52" s="7" t="s">
        <v>18</v>
      </c>
      <c r="E52" s="7" t="n">
        <v>3280</v>
      </c>
      <c r="F52" s="7" t="n">
        <v>2880</v>
      </c>
      <c r="G52" s="8" t="n">
        <v>400</v>
      </c>
      <c r="H52" s="7" t="s">
        <v>11</v>
      </c>
      <c r="I52" s="7" t="s">
        <v>12</v>
      </c>
      <c r="J52" s="0" t="s">
        <v>13</v>
      </c>
    </row>
    <row r="53" customFormat="false" ht="15" hidden="false" customHeight="false" outlineLevel="0" collapsed="false">
      <c r="A53" s="5" t="n">
        <v>44719</v>
      </c>
      <c r="B53" s="6" t="n">
        <v>0.0784722222222222</v>
      </c>
      <c r="C53" s="7" t="n">
        <v>6099</v>
      </c>
      <c r="D53" s="7" t="s">
        <v>14</v>
      </c>
      <c r="E53" s="7" t="n">
        <v>21060</v>
      </c>
      <c r="F53" s="7" t="n">
        <v>12660</v>
      </c>
      <c r="G53" s="8" t="n">
        <v>8400</v>
      </c>
      <c r="H53" s="7" t="s">
        <v>11</v>
      </c>
      <c r="I53" s="7" t="s">
        <v>12</v>
      </c>
      <c r="J53" s="0" t="s">
        <v>13</v>
      </c>
    </row>
    <row r="54" customFormat="false" ht="15" hidden="false" customHeight="false" outlineLevel="0" collapsed="false">
      <c r="A54" s="5" t="n">
        <v>44719</v>
      </c>
      <c r="B54" s="6" t="n">
        <v>0.236111111111111</v>
      </c>
      <c r="C54" s="7" t="n">
        <v>6111</v>
      </c>
      <c r="D54" s="7" t="s">
        <v>14</v>
      </c>
      <c r="E54" s="7" t="n">
        <v>19260</v>
      </c>
      <c r="F54" s="7" t="n">
        <v>12640</v>
      </c>
      <c r="G54" s="8" t="n">
        <v>6620</v>
      </c>
      <c r="H54" s="7" t="s">
        <v>11</v>
      </c>
      <c r="I54" s="7" t="s">
        <v>12</v>
      </c>
      <c r="J54" s="0" t="s">
        <v>13</v>
      </c>
    </row>
    <row r="55" customFormat="false" ht="15" hidden="false" customHeight="false" outlineLevel="0" collapsed="false">
      <c r="A55" s="5" t="n">
        <v>44719</v>
      </c>
      <c r="B55" s="6" t="n">
        <v>0.214583333333333</v>
      </c>
      <c r="C55" s="7" t="n">
        <v>6108</v>
      </c>
      <c r="D55" s="7" t="s">
        <v>21</v>
      </c>
      <c r="E55" s="7" t="n">
        <v>5020</v>
      </c>
      <c r="F55" s="7" t="n">
        <v>3800</v>
      </c>
      <c r="G55" s="8" t="n">
        <v>1220</v>
      </c>
      <c r="H55" s="7" t="s">
        <v>11</v>
      </c>
      <c r="I55" s="7" t="s">
        <v>12</v>
      </c>
      <c r="J55" s="0" t="s">
        <v>13</v>
      </c>
    </row>
    <row r="56" customFormat="false" ht="15" hidden="false" customHeight="false" outlineLevel="0" collapsed="false">
      <c r="A56" s="5" t="n">
        <v>44719</v>
      </c>
      <c r="B56" s="6" t="n">
        <v>0.0777777777777778</v>
      </c>
      <c r="C56" s="7" t="n">
        <v>6098</v>
      </c>
      <c r="D56" s="7" t="s">
        <v>10</v>
      </c>
      <c r="E56" s="7" t="n">
        <v>25260</v>
      </c>
      <c r="F56" s="7" t="n">
        <v>15960</v>
      </c>
      <c r="G56" s="8" t="n">
        <v>9300</v>
      </c>
      <c r="H56" s="7" t="s">
        <v>11</v>
      </c>
      <c r="I56" s="7" t="s">
        <v>12</v>
      </c>
      <c r="J56" s="0" t="s">
        <v>13</v>
      </c>
    </row>
    <row r="57" customFormat="false" ht="15" hidden="false" customHeight="false" outlineLevel="0" collapsed="false">
      <c r="A57" s="5" t="n">
        <v>44719</v>
      </c>
      <c r="B57" s="6" t="n">
        <v>0.234027777777778</v>
      </c>
      <c r="C57" s="7" t="n">
        <v>6110</v>
      </c>
      <c r="D57" s="7" t="s">
        <v>10</v>
      </c>
      <c r="E57" s="7" t="n">
        <v>22100</v>
      </c>
      <c r="F57" s="7" t="n">
        <v>15920</v>
      </c>
      <c r="G57" s="8" t="n">
        <v>6180</v>
      </c>
      <c r="H57" s="7" t="s">
        <v>11</v>
      </c>
      <c r="I57" s="7" t="s">
        <v>12</v>
      </c>
      <c r="J57" s="0" t="s">
        <v>13</v>
      </c>
    </row>
    <row r="58" customFormat="false" ht="15" hidden="false" customHeight="false" outlineLevel="0" collapsed="false">
      <c r="A58" s="5" t="n">
        <v>44719</v>
      </c>
      <c r="B58" s="6" t="n">
        <v>0.461111111111111</v>
      </c>
      <c r="C58" s="7" t="n">
        <v>6134</v>
      </c>
      <c r="D58" s="7" t="s">
        <v>19</v>
      </c>
      <c r="E58" s="7" t="n">
        <v>2620</v>
      </c>
      <c r="F58" s="7" t="n">
        <v>2400</v>
      </c>
      <c r="G58" s="8" t="n">
        <v>220</v>
      </c>
      <c r="H58" s="7" t="s">
        <v>11</v>
      </c>
      <c r="I58" s="7" t="s">
        <v>12</v>
      </c>
      <c r="J58" s="0" t="s">
        <v>13</v>
      </c>
    </row>
    <row r="59" customFormat="false" ht="15" hidden="false" customHeight="false" outlineLevel="0" collapsed="false">
      <c r="A59" s="5" t="n">
        <v>44719</v>
      </c>
      <c r="B59" s="6" t="n">
        <v>0.544444444444444</v>
      </c>
      <c r="C59" s="7" t="n">
        <v>6149</v>
      </c>
      <c r="D59" s="6" t="s">
        <v>18</v>
      </c>
      <c r="E59" s="7" t="n">
        <v>3100</v>
      </c>
      <c r="F59" s="7" t="n">
        <v>2880</v>
      </c>
      <c r="G59" s="8" t="n">
        <v>220</v>
      </c>
      <c r="H59" s="7" t="s">
        <v>11</v>
      </c>
      <c r="I59" s="7" t="s">
        <v>17</v>
      </c>
      <c r="J59" s="0" t="s">
        <v>13</v>
      </c>
    </row>
    <row r="60" customFormat="false" ht="15" hidden="false" customHeight="false" outlineLevel="0" collapsed="false">
      <c r="A60" s="5" t="n">
        <v>44719</v>
      </c>
      <c r="B60" s="6" t="n">
        <v>0.552777777777778</v>
      </c>
      <c r="C60" s="7" t="n">
        <v>6150</v>
      </c>
      <c r="D60" s="7" t="s">
        <v>16</v>
      </c>
      <c r="E60" s="7" t="n">
        <v>5960</v>
      </c>
      <c r="F60" s="7" t="n">
        <v>5580</v>
      </c>
      <c r="G60" s="8" t="n">
        <v>380</v>
      </c>
      <c r="H60" s="7" t="s">
        <v>11</v>
      </c>
      <c r="I60" s="7" t="s">
        <v>17</v>
      </c>
      <c r="J60" s="0" t="s">
        <v>13</v>
      </c>
    </row>
    <row r="61" customFormat="false" ht="13.8" hidden="false" customHeight="false" outlineLevel="0" collapsed="false">
      <c r="A61" s="5" t="n">
        <v>44720</v>
      </c>
      <c r="B61" s="6" t="n">
        <v>0.0888888888888889</v>
      </c>
      <c r="C61" s="7" t="n">
        <v>6167</v>
      </c>
      <c r="D61" s="7" t="s">
        <v>10</v>
      </c>
      <c r="E61" s="7" t="n">
        <v>25320</v>
      </c>
      <c r="F61" s="7" t="n">
        <v>15900</v>
      </c>
      <c r="G61" s="8" t="n">
        <v>9420</v>
      </c>
      <c r="H61" s="7" t="s">
        <v>11</v>
      </c>
      <c r="I61" s="7" t="s">
        <v>12</v>
      </c>
      <c r="J61" s="0" t="s">
        <v>13</v>
      </c>
    </row>
    <row r="62" customFormat="false" ht="15" hidden="false" customHeight="false" outlineLevel="0" collapsed="false">
      <c r="A62" s="5" t="n">
        <v>44720</v>
      </c>
      <c r="B62" s="6" t="n">
        <v>0.15</v>
      </c>
      <c r="C62" s="7" t="n">
        <v>6173</v>
      </c>
      <c r="D62" s="7" t="s">
        <v>21</v>
      </c>
      <c r="E62" s="7" t="n">
        <v>4940</v>
      </c>
      <c r="F62" s="7" t="n">
        <v>3800</v>
      </c>
      <c r="G62" s="8" t="n">
        <v>1140</v>
      </c>
      <c r="H62" s="7" t="s">
        <v>11</v>
      </c>
      <c r="I62" s="7" t="s">
        <v>12</v>
      </c>
      <c r="J62" s="0" t="s">
        <v>13</v>
      </c>
    </row>
    <row r="63" customFormat="false" ht="15" hidden="false" customHeight="false" outlineLevel="0" collapsed="false">
      <c r="A63" s="5" t="n">
        <v>44720</v>
      </c>
      <c r="B63" s="6" t="n">
        <v>0.241666666666667</v>
      </c>
      <c r="C63" s="7" t="n">
        <v>6180</v>
      </c>
      <c r="D63" s="7" t="s">
        <v>10</v>
      </c>
      <c r="E63" s="7" t="n">
        <v>23940</v>
      </c>
      <c r="F63" s="7" t="n">
        <v>15880</v>
      </c>
      <c r="G63" s="8" t="n">
        <v>8060</v>
      </c>
      <c r="H63" s="7" t="s">
        <v>11</v>
      </c>
      <c r="I63" s="7" t="s">
        <v>12</v>
      </c>
      <c r="J63" s="0" t="s">
        <v>13</v>
      </c>
    </row>
    <row r="64" customFormat="false" ht="15" hidden="false" customHeight="false" outlineLevel="0" collapsed="false">
      <c r="A64" s="5" t="n">
        <v>44720</v>
      </c>
      <c r="B64" s="6" t="n">
        <v>0.345833333333333</v>
      </c>
      <c r="C64" s="7" t="n">
        <v>6126</v>
      </c>
      <c r="D64" s="7" t="s">
        <v>16</v>
      </c>
      <c r="E64" s="7" t="n">
        <v>6440</v>
      </c>
      <c r="F64" s="7" t="n">
        <v>5580</v>
      </c>
      <c r="G64" s="8" t="n">
        <v>860</v>
      </c>
      <c r="H64" s="7" t="s">
        <v>11</v>
      </c>
      <c r="I64" s="7" t="s">
        <v>17</v>
      </c>
      <c r="J64" s="0" t="s">
        <v>13</v>
      </c>
    </row>
    <row r="65" customFormat="false" ht="15" hidden="false" customHeight="false" outlineLevel="0" collapsed="false">
      <c r="A65" s="5" t="n">
        <v>44720</v>
      </c>
      <c r="B65" s="6" t="n">
        <v>0.524305555555556</v>
      </c>
      <c r="C65" s="7" t="n">
        <v>6204</v>
      </c>
      <c r="D65" s="7" t="s">
        <v>16</v>
      </c>
      <c r="E65" s="7" t="n">
        <v>6340</v>
      </c>
      <c r="F65" s="7" t="n">
        <v>5640</v>
      </c>
      <c r="G65" s="8" t="n">
        <v>700</v>
      </c>
      <c r="H65" s="7" t="s">
        <v>11</v>
      </c>
      <c r="I65" s="7" t="s">
        <v>17</v>
      </c>
      <c r="J65" s="0" t="s">
        <v>13</v>
      </c>
    </row>
    <row r="66" customFormat="false" ht="15" hidden="false" customHeight="false" outlineLevel="0" collapsed="false">
      <c r="A66" s="5" t="n">
        <v>44720</v>
      </c>
      <c r="B66" s="6" t="n">
        <v>0.434722222222222</v>
      </c>
      <c r="C66" s="7" t="n">
        <v>6193</v>
      </c>
      <c r="D66" s="7" t="s">
        <v>19</v>
      </c>
      <c r="E66" s="7" t="n">
        <v>2620</v>
      </c>
      <c r="F66" s="7" t="n">
        <v>2380</v>
      </c>
      <c r="G66" s="8" t="n">
        <v>240</v>
      </c>
      <c r="H66" s="7" t="s">
        <v>11</v>
      </c>
      <c r="I66" s="7" t="s">
        <v>12</v>
      </c>
      <c r="J66" s="0" t="s">
        <v>13</v>
      </c>
    </row>
    <row r="67" customFormat="false" ht="15" hidden="false" customHeight="false" outlineLevel="0" collapsed="false">
      <c r="A67" s="5" t="n">
        <v>44716</v>
      </c>
      <c r="B67" s="6" t="n">
        <v>0.254166666666667</v>
      </c>
      <c r="C67" s="7" t="n">
        <v>5995</v>
      </c>
      <c r="D67" s="7" t="s">
        <v>21</v>
      </c>
      <c r="E67" s="7" t="n">
        <v>4980</v>
      </c>
      <c r="F67" s="7" t="n">
        <v>3600</v>
      </c>
      <c r="G67" s="8" t="n">
        <v>1380</v>
      </c>
      <c r="H67" s="7" t="s">
        <v>11</v>
      </c>
      <c r="I67" s="7" t="s">
        <v>12</v>
      </c>
      <c r="J67" s="0" t="s">
        <v>13</v>
      </c>
    </row>
    <row r="68" customFormat="false" ht="15" hidden="false" customHeight="false" outlineLevel="0" collapsed="false">
      <c r="A68" s="5" t="n">
        <v>44720</v>
      </c>
      <c r="B68" s="6" t="n">
        <v>0.620138888888889</v>
      </c>
      <c r="C68" s="7" t="n">
        <v>6215</v>
      </c>
      <c r="D68" s="7" t="s">
        <v>24</v>
      </c>
      <c r="E68" s="7" t="n">
        <v>15960</v>
      </c>
      <c r="F68" s="7" t="n">
        <v>12380</v>
      </c>
      <c r="G68" s="8" t="n">
        <v>3580</v>
      </c>
      <c r="H68" s="7" t="s">
        <v>11</v>
      </c>
      <c r="I68" s="7" t="s">
        <v>12</v>
      </c>
      <c r="J68" s="0" t="s">
        <v>13</v>
      </c>
    </row>
    <row r="69" customFormat="false" ht="15" hidden="false" customHeight="false" outlineLevel="0" collapsed="false">
      <c r="A69" s="5" t="n">
        <v>44720</v>
      </c>
      <c r="B69" s="6" t="n">
        <v>0.541666666666667</v>
      </c>
      <c r="C69" s="7" t="n">
        <v>6209</v>
      </c>
      <c r="D69" s="7" t="s">
        <v>24</v>
      </c>
      <c r="E69" s="7" t="n">
        <v>21880</v>
      </c>
      <c r="F69" s="7" t="n">
        <v>12480</v>
      </c>
      <c r="G69" s="8" t="n">
        <v>9400</v>
      </c>
      <c r="H69" s="7" t="s">
        <v>11</v>
      </c>
      <c r="I69" s="7" t="s">
        <v>12</v>
      </c>
      <c r="J69" s="0" t="s">
        <v>13</v>
      </c>
    </row>
    <row r="70" customFormat="false" ht="15" hidden="false" customHeight="false" outlineLevel="0" collapsed="false">
      <c r="A70" s="5" t="n">
        <v>44720</v>
      </c>
      <c r="B70" s="6" t="n">
        <v>0.541666666666667</v>
      </c>
      <c r="C70" s="7" t="n">
        <v>6208</v>
      </c>
      <c r="D70" s="7" t="s">
        <v>15</v>
      </c>
      <c r="E70" s="7" t="n">
        <v>3200</v>
      </c>
      <c r="F70" s="7" t="n">
        <v>2840</v>
      </c>
      <c r="G70" s="8" t="n">
        <v>360</v>
      </c>
      <c r="H70" s="7" t="s">
        <v>11</v>
      </c>
      <c r="I70" s="7" t="s">
        <v>22</v>
      </c>
      <c r="J70" s="0" t="s">
        <v>13</v>
      </c>
    </row>
    <row r="71" customFormat="false" ht="15" hidden="false" customHeight="false" outlineLevel="0" collapsed="false">
      <c r="A71" s="5" t="n">
        <v>44721</v>
      </c>
      <c r="B71" s="6" t="n">
        <v>0.245138888888889</v>
      </c>
      <c r="C71" s="7" t="n">
        <v>6239</v>
      </c>
      <c r="D71" s="7" t="s">
        <v>24</v>
      </c>
      <c r="E71" s="7" t="n">
        <v>17280</v>
      </c>
      <c r="F71" s="7" t="n">
        <v>12380</v>
      </c>
      <c r="G71" s="8" t="n">
        <v>4900</v>
      </c>
      <c r="H71" s="7" t="s">
        <v>11</v>
      </c>
      <c r="I71" s="7" t="s">
        <v>12</v>
      </c>
      <c r="J71" s="0" t="s">
        <v>13</v>
      </c>
    </row>
    <row r="72" customFormat="false" ht="15" hidden="false" customHeight="false" outlineLevel="0" collapsed="false">
      <c r="A72" s="5" t="n">
        <v>44721</v>
      </c>
      <c r="B72" s="6" t="n">
        <v>0.0993055555555556</v>
      </c>
      <c r="C72" s="7" t="n">
        <v>6223</v>
      </c>
      <c r="D72" s="7" t="s">
        <v>24</v>
      </c>
      <c r="E72" s="7" t="n">
        <v>20160</v>
      </c>
      <c r="F72" s="7" t="n">
        <v>12480</v>
      </c>
      <c r="G72" s="8" t="n">
        <v>7680</v>
      </c>
      <c r="H72" s="7" t="s">
        <v>11</v>
      </c>
      <c r="I72" s="7" t="s">
        <v>12</v>
      </c>
      <c r="J72" s="0" t="s">
        <v>13</v>
      </c>
    </row>
    <row r="73" customFormat="false" ht="15" hidden="false" customHeight="false" outlineLevel="0" collapsed="false">
      <c r="A73" s="5" t="n">
        <v>44721</v>
      </c>
      <c r="B73" s="6" t="n">
        <v>0.213194444444444</v>
      </c>
      <c r="C73" s="7" t="n">
        <v>6233</v>
      </c>
      <c r="D73" s="7" t="s">
        <v>21</v>
      </c>
      <c r="E73" s="7" t="n">
        <v>4720</v>
      </c>
      <c r="F73" s="7" t="n">
        <v>3780</v>
      </c>
      <c r="G73" s="8" t="n">
        <v>940</v>
      </c>
      <c r="H73" s="7" t="s">
        <v>11</v>
      </c>
      <c r="I73" s="7" t="s">
        <v>12</v>
      </c>
      <c r="J73" s="0" t="s">
        <v>13</v>
      </c>
    </row>
    <row r="74" customFormat="false" ht="15" hidden="false" customHeight="false" outlineLevel="0" collapsed="false">
      <c r="A74" s="5" t="n">
        <v>44721</v>
      </c>
      <c r="B74" s="6" t="n">
        <v>0.228472222222222</v>
      </c>
      <c r="C74" s="7" t="n">
        <v>6235</v>
      </c>
      <c r="D74" s="7" t="s">
        <v>10</v>
      </c>
      <c r="E74" s="7" t="n">
        <v>22620</v>
      </c>
      <c r="F74" s="7" t="n">
        <v>15960</v>
      </c>
      <c r="G74" s="8" t="n">
        <v>6660</v>
      </c>
      <c r="H74" s="7" t="s">
        <v>11</v>
      </c>
      <c r="I74" s="7" t="s">
        <v>12</v>
      </c>
      <c r="J74" s="0" t="s">
        <v>13</v>
      </c>
    </row>
    <row r="75" customFormat="false" ht="15" hidden="false" customHeight="false" outlineLevel="0" collapsed="false">
      <c r="A75" s="5" t="n">
        <v>44721</v>
      </c>
      <c r="B75" s="6" t="n">
        <v>0.0895833333333333</v>
      </c>
      <c r="C75" s="7" t="n">
        <v>6222</v>
      </c>
      <c r="D75" s="7" t="s">
        <v>10</v>
      </c>
      <c r="E75" s="7" t="n">
        <v>24800</v>
      </c>
      <c r="F75" s="7" t="n">
        <v>16000</v>
      </c>
      <c r="G75" s="8" t="n">
        <v>8800</v>
      </c>
      <c r="H75" s="7" t="s">
        <v>11</v>
      </c>
      <c r="I75" s="7" t="s">
        <v>12</v>
      </c>
      <c r="J75" s="0" t="s">
        <v>13</v>
      </c>
    </row>
    <row r="76" customFormat="false" ht="15" hidden="false" customHeight="false" outlineLevel="0" collapsed="false">
      <c r="A76" s="5" t="n">
        <v>44721</v>
      </c>
      <c r="B76" s="6" t="n">
        <v>0.515277777777778</v>
      </c>
      <c r="C76" s="7" t="n">
        <v>140566</v>
      </c>
      <c r="D76" s="7" t="s">
        <v>10</v>
      </c>
      <c r="E76" s="7" t="n">
        <v>18960</v>
      </c>
      <c r="F76" s="7" t="n">
        <v>15880</v>
      </c>
      <c r="G76" s="8" t="n">
        <v>3080</v>
      </c>
      <c r="H76" s="7" t="s">
        <v>11</v>
      </c>
      <c r="I76" s="7" t="s">
        <v>20</v>
      </c>
      <c r="J76" s="0" t="s">
        <v>13</v>
      </c>
    </row>
    <row r="77" customFormat="false" ht="15" hidden="false" customHeight="false" outlineLevel="0" collapsed="false">
      <c r="A77" s="5" t="n">
        <v>44721</v>
      </c>
      <c r="B77" s="6" t="n">
        <v>0.46875</v>
      </c>
      <c r="C77" s="7" t="n">
        <v>6260</v>
      </c>
      <c r="D77" s="7" t="s">
        <v>18</v>
      </c>
      <c r="E77" s="7" t="n">
        <v>3320</v>
      </c>
      <c r="F77" s="7" t="n">
        <v>2860</v>
      </c>
      <c r="G77" s="8" t="n">
        <v>460</v>
      </c>
      <c r="H77" s="7" t="s">
        <v>11</v>
      </c>
      <c r="I77" s="7" t="s">
        <v>12</v>
      </c>
      <c r="J77" s="0" t="s">
        <v>13</v>
      </c>
    </row>
    <row r="78" customFormat="false" ht="15" hidden="false" customHeight="false" outlineLevel="0" collapsed="false">
      <c r="A78" s="5" t="n">
        <v>44721</v>
      </c>
      <c r="B78" s="6" t="n">
        <v>0.526388888888889</v>
      </c>
      <c r="C78" s="7" t="n">
        <v>6267</v>
      </c>
      <c r="D78" s="7" t="s">
        <v>16</v>
      </c>
      <c r="E78" s="7" t="n">
        <v>6580</v>
      </c>
      <c r="F78" s="7" t="n">
        <v>5600</v>
      </c>
      <c r="G78" s="8" t="n">
        <v>980</v>
      </c>
      <c r="H78" s="7" t="s">
        <v>11</v>
      </c>
      <c r="I78" s="7" t="s">
        <v>17</v>
      </c>
      <c r="J78" s="0" t="s">
        <v>13</v>
      </c>
    </row>
    <row r="79" customFormat="false" ht="15" hidden="false" customHeight="false" outlineLevel="0" collapsed="false">
      <c r="A79" s="5" t="n">
        <v>44721</v>
      </c>
      <c r="B79" s="6" t="n">
        <v>0.338888888888889</v>
      </c>
      <c r="C79" s="7" t="n">
        <v>6246</v>
      </c>
      <c r="D79" s="7" t="s">
        <v>16</v>
      </c>
      <c r="E79" s="7" t="n">
        <v>6360</v>
      </c>
      <c r="F79" s="7" t="n">
        <v>5600</v>
      </c>
      <c r="G79" s="8" t="n">
        <v>760</v>
      </c>
      <c r="H79" s="7" t="s">
        <v>11</v>
      </c>
      <c r="I79" s="7" t="s">
        <v>17</v>
      </c>
      <c r="J79" s="0" t="s">
        <v>13</v>
      </c>
    </row>
    <row r="80" customFormat="false" ht="15" hidden="false" customHeight="false" outlineLevel="0" collapsed="false">
      <c r="A80" s="5" t="n">
        <v>44721</v>
      </c>
      <c r="B80" s="6" t="n">
        <v>0.3125</v>
      </c>
      <c r="C80" s="7" t="n">
        <v>6244</v>
      </c>
      <c r="D80" s="7" t="s">
        <v>19</v>
      </c>
      <c r="E80" s="7" t="n">
        <v>2620</v>
      </c>
      <c r="F80" s="7" t="n">
        <v>2400</v>
      </c>
      <c r="G80" s="8" t="n">
        <v>220</v>
      </c>
      <c r="H80" s="7" t="s">
        <v>11</v>
      </c>
      <c r="I80" s="7" t="s">
        <v>12</v>
      </c>
      <c r="J80" s="0" t="s">
        <v>13</v>
      </c>
    </row>
    <row r="81" customFormat="false" ht="15" hidden="false" customHeight="false" outlineLevel="0" collapsed="false">
      <c r="A81" s="5" t="n">
        <v>44721</v>
      </c>
      <c r="B81" s="6" t="n">
        <v>0.444444444444444</v>
      </c>
      <c r="C81" s="7" t="n">
        <v>6257</v>
      </c>
      <c r="D81" s="7" t="s">
        <v>19</v>
      </c>
      <c r="E81" s="7" t="n">
        <v>2600</v>
      </c>
      <c r="F81" s="7" t="n">
        <v>2380</v>
      </c>
      <c r="G81" s="8" t="n">
        <v>220</v>
      </c>
      <c r="H81" s="7" t="s">
        <v>11</v>
      </c>
      <c r="I81" s="7" t="s">
        <v>12</v>
      </c>
      <c r="J81" s="0" t="s">
        <v>13</v>
      </c>
    </row>
    <row r="82" customFormat="false" ht="15" hidden="false" customHeight="false" outlineLevel="0" collapsed="false">
      <c r="A82" s="5" t="n">
        <v>44722</v>
      </c>
      <c r="B82" s="6" t="n">
        <v>0.120833333333333</v>
      </c>
      <c r="C82" s="7" t="n">
        <v>6286</v>
      </c>
      <c r="D82" s="7" t="s">
        <v>10</v>
      </c>
      <c r="E82" s="7" t="n">
        <v>23820</v>
      </c>
      <c r="F82" s="7" t="n">
        <v>16000</v>
      </c>
      <c r="G82" s="8" t="n">
        <v>7820</v>
      </c>
      <c r="H82" s="7" t="s">
        <v>11</v>
      </c>
      <c r="I82" s="7" t="s">
        <v>12</v>
      </c>
      <c r="J82" s="0" t="s">
        <v>13</v>
      </c>
    </row>
    <row r="83" customFormat="false" ht="15" hidden="false" customHeight="false" outlineLevel="0" collapsed="false">
      <c r="A83" s="5" t="n">
        <v>44722</v>
      </c>
      <c r="B83" s="6" t="n">
        <v>0.240277777777778</v>
      </c>
      <c r="C83" s="7" t="n">
        <v>6296</v>
      </c>
      <c r="D83" s="7" t="s">
        <v>10</v>
      </c>
      <c r="E83" s="7" t="n">
        <v>24340</v>
      </c>
      <c r="F83" s="7" t="n">
        <v>16000</v>
      </c>
      <c r="G83" s="8" t="n">
        <v>8340</v>
      </c>
      <c r="H83" s="7" t="s">
        <v>11</v>
      </c>
      <c r="I83" s="7" t="s">
        <v>12</v>
      </c>
      <c r="J83" s="0" t="s">
        <v>13</v>
      </c>
    </row>
    <row r="84" customFormat="false" ht="15" hidden="false" customHeight="false" outlineLevel="0" collapsed="false">
      <c r="A84" s="5" t="n">
        <v>44722</v>
      </c>
      <c r="B84" s="6" t="n">
        <v>0.129861111111111</v>
      </c>
      <c r="C84" s="7" t="n">
        <v>6288</v>
      </c>
      <c r="D84" s="7" t="s">
        <v>15</v>
      </c>
      <c r="E84" s="7" t="n">
        <v>3240</v>
      </c>
      <c r="F84" s="7" t="n">
        <v>2720</v>
      </c>
      <c r="G84" s="8" t="n">
        <v>520</v>
      </c>
      <c r="H84" s="7" t="s">
        <v>11</v>
      </c>
      <c r="I84" s="7" t="s">
        <v>12</v>
      </c>
      <c r="J84" s="0" t="s">
        <v>13</v>
      </c>
    </row>
    <row r="85" customFormat="false" ht="15" hidden="false" customHeight="false" outlineLevel="0" collapsed="false">
      <c r="A85" s="5" t="n">
        <v>44722</v>
      </c>
      <c r="B85" s="6" t="n">
        <v>0.206944444444444</v>
      </c>
      <c r="C85" s="7" t="n">
        <v>6291</v>
      </c>
      <c r="D85" s="7" t="s">
        <v>15</v>
      </c>
      <c r="E85" s="7" t="n">
        <v>3460</v>
      </c>
      <c r="F85" s="7" t="n">
        <v>2900</v>
      </c>
      <c r="G85" s="8" t="n">
        <v>560</v>
      </c>
      <c r="H85" s="7" t="s">
        <v>11</v>
      </c>
      <c r="I85" s="7" t="s">
        <v>12</v>
      </c>
      <c r="J85" s="0" t="s">
        <v>13</v>
      </c>
    </row>
    <row r="86" customFormat="false" ht="15" hidden="false" customHeight="false" outlineLevel="0" collapsed="false">
      <c r="A86" s="5" t="n">
        <v>44722</v>
      </c>
      <c r="B86" s="6" t="n">
        <v>0.245833333333333</v>
      </c>
      <c r="C86" s="7" t="n">
        <v>6297</v>
      </c>
      <c r="D86" s="7" t="s">
        <v>14</v>
      </c>
      <c r="E86" s="7" t="n">
        <v>19280</v>
      </c>
      <c r="F86" s="7" t="n">
        <v>12740</v>
      </c>
      <c r="G86" s="8" t="n">
        <v>6540</v>
      </c>
      <c r="H86" s="7" t="s">
        <v>11</v>
      </c>
      <c r="I86" s="7" t="s">
        <v>12</v>
      </c>
      <c r="J86" s="0" t="s">
        <v>13</v>
      </c>
    </row>
    <row r="87" customFormat="false" ht="15" hidden="false" customHeight="false" outlineLevel="0" collapsed="false">
      <c r="A87" s="5" t="n">
        <v>44722</v>
      </c>
      <c r="B87" s="6" t="n">
        <v>0.103472222222222</v>
      </c>
      <c r="C87" s="7" t="n">
        <v>6282</v>
      </c>
      <c r="D87" s="7" t="s">
        <v>14</v>
      </c>
      <c r="E87" s="7" t="n">
        <v>20580</v>
      </c>
      <c r="F87" s="7" t="n">
        <v>12740</v>
      </c>
      <c r="G87" s="8" t="n">
        <v>7840</v>
      </c>
      <c r="H87" s="7" t="s">
        <v>11</v>
      </c>
      <c r="I87" s="7" t="s">
        <v>12</v>
      </c>
      <c r="J87" s="0" t="s">
        <v>13</v>
      </c>
    </row>
    <row r="88" customFormat="false" ht="15" hidden="false" customHeight="false" outlineLevel="0" collapsed="false">
      <c r="A88" s="5" t="n">
        <v>44722</v>
      </c>
      <c r="B88" s="6" t="n">
        <v>0.297916666666667</v>
      </c>
      <c r="C88" s="7" t="n">
        <v>6301</v>
      </c>
      <c r="D88" s="7" t="s">
        <v>24</v>
      </c>
      <c r="E88" s="7" t="n">
        <v>13600</v>
      </c>
      <c r="F88" s="7" t="n">
        <v>12440</v>
      </c>
      <c r="G88" s="8" t="n">
        <v>1160</v>
      </c>
      <c r="H88" s="7" t="s">
        <v>11</v>
      </c>
      <c r="I88" s="7" t="s">
        <v>12</v>
      </c>
      <c r="J88" s="0" t="s">
        <v>13</v>
      </c>
    </row>
    <row r="89" customFormat="false" ht="15" hidden="false" customHeight="false" outlineLevel="0" collapsed="false">
      <c r="A89" s="5" t="n">
        <v>44722</v>
      </c>
      <c r="B89" s="6" t="n">
        <v>0.5</v>
      </c>
      <c r="C89" s="7" t="n">
        <v>2963</v>
      </c>
      <c r="D89" s="7" t="s">
        <v>10</v>
      </c>
      <c r="E89" s="7" t="n">
        <v>18500</v>
      </c>
      <c r="F89" s="7" t="n">
        <v>15760</v>
      </c>
      <c r="G89" s="8" t="n">
        <v>2740</v>
      </c>
      <c r="H89" s="7" t="s">
        <v>11</v>
      </c>
      <c r="I89" s="7" t="s">
        <v>23</v>
      </c>
      <c r="J89" s="0" t="s">
        <v>13</v>
      </c>
    </row>
    <row r="90" customFormat="false" ht="15" hidden="false" customHeight="false" outlineLevel="0" collapsed="false">
      <c r="A90" s="5" t="n">
        <v>44722</v>
      </c>
      <c r="B90" s="6" t="n">
        <v>0.486111111111111</v>
      </c>
      <c r="C90" s="7" t="n">
        <v>6322</v>
      </c>
      <c r="D90" s="7" t="s">
        <v>18</v>
      </c>
      <c r="E90" s="7" t="n">
        <v>3180</v>
      </c>
      <c r="F90" s="7" t="n">
        <v>2920</v>
      </c>
      <c r="G90" s="8" t="n">
        <v>260</v>
      </c>
      <c r="H90" s="7" t="s">
        <v>11</v>
      </c>
      <c r="I90" s="7" t="s">
        <v>22</v>
      </c>
      <c r="J90" s="0" t="s">
        <v>13</v>
      </c>
    </row>
    <row r="91" customFormat="false" ht="15" hidden="false" customHeight="false" outlineLevel="0" collapsed="false">
      <c r="A91" s="5" t="n">
        <v>44722</v>
      </c>
      <c r="B91" s="6" t="n">
        <v>0.372916666666667</v>
      </c>
      <c r="C91" s="7" t="n">
        <v>6308</v>
      </c>
      <c r="D91" s="7" t="s">
        <v>18</v>
      </c>
      <c r="E91" s="7" t="n">
        <v>3140</v>
      </c>
      <c r="F91" s="7" t="n">
        <v>2940</v>
      </c>
      <c r="G91" s="8" t="n">
        <v>200</v>
      </c>
      <c r="H91" s="7" t="s">
        <v>11</v>
      </c>
      <c r="I91" s="7" t="s">
        <v>22</v>
      </c>
      <c r="J91" s="0" t="s">
        <v>13</v>
      </c>
    </row>
    <row r="92" customFormat="false" ht="15" hidden="false" customHeight="false" outlineLevel="0" collapsed="false">
      <c r="A92" s="5" t="n">
        <v>44722</v>
      </c>
      <c r="B92" s="6" t="n">
        <v>0.441666666666667</v>
      </c>
      <c r="C92" s="7" t="n">
        <v>6313</v>
      </c>
      <c r="D92" s="7" t="s">
        <v>19</v>
      </c>
      <c r="E92" s="7" t="n">
        <v>2680</v>
      </c>
      <c r="F92" s="7" t="n">
        <v>2420</v>
      </c>
      <c r="G92" s="8" t="n">
        <v>260</v>
      </c>
      <c r="H92" s="7" t="s">
        <v>11</v>
      </c>
      <c r="I92" s="7" t="s">
        <v>12</v>
      </c>
      <c r="J92" s="0" t="s">
        <v>13</v>
      </c>
    </row>
    <row r="93" customFormat="false" ht="15" hidden="false" customHeight="false" outlineLevel="0" collapsed="false">
      <c r="A93" s="5" t="n">
        <v>44723</v>
      </c>
      <c r="B93" s="6" t="n">
        <v>0.116666666666667</v>
      </c>
      <c r="C93" s="7" t="n">
        <v>6334</v>
      </c>
      <c r="D93" s="7" t="s">
        <v>14</v>
      </c>
      <c r="E93" s="7" t="n">
        <v>21920</v>
      </c>
      <c r="F93" s="7" t="n">
        <v>12680</v>
      </c>
      <c r="G93" s="8" t="n">
        <v>9240</v>
      </c>
      <c r="H93" s="7" t="s">
        <v>11</v>
      </c>
      <c r="I93" s="7" t="s">
        <v>12</v>
      </c>
      <c r="J93" s="0" t="s">
        <v>13</v>
      </c>
    </row>
    <row r="94" customFormat="false" ht="15" hidden="false" customHeight="false" outlineLevel="0" collapsed="false">
      <c r="A94" s="5" t="n">
        <v>44723</v>
      </c>
      <c r="B94" s="6" t="n">
        <v>0.215277777777778</v>
      </c>
      <c r="C94" s="7" t="n">
        <v>6345</v>
      </c>
      <c r="D94" s="7" t="s">
        <v>21</v>
      </c>
      <c r="E94" s="7" t="n">
        <v>5000</v>
      </c>
      <c r="F94" s="7" t="n">
        <v>3760</v>
      </c>
      <c r="G94" s="8" t="n">
        <v>1240</v>
      </c>
      <c r="H94" s="7" t="s">
        <v>11</v>
      </c>
      <c r="I94" s="7" t="s">
        <v>12</v>
      </c>
      <c r="J94" s="0" t="s">
        <v>13</v>
      </c>
    </row>
    <row r="95" customFormat="false" ht="15" hidden="false" customHeight="false" outlineLevel="0" collapsed="false">
      <c r="A95" s="5" t="n">
        <v>44723</v>
      </c>
      <c r="B95" s="6" t="n">
        <v>0.491666666666667</v>
      </c>
      <c r="C95" s="7" t="n">
        <v>6358</v>
      </c>
      <c r="D95" s="7" t="s">
        <v>15</v>
      </c>
      <c r="E95" s="7" t="n">
        <v>3080</v>
      </c>
      <c r="F95" s="7" t="n">
        <v>2680</v>
      </c>
      <c r="G95" s="8" t="n">
        <v>400</v>
      </c>
      <c r="H95" s="7" t="s">
        <v>11</v>
      </c>
      <c r="I95" s="7" t="s">
        <v>12</v>
      </c>
      <c r="J95" s="0" t="s">
        <v>13</v>
      </c>
    </row>
    <row r="96" customFormat="false" ht="15" hidden="false" customHeight="false" outlineLevel="0" collapsed="false">
      <c r="A96" s="5" t="n">
        <v>44723</v>
      </c>
      <c r="B96" s="6" t="n">
        <v>0.247916666666667</v>
      </c>
      <c r="C96" s="7" t="n">
        <v>6348</v>
      </c>
      <c r="D96" s="7" t="s">
        <v>14</v>
      </c>
      <c r="E96" s="7" t="n">
        <v>19400</v>
      </c>
      <c r="F96" s="7" t="n">
        <v>12800</v>
      </c>
      <c r="G96" s="8" t="n">
        <v>6600</v>
      </c>
      <c r="H96" s="7" t="s">
        <v>11</v>
      </c>
      <c r="I96" s="7" t="s">
        <v>12</v>
      </c>
      <c r="J96" s="0" t="s">
        <v>13</v>
      </c>
    </row>
    <row r="97" customFormat="false" ht="15" hidden="false" customHeight="false" outlineLevel="0" collapsed="false">
      <c r="A97" s="5" t="n">
        <v>44723</v>
      </c>
      <c r="B97" s="6" t="n">
        <v>0.471527777777778</v>
      </c>
      <c r="C97" s="7" t="n">
        <v>6357</v>
      </c>
      <c r="D97" s="7" t="s">
        <v>19</v>
      </c>
      <c r="E97" s="7" t="n">
        <v>2580</v>
      </c>
      <c r="F97" s="7" t="n">
        <v>2400</v>
      </c>
      <c r="G97" s="8" t="n">
        <v>180</v>
      </c>
      <c r="H97" s="7" t="s">
        <v>11</v>
      </c>
      <c r="I97" s="5" t="s">
        <v>12</v>
      </c>
      <c r="J97" s="0" t="s">
        <v>13</v>
      </c>
    </row>
    <row r="98" customFormat="false" ht="15" hidden="false" customHeight="false" outlineLevel="0" collapsed="false">
      <c r="A98" s="5" t="n">
        <v>44723</v>
      </c>
      <c r="B98" s="6" t="n">
        <v>0.258333333333333</v>
      </c>
      <c r="C98" s="7" t="n">
        <v>6350</v>
      </c>
      <c r="D98" s="7" t="s">
        <v>10</v>
      </c>
      <c r="E98" s="7" t="n">
        <v>21320</v>
      </c>
      <c r="F98" s="7" t="n">
        <v>15940</v>
      </c>
      <c r="G98" s="8" t="n">
        <v>5380</v>
      </c>
      <c r="H98" s="7" t="s">
        <v>11</v>
      </c>
      <c r="I98" s="7" t="s">
        <v>12</v>
      </c>
      <c r="J98" s="0" t="s">
        <v>13</v>
      </c>
    </row>
    <row r="99" customFormat="false" ht="15" hidden="false" customHeight="false" outlineLevel="0" collapsed="false">
      <c r="A99" s="5" t="n">
        <v>44723</v>
      </c>
      <c r="B99" s="6" t="n">
        <v>0.161805555555556</v>
      </c>
      <c r="C99" s="7" t="n">
        <v>6339</v>
      </c>
      <c r="D99" s="7" t="s">
        <v>10</v>
      </c>
      <c r="E99" s="7" t="n">
        <v>25700</v>
      </c>
      <c r="F99" s="7" t="n">
        <v>15960</v>
      </c>
      <c r="G99" s="8" t="n">
        <v>9740</v>
      </c>
      <c r="H99" s="7" t="s">
        <v>11</v>
      </c>
      <c r="I99" s="7" t="s">
        <v>12</v>
      </c>
      <c r="J99" s="0" t="s">
        <v>13</v>
      </c>
    </row>
    <row r="100" customFormat="false" ht="15" hidden="false" customHeight="false" outlineLevel="0" collapsed="false">
      <c r="A100" s="5" t="n">
        <v>44724</v>
      </c>
      <c r="B100" s="6" t="n">
        <v>0.495138888888889</v>
      </c>
      <c r="C100" s="7" t="n">
        <v>6379</v>
      </c>
      <c r="D100" s="7" t="s">
        <v>15</v>
      </c>
      <c r="E100" s="7" t="n">
        <v>2780</v>
      </c>
      <c r="F100" s="7" t="n">
        <v>2660</v>
      </c>
      <c r="G100" s="8" t="n">
        <v>120</v>
      </c>
      <c r="H100" s="7" t="s">
        <v>11</v>
      </c>
      <c r="I100" s="7" t="s">
        <v>12</v>
      </c>
      <c r="J100" s="0" t="s">
        <v>13</v>
      </c>
    </row>
    <row r="101" customFormat="false" ht="15" hidden="false" customHeight="false" outlineLevel="0" collapsed="false">
      <c r="A101" s="5" t="n">
        <v>44724</v>
      </c>
      <c r="B101" s="6" t="n">
        <v>0.21875</v>
      </c>
      <c r="C101" s="7" t="n">
        <v>6370</v>
      </c>
      <c r="D101" s="7" t="s">
        <v>21</v>
      </c>
      <c r="E101" s="7" t="n">
        <v>4280</v>
      </c>
      <c r="F101" s="7" t="n">
        <v>3760</v>
      </c>
      <c r="G101" s="8" t="n">
        <v>520</v>
      </c>
      <c r="H101" s="7" t="s">
        <v>11</v>
      </c>
      <c r="I101" s="7" t="s">
        <v>12</v>
      </c>
      <c r="J101" s="0" t="s">
        <v>13</v>
      </c>
    </row>
    <row r="102" customFormat="false" ht="15" hidden="false" customHeight="false" outlineLevel="0" collapsed="false">
      <c r="A102" s="5" t="n">
        <v>44724</v>
      </c>
      <c r="B102" s="6" t="n">
        <v>0.140277777777778</v>
      </c>
      <c r="C102" s="7" t="n">
        <v>6366</v>
      </c>
      <c r="D102" s="7" t="s">
        <v>21</v>
      </c>
      <c r="E102" s="7" t="n">
        <v>4740</v>
      </c>
      <c r="F102" s="7" t="n">
        <v>3580</v>
      </c>
      <c r="G102" s="8" t="n">
        <v>1160</v>
      </c>
      <c r="H102" s="7" t="s">
        <v>11</v>
      </c>
      <c r="I102" s="7" t="s">
        <v>12</v>
      </c>
      <c r="J102" s="0" t="s">
        <v>13</v>
      </c>
    </row>
    <row r="103" customFormat="false" ht="15" hidden="false" customHeight="false" outlineLevel="0" collapsed="false">
      <c r="A103" s="5" t="n">
        <v>44724</v>
      </c>
      <c r="B103" s="6" t="n">
        <v>0.135416666666667</v>
      </c>
      <c r="C103" s="7" t="n">
        <v>6365</v>
      </c>
      <c r="D103" s="7" t="s">
        <v>10</v>
      </c>
      <c r="E103" s="7" t="n">
        <v>25300</v>
      </c>
      <c r="F103" s="7" t="n">
        <v>15900</v>
      </c>
      <c r="G103" s="8" t="n">
        <v>9400</v>
      </c>
      <c r="H103" s="7" t="s">
        <v>11</v>
      </c>
      <c r="I103" s="7" t="s">
        <v>12</v>
      </c>
      <c r="J103" s="0" t="s">
        <v>13</v>
      </c>
    </row>
    <row r="104" customFormat="false" ht="15" hidden="false" customHeight="false" outlineLevel="0" collapsed="false">
      <c r="A104" s="5" t="n">
        <v>44724</v>
      </c>
      <c r="B104" s="6" t="n">
        <v>0.248611111111111</v>
      </c>
      <c r="C104" s="7" t="n">
        <v>6375</v>
      </c>
      <c r="D104" s="7" t="s">
        <v>10</v>
      </c>
      <c r="E104" s="7" t="n">
        <v>23060</v>
      </c>
      <c r="F104" s="7" t="n">
        <v>15880</v>
      </c>
      <c r="G104" s="8" t="n">
        <v>7180</v>
      </c>
      <c r="H104" s="7" t="s">
        <v>11</v>
      </c>
      <c r="I104" s="7" t="s">
        <v>12</v>
      </c>
      <c r="J104" s="0" t="s">
        <v>13</v>
      </c>
    </row>
    <row r="105" customFormat="false" ht="15" hidden="false" customHeight="false" outlineLevel="0" collapsed="false">
      <c r="A105" s="5" t="n">
        <v>44724</v>
      </c>
      <c r="B105" s="6" t="n">
        <v>0.434722222222222</v>
      </c>
      <c r="C105" s="7" t="n">
        <v>6378</v>
      </c>
      <c r="D105" s="7" t="s">
        <v>15</v>
      </c>
      <c r="E105" s="7" t="n">
        <v>3300</v>
      </c>
      <c r="F105" s="7" t="n">
        <v>2660</v>
      </c>
      <c r="G105" s="8" t="n">
        <v>640</v>
      </c>
      <c r="H105" s="7" t="s">
        <v>11</v>
      </c>
      <c r="I105" s="7" t="s">
        <v>12</v>
      </c>
      <c r="J105" s="0" t="s">
        <v>13</v>
      </c>
    </row>
    <row r="106" customFormat="false" ht="15" hidden="false" customHeight="false" outlineLevel="0" collapsed="false">
      <c r="A106" s="5" t="n">
        <v>44724</v>
      </c>
      <c r="B106" s="6" t="n">
        <v>0.108333333333333</v>
      </c>
      <c r="C106" s="7" t="n">
        <v>6362</v>
      </c>
      <c r="D106" s="7" t="s">
        <v>14</v>
      </c>
      <c r="E106" s="7" t="n">
        <v>21340</v>
      </c>
      <c r="F106" s="7" t="n">
        <v>12740</v>
      </c>
      <c r="G106" s="8" t="n">
        <v>8600</v>
      </c>
      <c r="H106" s="7" t="s">
        <v>11</v>
      </c>
      <c r="I106" s="7" t="s">
        <v>12</v>
      </c>
      <c r="J106" s="0" t="s">
        <v>13</v>
      </c>
    </row>
    <row r="107" customFormat="false" ht="15" hidden="false" customHeight="false" outlineLevel="0" collapsed="false">
      <c r="A107" s="5" t="n">
        <v>44724</v>
      </c>
      <c r="B107" s="6" t="n">
        <v>0.245833333333333</v>
      </c>
      <c r="C107" s="7" t="n">
        <v>6374</v>
      </c>
      <c r="D107" s="7" t="s">
        <v>14</v>
      </c>
      <c r="E107" s="7" t="n">
        <v>22060</v>
      </c>
      <c r="F107" s="7" t="n">
        <v>12760</v>
      </c>
      <c r="G107" s="8" t="n">
        <v>9300</v>
      </c>
      <c r="H107" s="7" t="s">
        <v>11</v>
      </c>
      <c r="I107" s="7" t="s">
        <v>12</v>
      </c>
      <c r="J107" s="0" t="s">
        <v>13</v>
      </c>
    </row>
    <row r="108" customFormat="false" ht="15" hidden="false" customHeight="false" outlineLevel="0" collapsed="false">
      <c r="A108" s="5" t="n">
        <v>44725</v>
      </c>
      <c r="B108" s="6" t="n">
        <v>0.0673611111111111</v>
      </c>
      <c r="C108" s="7" t="n">
        <v>6382</v>
      </c>
      <c r="D108" s="7" t="s">
        <v>14</v>
      </c>
      <c r="E108" s="7" t="n">
        <v>21280</v>
      </c>
      <c r="F108" s="7" t="n">
        <v>12700</v>
      </c>
      <c r="G108" s="8" t="n">
        <v>8580</v>
      </c>
      <c r="H108" s="7" t="s">
        <v>11</v>
      </c>
      <c r="I108" s="7" t="s">
        <v>12</v>
      </c>
      <c r="J108" s="0" t="s">
        <v>13</v>
      </c>
    </row>
    <row r="109" customFormat="false" ht="15" hidden="false" customHeight="false" outlineLevel="0" collapsed="false">
      <c r="A109" s="5" t="n">
        <v>44725</v>
      </c>
      <c r="B109" s="6" t="n">
        <v>0.245138888888889</v>
      </c>
      <c r="C109" s="7" t="n">
        <v>6396</v>
      </c>
      <c r="D109" s="7" t="s">
        <v>14</v>
      </c>
      <c r="E109" s="7" t="n">
        <v>19700</v>
      </c>
      <c r="F109" s="7" t="n">
        <v>12700</v>
      </c>
      <c r="G109" s="8" t="n">
        <v>7000</v>
      </c>
      <c r="H109" s="7" t="s">
        <v>11</v>
      </c>
      <c r="I109" s="7" t="s">
        <v>12</v>
      </c>
      <c r="J109" s="0" t="s">
        <v>13</v>
      </c>
    </row>
    <row r="110" customFormat="false" ht="15" hidden="false" customHeight="false" outlineLevel="0" collapsed="false">
      <c r="A110" s="5" t="n">
        <v>44725</v>
      </c>
      <c r="B110" s="6" t="n">
        <v>0.259027777777778</v>
      </c>
      <c r="C110" s="7" t="n">
        <v>6398</v>
      </c>
      <c r="D110" s="7" t="s">
        <v>10</v>
      </c>
      <c r="E110" s="7" t="n">
        <v>24040</v>
      </c>
      <c r="F110" s="7" t="n">
        <v>16000</v>
      </c>
      <c r="G110" s="8" t="n">
        <v>8040</v>
      </c>
      <c r="H110" s="7" t="s">
        <v>11</v>
      </c>
      <c r="I110" s="7" t="s">
        <v>12</v>
      </c>
      <c r="J110" s="0" t="s">
        <v>13</v>
      </c>
    </row>
    <row r="111" customFormat="false" ht="15" hidden="false" customHeight="false" outlineLevel="0" collapsed="false">
      <c r="A111" s="5" t="n">
        <v>44725</v>
      </c>
      <c r="B111" s="6" t="n">
        <v>0.139583333333333</v>
      </c>
      <c r="C111" s="7" t="n">
        <v>6388</v>
      </c>
      <c r="D111" s="7" t="s">
        <v>10</v>
      </c>
      <c r="E111" s="7" t="n">
        <v>26080</v>
      </c>
      <c r="F111" s="7" t="n">
        <v>16020</v>
      </c>
      <c r="G111" s="8" t="n">
        <v>10060</v>
      </c>
      <c r="H111" s="7" t="s">
        <v>11</v>
      </c>
      <c r="I111" s="7" t="s">
        <v>12</v>
      </c>
      <c r="J111" s="0" t="s">
        <v>13</v>
      </c>
    </row>
    <row r="112" customFormat="false" ht="15" hidden="false" customHeight="false" outlineLevel="0" collapsed="false">
      <c r="A112" s="5" t="n">
        <v>44725</v>
      </c>
      <c r="B112" s="6" t="n">
        <v>0.211805555555556</v>
      </c>
      <c r="C112" s="7" t="n">
        <v>6392</v>
      </c>
      <c r="D112" s="7" t="s">
        <v>21</v>
      </c>
      <c r="E112" s="7" t="n">
        <v>5000</v>
      </c>
      <c r="F112" s="7" t="n">
        <v>3800</v>
      </c>
      <c r="G112" s="8" t="n">
        <v>1200</v>
      </c>
      <c r="H112" s="7" t="s">
        <v>11</v>
      </c>
      <c r="I112" s="7" t="s">
        <v>12</v>
      </c>
      <c r="J112" s="0" t="s">
        <v>13</v>
      </c>
    </row>
    <row r="113" customFormat="false" ht="15" hidden="false" customHeight="false" outlineLevel="0" collapsed="false">
      <c r="A113" s="5" t="n">
        <v>44725</v>
      </c>
      <c r="B113" s="6" t="n">
        <v>0.490972222222222</v>
      </c>
      <c r="C113" s="7" t="n">
        <v>6424</v>
      </c>
      <c r="D113" s="7" t="s">
        <v>25</v>
      </c>
      <c r="E113" s="7" t="n">
        <v>17880</v>
      </c>
      <c r="F113" s="7" t="n">
        <v>15900</v>
      </c>
      <c r="G113" s="8" t="n">
        <v>1980</v>
      </c>
      <c r="H113" s="7" t="s">
        <v>11</v>
      </c>
      <c r="I113" s="7" t="s">
        <v>17</v>
      </c>
      <c r="J113" s="0" t="s">
        <v>13</v>
      </c>
    </row>
    <row r="114" customFormat="false" ht="15" hidden="false" customHeight="false" outlineLevel="0" collapsed="false">
      <c r="A114" s="5" t="n">
        <v>44725</v>
      </c>
      <c r="B114" s="6" t="n">
        <v>0.325694444444444</v>
      </c>
      <c r="C114" s="7" t="n">
        <v>6403</v>
      </c>
      <c r="D114" s="7" t="s">
        <v>18</v>
      </c>
      <c r="E114" s="7" t="n">
        <v>3120</v>
      </c>
      <c r="F114" s="7" t="n">
        <v>2860</v>
      </c>
      <c r="G114" s="8" t="n">
        <v>260</v>
      </c>
      <c r="H114" s="7" t="s">
        <v>11</v>
      </c>
      <c r="I114" s="7" t="s">
        <v>22</v>
      </c>
      <c r="J114" s="0" t="s">
        <v>13</v>
      </c>
    </row>
    <row r="115" customFormat="false" ht="15" hidden="false" customHeight="false" outlineLevel="0" collapsed="false">
      <c r="A115" s="5" t="n">
        <v>44725</v>
      </c>
      <c r="B115" s="6" t="n">
        <v>0.532638888888889</v>
      </c>
      <c r="C115" s="7" t="n">
        <v>6431</v>
      </c>
      <c r="D115" s="7" t="s">
        <v>18</v>
      </c>
      <c r="E115" s="7" t="n">
        <v>3220</v>
      </c>
      <c r="F115" s="7" t="n">
        <v>2840</v>
      </c>
      <c r="G115" s="8" t="n">
        <v>380</v>
      </c>
      <c r="H115" s="7" t="s">
        <v>11</v>
      </c>
      <c r="I115" s="7" t="s">
        <v>12</v>
      </c>
      <c r="J115" s="0" t="s">
        <v>13</v>
      </c>
    </row>
    <row r="116" customFormat="false" ht="15" hidden="false" customHeight="false" outlineLevel="0" collapsed="false">
      <c r="A116" s="5" t="n">
        <v>44725</v>
      </c>
      <c r="B116" s="6" t="n">
        <v>0.515277777777778</v>
      </c>
      <c r="C116" s="7" t="n">
        <v>2978</v>
      </c>
      <c r="D116" s="7" t="s">
        <v>10</v>
      </c>
      <c r="E116" s="7" t="n">
        <v>17280</v>
      </c>
      <c r="F116" s="7" t="n">
        <v>15760</v>
      </c>
      <c r="G116" s="8" t="n">
        <v>1520</v>
      </c>
      <c r="H116" s="7" t="s">
        <v>11</v>
      </c>
      <c r="I116" s="7" t="s">
        <v>26</v>
      </c>
      <c r="J116" s="0" t="s">
        <v>13</v>
      </c>
    </row>
    <row r="117" customFormat="false" ht="15" hidden="false" customHeight="false" outlineLevel="0" collapsed="false">
      <c r="A117" s="5" t="n">
        <v>44725</v>
      </c>
      <c r="B117" s="6" t="n">
        <v>0.694444444444444</v>
      </c>
      <c r="C117" s="7" t="n">
        <v>6443</v>
      </c>
      <c r="D117" s="7" t="s">
        <v>18</v>
      </c>
      <c r="E117" s="7" t="n">
        <v>3060</v>
      </c>
      <c r="F117" s="7" t="n">
        <v>2840</v>
      </c>
      <c r="G117" s="8" t="n">
        <v>220</v>
      </c>
      <c r="H117" s="7" t="s">
        <v>11</v>
      </c>
      <c r="I117" s="7" t="s">
        <v>17</v>
      </c>
      <c r="J117" s="0" t="s">
        <v>13</v>
      </c>
    </row>
    <row r="118" customFormat="false" ht="15" hidden="false" customHeight="false" outlineLevel="0" collapsed="false">
      <c r="A118" s="5" t="n">
        <v>44726</v>
      </c>
      <c r="B118" s="6" t="n">
        <v>0.146527777777778</v>
      </c>
      <c r="C118" s="7" t="n">
        <v>6454</v>
      </c>
      <c r="D118" s="7" t="s">
        <v>10</v>
      </c>
      <c r="E118" s="7" t="n">
        <v>25320</v>
      </c>
      <c r="F118" s="7" t="n">
        <v>16060</v>
      </c>
      <c r="G118" s="8" t="n">
        <v>9260</v>
      </c>
      <c r="H118" s="7" t="s">
        <v>11</v>
      </c>
      <c r="I118" s="7" t="s">
        <v>12</v>
      </c>
      <c r="J118" s="0" t="s">
        <v>13</v>
      </c>
    </row>
    <row r="119" customFormat="false" ht="15" hidden="false" customHeight="false" outlineLevel="0" collapsed="false">
      <c r="A119" s="5" t="n">
        <v>44726</v>
      </c>
      <c r="B119" s="6" t="n">
        <v>0.229166666666667</v>
      </c>
      <c r="C119" s="7" t="n">
        <v>6460</v>
      </c>
      <c r="D119" s="7" t="s">
        <v>14</v>
      </c>
      <c r="E119" s="7" t="n">
        <v>16420</v>
      </c>
      <c r="F119" s="7" t="n">
        <v>12660</v>
      </c>
      <c r="G119" s="8" t="n">
        <v>3760</v>
      </c>
      <c r="H119" s="7" t="s">
        <v>11</v>
      </c>
      <c r="I119" s="7" t="s">
        <v>12</v>
      </c>
      <c r="J119" s="0" t="s">
        <v>13</v>
      </c>
    </row>
    <row r="120" customFormat="false" ht="15" hidden="false" customHeight="false" outlineLevel="0" collapsed="false">
      <c r="A120" s="5" t="n">
        <v>44726</v>
      </c>
      <c r="B120" s="6" t="n">
        <v>0.156944444444444</v>
      </c>
      <c r="C120" s="7" t="n">
        <v>6455</v>
      </c>
      <c r="D120" s="7" t="s">
        <v>14</v>
      </c>
      <c r="E120" s="7" t="n">
        <v>21080</v>
      </c>
      <c r="F120" s="7" t="n">
        <v>12680</v>
      </c>
      <c r="G120" s="8" t="n">
        <v>8400</v>
      </c>
      <c r="H120" s="7" t="s">
        <v>11</v>
      </c>
      <c r="I120" s="7" t="s">
        <v>12</v>
      </c>
      <c r="J120" s="0" t="s">
        <v>13</v>
      </c>
    </row>
    <row r="121" customFormat="false" ht="15" hidden="false" customHeight="false" outlineLevel="0" collapsed="false">
      <c r="A121" s="5" t="n">
        <v>44726</v>
      </c>
      <c r="B121" s="6" t="n">
        <v>0.247916666666667</v>
      </c>
      <c r="C121" s="7" t="n">
        <v>6463</v>
      </c>
      <c r="D121" s="7" t="s">
        <v>10</v>
      </c>
      <c r="E121" s="7" t="n">
        <v>22380</v>
      </c>
      <c r="F121" s="7" t="n">
        <v>16040</v>
      </c>
      <c r="G121" s="8" t="n">
        <v>6340</v>
      </c>
      <c r="H121" s="7" t="s">
        <v>11</v>
      </c>
      <c r="I121" s="7" t="s">
        <v>12</v>
      </c>
      <c r="J121" s="0" t="s">
        <v>13</v>
      </c>
    </row>
    <row r="122" customFormat="false" ht="15" hidden="false" customHeight="false" outlineLevel="0" collapsed="false">
      <c r="A122" s="5" t="n">
        <v>44726</v>
      </c>
      <c r="B122" s="6" t="n">
        <v>0.205555555555556</v>
      </c>
      <c r="C122" s="7" t="n">
        <v>6456</v>
      </c>
      <c r="D122" s="7" t="s">
        <v>15</v>
      </c>
      <c r="E122" s="7" t="n">
        <v>3340</v>
      </c>
      <c r="F122" s="7" t="n">
        <v>2840</v>
      </c>
      <c r="G122" s="8" t="n">
        <v>500</v>
      </c>
      <c r="H122" s="7" t="s">
        <v>11</v>
      </c>
      <c r="I122" s="7" t="s">
        <v>12</v>
      </c>
      <c r="J122" s="0" t="s">
        <v>13</v>
      </c>
    </row>
    <row r="123" customFormat="false" ht="15" hidden="false" customHeight="false" outlineLevel="0" collapsed="false">
      <c r="A123" s="5" t="n">
        <v>44726</v>
      </c>
      <c r="B123" s="6" t="n">
        <v>0.113888888888889</v>
      </c>
      <c r="C123" s="7" t="n">
        <v>6450</v>
      </c>
      <c r="D123" s="7" t="s">
        <v>15</v>
      </c>
      <c r="E123" s="7" t="n">
        <v>3340</v>
      </c>
      <c r="F123" s="7" t="n">
        <v>2740</v>
      </c>
      <c r="G123" s="8" t="n">
        <v>600</v>
      </c>
      <c r="H123" s="7" t="s">
        <v>11</v>
      </c>
      <c r="I123" s="7" t="s">
        <v>12</v>
      </c>
      <c r="J123" s="0" t="s">
        <v>13</v>
      </c>
    </row>
    <row r="124" customFormat="false" ht="15" hidden="false" customHeight="false" outlineLevel="0" collapsed="false">
      <c r="A124" s="5" t="n">
        <v>44726</v>
      </c>
      <c r="B124" s="6" t="n">
        <v>0.529861111111111</v>
      </c>
      <c r="C124" s="7" t="n">
        <v>140782</v>
      </c>
      <c r="D124" s="7" t="s">
        <v>10</v>
      </c>
      <c r="E124" s="7" t="n">
        <v>18280</v>
      </c>
      <c r="F124" s="7" t="n">
        <v>15920</v>
      </c>
      <c r="G124" s="8" t="n">
        <v>2360</v>
      </c>
      <c r="H124" s="7" t="s">
        <v>11</v>
      </c>
      <c r="I124" s="7" t="s">
        <v>20</v>
      </c>
      <c r="J124" s="0" t="s">
        <v>13</v>
      </c>
    </row>
    <row r="125" customFormat="false" ht="15" hidden="false" customHeight="false" outlineLevel="0" collapsed="false">
      <c r="A125" s="5" t="n">
        <v>44726</v>
      </c>
      <c r="B125" s="6" t="n">
        <v>0.540972222222222</v>
      </c>
      <c r="C125" s="7" t="n">
        <v>6490</v>
      </c>
      <c r="D125" s="7" t="s">
        <v>15</v>
      </c>
      <c r="E125" s="7" t="n">
        <v>3880</v>
      </c>
      <c r="F125" s="7" t="n">
        <v>2820</v>
      </c>
      <c r="G125" s="8" t="n">
        <v>1060</v>
      </c>
      <c r="H125" s="7" t="s">
        <v>11</v>
      </c>
      <c r="I125" s="7" t="s">
        <v>22</v>
      </c>
      <c r="J125" s="0" t="s">
        <v>13</v>
      </c>
    </row>
    <row r="126" customFormat="false" ht="15" hidden="false" customHeight="false" outlineLevel="0" collapsed="false">
      <c r="A126" s="5" t="n">
        <v>44726</v>
      </c>
      <c r="B126" s="6" t="n">
        <v>0.488194444444444</v>
      </c>
      <c r="C126" s="7" t="n">
        <v>6480</v>
      </c>
      <c r="D126" s="7" t="s">
        <v>19</v>
      </c>
      <c r="E126" s="7" t="n">
        <v>2580</v>
      </c>
      <c r="F126" s="7" t="n">
        <v>2380</v>
      </c>
      <c r="G126" s="8" t="n">
        <v>200</v>
      </c>
      <c r="H126" s="7" t="s">
        <v>11</v>
      </c>
      <c r="I126" s="7" t="s">
        <v>12</v>
      </c>
      <c r="J126" s="0" t="s">
        <v>13</v>
      </c>
    </row>
    <row r="127" customFormat="false" ht="15" hidden="false" customHeight="false" outlineLevel="0" collapsed="false">
      <c r="A127" s="5" t="n">
        <v>44726</v>
      </c>
      <c r="B127" s="6" t="n">
        <v>0.434027777777778</v>
      </c>
      <c r="C127" s="7" t="n">
        <v>6473</v>
      </c>
      <c r="D127" s="7" t="s">
        <v>18</v>
      </c>
      <c r="E127" s="7" t="n">
        <v>3260</v>
      </c>
      <c r="F127" s="7" t="n">
        <v>2840</v>
      </c>
      <c r="G127" s="8" t="n">
        <v>420</v>
      </c>
      <c r="H127" s="7" t="s">
        <v>11</v>
      </c>
      <c r="I127" s="7" t="s">
        <v>17</v>
      </c>
      <c r="J127" s="0" t="s">
        <v>13</v>
      </c>
    </row>
    <row r="128" customFormat="false" ht="15" hidden="false" customHeight="false" outlineLevel="0" collapsed="false">
      <c r="A128" s="5" t="n">
        <v>44726</v>
      </c>
      <c r="B128" s="6" t="n">
        <v>0.492361111111111</v>
      </c>
      <c r="C128" s="7" t="n">
        <v>6481</v>
      </c>
      <c r="D128" s="7" t="s">
        <v>18</v>
      </c>
      <c r="E128" s="7" t="n">
        <v>3280</v>
      </c>
      <c r="F128" s="7" t="n">
        <v>2840</v>
      </c>
      <c r="G128" s="8" t="n">
        <v>440</v>
      </c>
      <c r="H128" s="7" t="s">
        <v>11</v>
      </c>
      <c r="I128" s="7" t="s">
        <v>17</v>
      </c>
      <c r="J128" s="0" t="s">
        <v>13</v>
      </c>
    </row>
    <row r="129" customFormat="false" ht="15" hidden="false" customHeight="false" outlineLevel="0" collapsed="false">
      <c r="A129" s="5" t="n">
        <v>44727</v>
      </c>
      <c r="B129" s="6" t="n">
        <v>0.453472222222222</v>
      </c>
      <c r="C129" s="7" t="n">
        <v>6540</v>
      </c>
      <c r="D129" s="7" t="s">
        <v>19</v>
      </c>
      <c r="E129" s="7" t="n">
        <v>2640</v>
      </c>
      <c r="F129" s="7" t="n">
        <v>2380</v>
      </c>
      <c r="G129" s="8" t="n">
        <v>260</v>
      </c>
      <c r="H129" s="7" t="s">
        <v>11</v>
      </c>
      <c r="I129" s="7" t="s">
        <v>12</v>
      </c>
      <c r="J129" s="0" t="s">
        <v>13</v>
      </c>
    </row>
    <row r="130" customFormat="false" ht="15" hidden="false" customHeight="false" outlineLevel="0" collapsed="false">
      <c r="A130" s="5" t="n">
        <v>44727</v>
      </c>
      <c r="B130" s="6" t="n">
        <v>0.240972222222222</v>
      </c>
      <c r="C130" s="7" t="n">
        <v>6516</v>
      </c>
      <c r="D130" s="7" t="s">
        <v>14</v>
      </c>
      <c r="E130" s="7" t="n">
        <v>17980</v>
      </c>
      <c r="F130" s="7" t="n">
        <v>12780</v>
      </c>
      <c r="G130" s="8" t="n">
        <v>5200</v>
      </c>
      <c r="H130" s="7" t="s">
        <v>11</v>
      </c>
      <c r="I130" s="7" t="s">
        <v>12</v>
      </c>
      <c r="J130" s="0" t="s">
        <v>13</v>
      </c>
    </row>
    <row r="131" customFormat="false" ht="15" hidden="false" customHeight="false" outlineLevel="0" collapsed="false">
      <c r="A131" s="5" t="n">
        <v>44727</v>
      </c>
      <c r="B131" s="6" t="n">
        <v>0.138888888888889</v>
      </c>
      <c r="C131" s="7" t="n">
        <v>6508</v>
      </c>
      <c r="D131" s="7" t="s">
        <v>14</v>
      </c>
      <c r="E131" s="7" t="n">
        <v>21820</v>
      </c>
      <c r="F131" s="7" t="n">
        <v>12800</v>
      </c>
      <c r="G131" s="8" t="n">
        <v>9020</v>
      </c>
      <c r="H131" s="7" t="s">
        <v>11</v>
      </c>
      <c r="I131" s="7" t="s">
        <v>12</v>
      </c>
      <c r="J131" s="0" t="s">
        <v>13</v>
      </c>
    </row>
    <row r="132" customFormat="false" ht="15" hidden="false" customHeight="false" outlineLevel="0" collapsed="false">
      <c r="A132" s="5" t="n">
        <v>44727</v>
      </c>
      <c r="B132" s="6" t="n">
        <v>0.500694444444444</v>
      </c>
      <c r="C132" s="7" t="n">
        <v>6544</v>
      </c>
      <c r="D132" s="7" t="s">
        <v>18</v>
      </c>
      <c r="E132" s="7" t="n">
        <v>3460</v>
      </c>
      <c r="F132" s="7" t="n">
        <v>2880</v>
      </c>
      <c r="G132" s="8" t="n">
        <v>580</v>
      </c>
      <c r="H132" s="7" t="s">
        <v>11</v>
      </c>
      <c r="I132" s="7" t="s">
        <v>17</v>
      </c>
      <c r="J132" s="0" t="s">
        <v>13</v>
      </c>
    </row>
    <row r="133" customFormat="false" ht="15" hidden="false" customHeight="false" outlineLevel="0" collapsed="false">
      <c r="A133" s="5" t="n">
        <v>44727</v>
      </c>
      <c r="B133" s="6" t="n">
        <v>0.363888888888889</v>
      </c>
      <c r="C133" s="7" t="n">
        <v>6529</v>
      </c>
      <c r="D133" s="7" t="s">
        <v>18</v>
      </c>
      <c r="E133" s="7" t="n">
        <v>3340</v>
      </c>
      <c r="F133" s="7" t="n">
        <v>2880</v>
      </c>
      <c r="G133" s="8" t="n">
        <v>460</v>
      </c>
      <c r="H133" s="7" t="s">
        <v>11</v>
      </c>
      <c r="I133" s="7" t="s">
        <v>17</v>
      </c>
      <c r="J133" s="0" t="s">
        <v>13</v>
      </c>
    </row>
    <row r="134" customFormat="false" ht="15" hidden="false" customHeight="false" outlineLevel="0" collapsed="false">
      <c r="A134" s="5" t="n">
        <v>44727</v>
      </c>
      <c r="B134" s="6" t="n">
        <v>0.529861111111111</v>
      </c>
      <c r="C134" s="7" t="n">
        <v>6547</v>
      </c>
      <c r="D134" s="7" t="s">
        <v>16</v>
      </c>
      <c r="E134" s="7" t="n">
        <v>6500</v>
      </c>
      <c r="F134" s="7" t="n">
        <v>5560</v>
      </c>
      <c r="G134" s="8" t="n">
        <v>940</v>
      </c>
      <c r="H134" s="7" t="s">
        <v>11</v>
      </c>
      <c r="I134" s="7" t="s">
        <v>17</v>
      </c>
      <c r="J134" s="0" t="s">
        <v>13</v>
      </c>
    </row>
    <row r="135" customFormat="false" ht="15" hidden="false" customHeight="false" outlineLevel="0" collapsed="false">
      <c r="A135" s="5" t="n">
        <v>44727</v>
      </c>
      <c r="B135" s="6" t="n">
        <v>0.209722222222222</v>
      </c>
      <c r="C135" s="7" t="n">
        <v>6512</v>
      </c>
      <c r="D135" s="7" t="s">
        <v>21</v>
      </c>
      <c r="E135" s="7" t="n">
        <v>5000</v>
      </c>
      <c r="F135" s="7" t="n">
        <v>3680</v>
      </c>
      <c r="G135" s="8" t="n">
        <v>1320</v>
      </c>
      <c r="H135" s="7" t="s">
        <v>11</v>
      </c>
      <c r="I135" s="7" t="s">
        <v>12</v>
      </c>
      <c r="J135" s="0" t="s">
        <v>13</v>
      </c>
    </row>
    <row r="136" customFormat="false" ht="15" hidden="false" customHeight="false" outlineLevel="0" collapsed="false">
      <c r="A136" s="5" t="n">
        <v>44727</v>
      </c>
      <c r="B136" s="6" t="n">
        <v>0.29375</v>
      </c>
      <c r="C136" s="7" t="n">
        <v>6521</v>
      </c>
      <c r="D136" s="7" t="s">
        <v>24</v>
      </c>
      <c r="E136" s="7" t="n">
        <v>13280</v>
      </c>
      <c r="F136" s="7" t="n">
        <v>12380</v>
      </c>
      <c r="G136" s="8" t="n">
        <v>900</v>
      </c>
      <c r="H136" s="7" t="s">
        <v>11</v>
      </c>
      <c r="I136" s="7" t="s">
        <v>12</v>
      </c>
      <c r="J136" s="0" t="s">
        <v>13</v>
      </c>
    </row>
    <row r="137" customFormat="false" ht="15" hidden="false" customHeight="false" outlineLevel="0" collapsed="false">
      <c r="A137" s="5" t="n">
        <v>44727</v>
      </c>
      <c r="B137" s="6" t="n">
        <v>0.377777777777778</v>
      </c>
      <c r="C137" s="7" t="n">
        <v>6533</v>
      </c>
      <c r="D137" s="7" t="s">
        <v>16</v>
      </c>
      <c r="E137" s="7" t="n">
        <v>7020</v>
      </c>
      <c r="F137" s="7" t="n">
        <v>5580</v>
      </c>
      <c r="G137" s="8" t="n">
        <v>1440</v>
      </c>
      <c r="H137" s="7" t="s">
        <v>11</v>
      </c>
      <c r="I137" s="7" t="s">
        <v>17</v>
      </c>
      <c r="J137" s="0" t="s">
        <v>13</v>
      </c>
    </row>
    <row r="138" customFormat="false" ht="15" hidden="false" customHeight="false" outlineLevel="0" collapsed="false">
      <c r="A138" s="5" t="n">
        <v>44727</v>
      </c>
      <c r="B138" s="6" t="n">
        <v>0.170833333333333</v>
      </c>
      <c r="C138" s="7" t="n">
        <v>6509</v>
      </c>
      <c r="D138" s="7" t="s">
        <v>10</v>
      </c>
      <c r="E138" s="7" t="n">
        <v>27240</v>
      </c>
      <c r="F138" s="7" t="n">
        <v>16640</v>
      </c>
      <c r="G138" s="8" t="n">
        <v>10600</v>
      </c>
      <c r="H138" s="7" t="s">
        <v>11</v>
      </c>
      <c r="I138" s="7" t="s">
        <v>12</v>
      </c>
      <c r="J138" s="0" t="s">
        <v>13</v>
      </c>
    </row>
    <row r="139" customFormat="false" ht="15" hidden="false" customHeight="false" outlineLevel="0" collapsed="false">
      <c r="A139" s="5" t="n">
        <v>44727</v>
      </c>
      <c r="B139" s="6" t="n">
        <v>0.258333333333333</v>
      </c>
      <c r="C139" s="7" t="n">
        <v>6517</v>
      </c>
      <c r="D139" s="7" t="s">
        <v>10</v>
      </c>
      <c r="E139" s="7" t="n">
        <v>21880</v>
      </c>
      <c r="F139" s="7" t="n">
        <v>16100</v>
      </c>
      <c r="G139" s="8" t="n">
        <v>5780</v>
      </c>
      <c r="H139" s="7" t="s">
        <v>11</v>
      </c>
      <c r="I139" s="7" t="s">
        <v>12</v>
      </c>
      <c r="J139" s="0" t="s">
        <v>13</v>
      </c>
    </row>
    <row r="140" customFormat="false" ht="15" hidden="false" customHeight="false" outlineLevel="0" collapsed="false">
      <c r="A140" s="5" t="n">
        <v>44728</v>
      </c>
      <c r="B140" s="6" t="n">
        <v>0.211805555555556</v>
      </c>
      <c r="C140" s="7" t="n">
        <v>6562</v>
      </c>
      <c r="D140" s="7" t="s">
        <v>21</v>
      </c>
      <c r="E140" s="7" t="n">
        <v>5080</v>
      </c>
      <c r="F140" s="7" t="n">
        <v>3700</v>
      </c>
      <c r="G140" s="8" t="n">
        <v>1380</v>
      </c>
      <c r="H140" s="7" t="s">
        <v>11</v>
      </c>
      <c r="I140" s="7" t="s">
        <v>12</v>
      </c>
      <c r="J140" s="0" t="s">
        <v>13</v>
      </c>
    </row>
    <row r="141" customFormat="false" ht="15" hidden="false" customHeight="false" outlineLevel="0" collapsed="false">
      <c r="A141" s="5" t="n">
        <v>44728</v>
      </c>
      <c r="B141" s="6" t="n">
        <v>0.524305555555556</v>
      </c>
      <c r="C141" s="7" t="n">
        <v>6600</v>
      </c>
      <c r="D141" s="7" t="s">
        <v>19</v>
      </c>
      <c r="E141" s="7" t="n">
        <v>2580</v>
      </c>
      <c r="F141" s="7" t="n">
        <v>2360</v>
      </c>
      <c r="G141" s="8" t="n">
        <v>220</v>
      </c>
      <c r="H141" s="7" t="s">
        <v>11</v>
      </c>
      <c r="I141" s="7" t="s">
        <v>12</v>
      </c>
      <c r="J141" s="0" t="s">
        <v>13</v>
      </c>
    </row>
    <row r="142" customFormat="false" ht="15" hidden="false" customHeight="false" outlineLevel="0" collapsed="false">
      <c r="A142" s="5" t="n">
        <v>44728</v>
      </c>
      <c r="B142" s="6" t="n">
        <v>0.519444444444444</v>
      </c>
      <c r="C142" s="7" t="n">
        <v>6601</v>
      </c>
      <c r="D142" s="7" t="s">
        <v>16</v>
      </c>
      <c r="E142" s="7" t="n">
        <v>7020</v>
      </c>
      <c r="F142" s="7" t="n">
        <v>5560</v>
      </c>
      <c r="G142" s="8" t="n">
        <v>1460</v>
      </c>
      <c r="H142" s="7" t="s">
        <v>11</v>
      </c>
      <c r="I142" s="7" t="s">
        <v>17</v>
      </c>
      <c r="J142" s="0" t="s">
        <v>13</v>
      </c>
    </row>
    <row r="143" customFormat="false" ht="15" hidden="false" customHeight="false" outlineLevel="0" collapsed="false">
      <c r="A143" s="5" t="n">
        <v>44728</v>
      </c>
      <c r="B143" s="6" t="n">
        <v>0.128472222222222</v>
      </c>
      <c r="C143" s="7" t="n">
        <v>6560</v>
      </c>
      <c r="D143" s="7" t="s">
        <v>14</v>
      </c>
      <c r="E143" s="7" t="n">
        <v>21240</v>
      </c>
      <c r="F143" s="7" t="n">
        <v>12760</v>
      </c>
      <c r="G143" s="8" t="n">
        <v>8480</v>
      </c>
      <c r="H143" s="7" t="s">
        <v>11</v>
      </c>
      <c r="I143" s="7" t="s">
        <v>12</v>
      </c>
      <c r="J143" s="0" t="s">
        <v>13</v>
      </c>
    </row>
    <row r="144" customFormat="false" ht="15" hidden="false" customHeight="false" outlineLevel="0" collapsed="false">
      <c r="A144" s="5" t="n">
        <v>44728</v>
      </c>
      <c r="B144" s="6" t="n">
        <v>0.0944444444444444</v>
      </c>
      <c r="C144" s="7" t="n">
        <v>6554</v>
      </c>
      <c r="D144" s="7" t="s">
        <v>10</v>
      </c>
      <c r="E144" s="7" t="n">
        <v>23300</v>
      </c>
      <c r="F144" s="7" t="n">
        <v>16080</v>
      </c>
      <c r="G144" s="8" t="n">
        <v>7220</v>
      </c>
      <c r="H144" s="7" t="s">
        <v>11</v>
      </c>
      <c r="I144" s="7" t="s">
        <v>12</v>
      </c>
      <c r="J144" s="0" t="s">
        <v>13</v>
      </c>
    </row>
    <row r="145" customFormat="false" ht="15" hidden="false" customHeight="false" outlineLevel="0" collapsed="false">
      <c r="A145" s="5" t="n">
        <v>44728</v>
      </c>
      <c r="B145" s="6" t="n">
        <v>0.252083333333333</v>
      </c>
      <c r="C145" s="7" t="n">
        <v>6567</v>
      </c>
      <c r="D145" s="7" t="s">
        <v>10</v>
      </c>
      <c r="E145" s="7" t="n">
        <v>23840</v>
      </c>
      <c r="F145" s="7" t="n">
        <v>16040</v>
      </c>
      <c r="G145" s="8" t="n">
        <v>7800</v>
      </c>
      <c r="H145" s="7" t="s">
        <v>11</v>
      </c>
      <c r="I145" s="7" t="s">
        <v>12</v>
      </c>
      <c r="J145" s="0" t="s">
        <v>13</v>
      </c>
    </row>
    <row r="146" customFormat="false" ht="15" hidden="false" customHeight="false" outlineLevel="0" collapsed="false">
      <c r="A146" s="5" t="n">
        <v>44728</v>
      </c>
      <c r="B146" s="6" t="n">
        <v>0.366666666666667</v>
      </c>
      <c r="C146" s="7" t="n">
        <v>6584</v>
      </c>
      <c r="D146" s="7" t="s">
        <v>16</v>
      </c>
      <c r="E146" s="7" t="n">
        <v>6400</v>
      </c>
      <c r="F146" s="7" t="n">
        <v>5560</v>
      </c>
      <c r="G146" s="8" t="n">
        <v>840</v>
      </c>
      <c r="H146" s="7" t="s">
        <v>11</v>
      </c>
      <c r="I146" s="7" t="s">
        <v>17</v>
      </c>
      <c r="J146" s="0" t="s">
        <v>13</v>
      </c>
    </row>
    <row r="147" customFormat="false" ht="15" hidden="false" customHeight="false" outlineLevel="0" collapsed="false">
      <c r="A147" s="5" t="n">
        <v>44728</v>
      </c>
      <c r="B147" s="6" t="n">
        <v>0.257638888888889</v>
      </c>
      <c r="C147" s="7" t="n">
        <v>6568</v>
      </c>
      <c r="D147" s="7" t="s">
        <v>14</v>
      </c>
      <c r="E147" s="7" t="n">
        <v>17700</v>
      </c>
      <c r="F147" s="7" t="n">
        <v>12740</v>
      </c>
      <c r="G147" s="8" t="n">
        <v>4960</v>
      </c>
      <c r="H147" s="7" t="s">
        <v>11</v>
      </c>
      <c r="I147" s="7" t="s">
        <v>12</v>
      </c>
      <c r="J147" s="0" t="s">
        <v>13</v>
      </c>
    </row>
    <row r="148" customFormat="false" ht="15" hidden="false" customHeight="false" outlineLevel="0" collapsed="false">
      <c r="A148" s="5" t="n">
        <v>44728</v>
      </c>
      <c r="B148" s="6" t="n">
        <v>0.291666666666667</v>
      </c>
      <c r="C148" s="7" t="n">
        <v>6573</v>
      </c>
      <c r="D148" s="7" t="s">
        <v>24</v>
      </c>
      <c r="E148" s="7" t="n">
        <v>12660</v>
      </c>
      <c r="F148" s="7" t="n">
        <v>12380</v>
      </c>
      <c r="G148" s="8" t="n">
        <v>280</v>
      </c>
      <c r="H148" s="7" t="s">
        <v>11</v>
      </c>
      <c r="I148" s="7" t="s">
        <v>12</v>
      </c>
      <c r="J148" s="0" t="s">
        <v>13</v>
      </c>
    </row>
    <row r="149" customFormat="false" ht="15" hidden="false" customHeight="false" outlineLevel="0" collapsed="false">
      <c r="A149" s="5" t="n">
        <v>44729</v>
      </c>
      <c r="B149" s="6" t="n">
        <v>0.155555555555556</v>
      </c>
      <c r="C149" s="7" t="n">
        <v>6624</v>
      </c>
      <c r="D149" s="7" t="s">
        <v>10</v>
      </c>
      <c r="E149" s="7" t="n">
        <v>25940</v>
      </c>
      <c r="F149" s="7" t="n">
        <v>16060</v>
      </c>
      <c r="G149" s="8" t="n">
        <v>9880</v>
      </c>
      <c r="H149" s="7" t="s">
        <v>11</v>
      </c>
      <c r="I149" s="7" t="s">
        <v>12</v>
      </c>
      <c r="J149" s="0" t="s">
        <v>13</v>
      </c>
    </row>
    <row r="150" customFormat="false" ht="15" hidden="false" customHeight="false" outlineLevel="0" collapsed="false">
      <c r="A150" s="5" t="n">
        <v>44729</v>
      </c>
      <c r="B150" s="6" t="n">
        <v>0.2125</v>
      </c>
      <c r="C150" s="7" t="n">
        <v>6627</v>
      </c>
      <c r="D150" s="7" t="s">
        <v>21</v>
      </c>
      <c r="E150" s="7" t="n">
        <v>4860</v>
      </c>
      <c r="F150" s="7" t="n">
        <v>3780</v>
      </c>
      <c r="G150" s="8" t="n">
        <v>1080</v>
      </c>
      <c r="H150" s="7" t="s">
        <v>11</v>
      </c>
      <c r="I150" s="7" t="s">
        <v>12</v>
      </c>
      <c r="J150" s="0" t="s">
        <v>13</v>
      </c>
    </row>
    <row r="151" customFormat="false" ht="15" hidden="false" customHeight="false" outlineLevel="0" collapsed="false">
      <c r="A151" s="5" t="n">
        <v>44729</v>
      </c>
      <c r="B151" s="6" t="n">
        <v>0.253472222222222</v>
      </c>
      <c r="C151" s="7" t="n">
        <v>6632</v>
      </c>
      <c r="D151" s="7" t="s">
        <v>14</v>
      </c>
      <c r="E151" s="7" t="n">
        <v>18340</v>
      </c>
      <c r="F151" s="7" t="n">
        <v>12740</v>
      </c>
      <c r="G151" s="8" t="n">
        <v>5600</v>
      </c>
      <c r="H151" s="7" t="s">
        <v>11</v>
      </c>
      <c r="I151" s="7" t="s">
        <v>12</v>
      </c>
      <c r="J151" s="0" t="s">
        <v>13</v>
      </c>
    </row>
    <row r="152" customFormat="false" ht="15" hidden="false" customHeight="false" outlineLevel="0" collapsed="false">
      <c r="A152" s="5" t="n">
        <v>44729</v>
      </c>
      <c r="B152" s="6" t="n">
        <v>0.131944444444444</v>
      </c>
      <c r="C152" s="7" t="n">
        <v>6623</v>
      </c>
      <c r="D152" s="7" t="s">
        <v>14</v>
      </c>
      <c r="E152" s="7" t="n">
        <v>21120</v>
      </c>
      <c r="F152" s="7" t="n">
        <v>12760</v>
      </c>
      <c r="G152" s="8" t="n">
        <v>8360</v>
      </c>
      <c r="H152" s="7" t="s">
        <v>11</v>
      </c>
      <c r="I152" s="7" t="s">
        <v>12</v>
      </c>
      <c r="J152" s="0" t="s">
        <v>13</v>
      </c>
    </row>
    <row r="153" customFormat="false" ht="15" hidden="false" customHeight="false" outlineLevel="0" collapsed="false">
      <c r="A153" s="5" t="n">
        <v>44729</v>
      </c>
      <c r="B153" s="6" t="n">
        <v>0.255555555555556</v>
      </c>
      <c r="C153" s="7" t="n">
        <v>6634</v>
      </c>
      <c r="D153" s="7" t="s">
        <v>10</v>
      </c>
      <c r="E153" s="7" t="n">
        <v>22880</v>
      </c>
      <c r="F153" s="7" t="n">
        <v>16040</v>
      </c>
      <c r="G153" s="8" t="n">
        <v>6840</v>
      </c>
      <c r="H153" s="7" t="s">
        <v>11</v>
      </c>
      <c r="I153" s="7" t="s">
        <v>12</v>
      </c>
      <c r="J153" s="0" t="s">
        <v>13</v>
      </c>
    </row>
    <row r="154" customFormat="false" ht="15" hidden="false" customHeight="false" outlineLevel="0" collapsed="false">
      <c r="A154" s="5" t="n">
        <v>44729</v>
      </c>
      <c r="B154" s="6" t="n">
        <v>0.365972222222222</v>
      </c>
      <c r="C154" s="7" t="n">
        <v>6645</v>
      </c>
      <c r="D154" s="7" t="s">
        <v>16</v>
      </c>
      <c r="E154" s="7" t="n">
        <v>6680</v>
      </c>
      <c r="F154" s="7" t="n">
        <v>5620</v>
      </c>
      <c r="G154" s="8" t="n">
        <v>1060</v>
      </c>
      <c r="H154" s="7" t="s">
        <v>11</v>
      </c>
      <c r="I154" s="7" t="s">
        <v>17</v>
      </c>
      <c r="J154" s="0" t="s">
        <v>13</v>
      </c>
    </row>
    <row r="155" customFormat="false" ht="15" hidden="false" customHeight="false" outlineLevel="0" collapsed="false">
      <c r="A155" s="5" t="n">
        <v>44729</v>
      </c>
      <c r="B155" s="6" t="n">
        <v>0.436805555555556</v>
      </c>
      <c r="C155" s="7" t="n">
        <v>6649</v>
      </c>
      <c r="D155" s="7" t="s">
        <v>18</v>
      </c>
      <c r="E155" s="7" t="n">
        <v>3180</v>
      </c>
      <c r="F155" s="7" t="n">
        <v>2840</v>
      </c>
      <c r="G155" s="8" t="n">
        <v>340</v>
      </c>
      <c r="H155" s="7" t="s">
        <v>11</v>
      </c>
      <c r="I155" s="7" t="s">
        <v>12</v>
      </c>
      <c r="J155" s="0" t="s">
        <v>13</v>
      </c>
    </row>
    <row r="156" customFormat="false" ht="15" hidden="false" customHeight="false" outlineLevel="0" collapsed="false">
      <c r="A156" s="5" t="n">
        <v>44729</v>
      </c>
      <c r="B156" s="6" t="n">
        <v>0.514583333333333</v>
      </c>
      <c r="C156" s="7" t="n">
        <v>6660</v>
      </c>
      <c r="D156" s="7" t="s">
        <v>16</v>
      </c>
      <c r="E156" s="7" t="n">
        <v>6680</v>
      </c>
      <c r="F156" s="7" t="n">
        <v>5620</v>
      </c>
      <c r="G156" s="8" t="n">
        <v>1060</v>
      </c>
      <c r="H156" s="7" t="s">
        <v>11</v>
      </c>
      <c r="I156" s="7" t="s">
        <v>17</v>
      </c>
      <c r="J156" s="0" t="s">
        <v>13</v>
      </c>
    </row>
    <row r="157" customFormat="false" ht="15" hidden="false" customHeight="false" outlineLevel="0" collapsed="false">
      <c r="A157" s="5" t="n">
        <v>44729</v>
      </c>
      <c r="B157" s="6" t="n">
        <v>0.513888888888889</v>
      </c>
      <c r="C157" s="7" t="n">
        <v>6659</v>
      </c>
      <c r="D157" s="7" t="s">
        <v>19</v>
      </c>
      <c r="E157" s="7" t="n">
        <v>2600</v>
      </c>
      <c r="F157" s="7" t="n">
        <v>2360</v>
      </c>
      <c r="G157" s="8" t="n">
        <v>240</v>
      </c>
      <c r="H157" s="7" t="s">
        <v>11</v>
      </c>
      <c r="I157" s="7" t="s">
        <v>12</v>
      </c>
      <c r="J157" s="0" t="s">
        <v>13</v>
      </c>
    </row>
    <row r="158" customFormat="false" ht="15" hidden="false" customHeight="false" outlineLevel="0" collapsed="false">
      <c r="A158" s="5" t="n">
        <v>44729</v>
      </c>
      <c r="B158" s="6" t="n">
        <v>0.524305555555556</v>
      </c>
      <c r="C158" s="7" t="n">
        <v>140992</v>
      </c>
      <c r="D158" s="7" t="s">
        <v>10</v>
      </c>
      <c r="E158" s="7" t="n">
        <v>17720</v>
      </c>
      <c r="F158" s="7" t="n">
        <v>15920</v>
      </c>
      <c r="G158" s="8" t="n">
        <v>1800</v>
      </c>
      <c r="H158" s="7" t="s">
        <v>11</v>
      </c>
      <c r="I158" s="7" t="s">
        <v>20</v>
      </c>
      <c r="J158" s="0" t="s">
        <v>13</v>
      </c>
    </row>
    <row r="159" customFormat="false" ht="15" hidden="false" customHeight="false" outlineLevel="0" collapsed="false">
      <c r="A159" s="5" t="n">
        <v>44730</v>
      </c>
      <c r="B159" s="6" t="n">
        <v>0.465972222222222</v>
      </c>
      <c r="C159" s="7" t="n">
        <v>141022</v>
      </c>
      <c r="D159" s="7" t="s">
        <v>25</v>
      </c>
      <c r="E159" s="7" t="n">
        <v>17960</v>
      </c>
      <c r="F159" s="7" t="n">
        <v>15760</v>
      </c>
      <c r="G159" s="8" t="n">
        <v>2200</v>
      </c>
      <c r="H159" s="7" t="s">
        <v>11</v>
      </c>
      <c r="I159" s="7" t="s">
        <v>20</v>
      </c>
      <c r="J159" s="0" t="s">
        <v>13</v>
      </c>
    </row>
    <row r="160" customFormat="false" ht="15" hidden="false" customHeight="false" outlineLevel="0" collapsed="false">
      <c r="A160" s="5" t="n">
        <v>44730</v>
      </c>
      <c r="B160" s="6" t="n">
        <v>0.815972222222222</v>
      </c>
      <c r="C160" s="7" t="n">
        <v>6701</v>
      </c>
      <c r="D160" s="7" t="s">
        <v>19</v>
      </c>
      <c r="E160" s="7" t="n">
        <v>2620</v>
      </c>
      <c r="F160" s="7" t="n">
        <v>2380</v>
      </c>
      <c r="G160" s="8" t="n">
        <v>240</v>
      </c>
      <c r="H160" s="7" t="s">
        <v>11</v>
      </c>
      <c r="I160" s="7" t="s">
        <v>12</v>
      </c>
      <c r="J160" s="0" t="s">
        <v>13</v>
      </c>
    </row>
    <row r="161" customFormat="false" ht="15" hidden="false" customHeight="false" outlineLevel="0" collapsed="false">
      <c r="A161" s="5" t="n">
        <v>44730</v>
      </c>
      <c r="B161" s="6" t="n">
        <v>0.478472222222222</v>
      </c>
      <c r="C161" s="7" t="n">
        <v>6698</v>
      </c>
      <c r="D161" s="7" t="s">
        <v>18</v>
      </c>
      <c r="E161" s="7" t="n">
        <v>3380</v>
      </c>
      <c r="F161" s="7" t="n">
        <v>2860</v>
      </c>
      <c r="G161" s="8" t="n">
        <v>520</v>
      </c>
      <c r="H161" s="7" t="s">
        <v>11</v>
      </c>
      <c r="I161" s="7" t="s">
        <v>17</v>
      </c>
      <c r="J161" s="0" t="s">
        <v>13</v>
      </c>
    </row>
    <row r="162" customFormat="false" ht="15" hidden="false" customHeight="false" outlineLevel="0" collapsed="false">
      <c r="A162" s="5" t="n">
        <v>44730</v>
      </c>
      <c r="B162" s="6" t="n">
        <v>0.10625</v>
      </c>
      <c r="C162" s="7" t="n">
        <v>6671</v>
      </c>
      <c r="D162" s="7" t="s">
        <v>10</v>
      </c>
      <c r="E162" s="7" t="n">
        <v>23240</v>
      </c>
      <c r="F162" s="7" t="n">
        <v>16080</v>
      </c>
      <c r="G162" s="8" t="n">
        <v>7160</v>
      </c>
      <c r="H162" s="7" t="s">
        <v>11</v>
      </c>
      <c r="I162" s="7" t="s">
        <v>12</v>
      </c>
      <c r="J162" s="0" t="s">
        <v>13</v>
      </c>
    </row>
    <row r="163" customFormat="false" ht="15" hidden="false" customHeight="false" outlineLevel="0" collapsed="false">
      <c r="A163" s="5" t="n">
        <v>44730</v>
      </c>
      <c r="B163" s="6" t="n">
        <v>0.251388888888889</v>
      </c>
      <c r="C163" s="7" t="n">
        <v>6685</v>
      </c>
      <c r="D163" s="7" t="s">
        <v>10</v>
      </c>
      <c r="E163" s="7" t="n">
        <v>24440</v>
      </c>
      <c r="F163" s="7" t="n">
        <v>16060</v>
      </c>
      <c r="G163" s="8" t="n">
        <v>8380</v>
      </c>
      <c r="H163" s="7" t="s">
        <v>11</v>
      </c>
      <c r="I163" s="7" t="s">
        <v>12</v>
      </c>
      <c r="J163" s="0" t="s">
        <v>13</v>
      </c>
    </row>
    <row r="164" customFormat="false" ht="15" hidden="false" customHeight="false" outlineLevel="0" collapsed="false">
      <c r="A164" s="5" t="n">
        <v>44730</v>
      </c>
      <c r="B164" s="6" t="n">
        <v>0.510416666666667</v>
      </c>
      <c r="C164" s="7" t="n">
        <v>5599</v>
      </c>
      <c r="D164" s="7" t="s">
        <v>10</v>
      </c>
      <c r="E164" s="7" t="n">
        <v>18020</v>
      </c>
      <c r="F164" s="7" t="n">
        <v>15980</v>
      </c>
      <c r="G164" s="8" t="n">
        <v>2040</v>
      </c>
      <c r="H164" s="7" t="s">
        <v>11</v>
      </c>
      <c r="I164" s="7" t="s">
        <v>12</v>
      </c>
      <c r="J164" s="0" t="s">
        <v>13</v>
      </c>
    </row>
    <row r="165" customFormat="false" ht="15" hidden="false" customHeight="false" outlineLevel="0" collapsed="false">
      <c r="A165" s="5" t="n">
        <v>44730</v>
      </c>
      <c r="B165" s="6" t="n">
        <v>0.66875</v>
      </c>
      <c r="C165" s="7" t="n">
        <v>6700</v>
      </c>
      <c r="D165" s="7" t="s">
        <v>24</v>
      </c>
      <c r="E165" s="7" t="n">
        <v>14580</v>
      </c>
      <c r="F165" s="7" t="n">
        <v>12360</v>
      </c>
      <c r="G165" s="8" t="n">
        <v>2220</v>
      </c>
      <c r="H165" s="7" t="s">
        <v>11</v>
      </c>
      <c r="I165" s="7" t="s">
        <v>12</v>
      </c>
      <c r="J165" s="0" t="s">
        <v>13</v>
      </c>
    </row>
    <row r="166" customFormat="false" ht="15" hidden="false" customHeight="false" outlineLevel="0" collapsed="false">
      <c r="A166" s="5" t="n">
        <v>44730</v>
      </c>
      <c r="B166" s="6" t="n">
        <v>0.844444444444444</v>
      </c>
      <c r="C166" s="7" t="n">
        <v>6702</v>
      </c>
      <c r="D166" s="7" t="s">
        <v>10</v>
      </c>
      <c r="E166" s="7" t="n">
        <v>19920</v>
      </c>
      <c r="F166" s="7" t="n">
        <v>16060</v>
      </c>
      <c r="G166" s="8" t="n">
        <v>3860</v>
      </c>
      <c r="H166" s="7" t="s">
        <v>11</v>
      </c>
      <c r="I166" s="7" t="s">
        <v>12</v>
      </c>
      <c r="J166" s="0" t="s">
        <v>13</v>
      </c>
    </row>
    <row r="167" customFormat="false" ht="15" hidden="false" customHeight="false" outlineLevel="0" collapsed="false">
      <c r="A167" s="5" t="n">
        <v>44730</v>
      </c>
      <c r="B167" s="6" t="n">
        <v>0.25625</v>
      </c>
      <c r="C167" s="7" t="n">
        <v>6686</v>
      </c>
      <c r="D167" s="7" t="s">
        <v>14</v>
      </c>
      <c r="E167" s="7" t="n">
        <v>20480</v>
      </c>
      <c r="F167" s="7" t="n">
        <v>12700</v>
      </c>
      <c r="G167" s="8" t="n">
        <v>7780</v>
      </c>
      <c r="H167" s="7" t="s">
        <v>11</v>
      </c>
      <c r="I167" s="7" t="s">
        <v>12</v>
      </c>
      <c r="J167" s="0" t="s">
        <v>13</v>
      </c>
    </row>
    <row r="168" customFormat="false" ht="15" hidden="false" customHeight="false" outlineLevel="0" collapsed="false">
      <c r="A168" s="5" t="n">
        <v>44730</v>
      </c>
      <c r="B168" s="6" t="n">
        <v>0.0916666666666667</v>
      </c>
      <c r="C168" s="7" t="n">
        <v>6669</v>
      </c>
      <c r="D168" s="7" t="s">
        <v>14</v>
      </c>
      <c r="E168" s="7" t="n">
        <v>21660</v>
      </c>
      <c r="F168" s="7" t="n">
        <v>12700</v>
      </c>
      <c r="G168" s="8" t="n">
        <v>8960</v>
      </c>
      <c r="H168" s="7" t="s">
        <v>11</v>
      </c>
      <c r="I168" s="7" t="s">
        <v>12</v>
      </c>
      <c r="J168" s="0" t="s">
        <v>13</v>
      </c>
    </row>
    <row r="169" customFormat="false" ht="15" hidden="false" customHeight="false" outlineLevel="0" collapsed="false">
      <c r="A169" s="5" t="n">
        <v>44730</v>
      </c>
      <c r="B169" s="6" t="n">
        <v>0.375694444444444</v>
      </c>
      <c r="C169" s="7" t="n">
        <v>6695</v>
      </c>
      <c r="D169" s="7" t="s">
        <v>18</v>
      </c>
      <c r="E169" s="7" t="n">
        <v>3140</v>
      </c>
      <c r="F169" s="7" t="n">
        <v>2860</v>
      </c>
      <c r="G169" s="8" t="n">
        <v>280</v>
      </c>
      <c r="H169" s="7" t="s">
        <v>11</v>
      </c>
      <c r="I169" s="7" t="s">
        <v>12</v>
      </c>
      <c r="J169" s="0" t="s">
        <v>13</v>
      </c>
    </row>
    <row r="170" customFormat="false" ht="15" hidden="false" customHeight="false" outlineLevel="0" collapsed="false">
      <c r="A170" s="5" t="n">
        <v>44730</v>
      </c>
      <c r="B170" s="6" t="n">
        <v>0.445833333333333</v>
      </c>
      <c r="C170" s="7" t="n">
        <v>6697</v>
      </c>
      <c r="D170" s="7" t="s">
        <v>19</v>
      </c>
      <c r="E170" s="7" t="n">
        <v>2600</v>
      </c>
      <c r="F170" s="7" t="n">
        <v>2380</v>
      </c>
      <c r="G170" s="8" t="n">
        <v>220</v>
      </c>
      <c r="H170" s="7" t="s">
        <v>11</v>
      </c>
      <c r="I170" s="7" t="s">
        <v>12</v>
      </c>
      <c r="J170" s="0" t="s">
        <v>13</v>
      </c>
    </row>
    <row r="171" customFormat="false" ht="15" hidden="false" customHeight="false" outlineLevel="0" collapsed="false">
      <c r="A171" s="5" t="n">
        <v>44730</v>
      </c>
      <c r="B171" s="6" t="n">
        <v>0.204861111111111</v>
      </c>
      <c r="C171" s="7" t="n">
        <v>6678</v>
      </c>
      <c r="D171" s="7" t="s">
        <v>15</v>
      </c>
      <c r="E171" s="7" t="n">
        <v>3420</v>
      </c>
      <c r="F171" s="7" t="n">
        <v>2800</v>
      </c>
      <c r="G171" s="8" t="n">
        <v>620</v>
      </c>
      <c r="H171" s="7" t="s">
        <v>11</v>
      </c>
      <c r="I171" s="7" t="s">
        <v>12</v>
      </c>
      <c r="J171" s="0" t="s">
        <v>13</v>
      </c>
    </row>
    <row r="172" customFormat="false" ht="15" hidden="false" customHeight="false" outlineLevel="0" collapsed="false">
      <c r="A172" s="5" t="n">
        <v>44730</v>
      </c>
      <c r="B172" s="6" t="n">
        <v>0.110416666666667</v>
      </c>
      <c r="C172" s="7" t="n">
        <v>6673</v>
      </c>
      <c r="D172" s="7" t="s">
        <v>15</v>
      </c>
      <c r="E172" s="7" t="n">
        <v>3220</v>
      </c>
      <c r="F172" s="7" t="n">
        <v>2700</v>
      </c>
      <c r="G172" s="8" t="n">
        <v>520</v>
      </c>
      <c r="H172" s="7" t="s">
        <v>11</v>
      </c>
      <c r="I172" s="7" t="s">
        <v>12</v>
      </c>
      <c r="J172" s="0" t="s">
        <v>13</v>
      </c>
    </row>
    <row r="173" customFormat="false" ht="15" hidden="false" customHeight="false" outlineLevel="0" collapsed="false">
      <c r="A173" s="5" t="n">
        <v>44731</v>
      </c>
      <c r="B173" s="6" t="n">
        <v>0.0951388888888889</v>
      </c>
      <c r="C173" s="7" t="n">
        <v>6703</v>
      </c>
      <c r="D173" s="7" t="s">
        <v>14</v>
      </c>
      <c r="E173" s="7" t="n">
        <v>21700</v>
      </c>
      <c r="F173" s="7" t="n">
        <v>12640</v>
      </c>
      <c r="G173" s="8" t="n">
        <v>9060</v>
      </c>
      <c r="H173" s="7" t="s">
        <v>11</v>
      </c>
      <c r="I173" s="7" t="s">
        <v>12</v>
      </c>
      <c r="J173" s="0" t="s">
        <v>13</v>
      </c>
    </row>
    <row r="174" customFormat="false" ht="15" hidden="false" customHeight="false" outlineLevel="0" collapsed="false">
      <c r="A174" s="5" t="n">
        <v>44731</v>
      </c>
      <c r="B174" s="6" t="n">
        <v>0.241666666666667</v>
      </c>
      <c r="C174" s="7" t="n">
        <v>6716</v>
      </c>
      <c r="D174" s="7" t="s">
        <v>14</v>
      </c>
      <c r="E174" s="7" t="n">
        <v>20280</v>
      </c>
      <c r="F174" s="7" t="n">
        <v>12660</v>
      </c>
      <c r="G174" s="8" t="n">
        <v>7620</v>
      </c>
      <c r="H174" s="7" t="s">
        <v>11</v>
      </c>
      <c r="I174" s="7" t="s">
        <v>12</v>
      </c>
      <c r="J174" s="0" t="s">
        <v>13</v>
      </c>
    </row>
    <row r="175" customFormat="false" ht="15" hidden="false" customHeight="false" outlineLevel="0" collapsed="false">
      <c r="A175" s="5" t="n">
        <v>44731</v>
      </c>
      <c r="B175" s="6" t="n">
        <v>0.371527777777778</v>
      </c>
      <c r="C175" s="7" t="n">
        <v>6720</v>
      </c>
      <c r="D175" s="7" t="s">
        <v>15</v>
      </c>
      <c r="E175" s="7" t="n">
        <v>3040</v>
      </c>
      <c r="F175" s="7" t="n">
        <v>2720</v>
      </c>
      <c r="G175" s="8" t="n">
        <v>320</v>
      </c>
      <c r="H175" s="7" t="s">
        <v>11</v>
      </c>
      <c r="I175" s="7" t="s">
        <v>12</v>
      </c>
      <c r="J175" s="0" t="s">
        <v>13</v>
      </c>
    </row>
    <row r="176" customFormat="false" ht="15" hidden="false" customHeight="false" outlineLevel="0" collapsed="false">
      <c r="A176" s="5" t="n">
        <v>44731</v>
      </c>
      <c r="B176" s="6" t="n">
        <v>0.859722222222222</v>
      </c>
      <c r="C176" s="7" t="n">
        <v>6723</v>
      </c>
      <c r="D176" s="7" t="s">
        <v>10</v>
      </c>
      <c r="E176" s="7" t="n">
        <v>21920</v>
      </c>
      <c r="F176" s="7" t="n">
        <v>16000</v>
      </c>
      <c r="G176" s="8" t="n">
        <v>5920</v>
      </c>
      <c r="H176" s="7" t="s">
        <v>11</v>
      </c>
      <c r="I176" s="7" t="s">
        <v>12</v>
      </c>
      <c r="J176" s="0" t="s">
        <v>13</v>
      </c>
    </row>
    <row r="177" customFormat="false" ht="15" hidden="false" customHeight="false" outlineLevel="0" collapsed="false">
      <c r="A177" s="5" t="n">
        <v>44731</v>
      </c>
      <c r="B177" s="6" t="n">
        <v>0.149305555555556</v>
      </c>
      <c r="C177" s="7" t="n">
        <v>6707</v>
      </c>
      <c r="D177" s="7" t="s">
        <v>10</v>
      </c>
      <c r="E177" s="7" t="n">
        <v>23620</v>
      </c>
      <c r="F177" s="7" t="n">
        <v>16060</v>
      </c>
      <c r="G177" s="8" t="n">
        <v>7560</v>
      </c>
      <c r="H177" s="7" t="s">
        <v>11</v>
      </c>
      <c r="I177" s="7" t="s">
        <v>12</v>
      </c>
      <c r="J177" s="0" t="s">
        <v>13</v>
      </c>
    </row>
    <row r="178" customFormat="false" ht="15" hidden="false" customHeight="false" outlineLevel="0" collapsed="false">
      <c r="A178" s="5" t="n">
        <v>44731</v>
      </c>
      <c r="B178" s="6" t="n">
        <v>0.250694444444444</v>
      </c>
      <c r="C178" s="7" t="n">
        <v>6717</v>
      </c>
      <c r="D178" s="7" t="s">
        <v>10</v>
      </c>
      <c r="E178" s="7" t="n">
        <v>19300</v>
      </c>
      <c r="F178" s="7" t="n">
        <v>16040</v>
      </c>
      <c r="G178" s="8" t="n">
        <v>3260</v>
      </c>
      <c r="H178" s="7" t="s">
        <v>11</v>
      </c>
      <c r="I178" s="7" t="s">
        <v>12</v>
      </c>
      <c r="J178" s="0" t="s">
        <v>13</v>
      </c>
    </row>
    <row r="179" customFormat="false" ht="15" hidden="false" customHeight="false" outlineLevel="0" collapsed="false">
      <c r="A179" s="5" t="n">
        <v>44731</v>
      </c>
      <c r="B179" s="6" t="n">
        <v>0.840972222222222</v>
      </c>
      <c r="C179" s="7" t="n">
        <v>6722</v>
      </c>
      <c r="D179" s="7" t="s">
        <v>19</v>
      </c>
      <c r="E179" s="7" t="n">
        <v>2580</v>
      </c>
      <c r="F179" s="7" t="n">
        <v>2360</v>
      </c>
      <c r="G179" s="8" t="n">
        <v>220</v>
      </c>
      <c r="H179" s="7" t="s">
        <v>11</v>
      </c>
      <c r="I179" s="7" t="s">
        <v>12</v>
      </c>
      <c r="J179" s="0" t="s">
        <v>13</v>
      </c>
    </row>
    <row r="180" customFormat="false" ht="15" hidden="false" customHeight="false" outlineLevel="0" collapsed="false">
      <c r="A180" s="5" t="n">
        <v>44731</v>
      </c>
      <c r="B180" s="6" t="n">
        <v>0.210416666666667</v>
      </c>
      <c r="C180" s="7" t="n">
        <v>6712</v>
      </c>
      <c r="D180" s="7" t="s">
        <v>21</v>
      </c>
      <c r="E180" s="7" t="n">
        <v>4100</v>
      </c>
      <c r="F180" s="7" t="n">
        <v>3680</v>
      </c>
      <c r="G180" s="8" t="n">
        <v>420</v>
      </c>
      <c r="H180" s="7" t="s">
        <v>11</v>
      </c>
      <c r="I180" s="7" t="s">
        <v>12</v>
      </c>
      <c r="J180" s="0" t="s">
        <v>13</v>
      </c>
    </row>
    <row r="181" customFormat="false" ht="15" hidden="false" customHeight="false" outlineLevel="0" collapsed="false">
      <c r="A181" s="5" t="n">
        <v>44731</v>
      </c>
      <c r="B181" s="6" t="n">
        <v>0.126388888888889</v>
      </c>
      <c r="C181" s="7" t="n">
        <v>6706</v>
      </c>
      <c r="D181" s="7" t="s">
        <v>21</v>
      </c>
      <c r="E181" s="7" t="n">
        <v>4680</v>
      </c>
      <c r="F181" s="7" t="n">
        <v>3580</v>
      </c>
      <c r="G181" s="8" t="n">
        <v>1100</v>
      </c>
      <c r="H181" s="7" t="s">
        <v>11</v>
      </c>
      <c r="I181" s="7" t="s">
        <v>12</v>
      </c>
      <c r="J181" s="0" t="s">
        <v>13</v>
      </c>
    </row>
    <row r="182" customFormat="false" ht="15" hidden="false" customHeight="false" outlineLevel="0" collapsed="false">
      <c r="A182" s="5" t="n">
        <v>44731</v>
      </c>
      <c r="B182" s="6" t="n">
        <v>0.507638888888889</v>
      </c>
      <c r="C182" s="7" t="n">
        <v>6721</v>
      </c>
      <c r="D182" s="7" t="s">
        <v>15</v>
      </c>
      <c r="E182" s="7" t="n">
        <v>3000</v>
      </c>
      <c r="F182" s="7" t="n">
        <v>2720</v>
      </c>
      <c r="G182" s="8" t="n">
        <v>280</v>
      </c>
      <c r="H182" s="7" t="s">
        <v>11</v>
      </c>
      <c r="I182" s="7" t="s">
        <v>12</v>
      </c>
      <c r="J182" s="0" t="s">
        <v>13</v>
      </c>
    </row>
    <row r="183" customFormat="false" ht="15" hidden="false" customHeight="false" outlineLevel="0" collapsed="false">
      <c r="A183" s="5" t="n">
        <v>44732</v>
      </c>
      <c r="B183" s="6" t="n">
        <v>0.208333333333333</v>
      </c>
      <c r="C183" s="7" t="n">
        <v>6734</v>
      </c>
      <c r="D183" s="7" t="s">
        <v>21</v>
      </c>
      <c r="E183" s="7" t="n">
        <v>4740</v>
      </c>
      <c r="F183" s="7" t="n">
        <v>3720</v>
      </c>
      <c r="G183" s="8" t="n">
        <v>1020</v>
      </c>
      <c r="H183" s="7" t="s">
        <v>11</v>
      </c>
      <c r="I183" s="7" t="s">
        <v>12</v>
      </c>
      <c r="J183" s="0" t="s">
        <v>13</v>
      </c>
    </row>
    <row r="184" customFormat="false" ht="15" hidden="false" customHeight="false" outlineLevel="0" collapsed="false">
      <c r="A184" s="5" t="n">
        <v>44732</v>
      </c>
      <c r="B184" s="6" t="n">
        <v>0.08125</v>
      </c>
      <c r="C184" s="7" t="n">
        <v>6726</v>
      </c>
      <c r="D184" s="7" t="s">
        <v>14</v>
      </c>
      <c r="E184" s="7" t="n">
        <v>21200</v>
      </c>
      <c r="F184" s="7" t="n">
        <v>12600</v>
      </c>
      <c r="G184" s="8" t="n">
        <v>8600</v>
      </c>
      <c r="H184" s="7" t="s">
        <v>11</v>
      </c>
      <c r="I184" s="7" t="s">
        <v>12</v>
      </c>
      <c r="J184" s="0" t="s">
        <v>13</v>
      </c>
    </row>
    <row r="185" customFormat="false" ht="15" hidden="false" customHeight="false" outlineLevel="0" collapsed="false">
      <c r="A185" s="5" t="n">
        <v>44732</v>
      </c>
      <c r="B185" s="6" t="n">
        <v>0.240277777777778</v>
      </c>
      <c r="C185" s="7" t="n">
        <v>6739</v>
      </c>
      <c r="D185" s="7" t="s">
        <v>14</v>
      </c>
      <c r="E185" s="7" t="n">
        <v>19120</v>
      </c>
      <c r="F185" s="7" t="n">
        <v>12620</v>
      </c>
      <c r="G185" s="8" t="n">
        <v>6500</v>
      </c>
      <c r="H185" s="7" t="s">
        <v>11</v>
      </c>
      <c r="I185" s="7" t="s">
        <v>12</v>
      </c>
      <c r="J185" s="0" t="s">
        <v>13</v>
      </c>
    </row>
    <row r="186" customFormat="false" ht="15" hidden="false" customHeight="false" outlineLevel="0" collapsed="false">
      <c r="A186" s="5" t="n">
        <v>44732</v>
      </c>
      <c r="B186" s="6" t="n">
        <v>0.168055555555556</v>
      </c>
      <c r="C186" s="7" t="n">
        <v>6731</v>
      </c>
      <c r="D186" s="7" t="s">
        <v>27</v>
      </c>
      <c r="E186" s="7" t="n">
        <v>26960</v>
      </c>
      <c r="F186" s="7" t="n">
        <v>15780</v>
      </c>
      <c r="G186" s="8" t="n">
        <v>11180</v>
      </c>
      <c r="H186" s="7" t="s">
        <v>11</v>
      </c>
      <c r="I186" s="7" t="s">
        <v>12</v>
      </c>
      <c r="J186" s="0" t="s">
        <v>13</v>
      </c>
    </row>
    <row r="187" customFormat="false" ht="15" hidden="false" customHeight="false" outlineLevel="0" collapsed="false">
      <c r="A187" s="5" t="n">
        <v>44732</v>
      </c>
      <c r="B187" s="6" t="n">
        <v>0.233333333333333</v>
      </c>
      <c r="C187" s="7" t="n">
        <v>6737</v>
      </c>
      <c r="D187" s="7" t="s">
        <v>27</v>
      </c>
      <c r="E187" s="7" t="n">
        <v>19300</v>
      </c>
      <c r="F187" s="7" t="n">
        <v>15760</v>
      </c>
      <c r="G187" s="8" t="n">
        <v>3540</v>
      </c>
      <c r="H187" s="7" t="s">
        <v>11</v>
      </c>
      <c r="I187" s="5" t="s">
        <v>12</v>
      </c>
      <c r="J187" s="0" t="s">
        <v>13</v>
      </c>
    </row>
    <row r="188" customFormat="false" ht="15" hidden="false" customHeight="false" outlineLevel="0" collapsed="false">
      <c r="A188" s="5" t="n">
        <v>44732</v>
      </c>
      <c r="B188" s="6" t="n">
        <v>0.49375</v>
      </c>
      <c r="C188" s="7" t="n">
        <v>3004</v>
      </c>
      <c r="D188" s="7" t="s">
        <v>27</v>
      </c>
      <c r="E188" s="7" t="n">
        <v>16560</v>
      </c>
      <c r="F188" s="7" t="n">
        <v>15760</v>
      </c>
      <c r="G188" s="8" t="n">
        <v>800</v>
      </c>
      <c r="H188" s="7" t="s">
        <v>11</v>
      </c>
      <c r="I188" s="7" t="s">
        <v>23</v>
      </c>
      <c r="J188" s="0" t="s">
        <v>13</v>
      </c>
    </row>
    <row r="189" customFormat="false" ht="15" hidden="false" customHeight="false" outlineLevel="0" collapsed="false">
      <c r="A189" s="5" t="n">
        <v>44732</v>
      </c>
      <c r="B189" s="6" t="n">
        <v>0.879861111111111</v>
      </c>
      <c r="C189" s="7" t="n">
        <v>6786</v>
      </c>
      <c r="D189" s="7" t="s">
        <v>10</v>
      </c>
      <c r="E189" s="7" t="n">
        <v>19500</v>
      </c>
      <c r="F189" s="7" t="n">
        <v>15940</v>
      </c>
      <c r="G189" s="8" t="n">
        <v>3560</v>
      </c>
      <c r="H189" s="7" t="s">
        <v>11</v>
      </c>
      <c r="I189" s="7" t="s">
        <v>12</v>
      </c>
      <c r="J189" s="0" t="s">
        <v>13</v>
      </c>
    </row>
    <row r="190" customFormat="false" ht="15" hidden="false" customHeight="false" outlineLevel="0" collapsed="false">
      <c r="A190" s="5" t="n">
        <v>44732</v>
      </c>
      <c r="B190" s="6" t="n">
        <v>0.530555555555556</v>
      </c>
      <c r="C190" s="7" t="n">
        <v>6770</v>
      </c>
      <c r="D190" s="7" t="s">
        <v>16</v>
      </c>
      <c r="E190" s="7" t="n">
        <v>6080</v>
      </c>
      <c r="F190" s="7" t="n">
        <v>5600</v>
      </c>
      <c r="G190" s="8" t="n">
        <v>480</v>
      </c>
      <c r="H190" s="7" t="s">
        <v>11</v>
      </c>
      <c r="I190" s="7" t="s">
        <v>17</v>
      </c>
      <c r="J190" s="0" t="s">
        <v>13</v>
      </c>
    </row>
    <row r="191" customFormat="false" ht="15" hidden="false" customHeight="false" outlineLevel="0" collapsed="false">
      <c r="A191" s="5" t="n">
        <v>44732</v>
      </c>
      <c r="B191" s="6" t="n">
        <v>0.693055555555556</v>
      </c>
      <c r="C191" s="7" t="n">
        <v>6784</v>
      </c>
      <c r="D191" s="7" t="s">
        <v>14</v>
      </c>
      <c r="E191" s="7" t="n">
        <v>14220</v>
      </c>
      <c r="F191" s="7" t="n">
        <v>12740</v>
      </c>
      <c r="G191" s="8" t="n">
        <v>1480</v>
      </c>
      <c r="H191" s="7" t="s">
        <v>11</v>
      </c>
      <c r="I191" s="7" t="s">
        <v>12</v>
      </c>
      <c r="J191" s="0" t="s">
        <v>13</v>
      </c>
    </row>
    <row r="192" customFormat="false" ht="15" hidden="false" customHeight="false" outlineLevel="0" collapsed="false">
      <c r="A192" s="5" t="n">
        <v>44732</v>
      </c>
      <c r="B192" s="6" t="n">
        <v>0.520833333333333</v>
      </c>
      <c r="C192" s="7" t="n">
        <v>6766</v>
      </c>
      <c r="D192" s="7" t="s">
        <v>19</v>
      </c>
      <c r="E192" s="7" t="n">
        <v>2560</v>
      </c>
      <c r="F192" s="7" t="n">
        <v>2360</v>
      </c>
      <c r="G192" s="8" t="n">
        <v>200</v>
      </c>
      <c r="H192" s="7" t="s">
        <v>11</v>
      </c>
      <c r="I192" s="7" t="s">
        <v>12</v>
      </c>
      <c r="J192" s="0" t="s">
        <v>13</v>
      </c>
    </row>
    <row r="193" customFormat="false" ht="15" hidden="false" customHeight="false" outlineLevel="0" collapsed="false">
      <c r="A193" s="5" t="n">
        <v>44732</v>
      </c>
      <c r="B193" s="6" t="n">
        <v>0.359027777777778</v>
      </c>
      <c r="C193" s="7" t="n">
        <v>6748</v>
      </c>
      <c r="D193" s="7" t="s">
        <v>18</v>
      </c>
      <c r="E193" s="7" t="n">
        <v>3360</v>
      </c>
      <c r="F193" s="7" t="n">
        <v>2860</v>
      </c>
      <c r="G193" s="8" t="n">
        <v>500</v>
      </c>
      <c r="H193" s="7" t="s">
        <v>11</v>
      </c>
      <c r="I193" s="7" t="s">
        <v>12</v>
      </c>
      <c r="J193" s="0" t="s">
        <v>13</v>
      </c>
    </row>
    <row r="194" customFormat="false" ht="15" hidden="false" customHeight="false" outlineLevel="0" collapsed="false">
      <c r="A194" s="5" t="n">
        <v>44732</v>
      </c>
      <c r="B194" s="6" t="n">
        <v>0.361111111111111</v>
      </c>
      <c r="C194" s="7" t="n">
        <v>6749</v>
      </c>
      <c r="D194" s="7" t="s">
        <v>19</v>
      </c>
      <c r="E194" s="7" t="n">
        <v>2600</v>
      </c>
      <c r="F194" s="7" t="n">
        <v>2360</v>
      </c>
      <c r="G194" s="8" t="n">
        <v>240</v>
      </c>
      <c r="H194" s="7" t="s">
        <v>11</v>
      </c>
      <c r="I194" s="7" t="s">
        <v>12</v>
      </c>
      <c r="J194" s="0" t="s">
        <v>13</v>
      </c>
    </row>
    <row r="195" customFormat="false" ht="15" hidden="false" customHeight="false" outlineLevel="0" collapsed="false">
      <c r="A195" s="5" t="n">
        <v>44733</v>
      </c>
      <c r="B195" s="6" t="n">
        <v>0.236805555555556</v>
      </c>
      <c r="C195" s="7" t="n">
        <v>6797</v>
      </c>
      <c r="D195" s="7" t="s">
        <v>10</v>
      </c>
      <c r="E195" s="7" t="n">
        <v>20220</v>
      </c>
      <c r="F195" s="7" t="n">
        <v>16060</v>
      </c>
      <c r="G195" s="8" t="n">
        <v>4160</v>
      </c>
      <c r="H195" s="7" t="s">
        <v>11</v>
      </c>
      <c r="I195" s="7" t="s">
        <v>12</v>
      </c>
      <c r="J195" s="0" t="s">
        <v>13</v>
      </c>
    </row>
    <row r="196" customFormat="false" ht="15" hidden="false" customHeight="false" outlineLevel="0" collapsed="false">
      <c r="A196" s="5" t="n">
        <v>44733</v>
      </c>
      <c r="B196" s="6" t="n">
        <v>0.259027777777778</v>
      </c>
      <c r="C196" s="7" t="n">
        <v>6802</v>
      </c>
      <c r="D196" s="7" t="s">
        <v>21</v>
      </c>
      <c r="E196" s="7" t="n">
        <v>4640</v>
      </c>
      <c r="F196" s="7" t="n">
        <v>3580</v>
      </c>
      <c r="G196" s="8" t="n">
        <v>1060</v>
      </c>
      <c r="H196" s="7" t="s">
        <v>11</v>
      </c>
      <c r="I196" s="7" t="s">
        <v>12</v>
      </c>
      <c r="J196" s="0" t="s">
        <v>13</v>
      </c>
    </row>
    <row r="197" customFormat="false" ht="15" hidden="false" customHeight="false" outlineLevel="0" collapsed="false">
      <c r="A197" s="5" t="n">
        <v>44733</v>
      </c>
      <c r="B197" s="6" t="n">
        <v>0.114583333333333</v>
      </c>
      <c r="C197" s="7" t="n">
        <v>6792</v>
      </c>
      <c r="D197" s="7" t="s">
        <v>14</v>
      </c>
      <c r="E197" s="7" t="n">
        <v>21140</v>
      </c>
      <c r="F197" s="7" t="n">
        <v>12780</v>
      </c>
      <c r="G197" s="8" t="n">
        <v>8360</v>
      </c>
      <c r="H197" s="7" t="s">
        <v>11</v>
      </c>
      <c r="I197" s="7" t="s">
        <v>12</v>
      </c>
      <c r="J197" s="0" t="s">
        <v>13</v>
      </c>
    </row>
    <row r="198" customFormat="false" ht="15" hidden="false" customHeight="false" outlineLevel="0" collapsed="false">
      <c r="A198" s="5" t="n">
        <v>44733</v>
      </c>
      <c r="B198" s="6" t="n">
        <v>0.254166666666667</v>
      </c>
      <c r="C198" s="7" t="n">
        <v>6799</v>
      </c>
      <c r="D198" s="7" t="s">
        <v>14</v>
      </c>
      <c r="E198" s="7" t="n">
        <v>17020</v>
      </c>
      <c r="F198" s="7" t="n">
        <v>12800</v>
      </c>
      <c r="G198" s="8" t="n">
        <v>4220</v>
      </c>
      <c r="H198" s="7" t="s">
        <v>11</v>
      </c>
      <c r="I198" s="7" t="s">
        <v>12</v>
      </c>
      <c r="J198" s="0" t="s">
        <v>13</v>
      </c>
    </row>
    <row r="199" customFormat="false" ht="15" hidden="false" customHeight="false" outlineLevel="0" collapsed="false">
      <c r="A199" s="5" t="n">
        <v>44733</v>
      </c>
      <c r="B199" s="6" t="n">
        <v>0.539583333333333</v>
      </c>
      <c r="C199" s="7" t="n">
        <v>6826</v>
      </c>
      <c r="D199" s="7" t="s">
        <v>15</v>
      </c>
      <c r="E199" s="7" t="n">
        <v>3020</v>
      </c>
      <c r="F199" s="7" t="n">
        <v>2700</v>
      </c>
      <c r="G199" s="8" t="n">
        <v>320</v>
      </c>
      <c r="H199" s="7" t="s">
        <v>11</v>
      </c>
      <c r="I199" s="7" t="s">
        <v>22</v>
      </c>
      <c r="J199" s="0" t="s">
        <v>13</v>
      </c>
    </row>
    <row r="200" customFormat="false" ht="15" hidden="false" customHeight="false" outlineLevel="0" collapsed="false">
      <c r="A200" s="5" t="n">
        <v>44733</v>
      </c>
      <c r="B200" s="6" t="n">
        <v>0.443055555555556</v>
      </c>
      <c r="C200" s="7" t="n">
        <v>6817</v>
      </c>
      <c r="D200" s="7" t="s">
        <v>19</v>
      </c>
      <c r="E200" s="7" t="n">
        <v>2600</v>
      </c>
      <c r="F200" s="7" t="n">
        <v>2360</v>
      </c>
      <c r="G200" s="8" t="n">
        <v>240</v>
      </c>
      <c r="H200" s="7" t="s">
        <v>11</v>
      </c>
      <c r="I200" s="7" t="s">
        <v>12</v>
      </c>
      <c r="J200" s="0" t="s">
        <v>13</v>
      </c>
    </row>
    <row r="201" customFormat="false" ht="15" hidden="false" customHeight="false" outlineLevel="0" collapsed="false">
      <c r="A201" s="5" t="n">
        <v>44733</v>
      </c>
      <c r="B201" s="6" t="n">
        <v>0.515277777777778</v>
      </c>
      <c r="C201" s="7" t="n">
        <v>6824</v>
      </c>
      <c r="D201" s="7" t="s">
        <v>18</v>
      </c>
      <c r="E201" s="7" t="n">
        <v>3300</v>
      </c>
      <c r="F201" s="7" t="n">
        <v>2840</v>
      </c>
      <c r="G201" s="8" t="n">
        <v>460</v>
      </c>
      <c r="H201" s="7" t="s">
        <v>11</v>
      </c>
      <c r="I201" s="7" t="s">
        <v>12</v>
      </c>
      <c r="J201" s="0" t="s">
        <v>13</v>
      </c>
    </row>
    <row r="202" customFormat="false" ht="15" hidden="false" customHeight="false" outlineLevel="0" collapsed="false">
      <c r="A202" s="5" t="n">
        <v>44733</v>
      </c>
      <c r="B202" s="6" t="n">
        <v>0.529861111111111</v>
      </c>
      <c r="C202" s="7" t="n">
        <v>6825</v>
      </c>
      <c r="D202" s="7" t="s">
        <v>10</v>
      </c>
      <c r="E202" s="7" t="n">
        <v>23620</v>
      </c>
      <c r="F202" s="7" t="n">
        <v>16000</v>
      </c>
      <c r="G202" s="8" t="n">
        <v>7620</v>
      </c>
      <c r="H202" s="7" t="s">
        <v>11</v>
      </c>
      <c r="I202" s="7" t="s">
        <v>12</v>
      </c>
      <c r="J202" s="0" t="s">
        <v>13</v>
      </c>
    </row>
    <row r="203" customFormat="false" ht="15" hidden="false" customHeight="false" outlineLevel="0" collapsed="false">
      <c r="A203" s="5" t="n">
        <v>44733</v>
      </c>
      <c r="B203" s="6" t="n">
        <v>0.863194444444444</v>
      </c>
      <c r="C203" s="7" t="n">
        <v>6837</v>
      </c>
      <c r="D203" s="7" t="s">
        <v>27</v>
      </c>
      <c r="E203" s="7" t="n">
        <v>17480</v>
      </c>
      <c r="F203" s="7" t="n">
        <v>15760</v>
      </c>
      <c r="G203" s="8" t="n">
        <v>1720</v>
      </c>
      <c r="H203" s="7" t="s">
        <v>11</v>
      </c>
      <c r="I203" s="7" t="s">
        <v>12</v>
      </c>
      <c r="J203" s="0" t="s">
        <v>13</v>
      </c>
    </row>
    <row r="204" customFormat="false" ht="15" hidden="false" customHeight="false" outlineLevel="0" collapsed="false">
      <c r="A204" s="5" t="n">
        <v>44733</v>
      </c>
      <c r="B204" s="6" t="n">
        <v>0.825694444444444</v>
      </c>
      <c r="C204" s="7" t="n">
        <v>6836</v>
      </c>
      <c r="D204" s="7" t="s">
        <v>19</v>
      </c>
      <c r="E204" s="7" t="n">
        <v>2600</v>
      </c>
      <c r="F204" s="7" t="n">
        <v>2400</v>
      </c>
      <c r="G204" s="8" t="n">
        <v>200</v>
      </c>
      <c r="H204" s="7" t="s">
        <v>11</v>
      </c>
      <c r="I204" s="7" t="s">
        <v>12</v>
      </c>
      <c r="J204" s="0" t="s">
        <v>13</v>
      </c>
    </row>
    <row r="205" customFormat="false" ht="15" hidden="false" customHeight="false" outlineLevel="0" collapsed="false">
      <c r="A205" s="5" t="n">
        <v>44733</v>
      </c>
      <c r="B205" s="6" t="n">
        <v>0.676388888888889</v>
      </c>
      <c r="C205" s="7" t="n">
        <v>6835</v>
      </c>
      <c r="D205" s="7" t="s">
        <v>14</v>
      </c>
      <c r="E205" s="7" t="n">
        <v>13780</v>
      </c>
      <c r="F205" s="7" t="n">
        <v>12700</v>
      </c>
      <c r="G205" s="8" t="n">
        <v>1080</v>
      </c>
      <c r="H205" s="7" t="s">
        <v>11</v>
      </c>
      <c r="I205" s="7" t="s">
        <v>12</v>
      </c>
      <c r="J205" s="0" t="s">
        <v>13</v>
      </c>
    </row>
    <row r="206" customFormat="false" ht="15" hidden="false" customHeight="false" outlineLevel="0" collapsed="false">
      <c r="A206" s="5" t="n">
        <v>44734</v>
      </c>
      <c r="B206" s="6" t="n">
        <v>0.204166666666667</v>
      </c>
      <c r="C206" s="7" t="n">
        <v>6848</v>
      </c>
      <c r="D206" s="7" t="s">
        <v>27</v>
      </c>
      <c r="E206" s="7" t="n">
        <v>26280</v>
      </c>
      <c r="F206" s="7" t="n">
        <v>15860</v>
      </c>
      <c r="G206" s="8" t="n">
        <v>10420</v>
      </c>
      <c r="H206" s="7" t="s">
        <v>11</v>
      </c>
      <c r="I206" s="7" t="s">
        <v>12</v>
      </c>
      <c r="J206" s="0" t="s">
        <v>13</v>
      </c>
    </row>
    <row r="207" customFormat="false" ht="15" hidden="false" customHeight="false" outlineLevel="0" collapsed="false">
      <c r="A207" s="5" t="n">
        <v>44734</v>
      </c>
      <c r="B207" s="6" t="n">
        <v>0.113888888888889</v>
      </c>
      <c r="C207" s="7" t="n">
        <v>6842</v>
      </c>
      <c r="D207" s="7" t="s">
        <v>14</v>
      </c>
      <c r="E207" s="7" t="n">
        <v>22120</v>
      </c>
      <c r="F207" s="7" t="n">
        <v>12740</v>
      </c>
      <c r="G207" s="8" t="n">
        <v>9380</v>
      </c>
      <c r="H207" s="7" t="s">
        <v>11</v>
      </c>
      <c r="I207" s="7" t="s">
        <v>12</v>
      </c>
      <c r="J207" s="0" t="s">
        <v>13</v>
      </c>
    </row>
    <row r="208" customFormat="false" ht="15" hidden="false" customHeight="false" outlineLevel="0" collapsed="false">
      <c r="A208" s="5" t="n">
        <v>44734</v>
      </c>
      <c r="B208" s="6" t="n">
        <v>0.244444444444444</v>
      </c>
      <c r="C208" s="7" t="n">
        <v>6854</v>
      </c>
      <c r="D208" s="7" t="s">
        <v>14</v>
      </c>
      <c r="E208" s="7" t="n">
        <v>17080</v>
      </c>
      <c r="F208" s="7" t="n">
        <v>12720</v>
      </c>
      <c r="G208" s="8" t="n">
        <v>4360</v>
      </c>
      <c r="H208" s="7" t="s">
        <v>11</v>
      </c>
      <c r="I208" s="7" t="s">
        <v>12</v>
      </c>
      <c r="J208" s="0" t="s">
        <v>13</v>
      </c>
    </row>
    <row r="209" customFormat="false" ht="15" hidden="false" customHeight="false" outlineLevel="0" collapsed="false">
      <c r="A209" s="5" t="n">
        <v>44734</v>
      </c>
      <c r="B209" s="6" t="n">
        <v>0.122916666666667</v>
      </c>
      <c r="C209" s="7" t="n">
        <v>6845</v>
      </c>
      <c r="D209" s="7" t="s">
        <v>15</v>
      </c>
      <c r="E209" s="7" t="n">
        <v>3400</v>
      </c>
      <c r="F209" s="7" t="n">
        <v>2720</v>
      </c>
      <c r="G209" s="8" t="n">
        <v>680</v>
      </c>
      <c r="H209" s="7" t="s">
        <v>11</v>
      </c>
      <c r="I209" s="7" t="s">
        <v>12</v>
      </c>
      <c r="J209" s="0" t="s">
        <v>13</v>
      </c>
    </row>
    <row r="210" customFormat="false" ht="15" hidden="false" customHeight="false" outlineLevel="0" collapsed="false">
      <c r="A210" s="5" t="n">
        <v>44734</v>
      </c>
      <c r="B210" s="6" t="n">
        <v>0.209722222222222</v>
      </c>
      <c r="C210" s="7" t="n">
        <v>6849</v>
      </c>
      <c r="D210" s="7" t="s">
        <v>15</v>
      </c>
      <c r="E210" s="7" t="n">
        <v>3140</v>
      </c>
      <c r="F210" s="7" t="n">
        <v>2820</v>
      </c>
      <c r="G210" s="8" t="n">
        <v>320</v>
      </c>
      <c r="H210" s="7" t="s">
        <v>11</v>
      </c>
      <c r="I210" s="7" t="s">
        <v>12</v>
      </c>
      <c r="J210" s="0" t="s">
        <v>13</v>
      </c>
    </row>
    <row r="211" customFormat="false" ht="15" hidden="false" customHeight="false" outlineLevel="0" collapsed="false">
      <c r="A211" s="5" t="n">
        <v>44734</v>
      </c>
      <c r="B211" s="6" t="n">
        <v>0.513194444444444</v>
      </c>
      <c r="C211" s="7" t="n">
        <v>141173</v>
      </c>
      <c r="D211" s="7" t="s">
        <v>10</v>
      </c>
      <c r="E211" s="7" t="n">
        <v>18180</v>
      </c>
      <c r="F211" s="7" t="n">
        <v>15920</v>
      </c>
      <c r="G211" s="8" t="n">
        <v>2260</v>
      </c>
      <c r="H211" s="7" t="s">
        <v>11</v>
      </c>
      <c r="I211" s="7" t="s">
        <v>20</v>
      </c>
      <c r="J211" s="0" t="s">
        <v>13</v>
      </c>
    </row>
    <row r="212" customFormat="false" ht="15" hidden="false" customHeight="false" outlineLevel="0" collapsed="false">
      <c r="A212" s="5" t="n">
        <v>44734</v>
      </c>
      <c r="B212" s="6" t="n">
        <v>0.324305555555556</v>
      </c>
      <c r="C212" s="7" t="n">
        <v>6860</v>
      </c>
      <c r="D212" s="7" t="s">
        <v>18</v>
      </c>
      <c r="E212" s="7" t="n">
        <v>3520</v>
      </c>
      <c r="F212" s="7" t="n">
        <v>2840</v>
      </c>
      <c r="G212" s="8" t="n">
        <v>680</v>
      </c>
      <c r="H212" s="7" t="s">
        <v>11</v>
      </c>
      <c r="I212" s="7" t="s">
        <v>17</v>
      </c>
      <c r="J212" s="0" t="s">
        <v>13</v>
      </c>
    </row>
    <row r="213" customFormat="false" ht="15" hidden="false" customHeight="false" outlineLevel="0" collapsed="false">
      <c r="A213" s="5" t="n">
        <v>44734</v>
      </c>
      <c r="B213" s="6" t="n">
        <v>0.5</v>
      </c>
      <c r="C213" s="7" t="n">
        <v>6874</v>
      </c>
      <c r="D213" s="7" t="s">
        <v>16</v>
      </c>
      <c r="E213" s="7" t="n">
        <v>6380</v>
      </c>
      <c r="F213" s="7" t="n">
        <v>5580</v>
      </c>
      <c r="G213" s="8" t="n">
        <v>800</v>
      </c>
      <c r="H213" s="7" t="s">
        <v>11</v>
      </c>
      <c r="I213" s="7" t="s">
        <v>17</v>
      </c>
      <c r="J213" s="0" t="s">
        <v>13</v>
      </c>
    </row>
    <row r="214" customFormat="false" ht="15" hidden="false" customHeight="false" outlineLevel="0" collapsed="false">
      <c r="A214" s="5" t="n">
        <v>44734</v>
      </c>
      <c r="B214" s="6" t="n">
        <v>0.356944444444444</v>
      </c>
      <c r="C214" s="7" t="n">
        <v>6862</v>
      </c>
      <c r="D214" s="7" t="s">
        <v>16</v>
      </c>
      <c r="E214" s="7" t="n">
        <v>6660</v>
      </c>
      <c r="F214" s="7" t="n">
        <v>5600</v>
      </c>
      <c r="G214" s="8" t="n">
        <v>1060</v>
      </c>
      <c r="H214" s="7" t="s">
        <v>11</v>
      </c>
      <c r="I214" s="7" t="s">
        <v>17</v>
      </c>
      <c r="J214" s="0" t="s">
        <v>13</v>
      </c>
    </row>
    <row r="215" customFormat="false" ht="15" hidden="false" customHeight="false" outlineLevel="0" collapsed="false">
      <c r="A215" s="5" t="n">
        <v>44734</v>
      </c>
      <c r="B215" s="6" t="n">
        <v>0.486805555555556</v>
      </c>
      <c r="C215" s="7" t="n">
        <v>6873</v>
      </c>
      <c r="D215" s="7" t="s">
        <v>18</v>
      </c>
      <c r="E215" s="7" t="n">
        <v>3280</v>
      </c>
      <c r="F215" s="7" t="n">
        <v>2840</v>
      </c>
      <c r="G215" s="8" t="n">
        <v>440</v>
      </c>
      <c r="H215" s="7" t="s">
        <v>11</v>
      </c>
      <c r="I215" s="7" t="s">
        <v>17</v>
      </c>
      <c r="J215" s="0" t="s">
        <v>13</v>
      </c>
    </row>
    <row r="216" customFormat="false" ht="15" hidden="false" customHeight="false" outlineLevel="0" collapsed="false">
      <c r="A216" s="5" t="n">
        <v>44734</v>
      </c>
      <c r="B216" s="6" t="n">
        <v>0.4375</v>
      </c>
      <c r="C216" s="7" t="n">
        <v>6868</v>
      </c>
      <c r="D216" s="7" t="s">
        <v>19</v>
      </c>
      <c r="E216" s="7" t="n">
        <v>2660</v>
      </c>
      <c r="F216" s="7" t="n">
        <v>2380</v>
      </c>
      <c r="G216" s="8" t="n">
        <v>280</v>
      </c>
      <c r="H216" s="7" t="s">
        <v>11</v>
      </c>
      <c r="I216" s="7" t="s">
        <v>12</v>
      </c>
      <c r="J216" s="0" t="s">
        <v>13</v>
      </c>
    </row>
    <row r="217" customFormat="false" ht="15" hidden="false" customHeight="false" outlineLevel="0" collapsed="false">
      <c r="A217" s="5" t="n">
        <v>44734</v>
      </c>
      <c r="B217" s="6" t="n">
        <v>0.80625</v>
      </c>
      <c r="C217" s="7" t="n">
        <v>6890</v>
      </c>
      <c r="D217" s="7" t="s">
        <v>19</v>
      </c>
      <c r="E217" s="7" t="n">
        <v>2520</v>
      </c>
      <c r="F217" s="7" t="n">
        <v>2360</v>
      </c>
      <c r="G217" s="8" t="n">
        <v>160</v>
      </c>
      <c r="H217" s="7" t="s">
        <v>11</v>
      </c>
      <c r="I217" s="7" t="s">
        <v>12</v>
      </c>
      <c r="J217" s="0" t="s">
        <v>13</v>
      </c>
    </row>
    <row r="218" customFormat="false" ht="15" hidden="false" customHeight="false" outlineLevel="0" collapsed="false">
      <c r="A218" s="5" t="n">
        <v>44735</v>
      </c>
      <c r="B218" s="6" t="n">
        <v>0.101388888888889</v>
      </c>
      <c r="C218" s="7" t="n">
        <v>6893</v>
      </c>
      <c r="D218" s="7" t="s">
        <v>14</v>
      </c>
      <c r="E218" s="7" t="n">
        <v>21060</v>
      </c>
      <c r="F218" s="7" t="n">
        <v>12700</v>
      </c>
      <c r="G218" s="8" t="n">
        <v>8360</v>
      </c>
      <c r="H218" s="7" t="s">
        <v>11</v>
      </c>
      <c r="I218" s="7" t="s">
        <v>12</v>
      </c>
      <c r="J218" s="0" t="s">
        <v>13</v>
      </c>
    </row>
    <row r="219" customFormat="false" ht="15" hidden="false" customHeight="false" outlineLevel="0" collapsed="false">
      <c r="A219" s="5" t="n">
        <v>44735</v>
      </c>
      <c r="B219" s="6" t="n">
        <v>0.248611111111111</v>
      </c>
      <c r="C219" s="7" t="n">
        <v>6905</v>
      </c>
      <c r="D219" s="7" t="s">
        <v>14</v>
      </c>
      <c r="E219" s="7" t="n">
        <v>19180</v>
      </c>
      <c r="F219" s="7" t="n">
        <v>12640</v>
      </c>
      <c r="G219" s="8" t="n">
        <v>6540</v>
      </c>
      <c r="H219" s="7" t="s">
        <v>11</v>
      </c>
      <c r="I219" s="7" t="s">
        <v>12</v>
      </c>
      <c r="J219" s="0" t="s">
        <v>13</v>
      </c>
    </row>
    <row r="220" customFormat="false" ht="15" hidden="false" customHeight="false" outlineLevel="0" collapsed="false">
      <c r="A220" s="5" t="n">
        <v>44735</v>
      </c>
      <c r="B220" s="6" t="n">
        <v>0.2125</v>
      </c>
      <c r="C220" s="7" t="n">
        <v>6899</v>
      </c>
      <c r="D220" s="7" t="s">
        <v>21</v>
      </c>
      <c r="E220" s="7" t="n">
        <v>4720</v>
      </c>
      <c r="F220" s="7" t="n">
        <v>3680</v>
      </c>
      <c r="G220" s="8" t="n">
        <v>1040</v>
      </c>
      <c r="H220" s="7" t="s">
        <v>11</v>
      </c>
      <c r="I220" s="7" t="s">
        <v>12</v>
      </c>
      <c r="J220" s="0" t="s">
        <v>13</v>
      </c>
    </row>
    <row r="221" customFormat="false" ht="15" hidden="false" customHeight="false" outlineLevel="0" collapsed="false">
      <c r="A221" s="5" t="n">
        <v>44735</v>
      </c>
      <c r="B221" s="6" t="n">
        <v>0.227777777777778</v>
      </c>
      <c r="C221" s="7" t="n">
        <v>6903</v>
      </c>
      <c r="D221" s="7" t="s">
        <v>10</v>
      </c>
      <c r="E221" s="7" t="n">
        <v>26760</v>
      </c>
      <c r="F221" s="7" t="n">
        <v>16060</v>
      </c>
      <c r="G221" s="8" t="n">
        <v>10700</v>
      </c>
      <c r="H221" s="7" t="s">
        <v>11</v>
      </c>
      <c r="I221" s="7" t="s">
        <v>12</v>
      </c>
      <c r="J221" s="0" t="s">
        <v>13</v>
      </c>
    </row>
    <row r="222" customFormat="false" ht="15" hidden="false" customHeight="false" outlineLevel="0" collapsed="false">
      <c r="A222" s="5" t="n">
        <v>44735</v>
      </c>
      <c r="B222" s="6" t="n">
        <v>0.526388888888889</v>
      </c>
      <c r="C222" s="7" t="n">
        <v>6942</v>
      </c>
      <c r="D222" s="7" t="s">
        <v>15</v>
      </c>
      <c r="E222" s="7" t="n">
        <v>3140</v>
      </c>
      <c r="F222" s="7" t="n">
        <v>2720</v>
      </c>
      <c r="G222" s="8" t="n">
        <v>420</v>
      </c>
      <c r="H222" s="7" t="s">
        <v>11</v>
      </c>
      <c r="I222" s="7" t="s">
        <v>22</v>
      </c>
      <c r="J222" s="0" t="s">
        <v>13</v>
      </c>
    </row>
    <row r="223" customFormat="false" ht="15" hidden="false" customHeight="false" outlineLevel="0" collapsed="false">
      <c r="A223" s="5" t="n">
        <v>44735</v>
      </c>
      <c r="B223" s="6" t="n">
        <v>0.285416666666667</v>
      </c>
      <c r="C223" s="7" t="n">
        <v>6911</v>
      </c>
      <c r="D223" s="7" t="s">
        <v>27</v>
      </c>
      <c r="E223" s="7" t="n">
        <v>19040</v>
      </c>
      <c r="F223" s="7" t="n">
        <v>15900</v>
      </c>
      <c r="G223" s="8" t="n">
        <v>3140</v>
      </c>
      <c r="H223" s="7" t="s">
        <v>11</v>
      </c>
      <c r="I223" s="7" t="s">
        <v>12</v>
      </c>
      <c r="J223" s="0" t="s">
        <v>13</v>
      </c>
    </row>
    <row r="224" customFormat="false" ht="15" hidden="false" customHeight="false" outlineLevel="0" collapsed="false">
      <c r="A224" s="5" t="n">
        <v>44735</v>
      </c>
      <c r="B224" s="6" t="n">
        <v>0.508333333333333</v>
      </c>
      <c r="C224" s="7" t="n">
        <v>6938</v>
      </c>
      <c r="D224" s="7" t="s">
        <v>18</v>
      </c>
      <c r="E224" s="7" t="n">
        <v>3260</v>
      </c>
      <c r="F224" s="7" t="n">
        <v>2860</v>
      </c>
      <c r="G224" s="8" t="n">
        <v>400</v>
      </c>
      <c r="H224" s="7" t="s">
        <v>11</v>
      </c>
      <c r="I224" s="7" t="s">
        <v>17</v>
      </c>
      <c r="J224" s="0" t="s">
        <v>13</v>
      </c>
    </row>
    <row r="225" customFormat="false" ht="15" hidden="false" customHeight="false" outlineLevel="0" collapsed="false">
      <c r="A225" s="5" t="n">
        <v>44735</v>
      </c>
      <c r="B225" s="6" t="n">
        <v>0.857638888888889</v>
      </c>
      <c r="C225" s="7" t="n">
        <v>6957</v>
      </c>
      <c r="D225" s="7" t="s">
        <v>10</v>
      </c>
      <c r="E225" s="7" t="n">
        <v>25500</v>
      </c>
      <c r="F225" s="7" t="n">
        <v>16140</v>
      </c>
      <c r="G225" s="8" t="n">
        <v>9360</v>
      </c>
      <c r="H225" s="7" t="s">
        <v>11</v>
      </c>
      <c r="I225" s="7" t="s">
        <v>12</v>
      </c>
      <c r="J225" s="0" t="s">
        <v>13</v>
      </c>
    </row>
    <row r="226" customFormat="false" ht="15" hidden="false" customHeight="false" outlineLevel="0" collapsed="false">
      <c r="A226" s="5" t="n">
        <v>44735</v>
      </c>
      <c r="B226" s="6" t="n">
        <v>0.440972222222222</v>
      </c>
      <c r="C226" s="7" t="n">
        <v>6929</v>
      </c>
      <c r="D226" s="7" t="s">
        <v>18</v>
      </c>
      <c r="E226" s="7" t="n">
        <v>3260</v>
      </c>
      <c r="F226" s="7" t="n">
        <v>2880</v>
      </c>
      <c r="G226" s="8" t="n">
        <v>380</v>
      </c>
      <c r="H226" s="7" t="s">
        <v>11</v>
      </c>
      <c r="I226" s="7" t="s">
        <v>17</v>
      </c>
      <c r="J226" s="0" t="s">
        <v>13</v>
      </c>
    </row>
    <row r="227" customFormat="false" ht="15" hidden="false" customHeight="false" outlineLevel="0" collapsed="false">
      <c r="A227" s="5" t="n">
        <v>44735</v>
      </c>
      <c r="B227" s="6" t="n">
        <v>0.511111111111111</v>
      </c>
      <c r="C227" s="7" t="n">
        <v>6936</v>
      </c>
      <c r="D227" s="7" t="s">
        <v>10</v>
      </c>
      <c r="E227" s="7" t="n">
        <v>17480</v>
      </c>
      <c r="F227" s="7" t="n">
        <v>16000</v>
      </c>
      <c r="G227" s="8" t="n">
        <v>1480</v>
      </c>
      <c r="H227" s="7" t="s">
        <v>11</v>
      </c>
      <c r="I227" s="7" t="s">
        <v>12</v>
      </c>
      <c r="J227" s="0" t="s">
        <v>13</v>
      </c>
    </row>
    <row r="228" customFormat="false" ht="15" hidden="false" customHeight="false" outlineLevel="0" collapsed="false">
      <c r="A228" s="5" t="n">
        <v>44735</v>
      </c>
      <c r="B228" s="6" t="n">
        <v>0.684722222222222</v>
      </c>
      <c r="C228" s="7" t="n">
        <v>6955</v>
      </c>
      <c r="D228" s="7" t="s">
        <v>14</v>
      </c>
      <c r="E228" s="7" t="n">
        <v>14100</v>
      </c>
      <c r="F228" s="7" t="n">
        <v>12740</v>
      </c>
      <c r="G228" s="8" t="n">
        <v>1360</v>
      </c>
      <c r="H228" s="7" t="s">
        <v>11</v>
      </c>
      <c r="I228" s="7" t="s">
        <v>12</v>
      </c>
      <c r="J228" s="0" t="s">
        <v>13</v>
      </c>
    </row>
    <row r="229" customFormat="false" ht="15" hidden="false" customHeight="false" outlineLevel="0" collapsed="false">
      <c r="A229" s="5" t="n">
        <v>44735</v>
      </c>
      <c r="B229" s="6" t="n">
        <v>0.330555555555556</v>
      </c>
      <c r="C229" s="7" t="n">
        <v>6913</v>
      </c>
      <c r="D229" s="7" t="s">
        <v>10</v>
      </c>
      <c r="E229" s="7" t="n">
        <v>17820</v>
      </c>
      <c r="F229" s="7" t="n">
        <v>16060</v>
      </c>
      <c r="G229" s="8" t="n">
        <v>1760</v>
      </c>
      <c r="H229" s="7" t="s">
        <v>11</v>
      </c>
      <c r="I229" s="7" t="s">
        <v>12</v>
      </c>
      <c r="J229" s="0" t="s">
        <v>13</v>
      </c>
    </row>
    <row r="230" customFormat="false" ht="15" hidden="false" customHeight="false" outlineLevel="0" collapsed="false">
      <c r="A230" s="5" t="n">
        <v>44735</v>
      </c>
      <c r="B230" s="6" t="n">
        <v>0.85625</v>
      </c>
      <c r="C230" s="7" t="n">
        <v>6956</v>
      </c>
      <c r="D230" s="7" t="s">
        <v>19</v>
      </c>
      <c r="E230" s="7" t="n">
        <v>2500</v>
      </c>
      <c r="F230" s="7" t="n">
        <v>2360</v>
      </c>
      <c r="G230" s="8" t="n">
        <v>140</v>
      </c>
      <c r="H230" s="7" t="s">
        <v>11</v>
      </c>
      <c r="I230" s="7" t="s">
        <v>12</v>
      </c>
      <c r="J230" s="0" t="s">
        <v>13</v>
      </c>
    </row>
    <row r="231" customFormat="false" ht="15" hidden="false" customHeight="false" outlineLevel="0" collapsed="false">
      <c r="A231" s="5" t="n">
        <v>44735</v>
      </c>
      <c r="B231" s="6" t="n">
        <v>0.505555555555556</v>
      </c>
      <c r="C231" s="7" t="n">
        <v>6935</v>
      </c>
      <c r="D231" s="7" t="s">
        <v>19</v>
      </c>
      <c r="E231" s="7" t="n">
        <v>2620</v>
      </c>
      <c r="F231" s="7" t="n">
        <v>2380</v>
      </c>
      <c r="G231" s="8" t="n">
        <v>240</v>
      </c>
      <c r="H231" s="7" t="s">
        <v>11</v>
      </c>
      <c r="I231" s="7" t="s">
        <v>12</v>
      </c>
      <c r="J231" s="0" t="s">
        <v>13</v>
      </c>
    </row>
    <row r="232" customFormat="false" ht="15" hidden="false" customHeight="false" outlineLevel="0" collapsed="false">
      <c r="A232" s="5" t="n">
        <v>44736</v>
      </c>
      <c r="B232" s="6" t="n">
        <v>0.113888888888889</v>
      </c>
      <c r="C232" s="7" t="n">
        <v>6958</v>
      </c>
      <c r="D232" s="7" t="s">
        <v>21</v>
      </c>
      <c r="E232" s="7" t="n">
        <v>4580</v>
      </c>
      <c r="F232" s="7" t="n">
        <v>3720</v>
      </c>
      <c r="G232" s="8" t="n">
        <v>860</v>
      </c>
      <c r="H232" s="7" t="s">
        <v>11</v>
      </c>
      <c r="I232" s="7" t="s">
        <v>12</v>
      </c>
      <c r="J232" s="0" t="s">
        <v>13</v>
      </c>
    </row>
    <row r="233" customFormat="false" ht="15" hidden="false" customHeight="false" outlineLevel="0" collapsed="false">
      <c r="A233" s="5" t="n">
        <v>44736</v>
      </c>
      <c r="B233" s="6" t="n">
        <v>0.15625</v>
      </c>
      <c r="C233" s="7" t="n">
        <v>6965</v>
      </c>
      <c r="D233" s="7" t="s">
        <v>27</v>
      </c>
      <c r="E233" s="7" t="n">
        <v>24960</v>
      </c>
      <c r="F233" s="7" t="n">
        <v>15800</v>
      </c>
      <c r="G233" s="8" t="n">
        <v>9160</v>
      </c>
      <c r="H233" s="7" t="s">
        <v>11</v>
      </c>
      <c r="I233" s="7" t="s">
        <v>12</v>
      </c>
      <c r="J233" s="0" t="s">
        <v>13</v>
      </c>
    </row>
    <row r="234" customFormat="false" ht="15" hidden="false" customHeight="false" outlineLevel="0" collapsed="false">
      <c r="A234" s="5" t="n">
        <v>44736</v>
      </c>
      <c r="B234" s="6" t="n">
        <v>0.213194444444444</v>
      </c>
      <c r="C234" s="7" t="n">
        <v>6969</v>
      </c>
      <c r="D234" s="7" t="s">
        <v>21</v>
      </c>
      <c r="E234" s="7" t="n">
        <v>4140</v>
      </c>
      <c r="F234" s="7" t="n">
        <v>3700</v>
      </c>
      <c r="G234" s="8" t="n">
        <v>440</v>
      </c>
      <c r="H234" s="7" t="s">
        <v>11</v>
      </c>
      <c r="I234" s="7" t="s">
        <v>12</v>
      </c>
      <c r="J234" s="0" t="s">
        <v>13</v>
      </c>
    </row>
    <row r="235" customFormat="false" ht="15" hidden="false" customHeight="false" outlineLevel="0" collapsed="false">
      <c r="A235" s="5" t="n">
        <v>44736</v>
      </c>
      <c r="B235" s="6" t="n">
        <v>0.254166666666667</v>
      </c>
      <c r="C235" s="7" t="n">
        <v>6973</v>
      </c>
      <c r="D235" s="7" t="s">
        <v>27</v>
      </c>
      <c r="E235" s="7" t="n">
        <v>20240</v>
      </c>
      <c r="F235" s="7" t="n">
        <v>15780</v>
      </c>
      <c r="G235" s="8" t="n">
        <v>4460</v>
      </c>
      <c r="H235" s="7" t="s">
        <v>11</v>
      </c>
      <c r="I235" s="7" t="s">
        <v>12</v>
      </c>
      <c r="J235" s="0" t="s">
        <v>13</v>
      </c>
    </row>
    <row r="236" customFormat="false" ht="15" hidden="false" customHeight="false" outlineLevel="0" collapsed="false">
      <c r="A236" s="5" t="n">
        <v>44736</v>
      </c>
      <c r="B236" s="6" t="n">
        <v>0.686111111111111</v>
      </c>
      <c r="C236" s="7" t="n">
        <v>7008</v>
      </c>
      <c r="D236" s="7" t="s">
        <v>14</v>
      </c>
      <c r="E236" s="7" t="n">
        <v>14200</v>
      </c>
      <c r="F236" s="7" t="n">
        <v>12660</v>
      </c>
      <c r="G236" s="8" t="n">
        <v>1540</v>
      </c>
      <c r="H236" s="7" t="s">
        <v>11</v>
      </c>
      <c r="I236" s="7" t="s">
        <v>12</v>
      </c>
      <c r="J236" s="0" t="s">
        <v>13</v>
      </c>
    </row>
    <row r="237" customFormat="false" ht="15" hidden="false" customHeight="false" outlineLevel="0" collapsed="false">
      <c r="A237" s="5" t="n">
        <v>44736</v>
      </c>
      <c r="B237" s="6" t="n">
        <v>0.490277777777778</v>
      </c>
      <c r="C237" s="6" t="n">
        <v>6995</v>
      </c>
      <c r="D237" s="7" t="s">
        <v>19</v>
      </c>
      <c r="E237" s="7" t="n">
        <v>2540</v>
      </c>
      <c r="F237" s="7" t="n">
        <v>2320</v>
      </c>
      <c r="G237" s="8" t="n">
        <v>220</v>
      </c>
      <c r="H237" s="7" t="s">
        <v>11</v>
      </c>
      <c r="I237" s="7" t="s">
        <v>12</v>
      </c>
      <c r="J237" s="0" t="s">
        <v>13</v>
      </c>
    </row>
    <row r="238" customFormat="false" ht="15" hidden="false" customHeight="false" outlineLevel="0" collapsed="false">
      <c r="A238" s="5" t="n">
        <v>44736</v>
      </c>
      <c r="B238" s="6" t="n">
        <v>0.860416666666667</v>
      </c>
      <c r="C238" s="7" t="n">
        <v>7010</v>
      </c>
      <c r="D238" s="7" t="s">
        <v>10</v>
      </c>
      <c r="E238" s="7" t="n">
        <v>21500</v>
      </c>
      <c r="F238" s="7" t="n">
        <v>16100</v>
      </c>
      <c r="G238" s="8" t="n">
        <v>5400</v>
      </c>
      <c r="H238" s="7" t="s">
        <v>11</v>
      </c>
      <c r="I238" s="7" t="s">
        <v>12</v>
      </c>
      <c r="J238" s="0" t="s">
        <v>13</v>
      </c>
    </row>
    <row r="239" customFormat="false" ht="15" hidden="false" customHeight="false" outlineLevel="0" collapsed="false">
      <c r="A239" s="5" t="n">
        <v>44736</v>
      </c>
      <c r="B239" s="6" t="n">
        <v>0.118055555555556</v>
      </c>
      <c r="C239" s="7" t="n">
        <v>6961</v>
      </c>
      <c r="D239" s="7" t="s">
        <v>14</v>
      </c>
      <c r="E239" s="7" t="n">
        <v>21600</v>
      </c>
      <c r="F239" s="7" t="n">
        <v>12760</v>
      </c>
      <c r="G239" s="8" t="n">
        <v>8840</v>
      </c>
      <c r="H239" s="7" t="s">
        <v>11</v>
      </c>
      <c r="I239" s="7" t="s">
        <v>12</v>
      </c>
      <c r="J239" s="0" t="s">
        <v>13</v>
      </c>
    </row>
    <row r="240" customFormat="false" ht="15" hidden="false" customHeight="false" outlineLevel="0" collapsed="false">
      <c r="A240" s="5" t="n">
        <v>44736</v>
      </c>
      <c r="B240" s="6" t="n">
        <v>0.251388888888889</v>
      </c>
      <c r="C240" s="7" t="n">
        <v>6972</v>
      </c>
      <c r="D240" s="7" t="s">
        <v>14</v>
      </c>
      <c r="E240" s="7" t="n">
        <v>19680</v>
      </c>
      <c r="F240" s="7" t="n">
        <v>12740</v>
      </c>
      <c r="G240" s="8" t="n">
        <v>6940</v>
      </c>
      <c r="H240" s="7" t="s">
        <v>11</v>
      </c>
      <c r="I240" s="7" t="s">
        <v>12</v>
      </c>
      <c r="J240" s="0" t="s">
        <v>13</v>
      </c>
    </row>
    <row r="241" customFormat="false" ht="15" hidden="false" customHeight="false" outlineLevel="0" collapsed="false">
      <c r="A241" s="5" t="n">
        <v>44736</v>
      </c>
      <c r="B241" s="6" t="n">
        <v>0.438194444444444</v>
      </c>
      <c r="C241" s="7" t="n">
        <v>6991</v>
      </c>
      <c r="D241" s="7" t="s">
        <v>18</v>
      </c>
      <c r="E241" s="7" t="n">
        <v>3640</v>
      </c>
      <c r="F241" s="7" t="n">
        <v>2960</v>
      </c>
      <c r="G241" s="8" t="n">
        <v>680</v>
      </c>
      <c r="H241" s="7" t="s">
        <v>11</v>
      </c>
      <c r="I241" s="7" t="s">
        <v>12</v>
      </c>
      <c r="J241" s="0" t="s">
        <v>13</v>
      </c>
    </row>
    <row r="242" customFormat="false" ht="15" hidden="false" customHeight="false" outlineLevel="0" collapsed="false">
      <c r="A242" s="5" t="n">
        <v>44736</v>
      </c>
      <c r="B242" s="6" t="n">
        <v>0.85625</v>
      </c>
      <c r="C242" s="7" t="n">
        <v>7009</v>
      </c>
      <c r="D242" s="7" t="s">
        <v>19</v>
      </c>
      <c r="E242" s="7" t="n">
        <v>2560</v>
      </c>
      <c r="F242" s="7" t="n">
        <v>2340</v>
      </c>
      <c r="G242" s="8" t="n">
        <v>220</v>
      </c>
      <c r="H242" s="7" t="s">
        <v>11</v>
      </c>
      <c r="I242" s="7" t="s">
        <v>12</v>
      </c>
      <c r="J242" s="0" t="s">
        <v>13</v>
      </c>
    </row>
    <row r="243" customFormat="false" ht="15" hidden="false" customHeight="false" outlineLevel="0" collapsed="false">
      <c r="A243" s="5" t="n">
        <v>44737</v>
      </c>
      <c r="B243" s="6" t="n">
        <v>0.4375</v>
      </c>
      <c r="C243" s="7" t="n">
        <v>7036</v>
      </c>
      <c r="D243" s="7" t="s">
        <v>18</v>
      </c>
      <c r="E243" s="7" t="n">
        <v>3500</v>
      </c>
      <c r="F243" s="7" t="n">
        <v>2960</v>
      </c>
      <c r="G243" s="8" t="n">
        <v>540</v>
      </c>
      <c r="H243" s="7" t="s">
        <v>11</v>
      </c>
      <c r="I243" s="7" t="s">
        <v>12</v>
      </c>
      <c r="J243" s="0" t="s">
        <v>13</v>
      </c>
    </row>
    <row r="244" customFormat="false" ht="15" hidden="false" customHeight="false" outlineLevel="0" collapsed="false">
      <c r="A244" s="5" t="n">
        <v>44737</v>
      </c>
      <c r="B244" s="6" t="n">
        <v>0.871527777777778</v>
      </c>
      <c r="C244" s="7" t="n">
        <v>7044</v>
      </c>
      <c r="D244" s="7" t="s">
        <v>10</v>
      </c>
      <c r="E244" s="7" t="n">
        <v>23240</v>
      </c>
      <c r="F244" s="7" t="n">
        <v>16160</v>
      </c>
      <c r="G244" s="8" t="n">
        <v>7080</v>
      </c>
      <c r="H244" s="7" t="s">
        <v>11</v>
      </c>
      <c r="I244" s="7" t="s">
        <v>12</v>
      </c>
      <c r="J244" s="0" t="s">
        <v>13</v>
      </c>
    </row>
    <row r="245" customFormat="false" ht="15" hidden="false" customHeight="false" outlineLevel="0" collapsed="false">
      <c r="A245" s="5" t="n">
        <v>44737</v>
      </c>
      <c r="B245" s="6" t="n">
        <v>0.689583333333333</v>
      </c>
      <c r="C245" s="7" t="n">
        <v>7042</v>
      </c>
      <c r="D245" s="7" t="s">
        <v>14</v>
      </c>
      <c r="E245" s="7" t="n">
        <v>14620</v>
      </c>
      <c r="F245" s="7" t="n">
        <v>12760</v>
      </c>
      <c r="G245" s="8" t="n">
        <v>1860</v>
      </c>
      <c r="H245" s="7" t="s">
        <v>11</v>
      </c>
      <c r="I245" s="7" t="s">
        <v>12</v>
      </c>
      <c r="J245" s="0" t="s">
        <v>13</v>
      </c>
    </row>
    <row r="246" customFormat="false" ht="15" hidden="false" customHeight="false" outlineLevel="0" collapsed="false">
      <c r="A246" s="5" t="n">
        <v>44737</v>
      </c>
      <c r="B246" s="6" t="n">
        <v>0.517361111111111</v>
      </c>
      <c r="C246" s="7" t="n">
        <v>7041</v>
      </c>
      <c r="D246" s="7" t="s">
        <v>10</v>
      </c>
      <c r="E246" s="7" t="n">
        <v>18940</v>
      </c>
      <c r="F246" s="7" t="n">
        <v>16020</v>
      </c>
      <c r="G246" s="8" t="n">
        <v>2920</v>
      </c>
      <c r="H246" s="7" t="s">
        <v>11</v>
      </c>
      <c r="I246" s="7" t="s">
        <v>12</v>
      </c>
      <c r="J246" s="0" t="s">
        <v>13</v>
      </c>
    </row>
    <row r="247" customFormat="false" ht="15" hidden="false" customHeight="false" outlineLevel="0" collapsed="false">
      <c r="A247" s="5" t="n">
        <v>44737</v>
      </c>
      <c r="B247" s="6" t="n">
        <v>0.0708333333333333</v>
      </c>
      <c r="C247" s="7" t="n">
        <v>7012</v>
      </c>
      <c r="D247" s="7" t="s">
        <v>14</v>
      </c>
      <c r="E247" s="7" t="n">
        <v>21600</v>
      </c>
      <c r="F247" s="7" t="n">
        <v>12700</v>
      </c>
      <c r="G247" s="8" t="n">
        <v>8900</v>
      </c>
      <c r="H247" s="7" t="s">
        <v>11</v>
      </c>
      <c r="I247" s="7" t="s">
        <v>12</v>
      </c>
      <c r="J247" s="0" t="s">
        <v>13</v>
      </c>
    </row>
    <row r="248" customFormat="false" ht="15" hidden="false" customHeight="false" outlineLevel="0" collapsed="false">
      <c r="A248" s="5" t="n">
        <v>44737</v>
      </c>
      <c r="B248" s="6" t="n">
        <v>0.238888888888889</v>
      </c>
      <c r="C248" s="7" t="n">
        <v>7026</v>
      </c>
      <c r="D248" s="7" t="s">
        <v>10</v>
      </c>
      <c r="E248" s="7" t="n">
        <v>26480</v>
      </c>
      <c r="F248" s="7" t="n">
        <v>16080</v>
      </c>
      <c r="G248" s="8" t="n">
        <v>10400</v>
      </c>
      <c r="H248" s="7" t="s">
        <v>11</v>
      </c>
      <c r="I248" s="7" t="s">
        <v>12</v>
      </c>
      <c r="J248" s="0" t="s">
        <v>13</v>
      </c>
    </row>
    <row r="249" customFormat="false" ht="15" hidden="false" customHeight="false" outlineLevel="0" collapsed="false">
      <c r="A249" s="5" t="n">
        <v>44737</v>
      </c>
      <c r="B249" s="6" t="n">
        <v>0.121527777777778</v>
      </c>
      <c r="C249" s="7" t="n">
        <v>7016</v>
      </c>
      <c r="D249" s="7" t="s">
        <v>21</v>
      </c>
      <c r="E249" s="7" t="n">
        <v>4640</v>
      </c>
      <c r="F249" s="7" t="n">
        <v>3600</v>
      </c>
      <c r="G249" s="8" t="n">
        <v>1040</v>
      </c>
      <c r="H249" s="7" t="s">
        <v>11</v>
      </c>
      <c r="I249" s="7" t="s">
        <v>12</v>
      </c>
      <c r="J249" s="0" t="s">
        <v>13</v>
      </c>
    </row>
    <row r="250" customFormat="false" ht="15" hidden="false" customHeight="false" outlineLevel="0" collapsed="false">
      <c r="A250" s="5" t="n">
        <v>44737</v>
      </c>
      <c r="B250" s="6" t="n">
        <v>0.217361111111111</v>
      </c>
      <c r="C250" s="7" t="n">
        <v>7022</v>
      </c>
      <c r="D250" s="7" t="s">
        <v>21</v>
      </c>
      <c r="E250" s="7" t="n">
        <v>4340</v>
      </c>
      <c r="F250" s="7" t="n">
        <v>3780</v>
      </c>
      <c r="G250" s="8" t="n">
        <v>560</v>
      </c>
      <c r="H250" s="7" t="s">
        <v>11</v>
      </c>
      <c r="I250" s="7" t="s">
        <v>12</v>
      </c>
      <c r="J250" s="0" t="s">
        <v>13</v>
      </c>
    </row>
    <row r="251" customFormat="false" ht="15" hidden="false" customHeight="false" outlineLevel="0" collapsed="false">
      <c r="A251" s="5" t="n">
        <v>44737</v>
      </c>
      <c r="B251" s="6" t="n">
        <v>0.253472222222222</v>
      </c>
      <c r="C251" s="7" t="n">
        <v>7029</v>
      </c>
      <c r="D251" s="7" t="s">
        <v>14</v>
      </c>
      <c r="E251" s="7" t="n">
        <v>21100</v>
      </c>
      <c r="F251" s="7" t="n">
        <v>12680</v>
      </c>
      <c r="G251" s="8" t="n">
        <v>8420</v>
      </c>
      <c r="H251" s="7" t="s">
        <v>11</v>
      </c>
      <c r="I251" s="7" t="s">
        <v>12</v>
      </c>
      <c r="J251" s="0" t="s">
        <v>13</v>
      </c>
    </row>
    <row r="252" customFormat="false" ht="15" hidden="false" customHeight="false" outlineLevel="0" collapsed="false">
      <c r="A252" s="5" t="n">
        <v>44737</v>
      </c>
      <c r="B252" s="6" t="n">
        <v>0.848611111111111</v>
      </c>
      <c r="C252" s="7" t="n">
        <v>7043</v>
      </c>
      <c r="D252" s="7" t="s">
        <v>19</v>
      </c>
      <c r="E252" s="7" t="n">
        <v>2680</v>
      </c>
      <c r="F252" s="7" t="n">
        <v>2380</v>
      </c>
      <c r="G252" s="8" t="n">
        <v>300</v>
      </c>
      <c r="H252" s="7" t="s">
        <v>11</v>
      </c>
      <c r="I252" s="7" t="s">
        <v>12</v>
      </c>
      <c r="J252" s="0" t="s">
        <v>13</v>
      </c>
    </row>
    <row r="253" customFormat="false" ht="15" hidden="false" customHeight="false" outlineLevel="0" collapsed="false">
      <c r="A253" s="5" t="n">
        <v>44737</v>
      </c>
      <c r="B253" s="6" t="n">
        <v>0.4875</v>
      </c>
      <c r="C253" s="7" t="n">
        <v>7038</v>
      </c>
      <c r="D253" s="7" t="s">
        <v>19</v>
      </c>
      <c r="E253" s="7" t="n">
        <v>2580</v>
      </c>
      <c r="F253" s="7" t="n">
        <v>2320</v>
      </c>
      <c r="G253" s="8" t="n">
        <v>260</v>
      </c>
      <c r="H253" s="7" t="s">
        <v>11</v>
      </c>
      <c r="I253" s="7" t="s">
        <v>12</v>
      </c>
      <c r="J253" s="0" t="s">
        <v>13</v>
      </c>
    </row>
    <row r="254" customFormat="false" ht="15" hidden="false" customHeight="false" outlineLevel="0" collapsed="false">
      <c r="A254" s="5" t="n">
        <v>44737</v>
      </c>
      <c r="B254" s="6" t="n">
        <v>0.276388888888889</v>
      </c>
      <c r="C254" s="7" t="n">
        <v>7032</v>
      </c>
      <c r="D254" s="7" t="s">
        <v>27</v>
      </c>
      <c r="E254" s="7" t="n">
        <v>18640</v>
      </c>
      <c r="F254" s="7" t="n">
        <v>15900</v>
      </c>
      <c r="G254" s="8" t="n">
        <v>2740</v>
      </c>
      <c r="H254" s="7" t="s">
        <v>11</v>
      </c>
      <c r="I254" s="7" t="s">
        <v>12</v>
      </c>
      <c r="J254" s="0" t="s">
        <v>13</v>
      </c>
    </row>
    <row r="255" customFormat="false" ht="15" hidden="false" customHeight="false" outlineLevel="0" collapsed="false">
      <c r="A255" s="5" t="n">
        <v>44738</v>
      </c>
      <c r="B255" s="6" t="n">
        <v>0.852777777777778</v>
      </c>
      <c r="C255" s="7" t="n">
        <v>7073</v>
      </c>
      <c r="D255" s="7" t="s">
        <v>10</v>
      </c>
      <c r="E255" s="7" t="n">
        <v>21980</v>
      </c>
      <c r="F255" s="7" t="n">
        <v>16080</v>
      </c>
      <c r="G255" s="8" t="n">
        <v>5900</v>
      </c>
      <c r="H255" s="7" t="s">
        <v>11</v>
      </c>
      <c r="I255" s="7" t="s">
        <v>12</v>
      </c>
      <c r="J255" s="0" t="s">
        <v>13</v>
      </c>
    </row>
    <row r="256" customFormat="false" ht="15" hidden="false" customHeight="false" outlineLevel="0" collapsed="false">
      <c r="A256" s="5" t="n">
        <v>44738</v>
      </c>
      <c r="B256" s="6" t="n">
        <v>0.695833333333333</v>
      </c>
      <c r="C256" s="7" t="n">
        <v>7071</v>
      </c>
      <c r="D256" s="7" t="s">
        <v>14</v>
      </c>
      <c r="E256" s="7" t="n">
        <v>14860</v>
      </c>
      <c r="F256" s="7" t="n">
        <v>12700</v>
      </c>
      <c r="G256" s="8" t="n">
        <v>2160</v>
      </c>
      <c r="H256" s="7" t="s">
        <v>11</v>
      </c>
      <c r="I256" s="7" t="s">
        <v>12</v>
      </c>
      <c r="J256" s="0" t="s">
        <v>13</v>
      </c>
    </row>
    <row r="257" customFormat="false" ht="15" hidden="false" customHeight="false" outlineLevel="0" collapsed="false">
      <c r="A257" s="5" t="n">
        <v>44738</v>
      </c>
      <c r="B257" s="6" t="n">
        <v>0.252083333333333</v>
      </c>
      <c r="C257" s="7" t="n">
        <v>7061</v>
      </c>
      <c r="D257" s="7" t="s">
        <v>10</v>
      </c>
      <c r="E257" s="7" t="n">
        <v>22140</v>
      </c>
      <c r="F257" s="7" t="n">
        <v>16100</v>
      </c>
      <c r="G257" s="8" t="n">
        <v>6040</v>
      </c>
      <c r="H257" s="7" t="s">
        <v>11</v>
      </c>
      <c r="I257" s="7" t="s">
        <v>12</v>
      </c>
      <c r="J257" s="0" t="s">
        <v>13</v>
      </c>
    </row>
    <row r="258" customFormat="false" ht="15" hidden="false" customHeight="false" outlineLevel="0" collapsed="false">
      <c r="A258" s="5" t="n">
        <v>44738</v>
      </c>
      <c r="B258" s="6" t="n">
        <v>0.147916666666667</v>
      </c>
      <c r="C258" s="7" t="n">
        <v>7052</v>
      </c>
      <c r="D258" s="7" t="s">
        <v>10</v>
      </c>
      <c r="E258" s="7" t="n">
        <v>25200</v>
      </c>
      <c r="F258" s="7" t="n">
        <v>16120</v>
      </c>
      <c r="G258" s="8" t="n">
        <v>9080</v>
      </c>
      <c r="H258" s="7" t="s">
        <v>11</v>
      </c>
      <c r="I258" s="7" t="s">
        <v>12</v>
      </c>
      <c r="J258" s="0" t="s">
        <v>13</v>
      </c>
    </row>
    <row r="259" customFormat="false" ht="15" hidden="false" customHeight="false" outlineLevel="0" collapsed="false">
      <c r="A259" s="5" t="n">
        <v>44738</v>
      </c>
      <c r="B259" s="6" t="n">
        <v>0.263194444444444</v>
      </c>
      <c r="C259" s="7" t="n">
        <v>7063</v>
      </c>
      <c r="D259" s="7" t="s">
        <v>14</v>
      </c>
      <c r="E259" s="7" t="n">
        <v>14720</v>
      </c>
      <c r="F259" s="7" t="n">
        <v>12920</v>
      </c>
      <c r="G259" s="8" t="n">
        <v>1800</v>
      </c>
      <c r="H259" s="7" t="s">
        <v>11</v>
      </c>
      <c r="I259" s="7" t="s">
        <v>12</v>
      </c>
      <c r="J259" s="0" t="s">
        <v>13</v>
      </c>
    </row>
    <row r="260" customFormat="false" ht="15" hidden="false" customHeight="false" outlineLevel="0" collapsed="false">
      <c r="A260" s="5" t="n">
        <v>44738</v>
      </c>
      <c r="B260" s="6" t="n">
        <v>0.211805555555556</v>
      </c>
      <c r="C260" s="7" t="n">
        <v>7056</v>
      </c>
      <c r="D260" s="7" t="s">
        <v>14</v>
      </c>
      <c r="E260" s="7" t="n">
        <v>22820</v>
      </c>
      <c r="F260" s="7" t="n">
        <v>12760</v>
      </c>
      <c r="G260" s="8" t="n">
        <v>10060</v>
      </c>
      <c r="H260" s="7" t="s">
        <v>11</v>
      </c>
      <c r="I260" s="7" t="s">
        <v>12</v>
      </c>
      <c r="J260" s="0" t="s">
        <v>13</v>
      </c>
    </row>
    <row r="261" customFormat="false" ht="15" hidden="false" customHeight="false" outlineLevel="0" collapsed="false">
      <c r="A261" s="5" t="n">
        <v>44738</v>
      </c>
      <c r="B261" s="6" t="n">
        <v>0.113194444444444</v>
      </c>
      <c r="C261" s="7" t="n">
        <v>7047</v>
      </c>
      <c r="D261" s="7" t="s">
        <v>14</v>
      </c>
      <c r="E261" s="7" t="n">
        <v>21740</v>
      </c>
      <c r="F261" s="7" t="n">
        <v>12780</v>
      </c>
      <c r="G261" s="8" t="n">
        <v>8960</v>
      </c>
      <c r="H261" s="7" t="s">
        <v>11</v>
      </c>
      <c r="I261" s="7" t="s">
        <v>12</v>
      </c>
      <c r="J261" s="0" t="s">
        <v>13</v>
      </c>
    </row>
    <row r="262" customFormat="false" ht="15" hidden="false" customHeight="false" outlineLevel="0" collapsed="false">
      <c r="A262" s="5" t="n">
        <v>44738</v>
      </c>
      <c r="B262" s="6" t="n">
        <v>0.445138888888889</v>
      </c>
      <c r="C262" s="7" t="n">
        <v>7068</v>
      </c>
      <c r="D262" s="7" t="s">
        <v>18</v>
      </c>
      <c r="E262" s="7" t="n">
        <v>3380</v>
      </c>
      <c r="F262" s="7" t="n">
        <v>2840</v>
      </c>
      <c r="G262" s="8" t="n">
        <v>540</v>
      </c>
      <c r="H262" s="7" t="s">
        <v>11</v>
      </c>
      <c r="I262" s="7" t="s">
        <v>12</v>
      </c>
      <c r="J262" s="0" t="s">
        <v>13</v>
      </c>
    </row>
    <row r="263" customFormat="false" ht="15" hidden="false" customHeight="false" outlineLevel="0" collapsed="false">
      <c r="A263" s="5" t="n">
        <v>44738</v>
      </c>
      <c r="B263" s="6" t="n">
        <v>0.509027777777778</v>
      </c>
      <c r="C263" s="7" t="n">
        <v>7070</v>
      </c>
      <c r="D263" s="7" t="s">
        <v>19</v>
      </c>
      <c r="E263" s="7" t="n">
        <v>2560</v>
      </c>
      <c r="F263" s="7" t="n">
        <v>2380</v>
      </c>
      <c r="G263" s="8" t="n">
        <v>180</v>
      </c>
      <c r="H263" s="7" t="s">
        <v>11</v>
      </c>
      <c r="I263" s="7" t="s">
        <v>12</v>
      </c>
      <c r="J263" s="0" t="s">
        <v>13</v>
      </c>
    </row>
    <row r="264" customFormat="false" ht="15" hidden="false" customHeight="false" outlineLevel="0" collapsed="false">
      <c r="A264" s="5" t="n">
        <v>44738</v>
      </c>
      <c r="B264" s="6" t="n">
        <v>0.433333333333333</v>
      </c>
      <c r="C264" s="7" t="n">
        <v>7067</v>
      </c>
      <c r="D264" s="7" t="s">
        <v>19</v>
      </c>
      <c r="E264" s="7" t="n">
        <v>2620</v>
      </c>
      <c r="F264" s="7" t="n">
        <v>2380</v>
      </c>
      <c r="G264" s="8" t="n">
        <v>240</v>
      </c>
      <c r="H264" s="7" t="s">
        <v>11</v>
      </c>
      <c r="I264" s="7" t="s">
        <v>12</v>
      </c>
      <c r="J264" s="0" t="s">
        <v>13</v>
      </c>
    </row>
    <row r="265" customFormat="false" ht="15" hidden="false" customHeight="false" outlineLevel="0" collapsed="false">
      <c r="A265" s="5" t="n">
        <v>44738</v>
      </c>
      <c r="B265" s="6" t="n">
        <v>0.227083333333333</v>
      </c>
      <c r="C265" s="7" t="n">
        <v>7058</v>
      </c>
      <c r="D265" s="7" t="s">
        <v>15</v>
      </c>
      <c r="E265" s="7" t="n">
        <v>3200</v>
      </c>
      <c r="F265" s="7" t="n">
        <v>2800</v>
      </c>
      <c r="G265" s="8" t="n">
        <v>400</v>
      </c>
      <c r="H265" s="7" t="s">
        <v>11</v>
      </c>
      <c r="I265" s="7" t="s">
        <v>12</v>
      </c>
      <c r="J265" s="0" t="s">
        <v>13</v>
      </c>
    </row>
    <row r="266" customFormat="false" ht="15" hidden="false" customHeight="false" outlineLevel="0" collapsed="false">
      <c r="A266" s="5" t="n">
        <v>44738</v>
      </c>
      <c r="B266" s="6" t="n">
        <v>0.184027777777778</v>
      </c>
      <c r="C266" s="7" t="n">
        <v>7055</v>
      </c>
      <c r="D266" s="7" t="s">
        <v>15</v>
      </c>
      <c r="E266" s="7" t="n">
        <v>3640</v>
      </c>
      <c r="F266" s="7" t="n">
        <v>2800</v>
      </c>
      <c r="G266" s="8" t="n">
        <v>840</v>
      </c>
      <c r="H266" s="7" t="s">
        <v>11</v>
      </c>
      <c r="I266" s="7" t="s">
        <v>12</v>
      </c>
      <c r="J266" s="0" t="s">
        <v>13</v>
      </c>
    </row>
    <row r="267" customFormat="false" ht="15" hidden="false" customHeight="false" outlineLevel="0" collapsed="false">
      <c r="A267" s="5" t="n">
        <v>44738</v>
      </c>
      <c r="B267" s="6" t="n">
        <v>0.117361111111111</v>
      </c>
      <c r="C267" s="7" t="n">
        <v>7049</v>
      </c>
      <c r="D267" s="7" t="s">
        <v>15</v>
      </c>
      <c r="E267" s="7" t="n">
        <v>3280</v>
      </c>
      <c r="F267" s="7" t="n">
        <v>2700</v>
      </c>
      <c r="G267" s="8" t="n">
        <v>580</v>
      </c>
      <c r="H267" s="7" t="s">
        <v>11</v>
      </c>
      <c r="I267" s="7" t="s">
        <v>12</v>
      </c>
      <c r="J267" s="0" t="s">
        <v>13</v>
      </c>
    </row>
    <row r="268" customFormat="false" ht="15" hidden="false" customHeight="false" outlineLevel="0" collapsed="false">
      <c r="A268" s="5" t="n">
        <v>44738</v>
      </c>
      <c r="B268" s="6" t="n">
        <v>0.852083333333333</v>
      </c>
      <c r="C268" s="7" t="n">
        <v>7072</v>
      </c>
      <c r="D268" s="7" t="s">
        <v>19</v>
      </c>
      <c r="E268" s="7" t="n">
        <v>2700</v>
      </c>
      <c r="F268" s="7" t="n">
        <v>2360</v>
      </c>
      <c r="G268" s="8" t="n">
        <v>340</v>
      </c>
      <c r="H268" s="7" t="s">
        <v>11</v>
      </c>
      <c r="I268" s="7" t="s">
        <v>12</v>
      </c>
      <c r="J268" s="0" t="s">
        <v>13</v>
      </c>
    </row>
    <row r="269" customFormat="false" ht="15" hidden="false" customHeight="false" outlineLevel="0" collapsed="false">
      <c r="A269" s="5" t="n">
        <v>44739</v>
      </c>
      <c r="B269" s="6" t="n">
        <v>0.250694444444444</v>
      </c>
      <c r="C269" s="7" t="n">
        <v>7091</v>
      </c>
      <c r="D269" s="7" t="s">
        <v>14</v>
      </c>
      <c r="E269" s="7" t="n">
        <v>21540</v>
      </c>
      <c r="F269" s="7" t="n">
        <v>12680</v>
      </c>
      <c r="G269" s="8" t="n">
        <v>8860</v>
      </c>
      <c r="H269" s="7" t="s">
        <v>11</v>
      </c>
      <c r="I269" s="7" t="s">
        <v>12</v>
      </c>
      <c r="J269" s="0" t="s">
        <v>13</v>
      </c>
    </row>
    <row r="270" customFormat="false" ht="15" hidden="false" customHeight="false" outlineLevel="0" collapsed="false">
      <c r="A270" s="5" t="n">
        <v>44739</v>
      </c>
      <c r="B270" s="6" t="n">
        <v>0.25625</v>
      </c>
      <c r="C270" s="7" t="n">
        <v>7092</v>
      </c>
      <c r="D270" s="7" t="s">
        <v>10</v>
      </c>
      <c r="E270" s="7" t="n">
        <v>21020</v>
      </c>
      <c r="F270" s="7" t="n">
        <v>16140</v>
      </c>
      <c r="G270" s="8" t="n">
        <v>4880</v>
      </c>
      <c r="H270" s="7" t="s">
        <v>11</v>
      </c>
      <c r="I270" s="7" t="s">
        <v>12</v>
      </c>
      <c r="J270" s="0" t="s">
        <v>13</v>
      </c>
    </row>
    <row r="271" customFormat="false" ht="15" hidden="false" customHeight="false" outlineLevel="0" collapsed="false">
      <c r="A271" s="5" t="n">
        <v>44739</v>
      </c>
      <c r="B271" s="6" t="n">
        <v>0.174305555555556</v>
      </c>
      <c r="C271" s="7" t="n">
        <v>7081</v>
      </c>
      <c r="D271" s="7" t="s">
        <v>10</v>
      </c>
      <c r="E271" s="7" t="n">
        <v>28120</v>
      </c>
      <c r="F271" s="7" t="n">
        <v>16180</v>
      </c>
      <c r="G271" s="8" t="n">
        <v>11940</v>
      </c>
      <c r="H271" s="7" t="s">
        <v>11</v>
      </c>
      <c r="I271" s="7" t="s">
        <v>12</v>
      </c>
      <c r="J271" s="0" t="s">
        <v>13</v>
      </c>
    </row>
    <row r="272" customFormat="false" ht="15" hidden="false" customHeight="false" outlineLevel="0" collapsed="false">
      <c r="A272" s="5" t="n">
        <v>44739</v>
      </c>
      <c r="B272" s="6" t="n">
        <v>0.0743055555555556</v>
      </c>
      <c r="C272" s="7" t="n">
        <v>7074</v>
      </c>
      <c r="D272" s="7" t="s">
        <v>14</v>
      </c>
      <c r="E272" s="7" t="n">
        <v>21220</v>
      </c>
      <c r="F272" s="7" t="n">
        <v>12700</v>
      </c>
      <c r="G272" s="8" t="n">
        <v>8520</v>
      </c>
      <c r="H272" s="7" t="s">
        <v>11</v>
      </c>
      <c r="I272" s="7" t="s">
        <v>12</v>
      </c>
      <c r="J272" s="0" t="s">
        <v>13</v>
      </c>
    </row>
    <row r="273" customFormat="false" ht="15" hidden="false" customHeight="false" outlineLevel="0" collapsed="false">
      <c r="A273" s="5" t="n">
        <v>44739</v>
      </c>
      <c r="B273" s="6" t="n">
        <v>0.2125</v>
      </c>
      <c r="C273" s="7" t="n">
        <v>7084</v>
      </c>
      <c r="D273" s="7" t="s">
        <v>21</v>
      </c>
      <c r="E273" s="7" t="n">
        <v>5000</v>
      </c>
      <c r="F273" s="7" t="n">
        <v>3660</v>
      </c>
      <c r="G273" s="8" t="n">
        <v>1340</v>
      </c>
      <c r="H273" s="7" t="s">
        <v>11</v>
      </c>
      <c r="I273" s="7" t="s">
        <v>12</v>
      </c>
      <c r="J273" s="0" t="s">
        <v>13</v>
      </c>
    </row>
    <row r="274" customFormat="false" ht="15" hidden="false" customHeight="false" outlineLevel="0" collapsed="false">
      <c r="A274" s="5" t="n">
        <v>44739</v>
      </c>
      <c r="B274" s="6" t="n">
        <v>0.513194444444444</v>
      </c>
      <c r="C274" s="7" t="n">
        <v>3024</v>
      </c>
      <c r="D274" s="7" t="s">
        <v>10</v>
      </c>
      <c r="E274" s="7" t="n">
        <v>18560</v>
      </c>
      <c r="F274" s="7" t="n">
        <v>15760</v>
      </c>
      <c r="G274" s="8" t="n">
        <v>2800</v>
      </c>
      <c r="H274" s="7" t="s">
        <v>11</v>
      </c>
      <c r="I274" s="7" t="s">
        <v>23</v>
      </c>
      <c r="J274" s="0" t="s">
        <v>13</v>
      </c>
    </row>
    <row r="275" customFormat="false" ht="15" hidden="false" customHeight="false" outlineLevel="0" collapsed="false">
      <c r="A275" s="5" t="n">
        <v>44739</v>
      </c>
      <c r="B275" s="6" t="n">
        <v>0.438888888888889</v>
      </c>
      <c r="C275" s="7" t="n">
        <v>7112</v>
      </c>
      <c r="D275" s="7" t="s">
        <v>19</v>
      </c>
      <c r="E275" s="7" t="n">
        <v>2600</v>
      </c>
      <c r="F275" s="7" t="n">
        <v>2360</v>
      </c>
      <c r="G275" s="8" t="n">
        <v>240</v>
      </c>
      <c r="H275" s="7" t="s">
        <v>11</v>
      </c>
      <c r="I275" s="7" t="s">
        <v>12</v>
      </c>
      <c r="J275" s="0" t="s">
        <v>13</v>
      </c>
    </row>
    <row r="276" customFormat="false" ht="15" hidden="false" customHeight="false" outlineLevel="0" collapsed="false">
      <c r="A276" s="5" t="n">
        <v>44739</v>
      </c>
      <c r="B276" s="6" t="n">
        <v>0.879166666666667</v>
      </c>
      <c r="C276" s="7" t="n">
        <v>7132</v>
      </c>
      <c r="D276" s="7" t="s">
        <v>10</v>
      </c>
      <c r="E276" s="7" t="n">
        <v>21240</v>
      </c>
      <c r="F276" s="7" t="n">
        <v>16220</v>
      </c>
      <c r="G276" s="8" t="n">
        <v>5020</v>
      </c>
      <c r="H276" s="7" t="s">
        <v>11</v>
      </c>
      <c r="I276" s="7" t="s">
        <v>12</v>
      </c>
      <c r="J276" s="0" t="s">
        <v>13</v>
      </c>
    </row>
    <row r="277" customFormat="false" ht="15" hidden="false" customHeight="false" outlineLevel="0" collapsed="false">
      <c r="A277" s="5" t="n">
        <v>44739</v>
      </c>
      <c r="B277" s="6" t="n">
        <v>0.722916666666667</v>
      </c>
      <c r="C277" s="7" t="n">
        <v>7130</v>
      </c>
      <c r="D277" s="7" t="s">
        <v>14</v>
      </c>
      <c r="E277" s="7" t="n">
        <v>15120</v>
      </c>
      <c r="F277" s="7" t="n">
        <v>12740</v>
      </c>
      <c r="G277" s="8" t="n">
        <v>2380</v>
      </c>
      <c r="H277" s="7" t="s">
        <v>11</v>
      </c>
      <c r="I277" s="7" t="s">
        <v>12</v>
      </c>
      <c r="J277" s="0" t="s">
        <v>13</v>
      </c>
    </row>
    <row r="278" customFormat="false" ht="15" hidden="false" customHeight="false" outlineLevel="0" collapsed="false">
      <c r="A278" s="5" t="n">
        <v>44739</v>
      </c>
      <c r="B278" s="6" t="n">
        <v>0.522916666666667</v>
      </c>
      <c r="C278" s="7" t="n">
        <v>7122</v>
      </c>
      <c r="D278" s="7" t="s">
        <v>18</v>
      </c>
      <c r="E278" s="7" t="n">
        <v>3380</v>
      </c>
      <c r="F278" s="7" t="n">
        <v>2780</v>
      </c>
      <c r="G278" s="8" t="n">
        <v>600</v>
      </c>
      <c r="H278" s="7" t="s">
        <v>11</v>
      </c>
      <c r="I278" s="7" t="s">
        <v>12</v>
      </c>
      <c r="J278" s="0" t="s">
        <v>13</v>
      </c>
    </row>
    <row r="279" customFormat="false" ht="15" hidden="false" customHeight="false" outlineLevel="0" collapsed="false">
      <c r="A279" s="5" t="n">
        <v>44740</v>
      </c>
      <c r="B279" s="6" t="n">
        <v>0.0701388888888889</v>
      </c>
      <c r="C279" s="7" t="n">
        <v>7134</v>
      </c>
      <c r="D279" s="7" t="s">
        <v>10</v>
      </c>
      <c r="E279" s="7" t="n">
        <v>23500</v>
      </c>
      <c r="F279" s="7" t="n">
        <v>16220</v>
      </c>
      <c r="G279" s="8" t="n">
        <v>7280</v>
      </c>
      <c r="H279" s="7" t="s">
        <v>11</v>
      </c>
      <c r="I279" s="7" t="s">
        <v>12</v>
      </c>
      <c r="J279" s="0" t="s">
        <v>13</v>
      </c>
    </row>
    <row r="280" customFormat="false" ht="15" hidden="false" customHeight="false" outlineLevel="0" collapsed="false">
      <c r="A280" s="5" t="n">
        <v>44740</v>
      </c>
      <c r="B280" s="6" t="n">
        <v>0.236111111111111</v>
      </c>
      <c r="C280" s="7" t="n">
        <v>7150</v>
      </c>
      <c r="D280" s="7" t="s">
        <v>10</v>
      </c>
      <c r="E280" s="7" t="n">
        <v>22280</v>
      </c>
      <c r="F280" s="7" t="n">
        <v>16180</v>
      </c>
      <c r="G280" s="8" t="n">
        <v>6100</v>
      </c>
      <c r="H280" s="7" t="s">
        <v>11</v>
      </c>
      <c r="I280" s="7" t="s">
        <v>12</v>
      </c>
      <c r="J280" s="0" t="s">
        <v>13</v>
      </c>
    </row>
    <row r="281" customFormat="false" ht="15" hidden="false" customHeight="false" outlineLevel="0" collapsed="false">
      <c r="A281" s="5" t="n">
        <v>44740</v>
      </c>
      <c r="B281" s="6" t="n">
        <v>0.214583333333333</v>
      </c>
      <c r="C281" s="7" t="n">
        <v>7146</v>
      </c>
      <c r="D281" s="7" t="s">
        <v>21</v>
      </c>
      <c r="E281" s="7" t="n">
        <v>4920</v>
      </c>
      <c r="F281" s="7" t="n">
        <v>3800</v>
      </c>
      <c r="G281" s="8" t="n">
        <v>1120</v>
      </c>
      <c r="H281" s="7" t="s">
        <v>11</v>
      </c>
      <c r="I281" s="7" t="s">
        <v>12</v>
      </c>
      <c r="J281" s="0" t="s">
        <v>13</v>
      </c>
    </row>
    <row r="282" customFormat="false" ht="15" hidden="false" customHeight="false" outlineLevel="0" collapsed="false">
      <c r="A282" s="5" t="n">
        <v>44740</v>
      </c>
      <c r="B282" s="6" t="n">
        <v>0.249305555555556</v>
      </c>
      <c r="C282" s="7" t="n">
        <v>7152</v>
      </c>
      <c r="D282" s="7" t="s">
        <v>14</v>
      </c>
      <c r="E282" s="7" t="n">
        <v>18500</v>
      </c>
      <c r="F282" s="7" t="n">
        <v>12760</v>
      </c>
      <c r="G282" s="8" t="n">
        <v>5740</v>
      </c>
      <c r="H282" s="7" t="s">
        <v>11</v>
      </c>
      <c r="I282" s="7" t="s">
        <v>12</v>
      </c>
      <c r="J282" s="0" t="s">
        <v>13</v>
      </c>
    </row>
    <row r="283" customFormat="false" ht="15" hidden="false" customHeight="false" outlineLevel="0" collapsed="false">
      <c r="A283" s="5" t="n">
        <v>44740</v>
      </c>
      <c r="B283" s="6" t="n">
        <v>0.108333333333333</v>
      </c>
      <c r="C283" s="7" t="n">
        <v>7139</v>
      </c>
      <c r="D283" s="7" t="s">
        <v>14</v>
      </c>
      <c r="E283" s="7" t="n">
        <v>22500</v>
      </c>
      <c r="F283" s="7" t="n">
        <v>12780</v>
      </c>
      <c r="G283" s="8" t="n">
        <v>9720</v>
      </c>
      <c r="H283" s="7" t="s">
        <v>11</v>
      </c>
      <c r="I283" s="7" t="s">
        <v>12</v>
      </c>
      <c r="J283" s="0" t="s">
        <v>13</v>
      </c>
    </row>
    <row r="284" customFormat="false" ht="15" hidden="false" customHeight="false" outlineLevel="0" collapsed="false">
      <c r="A284" s="5" t="n">
        <v>44740</v>
      </c>
      <c r="B284" s="6" t="n">
        <v>0.442361111111111</v>
      </c>
      <c r="C284" s="7" t="n">
        <v>7167</v>
      </c>
      <c r="D284" s="7" t="s">
        <v>18</v>
      </c>
      <c r="E284" s="7" t="n">
        <v>3280</v>
      </c>
      <c r="F284" s="7" t="n">
        <v>2880</v>
      </c>
      <c r="G284" s="8" t="n">
        <v>400</v>
      </c>
      <c r="H284" s="7" t="s">
        <v>11</v>
      </c>
      <c r="I284" s="7" t="s">
        <v>12</v>
      </c>
      <c r="J284" s="0" t="s">
        <v>13</v>
      </c>
    </row>
    <row r="285" customFormat="false" ht="15" hidden="false" customHeight="false" outlineLevel="0" collapsed="false">
      <c r="A285" s="5" t="n">
        <v>44740</v>
      </c>
      <c r="B285" s="6" t="n">
        <v>0.693055555555556</v>
      </c>
      <c r="C285" s="7" t="n">
        <v>7199</v>
      </c>
      <c r="D285" s="7" t="s">
        <v>14</v>
      </c>
      <c r="E285" s="7" t="n">
        <v>14280</v>
      </c>
      <c r="F285" s="7" t="n">
        <v>12760</v>
      </c>
      <c r="G285" s="8" t="n">
        <v>1520</v>
      </c>
      <c r="H285" s="7" t="s">
        <v>11</v>
      </c>
      <c r="I285" s="7" t="s">
        <v>12</v>
      </c>
      <c r="J285" s="0" t="s">
        <v>13</v>
      </c>
    </row>
    <row r="286" customFormat="false" ht="15" hidden="false" customHeight="false" outlineLevel="0" collapsed="false">
      <c r="A286" s="5" t="n">
        <v>44740</v>
      </c>
      <c r="B286" s="6" t="n">
        <v>0.870833333333333</v>
      </c>
      <c r="C286" s="7" t="n">
        <v>7205</v>
      </c>
      <c r="D286" s="7" t="s">
        <v>10</v>
      </c>
      <c r="E286" s="7" t="n">
        <v>23340</v>
      </c>
      <c r="F286" s="7" t="n">
        <v>15980</v>
      </c>
      <c r="G286" s="8" t="n">
        <v>7360</v>
      </c>
      <c r="H286" s="7" t="s">
        <v>11</v>
      </c>
      <c r="I286" s="7" t="s">
        <v>12</v>
      </c>
      <c r="J286" s="0" t="s">
        <v>13</v>
      </c>
    </row>
    <row r="287" customFormat="false" ht="15" hidden="false" customHeight="false" outlineLevel="0" collapsed="false">
      <c r="A287" s="5" t="n">
        <v>44740</v>
      </c>
      <c r="B287" s="6" t="n">
        <v>0.514583333333333</v>
      </c>
      <c r="C287" s="7" t="n">
        <v>7179</v>
      </c>
      <c r="D287" s="7" t="s">
        <v>19</v>
      </c>
      <c r="E287" s="7" t="n">
        <v>2580</v>
      </c>
      <c r="F287" s="7" t="n">
        <v>2360</v>
      </c>
      <c r="G287" s="8" t="n">
        <v>220</v>
      </c>
      <c r="H287" s="7" t="s">
        <v>11</v>
      </c>
      <c r="I287" s="7" t="s">
        <v>12</v>
      </c>
      <c r="J287" s="0" t="s">
        <v>13</v>
      </c>
    </row>
    <row r="288" customFormat="false" ht="13.8" hidden="false" customHeight="false" outlineLevel="0" collapsed="false">
      <c r="A288" s="5" t="n">
        <v>44740</v>
      </c>
      <c r="B288" s="6" t="n">
        <v>0.471527777777778</v>
      </c>
      <c r="C288" s="7" t="n">
        <v>7173</v>
      </c>
      <c r="D288" s="7" t="s">
        <v>16</v>
      </c>
      <c r="E288" s="7" t="n">
        <v>6320</v>
      </c>
      <c r="F288" s="7" t="n">
        <v>5560</v>
      </c>
      <c r="G288" s="8" t="n">
        <v>760</v>
      </c>
      <c r="H288" s="7" t="s">
        <v>11</v>
      </c>
      <c r="I288" s="7" t="s">
        <v>17</v>
      </c>
      <c r="J288" s="0" t="s">
        <v>13</v>
      </c>
    </row>
    <row r="289" customFormat="false" ht="15" hidden="false" customHeight="false" outlineLevel="0" collapsed="false">
      <c r="A289" s="5" t="n">
        <v>44740</v>
      </c>
      <c r="B289" s="6" t="n">
        <v>0.504166666666667</v>
      </c>
      <c r="C289" s="7" t="n">
        <v>141350</v>
      </c>
      <c r="D289" s="7" t="s">
        <v>10</v>
      </c>
      <c r="E289" s="7" t="n">
        <v>17440</v>
      </c>
      <c r="F289" s="7" t="n">
        <v>15920</v>
      </c>
      <c r="G289" s="8" t="n">
        <v>1520</v>
      </c>
      <c r="H289" s="7" t="s">
        <v>11</v>
      </c>
      <c r="I289" s="7" t="s">
        <v>20</v>
      </c>
      <c r="J289" s="0" t="s">
        <v>13</v>
      </c>
    </row>
    <row r="290" customFormat="false" ht="15" hidden="false" customHeight="false" outlineLevel="0" collapsed="false">
      <c r="A290" s="5" t="n">
        <v>44741</v>
      </c>
      <c r="B290" s="6" t="n">
        <v>0.0680555555555555</v>
      </c>
      <c r="C290" s="7" t="n">
        <v>7207</v>
      </c>
      <c r="D290" s="7" t="s">
        <v>14</v>
      </c>
      <c r="E290" s="7" t="n">
        <v>22140</v>
      </c>
      <c r="F290" s="7" t="n">
        <v>12740</v>
      </c>
      <c r="G290" s="8" t="n">
        <v>9400</v>
      </c>
      <c r="H290" s="7" t="s">
        <v>11</v>
      </c>
      <c r="I290" s="7" t="s">
        <v>12</v>
      </c>
      <c r="J290" s="0" t="s">
        <v>13</v>
      </c>
    </row>
    <row r="291" customFormat="false" ht="15" hidden="false" customHeight="false" outlineLevel="0" collapsed="false">
      <c r="A291" s="5" t="n">
        <v>44741</v>
      </c>
      <c r="B291" s="6" t="n">
        <v>0.244444444444444</v>
      </c>
      <c r="C291" s="7" t="n">
        <v>7222</v>
      </c>
      <c r="D291" s="7" t="s">
        <v>14</v>
      </c>
      <c r="E291" s="7" t="n">
        <v>19220</v>
      </c>
      <c r="F291" s="7" t="n">
        <v>12740</v>
      </c>
      <c r="G291" s="8" t="n">
        <v>6480</v>
      </c>
      <c r="H291" s="7" t="s">
        <v>11</v>
      </c>
      <c r="I291" s="7" t="s">
        <v>12</v>
      </c>
      <c r="J291" s="0" t="s">
        <v>13</v>
      </c>
    </row>
    <row r="292" customFormat="false" ht="15" hidden="false" customHeight="false" outlineLevel="0" collapsed="false">
      <c r="A292" s="5" t="n">
        <v>44741</v>
      </c>
      <c r="B292" s="6" t="n">
        <v>0.136805555555556</v>
      </c>
      <c r="C292" s="7" t="n">
        <v>7213</v>
      </c>
      <c r="D292" s="7" t="s">
        <v>10</v>
      </c>
      <c r="E292" s="7" t="n">
        <v>23600</v>
      </c>
      <c r="F292" s="7" t="n">
        <v>15960</v>
      </c>
      <c r="G292" s="8" t="n">
        <v>7640</v>
      </c>
      <c r="H292" s="7" t="s">
        <v>11</v>
      </c>
      <c r="I292" s="7" t="s">
        <v>12</v>
      </c>
      <c r="J292" s="0" t="s">
        <v>13</v>
      </c>
    </row>
    <row r="293" customFormat="false" ht="15" hidden="false" customHeight="false" outlineLevel="0" collapsed="false">
      <c r="A293" s="5" t="n">
        <v>44741</v>
      </c>
      <c r="B293" s="6" t="n">
        <v>0.252777777777778</v>
      </c>
      <c r="C293" s="7" t="n">
        <v>7223</v>
      </c>
      <c r="D293" s="7" t="s">
        <v>10</v>
      </c>
      <c r="E293" s="7" t="n">
        <v>20000</v>
      </c>
      <c r="F293" s="7" t="n">
        <v>15940</v>
      </c>
      <c r="G293" s="8" t="n">
        <v>4060</v>
      </c>
      <c r="H293" s="7" t="s">
        <v>11</v>
      </c>
      <c r="I293" s="7" t="s">
        <v>12</v>
      </c>
      <c r="J293" s="0" t="s">
        <v>13</v>
      </c>
    </row>
    <row r="294" customFormat="false" ht="15" hidden="false" customHeight="false" outlineLevel="0" collapsed="false">
      <c r="A294" s="5" t="n">
        <v>44741</v>
      </c>
      <c r="B294" s="6" t="n">
        <v>0.210416666666667</v>
      </c>
      <c r="C294" s="7" t="n">
        <v>7215</v>
      </c>
      <c r="D294" s="7" t="s">
        <v>21</v>
      </c>
      <c r="E294" s="7" t="n">
        <v>5060</v>
      </c>
      <c r="F294" s="7" t="n">
        <v>3760</v>
      </c>
      <c r="G294" s="8" t="n">
        <v>1300</v>
      </c>
      <c r="H294" s="7" t="s">
        <v>11</v>
      </c>
      <c r="I294" s="7" t="s">
        <v>12</v>
      </c>
      <c r="J294" s="0" t="s">
        <v>13</v>
      </c>
    </row>
    <row r="295" customFormat="false" ht="15" hidden="false" customHeight="false" outlineLevel="0" collapsed="false">
      <c r="A295" s="5" t="n">
        <v>44741</v>
      </c>
      <c r="B295" s="6" t="n">
        <v>0.0513888888888889</v>
      </c>
      <c r="C295" s="7" t="n">
        <v>7206</v>
      </c>
      <c r="D295" s="7" t="s">
        <v>24</v>
      </c>
      <c r="E295" s="7" t="n">
        <v>17560</v>
      </c>
      <c r="F295" s="7" t="n">
        <v>12500</v>
      </c>
      <c r="G295" s="8" t="n">
        <v>5060</v>
      </c>
      <c r="H295" s="7" t="s">
        <v>11</v>
      </c>
      <c r="I295" s="7" t="s">
        <v>12</v>
      </c>
      <c r="J295" s="0" t="s">
        <v>13</v>
      </c>
    </row>
    <row r="296" customFormat="false" ht="15" hidden="false" customHeight="false" outlineLevel="0" collapsed="false">
      <c r="A296" s="5" t="n">
        <v>44741</v>
      </c>
      <c r="B296" s="6" t="n">
        <v>0.3375</v>
      </c>
      <c r="C296" s="7" t="n">
        <v>7232</v>
      </c>
      <c r="D296" s="7" t="s">
        <v>18</v>
      </c>
      <c r="E296" s="7" t="n">
        <v>3600</v>
      </c>
      <c r="F296" s="7" t="n">
        <v>3020</v>
      </c>
      <c r="G296" s="8" t="n">
        <v>580</v>
      </c>
      <c r="H296" s="7" t="s">
        <v>11</v>
      </c>
      <c r="I296" s="7" t="s">
        <v>17</v>
      </c>
      <c r="J296" s="0" t="s">
        <v>13</v>
      </c>
    </row>
    <row r="297" customFormat="false" ht="15" hidden="false" customHeight="false" outlineLevel="0" collapsed="false">
      <c r="A297" s="5" t="n">
        <v>44741</v>
      </c>
      <c r="B297" s="6" t="n">
        <v>0.359027777777778</v>
      </c>
      <c r="C297" s="7" t="n">
        <v>7236</v>
      </c>
      <c r="D297" s="7" t="s">
        <v>16</v>
      </c>
      <c r="E297" s="7" t="n">
        <v>6300</v>
      </c>
      <c r="F297" s="7" t="n">
        <v>5540</v>
      </c>
      <c r="G297" s="8" t="n">
        <v>760</v>
      </c>
      <c r="H297" s="7" t="s">
        <v>11</v>
      </c>
      <c r="I297" s="7" t="s">
        <v>17</v>
      </c>
      <c r="J297" s="0" t="s">
        <v>13</v>
      </c>
    </row>
    <row r="298" customFormat="false" ht="15" hidden="false" customHeight="false" outlineLevel="0" collapsed="false">
      <c r="A298" s="5" t="n">
        <v>44741</v>
      </c>
      <c r="B298" s="6" t="n">
        <v>0.445138888888889</v>
      </c>
      <c r="C298" s="7" t="n">
        <v>7247</v>
      </c>
      <c r="D298" s="7" t="s">
        <v>19</v>
      </c>
      <c r="E298" s="7" t="n">
        <v>2620</v>
      </c>
      <c r="F298" s="7" t="n">
        <v>2360</v>
      </c>
      <c r="G298" s="8" t="n">
        <v>260</v>
      </c>
      <c r="H298" s="7" t="s">
        <v>11</v>
      </c>
      <c r="I298" s="7" t="s">
        <v>12</v>
      </c>
      <c r="J298" s="0" t="s">
        <v>13</v>
      </c>
    </row>
    <row r="299" customFormat="false" ht="15" hidden="false" customHeight="false" outlineLevel="0" collapsed="false">
      <c r="A299" s="5" t="n">
        <v>44741</v>
      </c>
      <c r="B299" s="6" t="n">
        <v>0.466666666666667</v>
      </c>
      <c r="C299" s="7" t="n">
        <v>7250</v>
      </c>
      <c r="D299" s="7" t="s">
        <v>16</v>
      </c>
      <c r="E299" s="7" t="n">
        <v>6380</v>
      </c>
      <c r="F299" s="7" t="n">
        <v>5540</v>
      </c>
      <c r="G299" s="8" t="n">
        <v>840</v>
      </c>
      <c r="H299" s="7" t="s">
        <v>11</v>
      </c>
      <c r="I299" s="7" t="s">
        <v>17</v>
      </c>
      <c r="J299" s="0" t="s">
        <v>13</v>
      </c>
    </row>
    <row r="300" customFormat="false" ht="15" hidden="false" customHeight="false" outlineLevel="0" collapsed="false">
      <c r="A300" s="5" t="n">
        <v>44741</v>
      </c>
      <c r="B300" s="6" t="n">
        <v>0.48125</v>
      </c>
      <c r="C300" s="7" t="n">
        <v>7253</v>
      </c>
      <c r="D300" s="7" t="s">
        <v>18</v>
      </c>
      <c r="E300" s="7" t="n">
        <v>3720</v>
      </c>
      <c r="F300" s="7" t="n">
        <v>3000</v>
      </c>
      <c r="G300" s="8" t="n">
        <v>720</v>
      </c>
      <c r="H300" s="7" t="s">
        <v>11</v>
      </c>
      <c r="I300" s="7" t="s">
        <v>17</v>
      </c>
      <c r="J300" s="0" t="s">
        <v>13</v>
      </c>
    </row>
    <row r="301" customFormat="false" ht="15" hidden="false" customHeight="false" outlineLevel="0" collapsed="false">
      <c r="A301" s="5" t="n">
        <v>44741</v>
      </c>
      <c r="B301" s="6" t="n">
        <v>0.479166666666667</v>
      </c>
      <c r="C301" s="7" t="n">
        <v>141418</v>
      </c>
      <c r="D301" s="7" t="s">
        <v>25</v>
      </c>
      <c r="E301" s="7" t="n">
        <v>18220</v>
      </c>
      <c r="F301" s="7" t="n">
        <v>16020</v>
      </c>
      <c r="G301" s="8" t="n">
        <v>2200</v>
      </c>
      <c r="H301" s="7" t="s">
        <v>11</v>
      </c>
      <c r="I301" s="7" t="s">
        <v>20</v>
      </c>
      <c r="J301" s="0" t="s">
        <v>13</v>
      </c>
    </row>
    <row r="302" customFormat="false" ht="15" hidden="false" customHeight="false" outlineLevel="0" collapsed="false">
      <c r="A302" s="5" t="n">
        <v>44741</v>
      </c>
      <c r="B302" s="6" t="n">
        <v>0.526388888888889</v>
      </c>
      <c r="C302" s="7" t="n">
        <v>7257</v>
      </c>
      <c r="D302" s="7" t="s">
        <v>16</v>
      </c>
      <c r="E302" s="7" t="n">
        <v>6000</v>
      </c>
      <c r="F302" s="7" t="n">
        <v>5540</v>
      </c>
      <c r="G302" s="8" t="n">
        <v>460</v>
      </c>
      <c r="H302" s="7" t="s">
        <v>11</v>
      </c>
      <c r="I302" s="7" t="s">
        <v>17</v>
      </c>
      <c r="J302" s="0" t="s">
        <v>13</v>
      </c>
    </row>
    <row r="303" customFormat="false" ht="15" hidden="false" customHeight="false" outlineLevel="0" collapsed="false">
      <c r="A303" s="5" t="n">
        <v>44741</v>
      </c>
      <c r="B303" s="6" t="n">
        <v>0.527083333333333</v>
      </c>
      <c r="C303" s="7" t="n">
        <v>7258</v>
      </c>
      <c r="D303" s="7" t="s">
        <v>25</v>
      </c>
      <c r="E303" s="7" t="n">
        <v>19020</v>
      </c>
      <c r="F303" s="7" t="n">
        <v>16060</v>
      </c>
      <c r="G303" s="8" t="n">
        <v>2960</v>
      </c>
      <c r="H303" s="7" t="s">
        <v>11</v>
      </c>
      <c r="I303" s="7" t="s">
        <v>17</v>
      </c>
      <c r="J303" s="0" t="s">
        <v>13</v>
      </c>
    </row>
    <row r="304" customFormat="false" ht="15" hidden="false" customHeight="false" outlineLevel="0" collapsed="false">
      <c r="A304" s="5" t="n">
        <v>44741</v>
      </c>
      <c r="B304" s="6" t="n">
        <v>0.840277777777778</v>
      </c>
      <c r="C304" s="7" t="n">
        <v>7279</v>
      </c>
      <c r="D304" s="7" t="s">
        <v>19</v>
      </c>
      <c r="E304" s="7" t="n">
        <v>2580</v>
      </c>
      <c r="F304" s="7" t="n">
        <v>2380</v>
      </c>
      <c r="G304" s="8" t="n">
        <v>200</v>
      </c>
      <c r="H304" s="7" t="s">
        <v>11</v>
      </c>
      <c r="I304" s="7" t="s">
        <v>12</v>
      </c>
      <c r="J304" s="0" t="s">
        <v>13</v>
      </c>
    </row>
    <row r="305" customFormat="false" ht="15" hidden="false" customHeight="false" outlineLevel="0" collapsed="false">
      <c r="A305" s="5" t="n">
        <v>44742</v>
      </c>
      <c r="B305" s="6" t="n">
        <v>0.0840277777777778</v>
      </c>
      <c r="C305" s="7" t="n">
        <v>7283</v>
      </c>
      <c r="D305" s="7" t="s">
        <v>10</v>
      </c>
      <c r="E305" s="7" t="n">
        <v>22660</v>
      </c>
      <c r="F305" s="7" t="n">
        <v>15920</v>
      </c>
      <c r="G305" s="8" t="n">
        <v>6740</v>
      </c>
      <c r="H305" s="7" t="s">
        <v>11</v>
      </c>
      <c r="I305" s="7" t="s">
        <v>12</v>
      </c>
      <c r="J305" s="0" t="s">
        <v>13</v>
      </c>
    </row>
    <row r="306" customFormat="false" ht="15" hidden="false" customHeight="false" outlineLevel="0" collapsed="false">
      <c r="A306" s="5" t="n">
        <v>44742</v>
      </c>
      <c r="B306" s="6" t="n">
        <v>0.0847222222222222</v>
      </c>
      <c r="C306" s="7" t="n">
        <v>7284</v>
      </c>
      <c r="D306" s="7" t="s">
        <v>14</v>
      </c>
      <c r="E306" s="7" t="n">
        <v>22600</v>
      </c>
      <c r="F306" s="7" t="n">
        <v>12700</v>
      </c>
      <c r="G306" s="8" t="n">
        <v>9900</v>
      </c>
      <c r="H306" s="7" t="s">
        <v>11</v>
      </c>
      <c r="I306" s="7" t="s">
        <v>12</v>
      </c>
      <c r="J306" s="0" t="s">
        <v>13</v>
      </c>
    </row>
    <row r="307" customFormat="false" ht="15" hidden="false" customHeight="false" outlineLevel="0" collapsed="false">
      <c r="A307" s="5" t="n">
        <v>44742</v>
      </c>
      <c r="B307" s="6" t="n">
        <v>0.215277777777778</v>
      </c>
      <c r="C307" s="7" t="n">
        <v>7292</v>
      </c>
      <c r="D307" s="7" t="s">
        <v>21</v>
      </c>
      <c r="E307" s="7" t="n">
        <v>4980</v>
      </c>
      <c r="F307" s="7" t="n">
        <v>3660</v>
      </c>
      <c r="G307" s="8" t="n">
        <v>1320</v>
      </c>
      <c r="H307" s="7" t="s">
        <v>11</v>
      </c>
      <c r="I307" s="7" t="s">
        <v>12</v>
      </c>
      <c r="J307" s="0" t="s">
        <v>13</v>
      </c>
    </row>
    <row r="308" customFormat="false" ht="15" hidden="false" customHeight="false" outlineLevel="0" collapsed="false">
      <c r="A308" s="5" t="n">
        <v>44742</v>
      </c>
      <c r="B308" s="6" t="n">
        <v>0.247916666666667</v>
      </c>
      <c r="C308" s="7" t="n">
        <v>7297</v>
      </c>
      <c r="D308" s="7" t="s">
        <v>14</v>
      </c>
      <c r="E308" s="7" t="n">
        <v>20880</v>
      </c>
      <c r="F308" s="7" t="n">
        <v>12700</v>
      </c>
      <c r="G308" s="8" t="n">
        <v>8180</v>
      </c>
      <c r="H308" s="7" t="s">
        <v>11</v>
      </c>
      <c r="I308" s="7" t="s">
        <v>12</v>
      </c>
      <c r="J308" s="0" t="s">
        <v>13</v>
      </c>
    </row>
    <row r="309" customFormat="false" ht="15" hidden="false" customHeight="false" outlineLevel="0" collapsed="false">
      <c r="A309" s="5" t="n">
        <v>44742</v>
      </c>
      <c r="B309" s="6" t="n">
        <v>0.252777777777778</v>
      </c>
      <c r="C309" s="7" t="n">
        <v>7299</v>
      </c>
      <c r="D309" s="7" t="s">
        <v>10</v>
      </c>
      <c r="E309" s="7" t="n">
        <v>24440</v>
      </c>
      <c r="F309" s="7" t="n">
        <v>15880</v>
      </c>
      <c r="G309" s="8" t="n">
        <v>8560</v>
      </c>
      <c r="H309" s="7" t="s">
        <v>11</v>
      </c>
      <c r="I309" s="7" t="s">
        <v>12</v>
      </c>
      <c r="J309" s="0" t="s">
        <v>13</v>
      </c>
    </row>
    <row r="310" customFormat="false" ht="15" hidden="false" customHeight="false" outlineLevel="0" collapsed="false">
      <c r="A310" s="5" t="n">
        <v>44742</v>
      </c>
      <c r="B310" s="6" t="n">
        <v>0.516666666666667</v>
      </c>
      <c r="C310" s="7" t="n">
        <v>7332</v>
      </c>
      <c r="D310" s="7" t="s">
        <v>19</v>
      </c>
      <c r="E310" s="7" t="n">
        <v>2620</v>
      </c>
      <c r="F310" s="7" t="n">
        <v>2360</v>
      </c>
      <c r="G310" s="8" t="n">
        <v>260</v>
      </c>
      <c r="H310" s="7" t="s">
        <v>11</v>
      </c>
      <c r="I310" s="7" t="s">
        <v>12</v>
      </c>
      <c r="J310" s="0" t="s">
        <v>13</v>
      </c>
    </row>
    <row r="311" customFormat="false" ht="15" hidden="false" customHeight="false" outlineLevel="0" collapsed="false">
      <c r="A311" s="5" t="n">
        <v>44742</v>
      </c>
      <c r="B311" s="6" t="n">
        <v>0.328472222222222</v>
      </c>
      <c r="C311" s="7" t="n">
        <v>7308</v>
      </c>
      <c r="D311" s="7" t="s">
        <v>19</v>
      </c>
      <c r="E311" s="7" t="n">
        <v>2620</v>
      </c>
      <c r="F311" s="7" t="n">
        <v>2380</v>
      </c>
      <c r="G311" s="8" t="n">
        <v>240</v>
      </c>
      <c r="H311" s="7" t="s">
        <v>11</v>
      </c>
      <c r="I311" s="7" t="s">
        <v>12</v>
      </c>
      <c r="J311" s="0" t="s">
        <v>13</v>
      </c>
    </row>
    <row r="312" customFormat="false" ht="15" hidden="false" customHeight="false" outlineLevel="0" collapsed="false">
      <c r="A312" s="5" t="n">
        <v>44742</v>
      </c>
      <c r="B312" s="6" t="n">
        <v>0.841666666666667</v>
      </c>
      <c r="C312" s="7" t="n">
        <v>7359</v>
      </c>
      <c r="D312" s="7" t="s">
        <v>19</v>
      </c>
      <c r="E312" s="7" t="n">
        <v>2640</v>
      </c>
      <c r="F312" s="7" t="n">
        <v>2360</v>
      </c>
      <c r="G312" s="8" t="n">
        <v>280</v>
      </c>
      <c r="H312" s="7" t="s">
        <v>11</v>
      </c>
      <c r="I312" s="7" t="s">
        <v>12</v>
      </c>
      <c r="J312" s="0" t="s">
        <v>13</v>
      </c>
    </row>
    <row r="313" customFormat="false" ht="15" hidden="false" customHeight="false" outlineLevel="0" collapsed="false">
      <c r="A313" s="5" t="n">
        <v>44742</v>
      </c>
      <c r="B313" s="6" t="n">
        <v>0.689583333333333</v>
      </c>
      <c r="C313" s="7" t="n">
        <v>7352</v>
      </c>
      <c r="D313" s="7" t="s">
        <v>14</v>
      </c>
      <c r="E313" s="7" t="n">
        <v>14300</v>
      </c>
      <c r="F313" s="7" t="n">
        <v>12740</v>
      </c>
      <c r="G313" s="8" t="n">
        <v>1560</v>
      </c>
      <c r="H313" s="7" t="s">
        <v>11</v>
      </c>
      <c r="I313" s="7" t="s">
        <v>12</v>
      </c>
      <c r="J313" s="0" t="s">
        <v>13</v>
      </c>
    </row>
    <row r="314" customFormat="false" ht="15" hidden="false" customHeight="false" outlineLevel="0" collapsed="false">
      <c r="A314" s="5" t="n">
        <v>44742</v>
      </c>
      <c r="B314" s="6" t="n">
        <v>0.884027777777778</v>
      </c>
      <c r="C314" s="7" t="n">
        <v>7362</v>
      </c>
      <c r="D314" s="7" t="s">
        <v>10</v>
      </c>
      <c r="E314" s="7" t="n">
        <v>26460</v>
      </c>
      <c r="F314" s="7" t="n">
        <v>15980</v>
      </c>
      <c r="G314" s="8" t="n">
        <v>10480</v>
      </c>
      <c r="H314" s="7" t="s">
        <v>11</v>
      </c>
      <c r="I314" s="7" t="s">
        <v>12</v>
      </c>
      <c r="J314" s="0" t="s">
        <v>13</v>
      </c>
    </row>
    <row r="315" customFormat="false" ht="15" hidden="false" customHeight="false" outlineLevel="0" collapsed="false">
      <c r="A315" s="5" t="n">
        <v>44742</v>
      </c>
      <c r="B315" s="6" t="n">
        <v>0.335416666666667</v>
      </c>
      <c r="C315" s="7" t="n">
        <v>7311</v>
      </c>
      <c r="D315" s="7" t="s">
        <v>18</v>
      </c>
      <c r="E315" s="7" t="n">
        <v>3440</v>
      </c>
      <c r="F315" s="7" t="n">
        <v>2860</v>
      </c>
      <c r="G315" s="8" t="n">
        <v>580</v>
      </c>
      <c r="H315" s="7" t="s">
        <v>11</v>
      </c>
      <c r="I315" s="7" t="s">
        <v>17</v>
      </c>
      <c r="J315" s="0" t="s">
        <v>13</v>
      </c>
    </row>
    <row r="316" customFormat="false" ht="15" hidden="false" customHeight="false" outlineLevel="0" collapsed="false">
      <c r="A316" s="5" t="n">
        <v>44729</v>
      </c>
      <c r="B316" s="6" t="n">
        <v>0.548611111111111</v>
      </c>
      <c r="C316" s="7" t="n">
        <v>6664</v>
      </c>
      <c r="D316" s="7" t="s">
        <v>15</v>
      </c>
      <c r="E316" s="7" t="n">
        <v>3140</v>
      </c>
      <c r="F316" s="7" t="n">
        <v>2840</v>
      </c>
      <c r="G316" s="8" t="n">
        <v>300</v>
      </c>
      <c r="H316" s="7" t="s">
        <v>11</v>
      </c>
      <c r="I316" s="7" t="s">
        <v>22</v>
      </c>
      <c r="J316" s="0" t="s">
        <v>13</v>
      </c>
    </row>
    <row r="317" customFormat="false" ht="15" hidden="false" customHeight="false" outlineLevel="0" collapsed="false">
      <c r="A317" s="5" t="n">
        <v>44714</v>
      </c>
      <c r="B317" s="6" t="n">
        <v>0.496527777777778</v>
      </c>
      <c r="C317" s="7" t="n">
        <v>5910</v>
      </c>
      <c r="D317" s="7" t="s">
        <v>25</v>
      </c>
      <c r="E317" s="7" t="n">
        <v>19020</v>
      </c>
      <c r="F317" s="7" t="n">
        <v>16280</v>
      </c>
      <c r="G317" s="8" t="n">
        <v>2740</v>
      </c>
      <c r="H317" s="7" t="s">
        <v>11</v>
      </c>
      <c r="I317" s="7" t="s">
        <v>17</v>
      </c>
      <c r="J317" s="0" t="s">
        <v>13</v>
      </c>
    </row>
    <row r="318" customFormat="false" ht="15" hidden="false" customHeight="false" outlineLevel="0" collapsed="false">
      <c r="A318" s="5" t="n">
        <v>44725</v>
      </c>
      <c r="B318" s="6" t="n">
        <v>0.497222222222222</v>
      </c>
      <c r="C318" s="7" t="n">
        <v>6422</v>
      </c>
      <c r="D318" s="7" t="s">
        <v>19</v>
      </c>
      <c r="E318" s="7" t="n">
        <v>2540</v>
      </c>
      <c r="F318" s="7" t="n">
        <v>2360</v>
      </c>
      <c r="G318" s="8" t="n">
        <v>180</v>
      </c>
      <c r="H318" s="7" t="s">
        <v>11</v>
      </c>
      <c r="I318" s="7" t="s">
        <v>12</v>
      </c>
      <c r="J318" s="0" t="s">
        <v>13</v>
      </c>
    </row>
    <row r="319" customFormat="false" ht="15" hidden="false" customHeight="false" outlineLevel="0" collapsed="false">
      <c r="A319" s="5" t="n">
        <v>44740</v>
      </c>
      <c r="B319" s="6" t="n">
        <v>0.855555555555556</v>
      </c>
      <c r="C319" s="7" t="n">
        <v>7204</v>
      </c>
      <c r="D319" s="7" t="s">
        <v>19</v>
      </c>
      <c r="E319" s="7" t="n">
        <v>2580</v>
      </c>
      <c r="F319" s="7" t="n">
        <v>2360</v>
      </c>
      <c r="G319" s="8" t="n">
        <v>220</v>
      </c>
      <c r="H319" s="7" t="s">
        <v>11</v>
      </c>
      <c r="I319" s="7" t="s">
        <v>12</v>
      </c>
      <c r="J319" s="0" t="s">
        <v>13</v>
      </c>
    </row>
  </sheetData>
  <autoFilter ref="A1:J319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42" zoomScaleNormal="142" zoomScalePageLayoutView="100" workbookViewId="0">
      <selection pane="topLeft" activeCell="B5" activeCellId="0" sqref="B5"/>
    </sheetView>
  </sheetViews>
  <sheetFormatPr defaultRowHeight="12.8" zeroHeight="false" outlineLevelRow="0" outlineLevelCol="0"/>
  <cols>
    <col collapsed="false" customWidth="true" hidden="false" outlineLevel="0" max="6" min="1" style="0" width="10.5"/>
    <col collapsed="false" customWidth="true" hidden="false" outlineLevel="0" max="7" min="7" style="0" width="15.2"/>
    <col collapsed="false" customWidth="true" hidden="false" outlineLevel="0" max="1025" min="8" style="0" width="10.5"/>
  </cols>
  <sheetData>
    <row r="1" customFormat="false" ht="12.8" hidden="false" customHeight="false" outlineLevel="0" collapsed="false">
      <c r="A1" s="10" t="s">
        <v>0</v>
      </c>
      <c r="B1" s="11" t="s">
        <v>28</v>
      </c>
    </row>
    <row r="3" customFormat="false" ht="12.8" hidden="false" customHeight="false" outlineLevel="0" collapsed="false">
      <c r="A3" s="12" t="s">
        <v>29</v>
      </c>
      <c r="B3" s="13" t="s">
        <v>8</v>
      </c>
      <c r="C3" s="14"/>
      <c r="D3" s="14"/>
      <c r="E3" s="14"/>
      <c r="F3" s="14"/>
      <c r="G3" s="15"/>
    </row>
    <row r="4" customFormat="false" ht="12.8" hidden="false" customHeight="false" outlineLevel="0" collapsed="false">
      <c r="A4" s="16" t="s">
        <v>3</v>
      </c>
      <c r="B4" s="17" t="s">
        <v>22</v>
      </c>
      <c r="C4" s="18" t="s">
        <v>12</v>
      </c>
      <c r="D4" s="18" t="s">
        <v>23</v>
      </c>
      <c r="E4" s="18" t="s">
        <v>20</v>
      </c>
      <c r="F4" s="18" t="s">
        <v>17</v>
      </c>
      <c r="G4" s="19" t="s">
        <v>30</v>
      </c>
    </row>
    <row r="5" customFormat="false" ht="12.8" hidden="false" customHeight="false" outlineLevel="0" collapsed="false">
      <c r="A5" s="20" t="s">
        <v>25</v>
      </c>
      <c r="B5" s="21"/>
      <c r="C5" s="22"/>
      <c r="D5" s="22"/>
      <c r="E5" s="23" t="n">
        <v>4400</v>
      </c>
      <c r="F5" s="24" t="n">
        <v>7680</v>
      </c>
      <c r="G5" s="25" t="n">
        <v>12080</v>
      </c>
    </row>
    <row r="6" customFormat="false" ht="12.8" hidden="false" customHeight="false" outlineLevel="0" collapsed="false">
      <c r="A6" s="26" t="s">
        <v>15</v>
      </c>
      <c r="B6" s="27" t="n">
        <v>3200</v>
      </c>
      <c r="C6" s="28" t="n">
        <v>13340</v>
      </c>
      <c r="D6" s="29"/>
      <c r="E6" s="29"/>
      <c r="F6" s="30"/>
      <c r="G6" s="31" t="n">
        <v>16540</v>
      </c>
    </row>
    <row r="7" customFormat="false" ht="12.8" hidden="false" customHeight="false" outlineLevel="0" collapsed="false">
      <c r="A7" s="26" t="s">
        <v>27</v>
      </c>
      <c r="B7" s="32"/>
      <c r="C7" s="28" t="n">
        <v>46360</v>
      </c>
      <c r="D7" s="28" t="n">
        <v>800</v>
      </c>
      <c r="E7" s="29"/>
      <c r="F7" s="30"/>
      <c r="G7" s="31" t="n">
        <v>47160</v>
      </c>
    </row>
    <row r="8" customFormat="false" ht="12.8" hidden="false" customHeight="false" outlineLevel="0" collapsed="false">
      <c r="A8" s="26" t="s">
        <v>10</v>
      </c>
      <c r="B8" s="32"/>
      <c r="C8" s="28" t="n">
        <v>470040</v>
      </c>
      <c r="D8" s="28" t="n">
        <v>9840</v>
      </c>
      <c r="E8" s="28" t="n">
        <v>13840</v>
      </c>
      <c r="F8" s="30"/>
      <c r="G8" s="31" t="n">
        <v>493720</v>
      </c>
    </row>
    <row r="9" customFormat="false" ht="12.8" hidden="false" customHeight="false" outlineLevel="0" collapsed="false">
      <c r="A9" s="26" t="s">
        <v>19</v>
      </c>
      <c r="B9" s="32"/>
      <c r="C9" s="28" t="n">
        <v>9360</v>
      </c>
      <c r="D9" s="29"/>
      <c r="E9" s="29"/>
      <c r="F9" s="30"/>
      <c r="G9" s="31" t="n">
        <v>9360</v>
      </c>
    </row>
    <row r="10" customFormat="false" ht="12.8" hidden="false" customHeight="false" outlineLevel="0" collapsed="false">
      <c r="A10" s="26" t="s">
        <v>24</v>
      </c>
      <c r="B10" s="32"/>
      <c r="C10" s="28" t="n">
        <v>35180</v>
      </c>
      <c r="D10" s="29"/>
      <c r="E10" s="29"/>
      <c r="F10" s="30"/>
      <c r="G10" s="31" t="n">
        <v>35180</v>
      </c>
    </row>
    <row r="11" customFormat="false" ht="12.8" hidden="false" customHeight="false" outlineLevel="0" collapsed="false">
      <c r="A11" s="26" t="s">
        <v>18</v>
      </c>
      <c r="B11" s="27" t="n">
        <v>720</v>
      </c>
      <c r="C11" s="28" t="n">
        <v>7120</v>
      </c>
      <c r="D11" s="29"/>
      <c r="E11" s="29"/>
      <c r="F11" s="33" t="n">
        <v>7680</v>
      </c>
      <c r="G11" s="31" t="n">
        <v>15520</v>
      </c>
    </row>
    <row r="12" customFormat="false" ht="12.8" hidden="false" customHeight="false" outlineLevel="0" collapsed="false">
      <c r="A12" s="26" t="s">
        <v>14</v>
      </c>
      <c r="B12" s="32"/>
      <c r="C12" s="28" t="n">
        <v>441840</v>
      </c>
      <c r="D12" s="29"/>
      <c r="E12" s="29"/>
      <c r="F12" s="30"/>
      <c r="G12" s="31" t="n">
        <v>441840</v>
      </c>
    </row>
    <row r="13" customFormat="false" ht="12.8" hidden="false" customHeight="false" outlineLevel="0" collapsed="false">
      <c r="A13" s="26" t="s">
        <v>21</v>
      </c>
      <c r="B13" s="32"/>
      <c r="C13" s="28" t="n">
        <v>28560</v>
      </c>
      <c r="D13" s="29"/>
      <c r="E13" s="29"/>
      <c r="F13" s="30"/>
      <c r="G13" s="31" t="n">
        <v>28560</v>
      </c>
    </row>
    <row r="14" customFormat="false" ht="12.8" hidden="false" customHeight="false" outlineLevel="0" collapsed="false">
      <c r="A14" s="26" t="s">
        <v>16</v>
      </c>
      <c r="B14" s="34"/>
      <c r="C14" s="35"/>
      <c r="D14" s="35"/>
      <c r="E14" s="35"/>
      <c r="F14" s="36" t="n">
        <v>18320</v>
      </c>
      <c r="G14" s="37" t="n">
        <v>18320</v>
      </c>
    </row>
    <row r="15" customFormat="false" ht="12.8" hidden="false" customHeight="false" outlineLevel="0" collapsed="false">
      <c r="A15" s="38" t="s">
        <v>30</v>
      </c>
      <c r="B15" s="39" t="n">
        <v>3920</v>
      </c>
      <c r="C15" s="40" t="n">
        <v>1051800</v>
      </c>
      <c r="D15" s="40" t="n">
        <v>10640</v>
      </c>
      <c r="E15" s="40" t="n">
        <v>18240</v>
      </c>
      <c r="F15" s="41" t="n">
        <v>33680</v>
      </c>
      <c r="G15" s="42" t="n">
        <v>1118280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9"/>
  <sheetViews>
    <sheetView showFormulas="false" showGridLines="true" showRowColHeaders="true" showZeros="true" rightToLeft="false" tabSelected="false" showOutlineSymbols="true" defaultGridColor="true" view="normal" topLeftCell="A1" colorId="64" zoomScale="142" zoomScaleNormal="142" zoomScalePageLayoutView="100" workbookViewId="0">
      <selection pane="topLeft" activeCell="E93" activeCellId="0" sqref="E93"/>
    </sheetView>
  </sheetViews>
  <sheetFormatPr defaultRowHeight="14" zeroHeight="false" outlineLevelRow="0" outlineLevelCol="0"/>
  <cols>
    <col collapsed="false" customWidth="true" hidden="false" outlineLevel="0" max="1" min="1" style="43" width="15.11"/>
    <col collapsed="false" customWidth="true" hidden="false" outlineLevel="0" max="2" min="2" style="44" width="17.73"/>
    <col collapsed="false" customWidth="true" hidden="false" outlineLevel="0" max="3" min="3" style="44" width="10.72"/>
    <col collapsed="false" customWidth="true" hidden="false" outlineLevel="0" max="4" min="4" style="43" width="13.47"/>
    <col collapsed="false" customWidth="true" hidden="false" outlineLevel="0" max="6" min="5" style="44" width="11.27"/>
    <col collapsed="false" customWidth="true" hidden="false" outlineLevel="0" max="7" min="7" style="44" width="13.47"/>
    <col collapsed="false" customWidth="true" hidden="false" outlineLevel="0" max="8" min="8" style="44" width="14.54"/>
    <col collapsed="false" customWidth="true" hidden="false" outlineLevel="0" max="9" min="9" style="44" width="15.87"/>
    <col collapsed="false" customWidth="true" hidden="false" outlineLevel="0" max="11" min="10" style="44" width="7.73"/>
    <col collapsed="false" customWidth="true" hidden="false" outlineLevel="0" max="12" min="12" style="44" width="8.18"/>
    <col collapsed="false" customWidth="true" hidden="false" outlineLevel="0" max="13" min="13" style="44" width="12.8"/>
    <col collapsed="false" customWidth="true" hidden="false" outlineLevel="0" max="14" min="14" style="44" width="7.09"/>
    <col collapsed="false" customWidth="true" hidden="false" outlineLevel="0" max="1025" min="15" style="44" width="7.73"/>
  </cols>
  <sheetData>
    <row r="1" customFormat="false" ht="13.8" hidden="false" customHeight="false" outlineLevel="0" collapsed="false">
      <c r="A1" s="43" t="n">
        <v>1</v>
      </c>
      <c r="B1" s="43" t="n">
        <v>2</v>
      </c>
      <c r="C1" s="43" t="n">
        <v>3</v>
      </c>
      <c r="D1" s="43" t="n">
        <v>4</v>
      </c>
      <c r="E1" s="43" t="n">
        <v>5</v>
      </c>
      <c r="F1" s="43" t="n">
        <v>6</v>
      </c>
      <c r="G1" s="43" t="n">
        <v>7</v>
      </c>
    </row>
    <row r="2" customFormat="false" ht="13.8" hidden="false" customHeight="false" outlineLevel="0" collapsed="false">
      <c r="A2" s="45" t="s">
        <v>3</v>
      </c>
      <c r="B2" s="46" t="s">
        <v>31</v>
      </c>
      <c r="C2" s="47" t="s">
        <v>22</v>
      </c>
      <c r="D2" s="47" t="s">
        <v>12</v>
      </c>
      <c r="E2" s="47" t="s">
        <v>23</v>
      </c>
      <c r="F2" s="47" t="s">
        <v>20</v>
      </c>
      <c r="G2" s="47" t="s">
        <v>32</v>
      </c>
      <c r="H2" s="48" t="s">
        <v>30</v>
      </c>
    </row>
    <row r="3" customFormat="false" ht="13.8" hidden="false" customHeight="false" outlineLevel="0" collapsed="false">
      <c r="A3" s="20" t="s">
        <v>25</v>
      </c>
      <c r="B3" s="49"/>
      <c r="C3" s="50"/>
      <c r="D3" s="50"/>
      <c r="E3" s="50"/>
      <c r="F3" s="50" t="n">
        <v>4400</v>
      </c>
      <c r="G3" s="51" t="n">
        <v>7680</v>
      </c>
      <c r="H3" s="52" t="n">
        <f aca="false">SUM(B3:G3)</f>
        <v>12080</v>
      </c>
    </row>
    <row r="4" customFormat="false" ht="13.8" hidden="false" customHeight="false" outlineLevel="0" collapsed="false">
      <c r="A4" s="26" t="s">
        <v>15</v>
      </c>
      <c r="B4" s="53"/>
      <c r="C4" s="54" t="n">
        <v>3200</v>
      </c>
      <c r="D4" s="54" t="n">
        <v>13340</v>
      </c>
      <c r="E4" s="54"/>
      <c r="F4" s="54"/>
      <c r="G4" s="55"/>
      <c r="H4" s="52" t="n">
        <f aca="false">SUM(B4:G4)</f>
        <v>16540</v>
      </c>
    </row>
    <row r="5" customFormat="false" ht="13.8" hidden="false" customHeight="false" outlineLevel="0" collapsed="false">
      <c r="A5" s="26" t="s">
        <v>27</v>
      </c>
      <c r="B5" s="53"/>
      <c r="C5" s="54"/>
      <c r="D5" s="54" t="n">
        <v>46360</v>
      </c>
      <c r="E5" s="54" t="n">
        <v>800</v>
      </c>
      <c r="F5" s="54"/>
      <c r="G5" s="55"/>
      <c r="H5" s="52" t="n">
        <f aca="false">SUM(B5:G5)</f>
        <v>47160</v>
      </c>
    </row>
    <row r="6" customFormat="false" ht="13.8" hidden="false" customHeight="false" outlineLevel="0" collapsed="false">
      <c r="A6" s="26" t="s">
        <v>10</v>
      </c>
      <c r="B6" s="53"/>
      <c r="C6" s="54"/>
      <c r="D6" s="54" t="n">
        <v>470040</v>
      </c>
      <c r="E6" s="54" t="n">
        <v>9840</v>
      </c>
      <c r="F6" s="54" t="n">
        <v>13840</v>
      </c>
      <c r="G6" s="55"/>
      <c r="H6" s="52" t="n">
        <f aca="false">SUM(B6:G6)</f>
        <v>493720</v>
      </c>
    </row>
    <row r="7" customFormat="false" ht="13.8" hidden="false" customHeight="false" outlineLevel="0" collapsed="false">
      <c r="A7" s="26" t="s">
        <v>19</v>
      </c>
      <c r="B7" s="53"/>
      <c r="C7" s="54"/>
      <c r="D7" s="54" t="n">
        <v>9360</v>
      </c>
      <c r="E7" s="54"/>
      <c r="F7" s="54"/>
      <c r="G7" s="55"/>
      <c r="H7" s="52" t="n">
        <f aca="false">SUM(B7:G7)</f>
        <v>9360</v>
      </c>
    </row>
    <row r="8" customFormat="false" ht="13.8" hidden="false" customHeight="false" outlineLevel="0" collapsed="false">
      <c r="A8" s="26" t="s">
        <v>24</v>
      </c>
      <c r="B8" s="53"/>
      <c r="C8" s="54"/>
      <c r="D8" s="54" t="n">
        <v>35180</v>
      </c>
      <c r="E8" s="54"/>
      <c r="F8" s="54"/>
      <c r="G8" s="55"/>
      <c r="H8" s="52" t="n">
        <f aca="false">SUM(B8:G8)</f>
        <v>35180</v>
      </c>
    </row>
    <row r="9" customFormat="false" ht="13.8" hidden="false" customHeight="false" outlineLevel="0" collapsed="false">
      <c r="A9" s="26" t="s">
        <v>18</v>
      </c>
      <c r="B9" s="53"/>
      <c r="C9" s="54" t="n">
        <v>720</v>
      </c>
      <c r="D9" s="54" t="n">
        <v>7120</v>
      </c>
      <c r="E9" s="54"/>
      <c r="F9" s="54"/>
      <c r="G9" s="55" t="n">
        <v>7680</v>
      </c>
      <c r="H9" s="52" t="n">
        <f aca="false">SUM(B9:G9)</f>
        <v>15520</v>
      </c>
    </row>
    <row r="10" customFormat="false" ht="13.8" hidden="false" customHeight="false" outlineLevel="0" collapsed="false">
      <c r="A10" s="26" t="s">
        <v>14</v>
      </c>
      <c r="B10" s="53"/>
      <c r="C10" s="54"/>
      <c r="D10" s="54" t="n">
        <v>441840</v>
      </c>
      <c r="E10" s="54"/>
      <c r="F10" s="54"/>
      <c r="G10" s="55"/>
      <c r="H10" s="52" t="n">
        <f aca="false">SUM(B10:G10)</f>
        <v>441840</v>
      </c>
    </row>
    <row r="11" customFormat="false" ht="13.8" hidden="false" customHeight="false" outlineLevel="0" collapsed="false">
      <c r="A11" s="26" t="s">
        <v>21</v>
      </c>
      <c r="B11" s="53"/>
      <c r="C11" s="54"/>
      <c r="D11" s="54" t="n">
        <v>28560</v>
      </c>
      <c r="E11" s="54"/>
      <c r="F11" s="54"/>
      <c r="G11" s="55"/>
      <c r="H11" s="52" t="n">
        <f aca="false">SUM(B11:G11)</f>
        <v>28560</v>
      </c>
    </row>
    <row r="12" customFormat="false" ht="13.8" hidden="false" customHeight="false" outlineLevel="0" collapsed="false">
      <c r="A12" s="26" t="s">
        <v>16</v>
      </c>
      <c r="B12" s="53"/>
      <c r="C12" s="54"/>
      <c r="D12" s="54"/>
      <c r="E12" s="54"/>
      <c r="F12" s="54"/>
      <c r="G12" s="55" t="n">
        <v>18320</v>
      </c>
      <c r="H12" s="52" t="n">
        <f aca="false">SUM(B12:G12)</f>
        <v>18320</v>
      </c>
    </row>
    <row r="13" customFormat="false" ht="13.8" hidden="false" customHeight="false" outlineLevel="0" collapsed="false">
      <c r="A13" s="26"/>
      <c r="B13" s="56"/>
      <c r="C13" s="57"/>
      <c r="D13" s="57"/>
      <c r="E13" s="57"/>
      <c r="F13" s="57"/>
      <c r="G13" s="58"/>
      <c r="H13" s="52" t="n">
        <f aca="false">SUM(B13:G13)</f>
        <v>0</v>
      </c>
    </row>
    <row r="14" s="44" customFormat="true" ht="13.8" hidden="false" customHeight="false" outlineLevel="0" collapsed="false">
      <c r="B14" s="45"/>
      <c r="C14" s="45"/>
      <c r="D14" s="45"/>
      <c r="E14" s="45"/>
      <c r="F14" s="45"/>
      <c r="G14" s="45"/>
      <c r="H14" s="52" t="n">
        <f aca="false">SUM(B14:G14)</f>
        <v>0</v>
      </c>
    </row>
    <row r="15" customFormat="false" ht="13.8" hidden="false" customHeight="false" outlineLevel="0" collapsed="false">
      <c r="A15" s="48" t="s">
        <v>30</v>
      </c>
      <c r="B15" s="59" t="n">
        <f aca="false">SUM(B3:B14)</f>
        <v>0</v>
      </c>
      <c r="C15" s="59" t="n">
        <f aca="false">SUM(C3:C14)</f>
        <v>3920</v>
      </c>
      <c r="D15" s="59" t="n">
        <f aca="false">SUM(D3:D14)</f>
        <v>1051800</v>
      </c>
      <c r="E15" s="59" t="n">
        <f aca="false">SUM(E3:E14)</f>
        <v>10640</v>
      </c>
      <c r="F15" s="59" t="n">
        <f aca="false">SUM(F3:F14)</f>
        <v>18240</v>
      </c>
      <c r="G15" s="59" t="n">
        <f aca="false">SUM(G3:G14)</f>
        <v>33680</v>
      </c>
      <c r="H15" s="60" t="n">
        <f aca="false">SUM(B15:G15)</f>
        <v>1118280</v>
      </c>
    </row>
    <row r="16" customFormat="false" ht="15" hidden="false" customHeight="false" outlineLevel="0" collapsed="false">
      <c r="A16" s="61" t="s">
        <v>33</v>
      </c>
      <c r="B16" s="62" t="n">
        <f aca="false">+E79</f>
        <v>0</v>
      </c>
      <c r="C16" s="62" t="n">
        <f aca="false">+E73</f>
        <v>3920</v>
      </c>
      <c r="D16" s="62" t="n">
        <f aca="false">+F35</f>
        <v>1051800</v>
      </c>
      <c r="E16" s="62" t="n">
        <f aca="false">+E64</f>
        <v>10640</v>
      </c>
      <c r="F16" s="62" t="n">
        <f aca="false">+E56</f>
        <v>18240</v>
      </c>
      <c r="G16" s="62" t="n">
        <f aca="false">+F46</f>
        <v>33680</v>
      </c>
      <c r="H16" s="63" t="n">
        <f aca="false">SUM(B16:G16)</f>
        <v>1118280</v>
      </c>
    </row>
    <row r="17" customFormat="false" ht="14.5" hidden="false" customHeight="false" outlineLevel="0" collapsed="false">
      <c r="C17" s="64"/>
      <c r="D17" s="64"/>
      <c r="E17" s="64"/>
      <c r="F17" s="64"/>
      <c r="G17" s="64"/>
      <c r="H17" s="64"/>
    </row>
    <row r="18" customFormat="false" ht="14.5" hidden="false" customHeight="false" outlineLevel="0" collapsed="false">
      <c r="C18" s="64"/>
      <c r="D18" s="64" t="s">
        <v>34</v>
      </c>
      <c r="E18" s="64" t="s">
        <v>35</v>
      </c>
      <c r="F18" s="64" t="s">
        <v>36</v>
      </c>
      <c r="G18" s="64"/>
      <c r="H18" s="64"/>
    </row>
    <row r="19" customFormat="false" ht="14.5" hidden="false" customHeight="false" outlineLevel="0" collapsed="false">
      <c r="A19" s="65" t="s">
        <v>37</v>
      </c>
      <c r="B19" s="65"/>
      <c r="C19" s="65"/>
      <c r="D19" s="66" t="n">
        <f aca="false">+F35+F46+E56+E64+E73+E79</f>
        <v>1118280</v>
      </c>
      <c r="E19" s="67" t="n">
        <f aca="false">+G35+G46+F56+F64+F73+F79</f>
        <v>1118280</v>
      </c>
      <c r="F19" s="66" t="n">
        <f aca="false">+E19-D19</f>
        <v>0</v>
      </c>
      <c r="G19" s="64"/>
      <c r="H19" s="64"/>
    </row>
    <row r="20" customFormat="false" ht="14.5" hidden="false" customHeight="false" outlineLevel="0" collapsed="false">
      <c r="C20" s="64"/>
      <c r="D20" s="64"/>
      <c r="E20" s="64"/>
      <c r="F20" s="64"/>
      <c r="G20" s="64"/>
      <c r="H20" s="64"/>
    </row>
    <row r="21" s="44" customFormat="true" ht="14" hidden="false" customHeight="false" outlineLevel="0" collapsed="false"/>
    <row r="22" customFormat="false" ht="14.5" hidden="false" customHeight="false" outlineLevel="0" collapsed="false">
      <c r="A22" s="64" t="s">
        <v>12</v>
      </c>
      <c r="B22" s="64"/>
      <c r="C22" s="64"/>
      <c r="D22" s="64"/>
      <c r="E22" s="64"/>
      <c r="F22" s="64"/>
      <c r="G22" s="64"/>
      <c r="H22" s="64"/>
    </row>
    <row r="23" customFormat="false" ht="14.5" hidden="false" customHeight="false" outlineLevel="0" collapsed="false">
      <c r="A23" s="43" t="s">
        <v>38</v>
      </c>
      <c r="B23" s="44" t="s">
        <v>39</v>
      </c>
      <c r="C23" s="68" t="s">
        <v>40</v>
      </c>
      <c r="D23" s="69" t="s">
        <v>41</v>
      </c>
      <c r="E23" s="68" t="s">
        <v>42</v>
      </c>
      <c r="F23" s="70" t="s">
        <v>43</v>
      </c>
      <c r="G23" s="68" t="s">
        <v>35</v>
      </c>
      <c r="H23" s="68"/>
    </row>
    <row r="24" customFormat="false" ht="15" hidden="false" customHeight="false" outlineLevel="0" collapsed="false">
      <c r="A24" s="71" t="n">
        <v>109</v>
      </c>
      <c r="B24" s="72" t="s">
        <v>44</v>
      </c>
      <c r="C24" s="73" t="s">
        <v>25</v>
      </c>
      <c r="D24" s="74"/>
      <c r="E24" s="73"/>
      <c r="F24" s="75"/>
      <c r="G24" s="76" t="n">
        <f aca="false">IFERROR(INDEX($B$3:$G$14,MATCH(C24,$A$3:$A$14,0),MATCH($A$22,$B$2:$G$2,0)),0)</f>
        <v>0</v>
      </c>
      <c r="H24" s="77" t="str">
        <f aca="false">IF(G24=F24,"Bien",G24-F24)</f>
        <v>Bien</v>
      </c>
    </row>
    <row r="25" customFormat="false" ht="15" hidden="false" customHeight="false" outlineLevel="0" collapsed="false">
      <c r="A25" s="43" t="n">
        <v>333</v>
      </c>
      <c r="B25" s="68" t="s">
        <v>45</v>
      </c>
      <c r="C25" s="68" t="s">
        <v>15</v>
      </c>
      <c r="D25" s="69" t="n">
        <v>1</v>
      </c>
      <c r="E25" s="68" t="s">
        <v>46</v>
      </c>
      <c r="F25" s="70" t="n">
        <v>13340</v>
      </c>
      <c r="G25" s="78" t="n">
        <f aca="false">IFERROR(INDEX($B$3:$G$14,MATCH(C25,$A$3:$A$14,0),MATCH($A$22,$B$2:$G$2,0)),0)</f>
        <v>13340</v>
      </c>
      <c r="H25" s="79" t="str">
        <f aca="false">IF(G25=F25,"Bien",G25-F25)</f>
        <v>Bien</v>
      </c>
    </row>
    <row r="26" customFormat="false" ht="14.25" hidden="false" customHeight="false" outlineLevel="0" collapsed="false">
      <c r="A26" s="80" t="n">
        <v>320</v>
      </c>
      <c r="B26" s="81" t="s">
        <v>47</v>
      </c>
      <c r="C26" s="68" t="s">
        <v>27</v>
      </c>
      <c r="D26" s="69" t="s">
        <v>48</v>
      </c>
      <c r="E26" s="68" t="s">
        <v>46</v>
      </c>
      <c r="F26" s="70" t="n">
        <v>46360</v>
      </c>
      <c r="G26" s="78" t="n">
        <f aca="false">IFERROR(INDEX($B$3:$G$14,MATCH(C26,$A$3:$A$14,0),MATCH($A$22,$B$2:$G$2,0)),0)</f>
        <v>46360</v>
      </c>
      <c r="H26" s="79" t="str">
        <f aca="false">IF(G26=F26,"Bien",G26-F26)</f>
        <v>Bien</v>
      </c>
    </row>
    <row r="27" customFormat="false" ht="14.25" hidden="false" customHeight="false" outlineLevel="0" collapsed="false">
      <c r="A27" s="80" t="n">
        <v>321</v>
      </c>
      <c r="B27" s="81" t="s">
        <v>49</v>
      </c>
      <c r="C27" s="68" t="s">
        <v>10</v>
      </c>
      <c r="D27" s="69" t="s">
        <v>48</v>
      </c>
      <c r="E27" s="68" t="s">
        <v>46</v>
      </c>
      <c r="F27" s="70" t="n">
        <v>470040</v>
      </c>
      <c r="G27" s="78" t="n">
        <f aca="false">IFERROR(INDEX($B$3:$G$14,MATCH(C27,$A$3:$A$14,0),MATCH($A$22,$B$2:$G$2,0)),0)</f>
        <v>470040</v>
      </c>
      <c r="H27" s="79" t="str">
        <f aca="false">IF(G27=F27,"Bien",G27-F27)</f>
        <v>Bien</v>
      </c>
    </row>
    <row r="28" customFormat="false" ht="14.25" hidden="false" customHeight="false" outlineLevel="0" collapsed="false">
      <c r="A28" s="43" t="n">
        <v>316</v>
      </c>
      <c r="B28" s="44" t="s">
        <v>50</v>
      </c>
      <c r="C28" s="68" t="s">
        <v>19</v>
      </c>
      <c r="D28" s="69" t="s">
        <v>48</v>
      </c>
      <c r="E28" s="68" t="s">
        <v>46</v>
      </c>
      <c r="F28" s="0" t="n">
        <v>9360</v>
      </c>
      <c r="G28" s="78" t="n">
        <f aca="false">IFERROR(INDEX($B$3:$G$14,MATCH(C28,$A$3:$A$14,0),MATCH($A$22,$B$2:$G$2,0)),0)</f>
        <v>9360</v>
      </c>
      <c r="H28" s="79" t="str">
        <f aca="false">IF(G28=F28,"Bien",G28-F28)</f>
        <v>Bien</v>
      </c>
    </row>
    <row r="29" customFormat="false" ht="14.25" hidden="false" customHeight="false" outlineLevel="0" collapsed="false">
      <c r="A29" s="80" t="n">
        <v>196</v>
      </c>
      <c r="B29" s="81" t="s">
        <v>51</v>
      </c>
      <c r="C29" s="68" t="s">
        <v>24</v>
      </c>
      <c r="D29" s="69" t="s">
        <v>48</v>
      </c>
      <c r="E29" s="68" t="s">
        <v>46</v>
      </c>
      <c r="F29" s="0" t="n">
        <v>35180</v>
      </c>
      <c r="G29" s="78" t="n">
        <f aca="false">IFERROR(INDEX($B$3:$G$14,MATCH(C29,$A$3:$A$14,0),MATCH($A$22,$B$2:$G$2,0)),0)</f>
        <v>35180</v>
      </c>
      <c r="H29" s="79" t="str">
        <f aca="false">IF(G29=F29,"Bien",G29-F29)</f>
        <v>Bien</v>
      </c>
      <c r="I29" s="44" t="s">
        <v>52</v>
      </c>
    </row>
    <row r="30" customFormat="false" ht="14.25" hidden="false" customHeight="false" outlineLevel="0" collapsed="false">
      <c r="A30" s="43" t="n">
        <v>309</v>
      </c>
      <c r="B30" s="44" t="s">
        <v>53</v>
      </c>
      <c r="C30" s="68" t="s">
        <v>18</v>
      </c>
      <c r="D30" s="69" t="s">
        <v>48</v>
      </c>
      <c r="E30" s="68" t="s">
        <v>46</v>
      </c>
      <c r="F30" s="0" t="n">
        <v>7120</v>
      </c>
      <c r="G30" s="78" t="n">
        <f aca="false">IFERROR(INDEX($B$3:$G$14,MATCH(C30,$A$3:$A$14,0),MATCH($A$22,$B$2:$G$2,0)),0)</f>
        <v>7120</v>
      </c>
      <c r="H30" s="79" t="str">
        <f aca="false">IF(G30=F30,"Bien",G30-F30)</f>
        <v>Bien</v>
      </c>
      <c r="L30" s="43"/>
      <c r="M30" s="82"/>
      <c r="N30" s="68"/>
    </row>
    <row r="31" customFormat="false" ht="14.25" hidden="false" customHeight="false" outlineLevel="0" collapsed="false">
      <c r="A31" s="43" t="n">
        <v>318</v>
      </c>
      <c r="B31" s="81" t="s">
        <v>51</v>
      </c>
      <c r="C31" s="68" t="s">
        <v>14</v>
      </c>
      <c r="D31" s="69" t="s">
        <v>48</v>
      </c>
      <c r="E31" s="68" t="s">
        <v>46</v>
      </c>
      <c r="F31" s="0" t="n">
        <v>441840</v>
      </c>
      <c r="G31" s="78" t="n">
        <f aca="false">IFERROR(INDEX($B$3:$G$14,MATCH(C31,$A$3:$A$14,0),MATCH($A$22,$B$2:$G$2,0)),0)</f>
        <v>441840</v>
      </c>
      <c r="H31" s="79" t="str">
        <f aca="false">IF(G31=F31,"Bien",G31-F31)</f>
        <v>Bien</v>
      </c>
      <c r="L31" s="43"/>
      <c r="M31" s="68"/>
      <c r="N31" s="68"/>
    </row>
    <row r="32" customFormat="false" ht="14.25" hidden="false" customHeight="false" outlineLevel="0" collapsed="false">
      <c r="A32" s="43" t="n">
        <v>310</v>
      </c>
      <c r="B32" s="81" t="s">
        <v>54</v>
      </c>
      <c r="C32" s="68" t="s">
        <v>21</v>
      </c>
      <c r="D32" s="69" t="n">
        <v>1</v>
      </c>
      <c r="E32" s="68" t="s">
        <v>55</v>
      </c>
      <c r="F32" s="0" t="n">
        <v>28560</v>
      </c>
      <c r="G32" s="78" t="n">
        <f aca="false">IFERROR(INDEX($B$3:$G$14,MATCH(C32,$A$3:$A$14,0),MATCH($A$22,$B$2:$G$2,0)),0)</f>
        <v>28560</v>
      </c>
      <c r="H32" s="79" t="str">
        <f aca="false">IF(G32=F32,"Bien",G32-F32)</f>
        <v>Bien</v>
      </c>
      <c r="N32" s="81"/>
    </row>
    <row r="33" customFormat="false" ht="15" hidden="false" customHeight="false" outlineLevel="0" collapsed="false">
      <c r="A33" s="43" t="n">
        <v>296</v>
      </c>
      <c r="B33" s="68" t="s">
        <v>56</v>
      </c>
      <c r="C33" s="68" t="s">
        <v>16</v>
      </c>
      <c r="D33" s="69"/>
      <c r="E33" s="68"/>
      <c r="F33" s="83"/>
      <c r="G33" s="78" t="n">
        <f aca="false">IFERROR(INDEX($B$3:$G$14,MATCH(C33,$A$3:$A$14,0),MATCH($A$22,$B$2:$G$2,0)),0)</f>
        <v>0</v>
      </c>
      <c r="H33" s="79" t="str">
        <f aca="false">IF(G33=F33,"Bien",G33-F33)</f>
        <v>Bien</v>
      </c>
      <c r="N33" s="81"/>
    </row>
    <row r="34" customFormat="false" ht="15" hidden="false" customHeight="false" outlineLevel="0" collapsed="false">
      <c r="A34" s="84"/>
      <c r="B34" s="85" t="s">
        <v>44</v>
      </c>
      <c r="C34" s="85" t="s">
        <v>57</v>
      </c>
      <c r="D34" s="86"/>
      <c r="E34" s="87"/>
      <c r="F34" s="88"/>
      <c r="G34" s="89" t="n">
        <f aca="false">IFERROR(INDEX($B$3:$G$14,MATCH(C34,$A$3:$A$14,0),MATCH($A$22,$B$2:$G$2,0)),0)</f>
        <v>0</v>
      </c>
      <c r="H34" s="90" t="str">
        <f aca="false">IF(G34=F34,"Bien",G34-F34)</f>
        <v>Bien</v>
      </c>
      <c r="I34" s="44" t="s">
        <v>58</v>
      </c>
      <c r="N34" s="81"/>
    </row>
    <row r="35" customFormat="false" ht="13.8" hidden="false" customHeight="false" outlineLevel="0" collapsed="false">
      <c r="C35" s="68"/>
      <c r="D35" s="69"/>
      <c r="E35" s="68"/>
      <c r="F35" s="91" t="n">
        <f aca="false">SUM(F24:F34)</f>
        <v>1051800</v>
      </c>
      <c r="G35" s="92" t="n">
        <f aca="false">SUM(G24:G34)</f>
        <v>1051800</v>
      </c>
      <c r="H35" s="68"/>
      <c r="I35" s="93" t="str">
        <f aca="false">IF(G35=D15,"OK","Revisar")</f>
        <v>OK</v>
      </c>
      <c r="L35" s="43"/>
      <c r="N35" s="68"/>
    </row>
    <row r="36" customFormat="false" ht="14.5" hidden="false" customHeight="false" outlineLevel="0" collapsed="false">
      <c r="A36" s="64" t="str">
        <f aca="false">+G2</f>
        <v>VOLUMINOSOS</v>
      </c>
      <c r="B36" s="64"/>
      <c r="C36" s="64"/>
      <c r="D36" s="64"/>
      <c r="E36" s="64"/>
      <c r="F36" s="64"/>
      <c r="G36" s="64"/>
      <c r="H36" s="64"/>
      <c r="L36" s="43"/>
      <c r="N36" s="68"/>
    </row>
    <row r="37" customFormat="false" ht="14.5" hidden="false" customHeight="false" outlineLevel="0" collapsed="false">
      <c r="C37" s="68" t="s">
        <v>40</v>
      </c>
      <c r="D37" s="69" t="s">
        <v>59</v>
      </c>
      <c r="E37" s="68" t="s">
        <v>60</v>
      </c>
      <c r="F37" s="91" t="s">
        <v>43</v>
      </c>
      <c r="G37" s="68" t="s">
        <v>35</v>
      </c>
      <c r="H37" s="68"/>
    </row>
    <row r="38" customFormat="false" ht="15" hidden="false" customHeight="false" outlineLevel="0" collapsed="false">
      <c r="A38" s="71" t="n">
        <v>109</v>
      </c>
      <c r="B38" s="72" t="s">
        <v>44</v>
      </c>
      <c r="C38" s="73" t="s">
        <v>25</v>
      </c>
      <c r="D38" s="94" t="n">
        <v>2</v>
      </c>
      <c r="E38" s="75" t="n">
        <v>3</v>
      </c>
      <c r="F38" s="75" t="n">
        <v>7680</v>
      </c>
      <c r="G38" s="95" t="n">
        <f aca="false">IFERROR(INDEX($B$3:$G$14,MATCH(C38,$A$3:$A$14,0),MATCH($A$36,$B$2:$G$2,0)),0)</f>
        <v>7680</v>
      </c>
      <c r="H38" s="96" t="str">
        <f aca="false">IF(G38=F38,"Bien",G38-F38)</f>
        <v>Bien</v>
      </c>
    </row>
    <row r="39" customFormat="false" ht="15" hidden="false" customHeight="false" outlineLevel="0" collapsed="false">
      <c r="A39" s="43" t="n">
        <v>333</v>
      </c>
      <c r="B39" s="44" t="s">
        <v>45</v>
      </c>
      <c r="C39" s="68" t="s">
        <v>15</v>
      </c>
      <c r="D39" s="97"/>
      <c r="E39" s="70"/>
      <c r="F39" s="70"/>
      <c r="G39" s="98" t="n">
        <f aca="false">IFERROR(INDEX($B$3:$G$14,MATCH(C39,$A$3:$A$14,0),MATCH($A$36,$B$2:$G$2,0)),0)</f>
        <v>0</v>
      </c>
      <c r="H39" s="99" t="str">
        <f aca="false">IF(G39=F39,"Bien",G39-F39)</f>
        <v>Bien</v>
      </c>
    </row>
    <row r="40" customFormat="false" ht="15" hidden="false" customHeight="false" outlineLevel="0" collapsed="false">
      <c r="A40" s="43" t="n">
        <v>316</v>
      </c>
      <c r="B40" s="68" t="s">
        <v>50</v>
      </c>
      <c r="C40" s="68" t="s">
        <v>19</v>
      </c>
      <c r="D40" s="97"/>
      <c r="E40" s="70"/>
      <c r="F40" s="70"/>
      <c r="G40" s="98" t="n">
        <f aca="false">IFERROR(INDEX($B$3:$G$14,MATCH(C40,$A$3:$A$14,0),MATCH($A$36,$B$2:$G$2,0)),0)</f>
        <v>0</v>
      </c>
      <c r="H40" s="99" t="str">
        <f aca="false">IF(G40=F40,"Bien",G40-F40)</f>
        <v>Bien</v>
      </c>
    </row>
    <row r="41" customFormat="false" ht="14.9" hidden="false" customHeight="false" outlineLevel="0" collapsed="false">
      <c r="A41" s="43" t="n">
        <v>309</v>
      </c>
      <c r="B41" s="44" t="s">
        <v>53</v>
      </c>
      <c r="C41" s="68" t="s">
        <v>18</v>
      </c>
      <c r="D41" s="97" t="n">
        <v>2</v>
      </c>
      <c r="E41" s="70" t="n">
        <v>16</v>
      </c>
      <c r="F41" s="70" t="n">
        <v>7680</v>
      </c>
      <c r="G41" s="98" t="n">
        <f aca="false">IFERROR(INDEX($B$3:$G$14,MATCH(C41,$A$3:$A$14,0),MATCH($A$36,$B$2:$G$2,0)),0)</f>
        <v>7680</v>
      </c>
      <c r="H41" s="99" t="str">
        <f aca="false">IF(G41=F41,"Bien",G41-F41)</f>
        <v>Bien</v>
      </c>
    </row>
    <row r="42" customFormat="false" ht="14.9" hidden="false" customHeight="false" outlineLevel="0" collapsed="false">
      <c r="A42" s="43" t="n">
        <v>296</v>
      </c>
      <c r="B42" s="68" t="s">
        <v>56</v>
      </c>
      <c r="C42" s="68" t="s">
        <v>16</v>
      </c>
      <c r="D42" s="97" t="n">
        <v>2</v>
      </c>
      <c r="E42" s="70" t="n">
        <v>22</v>
      </c>
      <c r="F42" s="70" t="n">
        <v>18320</v>
      </c>
      <c r="G42" s="98" t="n">
        <f aca="false">IFERROR(INDEX($B$3:$G$14,MATCH(C42,$A$3:$A$14,0),MATCH($A$36,$B$2:$G$2,0)),0)</f>
        <v>18320</v>
      </c>
      <c r="H42" s="99" t="str">
        <f aca="false">IF(G42=F42,"Bien",G42-F42)</f>
        <v>Bien</v>
      </c>
    </row>
    <row r="43" customFormat="false" ht="14.9" hidden="false" customHeight="false" outlineLevel="0" collapsed="false">
      <c r="B43" s="100" t="s">
        <v>44</v>
      </c>
      <c r="C43" s="100" t="s">
        <v>57</v>
      </c>
      <c r="D43" s="97"/>
      <c r="E43" s="70"/>
      <c r="F43" s="70"/>
      <c r="G43" s="98" t="n">
        <f aca="false">IFERROR(INDEX($B$3:$G$14,MATCH(C43,$A$3:$A$14,0),MATCH($A$36,$B$2:$G$2,0)),0)</f>
        <v>0</v>
      </c>
      <c r="H43" s="99" t="str">
        <f aca="false">IF(G43=F43,"Bien",G43-F43)</f>
        <v>Bien</v>
      </c>
    </row>
    <row r="44" customFormat="false" ht="14.9" hidden="false" customHeight="false" outlineLevel="0" collapsed="false">
      <c r="B44" s="68"/>
      <c r="C44" s="100" t="s">
        <v>61</v>
      </c>
      <c r="D44" s="97"/>
      <c r="E44" s="70"/>
      <c r="F44" s="70"/>
      <c r="G44" s="98" t="n">
        <f aca="false">IFERROR(INDEX($B$3:$G$14,MATCH(C44,$A$3:$A$14,0),MATCH($A$36,$B$2:$G$2,0)),0)</f>
        <v>0</v>
      </c>
      <c r="H44" s="99" t="str">
        <f aca="false">IF(G44=F44,"Bien",G44-F44)</f>
        <v>Bien</v>
      </c>
    </row>
    <row r="45" customFormat="false" ht="14.9" hidden="false" customHeight="false" outlineLevel="0" collapsed="false">
      <c r="A45" s="84"/>
      <c r="B45" s="101" t="s">
        <v>62</v>
      </c>
      <c r="C45" s="102" t="s">
        <v>63</v>
      </c>
      <c r="D45" s="103"/>
      <c r="E45" s="104"/>
      <c r="F45" s="104"/>
      <c r="G45" s="105" t="n">
        <f aca="false">IFERROR(INDEX($B$3:$G$14,MATCH(C45,$A$3:$A$14,0),MATCH($A$36,$B$2:$G$2,0)),0)</f>
        <v>0</v>
      </c>
      <c r="H45" s="106" t="str">
        <f aca="false">IF(G45=F45,"Bien",G45-F45)</f>
        <v>Bien</v>
      </c>
    </row>
    <row r="46" s="44" customFormat="true" ht="13.8" hidden="false" customHeight="false" outlineLevel="0" collapsed="false">
      <c r="D46" s="69"/>
      <c r="E46" s="68"/>
      <c r="F46" s="91" t="n">
        <f aca="false">SUM(F38:F45)</f>
        <v>33680</v>
      </c>
      <c r="G46" s="92" t="n">
        <f aca="false">SUM(G38:G45)</f>
        <v>33680</v>
      </c>
      <c r="H46" s="68"/>
      <c r="I46" s="93" t="str">
        <f aca="false">+IF(G46=G15,"OK","Revisar")</f>
        <v>OK</v>
      </c>
    </row>
    <row r="47" customFormat="false" ht="14.5" hidden="false" customHeight="false" outlineLevel="0" collapsed="false">
      <c r="C47" s="68"/>
      <c r="D47" s="69"/>
      <c r="E47" s="68"/>
      <c r="F47" s="91"/>
      <c r="G47" s="92"/>
      <c r="H47" s="68"/>
    </row>
    <row r="48" customFormat="false" ht="14.5" hidden="false" customHeight="false" outlineLevel="0" collapsed="false">
      <c r="A48" s="64" t="s">
        <v>20</v>
      </c>
      <c r="B48" s="64"/>
      <c r="C48" s="64"/>
      <c r="D48" s="64"/>
      <c r="E48" s="64"/>
      <c r="F48" s="64"/>
      <c r="G48" s="64"/>
      <c r="H48" s="64"/>
    </row>
    <row r="49" customFormat="false" ht="13.8" hidden="false" customHeight="false" outlineLevel="0" collapsed="false">
      <c r="C49" s="107" t="s">
        <v>40</v>
      </c>
      <c r="D49" s="108" t="s">
        <v>60</v>
      </c>
      <c r="E49" s="109" t="s">
        <v>43</v>
      </c>
      <c r="F49" s="110" t="s">
        <v>35</v>
      </c>
      <c r="G49" s="68"/>
      <c r="H49" s="68"/>
    </row>
    <row r="50" customFormat="false" ht="15" hidden="false" customHeight="false" outlineLevel="0" collapsed="false">
      <c r="A50" s="111" t="n">
        <v>109</v>
      </c>
      <c r="B50" s="112" t="s">
        <v>44</v>
      </c>
      <c r="C50" s="73" t="s">
        <v>25</v>
      </c>
      <c r="D50" s="113" t="n">
        <v>2</v>
      </c>
      <c r="E50" s="114" t="n">
        <v>4400</v>
      </c>
      <c r="F50" s="115" t="n">
        <f aca="false">IFERROR(INDEX($B$3:$G$14,MATCH(C50,$A$3:$A$14,0),MATCH($A$48,$B$2:$G$2,0)),0)</f>
        <v>4400</v>
      </c>
      <c r="G50" s="96" t="str">
        <f aca="false">IF(F50=E50,"Bien",F50-E50)</f>
        <v>Bien</v>
      </c>
      <c r="H50" s="68"/>
    </row>
    <row r="51" customFormat="false" ht="15" hidden="false" customHeight="false" outlineLevel="0" collapsed="false">
      <c r="A51" s="116" t="n">
        <v>320</v>
      </c>
      <c r="B51" s="117" t="s">
        <v>47</v>
      </c>
      <c r="C51" s="68" t="s">
        <v>27</v>
      </c>
      <c r="D51" s="118"/>
      <c r="E51" s="119"/>
      <c r="F51" s="120" t="n">
        <f aca="false">IFERROR(INDEX($B$3:$G$14,MATCH(C51,$A$3:$A$14,0),MATCH($A$48,$B$2:$G$2,0)),0)</f>
        <v>0</v>
      </c>
      <c r="G51" s="99" t="str">
        <f aca="false">IF(F51=E51,"Bien",F51-E51)</f>
        <v>Bien</v>
      </c>
      <c r="H51" s="68"/>
    </row>
    <row r="52" customFormat="false" ht="15" hidden="false" customHeight="false" outlineLevel="0" collapsed="false">
      <c r="A52" s="116" t="n">
        <v>321</v>
      </c>
      <c r="B52" s="117" t="s">
        <v>49</v>
      </c>
      <c r="C52" s="68" t="s">
        <v>10</v>
      </c>
      <c r="D52" s="118" t="n">
        <v>6</v>
      </c>
      <c r="E52" s="119" t="n">
        <v>13840</v>
      </c>
      <c r="F52" s="120" t="n">
        <f aca="false">IFERROR(INDEX($B$3:$G$14,MATCH(C52,$A$3:$A$14,0),MATCH($A$48,$B$2:$G$2,0)),0)</f>
        <v>13840</v>
      </c>
      <c r="G52" s="99" t="str">
        <f aca="false">IF(F52=E52,"Bien",F52-E52)</f>
        <v>Bien</v>
      </c>
      <c r="H52" s="68"/>
    </row>
    <row r="53" customFormat="false" ht="15" hidden="false" customHeight="false" outlineLevel="0" collapsed="false">
      <c r="A53" s="121" t="n">
        <v>296</v>
      </c>
      <c r="B53" s="122" t="s">
        <v>56</v>
      </c>
      <c r="C53" s="68" t="s">
        <v>16</v>
      </c>
      <c r="D53" s="118"/>
      <c r="E53" s="123"/>
      <c r="F53" s="120" t="n">
        <f aca="false">IFERROR(INDEX($B$3:$G$14,MATCH(C53,$A$3:$A$14,0),MATCH($A$48,$B$2:$G$2,0)),0)</f>
        <v>0</v>
      </c>
      <c r="G53" s="99" t="str">
        <f aca="false">IF(F53=E53,"Bien",F53-E53)</f>
        <v>Bien</v>
      </c>
      <c r="H53" s="68"/>
    </row>
    <row r="54" customFormat="false" ht="15" hidden="false" customHeight="false" outlineLevel="0" collapsed="false">
      <c r="A54" s="116"/>
      <c r="B54" s="124"/>
      <c r="C54" s="125" t="s">
        <v>61</v>
      </c>
      <c r="D54" s="118"/>
      <c r="E54" s="123"/>
      <c r="F54" s="120" t="n">
        <f aca="false">IFERROR(INDEX($B$3:$G$14,MATCH(C54,$A$3:$A$14,0),MATCH($A$48,$B$2:$G$2,0)),0)</f>
        <v>0</v>
      </c>
      <c r="G54" s="99" t="str">
        <f aca="false">IF(F54=E54,"Bien",F54-E54)</f>
        <v>Bien</v>
      </c>
      <c r="H54" s="68"/>
    </row>
    <row r="55" customFormat="false" ht="15" hidden="false" customHeight="false" outlineLevel="0" collapsed="false">
      <c r="A55" s="126"/>
      <c r="B55" s="127" t="s">
        <v>44</v>
      </c>
      <c r="C55" s="85" t="s">
        <v>57</v>
      </c>
      <c r="D55" s="128"/>
      <c r="E55" s="129"/>
      <c r="F55" s="130" t="n">
        <f aca="false">IFERROR(INDEX($B$3:$G$14,MATCH(C55,$A$3:$A$14,0),MATCH($A$48,$B$2:$G$2,0)),0)</f>
        <v>0</v>
      </c>
      <c r="G55" s="106" t="str">
        <f aca="false">IF(F55=E55,"Bien",F55-E55)</f>
        <v>Bien</v>
      </c>
      <c r="H55" s="68"/>
    </row>
    <row r="56" customFormat="false" ht="13.8" hidden="false" customHeight="false" outlineLevel="0" collapsed="false">
      <c r="C56" s="68"/>
      <c r="D56" s="118"/>
      <c r="E56" s="92" t="n">
        <f aca="false">SUM(E50:E55)</f>
        <v>18240</v>
      </c>
      <c r="F56" s="92" t="n">
        <f aca="false">SUM(F50:F55)</f>
        <v>18240</v>
      </c>
      <c r="G56" s="68"/>
      <c r="H56" s="68"/>
      <c r="I56" s="93" t="str">
        <f aca="false">+IF(F56=F15,"OK","Revisar")</f>
        <v>OK</v>
      </c>
    </row>
    <row r="57" customFormat="false" ht="14.5" hidden="false" customHeight="false" outlineLevel="0" collapsed="false">
      <c r="A57" s="64" t="s">
        <v>23</v>
      </c>
      <c r="B57" s="64"/>
      <c r="C57" s="64"/>
      <c r="D57" s="64"/>
      <c r="E57" s="64"/>
      <c r="F57" s="64"/>
      <c r="G57" s="64"/>
      <c r="H57" s="68"/>
    </row>
    <row r="58" customFormat="false" ht="14.5" hidden="false" customHeight="false" outlineLevel="0" collapsed="false">
      <c r="C58" s="68" t="s">
        <v>40</v>
      </c>
      <c r="D58" s="69" t="s">
        <v>60</v>
      </c>
      <c r="E58" s="68" t="s">
        <v>43</v>
      </c>
      <c r="F58" s="91" t="s">
        <v>35</v>
      </c>
      <c r="G58" s="68"/>
      <c r="H58" s="68"/>
    </row>
    <row r="59" customFormat="false" ht="15" hidden="false" customHeight="false" outlineLevel="0" collapsed="false">
      <c r="A59" s="131" t="n">
        <v>109</v>
      </c>
      <c r="B59" s="132" t="s">
        <v>44</v>
      </c>
      <c r="C59" s="133" t="s">
        <v>25</v>
      </c>
      <c r="D59" s="134"/>
      <c r="E59" s="135"/>
      <c r="F59" s="136" t="n">
        <f aca="false">IFERROR(INDEX($B$3:$G$14,MATCH(C59,$A$3:$A$14,0),MATCH($A$57,$B$2:$G$2,0)),0)</f>
        <v>0</v>
      </c>
      <c r="G59" s="77" t="str">
        <f aca="false">IF(F59=E59,"Bien",F59-E59)</f>
        <v>Bien</v>
      </c>
      <c r="H59" s="68"/>
    </row>
    <row r="60" customFormat="false" ht="15" hidden="false" customHeight="false" outlineLevel="0" collapsed="false">
      <c r="A60" s="137" t="n">
        <v>320</v>
      </c>
      <c r="B60" s="81" t="s">
        <v>47</v>
      </c>
      <c r="C60" s="68" t="s">
        <v>27</v>
      </c>
      <c r="D60" s="118" t="n">
        <v>1</v>
      </c>
      <c r="E60" s="123" t="n">
        <v>800</v>
      </c>
      <c r="F60" s="78" t="n">
        <f aca="false">IFERROR(INDEX($B$3:$G$14,MATCH(C60,$A$3:$A$14,0),MATCH($A$57,$B$2:$G$2,0)),0)</f>
        <v>800</v>
      </c>
      <c r="G60" s="79" t="str">
        <f aca="false">IF(F60=E60,"Bien",F60-E60)</f>
        <v>Bien</v>
      </c>
      <c r="H60" s="68"/>
    </row>
    <row r="61" customFormat="false" ht="15" hidden="false" customHeight="false" outlineLevel="0" collapsed="false">
      <c r="A61" s="137" t="n">
        <v>321</v>
      </c>
      <c r="B61" s="81" t="s">
        <v>49</v>
      </c>
      <c r="C61" s="68" t="s">
        <v>10</v>
      </c>
      <c r="D61" s="118" t="n">
        <v>4</v>
      </c>
      <c r="E61" s="123" t="n">
        <v>9840</v>
      </c>
      <c r="F61" s="78" t="n">
        <f aca="false">IFERROR(INDEX($B$3:$G$14,MATCH(C61,$A$3:$A$14,0),MATCH($A$57,$B$2:$G$2,0)),0)</f>
        <v>9840</v>
      </c>
      <c r="G61" s="79" t="str">
        <f aca="false">IF(F61=E61,"Bien",F61-E61)</f>
        <v>Bien</v>
      </c>
      <c r="H61" s="68"/>
    </row>
    <row r="62" customFormat="false" ht="15" hidden="false" customHeight="false" outlineLevel="0" collapsed="false">
      <c r="A62" s="138" t="n">
        <v>296</v>
      </c>
      <c r="B62" s="44" t="s">
        <v>56</v>
      </c>
      <c r="C62" s="68" t="s">
        <v>16</v>
      </c>
      <c r="D62" s="118"/>
      <c r="E62" s="123"/>
      <c r="F62" s="78" t="n">
        <f aca="false">IFERROR(INDEX($B$3:$G$14,MATCH(C62,$A$3:$A$14,0),MATCH($A$57,$B$2:$G$2,0)),0)</f>
        <v>0</v>
      </c>
      <c r="G62" s="79" t="str">
        <f aca="false">IF(F62=E62,"Bien",F62-E62)</f>
        <v>Bien</v>
      </c>
      <c r="H62" s="68"/>
    </row>
    <row r="63" customFormat="false" ht="15" hidden="false" customHeight="false" outlineLevel="0" collapsed="false">
      <c r="A63" s="139"/>
      <c r="B63" s="140"/>
      <c r="C63" s="141" t="s">
        <v>61</v>
      </c>
      <c r="D63" s="142"/>
      <c r="E63" s="143"/>
      <c r="F63" s="144" t="n">
        <f aca="false">IFERROR(INDEX($B$3:$G$14,MATCH(C63,$A$3:$A$14,0),MATCH($A$57,$B$2:$G$2,0)),0)</f>
        <v>0</v>
      </c>
      <c r="G63" s="90" t="str">
        <f aca="false">IF(F63=E63,"Bien",F63-E63)</f>
        <v>Bien</v>
      </c>
      <c r="H63" s="68"/>
    </row>
    <row r="64" customFormat="false" ht="13.8" hidden="false" customHeight="false" outlineLevel="0" collapsed="false">
      <c r="C64" s="68"/>
      <c r="D64" s="118"/>
      <c r="E64" s="92" t="n">
        <f aca="false">SUM(E59:E63)</f>
        <v>10640</v>
      </c>
      <c r="F64" s="92" t="n">
        <f aca="false">SUM(F59:F63)</f>
        <v>10640</v>
      </c>
      <c r="G64" s="68"/>
      <c r="H64" s="68"/>
      <c r="I64" s="93" t="str">
        <f aca="false">+IF(F64=E15,"OK","Revisar")</f>
        <v>OK</v>
      </c>
    </row>
    <row r="65" customFormat="false" ht="14.5" hidden="false" customHeight="false" outlineLevel="0" collapsed="false">
      <c r="A65" s="64" t="s">
        <v>22</v>
      </c>
      <c r="B65" s="64"/>
      <c r="C65" s="64"/>
      <c r="D65" s="64"/>
      <c r="E65" s="64"/>
      <c r="F65" s="64"/>
      <c r="G65" s="64"/>
      <c r="H65" s="68"/>
    </row>
    <row r="66" customFormat="false" ht="14.5" hidden="false" customHeight="false" outlineLevel="0" collapsed="false">
      <c r="C66" s="68" t="s">
        <v>40</v>
      </c>
      <c r="D66" s="69" t="s">
        <v>60</v>
      </c>
      <c r="E66" s="68" t="s">
        <v>43</v>
      </c>
      <c r="F66" s="91" t="s">
        <v>35</v>
      </c>
      <c r="G66" s="68"/>
      <c r="H66" s="68"/>
    </row>
    <row r="67" customFormat="false" ht="15" hidden="false" customHeight="false" outlineLevel="0" collapsed="false">
      <c r="A67" s="131" t="n">
        <v>109</v>
      </c>
      <c r="B67" s="132" t="s">
        <v>44</v>
      </c>
      <c r="C67" s="133" t="s">
        <v>25</v>
      </c>
      <c r="D67" s="145"/>
      <c r="E67" s="135"/>
      <c r="F67" s="136" t="n">
        <f aca="false">IFERROR(INDEX($B$3:$G$14,MATCH(C67,$A$3:$A$14,0),MATCH($A$65,$B$2:$G$2,0)),0)</f>
        <v>0</v>
      </c>
      <c r="G67" s="77" t="str">
        <f aca="false">IF(F67=E67,"Bien",F67-E67)</f>
        <v>Bien</v>
      </c>
      <c r="H67" s="68"/>
    </row>
    <row r="68" customFormat="false" ht="15" hidden="false" customHeight="false" outlineLevel="0" collapsed="false">
      <c r="A68" s="138" t="n">
        <v>333</v>
      </c>
      <c r="B68" s="68" t="s">
        <v>45</v>
      </c>
      <c r="C68" s="68" t="s">
        <v>15</v>
      </c>
      <c r="D68" s="118" t="n">
        <v>6</v>
      </c>
      <c r="E68" s="119" t="n">
        <v>3200</v>
      </c>
      <c r="F68" s="78" t="n">
        <f aca="false">IFERROR(INDEX($B$3:$G$14,MATCH(C68,$A$3:$A$14,0),MATCH($A$65,$B$2:$G$2,0)),0)</f>
        <v>3200</v>
      </c>
      <c r="G68" s="79" t="str">
        <f aca="false">IF(F68=E68,"Bien",F68-E68)</f>
        <v>Bien</v>
      </c>
      <c r="H68" s="68"/>
    </row>
    <row r="69" customFormat="false" ht="15" hidden="false" customHeight="false" outlineLevel="0" collapsed="false">
      <c r="A69" s="146"/>
      <c r="B69" s="44" t="s">
        <v>62</v>
      </c>
      <c r="C69" s="81" t="s">
        <v>63</v>
      </c>
      <c r="D69" s="123"/>
      <c r="E69" s="123"/>
      <c r="F69" s="78" t="n">
        <f aca="false">IFERROR(INDEX($B$3:$G$14,MATCH(C69,$A$3:$A$14,0),MATCH($A$65,$B$2:$G$2,0)),0)</f>
        <v>0</v>
      </c>
      <c r="G69" s="79" t="str">
        <f aca="false">IF(F69=E69,"Bien",F69-E69)</f>
        <v>Bien</v>
      </c>
      <c r="H69" s="68"/>
    </row>
    <row r="70" customFormat="false" ht="15" hidden="false" customHeight="false" outlineLevel="0" collapsed="false">
      <c r="A70" s="138" t="n">
        <v>316</v>
      </c>
      <c r="B70" s="44" t="s">
        <v>50</v>
      </c>
      <c r="C70" s="68" t="s">
        <v>19</v>
      </c>
      <c r="D70" s="123"/>
      <c r="E70" s="123"/>
      <c r="F70" s="78" t="n">
        <f aca="false">IFERROR(INDEX($B$3:$G$14,MATCH(C70,$A$3:$A$14,0),MATCH($A$65,$B$2:$G$2,0)),0)</f>
        <v>0</v>
      </c>
      <c r="G70" s="79" t="str">
        <f aca="false">IF(F70=E70,"Bien",F70-E70)</f>
        <v>Bien</v>
      </c>
      <c r="H70" s="68"/>
    </row>
    <row r="71" customFormat="false" ht="15" hidden="false" customHeight="false" outlineLevel="0" collapsed="false">
      <c r="A71" s="138" t="n">
        <v>309</v>
      </c>
      <c r="B71" s="44" t="s">
        <v>53</v>
      </c>
      <c r="C71" s="68" t="s">
        <v>18</v>
      </c>
      <c r="D71" s="118" t="n">
        <v>3</v>
      </c>
      <c r="E71" s="119" t="n">
        <v>720</v>
      </c>
      <c r="F71" s="78" t="n">
        <f aca="false">IFERROR(INDEX($B$3:$G$14,MATCH(C71,$A$3:$A$14,0),MATCH($A$65,$B$2:$G$2,0)),0)</f>
        <v>720</v>
      </c>
      <c r="G71" s="79" t="str">
        <f aca="false">IF(F71=E71,"Bien",F71-E71)</f>
        <v>Bien</v>
      </c>
      <c r="H71" s="68"/>
    </row>
    <row r="72" customFormat="false" ht="15" hidden="false" customHeight="false" outlineLevel="0" collapsed="false">
      <c r="A72" s="147" t="n">
        <v>296</v>
      </c>
      <c r="B72" s="140" t="s">
        <v>56</v>
      </c>
      <c r="C72" s="140" t="s">
        <v>16</v>
      </c>
      <c r="D72" s="142"/>
      <c r="E72" s="148"/>
      <c r="F72" s="144" t="n">
        <f aca="false">IFERROR(INDEX($B$3:$G$14,MATCH(C72,$A$3:$A$14,0),MATCH($A$65,$B$2:$G$2,0)),0)</f>
        <v>0</v>
      </c>
      <c r="G72" s="90" t="str">
        <f aca="false">IF(F72=E72,"Bien",F72-E72)</f>
        <v>Bien</v>
      </c>
      <c r="H72" s="68"/>
    </row>
    <row r="73" customFormat="false" ht="13.8" hidden="false" customHeight="false" outlineLevel="0" collapsed="false">
      <c r="C73" s="68"/>
      <c r="D73" s="118"/>
      <c r="E73" s="92" t="n">
        <f aca="false">SUM(E67:E72)</f>
        <v>3920</v>
      </c>
      <c r="F73" s="92" t="n">
        <f aca="false">SUM(F67:F72)</f>
        <v>3920</v>
      </c>
      <c r="G73" s="68"/>
      <c r="H73" s="68"/>
      <c r="I73" s="93" t="str">
        <f aca="false">+IF(F73=C15,"OK","Revisar")</f>
        <v>OK</v>
      </c>
    </row>
    <row r="74" customFormat="false" ht="14.5" hidden="false" customHeight="false" outlineLevel="0" collapsed="false">
      <c r="A74" s="64" t="s">
        <v>31</v>
      </c>
      <c r="B74" s="64"/>
      <c r="C74" s="64"/>
      <c r="D74" s="64"/>
      <c r="E74" s="64"/>
      <c r="F74" s="64"/>
      <c r="G74" s="64"/>
      <c r="H74" s="68"/>
    </row>
    <row r="75" customFormat="false" ht="14.5" hidden="false" customHeight="false" outlineLevel="0" collapsed="false">
      <c r="C75" s="68" t="s">
        <v>40</v>
      </c>
      <c r="D75" s="69" t="s">
        <v>60</v>
      </c>
      <c r="E75" s="68" t="s">
        <v>43</v>
      </c>
      <c r="F75" s="91" t="s">
        <v>35</v>
      </c>
      <c r="G75" s="68"/>
      <c r="H75" s="68"/>
    </row>
    <row r="76" customFormat="false" ht="15" hidden="false" customHeight="false" outlineLevel="0" collapsed="false">
      <c r="A76" s="131" t="n">
        <v>109</v>
      </c>
      <c r="B76" s="132" t="s">
        <v>44</v>
      </c>
      <c r="C76" s="133" t="s">
        <v>25</v>
      </c>
      <c r="D76" s="134"/>
      <c r="E76" s="135"/>
      <c r="F76" s="136" t="n">
        <f aca="false">IFERROR(INDEX($B$3:$G$14,MATCH(C76,$A$3:$A$14,0),MATCH($A$74,$B$2:$G$2,0)),0)</f>
        <v>0</v>
      </c>
      <c r="G76" s="77" t="str">
        <f aca="false">IF(F76=E76,"Bien",F76-E76)</f>
        <v>Bien</v>
      </c>
      <c r="H76" s="68"/>
    </row>
    <row r="77" customFormat="false" ht="15" hidden="false" customHeight="false" outlineLevel="0" collapsed="false">
      <c r="A77" s="138" t="n">
        <v>309</v>
      </c>
      <c r="B77" s="44" t="s">
        <v>53</v>
      </c>
      <c r="C77" s="68" t="s">
        <v>18</v>
      </c>
      <c r="D77" s="118"/>
      <c r="E77" s="123"/>
      <c r="F77" s="78" t="n">
        <f aca="false">IFERROR(INDEX($B$3:$G$14,MATCH(C77,$A$3:$A$14,0),MATCH($A$74,$B$2:$G$2,0)),0)</f>
        <v>0</v>
      </c>
      <c r="G77" s="79" t="str">
        <f aca="false">IF(F77=E77,"Bien",F77-E77)</f>
        <v>Bien</v>
      </c>
      <c r="H77" s="68"/>
    </row>
    <row r="78" customFormat="false" ht="15" hidden="false" customHeight="false" outlineLevel="0" collapsed="false">
      <c r="A78" s="147" t="n">
        <v>296</v>
      </c>
      <c r="B78" s="140" t="s">
        <v>56</v>
      </c>
      <c r="C78" s="140" t="s">
        <v>16</v>
      </c>
      <c r="D78" s="142"/>
      <c r="E78" s="143"/>
      <c r="F78" s="144" t="n">
        <f aca="false">IFERROR(INDEX($B$3:$G$14,MATCH(C78,$A$3:$A$14,0),MATCH($A$74,$B$2:$G$2,0)),0)</f>
        <v>0</v>
      </c>
      <c r="G78" s="90" t="str">
        <f aca="false">IF(F78=E78,"Bien",F78-E78)</f>
        <v>Bien</v>
      </c>
      <c r="H78" s="68"/>
    </row>
    <row r="79" customFormat="false" ht="13.8" hidden="false" customHeight="false" outlineLevel="0" collapsed="false">
      <c r="C79" s="68"/>
      <c r="D79" s="118"/>
      <c r="E79" s="92" t="n">
        <f aca="false">SUM(E76:E78)</f>
        <v>0</v>
      </c>
      <c r="F79" s="92" t="n">
        <f aca="false">SUM(F76:F78)</f>
        <v>0</v>
      </c>
      <c r="G79" s="68"/>
      <c r="H79" s="68"/>
      <c r="I79" s="93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0">
      <formula>""bien""</formula>
    </cfRule>
  </conditionalFormatting>
  <conditionalFormatting sqref="H38">
    <cfRule type="cellIs" priority="3" operator="notEqual" aboveAverage="0" equalAverage="0" bottom="0" percent="0" rank="0" text="" dxfId="1">
      <formula>""bien""</formula>
    </cfRule>
  </conditionalFormatting>
  <conditionalFormatting sqref="H39:H45">
    <cfRule type="cellIs" priority="4" operator="notEqual" aboveAverage="0" equalAverage="0" bottom="0" percent="0" rank="0" text="" dxfId="2">
      <formula>""bien""</formula>
    </cfRule>
  </conditionalFormatting>
  <conditionalFormatting sqref="G50">
    <cfRule type="cellIs" priority="5" operator="notEqual" aboveAverage="0" equalAverage="0" bottom="0" percent="0" rank="0" text="" dxfId="3">
      <formula>""bien""</formula>
    </cfRule>
  </conditionalFormatting>
  <conditionalFormatting sqref="G51:G55">
    <cfRule type="cellIs" priority="6" operator="notEqual" aboveAverage="0" equalAverage="0" bottom="0" percent="0" rank="0" text="" dxfId="4">
      <formula>""bien""</formula>
    </cfRule>
  </conditionalFormatting>
  <conditionalFormatting sqref="G59">
    <cfRule type="cellIs" priority="7" operator="notEqual" aboveAverage="0" equalAverage="0" bottom="0" percent="0" rank="0" text="" dxfId="5">
      <formula>""bien""</formula>
    </cfRule>
  </conditionalFormatting>
  <conditionalFormatting sqref="G60:G63">
    <cfRule type="cellIs" priority="8" operator="notEqual" aboveAverage="0" equalAverage="0" bottom="0" percent="0" rank="0" text="" dxfId="6">
      <formula>""bien""</formula>
    </cfRule>
  </conditionalFormatting>
  <conditionalFormatting sqref="G67">
    <cfRule type="cellIs" priority="9" operator="notEqual" aboveAverage="0" equalAverage="0" bottom="0" percent="0" rank="0" text="" dxfId="7">
      <formula>""bien""</formula>
    </cfRule>
  </conditionalFormatting>
  <conditionalFormatting sqref="G68:G72">
    <cfRule type="cellIs" priority="10" operator="notEqual" aboveAverage="0" equalAverage="0" bottom="0" percent="0" rank="0" text="" dxfId="8">
      <formula>""bien""</formula>
    </cfRule>
  </conditionalFormatting>
  <conditionalFormatting sqref="G76">
    <cfRule type="cellIs" priority="11" operator="notEqual" aboveAverage="0" equalAverage="0" bottom="0" percent="0" rank="0" text="" dxfId="9">
      <formula>""bien""</formula>
    </cfRule>
  </conditionalFormatting>
  <conditionalFormatting sqref="G77:G78">
    <cfRule type="cellIs" priority="12" operator="notEqual" aboveAverage="0" equalAverage="0" bottom="0" percent="0" rank="0" text="" dxfId="10">
      <formula>""bien""</formula>
    </cfRule>
  </conditionalFormatting>
  <conditionalFormatting sqref="C16">
    <cfRule type="cellIs" priority="13" operator="notEqual" aboveAverage="0" equalAverage="0" bottom="0" percent="0" rank="0" text="" dxfId="11">
      <formula>#ref!</formula>
    </cfRule>
  </conditionalFormatting>
  <conditionalFormatting sqref="B16">
    <cfRule type="cellIs" priority="14" operator="notEqual" aboveAverage="0" equalAverage="0" bottom="0" percent="0" rank="0" text="" dxfId="11">
      <formula>#ref!</formula>
    </cfRule>
  </conditionalFormatting>
  <conditionalFormatting sqref="D16">
    <cfRule type="cellIs" priority="15" operator="notEqual" aboveAverage="0" equalAverage="0" bottom="0" percent="0" rank="0" text="" dxfId="11">
      <formula>#ref!</formula>
    </cfRule>
  </conditionalFormatting>
  <conditionalFormatting sqref="E16">
    <cfRule type="cellIs" priority="16" operator="notEqual" aboveAverage="0" equalAverage="0" bottom="0" percent="0" rank="0" text="" dxfId="11">
      <formula>#ref!</formula>
    </cfRule>
  </conditionalFormatting>
  <conditionalFormatting sqref="F16">
    <cfRule type="cellIs" priority="17" operator="notEqual" aboveAverage="0" equalAverage="0" bottom="0" percent="0" rank="0" text="" dxfId="11">
      <formula>#ref!</formula>
    </cfRule>
  </conditionalFormatting>
  <conditionalFormatting sqref="G16">
    <cfRule type="cellIs" priority="18" operator="notEqual" aboveAverage="0" equalAverage="0" bottom="0" percent="0" rank="0" text="" dxfId="11">
      <formula>#ref!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2022-07-04T12:44:33Z</dcterms:created>
  <dc:creator>usuario</dc:creator>
  <dc:description/>
  <dc:language>es-ES</dc:language>
  <cp:lastModifiedBy>JORGE AZUARA ROCA</cp:lastModifiedBy>
  <dcterms:modified xsi:type="dcterms:W3CDTF">2022-07-07T09:43:08Z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0x012000D96F098ED5E78F49B4E623047188DB6F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